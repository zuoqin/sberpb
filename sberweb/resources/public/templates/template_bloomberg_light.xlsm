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23580" windowHeight="14505" tabRatio="332" activeTab="1"/>
  </bookViews>
  <sheets>
    <sheet name="report" sheetId="16" r:id="rId1"/>
    <sheet name="CLIENT" sheetId="1" r:id="rId2"/>
    <sheet name="positions" sheetId="11" r:id="rId3"/>
    <sheet name="Balances-Currency" sheetId="19" r:id="rId4"/>
    <sheet name="Securities" sheetId="18" r:id="rId5"/>
    <sheet name="Instruments" sheetId="17" r:id="rId6"/>
    <sheet name="MICEX" sheetId="5" r:id="rId7"/>
    <sheet name="Sheet1" sheetId="9" r:id="rId8"/>
    <sheet name="CLIENT (2)" sheetId="20" r:id="rId9"/>
  </sheets>
  <definedNames>
    <definedName name="_xlnm._FilterDatabase" localSheetId="1" hidden="1">CLIENT!#REF!</definedName>
    <definedName name="_xlnm._FilterDatabase" localSheetId="8" hidden="1">'CLIENT (2)'!#REF!</definedName>
    <definedName name="_xlnm._FilterDatabase" localSheetId="0" hidden="1">report!#REF!</definedName>
    <definedName name="_xlnm._FilterDatabase" localSheetId="7" hidden="1">Sheet1!$B$83:$B$88</definedName>
    <definedName name="_xlnm.Extract" localSheetId="7">Sheet1!#REF!</definedName>
  </definedNames>
  <calcPr calcId="145621" calcOnSave="0"/>
</workbook>
</file>

<file path=xl/calcChain.xml><?xml version="1.0" encoding="utf-8"?>
<calcChain xmlns="http://schemas.openxmlformats.org/spreadsheetml/2006/main">
  <c r="Q98" i="1" l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F96" i="1" l="1"/>
  <c r="F95" i="1"/>
  <c r="F91" i="1"/>
  <c r="C98" i="1"/>
  <c r="B98" i="1" s="1"/>
  <c r="C97" i="1"/>
  <c r="B97" i="1" s="1"/>
  <c r="C96" i="1"/>
  <c r="B96" i="1" s="1"/>
  <c r="C95" i="1"/>
  <c r="B95" i="1" s="1"/>
  <c r="C94" i="1"/>
  <c r="B94" i="1" s="1"/>
  <c r="C93" i="1"/>
  <c r="F93" i="1" s="1"/>
  <c r="B93" i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15" i="1"/>
  <c r="B15" i="1"/>
  <c r="C14" i="1"/>
  <c r="B14" i="1" s="1"/>
  <c r="C13" i="1"/>
  <c r="B13" i="1" s="1"/>
  <c r="C12" i="1"/>
  <c r="B12" i="1" s="1"/>
  <c r="C11" i="1"/>
  <c r="B11" i="1" s="1"/>
  <c r="C10" i="1"/>
  <c r="B10" i="1" s="1"/>
  <c r="F15" i="1"/>
  <c r="F13" i="1"/>
  <c r="M86" i="1"/>
  <c r="L13" i="1"/>
  <c r="Y10" i="1"/>
  <c r="K97" i="1"/>
  <c r="Y11" i="1"/>
  <c r="M11" i="1"/>
  <c r="I14" i="1"/>
  <c r="M95" i="1"/>
  <c r="Y12" i="1"/>
  <c r="I93" i="1"/>
  <c r="X10" i="1"/>
  <c r="M94" i="1"/>
  <c r="X96" i="1"/>
  <c r="K94" i="1"/>
  <c r="J90" i="1"/>
  <c r="M10" i="1"/>
  <c r="J92" i="1"/>
  <c r="V91" i="1"/>
  <c r="X13" i="1"/>
  <c r="J98" i="1"/>
  <c r="X87" i="1"/>
  <c r="K86" i="1"/>
  <c r="M88" i="1"/>
  <c r="J15" i="1"/>
  <c r="X14" i="1"/>
  <c r="V96" i="1"/>
  <c r="V87" i="1"/>
  <c r="K89" i="1"/>
  <c r="K92" i="1"/>
  <c r="X97" i="1"/>
  <c r="M15" i="1"/>
  <c r="I89" i="1"/>
  <c r="I86" i="1"/>
  <c r="V12" i="1"/>
  <c r="V89" i="1"/>
  <c r="X90" i="1"/>
  <c r="X95" i="1"/>
  <c r="J86" i="1"/>
  <c r="V10" i="1"/>
  <c r="J13" i="1"/>
  <c r="L12" i="1"/>
  <c r="K98" i="1"/>
  <c r="M92" i="1"/>
  <c r="M90" i="1"/>
  <c r="X92" i="1"/>
  <c r="X88" i="1"/>
  <c r="V88" i="1"/>
  <c r="L15" i="1"/>
  <c r="K95" i="1"/>
  <c r="Y15" i="1"/>
  <c r="K87" i="1"/>
  <c r="V97" i="1"/>
  <c r="J96" i="1"/>
  <c r="M97" i="1"/>
  <c r="V95" i="1"/>
  <c r="V86" i="1"/>
  <c r="I87" i="1"/>
  <c r="J95" i="1"/>
  <c r="X89" i="1"/>
  <c r="I96" i="1"/>
  <c r="J91" i="1"/>
  <c r="J94" i="1"/>
  <c r="J87" i="1"/>
  <c r="V98" i="1"/>
  <c r="I97" i="1"/>
  <c r="L10" i="1"/>
  <c r="X12" i="1"/>
  <c r="V92" i="1"/>
  <c r="J10" i="1"/>
  <c r="Y14" i="1"/>
  <c r="I90" i="1"/>
  <c r="J12" i="1"/>
  <c r="K88" i="1"/>
  <c r="K93" i="1"/>
  <c r="V11" i="1"/>
  <c r="J14" i="1"/>
  <c r="K96" i="1"/>
  <c r="V14" i="1"/>
  <c r="J11" i="1"/>
  <c r="X98" i="1"/>
  <c r="M12" i="1"/>
  <c r="V93" i="1"/>
  <c r="V94" i="1"/>
  <c r="K90" i="1"/>
  <c r="J88" i="1"/>
  <c r="L11" i="1"/>
  <c r="M93" i="1"/>
  <c r="Y13" i="1"/>
  <c r="I92" i="1"/>
  <c r="K91" i="1"/>
  <c r="J97" i="1"/>
  <c r="I13" i="1"/>
  <c r="X91" i="1"/>
  <c r="I15" i="1"/>
  <c r="M91" i="1"/>
  <c r="X11" i="1"/>
  <c r="M98" i="1"/>
  <c r="M96" i="1"/>
  <c r="M13" i="1"/>
  <c r="M87" i="1"/>
  <c r="V90" i="1"/>
  <c r="X94" i="1"/>
  <c r="I10" i="1"/>
  <c r="V15" i="1"/>
  <c r="X93" i="1"/>
  <c r="J93" i="1"/>
  <c r="I11" i="1"/>
  <c r="X86" i="1"/>
  <c r="V13" i="1"/>
  <c r="I91" i="1"/>
  <c r="L14" i="1"/>
  <c r="X15" i="1"/>
  <c r="I94" i="1"/>
  <c r="M14" i="1"/>
  <c r="I12" i="1"/>
  <c r="I95" i="1"/>
  <c r="I88" i="1"/>
  <c r="M89" i="1"/>
  <c r="J89" i="1"/>
  <c r="I98" i="1"/>
  <c r="H10" i="1" l="1"/>
  <c r="H92" i="1"/>
  <c r="H88" i="1"/>
  <c r="H94" i="1"/>
  <c r="H97" i="1"/>
  <c r="H15" i="1"/>
  <c r="H89" i="1"/>
  <c r="H95" i="1"/>
  <c r="H93" i="1"/>
  <c r="H11" i="1"/>
  <c r="H87" i="1"/>
  <c r="H14" i="1"/>
  <c r="H13" i="1"/>
  <c r="H96" i="1"/>
  <c r="H98" i="1"/>
  <c r="H12" i="1"/>
  <c r="H90" i="1"/>
  <c r="H86" i="1"/>
  <c r="H91" i="1"/>
  <c r="F98" i="1"/>
  <c r="F97" i="1"/>
  <c r="F94" i="1"/>
  <c r="G93" i="1"/>
  <c r="F92" i="1"/>
  <c r="S92" i="1" s="1"/>
  <c r="G91" i="1"/>
  <c r="F90" i="1"/>
  <c r="F89" i="1"/>
  <c r="R89" i="1" s="1"/>
  <c r="F88" i="1"/>
  <c r="F87" i="1"/>
  <c r="F86" i="1"/>
  <c r="S86" i="1" s="1"/>
  <c r="F12" i="1"/>
  <c r="S12" i="1" s="1"/>
  <c r="F11" i="1"/>
  <c r="G11" i="1" s="1"/>
  <c r="R95" i="1"/>
  <c r="R96" i="1"/>
  <c r="S91" i="1"/>
  <c r="O91" i="1" s="1"/>
  <c r="R91" i="1"/>
  <c r="R93" i="1"/>
  <c r="S89" i="1"/>
  <c r="S90" i="1"/>
  <c r="S96" i="1"/>
  <c r="S97" i="1"/>
  <c r="G88" i="1"/>
  <c r="S95" i="1"/>
  <c r="O95" i="1" s="1"/>
  <c r="S93" i="1"/>
  <c r="O93" i="1" s="1"/>
  <c r="R88" i="1"/>
  <c r="R90" i="1"/>
  <c r="R92" i="1"/>
  <c r="G95" i="1"/>
  <c r="R97" i="1"/>
  <c r="S87" i="1"/>
  <c r="F10" i="1"/>
  <c r="R10" i="1" s="1"/>
  <c r="N10" i="1" s="1"/>
  <c r="F14" i="1"/>
  <c r="G13" i="1"/>
  <c r="K14" i="1"/>
  <c r="K11" i="1"/>
  <c r="S11" i="1"/>
  <c r="O11" i="1" s="1"/>
  <c r="R13" i="1"/>
  <c r="T13" i="1" s="1"/>
  <c r="W13" i="1"/>
  <c r="K13" i="1"/>
  <c r="K15" i="1"/>
  <c r="K10" i="1"/>
  <c r="S14" i="1"/>
  <c r="K12" i="1"/>
  <c r="W15" i="1"/>
  <c r="S13" i="1"/>
  <c r="O13" i="1" s="1"/>
  <c r="R12" i="1"/>
  <c r="N12" i="1" s="1"/>
  <c r="W10" i="1"/>
  <c r="R15" i="1"/>
  <c r="T15" i="1" s="1"/>
  <c r="W11" i="1"/>
  <c r="W12" i="1"/>
  <c r="S15" i="1"/>
  <c r="O4140" i="11"/>
  <c r="O4139" i="11"/>
  <c r="O4138" i="11"/>
  <c r="O4137" i="11"/>
  <c r="O4136" i="11"/>
  <c r="O4135" i="11"/>
  <c r="O4134" i="11"/>
  <c r="O4133" i="11"/>
  <c r="O4132" i="11"/>
  <c r="O4131" i="11"/>
  <c r="O4130" i="11"/>
  <c r="O4129" i="11"/>
  <c r="O4128" i="11"/>
  <c r="O4127" i="11"/>
  <c r="O4126" i="11"/>
  <c r="O4125" i="11"/>
  <c r="O4124" i="11"/>
  <c r="O4123" i="11"/>
  <c r="O4122" i="11"/>
  <c r="O4121" i="11"/>
  <c r="O4120" i="11"/>
  <c r="O4119" i="11"/>
  <c r="O4118" i="11"/>
  <c r="O4117" i="11"/>
  <c r="O4116" i="11"/>
  <c r="O4115" i="11"/>
  <c r="O4114" i="11"/>
  <c r="O4113" i="11"/>
  <c r="O4112" i="11"/>
  <c r="O4111" i="11"/>
  <c r="O4110" i="11"/>
  <c r="O4109" i="11"/>
  <c r="O4108" i="11"/>
  <c r="O4107" i="11"/>
  <c r="O4106" i="11"/>
  <c r="O4105" i="11"/>
  <c r="O4104" i="11"/>
  <c r="O4103" i="11"/>
  <c r="O4102" i="11"/>
  <c r="O4101" i="11"/>
  <c r="O4100" i="11"/>
  <c r="O4099" i="11"/>
  <c r="O4098" i="11"/>
  <c r="O4097" i="11"/>
  <c r="O4096" i="11"/>
  <c r="O4095" i="11"/>
  <c r="O4094" i="11"/>
  <c r="O4093" i="11"/>
  <c r="O4092" i="11"/>
  <c r="O4091" i="11"/>
  <c r="O4090" i="11"/>
  <c r="O4089" i="11"/>
  <c r="O4088" i="11"/>
  <c r="O4087" i="11"/>
  <c r="O4086" i="11"/>
  <c r="O4085" i="11"/>
  <c r="O4084" i="11"/>
  <c r="O4083" i="11"/>
  <c r="O4082" i="11"/>
  <c r="O4081" i="11"/>
  <c r="O4080" i="11"/>
  <c r="O4079" i="11"/>
  <c r="O4078" i="11"/>
  <c r="O4077" i="11"/>
  <c r="O4076" i="11"/>
  <c r="O4075" i="11"/>
  <c r="O4074" i="11"/>
  <c r="O4073" i="11"/>
  <c r="O4072" i="11"/>
  <c r="O4071" i="11"/>
  <c r="O4070" i="11"/>
  <c r="O4069" i="11"/>
  <c r="O4068" i="11"/>
  <c r="O4067" i="11"/>
  <c r="O4066" i="11"/>
  <c r="O4065" i="11"/>
  <c r="O4064" i="11"/>
  <c r="O4063" i="11"/>
  <c r="O4062" i="11"/>
  <c r="O4061" i="11"/>
  <c r="O4060" i="11"/>
  <c r="O4059" i="11"/>
  <c r="O4058" i="11"/>
  <c r="O4057" i="11"/>
  <c r="O4056" i="11"/>
  <c r="O4055" i="11"/>
  <c r="O4054" i="11"/>
  <c r="O4053" i="11"/>
  <c r="O4052" i="11"/>
  <c r="O4051" i="11"/>
  <c r="O4050" i="11"/>
  <c r="O4049" i="11"/>
  <c r="O4048" i="11"/>
  <c r="O4047" i="11"/>
  <c r="O4046" i="11"/>
  <c r="O4045" i="11"/>
  <c r="O4044" i="11"/>
  <c r="O4043" i="11"/>
  <c r="O4042" i="11"/>
  <c r="O4041" i="11"/>
  <c r="O4040" i="11"/>
  <c r="O4039" i="11"/>
  <c r="O4038" i="11"/>
  <c r="O4037" i="11"/>
  <c r="O4036" i="11"/>
  <c r="O4035" i="11"/>
  <c r="O4034" i="11"/>
  <c r="O4033" i="11"/>
  <c r="O4032" i="11"/>
  <c r="O4031" i="11"/>
  <c r="O4030" i="11"/>
  <c r="O4029" i="11"/>
  <c r="O4028" i="11"/>
  <c r="O4027" i="11"/>
  <c r="O4026" i="11"/>
  <c r="O4025" i="11"/>
  <c r="O4024" i="11"/>
  <c r="O4023" i="11"/>
  <c r="O4022" i="11"/>
  <c r="O4021" i="11"/>
  <c r="O4020" i="11"/>
  <c r="O4019" i="11"/>
  <c r="O4018" i="11"/>
  <c r="O4017" i="11"/>
  <c r="O4016" i="11"/>
  <c r="O4015" i="11"/>
  <c r="O4014" i="11"/>
  <c r="O4013" i="11"/>
  <c r="O4012" i="11"/>
  <c r="O4011" i="11"/>
  <c r="O4010" i="11"/>
  <c r="O4009" i="11"/>
  <c r="O4008" i="11"/>
  <c r="O4007" i="11"/>
  <c r="O4006" i="11"/>
  <c r="O4005" i="11"/>
  <c r="O4004" i="11"/>
  <c r="O4003" i="11"/>
  <c r="O4002" i="11"/>
  <c r="O4001" i="11"/>
  <c r="O4000" i="11"/>
  <c r="O3999" i="11"/>
  <c r="O3998" i="11"/>
  <c r="O3997" i="11"/>
  <c r="O3996" i="11"/>
  <c r="O3995" i="11"/>
  <c r="O3994" i="11"/>
  <c r="O3993" i="11"/>
  <c r="O3992" i="11"/>
  <c r="O3991" i="11"/>
  <c r="O3990" i="11"/>
  <c r="O3989" i="11"/>
  <c r="O3988" i="11"/>
  <c r="O3987" i="11"/>
  <c r="O3986" i="11"/>
  <c r="O3985" i="11"/>
  <c r="O3984" i="11"/>
  <c r="O3983" i="11"/>
  <c r="O3982" i="11"/>
  <c r="O3981" i="11"/>
  <c r="O3980" i="11"/>
  <c r="O3979" i="11"/>
  <c r="O3978" i="11"/>
  <c r="O3977" i="11"/>
  <c r="O3976" i="11"/>
  <c r="O3975" i="11"/>
  <c r="O3974" i="11"/>
  <c r="O3973" i="11"/>
  <c r="O3972" i="11"/>
  <c r="O3971" i="11"/>
  <c r="O3970" i="11"/>
  <c r="O3969" i="11"/>
  <c r="O3968" i="11"/>
  <c r="O3967" i="11"/>
  <c r="O3966" i="11"/>
  <c r="O3965" i="11"/>
  <c r="O3964" i="11"/>
  <c r="O3963" i="11"/>
  <c r="O3962" i="11"/>
  <c r="O3961" i="11"/>
  <c r="O3960" i="11"/>
  <c r="O3959" i="11"/>
  <c r="O3958" i="11"/>
  <c r="O3957" i="11"/>
  <c r="O3956" i="11"/>
  <c r="O3955" i="11"/>
  <c r="O3954" i="11"/>
  <c r="O3953" i="11"/>
  <c r="O3952" i="11"/>
  <c r="O3951" i="11"/>
  <c r="O3950" i="11"/>
  <c r="O3949" i="11"/>
  <c r="O3948" i="11"/>
  <c r="O3947" i="11"/>
  <c r="O3946" i="11"/>
  <c r="O3945" i="11"/>
  <c r="O3944" i="11"/>
  <c r="O3943" i="11"/>
  <c r="O3942" i="11"/>
  <c r="O3941" i="11"/>
  <c r="O3940" i="11"/>
  <c r="O3939" i="11"/>
  <c r="O3938" i="11"/>
  <c r="O3937" i="11"/>
  <c r="O3936" i="11"/>
  <c r="O3935" i="11"/>
  <c r="O3934" i="11"/>
  <c r="O3933" i="11"/>
  <c r="O3932" i="11"/>
  <c r="O3931" i="11"/>
  <c r="O3930" i="11"/>
  <c r="O3929" i="11"/>
  <c r="O3928" i="11"/>
  <c r="O3927" i="11"/>
  <c r="O3926" i="11"/>
  <c r="O3925" i="11"/>
  <c r="O3924" i="11"/>
  <c r="O3923" i="11"/>
  <c r="O3922" i="11"/>
  <c r="O3921" i="11"/>
  <c r="O3920" i="11"/>
  <c r="O3919" i="11"/>
  <c r="O3918" i="11"/>
  <c r="O3917" i="11"/>
  <c r="O3916" i="11"/>
  <c r="O3915" i="11"/>
  <c r="O3914" i="11"/>
  <c r="O3913" i="11"/>
  <c r="O3912" i="11"/>
  <c r="O3911" i="11"/>
  <c r="O3910" i="11"/>
  <c r="O3909" i="11"/>
  <c r="O3908" i="11"/>
  <c r="O3907" i="11"/>
  <c r="O3906" i="11"/>
  <c r="O3905" i="11"/>
  <c r="O3904" i="11"/>
  <c r="O3903" i="11"/>
  <c r="O3902" i="11"/>
  <c r="O3901" i="11"/>
  <c r="O3900" i="11"/>
  <c r="O3899" i="11"/>
  <c r="O3898" i="11"/>
  <c r="O3897" i="11"/>
  <c r="O3896" i="11"/>
  <c r="O3895" i="11"/>
  <c r="O3894" i="11"/>
  <c r="O3893" i="11"/>
  <c r="O3892" i="11"/>
  <c r="O3891" i="11"/>
  <c r="O3890" i="11"/>
  <c r="O3889" i="11"/>
  <c r="O3888" i="11"/>
  <c r="O3887" i="11"/>
  <c r="O3886" i="11"/>
  <c r="O3885" i="11"/>
  <c r="O3884" i="11"/>
  <c r="O3883" i="11"/>
  <c r="O3882" i="11"/>
  <c r="O3881" i="11"/>
  <c r="O3880" i="11"/>
  <c r="O3879" i="11"/>
  <c r="O3878" i="11"/>
  <c r="O3877" i="11"/>
  <c r="O3876" i="11"/>
  <c r="O3875" i="11"/>
  <c r="O3874" i="11"/>
  <c r="O3873" i="11"/>
  <c r="O3872" i="11"/>
  <c r="O3871" i="11"/>
  <c r="O3870" i="11"/>
  <c r="O3869" i="11"/>
  <c r="O3868" i="11"/>
  <c r="O3867" i="11"/>
  <c r="O3866" i="11"/>
  <c r="O3865" i="11"/>
  <c r="O3864" i="11"/>
  <c r="O3863" i="11"/>
  <c r="O3862" i="11"/>
  <c r="O3861" i="11"/>
  <c r="O3860" i="11"/>
  <c r="O3859" i="11"/>
  <c r="O3858" i="11"/>
  <c r="O3857" i="11"/>
  <c r="O3856" i="11"/>
  <c r="O3855" i="11"/>
  <c r="O3854" i="11"/>
  <c r="O3853" i="11"/>
  <c r="O3852" i="11"/>
  <c r="O3851" i="11"/>
  <c r="O3850" i="11"/>
  <c r="O3849" i="11"/>
  <c r="O3848" i="11"/>
  <c r="O3847" i="11"/>
  <c r="O3846" i="11"/>
  <c r="O3845" i="11"/>
  <c r="O3844" i="11"/>
  <c r="O3843" i="11"/>
  <c r="O3842" i="11"/>
  <c r="O3841" i="11"/>
  <c r="O3840" i="11"/>
  <c r="O3839" i="11"/>
  <c r="O3838" i="11"/>
  <c r="O3837" i="11"/>
  <c r="O3836" i="11"/>
  <c r="O3835" i="11"/>
  <c r="O3834" i="11"/>
  <c r="O3833" i="11"/>
  <c r="O3832" i="11"/>
  <c r="O3831" i="11"/>
  <c r="O3830" i="11"/>
  <c r="O3829" i="11"/>
  <c r="O3828" i="11"/>
  <c r="O3827" i="11"/>
  <c r="O3826" i="11"/>
  <c r="O3825" i="11"/>
  <c r="O3824" i="11"/>
  <c r="O3823" i="11"/>
  <c r="O3822" i="11"/>
  <c r="O3821" i="11"/>
  <c r="O3820" i="11"/>
  <c r="O3819" i="11"/>
  <c r="O3818" i="11"/>
  <c r="O3817" i="11"/>
  <c r="O3816" i="11"/>
  <c r="O3815" i="11"/>
  <c r="O3814" i="11"/>
  <c r="O3813" i="11"/>
  <c r="O3812" i="11"/>
  <c r="O3811" i="11"/>
  <c r="O3810" i="11"/>
  <c r="O3809" i="11"/>
  <c r="O3808" i="11"/>
  <c r="O3807" i="11"/>
  <c r="O3806" i="11"/>
  <c r="O3805" i="11"/>
  <c r="O3804" i="11"/>
  <c r="O3803" i="11"/>
  <c r="O3802" i="11"/>
  <c r="O3801" i="11"/>
  <c r="O3800" i="11"/>
  <c r="O3799" i="11"/>
  <c r="O3798" i="11"/>
  <c r="O3797" i="11"/>
  <c r="O3796" i="11"/>
  <c r="O3795" i="11"/>
  <c r="O3794" i="11"/>
  <c r="O3793" i="11"/>
  <c r="O3792" i="11"/>
  <c r="O3791" i="11"/>
  <c r="O3790" i="11"/>
  <c r="O3789" i="11"/>
  <c r="O3788" i="11"/>
  <c r="O3787" i="11"/>
  <c r="O3786" i="11"/>
  <c r="O3785" i="11"/>
  <c r="O3784" i="11"/>
  <c r="O3783" i="11"/>
  <c r="O3782" i="11"/>
  <c r="O3781" i="11"/>
  <c r="O3780" i="11"/>
  <c r="O3779" i="11"/>
  <c r="O3778" i="11"/>
  <c r="O3777" i="11"/>
  <c r="O3776" i="11"/>
  <c r="O3775" i="11"/>
  <c r="O3774" i="11"/>
  <c r="O3773" i="11"/>
  <c r="O3772" i="11"/>
  <c r="O3771" i="11"/>
  <c r="O3770" i="11"/>
  <c r="O3769" i="11"/>
  <c r="O3768" i="11"/>
  <c r="O3767" i="11"/>
  <c r="O3766" i="11"/>
  <c r="O3765" i="11"/>
  <c r="O3764" i="11"/>
  <c r="O3763" i="11"/>
  <c r="O3762" i="11"/>
  <c r="O3761" i="11"/>
  <c r="O3760" i="11"/>
  <c r="O3759" i="11"/>
  <c r="O3758" i="11"/>
  <c r="O3757" i="11"/>
  <c r="O3756" i="11"/>
  <c r="O3755" i="11"/>
  <c r="O3754" i="11"/>
  <c r="O3753" i="11"/>
  <c r="O3752" i="11"/>
  <c r="O3751" i="11"/>
  <c r="O3750" i="11"/>
  <c r="O3749" i="11"/>
  <c r="O3748" i="11"/>
  <c r="O3747" i="11"/>
  <c r="O3746" i="11"/>
  <c r="O3745" i="11"/>
  <c r="O3744" i="11"/>
  <c r="O3743" i="11"/>
  <c r="O3742" i="11"/>
  <c r="O3741" i="11"/>
  <c r="O3740" i="11"/>
  <c r="O3739" i="11"/>
  <c r="O3738" i="11"/>
  <c r="O3737" i="11"/>
  <c r="O3736" i="11"/>
  <c r="O3735" i="11"/>
  <c r="O3734" i="11"/>
  <c r="O3733" i="11"/>
  <c r="O3732" i="11"/>
  <c r="O3731" i="11"/>
  <c r="O3730" i="11"/>
  <c r="O3729" i="11"/>
  <c r="O3728" i="11"/>
  <c r="O3727" i="11"/>
  <c r="O3726" i="11"/>
  <c r="O3725" i="11"/>
  <c r="O3724" i="11"/>
  <c r="O3723" i="11"/>
  <c r="O3722" i="11"/>
  <c r="O3721" i="11"/>
  <c r="O3720" i="11"/>
  <c r="O3719" i="11"/>
  <c r="O3718" i="11"/>
  <c r="O3717" i="11"/>
  <c r="O3716" i="11"/>
  <c r="O3715" i="11"/>
  <c r="O3714" i="11"/>
  <c r="O3713" i="11"/>
  <c r="O3712" i="11"/>
  <c r="O3711" i="11"/>
  <c r="O3710" i="11"/>
  <c r="O3709" i="11"/>
  <c r="O3708" i="11"/>
  <c r="O3707" i="11"/>
  <c r="O3706" i="11"/>
  <c r="O3705" i="11"/>
  <c r="O3704" i="11"/>
  <c r="O3703" i="11"/>
  <c r="O3702" i="11"/>
  <c r="O3701" i="11"/>
  <c r="O3700" i="11"/>
  <c r="O3699" i="11"/>
  <c r="O3698" i="11"/>
  <c r="O3697" i="11"/>
  <c r="O3696" i="11"/>
  <c r="O3695" i="11"/>
  <c r="O3694" i="11"/>
  <c r="O3693" i="11"/>
  <c r="O3692" i="11"/>
  <c r="O3691" i="11"/>
  <c r="O3690" i="11"/>
  <c r="O3689" i="11"/>
  <c r="O3688" i="11"/>
  <c r="O3687" i="11"/>
  <c r="O3686" i="11"/>
  <c r="O3685" i="11"/>
  <c r="O3684" i="11"/>
  <c r="O3683" i="11"/>
  <c r="O3682" i="11"/>
  <c r="O3681" i="11"/>
  <c r="O3680" i="11"/>
  <c r="O3679" i="11"/>
  <c r="O3678" i="11"/>
  <c r="O3677" i="11"/>
  <c r="O3676" i="11"/>
  <c r="O3675" i="11"/>
  <c r="O3674" i="11"/>
  <c r="O3673" i="11"/>
  <c r="O3672" i="11"/>
  <c r="O3671" i="11"/>
  <c r="O3670" i="11"/>
  <c r="O3669" i="11"/>
  <c r="O3668" i="11"/>
  <c r="O3667" i="11"/>
  <c r="O3666" i="11"/>
  <c r="O3665" i="11"/>
  <c r="O3664" i="11"/>
  <c r="O3663" i="11"/>
  <c r="O3662" i="11"/>
  <c r="O3661" i="11"/>
  <c r="O3660" i="11"/>
  <c r="O3659" i="11"/>
  <c r="O3658" i="11"/>
  <c r="O3657" i="11"/>
  <c r="O3656" i="11"/>
  <c r="O3655" i="11"/>
  <c r="O3654" i="11"/>
  <c r="O3653" i="11"/>
  <c r="O3652" i="11"/>
  <c r="O3651" i="11"/>
  <c r="O3650" i="11"/>
  <c r="O3649" i="11"/>
  <c r="O3648" i="11"/>
  <c r="O3647" i="11"/>
  <c r="O3646" i="11"/>
  <c r="O3645" i="11"/>
  <c r="O3644" i="11"/>
  <c r="O3643" i="11"/>
  <c r="O3642" i="11"/>
  <c r="O3641" i="11"/>
  <c r="O3640" i="11"/>
  <c r="O3639" i="11"/>
  <c r="O3638" i="11"/>
  <c r="O3637" i="11"/>
  <c r="O3636" i="11"/>
  <c r="O3635" i="11"/>
  <c r="O3634" i="11"/>
  <c r="O3633" i="11"/>
  <c r="O3632" i="11"/>
  <c r="O3631" i="11"/>
  <c r="O3630" i="11"/>
  <c r="O3629" i="11"/>
  <c r="O3628" i="11"/>
  <c r="O3627" i="11"/>
  <c r="O3626" i="11"/>
  <c r="O3625" i="11"/>
  <c r="O3624" i="11"/>
  <c r="O3623" i="11"/>
  <c r="O3622" i="11"/>
  <c r="O3621" i="11"/>
  <c r="O3620" i="11"/>
  <c r="O3619" i="11"/>
  <c r="O3618" i="11"/>
  <c r="O3617" i="11"/>
  <c r="O3616" i="11"/>
  <c r="O3615" i="11"/>
  <c r="O3614" i="11"/>
  <c r="O3613" i="11"/>
  <c r="O3612" i="11"/>
  <c r="O3611" i="11"/>
  <c r="O3610" i="11"/>
  <c r="O3609" i="11"/>
  <c r="O3608" i="11"/>
  <c r="O3607" i="11"/>
  <c r="O3606" i="11"/>
  <c r="O3605" i="11"/>
  <c r="O3604" i="11"/>
  <c r="O3603" i="11"/>
  <c r="O3602" i="11"/>
  <c r="O3601" i="11"/>
  <c r="O3600" i="11"/>
  <c r="O3599" i="11"/>
  <c r="O3598" i="11"/>
  <c r="O3597" i="11"/>
  <c r="O3596" i="11"/>
  <c r="O3595" i="11"/>
  <c r="O3594" i="11"/>
  <c r="O3593" i="11"/>
  <c r="O3592" i="11"/>
  <c r="O3591" i="11"/>
  <c r="O3590" i="11"/>
  <c r="O3589" i="11"/>
  <c r="O3588" i="11"/>
  <c r="O3587" i="11"/>
  <c r="O3586" i="11"/>
  <c r="O3585" i="11"/>
  <c r="O3584" i="11"/>
  <c r="O3583" i="11"/>
  <c r="O3582" i="11"/>
  <c r="O3581" i="11"/>
  <c r="O3580" i="11"/>
  <c r="O3579" i="11"/>
  <c r="O3578" i="11"/>
  <c r="O3577" i="11"/>
  <c r="O3576" i="11"/>
  <c r="O3575" i="11"/>
  <c r="O3574" i="11"/>
  <c r="O3573" i="11"/>
  <c r="O3572" i="11"/>
  <c r="O3571" i="11"/>
  <c r="O3570" i="11"/>
  <c r="O3569" i="11"/>
  <c r="O3568" i="11"/>
  <c r="O3567" i="11"/>
  <c r="O3566" i="11"/>
  <c r="O3565" i="11"/>
  <c r="O3564" i="11"/>
  <c r="O3563" i="11"/>
  <c r="O3562" i="11"/>
  <c r="O3561" i="11"/>
  <c r="O3560" i="11"/>
  <c r="O3559" i="11"/>
  <c r="O3558" i="11"/>
  <c r="O3557" i="11"/>
  <c r="O3556" i="11"/>
  <c r="O3555" i="11"/>
  <c r="O3554" i="11"/>
  <c r="O3553" i="11"/>
  <c r="O3552" i="11"/>
  <c r="O3551" i="11"/>
  <c r="O3550" i="11"/>
  <c r="O3549" i="11"/>
  <c r="O3548" i="11"/>
  <c r="O3547" i="11"/>
  <c r="O3546" i="11"/>
  <c r="O3545" i="11"/>
  <c r="O3544" i="11"/>
  <c r="O3543" i="11"/>
  <c r="O3542" i="11"/>
  <c r="O3541" i="11"/>
  <c r="O3540" i="11"/>
  <c r="O3539" i="11"/>
  <c r="O3538" i="11"/>
  <c r="O3537" i="11"/>
  <c r="O3536" i="11"/>
  <c r="O3535" i="11"/>
  <c r="O3534" i="11"/>
  <c r="O3533" i="11"/>
  <c r="O3532" i="11"/>
  <c r="O3531" i="11"/>
  <c r="O3530" i="11"/>
  <c r="O3529" i="11"/>
  <c r="O3528" i="11"/>
  <c r="O3527" i="11"/>
  <c r="O3526" i="11"/>
  <c r="O3525" i="11"/>
  <c r="O3524" i="11"/>
  <c r="O3523" i="11"/>
  <c r="O3522" i="11"/>
  <c r="O3521" i="11"/>
  <c r="O3520" i="11"/>
  <c r="O3519" i="11"/>
  <c r="O3518" i="11"/>
  <c r="O3517" i="11"/>
  <c r="O3516" i="11"/>
  <c r="O3515" i="11"/>
  <c r="O3514" i="11"/>
  <c r="O3513" i="11"/>
  <c r="O3512" i="11"/>
  <c r="O3511" i="11"/>
  <c r="O3510" i="11"/>
  <c r="O3509" i="11"/>
  <c r="O3508" i="11"/>
  <c r="O3507" i="11"/>
  <c r="O3506" i="11"/>
  <c r="O3505" i="11"/>
  <c r="O3504" i="11"/>
  <c r="O3503" i="11"/>
  <c r="O3502" i="11"/>
  <c r="O3501" i="11"/>
  <c r="O3500" i="11"/>
  <c r="O3499" i="11"/>
  <c r="O3498" i="11"/>
  <c r="O3497" i="11"/>
  <c r="O3496" i="11"/>
  <c r="O3495" i="11"/>
  <c r="O3494" i="11"/>
  <c r="O3493" i="11"/>
  <c r="O3492" i="11"/>
  <c r="O3491" i="11"/>
  <c r="O3490" i="11"/>
  <c r="O3489" i="11"/>
  <c r="O3488" i="11"/>
  <c r="O3487" i="11"/>
  <c r="O3486" i="11"/>
  <c r="O3485" i="11"/>
  <c r="O3484" i="11"/>
  <c r="O3483" i="11"/>
  <c r="O3482" i="11"/>
  <c r="O3481" i="11"/>
  <c r="O3480" i="11"/>
  <c r="O3479" i="11"/>
  <c r="O3478" i="11"/>
  <c r="O3477" i="11"/>
  <c r="O3476" i="11"/>
  <c r="O3475" i="11"/>
  <c r="O3474" i="11"/>
  <c r="O3473" i="11"/>
  <c r="O3472" i="11"/>
  <c r="O3471" i="11"/>
  <c r="O3470" i="11"/>
  <c r="O3469" i="11"/>
  <c r="O3468" i="11"/>
  <c r="O3467" i="11"/>
  <c r="O3466" i="11"/>
  <c r="O3465" i="11"/>
  <c r="O3464" i="11"/>
  <c r="O3463" i="11"/>
  <c r="O3462" i="11"/>
  <c r="O3461" i="11"/>
  <c r="O3460" i="11"/>
  <c r="O3459" i="11"/>
  <c r="O3458" i="11"/>
  <c r="O3457" i="11"/>
  <c r="O3456" i="11"/>
  <c r="O3455" i="11"/>
  <c r="O3454" i="11"/>
  <c r="O3453" i="11"/>
  <c r="O3452" i="11"/>
  <c r="O3451" i="11"/>
  <c r="O3450" i="11"/>
  <c r="O3449" i="11"/>
  <c r="O3448" i="11"/>
  <c r="O3447" i="11"/>
  <c r="O3446" i="11"/>
  <c r="O3445" i="11"/>
  <c r="O3444" i="11"/>
  <c r="O3443" i="11"/>
  <c r="O3442" i="11"/>
  <c r="O3441" i="11"/>
  <c r="O3440" i="11"/>
  <c r="O3439" i="11"/>
  <c r="O3438" i="11"/>
  <c r="O3437" i="11"/>
  <c r="O3436" i="11"/>
  <c r="O3435" i="11"/>
  <c r="O3434" i="11"/>
  <c r="O3433" i="11"/>
  <c r="O3432" i="11"/>
  <c r="O3431" i="11"/>
  <c r="O3430" i="11"/>
  <c r="O3429" i="11"/>
  <c r="O3428" i="11"/>
  <c r="O3427" i="11"/>
  <c r="O3426" i="11"/>
  <c r="O3425" i="11"/>
  <c r="O3424" i="11"/>
  <c r="O3423" i="11"/>
  <c r="O3422" i="11"/>
  <c r="O3421" i="11"/>
  <c r="O3420" i="11"/>
  <c r="O3419" i="11"/>
  <c r="O3418" i="11"/>
  <c r="O3417" i="11"/>
  <c r="O3416" i="11"/>
  <c r="O3415" i="11"/>
  <c r="O3414" i="11"/>
  <c r="O3413" i="11"/>
  <c r="O3412" i="11"/>
  <c r="O3411" i="11"/>
  <c r="O3410" i="11"/>
  <c r="O3409" i="11"/>
  <c r="O3408" i="11"/>
  <c r="O3407" i="11"/>
  <c r="O3406" i="11"/>
  <c r="O3405" i="11"/>
  <c r="O3404" i="11"/>
  <c r="O3403" i="11"/>
  <c r="O3402" i="11"/>
  <c r="O3401" i="11"/>
  <c r="O3400" i="11"/>
  <c r="O3399" i="11"/>
  <c r="O3398" i="11"/>
  <c r="O3397" i="11"/>
  <c r="O3396" i="11"/>
  <c r="O3395" i="11"/>
  <c r="O3394" i="11"/>
  <c r="O3393" i="11"/>
  <c r="O3392" i="11"/>
  <c r="O3391" i="11"/>
  <c r="O3390" i="11"/>
  <c r="O3389" i="11"/>
  <c r="O3388" i="11"/>
  <c r="O3387" i="11"/>
  <c r="O3386" i="11"/>
  <c r="O3385" i="11"/>
  <c r="O3384" i="11"/>
  <c r="O3383" i="11"/>
  <c r="O3382" i="11"/>
  <c r="O3381" i="11"/>
  <c r="O3380" i="11"/>
  <c r="O3379" i="11"/>
  <c r="O3378" i="11"/>
  <c r="O3377" i="11"/>
  <c r="O3376" i="11"/>
  <c r="O3375" i="11"/>
  <c r="O3374" i="11"/>
  <c r="O3373" i="11"/>
  <c r="O3372" i="11"/>
  <c r="O3371" i="11"/>
  <c r="O3370" i="11"/>
  <c r="O3369" i="11"/>
  <c r="O3368" i="11"/>
  <c r="O3367" i="11"/>
  <c r="O3366" i="11"/>
  <c r="O3365" i="11"/>
  <c r="O3364" i="11"/>
  <c r="O3363" i="11"/>
  <c r="O3362" i="11"/>
  <c r="O3361" i="11"/>
  <c r="O3360" i="11"/>
  <c r="O3359" i="11"/>
  <c r="O3358" i="11"/>
  <c r="O3357" i="11"/>
  <c r="O3356" i="11"/>
  <c r="O3355" i="11"/>
  <c r="O3354" i="11"/>
  <c r="O3353" i="11"/>
  <c r="O3352" i="11"/>
  <c r="O3351" i="11"/>
  <c r="O3350" i="11"/>
  <c r="O3349" i="11"/>
  <c r="O3348" i="11"/>
  <c r="O3347" i="11"/>
  <c r="O3346" i="11"/>
  <c r="O3345" i="11"/>
  <c r="O3344" i="11"/>
  <c r="O3343" i="11"/>
  <c r="O3342" i="11"/>
  <c r="O3341" i="11"/>
  <c r="O3340" i="11"/>
  <c r="O3339" i="11"/>
  <c r="O3338" i="11"/>
  <c r="O3337" i="11"/>
  <c r="O3336" i="11"/>
  <c r="O3335" i="11"/>
  <c r="O3334" i="11"/>
  <c r="O3333" i="11"/>
  <c r="O3332" i="11"/>
  <c r="O3331" i="11"/>
  <c r="O3330" i="11"/>
  <c r="O3329" i="11"/>
  <c r="O3328" i="11"/>
  <c r="O3327" i="11"/>
  <c r="O3326" i="11"/>
  <c r="O3325" i="11"/>
  <c r="O3324" i="11"/>
  <c r="O3323" i="11"/>
  <c r="O3322" i="11"/>
  <c r="O3321" i="11"/>
  <c r="O3320" i="11"/>
  <c r="O3319" i="11"/>
  <c r="O3318" i="11"/>
  <c r="O3317" i="11"/>
  <c r="O3316" i="11"/>
  <c r="O3315" i="11"/>
  <c r="O3314" i="11"/>
  <c r="O3313" i="11"/>
  <c r="O3312" i="11"/>
  <c r="O3311" i="11"/>
  <c r="O3310" i="11"/>
  <c r="O3309" i="11"/>
  <c r="O3308" i="11"/>
  <c r="O3307" i="11"/>
  <c r="O3306" i="11"/>
  <c r="O3305" i="11"/>
  <c r="O3304" i="11"/>
  <c r="O3303" i="11"/>
  <c r="O3302" i="11"/>
  <c r="O3301" i="11"/>
  <c r="O3300" i="11"/>
  <c r="O3299" i="11"/>
  <c r="O3298" i="11"/>
  <c r="O3297" i="11"/>
  <c r="O3296" i="11"/>
  <c r="O3295" i="11"/>
  <c r="O3294" i="11"/>
  <c r="O3293" i="11"/>
  <c r="O3292" i="11"/>
  <c r="O3291" i="11"/>
  <c r="O3290" i="11"/>
  <c r="O3289" i="11"/>
  <c r="O3288" i="11"/>
  <c r="O3287" i="11"/>
  <c r="O3286" i="11"/>
  <c r="O3285" i="11"/>
  <c r="O3284" i="11"/>
  <c r="O3283" i="11"/>
  <c r="O3282" i="11"/>
  <c r="O3281" i="11"/>
  <c r="O3280" i="11"/>
  <c r="O3279" i="11"/>
  <c r="O3278" i="11"/>
  <c r="O3277" i="11"/>
  <c r="O3276" i="11"/>
  <c r="O3275" i="11"/>
  <c r="O3274" i="11"/>
  <c r="O3273" i="11"/>
  <c r="O3272" i="11"/>
  <c r="O3271" i="11"/>
  <c r="O3270" i="11"/>
  <c r="O3269" i="11"/>
  <c r="O3268" i="11"/>
  <c r="O3267" i="11"/>
  <c r="O3266" i="11"/>
  <c r="O3265" i="11"/>
  <c r="O3264" i="11"/>
  <c r="O3263" i="11"/>
  <c r="O3262" i="11"/>
  <c r="O3261" i="11"/>
  <c r="O3260" i="11"/>
  <c r="O3259" i="11"/>
  <c r="O3258" i="11"/>
  <c r="O3257" i="11"/>
  <c r="O3256" i="11"/>
  <c r="O3255" i="11"/>
  <c r="O3254" i="11"/>
  <c r="O3253" i="11"/>
  <c r="O3252" i="11"/>
  <c r="O3251" i="11"/>
  <c r="O3250" i="11"/>
  <c r="O3249" i="11"/>
  <c r="O3248" i="11"/>
  <c r="O3247" i="11"/>
  <c r="O3246" i="11"/>
  <c r="O3245" i="11"/>
  <c r="O3244" i="11"/>
  <c r="O3243" i="11"/>
  <c r="O3242" i="11"/>
  <c r="O3241" i="11"/>
  <c r="O3240" i="11"/>
  <c r="O3239" i="11"/>
  <c r="O3238" i="11"/>
  <c r="O3237" i="11"/>
  <c r="O3236" i="11"/>
  <c r="O3235" i="11"/>
  <c r="O3234" i="11"/>
  <c r="O3233" i="11"/>
  <c r="O3232" i="11"/>
  <c r="O3231" i="11"/>
  <c r="O3230" i="11"/>
  <c r="O3229" i="11"/>
  <c r="O3228" i="11"/>
  <c r="O3227" i="11"/>
  <c r="O3226" i="11"/>
  <c r="O3225" i="11"/>
  <c r="O3224" i="11"/>
  <c r="O3223" i="11"/>
  <c r="O3222" i="11"/>
  <c r="O3221" i="11"/>
  <c r="O3220" i="11"/>
  <c r="O3219" i="11"/>
  <c r="O3218" i="11"/>
  <c r="O3217" i="11"/>
  <c r="O3216" i="11"/>
  <c r="O3215" i="11"/>
  <c r="O3214" i="11"/>
  <c r="O3213" i="11"/>
  <c r="O3212" i="11"/>
  <c r="O3211" i="11"/>
  <c r="O3210" i="11"/>
  <c r="O3209" i="11"/>
  <c r="O3208" i="11"/>
  <c r="O3207" i="11"/>
  <c r="O3206" i="11"/>
  <c r="O3205" i="11"/>
  <c r="O3204" i="11"/>
  <c r="O3203" i="11"/>
  <c r="O3202" i="11"/>
  <c r="O3201" i="11"/>
  <c r="O3200" i="11"/>
  <c r="O3199" i="11"/>
  <c r="O3198" i="11"/>
  <c r="O3197" i="11"/>
  <c r="O3196" i="11"/>
  <c r="O3195" i="11"/>
  <c r="O3194" i="11"/>
  <c r="O3193" i="11"/>
  <c r="O3192" i="11"/>
  <c r="O3191" i="11"/>
  <c r="O3190" i="11"/>
  <c r="O3189" i="11"/>
  <c r="O3188" i="11"/>
  <c r="O3187" i="11"/>
  <c r="O3186" i="11"/>
  <c r="O3185" i="11"/>
  <c r="O3184" i="11"/>
  <c r="O3183" i="11"/>
  <c r="O3182" i="11"/>
  <c r="O3181" i="11"/>
  <c r="O3180" i="11"/>
  <c r="O3179" i="11"/>
  <c r="O3178" i="11"/>
  <c r="O3177" i="11"/>
  <c r="O3176" i="11"/>
  <c r="O3175" i="11"/>
  <c r="O3174" i="11"/>
  <c r="O3173" i="11"/>
  <c r="O3172" i="11"/>
  <c r="O3171" i="11"/>
  <c r="O3170" i="11"/>
  <c r="O3169" i="11"/>
  <c r="O3168" i="11"/>
  <c r="O3167" i="11"/>
  <c r="O3166" i="11"/>
  <c r="O3165" i="11"/>
  <c r="O3164" i="11"/>
  <c r="O3163" i="11"/>
  <c r="O3162" i="11"/>
  <c r="O3161" i="11"/>
  <c r="O3160" i="11"/>
  <c r="O3159" i="11"/>
  <c r="O3158" i="11"/>
  <c r="O3157" i="11"/>
  <c r="O3156" i="11"/>
  <c r="O3155" i="11"/>
  <c r="O3154" i="11"/>
  <c r="O3153" i="11"/>
  <c r="O3152" i="11"/>
  <c r="O3151" i="11"/>
  <c r="O3150" i="11"/>
  <c r="O3149" i="11"/>
  <c r="O3148" i="11"/>
  <c r="O3147" i="11"/>
  <c r="O3146" i="11"/>
  <c r="O3145" i="11"/>
  <c r="O3144" i="11"/>
  <c r="O3143" i="11"/>
  <c r="O3142" i="11"/>
  <c r="O3141" i="11"/>
  <c r="O3140" i="11"/>
  <c r="O3139" i="11"/>
  <c r="O3138" i="11"/>
  <c r="O3137" i="11"/>
  <c r="O3136" i="11"/>
  <c r="O3135" i="11"/>
  <c r="O3134" i="11"/>
  <c r="O3133" i="11"/>
  <c r="O3132" i="11"/>
  <c r="O3131" i="11"/>
  <c r="O3130" i="11"/>
  <c r="O3129" i="11"/>
  <c r="O3128" i="11"/>
  <c r="O3127" i="11"/>
  <c r="O3126" i="11"/>
  <c r="O3125" i="11"/>
  <c r="O3124" i="11"/>
  <c r="O3123" i="11"/>
  <c r="O3122" i="11"/>
  <c r="O3121" i="11"/>
  <c r="O3120" i="11"/>
  <c r="O3119" i="11"/>
  <c r="O3118" i="11"/>
  <c r="O3117" i="11"/>
  <c r="O3116" i="11"/>
  <c r="O3115" i="11"/>
  <c r="O3114" i="11"/>
  <c r="O3113" i="11"/>
  <c r="O3112" i="11"/>
  <c r="O3111" i="11"/>
  <c r="O3110" i="11"/>
  <c r="O3109" i="11"/>
  <c r="O3108" i="11"/>
  <c r="O3107" i="11"/>
  <c r="O3106" i="11"/>
  <c r="O3105" i="11"/>
  <c r="O3104" i="11"/>
  <c r="O3103" i="11"/>
  <c r="O3102" i="11"/>
  <c r="O3101" i="11"/>
  <c r="O3100" i="11"/>
  <c r="O3099" i="11"/>
  <c r="O3098" i="11"/>
  <c r="O3097" i="11"/>
  <c r="O3096" i="11"/>
  <c r="O3095" i="11"/>
  <c r="O3094" i="11"/>
  <c r="O3093" i="11"/>
  <c r="O3092" i="11"/>
  <c r="O3091" i="11"/>
  <c r="O3090" i="11"/>
  <c r="O3089" i="11"/>
  <c r="O3088" i="11"/>
  <c r="O3087" i="11"/>
  <c r="O3086" i="11"/>
  <c r="O3085" i="11"/>
  <c r="O3084" i="11"/>
  <c r="O3083" i="11"/>
  <c r="O3082" i="11"/>
  <c r="O3081" i="11"/>
  <c r="O3080" i="11"/>
  <c r="O3079" i="11"/>
  <c r="O3078" i="11"/>
  <c r="O3077" i="11"/>
  <c r="O3076" i="11"/>
  <c r="O3075" i="11"/>
  <c r="O3074" i="11"/>
  <c r="O3073" i="11"/>
  <c r="O3072" i="11"/>
  <c r="O3071" i="11"/>
  <c r="O3070" i="11"/>
  <c r="O3069" i="11"/>
  <c r="O3068" i="11"/>
  <c r="O3067" i="11"/>
  <c r="O3066" i="11"/>
  <c r="O3065" i="11"/>
  <c r="O3064" i="11"/>
  <c r="O3063" i="11"/>
  <c r="O3062" i="11"/>
  <c r="O3061" i="11"/>
  <c r="O3060" i="11"/>
  <c r="O3059" i="11"/>
  <c r="O3058" i="11"/>
  <c r="O3057" i="11"/>
  <c r="O3056" i="11"/>
  <c r="O3055" i="11"/>
  <c r="O3054" i="11"/>
  <c r="O3053" i="11"/>
  <c r="O3052" i="11"/>
  <c r="O3051" i="11"/>
  <c r="O3050" i="11"/>
  <c r="O3049" i="11"/>
  <c r="O3048" i="11"/>
  <c r="O3047" i="11"/>
  <c r="O3046" i="11"/>
  <c r="O3045" i="11"/>
  <c r="O3044" i="11"/>
  <c r="O3043" i="11"/>
  <c r="O3042" i="11"/>
  <c r="O3041" i="11"/>
  <c r="O3040" i="11"/>
  <c r="O3039" i="11"/>
  <c r="O3038" i="11"/>
  <c r="O3037" i="11"/>
  <c r="O3036" i="11"/>
  <c r="O3035" i="11"/>
  <c r="O3034" i="11"/>
  <c r="O3033" i="11"/>
  <c r="O3032" i="11"/>
  <c r="O3031" i="11"/>
  <c r="O3030" i="11"/>
  <c r="O3029" i="11"/>
  <c r="O3028" i="11"/>
  <c r="O3027" i="11"/>
  <c r="O3026" i="11"/>
  <c r="O3025" i="11"/>
  <c r="O3024" i="11"/>
  <c r="O3023" i="11"/>
  <c r="O3022" i="11"/>
  <c r="O3021" i="11"/>
  <c r="O3020" i="11"/>
  <c r="O3019" i="11"/>
  <c r="O3018" i="11"/>
  <c r="O3017" i="11"/>
  <c r="O3016" i="11"/>
  <c r="O3015" i="11"/>
  <c r="O3014" i="11"/>
  <c r="O3013" i="11"/>
  <c r="O3012" i="11"/>
  <c r="O3011" i="11"/>
  <c r="O3010" i="11"/>
  <c r="O3009" i="11"/>
  <c r="O3008" i="11"/>
  <c r="O3007" i="11"/>
  <c r="O3006" i="11"/>
  <c r="O3005" i="11"/>
  <c r="O3004" i="11"/>
  <c r="O3003" i="11"/>
  <c r="O3002" i="11"/>
  <c r="O3001" i="11"/>
  <c r="O3000" i="11"/>
  <c r="O2999" i="11"/>
  <c r="O2998" i="11"/>
  <c r="O2997" i="11"/>
  <c r="O2996" i="11"/>
  <c r="O2995" i="11"/>
  <c r="O2994" i="11"/>
  <c r="O2993" i="11"/>
  <c r="O2992" i="11"/>
  <c r="O2991" i="11"/>
  <c r="O2990" i="11"/>
  <c r="O2989" i="11"/>
  <c r="O2988" i="11"/>
  <c r="O2987" i="11"/>
  <c r="O2986" i="11"/>
  <c r="O2985" i="11"/>
  <c r="O2984" i="11"/>
  <c r="O2983" i="11"/>
  <c r="O2982" i="11"/>
  <c r="O2981" i="11"/>
  <c r="O2980" i="11"/>
  <c r="O2979" i="11"/>
  <c r="O2978" i="11"/>
  <c r="O2977" i="11"/>
  <c r="O2976" i="11"/>
  <c r="O2975" i="11"/>
  <c r="O2974" i="11"/>
  <c r="O2973" i="11"/>
  <c r="O2972" i="11"/>
  <c r="O2971" i="11"/>
  <c r="O2970" i="11"/>
  <c r="O2969" i="11"/>
  <c r="O2968" i="11"/>
  <c r="O2967" i="11"/>
  <c r="O2966" i="11"/>
  <c r="O2965" i="11"/>
  <c r="O2964" i="11"/>
  <c r="O2963" i="11"/>
  <c r="O2962" i="11"/>
  <c r="O2961" i="11"/>
  <c r="O2960" i="11"/>
  <c r="O2959" i="11"/>
  <c r="O2958" i="11"/>
  <c r="O2957" i="11"/>
  <c r="O2956" i="11"/>
  <c r="O2955" i="11"/>
  <c r="O2954" i="11"/>
  <c r="O2953" i="11"/>
  <c r="O2952" i="11"/>
  <c r="O2951" i="11"/>
  <c r="O2950" i="11"/>
  <c r="O2949" i="11"/>
  <c r="O2948" i="11"/>
  <c r="O2947" i="11"/>
  <c r="O2946" i="11"/>
  <c r="O2945" i="11"/>
  <c r="O2944" i="11"/>
  <c r="O2943" i="11"/>
  <c r="O2942" i="11"/>
  <c r="O2941" i="11"/>
  <c r="O2940" i="11"/>
  <c r="O2939" i="11"/>
  <c r="O2938" i="11"/>
  <c r="O2937" i="11"/>
  <c r="O2936" i="11"/>
  <c r="O2935" i="11"/>
  <c r="O2934" i="11"/>
  <c r="O2933" i="11"/>
  <c r="O2932" i="11"/>
  <c r="O2931" i="11"/>
  <c r="O2930" i="11"/>
  <c r="O2929" i="11"/>
  <c r="O2928" i="11"/>
  <c r="O2927" i="11"/>
  <c r="O2926" i="11"/>
  <c r="O2925" i="11"/>
  <c r="O2924" i="11"/>
  <c r="O2923" i="11"/>
  <c r="O2922" i="11"/>
  <c r="O2921" i="11"/>
  <c r="O2920" i="11"/>
  <c r="O2919" i="11"/>
  <c r="O2918" i="11"/>
  <c r="O2917" i="11"/>
  <c r="O2916" i="11"/>
  <c r="O2915" i="11"/>
  <c r="O2914" i="11"/>
  <c r="O2913" i="11"/>
  <c r="O2912" i="11"/>
  <c r="O2911" i="11"/>
  <c r="O2910" i="11"/>
  <c r="O2909" i="11"/>
  <c r="O2908" i="11"/>
  <c r="O2907" i="11"/>
  <c r="O2906" i="11"/>
  <c r="O2905" i="11"/>
  <c r="O2904" i="11"/>
  <c r="O2903" i="11"/>
  <c r="O2902" i="11"/>
  <c r="O2901" i="11"/>
  <c r="O2900" i="11"/>
  <c r="O2899" i="11"/>
  <c r="O2898" i="11"/>
  <c r="O2897" i="11"/>
  <c r="O2896" i="11"/>
  <c r="O2895" i="11"/>
  <c r="O2894" i="11"/>
  <c r="O2893" i="11"/>
  <c r="O2892" i="11"/>
  <c r="O2891" i="11"/>
  <c r="O2890" i="11"/>
  <c r="O2889" i="11"/>
  <c r="O2888" i="11"/>
  <c r="O2887" i="11"/>
  <c r="O2886" i="11"/>
  <c r="O2885" i="11"/>
  <c r="O2884" i="11"/>
  <c r="O2883" i="11"/>
  <c r="O2882" i="11"/>
  <c r="O2881" i="11"/>
  <c r="O2880" i="11"/>
  <c r="O2879" i="11"/>
  <c r="O2878" i="11"/>
  <c r="O2877" i="11"/>
  <c r="O2876" i="11"/>
  <c r="O2875" i="11"/>
  <c r="O2874" i="11"/>
  <c r="O2873" i="11"/>
  <c r="O2872" i="11"/>
  <c r="O2871" i="11"/>
  <c r="O2870" i="11"/>
  <c r="O2869" i="11"/>
  <c r="O2868" i="11"/>
  <c r="O2867" i="11"/>
  <c r="O2866" i="11"/>
  <c r="O2865" i="11"/>
  <c r="O2864" i="11"/>
  <c r="O2863" i="11"/>
  <c r="O2862" i="11"/>
  <c r="O2861" i="11"/>
  <c r="O2860" i="11"/>
  <c r="O2859" i="11"/>
  <c r="O2858" i="11"/>
  <c r="O2857" i="11"/>
  <c r="O2856" i="11"/>
  <c r="O2855" i="11"/>
  <c r="O2854" i="11"/>
  <c r="O2853" i="11"/>
  <c r="O2852" i="11"/>
  <c r="O2851" i="11"/>
  <c r="O2850" i="11"/>
  <c r="O2849" i="11"/>
  <c r="O2848" i="11"/>
  <c r="O2847" i="11"/>
  <c r="O2846" i="11"/>
  <c r="O2845" i="11"/>
  <c r="O2844" i="11"/>
  <c r="O2843" i="11"/>
  <c r="O2842" i="11"/>
  <c r="O2841" i="11"/>
  <c r="O2840" i="11"/>
  <c r="O2839" i="11"/>
  <c r="O2838" i="11"/>
  <c r="O2837" i="11"/>
  <c r="O2836" i="11"/>
  <c r="O2835" i="11"/>
  <c r="O2834" i="11"/>
  <c r="O2833" i="11"/>
  <c r="O2832" i="11"/>
  <c r="O2831" i="11"/>
  <c r="O2830" i="11"/>
  <c r="O2829" i="11"/>
  <c r="O2828" i="11"/>
  <c r="O2827" i="11"/>
  <c r="O2826" i="11"/>
  <c r="O2825" i="11"/>
  <c r="O2824" i="11"/>
  <c r="O2823" i="11"/>
  <c r="O2822" i="11"/>
  <c r="O2821" i="11"/>
  <c r="O2820" i="11"/>
  <c r="O2819" i="11"/>
  <c r="O2818" i="11"/>
  <c r="O2817" i="11"/>
  <c r="O2816" i="11"/>
  <c r="O2815" i="11"/>
  <c r="O2814" i="11"/>
  <c r="O2813" i="11"/>
  <c r="O2812" i="11"/>
  <c r="O2811" i="11"/>
  <c r="O2810" i="11"/>
  <c r="O2809" i="11"/>
  <c r="O2808" i="11"/>
  <c r="O2807" i="11"/>
  <c r="O2806" i="11"/>
  <c r="O2805" i="11"/>
  <c r="O2804" i="11"/>
  <c r="O2803" i="11"/>
  <c r="O2802" i="11"/>
  <c r="O2801" i="11"/>
  <c r="O2800" i="11"/>
  <c r="O2799" i="11"/>
  <c r="O2798" i="11"/>
  <c r="O2797" i="11"/>
  <c r="O2796" i="11"/>
  <c r="O2795" i="11"/>
  <c r="O2794" i="11"/>
  <c r="O2793" i="11"/>
  <c r="O2792" i="11"/>
  <c r="O2791" i="11"/>
  <c r="O2790" i="11"/>
  <c r="O2789" i="11"/>
  <c r="O2788" i="11"/>
  <c r="O2787" i="11"/>
  <c r="O2786" i="11"/>
  <c r="O2785" i="11"/>
  <c r="O2784" i="11"/>
  <c r="O2783" i="11"/>
  <c r="O2782" i="11"/>
  <c r="O2781" i="11"/>
  <c r="O2780" i="11"/>
  <c r="O2779" i="11"/>
  <c r="O2778" i="11"/>
  <c r="O2777" i="11"/>
  <c r="O2776" i="11"/>
  <c r="O2775" i="11"/>
  <c r="O2774" i="11"/>
  <c r="O2773" i="11"/>
  <c r="O2772" i="11"/>
  <c r="O2771" i="11"/>
  <c r="O2770" i="11"/>
  <c r="O2769" i="11"/>
  <c r="O2768" i="11"/>
  <c r="O2767" i="11"/>
  <c r="O2766" i="11"/>
  <c r="O2765" i="11"/>
  <c r="O2764" i="11"/>
  <c r="O2763" i="11"/>
  <c r="O2762" i="11"/>
  <c r="O2761" i="11"/>
  <c r="O2760" i="11"/>
  <c r="O2759" i="11"/>
  <c r="O2758" i="11"/>
  <c r="O2757" i="11"/>
  <c r="O2756" i="11"/>
  <c r="O2755" i="11"/>
  <c r="O2754" i="11"/>
  <c r="O2753" i="11"/>
  <c r="O2752" i="11"/>
  <c r="O2751" i="11"/>
  <c r="O2750" i="11"/>
  <c r="O2749" i="11"/>
  <c r="O2748" i="11"/>
  <c r="O2747" i="11"/>
  <c r="O2746" i="11"/>
  <c r="O2745" i="11"/>
  <c r="O2744" i="11"/>
  <c r="O2743" i="11"/>
  <c r="O2742" i="11"/>
  <c r="O2741" i="11"/>
  <c r="O2740" i="11"/>
  <c r="O2739" i="11"/>
  <c r="O2738" i="11"/>
  <c r="O2737" i="11"/>
  <c r="O2736" i="11"/>
  <c r="O2735" i="11"/>
  <c r="O2734" i="11"/>
  <c r="O2733" i="11"/>
  <c r="O2732" i="11"/>
  <c r="O2731" i="11"/>
  <c r="O2730" i="11"/>
  <c r="O2729" i="11"/>
  <c r="O2728" i="11"/>
  <c r="O2727" i="11"/>
  <c r="O2726" i="11"/>
  <c r="O2725" i="11"/>
  <c r="O2724" i="11"/>
  <c r="O2723" i="11"/>
  <c r="O2722" i="11"/>
  <c r="O2721" i="11"/>
  <c r="O2720" i="11"/>
  <c r="O2719" i="11"/>
  <c r="O2718" i="11"/>
  <c r="O2717" i="11"/>
  <c r="O2716" i="11"/>
  <c r="O2715" i="11"/>
  <c r="O2714" i="11"/>
  <c r="O2713" i="11"/>
  <c r="O2712" i="11"/>
  <c r="O2711" i="11"/>
  <c r="O2710" i="11"/>
  <c r="O2709" i="11"/>
  <c r="O2708" i="11"/>
  <c r="O2707" i="11"/>
  <c r="O2706" i="11"/>
  <c r="O2705" i="11"/>
  <c r="O2704" i="11"/>
  <c r="O2703" i="11"/>
  <c r="O2702" i="11"/>
  <c r="O2701" i="11"/>
  <c r="O2700" i="11"/>
  <c r="O2699" i="11"/>
  <c r="O2698" i="11"/>
  <c r="O2697" i="11"/>
  <c r="O2696" i="11"/>
  <c r="O2695" i="11"/>
  <c r="O2694" i="11"/>
  <c r="O2693" i="11"/>
  <c r="O2692" i="11"/>
  <c r="O2691" i="11"/>
  <c r="O2690" i="11"/>
  <c r="O2689" i="11"/>
  <c r="O2688" i="11"/>
  <c r="O2687" i="11"/>
  <c r="O2686" i="11"/>
  <c r="O2685" i="11"/>
  <c r="O2684" i="11"/>
  <c r="O2683" i="11"/>
  <c r="O2682" i="11"/>
  <c r="O2681" i="11"/>
  <c r="O2680" i="11"/>
  <c r="O2679" i="11"/>
  <c r="O2678" i="11"/>
  <c r="O2677" i="11"/>
  <c r="O2676" i="11"/>
  <c r="O2675" i="11"/>
  <c r="O2674" i="11"/>
  <c r="O2673" i="11"/>
  <c r="O2672" i="11"/>
  <c r="O2671" i="11"/>
  <c r="O2670" i="11"/>
  <c r="O2669" i="11"/>
  <c r="O2668" i="11"/>
  <c r="O2667" i="11"/>
  <c r="O2666" i="11"/>
  <c r="O2665" i="11"/>
  <c r="O2664" i="11"/>
  <c r="O2663" i="11"/>
  <c r="O2662" i="11"/>
  <c r="O2661" i="11"/>
  <c r="O2660" i="11"/>
  <c r="O2659" i="11"/>
  <c r="O2658" i="11"/>
  <c r="O2657" i="11"/>
  <c r="O2656" i="11"/>
  <c r="O2655" i="11"/>
  <c r="O2654" i="11"/>
  <c r="O2653" i="11"/>
  <c r="O2652" i="11"/>
  <c r="O2651" i="11"/>
  <c r="O2650" i="11"/>
  <c r="O2649" i="11"/>
  <c r="O2648" i="11"/>
  <c r="O2647" i="11"/>
  <c r="O2646" i="11"/>
  <c r="O2645" i="11"/>
  <c r="O2644" i="11"/>
  <c r="O2643" i="11"/>
  <c r="O2642" i="11"/>
  <c r="O2641" i="11"/>
  <c r="O2640" i="11"/>
  <c r="O2639" i="11"/>
  <c r="O2638" i="11"/>
  <c r="O2637" i="11"/>
  <c r="O2636" i="11"/>
  <c r="O2635" i="11"/>
  <c r="O2634" i="11"/>
  <c r="O2633" i="11"/>
  <c r="O2632" i="11"/>
  <c r="O2631" i="11"/>
  <c r="O2630" i="11"/>
  <c r="O2629" i="11"/>
  <c r="O2628" i="11"/>
  <c r="O2627" i="11"/>
  <c r="O2626" i="11"/>
  <c r="O2625" i="11"/>
  <c r="O2624" i="11"/>
  <c r="O2623" i="11"/>
  <c r="O2622" i="11"/>
  <c r="O2621" i="11"/>
  <c r="O2620" i="11"/>
  <c r="O2619" i="11"/>
  <c r="O2618" i="11"/>
  <c r="O2617" i="11"/>
  <c r="O2616" i="11"/>
  <c r="O2615" i="11"/>
  <c r="O2614" i="11"/>
  <c r="O2613" i="11"/>
  <c r="O2612" i="11"/>
  <c r="O2611" i="11"/>
  <c r="O2610" i="11"/>
  <c r="O2609" i="11"/>
  <c r="O2608" i="11"/>
  <c r="O2607" i="11"/>
  <c r="O2606" i="11"/>
  <c r="O2605" i="11"/>
  <c r="O2604" i="11"/>
  <c r="O2603" i="11"/>
  <c r="O2602" i="11"/>
  <c r="O2601" i="11"/>
  <c r="O2600" i="11"/>
  <c r="O2599" i="11"/>
  <c r="O2598" i="11"/>
  <c r="O2597" i="11"/>
  <c r="O2596" i="11"/>
  <c r="O2595" i="11"/>
  <c r="O2594" i="11"/>
  <c r="O2593" i="11"/>
  <c r="O2592" i="11"/>
  <c r="O2591" i="11"/>
  <c r="O2590" i="11"/>
  <c r="O2589" i="11"/>
  <c r="O2588" i="11"/>
  <c r="O2587" i="11"/>
  <c r="O2586" i="11"/>
  <c r="O2585" i="11"/>
  <c r="O2584" i="11"/>
  <c r="O2583" i="11"/>
  <c r="O2582" i="11"/>
  <c r="O2581" i="11"/>
  <c r="O2580" i="11"/>
  <c r="O2579" i="11"/>
  <c r="O2578" i="11"/>
  <c r="O2577" i="11"/>
  <c r="O2576" i="11"/>
  <c r="O2575" i="11"/>
  <c r="O2574" i="11"/>
  <c r="O2573" i="11"/>
  <c r="O2572" i="11"/>
  <c r="O2571" i="11"/>
  <c r="O2570" i="11"/>
  <c r="O2569" i="11"/>
  <c r="O2568" i="11"/>
  <c r="O2567" i="11"/>
  <c r="O2566" i="11"/>
  <c r="O2565" i="11"/>
  <c r="O2564" i="11"/>
  <c r="O2563" i="11"/>
  <c r="O2562" i="11"/>
  <c r="O2561" i="11"/>
  <c r="O2560" i="11"/>
  <c r="O2559" i="11"/>
  <c r="O2558" i="11"/>
  <c r="O2557" i="11"/>
  <c r="O2556" i="11"/>
  <c r="O2555" i="11"/>
  <c r="O2554" i="11"/>
  <c r="O2553" i="11"/>
  <c r="O2552" i="11"/>
  <c r="O2551" i="11"/>
  <c r="O2550" i="11"/>
  <c r="O2549" i="11"/>
  <c r="O2548" i="11"/>
  <c r="O2547" i="11"/>
  <c r="O2546" i="11"/>
  <c r="O2545" i="11"/>
  <c r="O2544" i="11"/>
  <c r="O2543" i="11"/>
  <c r="O2542" i="11"/>
  <c r="O2541" i="11"/>
  <c r="O2540" i="11"/>
  <c r="O2539" i="11"/>
  <c r="O2538" i="11"/>
  <c r="O2537" i="11"/>
  <c r="O2536" i="11"/>
  <c r="O2535" i="11"/>
  <c r="O2534" i="11"/>
  <c r="O2533" i="11"/>
  <c r="O2532" i="11"/>
  <c r="O2531" i="11"/>
  <c r="O2530" i="11"/>
  <c r="O2529" i="11"/>
  <c r="O2528" i="11"/>
  <c r="O2527" i="11"/>
  <c r="O2526" i="11"/>
  <c r="O2525" i="11"/>
  <c r="O2524" i="11"/>
  <c r="O2523" i="11"/>
  <c r="O2522" i="11"/>
  <c r="O2521" i="11"/>
  <c r="O2520" i="11"/>
  <c r="O2519" i="11"/>
  <c r="O2518" i="11"/>
  <c r="O2517" i="11"/>
  <c r="O2516" i="11"/>
  <c r="O2515" i="11"/>
  <c r="O2514" i="11"/>
  <c r="O2513" i="11"/>
  <c r="O2512" i="11"/>
  <c r="O2511" i="11"/>
  <c r="O2510" i="11"/>
  <c r="O2509" i="11"/>
  <c r="O2508" i="11"/>
  <c r="O2507" i="11"/>
  <c r="O2506" i="11"/>
  <c r="O2505" i="11"/>
  <c r="O2504" i="11"/>
  <c r="O2503" i="11"/>
  <c r="O2502" i="11"/>
  <c r="O2501" i="11"/>
  <c r="O2500" i="11"/>
  <c r="O2499" i="11"/>
  <c r="O2498" i="11"/>
  <c r="O2497" i="11"/>
  <c r="O2496" i="11"/>
  <c r="O2495" i="11"/>
  <c r="O2494" i="11"/>
  <c r="O2493" i="11"/>
  <c r="O2492" i="11"/>
  <c r="O2491" i="11"/>
  <c r="O2490" i="11"/>
  <c r="O2489" i="11"/>
  <c r="O2488" i="11"/>
  <c r="O2487" i="11"/>
  <c r="O2486" i="11"/>
  <c r="O2485" i="11"/>
  <c r="O2484" i="11"/>
  <c r="O2483" i="11"/>
  <c r="O2482" i="11"/>
  <c r="O2481" i="11"/>
  <c r="O2480" i="11"/>
  <c r="O2479" i="11"/>
  <c r="O2478" i="11"/>
  <c r="O2477" i="11"/>
  <c r="O2476" i="11"/>
  <c r="O2475" i="11"/>
  <c r="O2474" i="11"/>
  <c r="O2473" i="11"/>
  <c r="O2472" i="11"/>
  <c r="O2471" i="11"/>
  <c r="O2470" i="11"/>
  <c r="O2469" i="11"/>
  <c r="O2468" i="11"/>
  <c r="O2467" i="11"/>
  <c r="O2466" i="11"/>
  <c r="O2465" i="11"/>
  <c r="O2464" i="11"/>
  <c r="O2463" i="11"/>
  <c r="O2462" i="11"/>
  <c r="O2461" i="11"/>
  <c r="O2460" i="11"/>
  <c r="O2459" i="11"/>
  <c r="O2458" i="11"/>
  <c r="O2457" i="11"/>
  <c r="O2456" i="11"/>
  <c r="O2455" i="11"/>
  <c r="O2454" i="11"/>
  <c r="O2453" i="11"/>
  <c r="O2452" i="11"/>
  <c r="O2451" i="11"/>
  <c r="O2450" i="11"/>
  <c r="O2449" i="11"/>
  <c r="O2448" i="11"/>
  <c r="O2447" i="11"/>
  <c r="O2446" i="11"/>
  <c r="O2445" i="11"/>
  <c r="O2444" i="11"/>
  <c r="O2443" i="11"/>
  <c r="O2442" i="11"/>
  <c r="O2441" i="11"/>
  <c r="O2440" i="11"/>
  <c r="O2439" i="11"/>
  <c r="O2438" i="11"/>
  <c r="O2437" i="11"/>
  <c r="O2436" i="11"/>
  <c r="O2435" i="11"/>
  <c r="O2434" i="11"/>
  <c r="O2433" i="11"/>
  <c r="O2432" i="11"/>
  <c r="O2431" i="11"/>
  <c r="O2430" i="11"/>
  <c r="O2429" i="11"/>
  <c r="O2428" i="11"/>
  <c r="O2427" i="11"/>
  <c r="O2426" i="11"/>
  <c r="O2425" i="11"/>
  <c r="O2424" i="11"/>
  <c r="O2423" i="11"/>
  <c r="O2422" i="11"/>
  <c r="O2421" i="11"/>
  <c r="O2420" i="11"/>
  <c r="O2419" i="11"/>
  <c r="O2418" i="11"/>
  <c r="O2417" i="11"/>
  <c r="O2416" i="11"/>
  <c r="O2415" i="11"/>
  <c r="O2414" i="11"/>
  <c r="O2413" i="11"/>
  <c r="O2412" i="11"/>
  <c r="O2411" i="11"/>
  <c r="O2410" i="11"/>
  <c r="O2409" i="11"/>
  <c r="O2408" i="11"/>
  <c r="O2407" i="11"/>
  <c r="O2406" i="11"/>
  <c r="O2405" i="11"/>
  <c r="O2404" i="11"/>
  <c r="O2403" i="11"/>
  <c r="O2402" i="11"/>
  <c r="O2401" i="11"/>
  <c r="O2400" i="11"/>
  <c r="O2399" i="11"/>
  <c r="O2398" i="11"/>
  <c r="O2397" i="11"/>
  <c r="O2396" i="11"/>
  <c r="O2395" i="11"/>
  <c r="O2394" i="11"/>
  <c r="O2393" i="11"/>
  <c r="O2392" i="11"/>
  <c r="O2391" i="11"/>
  <c r="O2390" i="11"/>
  <c r="O2389" i="11"/>
  <c r="O2388" i="11"/>
  <c r="O2387" i="11"/>
  <c r="O2386" i="11"/>
  <c r="O2385" i="11"/>
  <c r="O2384" i="11"/>
  <c r="O2383" i="11"/>
  <c r="O2382" i="11"/>
  <c r="O2381" i="11"/>
  <c r="O2380" i="11"/>
  <c r="O2379" i="11"/>
  <c r="O2378" i="11"/>
  <c r="O2377" i="11"/>
  <c r="O2376" i="11"/>
  <c r="O2375" i="11"/>
  <c r="O2374" i="11"/>
  <c r="O2373" i="11"/>
  <c r="O2372" i="11"/>
  <c r="O2371" i="11"/>
  <c r="O2370" i="11"/>
  <c r="O2369" i="11"/>
  <c r="O2368" i="11"/>
  <c r="O2367" i="11"/>
  <c r="O2366" i="11"/>
  <c r="O2365" i="11"/>
  <c r="O2364" i="11"/>
  <c r="O2363" i="11"/>
  <c r="O2362" i="11"/>
  <c r="O2361" i="11"/>
  <c r="O2360" i="11"/>
  <c r="O2359" i="11"/>
  <c r="O2358" i="11"/>
  <c r="O2357" i="11"/>
  <c r="O2356" i="11"/>
  <c r="O2355" i="11"/>
  <c r="O2354" i="11"/>
  <c r="O2353" i="11"/>
  <c r="O2352" i="11"/>
  <c r="O2351" i="11"/>
  <c r="O2350" i="11"/>
  <c r="O2349" i="11"/>
  <c r="O2348" i="11"/>
  <c r="O2347" i="11"/>
  <c r="O2346" i="11"/>
  <c r="O2345" i="11"/>
  <c r="O2344" i="11"/>
  <c r="O2343" i="11"/>
  <c r="O2342" i="11"/>
  <c r="O2341" i="11"/>
  <c r="O2340" i="11"/>
  <c r="O2339" i="11"/>
  <c r="O2338" i="11"/>
  <c r="O2337" i="11"/>
  <c r="O2336" i="11"/>
  <c r="O2335" i="11"/>
  <c r="O2334" i="11"/>
  <c r="O2333" i="11"/>
  <c r="O2332" i="11"/>
  <c r="O2331" i="11"/>
  <c r="O2330" i="11"/>
  <c r="O2329" i="11"/>
  <c r="O2328" i="11"/>
  <c r="O2327" i="11"/>
  <c r="O2326" i="11"/>
  <c r="O2325" i="11"/>
  <c r="O2324" i="11"/>
  <c r="O2323" i="11"/>
  <c r="O2322" i="11"/>
  <c r="O2321" i="11"/>
  <c r="O2320" i="11"/>
  <c r="O2319" i="11"/>
  <c r="O2318" i="11"/>
  <c r="O2317" i="11"/>
  <c r="O2316" i="11"/>
  <c r="O2315" i="11"/>
  <c r="O2314" i="11"/>
  <c r="O2313" i="11"/>
  <c r="O2312" i="11"/>
  <c r="O2311" i="11"/>
  <c r="O2310" i="11"/>
  <c r="O2309" i="11"/>
  <c r="O2308" i="11"/>
  <c r="O2307" i="11"/>
  <c r="O2306" i="11"/>
  <c r="O2305" i="11"/>
  <c r="O2304" i="11"/>
  <c r="O2303" i="11"/>
  <c r="O2302" i="11"/>
  <c r="O2301" i="11"/>
  <c r="O2300" i="11"/>
  <c r="O2299" i="11"/>
  <c r="O2298" i="11"/>
  <c r="O2297" i="11"/>
  <c r="O2296" i="11"/>
  <c r="O2295" i="11"/>
  <c r="O2294" i="11"/>
  <c r="O2293" i="11"/>
  <c r="O2292" i="11"/>
  <c r="O2291" i="11"/>
  <c r="O2290" i="11"/>
  <c r="O2289" i="11"/>
  <c r="O2288" i="11"/>
  <c r="O2287" i="11"/>
  <c r="O2286" i="11"/>
  <c r="O2285" i="11"/>
  <c r="O2284" i="11"/>
  <c r="O2283" i="11"/>
  <c r="O2282" i="11"/>
  <c r="O2281" i="11"/>
  <c r="O2280" i="11"/>
  <c r="O2279" i="11"/>
  <c r="O2278" i="11"/>
  <c r="O2277" i="11"/>
  <c r="O2276" i="11"/>
  <c r="O2275" i="11"/>
  <c r="O2274" i="11"/>
  <c r="O2273" i="11"/>
  <c r="O2272" i="11"/>
  <c r="O2271" i="11"/>
  <c r="O2270" i="11"/>
  <c r="O2269" i="11"/>
  <c r="O2268" i="11"/>
  <c r="O2267" i="11"/>
  <c r="O2266" i="11"/>
  <c r="O2265" i="11"/>
  <c r="O2264" i="11"/>
  <c r="O2263" i="11"/>
  <c r="O2262" i="11"/>
  <c r="O2261" i="11"/>
  <c r="O2260" i="11"/>
  <c r="O2259" i="11"/>
  <c r="O2258" i="11"/>
  <c r="O2257" i="11"/>
  <c r="O2256" i="11"/>
  <c r="O2255" i="11"/>
  <c r="O2254" i="11"/>
  <c r="O2253" i="11"/>
  <c r="O2252" i="11"/>
  <c r="O2251" i="11"/>
  <c r="O2250" i="11"/>
  <c r="O2249" i="11"/>
  <c r="O2248" i="11"/>
  <c r="O2247" i="11"/>
  <c r="O2246" i="11"/>
  <c r="O2245" i="11"/>
  <c r="O2244" i="11"/>
  <c r="O2243" i="11"/>
  <c r="O2242" i="11"/>
  <c r="O2241" i="11"/>
  <c r="O2240" i="11"/>
  <c r="O2239" i="11"/>
  <c r="O2238" i="11"/>
  <c r="O2237" i="11"/>
  <c r="O2236" i="11"/>
  <c r="O2235" i="11"/>
  <c r="O2234" i="11"/>
  <c r="O2233" i="11"/>
  <c r="O2232" i="11"/>
  <c r="O2231" i="11"/>
  <c r="O2230" i="11"/>
  <c r="O2229" i="11"/>
  <c r="O2228" i="11"/>
  <c r="O2227" i="11"/>
  <c r="O2226" i="11"/>
  <c r="O2225" i="11"/>
  <c r="O2224" i="11"/>
  <c r="O2223" i="11"/>
  <c r="O2222" i="11"/>
  <c r="O2221" i="11"/>
  <c r="O2220" i="11"/>
  <c r="O2219" i="11"/>
  <c r="O2218" i="11"/>
  <c r="O2217" i="11"/>
  <c r="O2216" i="11"/>
  <c r="O2215" i="11"/>
  <c r="O2214" i="11"/>
  <c r="O2213" i="11"/>
  <c r="O2212" i="11"/>
  <c r="O2211" i="11"/>
  <c r="O2210" i="11"/>
  <c r="O2209" i="11"/>
  <c r="O2208" i="11"/>
  <c r="O2207" i="11"/>
  <c r="O2206" i="11"/>
  <c r="O2205" i="11"/>
  <c r="O2204" i="11"/>
  <c r="O2203" i="11"/>
  <c r="O2202" i="11"/>
  <c r="O2201" i="11"/>
  <c r="O2200" i="11"/>
  <c r="O2199" i="11"/>
  <c r="O2198" i="11"/>
  <c r="O2197" i="11"/>
  <c r="O2196" i="11"/>
  <c r="O2195" i="11"/>
  <c r="O2194" i="11"/>
  <c r="O2193" i="11"/>
  <c r="O2192" i="11"/>
  <c r="O2191" i="11"/>
  <c r="O2190" i="11"/>
  <c r="O2189" i="11"/>
  <c r="O2188" i="11"/>
  <c r="O2187" i="11"/>
  <c r="O2186" i="11"/>
  <c r="O2185" i="11"/>
  <c r="O2184" i="11"/>
  <c r="O2183" i="11"/>
  <c r="O2182" i="11"/>
  <c r="O2181" i="11"/>
  <c r="O2180" i="11"/>
  <c r="O2179" i="11"/>
  <c r="O2178" i="11"/>
  <c r="O2177" i="11"/>
  <c r="O2176" i="11"/>
  <c r="O2175" i="11"/>
  <c r="O2174" i="11"/>
  <c r="O2173" i="11"/>
  <c r="O2172" i="11"/>
  <c r="O2171" i="11"/>
  <c r="O2170" i="11"/>
  <c r="O2169" i="11"/>
  <c r="O2168" i="11"/>
  <c r="O2167" i="11"/>
  <c r="O2166" i="11"/>
  <c r="O2165" i="11"/>
  <c r="O2164" i="11"/>
  <c r="O2163" i="11"/>
  <c r="O2162" i="11"/>
  <c r="O2161" i="11"/>
  <c r="O2160" i="11"/>
  <c r="O2159" i="11"/>
  <c r="O2158" i="11"/>
  <c r="O2157" i="11"/>
  <c r="O2156" i="11"/>
  <c r="O2155" i="11"/>
  <c r="O2154" i="11"/>
  <c r="O2153" i="11"/>
  <c r="O2152" i="11"/>
  <c r="O2151" i="11"/>
  <c r="O2150" i="11"/>
  <c r="O2149" i="11"/>
  <c r="O2148" i="11"/>
  <c r="O2147" i="11"/>
  <c r="O2146" i="11"/>
  <c r="O2145" i="11"/>
  <c r="O2144" i="11"/>
  <c r="O2143" i="11"/>
  <c r="O2142" i="11"/>
  <c r="O2141" i="11"/>
  <c r="O2140" i="11"/>
  <c r="O2139" i="11"/>
  <c r="O2138" i="11"/>
  <c r="O2137" i="11"/>
  <c r="O2136" i="11"/>
  <c r="O2135" i="11"/>
  <c r="O2134" i="11"/>
  <c r="O2133" i="11"/>
  <c r="O2132" i="11"/>
  <c r="O2131" i="11"/>
  <c r="O2130" i="11"/>
  <c r="O2129" i="11"/>
  <c r="O2128" i="11"/>
  <c r="O2127" i="11"/>
  <c r="O2126" i="11"/>
  <c r="O2125" i="11"/>
  <c r="O2124" i="11"/>
  <c r="O2123" i="11"/>
  <c r="O2122" i="11"/>
  <c r="O2121" i="11"/>
  <c r="O2120" i="11"/>
  <c r="O2119" i="11"/>
  <c r="O2118" i="11"/>
  <c r="O2117" i="11"/>
  <c r="O2116" i="11"/>
  <c r="O2115" i="11"/>
  <c r="O2114" i="11"/>
  <c r="O2113" i="11"/>
  <c r="O2112" i="11"/>
  <c r="O2111" i="11"/>
  <c r="O2110" i="11"/>
  <c r="O2109" i="11"/>
  <c r="O2108" i="11"/>
  <c r="O2107" i="11"/>
  <c r="O2106" i="11"/>
  <c r="O2105" i="11"/>
  <c r="O2104" i="11"/>
  <c r="O2103" i="11"/>
  <c r="O2102" i="11"/>
  <c r="O2101" i="11"/>
  <c r="O2100" i="11"/>
  <c r="O2099" i="11"/>
  <c r="O2098" i="11"/>
  <c r="O2097" i="11"/>
  <c r="O2096" i="11"/>
  <c r="O2095" i="11"/>
  <c r="O2094" i="11"/>
  <c r="O2093" i="11"/>
  <c r="O2092" i="11"/>
  <c r="O2091" i="11"/>
  <c r="O2090" i="11"/>
  <c r="O2089" i="11"/>
  <c r="O2088" i="11"/>
  <c r="O2087" i="11"/>
  <c r="O2086" i="11"/>
  <c r="O2085" i="11"/>
  <c r="O2084" i="11"/>
  <c r="O2083" i="11"/>
  <c r="O2082" i="11"/>
  <c r="O2081" i="11"/>
  <c r="O2080" i="11"/>
  <c r="O2079" i="11"/>
  <c r="O2078" i="11"/>
  <c r="O2077" i="11"/>
  <c r="O2076" i="11"/>
  <c r="O2075" i="11"/>
  <c r="O2074" i="11"/>
  <c r="O2073" i="11"/>
  <c r="O2072" i="11"/>
  <c r="O2071" i="11"/>
  <c r="O2070" i="11"/>
  <c r="O2069" i="11"/>
  <c r="O2068" i="11"/>
  <c r="O2067" i="11"/>
  <c r="O2066" i="11"/>
  <c r="O2065" i="11"/>
  <c r="O2064" i="11"/>
  <c r="O2063" i="11"/>
  <c r="O2062" i="11"/>
  <c r="O2061" i="11"/>
  <c r="O2060" i="11"/>
  <c r="O2059" i="11"/>
  <c r="O2058" i="11"/>
  <c r="O2057" i="11"/>
  <c r="O2056" i="11"/>
  <c r="O2055" i="11"/>
  <c r="O2054" i="11"/>
  <c r="O2053" i="11"/>
  <c r="O2052" i="11"/>
  <c r="O2051" i="11"/>
  <c r="O2050" i="11"/>
  <c r="O2049" i="11"/>
  <c r="O2048" i="11"/>
  <c r="O2047" i="11"/>
  <c r="O2046" i="11"/>
  <c r="O2045" i="11"/>
  <c r="O2044" i="11"/>
  <c r="O2043" i="11"/>
  <c r="O2042" i="11"/>
  <c r="O2041" i="11"/>
  <c r="O2040" i="11"/>
  <c r="O2039" i="11"/>
  <c r="O2038" i="11"/>
  <c r="O2037" i="11"/>
  <c r="O2036" i="11"/>
  <c r="O2035" i="11"/>
  <c r="O2034" i="11"/>
  <c r="O2033" i="11"/>
  <c r="O2032" i="11"/>
  <c r="O2031" i="11"/>
  <c r="O2030" i="11"/>
  <c r="O2029" i="11"/>
  <c r="O2028" i="11"/>
  <c r="O2027" i="11"/>
  <c r="O2026" i="11"/>
  <c r="O2025" i="11"/>
  <c r="O2024" i="11"/>
  <c r="O2023" i="11"/>
  <c r="O2022" i="11"/>
  <c r="O2021" i="11"/>
  <c r="O2020" i="11"/>
  <c r="O2019" i="11"/>
  <c r="O2018" i="11"/>
  <c r="O2017" i="11"/>
  <c r="O2016" i="11"/>
  <c r="O2015" i="11"/>
  <c r="O2014" i="11"/>
  <c r="O2013" i="11"/>
  <c r="O2012" i="11"/>
  <c r="O2011" i="11"/>
  <c r="O2010" i="11"/>
  <c r="O2009" i="11"/>
  <c r="O2008" i="11"/>
  <c r="O2007" i="11"/>
  <c r="O2006" i="11"/>
  <c r="O2005" i="11"/>
  <c r="O2004" i="11"/>
  <c r="O2003" i="11"/>
  <c r="O2002" i="11"/>
  <c r="O2001" i="11"/>
  <c r="O2000" i="11"/>
  <c r="O1999" i="11"/>
  <c r="O1998" i="11"/>
  <c r="O1997" i="11"/>
  <c r="O1996" i="11"/>
  <c r="O1995" i="11"/>
  <c r="O1994" i="11"/>
  <c r="O1993" i="11"/>
  <c r="O1992" i="11"/>
  <c r="O1991" i="11"/>
  <c r="O1990" i="11"/>
  <c r="O1989" i="11"/>
  <c r="O1988" i="11"/>
  <c r="O1987" i="11"/>
  <c r="O1986" i="11"/>
  <c r="O1985" i="11"/>
  <c r="O1984" i="11"/>
  <c r="O1983" i="11"/>
  <c r="O1982" i="11"/>
  <c r="O1981" i="11"/>
  <c r="O1980" i="11"/>
  <c r="O1979" i="11"/>
  <c r="O1978" i="11"/>
  <c r="O1977" i="11"/>
  <c r="O1976" i="11"/>
  <c r="O1975" i="11"/>
  <c r="O1974" i="11"/>
  <c r="O1973" i="11"/>
  <c r="O1972" i="11"/>
  <c r="O1971" i="11"/>
  <c r="O1970" i="11"/>
  <c r="O1969" i="11"/>
  <c r="O1968" i="11"/>
  <c r="O1967" i="11"/>
  <c r="O1966" i="11"/>
  <c r="O1965" i="11"/>
  <c r="O1964" i="11"/>
  <c r="O1963" i="11"/>
  <c r="O1962" i="11"/>
  <c r="O1961" i="11"/>
  <c r="O1960" i="11"/>
  <c r="O1959" i="11"/>
  <c r="O1958" i="11"/>
  <c r="O1957" i="11"/>
  <c r="O1956" i="11"/>
  <c r="O1955" i="11"/>
  <c r="O1954" i="11"/>
  <c r="O1953" i="11"/>
  <c r="O1952" i="11"/>
  <c r="O1951" i="11"/>
  <c r="O1950" i="11"/>
  <c r="O1949" i="11"/>
  <c r="O1948" i="11"/>
  <c r="O1947" i="11"/>
  <c r="O1946" i="11"/>
  <c r="O1945" i="11"/>
  <c r="O1944" i="11"/>
  <c r="O1943" i="11"/>
  <c r="O1942" i="11"/>
  <c r="O1941" i="11"/>
  <c r="O1940" i="11"/>
  <c r="O1939" i="11"/>
  <c r="O1938" i="11"/>
  <c r="O1937" i="11"/>
  <c r="O1936" i="11"/>
  <c r="O1935" i="11"/>
  <c r="O1934" i="11"/>
  <c r="O1933" i="11"/>
  <c r="O1932" i="11"/>
  <c r="O1931" i="11"/>
  <c r="O1930" i="11"/>
  <c r="O1929" i="11"/>
  <c r="O1928" i="11"/>
  <c r="O1927" i="11"/>
  <c r="O1926" i="11"/>
  <c r="O1925" i="11"/>
  <c r="O1924" i="11"/>
  <c r="O1923" i="11"/>
  <c r="O1922" i="11"/>
  <c r="O1921" i="11"/>
  <c r="O1920" i="11"/>
  <c r="O1919" i="11"/>
  <c r="O1918" i="11"/>
  <c r="O1917" i="11"/>
  <c r="O1916" i="11"/>
  <c r="O1915" i="11"/>
  <c r="O1914" i="11"/>
  <c r="O1913" i="11"/>
  <c r="O1912" i="11"/>
  <c r="O1911" i="11"/>
  <c r="O1910" i="11"/>
  <c r="O1909" i="11"/>
  <c r="O1908" i="11"/>
  <c r="O1907" i="11"/>
  <c r="O1906" i="11"/>
  <c r="O1905" i="11"/>
  <c r="O1904" i="11"/>
  <c r="O1903" i="11"/>
  <c r="O1902" i="11"/>
  <c r="O1901" i="11"/>
  <c r="O1900" i="11"/>
  <c r="O1899" i="11"/>
  <c r="O1898" i="11"/>
  <c r="O1897" i="11"/>
  <c r="O1896" i="11"/>
  <c r="O1895" i="11"/>
  <c r="O1894" i="11"/>
  <c r="O1893" i="11"/>
  <c r="O1892" i="11"/>
  <c r="O1891" i="11"/>
  <c r="O1890" i="11"/>
  <c r="O1889" i="11"/>
  <c r="O1888" i="11"/>
  <c r="O1887" i="11"/>
  <c r="O1886" i="11"/>
  <c r="O1885" i="11"/>
  <c r="O1884" i="11"/>
  <c r="O1883" i="11"/>
  <c r="O1882" i="11"/>
  <c r="O1881" i="11"/>
  <c r="O1880" i="11"/>
  <c r="O1879" i="11"/>
  <c r="O1878" i="11"/>
  <c r="O1877" i="11"/>
  <c r="O1876" i="11"/>
  <c r="O1875" i="11"/>
  <c r="O1874" i="11"/>
  <c r="O1873" i="11"/>
  <c r="O1872" i="11"/>
  <c r="O1871" i="11"/>
  <c r="O1870" i="11"/>
  <c r="O1869" i="11"/>
  <c r="O1868" i="11"/>
  <c r="O1867" i="11"/>
  <c r="O1866" i="11"/>
  <c r="O1865" i="11"/>
  <c r="O1864" i="11"/>
  <c r="O1863" i="11"/>
  <c r="O1862" i="11"/>
  <c r="O1861" i="11"/>
  <c r="O1860" i="11"/>
  <c r="O1859" i="11"/>
  <c r="O1858" i="11"/>
  <c r="O1857" i="11"/>
  <c r="O1856" i="11"/>
  <c r="O1855" i="11"/>
  <c r="O1854" i="11"/>
  <c r="O1853" i="11"/>
  <c r="O1852" i="11"/>
  <c r="O1851" i="11"/>
  <c r="O1850" i="11"/>
  <c r="O1849" i="11"/>
  <c r="O1848" i="11"/>
  <c r="O1847" i="11"/>
  <c r="O1846" i="11"/>
  <c r="O1845" i="11"/>
  <c r="O1844" i="11"/>
  <c r="O1843" i="11"/>
  <c r="O1842" i="11"/>
  <c r="O1841" i="11"/>
  <c r="O1840" i="11"/>
  <c r="O1839" i="11"/>
  <c r="O1838" i="11"/>
  <c r="O1837" i="11"/>
  <c r="O1836" i="11"/>
  <c r="O1835" i="11"/>
  <c r="O1834" i="11"/>
  <c r="O1833" i="11"/>
  <c r="O1832" i="11"/>
  <c r="O1831" i="11"/>
  <c r="O1830" i="11"/>
  <c r="O1829" i="11"/>
  <c r="O1828" i="11"/>
  <c r="O1827" i="11"/>
  <c r="O1826" i="11"/>
  <c r="O1825" i="11"/>
  <c r="O1824" i="11"/>
  <c r="O1823" i="11"/>
  <c r="O1822" i="11"/>
  <c r="O1821" i="11"/>
  <c r="O1820" i="11"/>
  <c r="O1819" i="11"/>
  <c r="O1818" i="11"/>
  <c r="O1817" i="11"/>
  <c r="O1816" i="11"/>
  <c r="O1815" i="11"/>
  <c r="O1814" i="11"/>
  <c r="O1813" i="11"/>
  <c r="O1812" i="11"/>
  <c r="O1811" i="11"/>
  <c r="O1810" i="11"/>
  <c r="O1809" i="11"/>
  <c r="O1808" i="11"/>
  <c r="O1807" i="11"/>
  <c r="O1806" i="11"/>
  <c r="O1805" i="11"/>
  <c r="O1804" i="11"/>
  <c r="O1803" i="11"/>
  <c r="O1802" i="11"/>
  <c r="O1801" i="11"/>
  <c r="O1800" i="11"/>
  <c r="O1799" i="11"/>
  <c r="O1798" i="11"/>
  <c r="O1797" i="11"/>
  <c r="O1796" i="11"/>
  <c r="O1795" i="11"/>
  <c r="O1794" i="11"/>
  <c r="O1793" i="11"/>
  <c r="O1792" i="11"/>
  <c r="O1791" i="11"/>
  <c r="O1790" i="11"/>
  <c r="O1789" i="11"/>
  <c r="O1788" i="11"/>
  <c r="O1787" i="11"/>
  <c r="O1786" i="11"/>
  <c r="O1785" i="11"/>
  <c r="O1784" i="11"/>
  <c r="O1783" i="11"/>
  <c r="O1782" i="11"/>
  <c r="O1781" i="11"/>
  <c r="O1780" i="11"/>
  <c r="O1779" i="11"/>
  <c r="O1778" i="11"/>
  <c r="O1777" i="11"/>
  <c r="O1776" i="11"/>
  <c r="O1775" i="11"/>
  <c r="O1774" i="11"/>
  <c r="O1773" i="11"/>
  <c r="O1772" i="11"/>
  <c r="O1771" i="11"/>
  <c r="O1770" i="11"/>
  <c r="O1769" i="11"/>
  <c r="O1768" i="11"/>
  <c r="O1767" i="11"/>
  <c r="O1766" i="11"/>
  <c r="O1765" i="11"/>
  <c r="O1764" i="11"/>
  <c r="O1763" i="11"/>
  <c r="O1762" i="11"/>
  <c r="O1761" i="11"/>
  <c r="O1760" i="11"/>
  <c r="O1759" i="11"/>
  <c r="O1758" i="11"/>
  <c r="O1757" i="11"/>
  <c r="O1756" i="11"/>
  <c r="O1755" i="11"/>
  <c r="O1754" i="11"/>
  <c r="O1753" i="11"/>
  <c r="O1752" i="11"/>
  <c r="O1751" i="11"/>
  <c r="O1750" i="11"/>
  <c r="O1749" i="11"/>
  <c r="O1748" i="11"/>
  <c r="O1747" i="11"/>
  <c r="O1746" i="11"/>
  <c r="O1745" i="11"/>
  <c r="O1744" i="11"/>
  <c r="O1743" i="11"/>
  <c r="O1742" i="11"/>
  <c r="O1741" i="11"/>
  <c r="O1740" i="11"/>
  <c r="O1739" i="11"/>
  <c r="O1738" i="11"/>
  <c r="O1737" i="11"/>
  <c r="O1736" i="11"/>
  <c r="O1735" i="11"/>
  <c r="O1734" i="11"/>
  <c r="O1733" i="11"/>
  <c r="O1732" i="11"/>
  <c r="O1731" i="11"/>
  <c r="O1730" i="11"/>
  <c r="O1729" i="11"/>
  <c r="O1728" i="11"/>
  <c r="O1727" i="11"/>
  <c r="O1726" i="11"/>
  <c r="O1725" i="11"/>
  <c r="O1724" i="11"/>
  <c r="O1723" i="11"/>
  <c r="O1722" i="11"/>
  <c r="O1721" i="11"/>
  <c r="O1720" i="11"/>
  <c r="O1719" i="11"/>
  <c r="O1718" i="11"/>
  <c r="O1717" i="11"/>
  <c r="O1716" i="11"/>
  <c r="O1715" i="11"/>
  <c r="O1714" i="11"/>
  <c r="O1713" i="11"/>
  <c r="O1712" i="11"/>
  <c r="O1711" i="11"/>
  <c r="O1710" i="11"/>
  <c r="O1709" i="11"/>
  <c r="O1708" i="11"/>
  <c r="O1707" i="11"/>
  <c r="O1706" i="11"/>
  <c r="O1705" i="11"/>
  <c r="O1704" i="11"/>
  <c r="O1703" i="11"/>
  <c r="O1702" i="11"/>
  <c r="O1701" i="11"/>
  <c r="O1700" i="11"/>
  <c r="O1699" i="11"/>
  <c r="O1698" i="11"/>
  <c r="O1697" i="11"/>
  <c r="O1696" i="11"/>
  <c r="O1695" i="11"/>
  <c r="O1694" i="11"/>
  <c r="O1693" i="11"/>
  <c r="O1692" i="11"/>
  <c r="O1691" i="11"/>
  <c r="O1690" i="11"/>
  <c r="O1689" i="11"/>
  <c r="O1688" i="11"/>
  <c r="O1687" i="11"/>
  <c r="O1686" i="11"/>
  <c r="O1685" i="11"/>
  <c r="O1684" i="11"/>
  <c r="O1683" i="11"/>
  <c r="O1682" i="11"/>
  <c r="O1681" i="11"/>
  <c r="O1680" i="11"/>
  <c r="O1679" i="11"/>
  <c r="O1678" i="11"/>
  <c r="O1677" i="11"/>
  <c r="O1676" i="11"/>
  <c r="O1675" i="11"/>
  <c r="O1674" i="11"/>
  <c r="O1673" i="11"/>
  <c r="O1672" i="11"/>
  <c r="O1671" i="11"/>
  <c r="O1670" i="11"/>
  <c r="O1669" i="11"/>
  <c r="O1668" i="11"/>
  <c r="O1667" i="11"/>
  <c r="O1666" i="11"/>
  <c r="O1665" i="11"/>
  <c r="O1664" i="11"/>
  <c r="O1663" i="11"/>
  <c r="O1662" i="11"/>
  <c r="O1661" i="11"/>
  <c r="O1660" i="11"/>
  <c r="O1659" i="11"/>
  <c r="O1658" i="11"/>
  <c r="O1657" i="11"/>
  <c r="O1656" i="11"/>
  <c r="O1655" i="11"/>
  <c r="O1654" i="11"/>
  <c r="O1653" i="11"/>
  <c r="O1652" i="11"/>
  <c r="O1651" i="11"/>
  <c r="O1650" i="11"/>
  <c r="O1649" i="11"/>
  <c r="O1648" i="11"/>
  <c r="O1647" i="11"/>
  <c r="O1646" i="11"/>
  <c r="O1645" i="11"/>
  <c r="O1644" i="11"/>
  <c r="O1643" i="11"/>
  <c r="O1642" i="11"/>
  <c r="O1641" i="11"/>
  <c r="O1640" i="11"/>
  <c r="O1639" i="11"/>
  <c r="O1638" i="11"/>
  <c r="O1637" i="11"/>
  <c r="O1636" i="11"/>
  <c r="O1635" i="11"/>
  <c r="O1634" i="11"/>
  <c r="O1633" i="11"/>
  <c r="O1632" i="11"/>
  <c r="O1631" i="11"/>
  <c r="O1630" i="11"/>
  <c r="O1629" i="11"/>
  <c r="O1628" i="11"/>
  <c r="O1627" i="11"/>
  <c r="O1626" i="11"/>
  <c r="O1625" i="11"/>
  <c r="O1624" i="11"/>
  <c r="O1623" i="11"/>
  <c r="O1622" i="11"/>
  <c r="O1621" i="11"/>
  <c r="O1620" i="11"/>
  <c r="O1619" i="11"/>
  <c r="O1618" i="11"/>
  <c r="O1617" i="11"/>
  <c r="O1616" i="11"/>
  <c r="O1615" i="11"/>
  <c r="O1614" i="11"/>
  <c r="O1613" i="11"/>
  <c r="O1612" i="11"/>
  <c r="O1611" i="11"/>
  <c r="O1610" i="11"/>
  <c r="O1609" i="11"/>
  <c r="O1608" i="11"/>
  <c r="O1607" i="11"/>
  <c r="O1606" i="11"/>
  <c r="O1605" i="11"/>
  <c r="O1604" i="11"/>
  <c r="O1603" i="11"/>
  <c r="O1602" i="11"/>
  <c r="O1601" i="11"/>
  <c r="O1600" i="11"/>
  <c r="O1599" i="11"/>
  <c r="O1598" i="11"/>
  <c r="O1597" i="11"/>
  <c r="O1596" i="11"/>
  <c r="O1595" i="11"/>
  <c r="O1594" i="11"/>
  <c r="O1593" i="11"/>
  <c r="O1592" i="11"/>
  <c r="O1591" i="11"/>
  <c r="O1590" i="11"/>
  <c r="O1589" i="11"/>
  <c r="O1588" i="11"/>
  <c r="O1587" i="11"/>
  <c r="O1586" i="11"/>
  <c r="O1585" i="11"/>
  <c r="O1584" i="11"/>
  <c r="O1583" i="11"/>
  <c r="O1582" i="11"/>
  <c r="O1581" i="11"/>
  <c r="O1580" i="11"/>
  <c r="O1579" i="11"/>
  <c r="O1578" i="11"/>
  <c r="O1577" i="11"/>
  <c r="O1576" i="11"/>
  <c r="O1575" i="11"/>
  <c r="O1574" i="11"/>
  <c r="O1573" i="11"/>
  <c r="O1572" i="11"/>
  <c r="O1571" i="11"/>
  <c r="O1570" i="11"/>
  <c r="O1569" i="11"/>
  <c r="O1568" i="11"/>
  <c r="O1567" i="11"/>
  <c r="O1566" i="11"/>
  <c r="O1565" i="11"/>
  <c r="O1564" i="11"/>
  <c r="O1563" i="11"/>
  <c r="O1562" i="11"/>
  <c r="O1561" i="11"/>
  <c r="O1560" i="11"/>
  <c r="O1559" i="11"/>
  <c r="O1558" i="11"/>
  <c r="O1557" i="11"/>
  <c r="O1556" i="11"/>
  <c r="O1555" i="11"/>
  <c r="O1554" i="11"/>
  <c r="O1553" i="11"/>
  <c r="O1552" i="11"/>
  <c r="O1551" i="11"/>
  <c r="O1550" i="11"/>
  <c r="O1549" i="11"/>
  <c r="O1548" i="11"/>
  <c r="O1547" i="11"/>
  <c r="O1546" i="11"/>
  <c r="O1545" i="11"/>
  <c r="O1544" i="11"/>
  <c r="O1543" i="11"/>
  <c r="O1542" i="11"/>
  <c r="O1541" i="11"/>
  <c r="O1540" i="11"/>
  <c r="O1539" i="11"/>
  <c r="O1538" i="11"/>
  <c r="O1537" i="11"/>
  <c r="O1536" i="11"/>
  <c r="O1535" i="11"/>
  <c r="O1534" i="11"/>
  <c r="O1533" i="11"/>
  <c r="O1532" i="11"/>
  <c r="O1531" i="11"/>
  <c r="O1530" i="11"/>
  <c r="O1529" i="11"/>
  <c r="O1528" i="11"/>
  <c r="O1527" i="11"/>
  <c r="O1526" i="11"/>
  <c r="O1525" i="11"/>
  <c r="O1524" i="11"/>
  <c r="O1523" i="11"/>
  <c r="O1522" i="11"/>
  <c r="O1521" i="11"/>
  <c r="O1520" i="11"/>
  <c r="O1519" i="11"/>
  <c r="O1518" i="11"/>
  <c r="O1517" i="11"/>
  <c r="O1516" i="11"/>
  <c r="O1515" i="11"/>
  <c r="O1514" i="11"/>
  <c r="O1513" i="11"/>
  <c r="O1512" i="11"/>
  <c r="O1511" i="11"/>
  <c r="O1510" i="11"/>
  <c r="O1509" i="11"/>
  <c r="O1508" i="11"/>
  <c r="O1507" i="11"/>
  <c r="O1506" i="11"/>
  <c r="O1505" i="11"/>
  <c r="O1504" i="11"/>
  <c r="O1503" i="11"/>
  <c r="O1502" i="11"/>
  <c r="O1501" i="11"/>
  <c r="O1500" i="11"/>
  <c r="O1499" i="11"/>
  <c r="O1498" i="11"/>
  <c r="O1497" i="11"/>
  <c r="O1496" i="11"/>
  <c r="O1495" i="11"/>
  <c r="O1494" i="11"/>
  <c r="O1493" i="11"/>
  <c r="O1492" i="11"/>
  <c r="O1491" i="11"/>
  <c r="O1490" i="11"/>
  <c r="O1489" i="11"/>
  <c r="O1488" i="11"/>
  <c r="O1487" i="11"/>
  <c r="O1486" i="11"/>
  <c r="O1485" i="11"/>
  <c r="O1484" i="11"/>
  <c r="O1483" i="11"/>
  <c r="O1482" i="11"/>
  <c r="O1481" i="11"/>
  <c r="O1480" i="11"/>
  <c r="O1479" i="11"/>
  <c r="O1478" i="11"/>
  <c r="O1477" i="11"/>
  <c r="O1476" i="11"/>
  <c r="O1475" i="11"/>
  <c r="O1474" i="11"/>
  <c r="O1473" i="11"/>
  <c r="O1472" i="11"/>
  <c r="O1471" i="11"/>
  <c r="O1470" i="11"/>
  <c r="O1469" i="11"/>
  <c r="O1468" i="11"/>
  <c r="O1467" i="11"/>
  <c r="O1466" i="11"/>
  <c r="O1465" i="11"/>
  <c r="O1464" i="11"/>
  <c r="O1463" i="11"/>
  <c r="O1462" i="11"/>
  <c r="O1461" i="11"/>
  <c r="O1460" i="11"/>
  <c r="O1459" i="11"/>
  <c r="O1458" i="11"/>
  <c r="O1457" i="11"/>
  <c r="O1456" i="11"/>
  <c r="O1455" i="11"/>
  <c r="O1454" i="11"/>
  <c r="O1453" i="11"/>
  <c r="O1452" i="11"/>
  <c r="O1451" i="11"/>
  <c r="O1450" i="11"/>
  <c r="O1449" i="11"/>
  <c r="O1448" i="11"/>
  <c r="O1447" i="11"/>
  <c r="O1446" i="11"/>
  <c r="O1445" i="11"/>
  <c r="O1444" i="11"/>
  <c r="O1443" i="11"/>
  <c r="O1442" i="11"/>
  <c r="O1441" i="11"/>
  <c r="O1440" i="11"/>
  <c r="O1439" i="11"/>
  <c r="O1438" i="11"/>
  <c r="O1437" i="11"/>
  <c r="O1436" i="11"/>
  <c r="O1435" i="11"/>
  <c r="O1434" i="11"/>
  <c r="O1433" i="11"/>
  <c r="O1432" i="11"/>
  <c r="O1431" i="11"/>
  <c r="O1430" i="11"/>
  <c r="O1429" i="11"/>
  <c r="O1428" i="11"/>
  <c r="O1427" i="11"/>
  <c r="O1426" i="11"/>
  <c r="O1425" i="11"/>
  <c r="O1424" i="11"/>
  <c r="O1423" i="11"/>
  <c r="O1422" i="11"/>
  <c r="O1421" i="11"/>
  <c r="O1420" i="11"/>
  <c r="O1419" i="11"/>
  <c r="O1418" i="11"/>
  <c r="O1417" i="11"/>
  <c r="O1416" i="11"/>
  <c r="O1415" i="11"/>
  <c r="O1414" i="11"/>
  <c r="O1413" i="11"/>
  <c r="O1412" i="11"/>
  <c r="O1411" i="11"/>
  <c r="O1410" i="11"/>
  <c r="O1409" i="11"/>
  <c r="O1408" i="11"/>
  <c r="O1407" i="11"/>
  <c r="O1406" i="11"/>
  <c r="O1405" i="11"/>
  <c r="O1404" i="11"/>
  <c r="O1403" i="11"/>
  <c r="O1402" i="11"/>
  <c r="O1401" i="11"/>
  <c r="O1400" i="11"/>
  <c r="O1399" i="11"/>
  <c r="O1398" i="11"/>
  <c r="O1397" i="11"/>
  <c r="O1396" i="11"/>
  <c r="O1395" i="11"/>
  <c r="O1394" i="11"/>
  <c r="O1393" i="11"/>
  <c r="O1392" i="11"/>
  <c r="O1391" i="11"/>
  <c r="O1390" i="11"/>
  <c r="O1389" i="11"/>
  <c r="O1388" i="11"/>
  <c r="O1387" i="11"/>
  <c r="O1386" i="11"/>
  <c r="O1385" i="11"/>
  <c r="O1384" i="11"/>
  <c r="O1383" i="11"/>
  <c r="O1382" i="11"/>
  <c r="O1381" i="11"/>
  <c r="O1380" i="11"/>
  <c r="O1379" i="11"/>
  <c r="O1378" i="11"/>
  <c r="O1377" i="11"/>
  <c r="O1376" i="11"/>
  <c r="O1375" i="11"/>
  <c r="O1374" i="11"/>
  <c r="O1373" i="11"/>
  <c r="O1372" i="11"/>
  <c r="O1371" i="11"/>
  <c r="O1370" i="11"/>
  <c r="O1369" i="11"/>
  <c r="O1368" i="11"/>
  <c r="O1367" i="11"/>
  <c r="O1366" i="11"/>
  <c r="O1365" i="11"/>
  <c r="O1364" i="11"/>
  <c r="O1363" i="11"/>
  <c r="O1362" i="11"/>
  <c r="O1361" i="11"/>
  <c r="O1360" i="11"/>
  <c r="O1359" i="11"/>
  <c r="O1358" i="11"/>
  <c r="O1357" i="11"/>
  <c r="O1356" i="11"/>
  <c r="O1355" i="11"/>
  <c r="O1354" i="11"/>
  <c r="O1353" i="11"/>
  <c r="O1352" i="11"/>
  <c r="O1351" i="11"/>
  <c r="O1350" i="11"/>
  <c r="O1349" i="11"/>
  <c r="O1348" i="11"/>
  <c r="O1347" i="11"/>
  <c r="O1346" i="11"/>
  <c r="O1345" i="11"/>
  <c r="O1344" i="11"/>
  <c r="O1343" i="11"/>
  <c r="O1342" i="11"/>
  <c r="O1341" i="11"/>
  <c r="O1340" i="11"/>
  <c r="O1339" i="11"/>
  <c r="O1338" i="11"/>
  <c r="O1337" i="11"/>
  <c r="O1336" i="11"/>
  <c r="O1335" i="11"/>
  <c r="O1334" i="11"/>
  <c r="O1333" i="11"/>
  <c r="O1332" i="11"/>
  <c r="O1331" i="11"/>
  <c r="O1330" i="11"/>
  <c r="O1329" i="11"/>
  <c r="O1328" i="11"/>
  <c r="O1327" i="11"/>
  <c r="O1326" i="11"/>
  <c r="O1325" i="11"/>
  <c r="O1324" i="11"/>
  <c r="O1323" i="11"/>
  <c r="O1322" i="11"/>
  <c r="O1321" i="11"/>
  <c r="O1320" i="11"/>
  <c r="O1319" i="11"/>
  <c r="O1318" i="11"/>
  <c r="O1317" i="11"/>
  <c r="O1316" i="11"/>
  <c r="O1315" i="11"/>
  <c r="O1314" i="11"/>
  <c r="O1313" i="11"/>
  <c r="O1312" i="11"/>
  <c r="O1311" i="11"/>
  <c r="O1310" i="11"/>
  <c r="O1309" i="11"/>
  <c r="O1308" i="11"/>
  <c r="O1307" i="11"/>
  <c r="O1306" i="11"/>
  <c r="O1305" i="11"/>
  <c r="O1304" i="11"/>
  <c r="O1303" i="11"/>
  <c r="O1302" i="11"/>
  <c r="O1301" i="11"/>
  <c r="O1300" i="11"/>
  <c r="O1299" i="11"/>
  <c r="O1298" i="11"/>
  <c r="O1297" i="11"/>
  <c r="O1296" i="11"/>
  <c r="O1295" i="11"/>
  <c r="O1294" i="11"/>
  <c r="O1293" i="11"/>
  <c r="O1292" i="11"/>
  <c r="O1291" i="11"/>
  <c r="O1290" i="11"/>
  <c r="O1289" i="11"/>
  <c r="O1288" i="11"/>
  <c r="O1287" i="11"/>
  <c r="O1286" i="11"/>
  <c r="O1285" i="11"/>
  <c r="O1284" i="11"/>
  <c r="O1283" i="11"/>
  <c r="O1282" i="11"/>
  <c r="O1281" i="11"/>
  <c r="O1280" i="11"/>
  <c r="O1279" i="11"/>
  <c r="O1278" i="11"/>
  <c r="O1277" i="11"/>
  <c r="O1276" i="11"/>
  <c r="O1275" i="11"/>
  <c r="O1274" i="11"/>
  <c r="O1273" i="11"/>
  <c r="O1272" i="11"/>
  <c r="O1271" i="11"/>
  <c r="O1270" i="11"/>
  <c r="O1269" i="11"/>
  <c r="O1268" i="11"/>
  <c r="O1267" i="11"/>
  <c r="O1266" i="11"/>
  <c r="O1265" i="11"/>
  <c r="O1264" i="11"/>
  <c r="O1263" i="11"/>
  <c r="O1262" i="11"/>
  <c r="O1261" i="11"/>
  <c r="O1260" i="11"/>
  <c r="O1259" i="11"/>
  <c r="O1258" i="11"/>
  <c r="O1257" i="11"/>
  <c r="O1256" i="11"/>
  <c r="O1255" i="11"/>
  <c r="O1254" i="11"/>
  <c r="O1253" i="11"/>
  <c r="O1252" i="11"/>
  <c r="O1251" i="11"/>
  <c r="O1250" i="11"/>
  <c r="O1249" i="11"/>
  <c r="O1248" i="11"/>
  <c r="O1247" i="11"/>
  <c r="O1246" i="11"/>
  <c r="O1245" i="11"/>
  <c r="O1244" i="11"/>
  <c r="O1243" i="11"/>
  <c r="O1242" i="11"/>
  <c r="O1241" i="11"/>
  <c r="O1240" i="11"/>
  <c r="O1239" i="11"/>
  <c r="O1238" i="11"/>
  <c r="O1237" i="11"/>
  <c r="O1236" i="11"/>
  <c r="O1235" i="11"/>
  <c r="O1234" i="11"/>
  <c r="O1233" i="11"/>
  <c r="O1232" i="11"/>
  <c r="O1231" i="11"/>
  <c r="O1230" i="11"/>
  <c r="O1229" i="11"/>
  <c r="O1228" i="11"/>
  <c r="O1227" i="11"/>
  <c r="O1226" i="11"/>
  <c r="O1225" i="11"/>
  <c r="O1224" i="11"/>
  <c r="O1223" i="11"/>
  <c r="O1222" i="11"/>
  <c r="O1221" i="11"/>
  <c r="O1220" i="11"/>
  <c r="O1219" i="11"/>
  <c r="O1218" i="11"/>
  <c r="O1217" i="11"/>
  <c r="O1216" i="11"/>
  <c r="O1215" i="11"/>
  <c r="O1214" i="11"/>
  <c r="O1213" i="11"/>
  <c r="O1212" i="11"/>
  <c r="O1211" i="11"/>
  <c r="O1210" i="11"/>
  <c r="O1209" i="11"/>
  <c r="O1208" i="11"/>
  <c r="O1207" i="11"/>
  <c r="O1206" i="11"/>
  <c r="O1205" i="11"/>
  <c r="O1204" i="11"/>
  <c r="O1203" i="11"/>
  <c r="O1202" i="11"/>
  <c r="O1201" i="11"/>
  <c r="O1200" i="11"/>
  <c r="O1199" i="11"/>
  <c r="O1198" i="11"/>
  <c r="O1197" i="11"/>
  <c r="O1196" i="11"/>
  <c r="O1195" i="11"/>
  <c r="O1194" i="11"/>
  <c r="O1193" i="11"/>
  <c r="O1192" i="11"/>
  <c r="O1191" i="11"/>
  <c r="O1190" i="11"/>
  <c r="O1189" i="11"/>
  <c r="O1188" i="11"/>
  <c r="O1187" i="11"/>
  <c r="O1186" i="11"/>
  <c r="O1185" i="11"/>
  <c r="O1184" i="11"/>
  <c r="O1183" i="11"/>
  <c r="O1182" i="11"/>
  <c r="O1181" i="11"/>
  <c r="O1180" i="11"/>
  <c r="O1179" i="11"/>
  <c r="O1178" i="11"/>
  <c r="O1177" i="11"/>
  <c r="O1176" i="11"/>
  <c r="O1175" i="11"/>
  <c r="O1174" i="11"/>
  <c r="O1173" i="11"/>
  <c r="O1172" i="11"/>
  <c r="O1171" i="11"/>
  <c r="O1170" i="11"/>
  <c r="O1169" i="11"/>
  <c r="O1168" i="11"/>
  <c r="O1167" i="11"/>
  <c r="O1166" i="11"/>
  <c r="O1165" i="11"/>
  <c r="O1164" i="11"/>
  <c r="O1163" i="11"/>
  <c r="O1162" i="11"/>
  <c r="O1161" i="11"/>
  <c r="O1160" i="11"/>
  <c r="O1159" i="11"/>
  <c r="O1158" i="11"/>
  <c r="O1157" i="11"/>
  <c r="O1156" i="11"/>
  <c r="O1155" i="11"/>
  <c r="O1154" i="11"/>
  <c r="O1153" i="11"/>
  <c r="O1152" i="11"/>
  <c r="O1151" i="11"/>
  <c r="O1150" i="11"/>
  <c r="O1149" i="11"/>
  <c r="O1148" i="11"/>
  <c r="O1147" i="11"/>
  <c r="O1146" i="11"/>
  <c r="O1145" i="11"/>
  <c r="O1144" i="11"/>
  <c r="O1143" i="11"/>
  <c r="O1142" i="11"/>
  <c r="O1141" i="11"/>
  <c r="O1140" i="11"/>
  <c r="O1139" i="11"/>
  <c r="O1138" i="11"/>
  <c r="O1137" i="11"/>
  <c r="O1136" i="11"/>
  <c r="O1135" i="11"/>
  <c r="O1134" i="11"/>
  <c r="O1133" i="11"/>
  <c r="O1132" i="11"/>
  <c r="O1131" i="11"/>
  <c r="O1130" i="11"/>
  <c r="O1129" i="11"/>
  <c r="O1128" i="11"/>
  <c r="O1127" i="11"/>
  <c r="O1126" i="11"/>
  <c r="O1125" i="11"/>
  <c r="O1124" i="11"/>
  <c r="O1123" i="11"/>
  <c r="O1122" i="11"/>
  <c r="O1121" i="11"/>
  <c r="O1120" i="11"/>
  <c r="O1119" i="11"/>
  <c r="O1118" i="11"/>
  <c r="O1117" i="11"/>
  <c r="O1116" i="11"/>
  <c r="O1115" i="11"/>
  <c r="O1114" i="11"/>
  <c r="O1113" i="11"/>
  <c r="O1112" i="11"/>
  <c r="O1111" i="11"/>
  <c r="O1110" i="11"/>
  <c r="O1109" i="11"/>
  <c r="O1108" i="11"/>
  <c r="O1107" i="11"/>
  <c r="O1106" i="11"/>
  <c r="O1105" i="11"/>
  <c r="O1104" i="11"/>
  <c r="O1103" i="11"/>
  <c r="O1102" i="11"/>
  <c r="O1101" i="11"/>
  <c r="O1100" i="11"/>
  <c r="O1099" i="11"/>
  <c r="O1098" i="11"/>
  <c r="O1097" i="11"/>
  <c r="O1096" i="11"/>
  <c r="O1095" i="11"/>
  <c r="O1094" i="11"/>
  <c r="O1093" i="11"/>
  <c r="O1092" i="11"/>
  <c r="O1091" i="11"/>
  <c r="O1090" i="11"/>
  <c r="O1089" i="11"/>
  <c r="O1088" i="11"/>
  <c r="O1087" i="11"/>
  <c r="O1086" i="11"/>
  <c r="O1085" i="11"/>
  <c r="O1084" i="11"/>
  <c r="O1083" i="11"/>
  <c r="O1082" i="11"/>
  <c r="O1081" i="11"/>
  <c r="O1080" i="11"/>
  <c r="O1079" i="11"/>
  <c r="O1078" i="11"/>
  <c r="O1077" i="11"/>
  <c r="O1076" i="11"/>
  <c r="O1075" i="11"/>
  <c r="O1074" i="11"/>
  <c r="O1073" i="11"/>
  <c r="O1072" i="11"/>
  <c r="O1071" i="11"/>
  <c r="O1070" i="11"/>
  <c r="O1069" i="11"/>
  <c r="O1068" i="11"/>
  <c r="O1067" i="11"/>
  <c r="O1066" i="11"/>
  <c r="O1065" i="11"/>
  <c r="O1064" i="11"/>
  <c r="O1063" i="11"/>
  <c r="O1062" i="11"/>
  <c r="O1061" i="11"/>
  <c r="O1060" i="11"/>
  <c r="O1059" i="11"/>
  <c r="O1058" i="11"/>
  <c r="O1057" i="11"/>
  <c r="O1056" i="11"/>
  <c r="O1055" i="11"/>
  <c r="O1054" i="11"/>
  <c r="O1053" i="11"/>
  <c r="O1052" i="11"/>
  <c r="O1051" i="11"/>
  <c r="O1050" i="11"/>
  <c r="O1049" i="11"/>
  <c r="O1048" i="11"/>
  <c r="O1047" i="11"/>
  <c r="O1046" i="11"/>
  <c r="O1045" i="11"/>
  <c r="O1044" i="11"/>
  <c r="O1043" i="11"/>
  <c r="O1042" i="11"/>
  <c r="O1041" i="11"/>
  <c r="O1040" i="11"/>
  <c r="O1039" i="11"/>
  <c r="O1038" i="11"/>
  <c r="O1037" i="11"/>
  <c r="O1036" i="11"/>
  <c r="O1035" i="11"/>
  <c r="O1034" i="11"/>
  <c r="O1033" i="11"/>
  <c r="O1032" i="11"/>
  <c r="O1031" i="11"/>
  <c r="O1030" i="11"/>
  <c r="O1029" i="11"/>
  <c r="O1028" i="11"/>
  <c r="O1027" i="11"/>
  <c r="O1026" i="11"/>
  <c r="O1025" i="11"/>
  <c r="O1024" i="11"/>
  <c r="O1023" i="11"/>
  <c r="O1022" i="11"/>
  <c r="O1021" i="11"/>
  <c r="O1020" i="11"/>
  <c r="O1019" i="11"/>
  <c r="O1018" i="11"/>
  <c r="O1017" i="11"/>
  <c r="O1016" i="11"/>
  <c r="O1015" i="11"/>
  <c r="O1014" i="11"/>
  <c r="O1013" i="11"/>
  <c r="O1012" i="11"/>
  <c r="O1011" i="11"/>
  <c r="O1010" i="11"/>
  <c r="O1009" i="11"/>
  <c r="O1008" i="11"/>
  <c r="O1007" i="11"/>
  <c r="O1006" i="11"/>
  <c r="O1005" i="11"/>
  <c r="O1004" i="11"/>
  <c r="O1003" i="11"/>
  <c r="O1002" i="11"/>
  <c r="O1001" i="11"/>
  <c r="O1000" i="11"/>
  <c r="O999" i="11"/>
  <c r="O998" i="11"/>
  <c r="O997" i="11"/>
  <c r="O996" i="11"/>
  <c r="O995" i="11"/>
  <c r="O994" i="11"/>
  <c r="O993" i="11"/>
  <c r="O992" i="11"/>
  <c r="O991" i="11"/>
  <c r="O990" i="11"/>
  <c r="O989" i="11"/>
  <c r="O988" i="11"/>
  <c r="O987" i="11"/>
  <c r="O986" i="11"/>
  <c r="O985" i="11"/>
  <c r="O984" i="11"/>
  <c r="O983" i="11"/>
  <c r="O982" i="11"/>
  <c r="O981" i="11"/>
  <c r="O980" i="11"/>
  <c r="O979" i="11"/>
  <c r="O978" i="11"/>
  <c r="O977" i="11"/>
  <c r="O976" i="11"/>
  <c r="O975" i="11"/>
  <c r="O974" i="11"/>
  <c r="O973" i="11"/>
  <c r="O972" i="11"/>
  <c r="O971" i="11"/>
  <c r="O970" i="11"/>
  <c r="O969" i="11"/>
  <c r="O968" i="11"/>
  <c r="O967" i="11"/>
  <c r="O966" i="11"/>
  <c r="O965" i="11"/>
  <c r="O964" i="11"/>
  <c r="O963" i="11"/>
  <c r="O962" i="11"/>
  <c r="O961" i="11"/>
  <c r="O960" i="11"/>
  <c r="O959" i="11"/>
  <c r="O958" i="11"/>
  <c r="O957" i="11"/>
  <c r="O956" i="11"/>
  <c r="O955" i="11"/>
  <c r="O954" i="11"/>
  <c r="O953" i="11"/>
  <c r="O952" i="11"/>
  <c r="O951" i="11"/>
  <c r="O950" i="11"/>
  <c r="O949" i="11"/>
  <c r="O948" i="11"/>
  <c r="O947" i="11"/>
  <c r="O946" i="11"/>
  <c r="O945" i="11"/>
  <c r="O944" i="11"/>
  <c r="O943" i="11"/>
  <c r="O942" i="11"/>
  <c r="O941" i="11"/>
  <c r="O940" i="11"/>
  <c r="O939" i="11"/>
  <c r="O938" i="11"/>
  <c r="O937" i="11"/>
  <c r="O936" i="11"/>
  <c r="O935" i="11"/>
  <c r="O934" i="11"/>
  <c r="O933" i="11"/>
  <c r="O932" i="11"/>
  <c r="O931" i="11"/>
  <c r="O930" i="11"/>
  <c r="O929" i="11"/>
  <c r="O928" i="11"/>
  <c r="O927" i="11"/>
  <c r="O926" i="11"/>
  <c r="O925" i="11"/>
  <c r="O924" i="11"/>
  <c r="O923" i="11"/>
  <c r="O922" i="11"/>
  <c r="O921" i="11"/>
  <c r="O920" i="11"/>
  <c r="O919" i="11"/>
  <c r="O918" i="11"/>
  <c r="O917" i="11"/>
  <c r="O916" i="11"/>
  <c r="O915" i="11"/>
  <c r="O914" i="11"/>
  <c r="O913" i="11"/>
  <c r="O912" i="11"/>
  <c r="O911" i="11"/>
  <c r="O910" i="11"/>
  <c r="O909" i="11"/>
  <c r="O908" i="11"/>
  <c r="O907" i="11"/>
  <c r="O906" i="11"/>
  <c r="O905" i="11"/>
  <c r="O904" i="11"/>
  <c r="O903" i="11"/>
  <c r="O902" i="11"/>
  <c r="O901" i="11"/>
  <c r="O900" i="11"/>
  <c r="O899" i="11"/>
  <c r="O898" i="11"/>
  <c r="O897" i="11"/>
  <c r="O896" i="11"/>
  <c r="O895" i="11"/>
  <c r="O894" i="11"/>
  <c r="O893" i="11"/>
  <c r="O892" i="11"/>
  <c r="O891" i="11"/>
  <c r="O890" i="11"/>
  <c r="O889" i="11"/>
  <c r="O888" i="11"/>
  <c r="O887" i="11"/>
  <c r="O886" i="11"/>
  <c r="O885" i="11"/>
  <c r="O884" i="11"/>
  <c r="O883" i="11"/>
  <c r="O882" i="11"/>
  <c r="O881" i="11"/>
  <c r="O880" i="11"/>
  <c r="O879" i="11"/>
  <c r="O878" i="11"/>
  <c r="O877" i="11"/>
  <c r="O876" i="11"/>
  <c r="O875" i="11"/>
  <c r="O874" i="11"/>
  <c r="O873" i="11"/>
  <c r="O872" i="11"/>
  <c r="O871" i="11"/>
  <c r="O870" i="11"/>
  <c r="O869" i="11"/>
  <c r="O868" i="11"/>
  <c r="O867" i="11"/>
  <c r="O866" i="11"/>
  <c r="O865" i="11"/>
  <c r="O864" i="11"/>
  <c r="O863" i="11"/>
  <c r="O862" i="11"/>
  <c r="O861" i="11"/>
  <c r="O860" i="11"/>
  <c r="O859" i="11"/>
  <c r="O858" i="11"/>
  <c r="O857" i="11"/>
  <c r="O856" i="11"/>
  <c r="O855" i="11"/>
  <c r="O854" i="11"/>
  <c r="O853" i="11"/>
  <c r="O852" i="11"/>
  <c r="O851" i="11"/>
  <c r="O850" i="11"/>
  <c r="O849" i="11"/>
  <c r="O848" i="11"/>
  <c r="O847" i="11"/>
  <c r="O846" i="11"/>
  <c r="O845" i="11"/>
  <c r="O844" i="11"/>
  <c r="O843" i="11"/>
  <c r="O842" i="11"/>
  <c r="O841" i="11"/>
  <c r="O840" i="11"/>
  <c r="O839" i="11"/>
  <c r="O838" i="11"/>
  <c r="O837" i="11"/>
  <c r="O836" i="11"/>
  <c r="O835" i="11"/>
  <c r="O834" i="11"/>
  <c r="O833" i="11"/>
  <c r="O832" i="11"/>
  <c r="O831" i="11"/>
  <c r="O830" i="11"/>
  <c r="O829" i="11"/>
  <c r="O828" i="11"/>
  <c r="O827" i="11"/>
  <c r="O826" i="11"/>
  <c r="O825" i="11"/>
  <c r="O824" i="11"/>
  <c r="O823" i="11"/>
  <c r="O822" i="11"/>
  <c r="O821" i="11"/>
  <c r="O820" i="11"/>
  <c r="O819" i="11"/>
  <c r="O818" i="11"/>
  <c r="O817" i="11"/>
  <c r="O816" i="11"/>
  <c r="O815" i="11"/>
  <c r="O814" i="11"/>
  <c r="O813" i="11"/>
  <c r="O812" i="11"/>
  <c r="O811" i="11"/>
  <c r="O810" i="11"/>
  <c r="O809" i="11"/>
  <c r="O808" i="11"/>
  <c r="O807" i="11"/>
  <c r="O806" i="11"/>
  <c r="O805" i="11"/>
  <c r="O804" i="11"/>
  <c r="O803" i="11"/>
  <c r="O802" i="11"/>
  <c r="O801" i="11"/>
  <c r="O800" i="11"/>
  <c r="O799" i="11"/>
  <c r="O798" i="11"/>
  <c r="O797" i="11"/>
  <c r="O796" i="11"/>
  <c r="O795" i="11"/>
  <c r="O794" i="11"/>
  <c r="O793" i="11"/>
  <c r="O792" i="11"/>
  <c r="O791" i="11"/>
  <c r="O790" i="11"/>
  <c r="O789" i="11"/>
  <c r="O788" i="11"/>
  <c r="O787" i="11"/>
  <c r="O786" i="11"/>
  <c r="O785" i="11"/>
  <c r="O784" i="11"/>
  <c r="O783" i="11"/>
  <c r="O782" i="11"/>
  <c r="O781" i="11"/>
  <c r="O780" i="11"/>
  <c r="O779" i="11"/>
  <c r="O778" i="11"/>
  <c r="O777" i="11"/>
  <c r="O776" i="11"/>
  <c r="O775" i="11"/>
  <c r="O774" i="11"/>
  <c r="O773" i="11"/>
  <c r="O772" i="11"/>
  <c r="O771" i="11"/>
  <c r="O770" i="11"/>
  <c r="O769" i="11"/>
  <c r="O768" i="11"/>
  <c r="O767" i="11"/>
  <c r="O766" i="11"/>
  <c r="O765" i="11"/>
  <c r="O764" i="11"/>
  <c r="O763" i="11"/>
  <c r="O762" i="11"/>
  <c r="O761" i="11"/>
  <c r="O760" i="11"/>
  <c r="O759" i="11"/>
  <c r="O758" i="11"/>
  <c r="O757" i="11"/>
  <c r="O756" i="11"/>
  <c r="O755" i="11"/>
  <c r="O754" i="11"/>
  <c r="O753" i="11"/>
  <c r="O752" i="11"/>
  <c r="O751" i="11"/>
  <c r="O750" i="11"/>
  <c r="O749" i="11"/>
  <c r="O748" i="11"/>
  <c r="O747" i="11"/>
  <c r="O746" i="11"/>
  <c r="O745" i="11"/>
  <c r="O744" i="11"/>
  <c r="O743" i="11"/>
  <c r="O742" i="11"/>
  <c r="O741" i="11"/>
  <c r="O740" i="11"/>
  <c r="O739" i="11"/>
  <c r="O738" i="11"/>
  <c r="O737" i="11"/>
  <c r="O736" i="11"/>
  <c r="O735" i="11"/>
  <c r="O734" i="11"/>
  <c r="O733" i="11"/>
  <c r="O732" i="11"/>
  <c r="O731" i="11"/>
  <c r="O730" i="11"/>
  <c r="O729" i="11"/>
  <c r="O728" i="11"/>
  <c r="O727" i="11"/>
  <c r="O726" i="11"/>
  <c r="O725" i="11"/>
  <c r="O724" i="11"/>
  <c r="O723" i="11"/>
  <c r="O722" i="11"/>
  <c r="O721" i="11"/>
  <c r="O720" i="11"/>
  <c r="O719" i="11"/>
  <c r="O718" i="11"/>
  <c r="O717" i="11"/>
  <c r="O716" i="11"/>
  <c r="O715" i="11"/>
  <c r="O714" i="11"/>
  <c r="O713" i="11"/>
  <c r="O712" i="11"/>
  <c r="O711" i="11"/>
  <c r="O710" i="11"/>
  <c r="O709" i="11"/>
  <c r="O708" i="11"/>
  <c r="O707" i="11"/>
  <c r="O706" i="11"/>
  <c r="O705" i="11"/>
  <c r="O704" i="11"/>
  <c r="O703" i="11"/>
  <c r="O702" i="11"/>
  <c r="O701" i="11"/>
  <c r="O700" i="11"/>
  <c r="O699" i="11"/>
  <c r="O698" i="11"/>
  <c r="O697" i="11"/>
  <c r="O696" i="11"/>
  <c r="O695" i="11"/>
  <c r="O694" i="11"/>
  <c r="O693" i="11"/>
  <c r="O692" i="11"/>
  <c r="O691" i="11"/>
  <c r="O690" i="11"/>
  <c r="O689" i="11"/>
  <c r="O688" i="11"/>
  <c r="O687" i="11"/>
  <c r="O686" i="11"/>
  <c r="O685" i="11"/>
  <c r="O684" i="11"/>
  <c r="O683" i="11"/>
  <c r="O682" i="11"/>
  <c r="O681" i="11"/>
  <c r="O680" i="11"/>
  <c r="O679" i="11"/>
  <c r="O678" i="11"/>
  <c r="O677" i="11"/>
  <c r="O676" i="11"/>
  <c r="O675" i="11"/>
  <c r="O674" i="11"/>
  <c r="O673" i="11"/>
  <c r="O672" i="11"/>
  <c r="O671" i="11"/>
  <c r="O670" i="11"/>
  <c r="O669" i="11"/>
  <c r="O668" i="11"/>
  <c r="O667" i="11"/>
  <c r="O666" i="11"/>
  <c r="O665" i="11"/>
  <c r="O664" i="11"/>
  <c r="O663" i="11"/>
  <c r="O662" i="11"/>
  <c r="O661" i="11"/>
  <c r="O660" i="11"/>
  <c r="O659" i="11"/>
  <c r="O658" i="11"/>
  <c r="O657" i="11"/>
  <c r="O656" i="11"/>
  <c r="O655" i="11"/>
  <c r="O654" i="11"/>
  <c r="O653" i="11"/>
  <c r="O652" i="11"/>
  <c r="O651" i="11"/>
  <c r="O650" i="11"/>
  <c r="O649" i="11"/>
  <c r="O648" i="11"/>
  <c r="O647" i="11"/>
  <c r="O646" i="11"/>
  <c r="O645" i="11"/>
  <c r="O644" i="11"/>
  <c r="O643" i="11"/>
  <c r="O642" i="11"/>
  <c r="O641" i="11"/>
  <c r="O640" i="11"/>
  <c r="O639" i="11"/>
  <c r="O638" i="11"/>
  <c r="O637" i="11"/>
  <c r="O636" i="11"/>
  <c r="O635" i="11"/>
  <c r="O634" i="11"/>
  <c r="O633" i="11"/>
  <c r="O632" i="11"/>
  <c r="O631" i="11"/>
  <c r="O630" i="11"/>
  <c r="O629" i="11"/>
  <c r="O628" i="11"/>
  <c r="O627" i="11"/>
  <c r="O626" i="11"/>
  <c r="O625" i="11"/>
  <c r="O624" i="11"/>
  <c r="O623" i="11"/>
  <c r="O622" i="11"/>
  <c r="O621" i="11"/>
  <c r="O620" i="11"/>
  <c r="O619" i="11"/>
  <c r="O618" i="11"/>
  <c r="O617" i="11"/>
  <c r="O616" i="11"/>
  <c r="O615" i="11"/>
  <c r="O614" i="11"/>
  <c r="O613" i="11"/>
  <c r="O612" i="11"/>
  <c r="O611" i="11"/>
  <c r="O610" i="11"/>
  <c r="O609" i="11"/>
  <c r="O608" i="11"/>
  <c r="O607" i="11"/>
  <c r="O606" i="11"/>
  <c r="O605" i="11"/>
  <c r="O604" i="11"/>
  <c r="O603" i="11"/>
  <c r="O602" i="11"/>
  <c r="O601" i="11"/>
  <c r="O600" i="11"/>
  <c r="O599" i="11"/>
  <c r="O598" i="11"/>
  <c r="O597" i="11"/>
  <c r="O596" i="11"/>
  <c r="O595" i="11"/>
  <c r="O594" i="11"/>
  <c r="O593" i="11"/>
  <c r="O592" i="11"/>
  <c r="O591" i="11"/>
  <c r="O590" i="11"/>
  <c r="O589" i="11"/>
  <c r="O588" i="11"/>
  <c r="O587" i="11"/>
  <c r="O586" i="11"/>
  <c r="O585" i="11"/>
  <c r="O584" i="11"/>
  <c r="O583" i="11"/>
  <c r="O582" i="11"/>
  <c r="O581" i="11"/>
  <c r="O580" i="11"/>
  <c r="O579" i="11"/>
  <c r="O578" i="11"/>
  <c r="O577" i="11"/>
  <c r="O576" i="11"/>
  <c r="O575" i="11"/>
  <c r="O574" i="11"/>
  <c r="O573" i="11"/>
  <c r="O572" i="11"/>
  <c r="O571" i="11"/>
  <c r="O570" i="11"/>
  <c r="O569" i="11"/>
  <c r="O568" i="11"/>
  <c r="O567" i="11"/>
  <c r="O566" i="11"/>
  <c r="O565" i="11"/>
  <c r="O564" i="11"/>
  <c r="O563" i="11"/>
  <c r="O562" i="11"/>
  <c r="O561" i="11"/>
  <c r="O560" i="11"/>
  <c r="O559" i="11"/>
  <c r="O558" i="11"/>
  <c r="O557" i="11"/>
  <c r="O556" i="11"/>
  <c r="O555" i="11"/>
  <c r="O554" i="11"/>
  <c r="O553" i="11"/>
  <c r="O552" i="11"/>
  <c r="O551" i="11"/>
  <c r="O550" i="11"/>
  <c r="O549" i="11"/>
  <c r="O548" i="11"/>
  <c r="O547" i="11"/>
  <c r="O546" i="11"/>
  <c r="O545" i="11"/>
  <c r="O544" i="11"/>
  <c r="O543" i="11"/>
  <c r="O542" i="11"/>
  <c r="O541" i="11"/>
  <c r="O540" i="11"/>
  <c r="O539" i="11"/>
  <c r="O538" i="11"/>
  <c r="O537" i="11"/>
  <c r="O536" i="11"/>
  <c r="O535" i="11"/>
  <c r="O534" i="11"/>
  <c r="O533" i="11"/>
  <c r="O532" i="11"/>
  <c r="O531" i="11"/>
  <c r="O530" i="11"/>
  <c r="O529" i="11"/>
  <c r="O528" i="11"/>
  <c r="O527" i="11"/>
  <c r="O526" i="11"/>
  <c r="O525" i="11"/>
  <c r="O524" i="11"/>
  <c r="O523" i="11"/>
  <c r="O522" i="11"/>
  <c r="O521" i="11"/>
  <c r="O520" i="11"/>
  <c r="O519" i="11"/>
  <c r="O518" i="11"/>
  <c r="O516" i="11"/>
  <c r="O515" i="11"/>
  <c r="O514" i="11"/>
  <c r="O513" i="11"/>
  <c r="O512" i="11"/>
  <c r="O511" i="11"/>
  <c r="O510" i="11"/>
  <c r="O509" i="11"/>
  <c r="O508" i="11"/>
  <c r="O507" i="11"/>
  <c r="O506" i="11"/>
  <c r="O505" i="11"/>
  <c r="O504" i="11"/>
  <c r="O503" i="11"/>
  <c r="O502" i="11"/>
  <c r="O501" i="11"/>
  <c r="O500" i="11"/>
  <c r="O499" i="11"/>
  <c r="O498" i="11"/>
  <c r="O497" i="11"/>
  <c r="O496" i="11"/>
  <c r="O495" i="11"/>
  <c r="O494" i="11"/>
  <c r="O493" i="11"/>
  <c r="O492" i="11"/>
  <c r="O491" i="11"/>
  <c r="O490" i="11"/>
  <c r="O489" i="11"/>
  <c r="O488" i="11"/>
  <c r="O487" i="11"/>
  <c r="O486" i="11"/>
  <c r="O485" i="11"/>
  <c r="O484" i="11"/>
  <c r="O483" i="11"/>
  <c r="O482" i="11"/>
  <c r="O481" i="11"/>
  <c r="O480" i="11"/>
  <c r="O479" i="11"/>
  <c r="O478" i="11"/>
  <c r="O477" i="11"/>
  <c r="O476" i="11"/>
  <c r="O475" i="11"/>
  <c r="O474" i="11"/>
  <c r="O473" i="11"/>
  <c r="O472" i="11"/>
  <c r="O471" i="11"/>
  <c r="O470" i="11"/>
  <c r="O469" i="11"/>
  <c r="O468" i="11"/>
  <c r="O467" i="11"/>
  <c r="O466" i="11"/>
  <c r="O465" i="11"/>
  <c r="O464" i="11"/>
  <c r="O463" i="11"/>
  <c r="O462" i="11"/>
  <c r="O461" i="11"/>
  <c r="O460" i="11"/>
  <c r="O459" i="11"/>
  <c r="O458" i="11"/>
  <c r="O457" i="11"/>
  <c r="O456" i="11"/>
  <c r="O455" i="11"/>
  <c r="O454" i="11"/>
  <c r="O453" i="11"/>
  <c r="O452" i="11"/>
  <c r="O451" i="11"/>
  <c r="O450" i="11"/>
  <c r="O449" i="11"/>
  <c r="O448" i="11"/>
  <c r="O447" i="11"/>
  <c r="O446" i="11"/>
  <c r="O445" i="11"/>
  <c r="O444" i="11"/>
  <c r="O443" i="11"/>
  <c r="O442" i="11"/>
  <c r="O441" i="11"/>
  <c r="O440" i="11"/>
  <c r="O439" i="11"/>
  <c r="O438" i="11"/>
  <c r="O437" i="11"/>
  <c r="O436" i="11"/>
  <c r="O435" i="11"/>
  <c r="O434" i="11"/>
  <c r="O433" i="11"/>
  <c r="O432" i="11"/>
  <c r="O431" i="11"/>
  <c r="O430" i="11"/>
  <c r="O429" i="11"/>
  <c r="O428" i="11"/>
  <c r="O427" i="11"/>
  <c r="O426" i="11"/>
  <c r="O425" i="11"/>
  <c r="O424" i="11"/>
  <c r="O423" i="11"/>
  <c r="O422" i="11"/>
  <c r="O421" i="11"/>
  <c r="O420" i="11"/>
  <c r="O419" i="11"/>
  <c r="O418" i="11"/>
  <c r="O417" i="11"/>
  <c r="O416" i="11"/>
  <c r="O415" i="11"/>
  <c r="O414" i="11"/>
  <c r="O413" i="11"/>
  <c r="O412" i="11"/>
  <c r="O411" i="11"/>
  <c r="O410" i="11"/>
  <c r="O409" i="11"/>
  <c r="O408" i="11"/>
  <c r="O407" i="11"/>
  <c r="O406" i="11"/>
  <c r="O405" i="11"/>
  <c r="O404" i="11"/>
  <c r="O403" i="11"/>
  <c r="O402" i="11"/>
  <c r="O401" i="11"/>
  <c r="O400" i="11"/>
  <c r="O399" i="11"/>
  <c r="O398" i="11"/>
  <c r="O397" i="11"/>
  <c r="O396" i="11"/>
  <c r="O395" i="11"/>
  <c r="O394" i="11"/>
  <c r="O393" i="11"/>
  <c r="O392" i="11"/>
  <c r="O391" i="11"/>
  <c r="O390" i="11"/>
  <c r="O389" i="11"/>
  <c r="O388" i="11"/>
  <c r="O387" i="11"/>
  <c r="O386" i="11"/>
  <c r="O385" i="11"/>
  <c r="O384" i="11"/>
  <c r="O383" i="11"/>
  <c r="O382" i="11"/>
  <c r="O381" i="11"/>
  <c r="O380" i="11"/>
  <c r="O379" i="11"/>
  <c r="O378" i="11"/>
  <c r="O377" i="11"/>
  <c r="O376" i="11"/>
  <c r="O375" i="11"/>
  <c r="O374" i="11"/>
  <c r="O373" i="11"/>
  <c r="O372" i="11"/>
  <c r="O371" i="11"/>
  <c r="O370" i="11"/>
  <c r="O369" i="11"/>
  <c r="O368" i="11"/>
  <c r="O367" i="11"/>
  <c r="O366" i="11"/>
  <c r="O365" i="11"/>
  <c r="O364" i="11"/>
  <c r="O363" i="11"/>
  <c r="O362" i="11"/>
  <c r="O361" i="11"/>
  <c r="O360" i="11"/>
  <c r="O359" i="11"/>
  <c r="O358" i="11"/>
  <c r="O357" i="11"/>
  <c r="O356" i="11"/>
  <c r="O355" i="11"/>
  <c r="O354" i="11"/>
  <c r="O353" i="11"/>
  <c r="O352" i="11"/>
  <c r="O351" i="11"/>
  <c r="O350" i="11"/>
  <c r="O349" i="11"/>
  <c r="O348" i="11"/>
  <c r="O347" i="11"/>
  <c r="O346" i="11"/>
  <c r="O345" i="11"/>
  <c r="O344" i="11"/>
  <c r="O343" i="11"/>
  <c r="O342" i="11"/>
  <c r="O341" i="11"/>
  <c r="O340" i="11"/>
  <c r="O339" i="11"/>
  <c r="O338" i="11"/>
  <c r="O337" i="11"/>
  <c r="O336" i="11"/>
  <c r="O335" i="11"/>
  <c r="O334" i="11"/>
  <c r="O333" i="11"/>
  <c r="O332" i="11"/>
  <c r="O331" i="11"/>
  <c r="O330" i="11"/>
  <c r="O329" i="11"/>
  <c r="O328" i="11"/>
  <c r="O327" i="11"/>
  <c r="O326" i="11"/>
  <c r="O325" i="11"/>
  <c r="O324" i="11"/>
  <c r="O323" i="11"/>
  <c r="O322" i="11"/>
  <c r="O321" i="11"/>
  <c r="O320" i="11"/>
  <c r="O319" i="11"/>
  <c r="O318" i="11"/>
  <c r="O317" i="11"/>
  <c r="O316" i="11"/>
  <c r="O315" i="11"/>
  <c r="O314" i="11"/>
  <c r="O313" i="11"/>
  <c r="O312" i="11"/>
  <c r="O311" i="11"/>
  <c r="O310" i="11"/>
  <c r="O309" i="11"/>
  <c r="O308" i="11"/>
  <c r="O307" i="11"/>
  <c r="O306" i="11"/>
  <c r="O305" i="11"/>
  <c r="O304" i="11"/>
  <c r="O303" i="11"/>
  <c r="O302" i="11"/>
  <c r="O301" i="11"/>
  <c r="O300" i="11"/>
  <c r="O299" i="11"/>
  <c r="O298" i="11"/>
  <c r="O297" i="11"/>
  <c r="O296" i="11"/>
  <c r="O295" i="11"/>
  <c r="O294" i="11"/>
  <c r="O293" i="11"/>
  <c r="O292" i="11"/>
  <c r="O291" i="11"/>
  <c r="O290" i="11"/>
  <c r="O289" i="11"/>
  <c r="O288" i="11"/>
  <c r="O287" i="11"/>
  <c r="O286" i="11"/>
  <c r="O285" i="11"/>
  <c r="O284" i="11"/>
  <c r="O283" i="11"/>
  <c r="O282" i="11"/>
  <c r="O281" i="11"/>
  <c r="O280" i="11"/>
  <c r="O279" i="11"/>
  <c r="O278" i="11"/>
  <c r="O277" i="11"/>
  <c r="O276" i="11"/>
  <c r="O275" i="11"/>
  <c r="O274" i="11"/>
  <c r="O273" i="11"/>
  <c r="O272" i="11"/>
  <c r="O271" i="11"/>
  <c r="O270" i="11"/>
  <c r="O269" i="11"/>
  <c r="O268" i="11"/>
  <c r="O267" i="11"/>
  <c r="O266" i="11"/>
  <c r="O265" i="11"/>
  <c r="O264" i="11"/>
  <c r="O263" i="11"/>
  <c r="O262" i="11"/>
  <c r="O261" i="11"/>
  <c r="O260" i="11"/>
  <c r="O259" i="11"/>
  <c r="O258" i="11"/>
  <c r="O257" i="11"/>
  <c r="O256" i="11"/>
  <c r="O255" i="11"/>
  <c r="O254" i="11"/>
  <c r="O253" i="11"/>
  <c r="O252" i="11"/>
  <c r="O251" i="11"/>
  <c r="O250" i="11"/>
  <c r="O249" i="11"/>
  <c r="O248" i="11"/>
  <c r="O247" i="11"/>
  <c r="O246" i="11"/>
  <c r="O245" i="11"/>
  <c r="O244" i="11"/>
  <c r="O243" i="11"/>
  <c r="O242" i="11"/>
  <c r="O241" i="11"/>
  <c r="O240" i="11"/>
  <c r="O239" i="11"/>
  <c r="O238" i="11"/>
  <c r="O237" i="11"/>
  <c r="O236" i="11"/>
  <c r="O235" i="11"/>
  <c r="O234" i="11"/>
  <c r="O233" i="11"/>
  <c r="O232" i="11"/>
  <c r="O231" i="11"/>
  <c r="O230" i="11"/>
  <c r="O229" i="11"/>
  <c r="O228" i="11"/>
  <c r="O227" i="11"/>
  <c r="O226" i="11"/>
  <c r="O225" i="11"/>
  <c r="O224" i="11"/>
  <c r="O223" i="11"/>
  <c r="O222" i="11"/>
  <c r="O221" i="11"/>
  <c r="O220" i="11"/>
  <c r="O219" i="11"/>
  <c r="O218" i="11"/>
  <c r="O217" i="11"/>
  <c r="O216" i="11"/>
  <c r="O215" i="11"/>
  <c r="O214" i="11"/>
  <c r="O213" i="11"/>
  <c r="O212" i="11"/>
  <c r="O211" i="11"/>
  <c r="O210" i="11"/>
  <c r="O209" i="11"/>
  <c r="O208" i="11"/>
  <c r="O207" i="11"/>
  <c r="O206" i="11"/>
  <c r="O205" i="11"/>
  <c r="O204" i="11"/>
  <c r="O203" i="11"/>
  <c r="O202" i="11"/>
  <c r="O201" i="11"/>
  <c r="O200" i="11"/>
  <c r="O199" i="11"/>
  <c r="O198" i="11"/>
  <c r="O197" i="11"/>
  <c r="O196" i="11"/>
  <c r="O195" i="11"/>
  <c r="O194" i="11"/>
  <c r="O193" i="11"/>
  <c r="O192" i="11"/>
  <c r="O191" i="11"/>
  <c r="O190" i="11"/>
  <c r="O189" i="11"/>
  <c r="O188" i="11"/>
  <c r="O187" i="11"/>
  <c r="O186" i="11"/>
  <c r="O185" i="11"/>
  <c r="O184" i="11"/>
  <c r="O183" i="11"/>
  <c r="O182" i="11"/>
  <c r="O181" i="11"/>
  <c r="O180" i="11"/>
  <c r="O179" i="11"/>
  <c r="O178" i="11"/>
  <c r="O177" i="11"/>
  <c r="O176" i="11"/>
  <c r="O175" i="11"/>
  <c r="O174" i="11"/>
  <c r="O173" i="11"/>
  <c r="O172" i="11"/>
  <c r="O171" i="11"/>
  <c r="O170" i="11"/>
  <c r="O169" i="11"/>
  <c r="O168" i="11"/>
  <c r="O167" i="11"/>
  <c r="O166" i="11"/>
  <c r="O165" i="11"/>
  <c r="O164" i="11"/>
  <c r="O163" i="11"/>
  <c r="O162" i="11"/>
  <c r="O161" i="11"/>
  <c r="O160" i="11"/>
  <c r="O159" i="11"/>
  <c r="O158" i="11"/>
  <c r="O157" i="11"/>
  <c r="O156" i="11"/>
  <c r="O155" i="11"/>
  <c r="O154" i="11"/>
  <c r="O153" i="11"/>
  <c r="O152" i="11"/>
  <c r="O151" i="11"/>
  <c r="O150" i="11"/>
  <c r="O149" i="11"/>
  <c r="O148" i="11"/>
  <c r="O147" i="11"/>
  <c r="O146" i="11"/>
  <c r="O145" i="11"/>
  <c r="O144" i="11"/>
  <c r="O143" i="11"/>
  <c r="O142" i="11"/>
  <c r="O141" i="11"/>
  <c r="O140" i="11"/>
  <c r="O139" i="11"/>
  <c r="O138" i="11"/>
  <c r="O137" i="11"/>
  <c r="O136" i="11"/>
  <c r="O135" i="11"/>
  <c r="O134" i="11"/>
  <c r="O133" i="11"/>
  <c r="O132" i="11"/>
  <c r="O131" i="11"/>
  <c r="O130" i="11"/>
  <c r="O129" i="11"/>
  <c r="O128" i="11"/>
  <c r="O127" i="11"/>
  <c r="O126" i="11"/>
  <c r="O125" i="11"/>
  <c r="O124" i="11"/>
  <c r="O123" i="11"/>
  <c r="O122" i="11"/>
  <c r="O121" i="11"/>
  <c r="O120" i="11"/>
  <c r="O119" i="11"/>
  <c r="O118" i="11"/>
  <c r="O117" i="11"/>
  <c r="O116" i="11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3" i="11"/>
  <c r="O102" i="11"/>
  <c r="O101" i="11"/>
  <c r="O100" i="11"/>
  <c r="O99" i="11"/>
  <c r="O98" i="11"/>
  <c r="O97" i="11"/>
  <c r="O96" i="11"/>
  <c r="O95" i="11"/>
  <c r="O94" i="11"/>
  <c r="O93" i="11"/>
  <c r="O92" i="11"/>
  <c r="O91" i="11"/>
  <c r="O90" i="11"/>
  <c r="O89" i="11"/>
  <c r="O88" i="11"/>
  <c r="O87" i="11"/>
  <c r="O86" i="11"/>
  <c r="O85" i="11"/>
  <c r="O84" i="11"/>
  <c r="O83" i="11"/>
  <c r="O82" i="11"/>
  <c r="O81" i="11"/>
  <c r="O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61" i="11"/>
  <c r="O60" i="11"/>
  <c r="O59" i="11"/>
  <c r="O58" i="11"/>
  <c r="O57" i="11"/>
  <c r="O56" i="11"/>
  <c r="O55" i="11"/>
  <c r="O54" i="11"/>
  <c r="O53" i="11"/>
  <c r="O52" i="11"/>
  <c r="O51" i="11"/>
  <c r="O50" i="11"/>
  <c r="O49" i="11"/>
  <c r="O48" i="11"/>
  <c r="O47" i="11"/>
  <c r="O46" i="11"/>
  <c r="O45" i="11"/>
  <c r="O44" i="11"/>
  <c r="O43" i="11"/>
  <c r="O4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  <c r="O517" i="11"/>
  <c r="S181" i="1"/>
  <c r="W181" i="1" s="1"/>
  <c r="M161" i="1"/>
  <c r="J161" i="1"/>
  <c r="C161" i="1"/>
  <c r="H161" i="1" s="1"/>
  <c r="C85" i="1"/>
  <c r="F85" i="1" s="1"/>
  <c r="C9" i="1"/>
  <c r="B9" i="1" s="1"/>
  <c r="S181" i="20"/>
  <c r="W181" i="20" s="1"/>
  <c r="M162" i="20"/>
  <c r="J162" i="20"/>
  <c r="C162" i="20"/>
  <c r="M161" i="20"/>
  <c r="J161" i="20"/>
  <c r="C161" i="20"/>
  <c r="F161" i="20" s="1"/>
  <c r="F89" i="20"/>
  <c r="C89" i="20"/>
  <c r="B89" i="20"/>
  <c r="C88" i="20"/>
  <c r="B88" i="20"/>
  <c r="F87" i="20"/>
  <c r="Q87" i="20" s="1"/>
  <c r="C87" i="20"/>
  <c r="B87" i="20"/>
  <c r="F86" i="20"/>
  <c r="C86" i="20"/>
  <c r="B86" i="20"/>
  <c r="C85" i="20"/>
  <c r="B85" i="20"/>
  <c r="C18" i="20"/>
  <c r="C17" i="20"/>
  <c r="B17" i="20"/>
  <c r="C16" i="20"/>
  <c r="B16" i="20"/>
  <c r="C15" i="20"/>
  <c r="B15" i="20"/>
  <c r="F14" i="20"/>
  <c r="Q14" i="20" s="1"/>
  <c r="C14" i="20"/>
  <c r="B14" i="20"/>
  <c r="C13" i="20"/>
  <c r="F13" i="20" s="1"/>
  <c r="P13" i="20" s="1"/>
  <c r="F12" i="20"/>
  <c r="C12" i="20"/>
  <c r="F11" i="20"/>
  <c r="C11" i="20"/>
  <c r="B11" i="20"/>
  <c r="C10" i="20"/>
  <c r="C9" i="20"/>
  <c r="B9" i="20"/>
  <c r="W96" i="1"/>
  <c r="I85" i="20"/>
  <c r="X17" i="20"/>
  <c r="W86" i="1"/>
  <c r="V88" i="20"/>
  <c r="W88" i="1"/>
  <c r="Y9" i="1"/>
  <c r="L17" i="20"/>
  <c r="L10" i="20"/>
  <c r="M87" i="20"/>
  <c r="V17" i="20"/>
  <c r="L14" i="20"/>
  <c r="V18" i="20"/>
  <c r="I17" i="20"/>
  <c r="I11" i="20"/>
  <c r="X89" i="20"/>
  <c r="X85" i="20"/>
  <c r="W89" i="1"/>
  <c r="W91" i="1"/>
  <c r="M89" i="20"/>
  <c r="M14" i="20"/>
  <c r="X12" i="20"/>
  <c r="M85" i="20"/>
  <c r="L9" i="1"/>
  <c r="I16" i="20"/>
  <c r="M12" i="20"/>
  <c r="K86" i="20"/>
  <c r="W93" i="1"/>
  <c r="U3" i="20"/>
  <c r="J86" i="20"/>
  <c r="T3" i="20"/>
  <c r="I13" i="20"/>
  <c r="K88" i="20"/>
  <c r="X18" i="20"/>
  <c r="X16" i="20"/>
  <c r="X161" i="20"/>
  <c r="I9" i="20"/>
  <c r="J89" i="20"/>
  <c r="J14" i="20"/>
  <c r="I14" i="20"/>
  <c r="J88" i="20"/>
  <c r="V85" i="20"/>
  <c r="X11" i="20"/>
  <c r="V12" i="20"/>
  <c r="X9" i="20"/>
  <c r="M10" i="20"/>
  <c r="S3" i="20"/>
  <c r="J87" i="20"/>
  <c r="X85" i="1"/>
  <c r="K85" i="1"/>
  <c r="V9" i="1"/>
  <c r="K85" i="20"/>
  <c r="I10" i="20"/>
  <c r="V13" i="20"/>
  <c r="M9" i="1"/>
  <c r="J16" i="20"/>
  <c r="X87" i="20"/>
  <c r="W98" i="1"/>
  <c r="V87" i="20"/>
  <c r="I85" i="1"/>
  <c r="X9" i="1"/>
  <c r="V86" i="20"/>
  <c r="K89" i="20"/>
  <c r="V11" i="20"/>
  <c r="I162" i="20"/>
  <c r="V16" i="20"/>
  <c r="K87" i="20"/>
  <c r="Y18" i="20"/>
  <c r="Y9" i="20"/>
  <c r="X10" i="20"/>
  <c r="J85" i="1"/>
  <c r="W90" i="1"/>
  <c r="X162" i="20"/>
  <c r="M15" i="20"/>
  <c r="L9" i="20"/>
  <c r="X86" i="20"/>
  <c r="J11" i="20"/>
  <c r="M9" i="20"/>
  <c r="M18" i="20"/>
  <c r="X14" i="20"/>
  <c r="W94" i="1"/>
  <c r="W97" i="1"/>
  <c r="Y17" i="20"/>
  <c r="I86" i="20"/>
  <c r="I12" i="20"/>
  <c r="M13" i="20"/>
  <c r="V15" i="20"/>
  <c r="Y11" i="20"/>
  <c r="J9" i="1"/>
  <c r="R3" i="1"/>
  <c r="I161" i="1"/>
  <c r="X161" i="1"/>
  <c r="J85" i="20"/>
  <c r="R3" i="20"/>
  <c r="V14" i="20"/>
  <c r="V10" i="20"/>
  <c r="M17" i="20"/>
  <c r="W95" i="1"/>
  <c r="M88" i="20"/>
  <c r="X13" i="20"/>
  <c r="X15" i="20"/>
  <c r="V85" i="1"/>
  <c r="L11" i="20"/>
  <c r="V9" i="20"/>
  <c r="I89" i="20"/>
  <c r="V89" i="20"/>
  <c r="I9" i="1"/>
  <c r="X88" i="20"/>
  <c r="L12" i="20"/>
  <c r="M11" i="20"/>
  <c r="Y14" i="20"/>
  <c r="S3" i="1"/>
  <c r="I161" i="20"/>
  <c r="I88" i="20"/>
  <c r="Y10" i="20"/>
  <c r="W87" i="1"/>
  <c r="Y15" i="20"/>
  <c r="J13" i="20"/>
  <c r="M16" i="20"/>
  <c r="M85" i="1"/>
  <c r="M86" i="20"/>
  <c r="Y13" i="20"/>
  <c r="I87" i="20"/>
  <c r="W92" i="1"/>
  <c r="U3" i="1"/>
  <c r="T3" i="1"/>
  <c r="Y16" i="20"/>
  <c r="R181" i="1"/>
  <c r="Y12" i="20"/>
  <c r="I18" i="20"/>
  <c r="I15" i="20"/>
  <c r="J15" i="20"/>
  <c r="O87" i="1" l="1"/>
  <c r="O90" i="1"/>
  <c r="N15" i="1"/>
  <c r="P96" i="1"/>
  <c r="N96" i="1" s="1"/>
  <c r="P88" i="1"/>
  <c r="T88" i="1" s="1"/>
  <c r="P93" i="1"/>
  <c r="N93" i="1" s="1"/>
  <c r="P85" i="1"/>
  <c r="P159" i="1" s="1"/>
  <c r="P87" i="1"/>
  <c r="P98" i="1"/>
  <c r="P90" i="1"/>
  <c r="T90" i="1" s="1"/>
  <c r="P95" i="1"/>
  <c r="N95" i="1" s="1"/>
  <c r="P89" i="1"/>
  <c r="T89" i="1" s="1"/>
  <c r="P94" i="1"/>
  <c r="P91" i="1"/>
  <c r="T91" i="1" s="1"/>
  <c r="P92" i="1"/>
  <c r="T92" i="1" s="1"/>
  <c r="P97" i="1"/>
  <c r="N97" i="1" s="1"/>
  <c r="P86" i="1"/>
  <c r="H85" i="1"/>
  <c r="H9" i="1"/>
  <c r="N13" i="1"/>
  <c r="S98" i="1"/>
  <c r="O98" i="1" s="1"/>
  <c r="R98" i="1"/>
  <c r="G98" i="1"/>
  <c r="G94" i="1"/>
  <c r="S94" i="1"/>
  <c r="U94" i="1" s="1"/>
  <c r="R94" i="1"/>
  <c r="G90" i="1"/>
  <c r="S88" i="1"/>
  <c r="U88" i="1" s="1"/>
  <c r="R87" i="1"/>
  <c r="G87" i="1"/>
  <c r="R86" i="1"/>
  <c r="R14" i="1"/>
  <c r="T14" i="1" s="1"/>
  <c r="W14" i="1"/>
  <c r="R11" i="1"/>
  <c r="S10" i="1"/>
  <c r="U10" i="1" s="1"/>
  <c r="G96" i="1"/>
  <c r="O96" i="1"/>
  <c r="U96" i="1"/>
  <c r="U91" i="1"/>
  <c r="G92" i="1"/>
  <c r="O92" i="1"/>
  <c r="U92" i="1"/>
  <c r="U86" i="1"/>
  <c r="U97" i="1"/>
  <c r="G86" i="1"/>
  <c r="O86" i="1"/>
  <c r="U95" i="1"/>
  <c r="O89" i="1"/>
  <c r="G89" i="1"/>
  <c r="U87" i="1"/>
  <c r="U90" i="1"/>
  <c r="G97" i="1"/>
  <c r="O97" i="1"/>
  <c r="U89" i="1"/>
  <c r="U93" i="1"/>
  <c r="O15" i="1"/>
  <c r="G15" i="1"/>
  <c r="T12" i="1"/>
  <c r="U11" i="1"/>
  <c r="G12" i="1"/>
  <c r="O12" i="1"/>
  <c r="T10" i="1"/>
  <c r="U13" i="1"/>
  <c r="G10" i="1"/>
  <c r="U12" i="1"/>
  <c r="G14" i="1"/>
  <c r="O14" i="1"/>
  <c r="U15" i="1"/>
  <c r="U14" i="1"/>
  <c r="P14" i="20"/>
  <c r="F9" i="1"/>
  <c r="W9" i="1" s="1"/>
  <c r="W83" i="1" s="1"/>
  <c r="B85" i="1"/>
  <c r="B161" i="1"/>
  <c r="U161" i="1"/>
  <c r="U180" i="1" s="1"/>
  <c r="K9" i="1"/>
  <c r="S85" i="1"/>
  <c r="R85" i="1"/>
  <c r="H161" i="20"/>
  <c r="U161" i="20" s="1"/>
  <c r="B161" i="20"/>
  <c r="H13" i="20"/>
  <c r="K16" i="20"/>
  <c r="K15" i="20"/>
  <c r="H11" i="20"/>
  <c r="K159" i="20"/>
  <c r="H88" i="20"/>
  <c r="H10" i="20"/>
  <c r="H18" i="20"/>
  <c r="R87" i="20"/>
  <c r="H17" i="20"/>
  <c r="K13" i="20"/>
  <c r="H15" i="20"/>
  <c r="H87" i="20"/>
  <c r="H9" i="20"/>
  <c r="K14" i="20"/>
  <c r="H85" i="20"/>
  <c r="H16" i="20"/>
  <c r="K11" i="20"/>
  <c r="H14" i="20"/>
  <c r="H89" i="20"/>
  <c r="H12" i="20"/>
  <c r="H86" i="20"/>
  <c r="S11" i="20"/>
  <c r="W12" i="20"/>
  <c r="G87" i="20"/>
  <c r="B162" i="20"/>
  <c r="H162" i="20"/>
  <c r="F162" i="20"/>
  <c r="W14" i="20"/>
  <c r="B18" i="20"/>
  <c r="F18" i="20"/>
  <c r="Q18" i="20" s="1"/>
  <c r="P87" i="20"/>
  <c r="Q89" i="20"/>
  <c r="S89" i="20"/>
  <c r="R89" i="20"/>
  <c r="F9" i="20"/>
  <c r="P9" i="20" s="1"/>
  <c r="B10" i="20"/>
  <c r="F10" i="20"/>
  <c r="P10" i="20" s="1"/>
  <c r="Q88" i="20"/>
  <c r="P88" i="20"/>
  <c r="F88" i="20"/>
  <c r="B12" i="20"/>
  <c r="P12" i="20"/>
  <c r="Q12" i="20"/>
  <c r="P89" i="20"/>
  <c r="R11" i="20"/>
  <c r="T11" i="20" s="1"/>
  <c r="W11" i="20"/>
  <c r="P11" i="20"/>
  <c r="Q13" i="20"/>
  <c r="S13" i="20"/>
  <c r="R13" i="20"/>
  <c r="T13" i="20" s="1"/>
  <c r="W13" i="20"/>
  <c r="S86" i="20"/>
  <c r="Q86" i="20"/>
  <c r="P86" i="20"/>
  <c r="R86" i="20"/>
  <c r="S12" i="20"/>
  <c r="R12" i="20"/>
  <c r="T12" i="20" s="1"/>
  <c r="G14" i="20"/>
  <c r="F17" i="20"/>
  <c r="S14" i="20"/>
  <c r="Q11" i="20"/>
  <c r="B13" i="20"/>
  <c r="F16" i="20"/>
  <c r="Q16" i="20" s="1"/>
  <c r="F85" i="20"/>
  <c r="P85" i="20" s="1"/>
  <c r="P159" i="20" s="1"/>
  <c r="R14" i="20"/>
  <c r="T14" i="20" s="1"/>
  <c r="S87" i="20"/>
  <c r="F15" i="20"/>
  <c r="P16" i="20"/>
  <c r="L15" i="20"/>
  <c r="W86" i="20"/>
  <c r="J10" i="20"/>
  <c r="L13" i="20"/>
  <c r="J12" i="20"/>
  <c r="J9" i="20"/>
  <c r="L18" i="20"/>
  <c r="W85" i="1"/>
  <c r="J17" i="20"/>
  <c r="W89" i="20"/>
  <c r="W87" i="20"/>
  <c r="R181" i="20"/>
  <c r="L16" i="20"/>
  <c r="J18" i="20"/>
  <c r="O10" i="1" l="1"/>
  <c r="N98" i="1"/>
  <c r="O88" i="1"/>
  <c r="N14" i="1"/>
  <c r="U98" i="1"/>
  <c r="T11" i="1"/>
  <c r="N11" i="1"/>
  <c r="O94" i="1"/>
  <c r="N94" i="1"/>
  <c r="T87" i="1"/>
  <c r="T86" i="1"/>
  <c r="N90" i="1"/>
  <c r="T95" i="1"/>
  <c r="N92" i="1"/>
  <c r="N91" i="1"/>
  <c r="T97" i="1"/>
  <c r="N87" i="1"/>
  <c r="N88" i="1"/>
  <c r="T96" i="1"/>
  <c r="T98" i="1"/>
  <c r="T93" i="1"/>
  <c r="N89" i="1"/>
  <c r="N86" i="1"/>
  <c r="T94" i="1"/>
  <c r="Q85" i="20"/>
  <c r="Q159" i="20" s="1"/>
  <c r="R9" i="1"/>
  <c r="R83" i="1" s="1"/>
  <c r="S9" i="1"/>
  <c r="G9" i="1"/>
  <c r="W159" i="1"/>
  <c r="W182" i="1" s="1"/>
  <c r="T85" i="1"/>
  <c r="T159" i="1" s="1"/>
  <c r="N85" i="1"/>
  <c r="R159" i="1"/>
  <c r="U85" i="1"/>
  <c r="U159" i="1" s="1"/>
  <c r="S159" i="1"/>
  <c r="O85" i="1"/>
  <c r="G85" i="1"/>
  <c r="T161" i="1"/>
  <c r="T180" i="1" s="1"/>
  <c r="U180" i="20"/>
  <c r="T161" i="20"/>
  <c r="T180" i="20" s="1"/>
  <c r="T162" i="20"/>
  <c r="U162" i="20" s="1"/>
  <c r="K10" i="20"/>
  <c r="K9" i="20"/>
  <c r="K83" i="20" s="1"/>
  <c r="K18" i="20"/>
  <c r="K17" i="20"/>
  <c r="K12" i="20"/>
  <c r="O18" i="20"/>
  <c r="G18" i="20"/>
  <c r="U87" i="20"/>
  <c r="U14" i="20"/>
  <c r="U11" i="20"/>
  <c r="G16" i="20"/>
  <c r="U86" i="20"/>
  <c r="S88" i="20"/>
  <c r="O88" i="20" s="1"/>
  <c r="R88" i="20"/>
  <c r="S18" i="20"/>
  <c r="R18" i="20"/>
  <c r="W18" i="20"/>
  <c r="R17" i="20"/>
  <c r="W17" i="20"/>
  <c r="S17" i="20"/>
  <c r="O14" i="20"/>
  <c r="G88" i="20"/>
  <c r="N89" i="20"/>
  <c r="T89" i="20"/>
  <c r="O87" i="20"/>
  <c r="W15" i="20"/>
  <c r="S15" i="20"/>
  <c r="R15" i="20"/>
  <c r="Q15" i="20"/>
  <c r="W16" i="20"/>
  <c r="S16" i="20"/>
  <c r="R16" i="20"/>
  <c r="T16" i="20" s="1"/>
  <c r="Q17" i="20"/>
  <c r="U12" i="20"/>
  <c r="U13" i="20"/>
  <c r="G12" i="20"/>
  <c r="O12" i="20"/>
  <c r="U89" i="20"/>
  <c r="G86" i="20"/>
  <c r="O86" i="20"/>
  <c r="P17" i="20"/>
  <c r="O13" i="20"/>
  <c r="G13" i="20"/>
  <c r="S10" i="20"/>
  <c r="W10" i="20"/>
  <c r="R10" i="20"/>
  <c r="T10" i="20" s="1"/>
  <c r="G89" i="20"/>
  <c r="O89" i="20"/>
  <c r="P15" i="20"/>
  <c r="P83" i="20" s="1"/>
  <c r="P182" i="20" s="1"/>
  <c r="N13" i="20"/>
  <c r="R9" i="20"/>
  <c r="N9" i="20" s="1"/>
  <c r="W9" i="20"/>
  <c r="W83" i="20" s="1"/>
  <c r="S9" i="20"/>
  <c r="P18" i="20"/>
  <c r="N18" i="20" s="1"/>
  <c r="R85" i="20"/>
  <c r="S85" i="20"/>
  <c r="O85" i="20" s="1"/>
  <c r="N14" i="20"/>
  <c r="O11" i="20"/>
  <c r="G11" i="20"/>
  <c r="Q9" i="20"/>
  <c r="T86" i="20"/>
  <c r="N86" i="20"/>
  <c r="N11" i="20"/>
  <c r="N12" i="20"/>
  <c r="Q10" i="20"/>
  <c r="N87" i="20"/>
  <c r="T87" i="20"/>
  <c r="M158" i="11"/>
  <c r="L158" i="11"/>
  <c r="M157" i="11"/>
  <c r="L157" i="11"/>
  <c r="M156" i="11"/>
  <c r="L156" i="11"/>
  <c r="M155" i="11"/>
  <c r="L155" i="11"/>
  <c r="M154" i="11"/>
  <c r="L154" i="11"/>
  <c r="M153" i="11"/>
  <c r="L153" i="11"/>
  <c r="M152" i="11"/>
  <c r="L152" i="11"/>
  <c r="M151" i="11"/>
  <c r="L151" i="11"/>
  <c r="M150" i="11"/>
  <c r="L150" i="11"/>
  <c r="M149" i="11"/>
  <c r="L149" i="11"/>
  <c r="M148" i="11"/>
  <c r="L148" i="11"/>
  <c r="M147" i="11"/>
  <c r="L147" i="11"/>
  <c r="M146" i="11"/>
  <c r="L146" i="11"/>
  <c r="M145" i="11"/>
  <c r="L145" i="11"/>
  <c r="M144" i="11"/>
  <c r="L144" i="11"/>
  <c r="M143" i="11"/>
  <c r="L143" i="11"/>
  <c r="M142" i="11"/>
  <c r="L142" i="11"/>
  <c r="M141" i="11"/>
  <c r="L141" i="11"/>
  <c r="M140" i="11"/>
  <c r="L140" i="11"/>
  <c r="M139" i="11"/>
  <c r="L139" i="11"/>
  <c r="M138" i="11"/>
  <c r="L138" i="11"/>
  <c r="M137" i="11"/>
  <c r="L137" i="11"/>
  <c r="M136" i="11"/>
  <c r="L136" i="11"/>
  <c r="M135" i="11"/>
  <c r="L135" i="11"/>
  <c r="M134" i="11"/>
  <c r="L134" i="11"/>
  <c r="M133" i="11"/>
  <c r="L133" i="11"/>
  <c r="M132" i="11"/>
  <c r="L132" i="11"/>
  <c r="M131" i="11"/>
  <c r="L131" i="11"/>
  <c r="M130" i="11"/>
  <c r="L130" i="11"/>
  <c r="M129" i="11"/>
  <c r="L129" i="11"/>
  <c r="M128" i="11"/>
  <c r="L128" i="11"/>
  <c r="M127" i="11"/>
  <c r="L127" i="11"/>
  <c r="M126" i="11"/>
  <c r="L126" i="11"/>
  <c r="M125" i="11"/>
  <c r="L125" i="11"/>
  <c r="M124" i="11"/>
  <c r="L124" i="11"/>
  <c r="M123" i="11"/>
  <c r="L123" i="11"/>
  <c r="M122" i="11"/>
  <c r="L122" i="11"/>
  <c r="M121" i="11"/>
  <c r="L121" i="11"/>
  <c r="M120" i="11"/>
  <c r="L120" i="11"/>
  <c r="M119" i="11"/>
  <c r="L119" i="11"/>
  <c r="M118" i="11"/>
  <c r="L118" i="11"/>
  <c r="M117" i="11"/>
  <c r="L117" i="11"/>
  <c r="M116" i="11"/>
  <c r="L116" i="11"/>
  <c r="M115" i="11"/>
  <c r="L115" i="11"/>
  <c r="M114" i="11"/>
  <c r="L114" i="11"/>
  <c r="M113" i="11"/>
  <c r="L113" i="11"/>
  <c r="M112" i="11"/>
  <c r="L112" i="11"/>
  <c r="M111" i="11"/>
  <c r="L111" i="11"/>
  <c r="M110" i="11"/>
  <c r="L110" i="11"/>
  <c r="M109" i="11"/>
  <c r="L109" i="11"/>
  <c r="M108" i="11"/>
  <c r="L108" i="11"/>
  <c r="M107" i="11"/>
  <c r="L107" i="11"/>
  <c r="M106" i="11"/>
  <c r="L106" i="11"/>
  <c r="M105" i="11"/>
  <c r="L105" i="11"/>
  <c r="M104" i="11"/>
  <c r="L104" i="11"/>
  <c r="M103" i="11"/>
  <c r="L103" i="11"/>
  <c r="M102" i="11"/>
  <c r="L102" i="11"/>
  <c r="M101" i="11"/>
  <c r="L101" i="11"/>
  <c r="M100" i="11"/>
  <c r="L100" i="11"/>
  <c r="M99" i="11"/>
  <c r="L99" i="11"/>
  <c r="M98" i="11"/>
  <c r="L98" i="11"/>
  <c r="M97" i="11"/>
  <c r="L97" i="11"/>
  <c r="M96" i="11"/>
  <c r="L96" i="11"/>
  <c r="M95" i="11"/>
  <c r="L95" i="11"/>
  <c r="M94" i="11"/>
  <c r="L94" i="11"/>
  <c r="M93" i="11"/>
  <c r="L93" i="11"/>
  <c r="M92" i="11"/>
  <c r="L92" i="11"/>
  <c r="M91" i="11"/>
  <c r="L91" i="11"/>
  <c r="M90" i="11"/>
  <c r="L90" i="11"/>
  <c r="M89" i="11"/>
  <c r="L89" i="11"/>
  <c r="M88" i="11"/>
  <c r="L88" i="11"/>
  <c r="M87" i="11"/>
  <c r="L87" i="11"/>
  <c r="M86" i="11"/>
  <c r="L86" i="11"/>
  <c r="M4140" i="11"/>
  <c r="M4139" i="11"/>
  <c r="M4138" i="11"/>
  <c r="M4137" i="11"/>
  <c r="M4136" i="11"/>
  <c r="M4135" i="11"/>
  <c r="M4134" i="11"/>
  <c r="M4133" i="11"/>
  <c r="M4132" i="11"/>
  <c r="M4131" i="11"/>
  <c r="M4130" i="11"/>
  <c r="M4129" i="11"/>
  <c r="M4128" i="11"/>
  <c r="M4127" i="11"/>
  <c r="M4126" i="11"/>
  <c r="M4125" i="11"/>
  <c r="M4124" i="11"/>
  <c r="M4123" i="11"/>
  <c r="M4122" i="11"/>
  <c r="M4121" i="11"/>
  <c r="M4120" i="11"/>
  <c r="M4119" i="11"/>
  <c r="M4118" i="11"/>
  <c r="M4117" i="11"/>
  <c r="M4116" i="11"/>
  <c r="M4115" i="11"/>
  <c r="M4114" i="11"/>
  <c r="M4113" i="11"/>
  <c r="M4112" i="11"/>
  <c r="M4111" i="11"/>
  <c r="M4110" i="11"/>
  <c r="M4109" i="11"/>
  <c r="M4108" i="11"/>
  <c r="M4107" i="11"/>
  <c r="M4106" i="11"/>
  <c r="M4105" i="11"/>
  <c r="M4104" i="11"/>
  <c r="M4103" i="11"/>
  <c r="M4102" i="11"/>
  <c r="M4101" i="11"/>
  <c r="M4100" i="11"/>
  <c r="M4099" i="11"/>
  <c r="M4098" i="11"/>
  <c r="M4097" i="11"/>
  <c r="M4096" i="11"/>
  <c r="M4095" i="11"/>
  <c r="M4094" i="11"/>
  <c r="M4093" i="11"/>
  <c r="M4092" i="11"/>
  <c r="M4091" i="11"/>
  <c r="M4090" i="11"/>
  <c r="M4089" i="11"/>
  <c r="M4088" i="11"/>
  <c r="M4087" i="11"/>
  <c r="M4086" i="11"/>
  <c r="M4085" i="11"/>
  <c r="M4084" i="11"/>
  <c r="M4083" i="11"/>
  <c r="M4082" i="11"/>
  <c r="M4081" i="11"/>
  <c r="M4080" i="11"/>
  <c r="M4079" i="11"/>
  <c r="M4078" i="11"/>
  <c r="M4077" i="11"/>
  <c r="M4076" i="11"/>
  <c r="M4075" i="11"/>
  <c r="M4074" i="11"/>
  <c r="M4073" i="11"/>
  <c r="M4072" i="11"/>
  <c r="M4071" i="11"/>
  <c r="M4070" i="11"/>
  <c r="M4069" i="11"/>
  <c r="M4068" i="11"/>
  <c r="M4067" i="11"/>
  <c r="M4066" i="11"/>
  <c r="M4065" i="11"/>
  <c r="M4064" i="11"/>
  <c r="M4063" i="11"/>
  <c r="M4062" i="11"/>
  <c r="M4061" i="11"/>
  <c r="M4060" i="11"/>
  <c r="M4059" i="11"/>
  <c r="M4058" i="11"/>
  <c r="M4057" i="11"/>
  <c r="M4056" i="11"/>
  <c r="M4055" i="11"/>
  <c r="M4054" i="11"/>
  <c r="M4053" i="11"/>
  <c r="M4052" i="11"/>
  <c r="M4051" i="11"/>
  <c r="M4050" i="11"/>
  <c r="M4049" i="11"/>
  <c r="M4048" i="11"/>
  <c r="M4047" i="11"/>
  <c r="M4046" i="11"/>
  <c r="M4045" i="11"/>
  <c r="M4044" i="11"/>
  <c r="M4043" i="11"/>
  <c r="M4042" i="11"/>
  <c r="M4041" i="11"/>
  <c r="M4040" i="11"/>
  <c r="M4039" i="11"/>
  <c r="M4038" i="11"/>
  <c r="M4037" i="11"/>
  <c r="M4036" i="11"/>
  <c r="M4035" i="11"/>
  <c r="M4034" i="11"/>
  <c r="M4033" i="11"/>
  <c r="M4032" i="11"/>
  <c r="M4031" i="11"/>
  <c r="M4030" i="11"/>
  <c r="M4029" i="11"/>
  <c r="M4028" i="11"/>
  <c r="M4027" i="11"/>
  <c r="M4026" i="11"/>
  <c r="M4025" i="11"/>
  <c r="M4024" i="11"/>
  <c r="M4023" i="11"/>
  <c r="M4022" i="11"/>
  <c r="M4021" i="11"/>
  <c r="M4020" i="11"/>
  <c r="M4019" i="11"/>
  <c r="M4018" i="11"/>
  <c r="M4017" i="11"/>
  <c r="M4016" i="11"/>
  <c r="M4015" i="11"/>
  <c r="M4014" i="11"/>
  <c r="M4013" i="11"/>
  <c r="M4012" i="11"/>
  <c r="M4011" i="11"/>
  <c r="M4010" i="11"/>
  <c r="M4009" i="11"/>
  <c r="M4008" i="11"/>
  <c r="M4007" i="11"/>
  <c r="M4006" i="11"/>
  <c r="M4005" i="11"/>
  <c r="M4004" i="11"/>
  <c r="M4003" i="11"/>
  <c r="M4002" i="11"/>
  <c r="M4001" i="11"/>
  <c r="M4000" i="11"/>
  <c r="M3999" i="11"/>
  <c r="M3998" i="11"/>
  <c r="M3997" i="11"/>
  <c r="M3996" i="11"/>
  <c r="M3995" i="11"/>
  <c r="M3994" i="11"/>
  <c r="M3993" i="11"/>
  <c r="M3992" i="11"/>
  <c r="M3991" i="11"/>
  <c r="M3990" i="11"/>
  <c r="M3989" i="11"/>
  <c r="M3988" i="11"/>
  <c r="M3987" i="11"/>
  <c r="M3986" i="11"/>
  <c r="M3985" i="11"/>
  <c r="M3984" i="11"/>
  <c r="M3983" i="11"/>
  <c r="M3982" i="11"/>
  <c r="M3981" i="11"/>
  <c r="M3980" i="11"/>
  <c r="M3979" i="11"/>
  <c r="M3978" i="11"/>
  <c r="M3977" i="11"/>
  <c r="M3976" i="11"/>
  <c r="M3975" i="11"/>
  <c r="M3974" i="11"/>
  <c r="M3973" i="11"/>
  <c r="M3972" i="11"/>
  <c r="M3971" i="11"/>
  <c r="M3970" i="11"/>
  <c r="M3969" i="11"/>
  <c r="M3968" i="11"/>
  <c r="M3967" i="11"/>
  <c r="M3966" i="11"/>
  <c r="M3965" i="11"/>
  <c r="M3964" i="11"/>
  <c r="M3963" i="11"/>
  <c r="M3962" i="11"/>
  <c r="M3961" i="11"/>
  <c r="M3960" i="11"/>
  <c r="M3959" i="11"/>
  <c r="M3958" i="11"/>
  <c r="M3957" i="11"/>
  <c r="M3956" i="11"/>
  <c r="M3955" i="11"/>
  <c r="M3954" i="11"/>
  <c r="M3953" i="11"/>
  <c r="M3952" i="11"/>
  <c r="M3951" i="11"/>
  <c r="M3950" i="11"/>
  <c r="M3949" i="11"/>
  <c r="M3948" i="11"/>
  <c r="M3947" i="11"/>
  <c r="M3946" i="11"/>
  <c r="M3945" i="11"/>
  <c r="M3944" i="11"/>
  <c r="M3943" i="11"/>
  <c r="M3942" i="11"/>
  <c r="M3941" i="11"/>
  <c r="M3940" i="11"/>
  <c r="M3939" i="11"/>
  <c r="M3938" i="11"/>
  <c r="M3937" i="11"/>
  <c r="M3936" i="11"/>
  <c r="M3935" i="11"/>
  <c r="M3934" i="11"/>
  <c r="M3933" i="11"/>
  <c r="M3932" i="11"/>
  <c r="M3931" i="11"/>
  <c r="M3930" i="11"/>
  <c r="M3929" i="11"/>
  <c r="M3928" i="11"/>
  <c r="M3927" i="11"/>
  <c r="M3926" i="11"/>
  <c r="M3925" i="11"/>
  <c r="M3924" i="11"/>
  <c r="M3923" i="11"/>
  <c r="M3922" i="11"/>
  <c r="M3921" i="11"/>
  <c r="M3920" i="11"/>
  <c r="M3919" i="11"/>
  <c r="M3918" i="11"/>
  <c r="M3917" i="11"/>
  <c r="M3916" i="11"/>
  <c r="M3915" i="11"/>
  <c r="M3914" i="11"/>
  <c r="M3913" i="11"/>
  <c r="M3912" i="11"/>
  <c r="M3911" i="11"/>
  <c r="M3910" i="11"/>
  <c r="M3909" i="11"/>
  <c r="M3908" i="11"/>
  <c r="M3907" i="11"/>
  <c r="M3906" i="11"/>
  <c r="M3905" i="11"/>
  <c r="M3904" i="11"/>
  <c r="M3903" i="11"/>
  <c r="M3902" i="11"/>
  <c r="M3901" i="11"/>
  <c r="M3900" i="11"/>
  <c r="M3899" i="11"/>
  <c r="M3898" i="11"/>
  <c r="M3897" i="11"/>
  <c r="M3896" i="11"/>
  <c r="M3895" i="11"/>
  <c r="M3894" i="11"/>
  <c r="M3893" i="11"/>
  <c r="M3892" i="11"/>
  <c r="M3891" i="11"/>
  <c r="M3890" i="11"/>
  <c r="M3889" i="11"/>
  <c r="M3888" i="11"/>
  <c r="M3887" i="11"/>
  <c r="M3886" i="11"/>
  <c r="M3885" i="11"/>
  <c r="M3884" i="11"/>
  <c r="M3883" i="11"/>
  <c r="M3882" i="11"/>
  <c r="M3881" i="11"/>
  <c r="M3880" i="11"/>
  <c r="M3879" i="11"/>
  <c r="M3878" i="11"/>
  <c r="M3877" i="11"/>
  <c r="M3876" i="11"/>
  <c r="M3875" i="11"/>
  <c r="M3874" i="11"/>
  <c r="M3873" i="11"/>
  <c r="M3872" i="11"/>
  <c r="M3871" i="11"/>
  <c r="M3870" i="11"/>
  <c r="M3869" i="11"/>
  <c r="M3868" i="11"/>
  <c r="M3867" i="11"/>
  <c r="M3866" i="11"/>
  <c r="M3865" i="11"/>
  <c r="M3864" i="11"/>
  <c r="M3863" i="11"/>
  <c r="M3862" i="11"/>
  <c r="M3861" i="11"/>
  <c r="M3860" i="11"/>
  <c r="M3859" i="11"/>
  <c r="M3858" i="11"/>
  <c r="M3857" i="11"/>
  <c r="M3856" i="11"/>
  <c r="M3855" i="11"/>
  <c r="M3854" i="11"/>
  <c r="M3853" i="11"/>
  <c r="M3852" i="11"/>
  <c r="M3851" i="11"/>
  <c r="M3850" i="11"/>
  <c r="M3849" i="11"/>
  <c r="M3848" i="11"/>
  <c r="M3847" i="11"/>
  <c r="M3846" i="11"/>
  <c r="M3845" i="11"/>
  <c r="M3844" i="11"/>
  <c r="M3843" i="11"/>
  <c r="M3842" i="11"/>
  <c r="M3841" i="11"/>
  <c r="M3840" i="11"/>
  <c r="M3839" i="11"/>
  <c r="M3838" i="11"/>
  <c r="M3837" i="11"/>
  <c r="M3836" i="11"/>
  <c r="M3835" i="11"/>
  <c r="M3834" i="11"/>
  <c r="M3833" i="11"/>
  <c r="M3832" i="11"/>
  <c r="M3831" i="11"/>
  <c r="M3830" i="11"/>
  <c r="M3829" i="11"/>
  <c r="M3828" i="11"/>
  <c r="M3827" i="11"/>
  <c r="M3826" i="11"/>
  <c r="M3825" i="11"/>
  <c r="M3824" i="11"/>
  <c r="M3823" i="11"/>
  <c r="M3822" i="11"/>
  <c r="M3821" i="11"/>
  <c r="M3820" i="11"/>
  <c r="M3819" i="11"/>
  <c r="M3818" i="11"/>
  <c r="M3817" i="11"/>
  <c r="M3816" i="11"/>
  <c r="M3815" i="11"/>
  <c r="M3814" i="11"/>
  <c r="M3813" i="11"/>
  <c r="M3812" i="11"/>
  <c r="M3811" i="11"/>
  <c r="M3810" i="11"/>
  <c r="M3809" i="11"/>
  <c r="M3808" i="11"/>
  <c r="M3807" i="11"/>
  <c r="M3806" i="11"/>
  <c r="M3805" i="11"/>
  <c r="M3804" i="11"/>
  <c r="M3803" i="11"/>
  <c r="M3802" i="11"/>
  <c r="M3801" i="11"/>
  <c r="M3800" i="11"/>
  <c r="M3799" i="11"/>
  <c r="M3798" i="11"/>
  <c r="M3797" i="11"/>
  <c r="M3796" i="11"/>
  <c r="M3795" i="11"/>
  <c r="M3794" i="11"/>
  <c r="M3793" i="11"/>
  <c r="M3792" i="11"/>
  <c r="M3791" i="11"/>
  <c r="M3790" i="11"/>
  <c r="M3789" i="11"/>
  <c r="M3788" i="11"/>
  <c r="M3787" i="11"/>
  <c r="M3786" i="11"/>
  <c r="M3785" i="11"/>
  <c r="M3784" i="11"/>
  <c r="M3783" i="11"/>
  <c r="M3782" i="11"/>
  <c r="M3781" i="11"/>
  <c r="M3780" i="11"/>
  <c r="M3779" i="11"/>
  <c r="M3778" i="11"/>
  <c r="M3777" i="11"/>
  <c r="M3776" i="11"/>
  <c r="M3775" i="11"/>
  <c r="M3774" i="11"/>
  <c r="M3773" i="11"/>
  <c r="M3772" i="11"/>
  <c r="M3771" i="11"/>
  <c r="M3770" i="11"/>
  <c r="M3769" i="11"/>
  <c r="M3768" i="11"/>
  <c r="M3767" i="11"/>
  <c r="M3766" i="11"/>
  <c r="M3765" i="11"/>
  <c r="M3764" i="11"/>
  <c r="M3763" i="11"/>
  <c r="M3762" i="11"/>
  <c r="M3761" i="11"/>
  <c r="M3760" i="11"/>
  <c r="M3759" i="11"/>
  <c r="M3758" i="11"/>
  <c r="M3757" i="11"/>
  <c r="M3756" i="11"/>
  <c r="M3755" i="11"/>
  <c r="M3754" i="11"/>
  <c r="M3753" i="11"/>
  <c r="M3752" i="11"/>
  <c r="M3751" i="11"/>
  <c r="M3750" i="11"/>
  <c r="M3749" i="11"/>
  <c r="M3748" i="11"/>
  <c r="M3747" i="11"/>
  <c r="M3746" i="11"/>
  <c r="M3745" i="11"/>
  <c r="M3744" i="11"/>
  <c r="M3743" i="11"/>
  <c r="M3742" i="11"/>
  <c r="M3741" i="11"/>
  <c r="M3740" i="11"/>
  <c r="M3739" i="11"/>
  <c r="M3738" i="11"/>
  <c r="M3737" i="11"/>
  <c r="M3736" i="11"/>
  <c r="M3735" i="11"/>
  <c r="M3734" i="11"/>
  <c r="M3733" i="11"/>
  <c r="M3732" i="11"/>
  <c r="M3731" i="11"/>
  <c r="M3730" i="11"/>
  <c r="M3729" i="11"/>
  <c r="M3728" i="11"/>
  <c r="M3727" i="11"/>
  <c r="M3726" i="11"/>
  <c r="M3725" i="11"/>
  <c r="M3724" i="11"/>
  <c r="M3723" i="11"/>
  <c r="M3722" i="11"/>
  <c r="M3721" i="11"/>
  <c r="M3720" i="11"/>
  <c r="M3719" i="11"/>
  <c r="M3718" i="11"/>
  <c r="M3717" i="11"/>
  <c r="M3716" i="11"/>
  <c r="M3715" i="11"/>
  <c r="M3714" i="11"/>
  <c r="M3713" i="11"/>
  <c r="M3712" i="11"/>
  <c r="M3711" i="11"/>
  <c r="M3710" i="11"/>
  <c r="M3709" i="11"/>
  <c r="M3708" i="11"/>
  <c r="M3707" i="11"/>
  <c r="M3706" i="11"/>
  <c r="M3705" i="11"/>
  <c r="M3704" i="11"/>
  <c r="M3703" i="11"/>
  <c r="M3702" i="11"/>
  <c r="M3701" i="11"/>
  <c r="M3700" i="11"/>
  <c r="M3699" i="11"/>
  <c r="M3698" i="11"/>
  <c r="M3697" i="11"/>
  <c r="M3696" i="11"/>
  <c r="M3695" i="11"/>
  <c r="M3694" i="11"/>
  <c r="M3693" i="11"/>
  <c r="M3692" i="11"/>
  <c r="M3691" i="11"/>
  <c r="M3690" i="11"/>
  <c r="M3689" i="11"/>
  <c r="M3688" i="11"/>
  <c r="M3687" i="11"/>
  <c r="M3686" i="11"/>
  <c r="M3685" i="11"/>
  <c r="M3684" i="11"/>
  <c r="M3683" i="11"/>
  <c r="M3682" i="11"/>
  <c r="M3681" i="11"/>
  <c r="M3680" i="11"/>
  <c r="M3679" i="11"/>
  <c r="M3678" i="11"/>
  <c r="M3677" i="11"/>
  <c r="M3676" i="11"/>
  <c r="M3675" i="11"/>
  <c r="M3674" i="11"/>
  <c r="M3673" i="11"/>
  <c r="M3672" i="11"/>
  <c r="M3671" i="11"/>
  <c r="M3670" i="11"/>
  <c r="M3669" i="11"/>
  <c r="M3668" i="11"/>
  <c r="M3667" i="11"/>
  <c r="M3666" i="11"/>
  <c r="M3665" i="11"/>
  <c r="M3664" i="11"/>
  <c r="M3663" i="11"/>
  <c r="M3662" i="11"/>
  <c r="M3661" i="11"/>
  <c r="M3660" i="11"/>
  <c r="M3659" i="11"/>
  <c r="M3658" i="11"/>
  <c r="M3657" i="11"/>
  <c r="M3656" i="11"/>
  <c r="M3655" i="11"/>
  <c r="M3654" i="11"/>
  <c r="M3653" i="11"/>
  <c r="M3652" i="11"/>
  <c r="M3651" i="11"/>
  <c r="M3650" i="11"/>
  <c r="M3649" i="11"/>
  <c r="M3648" i="11"/>
  <c r="M3647" i="11"/>
  <c r="M3646" i="11"/>
  <c r="M3645" i="11"/>
  <c r="M3644" i="11"/>
  <c r="M3643" i="11"/>
  <c r="M3642" i="11"/>
  <c r="M3641" i="11"/>
  <c r="M3640" i="11"/>
  <c r="M3639" i="11"/>
  <c r="M3638" i="11"/>
  <c r="M3637" i="11"/>
  <c r="M3636" i="11"/>
  <c r="M3635" i="11"/>
  <c r="M3634" i="11"/>
  <c r="M3633" i="11"/>
  <c r="M3632" i="11"/>
  <c r="M3631" i="11"/>
  <c r="M3630" i="11"/>
  <c r="M3629" i="11"/>
  <c r="M3628" i="11"/>
  <c r="M3627" i="11"/>
  <c r="M3626" i="11"/>
  <c r="M3625" i="11"/>
  <c r="M3624" i="11"/>
  <c r="M3623" i="11"/>
  <c r="M3622" i="11"/>
  <c r="M3621" i="11"/>
  <c r="M3620" i="11"/>
  <c r="M3619" i="11"/>
  <c r="M3618" i="11"/>
  <c r="M3617" i="11"/>
  <c r="M3616" i="11"/>
  <c r="M3615" i="11"/>
  <c r="M3614" i="11"/>
  <c r="M3613" i="11"/>
  <c r="M3612" i="11"/>
  <c r="M3611" i="11"/>
  <c r="M3610" i="11"/>
  <c r="M3609" i="11"/>
  <c r="M3608" i="11"/>
  <c r="M3607" i="11"/>
  <c r="M3606" i="11"/>
  <c r="M3605" i="11"/>
  <c r="M3604" i="11"/>
  <c r="M3603" i="11"/>
  <c r="M3602" i="11"/>
  <c r="M3601" i="11"/>
  <c r="M3600" i="11"/>
  <c r="M3599" i="11"/>
  <c r="M3598" i="11"/>
  <c r="M3597" i="11"/>
  <c r="M3596" i="11"/>
  <c r="M3595" i="11"/>
  <c r="M3594" i="11"/>
  <c r="M3593" i="11"/>
  <c r="M3592" i="11"/>
  <c r="M3591" i="11"/>
  <c r="M3590" i="11"/>
  <c r="M3589" i="11"/>
  <c r="M3588" i="11"/>
  <c r="M3587" i="11"/>
  <c r="M3586" i="11"/>
  <c r="M3585" i="11"/>
  <c r="M3584" i="11"/>
  <c r="M3583" i="11"/>
  <c r="M3582" i="11"/>
  <c r="M3581" i="11"/>
  <c r="M3580" i="11"/>
  <c r="M3579" i="11"/>
  <c r="M3578" i="11"/>
  <c r="M3577" i="11"/>
  <c r="M3576" i="11"/>
  <c r="M3575" i="11"/>
  <c r="M3574" i="11"/>
  <c r="M3573" i="11"/>
  <c r="M3572" i="11"/>
  <c r="M3571" i="11"/>
  <c r="M3570" i="11"/>
  <c r="M3569" i="11"/>
  <c r="M3568" i="11"/>
  <c r="M3567" i="11"/>
  <c r="M3566" i="11"/>
  <c r="M3565" i="11"/>
  <c r="M3564" i="11"/>
  <c r="M3563" i="11"/>
  <c r="M3562" i="11"/>
  <c r="M3561" i="11"/>
  <c r="M3560" i="11"/>
  <c r="M3559" i="11"/>
  <c r="M3558" i="11"/>
  <c r="M3557" i="11"/>
  <c r="M3556" i="11"/>
  <c r="M3555" i="11"/>
  <c r="M3554" i="11"/>
  <c r="M3553" i="11"/>
  <c r="M3552" i="11"/>
  <c r="M3551" i="11"/>
  <c r="M3550" i="11"/>
  <c r="M3549" i="11"/>
  <c r="M3548" i="11"/>
  <c r="M3547" i="11"/>
  <c r="M3546" i="11"/>
  <c r="M3545" i="11"/>
  <c r="M3544" i="11"/>
  <c r="M3543" i="11"/>
  <c r="M3542" i="11"/>
  <c r="M3541" i="11"/>
  <c r="M3540" i="11"/>
  <c r="M3539" i="11"/>
  <c r="M3538" i="11"/>
  <c r="M3537" i="11"/>
  <c r="M3536" i="11"/>
  <c r="M3535" i="11"/>
  <c r="M3534" i="11"/>
  <c r="M3533" i="11"/>
  <c r="M3532" i="11"/>
  <c r="M3531" i="11"/>
  <c r="M3530" i="11"/>
  <c r="M3529" i="11"/>
  <c r="M3528" i="11"/>
  <c r="M3527" i="11"/>
  <c r="M3526" i="11"/>
  <c r="M3525" i="11"/>
  <c r="M3524" i="11"/>
  <c r="M3523" i="11"/>
  <c r="M3522" i="11"/>
  <c r="M3521" i="11"/>
  <c r="M3520" i="11"/>
  <c r="M3519" i="11"/>
  <c r="M3518" i="11"/>
  <c r="M3517" i="11"/>
  <c r="M3516" i="11"/>
  <c r="M3515" i="11"/>
  <c r="M3514" i="11"/>
  <c r="M3513" i="11"/>
  <c r="M3512" i="11"/>
  <c r="M3511" i="11"/>
  <c r="M3510" i="11"/>
  <c r="M3509" i="11"/>
  <c r="M3508" i="11"/>
  <c r="M3507" i="11"/>
  <c r="M3506" i="11"/>
  <c r="M3505" i="11"/>
  <c r="M3504" i="11"/>
  <c r="M3503" i="11"/>
  <c r="M3502" i="11"/>
  <c r="M3501" i="11"/>
  <c r="M3500" i="11"/>
  <c r="M3499" i="11"/>
  <c r="M3498" i="11"/>
  <c r="M3497" i="11"/>
  <c r="M3496" i="11"/>
  <c r="M3495" i="11"/>
  <c r="M3494" i="11"/>
  <c r="M3493" i="11"/>
  <c r="M3492" i="11"/>
  <c r="M3491" i="11"/>
  <c r="M3490" i="11"/>
  <c r="M3489" i="11"/>
  <c r="M3488" i="11"/>
  <c r="M3487" i="11"/>
  <c r="M3486" i="11"/>
  <c r="M3485" i="11"/>
  <c r="M3484" i="11"/>
  <c r="M3483" i="11"/>
  <c r="M3482" i="11"/>
  <c r="M3481" i="11"/>
  <c r="M3480" i="11"/>
  <c r="M3479" i="11"/>
  <c r="M3478" i="11"/>
  <c r="M3477" i="11"/>
  <c r="M3476" i="11"/>
  <c r="M3475" i="11"/>
  <c r="M3474" i="11"/>
  <c r="M3473" i="11"/>
  <c r="M3472" i="11"/>
  <c r="M3471" i="11"/>
  <c r="M3470" i="11"/>
  <c r="M3469" i="11"/>
  <c r="M3468" i="11"/>
  <c r="M3467" i="11"/>
  <c r="M3466" i="11"/>
  <c r="M3465" i="11"/>
  <c r="M3464" i="11"/>
  <c r="M3463" i="11"/>
  <c r="M3462" i="11"/>
  <c r="M3461" i="11"/>
  <c r="M3460" i="11"/>
  <c r="M3459" i="11"/>
  <c r="M3458" i="11"/>
  <c r="M3457" i="11"/>
  <c r="M3456" i="11"/>
  <c r="M3455" i="11"/>
  <c r="M3454" i="11"/>
  <c r="M3453" i="11"/>
  <c r="M3452" i="11"/>
  <c r="M3451" i="11"/>
  <c r="M3450" i="11"/>
  <c r="M3449" i="11"/>
  <c r="M3448" i="11"/>
  <c r="M3447" i="11"/>
  <c r="M3446" i="11"/>
  <c r="M3445" i="11"/>
  <c r="M3444" i="11"/>
  <c r="M3443" i="11"/>
  <c r="M3442" i="11"/>
  <c r="M3441" i="11"/>
  <c r="M3440" i="11"/>
  <c r="M3439" i="11"/>
  <c r="M3438" i="11"/>
  <c r="M3437" i="11"/>
  <c r="M3436" i="11"/>
  <c r="M3435" i="11"/>
  <c r="M3434" i="11"/>
  <c r="M3433" i="11"/>
  <c r="M3432" i="11"/>
  <c r="M3431" i="11"/>
  <c r="M3430" i="11"/>
  <c r="M3429" i="11"/>
  <c r="M3428" i="11"/>
  <c r="M3427" i="11"/>
  <c r="M3426" i="11"/>
  <c r="M3425" i="11"/>
  <c r="M3424" i="11"/>
  <c r="M3423" i="11"/>
  <c r="M3422" i="11"/>
  <c r="M3421" i="11"/>
  <c r="M3420" i="11"/>
  <c r="M3419" i="11"/>
  <c r="M3418" i="11"/>
  <c r="M3417" i="11"/>
  <c r="M3416" i="11"/>
  <c r="M3415" i="11"/>
  <c r="M3414" i="11"/>
  <c r="M3413" i="11"/>
  <c r="M3412" i="11"/>
  <c r="M3411" i="11"/>
  <c r="M3410" i="11"/>
  <c r="M3409" i="11"/>
  <c r="M3408" i="11"/>
  <c r="M3407" i="11"/>
  <c r="M3406" i="11"/>
  <c r="M3405" i="11"/>
  <c r="M3404" i="11"/>
  <c r="M3403" i="11"/>
  <c r="M3402" i="11"/>
  <c r="M3401" i="11"/>
  <c r="M3400" i="11"/>
  <c r="M3399" i="11"/>
  <c r="M3398" i="11"/>
  <c r="M3397" i="11"/>
  <c r="M3396" i="11"/>
  <c r="M3395" i="11"/>
  <c r="M3394" i="11"/>
  <c r="M3393" i="11"/>
  <c r="M3392" i="11"/>
  <c r="M3391" i="11"/>
  <c r="M3390" i="11"/>
  <c r="M3389" i="11"/>
  <c r="M3388" i="11"/>
  <c r="M3387" i="11"/>
  <c r="M3386" i="11"/>
  <c r="M3385" i="11"/>
  <c r="M3384" i="11"/>
  <c r="M3383" i="11"/>
  <c r="M3382" i="11"/>
  <c r="M3381" i="11"/>
  <c r="M3380" i="11"/>
  <c r="M3379" i="11"/>
  <c r="M3378" i="11"/>
  <c r="M3377" i="11"/>
  <c r="M3376" i="11"/>
  <c r="M3375" i="11"/>
  <c r="M3374" i="11"/>
  <c r="M3373" i="11"/>
  <c r="M3372" i="11"/>
  <c r="M3371" i="11"/>
  <c r="M3370" i="11"/>
  <c r="M3369" i="11"/>
  <c r="M3368" i="11"/>
  <c r="M3367" i="11"/>
  <c r="M3366" i="11"/>
  <c r="M3365" i="11"/>
  <c r="M3364" i="11"/>
  <c r="M3363" i="11"/>
  <c r="M3362" i="11"/>
  <c r="M3361" i="11"/>
  <c r="M3360" i="11"/>
  <c r="M3359" i="11"/>
  <c r="M3358" i="11"/>
  <c r="M3357" i="11"/>
  <c r="M3356" i="11"/>
  <c r="M3355" i="11"/>
  <c r="M3354" i="11"/>
  <c r="M3353" i="11"/>
  <c r="M3352" i="11"/>
  <c r="M3351" i="11"/>
  <c r="M3350" i="11"/>
  <c r="M3349" i="11"/>
  <c r="M3348" i="11"/>
  <c r="M3347" i="11"/>
  <c r="M3346" i="11"/>
  <c r="M3345" i="11"/>
  <c r="M3344" i="11"/>
  <c r="M3343" i="11"/>
  <c r="M3342" i="11"/>
  <c r="M3341" i="11"/>
  <c r="M3340" i="11"/>
  <c r="M3339" i="11"/>
  <c r="M3338" i="11"/>
  <c r="M3337" i="11"/>
  <c r="M3336" i="11"/>
  <c r="M3335" i="11"/>
  <c r="M3334" i="11"/>
  <c r="M3333" i="11"/>
  <c r="M3332" i="11"/>
  <c r="M3331" i="11"/>
  <c r="M3330" i="11"/>
  <c r="M3329" i="11"/>
  <c r="M3328" i="11"/>
  <c r="M3327" i="11"/>
  <c r="M3326" i="11"/>
  <c r="M3325" i="11"/>
  <c r="M3324" i="11"/>
  <c r="M3323" i="11"/>
  <c r="M3322" i="11"/>
  <c r="M3321" i="11"/>
  <c r="M3320" i="11"/>
  <c r="M3319" i="11"/>
  <c r="M3318" i="11"/>
  <c r="M3317" i="11"/>
  <c r="M3316" i="11"/>
  <c r="M3315" i="11"/>
  <c r="M3314" i="11"/>
  <c r="M3313" i="11"/>
  <c r="M3312" i="11"/>
  <c r="M3311" i="11"/>
  <c r="M3310" i="11"/>
  <c r="M3309" i="11"/>
  <c r="M3308" i="11"/>
  <c r="M3307" i="11"/>
  <c r="M3306" i="11"/>
  <c r="M3305" i="11"/>
  <c r="M3304" i="11"/>
  <c r="M3303" i="11"/>
  <c r="M3302" i="11"/>
  <c r="M3301" i="11"/>
  <c r="M3300" i="11"/>
  <c r="M3299" i="11"/>
  <c r="M3298" i="11"/>
  <c r="M3297" i="11"/>
  <c r="M3296" i="11"/>
  <c r="M3295" i="11"/>
  <c r="M3294" i="11"/>
  <c r="M3293" i="11"/>
  <c r="M3292" i="11"/>
  <c r="M3291" i="11"/>
  <c r="M3290" i="11"/>
  <c r="M3289" i="11"/>
  <c r="M3288" i="11"/>
  <c r="M3287" i="11"/>
  <c r="M3286" i="11"/>
  <c r="M3285" i="11"/>
  <c r="M3284" i="11"/>
  <c r="M3283" i="11"/>
  <c r="M3282" i="11"/>
  <c r="M3281" i="11"/>
  <c r="M3280" i="11"/>
  <c r="M3279" i="11"/>
  <c r="M3278" i="11"/>
  <c r="M3277" i="11"/>
  <c r="M3276" i="11"/>
  <c r="M3275" i="11"/>
  <c r="M3274" i="11"/>
  <c r="M3273" i="11"/>
  <c r="M3272" i="11"/>
  <c r="M3271" i="11"/>
  <c r="M3270" i="11"/>
  <c r="M3269" i="11"/>
  <c r="M3268" i="11"/>
  <c r="M3267" i="11"/>
  <c r="M3266" i="11"/>
  <c r="M3265" i="11"/>
  <c r="M3264" i="11"/>
  <c r="M3263" i="11"/>
  <c r="M3262" i="11"/>
  <c r="M3261" i="11"/>
  <c r="M3260" i="11"/>
  <c r="M3259" i="11"/>
  <c r="M3258" i="11"/>
  <c r="M3257" i="11"/>
  <c r="M3256" i="11"/>
  <c r="M3255" i="11"/>
  <c r="M3254" i="11"/>
  <c r="M3253" i="11"/>
  <c r="M3252" i="11"/>
  <c r="M3251" i="11"/>
  <c r="M3250" i="11"/>
  <c r="M3249" i="11"/>
  <c r="M3248" i="11"/>
  <c r="M3247" i="11"/>
  <c r="M3246" i="11"/>
  <c r="M3245" i="11"/>
  <c r="M3244" i="11"/>
  <c r="M3243" i="11"/>
  <c r="M3242" i="11"/>
  <c r="M3241" i="11"/>
  <c r="M3240" i="11"/>
  <c r="M3239" i="11"/>
  <c r="M3238" i="11"/>
  <c r="M3237" i="11"/>
  <c r="M3236" i="11"/>
  <c r="M3235" i="11"/>
  <c r="M3234" i="11"/>
  <c r="M3233" i="11"/>
  <c r="M3232" i="11"/>
  <c r="M3231" i="11"/>
  <c r="M3230" i="11"/>
  <c r="M3229" i="11"/>
  <c r="M3228" i="11"/>
  <c r="M3227" i="11"/>
  <c r="M3226" i="11"/>
  <c r="M3225" i="11"/>
  <c r="M3224" i="11"/>
  <c r="M3223" i="11"/>
  <c r="M3222" i="11"/>
  <c r="M3221" i="11"/>
  <c r="M3220" i="11"/>
  <c r="M3219" i="11"/>
  <c r="M3218" i="11"/>
  <c r="M3217" i="11"/>
  <c r="M3216" i="11"/>
  <c r="M3215" i="11"/>
  <c r="M3214" i="11"/>
  <c r="M3213" i="11"/>
  <c r="M3212" i="11"/>
  <c r="M3211" i="11"/>
  <c r="M3210" i="11"/>
  <c r="M3209" i="11"/>
  <c r="M3208" i="11"/>
  <c r="M3207" i="11"/>
  <c r="M3206" i="11"/>
  <c r="M3205" i="11"/>
  <c r="M3204" i="11"/>
  <c r="M3203" i="11"/>
  <c r="M3202" i="11"/>
  <c r="M3201" i="11"/>
  <c r="M3200" i="11"/>
  <c r="M3199" i="11"/>
  <c r="M3198" i="11"/>
  <c r="M3197" i="11"/>
  <c r="M3196" i="11"/>
  <c r="M3195" i="11"/>
  <c r="M3194" i="11"/>
  <c r="M3193" i="11"/>
  <c r="M3192" i="11"/>
  <c r="M3191" i="11"/>
  <c r="M3190" i="11"/>
  <c r="M3189" i="11"/>
  <c r="M3188" i="11"/>
  <c r="M3187" i="11"/>
  <c r="M3186" i="11"/>
  <c r="M3185" i="11"/>
  <c r="M3184" i="11"/>
  <c r="M3183" i="11"/>
  <c r="M3182" i="11"/>
  <c r="M3181" i="11"/>
  <c r="M3180" i="11"/>
  <c r="M3179" i="11"/>
  <c r="M3178" i="11"/>
  <c r="M3177" i="11"/>
  <c r="M3176" i="11"/>
  <c r="M3175" i="11"/>
  <c r="M3174" i="11"/>
  <c r="M3173" i="11"/>
  <c r="M3172" i="11"/>
  <c r="M3171" i="11"/>
  <c r="M3170" i="11"/>
  <c r="M3169" i="11"/>
  <c r="M3168" i="11"/>
  <c r="M3167" i="11"/>
  <c r="M3166" i="11"/>
  <c r="M3165" i="11"/>
  <c r="M3164" i="11"/>
  <c r="M3163" i="11"/>
  <c r="M3162" i="11"/>
  <c r="M3161" i="11"/>
  <c r="M3160" i="11"/>
  <c r="M3159" i="11"/>
  <c r="M3158" i="11"/>
  <c r="M3157" i="11"/>
  <c r="M3156" i="11"/>
  <c r="M3155" i="11"/>
  <c r="M3154" i="11"/>
  <c r="M3153" i="11"/>
  <c r="M3152" i="11"/>
  <c r="M3151" i="11"/>
  <c r="M3150" i="11"/>
  <c r="M3149" i="11"/>
  <c r="M3148" i="11"/>
  <c r="M3147" i="11"/>
  <c r="M3146" i="11"/>
  <c r="M3145" i="11"/>
  <c r="M3144" i="11"/>
  <c r="M3143" i="11"/>
  <c r="M3142" i="11"/>
  <c r="M3141" i="11"/>
  <c r="M3140" i="11"/>
  <c r="M3139" i="11"/>
  <c r="M3138" i="11"/>
  <c r="M3137" i="11"/>
  <c r="M3136" i="11"/>
  <c r="M3135" i="11"/>
  <c r="M3134" i="11"/>
  <c r="M3133" i="11"/>
  <c r="M3132" i="11"/>
  <c r="M3131" i="11"/>
  <c r="M3130" i="11"/>
  <c r="M3129" i="11"/>
  <c r="M3128" i="11"/>
  <c r="M3127" i="11"/>
  <c r="M3126" i="11"/>
  <c r="M3125" i="11"/>
  <c r="M3124" i="11"/>
  <c r="M3123" i="11"/>
  <c r="M3122" i="11"/>
  <c r="M3121" i="11"/>
  <c r="M3120" i="11"/>
  <c r="M3119" i="11"/>
  <c r="M3118" i="11"/>
  <c r="M3117" i="11"/>
  <c r="M3116" i="11"/>
  <c r="M3115" i="11"/>
  <c r="M3114" i="11"/>
  <c r="M3113" i="11"/>
  <c r="M3112" i="11"/>
  <c r="M3111" i="11"/>
  <c r="M3110" i="11"/>
  <c r="M3109" i="11"/>
  <c r="M3108" i="11"/>
  <c r="M3107" i="11"/>
  <c r="M3106" i="11"/>
  <c r="M3105" i="11"/>
  <c r="M3104" i="11"/>
  <c r="M3103" i="11"/>
  <c r="M3102" i="11"/>
  <c r="M3101" i="11"/>
  <c r="M3100" i="11"/>
  <c r="M3099" i="11"/>
  <c r="M3098" i="11"/>
  <c r="M3097" i="11"/>
  <c r="M3096" i="11"/>
  <c r="M3095" i="11"/>
  <c r="M3094" i="11"/>
  <c r="M3093" i="11"/>
  <c r="M3092" i="11"/>
  <c r="M3091" i="11"/>
  <c r="M3090" i="11"/>
  <c r="M3089" i="11"/>
  <c r="M3088" i="11"/>
  <c r="M3087" i="11"/>
  <c r="M3086" i="11"/>
  <c r="M3085" i="11"/>
  <c r="M3084" i="11"/>
  <c r="M3083" i="11"/>
  <c r="M3082" i="11"/>
  <c r="M3081" i="11"/>
  <c r="M3080" i="11"/>
  <c r="M3079" i="11"/>
  <c r="M3078" i="11"/>
  <c r="M3077" i="11"/>
  <c r="M3076" i="11"/>
  <c r="M3075" i="11"/>
  <c r="M3074" i="11"/>
  <c r="M3073" i="11"/>
  <c r="M3072" i="11"/>
  <c r="M3071" i="11"/>
  <c r="M3070" i="11"/>
  <c r="M3069" i="11"/>
  <c r="M3068" i="11"/>
  <c r="M3067" i="11"/>
  <c r="M3066" i="11"/>
  <c r="M3065" i="11"/>
  <c r="M3064" i="11"/>
  <c r="M3063" i="11"/>
  <c r="M3062" i="11"/>
  <c r="M3061" i="11"/>
  <c r="M3060" i="11"/>
  <c r="M3059" i="11"/>
  <c r="M3058" i="11"/>
  <c r="M3057" i="11"/>
  <c r="M3056" i="11"/>
  <c r="M3055" i="11"/>
  <c r="M3054" i="11"/>
  <c r="M3053" i="11"/>
  <c r="M3052" i="11"/>
  <c r="M3051" i="11"/>
  <c r="M3050" i="11"/>
  <c r="M3049" i="11"/>
  <c r="M3048" i="11"/>
  <c r="M3047" i="11"/>
  <c r="M3046" i="11"/>
  <c r="M3045" i="11"/>
  <c r="M3044" i="11"/>
  <c r="M3043" i="11"/>
  <c r="M3042" i="11"/>
  <c r="M3041" i="11"/>
  <c r="M3040" i="11"/>
  <c r="M3039" i="11"/>
  <c r="M3038" i="11"/>
  <c r="M3037" i="11"/>
  <c r="M3036" i="11"/>
  <c r="M3035" i="11"/>
  <c r="M3034" i="11"/>
  <c r="M3033" i="11"/>
  <c r="M3032" i="11"/>
  <c r="M3031" i="11"/>
  <c r="M3030" i="11"/>
  <c r="M3029" i="11"/>
  <c r="M3028" i="11"/>
  <c r="M3027" i="11"/>
  <c r="M3026" i="11"/>
  <c r="M3025" i="11"/>
  <c r="M3024" i="11"/>
  <c r="M3023" i="11"/>
  <c r="M3022" i="11"/>
  <c r="M3021" i="11"/>
  <c r="M3020" i="11"/>
  <c r="M3019" i="11"/>
  <c r="M3018" i="11"/>
  <c r="M3017" i="11"/>
  <c r="M3016" i="11"/>
  <c r="M3015" i="11"/>
  <c r="M3014" i="11"/>
  <c r="M3013" i="11"/>
  <c r="M3012" i="11"/>
  <c r="M3011" i="11"/>
  <c r="M3010" i="11"/>
  <c r="M3009" i="11"/>
  <c r="M3008" i="11"/>
  <c r="M3007" i="11"/>
  <c r="M3006" i="11"/>
  <c r="M3005" i="11"/>
  <c r="M3004" i="11"/>
  <c r="M3003" i="11"/>
  <c r="M3002" i="11"/>
  <c r="M3001" i="11"/>
  <c r="M3000" i="11"/>
  <c r="M2999" i="11"/>
  <c r="M2998" i="11"/>
  <c r="M2997" i="11"/>
  <c r="M2996" i="11"/>
  <c r="M2995" i="11"/>
  <c r="M2994" i="11"/>
  <c r="M2993" i="11"/>
  <c r="M2992" i="11"/>
  <c r="M2991" i="11"/>
  <c r="M2990" i="11"/>
  <c r="M2989" i="11"/>
  <c r="M2988" i="11"/>
  <c r="M2987" i="11"/>
  <c r="M2986" i="11"/>
  <c r="M2985" i="11"/>
  <c r="M2984" i="11"/>
  <c r="M2983" i="11"/>
  <c r="M2982" i="11"/>
  <c r="M2981" i="11"/>
  <c r="M2980" i="11"/>
  <c r="M2979" i="11"/>
  <c r="M2978" i="11"/>
  <c r="M2977" i="11"/>
  <c r="M2976" i="11"/>
  <c r="M2975" i="11"/>
  <c r="M2974" i="11"/>
  <c r="M2973" i="11"/>
  <c r="M2972" i="11"/>
  <c r="M2971" i="11"/>
  <c r="M2970" i="11"/>
  <c r="M2969" i="11"/>
  <c r="M2968" i="11"/>
  <c r="M2967" i="11"/>
  <c r="M2966" i="11"/>
  <c r="M2965" i="11"/>
  <c r="M2964" i="11"/>
  <c r="M2963" i="11"/>
  <c r="M2962" i="11"/>
  <c r="M2961" i="11"/>
  <c r="M2960" i="11"/>
  <c r="M2959" i="11"/>
  <c r="M2958" i="11"/>
  <c r="M2957" i="11"/>
  <c r="M2956" i="11"/>
  <c r="M2955" i="11"/>
  <c r="M2954" i="11"/>
  <c r="M2953" i="11"/>
  <c r="M2952" i="11"/>
  <c r="M2951" i="11"/>
  <c r="M2950" i="11"/>
  <c r="M2949" i="11"/>
  <c r="M2948" i="11"/>
  <c r="M2947" i="11"/>
  <c r="M2946" i="11"/>
  <c r="M2945" i="11"/>
  <c r="M2944" i="11"/>
  <c r="M2943" i="11"/>
  <c r="M2942" i="11"/>
  <c r="M2941" i="11"/>
  <c r="M2940" i="11"/>
  <c r="M2939" i="11"/>
  <c r="M2938" i="11"/>
  <c r="M2937" i="11"/>
  <c r="M2936" i="11"/>
  <c r="M2935" i="11"/>
  <c r="M2934" i="11"/>
  <c r="M2933" i="11"/>
  <c r="M2932" i="11"/>
  <c r="M2931" i="11"/>
  <c r="M2930" i="11"/>
  <c r="M2929" i="11"/>
  <c r="M2928" i="11"/>
  <c r="M2927" i="11"/>
  <c r="M2926" i="11"/>
  <c r="M2925" i="11"/>
  <c r="M2924" i="11"/>
  <c r="M2923" i="11"/>
  <c r="M2922" i="11"/>
  <c r="M2921" i="11"/>
  <c r="M2920" i="11"/>
  <c r="M2919" i="11"/>
  <c r="M2918" i="11"/>
  <c r="M2917" i="11"/>
  <c r="M2916" i="11"/>
  <c r="M2915" i="11"/>
  <c r="M2914" i="11"/>
  <c r="M2913" i="11"/>
  <c r="M2912" i="11"/>
  <c r="M2911" i="11"/>
  <c r="M2910" i="11"/>
  <c r="M2909" i="11"/>
  <c r="M2908" i="11"/>
  <c r="M2907" i="11"/>
  <c r="M2906" i="11"/>
  <c r="M2905" i="11"/>
  <c r="M2904" i="11"/>
  <c r="M2903" i="11"/>
  <c r="M2902" i="11"/>
  <c r="M2901" i="11"/>
  <c r="M2900" i="11"/>
  <c r="M2899" i="11"/>
  <c r="M2898" i="11"/>
  <c r="M2897" i="11"/>
  <c r="M2896" i="11"/>
  <c r="M2895" i="11"/>
  <c r="M2894" i="11"/>
  <c r="M2893" i="11"/>
  <c r="M2892" i="11"/>
  <c r="M2891" i="11"/>
  <c r="M2890" i="11"/>
  <c r="M2889" i="11"/>
  <c r="M2888" i="11"/>
  <c r="M2887" i="11"/>
  <c r="M2886" i="11"/>
  <c r="M2885" i="11"/>
  <c r="M2884" i="11"/>
  <c r="M2883" i="11"/>
  <c r="M2882" i="11"/>
  <c r="M2881" i="11"/>
  <c r="M2880" i="11"/>
  <c r="M2879" i="11"/>
  <c r="M2878" i="11"/>
  <c r="M2877" i="11"/>
  <c r="M2876" i="11"/>
  <c r="M2875" i="11"/>
  <c r="M2874" i="11"/>
  <c r="M2873" i="11"/>
  <c r="M2872" i="11"/>
  <c r="M2871" i="11"/>
  <c r="M2870" i="11"/>
  <c r="M2869" i="11"/>
  <c r="M2868" i="11"/>
  <c r="M2867" i="11"/>
  <c r="M2866" i="11"/>
  <c r="M2865" i="11"/>
  <c r="M2864" i="11"/>
  <c r="M2863" i="11"/>
  <c r="M2862" i="11"/>
  <c r="M2861" i="11"/>
  <c r="M2860" i="11"/>
  <c r="M2859" i="11"/>
  <c r="M2858" i="11"/>
  <c r="M2857" i="11"/>
  <c r="M2856" i="11"/>
  <c r="M2855" i="11"/>
  <c r="M2854" i="11"/>
  <c r="M2853" i="11"/>
  <c r="M2852" i="11"/>
  <c r="M2851" i="11"/>
  <c r="M2850" i="11"/>
  <c r="M2849" i="11"/>
  <c r="M2848" i="11"/>
  <c r="M2847" i="11"/>
  <c r="M2846" i="11"/>
  <c r="M2845" i="11"/>
  <c r="M2844" i="11"/>
  <c r="M2843" i="11"/>
  <c r="M2842" i="11"/>
  <c r="M2841" i="11"/>
  <c r="M2840" i="11"/>
  <c r="M2839" i="11"/>
  <c r="M2838" i="11"/>
  <c r="M2837" i="11"/>
  <c r="M2836" i="11"/>
  <c r="M2835" i="11"/>
  <c r="M2834" i="11"/>
  <c r="M2833" i="11"/>
  <c r="M2832" i="11"/>
  <c r="M2831" i="11"/>
  <c r="M2830" i="11"/>
  <c r="M2829" i="11"/>
  <c r="M2828" i="11"/>
  <c r="M2827" i="11"/>
  <c r="M2826" i="11"/>
  <c r="M2825" i="11"/>
  <c r="M2824" i="11"/>
  <c r="M2823" i="11"/>
  <c r="M2822" i="11"/>
  <c r="M2821" i="11"/>
  <c r="M2820" i="11"/>
  <c r="M2819" i="11"/>
  <c r="M2818" i="11"/>
  <c r="M2817" i="11"/>
  <c r="M2816" i="11"/>
  <c r="M2815" i="11"/>
  <c r="M2814" i="11"/>
  <c r="M2813" i="11"/>
  <c r="M2812" i="11"/>
  <c r="M2811" i="11"/>
  <c r="M2810" i="11"/>
  <c r="M2809" i="11"/>
  <c r="M2808" i="11"/>
  <c r="M2807" i="11"/>
  <c r="M2806" i="11"/>
  <c r="M2805" i="11"/>
  <c r="M2804" i="11"/>
  <c r="M2803" i="11"/>
  <c r="M2802" i="11"/>
  <c r="M2801" i="11"/>
  <c r="M2800" i="11"/>
  <c r="M2799" i="11"/>
  <c r="M2798" i="11"/>
  <c r="M2797" i="11"/>
  <c r="M2796" i="11"/>
  <c r="M2795" i="11"/>
  <c r="M2794" i="11"/>
  <c r="M2793" i="11"/>
  <c r="M2792" i="11"/>
  <c r="M2791" i="11"/>
  <c r="M2790" i="11"/>
  <c r="M2789" i="11"/>
  <c r="M2788" i="11"/>
  <c r="M2787" i="11"/>
  <c r="M2786" i="11"/>
  <c r="M2785" i="11"/>
  <c r="M2784" i="11"/>
  <c r="M2783" i="11"/>
  <c r="M2782" i="11"/>
  <c r="M2781" i="11"/>
  <c r="M2780" i="11"/>
  <c r="M2779" i="11"/>
  <c r="M2778" i="11"/>
  <c r="M2777" i="11"/>
  <c r="M2776" i="11"/>
  <c r="M2775" i="11"/>
  <c r="M2774" i="11"/>
  <c r="M2773" i="11"/>
  <c r="M2772" i="11"/>
  <c r="M2771" i="11"/>
  <c r="M2770" i="11"/>
  <c r="M2769" i="11"/>
  <c r="M2768" i="11"/>
  <c r="M2767" i="11"/>
  <c r="M2766" i="11"/>
  <c r="M2765" i="11"/>
  <c r="M2764" i="11"/>
  <c r="M2763" i="11"/>
  <c r="M2762" i="11"/>
  <c r="M2761" i="11"/>
  <c r="M2760" i="11"/>
  <c r="M2759" i="11"/>
  <c r="M2758" i="11"/>
  <c r="M2757" i="11"/>
  <c r="M2756" i="11"/>
  <c r="M2755" i="11"/>
  <c r="M2754" i="11"/>
  <c r="M2753" i="11"/>
  <c r="M2752" i="11"/>
  <c r="M2751" i="11"/>
  <c r="M2750" i="11"/>
  <c r="M2749" i="11"/>
  <c r="M2748" i="11"/>
  <c r="M2747" i="11"/>
  <c r="M2746" i="11"/>
  <c r="M2745" i="11"/>
  <c r="M2744" i="11"/>
  <c r="M2743" i="11"/>
  <c r="M2742" i="11"/>
  <c r="M2741" i="11"/>
  <c r="M2740" i="11"/>
  <c r="M2739" i="11"/>
  <c r="M2738" i="11"/>
  <c r="M2737" i="11"/>
  <c r="M2736" i="11"/>
  <c r="M2735" i="11"/>
  <c r="M2734" i="11"/>
  <c r="M2733" i="11"/>
  <c r="M2732" i="11"/>
  <c r="M2731" i="11"/>
  <c r="M2730" i="11"/>
  <c r="M2729" i="11"/>
  <c r="M2728" i="11"/>
  <c r="M2727" i="11"/>
  <c r="M2726" i="11"/>
  <c r="M2725" i="11"/>
  <c r="M2724" i="11"/>
  <c r="M2723" i="11"/>
  <c r="M2722" i="11"/>
  <c r="M2721" i="11"/>
  <c r="M2720" i="11"/>
  <c r="M2719" i="11"/>
  <c r="M2718" i="11"/>
  <c r="M2717" i="11"/>
  <c r="M2716" i="11"/>
  <c r="M2715" i="11"/>
  <c r="M2714" i="11"/>
  <c r="M2713" i="11"/>
  <c r="M2712" i="11"/>
  <c r="M2711" i="11"/>
  <c r="M2710" i="11"/>
  <c r="M2709" i="11"/>
  <c r="M2708" i="11"/>
  <c r="M2707" i="11"/>
  <c r="M2706" i="11"/>
  <c r="M2705" i="11"/>
  <c r="M2704" i="11"/>
  <c r="M2703" i="11"/>
  <c r="M2702" i="11"/>
  <c r="M2701" i="11"/>
  <c r="M2700" i="11"/>
  <c r="M2699" i="11"/>
  <c r="M2698" i="11"/>
  <c r="M2697" i="11"/>
  <c r="M2696" i="11"/>
  <c r="M2695" i="11"/>
  <c r="M2694" i="11"/>
  <c r="M2693" i="11"/>
  <c r="M2692" i="11"/>
  <c r="M2691" i="11"/>
  <c r="M2690" i="11"/>
  <c r="M2689" i="11"/>
  <c r="M2688" i="11"/>
  <c r="M2687" i="11"/>
  <c r="M2686" i="11"/>
  <c r="M2685" i="11"/>
  <c r="M2684" i="11"/>
  <c r="M2683" i="11"/>
  <c r="M2682" i="11"/>
  <c r="M2681" i="11"/>
  <c r="M2680" i="11"/>
  <c r="M2679" i="11"/>
  <c r="M2678" i="11"/>
  <c r="M2677" i="11"/>
  <c r="M2676" i="11"/>
  <c r="M2675" i="11"/>
  <c r="M2674" i="11"/>
  <c r="M2673" i="11"/>
  <c r="M2672" i="11"/>
  <c r="M2671" i="11"/>
  <c r="M2670" i="11"/>
  <c r="M2669" i="11"/>
  <c r="M2668" i="11"/>
  <c r="M2667" i="11"/>
  <c r="M2666" i="11"/>
  <c r="M2665" i="11"/>
  <c r="M2664" i="11"/>
  <c r="M2663" i="11"/>
  <c r="M2662" i="11"/>
  <c r="M2661" i="11"/>
  <c r="M2660" i="11"/>
  <c r="M2659" i="11"/>
  <c r="M2658" i="11"/>
  <c r="M2657" i="11"/>
  <c r="M2656" i="11"/>
  <c r="M2655" i="11"/>
  <c r="M2654" i="11"/>
  <c r="M2653" i="11"/>
  <c r="M2652" i="11"/>
  <c r="M2651" i="11"/>
  <c r="M2650" i="11"/>
  <c r="M2649" i="11"/>
  <c r="M2648" i="11"/>
  <c r="M2647" i="11"/>
  <c r="M2646" i="11"/>
  <c r="M2645" i="11"/>
  <c r="M2644" i="11"/>
  <c r="M2643" i="11"/>
  <c r="M2642" i="11"/>
  <c r="M2641" i="11"/>
  <c r="M2640" i="11"/>
  <c r="M2639" i="11"/>
  <c r="M2638" i="11"/>
  <c r="M2637" i="11"/>
  <c r="M2636" i="11"/>
  <c r="M2635" i="11"/>
  <c r="M2634" i="11"/>
  <c r="M2633" i="11"/>
  <c r="M2632" i="11"/>
  <c r="M2631" i="11"/>
  <c r="M2630" i="11"/>
  <c r="M2629" i="11"/>
  <c r="M2628" i="11"/>
  <c r="M2627" i="11"/>
  <c r="M2626" i="11"/>
  <c r="M2625" i="11"/>
  <c r="M2624" i="11"/>
  <c r="M2623" i="11"/>
  <c r="M2622" i="11"/>
  <c r="M2621" i="11"/>
  <c r="M2620" i="11"/>
  <c r="M2619" i="11"/>
  <c r="M2618" i="11"/>
  <c r="M2617" i="11"/>
  <c r="M2616" i="11"/>
  <c r="M2615" i="11"/>
  <c r="M2614" i="11"/>
  <c r="M2613" i="11"/>
  <c r="M2612" i="11"/>
  <c r="M2611" i="11"/>
  <c r="M2610" i="11"/>
  <c r="M2609" i="11"/>
  <c r="M2608" i="11"/>
  <c r="M2607" i="11"/>
  <c r="M2606" i="11"/>
  <c r="M2605" i="11"/>
  <c r="M2604" i="11"/>
  <c r="M2603" i="11"/>
  <c r="M2602" i="11"/>
  <c r="M2601" i="11"/>
  <c r="M2600" i="11"/>
  <c r="M2599" i="11"/>
  <c r="M2598" i="11"/>
  <c r="M2597" i="11"/>
  <c r="M2596" i="11"/>
  <c r="M2595" i="11"/>
  <c r="M2594" i="11"/>
  <c r="M2593" i="11"/>
  <c r="M2592" i="11"/>
  <c r="M2591" i="11"/>
  <c r="M2590" i="11"/>
  <c r="M2589" i="11"/>
  <c r="M2588" i="11"/>
  <c r="M2587" i="11"/>
  <c r="M2586" i="11"/>
  <c r="M2585" i="11"/>
  <c r="M2584" i="11"/>
  <c r="M2583" i="11"/>
  <c r="M2582" i="11"/>
  <c r="M2581" i="11"/>
  <c r="M2580" i="11"/>
  <c r="M2579" i="11"/>
  <c r="M2578" i="11"/>
  <c r="M2577" i="11"/>
  <c r="M2576" i="11"/>
  <c r="M2575" i="11"/>
  <c r="M2574" i="11"/>
  <c r="M2573" i="11"/>
  <c r="M2572" i="11"/>
  <c r="M2571" i="11"/>
  <c r="M2570" i="11"/>
  <c r="M2569" i="11"/>
  <c r="M2568" i="11"/>
  <c r="M2567" i="11"/>
  <c r="M2566" i="11"/>
  <c r="M2565" i="11"/>
  <c r="M2564" i="11"/>
  <c r="M2563" i="11"/>
  <c r="M2562" i="11"/>
  <c r="M2561" i="11"/>
  <c r="M2560" i="11"/>
  <c r="M2559" i="11"/>
  <c r="M2558" i="11"/>
  <c r="M2557" i="11"/>
  <c r="M2556" i="11"/>
  <c r="M2555" i="11"/>
  <c r="M2554" i="11"/>
  <c r="M2553" i="11"/>
  <c r="M2552" i="11"/>
  <c r="M2551" i="11"/>
  <c r="M2550" i="11"/>
  <c r="M2549" i="11"/>
  <c r="M2548" i="11"/>
  <c r="M2547" i="11"/>
  <c r="M2546" i="11"/>
  <c r="M2545" i="11"/>
  <c r="M2544" i="11"/>
  <c r="M2543" i="11"/>
  <c r="M2542" i="11"/>
  <c r="M2541" i="11"/>
  <c r="M2540" i="11"/>
  <c r="M2539" i="11"/>
  <c r="M2538" i="11"/>
  <c r="M2537" i="11"/>
  <c r="M2536" i="11"/>
  <c r="M2535" i="11"/>
  <c r="M2534" i="11"/>
  <c r="M2533" i="11"/>
  <c r="M2532" i="11"/>
  <c r="M2531" i="11"/>
  <c r="M2530" i="11"/>
  <c r="M2529" i="11"/>
  <c r="M2528" i="11"/>
  <c r="M2527" i="11"/>
  <c r="M2526" i="11"/>
  <c r="M2525" i="11"/>
  <c r="M2524" i="11"/>
  <c r="M2523" i="11"/>
  <c r="M2522" i="11"/>
  <c r="M2521" i="11"/>
  <c r="M2520" i="11"/>
  <c r="M2519" i="11"/>
  <c r="M2518" i="11"/>
  <c r="M2517" i="11"/>
  <c r="M2516" i="11"/>
  <c r="M2515" i="11"/>
  <c r="M2514" i="11"/>
  <c r="M2513" i="11"/>
  <c r="M2512" i="11"/>
  <c r="M2511" i="11"/>
  <c r="M2510" i="11"/>
  <c r="M2509" i="11"/>
  <c r="M2508" i="11"/>
  <c r="M2507" i="11"/>
  <c r="M2506" i="11"/>
  <c r="M2505" i="11"/>
  <c r="M2504" i="11"/>
  <c r="M2503" i="11"/>
  <c r="M2502" i="11"/>
  <c r="M2501" i="11"/>
  <c r="M2500" i="11"/>
  <c r="M2499" i="11"/>
  <c r="M2498" i="11"/>
  <c r="M2497" i="11"/>
  <c r="M2496" i="11"/>
  <c r="M2495" i="11"/>
  <c r="M2494" i="11"/>
  <c r="M2493" i="11"/>
  <c r="M2492" i="11"/>
  <c r="M2491" i="11"/>
  <c r="M2490" i="11"/>
  <c r="M2489" i="11"/>
  <c r="M2488" i="11"/>
  <c r="M2487" i="11"/>
  <c r="M2486" i="11"/>
  <c r="M2485" i="11"/>
  <c r="M2484" i="11"/>
  <c r="M2483" i="11"/>
  <c r="M2482" i="11"/>
  <c r="M2481" i="11"/>
  <c r="M2480" i="11"/>
  <c r="M2479" i="11"/>
  <c r="M2478" i="11"/>
  <c r="M2477" i="11"/>
  <c r="M2476" i="11"/>
  <c r="M2475" i="11"/>
  <c r="M2474" i="11"/>
  <c r="M2473" i="11"/>
  <c r="M2472" i="11"/>
  <c r="M2471" i="11"/>
  <c r="M2470" i="11"/>
  <c r="M2469" i="11"/>
  <c r="M2468" i="11"/>
  <c r="M2467" i="11"/>
  <c r="M2466" i="11"/>
  <c r="M2465" i="11"/>
  <c r="M2464" i="11"/>
  <c r="M2463" i="11"/>
  <c r="M2462" i="11"/>
  <c r="M2461" i="11"/>
  <c r="M2460" i="11"/>
  <c r="M2459" i="11"/>
  <c r="M2458" i="11"/>
  <c r="M2457" i="11"/>
  <c r="M2456" i="11"/>
  <c r="M2455" i="11"/>
  <c r="M2454" i="11"/>
  <c r="M2453" i="11"/>
  <c r="M2452" i="11"/>
  <c r="M2451" i="11"/>
  <c r="M2450" i="11"/>
  <c r="M2449" i="11"/>
  <c r="M2448" i="11"/>
  <c r="M2447" i="11"/>
  <c r="M2446" i="11"/>
  <c r="M2445" i="11"/>
  <c r="M2444" i="11"/>
  <c r="M2443" i="11"/>
  <c r="M2442" i="11"/>
  <c r="M2441" i="11"/>
  <c r="M2440" i="11"/>
  <c r="M2439" i="11"/>
  <c r="M2438" i="11"/>
  <c r="M2437" i="11"/>
  <c r="M2436" i="11"/>
  <c r="M2435" i="11"/>
  <c r="M2434" i="11"/>
  <c r="M2433" i="11"/>
  <c r="M2432" i="11"/>
  <c r="M2431" i="11"/>
  <c r="M2430" i="11"/>
  <c r="M2429" i="11"/>
  <c r="M2428" i="11"/>
  <c r="M2427" i="11"/>
  <c r="M2426" i="11"/>
  <c r="M2425" i="11"/>
  <c r="M2424" i="11"/>
  <c r="M2423" i="11"/>
  <c r="M2422" i="11"/>
  <c r="M2421" i="11"/>
  <c r="M2420" i="11"/>
  <c r="M2419" i="11"/>
  <c r="M2418" i="11"/>
  <c r="M2417" i="11"/>
  <c r="M2416" i="11"/>
  <c r="M2415" i="11"/>
  <c r="M2414" i="11"/>
  <c r="M2413" i="11"/>
  <c r="M2412" i="11"/>
  <c r="M2411" i="11"/>
  <c r="M2410" i="11"/>
  <c r="M2409" i="11"/>
  <c r="M2408" i="11"/>
  <c r="M2407" i="11"/>
  <c r="M2406" i="11"/>
  <c r="M2405" i="11"/>
  <c r="M2404" i="11"/>
  <c r="M2403" i="11"/>
  <c r="M2402" i="11"/>
  <c r="M2401" i="11"/>
  <c r="M2400" i="11"/>
  <c r="M2399" i="11"/>
  <c r="M2398" i="11"/>
  <c r="M2397" i="11"/>
  <c r="M2396" i="11"/>
  <c r="M2395" i="11"/>
  <c r="M2394" i="11"/>
  <c r="M2393" i="11"/>
  <c r="M2392" i="11"/>
  <c r="M2391" i="11"/>
  <c r="M2390" i="11"/>
  <c r="M2389" i="11"/>
  <c r="M2388" i="11"/>
  <c r="M2387" i="11"/>
  <c r="M2386" i="11"/>
  <c r="M2385" i="11"/>
  <c r="M2384" i="11"/>
  <c r="M2383" i="11"/>
  <c r="M2382" i="11"/>
  <c r="M2381" i="11"/>
  <c r="M2380" i="11"/>
  <c r="M2379" i="11"/>
  <c r="M2378" i="11"/>
  <c r="M2377" i="11"/>
  <c r="M2376" i="11"/>
  <c r="M2375" i="11"/>
  <c r="M2374" i="11"/>
  <c r="M2373" i="11"/>
  <c r="M2372" i="11"/>
  <c r="M2371" i="11"/>
  <c r="M2370" i="11"/>
  <c r="M2369" i="11"/>
  <c r="M2368" i="11"/>
  <c r="M2367" i="11"/>
  <c r="M2366" i="11"/>
  <c r="M2365" i="11"/>
  <c r="M2364" i="11"/>
  <c r="M2363" i="11"/>
  <c r="M2362" i="11"/>
  <c r="M2361" i="11"/>
  <c r="M2360" i="11"/>
  <c r="M2359" i="11"/>
  <c r="M2358" i="11"/>
  <c r="M2357" i="11"/>
  <c r="M2356" i="11"/>
  <c r="M2355" i="11"/>
  <c r="M2354" i="11"/>
  <c r="M2353" i="11"/>
  <c r="M2352" i="11"/>
  <c r="M2351" i="11"/>
  <c r="M2350" i="11"/>
  <c r="M2349" i="11"/>
  <c r="M2348" i="11"/>
  <c r="M2347" i="11"/>
  <c r="M2346" i="11"/>
  <c r="M2345" i="11"/>
  <c r="M2344" i="11"/>
  <c r="M2343" i="11"/>
  <c r="M2342" i="11"/>
  <c r="M2341" i="11"/>
  <c r="M2340" i="11"/>
  <c r="M2339" i="11"/>
  <c r="M2338" i="11"/>
  <c r="M2337" i="11"/>
  <c r="M2336" i="11"/>
  <c r="M2335" i="11"/>
  <c r="M2334" i="11"/>
  <c r="M2333" i="11"/>
  <c r="M2332" i="11"/>
  <c r="M2331" i="11"/>
  <c r="M2330" i="11"/>
  <c r="M2329" i="11"/>
  <c r="M2328" i="11"/>
  <c r="M2327" i="11"/>
  <c r="M2326" i="11"/>
  <c r="M2325" i="11"/>
  <c r="M2324" i="11"/>
  <c r="M2323" i="11"/>
  <c r="M2322" i="11"/>
  <c r="M2321" i="11"/>
  <c r="M2320" i="11"/>
  <c r="M2319" i="11"/>
  <c r="M2318" i="11"/>
  <c r="M2317" i="11"/>
  <c r="M2316" i="11"/>
  <c r="M2315" i="11"/>
  <c r="M2314" i="11"/>
  <c r="M2313" i="11"/>
  <c r="M2312" i="11"/>
  <c r="M2311" i="11"/>
  <c r="M2310" i="11"/>
  <c r="M2309" i="11"/>
  <c r="M2308" i="11"/>
  <c r="M2307" i="11"/>
  <c r="M2306" i="11"/>
  <c r="M2305" i="11"/>
  <c r="M2304" i="11"/>
  <c r="M2303" i="11"/>
  <c r="M2302" i="11"/>
  <c r="M2301" i="11"/>
  <c r="M2300" i="11"/>
  <c r="M2299" i="11"/>
  <c r="M2298" i="11"/>
  <c r="M2297" i="11"/>
  <c r="M2296" i="11"/>
  <c r="M2295" i="11"/>
  <c r="M2294" i="11"/>
  <c r="M2293" i="11"/>
  <c r="M2292" i="11"/>
  <c r="M2291" i="11"/>
  <c r="M2290" i="11"/>
  <c r="M2289" i="11"/>
  <c r="M2288" i="11"/>
  <c r="M2287" i="11"/>
  <c r="M2286" i="11"/>
  <c r="M2285" i="11"/>
  <c r="M2284" i="11"/>
  <c r="M2283" i="11"/>
  <c r="M2282" i="11"/>
  <c r="M2281" i="11"/>
  <c r="M2280" i="11"/>
  <c r="M2279" i="11"/>
  <c r="M2278" i="11"/>
  <c r="M2277" i="11"/>
  <c r="M2276" i="11"/>
  <c r="M2275" i="11"/>
  <c r="M2274" i="11"/>
  <c r="M2273" i="11"/>
  <c r="M2272" i="11"/>
  <c r="M2271" i="11"/>
  <c r="M2270" i="11"/>
  <c r="M2269" i="11"/>
  <c r="M2268" i="11"/>
  <c r="M2267" i="11"/>
  <c r="M2266" i="11"/>
  <c r="M2265" i="11"/>
  <c r="M2264" i="11"/>
  <c r="M2263" i="11"/>
  <c r="M2262" i="11"/>
  <c r="M2261" i="11"/>
  <c r="M2260" i="11"/>
  <c r="M2259" i="11"/>
  <c r="M2258" i="11"/>
  <c r="M2257" i="11"/>
  <c r="M2256" i="11"/>
  <c r="M2255" i="11"/>
  <c r="M2254" i="11"/>
  <c r="M2253" i="11"/>
  <c r="M2252" i="11"/>
  <c r="M2251" i="11"/>
  <c r="M2250" i="11"/>
  <c r="M2249" i="11"/>
  <c r="M2248" i="11"/>
  <c r="M2247" i="11"/>
  <c r="M2246" i="11"/>
  <c r="M2245" i="11"/>
  <c r="M2244" i="11"/>
  <c r="M2243" i="11"/>
  <c r="M2242" i="11"/>
  <c r="M2241" i="11"/>
  <c r="M2240" i="11"/>
  <c r="M2239" i="11"/>
  <c r="M2238" i="11"/>
  <c r="M2237" i="11"/>
  <c r="M2236" i="11"/>
  <c r="M2235" i="11"/>
  <c r="M2234" i="11"/>
  <c r="M2233" i="11"/>
  <c r="M2232" i="11"/>
  <c r="M2231" i="11"/>
  <c r="M2230" i="11"/>
  <c r="M2229" i="11"/>
  <c r="M2228" i="11"/>
  <c r="M2227" i="11"/>
  <c r="M2226" i="11"/>
  <c r="M2225" i="11"/>
  <c r="M2224" i="11"/>
  <c r="M2223" i="11"/>
  <c r="M2222" i="11"/>
  <c r="M2221" i="11"/>
  <c r="M2220" i="11"/>
  <c r="M2219" i="11"/>
  <c r="M2218" i="11"/>
  <c r="M2217" i="11"/>
  <c r="M2216" i="11"/>
  <c r="M2215" i="11"/>
  <c r="M2214" i="11"/>
  <c r="M2213" i="11"/>
  <c r="M2212" i="11"/>
  <c r="M2211" i="11"/>
  <c r="M2210" i="11"/>
  <c r="M2209" i="11"/>
  <c r="M2208" i="11"/>
  <c r="M2207" i="11"/>
  <c r="M2206" i="11"/>
  <c r="M2205" i="11"/>
  <c r="M2204" i="11"/>
  <c r="M2203" i="11"/>
  <c r="M2202" i="11"/>
  <c r="M2201" i="11"/>
  <c r="M2200" i="11"/>
  <c r="M2199" i="11"/>
  <c r="M2198" i="11"/>
  <c r="M2197" i="11"/>
  <c r="M2196" i="11"/>
  <c r="M2195" i="11"/>
  <c r="M2194" i="11"/>
  <c r="M2193" i="11"/>
  <c r="M2192" i="11"/>
  <c r="M2191" i="11"/>
  <c r="M2190" i="11"/>
  <c r="M2189" i="11"/>
  <c r="M2188" i="11"/>
  <c r="M2187" i="11"/>
  <c r="M2186" i="11"/>
  <c r="M2185" i="11"/>
  <c r="M2184" i="11"/>
  <c r="M2183" i="11"/>
  <c r="M2182" i="11"/>
  <c r="M2181" i="11"/>
  <c r="M2180" i="11"/>
  <c r="M2179" i="11"/>
  <c r="M2178" i="11"/>
  <c r="M2177" i="11"/>
  <c r="M2176" i="11"/>
  <c r="M2175" i="11"/>
  <c r="M2174" i="11"/>
  <c r="M2173" i="11"/>
  <c r="M2172" i="11"/>
  <c r="M2171" i="11"/>
  <c r="M2170" i="11"/>
  <c r="M2169" i="11"/>
  <c r="M2168" i="11"/>
  <c r="M2167" i="11"/>
  <c r="M2166" i="11"/>
  <c r="M2165" i="11"/>
  <c r="M2164" i="11"/>
  <c r="M2163" i="11"/>
  <c r="M2162" i="11"/>
  <c r="M2161" i="11"/>
  <c r="M2160" i="11"/>
  <c r="M2159" i="11"/>
  <c r="M2158" i="11"/>
  <c r="M2157" i="11"/>
  <c r="M2156" i="11"/>
  <c r="M2155" i="11"/>
  <c r="M2154" i="11"/>
  <c r="M2153" i="11"/>
  <c r="M2152" i="11"/>
  <c r="M2151" i="11"/>
  <c r="M2150" i="11"/>
  <c r="M2149" i="11"/>
  <c r="M2148" i="11"/>
  <c r="M2147" i="11"/>
  <c r="M2146" i="11"/>
  <c r="M2145" i="11"/>
  <c r="M2144" i="11"/>
  <c r="M2143" i="11"/>
  <c r="M2142" i="11"/>
  <c r="M2141" i="11"/>
  <c r="M2140" i="11"/>
  <c r="M2139" i="11"/>
  <c r="M2138" i="11"/>
  <c r="M2137" i="11"/>
  <c r="M2136" i="11"/>
  <c r="M2135" i="11"/>
  <c r="M2134" i="11"/>
  <c r="M2133" i="11"/>
  <c r="M2132" i="11"/>
  <c r="M2131" i="11"/>
  <c r="M2130" i="11"/>
  <c r="M2129" i="11"/>
  <c r="M2128" i="11"/>
  <c r="M2127" i="11"/>
  <c r="M2126" i="11"/>
  <c r="M2125" i="11"/>
  <c r="M2124" i="11"/>
  <c r="M2123" i="11"/>
  <c r="M2122" i="11"/>
  <c r="M2121" i="11"/>
  <c r="M2120" i="11"/>
  <c r="M2119" i="11"/>
  <c r="M2118" i="11"/>
  <c r="M2117" i="11"/>
  <c r="M2116" i="11"/>
  <c r="M2115" i="11"/>
  <c r="M2114" i="11"/>
  <c r="M2113" i="11"/>
  <c r="M2112" i="11"/>
  <c r="M2111" i="11"/>
  <c r="M2110" i="11"/>
  <c r="M2109" i="11"/>
  <c r="M2108" i="11"/>
  <c r="M2107" i="11"/>
  <c r="M2106" i="11"/>
  <c r="M2105" i="11"/>
  <c r="M2104" i="11"/>
  <c r="M2103" i="11"/>
  <c r="M2102" i="11"/>
  <c r="M2101" i="11"/>
  <c r="M2100" i="11"/>
  <c r="M2099" i="11"/>
  <c r="M2098" i="11"/>
  <c r="M2097" i="11"/>
  <c r="M2096" i="11"/>
  <c r="M2095" i="11"/>
  <c r="M2094" i="11"/>
  <c r="M2093" i="11"/>
  <c r="M2092" i="11"/>
  <c r="M2091" i="11"/>
  <c r="M2090" i="11"/>
  <c r="M2089" i="11"/>
  <c r="M2088" i="11"/>
  <c r="M2087" i="11"/>
  <c r="M2086" i="11"/>
  <c r="M2085" i="11"/>
  <c r="M2084" i="11"/>
  <c r="M2083" i="11"/>
  <c r="M2082" i="11"/>
  <c r="M2081" i="11"/>
  <c r="M2080" i="11"/>
  <c r="M2079" i="11"/>
  <c r="M2078" i="11"/>
  <c r="M2077" i="11"/>
  <c r="M2076" i="11"/>
  <c r="M2075" i="11"/>
  <c r="M2074" i="11"/>
  <c r="M2073" i="11"/>
  <c r="M2072" i="11"/>
  <c r="M2071" i="11"/>
  <c r="M2070" i="11"/>
  <c r="M2069" i="11"/>
  <c r="M2068" i="11"/>
  <c r="M2067" i="11"/>
  <c r="M2066" i="11"/>
  <c r="M2065" i="11"/>
  <c r="M2064" i="11"/>
  <c r="M2063" i="11"/>
  <c r="M2062" i="11"/>
  <c r="M2061" i="11"/>
  <c r="M2060" i="11"/>
  <c r="M2059" i="11"/>
  <c r="M2058" i="11"/>
  <c r="M2057" i="11"/>
  <c r="M2056" i="11"/>
  <c r="M2055" i="11"/>
  <c r="M2054" i="11"/>
  <c r="M2053" i="11"/>
  <c r="M2052" i="11"/>
  <c r="M2051" i="11"/>
  <c r="M2050" i="11"/>
  <c r="M2049" i="11"/>
  <c r="M2048" i="11"/>
  <c r="M2047" i="11"/>
  <c r="M2046" i="11"/>
  <c r="M2045" i="11"/>
  <c r="M2044" i="11"/>
  <c r="M2043" i="11"/>
  <c r="M2042" i="11"/>
  <c r="M2041" i="11"/>
  <c r="M2040" i="11"/>
  <c r="M2039" i="11"/>
  <c r="M2038" i="11"/>
  <c r="M2037" i="11"/>
  <c r="M2036" i="11"/>
  <c r="M2035" i="11"/>
  <c r="M2034" i="11"/>
  <c r="M2033" i="11"/>
  <c r="M2032" i="11"/>
  <c r="M2031" i="11"/>
  <c r="M2030" i="11"/>
  <c r="M2029" i="11"/>
  <c r="M2028" i="11"/>
  <c r="M2027" i="11"/>
  <c r="M2026" i="11"/>
  <c r="M2025" i="11"/>
  <c r="M2024" i="11"/>
  <c r="M2023" i="11"/>
  <c r="M2022" i="11"/>
  <c r="M2021" i="11"/>
  <c r="M2020" i="11"/>
  <c r="M2019" i="11"/>
  <c r="M2018" i="11"/>
  <c r="M2017" i="11"/>
  <c r="M2016" i="11"/>
  <c r="M2015" i="11"/>
  <c r="M2014" i="11"/>
  <c r="M2013" i="11"/>
  <c r="M2012" i="11"/>
  <c r="M2011" i="11"/>
  <c r="M2010" i="11"/>
  <c r="M2009" i="11"/>
  <c r="M2008" i="11"/>
  <c r="M2007" i="11"/>
  <c r="M2006" i="11"/>
  <c r="M2005" i="11"/>
  <c r="M2004" i="11"/>
  <c r="M2003" i="11"/>
  <c r="M2002" i="11"/>
  <c r="M2001" i="11"/>
  <c r="M2000" i="11"/>
  <c r="M1999" i="11"/>
  <c r="M1998" i="11"/>
  <c r="M1997" i="11"/>
  <c r="M1996" i="11"/>
  <c r="M1995" i="11"/>
  <c r="M1994" i="11"/>
  <c r="M1993" i="11"/>
  <c r="M1992" i="11"/>
  <c r="M1991" i="11"/>
  <c r="M1990" i="11"/>
  <c r="M1989" i="11"/>
  <c r="M1988" i="11"/>
  <c r="M1987" i="11"/>
  <c r="M1986" i="11"/>
  <c r="M1985" i="11"/>
  <c r="M1984" i="11"/>
  <c r="M1983" i="11"/>
  <c r="M1982" i="11"/>
  <c r="M1981" i="11"/>
  <c r="M1980" i="11"/>
  <c r="M1979" i="11"/>
  <c r="M1978" i="11"/>
  <c r="M1977" i="11"/>
  <c r="M1976" i="11"/>
  <c r="M1975" i="11"/>
  <c r="M1974" i="11"/>
  <c r="M1973" i="11"/>
  <c r="M1972" i="11"/>
  <c r="M1971" i="11"/>
  <c r="M1970" i="11"/>
  <c r="M1969" i="11"/>
  <c r="M1968" i="11"/>
  <c r="M1967" i="11"/>
  <c r="M1966" i="11"/>
  <c r="M1965" i="11"/>
  <c r="M1964" i="11"/>
  <c r="M1963" i="11"/>
  <c r="M1962" i="11"/>
  <c r="M1961" i="11"/>
  <c r="M1960" i="11"/>
  <c r="M1959" i="11"/>
  <c r="M1958" i="11"/>
  <c r="M1957" i="11"/>
  <c r="M1956" i="11"/>
  <c r="M1955" i="11"/>
  <c r="M1954" i="11"/>
  <c r="M1953" i="11"/>
  <c r="M1952" i="11"/>
  <c r="M1951" i="11"/>
  <c r="M1950" i="11"/>
  <c r="M1949" i="11"/>
  <c r="M1948" i="11"/>
  <c r="M1947" i="11"/>
  <c r="M1946" i="11"/>
  <c r="M1945" i="11"/>
  <c r="M1944" i="11"/>
  <c r="M1943" i="11"/>
  <c r="M1942" i="11"/>
  <c r="M1941" i="11"/>
  <c r="M1940" i="11"/>
  <c r="M1939" i="11"/>
  <c r="M1938" i="11"/>
  <c r="M1937" i="11"/>
  <c r="M1936" i="11"/>
  <c r="M1935" i="11"/>
  <c r="M1934" i="11"/>
  <c r="M1933" i="11"/>
  <c r="M1932" i="11"/>
  <c r="M1931" i="11"/>
  <c r="M1930" i="11"/>
  <c r="M1929" i="11"/>
  <c r="M1928" i="11"/>
  <c r="M1927" i="11"/>
  <c r="M1926" i="11"/>
  <c r="M1925" i="11"/>
  <c r="M1924" i="11"/>
  <c r="M1923" i="11"/>
  <c r="M1922" i="11"/>
  <c r="M1921" i="11"/>
  <c r="M1920" i="11"/>
  <c r="M1919" i="11"/>
  <c r="M1918" i="11"/>
  <c r="M1917" i="11"/>
  <c r="M1916" i="11"/>
  <c r="M1915" i="11"/>
  <c r="M1914" i="11"/>
  <c r="M1913" i="11"/>
  <c r="M1912" i="11"/>
  <c r="M1911" i="11"/>
  <c r="M1910" i="11"/>
  <c r="M1909" i="11"/>
  <c r="M1908" i="11"/>
  <c r="M1907" i="11"/>
  <c r="M1906" i="11"/>
  <c r="M1905" i="11"/>
  <c r="M1904" i="11"/>
  <c r="M1903" i="11"/>
  <c r="M1902" i="11"/>
  <c r="M1901" i="11"/>
  <c r="M1900" i="11"/>
  <c r="M1899" i="11"/>
  <c r="M1898" i="11"/>
  <c r="M1897" i="11"/>
  <c r="M1896" i="11"/>
  <c r="M1895" i="11"/>
  <c r="M1894" i="11"/>
  <c r="M1893" i="11"/>
  <c r="M1892" i="11"/>
  <c r="M1891" i="11"/>
  <c r="M1890" i="11"/>
  <c r="M1889" i="11"/>
  <c r="M1888" i="11"/>
  <c r="M1887" i="11"/>
  <c r="M1886" i="11"/>
  <c r="M1885" i="11"/>
  <c r="M1884" i="11"/>
  <c r="M1883" i="11"/>
  <c r="M1882" i="11"/>
  <c r="M1881" i="11"/>
  <c r="M1880" i="11"/>
  <c r="M1879" i="11"/>
  <c r="M1878" i="11"/>
  <c r="M1877" i="11"/>
  <c r="M1876" i="11"/>
  <c r="M1875" i="11"/>
  <c r="M1874" i="11"/>
  <c r="M1873" i="11"/>
  <c r="M1872" i="11"/>
  <c r="M1871" i="11"/>
  <c r="M1870" i="11"/>
  <c r="M1869" i="11"/>
  <c r="M1868" i="11"/>
  <c r="M1867" i="11"/>
  <c r="M1866" i="11"/>
  <c r="M1865" i="11"/>
  <c r="M1864" i="11"/>
  <c r="M1863" i="11"/>
  <c r="M1862" i="11"/>
  <c r="M1861" i="11"/>
  <c r="M1860" i="11"/>
  <c r="M1859" i="11"/>
  <c r="M1858" i="11"/>
  <c r="M1857" i="11"/>
  <c r="M1856" i="11"/>
  <c r="M1855" i="11"/>
  <c r="M1854" i="11"/>
  <c r="M1853" i="11"/>
  <c r="M1852" i="11"/>
  <c r="M1851" i="11"/>
  <c r="M1850" i="11"/>
  <c r="M1849" i="11"/>
  <c r="M1848" i="11"/>
  <c r="M1847" i="11"/>
  <c r="M1846" i="11"/>
  <c r="M1845" i="11"/>
  <c r="M1844" i="11"/>
  <c r="M1843" i="11"/>
  <c r="M1842" i="11"/>
  <c r="M1841" i="11"/>
  <c r="M1840" i="11"/>
  <c r="M1839" i="11"/>
  <c r="M1838" i="11"/>
  <c r="M1837" i="11"/>
  <c r="M1836" i="11"/>
  <c r="M1835" i="11"/>
  <c r="M1834" i="11"/>
  <c r="M1833" i="11"/>
  <c r="M1832" i="11"/>
  <c r="M1831" i="11"/>
  <c r="M1830" i="11"/>
  <c r="M1829" i="11"/>
  <c r="M1828" i="11"/>
  <c r="M1827" i="11"/>
  <c r="M1826" i="11"/>
  <c r="M1825" i="11"/>
  <c r="M1824" i="11"/>
  <c r="M1823" i="11"/>
  <c r="M1822" i="11"/>
  <c r="M1821" i="11"/>
  <c r="M1820" i="11"/>
  <c r="M1819" i="11"/>
  <c r="M1818" i="11"/>
  <c r="M1817" i="11"/>
  <c r="M1816" i="11"/>
  <c r="M1815" i="11"/>
  <c r="M1814" i="11"/>
  <c r="M1813" i="11"/>
  <c r="M1812" i="11"/>
  <c r="M1811" i="11"/>
  <c r="M1810" i="11"/>
  <c r="M1809" i="11"/>
  <c r="M1808" i="11"/>
  <c r="M1807" i="11"/>
  <c r="M1806" i="11"/>
  <c r="M1805" i="11"/>
  <c r="M1804" i="11"/>
  <c r="M1803" i="11"/>
  <c r="M1802" i="11"/>
  <c r="M1801" i="11"/>
  <c r="M1800" i="11"/>
  <c r="M1799" i="11"/>
  <c r="M1798" i="11"/>
  <c r="M1797" i="11"/>
  <c r="M1796" i="11"/>
  <c r="M1795" i="11"/>
  <c r="M1794" i="11"/>
  <c r="M1793" i="11"/>
  <c r="M1792" i="11"/>
  <c r="M1791" i="11"/>
  <c r="M1790" i="11"/>
  <c r="M1789" i="11"/>
  <c r="M1788" i="11"/>
  <c r="M1787" i="11"/>
  <c r="M1786" i="11"/>
  <c r="M1785" i="11"/>
  <c r="M1784" i="11"/>
  <c r="M1783" i="11"/>
  <c r="M1782" i="11"/>
  <c r="M1781" i="11"/>
  <c r="M1780" i="11"/>
  <c r="M1779" i="11"/>
  <c r="M1778" i="11"/>
  <c r="M1777" i="11"/>
  <c r="M1776" i="11"/>
  <c r="M1775" i="11"/>
  <c r="M1774" i="11"/>
  <c r="M1773" i="11"/>
  <c r="M1772" i="11"/>
  <c r="M1771" i="11"/>
  <c r="M1770" i="11"/>
  <c r="M1769" i="11"/>
  <c r="M1768" i="11"/>
  <c r="M1767" i="11"/>
  <c r="M1766" i="11"/>
  <c r="M1765" i="11"/>
  <c r="M1764" i="11"/>
  <c r="M1763" i="11"/>
  <c r="M1762" i="11"/>
  <c r="M1761" i="11"/>
  <c r="M1760" i="11"/>
  <c r="M1759" i="11"/>
  <c r="M1758" i="11"/>
  <c r="M1757" i="11"/>
  <c r="M1756" i="11"/>
  <c r="M1755" i="11"/>
  <c r="M1754" i="11"/>
  <c r="M1753" i="11"/>
  <c r="M1752" i="11"/>
  <c r="M1751" i="11"/>
  <c r="M1750" i="11"/>
  <c r="M1749" i="11"/>
  <c r="M1748" i="11"/>
  <c r="M1747" i="11"/>
  <c r="M1746" i="11"/>
  <c r="M1745" i="11"/>
  <c r="M1744" i="11"/>
  <c r="M1743" i="11"/>
  <c r="M1742" i="11"/>
  <c r="M1741" i="11"/>
  <c r="M1740" i="11"/>
  <c r="M1739" i="11"/>
  <c r="M1738" i="11"/>
  <c r="M1737" i="11"/>
  <c r="M1736" i="11"/>
  <c r="M1735" i="11"/>
  <c r="M1734" i="11"/>
  <c r="M1733" i="11"/>
  <c r="M1732" i="11"/>
  <c r="M1731" i="11"/>
  <c r="M1730" i="11"/>
  <c r="M1729" i="11"/>
  <c r="M1728" i="11"/>
  <c r="M1727" i="11"/>
  <c r="M1726" i="11"/>
  <c r="M1725" i="11"/>
  <c r="M1724" i="11"/>
  <c r="M1723" i="11"/>
  <c r="M1722" i="11"/>
  <c r="M1721" i="11"/>
  <c r="M1720" i="11"/>
  <c r="M1719" i="11"/>
  <c r="M1718" i="11"/>
  <c r="M1717" i="11"/>
  <c r="M1716" i="11"/>
  <c r="M1715" i="11"/>
  <c r="M1714" i="11"/>
  <c r="M1713" i="11"/>
  <c r="M1712" i="11"/>
  <c r="M1711" i="11"/>
  <c r="M1710" i="11"/>
  <c r="M1709" i="11"/>
  <c r="M1708" i="11"/>
  <c r="M1707" i="11"/>
  <c r="M1706" i="11"/>
  <c r="M1705" i="11"/>
  <c r="M1704" i="11"/>
  <c r="M1703" i="11"/>
  <c r="M1702" i="11"/>
  <c r="M1701" i="11"/>
  <c r="M1700" i="11"/>
  <c r="M1699" i="11"/>
  <c r="M1698" i="11"/>
  <c r="M1697" i="11"/>
  <c r="M1696" i="11"/>
  <c r="M1695" i="11"/>
  <c r="M1694" i="11"/>
  <c r="M1693" i="11"/>
  <c r="M1692" i="11"/>
  <c r="M1691" i="11"/>
  <c r="M1690" i="11"/>
  <c r="M1689" i="11"/>
  <c r="M1688" i="11"/>
  <c r="M1687" i="11"/>
  <c r="M1686" i="11"/>
  <c r="M1685" i="11"/>
  <c r="M1684" i="11"/>
  <c r="M1683" i="11"/>
  <c r="M1682" i="11"/>
  <c r="M1681" i="11"/>
  <c r="M1680" i="11"/>
  <c r="M1679" i="11"/>
  <c r="M1678" i="11"/>
  <c r="M1677" i="11"/>
  <c r="M1676" i="11"/>
  <c r="M1675" i="11"/>
  <c r="M1674" i="11"/>
  <c r="M1673" i="11"/>
  <c r="M1672" i="11"/>
  <c r="M1671" i="11"/>
  <c r="M1670" i="11"/>
  <c r="M1669" i="11"/>
  <c r="M1668" i="11"/>
  <c r="M1667" i="11"/>
  <c r="M1666" i="11"/>
  <c r="M1665" i="11"/>
  <c r="M1664" i="11"/>
  <c r="M1663" i="11"/>
  <c r="M1662" i="11"/>
  <c r="M1661" i="11"/>
  <c r="M1660" i="11"/>
  <c r="M1659" i="11"/>
  <c r="M1658" i="11"/>
  <c r="M1657" i="11"/>
  <c r="M1656" i="11"/>
  <c r="M1655" i="11"/>
  <c r="M1654" i="11"/>
  <c r="M1653" i="11"/>
  <c r="M1652" i="11"/>
  <c r="M1651" i="11"/>
  <c r="M1650" i="11"/>
  <c r="M1649" i="11"/>
  <c r="M1648" i="11"/>
  <c r="M1647" i="11"/>
  <c r="M1646" i="11"/>
  <c r="M1645" i="11"/>
  <c r="M1644" i="11"/>
  <c r="M1643" i="11"/>
  <c r="M1642" i="11"/>
  <c r="M1641" i="11"/>
  <c r="M1640" i="11"/>
  <c r="M1639" i="11"/>
  <c r="M1638" i="11"/>
  <c r="M1637" i="11"/>
  <c r="M1636" i="11"/>
  <c r="M1635" i="11"/>
  <c r="M1634" i="11"/>
  <c r="M1633" i="11"/>
  <c r="M1632" i="11"/>
  <c r="M1631" i="11"/>
  <c r="M1630" i="11"/>
  <c r="M1629" i="11"/>
  <c r="M1628" i="11"/>
  <c r="M1627" i="11"/>
  <c r="M1626" i="11"/>
  <c r="M1625" i="11"/>
  <c r="M1624" i="11"/>
  <c r="M1623" i="11"/>
  <c r="M1622" i="11"/>
  <c r="M1621" i="11"/>
  <c r="M1620" i="11"/>
  <c r="M1619" i="11"/>
  <c r="M1618" i="11"/>
  <c r="M1617" i="11"/>
  <c r="M1616" i="11"/>
  <c r="M1615" i="11"/>
  <c r="M1614" i="11"/>
  <c r="M1613" i="11"/>
  <c r="M1612" i="11"/>
  <c r="M1611" i="11"/>
  <c r="M1610" i="11"/>
  <c r="M1609" i="11"/>
  <c r="M1608" i="11"/>
  <c r="M1607" i="11"/>
  <c r="M1606" i="11"/>
  <c r="M1605" i="11"/>
  <c r="M1604" i="11"/>
  <c r="M1603" i="11"/>
  <c r="M1602" i="11"/>
  <c r="M1601" i="11"/>
  <c r="M1600" i="11"/>
  <c r="M1599" i="11"/>
  <c r="M1598" i="11"/>
  <c r="M1597" i="11"/>
  <c r="M1596" i="11"/>
  <c r="M1595" i="11"/>
  <c r="M1594" i="11"/>
  <c r="M1593" i="11"/>
  <c r="M1592" i="11"/>
  <c r="M1591" i="11"/>
  <c r="M1590" i="11"/>
  <c r="M1589" i="11"/>
  <c r="M1588" i="11"/>
  <c r="M1587" i="11"/>
  <c r="M1586" i="11"/>
  <c r="M1585" i="11"/>
  <c r="M1584" i="11"/>
  <c r="M1583" i="11"/>
  <c r="M1582" i="11"/>
  <c r="M1581" i="11"/>
  <c r="M1580" i="11"/>
  <c r="M1579" i="11"/>
  <c r="M1578" i="11"/>
  <c r="M1577" i="11"/>
  <c r="M1576" i="11"/>
  <c r="M1575" i="11"/>
  <c r="M1574" i="11"/>
  <c r="M1573" i="11"/>
  <c r="M1572" i="11"/>
  <c r="M1571" i="11"/>
  <c r="M1570" i="11"/>
  <c r="M1569" i="11"/>
  <c r="M1568" i="11"/>
  <c r="M1567" i="11"/>
  <c r="M1566" i="11"/>
  <c r="M1565" i="11"/>
  <c r="M1564" i="11"/>
  <c r="M1563" i="11"/>
  <c r="M1562" i="11"/>
  <c r="M1561" i="11"/>
  <c r="M1560" i="11"/>
  <c r="M1559" i="11"/>
  <c r="M1558" i="11"/>
  <c r="M1557" i="11"/>
  <c r="M1556" i="11"/>
  <c r="M1555" i="11"/>
  <c r="M1554" i="11"/>
  <c r="M1553" i="11"/>
  <c r="M1552" i="11"/>
  <c r="M1551" i="11"/>
  <c r="M1550" i="11"/>
  <c r="M1549" i="11"/>
  <c r="M1548" i="11"/>
  <c r="M1547" i="11"/>
  <c r="M1546" i="11"/>
  <c r="M1545" i="11"/>
  <c r="M1544" i="11"/>
  <c r="M1543" i="11"/>
  <c r="M1542" i="11"/>
  <c r="M1541" i="11"/>
  <c r="M1540" i="11"/>
  <c r="M1539" i="11"/>
  <c r="M1538" i="11"/>
  <c r="M1537" i="11"/>
  <c r="M1536" i="11"/>
  <c r="M1535" i="11"/>
  <c r="M1534" i="11"/>
  <c r="M1533" i="11"/>
  <c r="M1532" i="11"/>
  <c r="M1531" i="11"/>
  <c r="M1530" i="11"/>
  <c r="M1529" i="11"/>
  <c r="M1528" i="11"/>
  <c r="M1527" i="11"/>
  <c r="M1526" i="11"/>
  <c r="M1525" i="11"/>
  <c r="M1524" i="11"/>
  <c r="M1523" i="11"/>
  <c r="M1522" i="11"/>
  <c r="M1521" i="11"/>
  <c r="M1520" i="11"/>
  <c r="M1519" i="11"/>
  <c r="M1518" i="11"/>
  <c r="M1517" i="11"/>
  <c r="M1516" i="11"/>
  <c r="M1515" i="11"/>
  <c r="M1514" i="11"/>
  <c r="M1513" i="11"/>
  <c r="M1512" i="11"/>
  <c r="M1511" i="11"/>
  <c r="M1510" i="11"/>
  <c r="M1509" i="11"/>
  <c r="M1508" i="11"/>
  <c r="M1507" i="11"/>
  <c r="M1506" i="11"/>
  <c r="M1505" i="11"/>
  <c r="M1504" i="11"/>
  <c r="M1503" i="11"/>
  <c r="M1502" i="11"/>
  <c r="M1501" i="11"/>
  <c r="M1500" i="11"/>
  <c r="M1499" i="11"/>
  <c r="M1498" i="11"/>
  <c r="M1497" i="11"/>
  <c r="M1496" i="11"/>
  <c r="M1495" i="11"/>
  <c r="M1494" i="11"/>
  <c r="M1493" i="11"/>
  <c r="M1492" i="11"/>
  <c r="M1491" i="11"/>
  <c r="M1490" i="11"/>
  <c r="M1489" i="11"/>
  <c r="M1488" i="11"/>
  <c r="M1487" i="11"/>
  <c r="M1486" i="11"/>
  <c r="M1485" i="11"/>
  <c r="M1484" i="11"/>
  <c r="M1483" i="11"/>
  <c r="M1482" i="11"/>
  <c r="M1481" i="11"/>
  <c r="M1480" i="11"/>
  <c r="M1479" i="11"/>
  <c r="M1478" i="11"/>
  <c r="M1477" i="11"/>
  <c r="M1476" i="11"/>
  <c r="M1475" i="11"/>
  <c r="M1474" i="11"/>
  <c r="M1473" i="11"/>
  <c r="M1472" i="11"/>
  <c r="M1471" i="11"/>
  <c r="M1470" i="11"/>
  <c r="M1469" i="11"/>
  <c r="M1468" i="11"/>
  <c r="M1467" i="11"/>
  <c r="M1466" i="11"/>
  <c r="M1465" i="11"/>
  <c r="M1464" i="11"/>
  <c r="M1463" i="11"/>
  <c r="M1462" i="11"/>
  <c r="M1461" i="11"/>
  <c r="M1460" i="11"/>
  <c r="M1459" i="11"/>
  <c r="M1458" i="11"/>
  <c r="M1457" i="11"/>
  <c r="M1456" i="11"/>
  <c r="M1455" i="11"/>
  <c r="M1454" i="11"/>
  <c r="M1453" i="11"/>
  <c r="M1452" i="11"/>
  <c r="M1451" i="11"/>
  <c r="M1450" i="11"/>
  <c r="M1449" i="11"/>
  <c r="M1448" i="11"/>
  <c r="M1447" i="11"/>
  <c r="M1446" i="11"/>
  <c r="M1445" i="11"/>
  <c r="M1444" i="11"/>
  <c r="M1443" i="11"/>
  <c r="M1442" i="11"/>
  <c r="M1441" i="11"/>
  <c r="M1440" i="11"/>
  <c r="M1439" i="11"/>
  <c r="M1438" i="11"/>
  <c r="M1437" i="11"/>
  <c r="M1436" i="11"/>
  <c r="M1435" i="11"/>
  <c r="M1434" i="11"/>
  <c r="M1433" i="11"/>
  <c r="M1432" i="11"/>
  <c r="M1431" i="11"/>
  <c r="M1430" i="11"/>
  <c r="M1429" i="11"/>
  <c r="M1428" i="11"/>
  <c r="M1427" i="11"/>
  <c r="M1426" i="11"/>
  <c r="M1425" i="11"/>
  <c r="M1424" i="11"/>
  <c r="M1423" i="11"/>
  <c r="M1422" i="11"/>
  <c r="M1421" i="11"/>
  <c r="M1420" i="11"/>
  <c r="M1419" i="11"/>
  <c r="M1418" i="11"/>
  <c r="M1417" i="11"/>
  <c r="M1416" i="11"/>
  <c r="M1415" i="11"/>
  <c r="M1414" i="11"/>
  <c r="M1413" i="11"/>
  <c r="M1412" i="11"/>
  <c r="M1411" i="11"/>
  <c r="M1410" i="11"/>
  <c r="M1409" i="11"/>
  <c r="M1408" i="11"/>
  <c r="M1407" i="11"/>
  <c r="M1406" i="11"/>
  <c r="M1405" i="11"/>
  <c r="M1404" i="11"/>
  <c r="M1403" i="11"/>
  <c r="M1402" i="11"/>
  <c r="M1401" i="11"/>
  <c r="M1400" i="11"/>
  <c r="M1399" i="11"/>
  <c r="M1398" i="11"/>
  <c r="M1397" i="11"/>
  <c r="M1396" i="11"/>
  <c r="M1395" i="11"/>
  <c r="M1394" i="11"/>
  <c r="M1393" i="11"/>
  <c r="M1392" i="11"/>
  <c r="M1391" i="11"/>
  <c r="M1390" i="11"/>
  <c r="M1389" i="11"/>
  <c r="M1388" i="11"/>
  <c r="M1387" i="11"/>
  <c r="M1386" i="11"/>
  <c r="M1385" i="11"/>
  <c r="M1384" i="11"/>
  <c r="M1383" i="11"/>
  <c r="M1382" i="11"/>
  <c r="M1381" i="11"/>
  <c r="M1380" i="11"/>
  <c r="M1379" i="11"/>
  <c r="M1378" i="11"/>
  <c r="M1377" i="11"/>
  <c r="M1376" i="11"/>
  <c r="M1375" i="11"/>
  <c r="M1374" i="11"/>
  <c r="M1373" i="11"/>
  <c r="M1372" i="11"/>
  <c r="M1371" i="11"/>
  <c r="M1370" i="11"/>
  <c r="M1369" i="11"/>
  <c r="M1368" i="11"/>
  <c r="M1367" i="11"/>
  <c r="M1366" i="11"/>
  <c r="M1365" i="11"/>
  <c r="M1364" i="11"/>
  <c r="M1363" i="11"/>
  <c r="M1362" i="11"/>
  <c r="M1361" i="11"/>
  <c r="M1360" i="11"/>
  <c r="M1359" i="11"/>
  <c r="M1358" i="11"/>
  <c r="M1357" i="11"/>
  <c r="M1356" i="11"/>
  <c r="M1355" i="11"/>
  <c r="M1354" i="11"/>
  <c r="M1353" i="11"/>
  <c r="M1352" i="11"/>
  <c r="M1351" i="11"/>
  <c r="M1350" i="11"/>
  <c r="M1349" i="11"/>
  <c r="M1348" i="11"/>
  <c r="M1347" i="11"/>
  <c r="M1346" i="11"/>
  <c r="M1345" i="11"/>
  <c r="M1344" i="11"/>
  <c r="M1343" i="11"/>
  <c r="M1342" i="11"/>
  <c r="M1341" i="11"/>
  <c r="M1340" i="11"/>
  <c r="M1339" i="11"/>
  <c r="M1338" i="11"/>
  <c r="M1337" i="11"/>
  <c r="M1336" i="11"/>
  <c r="M1335" i="11"/>
  <c r="M1334" i="11"/>
  <c r="M1333" i="11"/>
  <c r="M1332" i="11"/>
  <c r="M1331" i="11"/>
  <c r="M1330" i="11"/>
  <c r="M1329" i="11"/>
  <c r="M1328" i="11"/>
  <c r="M1327" i="11"/>
  <c r="M1326" i="11"/>
  <c r="M1325" i="11"/>
  <c r="M1324" i="11"/>
  <c r="M1323" i="11"/>
  <c r="M1322" i="11"/>
  <c r="M1321" i="11"/>
  <c r="M1320" i="11"/>
  <c r="M1319" i="11"/>
  <c r="M1318" i="11"/>
  <c r="M1317" i="11"/>
  <c r="M1316" i="11"/>
  <c r="M1315" i="11"/>
  <c r="M1314" i="11"/>
  <c r="M1313" i="11"/>
  <c r="M1312" i="11"/>
  <c r="M1311" i="11"/>
  <c r="M1310" i="11"/>
  <c r="M1309" i="11"/>
  <c r="M1308" i="11"/>
  <c r="M1307" i="11"/>
  <c r="M1306" i="11"/>
  <c r="M1305" i="11"/>
  <c r="M1304" i="11"/>
  <c r="M1303" i="11"/>
  <c r="M1302" i="11"/>
  <c r="M1301" i="11"/>
  <c r="M1300" i="11"/>
  <c r="M1299" i="11"/>
  <c r="M1298" i="11"/>
  <c r="M1297" i="11"/>
  <c r="M1296" i="11"/>
  <c r="M1295" i="11"/>
  <c r="M1294" i="11"/>
  <c r="M1293" i="11"/>
  <c r="M1292" i="11"/>
  <c r="M1291" i="11"/>
  <c r="M1290" i="11"/>
  <c r="M1289" i="11"/>
  <c r="M1288" i="11"/>
  <c r="M1287" i="11"/>
  <c r="M1286" i="11"/>
  <c r="M1285" i="11"/>
  <c r="M1284" i="11"/>
  <c r="M1283" i="11"/>
  <c r="M1282" i="11"/>
  <c r="M1281" i="11"/>
  <c r="M1280" i="11"/>
  <c r="M1279" i="11"/>
  <c r="M1278" i="11"/>
  <c r="M1277" i="11"/>
  <c r="M1276" i="11"/>
  <c r="M1275" i="11"/>
  <c r="M1274" i="11"/>
  <c r="M1273" i="11"/>
  <c r="M1272" i="11"/>
  <c r="M1271" i="11"/>
  <c r="M1270" i="11"/>
  <c r="M1269" i="11"/>
  <c r="M1268" i="11"/>
  <c r="M1267" i="11"/>
  <c r="M1266" i="11"/>
  <c r="M1265" i="11"/>
  <c r="M1264" i="11"/>
  <c r="M1263" i="11"/>
  <c r="M1262" i="11"/>
  <c r="M1261" i="11"/>
  <c r="M1260" i="11"/>
  <c r="M1259" i="11"/>
  <c r="M1258" i="11"/>
  <c r="M1257" i="11"/>
  <c r="M1256" i="11"/>
  <c r="M1255" i="11"/>
  <c r="M1254" i="11"/>
  <c r="M1253" i="11"/>
  <c r="M1252" i="11"/>
  <c r="M1251" i="11"/>
  <c r="M1250" i="11"/>
  <c r="M1249" i="11"/>
  <c r="M1248" i="11"/>
  <c r="M1247" i="11"/>
  <c r="M1246" i="11"/>
  <c r="M1245" i="11"/>
  <c r="M1244" i="11"/>
  <c r="M1243" i="11"/>
  <c r="M1242" i="11"/>
  <c r="M1241" i="11"/>
  <c r="M1240" i="11"/>
  <c r="M1239" i="11"/>
  <c r="M1238" i="11"/>
  <c r="M1237" i="11"/>
  <c r="M1236" i="11"/>
  <c r="M1235" i="11"/>
  <c r="M1234" i="11"/>
  <c r="M1233" i="11"/>
  <c r="M1232" i="11"/>
  <c r="M1231" i="11"/>
  <c r="M1230" i="11"/>
  <c r="M1229" i="11"/>
  <c r="M1228" i="11"/>
  <c r="M1227" i="11"/>
  <c r="M1226" i="11"/>
  <c r="M1225" i="11"/>
  <c r="M1224" i="11"/>
  <c r="M1223" i="11"/>
  <c r="M1222" i="11"/>
  <c r="M1221" i="11"/>
  <c r="M1220" i="11"/>
  <c r="M1219" i="11"/>
  <c r="M1218" i="11"/>
  <c r="M1217" i="11"/>
  <c r="M1216" i="11"/>
  <c r="M1215" i="11"/>
  <c r="M1214" i="11"/>
  <c r="M1213" i="11"/>
  <c r="M1212" i="11"/>
  <c r="M1211" i="11"/>
  <c r="M1210" i="11"/>
  <c r="M1209" i="11"/>
  <c r="M1208" i="11"/>
  <c r="M1207" i="11"/>
  <c r="M1206" i="11"/>
  <c r="M1205" i="11"/>
  <c r="M1204" i="11"/>
  <c r="M1203" i="11"/>
  <c r="M1202" i="11"/>
  <c r="M1201" i="11"/>
  <c r="M1200" i="11"/>
  <c r="M1199" i="11"/>
  <c r="M1198" i="11"/>
  <c r="M1197" i="11"/>
  <c r="M1196" i="11"/>
  <c r="M1195" i="11"/>
  <c r="M1194" i="11"/>
  <c r="M1193" i="11"/>
  <c r="M1192" i="11"/>
  <c r="M1191" i="11"/>
  <c r="M1190" i="11"/>
  <c r="M1189" i="11"/>
  <c r="M1188" i="11"/>
  <c r="M1187" i="11"/>
  <c r="M1186" i="11"/>
  <c r="M1185" i="11"/>
  <c r="M1184" i="11"/>
  <c r="M1183" i="11"/>
  <c r="M1182" i="11"/>
  <c r="M1181" i="11"/>
  <c r="M1180" i="11"/>
  <c r="M1179" i="11"/>
  <c r="M1178" i="11"/>
  <c r="M1177" i="11"/>
  <c r="M1176" i="11"/>
  <c r="M1175" i="11"/>
  <c r="M1174" i="11"/>
  <c r="M1173" i="11"/>
  <c r="M1172" i="11"/>
  <c r="M1171" i="11"/>
  <c r="M1170" i="11"/>
  <c r="M1169" i="11"/>
  <c r="M1168" i="11"/>
  <c r="M1167" i="11"/>
  <c r="M1166" i="11"/>
  <c r="M1165" i="11"/>
  <c r="M1164" i="11"/>
  <c r="M1163" i="11"/>
  <c r="M1162" i="11"/>
  <c r="M1161" i="11"/>
  <c r="M1160" i="11"/>
  <c r="M1159" i="11"/>
  <c r="M1158" i="11"/>
  <c r="M1157" i="11"/>
  <c r="M1156" i="11"/>
  <c r="M1155" i="11"/>
  <c r="M1154" i="11"/>
  <c r="M1153" i="11"/>
  <c r="M1152" i="11"/>
  <c r="M1151" i="11"/>
  <c r="M1150" i="11"/>
  <c r="M1149" i="11"/>
  <c r="M1148" i="11"/>
  <c r="M1147" i="11"/>
  <c r="M1146" i="11"/>
  <c r="M1145" i="11"/>
  <c r="M1144" i="11"/>
  <c r="M1143" i="11"/>
  <c r="M1142" i="11"/>
  <c r="M1141" i="11"/>
  <c r="M1140" i="11"/>
  <c r="M1139" i="11"/>
  <c r="M1138" i="11"/>
  <c r="M1137" i="11"/>
  <c r="M1136" i="11"/>
  <c r="M1135" i="11"/>
  <c r="M1134" i="11"/>
  <c r="M1133" i="11"/>
  <c r="M1132" i="11"/>
  <c r="M1131" i="11"/>
  <c r="M1130" i="11"/>
  <c r="M1129" i="11"/>
  <c r="M1128" i="11"/>
  <c r="M1127" i="11"/>
  <c r="M1126" i="11"/>
  <c r="M1125" i="11"/>
  <c r="M1124" i="11"/>
  <c r="M1123" i="11"/>
  <c r="M1122" i="11"/>
  <c r="M1121" i="11"/>
  <c r="M1120" i="11"/>
  <c r="M1119" i="11"/>
  <c r="M1118" i="11"/>
  <c r="M1117" i="11"/>
  <c r="M1116" i="11"/>
  <c r="M1115" i="11"/>
  <c r="M1114" i="11"/>
  <c r="M1113" i="11"/>
  <c r="M1112" i="11"/>
  <c r="M1111" i="11"/>
  <c r="M1110" i="11"/>
  <c r="M1109" i="11"/>
  <c r="M1108" i="11"/>
  <c r="M1107" i="11"/>
  <c r="M1106" i="11"/>
  <c r="M1105" i="11"/>
  <c r="M1104" i="11"/>
  <c r="M1103" i="11"/>
  <c r="M1102" i="11"/>
  <c r="M1101" i="11"/>
  <c r="M1100" i="11"/>
  <c r="M1099" i="11"/>
  <c r="M1098" i="11"/>
  <c r="M1097" i="11"/>
  <c r="M1096" i="11"/>
  <c r="M1095" i="11"/>
  <c r="M1094" i="11"/>
  <c r="M1093" i="11"/>
  <c r="M1092" i="11"/>
  <c r="M1091" i="11"/>
  <c r="M1090" i="11"/>
  <c r="M1089" i="11"/>
  <c r="M1088" i="11"/>
  <c r="M1087" i="11"/>
  <c r="M1086" i="11"/>
  <c r="M1085" i="11"/>
  <c r="M1084" i="11"/>
  <c r="M1083" i="11"/>
  <c r="M1082" i="11"/>
  <c r="M1081" i="11"/>
  <c r="M1080" i="11"/>
  <c r="M1079" i="11"/>
  <c r="M1078" i="11"/>
  <c r="M1077" i="11"/>
  <c r="M1076" i="11"/>
  <c r="M1075" i="11"/>
  <c r="M1074" i="11"/>
  <c r="M1073" i="11"/>
  <c r="M1072" i="11"/>
  <c r="M1071" i="11"/>
  <c r="M1070" i="11"/>
  <c r="M1069" i="11"/>
  <c r="M1068" i="11"/>
  <c r="M1067" i="11"/>
  <c r="M1066" i="11"/>
  <c r="M1065" i="11"/>
  <c r="M1064" i="11"/>
  <c r="M1063" i="11"/>
  <c r="M1062" i="11"/>
  <c r="M1061" i="11"/>
  <c r="M1060" i="11"/>
  <c r="M1059" i="11"/>
  <c r="M1058" i="11"/>
  <c r="M1057" i="11"/>
  <c r="M1056" i="11"/>
  <c r="M1055" i="11"/>
  <c r="M1054" i="11"/>
  <c r="M1053" i="11"/>
  <c r="M1052" i="11"/>
  <c r="M1051" i="11"/>
  <c r="M1050" i="11"/>
  <c r="M1049" i="11"/>
  <c r="M1048" i="11"/>
  <c r="M1047" i="11"/>
  <c r="M1046" i="11"/>
  <c r="M1045" i="11"/>
  <c r="M1044" i="11"/>
  <c r="M1043" i="11"/>
  <c r="M1042" i="11"/>
  <c r="M1041" i="11"/>
  <c r="M1040" i="11"/>
  <c r="M1039" i="11"/>
  <c r="M1038" i="11"/>
  <c r="M1037" i="11"/>
  <c r="M1036" i="11"/>
  <c r="M1035" i="11"/>
  <c r="M1034" i="11"/>
  <c r="M1033" i="11"/>
  <c r="M1032" i="11"/>
  <c r="M1031" i="11"/>
  <c r="M1030" i="11"/>
  <c r="M1029" i="11"/>
  <c r="M1028" i="11"/>
  <c r="M1027" i="11"/>
  <c r="M1026" i="11"/>
  <c r="M1025" i="11"/>
  <c r="M1024" i="11"/>
  <c r="M1023" i="11"/>
  <c r="M1022" i="11"/>
  <c r="M1021" i="11"/>
  <c r="M1020" i="11"/>
  <c r="M1019" i="11"/>
  <c r="M1018" i="11"/>
  <c r="M1017" i="11"/>
  <c r="M1016" i="11"/>
  <c r="M1015" i="11"/>
  <c r="M1014" i="11"/>
  <c r="M1013" i="11"/>
  <c r="M1012" i="11"/>
  <c r="M1011" i="11"/>
  <c r="M1010" i="11"/>
  <c r="M1009" i="11"/>
  <c r="M1008" i="11"/>
  <c r="M1007" i="11"/>
  <c r="M1006" i="11"/>
  <c r="M1005" i="11"/>
  <c r="M1004" i="11"/>
  <c r="M1003" i="11"/>
  <c r="M1002" i="11"/>
  <c r="M1001" i="11"/>
  <c r="M1000" i="11"/>
  <c r="M999" i="11"/>
  <c r="M998" i="11"/>
  <c r="M997" i="11"/>
  <c r="M996" i="11"/>
  <c r="M995" i="11"/>
  <c r="M994" i="11"/>
  <c r="M993" i="11"/>
  <c r="M992" i="11"/>
  <c r="M991" i="11"/>
  <c r="M990" i="11"/>
  <c r="M989" i="11"/>
  <c r="M988" i="11"/>
  <c r="M987" i="11"/>
  <c r="M986" i="11"/>
  <c r="M985" i="11"/>
  <c r="M984" i="11"/>
  <c r="M983" i="11"/>
  <c r="M982" i="11"/>
  <c r="M981" i="11"/>
  <c r="M980" i="11"/>
  <c r="M979" i="11"/>
  <c r="M978" i="11"/>
  <c r="M977" i="11"/>
  <c r="M976" i="11"/>
  <c r="M975" i="11"/>
  <c r="M974" i="11"/>
  <c r="M973" i="11"/>
  <c r="M972" i="11"/>
  <c r="M971" i="11"/>
  <c r="M970" i="11"/>
  <c r="M969" i="11"/>
  <c r="M968" i="11"/>
  <c r="M967" i="11"/>
  <c r="M966" i="11"/>
  <c r="M965" i="11"/>
  <c r="M964" i="11"/>
  <c r="M963" i="11"/>
  <c r="M962" i="11"/>
  <c r="M961" i="11"/>
  <c r="M960" i="11"/>
  <c r="M959" i="11"/>
  <c r="M958" i="11"/>
  <c r="M957" i="11"/>
  <c r="M956" i="11"/>
  <c r="M955" i="11"/>
  <c r="M954" i="11"/>
  <c r="M953" i="11"/>
  <c r="M952" i="11"/>
  <c r="M951" i="11"/>
  <c r="M950" i="11"/>
  <c r="M949" i="11"/>
  <c r="M948" i="11"/>
  <c r="M947" i="11"/>
  <c r="M946" i="11"/>
  <c r="M945" i="11"/>
  <c r="M944" i="11"/>
  <c r="M943" i="11"/>
  <c r="M942" i="11"/>
  <c r="M941" i="11"/>
  <c r="M940" i="11"/>
  <c r="M939" i="11"/>
  <c r="M938" i="11"/>
  <c r="M937" i="11"/>
  <c r="M936" i="11"/>
  <c r="M935" i="11"/>
  <c r="M934" i="11"/>
  <c r="M933" i="11"/>
  <c r="M932" i="11"/>
  <c r="M931" i="11"/>
  <c r="M930" i="11"/>
  <c r="M929" i="11"/>
  <c r="M928" i="11"/>
  <c r="M927" i="11"/>
  <c r="M926" i="11"/>
  <c r="M925" i="11"/>
  <c r="M924" i="11"/>
  <c r="M923" i="11"/>
  <c r="M922" i="11"/>
  <c r="M921" i="11"/>
  <c r="M920" i="11"/>
  <c r="M919" i="11"/>
  <c r="M918" i="11"/>
  <c r="M917" i="11"/>
  <c r="M916" i="11"/>
  <c r="M915" i="11"/>
  <c r="M914" i="11"/>
  <c r="M913" i="11"/>
  <c r="M912" i="11"/>
  <c r="M911" i="11"/>
  <c r="M910" i="11"/>
  <c r="M909" i="11"/>
  <c r="M908" i="11"/>
  <c r="M907" i="11"/>
  <c r="M906" i="11"/>
  <c r="M905" i="11"/>
  <c r="M904" i="11"/>
  <c r="M903" i="11"/>
  <c r="M902" i="11"/>
  <c r="M901" i="11"/>
  <c r="M900" i="11"/>
  <c r="M899" i="11"/>
  <c r="M898" i="11"/>
  <c r="M897" i="11"/>
  <c r="M896" i="11"/>
  <c r="M895" i="11"/>
  <c r="M894" i="11"/>
  <c r="M893" i="11"/>
  <c r="M892" i="11"/>
  <c r="M891" i="11"/>
  <c r="M890" i="11"/>
  <c r="M889" i="11"/>
  <c r="M888" i="11"/>
  <c r="M887" i="11"/>
  <c r="M886" i="11"/>
  <c r="M885" i="11"/>
  <c r="M884" i="11"/>
  <c r="M883" i="11"/>
  <c r="M882" i="11"/>
  <c r="M881" i="11"/>
  <c r="M880" i="11"/>
  <c r="M879" i="11"/>
  <c r="M878" i="11"/>
  <c r="M877" i="11"/>
  <c r="M876" i="11"/>
  <c r="M875" i="11"/>
  <c r="M874" i="11"/>
  <c r="M873" i="11"/>
  <c r="M872" i="11"/>
  <c r="M871" i="11"/>
  <c r="M870" i="11"/>
  <c r="M869" i="11"/>
  <c r="M868" i="11"/>
  <c r="M867" i="11"/>
  <c r="M866" i="11"/>
  <c r="M865" i="11"/>
  <c r="M864" i="11"/>
  <c r="M863" i="11"/>
  <c r="M862" i="11"/>
  <c r="M861" i="11"/>
  <c r="M860" i="11"/>
  <c r="M859" i="11"/>
  <c r="M858" i="11"/>
  <c r="M857" i="11"/>
  <c r="M856" i="11"/>
  <c r="M855" i="11"/>
  <c r="M854" i="11"/>
  <c r="M853" i="11"/>
  <c r="M852" i="11"/>
  <c r="M851" i="11"/>
  <c r="M850" i="11"/>
  <c r="M849" i="11"/>
  <c r="M848" i="11"/>
  <c r="M847" i="11"/>
  <c r="M846" i="11"/>
  <c r="M845" i="11"/>
  <c r="M844" i="11"/>
  <c r="M843" i="11"/>
  <c r="M842" i="11"/>
  <c r="M841" i="11"/>
  <c r="M840" i="11"/>
  <c r="M839" i="11"/>
  <c r="M838" i="11"/>
  <c r="M837" i="11"/>
  <c r="M836" i="11"/>
  <c r="M835" i="11"/>
  <c r="M834" i="11"/>
  <c r="M833" i="11"/>
  <c r="M832" i="11"/>
  <c r="M831" i="11"/>
  <c r="M830" i="11"/>
  <c r="M829" i="11"/>
  <c r="M828" i="11"/>
  <c r="M827" i="11"/>
  <c r="M826" i="11"/>
  <c r="M825" i="11"/>
  <c r="M824" i="11"/>
  <c r="M823" i="11"/>
  <c r="M822" i="11"/>
  <c r="M821" i="11"/>
  <c r="M820" i="11"/>
  <c r="M819" i="11"/>
  <c r="M818" i="11"/>
  <c r="M817" i="11"/>
  <c r="M816" i="11"/>
  <c r="M815" i="11"/>
  <c r="M814" i="11"/>
  <c r="M813" i="11"/>
  <c r="M812" i="11"/>
  <c r="M811" i="11"/>
  <c r="M810" i="11"/>
  <c r="M809" i="11"/>
  <c r="M808" i="11"/>
  <c r="M807" i="11"/>
  <c r="M806" i="11"/>
  <c r="M805" i="11"/>
  <c r="M804" i="11"/>
  <c r="M803" i="11"/>
  <c r="M802" i="11"/>
  <c r="M801" i="11"/>
  <c r="M800" i="11"/>
  <c r="M799" i="11"/>
  <c r="M798" i="11"/>
  <c r="M797" i="11"/>
  <c r="M796" i="11"/>
  <c r="M795" i="11"/>
  <c r="M794" i="11"/>
  <c r="M793" i="11"/>
  <c r="M792" i="11"/>
  <c r="M791" i="11"/>
  <c r="M790" i="11"/>
  <c r="M789" i="11"/>
  <c r="M788" i="11"/>
  <c r="M787" i="11"/>
  <c r="M786" i="11"/>
  <c r="M785" i="11"/>
  <c r="M784" i="11"/>
  <c r="M783" i="11"/>
  <c r="M782" i="11"/>
  <c r="M781" i="11"/>
  <c r="M780" i="11"/>
  <c r="M779" i="11"/>
  <c r="M778" i="11"/>
  <c r="M777" i="11"/>
  <c r="M776" i="11"/>
  <c r="M775" i="11"/>
  <c r="M774" i="11"/>
  <c r="M773" i="11"/>
  <c r="M772" i="11"/>
  <c r="M771" i="11"/>
  <c r="M770" i="11"/>
  <c r="M769" i="11"/>
  <c r="M768" i="11"/>
  <c r="M767" i="11"/>
  <c r="M766" i="11"/>
  <c r="M765" i="11"/>
  <c r="M764" i="11"/>
  <c r="M763" i="11"/>
  <c r="M762" i="11"/>
  <c r="M761" i="11"/>
  <c r="M760" i="11"/>
  <c r="M759" i="11"/>
  <c r="M758" i="11"/>
  <c r="M757" i="11"/>
  <c r="M756" i="11"/>
  <c r="M755" i="11"/>
  <c r="M754" i="11"/>
  <c r="M753" i="11"/>
  <c r="M752" i="11"/>
  <c r="M751" i="11"/>
  <c r="M750" i="11"/>
  <c r="M749" i="11"/>
  <c r="M748" i="11"/>
  <c r="M747" i="11"/>
  <c r="M746" i="11"/>
  <c r="M745" i="11"/>
  <c r="M744" i="11"/>
  <c r="M743" i="11"/>
  <c r="M742" i="11"/>
  <c r="M741" i="11"/>
  <c r="M740" i="11"/>
  <c r="M739" i="11"/>
  <c r="M738" i="11"/>
  <c r="M737" i="11"/>
  <c r="M736" i="11"/>
  <c r="M735" i="11"/>
  <c r="M734" i="11"/>
  <c r="M733" i="11"/>
  <c r="M732" i="11"/>
  <c r="M731" i="11"/>
  <c r="M730" i="11"/>
  <c r="M729" i="11"/>
  <c r="M728" i="11"/>
  <c r="M727" i="11"/>
  <c r="M726" i="11"/>
  <c r="M725" i="11"/>
  <c r="M724" i="11"/>
  <c r="M723" i="11"/>
  <c r="M722" i="11"/>
  <c r="M721" i="11"/>
  <c r="M720" i="11"/>
  <c r="M719" i="11"/>
  <c r="M718" i="11"/>
  <c r="M717" i="11"/>
  <c r="M716" i="11"/>
  <c r="M715" i="11"/>
  <c r="M714" i="11"/>
  <c r="M713" i="11"/>
  <c r="M712" i="11"/>
  <c r="M711" i="11"/>
  <c r="M710" i="11"/>
  <c r="M709" i="11"/>
  <c r="M708" i="11"/>
  <c r="M707" i="11"/>
  <c r="M706" i="11"/>
  <c r="M705" i="11"/>
  <c r="M704" i="11"/>
  <c r="M703" i="11"/>
  <c r="M702" i="11"/>
  <c r="M701" i="11"/>
  <c r="M700" i="11"/>
  <c r="M699" i="11"/>
  <c r="M698" i="11"/>
  <c r="M697" i="11"/>
  <c r="M696" i="11"/>
  <c r="M695" i="11"/>
  <c r="M694" i="11"/>
  <c r="M693" i="11"/>
  <c r="M692" i="11"/>
  <c r="M691" i="11"/>
  <c r="M690" i="11"/>
  <c r="M689" i="11"/>
  <c r="M688" i="11"/>
  <c r="M687" i="11"/>
  <c r="M686" i="11"/>
  <c r="M685" i="11"/>
  <c r="M684" i="11"/>
  <c r="M683" i="11"/>
  <c r="M682" i="11"/>
  <c r="M681" i="11"/>
  <c r="M680" i="11"/>
  <c r="M679" i="11"/>
  <c r="M678" i="11"/>
  <c r="M677" i="11"/>
  <c r="M676" i="11"/>
  <c r="M675" i="11"/>
  <c r="M674" i="11"/>
  <c r="M673" i="11"/>
  <c r="M672" i="11"/>
  <c r="M671" i="11"/>
  <c r="M670" i="11"/>
  <c r="M669" i="11"/>
  <c r="M668" i="11"/>
  <c r="M667" i="11"/>
  <c r="M666" i="11"/>
  <c r="M665" i="11"/>
  <c r="M664" i="11"/>
  <c r="M663" i="11"/>
  <c r="M662" i="11"/>
  <c r="M661" i="11"/>
  <c r="M660" i="11"/>
  <c r="M659" i="11"/>
  <c r="M658" i="11"/>
  <c r="M657" i="11"/>
  <c r="M656" i="11"/>
  <c r="M655" i="11"/>
  <c r="M654" i="11"/>
  <c r="M653" i="11"/>
  <c r="M652" i="11"/>
  <c r="M651" i="11"/>
  <c r="M650" i="11"/>
  <c r="M649" i="11"/>
  <c r="M648" i="11"/>
  <c r="M647" i="11"/>
  <c r="M646" i="11"/>
  <c r="M645" i="11"/>
  <c r="M644" i="11"/>
  <c r="M643" i="11"/>
  <c r="M642" i="11"/>
  <c r="M641" i="11"/>
  <c r="M640" i="11"/>
  <c r="M639" i="11"/>
  <c r="M638" i="11"/>
  <c r="M637" i="11"/>
  <c r="M636" i="11"/>
  <c r="M635" i="11"/>
  <c r="M634" i="11"/>
  <c r="M633" i="11"/>
  <c r="M632" i="11"/>
  <c r="M631" i="11"/>
  <c r="M630" i="11"/>
  <c r="M629" i="11"/>
  <c r="M628" i="11"/>
  <c r="M627" i="11"/>
  <c r="M626" i="11"/>
  <c r="M625" i="11"/>
  <c r="M624" i="11"/>
  <c r="M623" i="11"/>
  <c r="M622" i="11"/>
  <c r="M621" i="11"/>
  <c r="M620" i="11"/>
  <c r="M619" i="11"/>
  <c r="M618" i="11"/>
  <c r="M617" i="11"/>
  <c r="M616" i="11"/>
  <c r="M615" i="11"/>
  <c r="M614" i="11"/>
  <c r="M613" i="11"/>
  <c r="M612" i="11"/>
  <c r="M611" i="11"/>
  <c r="M610" i="11"/>
  <c r="M609" i="11"/>
  <c r="M608" i="11"/>
  <c r="M607" i="11"/>
  <c r="M606" i="11"/>
  <c r="M605" i="11"/>
  <c r="M604" i="11"/>
  <c r="M603" i="11"/>
  <c r="M602" i="11"/>
  <c r="M601" i="11"/>
  <c r="M600" i="11"/>
  <c r="M599" i="11"/>
  <c r="M598" i="11"/>
  <c r="M597" i="11"/>
  <c r="M596" i="11"/>
  <c r="M595" i="11"/>
  <c r="M594" i="11"/>
  <c r="M593" i="11"/>
  <c r="M592" i="11"/>
  <c r="M591" i="11"/>
  <c r="M590" i="11"/>
  <c r="M589" i="11"/>
  <c r="M588" i="11"/>
  <c r="M587" i="11"/>
  <c r="M586" i="11"/>
  <c r="M585" i="11"/>
  <c r="M584" i="11"/>
  <c r="M583" i="11"/>
  <c r="M582" i="11"/>
  <c r="M581" i="11"/>
  <c r="M580" i="11"/>
  <c r="M579" i="11"/>
  <c r="M578" i="11"/>
  <c r="M577" i="11"/>
  <c r="M576" i="11"/>
  <c r="M575" i="11"/>
  <c r="M574" i="11"/>
  <c r="M573" i="11"/>
  <c r="M572" i="11"/>
  <c r="M571" i="11"/>
  <c r="M570" i="11"/>
  <c r="M569" i="11"/>
  <c r="M568" i="11"/>
  <c r="M567" i="11"/>
  <c r="M566" i="11"/>
  <c r="M565" i="11"/>
  <c r="M564" i="11"/>
  <c r="M563" i="11"/>
  <c r="M562" i="11"/>
  <c r="M561" i="11"/>
  <c r="M560" i="11"/>
  <c r="M559" i="11"/>
  <c r="M558" i="11"/>
  <c r="M557" i="11"/>
  <c r="M556" i="11"/>
  <c r="M555" i="11"/>
  <c r="M554" i="11"/>
  <c r="M553" i="11"/>
  <c r="M552" i="11"/>
  <c r="M551" i="11"/>
  <c r="M550" i="11"/>
  <c r="M549" i="11"/>
  <c r="M548" i="11"/>
  <c r="M547" i="11"/>
  <c r="M546" i="11"/>
  <c r="M545" i="11"/>
  <c r="M544" i="11"/>
  <c r="M543" i="11"/>
  <c r="M542" i="11"/>
  <c r="M541" i="11"/>
  <c r="M540" i="11"/>
  <c r="M539" i="11"/>
  <c r="M538" i="11"/>
  <c r="M537" i="11"/>
  <c r="M536" i="11"/>
  <c r="M535" i="11"/>
  <c r="M534" i="11"/>
  <c r="M533" i="11"/>
  <c r="M532" i="11"/>
  <c r="M531" i="11"/>
  <c r="M530" i="11"/>
  <c r="M529" i="11"/>
  <c r="M528" i="11"/>
  <c r="M527" i="11"/>
  <c r="M526" i="11"/>
  <c r="M525" i="11"/>
  <c r="M524" i="11"/>
  <c r="M523" i="11"/>
  <c r="M522" i="11"/>
  <c r="M521" i="11"/>
  <c r="M520" i="11"/>
  <c r="M519" i="11"/>
  <c r="M518" i="11"/>
  <c r="M517" i="11"/>
  <c r="M516" i="11"/>
  <c r="M515" i="11"/>
  <c r="M514" i="11"/>
  <c r="M513" i="11"/>
  <c r="M512" i="11"/>
  <c r="M511" i="11"/>
  <c r="M510" i="11"/>
  <c r="M509" i="11"/>
  <c r="M508" i="11"/>
  <c r="M507" i="11"/>
  <c r="M506" i="11"/>
  <c r="M505" i="11"/>
  <c r="M504" i="11"/>
  <c r="M503" i="11"/>
  <c r="M502" i="11"/>
  <c r="M501" i="11"/>
  <c r="M500" i="11"/>
  <c r="M499" i="11"/>
  <c r="M498" i="11"/>
  <c r="M497" i="11"/>
  <c r="M496" i="11"/>
  <c r="M495" i="11"/>
  <c r="M494" i="11"/>
  <c r="M493" i="11"/>
  <c r="M492" i="11"/>
  <c r="M491" i="11"/>
  <c r="M490" i="11"/>
  <c r="M489" i="11"/>
  <c r="M488" i="11"/>
  <c r="M487" i="11"/>
  <c r="M486" i="11"/>
  <c r="M485" i="11"/>
  <c r="M484" i="11"/>
  <c r="M483" i="11"/>
  <c r="M482" i="11"/>
  <c r="M481" i="11"/>
  <c r="M480" i="11"/>
  <c r="M479" i="11"/>
  <c r="M478" i="11"/>
  <c r="M477" i="11"/>
  <c r="M476" i="11"/>
  <c r="M475" i="11"/>
  <c r="M474" i="11"/>
  <c r="M473" i="11"/>
  <c r="M472" i="11"/>
  <c r="M471" i="11"/>
  <c r="M470" i="11"/>
  <c r="M469" i="11"/>
  <c r="M468" i="11"/>
  <c r="M467" i="11"/>
  <c r="M466" i="11"/>
  <c r="M465" i="11"/>
  <c r="M464" i="11"/>
  <c r="M463" i="11"/>
  <c r="M462" i="11"/>
  <c r="M461" i="11"/>
  <c r="M460" i="11"/>
  <c r="M459" i="11"/>
  <c r="M458" i="11"/>
  <c r="M457" i="11"/>
  <c r="M456" i="11"/>
  <c r="M455" i="11"/>
  <c r="M454" i="11"/>
  <c r="M453" i="11"/>
  <c r="M452" i="11"/>
  <c r="M451" i="11"/>
  <c r="M450" i="11"/>
  <c r="M449" i="11"/>
  <c r="M448" i="11"/>
  <c r="M447" i="11"/>
  <c r="M446" i="11"/>
  <c r="M445" i="11"/>
  <c r="M444" i="11"/>
  <c r="M443" i="11"/>
  <c r="M442" i="11"/>
  <c r="M441" i="11"/>
  <c r="M440" i="11"/>
  <c r="M439" i="11"/>
  <c r="M438" i="11"/>
  <c r="M437" i="11"/>
  <c r="M436" i="11"/>
  <c r="M435" i="11"/>
  <c r="M434" i="11"/>
  <c r="M433" i="11"/>
  <c r="M432" i="11"/>
  <c r="M431" i="11"/>
  <c r="M430" i="11"/>
  <c r="M429" i="11"/>
  <c r="M428" i="11"/>
  <c r="M427" i="11"/>
  <c r="M426" i="11"/>
  <c r="M425" i="11"/>
  <c r="M424" i="11"/>
  <c r="M423" i="11"/>
  <c r="M422" i="11"/>
  <c r="M421" i="11"/>
  <c r="M420" i="11"/>
  <c r="M419" i="11"/>
  <c r="M418" i="11"/>
  <c r="M417" i="11"/>
  <c r="M416" i="11"/>
  <c r="M415" i="11"/>
  <c r="M414" i="11"/>
  <c r="M413" i="11"/>
  <c r="M412" i="11"/>
  <c r="M411" i="11"/>
  <c r="M410" i="11"/>
  <c r="M409" i="11"/>
  <c r="M408" i="11"/>
  <c r="M407" i="11"/>
  <c r="M406" i="11"/>
  <c r="M405" i="11"/>
  <c r="M404" i="11"/>
  <c r="M403" i="11"/>
  <c r="M402" i="11"/>
  <c r="M401" i="11"/>
  <c r="M400" i="11"/>
  <c r="M399" i="11"/>
  <c r="M398" i="11"/>
  <c r="M397" i="11"/>
  <c r="M396" i="11"/>
  <c r="M395" i="11"/>
  <c r="M394" i="11"/>
  <c r="M393" i="11"/>
  <c r="M392" i="11"/>
  <c r="M391" i="11"/>
  <c r="M390" i="11"/>
  <c r="M389" i="11"/>
  <c r="M388" i="11"/>
  <c r="M387" i="11"/>
  <c r="M386" i="11"/>
  <c r="M385" i="11"/>
  <c r="M384" i="11"/>
  <c r="M383" i="11"/>
  <c r="M382" i="11"/>
  <c r="M381" i="11"/>
  <c r="M380" i="11"/>
  <c r="M379" i="11"/>
  <c r="M378" i="11"/>
  <c r="M377" i="11"/>
  <c r="M376" i="11"/>
  <c r="M375" i="11"/>
  <c r="M374" i="11"/>
  <c r="M373" i="11"/>
  <c r="M372" i="11"/>
  <c r="M371" i="11"/>
  <c r="M370" i="11"/>
  <c r="M369" i="11"/>
  <c r="M368" i="11"/>
  <c r="M367" i="11"/>
  <c r="M366" i="11"/>
  <c r="M365" i="11"/>
  <c r="M364" i="11"/>
  <c r="M363" i="11"/>
  <c r="M362" i="11"/>
  <c r="M361" i="11"/>
  <c r="M360" i="11"/>
  <c r="M359" i="11"/>
  <c r="M358" i="11"/>
  <c r="M357" i="11"/>
  <c r="M356" i="11"/>
  <c r="M355" i="11"/>
  <c r="M354" i="11"/>
  <c r="M353" i="11"/>
  <c r="M352" i="11"/>
  <c r="M351" i="11"/>
  <c r="M350" i="11"/>
  <c r="M349" i="11"/>
  <c r="M348" i="11"/>
  <c r="M347" i="11"/>
  <c r="M346" i="11"/>
  <c r="M345" i="11"/>
  <c r="M344" i="11"/>
  <c r="M343" i="11"/>
  <c r="M342" i="11"/>
  <c r="M341" i="11"/>
  <c r="M340" i="11"/>
  <c r="M339" i="11"/>
  <c r="M338" i="11"/>
  <c r="M337" i="11"/>
  <c r="M336" i="11"/>
  <c r="M335" i="11"/>
  <c r="M334" i="11"/>
  <c r="M333" i="11"/>
  <c r="M332" i="11"/>
  <c r="M331" i="11"/>
  <c r="M330" i="11"/>
  <c r="M329" i="11"/>
  <c r="M328" i="11"/>
  <c r="M327" i="11"/>
  <c r="M326" i="11"/>
  <c r="M325" i="11"/>
  <c r="M324" i="11"/>
  <c r="M323" i="11"/>
  <c r="M322" i="11"/>
  <c r="M321" i="11"/>
  <c r="M320" i="11"/>
  <c r="M319" i="11"/>
  <c r="M318" i="11"/>
  <c r="M317" i="11"/>
  <c r="M316" i="11"/>
  <c r="M315" i="11"/>
  <c r="M314" i="11"/>
  <c r="M313" i="11"/>
  <c r="M312" i="11"/>
  <c r="M311" i="11"/>
  <c r="M310" i="11"/>
  <c r="M309" i="11"/>
  <c r="M308" i="11"/>
  <c r="M307" i="11"/>
  <c r="M306" i="11"/>
  <c r="M305" i="11"/>
  <c r="M304" i="11"/>
  <c r="M303" i="11"/>
  <c r="M302" i="11"/>
  <c r="M301" i="11"/>
  <c r="M300" i="11"/>
  <c r="M299" i="11"/>
  <c r="M298" i="11"/>
  <c r="M297" i="11"/>
  <c r="M296" i="11"/>
  <c r="M295" i="11"/>
  <c r="M294" i="11"/>
  <c r="M293" i="11"/>
  <c r="M292" i="11"/>
  <c r="M291" i="11"/>
  <c r="M290" i="11"/>
  <c r="M289" i="11"/>
  <c r="M288" i="11"/>
  <c r="M287" i="11"/>
  <c r="M286" i="11"/>
  <c r="M285" i="11"/>
  <c r="M284" i="11"/>
  <c r="M283" i="11"/>
  <c r="M282" i="11"/>
  <c r="M281" i="11"/>
  <c r="M280" i="11"/>
  <c r="M279" i="11"/>
  <c r="M278" i="11"/>
  <c r="M277" i="11"/>
  <c r="M276" i="11"/>
  <c r="M275" i="11"/>
  <c r="M274" i="11"/>
  <c r="M273" i="11"/>
  <c r="M272" i="11"/>
  <c r="M271" i="11"/>
  <c r="M270" i="11"/>
  <c r="M269" i="11"/>
  <c r="M268" i="11"/>
  <c r="M267" i="11"/>
  <c r="M266" i="11"/>
  <c r="M265" i="11"/>
  <c r="M264" i="11"/>
  <c r="M263" i="11"/>
  <c r="M262" i="11"/>
  <c r="M261" i="11"/>
  <c r="M260" i="11"/>
  <c r="M259" i="11"/>
  <c r="M258" i="11"/>
  <c r="M257" i="11"/>
  <c r="M256" i="11"/>
  <c r="M255" i="11"/>
  <c r="M254" i="11"/>
  <c r="M253" i="11"/>
  <c r="M252" i="11"/>
  <c r="M251" i="11"/>
  <c r="M250" i="11"/>
  <c r="M249" i="11"/>
  <c r="M248" i="11"/>
  <c r="M247" i="11"/>
  <c r="M246" i="11"/>
  <c r="M245" i="11"/>
  <c r="M244" i="11"/>
  <c r="M243" i="11"/>
  <c r="M242" i="11"/>
  <c r="M241" i="11"/>
  <c r="M240" i="11"/>
  <c r="M239" i="11"/>
  <c r="M238" i="11"/>
  <c r="M237" i="11"/>
  <c r="M236" i="11"/>
  <c r="M235" i="11"/>
  <c r="M234" i="11"/>
  <c r="M233" i="11"/>
  <c r="M232" i="11"/>
  <c r="M231" i="11"/>
  <c r="M230" i="11"/>
  <c r="M229" i="11"/>
  <c r="M228" i="11"/>
  <c r="M227" i="11"/>
  <c r="M226" i="11"/>
  <c r="M225" i="11"/>
  <c r="M224" i="11"/>
  <c r="M223" i="11"/>
  <c r="M222" i="11"/>
  <c r="M221" i="11"/>
  <c r="M220" i="11"/>
  <c r="M219" i="11"/>
  <c r="M218" i="11"/>
  <c r="M217" i="11"/>
  <c r="M216" i="11"/>
  <c r="M215" i="11"/>
  <c r="M214" i="11"/>
  <c r="M213" i="11"/>
  <c r="M212" i="11"/>
  <c r="M211" i="11"/>
  <c r="M210" i="11"/>
  <c r="M209" i="11"/>
  <c r="M208" i="11"/>
  <c r="M207" i="11"/>
  <c r="M206" i="11"/>
  <c r="M205" i="11"/>
  <c r="M204" i="11"/>
  <c r="M203" i="11"/>
  <c r="M202" i="11"/>
  <c r="M201" i="11"/>
  <c r="M200" i="11"/>
  <c r="M199" i="11"/>
  <c r="M198" i="11"/>
  <c r="M197" i="11"/>
  <c r="M196" i="11"/>
  <c r="M195" i="11"/>
  <c r="M194" i="11"/>
  <c r="M193" i="11"/>
  <c r="M192" i="11"/>
  <c r="M191" i="11"/>
  <c r="M190" i="11"/>
  <c r="M189" i="11"/>
  <c r="M188" i="11"/>
  <c r="M187" i="11"/>
  <c r="M186" i="11"/>
  <c r="M185" i="11"/>
  <c r="M184" i="11"/>
  <c r="M183" i="11"/>
  <c r="M182" i="11"/>
  <c r="M181" i="11"/>
  <c r="M180" i="11"/>
  <c r="M179" i="11"/>
  <c r="M178" i="11"/>
  <c r="M177" i="11"/>
  <c r="M176" i="11"/>
  <c r="M175" i="11"/>
  <c r="M174" i="1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W88" i="20"/>
  <c r="W85" i="20"/>
  <c r="T17" i="20" l="1"/>
  <c r="G85" i="20"/>
  <c r="Q159" i="1"/>
  <c r="T9" i="1"/>
  <c r="T83" i="1" s="1"/>
  <c r="T182" i="1" s="1"/>
  <c r="O9" i="1"/>
  <c r="N9" i="1"/>
  <c r="Q83" i="1"/>
  <c r="U9" i="1"/>
  <c r="U83" i="1" s="1"/>
  <c r="U182" i="1" s="1"/>
  <c r="S83" i="1"/>
  <c r="S182" i="1" s="1"/>
  <c r="R182" i="1"/>
  <c r="P83" i="1"/>
  <c r="P182" i="1" s="1"/>
  <c r="N15" i="20"/>
  <c r="W159" i="20"/>
  <c r="W182" i="20" s="1"/>
  <c r="O15" i="20"/>
  <c r="G15" i="20"/>
  <c r="T15" i="20"/>
  <c r="N88" i="20"/>
  <c r="T88" i="20"/>
  <c r="Q83" i="20"/>
  <c r="Q182" i="20" s="1"/>
  <c r="O9" i="20"/>
  <c r="G9" i="20"/>
  <c r="S83" i="20"/>
  <c r="U9" i="20"/>
  <c r="U83" i="20" s="1"/>
  <c r="U15" i="20"/>
  <c r="U17" i="20"/>
  <c r="U88" i="20"/>
  <c r="N10" i="20"/>
  <c r="O17" i="20"/>
  <c r="G17" i="20"/>
  <c r="O10" i="20"/>
  <c r="G10" i="20"/>
  <c r="N16" i="20"/>
  <c r="U10" i="20"/>
  <c r="R83" i="20"/>
  <c r="T9" i="20"/>
  <c r="T83" i="20" s="1"/>
  <c r="U85" i="20"/>
  <c r="U159" i="20" s="1"/>
  <c r="S159" i="20"/>
  <c r="N17" i="20"/>
  <c r="U16" i="20"/>
  <c r="T18" i="20"/>
  <c r="N85" i="20"/>
  <c r="N159" i="20" s="1"/>
  <c r="T85" i="20"/>
  <c r="T159" i="20" s="1"/>
  <c r="R159" i="20"/>
  <c r="U18" i="20"/>
  <c r="O16" i="20"/>
  <c r="L4140" i="11"/>
  <c r="L4139" i="11"/>
  <c r="L4138" i="11"/>
  <c r="L4137" i="11"/>
  <c r="L4136" i="11"/>
  <c r="L4135" i="11"/>
  <c r="L4134" i="11"/>
  <c r="L4133" i="11"/>
  <c r="L4132" i="11"/>
  <c r="L4131" i="11"/>
  <c r="L4130" i="11"/>
  <c r="L4129" i="11"/>
  <c r="L4128" i="11"/>
  <c r="L4127" i="11"/>
  <c r="L4126" i="11"/>
  <c r="L4125" i="11"/>
  <c r="L4124" i="11"/>
  <c r="L4123" i="11"/>
  <c r="L4122" i="11"/>
  <c r="L4121" i="11"/>
  <c r="L4120" i="11"/>
  <c r="L4119" i="11"/>
  <c r="L4118" i="11"/>
  <c r="L4117" i="11"/>
  <c r="L4116" i="11"/>
  <c r="L4115" i="11"/>
  <c r="L4114" i="11"/>
  <c r="L4113" i="11"/>
  <c r="L4112" i="11"/>
  <c r="L4111" i="11"/>
  <c r="L4110" i="11"/>
  <c r="L4109" i="11"/>
  <c r="L4108" i="11"/>
  <c r="L4107" i="11"/>
  <c r="L4106" i="11"/>
  <c r="L4105" i="11"/>
  <c r="L4104" i="11"/>
  <c r="L4103" i="11"/>
  <c r="L4102" i="11"/>
  <c r="L4101" i="11"/>
  <c r="L4100" i="11"/>
  <c r="L4099" i="11"/>
  <c r="L4098" i="11"/>
  <c r="L4097" i="11"/>
  <c r="L4096" i="11"/>
  <c r="L4095" i="11"/>
  <c r="L4094" i="11"/>
  <c r="L4093" i="11"/>
  <c r="L4092" i="11"/>
  <c r="L4091" i="11"/>
  <c r="L4090" i="11"/>
  <c r="L4089" i="11"/>
  <c r="L4088" i="11"/>
  <c r="L4087" i="11"/>
  <c r="L4086" i="11"/>
  <c r="L4085" i="11"/>
  <c r="L4084" i="11"/>
  <c r="L4083" i="11"/>
  <c r="L4082" i="11"/>
  <c r="L4081" i="11"/>
  <c r="L4080" i="11"/>
  <c r="L4079" i="11"/>
  <c r="L4078" i="11"/>
  <c r="L4077" i="11"/>
  <c r="L4076" i="11"/>
  <c r="L4075" i="11"/>
  <c r="L4074" i="11"/>
  <c r="L4073" i="11"/>
  <c r="L4072" i="11"/>
  <c r="L4071" i="11"/>
  <c r="L4070" i="11"/>
  <c r="L4069" i="11"/>
  <c r="L4068" i="11"/>
  <c r="L4067" i="11"/>
  <c r="L4066" i="11"/>
  <c r="L4065" i="11"/>
  <c r="L4064" i="11"/>
  <c r="L4063" i="11"/>
  <c r="L4062" i="11"/>
  <c r="L4061" i="11"/>
  <c r="L4060" i="11"/>
  <c r="L4059" i="11"/>
  <c r="L4058" i="11"/>
  <c r="L4057" i="11"/>
  <c r="L4056" i="11"/>
  <c r="L4055" i="11"/>
  <c r="L4054" i="11"/>
  <c r="L4053" i="11"/>
  <c r="L4052" i="11"/>
  <c r="L4051" i="11"/>
  <c r="L4050" i="11"/>
  <c r="L4049" i="11"/>
  <c r="L4048" i="11"/>
  <c r="L4047" i="11"/>
  <c r="L4046" i="11"/>
  <c r="L4045" i="11"/>
  <c r="L4044" i="11"/>
  <c r="L4043" i="11"/>
  <c r="L4042" i="11"/>
  <c r="L4041" i="11"/>
  <c r="L4040" i="11"/>
  <c r="L4039" i="11"/>
  <c r="L4038" i="11"/>
  <c r="L4037" i="11"/>
  <c r="L4036" i="11"/>
  <c r="L4035" i="11"/>
  <c r="L4034" i="11"/>
  <c r="L4033" i="11"/>
  <c r="L4032" i="11"/>
  <c r="L4031" i="11"/>
  <c r="L4030" i="11"/>
  <c r="L4029" i="11"/>
  <c r="L4028" i="11"/>
  <c r="L4027" i="11"/>
  <c r="L4026" i="11"/>
  <c r="L4025" i="11"/>
  <c r="L4024" i="11"/>
  <c r="L4023" i="11"/>
  <c r="L4022" i="11"/>
  <c r="L4021" i="11"/>
  <c r="L4020" i="11"/>
  <c r="L4019" i="11"/>
  <c r="L4018" i="11"/>
  <c r="L4017" i="11"/>
  <c r="L4016" i="11"/>
  <c r="L4015" i="11"/>
  <c r="L4014" i="11"/>
  <c r="L4013" i="11"/>
  <c r="L4012" i="11"/>
  <c r="L4011" i="11"/>
  <c r="L4010" i="11"/>
  <c r="L4009" i="11"/>
  <c r="L4008" i="11"/>
  <c r="L4007" i="11"/>
  <c r="L4006" i="11"/>
  <c r="L4005" i="11"/>
  <c r="L4004" i="11"/>
  <c r="L4003" i="11"/>
  <c r="L4002" i="11"/>
  <c r="L4001" i="11"/>
  <c r="L4000" i="11"/>
  <c r="L3999" i="11"/>
  <c r="L3998" i="11"/>
  <c r="L3997" i="11"/>
  <c r="L3996" i="11"/>
  <c r="L3995" i="11"/>
  <c r="L3994" i="11"/>
  <c r="L3993" i="11"/>
  <c r="L3992" i="11"/>
  <c r="L3991" i="11"/>
  <c r="L3990" i="11"/>
  <c r="L3989" i="11"/>
  <c r="L3988" i="11"/>
  <c r="L3987" i="11"/>
  <c r="L3986" i="11"/>
  <c r="L3985" i="11"/>
  <c r="L3984" i="11"/>
  <c r="L3983" i="11"/>
  <c r="L3982" i="11"/>
  <c r="L3981" i="11"/>
  <c r="L3980" i="11"/>
  <c r="L3979" i="11"/>
  <c r="L3978" i="11"/>
  <c r="L3977" i="11"/>
  <c r="L3976" i="11"/>
  <c r="L3975" i="11"/>
  <c r="L3974" i="11"/>
  <c r="L3973" i="11"/>
  <c r="L3972" i="11"/>
  <c r="L3971" i="11"/>
  <c r="L3970" i="11"/>
  <c r="L3969" i="11"/>
  <c r="L3968" i="11"/>
  <c r="L3967" i="11"/>
  <c r="L3966" i="11"/>
  <c r="L3965" i="11"/>
  <c r="L3964" i="11"/>
  <c r="L3963" i="11"/>
  <c r="L3962" i="11"/>
  <c r="L3961" i="11"/>
  <c r="L3960" i="11"/>
  <c r="L3959" i="11"/>
  <c r="L3958" i="11"/>
  <c r="L3957" i="11"/>
  <c r="L3956" i="11"/>
  <c r="L3955" i="11"/>
  <c r="L3954" i="11"/>
  <c r="L3953" i="11"/>
  <c r="L3952" i="11"/>
  <c r="L3951" i="11"/>
  <c r="L3950" i="11"/>
  <c r="L3949" i="11"/>
  <c r="L3948" i="11"/>
  <c r="L3947" i="11"/>
  <c r="L3946" i="11"/>
  <c r="L3945" i="11"/>
  <c r="L3944" i="11"/>
  <c r="L3943" i="11"/>
  <c r="L3942" i="11"/>
  <c r="L3941" i="11"/>
  <c r="L3940" i="11"/>
  <c r="L3939" i="11"/>
  <c r="L3938" i="11"/>
  <c r="L3937" i="11"/>
  <c r="L3936" i="11"/>
  <c r="L3935" i="11"/>
  <c r="L3934" i="11"/>
  <c r="L3933" i="11"/>
  <c r="L3932" i="11"/>
  <c r="L3931" i="11"/>
  <c r="L3930" i="11"/>
  <c r="L3929" i="11"/>
  <c r="L3928" i="11"/>
  <c r="L3927" i="11"/>
  <c r="L3926" i="11"/>
  <c r="L3925" i="11"/>
  <c r="L3924" i="11"/>
  <c r="L3923" i="11"/>
  <c r="L3922" i="11"/>
  <c r="L3921" i="11"/>
  <c r="L3920" i="11"/>
  <c r="L3919" i="11"/>
  <c r="L3918" i="11"/>
  <c r="L3917" i="11"/>
  <c r="L3916" i="11"/>
  <c r="L3915" i="11"/>
  <c r="L3914" i="11"/>
  <c r="L3913" i="11"/>
  <c r="L3912" i="11"/>
  <c r="L3911" i="11"/>
  <c r="L3910" i="11"/>
  <c r="L3909" i="11"/>
  <c r="L3908" i="11"/>
  <c r="L3907" i="11"/>
  <c r="L3906" i="11"/>
  <c r="L3905" i="11"/>
  <c r="L3904" i="11"/>
  <c r="L3903" i="11"/>
  <c r="L3902" i="11"/>
  <c r="L3901" i="11"/>
  <c r="L3900" i="11"/>
  <c r="L3899" i="11"/>
  <c r="L3898" i="11"/>
  <c r="L3897" i="11"/>
  <c r="L3896" i="11"/>
  <c r="L3895" i="11"/>
  <c r="L3894" i="11"/>
  <c r="L3893" i="11"/>
  <c r="L3892" i="11"/>
  <c r="L3891" i="11"/>
  <c r="L3890" i="11"/>
  <c r="L3889" i="11"/>
  <c r="L3888" i="11"/>
  <c r="L3887" i="11"/>
  <c r="L3886" i="11"/>
  <c r="L3885" i="11"/>
  <c r="L3884" i="11"/>
  <c r="L3883" i="11"/>
  <c r="L3882" i="11"/>
  <c r="L3881" i="11"/>
  <c r="L3880" i="11"/>
  <c r="L3879" i="11"/>
  <c r="L3878" i="11"/>
  <c r="L3877" i="11"/>
  <c r="L3876" i="11"/>
  <c r="L3875" i="11"/>
  <c r="L3874" i="11"/>
  <c r="L3873" i="11"/>
  <c r="L3872" i="11"/>
  <c r="L3871" i="11"/>
  <c r="L3870" i="11"/>
  <c r="L3869" i="11"/>
  <c r="L3868" i="11"/>
  <c r="L3867" i="11"/>
  <c r="L3866" i="11"/>
  <c r="L3865" i="11"/>
  <c r="L3864" i="11"/>
  <c r="L3863" i="11"/>
  <c r="L3862" i="11"/>
  <c r="L3861" i="11"/>
  <c r="L3860" i="11"/>
  <c r="L3859" i="11"/>
  <c r="L3858" i="11"/>
  <c r="L3857" i="11"/>
  <c r="L3856" i="11"/>
  <c r="L3855" i="11"/>
  <c r="L3854" i="11"/>
  <c r="L3853" i="11"/>
  <c r="L3852" i="11"/>
  <c r="L3851" i="11"/>
  <c r="L3850" i="11"/>
  <c r="L3849" i="11"/>
  <c r="L3848" i="11"/>
  <c r="L3847" i="11"/>
  <c r="L3846" i="11"/>
  <c r="L3845" i="11"/>
  <c r="L3844" i="11"/>
  <c r="L3843" i="11"/>
  <c r="L3842" i="11"/>
  <c r="L3841" i="11"/>
  <c r="L3840" i="11"/>
  <c r="L3839" i="11"/>
  <c r="L3838" i="11"/>
  <c r="L3837" i="11"/>
  <c r="L3836" i="11"/>
  <c r="L3835" i="11"/>
  <c r="L3834" i="11"/>
  <c r="L3833" i="11"/>
  <c r="L3832" i="11"/>
  <c r="L3831" i="11"/>
  <c r="L3830" i="11"/>
  <c r="L3829" i="11"/>
  <c r="L3828" i="11"/>
  <c r="L3827" i="11"/>
  <c r="L3826" i="11"/>
  <c r="L3825" i="11"/>
  <c r="L3824" i="11"/>
  <c r="L3823" i="11"/>
  <c r="L3822" i="11"/>
  <c r="L3821" i="11"/>
  <c r="L3820" i="11"/>
  <c r="L3819" i="11"/>
  <c r="L3818" i="11"/>
  <c r="L3817" i="11"/>
  <c r="L3816" i="11"/>
  <c r="L3815" i="11"/>
  <c r="L3814" i="11"/>
  <c r="L3813" i="11"/>
  <c r="L3812" i="11"/>
  <c r="L3811" i="11"/>
  <c r="L3810" i="11"/>
  <c r="L3809" i="11"/>
  <c r="L3808" i="11"/>
  <c r="L3807" i="11"/>
  <c r="L3806" i="11"/>
  <c r="L3805" i="11"/>
  <c r="L3804" i="11"/>
  <c r="L3803" i="11"/>
  <c r="L3802" i="11"/>
  <c r="L3801" i="11"/>
  <c r="L3800" i="11"/>
  <c r="L3799" i="11"/>
  <c r="L3798" i="11"/>
  <c r="L3797" i="11"/>
  <c r="L3796" i="11"/>
  <c r="L3795" i="11"/>
  <c r="L3794" i="11"/>
  <c r="L3793" i="11"/>
  <c r="L3792" i="11"/>
  <c r="L3791" i="11"/>
  <c r="L3790" i="11"/>
  <c r="L3789" i="11"/>
  <c r="L3788" i="11"/>
  <c r="L3787" i="11"/>
  <c r="L3786" i="11"/>
  <c r="L3785" i="11"/>
  <c r="L3784" i="11"/>
  <c r="L3783" i="11"/>
  <c r="L3782" i="11"/>
  <c r="L3781" i="11"/>
  <c r="L3780" i="11"/>
  <c r="L3779" i="11"/>
  <c r="L3778" i="11"/>
  <c r="L3777" i="11"/>
  <c r="L3776" i="11"/>
  <c r="L3775" i="11"/>
  <c r="L3774" i="11"/>
  <c r="L3773" i="11"/>
  <c r="L3772" i="11"/>
  <c r="L3771" i="11"/>
  <c r="L3770" i="11"/>
  <c r="L3769" i="11"/>
  <c r="L3768" i="11"/>
  <c r="L3767" i="11"/>
  <c r="L3766" i="11"/>
  <c r="L3765" i="11"/>
  <c r="L3764" i="11"/>
  <c r="L3763" i="11"/>
  <c r="L3762" i="11"/>
  <c r="L3761" i="11"/>
  <c r="L3760" i="11"/>
  <c r="L3759" i="11"/>
  <c r="L3758" i="11"/>
  <c r="L3757" i="11"/>
  <c r="L3756" i="11"/>
  <c r="L3755" i="11"/>
  <c r="L3754" i="11"/>
  <c r="L3753" i="11"/>
  <c r="L3752" i="11"/>
  <c r="L3751" i="11"/>
  <c r="L3750" i="11"/>
  <c r="L3749" i="11"/>
  <c r="L3748" i="11"/>
  <c r="L3747" i="11"/>
  <c r="L3746" i="11"/>
  <c r="L3745" i="11"/>
  <c r="L3744" i="11"/>
  <c r="L3743" i="11"/>
  <c r="L3742" i="11"/>
  <c r="L3741" i="11"/>
  <c r="L3740" i="11"/>
  <c r="L3739" i="11"/>
  <c r="L3738" i="11"/>
  <c r="L3737" i="11"/>
  <c r="L3736" i="11"/>
  <c r="L3735" i="11"/>
  <c r="L3734" i="11"/>
  <c r="L3733" i="11"/>
  <c r="L3732" i="11"/>
  <c r="L3731" i="11"/>
  <c r="L3730" i="11"/>
  <c r="L3729" i="11"/>
  <c r="L3728" i="11"/>
  <c r="L3727" i="11"/>
  <c r="L3726" i="11"/>
  <c r="L3725" i="11"/>
  <c r="L3724" i="11"/>
  <c r="L3723" i="11"/>
  <c r="L3722" i="11"/>
  <c r="L3721" i="11"/>
  <c r="L3720" i="11"/>
  <c r="L3719" i="11"/>
  <c r="L3718" i="11"/>
  <c r="L3717" i="11"/>
  <c r="L3716" i="11"/>
  <c r="L3715" i="11"/>
  <c r="L3714" i="11"/>
  <c r="L3713" i="11"/>
  <c r="L3712" i="11"/>
  <c r="L3711" i="11"/>
  <c r="L3710" i="11"/>
  <c r="L3709" i="11"/>
  <c r="L3708" i="11"/>
  <c r="L3707" i="11"/>
  <c r="L3706" i="11"/>
  <c r="L3705" i="11"/>
  <c r="L3704" i="11"/>
  <c r="L3703" i="11"/>
  <c r="L3702" i="11"/>
  <c r="L3701" i="11"/>
  <c r="L3700" i="11"/>
  <c r="L3699" i="11"/>
  <c r="L3698" i="11"/>
  <c r="L3697" i="11"/>
  <c r="L3696" i="11"/>
  <c r="L3695" i="11"/>
  <c r="L3694" i="11"/>
  <c r="L3693" i="11"/>
  <c r="L3692" i="11"/>
  <c r="L3691" i="11"/>
  <c r="L3690" i="11"/>
  <c r="L3689" i="11"/>
  <c r="L3688" i="11"/>
  <c r="L3687" i="11"/>
  <c r="L3686" i="11"/>
  <c r="L3685" i="11"/>
  <c r="L3684" i="11"/>
  <c r="L3683" i="11"/>
  <c r="L3682" i="11"/>
  <c r="L3681" i="11"/>
  <c r="L3680" i="11"/>
  <c r="L3679" i="11"/>
  <c r="L3678" i="11"/>
  <c r="L3677" i="11"/>
  <c r="L3676" i="11"/>
  <c r="L3675" i="11"/>
  <c r="L3674" i="11"/>
  <c r="L3673" i="11"/>
  <c r="L3672" i="11"/>
  <c r="L3671" i="11"/>
  <c r="L3670" i="11"/>
  <c r="L3669" i="11"/>
  <c r="L3668" i="11"/>
  <c r="L3667" i="11"/>
  <c r="L3666" i="11"/>
  <c r="L3665" i="11"/>
  <c r="L3664" i="11"/>
  <c r="L3663" i="11"/>
  <c r="L3662" i="11"/>
  <c r="L3661" i="11"/>
  <c r="L3660" i="11"/>
  <c r="L3659" i="11"/>
  <c r="L3658" i="11"/>
  <c r="L3657" i="11"/>
  <c r="L3656" i="11"/>
  <c r="L3655" i="11"/>
  <c r="L3654" i="11"/>
  <c r="L3653" i="11"/>
  <c r="L3652" i="11"/>
  <c r="L3651" i="11"/>
  <c r="L3650" i="11"/>
  <c r="L3649" i="11"/>
  <c r="L3648" i="11"/>
  <c r="L3647" i="11"/>
  <c r="L3646" i="11"/>
  <c r="L3645" i="11"/>
  <c r="L3644" i="11"/>
  <c r="L3643" i="11"/>
  <c r="L3642" i="11"/>
  <c r="L3641" i="11"/>
  <c r="L3640" i="11"/>
  <c r="L3639" i="11"/>
  <c r="L3638" i="11"/>
  <c r="L3637" i="11"/>
  <c r="L3636" i="11"/>
  <c r="L3635" i="11"/>
  <c r="L3634" i="11"/>
  <c r="L3633" i="11"/>
  <c r="L3632" i="11"/>
  <c r="L3631" i="11"/>
  <c r="L3630" i="11"/>
  <c r="L3629" i="11"/>
  <c r="L3628" i="11"/>
  <c r="L3627" i="11"/>
  <c r="L3626" i="11"/>
  <c r="L3625" i="11"/>
  <c r="L3624" i="11"/>
  <c r="L3623" i="11"/>
  <c r="L3622" i="11"/>
  <c r="L3621" i="11"/>
  <c r="L3620" i="11"/>
  <c r="L3619" i="11"/>
  <c r="L3618" i="11"/>
  <c r="L3617" i="11"/>
  <c r="L3616" i="11"/>
  <c r="L3615" i="11"/>
  <c r="L3614" i="11"/>
  <c r="L3613" i="11"/>
  <c r="L3612" i="11"/>
  <c r="L3611" i="11"/>
  <c r="L3610" i="11"/>
  <c r="L3609" i="11"/>
  <c r="L3608" i="11"/>
  <c r="L3607" i="11"/>
  <c r="L3606" i="11"/>
  <c r="L3605" i="11"/>
  <c r="L3604" i="11"/>
  <c r="L3603" i="11"/>
  <c r="L3602" i="11"/>
  <c r="L3601" i="11"/>
  <c r="L3600" i="11"/>
  <c r="L3599" i="11"/>
  <c r="L3598" i="11"/>
  <c r="L3597" i="11"/>
  <c r="L3596" i="11"/>
  <c r="L3595" i="11"/>
  <c r="L3594" i="11"/>
  <c r="L3593" i="11"/>
  <c r="L3592" i="11"/>
  <c r="L3591" i="11"/>
  <c r="L3590" i="11"/>
  <c r="L3589" i="11"/>
  <c r="L3588" i="11"/>
  <c r="L3587" i="11"/>
  <c r="L3586" i="11"/>
  <c r="L3585" i="11"/>
  <c r="L3584" i="11"/>
  <c r="L3583" i="11"/>
  <c r="L3582" i="11"/>
  <c r="L3581" i="11"/>
  <c r="L3580" i="11"/>
  <c r="L3579" i="11"/>
  <c r="L3578" i="11"/>
  <c r="L3577" i="11"/>
  <c r="L3576" i="11"/>
  <c r="L3575" i="11"/>
  <c r="L3574" i="11"/>
  <c r="L3573" i="11"/>
  <c r="L3572" i="11"/>
  <c r="L3571" i="11"/>
  <c r="L3570" i="11"/>
  <c r="L3569" i="11"/>
  <c r="L3568" i="11"/>
  <c r="L3567" i="11"/>
  <c r="L3566" i="11"/>
  <c r="L3565" i="11"/>
  <c r="L3564" i="11"/>
  <c r="L3563" i="11"/>
  <c r="L3562" i="11"/>
  <c r="L3561" i="11"/>
  <c r="L3560" i="11"/>
  <c r="L3559" i="11"/>
  <c r="L3558" i="11"/>
  <c r="L3557" i="11"/>
  <c r="L3556" i="11"/>
  <c r="L3555" i="11"/>
  <c r="L3554" i="11"/>
  <c r="L3553" i="11"/>
  <c r="L3552" i="11"/>
  <c r="L3551" i="11"/>
  <c r="L3550" i="11"/>
  <c r="L3549" i="11"/>
  <c r="L3548" i="11"/>
  <c r="L3547" i="11"/>
  <c r="L3546" i="11"/>
  <c r="L3545" i="11"/>
  <c r="L3544" i="11"/>
  <c r="L3543" i="11"/>
  <c r="L3542" i="11"/>
  <c r="L3541" i="11"/>
  <c r="L3540" i="11"/>
  <c r="L3539" i="11"/>
  <c r="L3538" i="11"/>
  <c r="L3537" i="11"/>
  <c r="L3536" i="11"/>
  <c r="L3535" i="11"/>
  <c r="L3534" i="11"/>
  <c r="L3533" i="11"/>
  <c r="L3532" i="11"/>
  <c r="L3531" i="11"/>
  <c r="L3530" i="11"/>
  <c r="L3529" i="11"/>
  <c r="L3528" i="11"/>
  <c r="L3527" i="11"/>
  <c r="L3526" i="11"/>
  <c r="L3525" i="11"/>
  <c r="L3524" i="11"/>
  <c r="L3523" i="11"/>
  <c r="L3522" i="11"/>
  <c r="L3521" i="11"/>
  <c r="L3520" i="11"/>
  <c r="L3519" i="11"/>
  <c r="L3518" i="11"/>
  <c r="L3517" i="11"/>
  <c r="L3516" i="11"/>
  <c r="L3515" i="11"/>
  <c r="L3514" i="11"/>
  <c r="L3513" i="11"/>
  <c r="L3512" i="11"/>
  <c r="L3511" i="11"/>
  <c r="L3510" i="11"/>
  <c r="L3509" i="11"/>
  <c r="L3508" i="11"/>
  <c r="L3507" i="11"/>
  <c r="L3506" i="11"/>
  <c r="L3505" i="11"/>
  <c r="L3504" i="11"/>
  <c r="L3503" i="11"/>
  <c r="L3502" i="11"/>
  <c r="L3501" i="11"/>
  <c r="L3500" i="11"/>
  <c r="L3499" i="11"/>
  <c r="L3498" i="11"/>
  <c r="L3497" i="11"/>
  <c r="L3496" i="11"/>
  <c r="L3495" i="11"/>
  <c r="L3494" i="11"/>
  <c r="L3493" i="11"/>
  <c r="L3492" i="11"/>
  <c r="L3491" i="11"/>
  <c r="L3490" i="11"/>
  <c r="L3489" i="11"/>
  <c r="L3488" i="11"/>
  <c r="L3487" i="11"/>
  <c r="L3486" i="11"/>
  <c r="L3485" i="11"/>
  <c r="L3484" i="11"/>
  <c r="L3483" i="11"/>
  <c r="L3482" i="11"/>
  <c r="L3481" i="11"/>
  <c r="L3480" i="11"/>
  <c r="L3479" i="11"/>
  <c r="L3478" i="11"/>
  <c r="L3477" i="11"/>
  <c r="L3476" i="11"/>
  <c r="L3475" i="11"/>
  <c r="L3474" i="11"/>
  <c r="L3473" i="11"/>
  <c r="L3472" i="11"/>
  <c r="L3471" i="11"/>
  <c r="L3470" i="11"/>
  <c r="L3469" i="11"/>
  <c r="L3468" i="11"/>
  <c r="L3467" i="11"/>
  <c r="L3466" i="11"/>
  <c r="L3465" i="11"/>
  <c r="L3464" i="11"/>
  <c r="L3463" i="11"/>
  <c r="L3462" i="11"/>
  <c r="L3461" i="11"/>
  <c r="L3460" i="11"/>
  <c r="L3459" i="11"/>
  <c r="L3458" i="11"/>
  <c r="L3457" i="11"/>
  <c r="L3456" i="11"/>
  <c r="L3455" i="11"/>
  <c r="L3454" i="11"/>
  <c r="L3453" i="11"/>
  <c r="L3452" i="11"/>
  <c r="L3451" i="11"/>
  <c r="L3450" i="11"/>
  <c r="L3449" i="11"/>
  <c r="L3448" i="11"/>
  <c r="L3447" i="11"/>
  <c r="L3446" i="11"/>
  <c r="L3445" i="11"/>
  <c r="L3444" i="11"/>
  <c r="L3443" i="11"/>
  <c r="L3442" i="11"/>
  <c r="L3441" i="11"/>
  <c r="L3440" i="11"/>
  <c r="L3439" i="11"/>
  <c r="L3438" i="11"/>
  <c r="L3437" i="11"/>
  <c r="L3436" i="11"/>
  <c r="L3435" i="11"/>
  <c r="L3434" i="11"/>
  <c r="L3433" i="11"/>
  <c r="L3432" i="11"/>
  <c r="L3431" i="11"/>
  <c r="L3430" i="11"/>
  <c r="L3429" i="11"/>
  <c r="L3428" i="11"/>
  <c r="L3427" i="11"/>
  <c r="L3426" i="11"/>
  <c r="L3425" i="11"/>
  <c r="L3424" i="11"/>
  <c r="L3423" i="11"/>
  <c r="L3422" i="11"/>
  <c r="L3421" i="11"/>
  <c r="L3420" i="11"/>
  <c r="L3419" i="11"/>
  <c r="L3418" i="11"/>
  <c r="L3417" i="11"/>
  <c r="L3416" i="11"/>
  <c r="L3415" i="11"/>
  <c r="L3414" i="11"/>
  <c r="L3413" i="11"/>
  <c r="L3412" i="11"/>
  <c r="L3411" i="11"/>
  <c r="L3410" i="11"/>
  <c r="L3409" i="11"/>
  <c r="L3408" i="11"/>
  <c r="L3407" i="11"/>
  <c r="L3406" i="11"/>
  <c r="L3405" i="11"/>
  <c r="L3404" i="11"/>
  <c r="L3403" i="11"/>
  <c r="L3402" i="11"/>
  <c r="L3401" i="11"/>
  <c r="L3400" i="11"/>
  <c r="L3399" i="11"/>
  <c r="L3398" i="11"/>
  <c r="L3397" i="11"/>
  <c r="L3396" i="11"/>
  <c r="L3395" i="11"/>
  <c r="L3394" i="11"/>
  <c r="L3393" i="11"/>
  <c r="L3392" i="11"/>
  <c r="L3391" i="11"/>
  <c r="L3390" i="11"/>
  <c r="L3389" i="11"/>
  <c r="L3388" i="11"/>
  <c r="L3387" i="11"/>
  <c r="L3386" i="11"/>
  <c r="L3385" i="11"/>
  <c r="L3384" i="11"/>
  <c r="L3383" i="11"/>
  <c r="L3382" i="11"/>
  <c r="L3381" i="11"/>
  <c r="L3380" i="11"/>
  <c r="L3379" i="11"/>
  <c r="L3378" i="11"/>
  <c r="L3377" i="11"/>
  <c r="L3376" i="11"/>
  <c r="L3375" i="11"/>
  <c r="L3374" i="11"/>
  <c r="L3373" i="11"/>
  <c r="L3372" i="11"/>
  <c r="L3371" i="11"/>
  <c r="L3370" i="11"/>
  <c r="L3369" i="11"/>
  <c r="L3368" i="11"/>
  <c r="L3367" i="11"/>
  <c r="L3366" i="11"/>
  <c r="L3365" i="11"/>
  <c r="L3364" i="11"/>
  <c r="L3363" i="11"/>
  <c r="L3362" i="11"/>
  <c r="L3361" i="11"/>
  <c r="L3360" i="11"/>
  <c r="L3359" i="11"/>
  <c r="L3358" i="11"/>
  <c r="L3357" i="11"/>
  <c r="L3356" i="11"/>
  <c r="L3355" i="11"/>
  <c r="L3354" i="11"/>
  <c r="L3353" i="11"/>
  <c r="L3352" i="11"/>
  <c r="L3351" i="11"/>
  <c r="L3350" i="11"/>
  <c r="L3349" i="11"/>
  <c r="L3348" i="11"/>
  <c r="L3347" i="11"/>
  <c r="L3346" i="11"/>
  <c r="L3345" i="11"/>
  <c r="L3344" i="11"/>
  <c r="L3343" i="11"/>
  <c r="L3342" i="11"/>
  <c r="L3341" i="11"/>
  <c r="L3340" i="11"/>
  <c r="L3339" i="11"/>
  <c r="L3338" i="11"/>
  <c r="L3337" i="11"/>
  <c r="L3336" i="11"/>
  <c r="L3335" i="11"/>
  <c r="L3334" i="11"/>
  <c r="L3333" i="11"/>
  <c r="L3332" i="11"/>
  <c r="L3331" i="11"/>
  <c r="L3330" i="11"/>
  <c r="L3329" i="11"/>
  <c r="L3328" i="11"/>
  <c r="L3327" i="11"/>
  <c r="L3326" i="11"/>
  <c r="L3325" i="11"/>
  <c r="L3324" i="11"/>
  <c r="L3323" i="11"/>
  <c r="L3322" i="11"/>
  <c r="L3321" i="11"/>
  <c r="L3320" i="11"/>
  <c r="L3319" i="11"/>
  <c r="L3318" i="11"/>
  <c r="L3317" i="11"/>
  <c r="L3316" i="11"/>
  <c r="L3315" i="11"/>
  <c r="L3314" i="11"/>
  <c r="L3313" i="11"/>
  <c r="L3312" i="11"/>
  <c r="L3311" i="11"/>
  <c r="L3310" i="11"/>
  <c r="L3309" i="11"/>
  <c r="L3308" i="11"/>
  <c r="L3307" i="11"/>
  <c r="L3306" i="11"/>
  <c r="L3305" i="11"/>
  <c r="L3304" i="11"/>
  <c r="L3303" i="11"/>
  <c r="L3302" i="11"/>
  <c r="L3301" i="11"/>
  <c r="L3300" i="11"/>
  <c r="L3299" i="11"/>
  <c r="L3298" i="11"/>
  <c r="L3297" i="11"/>
  <c r="L3296" i="11"/>
  <c r="L3295" i="11"/>
  <c r="L3294" i="11"/>
  <c r="L3293" i="11"/>
  <c r="L3292" i="11"/>
  <c r="L3291" i="11"/>
  <c r="L3290" i="11"/>
  <c r="L3289" i="11"/>
  <c r="L3288" i="11"/>
  <c r="L3287" i="11"/>
  <c r="L3286" i="11"/>
  <c r="L3285" i="11"/>
  <c r="L3284" i="11"/>
  <c r="L3283" i="11"/>
  <c r="L3282" i="11"/>
  <c r="L3281" i="11"/>
  <c r="L3280" i="11"/>
  <c r="L3279" i="11"/>
  <c r="L3278" i="11"/>
  <c r="L3277" i="11"/>
  <c r="L3276" i="11"/>
  <c r="L3275" i="11"/>
  <c r="L3274" i="11"/>
  <c r="L3273" i="11"/>
  <c r="L3272" i="11"/>
  <c r="L3271" i="11"/>
  <c r="L3270" i="11"/>
  <c r="L3269" i="11"/>
  <c r="L3268" i="11"/>
  <c r="L3267" i="11"/>
  <c r="L3266" i="11"/>
  <c r="L3265" i="11"/>
  <c r="L3264" i="11"/>
  <c r="L3263" i="11"/>
  <c r="L3262" i="11"/>
  <c r="L3261" i="11"/>
  <c r="L3260" i="11"/>
  <c r="L3259" i="11"/>
  <c r="L3258" i="11"/>
  <c r="L3257" i="11"/>
  <c r="L3256" i="11"/>
  <c r="L3255" i="11"/>
  <c r="L3254" i="11"/>
  <c r="L3253" i="11"/>
  <c r="L3252" i="11"/>
  <c r="L3251" i="11"/>
  <c r="L3250" i="11"/>
  <c r="L3249" i="11"/>
  <c r="L3248" i="11"/>
  <c r="L3247" i="11"/>
  <c r="L3246" i="11"/>
  <c r="L3245" i="11"/>
  <c r="L3244" i="11"/>
  <c r="L3243" i="11"/>
  <c r="L3242" i="11"/>
  <c r="L3241" i="11"/>
  <c r="L3240" i="11"/>
  <c r="L3239" i="11"/>
  <c r="L3238" i="11"/>
  <c r="L3237" i="11"/>
  <c r="L3236" i="11"/>
  <c r="L3235" i="11"/>
  <c r="L3234" i="11"/>
  <c r="L3233" i="11"/>
  <c r="L3232" i="11"/>
  <c r="L3231" i="11"/>
  <c r="L3230" i="11"/>
  <c r="L3229" i="11"/>
  <c r="L3228" i="11"/>
  <c r="L3227" i="11"/>
  <c r="L3226" i="11"/>
  <c r="L3225" i="11"/>
  <c r="L3224" i="11"/>
  <c r="L3223" i="11"/>
  <c r="L3222" i="11"/>
  <c r="L3221" i="11"/>
  <c r="L3220" i="11"/>
  <c r="L3219" i="11"/>
  <c r="L3218" i="11"/>
  <c r="L3217" i="11"/>
  <c r="L3216" i="11"/>
  <c r="L3215" i="11"/>
  <c r="L3214" i="11"/>
  <c r="L3213" i="11"/>
  <c r="L3212" i="11"/>
  <c r="L3211" i="11"/>
  <c r="L3210" i="11"/>
  <c r="L3209" i="11"/>
  <c r="L3208" i="11"/>
  <c r="L3207" i="11"/>
  <c r="L3206" i="11"/>
  <c r="L3205" i="11"/>
  <c r="L3204" i="11"/>
  <c r="L3203" i="11"/>
  <c r="L3202" i="11"/>
  <c r="L3201" i="11"/>
  <c r="L3200" i="11"/>
  <c r="L3199" i="11"/>
  <c r="L3198" i="11"/>
  <c r="L3197" i="11"/>
  <c r="L3196" i="11"/>
  <c r="L3195" i="11"/>
  <c r="L3194" i="11"/>
  <c r="L3193" i="11"/>
  <c r="L3192" i="11"/>
  <c r="L3191" i="11"/>
  <c r="L3190" i="11"/>
  <c r="L3189" i="11"/>
  <c r="L3188" i="11"/>
  <c r="L3187" i="11"/>
  <c r="L3186" i="11"/>
  <c r="L3185" i="11"/>
  <c r="L3184" i="11"/>
  <c r="L3183" i="11"/>
  <c r="L3182" i="11"/>
  <c r="L3181" i="11"/>
  <c r="L3180" i="11"/>
  <c r="L3179" i="11"/>
  <c r="L3178" i="11"/>
  <c r="L3177" i="11"/>
  <c r="L3176" i="11"/>
  <c r="L3175" i="11"/>
  <c r="L3174" i="11"/>
  <c r="L3173" i="11"/>
  <c r="L3172" i="11"/>
  <c r="L3171" i="11"/>
  <c r="L3170" i="11"/>
  <c r="L3169" i="11"/>
  <c r="L3168" i="11"/>
  <c r="L3167" i="11"/>
  <c r="L3166" i="11"/>
  <c r="L3165" i="11"/>
  <c r="L3164" i="11"/>
  <c r="L3163" i="11"/>
  <c r="L3162" i="11"/>
  <c r="L3161" i="11"/>
  <c r="L3160" i="11"/>
  <c r="L3159" i="11"/>
  <c r="L3158" i="11"/>
  <c r="L3157" i="11"/>
  <c r="L3156" i="11"/>
  <c r="L3155" i="11"/>
  <c r="L3154" i="11"/>
  <c r="L3153" i="11"/>
  <c r="L3152" i="11"/>
  <c r="L3151" i="11"/>
  <c r="L3150" i="11"/>
  <c r="L3149" i="11"/>
  <c r="L3148" i="11"/>
  <c r="L3147" i="11"/>
  <c r="L3146" i="11"/>
  <c r="L3145" i="11"/>
  <c r="L3144" i="11"/>
  <c r="L3143" i="11"/>
  <c r="L3142" i="11"/>
  <c r="L3141" i="11"/>
  <c r="L3140" i="11"/>
  <c r="L3139" i="11"/>
  <c r="L3138" i="11"/>
  <c r="L3137" i="11"/>
  <c r="L3136" i="11"/>
  <c r="L3135" i="11"/>
  <c r="L3134" i="11"/>
  <c r="L3133" i="11"/>
  <c r="L3132" i="11"/>
  <c r="L3131" i="11"/>
  <c r="L3130" i="11"/>
  <c r="L3129" i="11"/>
  <c r="L3128" i="11"/>
  <c r="L3127" i="11"/>
  <c r="L3126" i="11"/>
  <c r="L3125" i="11"/>
  <c r="L3124" i="11"/>
  <c r="L3123" i="11"/>
  <c r="L3122" i="11"/>
  <c r="L3121" i="11"/>
  <c r="L3120" i="11"/>
  <c r="L3119" i="11"/>
  <c r="L3118" i="11"/>
  <c r="L3117" i="11"/>
  <c r="L3116" i="11"/>
  <c r="L3115" i="11"/>
  <c r="L3114" i="11"/>
  <c r="L3113" i="11"/>
  <c r="L3112" i="11"/>
  <c r="L3111" i="11"/>
  <c r="L3110" i="11"/>
  <c r="L3109" i="11"/>
  <c r="L3108" i="11"/>
  <c r="L3107" i="11"/>
  <c r="L3106" i="11"/>
  <c r="L3105" i="11"/>
  <c r="L3104" i="11"/>
  <c r="L3103" i="11"/>
  <c r="L3102" i="11"/>
  <c r="L3101" i="11"/>
  <c r="L3100" i="11"/>
  <c r="L3099" i="11"/>
  <c r="L3098" i="11"/>
  <c r="L3097" i="11"/>
  <c r="L3096" i="11"/>
  <c r="L3095" i="11"/>
  <c r="L3094" i="11"/>
  <c r="L3093" i="11"/>
  <c r="L3092" i="11"/>
  <c r="L3091" i="11"/>
  <c r="L3090" i="11"/>
  <c r="L3089" i="11"/>
  <c r="L3088" i="11"/>
  <c r="L3087" i="11"/>
  <c r="L3086" i="11"/>
  <c r="L3085" i="11"/>
  <c r="L3084" i="11"/>
  <c r="L3083" i="11"/>
  <c r="L3082" i="11"/>
  <c r="L3081" i="11"/>
  <c r="L3080" i="11"/>
  <c r="L3079" i="11"/>
  <c r="L3078" i="11"/>
  <c r="L3077" i="11"/>
  <c r="L3076" i="11"/>
  <c r="L3075" i="11"/>
  <c r="L3074" i="11"/>
  <c r="L3073" i="11"/>
  <c r="L3072" i="11"/>
  <c r="L3071" i="11"/>
  <c r="L3070" i="11"/>
  <c r="L3069" i="11"/>
  <c r="L3068" i="11"/>
  <c r="L3067" i="11"/>
  <c r="L3066" i="11"/>
  <c r="L3065" i="11"/>
  <c r="L3064" i="11"/>
  <c r="L3063" i="11"/>
  <c r="L3062" i="11"/>
  <c r="L3061" i="11"/>
  <c r="L3060" i="11"/>
  <c r="L3059" i="11"/>
  <c r="L3058" i="11"/>
  <c r="L3057" i="11"/>
  <c r="L3056" i="11"/>
  <c r="L3055" i="11"/>
  <c r="L3054" i="11"/>
  <c r="L3053" i="11"/>
  <c r="L3052" i="11"/>
  <c r="L3051" i="11"/>
  <c r="L3050" i="11"/>
  <c r="L3049" i="11"/>
  <c r="L3048" i="11"/>
  <c r="L3047" i="11"/>
  <c r="L3046" i="11"/>
  <c r="L3045" i="11"/>
  <c r="L3044" i="11"/>
  <c r="L3043" i="11"/>
  <c r="L3042" i="11"/>
  <c r="L3041" i="11"/>
  <c r="L3040" i="11"/>
  <c r="L3039" i="11"/>
  <c r="L3038" i="11"/>
  <c r="L3037" i="11"/>
  <c r="L3036" i="11"/>
  <c r="L3035" i="11"/>
  <c r="L3034" i="11"/>
  <c r="L3033" i="11"/>
  <c r="L3032" i="11"/>
  <c r="L3031" i="11"/>
  <c r="L3030" i="11"/>
  <c r="L3029" i="11"/>
  <c r="L3028" i="11"/>
  <c r="L3027" i="11"/>
  <c r="L3026" i="11"/>
  <c r="L3025" i="11"/>
  <c r="L3024" i="11"/>
  <c r="L3023" i="11"/>
  <c r="L3022" i="11"/>
  <c r="L3021" i="11"/>
  <c r="L3020" i="11"/>
  <c r="L3019" i="11"/>
  <c r="L3018" i="11"/>
  <c r="L3017" i="11"/>
  <c r="L3016" i="11"/>
  <c r="L3015" i="11"/>
  <c r="L3014" i="11"/>
  <c r="L3013" i="11"/>
  <c r="L3012" i="11"/>
  <c r="L3011" i="11"/>
  <c r="L3010" i="11"/>
  <c r="L3009" i="11"/>
  <c r="L3008" i="11"/>
  <c r="L3007" i="11"/>
  <c r="L3006" i="11"/>
  <c r="L3005" i="11"/>
  <c r="L3004" i="11"/>
  <c r="L3003" i="11"/>
  <c r="L3002" i="11"/>
  <c r="L3001" i="11"/>
  <c r="L3000" i="11"/>
  <c r="L2999" i="11"/>
  <c r="L2998" i="11"/>
  <c r="L2997" i="11"/>
  <c r="L2996" i="11"/>
  <c r="L2995" i="11"/>
  <c r="L2994" i="11"/>
  <c r="L2993" i="11"/>
  <c r="L2992" i="11"/>
  <c r="L2991" i="11"/>
  <c r="L2990" i="11"/>
  <c r="L2989" i="11"/>
  <c r="L2988" i="11"/>
  <c r="L2987" i="11"/>
  <c r="L2986" i="11"/>
  <c r="L2985" i="11"/>
  <c r="L2984" i="11"/>
  <c r="L2983" i="11"/>
  <c r="L2982" i="11"/>
  <c r="L2981" i="11"/>
  <c r="L2980" i="11"/>
  <c r="L2979" i="11"/>
  <c r="L2978" i="11"/>
  <c r="L2977" i="11"/>
  <c r="L2976" i="11"/>
  <c r="L2975" i="11"/>
  <c r="L2974" i="11"/>
  <c r="L2973" i="11"/>
  <c r="L2972" i="11"/>
  <c r="L2971" i="11"/>
  <c r="L2970" i="11"/>
  <c r="L2969" i="11"/>
  <c r="L2968" i="11"/>
  <c r="L2967" i="11"/>
  <c r="L2966" i="11"/>
  <c r="L2965" i="11"/>
  <c r="L2964" i="11"/>
  <c r="L2963" i="11"/>
  <c r="L2962" i="11"/>
  <c r="L2961" i="11"/>
  <c r="L2960" i="11"/>
  <c r="L2959" i="11"/>
  <c r="L2958" i="11"/>
  <c r="L2957" i="11"/>
  <c r="L2956" i="11"/>
  <c r="L2955" i="11"/>
  <c r="L2954" i="11"/>
  <c r="L2953" i="11"/>
  <c r="L2952" i="11"/>
  <c r="L2951" i="11"/>
  <c r="L2950" i="11"/>
  <c r="L2949" i="11"/>
  <c r="L2948" i="11"/>
  <c r="L2947" i="11"/>
  <c r="L2946" i="11"/>
  <c r="L2945" i="11"/>
  <c r="L2944" i="11"/>
  <c r="L2943" i="11"/>
  <c r="L2942" i="11"/>
  <c r="L2941" i="11"/>
  <c r="L2940" i="11"/>
  <c r="L2939" i="11"/>
  <c r="L2938" i="11"/>
  <c r="L2937" i="11"/>
  <c r="L2936" i="11"/>
  <c r="L2935" i="11"/>
  <c r="L2934" i="11"/>
  <c r="L2933" i="11"/>
  <c r="L2932" i="11"/>
  <c r="L2931" i="11"/>
  <c r="L2930" i="11"/>
  <c r="L2929" i="11"/>
  <c r="L2928" i="11"/>
  <c r="L2927" i="11"/>
  <c r="L2926" i="11"/>
  <c r="L2925" i="11"/>
  <c r="L2924" i="11"/>
  <c r="L2923" i="11"/>
  <c r="L2922" i="11"/>
  <c r="L2921" i="11"/>
  <c r="L2920" i="11"/>
  <c r="L2919" i="11"/>
  <c r="L2918" i="11"/>
  <c r="L2917" i="11"/>
  <c r="L2916" i="11"/>
  <c r="L2915" i="11"/>
  <c r="L2914" i="11"/>
  <c r="L2913" i="11"/>
  <c r="L2912" i="11"/>
  <c r="L2911" i="11"/>
  <c r="L2910" i="11"/>
  <c r="L2909" i="11"/>
  <c r="L2908" i="11"/>
  <c r="L2907" i="11"/>
  <c r="L2906" i="11"/>
  <c r="L2905" i="11"/>
  <c r="L2904" i="11"/>
  <c r="L2903" i="11"/>
  <c r="L2902" i="11"/>
  <c r="L2901" i="11"/>
  <c r="L2900" i="11"/>
  <c r="L2899" i="11"/>
  <c r="L2898" i="11"/>
  <c r="L2897" i="11"/>
  <c r="L2896" i="11"/>
  <c r="L2895" i="11"/>
  <c r="L2894" i="11"/>
  <c r="L2893" i="11"/>
  <c r="L2892" i="11"/>
  <c r="L2891" i="11"/>
  <c r="L2890" i="11"/>
  <c r="L2889" i="11"/>
  <c r="L2888" i="11"/>
  <c r="L2887" i="11"/>
  <c r="L2886" i="11"/>
  <c r="L2885" i="11"/>
  <c r="L2884" i="11"/>
  <c r="L2883" i="11"/>
  <c r="L2882" i="11"/>
  <c r="L2881" i="11"/>
  <c r="L2880" i="11"/>
  <c r="L2879" i="11"/>
  <c r="L2878" i="11"/>
  <c r="L2877" i="11"/>
  <c r="L2876" i="11"/>
  <c r="L2875" i="11"/>
  <c r="L2874" i="11"/>
  <c r="L2873" i="11"/>
  <c r="L2872" i="11"/>
  <c r="L2871" i="11"/>
  <c r="L2870" i="11"/>
  <c r="L2869" i="11"/>
  <c r="L2868" i="11"/>
  <c r="L2867" i="11"/>
  <c r="L2866" i="11"/>
  <c r="L2865" i="11"/>
  <c r="L2864" i="11"/>
  <c r="L2863" i="11"/>
  <c r="L2862" i="11"/>
  <c r="L2861" i="11"/>
  <c r="L2860" i="11"/>
  <c r="L2859" i="11"/>
  <c r="L2858" i="11"/>
  <c r="L2857" i="11"/>
  <c r="L2856" i="11"/>
  <c r="L2855" i="11"/>
  <c r="L2854" i="11"/>
  <c r="L2853" i="11"/>
  <c r="L2852" i="11"/>
  <c r="L2851" i="11"/>
  <c r="L2850" i="11"/>
  <c r="L2849" i="11"/>
  <c r="L2848" i="11"/>
  <c r="L2847" i="11"/>
  <c r="L2846" i="11"/>
  <c r="L2845" i="11"/>
  <c r="L2844" i="11"/>
  <c r="L2843" i="11"/>
  <c r="L2842" i="11"/>
  <c r="L2841" i="11"/>
  <c r="L2840" i="11"/>
  <c r="L2839" i="11"/>
  <c r="L2838" i="11"/>
  <c r="L2837" i="11"/>
  <c r="L2836" i="11"/>
  <c r="L2835" i="11"/>
  <c r="L2834" i="11"/>
  <c r="L2833" i="11"/>
  <c r="L2832" i="11"/>
  <c r="L2831" i="11"/>
  <c r="L2830" i="11"/>
  <c r="L2829" i="11"/>
  <c r="L2828" i="11"/>
  <c r="L2827" i="11"/>
  <c r="L2826" i="11"/>
  <c r="L2825" i="11"/>
  <c r="L2824" i="11"/>
  <c r="L2823" i="11"/>
  <c r="L2822" i="11"/>
  <c r="L2821" i="11"/>
  <c r="L2820" i="11"/>
  <c r="L2819" i="11"/>
  <c r="L2818" i="11"/>
  <c r="L2817" i="11"/>
  <c r="L2816" i="11"/>
  <c r="L2815" i="11"/>
  <c r="L2814" i="11"/>
  <c r="L2813" i="11"/>
  <c r="L2812" i="11"/>
  <c r="L2811" i="11"/>
  <c r="L2810" i="11"/>
  <c r="L2809" i="11"/>
  <c r="L2808" i="11"/>
  <c r="L2807" i="11"/>
  <c r="L2806" i="11"/>
  <c r="L2805" i="11"/>
  <c r="L2804" i="11"/>
  <c r="L2803" i="11"/>
  <c r="L2802" i="11"/>
  <c r="L2801" i="11"/>
  <c r="L2800" i="11"/>
  <c r="L2799" i="11"/>
  <c r="L2798" i="11"/>
  <c r="L2797" i="11"/>
  <c r="L2796" i="11"/>
  <c r="L2795" i="11"/>
  <c r="L2794" i="11"/>
  <c r="L2793" i="11"/>
  <c r="L2792" i="11"/>
  <c r="L2791" i="11"/>
  <c r="L2790" i="11"/>
  <c r="L2789" i="11"/>
  <c r="L2788" i="11"/>
  <c r="L2787" i="11"/>
  <c r="L2786" i="11"/>
  <c r="L2785" i="11"/>
  <c r="L2784" i="11"/>
  <c r="L2783" i="11"/>
  <c r="L2782" i="11"/>
  <c r="L2781" i="11"/>
  <c r="L2780" i="11"/>
  <c r="L2779" i="11"/>
  <c r="L2778" i="11"/>
  <c r="L2777" i="11"/>
  <c r="L2776" i="11"/>
  <c r="L2775" i="11"/>
  <c r="L2774" i="11"/>
  <c r="L2773" i="11"/>
  <c r="L2772" i="11"/>
  <c r="L2771" i="11"/>
  <c r="L2770" i="11"/>
  <c r="L2769" i="11"/>
  <c r="L2768" i="11"/>
  <c r="L2767" i="11"/>
  <c r="L2766" i="11"/>
  <c r="L2765" i="11"/>
  <c r="L2764" i="11"/>
  <c r="L2763" i="11"/>
  <c r="L2762" i="11"/>
  <c r="L2761" i="11"/>
  <c r="L2760" i="11"/>
  <c r="L2759" i="11"/>
  <c r="L2758" i="11"/>
  <c r="L2757" i="11"/>
  <c r="L2756" i="11"/>
  <c r="L2755" i="11"/>
  <c r="L2754" i="11"/>
  <c r="L2753" i="11"/>
  <c r="L2752" i="11"/>
  <c r="L2751" i="11"/>
  <c r="L2750" i="11"/>
  <c r="L2749" i="11"/>
  <c r="L2748" i="11"/>
  <c r="L2747" i="11"/>
  <c r="L2746" i="11"/>
  <c r="L2745" i="11"/>
  <c r="L2744" i="11"/>
  <c r="L2743" i="11"/>
  <c r="L2742" i="11"/>
  <c r="L2741" i="11"/>
  <c r="L2740" i="11"/>
  <c r="L2739" i="11"/>
  <c r="L2738" i="11"/>
  <c r="L2737" i="11"/>
  <c r="L2736" i="11"/>
  <c r="L2735" i="11"/>
  <c r="L2734" i="11"/>
  <c r="L2733" i="11"/>
  <c r="L2732" i="11"/>
  <c r="L2731" i="11"/>
  <c r="L2730" i="11"/>
  <c r="L2729" i="11"/>
  <c r="L2728" i="11"/>
  <c r="L2727" i="11"/>
  <c r="L2726" i="11"/>
  <c r="L2725" i="11"/>
  <c r="L2724" i="11"/>
  <c r="L2723" i="11"/>
  <c r="L2722" i="11"/>
  <c r="L2721" i="11"/>
  <c r="L2720" i="11"/>
  <c r="L2719" i="11"/>
  <c r="L2718" i="11"/>
  <c r="L2717" i="11"/>
  <c r="L2716" i="11"/>
  <c r="L2715" i="11"/>
  <c r="L2714" i="11"/>
  <c r="L2713" i="11"/>
  <c r="L2712" i="11"/>
  <c r="L2711" i="11"/>
  <c r="L2710" i="11"/>
  <c r="L2709" i="11"/>
  <c r="L2708" i="11"/>
  <c r="L2707" i="11"/>
  <c r="L2706" i="11"/>
  <c r="L2705" i="11"/>
  <c r="L2704" i="11"/>
  <c r="L2703" i="11"/>
  <c r="L2702" i="11"/>
  <c r="L2701" i="11"/>
  <c r="L2700" i="11"/>
  <c r="L2699" i="11"/>
  <c r="L2698" i="11"/>
  <c r="L2697" i="11"/>
  <c r="L2696" i="11"/>
  <c r="L2695" i="11"/>
  <c r="L2694" i="11"/>
  <c r="L2693" i="11"/>
  <c r="L2692" i="11"/>
  <c r="L2691" i="11"/>
  <c r="L2690" i="11"/>
  <c r="L2689" i="11"/>
  <c r="L2688" i="11"/>
  <c r="L2687" i="11"/>
  <c r="L2686" i="11"/>
  <c r="L2685" i="11"/>
  <c r="L2684" i="11"/>
  <c r="L2683" i="11"/>
  <c r="L2682" i="11"/>
  <c r="L2681" i="11"/>
  <c r="L2680" i="11"/>
  <c r="L2679" i="11"/>
  <c r="L2678" i="11"/>
  <c r="L2677" i="11"/>
  <c r="L2676" i="11"/>
  <c r="L2675" i="11"/>
  <c r="L2674" i="11"/>
  <c r="L2673" i="11"/>
  <c r="L2672" i="11"/>
  <c r="L2671" i="11"/>
  <c r="L2670" i="11"/>
  <c r="L2669" i="11"/>
  <c r="L2668" i="11"/>
  <c r="L2667" i="11"/>
  <c r="L2666" i="11"/>
  <c r="L2665" i="11"/>
  <c r="L2664" i="11"/>
  <c r="L2663" i="11"/>
  <c r="L2662" i="11"/>
  <c r="L2661" i="11"/>
  <c r="L2660" i="11"/>
  <c r="L2659" i="11"/>
  <c r="L2658" i="11"/>
  <c r="L2657" i="11"/>
  <c r="L2656" i="11"/>
  <c r="L2655" i="11"/>
  <c r="L2654" i="11"/>
  <c r="L2653" i="11"/>
  <c r="L2652" i="11"/>
  <c r="L2651" i="11"/>
  <c r="L2650" i="11"/>
  <c r="L2649" i="11"/>
  <c r="L2648" i="11"/>
  <c r="L2647" i="11"/>
  <c r="L2646" i="11"/>
  <c r="L2645" i="11"/>
  <c r="L2644" i="11"/>
  <c r="L2643" i="11"/>
  <c r="L2642" i="11"/>
  <c r="L2641" i="11"/>
  <c r="L2640" i="11"/>
  <c r="L2639" i="11"/>
  <c r="L2638" i="11"/>
  <c r="L2637" i="11"/>
  <c r="L2636" i="11"/>
  <c r="L2635" i="11"/>
  <c r="L2634" i="11"/>
  <c r="L2633" i="11"/>
  <c r="L2632" i="11"/>
  <c r="L2631" i="11"/>
  <c r="L2630" i="11"/>
  <c r="L2629" i="11"/>
  <c r="L2628" i="11"/>
  <c r="L2627" i="11"/>
  <c r="L2626" i="11"/>
  <c r="L2625" i="11"/>
  <c r="L2624" i="11"/>
  <c r="L2623" i="11"/>
  <c r="L2622" i="11"/>
  <c r="L2621" i="11"/>
  <c r="L2620" i="11"/>
  <c r="L2619" i="11"/>
  <c r="L2618" i="11"/>
  <c r="L2617" i="11"/>
  <c r="L2616" i="11"/>
  <c r="L2615" i="11"/>
  <c r="L2614" i="11"/>
  <c r="L2613" i="11"/>
  <c r="L2612" i="11"/>
  <c r="L2611" i="11"/>
  <c r="L2610" i="11"/>
  <c r="L2609" i="11"/>
  <c r="L2608" i="11"/>
  <c r="L2607" i="11"/>
  <c r="L2606" i="11"/>
  <c r="L2605" i="11"/>
  <c r="L2604" i="11"/>
  <c r="L2603" i="11"/>
  <c r="L2602" i="11"/>
  <c r="L2601" i="11"/>
  <c r="L2600" i="11"/>
  <c r="L2599" i="11"/>
  <c r="L2598" i="11"/>
  <c r="L2597" i="11"/>
  <c r="L2596" i="11"/>
  <c r="L2595" i="11"/>
  <c r="L2594" i="11"/>
  <c r="L2593" i="11"/>
  <c r="L2592" i="11"/>
  <c r="L2591" i="11"/>
  <c r="L2590" i="11"/>
  <c r="L2589" i="11"/>
  <c r="L2588" i="11"/>
  <c r="L2587" i="11"/>
  <c r="L2586" i="11"/>
  <c r="L2585" i="11"/>
  <c r="L2584" i="11"/>
  <c r="L2583" i="11"/>
  <c r="L2582" i="11"/>
  <c r="L2581" i="11"/>
  <c r="L2580" i="11"/>
  <c r="L2579" i="11"/>
  <c r="L2578" i="11"/>
  <c r="L2577" i="11"/>
  <c r="L2576" i="11"/>
  <c r="L2575" i="11"/>
  <c r="L2574" i="11"/>
  <c r="L2573" i="11"/>
  <c r="L2572" i="11"/>
  <c r="L2571" i="11"/>
  <c r="L2570" i="11"/>
  <c r="L2569" i="11"/>
  <c r="L2568" i="11"/>
  <c r="L2567" i="11"/>
  <c r="L2566" i="11"/>
  <c r="L2565" i="11"/>
  <c r="L2564" i="11"/>
  <c r="L2563" i="11"/>
  <c r="L2562" i="11"/>
  <c r="L2561" i="11"/>
  <c r="L2560" i="11"/>
  <c r="L2559" i="11"/>
  <c r="L2558" i="11"/>
  <c r="L2557" i="11"/>
  <c r="L2556" i="11"/>
  <c r="L2555" i="11"/>
  <c r="L2554" i="11"/>
  <c r="L2553" i="11"/>
  <c r="L2552" i="11"/>
  <c r="L2551" i="11"/>
  <c r="L2550" i="11"/>
  <c r="L2549" i="11"/>
  <c r="L2548" i="11"/>
  <c r="L2547" i="11"/>
  <c r="L2546" i="11"/>
  <c r="L2545" i="11"/>
  <c r="L2544" i="11"/>
  <c r="L2543" i="11"/>
  <c r="L2542" i="11"/>
  <c r="L2541" i="11"/>
  <c r="L2540" i="11"/>
  <c r="L2539" i="11"/>
  <c r="L2538" i="11"/>
  <c r="L2537" i="11"/>
  <c r="L2536" i="11"/>
  <c r="L2535" i="11"/>
  <c r="L2534" i="11"/>
  <c r="L2533" i="11"/>
  <c r="L2532" i="11"/>
  <c r="L2531" i="11"/>
  <c r="L2530" i="11"/>
  <c r="L2529" i="11"/>
  <c r="L2528" i="11"/>
  <c r="L2527" i="11"/>
  <c r="L2526" i="11"/>
  <c r="L2525" i="11"/>
  <c r="L2524" i="11"/>
  <c r="L2523" i="11"/>
  <c r="L2522" i="11"/>
  <c r="L2521" i="11"/>
  <c r="L2520" i="11"/>
  <c r="L2519" i="11"/>
  <c r="L2518" i="11"/>
  <c r="L2517" i="11"/>
  <c r="L2516" i="11"/>
  <c r="L2515" i="11"/>
  <c r="L2514" i="11"/>
  <c r="L2513" i="11"/>
  <c r="L2512" i="11"/>
  <c r="L2511" i="11"/>
  <c r="L2510" i="11"/>
  <c r="L2509" i="11"/>
  <c r="L2508" i="11"/>
  <c r="L2507" i="11"/>
  <c r="L2506" i="11"/>
  <c r="L2505" i="11"/>
  <c r="L2504" i="11"/>
  <c r="L2503" i="11"/>
  <c r="L2502" i="11"/>
  <c r="L2501" i="11"/>
  <c r="L2500" i="11"/>
  <c r="L2499" i="11"/>
  <c r="L2498" i="11"/>
  <c r="L2497" i="11"/>
  <c r="L2496" i="11"/>
  <c r="L2495" i="11"/>
  <c r="L2494" i="11"/>
  <c r="L2493" i="11"/>
  <c r="L2492" i="11"/>
  <c r="L2491" i="11"/>
  <c r="L2490" i="11"/>
  <c r="L2489" i="11"/>
  <c r="L2488" i="11"/>
  <c r="L2487" i="11"/>
  <c r="L2486" i="11"/>
  <c r="L2485" i="11"/>
  <c r="L2484" i="11"/>
  <c r="L2483" i="11"/>
  <c r="L2482" i="11"/>
  <c r="L2481" i="11"/>
  <c r="L2480" i="11"/>
  <c r="L2479" i="11"/>
  <c r="L2478" i="11"/>
  <c r="L2477" i="11"/>
  <c r="L2476" i="11"/>
  <c r="L2475" i="11"/>
  <c r="L2474" i="11"/>
  <c r="L2473" i="11"/>
  <c r="L2472" i="11"/>
  <c r="L2471" i="11"/>
  <c r="L2470" i="11"/>
  <c r="L2469" i="11"/>
  <c r="L2468" i="11"/>
  <c r="L2467" i="11"/>
  <c r="L2466" i="11"/>
  <c r="L2465" i="11"/>
  <c r="L2464" i="11"/>
  <c r="L2463" i="11"/>
  <c r="L2462" i="11"/>
  <c r="L2461" i="11"/>
  <c r="L2460" i="11"/>
  <c r="L2459" i="11"/>
  <c r="L2458" i="11"/>
  <c r="L2457" i="11"/>
  <c r="L2456" i="11"/>
  <c r="L2455" i="11"/>
  <c r="L2454" i="11"/>
  <c r="L2453" i="11"/>
  <c r="L2452" i="11"/>
  <c r="L2451" i="11"/>
  <c r="L2450" i="11"/>
  <c r="L2449" i="11"/>
  <c r="L2448" i="11"/>
  <c r="L2447" i="11"/>
  <c r="L2446" i="11"/>
  <c r="L2445" i="11"/>
  <c r="L2444" i="11"/>
  <c r="L2443" i="11"/>
  <c r="L2442" i="11"/>
  <c r="L2441" i="11"/>
  <c r="L2440" i="11"/>
  <c r="L2439" i="11"/>
  <c r="L2438" i="11"/>
  <c r="L2437" i="11"/>
  <c r="L2436" i="11"/>
  <c r="L2435" i="11"/>
  <c r="L2434" i="11"/>
  <c r="L2433" i="11"/>
  <c r="L2432" i="11"/>
  <c r="L2431" i="11"/>
  <c r="L2430" i="11"/>
  <c r="L2429" i="11"/>
  <c r="L2428" i="11"/>
  <c r="L2427" i="11"/>
  <c r="L2426" i="11"/>
  <c r="L2425" i="11"/>
  <c r="L2424" i="11"/>
  <c r="L2423" i="11"/>
  <c r="L2422" i="11"/>
  <c r="L2421" i="11"/>
  <c r="L2420" i="11"/>
  <c r="L2419" i="11"/>
  <c r="L2418" i="11"/>
  <c r="L2417" i="11"/>
  <c r="L2416" i="11"/>
  <c r="L2415" i="11"/>
  <c r="L2414" i="11"/>
  <c r="L2413" i="11"/>
  <c r="L2412" i="11"/>
  <c r="L2411" i="11"/>
  <c r="L2410" i="11"/>
  <c r="L2409" i="11"/>
  <c r="L2408" i="11"/>
  <c r="L2407" i="11"/>
  <c r="L2406" i="11"/>
  <c r="L2405" i="11"/>
  <c r="L2404" i="11"/>
  <c r="L2403" i="11"/>
  <c r="L2402" i="11"/>
  <c r="L2401" i="11"/>
  <c r="L2400" i="11"/>
  <c r="L2399" i="11"/>
  <c r="L2398" i="11"/>
  <c r="L2397" i="11"/>
  <c r="L2396" i="11"/>
  <c r="L2395" i="11"/>
  <c r="L2394" i="11"/>
  <c r="L2393" i="11"/>
  <c r="L2392" i="11"/>
  <c r="L2391" i="11"/>
  <c r="L2390" i="11"/>
  <c r="L2389" i="11"/>
  <c r="L2388" i="11"/>
  <c r="L2387" i="11"/>
  <c r="L2386" i="11"/>
  <c r="L2385" i="11"/>
  <c r="L2384" i="11"/>
  <c r="L2383" i="11"/>
  <c r="L2382" i="11"/>
  <c r="L2381" i="11"/>
  <c r="L2380" i="11"/>
  <c r="L2379" i="11"/>
  <c r="L2378" i="11"/>
  <c r="L2377" i="11"/>
  <c r="L2376" i="11"/>
  <c r="L2375" i="11"/>
  <c r="L2374" i="11"/>
  <c r="L2373" i="11"/>
  <c r="L2372" i="11"/>
  <c r="L2371" i="11"/>
  <c r="L2370" i="11"/>
  <c r="L2369" i="11"/>
  <c r="L2368" i="11"/>
  <c r="L2367" i="11"/>
  <c r="L2366" i="11"/>
  <c r="L2365" i="11"/>
  <c r="L2364" i="11"/>
  <c r="L2363" i="11"/>
  <c r="L2362" i="11"/>
  <c r="L2361" i="11"/>
  <c r="L2360" i="11"/>
  <c r="L2359" i="11"/>
  <c r="L2358" i="11"/>
  <c r="L2357" i="11"/>
  <c r="L2356" i="11"/>
  <c r="L2355" i="11"/>
  <c r="L2354" i="11"/>
  <c r="L2353" i="11"/>
  <c r="L2352" i="11"/>
  <c r="L2351" i="11"/>
  <c r="L2350" i="11"/>
  <c r="L2349" i="11"/>
  <c r="L2348" i="11"/>
  <c r="L2347" i="11"/>
  <c r="L2346" i="11"/>
  <c r="L2345" i="11"/>
  <c r="L2344" i="11"/>
  <c r="L2343" i="11"/>
  <c r="L2342" i="11"/>
  <c r="L2341" i="11"/>
  <c r="L2340" i="11"/>
  <c r="L2339" i="11"/>
  <c r="L2338" i="11"/>
  <c r="L2337" i="11"/>
  <c r="L2336" i="11"/>
  <c r="L2335" i="11"/>
  <c r="L2334" i="11"/>
  <c r="L2333" i="11"/>
  <c r="L2332" i="11"/>
  <c r="L2331" i="11"/>
  <c r="L2330" i="11"/>
  <c r="L2329" i="11"/>
  <c r="L2328" i="11"/>
  <c r="L2327" i="11"/>
  <c r="L2326" i="11"/>
  <c r="L2325" i="11"/>
  <c r="L2324" i="11"/>
  <c r="L2323" i="11"/>
  <c r="L2322" i="11"/>
  <c r="L2321" i="11"/>
  <c r="L2320" i="11"/>
  <c r="L2319" i="11"/>
  <c r="L2318" i="11"/>
  <c r="L2317" i="11"/>
  <c r="L2316" i="11"/>
  <c r="L2315" i="11"/>
  <c r="L2314" i="11"/>
  <c r="L2313" i="11"/>
  <c r="L2312" i="11"/>
  <c r="L2311" i="11"/>
  <c r="L2310" i="11"/>
  <c r="L2309" i="11"/>
  <c r="L2308" i="11"/>
  <c r="L2307" i="11"/>
  <c r="L2306" i="11"/>
  <c r="L2305" i="11"/>
  <c r="L2304" i="11"/>
  <c r="L2303" i="11"/>
  <c r="L2302" i="11"/>
  <c r="L2301" i="11"/>
  <c r="L2300" i="11"/>
  <c r="L2299" i="11"/>
  <c r="L2298" i="11"/>
  <c r="L2297" i="11"/>
  <c r="L2296" i="11"/>
  <c r="L2295" i="11"/>
  <c r="L2294" i="11"/>
  <c r="L2293" i="11"/>
  <c r="L2292" i="11"/>
  <c r="L2291" i="11"/>
  <c r="L2290" i="11"/>
  <c r="L2289" i="11"/>
  <c r="L2288" i="11"/>
  <c r="L2287" i="11"/>
  <c r="L2286" i="11"/>
  <c r="L2285" i="11"/>
  <c r="L2284" i="11"/>
  <c r="L2283" i="11"/>
  <c r="L2282" i="11"/>
  <c r="L2281" i="11"/>
  <c r="L2280" i="11"/>
  <c r="L2279" i="11"/>
  <c r="L2278" i="11"/>
  <c r="L2277" i="11"/>
  <c r="L2276" i="11"/>
  <c r="L2275" i="11"/>
  <c r="L2274" i="11"/>
  <c r="L2273" i="11"/>
  <c r="L2272" i="11"/>
  <c r="L2271" i="11"/>
  <c r="L2270" i="11"/>
  <c r="L2269" i="11"/>
  <c r="L2268" i="11"/>
  <c r="L2267" i="11"/>
  <c r="L2266" i="11"/>
  <c r="L2265" i="11"/>
  <c r="L2264" i="11"/>
  <c r="L2263" i="11"/>
  <c r="L2262" i="11"/>
  <c r="L2261" i="11"/>
  <c r="L2260" i="11"/>
  <c r="L2259" i="11"/>
  <c r="L2258" i="11"/>
  <c r="L2257" i="11"/>
  <c r="L2256" i="11"/>
  <c r="L2255" i="11"/>
  <c r="L2254" i="11"/>
  <c r="L2253" i="11"/>
  <c r="L2252" i="11"/>
  <c r="L2251" i="11"/>
  <c r="L2250" i="11"/>
  <c r="L2249" i="11"/>
  <c r="L2248" i="11"/>
  <c r="L2247" i="11"/>
  <c r="L2246" i="11"/>
  <c r="L2245" i="11"/>
  <c r="L2244" i="11"/>
  <c r="L2243" i="11"/>
  <c r="L2242" i="11"/>
  <c r="L2241" i="11"/>
  <c r="L2240" i="11"/>
  <c r="L2239" i="11"/>
  <c r="L2238" i="11"/>
  <c r="L2237" i="11"/>
  <c r="L2236" i="11"/>
  <c r="L2235" i="11"/>
  <c r="L2234" i="11"/>
  <c r="L2233" i="11"/>
  <c r="L2232" i="11"/>
  <c r="L2231" i="11"/>
  <c r="L2230" i="11"/>
  <c r="L2229" i="11"/>
  <c r="L2228" i="11"/>
  <c r="L2227" i="11"/>
  <c r="L2226" i="11"/>
  <c r="L2225" i="11"/>
  <c r="L2224" i="11"/>
  <c r="L2223" i="11"/>
  <c r="L2222" i="11"/>
  <c r="L2221" i="11"/>
  <c r="L2220" i="11"/>
  <c r="L2219" i="11"/>
  <c r="L2218" i="11"/>
  <c r="L2217" i="11"/>
  <c r="L2216" i="11"/>
  <c r="L2215" i="11"/>
  <c r="L2214" i="11"/>
  <c r="L2213" i="11"/>
  <c r="L2212" i="11"/>
  <c r="L2211" i="11"/>
  <c r="L2210" i="11"/>
  <c r="L2209" i="11"/>
  <c r="L2208" i="11"/>
  <c r="L2207" i="11"/>
  <c r="L2206" i="11"/>
  <c r="L2205" i="11"/>
  <c r="L2204" i="11"/>
  <c r="L2203" i="11"/>
  <c r="L2202" i="11"/>
  <c r="L2201" i="11"/>
  <c r="L2200" i="11"/>
  <c r="L2199" i="11"/>
  <c r="L2198" i="11"/>
  <c r="L2197" i="11"/>
  <c r="L2196" i="11"/>
  <c r="L2195" i="11"/>
  <c r="L2194" i="11"/>
  <c r="L2193" i="11"/>
  <c r="L2192" i="11"/>
  <c r="L2191" i="11"/>
  <c r="L2190" i="11"/>
  <c r="L2189" i="11"/>
  <c r="L2188" i="11"/>
  <c r="L2187" i="11"/>
  <c r="L2186" i="11"/>
  <c r="L2185" i="11"/>
  <c r="L2184" i="11"/>
  <c r="L2183" i="11"/>
  <c r="L2182" i="11"/>
  <c r="L2181" i="11"/>
  <c r="L2180" i="11"/>
  <c r="L2179" i="11"/>
  <c r="L2178" i="11"/>
  <c r="L2177" i="11"/>
  <c r="L2176" i="11"/>
  <c r="L2175" i="11"/>
  <c r="L2174" i="11"/>
  <c r="L2173" i="11"/>
  <c r="L2172" i="11"/>
  <c r="L2171" i="11"/>
  <c r="L2170" i="11"/>
  <c r="L2169" i="11"/>
  <c r="L2168" i="11"/>
  <c r="L2167" i="11"/>
  <c r="L2166" i="11"/>
  <c r="L2165" i="11"/>
  <c r="L2164" i="11"/>
  <c r="L2163" i="11"/>
  <c r="L2162" i="11"/>
  <c r="L2161" i="11"/>
  <c r="L2160" i="11"/>
  <c r="L2159" i="11"/>
  <c r="L2158" i="11"/>
  <c r="L2157" i="11"/>
  <c r="L2156" i="11"/>
  <c r="L2155" i="11"/>
  <c r="L2154" i="11"/>
  <c r="L2153" i="11"/>
  <c r="L2152" i="11"/>
  <c r="L2151" i="11"/>
  <c r="L2150" i="11"/>
  <c r="L2149" i="11"/>
  <c r="L2148" i="11"/>
  <c r="L2147" i="11"/>
  <c r="L2146" i="11"/>
  <c r="L2145" i="11"/>
  <c r="L2144" i="11"/>
  <c r="L2143" i="11"/>
  <c r="L2142" i="11"/>
  <c r="L2141" i="11"/>
  <c r="L2140" i="11"/>
  <c r="L2139" i="11"/>
  <c r="L2138" i="11"/>
  <c r="L2137" i="11"/>
  <c r="L2136" i="11"/>
  <c r="L2135" i="11"/>
  <c r="L2134" i="11"/>
  <c r="L2133" i="11"/>
  <c r="L2132" i="11"/>
  <c r="L2131" i="11"/>
  <c r="L2130" i="11"/>
  <c r="L2129" i="11"/>
  <c r="L2128" i="11"/>
  <c r="L2127" i="11"/>
  <c r="L2126" i="11"/>
  <c r="L2125" i="11"/>
  <c r="L2124" i="11"/>
  <c r="L2123" i="11"/>
  <c r="L2122" i="11"/>
  <c r="L2121" i="11"/>
  <c r="L2120" i="11"/>
  <c r="L2119" i="11"/>
  <c r="L2118" i="11"/>
  <c r="L2117" i="11"/>
  <c r="L2116" i="11"/>
  <c r="L2115" i="11"/>
  <c r="L2114" i="11"/>
  <c r="L2113" i="11"/>
  <c r="L2112" i="11"/>
  <c r="L2111" i="11"/>
  <c r="L2110" i="11"/>
  <c r="L2109" i="11"/>
  <c r="L2108" i="11"/>
  <c r="L2107" i="11"/>
  <c r="L2106" i="11"/>
  <c r="L2105" i="11"/>
  <c r="L2104" i="11"/>
  <c r="L2103" i="11"/>
  <c r="L2102" i="11"/>
  <c r="L2101" i="11"/>
  <c r="L2100" i="11"/>
  <c r="L2099" i="11"/>
  <c r="L2098" i="11"/>
  <c r="L2097" i="11"/>
  <c r="L2096" i="11"/>
  <c r="L2095" i="11"/>
  <c r="L2094" i="11"/>
  <c r="L2093" i="11"/>
  <c r="L2092" i="11"/>
  <c r="L2091" i="11"/>
  <c r="L2090" i="11"/>
  <c r="L2089" i="11"/>
  <c r="L2088" i="11"/>
  <c r="L2087" i="11"/>
  <c r="L2086" i="11"/>
  <c r="L2085" i="11"/>
  <c r="L2084" i="11"/>
  <c r="L2083" i="11"/>
  <c r="L2082" i="11"/>
  <c r="L2081" i="11"/>
  <c r="L2080" i="11"/>
  <c r="L2079" i="11"/>
  <c r="L2078" i="11"/>
  <c r="L2077" i="11"/>
  <c r="L2076" i="11"/>
  <c r="L2075" i="11"/>
  <c r="L2074" i="11"/>
  <c r="L2073" i="11"/>
  <c r="L2072" i="11"/>
  <c r="L2071" i="11"/>
  <c r="L2070" i="11"/>
  <c r="L2069" i="11"/>
  <c r="L2068" i="11"/>
  <c r="L2067" i="11"/>
  <c r="L2066" i="11"/>
  <c r="L2065" i="11"/>
  <c r="L2064" i="11"/>
  <c r="L2063" i="11"/>
  <c r="L2062" i="11"/>
  <c r="L2061" i="11"/>
  <c r="L2060" i="11"/>
  <c r="L2059" i="11"/>
  <c r="L2058" i="11"/>
  <c r="L2057" i="11"/>
  <c r="L2056" i="11"/>
  <c r="L2055" i="11"/>
  <c r="L2054" i="11"/>
  <c r="L2053" i="11"/>
  <c r="L2052" i="11"/>
  <c r="L2051" i="11"/>
  <c r="L2050" i="11"/>
  <c r="L2049" i="11"/>
  <c r="L2048" i="11"/>
  <c r="L2047" i="11"/>
  <c r="L2046" i="11"/>
  <c r="L2045" i="11"/>
  <c r="L2044" i="11"/>
  <c r="L2043" i="11"/>
  <c r="L2042" i="11"/>
  <c r="L2041" i="11"/>
  <c r="L2040" i="11"/>
  <c r="L2039" i="11"/>
  <c r="L2038" i="11"/>
  <c r="L2037" i="11"/>
  <c r="L2036" i="11"/>
  <c r="L2035" i="11"/>
  <c r="L2034" i="11"/>
  <c r="L2033" i="11"/>
  <c r="L2032" i="11"/>
  <c r="L2031" i="11"/>
  <c r="L2030" i="11"/>
  <c r="L2029" i="11"/>
  <c r="L2028" i="11"/>
  <c r="L2027" i="11"/>
  <c r="L2026" i="11"/>
  <c r="L2025" i="11"/>
  <c r="L2024" i="11"/>
  <c r="L2023" i="11"/>
  <c r="L2022" i="11"/>
  <c r="L2021" i="11"/>
  <c r="L2020" i="11"/>
  <c r="L2019" i="11"/>
  <c r="L2018" i="11"/>
  <c r="L2017" i="11"/>
  <c r="L2016" i="11"/>
  <c r="L2015" i="11"/>
  <c r="L2014" i="11"/>
  <c r="L2013" i="11"/>
  <c r="L2012" i="11"/>
  <c r="L2011" i="11"/>
  <c r="L2010" i="11"/>
  <c r="L2009" i="11"/>
  <c r="L2008" i="11"/>
  <c r="L2007" i="11"/>
  <c r="L2006" i="11"/>
  <c r="L2005" i="11"/>
  <c r="L2004" i="11"/>
  <c r="L2003" i="11"/>
  <c r="L2002" i="11"/>
  <c r="L2001" i="11"/>
  <c r="L2000" i="11"/>
  <c r="L1999" i="11"/>
  <c r="L1998" i="11"/>
  <c r="L1997" i="11"/>
  <c r="L1996" i="11"/>
  <c r="L1995" i="11"/>
  <c r="L1994" i="11"/>
  <c r="L1993" i="11"/>
  <c r="L1992" i="11"/>
  <c r="L1991" i="11"/>
  <c r="L1990" i="11"/>
  <c r="L1989" i="11"/>
  <c r="L1988" i="11"/>
  <c r="L1987" i="11"/>
  <c r="L1986" i="11"/>
  <c r="L1985" i="11"/>
  <c r="L1984" i="11"/>
  <c r="L1983" i="11"/>
  <c r="L1982" i="11"/>
  <c r="L1981" i="11"/>
  <c r="L1980" i="11"/>
  <c r="L1979" i="11"/>
  <c r="L1978" i="11"/>
  <c r="L1977" i="11"/>
  <c r="L1976" i="11"/>
  <c r="L1975" i="11"/>
  <c r="L1974" i="11"/>
  <c r="L1973" i="11"/>
  <c r="L1972" i="11"/>
  <c r="L1971" i="11"/>
  <c r="L1970" i="11"/>
  <c r="L1969" i="11"/>
  <c r="L1968" i="11"/>
  <c r="L1967" i="11"/>
  <c r="L1966" i="11"/>
  <c r="L1965" i="11"/>
  <c r="L1964" i="11"/>
  <c r="L1963" i="11"/>
  <c r="L1962" i="11"/>
  <c r="L1961" i="11"/>
  <c r="L1960" i="11"/>
  <c r="L1959" i="11"/>
  <c r="L1958" i="11"/>
  <c r="L1957" i="11"/>
  <c r="L1956" i="11"/>
  <c r="L1955" i="11"/>
  <c r="L1954" i="11"/>
  <c r="L1953" i="11"/>
  <c r="L1952" i="11"/>
  <c r="L1951" i="11"/>
  <c r="L1950" i="11"/>
  <c r="L1949" i="11"/>
  <c r="L1948" i="11"/>
  <c r="L1947" i="11"/>
  <c r="L1946" i="11"/>
  <c r="L1945" i="11"/>
  <c r="L1944" i="11"/>
  <c r="L1943" i="11"/>
  <c r="L1942" i="11"/>
  <c r="L1941" i="11"/>
  <c r="L1940" i="11"/>
  <c r="L1939" i="11"/>
  <c r="L1938" i="11"/>
  <c r="L1937" i="11"/>
  <c r="L1936" i="11"/>
  <c r="L1935" i="11"/>
  <c r="L1934" i="11"/>
  <c r="L1933" i="11"/>
  <c r="L1932" i="11"/>
  <c r="L1931" i="11"/>
  <c r="L1930" i="11"/>
  <c r="L1929" i="11"/>
  <c r="L1928" i="11"/>
  <c r="L1927" i="11"/>
  <c r="L1926" i="11"/>
  <c r="L1925" i="11"/>
  <c r="L1924" i="11"/>
  <c r="L1923" i="11"/>
  <c r="L1922" i="11"/>
  <c r="L1921" i="11"/>
  <c r="L1920" i="11"/>
  <c r="L1919" i="11"/>
  <c r="L1918" i="11"/>
  <c r="L1917" i="11"/>
  <c r="L1916" i="11"/>
  <c r="L1915" i="11"/>
  <c r="L1914" i="11"/>
  <c r="L1913" i="11"/>
  <c r="L1912" i="11"/>
  <c r="L1911" i="11"/>
  <c r="L1910" i="11"/>
  <c r="L1909" i="11"/>
  <c r="L1908" i="11"/>
  <c r="L1907" i="11"/>
  <c r="L1906" i="11"/>
  <c r="L1905" i="11"/>
  <c r="L1904" i="11"/>
  <c r="L1903" i="11"/>
  <c r="L1902" i="11"/>
  <c r="L1901" i="11"/>
  <c r="L1900" i="11"/>
  <c r="L1899" i="11"/>
  <c r="L1898" i="11"/>
  <c r="L1897" i="11"/>
  <c r="L1896" i="11"/>
  <c r="L1895" i="11"/>
  <c r="L1894" i="11"/>
  <c r="L1893" i="11"/>
  <c r="L1892" i="11"/>
  <c r="L1891" i="11"/>
  <c r="L1890" i="11"/>
  <c r="L1889" i="11"/>
  <c r="L1888" i="11"/>
  <c r="L1887" i="11"/>
  <c r="L1886" i="11"/>
  <c r="L1885" i="11"/>
  <c r="L1884" i="11"/>
  <c r="L1883" i="11"/>
  <c r="L1882" i="11"/>
  <c r="L1881" i="11"/>
  <c r="L1880" i="11"/>
  <c r="L1879" i="11"/>
  <c r="L1878" i="11"/>
  <c r="L1877" i="11"/>
  <c r="L1876" i="11"/>
  <c r="L1875" i="11"/>
  <c r="L1874" i="11"/>
  <c r="L1873" i="11"/>
  <c r="L1872" i="11"/>
  <c r="L1871" i="11"/>
  <c r="L1870" i="11"/>
  <c r="L1869" i="11"/>
  <c r="L1868" i="11"/>
  <c r="L1867" i="11"/>
  <c r="L1866" i="11"/>
  <c r="L1865" i="11"/>
  <c r="L1864" i="11"/>
  <c r="L1863" i="11"/>
  <c r="L1862" i="11"/>
  <c r="L1861" i="11"/>
  <c r="L1860" i="11"/>
  <c r="L1859" i="11"/>
  <c r="L1858" i="11"/>
  <c r="L1857" i="11"/>
  <c r="L1856" i="11"/>
  <c r="L1855" i="11"/>
  <c r="L1854" i="11"/>
  <c r="L1853" i="11"/>
  <c r="L1852" i="11"/>
  <c r="L1851" i="11"/>
  <c r="L1850" i="11"/>
  <c r="L1849" i="11"/>
  <c r="L1848" i="11"/>
  <c r="L1847" i="11"/>
  <c r="L1846" i="11"/>
  <c r="L1845" i="11"/>
  <c r="L1844" i="11"/>
  <c r="L1843" i="11"/>
  <c r="L1842" i="11"/>
  <c r="L1841" i="11"/>
  <c r="L1840" i="11"/>
  <c r="L1839" i="11"/>
  <c r="L1838" i="11"/>
  <c r="L1837" i="11"/>
  <c r="L1836" i="11"/>
  <c r="L1835" i="11"/>
  <c r="L1834" i="11"/>
  <c r="L1833" i="11"/>
  <c r="L1832" i="11"/>
  <c r="L1831" i="11"/>
  <c r="L1830" i="11"/>
  <c r="L1829" i="11"/>
  <c r="L1828" i="11"/>
  <c r="L1827" i="11"/>
  <c r="L1826" i="11"/>
  <c r="L1825" i="11"/>
  <c r="L1824" i="11"/>
  <c r="L1823" i="11"/>
  <c r="L1822" i="11"/>
  <c r="L1821" i="11"/>
  <c r="L1820" i="11"/>
  <c r="L1819" i="11"/>
  <c r="L1818" i="11"/>
  <c r="L1817" i="11"/>
  <c r="L1816" i="11"/>
  <c r="L1815" i="11"/>
  <c r="L1814" i="11"/>
  <c r="L1813" i="11"/>
  <c r="L1812" i="11"/>
  <c r="L1811" i="11"/>
  <c r="L1810" i="11"/>
  <c r="L1809" i="11"/>
  <c r="L1808" i="11"/>
  <c r="L1807" i="11"/>
  <c r="L1806" i="11"/>
  <c r="L1805" i="11"/>
  <c r="L1804" i="11"/>
  <c r="L1803" i="11"/>
  <c r="L1802" i="11"/>
  <c r="L1801" i="11"/>
  <c r="L1800" i="11"/>
  <c r="L1799" i="11"/>
  <c r="L1798" i="11"/>
  <c r="L1797" i="11"/>
  <c r="L1796" i="11"/>
  <c r="L1795" i="11"/>
  <c r="L1794" i="11"/>
  <c r="L1793" i="11"/>
  <c r="L1792" i="11"/>
  <c r="L1791" i="11"/>
  <c r="L1790" i="11"/>
  <c r="L1789" i="11"/>
  <c r="L1788" i="11"/>
  <c r="L1787" i="11"/>
  <c r="L1786" i="11"/>
  <c r="L1785" i="11"/>
  <c r="L1784" i="11"/>
  <c r="L1783" i="11"/>
  <c r="L1782" i="11"/>
  <c r="L1781" i="11"/>
  <c r="L1780" i="11"/>
  <c r="L1779" i="11"/>
  <c r="L1778" i="11"/>
  <c r="L1777" i="11"/>
  <c r="L1776" i="11"/>
  <c r="L1775" i="11"/>
  <c r="L1774" i="11"/>
  <c r="L1773" i="11"/>
  <c r="L1772" i="11"/>
  <c r="L1771" i="11"/>
  <c r="L1770" i="11"/>
  <c r="L1769" i="11"/>
  <c r="L1768" i="11"/>
  <c r="L1767" i="11"/>
  <c r="L1766" i="11"/>
  <c r="L1765" i="11"/>
  <c r="L1764" i="11"/>
  <c r="L1763" i="11"/>
  <c r="L1762" i="11"/>
  <c r="L1761" i="11"/>
  <c r="L1760" i="11"/>
  <c r="L1759" i="11"/>
  <c r="L1758" i="11"/>
  <c r="L1757" i="11"/>
  <c r="L1756" i="11"/>
  <c r="L1755" i="11"/>
  <c r="L1754" i="11"/>
  <c r="L1753" i="11"/>
  <c r="L1752" i="11"/>
  <c r="L1751" i="11"/>
  <c r="L1750" i="11"/>
  <c r="L1749" i="11"/>
  <c r="L1748" i="11"/>
  <c r="L1747" i="11"/>
  <c r="L1746" i="11"/>
  <c r="L1745" i="11"/>
  <c r="L1744" i="11"/>
  <c r="L1743" i="11"/>
  <c r="L1742" i="11"/>
  <c r="L1741" i="11"/>
  <c r="L1740" i="11"/>
  <c r="L1739" i="11"/>
  <c r="L1738" i="11"/>
  <c r="L1737" i="11"/>
  <c r="L1736" i="11"/>
  <c r="L1735" i="11"/>
  <c r="L1734" i="11"/>
  <c r="L1733" i="11"/>
  <c r="L1732" i="11"/>
  <c r="L1731" i="11"/>
  <c r="L1730" i="11"/>
  <c r="L1729" i="11"/>
  <c r="L1728" i="11"/>
  <c r="L1727" i="11"/>
  <c r="L1726" i="11"/>
  <c r="L1725" i="11"/>
  <c r="L1724" i="11"/>
  <c r="L1723" i="11"/>
  <c r="L1722" i="11"/>
  <c r="L1721" i="11"/>
  <c r="L1720" i="11"/>
  <c r="L1719" i="11"/>
  <c r="L1718" i="11"/>
  <c r="L1717" i="11"/>
  <c r="L1716" i="11"/>
  <c r="L1715" i="11"/>
  <c r="L1714" i="11"/>
  <c r="L1713" i="11"/>
  <c r="L1712" i="11"/>
  <c r="L1711" i="11"/>
  <c r="L1710" i="11"/>
  <c r="L1709" i="11"/>
  <c r="L1708" i="11"/>
  <c r="L1707" i="11"/>
  <c r="L1706" i="11"/>
  <c r="L1705" i="11"/>
  <c r="L1704" i="11"/>
  <c r="L1703" i="11"/>
  <c r="L1702" i="11"/>
  <c r="L1701" i="11"/>
  <c r="L1700" i="11"/>
  <c r="L1699" i="11"/>
  <c r="L1698" i="11"/>
  <c r="L1697" i="11"/>
  <c r="L1696" i="11"/>
  <c r="L1695" i="11"/>
  <c r="L1694" i="11"/>
  <c r="L1693" i="11"/>
  <c r="L1692" i="11"/>
  <c r="L1691" i="11"/>
  <c r="L1690" i="11"/>
  <c r="L1689" i="11"/>
  <c r="L1688" i="11"/>
  <c r="L1687" i="11"/>
  <c r="L1686" i="11"/>
  <c r="L1685" i="11"/>
  <c r="L1684" i="11"/>
  <c r="L1683" i="11"/>
  <c r="L1682" i="11"/>
  <c r="L1681" i="11"/>
  <c r="L1680" i="11"/>
  <c r="L1679" i="11"/>
  <c r="L1678" i="11"/>
  <c r="L1677" i="11"/>
  <c r="L1676" i="11"/>
  <c r="L1675" i="11"/>
  <c r="L1674" i="11"/>
  <c r="L1673" i="11"/>
  <c r="L1672" i="11"/>
  <c r="L1671" i="11"/>
  <c r="L1670" i="11"/>
  <c r="L1669" i="11"/>
  <c r="L1668" i="11"/>
  <c r="L1667" i="11"/>
  <c r="L1666" i="11"/>
  <c r="L1665" i="11"/>
  <c r="L1664" i="11"/>
  <c r="L1663" i="11"/>
  <c r="L1662" i="11"/>
  <c r="L1661" i="11"/>
  <c r="L1660" i="11"/>
  <c r="L1659" i="11"/>
  <c r="L1658" i="11"/>
  <c r="L1657" i="11"/>
  <c r="L1656" i="11"/>
  <c r="L1655" i="11"/>
  <c r="L1654" i="11"/>
  <c r="L1653" i="11"/>
  <c r="L1652" i="11"/>
  <c r="L1651" i="11"/>
  <c r="L1650" i="11"/>
  <c r="L1649" i="11"/>
  <c r="L1648" i="11"/>
  <c r="L1647" i="11"/>
  <c r="L1646" i="11"/>
  <c r="L1645" i="11"/>
  <c r="L1644" i="11"/>
  <c r="L1643" i="11"/>
  <c r="L1642" i="11"/>
  <c r="L1641" i="11"/>
  <c r="L1640" i="11"/>
  <c r="L1639" i="11"/>
  <c r="L1638" i="11"/>
  <c r="L1637" i="11"/>
  <c r="L1636" i="11"/>
  <c r="L1635" i="11"/>
  <c r="L1634" i="11"/>
  <c r="L1633" i="11"/>
  <c r="L1632" i="11"/>
  <c r="L1631" i="11"/>
  <c r="L1630" i="11"/>
  <c r="L1629" i="11"/>
  <c r="L1628" i="11"/>
  <c r="L1627" i="11"/>
  <c r="L1626" i="11"/>
  <c r="L1625" i="11"/>
  <c r="L1624" i="11"/>
  <c r="L1623" i="11"/>
  <c r="L1622" i="11"/>
  <c r="L1621" i="11"/>
  <c r="L1620" i="11"/>
  <c r="L1619" i="11"/>
  <c r="L1618" i="11"/>
  <c r="L1617" i="11"/>
  <c r="L1616" i="11"/>
  <c r="L1615" i="11"/>
  <c r="L1614" i="11"/>
  <c r="L1613" i="11"/>
  <c r="L1612" i="11"/>
  <c r="L1611" i="11"/>
  <c r="L1610" i="11"/>
  <c r="L1609" i="11"/>
  <c r="L1608" i="11"/>
  <c r="L1607" i="11"/>
  <c r="L1606" i="11"/>
  <c r="L1605" i="11"/>
  <c r="L1604" i="11"/>
  <c r="L1603" i="11"/>
  <c r="L1602" i="11"/>
  <c r="L1601" i="11"/>
  <c r="L1600" i="11"/>
  <c r="L1599" i="11"/>
  <c r="L1598" i="11"/>
  <c r="L1597" i="11"/>
  <c r="L1596" i="11"/>
  <c r="L1595" i="11"/>
  <c r="L1594" i="11"/>
  <c r="L1593" i="11"/>
  <c r="L1592" i="11"/>
  <c r="L1591" i="11"/>
  <c r="L1590" i="11"/>
  <c r="L1589" i="11"/>
  <c r="L1588" i="11"/>
  <c r="L1587" i="11"/>
  <c r="L1586" i="11"/>
  <c r="L1585" i="11"/>
  <c r="L1584" i="11"/>
  <c r="L1583" i="11"/>
  <c r="L1582" i="11"/>
  <c r="L1581" i="11"/>
  <c r="L1580" i="11"/>
  <c r="L1579" i="11"/>
  <c r="L1578" i="11"/>
  <c r="L1577" i="11"/>
  <c r="L1576" i="11"/>
  <c r="L1575" i="11"/>
  <c r="L1574" i="11"/>
  <c r="L1573" i="11"/>
  <c r="L1572" i="11"/>
  <c r="L1571" i="11"/>
  <c r="L1570" i="11"/>
  <c r="L1569" i="11"/>
  <c r="L1568" i="11"/>
  <c r="L1567" i="11"/>
  <c r="L1566" i="11"/>
  <c r="L1565" i="11"/>
  <c r="L1564" i="11"/>
  <c r="L1563" i="11"/>
  <c r="L1562" i="11"/>
  <c r="L1561" i="11"/>
  <c r="L1560" i="11"/>
  <c r="L1559" i="11"/>
  <c r="L1558" i="11"/>
  <c r="L1557" i="11"/>
  <c r="L1556" i="11"/>
  <c r="L1555" i="11"/>
  <c r="L1554" i="11"/>
  <c r="L1553" i="11"/>
  <c r="L1552" i="11"/>
  <c r="L1551" i="11"/>
  <c r="L1550" i="11"/>
  <c r="L1549" i="11"/>
  <c r="L1548" i="11"/>
  <c r="L1547" i="11"/>
  <c r="L1546" i="11"/>
  <c r="L1545" i="11"/>
  <c r="L1544" i="11"/>
  <c r="L1543" i="11"/>
  <c r="L1542" i="11"/>
  <c r="L1541" i="11"/>
  <c r="L1540" i="11"/>
  <c r="L1539" i="11"/>
  <c r="L1538" i="11"/>
  <c r="L1537" i="11"/>
  <c r="L1536" i="11"/>
  <c r="L1535" i="11"/>
  <c r="L1534" i="11"/>
  <c r="L1533" i="11"/>
  <c r="L1532" i="11"/>
  <c r="L1531" i="11"/>
  <c r="L1530" i="11"/>
  <c r="L1529" i="11"/>
  <c r="L1528" i="11"/>
  <c r="L1527" i="11"/>
  <c r="L1526" i="11"/>
  <c r="L1525" i="11"/>
  <c r="L1524" i="11"/>
  <c r="L1523" i="11"/>
  <c r="L1522" i="11"/>
  <c r="L1521" i="11"/>
  <c r="L1520" i="11"/>
  <c r="L1519" i="11"/>
  <c r="L1518" i="11"/>
  <c r="L1517" i="11"/>
  <c r="L1516" i="11"/>
  <c r="L1515" i="11"/>
  <c r="L1514" i="11"/>
  <c r="L1513" i="11"/>
  <c r="L1512" i="11"/>
  <c r="L1511" i="11"/>
  <c r="L1510" i="11"/>
  <c r="L1509" i="11"/>
  <c r="L1508" i="11"/>
  <c r="L1507" i="11"/>
  <c r="L1506" i="11"/>
  <c r="L1505" i="11"/>
  <c r="L1504" i="11"/>
  <c r="L1503" i="11"/>
  <c r="L1502" i="11"/>
  <c r="L1501" i="11"/>
  <c r="L1500" i="11"/>
  <c r="L1499" i="11"/>
  <c r="L1498" i="11"/>
  <c r="L1497" i="11"/>
  <c r="L1496" i="11"/>
  <c r="L1495" i="11"/>
  <c r="L1494" i="11"/>
  <c r="L1493" i="11"/>
  <c r="L1492" i="11"/>
  <c r="L1491" i="11"/>
  <c r="L1490" i="11"/>
  <c r="L1489" i="11"/>
  <c r="L1488" i="11"/>
  <c r="L1487" i="11"/>
  <c r="L1486" i="11"/>
  <c r="L1485" i="11"/>
  <c r="L1484" i="11"/>
  <c r="L1483" i="11"/>
  <c r="L1482" i="11"/>
  <c r="L1481" i="11"/>
  <c r="L1480" i="11"/>
  <c r="L1479" i="11"/>
  <c r="L1478" i="11"/>
  <c r="L1477" i="11"/>
  <c r="L1476" i="11"/>
  <c r="L1475" i="11"/>
  <c r="L1474" i="11"/>
  <c r="L1473" i="11"/>
  <c r="L1472" i="11"/>
  <c r="L1471" i="11"/>
  <c r="L1470" i="11"/>
  <c r="L1469" i="11"/>
  <c r="L1468" i="11"/>
  <c r="L1467" i="11"/>
  <c r="L1466" i="11"/>
  <c r="L1465" i="11"/>
  <c r="L1464" i="11"/>
  <c r="L1463" i="11"/>
  <c r="L1462" i="11"/>
  <c r="L1461" i="11"/>
  <c r="L1460" i="11"/>
  <c r="L1459" i="11"/>
  <c r="L1458" i="11"/>
  <c r="L1457" i="11"/>
  <c r="L1456" i="11"/>
  <c r="L1455" i="11"/>
  <c r="L1454" i="11"/>
  <c r="L1453" i="11"/>
  <c r="L1452" i="11"/>
  <c r="L1451" i="11"/>
  <c r="L1450" i="11"/>
  <c r="L1449" i="11"/>
  <c r="L1448" i="11"/>
  <c r="L1447" i="11"/>
  <c r="L1446" i="11"/>
  <c r="L1445" i="11"/>
  <c r="L1444" i="11"/>
  <c r="L1443" i="11"/>
  <c r="L1442" i="11"/>
  <c r="L1441" i="11"/>
  <c r="L1440" i="11"/>
  <c r="L1439" i="11"/>
  <c r="L1438" i="11"/>
  <c r="L1437" i="11"/>
  <c r="L1436" i="11"/>
  <c r="L1435" i="11"/>
  <c r="L1434" i="11"/>
  <c r="L1433" i="11"/>
  <c r="L1432" i="11"/>
  <c r="L1431" i="11"/>
  <c r="L1430" i="11"/>
  <c r="L1429" i="11"/>
  <c r="L1428" i="11"/>
  <c r="L1427" i="11"/>
  <c r="L1426" i="11"/>
  <c r="L1425" i="11"/>
  <c r="L1424" i="11"/>
  <c r="L1423" i="11"/>
  <c r="L1422" i="11"/>
  <c r="L1421" i="11"/>
  <c r="L1420" i="11"/>
  <c r="L1419" i="11"/>
  <c r="L1418" i="11"/>
  <c r="L1417" i="11"/>
  <c r="L1416" i="11"/>
  <c r="L1415" i="11"/>
  <c r="L1414" i="11"/>
  <c r="L1413" i="11"/>
  <c r="L1412" i="11"/>
  <c r="L1411" i="11"/>
  <c r="L1410" i="11"/>
  <c r="L1409" i="11"/>
  <c r="L1408" i="11"/>
  <c r="L1407" i="11"/>
  <c r="L1406" i="11"/>
  <c r="L1405" i="11"/>
  <c r="L1404" i="11"/>
  <c r="L1403" i="11"/>
  <c r="L1402" i="11"/>
  <c r="L1401" i="11"/>
  <c r="L1400" i="11"/>
  <c r="L1399" i="11"/>
  <c r="L1398" i="11"/>
  <c r="L1397" i="11"/>
  <c r="L1396" i="11"/>
  <c r="L1395" i="11"/>
  <c r="L1394" i="11"/>
  <c r="L1393" i="11"/>
  <c r="L1392" i="11"/>
  <c r="L1391" i="11"/>
  <c r="L1390" i="11"/>
  <c r="L1389" i="11"/>
  <c r="L1388" i="11"/>
  <c r="L1387" i="11"/>
  <c r="L1386" i="11"/>
  <c r="L1385" i="11"/>
  <c r="L1384" i="11"/>
  <c r="L1383" i="11"/>
  <c r="L1382" i="11"/>
  <c r="L1381" i="11"/>
  <c r="L1380" i="11"/>
  <c r="L1379" i="11"/>
  <c r="L1378" i="11"/>
  <c r="L1377" i="11"/>
  <c r="L1376" i="11"/>
  <c r="L1375" i="11"/>
  <c r="L1374" i="11"/>
  <c r="L1373" i="11"/>
  <c r="L1372" i="11"/>
  <c r="L1371" i="11"/>
  <c r="L1370" i="11"/>
  <c r="L1369" i="11"/>
  <c r="L1368" i="11"/>
  <c r="L1367" i="11"/>
  <c r="L1366" i="11"/>
  <c r="L1365" i="11"/>
  <c r="L1364" i="11"/>
  <c r="L1363" i="11"/>
  <c r="L1362" i="11"/>
  <c r="L1361" i="11"/>
  <c r="L1360" i="11"/>
  <c r="L1359" i="11"/>
  <c r="L1358" i="11"/>
  <c r="L1357" i="11"/>
  <c r="L1356" i="11"/>
  <c r="L1355" i="11"/>
  <c r="L1354" i="11"/>
  <c r="L1353" i="11"/>
  <c r="L1352" i="11"/>
  <c r="L1351" i="11"/>
  <c r="L1350" i="11"/>
  <c r="L1349" i="11"/>
  <c r="L1348" i="11"/>
  <c r="L1347" i="11"/>
  <c r="L1346" i="11"/>
  <c r="L1345" i="11"/>
  <c r="L1344" i="11"/>
  <c r="L1343" i="11"/>
  <c r="L1342" i="11"/>
  <c r="L1341" i="11"/>
  <c r="L1340" i="11"/>
  <c r="L1339" i="11"/>
  <c r="L1338" i="11"/>
  <c r="L1337" i="11"/>
  <c r="L1336" i="11"/>
  <c r="L1335" i="11"/>
  <c r="L1334" i="11"/>
  <c r="L1333" i="11"/>
  <c r="L1332" i="11"/>
  <c r="L1331" i="11"/>
  <c r="L1330" i="11"/>
  <c r="L1329" i="11"/>
  <c r="L1328" i="11"/>
  <c r="L1327" i="11"/>
  <c r="L1326" i="11"/>
  <c r="L1325" i="11"/>
  <c r="L1324" i="11"/>
  <c r="L1323" i="11"/>
  <c r="L1322" i="11"/>
  <c r="L1321" i="11"/>
  <c r="L1320" i="11"/>
  <c r="L1319" i="11"/>
  <c r="L1318" i="11"/>
  <c r="L1317" i="11"/>
  <c r="L1316" i="11"/>
  <c r="L1315" i="11"/>
  <c r="L1314" i="11"/>
  <c r="L1313" i="11"/>
  <c r="L1312" i="11"/>
  <c r="L1311" i="11"/>
  <c r="L1310" i="11"/>
  <c r="L1309" i="11"/>
  <c r="L1308" i="11"/>
  <c r="L1307" i="11"/>
  <c r="L1306" i="11"/>
  <c r="L1305" i="11"/>
  <c r="L1304" i="11"/>
  <c r="L1303" i="11"/>
  <c r="L1302" i="11"/>
  <c r="L1301" i="11"/>
  <c r="L1300" i="11"/>
  <c r="L1299" i="11"/>
  <c r="L1298" i="11"/>
  <c r="L1297" i="11"/>
  <c r="L1296" i="11"/>
  <c r="L1295" i="11"/>
  <c r="L1294" i="11"/>
  <c r="L1293" i="11"/>
  <c r="L1292" i="11"/>
  <c r="L1291" i="11"/>
  <c r="L1290" i="11"/>
  <c r="L1289" i="11"/>
  <c r="L1288" i="11"/>
  <c r="L1287" i="11"/>
  <c r="L1286" i="11"/>
  <c r="L1285" i="11"/>
  <c r="L1284" i="11"/>
  <c r="L1283" i="11"/>
  <c r="L1282" i="11"/>
  <c r="L1281" i="11"/>
  <c r="L1280" i="11"/>
  <c r="L1279" i="11"/>
  <c r="L1278" i="11"/>
  <c r="L1277" i="11"/>
  <c r="L1276" i="11"/>
  <c r="L1275" i="11"/>
  <c r="L1274" i="11"/>
  <c r="L1273" i="11"/>
  <c r="L1272" i="11"/>
  <c r="L1271" i="11"/>
  <c r="L1270" i="11"/>
  <c r="L1269" i="11"/>
  <c r="L1268" i="11"/>
  <c r="L1267" i="11"/>
  <c r="L1266" i="11"/>
  <c r="L1265" i="11"/>
  <c r="L1264" i="11"/>
  <c r="L1263" i="11"/>
  <c r="L1262" i="11"/>
  <c r="L1261" i="11"/>
  <c r="L1260" i="11"/>
  <c r="L1259" i="11"/>
  <c r="L1258" i="11"/>
  <c r="L1257" i="11"/>
  <c r="L1256" i="11"/>
  <c r="L1255" i="11"/>
  <c r="L1254" i="11"/>
  <c r="L1253" i="11"/>
  <c r="L1252" i="11"/>
  <c r="L1251" i="11"/>
  <c r="L1250" i="11"/>
  <c r="L1249" i="11"/>
  <c r="L1248" i="11"/>
  <c r="L1247" i="11"/>
  <c r="L1246" i="11"/>
  <c r="L1245" i="11"/>
  <c r="L1244" i="11"/>
  <c r="L1243" i="11"/>
  <c r="L1242" i="11"/>
  <c r="L1241" i="11"/>
  <c r="L1240" i="11"/>
  <c r="L1239" i="11"/>
  <c r="L1238" i="11"/>
  <c r="L1237" i="11"/>
  <c r="L1236" i="11"/>
  <c r="L1235" i="11"/>
  <c r="L1234" i="11"/>
  <c r="L1233" i="11"/>
  <c r="L1232" i="11"/>
  <c r="L1231" i="11"/>
  <c r="L1230" i="11"/>
  <c r="L1229" i="11"/>
  <c r="L1228" i="11"/>
  <c r="L1227" i="11"/>
  <c r="L1226" i="11"/>
  <c r="L1225" i="11"/>
  <c r="L1224" i="11"/>
  <c r="L1223" i="11"/>
  <c r="L1222" i="11"/>
  <c r="L1221" i="11"/>
  <c r="L1220" i="11"/>
  <c r="L1219" i="11"/>
  <c r="L1218" i="11"/>
  <c r="L1217" i="11"/>
  <c r="L1216" i="11"/>
  <c r="L1215" i="11"/>
  <c r="L1214" i="11"/>
  <c r="L1213" i="11"/>
  <c r="L1212" i="11"/>
  <c r="L1211" i="11"/>
  <c r="L1210" i="11"/>
  <c r="L1209" i="11"/>
  <c r="L1208" i="11"/>
  <c r="L1207" i="11"/>
  <c r="L1206" i="11"/>
  <c r="L1205" i="11"/>
  <c r="L1204" i="11"/>
  <c r="L1203" i="11"/>
  <c r="L1202" i="11"/>
  <c r="L1201" i="11"/>
  <c r="L1200" i="11"/>
  <c r="L1199" i="11"/>
  <c r="L1198" i="11"/>
  <c r="L1197" i="11"/>
  <c r="L1196" i="11"/>
  <c r="L1195" i="11"/>
  <c r="L1194" i="11"/>
  <c r="L1193" i="11"/>
  <c r="L1192" i="11"/>
  <c r="L1191" i="11"/>
  <c r="L1190" i="11"/>
  <c r="L1189" i="11"/>
  <c r="L1188" i="11"/>
  <c r="L1187" i="11"/>
  <c r="L1186" i="11"/>
  <c r="L1185" i="11"/>
  <c r="L1184" i="11"/>
  <c r="L1183" i="11"/>
  <c r="L1182" i="11"/>
  <c r="L1181" i="11"/>
  <c r="L1180" i="11"/>
  <c r="L1179" i="11"/>
  <c r="L1178" i="11"/>
  <c r="L1177" i="11"/>
  <c r="L1176" i="11"/>
  <c r="L1175" i="11"/>
  <c r="L1174" i="11"/>
  <c r="L1173" i="11"/>
  <c r="L1172" i="11"/>
  <c r="L1171" i="11"/>
  <c r="L1170" i="11"/>
  <c r="L1169" i="11"/>
  <c r="L1168" i="11"/>
  <c r="L1167" i="11"/>
  <c r="L1166" i="11"/>
  <c r="L1165" i="11"/>
  <c r="L1164" i="11"/>
  <c r="L1163" i="11"/>
  <c r="L1162" i="11"/>
  <c r="L1161" i="11"/>
  <c r="L1160" i="11"/>
  <c r="L1159" i="11"/>
  <c r="L1158" i="11"/>
  <c r="L1157" i="11"/>
  <c r="L1156" i="11"/>
  <c r="L1155" i="11"/>
  <c r="L1154" i="11"/>
  <c r="L1153" i="11"/>
  <c r="L1152" i="11"/>
  <c r="L1151" i="11"/>
  <c r="L1150" i="11"/>
  <c r="L1149" i="11"/>
  <c r="L1148" i="11"/>
  <c r="L1147" i="11"/>
  <c r="L1146" i="11"/>
  <c r="L1145" i="11"/>
  <c r="L1144" i="11"/>
  <c r="L1143" i="11"/>
  <c r="L1142" i="11"/>
  <c r="L1141" i="11"/>
  <c r="L1140" i="11"/>
  <c r="L1139" i="11"/>
  <c r="L1138" i="11"/>
  <c r="L1137" i="11"/>
  <c r="L1136" i="11"/>
  <c r="L1135" i="11"/>
  <c r="L1134" i="11"/>
  <c r="L1133" i="11"/>
  <c r="L1132" i="11"/>
  <c r="L1131" i="11"/>
  <c r="L1130" i="11"/>
  <c r="L1129" i="11"/>
  <c r="L1128" i="11"/>
  <c r="L1127" i="11"/>
  <c r="L1126" i="11"/>
  <c r="L1125" i="11"/>
  <c r="L1124" i="11"/>
  <c r="L1123" i="11"/>
  <c r="L1122" i="11"/>
  <c r="L1121" i="11"/>
  <c r="L1120" i="11"/>
  <c r="L1119" i="11"/>
  <c r="L1118" i="11"/>
  <c r="L1117" i="11"/>
  <c r="L1116" i="11"/>
  <c r="L1115" i="11"/>
  <c r="L1114" i="11"/>
  <c r="L1113" i="11"/>
  <c r="L1112" i="11"/>
  <c r="L1111" i="11"/>
  <c r="L1110" i="11"/>
  <c r="L1109" i="11"/>
  <c r="L1108" i="11"/>
  <c r="L1107" i="11"/>
  <c r="L1106" i="11"/>
  <c r="L1105" i="11"/>
  <c r="L1104" i="11"/>
  <c r="L1103" i="11"/>
  <c r="L1102" i="11"/>
  <c r="L1101" i="11"/>
  <c r="L1100" i="11"/>
  <c r="L1099" i="11"/>
  <c r="L1098" i="11"/>
  <c r="L1097" i="11"/>
  <c r="L1096" i="11"/>
  <c r="L1095" i="11"/>
  <c r="L1094" i="11"/>
  <c r="L1093" i="11"/>
  <c r="L1092" i="11"/>
  <c r="L1091" i="11"/>
  <c r="L1090" i="11"/>
  <c r="L1089" i="11"/>
  <c r="L1088" i="11"/>
  <c r="L1087" i="11"/>
  <c r="L1086" i="11"/>
  <c r="L1085" i="11"/>
  <c r="L1084" i="11"/>
  <c r="L1083" i="11"/>
  <c r="L1082" i="11"/>
  <c r="L1081" i="11"/>
  <c r="L1080" i="11"/>
  <c r="L1079" i="11"/>
  <c r="L1078" i="11"/>
  <c r="L1077" i="11"/>
  <c r="L1076" i="11"/>
  <c r="L1075" i="11"/>
  <c r="L1074" i="11"/>
  <c r="L1073" i="11"/>
  <c r="L1072" i="11"/>
  <c r="L1071" i="11"/>
  <c r="L1070" i="11"/>
  <c r="L1069" i="11"/>
  <c r="L1068" i="11"/>
  <c r="L1067" i="11"/>
  <c r="L1066" i="11"/>
  <c r="L1065" i="11"/>
  <c r="L1064" i="11"/>
  <c r="L1063" i="11"/>
  <c r="L1062" i="11"/>
  <c r="L1061" i="11"/>
  <c r="L1060" i="11"/>
  <c r="L1059" i="11"/>
  <c r="L1058" i="11"/>
  <c r="L1057" i="11"/>
  <c r="L1056" i="11"/>
  <c r="L1055" i="11"/>
  <c r="L1054" i="11"/>
  <c r="L1053" i="11"/>
  <c r="L1052" i="11"/>
  <c r="L1051" i="11"/>
  <c r="L1050" i="11"/>
  <c r="L1049" i="11"/>
  <c r="L1048" i="11"/>
  <c r="L1047" i="11"/>
  <c r="L1046" i="11"/>
  <c r="L1045" i="11"/>
  <c r="L1044" i="11"/>
  <c r="L1043" i="11"/>
  <c r="L1042" i="11"/>
  <c r="L1041" i="11"/>
  <c r="L1040" i="11"/>
  <c r="L1039" i="11"/>
  <c r="L1038" i="11"/>
  <c r="L1037" i="11"/>
  <c r="L1036" i="11"/>
  <c r="L1035" i="11"/>
  <c r="L1034" i="11"/>
  <c r="L1033" i="11"/>
  <c r="L1032" i="11"/>
  <c r="L1031" i="11"/>
  <c r="L1030" i="11"/>
  <c r="L1029" i="11"/>
  <c r="L1028" i="11"/>
  <c r="L1027" i="11"/>
  <c r="L1026" i="11"/>
  <c r="L1025" i="11"/>
  <c r="L1024" i="11"/>
  <c r="L1023" i="11"/>
  <c r="L1022" i="11"/>
  <c r="L1021" i="11"/>
  <c r="L1020" i="11"/>
  <c r="L1019" i="11"/>
  <c r="L1018" i="11"/>
  <c r="L1017" i="11"/>
  <c r="L1016" i="11"/>
  <c r="L1015" i="11"/>
  <c r="L1014" i="11"/>
  <c r="L1013" i="11"/>
  <c r="L1012" i="11"/>
  <c r="L1011" i="11"/>
  <c r="L1010" i="11"/>
  <c r="L1009" i="11"/>
  <c r="L1008" i="11"/>
  <c r="L1007" i="11"/>
  <c r="L1006" i="11"/>
  <c r="L1005" i="11"/>
  <c r="L1004" i="11"/>
  <c r="L1003" i="11"/>
  <c r="L1002" i="11"/>
  <c r="L1001" i="11"/>
  <c r="L1000" i="11"/>
  <c r="L999" i="11"/>
  <c r="L998" i="11"/>
  <c r="L997" i="11"/>
  <c r="L996" i="11"/>
  <c r="L995" i="11"/>
  <c r="L994" i="11"/>
  <c r="L993" i="11"/>
  <c r="L992" i="11"/>
  <c r="L991" i="11"/>
  <c r="L990" i="11"/>
  <c r="L989" i="11"/>
  <c r="L988" i="11"/>
  <c r="L987" i="11"/>
  <c r="L986" i="11"/>
  <c r="L985" i="11"/>
  <c r="L984" i="11"/>
  <c r="L983" i="11"/>
  <c r="L982" i="11"/>
  <c r="L981" i="11"/>
  <c r="L980" i="11"/>
  <c r="L979" i="11"/>
  <c r="L978" i="11"/>
  <c r="L977" i="11"/>
  <c r="L976" i="11"/>
  <c r="L975" i="11"/>
  <c r="L974" i="11"/>
  <c r="L973" i="11"/>
  <c r="L972" i="11"/>
  <c r="L971" i="11"/>
  <c r="L970" i="11"/>
  <c r="L969" i="11"/>
  <c r="L968" i="11"/>
  <c r="L967" i="11"/>
  <c r="L966" i="11"/>
  <c r="L965" i="11"/>
  <c r="L964" i="11"/>
  <c r="L963" i="11"/>
  <c r="L962" i="11"/>
  <c r="L961" i="11"/>
  <c r="L960" i="11"/>
  <c r="L959" i="11"/>
  <c r="L958" i="11"/>
  <c r="L957" i="11"/>
  <c r="L956" i="11"/>
  <c r="L955" i="11"/>
  <c r="L954" i="11"/>
  <c r="L953" i="11"/>
  <c r="L952" i="11"/>
  <c r="L951" i="11"/>
  <c r="L950" i="11"/>
  <c r="L949" i="11"/>
  <c r="L948" i="11"/>
  <c r="L947" i="11"/>
  <c r="L946" i="11"/>
  <c r="L945" i="11"/>
  <c r="L944" i="11"/>
  <c r="L943" i="11"/>
  <c r="L942" i="11"/>
  <c r="L941" i="11"/>
  <c r="L940" i="11"/>
  <c r="L939" i="11"/>
  <c r="L938" i="11"/>
  <c r="L937" i="11"/>
  <c r="L936" i="11"/>
  <c r="L935" i="11"/>
  <c r="L934" i="11"/>
  <c r="L933" i="11"/>
  <c r="L932" i="11"/>
  <c r="L931" i="11"/>
  <c r="L930" i="11"/>
  <c r="L929" i="11"/>
  <c r="L928" i="11"/>
  <c r="L927" i="11"/>
  <c r="L926" i="11"/>
  <c r="L925" i="11"/>
  <c r="L924" i="11"/>
  <c r="L923" i="11"/>
  <c r="L922" i="11"/>
  <c r="L921" i="11"/>
  <c r="L920" i="11"/>
  <c r="L919" i="11"/>
  <c r="L918" i="11"/>
  <c r="L917" i="11"/>
  <c r="L916" i="11"/>
  <c r="L915" i="11"/>
  <c r="L914" i="11"/>
  <c r="L913" i="11"/>
  <c r="L912" i="11"/>
  <c r="L911" i="11"/>
  <c r="L910" i="11"/>
  <c r="L909" i="11"/>
  <c r="L908" i="11"/>
  <c r="L907" i="11"/>
  <c r="L906" i="11"/>
  <c r="L905" i="11"/>
  <c r="L904" i="11"/>
  <c r="L903" i="11"/>
  <c r="L902" i="11"/>
  <c r="L901" i="11"/>
  <c r="L900" i="11"/>
  <c r="L899" i="11"/>
  <c r="L898" i="11"/>
  <c r="L897" i="11"/>
  <c r="L896" i="11"/>
  <c r="L895" i="11"/>
  <c r="L894" i="11"/>
  <c r="L893" i="11"/>
  <c r="L892" i="11"/>
  <c r="L891" i="11"/>
  <c r="L890" i="11"/>
  <c r="L889" i="11"/>
  <c r="L888" i="11"/>
  <c r="L887" i="11"/>
  <c r="L886" i="11"/>
  <c r="L885" i="11"/>
  <c r="L884" i="11"/>
  <c r="L883" i="11"/>
  <c r="L882" i="11"/>
  <c r="L881" i="11"/>
  <c r="L880" i="11"/>
  <c r="L879" i="11"/>
  <c r="L878" i="11"/>
  <c r="L877" i="11"/>
  <c r="L876" i="11"/>
  <c r="L875" i="11"/>
  <c r="L874" i="11"/>
  <c r="L873" i="11"/>
  <c r="L872" i="11"/>
  <c r="L871" i="11"/>
  <c r="L870" i="11"/>
  <c r="L869" i="11"/>
  <c r="L868" i="11"/>
  <c r="L867" i="11"/>
  <c r="L866" i="11"/>
  <c r="L865" i="11"/>
  <c r="L864" i="11"/>
  <c r="L863" i="11"/>
  <c r="L862" i="11"/>
  <c r="L861" i="11"/>
  <c r="L860" i="11"/>
  <c r="L859" i="11"/>
  <c r="L858" i="11"/>
  <c r="L857" i="11"/>
  <c r="L856" i="11"/>
  <c r="L855" i="11"/>
  <c r="L854" i="11"/>
  <c r="L853" i="11"/>
  <c r="L852" i="11"/>
  <c r="L851" i="11"/>
  <c r="L850" i="11"/>
  <c r="L849" i="11"/>
  <c r="L848" i="11"/>
  <c r="L847" i="11"/>
  <c r="L846" i="11"/>
  <c r="L845" i="11"/>
  <c r="L844" i="11"/>
  <c r="L843" i="11"/>
  <c r="L842" i="11"/>
  <c r="L841" i="11"/>
  <c r="L840" i="11"/>
  <c r="L839" i="11"/>
  <c r="L838" i="11"/>
  <c r="L837" i="11"/>
  <c r="L836" i="11"/>
  <c r="L835" i="11"/>
  <c r="L834" i="11"/>
  <c r="L833" i="11"/>
  <c r="L832" i="11"/>
  <c r="L831" i="11"/>
  <c r="L830" i="11"/>
  <c r="L829" i="11"/>
  <c r="L828" i="11"/>
  <c r="L827" i="11"/>
  <c r="L826" i="11"/>
  <c r="L825" i="11"/>
  <c r="L824" i="11"/>
  <c r="L823" i="11"/>
  <c r="L822" i="11"/>
  <c r="L821" i="11"/>
  <c r="L820" i="11"/>
  <c r="L819" i="11"/>
  <c r="L818" i="11"/>
  <c r="L817" i="11"/>
  <c r="L816" i="11"/>
  <c r="L815" i="11"/>
  <c r="L814" i="11"/>
  <c r="L813" i="11"/>
  <c r="L812" i="11"/>
  <c r="L811" i="11"/>
  <c r="L810" i="11"/>
  <c r="L809" i="11"/>
  <c r="L808" i="11"/>
  <c r="L807" i="11"/>
  <c r="L806" i="11"/>
  <c r="L805" i="11"/>
  <c r="L804" i="11"/>
  <c r="L803" i="11"/>
  <c r="L802" i="11"/>
  <c r="L801" i="11"/>
  <c r="L800" i="11"/>
  <c r="L799" i="11"/>
  <c r="L798" i="11"/>
  <c r="L797" i="11"/>
  <c r="L796" i="11"/>
  <c r="L795" i="11"/>
  <c r="L794" i="11"/>
  <c r="L793" i="11"/>
  <c r="L792" i="11"/>
  <c r="L791" i="11"/>
  <c r="L790" i="11"/>
  <c r="L789" i="11"/>
  <c r="L788" i="11"/>
  <c r="L787" i="11"/>
  <c r="L786" i="11"/>
  <c r="L785" i="11"/>
  <c r="L784" i="11"/>
  <c r="L783" i="11"/>
  <c r="L782" i="11"/>
  <c r="L781" i="11"/>
  <c r="L780" i="11"/>
  <c r="L779" i="11"/>
  <c r="L778" i="11"/>
  <c r="L777" i="11"/>
  <c r="L776" i="11"/>
  <c r="L775" i="11"/>
  <c r="L774" i="11"/>
  <c r="L773" i="11"/>
  <c r="L772" i="11"/>
  <c r="L771" i="11"/>
  <c r="L770" i="11"/>
  <c r="L769" i="11"/>
  <c r="L768" i="11"/>
  <c r="L767" i="11"/>
  <c r="L766" i="11"/>
  <c r="L765" i="11"/>
  <c r="L764" i="11"/>
  <c r="L763" i="11"/>
  <c r="L762" i="11"/>
  <c r="L761" i="11"/>
  <c r="L760" i="11"/>
  <c r="L759" i="11"/>
  <c r="L758" i="11"/>
  <c r="L757" i="11"/>
  <c r="L756" i="11"/>
  <c r="L755" i="11"/>
  <c r="L754" i="11"/>
  <c r="L753" i="11"/>
  <c r="L752" i="11"/>
  <c r="L751" i="11"/>
  <c r="L750" i="11"/>
  <c r="L749" i="11"/>
  <c r="L748" i="11"/>
  <c r="L747" i="11"/>
  <c r="L746" i="11"/>
  <c r="L745" i="11"/>
  <c r="L744" i="11"/>
  <c r="L743" i="11"/>
  <c r="L742" i="11"/>
  <c r="L741" i="11"/>
  <c r="L740" i="11"/>
  <c r="L739" i="11"/>
  <c r="L738" i="11"/>
  <c r="L737" i="11"/>
  <c r="L736" i="11"/>
  <c r="L735" i="11"/>
  <c r="L734" i="11"/>
  <c r="L733" i="11"/>
  <c r="L732" i="11"/>
  <c r="L731" i="11"/>
  <c r="L730" i="11"/>
  <c r="L729" i="11"/>
  <c r="L728" i="11"/>
  <c r="L727" i="11"/>
  <c r="L726" i="11"/>
  <c r="L725" i="11"/>
  <c r="L724" i="11"/>
  <c r="L723" i="11"/>
  <c r="L722" i="11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2" i="11"/>
  <c r="E92" i="1" l="1"/>
  <c r="E86" i="1"/>
  <c r="E87" i="1"/>
  <c r="E90" i="1"/>
  <c r="E94" i="1"/>
  <c r="E98" i="1"/>
  <c r="E96" i="1"/>
  <c r="E95" i="1"/>
  <c r="E88" i="1"/>
  <c r="E91" i="1"/>
  <c r="E89" i="1"/>
  <c r="E97" i="1"/>
  <c r="E93" i="1"/>
  <c r="E10" i="1"/>
  <c r="E14" i="1"/>
  <c r="E13" i="1"/>
  <c r="E15" i="1"/>
  <c r="E12" i="1"/>
  <c r="E11" i="1"/>
  <c r="Q182" i="1"/>
  <c r="E181" i="1"/>
  <c r="E85" i="1"/>
  <c r="E9" i="1"/>
  <c r="R182" i="20"/>
  <c r="U182" i="20"/>
  <c r="S182" i="20"/>
  <c r="T182" i="20"/>
  <c r="E159" i="1" l="1"/>
  <c r="K159" i="1"/>
  <c r="O159" i="1"/>
  <c r="N159" i="1"/>
  <c r="K83" i="1"/>
  <c r="O83" i="1"/>
  <c r="N83" i="1"/>
  <c r="V182" i="1"/>
  <c r="E83" i="1"/>
  <c r="E181" i="20"/>
  <c r="E86" i="20"/>
  <c r="E87" i="20"/>
  <c r="E89" i="20"/>
  <c r="E14" i="20"/>
  <c r="E12" i="20"/>
  <c r="E11" i="20"/>
  <c r="E13" i="20"/>
  <c r="E88" i="20"/>
  <c r="E10" i="20"/>
  <c r="E85" i="20"/>
  <c r="E16" i="20"/>
  <c r="E15" i="20"/>
  <c r="E9" i="20"/>
  <c r="E17" i="20"/>
  <c r="E18" i="20"/>
  <c r="N83" i="20" l="1"/>
  <c r="O83" i="20"/>
  <c r="E159" i="20"/>
  <c r="O159" i="20"/>
  <c r="E182" i="1"/>
  <c r="E83" i="20"/>
  <c r="V182" i="20"/>
  <c r="E182" i="20" l="1"/>
</calcChain>
</file>

<file path=xl/sharedStrings.xml><?xml version="1.0" encoding="utf-8"?>
<sst xmlns="http://schemas.openxmlformats.org/spreadsheetml/2006/main" count="22501" uniqueCount="7910">
  <si>
    <t>Эмитент</t>
  </si>
  <si>
    <t>Bloomberg Тикер</t>
  </si>
  <si>
    <t>Доля в портфеле</t>
  </si>
  <si>
    <t>Цена покупки</t>
  </si>
  <si>
    <t>Текущая цена</t>
  </si>
  <si>
    <t>Целевая цена на 12М, данные Блумберга</t>
  </si>
  <si>
    <t>Потенциал роста (CUR) на 12М, %</t>
  </si>
  <si>
    <t>ANR</t>
  </si>
  <si>
    <t>Валюта</t>
  </si>
  <si>
    <t>Изменение (RUB), %</t>
  </si>
  <si>
    <t>Изменение (USD), %</t>
  </si>
  <si>
    <t>Прибыль / убыток (RUB)</t>
  </si>
  <si>
    <t>Прибыль / убыток (USD)</t>
  </si>
  <si>
    <t>Ожидаемая див дох-ть акций, текущая доходность облигаций %</t>
  </si>
  <si>
    <t>Клиент</t>
  </si>
  <si>
    <t>USD</t>
  </si>
  <si>
    <t>Облигации</t>
  </si>
  <si>
    <t>Акции</t>
  </si>
  <si>
    <t>Лимит / Overdraft</t>
  </si>
  <si>
    <t>Cash</t>
  </si>
  <si>
    <t>ISIN</t>
  </si>
  <si>
    <t>Дюрация</t>
  </si>
  <si>
    <t>RU000A0JRJU8</t>
  </si>
  <si>
    <t>RU000A0JV7K7</t>
  </si>
  <si>
    <t>RU000A0JV7J9</t>
  </si>
  <si>
    <t>RU000A0JTKZ1</t>
  </si>
  <si>
    <t>RU000A0JRCJ6</t>
  </si>
  <si>
    <t>RU000A0JX5W4</t>
  </si>
  <si>
    <t>RU0009084446</t>
  </si>
  <si>
    <t>RU000A0JS942</t>
  </si>
  <si>
    <t>RU0007661625</t>
  </si>
  <si>
    <t>XS0088543193</t>
  </si>
  <si>
    <t>Доходность</t>
  </si>
  <si>
    <t>ISIN-код бумаги</t>
  </si>
  <si>
    <t>Бумага</t>
  </si>
  <si>
    <t>Бумага сокр.</t>
  </si>
  <si>
    <t>RU0008958863</t>
  </si>
  <si>
    <t>+МосЭнерго</t>
  </si>
  <si>
    <t>МосЭнерго акции обыкн.</t>
  </si>
  <si>
    <t>US7496552057</t>
  </si>
  <si>
    <t>AGRO-гдр</t>
  </si>
  <si>
    <t>ГДР ROS AGRO PLC ORD SHS</t>
  </si>
  <si>
    <t>JE00B6T5S470</t>
  </si>
  <si>
    <t>Polymetal</t>
  </si>
  <si>
    <t>Polymetal International plc</t>
  </si>
  <si>
    <t>JE00B5BCW814</t>
  </si>
  <si>
    <t>RUSAL plc</t>
  </si>
  <si>
    <t>United Company RUSAL Plc</t>
  </si>
  <si>
    <t>NL0009805522</t>
  </si>
  <si>
    <t>Yandex clA</t>
  </si>
  <si>
    <t>PLLC Yandex N.V. class A shs</t>
  </si>
  <si>
    <t>US74735M1080</t>
  </si>
  <si>
    <t>iQIWI</t>
  </si>
  <si>
    <t>QIWI PLC</t>
  </si>
  <si>
    <t>RU000A0JPLZ7</t>
  </si>
  <si>
    <t>iАвиастКао</t>
  </si>
  <si>
    <t>Об.авиастр.корп. ПАО ао</t>
  </si>
  <si>
    <t>RU000A0JQW11</t>
  </si>
  <si>
    <t>iДонскЗР</t>
  </si>
  <si>
    <t>Донской завод радиодеталей ао</t>
  </si>
  <si>
    <t>RU000A0JQW29</t>
  </si>
  <si>
    <t>iДонскЗР п</t>
  </si>
  <si>
    <t>Донской завод радиодеталей ап</t>
  </si>
  <si>
    <t>RU000A0JQWC1</t>
  </si>
  <si>
    <t>iЗаводДИОД</t>
  </si>
  <si>
    <t>Завод ДИОД ПАО ао</t>
  </si>
  <si>
    <t>RU000A0JNAB6</t>
  </si>
  <si>
    <t>iИСКЧ ао</t>
  </si>
  <si>
    <t>ПАО "ИСКЧ"</t>
  </si>
  <si>
    <t>RU000A0JT7Y2</t>
  </si>
  <si>
    <t>iЛевенгук</t>
  </si>
  <si>
    <t>Левенгук ОАО ао</t>
  </si>
  <si>
    <t>RU000A0JTFH9</t>
  </si>
  <si>
    <t>iМультиСис</t>
  </si>
  <si>
    <t>Мультисистема ОАО ао</t>
  </si>
  <si>
    <t>RU000A0JRPX9</t>
  </si>
  <si>
    <t>iНПОНаука</t>
  </si>
  <si>
    <t>НПО Наука ао</t>
  </si>
  <si>
    <t>RU000A0JQLB6</t>
  </si>
  <si>
    <t>iНаукаСвяз</t>
  </si>
  <si>
    <t>Наука-Связь ПАО ао</t>
  </si>
  <si>
    <t>RU000A0JTAP3</t>
  </si>
  <si>
    <t>iРоллман</t>
  </si>
  <si>
    <t>Группа Компаний Роллман ПАО ао</t>
  </si>
  <si>
    <t>RU000A0JU229</t>
  </si>
  <si>
    <t>iРоллман-п</t>
  </si>
  <si>
    <t>Группа Компаний Роллман ПАО ап</t>
  </si>
  <si>
    <t>RU000A0JR514</t>
  </si>
  <si>
    <t>iФармсинтз</t>
  </si>
  <si>
    <t>Фармсинтез ПАО ао</t>
  </si>
  <si>
    <t>RU000A0JNXF9</t>
  </si>
  <si>
    <t>iЧЗПСН ао</t>
  </si>
  <si>
    <t>ЧЗПСН-Профнастил (ПАО) ао</t>
  </si>
  <si>
    <t>RU0009071187</t>
  </si>
  <si>
    <t>АВТОВАЗ ао</t>
  </si>
  <si>
    <t>АВТОВАЗ (ПАО) ао</t>
  </si>
  <si>
    <t>RU000A0JQ433</t>
  </si>
  <si>
    <t>АВТОВАЗ ап</t>
  </si>
  <si>
    <t>АВТОВАЗ (ПАО) ап</t>
  </si>
  <si>
    <t>RU0007252813</t>
  </si>
  <si>
    <t>АЛРОСА ао</t>
  </si>
  <si>
    <t>АЛРОСА ПАО ао</t>
  </si>
  <si>
    <t>RU000A0JP468</t>
  </si>
  <si>
    <t>АЛРОСА-Нюр</t>
  </si>
  <si>
    <t>АЛРОСА-Нюрба ПАО ао</t>
  </si>
  <si>
    <t>RU000A0JS5T7</t>
  </si>
  <si>
    <t>АбрауДюрсо</t>
  </si>
  <si>
    <t>Абрау-Дюрсо ПАО ао</t>
  </si>
  <si>
    <t>RU000A0DM7B3</t>
  </si>
  <si>
    <t>Авангрд-ао</t>
  </si>
  <si>
    <t>АКБ "АВАНГАРД" ПАО ао</t>
  </si>
  <si>
    <t>RU0009028674</t>
  </si>
  <si>
    <t>Акрон</t>
  </si>
  <si>
    <t>Акрон ПАО ао</t>
  </si>
  <si>
    <t>RU0008081765</t>
  </si>
  <si>
    <t>Аптеки36и6</t>
  </si>
  <si>
    <t>ПАО "Аптечная сеть 36,6" ао</t>
  </si>
  <si>
    <t>RU000A0JP0Q7</t>
  </si>
  <si>
    <t>Арсагера</t>
  </si>
  <si>
    <t>УК Арсагера ПАО-ао</t>
  </si>
  <si>
    <t>RU000A0D8MM8</t>
  </si>
  <si>
    <t>АстрЭнСб</t>
  </si>
  <si>
    <t>Астраханская ЭСК ПАО</t>
  </si>
  <si>
    <t>RU000A0B88G6</t>
  </si>
  <si>
    <t>АшинскийМЗ</t>
  </si>
  <si>
    <t>Ашинский метзавод ПАО ао</t>
  </si>
  <si>
    <t>RU0009062285</t>
  </si>
  <si>
    <t>Аэрофлот</t>
  </si>
  <si>
    <t>Аэрофлот-росс.авиалин(ПАО)ао</t>
  </si>
  <si>
    <t>RU0009100945</t>
  </si>
  <si>
    <t>БСП ао</t>
  </si>
  <si>
    <t>ПАО "Банк "Санкт-Петербург" ао</t>
  </si>
  <si>
    <t>RU000A0JWNX4</t>
  </si>
  <si>
    <t>БУДУЩЕЕ ао</t>
  </si>
  <si>
    <t>Финансовая группа БУДУЩЕЕ ао</t>
  </si>
  <si>
    <t>RU0009059216</t>
  </si>
  <si>
    <t>БашИнСв ао</t>
  </si>
  <si>
    <t>Башинформсвязь(ПАО) ао</t>
  </si>
  <si>
    <t>RU0009100176</t>
  </si>
  <si>
    <t>БашИнСв ап</t>
  </si>
  <si>
    <t>Башинформсвязь(ПАО) ап</t>
  </si>
  <si>
    <t>RU0007976957</t>
  </si>
  <si>
    <t>Башнефт ао</t>
  </si>
  <si>
    <t>Башнефть АНК ао</t>
  </si>
  <si>
    <t>RU0007976965</t>
  </si>
  <si>
    <t>Башнефт ап</t>
  </si>
  <si>
    <t>Башнефть АНК ап</t>
  </si>
  <si>
    <t>RU000A0J2QG8</t>
  </si>
  <si>
    <t>Белон ао</t>
  </si>
  <si>
    <t>Белон ОАО ао</t>
  </si>
  <si>
    <t>RU000A0JS2M9</t>
  </si>
  <si>
    <t>БестЭфБ ао</t>
  </si>
  <si>
    <t>Бест Эффортс Банк ПАО ао</t>
  </si>
  <si>
    <t>RU0009288658</t>
  </si>
  <si>
    <t>БурЗолото</t>
  </si>
  <si>
    <t>Бурятзолото ПАО ао</t>
  </si>
  <si>
    <t>RU0009100291</t>
  </si>
  <si>
    <t>ВСМПО-АВСМ</t>
  </si>
  <si>
    <t>Корп. ВСМПО-АВИСМА (ПАО) ао</t>
  </si>
  <si>
    <t>RU000A0JP5V6</t>
  </si>
  <si>
    <t>ВТБ ао</t>
  </si>
  <si>
    <t>ао ПАО Банк ВТБ</t>
  </si>
  <si>
    <t>RU0007984761</t>
  </si>
  <si>
    <t>ВХЗ-ао</t>
  </si>
  <si>
    <t>Владимирский химич.з-д(ПАО) ао</t>
  </si>
  <si>
    <t>RU000A0DQWJ9</t>
  </si>
  <si>
    <t>ВЭК 01 ао</t>
  </si>
  <si>
    <t>Владимирэнергосбыт ПАО</t>
  </si>
  <si>
    <t>RU0009046460</t>
  </si>
  <si>
    <t>Варьеган</t>
  </si>
  <si>
    <t>Варьеганнефтегаз ПАО ао</t>
  </si>
  <si>
    <t>RU0007964789</t>
  </si>
  <si>
    <t>Варьеган-п</t>
  </si>
  <si>
    <t>Варьеганнефтегаз ПАО ап</t>
  </si>
  <si>
    <t>RU0009084214</t>
  </si>
  <si>
    <t>Возрожд-ао</t>
  </si>
  <si>
    <t>Банк "Возрождение"-ао</t>
  </si>
  <si>
    <t>RU0009100127</t>
  </si>
  <si>
    <t>Возрожд-п</t>
  </si>
  <si>
    <t>Банк "Возрождение" - ап</t>
  </si>
  <si>
    <t>RU000A0D8L73</t>
  </si>
  <si>
    <t>ВолгЭнСб</t>
  </si>
  <si>
    <t>Волгоград.энергосбыткомп ПАО</t>
  </si>
  <si>
    <t>RU000A0D8L57</t>
  </si>
  <si>
    <t>ВолгЭнСб-п</t>
  </si>
  <si>
    <t>RU000A0JPVL6</t>
  </si>
  <si>
    <t>ВостРАО ао</t>
  </si>
  <si>
    <t>РАО ЭС Востока ПАО ао</t>
  </si>
  <si>
    <t>RU000A0JQNL1</t>
  </si>
  <si>
    <t>ВостРАО ап</t>
  </si>
  <si>
    <t>РАО ЭС Востока ПАО ап</t>
  </si>
  <si>
    <t>RU0006334372</t>
  </si>
  <si>
    <t>ВыбСудЗ ао</t>
  </si>
  <si>
    <t>Выборгский Суд.Завод ПАО ао</t>
  </si>
  <si>
    <t>RU0006334380</t>
  </si>
  <si>
    <t>ВыбСудЗ ап</t>
  </si>
  <si>
    <t>Выборгский Суд.Завод ПАО ап</t>
  </si>
  <si>
    <t>RU0009034268</t>
  </si>
  <si>
    <t>ГАЗ ао</t>
  </si>
  <si>
    <t>ГАЗ ПАО ао</t>
  </si>
  <si>
    <t>RU0009102834</t>
  </si>
  <si>
    <t>ГАЗ ап</t>
  </si>
  <si>
    <t>ГАЗ ПАО ап</t>
  </si>
  <si>
    <t>RU000A0JS199</t>
  </si>
  <si>
    <t>ГАЗ-Тек ао</t>
  </si>
  <si>
    <t>ГАЗ-Тек ОАО ао</t>
  </si>
  <si>
    <t>RU000A0JQG78</t>
  </si>
  <si>
    <t>ГАЗ-сервис</t>
  </si>
  <si>
    <t>ГАЗ-сервис (ОАО) ао</t>
  </si>
  <si>
    <t>RU000A0JQG86</t>
  </si>
  <si>
    <t>ГАЗКОН-ао</t>
  </si>
  <si>
    <t>ГАЗКОН (ОАО) ао</t>
  </si>
  <si>
    <t>ГАЗПРОМ ао</t>
  </si>
  <si>
    <t>Газпром (ПАО) ао</t>
  </si>
  <si>
    <t>RU000A0JQ7U3</t>
  </si>
  <si>
    <t>ГЕОТЕК ао</t>
  </si>
  <si>
    <t>ГЕОТЕК Сейсморазведка ПАО ао</t>
  </si>
  <si>
    <t>RU000A0JV532</t>
  </si>
  <si>
    <t>ГИТ ао</t>
  </si>
  <si>
    <t>ГородскиеИнновацТехнологии ао</t>
  </si>
  <si>
    <t>RU0007288411</t>
  </si>
  <si>
    <t>ГМКНорНик</t>
  </si>
  <si>
    <t>ГМК "Нор.Никель" ПАО ао</t>
  </si>
  <si>
    <t>RU000A0JPG04</t>
  </si>
  <si>
    <t>ГазпРнД ао</t>
  </si>
  <si>
    <t>Газпром газорасп Р-н-Д ПАО ао</t>
  </si>
  <si>
    <t>RU0009062467</t>
  </si>
  <si>
    <t>Газпрнефть</t>
  </si>
  <si>
    <t>Газпром нефть ПАО ао</t>
  </si>
  <si>
    <t>RU000A0JNP96</t>
  </si>
  <si>
    <t>Галс-Девел</t>
  </si>
  <si>
    <t>ПАО "Галс-Девелопмент"</t>
  </si>
  <si>
    <t>RU0008992318</t>
  </si>
  <si>
    <t>ДВМП ао</t>
  </si>
  <si>
    <t>ДВ морское пароходство ПАО ао</t>
  </si>
  <si>
    <t>RU000A0JP7H1</t>
  </si>
  <si>
    <t>ДИКСИ ао</t>
  </si>
  <si>
    <t>ГК "ДИКСИ" ао</t>
  </si>
  <si>
    <t>RU000A0JP2W1</t>
  </si>
  <si>
    <t>ДЭК ао</t>
  </si>
  <si>
    <t>ДЭК ПАО ао</t>
  </si>
  <si>
    <t>RU000A0F63G0</t>
  </si>
  <si>
    <t>ДагСб ао</t>
  </si>
  <si>
    <t>ао Дагестанская энергосб.комп.</t>
  </si>
  <si>
    <t>RU000A0JSQ90</t>
  </si>
  <si>
    <t>ДетскийМир</t>
  </si>
  <si>
    <t>ПАО Детский мир</t>
  </si>
  <si>
    <t>RU0007661674</t>
  </si>
  <si>
    <t>Дорогбж ао</t>
  </si>
  <si>
    <t>Дорогобуж ПАО ао</t>
  </si>
  <si>
    <t>RU000A0JVW89</t>
  </si>
  <si>
    <t>Европлан</t>
  </si>
  <si>
    <t>Европлан ПАО ао</t>
  </si>
  <si>
    <t>RU0009091300</t>
  </si>
  <si>
    <t>ЗВЕЗДА ао</t>
  </si>
  <si>
    <t>ЗВЕЗДА ПАО ао</t>
  </si>
  <si>
    <t>RU0009086193</t>
  </si>
  <si>
    <t>ЗИЛ ао</t>
  </si>
  <si>
    <t>Завод им. И.А.Лихачева ПАО ао</t>
  </si>
  <si>
    <t>RU0009101539</t>
  </si>
  <si>
    <t>ЗМЗ-ао</t>
  </si>
  <si>
    <t>Заволжский мотор.з-д ПАО ао</t>
  </si>
  <si>
    <t>RU0006752854</t>
  </si>
  <si>
    <t>ЗМЗ-ап</t>
  </si>
  <si>
    <t>Заволжский мотор.завод ПАО ап</t>
  </si>
  <si>
    <t>RU000A0JQ9W5</t>
  </si>
  <si>
    <t>ИКРУСС-ИНВ</t>
  </si>
  <si>
    <t>РУСС-ИНВЕСТ ИК ПАО ао</t>
  </si>
  <si>
    <t>RU0006752979</t>
  </si>
  <si>
    <t>ИРКУТ-3</t>
  </si>
  <si>
    <t>Корпорация"ИРКУТ" ПАО ак.об.-3</t>
  </si>
  <si>
    <t>RU0002155300</t>
  </si>
  <si>
    <t>Ижсталь ап</t>
  </si>
  <si>
    <t>Ижсталь ОАО ап</t>
  </si>
  <si>
    <t>RU0002155292</t>
  </si>
  <si>
    <t>Ижсталь2ао</t>
  </si>
  <si>
    <t>Ижсталь ОАО ао 2в.</t>
  </si>
  <si>
    <t>RU000A0JV7V4</t>
  </si>
  <si>
    <t>Инв-Девел</t>
  </si>
  <si>
    <t>ПАО "ИНВЕСТ-ДЕВЕЛОПМЕНТ" - ао</t>
  </si>
  <si>
    <t>RU000A0JPNM1</t>
  </si>
  <si>
    <t>ИнтерРАОао</t>
  </si>
  <si>
    <t>Интер РАО ПАО ао</t>
  </si>
  <si>
    <t>RU0008960828</t>
  </si>
  <si>
    <t>ИркЭнерго</t>
  </si>
  <si>
    <t>Иркутскэнерго(ПАО)-ао</t>
  </si>
  <si>
    <t>RU0008959580</t>
  </si>
  <si>
    <t>КАМАЗ</t>
  </si>
  <si>
    <t>КАМАЗ ПАО</t>
  </si>
  <si>
    <t>RU000A0JNHK2</t>
  </si>
  <si>
    <t>КЗМС ао</t>
  </si>
  <si>
    <t>КЗМС ОАО</t>
  </si>
  <si>
    <t>RU0006753613</t>
  </si>
  <si>
    <t>КМЗ</t>
  </si>
  <si>
    <t>Ковровский механический завод</t>
  </si>
  <si>
    <t>RU000A0D8LW9</t>
  </si>
  <si>
    <t>КСБ ао</t>
  </si>
  <si>
    <t>Костромск.сбыт.комп ПАО</t>
  </si>
  <si>
    <t>RU000A0D8PA6</t>
  </si>
  <si>
    <t>КСБ ап</t>
  </si>
  <si>
    <t>RU000A0JPGE2</t>
  </si>
  <si>
    <t>КУЗОЦМ ао</t>
  </si>
  <si>
    <t>Каменск-Уральский завод ОАО ао</t>
  </si>
  <si>
    <t>RU000A0DKZK3</t>
  </si>
  <si>
    <t>КалужскСК</t>
  </si>
  <si>
    <t>ао"Калужская сбыт.комп."ОАО</t>
  </si>
  <si>
    <t>RU0006753498</t>
  </si>
  <si>
    <t>КамчатЭ ао</t>
  </si>
  <si>
    <t>Камчатскэнерго ПАО ао</t>
  </si>
  <si>
    <t>RU0006753480</t>
  </si>
  <si>
    <t>КамчатЭ ап</t>
  </si>
  <si>
    <t>Камчатскэнерго ПАО ап</t>
  </si>
  <si>
    <t>RU000A0JNMZ0</t>
  </si>
  <si>
    <t>Квадра</t>
  </si>
  <si>
    <t>Квадра ПАО ао</t>
  </si>
  <si>
    <t>RU000A0JNNB9</t>
  </si>
  <si>
    <t>Квадра-п</t>
  </si>
  <si>
    <t>Квадра ПАО ап</t>
  </si>
  <si>
    <t>RU000A0ERNT3</t>
  </si>
  <si>
    <t>Кокс ао</t>
  </si>
  <si>
    <t>Кокс ОАО ао</t>
  </si>
  <si>
    <t>RU0002155359</t>
  </si>
  <si>
    <t>КоршГОК ао</t>
  </si>
  <si>
    <t>Коршуновский ГОК ПАО ао</t>
  </si>
  <si>
    <t>RU000A0HF1L0</t>
  </si>
  <si>
    <t>КосогМЗ ао</t>
  </si>
  <si>
    <t>Косогорский метал. завод ПАО</t>
  </si>
  <si>
    <t>RU0008913868</t>
  </si>
  <si>
    <t>КрасОкт-1п</t>
  </si>
  <si>
    <t>КрасныйОктябрь-1п</t>
  </si>
  <si>
    <t>RU0008913850</t>
  </si>
  <si>
    <t>КрасОкт-ао</t>
  </si>
  <si>
    <t>КрасныйОктябрь ОАО - ао</t>
  </si>
  <si>
    <t>RU0009085922</t>
  </si>
  <si>
    <t>КраснГЭС</t>
  </si>
  <si>
    <t>Красноярская ГЭС(ПАО) ао</t>
  </si>
  <si>
    <t>RU000A0HMLY1</t>
  </si>
  <si>
    <t>Красэсб ао</t>
  </si>
  <si>
    <t>Красноярскэнергосбыт ао</t>
  </si>
  <si>
    <t>RU000A0HMLZ8</t>
  </si>
  <si>
    <t>Красэсб ап</t>
  </si>
  <si>
    <t>Красноярскэнергосбыт ап</t>
  </si>
  <si>
    <t>RU000A0JNJ11</t>
  </si>
  <si>
    <t>КубаньЭнСб</t>
  </si>
  <si>
    <t>Кубаньэнергосбыт ОАО-ао</t>
  </si>
  <si>
    <t>RU0009046767</t>
  </si>
  <si>
    <t>Кубанэнр</t>
  </si>
  <si>
    <t>Кубаньэнерго ПАО</t>
  </si>
  <si>
    <t>RU000A0JPYD7</t>
  </si>
  <si>
    <t>КузбТК ао</t>
  </si>
  <si>
    <t>Кузбас.Топл.Комп. ПАО ао</t>
  </si>
  <si>
    <t>RU000A0JSQ66</t>
  </si>
  <si>
    <t>КузнецкийБ</t>
  </si>
  <si>
    <t>Банк "Кузнецкий" ПАО ао</t>
  </si>
  <si>
    <t>RU000A0B9BV2</t>
  </si>
  <si>
    <t>Куйбазот</t>
  </si>
  <si>
    <t>Куйбышевазот ПАО ао</t>
  </si>
  <si>
    <t>RU000A0B9BW0</t>
  </si>
  <si>
    <t>Куйбазот-п</t>
  </si>
  <si>
    <t>Куйбышевазот ПАО ап</t>
  </si>
  <si>
    <t>RU000A0JP120</t>
  </si>
  <si>
    <t>КурганГКао</t>
  </si>
  <si>
    <t>Курганская генер.комп.ПАО ао</t>
  </si>
  <si>
    <t>RU000A0JP138</t>
  </si>
  <si>
    <t>КурганГКап</t>
  </si>
  <si>
    <t>Курганская генер. комп. ПАО ап</t>
  </si>
  <si>
    <t>RU000A0JPFP0</t>
  </si>
  <si>
    <t>ЛСР ао</t>
  </si>
  <si>
    <t>Группа ЛСР ПАО ао</t>
  </si>
  <si>
    <t>RU0009024277</t>
  </si>
  <si>
    <t>ЛУКОЙЛ</t>
  </si>
  <si>
    <t>НК ЛУКОЙЛ (ПАО) - ао</t>
  </si>
  <si>
    <t>RU000A0D8MR7</t>
  </si>
  <si>
    <t>ЛЭСК ао</t>
  </si>
  <si>
    <t>Липецкая энергосбыт.ком.ОАО ао</t>
  </si>
  <si>
    <t>RU000A0JP1P7</t>
  </si>
  <si>
    <t>Лензол. ап</t>
  </si>
  <si>
    <t>Лензолото ПАО ап</t>
  </si>
  <si>
    <t>RU000A0JP1N2</t>
  </si>
  <si>
    <t>Лензолото</t>
  </si>
  <si>
    <t>Лензолото ПАО ао</t>
  </si>
  <si>
    <t>US52634T2006</t>
  </si>
  <si>
    <t>Лента др</t>
  </si>
  <si>
    <t>Лента Лтд.  др</t>
  </si>
  <si>
    <t>RU0009092134</t>
  </si>
  <si>
    <t>Ленэнерг-п</t>
  </si>
  <si>
    <t>Ленэнерго(ПАО)-ап</t>
  </si>
  <si>
    <t>RU0009034490</t>
  </si>
  <si>
    <t>Ленэнерго</t>
  </si>
  <si>
    <t>Ленэнерго(ПАО)-ао</t>
  </si>
  <si>
    <t>RU000A0JPGA0</t>
  </si>
  <si>
    <t>М.видео</t>
  </si>
  <si>
    <t>М.видео ПАО ао</t>
  </si>
  <si>
    <t>RU0009036479</t>
  </si>
  <si>
    <t>МГТС-4ап</t>
  </si>
  <si>
    <t>ПАО "МГТС" ап (4 в)</t>
  </si>
  <si>
    <t>RU0009036461</t>
  </si>
  <si>
    <t>МГТС-5ао</t>
  </si>
  <si>
    <t>ПАО "МГТС" ао (5 в)</t>
  </si>
  <si>
    <t>RU000A0JQ128</t>
  </si>
  <si>
    <t>МЕРИДИАН</t>
  </si>
  <si>
    <t>МЕРИДИАН ПАО ао</t>
  </si>
  <si>
    <t>RU000A0JUG31</t>
  </si>
  <si>
    <t>МКБ ао</t>
  </si>
  <si>
    <t>МКБ ПАО ао</t>
  </si>
  <si>
    <t>RU0009084396</t>
  </si>
  <si>
    <t>ММК</t>
  </si>
  <si>
    <t>Магнитогорск.мет.комб ОАО ао</t>
  </si>
  <si>
    <t>RU000A0ER754</t>
  </si>
  <si>
    <t>МН-фонд ао</t>
  </si>
  <si>
    <t>МН-фонд ПАО ао</t>
  </si>
  <si>
    <t>RU000A0ET7Y7</t>
  </si>
  <si>
    <t>МОЭСК</t>
  </si>
  <si>
    <t>ПАО "МОЭСК" ао</t>
  </si>
  <si>
    <t>RU000A0JPPB9</t>
  </si>
  <si>
    <t>МРСК СЗ</t>
  </si>
  <si>
    <t>МРСК Северо-Запада ао</t>
  </si>
  <si>
    <t>RU000A0JPPQ7</t>
  </si>
  <si>
    <t>МРСК СК</t>
  </si>
  <si>
    <t>МРСК Сев. Кавказа ао</t>
  </si>
  <si>
    <t>RU000A0JPPT1</t>
  </si>
  <si>
    <t>МРСК Ур</t>
  </si>
  <si>
    <t>МРСК Урала (ОАО) ао</t>
  </si>
  <si>
    <t>RU000A0JPN96</t>
  </si>
  <si>
    <t>МРСК ЦП</t>
  </si>
  <si>
    <t>МРСК Центр. и Приволж. ао</t>
  </si>
  <si>
    <t>RU000A0JPPL8</t>
  </si>
  <si>
    <t>МРСК Центр</t>
  </si>
  <si>
    <t>МРСК Центра ПАО ао</t>
  </si>
  <si>
    <t>RU000A0JPPN4</t>
  </si>
  <si>
    <t>МРСКВол</t>
  </si>
  <si>
    <t>МРСК Волги ао</t>
  </si>
  <si>
    <t>RU000A0JPPF0</t>
  </si>
  <si>
    <t>МРСКСиб</t>
  </si>
  <si>
    <t>МРСК Сибири ао</t>
  </si>
  <si>
    <t>RU000A0JPPG8</t>
  </si>
  <si>
    <t>МРСКЮга ао</t>
  </si>
  <si>
    <t>МРСК Юга ао</t>
  </si>
  <si>
    <t>RU0007775219</t>
  </si>
  <si>
    <t>МТС-ао</t>
  </si>
  <si>
    <t>Мобильные ТелеСистемы ПАО ао</t>
  </si>
  <si>
    <t>RU0006758919</t>
  </si>
  <si>
    <t>МагадЭн ао</t>
  </si>
  <si>
    <t>Магаданэнерго ПАО ао</t>
  </si>
  <si>
    <t>RU0006758893</t>
  </si>
  <si>
    <t>МагадЭн ап</t>
  </si>
  <si>
    <t>Магаданэнерго ПАО ап</t>
  </si>
  <si>
    <t>RU000A0JKQU8</t>
  </si>
  <si>
    <t>Магнит ао</t>
  </si>
  <si>
    <t>Магнит ПАО ао</t>
  </si>
  <si>
    <t>RU000A0D8K41</t>
  </si>
  <si>
    <t>МариЭнСб-п</t>
  </si>
  <si>
    <t>Мариэнергосбыт ПАО ап</t>
  </si>
  <si>
    <t>МегаФон ао</t>
  </si>
  <si>
    <t>МегаФон ПАО ао</t>
  </si>
  <si>
    <t>RU0009011126</t>
  </si>
  <si>
    <t>Мегион-ао</t>
  </si>
  <si>
    <t>ао "Славнефть-Мегионнефтегаз"</t>
  </si>
  <si>
    <t>RU0009011134</t>
  </si>
  <si>
    <t>Мегион-ап</t>
  </si>
  <si>
    <t>ап Мегионнефтегаз</t>
  </si>
  <si>
    <t>RU000A0DKXV5</t>
  </si>
  <si>
    <t>Мечел ао</t>
  </si>
  <si>
    <t>Мечел ПАО ао</t>
  </si>
  <si>
    <t>RU000A0JPV70</t>
  </si>
  <si>
    <t>Мечел ап</t>
  </si>
  <si>
    <t>Мечел ПАО ап</t>
  </si>
  <si>
    <t>RU000A0D9AJ7</t>
  </si>
  <si>
    <t>МордЭнСб</t>
  </si>
  <si>
    <t>Мордовск.энергсбыт.комп.ПАО ао</t>
  </si>
  <si>
    <t>RU0009092431</t>
  </si>
  <si>
    <t>Морион ао</t>
  </si>
  <si>
    <t>Морион ПАО ао</t>
  </si>
  <si>
    <t>RU000A0JR4A1</t>
  </si>
  <si>
    <t>МосБиржа</t>
  </si>
  <si>
    <t>ПАО Московская Биржа</t>
  </si>
  <si>
    <t>RU000A0JS7V9</t>
  </si>
  <si>
    <t>МосОблБанк</t>
  </si>
  <si>
    <t>Московский областной банк ПАО</t>
  </si>
  <si>
    <t>RU0009177331</t>
  </si>
  <si>
    <t>Мостотрест</t>
  </si>
  <si>
    <t>ПАО "МОСТОТРЕСТ" ао</t>
  </si>
  <si>
    <t>RU0006763570</t>
  </si>
  <si>
    <t>Мотовил ао</t>
  </si>
  <si>
    <t>Мотовилихинские заводы ао</t>
  </si>
  <si>
    <t>RU000A0HNRS8</t>
  </si>
  <si>
    <t>МурмТЭЦ-ао</t>
  </si>
  <si>
    <t>Мурманская ТЭЦ ПАО ао</t>
  </si>
  <si>
    <t>RU000A0HNRR0</t>
  </si>
  <si>
    <t>МурмТЭЦ-п</t>
  </si>
  <si>
    <t>Мурманская ТЭЦ ПАО ап</t>
  </si>
  <si>
    <t>RU0009100507</t>
  </si>
  <si>
    <t>НКНХ ао</t>
  </si>
  <si>
    <t>Нижнекамскнефтехим ПАО ао</t>
  </si>
  <si>
    <t>RU0006765096</t>
  </si>
  <si>
    <t>НКНХ ап</t>
  </si>
  <si>
    <t>Нижнекамскнефтехим ПАО ап</t>
  </si>
  <si>
    <t>RU000A0BLWD7</t>
  </si>
  <si>
    <t>НКХП ао</t>
  </si>
  <si>
    <t>НКХП ПАО ао</t>
  </si>
  <si>
    <t>RU0009046452</t>
  </si>
  <si>
    <t>НЛМК ао</t>
  </si>
  <si>
    <t>ПАО "НЛМК" ао</t>
  </si>
  <si>
    <t>НМТП ао</t>
  </si>
  <si>
    <t>НМТП (ПАО) ао</t>
  </si>
  <si>
    <t>RU0009115604</t>
  </si>
  <si>
    <t>Нефтекамск</t>
  </si>
  <si>
    <t>Нефтекамский автозавод ПАО ао</t>
  </si>
  <si>
    <t>RU0009100515</t>
  </si>
  <si>
    <t>Нижкамшина</t>
  </si>
  <si>
    <t>Нижнекамскшина ПАО ао</t>
  </si>
  <si>
    <t>RU000A0DKVS5</t>
  </si>
  <si>
    <t>Новатэк ао</t>
  </si>
  <si>
    <t>ПАО "НОВАТЭК" ао</t>
  </si>
  <si>
    <t>RU000A0JVBT9</t>
  </si>
  <si>
    <t>ОВК ао</t>
  </si>
  <si>
    <t>ПАО НПК ОВК ао</t>
  </si>
  <si>
    <t>RU000A0JNG55</t>
  </si>
  <si>
    <t>ОГК-2 ао</t>
  </si>
  <si>
    <t>ОГК-2 ПАО ао</t>
  </si>
  <si>
    <t>RU000A0JTQK0</t>
  </si>
  <si>
    <t>ОКС ао</t>
  </si>
  <si>
    <t>ПАО ОКС ао</t>
  </si>
  <si>
    <t>RU0009090559</t>
  </si>
  <si>
    <t>ОМЗ-ап</t>
  </si>
  <si>
    <t>ап"Объединён.  маш. заводы"</t>
  </si>
  <si>
    <t>RU0006935830</t>
  </si>
  <si>
    <t>ОМПК ао</t>
  </si>
  <si>
    <t>ОМПК ОАО ао</t>
  </si>
  <si>
    <t>RU000A0DJ9B4</t>
  </si>
  <si>
    <t>ОПИН ао</t>
  </si>
  <si>
    <t>ОПИН ПАО ао</t>
  </si>
  <si>
    <t>RU0009091268</t>
  </si>
  <si>
    <t>Омскшина</t>
  </si>
  <si>
    <t>Омскшина  (ПАО)</t>
  </si>
  <si>
    <t>RU0009089825</t>
  </si>
  <si>
    <t>ОргСинт ао</t>
  </si>
  <si>
    <t>ПАО "Органический синтез" ао</t>
  </si>
  <si>
    <t>RU0006753456</t>
  </si>
  <si>
    <t>ОргСинт ап</t>
  </si>
  <si>
    <t>ПАО "Органический синтез" ап</t>
  </si>
  <si>
    <t>RU000A0JUDK6</t>
  </si>
  <si>
    <t>Отисифарм</t>
  </si>
  <si>
    <t>Отисифарм ПАО</t>
  </si>
  <si>
    <t>RU000A0JRAF8</t>
  </si>
  <si>
    <t>ОткрФКБ ао</t>
  </si>
  <si>
    <t>ПАО ОТКРЫТИЕ ФК Банк ао</t>
  </si>
  <si>
    <t>RU000A0JP7J7</t>
  </si>
  <si>
    <t>ПИК ао</t>
  </si>
  <si>
    <t>Группа компания ПИК ПАО ао</t>
  </si>
  <si>
    <t>RU0009084487</t>
  </si>
  <si>
    <t>ПМП ао</t>
  </si>
  <si>
    <t>Прим. морск. пароходство-ао</t>
  </si>
  <si>
    <t>RU000A0JQU47</t>
  </si>
  <si>
    <t>ПРОТЕК ао</t>
  </si>
  <si>
    <t>ПРОТЕК (ПАО) ао</t>
  </si>
  <si>
    <t>RU0009083240</t>
  </si>
  <si>
    <t>ПавлАвт ао</t>
  </si>
  <si>
    <t>Павловский автобус ПАО ао</t>
  </si>
  <si>
    <t>RU000A0ET156</t>
  </si>
  <si>
    <t>ПермьЭнС-п</t>
  </si>
  <si>
    <t>Пермэнергосбыт ПАО ап</t>
  </si>
  <si>
    <t>RU000A0ET123</t>
  </si>
  <si>
    <t>ПермьЭнСб</t>
  </si>
  <si>
    <t>Пермэнергосбыт ПАО ао</t>
  </si>
  <si>
    <t>RU000A0JRPV3</t>
  </si>
  <si>
    <t>Плазмек</t>
  </si>
  <si>
    <t>Плазмек ПАО ао</t>
  </si>
  <si>
    <t>RU000A0JNAA8</t>
  </si>
  <si>
    <t>Полюс</t>
  </si>
  <si>
    <t>Полюс ПАО ао</t>
  </si>
  <si>
    <t>RU000A0DPNQ5</t>
  </si>
  <si>
    <t>Приморье</t>
  </si>
  <si>
    <t>АКБ "Приморье" ао</t>
  </si>
  <si>
    <t>RU000A0JNX47</t>
  </si>
  <si>
    <t>Промсвб ао</t>
  </si>
  <si>
    <t>Промсвязьбанк ПАО ао</t>
  </si>
  <si>
    <t>RU000A0JR6A6</t>
  </si>
  <si>
    <t>РБК ао</t>
  </si>
  <si>
    <t>РБК ПАО ао</t>
  </si>
  <si>
    <t>RU0008010855</t>
  </si>
  <si>
    <t>РГС СК ао</t>
  </si>
  <si>
    <t>Росгосстрах СК ПАО ао</t>
  </si>
  <si>
    <t>RU000A0JU6Q7</t>
  </si>
  <si>
    <t>РДБанк ао</t>
  </si>
  <si>
    <t>РоссийскийДорож Банк ПАО ао</t>
  </si>
  <si>
    <t>RU0009082291</t>
  </si>
  <si>
    <t>РН-ЗапСиб</t>
  </si>
  <si>
    <t>РН-Западная Сибирь ПАО ао</t>
  </si>
  <si>
    <t>RU000A0JP922</t>
  </si>
  <si>
    <t>РОСИНТЕРао</t>
  </si>
  <si>
    <t>РОСИНТЕР РЕСТОРАНТС (ПАО)</t>
  </si>
  <si>
    <t>RU000A0HG4P4</t>
  </si>
  <si>
    <t>Разгуляй</t>
  </si>
  <si>
    <t>Группа Разгуляй (ПАО)-ао</t>
  </si>
  <si>
    <t>RU000A0B90N8</t>
  </si>
  <si>
    <t>Распадская</t>
  </si>
  <si>
    <t>ПАО Распадская ао</t>
  </si>
  <si>
    <t>RU000A0JPX60</t>
  </si>
  <si>
    <t>Родина ап</t>
  </si>
  <si>
    <t>Родина ПАО ап</t>
  </si>
  <si>
    <t>RU000A0HHK26</t>
  </si>
  <si>
    <t>Росбанк ао</t>
  </si>
  <si>
    <t>РОСБАНК ПАО ао</t>
  </si>
  <si>
    <t>RU000A0J2Q06</t>
  </si>
  <si>
    <t>Роснефть</t>
  </si>
  <si>
    <t>ПАО НК Роснефть</t>
  </si>
  <si>
    <t>RU000A0JPVJ0</t>
  </si>
  <si>
    <t>Россети ао</t>
  </si>
  <si>
    <t>Российские сети ПАО ао</t>
  </si>
  <si>
    <t>RU000A0JPVK8</t>
  </si>
  <si>
    <t>Россети ап</t>
  </si>
  <si>
    <t>Российские сети ПАО ап</t>
  </si>
  <si>
    <t>RU0008943394</t>
  </si>
  <si>
    <t>Ростел -ао</t>
  </si>
  <si>
    <t>Ростелеком (ПАО) ао.</t>
  </si>
  <si>
    <t>RU0009046700</t>
  </si>
  <si>
    <t>Ростел -ап</t>
  </si>
  <si>
    <t>Ростелеком (ПАО) ап.</t>
  </si>
  <si>
    <t>RU000A0JQTS3</t>
  </si>
  <si>
    <t>РусАква ао</t>
  </si>
  <si>
    <t>Русская Аквакультура ПАО ао</t>
  </si>
  <si>
    <t>RU000A0JPKH7</t>
  </si>
  <si>
    <t>РусГидро</t>
  </si>
  <si>
    <t>ПАО "РусГидро"</t>
  </si>
  <si>
    <t>RU000A0JR5Z5</t>
  </si>
  <si>
    <t>Русал рдр</t>
  </si>
  <si>
    <t>РДР Юнайтед Компани РУСАЛ Плс</t>
  </si>
  <si>
    <t>RU000A0JPNP4</t>
  </si>
  <si>
    <t>Русгрэйн</t>
  </si>
  <si>
    <t>Русгрэйн Холдинг ПАО ао</t>
  </si>
  <si>
    <t>RU000A0JU1B0</t>
  </si>
  <si>
    <t>Русолово</t>
  </si>
  <si>
    <t>Русолово ПАО ао</t>
  </si>
  <si>
    <t>RU000A0JNH21</t>
  </si>
  <si>
    <t>Русполимет</t>
  </si>
  <si>
    <t>Русполимет ПАО ао</t>
  </si>
  <si>
    <t>RU000A0JSE60</t>
  </si>
  <si>
    <t>РуссНфт ао</t>
  </si>
  <si>
    <t>РуссНефть НК ПАО ао</t>
  </si>
  <si>
    <t>RU000A0D9AF5</t>
  </si>
  <si>
    <t>РязЭнСб</t>
  </si>
  <si>
    <t>Рязанская энергосб.комп ПАО</t>
  </si>
  <si>
    <t>RU0009100861</t>
  </si>
  <si>
    <t>СЗПароход</t>
  </si>
  <si>
    <t>Сев.-зап. пароходство ПАО</t>
  </si>
  <si>
    <t>RU0009100911</t>
  </si>
  <si>
    <t>СМЗ-ао</t>
  </si>
  <si>
    <t>Соликамский магн.завод(ОАО)ао</t>
  </si>
  <si>
    <t>RU0006914488</t>
  </si>
  <si>
    <t>СОЛЛЕРС</t>
  </si>
  <si>
    <t>ОАО "СОЛЛЕРС" ао</t>
  </si>
  <si>
    <t>RU0009098255</t>
  </si>
  <si>
    <t>СамарЭн-ао</t>
  </si>
  <si>
    <t>Самараэнерго (ПАО) - ао</t>
  </si>
  <si>
    <t>RU0009084495</t>
  </si>
  <si>
    <t>СамарЭн-ап</t>
  </si>
  <si>
    <t>Самараэнерго (ПАО) - ап</t>
  </si>
  <si>
    <t>RU0009100408</t>
  </si>
  <si>
    <t>СаратНПЗ</t>
  </si>
  <si>
    <t>Саратовский НПЗ ПАО ао</t>
  </si>
  <si>
    <t>RU0009100416</t>
  </si>
  <si>
    <t>СаратНПЗ-п</t>
  </si>
  <si>
    <t>Саратовский НПЗ ПАО ап</t>
  </si>
  <si>
    <t>RU0009100754</t>
  </si>
  <si>
    <t>СаратЭн-ао</t>
  </si>
  <si>
    <t>Саратовэнерго(ПАО)-ао</t>
  </si>
  <si>
    <t>RU0009100762</t>
  </si>
  <si>
    <t>СаратЭн-ап</t>
  </si>
  <si>
    <t>Саратовэнерго(ПАО)-ап</t>
  </si>
  <si>
    <t>RU0009280465</t>
  </si>
  <si>
    <t>Сахэнер ао</t>
  </si>
  <si>
    <t>ПАО "Сахалинэнерго" ао</t>
  </si>
  <si>
    <t>RU0009029540</t>
  </si>
  <si>
    <t>Сбербанк</t>
  </si>
  <si>
    <t>Сбербанк России ПАО ао</t>
  </si>
  <si>
    <t>RU0009029557</t>
  </si>
  <si>
    <t>Сбербанк-п</t>
  </si>
  <si>
    <t>Сбербанк России ПАО ап</t>
  </si>
  <si>
    <t>RU0009046510</t>
  </si>
  <si>
    <t>СевСт-ао</t>
  </si>
  <si>
    <t>Северсталь (ПАО)ао</t>
  </si>
  <si>
    <t>RU000A0JPR50</t>
  </si>
  <si>
    <t>Селигдар</t>
  </si>
  <si>
    <t>ПАО "Селигдар"  ао</t>
  </si>
  <si>
    <t>RU000A0JS2J5</t>
  </si>
  <si>
    <t>Селигдар-п</t>
  </si>
  <si>
    <t>ПАО "Селигдар" ап</t>
  </si>
  <si>
    <t>RU000A0JVA36</t>
  </si>
  <si>
    <t>СибГост ао</t>
  </si>
  <si>
    <t>Сибирский гостинец ПАО ао</t>
  </si>
  <si>
    <t>RU000A0HL5M1</t>
  </si>
  <si>
    <t>Синерг. ао</t>
  </si>
  <si>
    <t>Синергия ПАО ао</t>
  </si>
  <si>
    <t>RU000A0DQZE3</t>
  </si>
  <si>
    <t>Система ао</t>
  </si>
  <si>
    <t>АФК "Система" ПАО ао</t>
  </si>
  <si>
    <t>RU0009101927</t>
  </si>
  <si>
    <t>Слав-ЯНОСп</t>
  </si>
  <si>
    <t>Славнефть-ЯНОС (ОАО) ап</t>
  </si>
  <si>
    <t>RU0009100895</t>
  </si>
  <si>
    <t>Славн-ЯНОС</t>
  </si>
  <si>
    <t>Славнефть-ЯНОС (ОАО) ао</t>
  </si>
  <si>
    <t>RU000A0ET1W4</t>
  </si>
  <si>
    <t>СтаврЭнСб</t>
  </si>
  <si>
    <t>Ставрополэнергосбыт ПАО ао</t>
  </si>
  <si>
    <t>RU000A0ET1Z7</t>
  </si>
  <si>
    <t>СтаврЭнСбп</t>
  </si>
  <si>
    <t>Ставрополэнергосбыт ПАО ап</t>
  </si>
  <si>
    <t>RU0008926258</t>
  </si>
  <si>
    <t>Сургнфгз</t>
  </si>
  <si>
    <t>Сургутнефтегаз ОАО акции об.</t>
  </si>
  <si>
    <t>RU0009029524</t>
  </si>
  <si>
    <t>Сургнфгз-п</t>
  </si>
  <si>
    <t>Сургутнефтегаз ОАО ап</t>
  </si>
  <si>
    <t>RU000A0B9000</t>
  </si>
  <si>
    <t>ТАНТАЛ ао</t>
  </si>
  <si>
    <t>ТАНТАЛ ПАО ао</t>
  </si>
  <si>
    <t>RU000A0B9018</t>
  </si>
  <si>
    <t>ТАНТАЛ ап</t>
  </si>
  <si>
    <t>ТАНТАЛ ПАО ап</t>
  </si>
  <si>
    <t>RU000A0JNUD0</t>
  </si>
  <si>
    <t>ТГК-1</t>
  </si>
  <si>
    <t>ао ПАО "ТГК-1"</t>
  </si>
  <si>
    <t>RU000A0H1ES3</t>
  </si>
  <si>
    <t>ТГК-14</t>
  </si>
  <si>
    <t>ао ПАО "ТГК-14"</t>
  </si>
  <si>
    <t>RU000A0JNGS7</t>
  </si>
  <si>
    <t>ТГК-2</t>
  </si>
  <si>
    <t>ао ПАО "ТГК-2"</t>
  </si>
  <si>
    <t>RU000A0JNGT5</t>
  </si>
  <si>
    <t>ТГК-2 ап</t>
  </si>
  <si>
    <t>ап ПАО "ТГК-2"</t>
  </si>
  <si>
    <t>RU000A0HL7A2</t>
  </si>
  <si>
    <t>ТЗА ао</t>
  </si>
  <si>
    <t>Туймаз. завод автобетоновозов</t>
  </si>
  <si>
    <t>RU0009098123</t>
  </si>
  <si>
    <t>ТКЗКК ао</t>
  </si>
  <si>
    <t>ТКЗ Красный котельщик ОАО ао</t>
  </si>
  <si>
    <t>RU0009098131</t>
  </si>
  <si>
    <t>ТКЗКК ап</t>
  </si>
  <si>
    <t>ТКЗ Красный котельщик ОАО ап</t>
  </si>
  <si>
    <t>RU000A0B6NK6</t>
  </si>
  <si>
    <t>ТМК ао</t>
  </si>
  <si>
    <t>ПАО ТМК</t>
  </si>
  <si>
    <t>RU000A0DPG75</t>
  </si>
  <si>
    <t>ТНСэнВор-п</t>
  </si>
  <si>
    <t>ТНС энерго Воронеж ПАО ап</t>
  </si>
  <si>
    <t>RU000A0DPG67</t>
  </si>
  <si>
    <t>ТНСэнВорон</t>
  </si>
  <si>
    <t>ТНС энерго Воронеж ПАО ао</t>
  </si>
  <si>
    <t>RU000A0D8K33</t>
  </si>
  <si>
    <t>ТНСэнМарЭл</t>
  </si>
  <si>
    <t>ТНС энерго Марий Эл ПАО ао</t>
  </si>
  <si>
    <t>RU000A0ET5A1</t>
  </si>
  <si>
    <t>ТНСэнНН ао</t>
  </si>
  <si>
    <t>ТНС энерго Нижний Новг.ПАО ао</t>
  </si>
  <si>
    <t>RU000A0ET5B9</t>
  </si>
  <si>
    <t>ТНСэнНН ап</t>
  </si>
  <si>
    <t>ТНС энерго Нижний Новг.ПАО ап</t>
  </si>
  <si>
    <t>RU000A0D8PB4</t>
  </si>
  <si>
    <t>ТНСэнРст</t>
  </si>
  <si>
    <t>ТНС энерго Ростов. ПАО ао</t>
  </si>
  <si>
    <t>RU000A0D8PC2</t>
  </si>
  <si>
    <t>ТНСэнРст-п</t>
  </si>
  <si>
    <t>ТНС энерго Ростов. ПАО ап</t>
  </si>
  <si>
    <t>RU000A0D8760</t>
  </si>
  <si>
    <t>ТНСэнЯр</t>
  </si>
  <si>
    <t>ТНС энерго Ярославль ПАО ао</t>
  </si>
  <si>
    <t>RU000A0D88B3</t>
  </si>
  <si>
    <t>ТНСэнЯр-п</t>
  </si>
  <si>
    <t>ТНС энерго Ярославль ПАО ап</t>
  </si>
  <si>
    <t>RU000A0JUCQ5</t>
  </si>
  <si>
    <t>ТНСэнрг ао</t>
  </si>
  <si>
    <t>ПАО ГК "ТНС энерго" ао</t>
  </si>
  <si>
    <t>RU000A0ETZF2</t>
  </si>
  <si>
    <t>ТРК ао</t>
  </si>
  <si>
    <t>ао "Томская распределит.комп."</t>
  </si>
  <si>
    <t>RU000A0ETZM8</t>
  </si>
  <si>
    <t>ТРК ап</t>
  </si>
  <si>
    <t>ап "Томская распределит.комп."</t>
  </si>
  <si>
    <t>RU000A0D8NG8</t>
  </si>
  <si>
    <t>ТамбЭнСб</t>
  </si>
  <si>
    <t>ао"Тамбов.энергсбыт.комп."ПАО</t>
  </si>
  <si>
    <t>RU000A0D8NH6</t>
  </si>
  <si>
    <t>ТамбЭнСб-п</t>
  </si>
  <si>
    <t>ап"Тамбов.энергсбыт.комп."ПАО</t>
  </si>
  <si>
    <t>RU0009033591</t>
  </si>
  <si>
    <t>Татнфт 3ао</t>
  </si>
  <si>
    <t>ПАО "Татнефть" ао</t>
  </si>
  <si>
    <t>RU0006944147</t>
  </si>
  <si>
    <t>Татнфт 3ап</t>
  </si>
  <si>
    <t>ПАО "Татнефть" ап 3 вып.</t>
  </si>
  <si>
    <t>RU000A0HM5C1</t>
  </si>
  <si>
    <t>Таттел. ао</t>
  </si>
  <si>
    <t>Таттелеком ПАО ао</t>
  </si>
  <si>
    <t>RU0007665147</t>
  </si>
  <si>
    <t>Телеграф</t>
  </si>
  <si>
    <t>Центральный Телеграф ПАО ао</t>
  </si>
  <si>
    <t>RU0007665139</t>
  </si>
  <si>
    <t>Телеграф-п</t>
  </si>
  <si>
    <t>Центральный Телеграф ПАО ап</t>
  </si>
  <si>
    <t>RU000A0JPRX9</t>
  </si>
  <si>
    <t>ТрансК ао</t>
  </si>
  <si>
    <t>ТрансКонтейнер ПАО ао</t>
  </si>
  <si>
    <t>RU0009091573</t>
  </si>
  <si>
    <t>Транснф ап</t>
  </si>
  <si>
    <t>Транснефть ПАО акц.пр.</t>
  </si>
  <si>
    <t>RU000A0JQDF4</t>
  </si>
  <si>
    <t>УКОРФ ао</t>
  </si>
  <si>
    <t>УК Объед.резерв.фондов ПАО ао</t>
  </si>
  <si>
    <t>RU000A0JPFY2</t>
  </si>
  <si>
    <t>УрКузница</t>
  </si>
  <si>
    <t>ОАО "Уральская кузница" ао</t>
  </si>
  <si>
    <t>RU0006929536</t>
  </si>
  <si>
    <t>УралСиб ао</t>
  </si>
  <si>
    <t>БАНК УРАЛСИБ ПАО ао</t>
  </si>
  <si>
    <t>RU0007661302</t>
  </si>
  <si>
    <t>Уркалий-ао</t>
  </si>
  <si>
    <t>Уралкалий ПАО ао</t>
  </si>
  <si>
    <t>RU000A0JPNN9</t>
  </si>
  <si>
    <t>ФСК ЕЭС ао</t>
  </si>
  <si>
    <t>ФСК ЕЭС ПАО ао</t>
  </si>
  <si>
    <t>RU000A0JQ5X1</t>
  </si>
  <si>
    <t>Физика ао</t>
  </si>
  <si>
    <t>ОАО "НПО Физика" ао</t>
  </si>
  <si>
    <t>RU000A0JS2S6</t>
  </si>
  <si>
    <t>Форт ап</t>
  </si>
  <si>
    <t>Форт ОАО ап</t>
  </si>
  <si>
    <t>RU000A0JRKT8</t>
  </si>
  <si>
    <t>ФосАгро ао</t>
  </si>
  <si>
    <t>ФосАгро ПАО ао</t>
  </si>
  <si>
    <t>RU0009098990</t>
  </si>
  <si>
    <t>Химпром ао</t>
  </si>
  <si>
    <t>Химпром ПАО ао</t>
  </si>
  <si>
    <t>RU0009099006</t>
  </si>
  <si>
    <t>Химпром ап</t>
  </si>
  <si>
    <t>Химпром ПАО ап</t>
  </si>
  <si>
    <t>RU0008137070</t>
  </si>
  <si>
    <t>ЦМТ ао</t>
  </si>
  <si>
    <t>Центр междун. торговлиПАО ао</t>
  </si>
  <si>
    <t>RU0008137088</t>
  </si>
  <si>
    <t>ЦМТ ап</t>
  </si>
  <si>
    <t>Центр междун. торговлиПАО ап</t>
  </si>
  <si>
    <t>RU000A0JNST0</t>
  </si>
  <si>
    <t>ЧКПЗ ао</t>
  </si>
  <si>
    <t>ЧКПЗ ПАО ао</t>
  </si>
  <si>
    <t>RU0007665170</t>
  </si>
  <si>
    <t>ЧМК ао</t>
  </si>
  <si>
    <t>ЧМК ПАО ао</t>
  </si>
  <si>
    <t>RU0009066807</t>
  </si>
  <si>
    <t>ЧТПЗ ао</t>
  </si>
  <si>
    <t>ЧТПЗ ПАО ао</t>
  </si>
  <si>
    <t>RU0009093918</t>
  </si>
  <si>
    <t>ЧЦЗ ао</t>
  </si>
  <si>
    <t>Челябинский цинк. завод ао</t>
  </si>
  <si>
    <t>RU000A0EABG1</t>
  </si>
  <si>
    <t>ЧелябЭС ао</t>
  </si>
  <si>
    <t>Челябэнергосбыт ПАО</t>
  </si>
  <si>
    <t>RU000A0EABH9</t>
  </si>
  <si>
    <t>ЧелябЭС ап</t>
  </si>
  <si>
    <t>Челябэнергосбыт ПАО ап</t>
  </si>
  <si>
    <t>RU000A0JL4R1</t>
  </si>
  <si>
    <t>ЧеркизГ-ао</t>
  </si>
  <si>
    <t>Группа Черкизово ПАО-ао</t>
  </si>
  <si>
    <t>RU000A0JNMJ4</t>
  </si>
  <si>
    <t>ЭРКО ао</t>
  </si>
  <si>
    <t>Энерг.Рус.Компания ОАО ао</t>
  </si>
  <si>
    <t>RU000A0B66V1</t>
  </si>
  <si>
    <t>Электрцинк</t>
  </si>
  <si>
    <t>Электроцинк ОАО ао</t>
  </si>
  <si>
    <t>RU000A0F5UN3</t>
  </si>
  <si>
    <t>ЭнелРос ао</t>
  </si>
  <si>
    <t>Энел Россия ПАО</t>
  </si>
  <si>
    <t>RU0009095939</t>
  </si>
  <si>
    <t>ЭнергияРКК</t>
  </si>
  <si>
    <t>РКК Энергия им.С.П.Королева ао</t>
  </si>
  <si>
    <t>RU0007661385</t>
  </si>
  <si>
    <t>ЮТэйр ао</t>
  </si>
  <si>
    <t>Авиакомания "ЮТэйр" (ПАО) ао</t>
  </si>
  <si>
    <t>RU0004887991</t>
  </si>
  <si>
    <t>ЮУНК ао</t>
  </si>
  <si>
    <t>Южно-Уральский никел. комб. ао</t>
  </si>
  <si>
    <t>RU0005294775</t>
  </si>
  <si>
    <t>ЮжКузб. ао</t>
  </si>
  <si>
    <t>Южный Кузбасс ПАО ао</t>
  </si>
  <si>
    <t>RU000A0JNGA5</t>
  </si>
  <si>
    <t>Юнипро ао</t>
  </si>
  <si>
    <t>Юнипро ПАО ао</t>
  </si>
  <si>
    <t>RU0007796819</t>
  </si>
  <si>
    <t>ЯТЭК ао</t>
  </si>
  <si>
    <t>Якутская топл.-энерг. комп. ао</t>
  </si>
  <si>
    <t>RU0007796827</t>
  </si>
  <si>
    <t>Якутскэн-п</t>
  </si>
  <si>
    <t>АК "Якутскэнерго" (ПАО) ап</t>
  </si>
  <si>
    <t>RU0009257075</t>
  </si>
  <si>
    <t>Якутскэнрг</t>
  </si>
  <si>
    <t>АК "Якутскэнерго" (ПАО) ао</t>
  </si>
  <si>
    <t>RU000A0JTN19</t>
  </si>
  <si>
    <t>GTL ао</t>
  </si>
  <si>
    <t>ОАО "GTL" ао</t>
  </si>
  <si>
    <t>RU000A0JP4J4</t>
  </si>
  <si>
    <t>Армада</t>
  </si>
  <si>
    <t>АРМАДА ПАО ао</t>
  </si>
  <si>
    <t>RU000A0JS9K8</t>
  </si>
  <si>
    <t>ВТОРРЕСао</t>
  </si>
  <si>
    <t>ВТОРРЕСУРСЫ ПАО ао</t>
  </si>
  <si>
    <t>RU000A0JSSK8</t>
  </si>
  <si>
    <t>ГлТоргПрод</t>
  </si>
  <si>
    <t>ГлавТоргПродукт ОАО ао</t>
  </si>
  <si>
    <t>RU000A0JSVY3</t>
  </si>
  <si>
    <t>Деликатесы</t>
  </si>
  <si>
    <t>Богородские деликатесы ПАО ао</t>
  </si>
  <si>
    <t>RU000A0JULB8</t>
  </si>
  <si>
    <t>ЕТС ао</t>
  </si>
  <si>
    <t>Единые Техно Системы ПАО ао</t>
  </si>
  <si>
    <t>RU000A0JQYW5</t>
  </si>
  <si>
    <t>ИДЖАТ</t>
  </si>
  <si>
    <t>ПАО "ИДЖАТ"</t>
  </si>
  <si>
    <t>RU000A0JRUT7</t>
  </si>
  <si>
    <t>МедиаВиМ</t>
  </si>
  <si>
    <t>Медиа гр."Война и Мир" ОАО ао</t>
  </si>
  <si>
    <t>RU000A0JPWV3</t>
  </si>
  <si>
    <t>Медиахолд</t>
  </si>
  <si>
    <t>Медиахолдинг (ПАО) ао</t>
  </si>
  <si>
    <t>RU0006944105</t>
  </si>
  <si>
    <t>ТКЗ ао</t>
  </si>
  <si>
    <t>Таганрогский комб.завод ОАО ао</t>
  </si>
  <si>
    <t>RU000A0JR4D5</t>
  </si>
  <si>
    <t>ТКСМ ао</t>
  </si>
  <si>
    <t>Тучковский КСМ ао</t>
  </si>
  <si>
    <t>RU000A0JNRU0</t>
  </si>
  <si>
    <t>ТРАНСАЭРао</t>
  </si>
  <si>
    <t>ТРАНСАЭРО АК (ОАО) ао</t>
  </si>
  <si>
    <t>RU000A0JRHV0</t>
  </si>
  <si>
    <t>Ютинет.Ру</t>
  </si>
  <si>
    <t>Платформа ЮТИНЕТ.РУ ПАО - ао</t>
  </si>
  <si>
    <t>ОФЗ 24018</t>
  </si>
  <si>
    <t>Обл.федеральный займ</t>
  </si>
  <si>
    <t>RU000A0JX0J2</t>
  </si>
  <si>
    <t>ОФЗ 24019</t>
  </si>
  <si>
    <t>RU000A0JS751</t>
  </si>
  <si>
    <t>ОФЗ 25080</t>
  </si>
  <si>
    <t>ОФЗ 25081</t>
  </si>
  <si>
    <t>ОФЗ 26204</t>
  </si>
  <si>
    <t>RU000A0JREQ7</t>
  </si>
  <si>
    <t>ОФЗ 26205</t>
  </si>
  <si>
    <t>ОФЗ 26206</t>
  </si>
  <si>
    <t>RU000A0JS3W6</t>
  </si>
  <si>
    <t>ОФЗ 26207</t>
  </si>
  <si>
    <t>RU000A0JS4M5</t>
  </si>
  <si>
    <t>ОФЗ 26208</t>
  </si>
  <si>
    <t>RU000A0JSMA2</t>
  </si>
  <si>
    <t>ОФЗ 26209</t>
  </si>
  <si>
    <t>RU000A0JTG59</t>
  </si>
  <si>
    <t>ОФЗ 26210</t>
  </si>
  <si>
    <t>RU000A0JTJL3</t>
  </si>
  <si>
    <t>ОФЗ 26211</t>
  </si>
  <si>
    <t>RU000A0JTK38</t>
  </si>
  <si>
    <t>ОФЗ 26212</t>
  </si>
  <si>
    <t>RU000A0JTYA5</t>
  </si>
  <si>
    <t>ОФЗ 26214</t>
  </si>
  <si>
    <t>RU000A0JU4L3</t>
  </si>
  <si>
    <t>ОФЗ 26215</t>
  </si>
  <si>
    <t>RU000A0JU9V1</t>
  </si>
  <si>
    <t>ОФЗ 26216</t>
  </si>
  <si>
    <t>RU000A0JVW30</t>
  </si>
  <si>
    <t>ОФЗ 26217</t>
  </si>
  <si>
    <t>RU000A0JVW48</t>
  </si>
  <si>
    <t>ОФЗ 26218</t>
  </si>
  <si>
    <t>RU000A0JWM07</t>
  </si>
  <si>
    <t>ОФЗ 26219</t>
  </si>
  <si>
    <t>RU000A0JXB41</t>
  </si>
  <si>
    <t>ОФЗ 26220</t>
  </si>
  <si>
    <t>RU000A0JXFM1</t>
  </si>
  <si>
    <t>ОФЗ 26221</t>
  </si>
  <si>
    <t>RU000A0JV4L2</t>
  </si>
  <si>
    <t>ОФЗ 29006</t>
  </si>
  <si>
    <t>RU000A0JV4M0</t>
  </si>
  <si>
    <t>ОФЗ 29007</t>
  </si>
  <si>
    <t>RU000A0JV4P3</t>
  </si>
  <si>
    <t>ОФЗ 29008</t>
  </si>
  <si>
    <t>RU000A0JV4N8</t>
  </si>
  <si>
    <t>ОФЗ 29009</t>
  </si>
  <si>
    <t>RU000A0JV4Q1</t>
  </si>
  <si>
    <t>ОФЗ 29010</t>
  </si>
  <si>
    <t>ОФЗ 29011</t>
  </si>
  <si>
    <t>RU000A0JX0H6</t>
  </si>
  <si>
    <t>ОФЗ 29012</t>
  </si>
  <si>
    <t>RU0002867631</t>
  </si>
  <si>
    <t>ОФЗ 46005</t>
  </si>
  <si>
    <t>Обл.федеральный аморт.займ</t>
  </si>
  <si>
    <t>RU0002867854</t>
  </si>
  <si>
    <t>ОФЗ 46011</t>
  </si>
  <si>
    <t>RU0002868001</t>
  </si>
  <si>
    <t>ОФЗ 46012</t>
  </si>
  <si>
    <t>RU0002868076</t>
  </si>
  <si>
    <t>ОФЗ 46014</t>
  </si>
  <si>
    <t>RU000A0D0G29</t>
  </si>
  <si>
    <t>ОФЗ 46018</t>
  </si>
  <si>
    <t>RU000A0JNHJ4</t>
  </si>
  <si>
    <t>ОФЗ 46019</t>
  </si>
  <si>
    <t>RU000A0GN9A7</t>
  </si>
  <si>
    <t>ОФЗ 46020</t>
  </si>
  <si>
    <t>RU000A0JP2S9</t>
  </si>
  <si>
    <t>ОФЗ 46021</t>
  </si>
  <si>
    <t>RU000A0JPLH5</t>
  </si>
  <si>
    <t>ОФЗ 46022</t>
  </si>
  <si>
    <t>RU000A0JRTL6</t>
  </si>
  <si>
    <t>ОФЗ 46023</t>
  </si>
  <si>
    <t>RU000A0DGJ32</t>
  </si>
  <si>
    <t>ОФЗ 48001</t>
  </si>
  <si>
    <t>RU000A0JVMH1</t>
  </si>
  <si>
    <t>ОФЗ 52001</t>
  </si>
  <si>
    <t>Обл.федеральный займ с инд.ном</t>
  </si>
  <si>
    <t>XS1210016249</t>
  </si>
  <si>
    <t>BCS</t>
  </si>
  <si>
    <t>BrokerCreditService SP Plc</t>
  </si>
  <si>
    <t>XS1434175730</t>
  </si>
  <si>
    <t>BCS10/19</t>
  </si>
  <si>
    <t>BCS SP Plc 10/10/19</t>
  </si>
  <si>
    <t>XS1269959034</t>
  </si>
  <si>
    <t>BCS10/9/18</t>
  </si>
  <si>
    <t>Broker Credit Service 10/09/18</t>
  </si>
  <si>
    <t>XS1143363940</t>
  </si>
  <si>
    <t>CBOM 05/25</t>
  </si>
  <si>
    <t>CBOM Finance P.L.C. 26/05/25</t>
  </si>
  <si>
    <t>RU000A0JWGX8</t>
  </si>
  <si>
    <t>DOMO БО-03</t>
  </si>
  <si>
    <t>DOMO ОАО БО-03</t>
  </si>
  <si>
    <t>XS0767469827</t>
  </si>
  <si>
    <t>RUS-17</t>
  </si>
  <si>
    <t>ГОВОЗ РФ 12840059V (XS)</t>
  </si>
  <si>
    <t>XS0089375249</t>
  </si>
  <si>
    <t>RUS-18</t>
  </si>
  <si>
    <t>ГОВОЗ РФ МК-1-СМ-126 (XS)</t>
  </si>
  <si>
    <t>XS0564087541</t>
  </si>
  <si>
    <t>RUS-18 RUB</t>
  </si>
  <si>
    <t>ГОВОЗ РФ 49001RMFS (XS)</t>
  </si>
  <si>
    <t>XS0971721377</t>
  </si>
  <si>
    <t>RUS-19</t>
  </si>
  <si>
    <t>ГОВОЗ РФ 12840067V (XS)</t>
  </si>
  <si>
    <t>XS0504954347</t>
  </si>
  <si>
    <t>RUS-20</t>
  </si>
  <si>
    <t>ГОВОЗ РФ 12840044V (XS)</t>
  </si>
  <si>
    <t>XS0767472458</t>
  </si>
  <si>
    <t>RUS-22</t>
  </si>
  <si>
    <t>ГОВОЗ РФ 12840060V (XS)</t>
  </si>
  <si>
    <t>XS0971721450</t>
  </si>
  <si>
    <t>RUS-23</t>
  </si>
  <si>
    <t>ГОВОЗ РФ 12840068V (XS)</t>
  </si>
  <si>
    <t>RU000A0JWHA4</t>
  </si>
  <si>
    <t>RUS-26</t>
  </si>
  <si>
    <t>ГОВОЗ РФ 12840077V (RU)</t>
  </si>
  <si>
    <t>RUS-28</t>
  </si>
  <si>
    <t>ГОВОЗ РФ МК-0-СМ-119 (XS)</t>
  </si>
  <si>
    <t>XS0114288789</t>
  </si>
  <si>
    <t>RUS-30</t>
  </si>
  <si>
    <t>ГОВОЗ РФ SK-0-CM-128 (XS)</t>
  </si>
  <si>
    <t>XS0767473852</t>
  </si>
  <si>
    <t>RUS-42</t>
  </si>
  <si>
    <t>ГОВОЗ РФ 12840061V (XS)</t>
  </si>
  <si>
    <t>XS0971721963</t>
  </si>
  <si>
    <t>RUS-43</t>
  </si>
  <si>
    <t>ГОВОЗ РФ 12840069V (XS)</t>
  </si>
  <si>
    <t>RU000A0JRTS1</t>
  </si>
  <si>
    <t>Uranium 01</t>
  </si>
  <si>
    <t>Uranium One Inc. 01</t>
  </si>
  <si>
    <t>RU000A0JRTT9</t>
  </si>
  <si>
    <t>Uranium 02</t>
  </si>
  <si>
    <t>Uranium One Inc. 02</t>
  </si>
  <si>
    <t>RU000A0JUK84</t>
  </si>
  <si>
    <t>iПолиплБ01</t>
  </si>
  <si>
    <t>Полипласт АО БО-01</t>
  </si>
  <si>
    <t>RU000A0JRJN3</t>
  </si>
  <si>
    <t>iРОСНАНО 1</t>
  </si>
  <si>
    <t>РОСНАНО АО обл. 01</t>
  </si>
  <si>
    <t>RU000A0JRJP8</t>
  </si>
  <si>
    <t>iРОСНАНО 2</t>
  </si>
  <si>
    <t>РОСНАНО АО обл. 02</t>
  </si>
  <si>
    <t>RU000A0JRJQ6</t>
  </si>
  <si>
    <t>iРОСНАНО 3</t>
  </si>
  <si>
    <t>РОСНАНО АО обл. 03</t>
  </si>
  <si>
    <t>RU000A0JS6S7</t>
  </si>
  <si>
    <t>iРОСНАНО 4</t>
  </si>
  <si>
    <t>РОСНАНО АО обл. 04</t>
  </si>
  <si>
    <t>RU000A0JS6T5</t>
  </si>
  <si>
    <t>iРОСНАНО 5</t>
  </si>
  <si>
    <t>РОСНАНО АО обл. 05</t>
  </si>
  <si>
    <t>RU000A0JWK82</t>
  </si>
  <si>
    <t>iУОМЗ БО-1</t>
  </si>
  <si>
    <t>УОМЗ ПО АО БО-01</t>
  </si>
  <si>
    <t>RU000A0JW1T0</t>
  </si>
  <si>
    <t>iУОМЗ БО-3</t>
  </si>
  <si>
    <t>УОМЗ ПО АО БО-03</t>
  </si>
  <si>
    <t>RU000A0JWM49</t>
  </si>
  <si>
    <t>АВТОБАН-Ф1</t>
  </si>
  <si>
    <t>АВТОБАН-Финанс АО об. 01</t>
  </si>
  <si>
    <t>RU000A0JS1A6</t>
  </si>
  <si>
    <t>АИЖ11-1А1</t>
  </si>
  <si>
    <t>ИА АИЖК 2011-1 ЗАО кл.А1/11</t>
  </si>
  <si>
    <t>RU000A0JS1B4</t>
  </si>
  <si>
    <t>АИЖ11-1А2</t>
  </si>
  <si>
    <t>ИА АИЖК 2011-1 ЗАО кл.А2/11</t>
  </si>
  <si>
    <t>RU000A0JTCV7</t>
  </si>
  <si>
    <t>АИЖ11А1/12</t>
  </si>
  <si>
    <t>ИА АИЖК 2011-1 об.кл.А1/12</t>
  </si>
  <si>
    <t>RU000A0JUBT1</t>
  </si>
  <si>
    <t>АИЖ11А1/13</t>
  </si>
  <si>
    <t>ИА АИЖК 2011-1 об.кл.А1/13</t>
  </si>
  <si>
    <t>RU000A0JTD52</t>
  </si>
  <si>
    <t>АИЖ11А2/12</t>
  </si>
  <si>
    <t>ИА АИЖК 2011-1 об.кл.А2/12</t>
  </si>
  <si>
    <t>RU000A0JUC19</t>
  </si>
  <si>
    <t>АИЖ11А2/13</t>
  </si>
  <si>
    <t>ИА АИЖК 2011-1 об.кл.А2/13</t>
  </si>
  <si>
    <t>RU000A0JPJE6</t>
  </si>
  <si>
    <t>АИЖК 10об</t>
  </si>
  <si>
    <t>АИЖК (АО) обл. сер.А10</t>
  </si>
  <si>
    <t>RU000A0JPLU8</t>
  </si>
  <si>
    <t>АИЖК 11об</t>
  </si>
  <si>
    <t>АИЖК (АО) обл. сер. А11</t>
  </si>
  <si>
    <t>RU000A0JQAG8</t>
  </si>
  <si>
    <t>АИЖК 13об</t>
  </si>
  <si>
    <t>АИЖК (АО) обл. сер. А13</t>
  </si>
  <si>
    <t>RU000A0JQAL8</t>
  </si>
  <si>
    <t>АИЖК 14об</t>
  </si>
  <si>
    <t>АИЖК (АО) обл. сер. А14</t>
  </si>
  <si>
    <t>RU000A0JQAM6</t>
  </si>
  <si>
    <t>АИЖК 15об</t>
  </si>
  <si>
    <t>АИЖК (АО) обл. сер. А15</t>
  </si>
  <si>
    <t>RU000A0JQXG0</t>
  </si>
  <si>
    <t>АИЖК 16об</t>
  </si>
  <si>
    <t>АИЖК (АО) обл. сер. А16</t>
  </si>
  <si>
    <t>RU000A0JR5F7</t>
  </si>
  <si>
    <t>АИЖК 17об</t>
  </si>
  <si>
    <t>АИЖК (АО) обл. сер.А17</t>
  </si>
  <si>
    <t>RU000A0JRDY3</t>
  </si>
  <si>
    <t>АИЖК 18об</t>
  </si>
  <si>
    <t>АИЖК (АО) обл. сер.А18</t>
  </si>
  <si>
    <t>RU000A0JRF37</t>
  </si>
  <si>
    <t>АИЖК 19об</t>
  </si>
  <si>
    <t>АИЖК (АО) обл. сер.А19</t>
  </si>
  <si>
    <t>RU000A0JR6S8</t>
  </si>
  <si>
    <t>АИЖК 20об</t>
  </si>
  <si>
    <t>АИЖК (АО) обл. сер.А20</t>
  </si>
  <si>
    <t>RU000A0JS488</t>
  </si>
  <si>
    <t>АИЖК 21об</t>
  </si>
  <si>
    <t>АИЖК (АО) обл. сер.А21</t>
  </si>
  <si>
    <t>RU000A0JS5S9</t>
  </si>
  <si>
    <t>АИЖК 22об</t>
  </si>
  <si>
    <t>АИЖК (АО) обл. сер.А22</t>
  </si>
  <si>
    <t>RU000A0JRYW3</t>
  </si>
  <si>
    <t>АИЖК 23об</t>
  </si>
  <si>
    <t>АИЖК (АО) обл. сер.А23</t>
  </si>
  <si>
    <t>RU000A0JTDX1</t>
  </si>
  <si>
    <t>АИЖК 24об</t>
  </si>
  <si>
    <t>АИЖК (АО) обл. сер.А24</t>
  </si>
  <si>
    <t>RU000A0JTW83</t>
  </si>
  <si>
    <t>АИЖК 25об</t>
  </si>
  <si>
    <t>АИЖК (АО) обл. сер.А25</t>
  </si>
  <si>
    <t>RU000A0JTZF1</t>
  </si>
  <si>
    <t>АИЖК 26об</t>
  </si>
  <si>
    <t>АИЖК (АО) обл. сер.А26</t>
  </si>
  <si>
    <t>RU000A0JTYR9</t>
  </si>
  <si>
    <t>АИЖК 27об</t>
  </si>
  <si>
    <t>АИЖК (АО) обл. сер.А27</t>
  </si>
  <si>
    <t>RU000A0JUM82</t>
  </si>
  <si>
    <t>АИЖК 28об</t>
  </si>
  <si>
    <t>АИЖК (АО) обл. сер. А28</t>
  </si>
  <si>
    <t>RU000A0JUKB0</t>
  </si>
  <si>
    <t>АИЖК 29об</t>
  </si>
  <si>
    <t>АИЖК (АО) обл. сер. А29</t>
  </si>
  <si>
    <t>RU000A0JUKX4</t>
  </si>
  <si>
    <t>АИЖК 30об</t>
  </si>
  <si>
    <t>АИЖК (АО) обл. сер. А30</t>
  </si>
  <si>
    <t>RU000A0JV4R9</t>
  </si>
  <si>
    <t>АИЖК 31об</t>
  </si>
  <si>
    <t>АИЖК (АО) обл. сер. А31</t>
  </si>
  <si>
    <t>RU000A0JNPK5</t>
  </si>
  <si>
    <t>АИЖК 8об</t>
  </si>
  <si>
    <t>АИЖК (АО) обл. сер.А8</t>
  </si>
  <si>
    <t>RU000A0JUMQ4</t>
  </si>
  <si>
    <t>АИЖК БО-02</t>
  </si>
  <si>
    <t>АИЖК (АО) БО-02</t>
  </si>
  <si>
    <t>RU000A0JVCJ8</t>
  </si>
  <si>
    <t>АИЖК БО-03</t>
  </si>
  <si>
    <t>АИЖК (АО) БО-03</t>
  </si>
  <si>
    <t>RU000A0JVT50</t>
  </si>
  <si>
    <t>АИЖК БО-04</t>
  </si>
  <si>
    <t>АИЖК (АО) БО-04</t>
  </si>
  <si>
    <t>RU000A0JX2R1</t>
  </si>
  <si>
    <t>АИЖК БО-05</t>
  </si>
  <si>
    <t>АИЖК (АО) БО-05</t>
  </si>
  <si>
    <t>RU000A0JQY35</t>
  </si>
  <si>
    <t>АИЖК-10 А2</t>
  </si>
  <si>
    <t>ИА АИЖК 2010-1 об.кл.А2</t>
  </si>
  <si>
    <t>RU000A0JRMW8</t>
  </si>
  <si>
    <t>АИЖК-11 А2</t>
  </si>
  <si>
    <t>ИА АИЖК 2011-2 об.кл.А2</t>
  </si>
  <si>
    <t>RU000A0JSKJ7</t>
  </si>
  <si>
    <t>АИЖК-12 А2</t>
  </si>
  <si>
    <t>ИА АИЖК 2012-1 об.кл.А2</t>
  </si>
  <si>
    <t>RU000A0JU3G5</t>
  </si>
  <si>
    <t>АИЖК-13 А1</t>
  </si>
  <si>
    <t>ИА АИЖК 2013-1 об.кл.А1</t>
  </si>
  <si>
    <t>RU000A0JU3J9</t>
  </si>
  <si>
    <t>АИЖК-13 А2</t>
  </si>
  <si>
    <t>ИА АИЖК 2013-1 об.кл.А2</t>
  </si>
  <si>
    <t>RU000A0JV8H1</t>
  </si>
  <si>
    <t>АИЖК14-2А1</t>
  </si>
  <si>
    <t>ИА АИЖК 2014-2 кл.А1</t>
  </si>
  <si>
    <t>RU000A0JV7G5</t>
  </si>
  <si>
    <t>АИЖК14-2А2</t>
  </si>
  <si>
    <t>ИА АИЖК 2014-2 кл.А2</t>
  </si>
  <si>
    <t>RU000A0JV755</t>
  </si>
  <si>
    <t>АИЖК14-2А3</t>
  </si>
  <si>
    <t>ИА АИЖК 2014-2 кл.А3</t>
  </si>
  <si>
    <t>RU000A0JV1C7</t>
  </si>
  <si>
    <t>АИЖК14-3А1</t>
  </si>
  <si>
    <t>ИА АИЖК 2014-3 А1</t>
  </si>
  <si>
    <t>RU000A0JV1B9</t>
  </si>
  <si>
    <t>АИЖК14-3А2</t>
  </si>
  <si>
    <t>ИА АИЖК 2014-3 А2</t>
  </si>
  <si>
    <t>RU000A0JUJ61</t>
  </si>
  <si>
    <t>АИЖК2014А2</t>
  </si>
  <si>
    <t>ИА АИЖК 2014-1 А2</t>
  </si>
  <si>
    <t>RU000A0JUJ87</t>
  </si>
  <si>
    <t>АИЖК2014А3</t>
  </si>
  <si>
    <t>ИА АИЖК 2014-1 А3</t>
  </si>
  <si>
    <t>RU000A0JW1B8</t>
  </si>
  <si>
    <t>АбсолБO1P1</t>
  </si>
  <si>
    <t>Абсолют Банк АКБ БО-001P-01</t>
  </si>
  <si>
    <t>RU000A0JW506</t>
  </si>
  <si>
    <t>АбсолБO1P2</t>
  </si>
  <si>
    <t>Абсолют Банк АКБ БО-001P-02</t>
  </si>
  <si>
    <t>RU000A0JWF71</t>
  </si>
  <si>
    <t>АбсолютБC1</t>
  </si>
  <si>
    <t>Абсолют Банк АКБ (ПАО) C01</t>
  </si>
  <si>
    <t>RU000A0JTXR1</t>
  </si>
  <si>
    <t>АбсолютБО3</t>
  </si>
  <si>
    <t>Абсолют Банк АКБ (ПАО) БО-03</t>
  </si>
  <si>
    <t>RU000A0JVD41</t>
  </si>
  <si>
    <t>АбсолютБО5</t>
  </si>
  <si>
    <t>Абсолют Банк АКБ (ПАО) БО-05</t>
  </si>
  <si>
    <t>RU000A0JUW56</t>
  </si>
  <si>
    <t>АванАгро 1</t>
  </si>
  <si>
    <t>Авангард-Агро АО 01 об.</t>
  </si>
  <si>
    <t>RU000A0JW7D1</t>
  </si>
  <si>
    <t>АвнгрдБ1Р1</t>
  </si>
  <si>
    <t>Авангард АКБ ПАО БО-001Р-01</t>
  </si>
  <si>
    <t>RU000A0JX009</t>
  </si>
  <si>
    <t>Автодор1P1</t>
  </si>
  <si>
    <t>Автодор ГК БО-001P-01</t>
  </si>
  <si>
    <t>RU000A0JW118</t>
  </si>
  <si>
    <t>Агронова01</t>
  </si>
  <si>
    <t>Агронова-Л ООО 01 об.</t>
  </si>
  <si>
    <t>RU000A0JV417</t>
  </si>
  <si>
    <t>АкБарс-БО4</t>
  </si>
  <si>
    <t>АК БАРС БАНК (ПАО) БО-04</t>
  </si>
  <si>
    <t>RU000A0JRHF3</t>
  </si>
  <si>
    <t>Акрон 04</t>
  </si>
  <si>
    <t>Акрон (ПАО) об. сер. 04</t>
  </si>
  <si>
    <t>RU000A0JRHG1</t>
  </si>
  <si>
    <t>Акрон 05</t>
  </si>
  <si>
    <t>Акрон (ПАО) об. сер. 05</t>
  </si>
  <si>
    <t>RU000A0JWV89</t>
  </si>
  <si>
    <t>Акрон Б1P1</t>
  </si>
  <si>
    <t>Акрон (ПАО) БО-001P-01</t>
  </si>
  <si>
    <t>RU000A0JVYE3</t>
  </si>
  <si>
    <t>Акрон БО-2</t>
  </si>
  <si>
    <t>Акрон (ПАО) БО-02</t>
  </si>
  <si>
    <t>RU000A0JVYF0</t>
  </si>
  <si>
    <t>Акрон БО-3</t>
  </si>
  <si>
    <t>Акрон (ПАО) БО-03</t>
  </si>
  <si>
    <t>RU000A0JUB02</t>
  </si>
  <si>
    <t>АльфаБО-05</t>
  </si>
  <si>
    <t>Альфа-Банк АО обл. БО-05</t>
  </si>
  <si>
    <t>RU000A0JUNM1</t>
  </si>
  <si>
    <t>АльфаБО-10</t>
  </si>
  <si>
    <t>Альфа-Банк АО обл. БО-10</t>
  </si>
  <si>
    <t>RU000A0JUQA9</t>
  </si>
  <si>
    <t>АльфаБО-11</t>
  </si>
  <si>
    <t>Альфа-Банк АО обл. БО-11</t>
  </si>
  <si>
    <t>RU000A0JWCL2</t>
  </si>
  <si>
    <t>АльфаБО-12</t>
  </si>
  <si>
    <t>Альфа-Банк АО обл. БО-12</t>
  </si>
  <si>
    <t>RU000A0JUU90</t>
  </si>
  <si>
    <t>АльфаБО-13</t>
  </si>
  <si>
    <t>Альфа-Банк АО обл. БО-13</t>
  </si>
  <si>
    <t>RU000A0JUUA1</t>
  </si>
  <si>
    <t>АльфаБО-14</t>
  </si>
  <si>
    <t>Альфа-Банк АО обл. БО-14</t>
  </si>
  <si>
    <t>RU000A0JV0U1</t>
  </si>
  <si>
    <t>АльфаБО-15</t>
  </si>
  <si>
    <t>Альфа-Банк АО обл. БО-15</t>
  </si>
  <si>
    <t>RU000A0JWPV3</t>
  </si>
  <si>
    <t>АльфаБО-16</t>
  </si>
  <si>
    <t>Альфа-Банк АО обл. БО-16</t>
  </si>
  <si>
    <t>RU000A0JWUX9</t>
  </si>
  <si>
    <t>АльфаБО-17</t>
  </si>
  <si>
    <t>Альфа-Банк АО обл. БО-17</t>
  </si>
  <si>
    <t>АльфаБО-18</t>
  </si>
  <si>
    <t>Альфа-Банк АО обл. БО-18</t>
  </si>
  <si>
    <t>RU000A0JVEY3</t>
  </si>
  <si>
    <t>Апт36и6БО3</t>
  </si>
  <si>
    <t>ПАО "Аптечная сеть 36,6" БО-3</t>
  </si>
  <si>
    <t>RU000A0JUJW8</t>
  </si>
  <si>
    <t>АрчерФин01</t>
  </si>
  <si>
    <t>Арчер Финанс ООО об.01</t>
  </si>
  <si>
    <t>RU000A0JW159</t>
  </si>
  <si>
    <t>АтомэнпБО1</t>
  </si>
  <si>
    <t>Атомэнергопром АО БО-01</t>
  </si>
  <si>
    <t>RU000A0JX1V5</t>
  </si>
  <si>
    <t>АтомэнпБО2</t>
  </si>
  <si>
    <t>Атомэнергопром АО БО-02</t>
  </si>
  <si>
    <t>RU000A0JVLD2</t>
  </si>
  <si>
    <t>АтомэнпБО6</t>
  </si>
  <si>
    <t>Атомэнергопром АО БО-06</t>
  </si>
  <si>
    <t>RU000A0JW167</t>
  </si>
  <si>
    <t>АтомэнпБО7</t>
  </si>
  <si>
    <t>Атомэнергопром АО БО-07</t>
  </si>
  <si>
    <t>RU000A0JW175</t>
  </si>
  <si>
    <t>АтомэнпБО8</t>
  </si>
  <si>
    <t>Атомэнергопром АО БО-08</t>
  </si>
  <si>
    <t>RU000A0JUQC5</t>
  </si>
  <si>
    <t>АшинМЗ БО1</t>
  </si>
  <si>
    <t>Ашинский метзавод ПАО БО-01</t>
  </si>
  <si>
    <t>RU000A0JWL32</t>
  </si>
  <si>
    <t>БКЕ Б-1P-1</t>
  </si>
  <si>
    <t>БуроваяКомп Евразия БО-001P-1</t>
  </si>
  <si>
    <t>RU000A0JV3U5</t>
  </si>
  <si>
    <t>БКЗФин 01</t>
  </si>
  <si>
    <t>БКЗ Финанс ООО об. 01</t>
  </si>
  <si>
    <t>RU000A0JUQ13</t>
  </si>
  <si>
    <t>БалтЛиз1</t>
  </si>
  <si>
    <t>Балтийский лизинг ООО 01</t>
  </si>
  <si>
    <t>RU000A0JUQ21</t>
  </si>
  <si>
    <t>БалтЛиз2</t>
  </si>
  <si>
    <t>Балтийский лизинг ООО 02</t>
  </si>
  <si>
    <t>RU000A0JV8U4</t>
  </si>
  <si>
    <t>БалтЛизБО1</t>
  </si>
  <si>
    <t>Балтийский лизинг ООО БО-01</t>
  </si>
  <si>
    <t>RU000A0JVRM0</t>
  </si>
  <si>
    <t>БалтЛизБО2</t>
  </si>
  <si>
    <t>Балтийский лизинг ООО БО-02</t>
  </si>
  <si>
    <t>RU000A0JVLH3</t>
  </si>
  <si>
    <t>БалтЛизБО3</t>
  </si>
  <si>
    <t>Балтийский лизинг ООО БО-03</t>
  </si>
  <si>
    <t>RU000A0JU7N2</t>
  </si>
  <si>
    <t>БанкСОЮЗ06</t>
  </si>
  <si>
    <t>СОЮЗ Банк (АО) с.06</t>
  </si>
  <si>
    <t>RU000A0JVVS9</t>
  </si>
  <si>
    <t>Башкор10об</t>
  </si>
  <si>
    <t>Республика Башкортостан 34010</t>
  </si>
  <si>
    <t>RU000A0JU674</t>
  </si>
  <si>
    <t>Башкорт8об</t>
  </si>
  <si>
    <t>Республика Башкортостан 34008</t>
  </si>
  <si>
    <t>RU000A0JUWT7</t>
  </si>
  <si>
    <t>Башкорт9об</t>
  </si>
  <si>
    <t>Республика Башкортостан 34009</t>
  </si>
  <si>
    <t>RU000A0JS3U0</t>
  </si>
  <si>
    <t>Башнефть04</t>
  </si>
  <si>
    <t>ПАО "АНК "Башнефть" об. 04</t>
  </si>
  <si>
    <t>RU000A0JTM28</t>
  </si>
  <si>
    <t>Башнефть06</t>
  </si>
  <si>
    <t>ПАО "АНК "Башнефть" об. 06</t>
  </si>
  <si>
    <t>RU000A0JTM36</t>
  </si>
  <si>
    <t>Башнефть07</t>
  </si>
  <si>
    <t>ПАО "АНК "Башнефть" об. 07</t>
  </si>
  <si>
    <t>RU000A0JTM44</t>
  </si>
  <si>
    <t>Башнефть08</t>
  </si>
  <si>
    <t>ПАО "АНК "Башнефть" об. 08</t>
  </si>
  <si>
    <t>RU000A0JTM51</t>
  </si>
  <si>
    <t>Башнефть09</t>
  </si>
  <si>
    <t>ПАО "АНК "Башнефть" об. 09</t>
  </si>
  <si>
    <t>RU000A0JX2P5</t>
  </si>
  <si>
    <t>БашнфБ1P1R</t>
  </si>
  <si>
    <t>ПАО "АНК "Башнефть"БО-001P-01R</t>
  </si>
  <si>
    <t>RU000A0JX2X9</t>
  </si>
  <si>
    <t>БашнфБ1P2R</t>
  </si>
  <si>
    <t>ПАО "АНК "Башнефть"БО-001P-02R</t>
  </si>
  <si>
    <t>RU000A0JX9X4</t>
  </si>
  <si>
    <t>БашнфБ1P3R</t>
  </si>
  <si>
    <t>ПАО "АНК "Башнефть"БО-001P-03R</t>
  </si>
  <si>
    <t>RU000A0JX2Q3</t>
  </si>
  <si>
    <t>БашнфтБО10</t>
  </si>
  <si>
    <t>ПАО "АНК "Башнефть" БО-10</t>
  </si>
  <si>
    <t>RU000A0JWH87</t>
  </si>
  <si>
    <t>БашнфтБО2</t>
  </si>
  <si>
    <t>ПАО "АНК "Башнефть" БО-02</t>
  </si>
  <si>
    <t>RU000A0JVEQ9</t>
  </si>
  <si>
    <t>БашнфтБО3</t>
  </si>
  <si>
    <t>ПАО "АНК "Башнефть" БО-03</t>
  </si>
  <si>
    <t>RU000A0JVFD4</t>
  </si>
  <si>
    <t>БашнфтБО4</t>
  </si>
  <si>
    <t>ПАО "АНК "Башнефть" БО-04</t>
  </si>
  <si>
    <t>RU000A0JUML5</t>
  </si>
  <si>
    <t>БашнфтБО5</t>
  </si>
  <si>
    <t>ПАО "АНК "Башнефть" БО-05</t>
  </si>
  <si>
    <t>RU000A0JWGC2</t>
  </si>
  <si>
    <t>БашнфтБО6</t>
  </si>
  <si>
    <t>ПАО "АНК "Башнефть" БО-06</t>
  </si>
  <si>
    <t>RU000A0JVHF5</t>
  </si>
  <si>
    <t>БашнфтБО7</t>
  </si>
  <si>
    <t>ПАО "АНК "Башнефть" БО-07</t>
  </si>
  <si>
    <t>RU000A0JWGD0</t>
  </si>
  <si>
    <t>БашнфтБО8</t>
  </si>
  <si>
    <t>ПАО "АНК "Башнефть" БО-08</t>
  </si>
  <si>
    <t>RU000A0JWX04</t>
  </si>
  <si>
    <t>БашнфтБО9</t>
  </si>
  <si>
    <t>ПАО "АНК "Башнефть" БО-09</t>
  </si>
  <si>
    <t>RU000A0JSRL8</t>
  </si>
  <si>
    <t>БелгОб2012</t>
  </si>
  <si>
    <t>Белгородская обл.2012 обл.</t>
  </si>
  <si>
    <t>RU000A0JU286</t>
  </si>
  <si>
    <t>БелгОб2013</t>
  </si>
  <si>
    <t>Белгородская обл.2013 обл.</t>
  </si>
  <si>
    <t>RU000A0JUQB7</t>
  </si>
  <si>
    <t>БелгОб2014</t>
  </si>
  <si>
    <t>Белгородская обл.2014 обл.</t>
  </si>
  <si>
    <t>RU000A0JVL33</t>
  </si>
  <si>
    <t>БелгОб2015</t>
  </si>
  <si>
    <t>Белгородская обл.2015 обл.</t>
  </si>
  <si>
    <t>RU000A0JWKB6</t>
  </si>
  <si>
    <t>БелгОб2016</t>
  </si>
  <si>
    <t>Белгородская обл.2016 обл.</t>
  </si>
  <si>
    <t>RU000A0JV3T7</t>
  </si>
  <si>
    <t>БизнКонс 1</t>
  </si>
  <si>
    <t>Бизнес Консалтинг ООО 01</t>
  </si>
  <si>
    <t>RU000A0JVBF8</t>
  </si>
  <si>
    <t>БизнКонсБ1</t>
  </si>
  <si>
    <t>Бизнес Консалтинг ООО БО-01</t>
  </si>
  <si>
    <t>RU000A0JU0N7</t>
  </si>
  <si>
    <t>БинбанкБ02</t>
  </si>
  <si>
    <t>БИНБАНК ПАО БО-02</t>
  </si>
  <si>
    <t>RU000A0JRZ74</t>
  </si>
  <si>
    <t>БинбанкБ03</t>
  </si>
  <si>
    <t>БИНБАНК ПАО БО-03</t>
  </si>
  <si>
    <t>RU000A0JUFP0</t>
  </si>
  <si>
    <t>БинбанкБ04</t>
  </si>
  <si>
    <t>БИНБАНК ПАО БО-04</t>
  </si>
  <si>
    <t>RU000A0JV1D5</t>
  </si>
  <si>
    <t>БинбанкБ05</t>
  </si>
  <si>
    <t>БИНБАНК ПАО БО-05</t>
  </si>
  <si>
    <t>RU000A0JV5R6</t>
  </si>
  <si>
    <t>БинбанкБ06</t>
  </si>
  <si>
    <t>БИНБАНК ПАО БО-06</t>
  </si>
  <si>
    <t>RU000A0JV5U0</t>
  </si>
  <si>
    <t>БинбанкБ07</t>
  </si>
  <si>
    <t>БИНБАНК ПАО БО-07</t>
  </si>
  <si>
    <t>RU000A0JUFQ8</t>
  </si>
  <si>
    <t>БинбанкБ08</t>
  </si>
  <si>
    <t>БИНБАНК ПАО БО-08</t>
  </si>
  <si>
    <t>RU000A0JVBN2</t>
  </si>
  <si>
    <t>БинбанкБ09</t>
  </si>
  <si>
    <t>БИНБАНК ПАО БО-09</t>
  </si>
  <si>
    <t>RU000A0JVFS2</t>
  </si>
  <si>
    <t>БинбанкБ10</t>
  </si>
  <si>
    <t>БИНБАНК ПАО БО-10</t>
  </si>
  <si>
    <t>RU000A0JVFX2</t>
  </si>
  <si>
    <t>БинбанкБ11</t>
  </si>
  <si>
    <t>БИНБАНК ПАО БО-11</t>
  </si>
  <si>
    <t>RU000A0JVGJ9</t>
  </si>
  <si>
    <t>БинбанкБ12</t>
  </si>
  <si>
    <t>БИНБАНК ПАО БО-12</t>
  </si>
  <si>
    <t>RU000A0JVGK7</t>
  </si>
  <si>
    <t>БинбанкБ13</t>
  </si>
  <si>
    <t>БИНБАНК ПАО БО-13</t>
  </si>
  <si>
    <t>RU000A0JVBS1</t>
  </si>
  <si>
    <t>БинбанкБ14</t>
  </si>
  <si>
    <t>БИНБАНК ПАО БО-14</t>
  </si>
  <si>
    <t>RU000A0JXM48</t>
  </si>
  <si>
    <t>БинбанкБП1</t>
  </si>
  <si>
    <t>БИНБАНК ПАО БО-П01</t>
  </si>
  <si>
    <t>RU000A0JUD00</t>
  </si>
  <si>
    <t>ВСИА2012 А</t>
  </si>
  <si>
    <t>Вост.-Сиб.ипот.агент 2012 кл.А</t>
  </si>
  <si>
    <t>RU000A0JUD34</t>
  </si>
  <si>
    <t>ВСИА2012 Б</t>
  </si>
  <si>
    <t>Вост.-Сиб.ипот.агент 2012 кл.Б</t>
  </si>
  <si>
    <t>RU000A0JUQE1</t>
  </si>
  <si>
    <t>ВТБ БО-26</t>
  </si>
  <si>
    <t>Банк ВТБ (ПАО) БО-26</t>
  </si>
  <si>
    <t>RU000A0JV3Q3</t>
  </si>
  <si>
    <t>ВТБ БО-30</t>
  </si>
  <si>
    <t>Банк ВТБ (ПАО) БО-30</t>
  </si>
  <si>
    <t>RU000A0JU773</t>
  </si>
  <si>
    <t>ВТБ БО-43</t>
  </si>
  <si>
    <t>Банк ВТБ (ПАО) БО-43</t>
  </si>
  <si>
    <t>RU000A0JQZ67</t>
  </si>
  <si>
    <t>ВТБ ЛизФ08</t>
  </si>
  <si>
    <t>ВТБ Лизинг Финанс об. 08</t>
  </si>
  <si>
    <t>RU000A0JQZ75</t>
  </si>
  <si>
    <t>ВТБ ЛизФ09</t>
  </si>
  <si>
    <t>ВТБ Лизинг Финанс об. 09</t>
  </si>
  <si>
    <t>RU000A0JRSW5</t>
  </si>
  <si>
    <t>ВТБ24 2ИПА</t>
  </si>
  <si>
    <t>ВТБ 24 об. 2-ИП класса "А"</t>
  </si>
  <si>
    <t>RU000A0JRSX3</t>
  </si>
  <si>
    <t>ВТБ24 2ИПБ</t>
  </si>
  <si>
    <t>ВТБ 24 об. 2-ИП класса "Б"</t>
  </si>
  <si>
    <t>RU000A0JSZF3</t>
  </si>
  <si>
    <t>ВТБ24 3ИПА</t>
  </si>
  <si>
    <t>ВТБ 24 об. 3-ИП класса "А"</t>
  </si>
  <si>
    <t>RU000A0JSZG1</t>
  </si>
  <si>
    <t>ВТБ24 3ИПБ</t>
  </si>
  <si>
    <t>ВТБ 24 об. 3-ИП класса "Б"</t>
  </si>
  <si>
    <t>RU000A0JTXP5</t>
  </si>
  <si>
    <t>ВТБ24 4ИПА</t>
  </si>
  <si>
    <t>ВТБ 24 об. 4-ИП класса "А"</t>
  </si>
  <si>
    <t>RU000A0JTXQ3</t>
  </si>
  <si>
    <t>ВТБ24 4ИПБ</t>
  </si>
  <si>
    <t>ВТБ 24 об. 4-ИП класса "Б"</t>
  </si>
  <si>
    <t>RU000A0JUCH4</t>
  </si>
  <si>
    <t>ВТБ24 5ИПА</t>
  </si>
  <si>
    <t>ВТБ24 5-ИП  класса "А"</t>
  </si>
  <si>
    <t>RU000A0JUCJ0</t>
  </si>
  <si>
    <t>ВТБ24 5ИПБ</t>
  </si>
  <si>
    <t>ВТБ24 5-ИП  класса "Б"</t>
  </si>
  <si>
    <t>RU000A0JUPS3</t>
  </si>
  <si>
    <t>ВТБ24 6ИПА</t>
  </si>
  <si>
    <t>ВТБ24 6-ИП  класса "А"</t>
  </si>
  <si>
    <t>RU000A0JUPT1</t>
  </si>
  <si>
    <t>ВТБ24 6ИПБ</t>
  </si>
  <si>
    <t>ВТБ24 6-ИП  класса "Б"</t>
  </si>
  <si>
    <t>RU000A0JV1E3</t>
  </si>
  <si>
    <t>ВТБ24 7ИПА</t>
  </si>
  <si>
    <t>ВТБ24 7-ИП  класса "А"</t>
  </si>
  <si>
    <t>RU000A0JV1F0</t>
  </si>
  <si>
    <t>ВТБ24 7ИПБ</t>
  </si>
  <si>
    <t>ВТБ24 7-ИП  класса "Б"</t>
  </si>
  <si>
    <t>RU000A0JV441</t>
  </si>
  <si>
    <t>ВТБЛизФБО1</t>
  </si>
  <si>
    <t>ВТБ Лизинг Финанс БО-01</t>
  </si>
  <si>
    <t>RU000A0JUSQ1</t>
  </si>
  <si>
    <t>ВТБЛизФБО2</t>
  </si>
  <si>
    <t>ВТБ Лизинг Финанс БО-2</t>
  </si>
  <si>
    <t>RU000A0JV458</t>
  </si>
  <si>
    <t>ВТБЛизФБО3</t>
  </si>
  <si>
    <t>ВТБ Лизинг Финанс БО-03</t>
  </si>
  <si>
    <t>RU000A0JURL4</t>
  </si>
  <si>
    <t>ВТБЛизФБО4</t>
  </si>
  <si>
    <t>ВТБ Лизинг Финанс БО-4</t>
  </si>
  <si>
    <t>RU000A0JV466</t>
  </si>
  <si>
    <t>ВТБЛизФБО5</t>
  </si>
  <si>
    <t>ВТБ Лизинг Финанс БО-05</t>
  </si>
  <si>
    <t>RU000A0JV474</t>
  </si>
  <si>
    <t>ВТБЛизФБО6</t>
  </si>
  <si>
    <t>ВТБ Лизинг Финанс БО-06</t>
  </si>
  <si>
    <t>RU000A0JV482</t>
  </si>
  <si>
    <t>ВТБЛизФБО7</t>
  </si>
  <si>
    <t>ВТБ Лизинг Финанс БО-07</t>
  </si>
  <si>
    <t>RU000A0JV110</t>
  </si>
  <si>
    <t>ВТБЛизФБО8</t>
  </si>
  <si>
    <t>ВТБ Лизинг Финанс БО-8</t>
  </si>
  <si>
    <t>RU000A0JW3R0</t>
  </si>
  <si>
    <t>ВТОРРЕС Б1</t>
  </si>
  <si>
    <t>ВТОРРЕСУРСЫ ПАО БО-01</t>
  </si>
  <si>
    <t>RU000A0JR3H8</t>
  </si>
  <si>
    <t>ВЭБ 06</t>
  </si>
  <si>
    <t>Внешэкономбанк об. сер. 06</t>
  </si>
  <si>
    <t>RU000A0JR3G0</t>
  </si>
  <si>
    <t>ВЭБ 08</t>
  </si>
  <si>
    <t>Внешэкономбанк об. сер. 08</t>
  </si>
  <si>
    <t>RU000A0JRCX7</t>
  </si>
  <si>
    <t>ВЭБ 09</t>
  </si>
  <si>
    <t>Внешэкономбанк об. сер. 09</t>
  </si>
  <si>
    <t>RU000A0JRTN2</t>
  </si>
  <si>
    <t>ВЭБ 10</t>
  </si>
  <si>
    <t>Внешэкономбанк об. сер. 10</t>
  </si>
  <si>
    <t>RU000A0JT403</t>
  </si>
  <si>
    <t>ВЭБ 18</t>
  </si>
  <si>
    <t>Внешэкономбанк об. сер. 18</t>
  </si>
  <si>
    <t>RU000A0JT6B2</t>
  </si>
  <si>
    <t>ВЭБ 19</t>
  </si>
  <si>
    <t>Внешэкономбанк об. сер. 19</t>
  </si>
  <si>
    <t>RU000A0JS4Z7</t>
  </si>
  <si>
    <t>ВЭБ 21</t>
  </si>
  <si>
    <t>Внешэкономбанк об. сер. 21</t>
  </si>
  <si>
    <t>RU000A0JUBA1</t>
  </si>
  <si>
    <t>ВЭБ 31</t>
  </si>
  <si>
    <t>Внешэкономбанк об. сер. 31</t>
  </si>
  <si>
    <t>RU000A0JV0D7</t>
  </si>
  <si>
    <t>ВЭБ Б02</t>
  </si>
  <si>
    <t>Внешэкономбанк БО-02</t>
  </si>
  <si>
    <t>RU000A0JVLV4</t>
  </si>
  <si>
    <t>ВЭБ Б03</t>
  </si>
  <si>
    <t>Внешэкономбанк БО-03</t>
  </si>
  <si>
    <t>RU000A0JUD83</t>
  </si>
  <si>
    <t>ВЭБ Б04</t>
  </si>
  <si>
    <t>Внешэкономбанк БО-04</t>
  </si>
  <si>
    <t>RU000A0JVQA7</t>
  </si>
  <si>
    <t>ВЭБ Б05</t>
  </si>
  <si>
    <t>Внешэкономбанк БО-05</t>
  </si>
  <si>
    <t>RU000A0JUTB1</t>
  </si>
  <si>
    <t>ВЭБ Б11</t>
  </si>
  <si>
    <t>Внешэкономбанк БО-11</t>
  </si>
  <si>
    <t>RU000A0JU6K0</t>
  </si>
  <si>
    <t>ВЭБ Б14</t>
  </si>
  <si>
    <t>Внешэкономбанк БО-14</t>
  </si>
  <si>
    <t>RU000A0JW6P7</t>
  </si>
  <si>
    <t>ВЭБ ПБО1Р1</t>
  </si>
  <si>
    <t>Внешэкономбанк ПБО-001Р-01</t>
  </si>
  <si>
    <t>RU000A0JWG96</t>
  </si>
  <si>
    <t>ВЭБ ПБО1Р2</t>
  </si>
  <si>
    <t>Внешэкономбанк ПБО-001Р-02</t>
  </si>
  <si>
    <t>RU000A0JWNE4</t>
  </si>
  <si>
    <t>ВЭБ ПБО1Р3</t>
  </si>
  <si>
    <t>Внешэкономбанк ПБО-001Р-03 USD</t>
  </si>
  <si>
    <t>RU000A0JWNJ3</t>
  </si>
  <si>
    <t>ВЭБ ПБО1Р4</t>
  </si>
  <si>
    <t>Внешэкономбанк ПБО-001Р-04</t>
  </si>
  <si>
    <t>RU000A0JX4Q9</t>
  </si>
  <si>
    <t>ВЭБ ПБО1Р5</t>
  </si>
  <si>
    <t>Внешэкономбанк ПБО-001Р-05</t>
  </si>
  <si>
    <t>RU000A0JVNL1</t>
  </si>
  <si>
    <t>ВЭБUSD1P-1</t>
  </si>
  <si>
    <t>ВЭБ-лизинг USD-001P-01</t>
  </si>
  <si>
    <t>RU000A0JTQS3</t>
  </si>
  <si>
    <t>ВЭБЛиз 10</t>
  </si>
  <si>
    <t>ВЭБ-лизинг АО об. 10</t>
  </si>
  <si>
    <t>RU000A0JTQU9</t>
  </si>
  <si>
    <t>ВЭБЛиз 11</t>
  </si>
  <si>
    <t>ВЭБ-лизинг АО об. 11</t>
  </si>
  <si>
    <t>RU000A0JU9S7</t>
  </si>
  <si>
    <t>ВЭБЛиз 12</t>
  </si>
  <si>
    <t>ВЭБ-лизинг АО об. 12</t>
  </si>
  <si>
    <t>RU000A0JU9T5</t>
  </si>
  <si>
    <t>ВЭБЛиз 13</t>
  </si>
  <si>
    <t>ВЭБ-лизинг АО об. 13</t>
  </si>
  <si>
    <t>RU000A0JVRV1</t>
  </si>
  <si>
    <t>ВЭБлиз2Р-1</t>
  </si>
  <si>
    <t>ВЭБ-лизинг АО 002-Р-01</t>
  </si>
  <si>
    <t>RU000A0JUEE7</t>
  </si>
  <si>
    <t>ВЭБлизБ01</t>
  </si>
  <si>
    <t>ВЭБ-лизинг АО БО-01</t>
  </si>
  <si>
    <t>RU000A0JVER7</t>
  </si>
  <si>
    <t>ВЭБлизБ02</t>
  </si>
  <si>
    <t>ВЭБ-лизинг АО БО-02</t>
  </si>
  <si>
    <t>RU000A0JVKC6</t>
  </si>
  <si>
    <t>ВЭБлизБ03</t>
  </si>
  <si>
    <t>ВЭБ-лизинг АО БО-03</t>
  </si>
  <si>
    <t>RU000A0JV8D0</t>
  </si>
  <si>
    <t>ВЭБлизБ04</t>
  </si>
  <si>
    <t>ВЭБ-лизинг АО БО-04</t>
  </si>
  <si>
    <t>RU000A0JV8G3</t>
  </si>
  <si>
    <t>ВЭБлизБ05</t>
  </si>
  <si>
    <t>ВЭБ-лизинг АО БО-05</t>
  </si>
  <si>
    <t>RU000A0JV9D8</t>
  </si>
  <si>
    <t>ВЭБлизБ06</t>
  </si>
  <si>
    <t>ВЭБ-лизинг АО БО-06</t>
  </si>
  <si>
    <t>RU000A0JV9H9</t>
  </si>
  <si>
    <t>ВЭБлизБ07</t>
  </si>
  <si>
    <t>ВЭБ-лизинг АО БО-07</t>
  </si>
  <si>
    <t>RU000A0JVQQ3</t>
  </si>
  <si>
    <t>ВЭБлизБ09</t>
  </si>
  <si>
    <t>ВЭБ-лизинг АО БО-09</t>
  </si>
  <si>
    <t>RU000A0JREW5</t>
  </si>
  <si>
    <t>ВЭБлизинг3</t>
  </si>
  <si>
    <t>ВЭБ-лизинг АО об. 03</t>
  </si>
  <si>
    <t>RU000A0JREX3</t>
  </si>
  <si>
    <t>ВЭБлизинг4</t>
  </si>
  <si>
    <t>ВЭБ-лизинг АО об. 04</t>
  </si>
  <si>
    <t>RU000A0JREZ8</t>
  </si>
  <si>
    <t>ВЭБлизинг5</t>
  </si>
  <si>
    <t>ВЭБ-лизинг АО об. 05</t>
  </si>
  <si>
    <t>RU000A0JRUY7</t>
  </si>
  <si>
    <t>ВЭБлизинг8</t>
  </si>
  <si>
    <t>ВЭБ-лизинг АО об. 08</t>
  </si>
  <si>
    <t>RU000A0JRV52</t>
  </si>
  <si>
    <t>ВЭБлизинг9</t>
  </si>
  <si>
    <t>ВЭБ-лизинг АО об. 09</t>
  </si>
  <si>
    <t>RU000A0JUHV4</t>
  </si>
  <si>
    <t>ВейлФин1</t>
  </si>
  <si>
    <t>Вейл Финанс ООО 01 обл.</t>
  </si>
  <si>
    <t>RU000A0JTWT9</t>
  </si>
  <si>
    <t>ВерЦемЗав1</t>
  </si>
  <si>
    <t>Верхбак цемент завод ОАО 1об.</t>
  </si>
  <si>
    <t>RU000A0JW3A6</t>
  </si>
  <si>
    <t>ВертолетБ1</t>
  </si>
  <si>
    <t>Вертолеты России об. БО-01</t>
  </si>
  <si>
    <t>RU000A0JUAT3</t>
  </si>
  <si>
    <t>ВертолетБ2</t>
  </si>
  <si>
    <t>Вертолеты России об. БО-02</t>
  </si>
  <si>
    <t>RU000A0JTW26</t>
  </si>
  <si>
    <t>Вертолеты1</t>
  </si>
  <si>
    <t>Вертолеты России об. 01</t>
  </si>
  <si>
    <t>RU000A0JTW34</t>
  </si>
  <si>
    <t>Вертолеты2</t>
  </si>
  <si>
    <t>Вертолеты России об. 02</t>
  </si>
  <si>
    <t>RU000A0JS1S8</t>
  </si>
  <si>
    <t>Веста 01</t>
  </si>
  <si>
    <t>ПАО Веста сер.01</t>
  </si>
  <si>
    <t>RU000A0JU6P9</t>
  </si>
  <si>
    <t>ВлгОб35004</t>
  </si>
  <si>
    <t>Волгоградская обл. 35004 обл.</t>
  </si>
  <si>
    <t>RU000A0JUP89</t>
  </si>
  <si>
    <t>ВлгОб35005</t>
  </si>
  <si>
    <t>Волгоградская обл. 35005 обл.</t>
  </si>
  <si>
    <t>RU000A0JVU65</t>
  </si>
  <si>
    <t>ВлгОб35006</t>
  </si>
  <si>
    <t>Волгоградская обл. 35006 обл.</t>
  </si>
  <si>
    <t>RU000A0JRJC6</t>
  </si>
  <si>
    <t>ВолгСпорт1</t>
  </si>
  <si>
    <t>Волга-Спорт АО обл. 01</t>
  </si>
  <si>
    <t>RU000A0JT593</t>
  </si>
  <si>
    <t>ВолгСпорт2</t>
  </si>
  <si>
    <t>Волга-Спорт АО обл. 02</t>
  </si>
  <si>
    <t>RU000A0JS7P1</t>
  </si>
  <si>
    <t>ВолгогОб11</t>
  </si>
  <si>
    <t>Волгоградская обл. 35008 обл.</t>
  </si>
  <si>
    <t>RU000A0JTXF6</t>
  </si>
  <si>
    <t>ВолгогОб12</t>
  </si>
  <si>
    <t>Волгоградская обл. 35003 обл.</t>
  </si>
  <si>
    <t>RU000A0JSVC9</t>
  </si>
  <si>
    <t>Волгогр 06</t>
  </si>
  <si>
    <t>городск. займ Волгограда 34006</t>
  </si>
  <si>
    <t>RU000A0JUWU5</t>
  </si>
  <si>
    <t>Волгогр 07</t>
  </si>
  <si>
    <t>городск. займ Волгограда 34007</t>
  </si>
  <si>
    <t>RU000A0JVVR1</t>
  </si>
  <si>
    <t>Волгогр 08</t>
  </si>
  <si>
    <t>городск. займ Волгограда 34008</t>
  </si>
  <si>
    <t>RU000A0JV3M2</t>
  </si>
  <si>
    <t>Волжск2014</t>
  </si>
  <si>
    <t>г.Волжский Волгогр.обл. 2014</t>
  </si>
  <si>
    <t>RU000A0JTF68</t>
  </si>
  <si>
    <t>ВологодОб3</t>
  </si>
  <si>
    <t>Вологодская обл. 34003 обл.</t>
  </si>
  <si>
    <t>RU000A0JTG34</t>
  </si>
  <si>
    <t>ВоронежОб5</t>
  </si>
  <si>
    <t>Воронежская обл.05обл.</t>
  </si>
  <si>
    <t>RU000A0JUWK6</t>
  </si>
  <si>
    <t>ВоронежОб7</t>
  </si>
  <si>
    <t>Воронежская обл.07обл.</t>
  </si>
  <si>
    <t>RU000A0JV102</t>
  </si>
  <si>
    <t>ВостЭксБ 3</t>
  </si>
  <si>
    <t>Вост.ЭкспрессБанк ПАО об.3</t>
  </si>
  <si>
    <t>RU000A0JTMJ1</t>
  </si>
  <si>
    <t>ВостЭксБ-2</t>
  </si>
  <si>
    <t>Вост.ЭкспрессБанк ПАО об.02</t>
  </si>
  <si>
    <t>RU000A0JU146</t>
  </si>
  <si>
    <t>ВостЭксБО7</t>
  </si>
  <si>
    <t>Вост.ЭкспрессБанк ПАО об.БО-07</t>
  </si>
  <si>
    <t>RU000A0JU823</t>
  </si>
  <si>
    <t>ВржОб34006</t>
  </si>
  <si>
    <t>Воронежская обл. 34006 обл.</t>
  </si>
  <si>
    <t>RU000A0JVUN2</t>
  </si>
  <si>
    <t>ВымпелКБО2</t>
  </si>
  <si>
    <t>Вымпел-Коммуникации ПАО БО-02</t>
  </si>
  <si>
    <t>RU000A0JVUP7</t>
  </si>
  <si>
    <t>ВымпелКБО3</t>
  </si>
  <si>
    <t>Вымпел-Коммуникации ПАО БО-03</t>
  </si>
  <si>
    <t>RU000A0JS5E9</t>
  </si>
  <si>
    <t>ВымпелКом1</t>
  </si>
  <si>
    <t>Вымпел-Коммуникации ПАО обл.01</t>
  </si>
  <si>
    <t>RU000A0JS5M2</t>
  </si>
  <si>
    <t>ВымпелКом2</t>
  </si>
  <si>
    <t>Вымпел-Коммуникации ПАО обл.02</t>
  </si>
  <si>
    <t>RU000A0JS5F6</t>
  </si>
  <si>
    <t>ВымпелКом4</t>
  </si>
  <si>
    <t>Вымпел-Коммуникации ПАО обл.04</t>
  </si>
  <si>
    <t>RU000A0JXJE0</t>
  </si>
  <si>
    <t>ГИДРОМАШБ1</t>
  </si>
  <si>
    <t>ГИДРОМАШСЕРВИС АО БО-01</t>
  </si>
  <si>
    <t>RU000A0JV1H6</t>
  </si>
  <si>
    <t>ГПБ 1-ИП-А</t>
  </si>
  <si>
    <t>ГПБ (АО) 1-ИП класса А</t>
  </si>
  <si>
    <t>RU000A0JV1N4</t>
  </si>
  <si>
    <t>ГПБ 1-ИП-Б</t>
  </si>
  <si>
    <t>ГПБ (АО) 1-ИП класса Б</t>
  </si>
  <si>
    <t>RU000A0JT6D8</t>
  </si>
  <si>
    <t>ГПБ 10</t>
  </si>
  <si>
    <t>ГПБ (АО) об. сер.10</t>
  </si>
  <si>
    <t>RU000A0JT6G1</t>
  </si>
  <si>
    <t>ГПБ 11</t>
  </si>
  <si>
    <t>ГПБ (АО) об. сер.11</t>
  </si>
  <si>
    <t>RU000A0JT6J5</t>
  </si>
  <si>
    <t>ГПБ 12</t>
  </si>
  <si>
    <t>ГПБ (АО) об. сер.12</t>
  </si>
  <si>
    <t>RU000A0JW5K0</t>
  </si>
  <si>
    <t>ГПБ 2-ИП</t>
  </si>
  <si>
    <t>ГПБ (АО) 2-ИП</t>
  </si>
  <si>
    <t>RU000A0JU7Y9</t>
  </si>
  <si>
    <t>ГПБ БО-07</t>
  </si>
  <si>
    <t>ГПБ (АО) БО-07</t>
  </si>
  <si>
    <t>RU000A0JUMH3</t>
  </si>
  <si>
    <t>ГПБ БО-08</t>
  </si>
  <si>
    <t>ГПБ (АО) БО-08</t>
  </si>
  <si>
    <t>RU000A0JUQ39</t>
  </si>
  <si>
    <t>ГПБ БО-09</t>
  </si>
  <si>
    <t>ГПБ (АО) БО-09</t>
  </si>
  <si>
    <t>RU000A0JUV08</t>
  </si>
  <si>
    <t>ГПБ БО-10</t>
  </si>
  <si>
    <t>ГПБ (АО) БО-10</t>
  </si>
  <si>
    <t>RU000A0JWTK8</t>
  </si>
  <si>
    <t>ГПБ БО-11</t>
  </si>
  <si>
    <t>ГПБ (АО) БО-11</t>
  </si>
  <si>
    <t>RU000A0JX0P9</t>
  </si>
  <si>
    <t>ГПБ БО-12</t>
  </si>
  <si>
    <t>ГПБ (АО) БО-12</t>
  </si>
  <si>
    <t>RU000A0JV7W2</t>
  </si>
  <si>
    <t>ГПБ БО-20</t>
  </si>
  <si>
    <t>ГПБ (АО) БО-20</t>
  </si>
  <si>
    <t>RU000A0JW9R7</t>
  </si>
  <si>
    <t>ГПБ БО-21</t>
  </si>
  <si>
    <t>ГПБ (АО) БО-21</t>
  </si>
  <si>
    <t>RU000A0JWE56</t>
  </si>
  <si>
    <t>ГПБ БО-22</t>
  </si>
  <si>
    <t>ГПБ (АО) БО-22</t>
  </si>
  <si>
    <t>RU000A0JXHQ8</t>
  </si>
  <si>
    <t>ГПБ БО-23</t>
  </si>
  <si>
    <t>ГПБ (АО) БО-23</t>
  </si>
  <si>
    <t>RU000A0JXM22</t>
  </si>
  <si>
    <t>ГПБАэро 02</t>
  </si>
  <si>
    <t>ГПБ Аэрофинанс обл. 02</t>
  </si>
  <si>
    <t>RU000A0JV433</t>
  </si>
  <si>
    <t>ГСС БО-04</t>
  </si>
  <si>
    <t>Гражд.Самол.Сухого АО БО-04</t>
  </si>
  <si>
    <t>RU000A0JVF64</t>
  </si>
  <si>
    <t>ГСС БО-05</t>
  </si>
  <si>
    <t>Гражд.Самол.Сухого АО БО-05</t>
  </si>
  <si>
    <t>RU000A0JTKB2</t>
  </si>
  <si>
    <t>ГТЛК 01</t>
  </si>
  <si>
    <t>ГосТранспортЛизингКомп об. 01</t>
  </si>
  <si>
    <t>RU000A0JTKM9</t>
  </si>
  <si>
    <t>ГТЛК 02</t>
  </si>
  <si>
    <t>ГосТранспортЛизингКомп об. 02</t>
  </si>
  <si>
    <t>RU000A0JWTV5</t>
  </si>
  <si>
    <t>ГТЛК 1P-01</t>
  </si>
  <si>
    <t>ГосТранспортЛизингКомп 001P-01</t>
  </si>
  <si>
    <t>RU000A0JX199</t>
  </si>
  <si>
    <t>ГТЛК 1P-02</t>
  </si>
  <si>
    <t>ГосТранспортЛизингКомп 001P-02</t>
  </si>
  <si>
    <t>RU000A0JXE06</t>
  </si>
  <si>
    <t>ГТЛК 1P-03</t>
  </si>
  <si>
    <t>ГосТранспортЛизингКомп 001P-03</t>
  </si>
  <si>
    <t>RU000A0JU5S5</t>
  </si>
  <si>
    <t>ГТЛК БО-01</t>
  </si>
  <si>
    <t>ГосТранспортЛизингКомп БО-01</t>
  </si>
  <si>
    <t>RU000A0JU609</t>
  </si>
  <si>
    <t>ГТЛК БО-02</t>
  </si>
  <si>
    <t>ГосТранспортЛизингКомп БО-02</t>
  </si>
  <si>
    <t>RU000A0JV375</t>
  </si>
  <si>
    <t>ГТЛК БО-03</t>
  </si>
  <si>
    <t>ГосТранспортЛизингКомп БО-03</t>
  </si>
  <si>
    <t>RU000A0JVA10</t>
  </si>
  <si>
    <t>ГТЛК БО-04</t>
  </si>
  <si>
    <t>ГосТранспортЛизингКомп БО-04</t>
  </si>
  <si>
    <t>RU000A0JVWD9</t>
  </si>
  <si>
    <t>ГТЛК БО-05</t>
  </si>
  <si>
    <t>ГосТранспортЛизингКомп БО-05</t>
  </si>
  <si>
    <t>RU000A0JVWJ6</t>
  </si>
  <si>
    <t>ГТЛК БО-06</t>
  </si>
  <si>
    <t>ГосТранспортЛизингКомп БО-06</t>
  </si>
  <si>
    <t>RU000A0JW1P8</t>
  </si>
  <si>
    <t>ГТЛК БО-07</t>
  </si>
  <si>
    <t>ГосТранспортЛизингКомп БО-07</t>
  </si>
  <si>
    <t>RU000A0JWST1</t>
  </si>
  <si>
    <t>ГТЛК БО-08</t>
  </si>
  <si>
    <t>ГосТранспортЛизингКомп БО-08</t>
  </si>
  <si>
    <t>RU000A0JR878</t>
  </si>
  <si>
    <t>Газпрнеф10</t>
  </si>
  <si>
    <t>Газпром нефть ПАО 10 об</t>
  </si>
  <si>
    <t>RU000A0JTDY9</t>
  </si>
  <si>
    <t>Газпрнеф12</t>
  </si>
  <si>
    <t>Газпром нефть ПАО 12 об</t>
  </si>
  <si>
    <t>RU000A0JWRE5</t>
  </si>
  <si>
    <t>ГазпрнефБ1</t>
  </si>
  <si>
    <t>Газпром нефть ПАО БО-01</t>
  </si>
  <si>
    <t>RU000A0JWB67</t>
  </si>
  <si>
    <t>ГазпрнефБ2</t>
  </si>
  <si>
    <t>Газпром нефть ПАО БО-02</t>
  </si>
  <si>
    <t>RU000A0JWK41</t>
  </si>
  <si>
    <t>ГазпрнефБ3</t>
  </si>
  <si>
    <t>Газпром нефть ПАО БО-03</t>
  </si>
  <si>
    <t>RU000A0JWRF2</t>
  </si>
  <si>
    <t>ГазпрнефБ4</t>
  </si>
  <si>
    <t>Газпром нефть ПАО БО-04</t>
  </si>
  <si>
    <t>RU000A0JWB75</t>
  </si>
  <si>
    <t>ГазпрнефБ7</t>
  </si>
  <si>
    <t>Газпром нефть ПАО БО-07</t>
  </si>
  <si>
    <t>RU000A0JQ557</t>
  </si>
  <si>
    <t>Газпрнефт4</t>
  </si>
  <si>
    <t>Газпром нефть ПАО 04 об</t>
  </si>
  <si>
    <t>RU000A0JUAN6</t>
  </si>
  <si>
    <t>ГазпромБ19</t>
  </si>
  <si>
    <t>Газпром ПАО БО-19</t>
  </si>
  <si>
    <t>RU000A0JUAP1</t>
  </si>
  <si>
    <t>ГазпромБ20</t>
  </si>
  <si>
    <t>Газпром ПАО БО-20</t>
  </si>
  <si>
    <t>RU000A0JTNB6</t>
  </si>
  <si>
    <t>ГазпромК04</t>
  </si>
  <si>
    <t>Газпром капитал ООО сер.04</t>
  </si>
  <si>
    <t>RU000A0JXFS8</t>
  </si>
  <si>
    <t>ГазпромКБ5</t>
  </si>
  <si>
    <t>Газпром капитал ООО БО-05</t>
  </si>
  <si>
    <t>RU000A0JXFY6</t>
  </si>
  <si>
    <t>ГазпромКБ6</t>
  </si>
  <si>
    <t>Газпром капитал ООО БО-06</t>
  </si>
  <si>
    <t>RU000A0JU807</t>
  </si>
  <si>
    <t>ГеотекС 1</t>
  </si>
  <si>
    <t>ГЕОТЕК Сейсм (ПАО) обл.01</t>
  </si>
  <si>
    <t>RU000A0JR4U9</t>
  </si>
  <si>
    <t>ГлДорога 3</t>
  </si>
  <si>
    <t>Главная дорога ОАО об.сер. 03</t>
  </si>
  <si>
    <t>RU000A0JTFB2</t>
  </si>
  <si>
    <t>ГлДорога 6</t>
  </si>
  <si>
    <t>Главная дорога ОАО об.сер. 06</t>
  </si>
  <si>
    <t>RU000A0JTB96</t>
  </si>
  <si>
    <t>ГлДорога 7</t>
  </si>
  <si>
    <t>Главная дорога ОАО об.сер. 07</t>
  </si>
  <si>
    <t>RU000A0JUD42</t>
  </si>
  <si>
    <t>ГлобэксБО9</t>
  </si>
  <si>
    <t>АО "ГЛОБЭКСБАНК" об.БО-9</t>
  </si>
  <si>
    <t>RU000A0JWYW3</t>
  </si>
  <si>
    <t>ДОК-15 01</t>
  </si>
  <si>
    <t>ООО "ДОК-15" 01</t>
  </si>
  <si>
    <t>RU000A0JVZB6</t>
  </si>
  <si>
    <t>ДелоПортс1</t>
  </si>
  <si>
    <t>ДелоПортс ООО 01</t>
  </si>
  <si>
    <t>RU000A0JWUB5</t>
  </si>
  <si>
    <t>ДельтКрБ12</t>
  </si>
  <si>
    <t>КБ ДельтаКредит АО БО-12</t>
  </si>
  <si>
    <t>RU000A0JVWA5</t>
  </si>
  <si>
    <t>ДельтКрБ19</t>
  </si>
  <si>
    <t>КБ ДельтаКредит АО БО-19</t>
  </si>
  <si>
    <t>RU000A0JWGS8</t>
  </si>
  <si>
    <t>ДельтКрБ20</t>
  </si>
  <si>
    <t>КБ ДельтаКредит АО БО-20</t>
  </si>
  <si>
    <t>RU000A0JVNB2</t>
  </si>
  <si>
    <t>ДельтКрБ25</t>
  </si>
  <si>
    <t>КБ ДельтаКредит АО БО-25</t>
  </si>
  <si>
    <t>RU000A0JWNB0</t>
  </si>
  <si>
    <t>ДельтКрБ26</t>
  </si>
  <si>
    <t>КБ ДельтаКредит АО БО-26</t>
  </si>
  <si>
    <t>RU000A0JUN65</t>
  </si>
  <si>
    <t>ДельтКрБО1</t>
  </si>
  <si>
    <t>КБ ДельтаКредит АО БО-01</t>
  </si>
  <si>
    <t>RU000A0JS6M0</t>
  </si>
  <si>
    <t>ДельтКрБО5</t>
  </si>
  <si>
    <t>КБ ДельтаКредит АО БО-05</t>
  </si>
  <si>
    <t>RU000A0JULS2</t>
  </si>
  <si>
    <t>ДельтКрБО6</t>
  </si>
  <si>
    <t>КБ ДельтаКредит АО БО-06</t>
  </si>
  <si>
    <t>RU000A0JVTA1</t>
  </si>
  <si>
    <t>ДельтКрБО7</t>
  </si>
  <si>
    <t>КБ ДельтаКредит АО БО-07</t>
  </si>
  <si>
    <t>RU000A0JVUY9</t>
  </si>
  <si>
    <t>ДельтКрБО8</t>
  </si>
  <si>
    <t>КБ ДельтаКредит АО БО-08</t>
  </si>
  <si>
    <t>RU000A0JTF43</t>
  </si>
  <si>
    <t>Дельта09ИП</t>
  </si>
  <si>
    <t>КБ ДельтаКредит АО обл.09-ИП</t>
  </si>
  <si>
    <t>RU000A0JU0A4</t>
  </si>
  <si>
    <t>Дельта10ИП</t>
  </si>
  <si>
    <t>КБ ДельтаКредит АО обл.10-ИП</t>
  </si>
  <si>
    <t>RU000A0JU4X8</t>
  </si>
  <si>
    <t>Дельта12ИП</t>
  </si>
  <si>
    <t>КБ ДельтаКредит АО обл.12-ИП</t>
  </si>
  <si>
    <t>RU000A0JUV81</t>
  </si>
  <si>
    <t>Дельта13ИП</t>
  </si>
  <si>
    <t>КБ ДельтаКредит АО обл.13-ИП</t>
  </si>
  <si>
    <t>RU000A0JUJG1</t>
  </si>
  <si>
    <t>Дельта14ИП</t>
  </si>
  <si>
    <t>КБ ДельтаКредит АО обл.14-ИП</t>
  </si>
  <si>
    <t>RU000A0JUW23</t>
  </si>
  <si>
    <t>Дельта15ИП</t>
  </si>
  <si>
    <t>КБ ДельтаКредит АО обл.15-ИП</t>
  </si>
  <si>
    <t>RU000A0JV7T8</t>
  </si>
  <si>
    <t>Дельта16ИП</t>
  </si>
  <si>
    <t>КБ ДельтаКредит АО обл.16-ИП</t>
  </si>
  <si>
    <t>RU000A0JWBN0</t>
  </si>
  <si>
    <t>Дельта17ИП</t>
  </si>
  <si>
    <t>КБ ДельтаКредит АО обл.17-ИП</t>
  </si>
  <si>
    <t>RU000A0JWZT6</t>
  </si>
  <si>
    <t>Дельта18ИП</t>
  </si>
  <si>
    <t>КБ ДельтаКредит АО обл.18-ИП</t>
  </si>
  <si>
    <t>RU000A0JWB59</t>
  </si>
  <si>
    <t>Держава 03</t>
  </si>
  <si>
    <t>АКБ "Держава" 03</t>
  </si>
  <si>
    <t>RU000A0JU0B2</t>
  </si>
  <si>
    <t>ДержаваБ01</t>
  </si>
  <si>
    <t>АКБ "Держава" БО-01</t>
  </si>
  <si>
    <t>RU000A0JVCL4</t>
  </si>
  <si>
    <t>ДиджИнв 01</t>
  </si>
  <si>
    <t>ООО "Диджитал Инвест" 01 об.</t>
  </si>
  <si>
    <t>RU000A0JVW55</t>
  </si>
  <si>
    <t>ДиджИнвБ01</t>
  </si>
  <si>
    <t>ООО "Диджитал Инвест" БО-01</t>
  </si>
  <si>
    <t>RU000A0JVX62</t>
  </si>
  <si>
    <t>ДиджИнвБ02</t>
  </si>
  <si>
    <t>ООО "Диджитал Инвест" БО-02</t>
  </si>
  <si>
    <t>RU000A0JW8X7</t>
  </si>
  <si>
    <t>ДиджИнвБ03</t>
  </si>
  <si>
    <t>ООО "Диджитал Инвест" БО-03</t>
  </si>
  <si>
    <t>RU000A0JWCP3</t>
  </si>
  <si>
    <t>ДиджИнвБ04</t>
  </si>
  <si>
    <t>ООО "Диджитал Инвест" БО-04</t>
  </si>
  <si>
    <t>RU000A0JWCU3</t>
  </si>
  <si>
    <t>ДиджИнвБ05</t>
  </si>
  <si>
    <t>ООО "Диджитал Инвест" БО-05</t>
  </si>
  <si>
    <t>RU000A0JWD65</t>
  </si>
  <si>
    <t>ДиджИнвБ06</t>
  </si>
  <si>
    <t>ООО "Диджитал Инвест" БО-06</t>
  </si>
  <si>
    <t>RU000A0JWD73</t>
  </si>
  <si>
    <t>ДиджИнвБ07</t>
  </si>
  <si>
    <t>ООО "Диджитал Инвест" БО-07</t>
  </si>
  <si>
    <t>RU000A0JU8S9</t>
  </si>
  <si>
    <t>ДомДен БО1</t>
  </si>
  <si>
    <t>Домашние деньги БО-01</t>
  </si>
  <si>
    <t>RU000A0JS7J4</t>
  </si>
  <si>
    <t>ДомДеньги1</t>
  </si>
  <si>
    <t>Домашние деньги обл.сер.01</t>
  </si>
  <si>
    <t>RU000A0JR050</t>
  </si>
  <si>
    <t>ЕАБР01</t>
  </si>
  <si>
    <t>Евразийский банк развития 01</t>
  </si>
  <si>
    <t>RU000A0JR043</t>
  </si>
  <si>
    <t>ЕАБР02</t>
  </si>
  <si>
    <t>Евразийский банк развития 02</t>
  </si>
  <si>
    <t>RU000A0JR0Q5</t>
  </si>
  <si>
    <t>ЕАБР04</t>
  </si>
  <si>
    <t>Евразийский банк развития 04</t>
  </si>
  <si>
    <t>RU000A0JS8X3</t>
  </si>
  <si>
    <t>ЕАБР05</t>
  </si>
  <si>
    <t>Евразийский банк развития 05</t>
  </si>
  <si>
    <t>RU000A0JS8Y1</t>
  </si>
  <si>
    <t>ЕАБР06</t>
  </si>
  <si>
    <t>Евразийский банк развития 06</t>
  </si>
  <si>
    <t>RU000A0JS8Z8</t>
  </si>
  <si>
    <t>ЕАБР07</t>
  </si>
  <si>
    <t>Евразийский банк развития 07</t>
  </si>
  <si>
    <t>RU000A0JS900</t>
  </si>
  <si>
    <t>ЕАБР08</t>
  </si>
  <si>
    <t>Евразийский банк развития 08</t>
  </si>
  <si>
    <t>RU000A0JS918</t>
  </si>
  <si>
    <t>ЕАБР09</t>
  </si>
  <si>
    <t>Евразийский банк развития 09</t>
  </si>
  <si>
    <t>RU000A0JS926</t>
  </si>
  <si>
    <t>ЕАБР10</t>
  </si>
  <si>
    <t>Евразийский банк развития 10</t>
  </si>
  <si>
    <t>RU000A0JR183</t>
  </si>
  <si>
    <t>ЕБРР 06обл</t>
  </si>
  <si>
    <t>ЕБРР 06</t>
  </si>
  <si>
    <t>RU000A0JR191</t>
  </si>
  <si>
    <t>ЕБРР 07обл</t>
  </si>
  <si>
    <t>ЕБРР 07</t>
  </si>
  <si>
    <t>RU000A0JR1A7</t>
  </si>
  <si>
    <t>ЕБРР 08обл</t>
  </si>
  <si>
    <t>ЕБРР 08</t>
  </si>
  <si>
    <t>RU000A0JWDU1</t>
  </si>
  <si>
    <t>ЕврХимБ1Р1</t>
  </si>
  <si>
    <t>ЕвроХим МХК АО БО-001Р-01</t>
  </si>
  <si>
    <t>RU000A0JWBH2</t>
  </si>
  <si>
    <t>ЕврХол1P1R</t>
  </si>
  <si>
    <t>ЕвразХолдинг Финанс 001P-01R</t>
  </si>
  <si>
    <t>RU000A0JVKK9</t>
  </si>
  <si>
    <t>ЕврХолдФ 8</t>
  </si>
  <si>
    <t>ЕвразХолдинг Финанс (ООО)об.08</t>
  </si>
  <si>
    <t>RU000A0JQXQ9</t>
  </si>
  <si>
    <t>ЕвроХим 02</t>
  </si>
  <si>
    <t>ЕвроХим МХК АО об. 02</t>
  </si>
  <si>
    <t>RU000A0JR4Z8</t>
  </si>
  <si>
    <t>ЕвроХим 03</t>
  </si>
  <si>
    <t>ЕвроХим МХК АО об. 03</t>
  </si>
  <si>
    <t>RU000A0JT9S0</t>
  </si>
  <si>
    <t>Европлан-3</t>
  </si>
  <si>
    <t>Европлан ПАО об. сер. 03</t>
  </si>
  <si>
    <t>RU000A0JTPG0</t>
  </si>
  <si>
    <t>Европлан-4</t>
  </si>
  <si>
    <t>Европлан ПАО об. сер. 04</t>
  </si>
  <si>
    <t>RU000A0JTT13</t>
  </si>
  <si>
    <t>Европлан-5</t>
  </si>
  <si>
    <t>Европлан ПАО об. сер. 05</t>
  </si>
  <si>
    <t>RU000A0JU6G8</t>
  </si>
  <si>
    <t>ЕвропланБ1</t>
  </si>
  <si>
    <t>Европлан ПАО БО-1</t>
  </si>
  <si>
    <t>RU000A0JVQT7</t>
  </si>
  <si>
    <t>ЕвропланБ2</t>
  </si>
  <si>
    <t>Европлан ПАО БО-2</t>
  </si>
  <si>
    <t>RU000A0JWVL2</t>
  </si>
  <si>
    <t>ЕвропланБ7</t>
  </si>
  <si>
    <t>Европлан ПАО БО-7</t>
  </si>
  <si>
    <t>RU000A0JVWE7</t>
  </si>
  <si>
    <t>ЕврфНедвБ1</t>
  </si>
  <si>
    <t>Еврофинансы-Недвиж. ООО БО-01</t>
  </si>
  <si>
    <t>RU000A0JWK58</t>
  </si>
  <si>
    <t>ЕврфинМНБ1</t>
  </si>
  <si>
    <t>ЕВРОФИНАНС МОСНАРБАНК АКБ 01</t>
  </si>
  <si>
    <t>RU000A0JRJB8</t>
  </si>
  <si>
    <t>ЗСД 01</t>
  </si>
  <si>
    <t>Запад.скор.диаметр АО об.01</t>
  </si>
  <si>
    <t>RU000A0JRJL7</t>
  </si>
  <si>
    <t>ЗСД 02</t>
  </si>
  <si>
    <t>Запад.скор.диаметр АО об.02</t>
  </si>
  <si>
    <t>RU000A0JS4J1</t>
  </si>
  <si>
    <t>ЗСД 03</t>
  </si>
  <si>
    <t>Запад.скор.диаметр АО об.03</t>
  </si>
  <si>
    <t>RU000A0JS4K9</t>
  </si>
  <si>
    <t>ЗСД 04</t>
  </si>
  <si>
    <t>Запад.скор.диаметр АО об.04</t>
  </si>
  <si>
    <t>RU000A0JS4L7</t>
  </si>
  <si>
    <t>ЗСД 05</t>
  </si>
  <si>
    <t>Запад.скор.диаметр АО об.05</t>
  </si>
  <si>
    <t>RU000A0JUTJ4</t>
  </si>
  <si>
    <t>ЗапСиб БО4</t>
  </si>
  <si>
    <t>Запсибкомбанк ПАО БО-04</t>
  </si>
  <si>
    <t>RU000A0JUP63</t>
  </si>
  <si>
    <t>ЗапСибКБ-2</t>
  </si>
  <si>
    <t>Запсибкомбанк ПАО обл. 02</t>
  </si>
  <si>
    <t>RU000A0JTY40</t>
  </si>
  <si>
    <t>Зенит 10об</t>
  </si>
  <si>
    <t>Зенит (ПАО) обл.10</t>
  </si>
  <si>
    <t>RU000A0JU7X1</t>
  </si>
  <si>
    <t>Зенит 11об</t>
  </si>
  <si>
    <t>Зенит (ПАО) обл.11</t>
  </si>
  <si>
    <t>RU000A0JSVF2</t>
  </si>
  <si>
    <t>Зенит 8обл</t>
  </si>
  <si>
    <t>Зенит (ПАО) обл.08</t>
  </si>
  <si>
    <t>RU000A0JWD40</t>
  </si>
  <si>
    <t>ЗенитБО-08</t>
  </si>
  <si>
    <t>Банк Зенит (ПАО) БО-08</t>
  </si>
  <si>
    <t>RU000A0JVBX1</t>
  </si>
  <si>
    <t>ЗенитБО-09</t>
  </si>
  <si>
    <t>Банк Зенит (ПАО) БО-09</t>
  </si>
  <si>
    <t>RU000A0JVZH3</t>
  </si>
  <si>
    <t>ЗенитБО-10</t>
  </si>
  <si>
    <t>Банк Зенит (ПАО) БО-10</t>
  </si>
  <si>
    <t>RU000A0JUGY0</t>
  </si>
  <si>
    <t>ЗенитБО-11</t>
  </si>
  <si>
    <t>Банк Зенит (ПАО) БО-11</t>
  </si>
  <si>
    <t>RU000A0JUPW5</t>
  </si>
  <si>
    <t>ЗенитБО-13</t>
  </si>
  <si>
    <t>Банк Зенит (ПАО) БО-13</t>
  </si>
  <si>
    <t>RU000A0JUPY1</t>
  </si>
  <si>
    <t>ЗенитБО-14</t>
  </si>
  <si>
    <t>Банк Зенит (ПАО) БО-14</t>
  </si>
  <si>
    <t>RU000A0JWXR5</t>
  </si>
  <si>
    <t>ЗенитБО1P1</t>
  </si>
  <si>
    <t>Банк Зенит (ПАО) БО-001P-01</t>
  </si>
  <si>
    <t>RU000A0JWYS1</t>
  </si>
  <si>
    <t>ЗенитБО1P2</t>
  </si>
  <si>
    <t>Банк Зенит (ПАО) БО-001P-02</t>
  </si>
  <si>
    <t>RU000A0JUG15</t>
  </si>
  <si>
    <t>ИА АТБ 2 А</t>
  </si>
  <si>
    <t>Ипотечный агент АТБ 2 кл. А</t>
  </si>
  <si>
    <t>RU000A0JTHU8</t>
  </si>
  <si>
    <t>ИА АТБ А</t>
  </si>
  <si>
    <t>Ипотечный агент АТБ кл.А</t>
  </si>
  <si>
    <t>RU000A0JW316</t>
  </si>
  <si>
    <t>ИА АкБар2А</t>
  </si>
  <si>
    <t>ИА АкБарс 2 кл.А</t>
  </si>
  <si>
    <t>RU000A0JV326</t>
  </si>
  <si>
    <t>ИА АкБарсА</t>
  </si>
  <si>
    <t>ИА АкБарс 2014 кл.А</t>
  </si>
  <si>
    <t>RU000A0JV318</t>
  </si>
  <si>
    <t>ИА АкБарсБ</t>
  </si>
  <si>
    <t>ИА АкБарс 2014 кл.Б</t>
  </si>
  <si>
    <t>RU000A0JWKQ4</t>
  </si>
  <si>
    <t>ИА Вега1 А</t>
  </si>
  <si>
    <t>ИА Вега-1 класс А</t>
  </si>
  <si>
    <t>RU000A0JWKP6</t>
  </si>
  <si>
    <t>ИА Вега2 А</t>
  </si>
  <si>
    <t>ИА Вега-2 класс А</t>
  </si>
  <si>
    <t>RU000A0JVAJ2</t>
  </si>
  <si>
    <t>ИА ДВИЦ1 А</t>
  </si>
  <si>
    <t>ИА ДВИЦ-1 кл. А</t>
  </si>
  <si>
    <t>RU000A0JVAQ7</t>
  </si>
  <si>
    <t>ИА ИНТЕХ А</t>
  </si>
  <si>
    <t>ИА ИНТЕХ ЗАО кл. А</t>
  </si>
  <si>
    <t>RU000A0JTD45</t>
  </si>
  <si>
    <t>ИА ИТБ 1 А</t>
  </si>
  <si>
    <t>Ипотечный агент ИТБ 1 об.кл.А</t>
  </si>
  <si>
    <t>RU000A0JU9Q1</t>
  </si>
  <si>
    <t>ИА ИТБ 13А</t>
  </si>
  <si>
    <t>Ипотечный агент ИТБ 2013  кл.A</t>
  </si>
  <si>
    <t>RU000A0JV1U9</t>
  </si>
  <si>
    <t>ИА ИТБ 14А</t>
  </si>
  <si>
    <t>Ипотечный агент ИТБ 2014  кл.A</t>
  </si>
  <si>
    <t>RU000A0JV1V7</t>
  </si>
  <si>
    <t>ИА ИТБ 14Б</t>
  </si>
  <si>
    <t>Ипотечный агент ИТБ 2014  кл.Б</t>
  </si>
  <si>
    <t>RU000A0JVTQ7</t>
  </si>
  <si>
    <t>ИА КМ 01</t>
  </si>
  <si>
    <t>ИА КМ ООО 01 об.</t>
  </si>
  <si>
    <t>RU000A0JUE66</t>
  </si>
  <si>
    <t>ИА Кама 01</t>
  </si>
  <si>
    <t>ИА Кама ЗАО об. 01</t>
  </si>
  <si>
    <t>RU000A0JX0L8</t>
  </si>
  <si>
    <t>ИА МКБ2-01</t>
  </si>
  <si>
    <t>ООО "ИА МКБ 2" об. 01</t>
  </si>
  <si>
    <t>RU000A0JUQ54</t>
  </si>
  <si>
    <t>ИА МТСБ А</t>
  </si>
  <si>
    <t>ЗАО ИА МТСБ  класса "А"</t>
  </si>
  <si>
    <t>RU000A0JTG91</t>
  </si>
  <si>
    <t>ИА НОМОС А</t>
  </si>
  <si>
    <t>ИА НОМОС об. 01 кл. А</t>
  </si>
  <si>
    <t>RU000A0JTZN5</t>
  </si>
  <si>
    <t>ИА ПСБ2013</t>
  </si>
  <si>
    <t>ИА ПСБ 2013 ЗАО об. кл. А</t>
  </si>
  <si>
    <t>RU000A0JUCX1</t>
  </si>
  <si>
    <t>ИА ПСПб А</t>
  </si>
  <si>
    <t>ИА ПСПб ЗАО об.кл.А</t>
  </si>
  <si>
    <t>RU000A0JV2K8</t>
  </si>
  <si>
    <t>ИА СБ-14 А</t>
  </si>
  <si>
    <t>Ипотечный агент СБ-2014  кл.A</t>
  </si>
  <si>
    <t>RU000A0JV2L6</t>
  </si>
  <si>
    <t>ИА СБ-14 Б</t>
  </si>
  <si>
    <t>Ипотечный агент СБ-2014  кл.Б</t>
  </si>
  <si>
    <t>RU000A0JUDD1</t>
  </si>
  <si>
    <t>ИА ТКБ-1 А</t>
  </si>
  <si>
    <t>ИА ТКБ-1 ЗАО класс "А"</t>
  </si>
  <si>
    <t>RU000A0JWC25</t>
  </si>
  <si>
    <t>ИА ТКБ-2 А</t>
  </si>
  <si>
    <t>ИА ТКБ-2 ООО класс "А"</t>
  </si>
  <si>
    <t>RU000A0JV508</t>
  </si>
  <si>
    <t>ИА ТФБ1 А</t>
  </si>
  <si>
    <t>ЗАО ИА ТФБ1 кл.А</t>
  </si>
  <si>
    <t>RU000A0JX3M0</t>
  </si>
  <si>
    <t>ИА ФабИЦБ1</t>
  </si>
  <si>
    <t>ИА Фабрика ИЦБ 001P</t>
  </si>
  <si>
    <t>RU000A0JU0Y4</t>
  </si>
  <si>
    <t>ИА ХМБ-1 А</t>
  </si>
  <si>
    <t>ИА ХМБ-1 ЗАО об. кл.А</t>
  </si>
  <si>
    <t>RU000A0JV169</t>
  </si>
  <si>
    <t>ИА ХМБ-2 А</t>
  </si>
  <si>
    <t>ИА ХМБ-2 ЗАО класс А</t>
  </si>
  <si>
    <t>RU000A0JV185</t>
  </si>
  <si>
    <t>ИА ХМБ-2 Б</t>
  </si>
  <si>
    <t>ИА ХМБ-2 ЗАО класс Б</t>
  </si>
  <si>
    <t>RU000A0JTSV3</t>
  </si>
  <si>
    <t>ИААбсолют1</t>
  </si>
  <si>
    <t>ИА Абсолют 1 ЗАО об. 01</t>
  </si>
  <si>
    <t>RU000A0JUCP7</t>
  </si>
  <si>
    <t>ИААбсолют2</t>
  </si>
  <si>
    <t>ИА Абсолют 2 (ЗАО) класс А</t>
  </si>
  <si>
    <t>RU000A0JV2C5</t>
  </si>
  <si>
    <t>ИААбсолют3</t>
  </si>
  <si>
    <t>ИА Абсолют 3 (ООО) класс А</t>
  </si>
  <si>
    <t>RU000A0JWU80</t>
  </si>
  <si>
    <t>ИААбсолют4</t>
  </si>
  <si>
    <t>ИА Абсолют 4 (ООО)</t>
  </si>
  <si>
    <t>RU000A0JX1T9</t>
  </si>
  <si>
    <t>ИАБСПБ2016</t>
  </si>
  <si>
    <t>ИА БСПБ 2016</t>
  </si>
  <si>
    <t>RU000A0JUJE6</t>
  </si>
  <si>
    <t>ИАВ 3 А</t>
  </si>
  <si>
    <t>ИА Возрождение 3 ЗАО об. кл.А</t>
  </si>
  <si>
    <t>RU000A0JVFN3</t>
  </si>
  <si>
    <t>ИАВ 4 А</t>
  </si>
  <si>
    <t>ИА Возрождение 4 ООО об. кл.А</t>
  </si>
  <si>
    <t>RU000A0JUF81</t>
  </si>
  <si>
    <t>ИАВТБ-БМ1А</t>
  </si>
  <si>
    <t>ИА ВТБ - БМ1 кл. А</t>
  </si>
  <si>
    <t>RU000A0JWBA7</t>
  </si>
  <si>
    <t>ИАВТБ-БМ2А</t>
  </si>
  <si>
    <t>ИА ВТБ - БМ2 кл. А</t>
  </si>
  <si>
    <t>RU000A0JUEJ6</t>
  </si>
  <si>
    <t>ИАВТБ2013А</t>
  </si>
  <si>
    <t>ИА ВТБ 2013-1 (ЗАО) класс А</t>
  </si>
  <si>
    <t>RU000A0JV409</t>
  </si>
  <si>
    <t>ИАВТБ2014А</t>
  </si>
  <si>
    <t>АО ИА ВТБ 2014 1 кл.А</t>
  </si>
  <si>
    <t>RU000A0JUC27</t>
  </si>
  <si>
    <t>ИАВТБ24-2А</t>
  </si>
  <si>
    <t>ИА ВТБ24-2 класса "А"</t>
  </si>
  <si>
    <t>RU000A0JUNU4</t>
  </si>
  <si>
    <t>ИАМКБ2014А</t>
  </si>
  <si>
    <t>ИА МКБ ЗАО 2014 кл.А</t>
  </si>
  <si>
    <t>RU000A0JWLE8</t>
  </si>
  <si>
    <t>ИАМетинв1А</t>
  </si>
  <si>
    <t>ИА Металлинвест-1 об. кл.А</t>
  </si>
  <si>
    <t>RU000A0JVTM6</t>
  </si>
  <si>
    <t>ИАМлтор1А3</t>
  </si>
  <si>
    <t>ИАМультиоригинаторный 1 кл.А/3</t>
  </si>
  <si>
    <t>RU000A0JWF30</t>
  </si>
  <si>
    <t>ИАМлтор1А4</t>
  </si>
  <si>
    <t>ИАМультиоригинаторный 1 кл.А/4</t>
  </si>
  <si>
    <t>RU000A0JVB35</t>
  </si>
  <si>
    <t>ИАМлторг1А</t>
  </si>
  <si>
    <t>ИА Мультиоригинаторный 1 кл.А</t>
  </si>
  <si>
    <t>RU000A0JWAT9</t>
  </si>
  <si>
    <t>ИАМлторг2А</t>
  </si>
  <si>
    <t>ИА Мультиоригинаторный 2 кл.А</t>
  </si>
  <si>
    <t>RU000A0JUSS7</t>
  </si>
  <si>
    <t>ИАМосков 1</t>
  </si>
  <si>
    <t>ИА Московский ЗАО обл. 01</t>
  </si>
  <si>
    <t>RU000A0JVU81</t>
  </si>
  <si>
    <t>ИАНадежД1А</t>
  </si>
  <si>
    <t>ИА Надежный дом-1 класса А</t>
  </si>
  <si>
    <t>RU000A0JU5B1</t>
  </si>
  <si>
    <t>ИАОткрыт1А</t>
  </si>
  <si>
    <t>ИА Открытие 1 кл. А</t>
  </si>
  <si>
    <t>RU000A0JUHY8</t>
  </si>
  <si>
    <t>ИАПетрок1А</t>
  </si>
  <si>
    <t>ИА Петрокоммерц-1 кл.А</t>
  </si>
  <si>
    <t>RU000A0JVJY2</t>
  </si>
  <si>
    <t>ИАПульс-1А</t>
  </si>
  <si>
    <t>ИА Пульсар-1 класса "А"</t>
  </si>
  <si>
    <t>RU000A0JVHJ7</t>
  </si>
  <si>
    <t>ИАПульс-2А</t>
  </si>
  <si>
    <t>ИА Пульсар-2 класса "А"</t>
  </si>
  <si>
    <t>RU000A0JTZ98</t>
  </si>
  <si>
    <t>ИАРайф01-А</t>
  </si>
  <si>
    <t>ЗАО "ИА Райффайзен 01" кл.А</t>
  </si>
  <si>
    <t>RU000A0JV664</t>
  </si>
  <si>
    <t>ИАСОЮЗ-1А</t>
  </si>
  <si>
    <t>ЗАО ИА СОЮЗ-1 класса "А"</t>
  </si>
  <si>
    <t>RU000A0JUPU9</t>
  </si>
  <si>
    <t>ИАСанр1А</t>
  </si>
  <si>
    <t>ЗАО ИА Санрайз-1  класса "А"</t>
  </si>
  <si>
    <t>RU000A0JUPF0</t>
  </si>
  <si>
    <t>ИАСанр2А</t>
  </si>
  <si>
    <t>ЗАО ИА Санрайз-2  класса "А"</t>
  </si>
  <si>
    <t>RU000A0JSF02</t>
  </si>
  <si>
    <t>ИАУралс1 А</t>
  </si>
  <si>
    <t>Ип.агент Уралсиб 01 об.кл.А</t>
  </si>
  <si>
    <t>RU000A0JUX48</t>
  </si>
  <si>
    <t>ИАУралс2А1</t>
  </si>
  <si>
    <t>Ип.агент Уралсиб 02 об.кл.А1</t>
  </si>
  <si>
    <t>RU000A0JUX55</t>
  </si>
  <si>
    <t>ИАУралс2А2</t>
  </si>
  <si>
    <t>Ип.агент Уралсиб 02 об.кл.А2</t>
  </si>
  <si>
    <t>RU000A0JV2S1</t>
  </si>
  <si>
    <t>ИАУрлсб 3А</t>
  </si>
  <si>
    <t>ИА Уралсиб 03 кл.А</t>
  </si>
  <si>
    <t>RU000A0JV2T9</t>
  </si>
  <si>
    <t>ИАУрлсб 3Б</t>
  </si>
  <si>
    <t>ИА Уралсиб 03 кл.Б</t>
  </si>
  <si>
    <t>RU000A0JV3S9</t>
  </si>
  <si>
    <t>ИАФора14 А</t>
  </si>
  <si>
    <t>ЗАО "ИА ФОРА 2014" класс А</t>
  </si>
  <si>
    <t>RU000A0JVNC0</t>
  </si>
  <si>
    <t>ИАЭклипс1А</t>
  </si>
  <si>
    <t>ИА Эклипс-1 кл.А</t>
  </si>
  <si>
    <t>RU000A0JTSW1</t>
  </si>
  <si>
    <t>ИАбсолют1Б</t>
  </si>
  <si>
    <t>ИА Абсолют 1 (ЗАО) класс Б</t>
  </si>
  <si>
    <t>RU000A0JUCW3</t>
  </si>
  <si>
    <t>ИАбсолют2Б</t>
  </si>
  <si>
    <t>ИА Абсолют 2 (ЗАО) класс Б</t>
  </si>
  <si>
    <t>RU000A0JV2B7</t>
  </si>
  <si>
    <t>ИАбсолют3Б</t>
  </si>
  <si>
    <t>ИА Абсолют 3 (ООО) класс Б</t>
  </si>
  <si>
    <t>RU000A0JS9U7</t>
  </si>
  <si>
    <t>ИК МБС 01</t>
  </si>
  <si>
    <t>ИК МБС ООО об.01</t>
  </si>
  <si>
    <t>RU000A0JWUD1</t>
  </si>
  <si>
    <t>ИКС5Фин1P1</t>
  </si>
  <si>
    <t>ИКС 5 ФИНАНС 001P-01</t>
  </si>
  <si>
    <t>RU000A0JVUX1</t>
  </si>
  <si>
    <t>ИКС5ФинБО4</t>
  </si>
  <si>
    <t>ИКС 5 ФИНАНС ООО БО-04</t>
  </si>
  <si>
    <t>RU000A0JW9G0</t>
  </si>
  <si>
    <t>ИКС5ФинБО5</t>
  </si>
  <si>
    <t>ИКС 5 ФИНАНС ООО БО-05</t>
  </si>
  <si>
    <t>RU000A0JWG05</t>
  </si>
  <si>
    <t>ИКС5ФинБО6</t>
  </si>
  <si>
    <t>ИКС 5 ФИНАНС ООО БО-06</t>
  </si>
  <si>
    <t>RU000A0JWPL4</t>
  </si>
  <si>
    <t>ИКС5ФинБО7</t>
  </si>
  <si>
    <t>ИКС 5 ФИНАНС ООО БО-07</t>
  </si>
  <si>
    <t>RU000A0JURT7</t>
  </si>
  <si>
    <t>ИНВЕКТОР 2</t>
  </si>
  <si>
    <t>ИНВЕКТОР ООО обл.02</t>
  </si>
  <si>
    <t>RU000A0JU1A2</t>
  </si>
  <si>
    <t>ИНВПРО 01</t>
  </si>
  <si>
    <t>ООО "ИНВЕСТПРО" 01</t>
  </si>
  <si>
    <t>RU000A0JU559</t>
  </si>
  <si>
    <t>ИНВПРО 02</t>
  </si>
  <si>
    <t>ООО "ИНВЕСТПРО" 02</t>
  </si>
  <si>
    <t>RU000A0JU7V5</t>
  </si>
  <si>
    <t>ИНВПРО 03</t>
  </si>
  <si>
    <t>ООО "ИНВЕСТПРО" 03</t>
  </si>
  <si>
    <t>RU000A0JWC74</t>
  </si>
  <si>
    <t>ИНГБ-БО1</t>
  </si>
  <si>
    <t>ИНГ БАНК (ЕВРАЗИЯ) АО БО-01</t>
  </si>
  <si>
    <t>RU000A0JVFJ1</t>
  </si>
  <si>
    <t>ИНГБ-БО5</t>
  </si>
  <si>
    <t>ИНГ БАНК (ЕВРАЗИЯ) АО БО-05</t>
  </si>
  <si>
    <t>RU000A0JUA45</t>
  </si>
  <si>
    <t>ИРКУТ БО-4</t>
  </si>
  <si>
    <t>Корпорация "ИРКУТ" ПАО БО-04</t>
  </si>
  <si>
    <t>RU000A0JTHF9</t>
  </si>
  <si>
    <t>ИФКСОЮЗ2</t>
  </si>
  <si>
    <t>ИФК СОЮЗ ПАО об. сер. 02</t>
  </si>
  <si>
    <t>RU000A0JU278</t>
  </si>
  <si>
    <t>ИФКСОЮЗ3</t>
  </si>
  <si>
    <t>ИФК СОЮЗ ПАО об. сер. 03</t>
  </si>
  <si>
    <t>RU000A0JWCW9</t>
  </si>
  <si>
    <t>ИнДевелБО1</t>
  </si>
  <si>
    <t>ПАО "ИНВЕСТ-ДЕВЕЛОПМЕНТ" БО-01</t>
  </si>
  <si>
    <t>RU000A0JUL18</t>
  </si>
  <si>
    <t>ИнТехЭл Б1</t>
  </si>
  <si>
    <t>Интертехэлектро-Нов.Ген. БО-01</t>
  </si>
  <si>
    <t>RU000A0JWB42</t>
  </si>
  <si>
    <t>Инград 01</t>
  </si>
  <si>
    <t>Инград АО об.01</t>
  </si>
  <si>
    <t>RU000A0JWW21</t>
  </si>
  <si>
    <t>Инград БО1</t>
  </si>
  <si>
    <t>Инград АО БО-01</t>
  </si>
  <si>
    <t>RU000A0JWVS7</t>
  </si>
  <si>
    <t>ИнтезБ1P1R</t>
  </si>
  <si>
    <t>Банк Интеза АО БО-001P-01R</t>
  </si>
  <si>
    <t>RU000A0JVGQ4</t>
  </si>
  <si>
    <t>Интеза БО3</t>
  </si>
  <si>
    <t>Банк Интеза АО БО-03</t>
  </si>
  <si>
    <t>RU000A0JX314</t>
  </si>
  <si>
    <t>ИркОбл2016</t>
  </si>
  <si>
    <t>Иркутская обл.34001аморт.</t>
  </si>
  <si>
    <t>RU000A0JVP39</t>
  </si>
  <si>
    <t>КАМАЗ 12</t>
  </si>
  <si>
    <t>КАМАЗ ПАО БО-12</t>
  </si>
  <si>
    <t>RU000A0JVZC4</t>
  </si>
  <si>
    <t>КАМАЗ БО-4</t>
  </si>
  <si>
    <t>КАМАЗ ПАО БО-04</t>
  </si>
  <si>
    <t>RU000A0JVHX8</t>
  </si>
  <si>
    <t>КАМАЗ БО-5</t>
  </si>
  <si>
    <t>КАМАЗ ПАО БО-05</t>
  </si>
  <si>
    <t>RU000A0JW126</t>
  </si>
  <si>
    <t>КАМАЗ БО13</t>
  </si>
  <si>
    <t>КАМАЗ ПАО БО-13</t>
  </si>
  <si>
    <t>RU000A0JX1C5</t>
  </si>
  <si>
    <t>КАМАЗ БО14</t>
  </si>
  <si>
    <t>КАМАЗ ПАО БО-14</t>
  </si>
  <si>
    <t>RU000A0JX2B5</t>
  </si>
  <si>
    <t>КАМАЗ БО15</t>
  </si>
  <si>
    <t>КАМАЗ ПАО БО-15</t>
  </si>
  <si>
    <t>RU000A0JUNG3</t>
  </si>
  <si>
    <t>КИТФКапБО3</t>
  </si>
  <si>
    <t>КИТ Финанс Капитал ООО БО-3</t>
  </si>
  <si>
    <t>RU000A0JUTQ9</t>
  </si>
  <si>
    <t>КИТФКапБО4</t>
  </si>
  <si>
    <t>КИТ Финанс Капитал ООО БО-4</t>
  </si>
  <si>
    <t>RU000A0JUTR7</t>
  </si>
  <si>
    <t>КИТФКапБО5</t>
  </si>
  <si>
    <t>КИТ Финанс Капитал ООО БО-5</t>
  </si>
  <si>
    <t>RU000A0JXLX6</t>
  </si>
  <si>
    <t>КИТФКапБО6</t>
  </si>
  <si>
    <t>КИТ Финанс Капитал ООО БО-6</t>
  </si>
  <si>
    <t>RU000A0JWWR7</t>
  </si>
  <si>
    <t>КИТФКапБО7</t>
  </si>
  <si>
    <t>КИТ Финанс Капитал ООО БО-7</t>
  </si>
  <si>
    <t>RU000A0JWU64</t>
  </si>
  <si>
    <t>КИТФКапБО8</t>
  </si>
  <si>
    <t>КИТ Финанс Капитал ООО БО-8</t>
  </si>
  <si>
    <t>RU000A0JX2K6</t>
  </si>
  <si>
    <t>КИТФКапБО9</t>
  </si>
  <si>
    <t>КИТ Финанс Капитал ООО БО-9</t>
  </si>
  <si>
    <t>RU000A0JTT96</t>
  </si>
  <si>
    <t>КИТФинКап4</t>
  </si>
  <si>
    <t>КИТ Финанс Капитал ООО обл. 04</t>
  </si>
  <si>
    <t>RU000A0JUN81</t>
  </si>
  <si>
    <t>КОМИ 11 об</t>
  </si>
  <si>
    <t>Республика Коми 2014 11 обл.</t>
  </si>
  <si>
    <t>RU000A0JVKF9</t>
  </si>
  <si>
    <t>КОМИ 12 об</t>
  </si>
  <si>
    <t>Республика Коми 2015 12 обл.</t>
  </si>
  <si>
    <t>RU000A0JWZM1</t>
  </si>
  <si>
    <t>КОМИ 13 об</t>
  </si>
  <si>
    <t>Республика Коми 2016 13 обл.</t>
  </si>
  <si>
    <t>RU000A0JX3H0</t>
  </si>
  <si>
    <t>КОМКОР ПБ1</t>
  </si>
  <si>
    <t>ОАО КОМКОР П01-БО-01</t>
  </si>
  <si>
    <t>RU000A0JX2L4</t>
  </si>
  <si>
    <t>КРАУС Б1P1</t>
  </si>
  <si>
    <t>ЗАО "КРАУС-М" БО 001P-01</t>
  </si>
  <si>
    <t>RU000A0JX2S9</t>
  </si>
  <si>
    <t>КалинОбл16</t>
  </si>
  <si>
    <t>Калининградская область 2016</t>
  </si>
  <si>
    <t>RU000A0JT7L9</t>
  </si>
  <si>
    <t>Карелия 15</t>
  </si>
  <si>
    <t>Республика Карелия 34015</t>
  </si>
  <si>
    <t>RU000A0JU1V8</t>
  </si>
  <si>
    <t>Карелия 16</t>
  </si>
  <si>
    <t>Республика Карелия 34016</t>
  </si>
  <si>
    <t>RU000A0JUWJ8</t>
  </si>
  <si>
    <t>Карелия 17</t>
  </si>
  <si>
    <t>Республика Карелия 35017</t>
  </si>
  <si>
    <t>RU000A0JWEK0</t>
  </si>
  <si>
    <t>КаркадеБ02</t>
  </si>
  <si>
    <t>Каркаде ООО БО-02</t>
  </si>
  <si>
    <t>RU000A0JUAZ0</t>
  </si>
  <si>
    <t>КемерОбл13</t>
  </si>
  <si>
    <t>Кемеровская область 2013</t>
  </si>
  <si>
    <t>RU000A0JVZJ9</t>
  </si>
  <si>
    <t>КонцесВ 01</t>
  </si>
  <si>
    <t>Концессии водоснабжения ООО 01</t>
  </si>
  <si>
    <t>RU000A0JWGW0</t>
  </si>
  <si>
    <t>КонцесВ 02</t>
  </si>
  <si>
    <t>Концессии водоснабжения ООО 02</t>
  </si>
  <si>
    <t>RU000A0JWVB3</t>
  </si>
  <si>
    <t>КонцесВ 03</t>
  </si>
  <si>
    <t>Концессии водоснабжения ООО 03</t>
  </si>
  <si>
    <t>RU000A0JU6N4</t>
  </si>
  <si>
    <t>КостромОб7</t>
  </si>
  <si>
    <t>Костромская обл. вып.007</t>
  </si>
  <si>
    <t>RU000A0JVUR3</t>
  </si>
  <si>
    <t>КрЕврБ-Б10</t>
  </si>
  <si>
    <t>КРЕДИТ ЕВРОПА БАНК (АО) БО-10</t>
  </si>
  <si>
    <t>RU000A0JVFF9</t>
  </si>
  <si>
    <t>КрЕврБ-Б14</t>
  </si>
  <si>
    <t>КРЕДИТ ЕВРОПА БАНК (АО) БО-14</t>
  </si>
  <si>
    <t>RU000A0JVRQ1</t>
  </si>
  <si>
    <t>КрЕврБ-Б15</t>
  </si>
  <si>
    <t>КРЕДИТ ЕВРОПА БАНК (АО) БО-15</t>
  </si>
  <si>
    <t>RU000A0JUPB9</t>
  </si>
  <si>
    <t>КрЕврБ-Б18</t>
  </si>
  <si>
    <t>КРЕДИТ ЕВРОПА БАНК (АО) БО-18</t>
  </si>
  <si>
    <t>RU000A0JVA28</t>
  </si>
  <si>
    <t>КрЕврБ-БО7</t>
  </si>
  <si>
    <t>КРЕДИТ ЕВРОПА БАНК (АО) БО-07</t>
  </si>
  <si>
    <t>RU000A0JVBK8</t>
  </si>
  <si>
    <t>КрЕврБ-БО8</t>
  </si>
  <si>
    <t>КРЕДИТ ЕВРОПА БАНК (АО) БО-08</t>
  </si>
  <si>
    <t>RU000A0JVC18</t>
  </si>
  <si>
    <t>КрЕврБ-БО9</t>
  </si>
  <si>
    <t>КРЕДИТ ЕВРОПА БАНК (АО) БО-09</t>
  </si>
  <si>
    <t>RU000A0JVS10</t>
  </si>
  <si>
    <t>КрасЯрКр10</t>
  </si>
  <si>
    <t>Красноярский край  обл.10</t>
  </si>
  <si>
    <t>RU000A0JVWM0</t>
  </si>
  <si>
    <t>КрасЯрКр11</t>
  </si>
  <si>
    <t>Красноярский край  обл.11</t>
  </si>
  <si>
    <t>RU000A0JWXF0</t>
  </si>
  <si>
    <t>КрасЯрКр12</t>
  </si>
  <si>
    <t>Красноярский край  обл.12</t>
  </si>
  <si>
    <t>RU000A0JT8G7</t>
  </si>
  <si>
    <t>КраснЯрКр6</t>
  </si>
  <si>
    <t>Красноярский край 2012 обл.06</t>
  </si>
  <si>
    <t>RU000A0JU5U1</t>
  </si>
  <si>
    <t>КраснЯрКр7</t>
  </si>
  <si>
    <t>Красноярский край  обл.07</t>
  </si>
  <si>
    <t>RU000A0JUMN1</t>
  </si>
  <si>
    <t>КраснЯрКр8</t>
  </si>
  <si>
    <t>Красноярский край  обл.08</t>
  </si>
  <si>
    <t>RU000A0JUVM4</t>
  </si>
  <si>
    <t>КраснЯрКр9</t>
  </si>
  <si>
    <t>Красноярский край  обл.09</t>
  </si>
  <si>
    <t>RU000A0JTBA3</t>
  </si>
  <si>
    <t>КраснодКр4</t>
  </si>
  <si>
    <t>Краснодарский кр. 04 обл.</t>
  </si>
  <si>
    <t>RU000A0JVZE0</t>
  </si>
  <si>
    <t>КраснодКр5</t>
  </si>
  <si>
    <t>Краснодарский кр. 05 обл.</t>
  </si>
  <si>
    <t>RU000A0JVZK7</t>
  </si>
  <si>
    <t>КубнЭн1P01</t>
  </si>
  <si>
    <t>Кубаньэнерго ПАО 001P-01</t>
  </si>
  <si>
    <t>RU000A0JVYK0</t>
  </si>
  <si>
    <t>КубнЭн1P02</t>
  </si>
  <si>
    <t>Кубаньэнерго ПАО 001P-02</t>
  </si>
  <si>
    <t>RU000A0JRKN1</t>
  </si>
  <si>
    <t>КузбЭнрФ01</t>
  </si>
  <si>
    <t>Кузбассэнерго-Финанс (ООО) 01</t>
  </si>
  <si>
    <t>RU000A0JRFX0</t>
  </si>
  <si>
    <t>КузбЭнрФ02</t>
  </si>
  <si>
    <t>Кузбассэнерго-Финанс (ООО) 02</t>
  </si>
  <si>
    <t>RU000A0JU153</t>
  </si>
  <si>
    <t>ЛОКОБнкБО5</t>
  </si>
  <si>
    <t>КБ "ЛОКО-Банк" (АО) БО-05</t>
  </si>
  <si>
    <t>RU000A0JVBY9</t>
  </si>
  <si>
    <t>ЛОКОБнкБО6</t>
  </si>
  <si>
    <t>КБ "ЛОКО-Банк" (АО) БО-06</t>
  </si>
  <si>
    <t>RU000A0JVU32</t>
  </si>
  <si>
    <t>ЛОКОБнкБО7</t>
  </si>
  <si>
    <t>КБ "ЛОКО-Банк" (АО) БО-07</t>
  </si>
  <si>
    <t>RU000A0JSZM9</t>
  </si>
  <si>
    <t>ЛСР 03 обл</t>
  </si>
  <si>
    <t>Группа ЛСР ПАО 03 обл</t>
  </si>
  <si>
    <t>RU000A0JT8Z7</t>
  </si>
  <si>
    <t>ЛСР 04 обл</t>
  </si>
  <si>
    <t>Группа ЛСР ПАО 04 обл</t>
  </si>
  <si>
    <t>RU000A0JWU98</t>
  </si>
  <si>
    <t>ЛСР БО 1Р1</t>
  </si>
  <si>
    <t>Группа ЛСР ПАО БО 001Р-01</t>
  </si>
  <si>
    <t>RU000A0JUYJ4</t>
  </si>
  <si>
    <t>ЛадьяФ БО2</t>
  </si>
  <si>
    <t>Ладья-Финанс ООО БО-02</t>
  </si>
  <si>
    <t>RU000A0JV2J0</t>
  </si>
  <si>
    <t>ЛенОбл2014</t>
  </si>
  <si>
    <t>Ленинградская обл. 2014</t>
  </si>
  <si>
    <t>RU000A0JTFX6</t>
  </si>
  <si>
    <t>ЛенССМУ 02</t>
  </si>
  <si>
    <t>АО ССМО "ЛенСпецСМУ"  об. 02</t>
  </si>
  <si>
    <t>RU000A0JTR72</t>
  </si>
  <si>
    <t>Лента 1 об</t>
  </si>
  <si>
    <t>Лента ООО 1 об.</t>
  </si>
  <si>
    <t>RU000A0JTR80</t>
  </si>
  <si>
    <t>Лента 2 об</t>
  </si>
  <si>
    <t>Лента ООО 2 об.</t>
  </si>
  <si>
    <t>RU000A0JTQB9</t>
  </si>
  <si>
    <t>Лента 3 об</t>
  </si>
  <si>
    <t>Лента ООО 3 об.</t>
  </si>
  <si>
    <t>RU000A0JVP05</t>
  </si>
  <si>
    <t>Лента БО-3</t>
  </si>
  <si>
    <t>Лента ООО БО-03</t>
  </si>
  <si>
    <t>RU000A0JVRN8</t>
  </si>
  <si>
    <t>Лента БО-6</t>
  </si>
  <si>
    <t>Лента ООО БО-06</t>
  </si>
  <si>
    <t>RU000A0JVLM3</t>
  </si>
  <si>
    <t>ЛенэнерБО5</t>
  </si>
  <si>
    <t>Ленэнерго ПАО БО-05</t>
  </si>
  <si>
    <t>RU000A0JX3A5</t>
  </si>
  <si>
    <t>ЛидерИнБП1</t>
  </si>
  <si>
    <t>Лидер-Инвест АО БО-П01</t>
  </si>
  <si>
    <t>RU000A0JV2E1</t>
  </si>
  <si>
    <t>ЛизГарант1</t>
  </si>
  <si>
    <t>ЛизинГарант ООО 01</t>
  </si>
  <si>
    <t>RU000A0JS8T1</t>
  </si>
  <si>
    <t>ЛипецкОбл7</t>
  </si>
  <si>
    <t>Липецкая обл.-2012 (34007)</t>
  </si>
  <si>
    <t>RU000A0JTVZ8</t>
  </si>
  <si>
    <t>ЛипецкОбл8</t>
  </si>
  <si>
    <t>Липецкая обл.-2013 (35008)</t>
  </si>
  <si>
    <t>RU000A0JUNK5</t>
  </si>
  <si>
    <t>ЛипецкОбл9</t>
  </si>
  <si>
    <t>Липецкая обл.-2014 (34009)</t>
  </si>
  <si>
    <t>RU000A0JWLG3</t>
  </si>
  <si>
    <t>ЛнССМУБ1P1</t>
  </si>
  <si>
    <t>АО ССМО ЛенСпецСМУ БО-001P-01</t>
  </si>
  <si>
    <t>RU000A0JNYN1</t>
  </si>
  <si>
    <t>МГор48-об</t>
  </si>
  <si>
    <t>Гор.Обл.Займ Москвы 48 в.</t>
  </si>
  <si>
    <t>RU000A0JNYP6</t>
  </si>
  <si>
    <t>МГор49-об</t>
  </si>
  <si>
    <t>Гор.Обл.Займ Москвы 49 в.</t>
  </si>
  <si>
    <t>RU000A0JQHM1</t>
  </si>
  <si>
    <t>МГор66-об</t>
  </si>
  <si>
    <t>Гор.Обл.Займ Москвы 66 в.</t>
  </si>
  <si>
    <t>RU000A0JU5W7</t>
  </si>
  <si>
    <t>МГор69-об</t>
  </si>
  <si>
    <t>Гор.Обл.Займ Москвы 69 в.</t>
  </si>
  <si>
    <t>RU000A0JU5X5</t>
  </si>
  <si>
    <t>МГор70-об</t>
  </si>
  <si>
    <t>Гор.Обл.Займ Москвы 70 в.</t>
  </si>
  <si>
    <t>RU000A0JVF98</t>
  </si>
  <si>
    <t>МДС кл.А1</t>
  </si>
  <si>
    <t>Магистраль двух столиц кл. А1</t>
  </si>
  <si>
    <t>RU000A0JVLA8</t>
  </si>
  <si>
    <t>МДС кл.А2</t>
  </si>
  <si>
    <t>Магистраль двух столиц кл. А2</t>
  </si>
  <si>
    <t>RU000A0JVWN8</t>
  </si>
  <si>
    <t>МЕТАЛИНБ01</t>
  </si>
  <si>
    <t>МЕТАЛЛОИНВЕСТ ХК АО БО-01</t>
  </si>
  <si>
    <t>RU000A0JWBF6</t>
  </si>
  <si>
    <t>МЕТАЛИНБ02</t>
  </si>
  <si>
    <t>МЕТАЛЛОИНВЕСТ ХК АО БО-02</t>
  </si>
  <si>
    <t>RU000A0JW5H6</t>
  </si>
  <si>
    <t>МЕТАЛИНБ07</t>
  </si>
  <si>
    <t>МЕТАЛЛОИНВЕСТ ХК АО БО-07</t>
  </si>
  <si>
    <t>RU000A0JWBE9</t>
  </si>
  <si>
    <t>МЕТАЛИНБ08</t>
  </si>
  <si>
    <t>МЕТАЛЛОИНВЕСТ ХК АО БО-08</t>
  </si>
  <si>
    <t>RU000A0JS5B5</t>
  </si>
  <si>
    <t>МЕТАЛИНВ 1</t>
  </si>
  <si>
    <t>МЕТАЛЛОИНВЕСТ ХК АО обл. 01</t>
  </si>
  <si>
    <t>RU000A0JTLJ3</t>
  </si>
  <si>
    <t>МЕТАЛИНВ 2</t>
  </si>
  <si>
    <t>МЕТАЛЛОИНВЕСТ ХК АО обл. 02</t>
  </si>
  <si>
    <t>RU000A0JTLL9</t>
  </si>
  <si>
    <t>МЕТАЛИНВ 3</t>
  </si>
  <si>
    <t>МЕТАЛЛОИНВЕСТ ХК АО обл. 03</t>
  </si>
  <si>
    <t>RU000A0JS5A7</t>
  </si>
  <si>
    <t>МЕТАЛИНВ 5</t>
  </si>
  <si>
    <t>МЕТАЛЛОИНВЕСТ ХК АО обл. 05</t>
  </si>
  <si>
    <t>RU000A0JS5L4</t>
  </si>
  <si>
    <t>МЕТАЛИНВ 6</t>
  </si>
  <si>
    <t>МЕТАЛЛОИНВЕСТ ХК АО обл. 06</t>
  </si>
  <si>
    <t>RU000A0JVA77</t>
  </si>
  <si>
    <t>МИА БО-02</t>
  </si>
  <si>
    <t>МИА КБ АО БО-02</t>
  </si>
  <si>
    <t>RU000A0JUNB4</t>
  </si>
  <si>
    <t>МИА БО-03</t>
  </si>
  <si>
    <t>МИА КБ АО БО-03</t>
  </si>
  <si>
    <t>RU000A0JVFE2</t>
  </si>
  <si>
    <t>МИндБ 01</t>
  </si>
  <si>
    <t>Московский индустр. банк 01</t>
  </si>
  <si>
    <t>RU000A0JTF50</t>
  </si>
  <si>
    <t>МКБ 11обл</t>
  </si>
  <si>
    <t>МКБ ПАО 11 об.</t>
  </si>
  <si>
    <t>RU000A0JTPD7</t>
  </si>
  <si>
    <t>МКБ 12 обл</t>
  </si>
  <si>
    <t>МКБ ПАО 12 об.</t>
  </si>
  <si>
    <t>RU000A0JU880</t>
  </si>
  <si>
    <t>МКБ БО-06</t>
  </si>
  <si>
    <t>МКБ ПАО БО-06</t>
  </si>
  <si>
    <t>RU000A0JU8W1</t>
  </si>
  <si>
    <t>МКБ БО-07</t>
  </si>
  <si>
    <t>МКБ ПАО БО-07</t>
  </si>
  <si>
    <t>RU000A0JU898</t>
  </si>
  <si>
    <t>МКБ БО-09</t>
  </si>
  <si>
    <t>МКБ ПАО БО-09</t>
  </si>
  <si>
    <t>RU000A0JUQQ5</t>
  </si>
  <si>
    <t>МКБ БО-10</t>
  </si>
  <si>
    <t>МКБ ПАО БО-10</t>
  </si>
  <si>
    <t>RU000A0JUQR3</t>
  </si>
  <si>
    <t>МКБ БО-11</t>
  </si>
  <si>
    <t>МКБ ПАО БО-11</t>
  </si>
  <si>
    <t>RU000A0JWWX5</t>
  </si>
  <si>
    <t>МКБ-лиз 01</t>
  </si>
  <si>
    <t>МКБ-лизинг 01</t>
  </si>
  <si>
    <t>RU000A0JWN63</t>
  </si>
  <si>
    <t>МОСТРЕСТ 7</t>
  </si>
  <si>
    <t>МОСТОТРЕСТ ПАО 07 обл.</t>
  </si>
  <si>
    <t>RU000A0JWN89</t>
  </si>
  <si>
    <t>МОСТРЕСТ 8</t>
  </si>
  <si>
    <t>МОСТОТРЕСТ ПАО 08 обл.</t>
  </si>
  <si>
    <t>RU000A0JUUU9</t>
  </si>
  <si>
    <t>МОЭСК БО-4</t>
  </si>
  <si>
    <t>ПАО "МОЭСК" БО-04</t>
  </si>
  <si>
    <t>RU000A0JWJX2</t>
  </si>
  <si>
    <t>МОЭСК БО-5</t>
  </si>
  <si>
    <t>ПАО "МОЭСК" БО-05</t>
  </si>
  <si>
    <t>RU000A0JWNK1</t>
  </si>
  <si>
    <t>МОЭСК БО-6</t>
  </si>
  <si>
    <t>ПАО "МОЭСК" БО-06</t>
  </si>
  <si>
    <t>RU000A0JWEZ8</t>
  </si>
  <si>
    <t>МОЭСК БО-8</t>
  </si>
  <si>
    <t>ПАО "МОЭСК" БО-08</t>
  </si>
  <si>
    <t>RU000A0JXJS0</t>
  </si>
  <si>
    <t>МОЭСК БО-9</t>
  </si>
  <si>
    <t>ПАО "МОЭСК" БО-09</t>
  </si>
  <si>
    <t>RU000A0JVGC4</t>
  </si>
  <si>
    <t>МРСК СЗ Б1</t>
  </si>
  <si>
    <t>МРСК Северо-Запада БО-01</t>
  </si>
  <si>
    <t>RU000A0JVYM6</t>
  </si>
  <si>
    <t>МРСКУр Б02</t>
  </si>
  <si>
    <t>МРСК Урала  БО-02</t>
  </si>
  <si>
    <t>RU000A0JWR51</t>
  </si>
  <si>
    <t>МРСКУр Б05</t>
  </si>
  <si>
    <t>МРСК Урала  БО-05</t>
  </si>
  <si>
    <t>RU000A0JVGD2</t>
  </si>
  <si>
    <t>МРСКЦенБО2</t>
  </si>
  <si>
    <t>МРСК Центра ПАО БО-02</t>
  </si>
  <si>
    <t>RU000A0JVYH6</t>
  </si>
  <si>
    <t>МРСКЦенБО3</t>
  </si>
  <si>
    <t>МРСК Центра ПАО БО-03</t>
  </si>
  <si>
    <t>RU000A0JVYL8</t>
  </si>
  <si>
    <t>МРСКЦенБО4</t>
  </si>
  <si>
    <t>МРСК Центра ПАО БО-04</t>
  </si>
  <si>
    <t>RU000A0JWR44</t>
  </si>
  <si>
    <t>МРСКЦенБО5</t>
  </si>
  <si>
    <t>МРСК Центра ПАО БО-05</t>
  </si>
  <si>
    <t>RU000A0JVJF1</t>
  </si>
  <si>
    <t>МРСКЮг БО1</t>
  </si>
  <si>
    <t>МРСК Юга (ПАО) БО-01</t>
  </si>
  <si>
    <t>RU000A0JS5R1</t>
  </si>
  <si>
    <t>МСП Банк 1</t>
  </si>
  <si>
    <t>МСП Банк АО 01</t>
  </si>
  <si>
    <t>RU000A0JS603</t>
  </si>
  <si>
    <t>МСП Банк 2</t>
  </si>
  <si>
    <t>МСП Банк АО 02</t>
  </si>
  <si>
    <t>RU000A0JXEV5</t>
  </si>
  <si>
    <t>МТС 001P-1</t>
  </si>
  <si>
    <t>Мобильные ТелеСистемы 001P-01</t>
  </si>
  <si>
    <t>RU000A0JPTJ4</t>
  </si>
  <si>
    <t>МТС 03</t>
  </si>
  <si>
    <t>Мобильные ТелеСистемы ПАО об3</t>
  </si>
  <si>
    <t>RU000A0JR4H6</t>
  </si>
  <si>
    <t>МТС 07</t>
  </si>
  <si>
    <t>Мобильные ТелеСистемы ПАО об 7</t>
  </si>
  <si>
    <t>RU000A0JR4J2</t>
  </si>
  <si>
    <t>МТС 08</t>
  </si>
  <si>
    <t>Мобильные ТелеСистемы ПАО об 8</t>
  </si>
  <si>
    <t>RU000A0JTTA5</t>
  </si>
  <si>
    <t>МТС БО-01</t>
  </si>
  <si>
    <t>Мобильные ТелеСистемы ПАО БО-1</t>
  </si>
  <si>
    <t>RU000A0JWRV9</t>
  </si>
  <si>
    <t>МТС БО-02</t>
  </si>
  <si>
    <t>Мобильные ТелеСистемы ПАО БО-2</t>
  </si>
  <si>
    <t>RU000A0JVXM8</t>
  </si>
  <si>
    <t>Магнит1P01</t>
  </si>
  <si>
    <t>Магнит ПАО БО-001P-01</t>
  </si>
  <si>
    <t>RU000A0JW662</t>
  </si>
  <si>
    <t>Магнит1P02</t>
  </si>
  <si>
    <t>Магнит ПАО БО-001P-02</t>
  </si>
  <si>
    <t>RU000A0JWCF4</t>
  </si>
  <si>
    <t>Магнит1P03</t>
  </si>
  <si>
    <t>Магнит ПАО БО-001P-03</t>
  </si>
  <si>
    <t>RU000A0JWML1</t>
  </si>
  <si>
    <t>Магнит1P04</t>
  </si>
  <si>
    <t>Магнит ПАО БО-001P-04</t>
  </si>
  <si>
    <t>RU000A0JVUZ6</t>
  </si>
  <si>
    <t>МагнитБО11</t>
  </si>
  <si>
    <t>Магнит ПАО БО-11</t>
  </si>
  <si>
    <t>RU000A0JUMW2</t>
  </si>
  <si>
    <t>МарЭл2014</t>
  </si>
  <si>
    <t>Респ.Марий Эл 2014 обл.07</t>
  </si>
  <si>
    <t>RU000A0JV3Z4</t>
  </si>
  <si>
    <t>МгдОбл2014</t>
  </si>
  <si>
    <t>Магаданская обл. 2014</t>
  </si>
  <si>
    <t>RU000A0JWKA8</t>
  </si>
  <si>
    <t>МегафнБ1P2</t>
  </si>
  <si>
    <t>МегаФон ПАО БО-001P-02</t>
  </si>
  <si>
    <t>RU000A0JWGG3</t>
  </si>
  <si>
    <t>МегафонБ1P</t>
  </si>
  <si>
    <t>МегаФон ПАО БО-001P-01</t>
  </si>
  <si>
    <t>RU000A0JVVB5</t>
  </si>
  <si>
    <t>МегафонБО5</t>
  </si>
  <si>
    <t>МегаФон ПАО БО-05</t>
  </si>
  <si>
    <t>RU000A0JT4G6</t>
  </si>
  <si>
    <t>МегафонФ05</t>
  </si>
  <si>
    <t>ООО МегаФон Финанс обл. 05</t>
  </si>
  <si>
    <t>RU000A0JTR98</t>
  </si>
  <si>
    <t>МегафонФ06</t>
  </si>
  <si>
    <t>ООО МегаФон Финанс обл. 06</t>
  </si>
  <si>
    <t>RU000A0JTRA9</t>
  </si>
  <si>
    <t>МегафонФ07</t>
  </si>
  <si>
    <t>ООО МегаФон Финанс обл. 07</t>
  </si>
  <si>
    <t>RU000A0JUG56</t>
  </si>
  <si>
    <t>МежИнБанк1</t>
  </si>
  <si>
    <t>Международный инвест. банк 01</t>
  </si>
  <si>
    <t>RU000A0JUG72</t>
  </si>
  <si>
    <t>МежИнБанк2</t>
  </si>
  <si>
    <t>Международный инвест. банк 02</t>
  </si>
  <si>
    <t>RU000A0JUG80</t>
  </si>
  <si>
    <t>МежИнБанк3</t>
  </si>
  <si>
    <t>Международный инвест. банк 03</t>
  </si>
  <si>
    <t>RU000A0JUG98</t>
  </si>
  <si>
    <t>МежИнБанк4</t>
  </si>
  <si>
    <t>Международный инвест. банк 04</t>
  </si>
  <si>
    <t>RU000A0JSLP2</t>
  </si>
  <si>
    <t>МежФинКор1</t>
  </si>
  <si>
    <t>Международная фин корпорация 1</t>
  </si>
  <si>
    <t>RU000A0JSLQ0</t>
  </si>
  <si>
    <t>МежФинКор2</t>
  </si>
  <si>
    <t>Международная фин корпорация 2</t>
  </si>
  <si>
    <t>RU000A0JSLR8</t>
  </si>
  <si>
    <t>МежФинКор3</t>
  </si>
  <si>
    <t>Международная фин корпорация 3</t>
  </si>
  <si>
    <t>RU000A0JTD37</t>
  </si>
  <si>
    <t>Меркурий-1</t>
  </si>
  <si>
    <t>Меркурий ФК ООО диск.об. 01</t>
  </si>
  <si>
    <t>RU000A0JVF56</t>
  </si>
  <si>
    <t>МетИнвБ Б2</t>
  </si>
  <si>
    <t>Металлинвестбанк АКБ ПАО БО-02</t>
  </si>
  <si>
    <t>RU000A0JVE40</t>
  </si>
  <si>
    <t>МетЭнМонт1</t>
  </si>
  <si>
    <t>Металлэнергомонтаж ООО об. 01</t>
  </si>
  <si>
    <t>RU000A0JQ8V9</t>
  </si>
  <si>
    <t>Мечел  4об</t>
  </si>
  <si>
    <t>Мечел ПАО 04 обл.</t>
  </si>
  <si>
    <t>RU000A0JR0K8</t>
  </si>
  <si>
    <t>Мечел 13об</t>
  </si>
  <si>
    <t>Мечел ПАО 13 обл.</t>
  </si>
  <si>
    <t>RU000A0JR0J0</t>
  </si>
  <si>
    <t>Мечел 14об</t>
  </si>
  <si>
    <t>Мечел ПАО 14 обл.</t>
  </si>
  <si>
    <t>RU000A0JR8L9</t>
  </si>
  <si>
    <t>Мечел 15об</t>
  </si>
  <si>
    <t>Мечел ПАО 15 обл.</t>
  </si>
  <si>
    <t>RU000A0JR8P0</t>
  </si>
  <si>
    <t>Мечел 16об</t>
  </si>
  <si>
    <t>Мечел ПАО 16 обл.</t>
  </si>
  <si>
    <t>RU000A0JRJS2</t>
  </si>
  <si>
    <t>Мечел 17об</t>
  </si>
  <si>
    <t>Мечел ПАО 17 обл.</t>
  </si>
  <si>
    <t>RU000A0JRJT0</t>
  </si>
  <si>
    <t>Мечел 18об</t>
  </si>
  <si>
    <t>Мечел ПАО 18 обл.</t>
  </si>
  <si>
    <t>RU000A0JRJY0</t>
  </si>
  <si>
    <t>Мечел 19об</t>
  </si>
  <si>
    <t>Мечел ПАО 19 обл.</t>
  </si>
  <si>
    <t>RU000A0JWF22</t>
  </si>
  <si>
    <t>МиратФБО-6</t>
  </si>
  <si>
    <t>ООО "Мираторг Финанс" БО-06</t>
  </si>
  <si>
    <t>RU000A0JWRH8</t>
  </si>
  <si>
    <t>МиратФБО-7</t>
  </si>
  <si>
    <t>ООО "Мираторг Финанс" БО-07</t>
  </si>
  <si>
    <t>RU000A0JU8Q3</t>
  </si>
  <si>
    <t>Мордовия01</t>
  </si>
  <si>
    <t>Мордовия 34001 обл.</t>
  </si>
  <si>
    <t>RU000A0JVV49</t>
  </si>
  <si>
    <t>Мордовия02</t>
  </si>
  <si>
    <t>Мордовия 34002 обл.</t>
  </si>
  <si>
    <t>RU000A0JWSQ7</t>
  </si>
  <si>
    <t>Мордовия03</t>
  </si>
  <si>
    <t>Мордовия 34003 обл.</t>
  </si>
  <si>
    <t>RU000A0JX0B9</t>
  </si>
  <si>
    <t>МосОбл2016</t>
  </si>
  <si>
    <t>Минфин Московской обл. 2016</t>
  </si>
  <si>
    <t>RU000A0JWF06</t>
  </si>
  <si>
    <t>МрскСКБ1Р1</t>
  </si>
  <si>
    <t>МРСК Сев. Кавказа БО-001Р-01</t>
  </si>
  <si>
    <t>RU000A0JWE64</t>
  </si>
  <si>
    <t>НДК БО-01</t>
  </si>
  <si>
    <t>НДК ПАО БО-01</t>
  </si>
  <si>
    <t>RU000A0JVWC1</t>
  </si>
  <si>
    <t>НЛМК БО-08</t>
  </si>
  <si>
    <t>НЛМК (ПАО) обл. сер. БО-08</t>
  </si>
  <si>
    <t>RU000A0JU7E1</t>
  </si>
  <si>
    <t>НЛМК БО-13</t>
  </si>
  <si>
    <t>НЛМК (ПАО) обл. сер. БО-13</t>
  </si>
  <si>
    <t>RU000A0JQYU9</t>
  </si>
  <si>
    <t>ННК-Актив3</t>
  </si>
  <si>
    <t>ННК-Актив АО обл.серия 03</t>
  </si>
  <si>
    <t>RU000A0JRJV6</t>
  </si>
  <si>
    <t>ННК-Актив4</t>
  </si>
  <si>
    <t>ННК-Актив АО обл.серия 04</t>
  </si>
  <si>
    <t>RU000A0JRK22</t>
  </si>
  <si>
    <t>ННК-Актив6</t>
  </si>
  <si>
    <t>ННК-Актив АО обл.серия 06</t>
  </si>
  <si>
    <t>RU000A0JQ5C5</t>
  </si>
  <si>
    <t>НПФ 01</t>
  </si>
  <si>
    <t>НПФ ООО об.сер. 01</t>
  </si>
  <si>
    <t>RU000A0JTX74</t>
  </si>
  <si>
    <t>НаукСвяз01</t>
  </si>
  <si>
    <t>Наука-Связь ПАО 01</t>
  </si>
  <si>
    <t>RU000A0JUKS4</t>
  </si>
  <si>
    <t>НацКап Б06</t>
  </si>
  <si>
    <t>Национальный капитал ОАО БО-06</t>
  </si>
  <si>
    <t>RU000A0JUKT2</t>
  </si>
  <si>
    <t>НацКап Б07</t>
  </si>
  <si>
    <t>Национальный капитал ОАО БО-07</t>
  </si>
  <si>
    <t>RU000A0JVS93</t>
  </si>
  <si>
    <t>НацКап Б08</t>
  </si>
  <si>
    <t>Национальный капитал ОАО БО-08</t>
  </si>
  <si>
    <t>RU000A0JU1W6</t>
  </si>
  <si>
    <t>НацКап-03</t>
  </si>
  <si>
    <t>Национальный капитал ОАО 03</t>
  </si>
  <si>
    <t>RU000A0JVH05</t>
  </si>
  <si>
    <t>НацСтдБО-1</t>
  </si>
  <si>
    <t>Национальный стандарт Банк Б-1</t>
  </si>
  <si>
    <t>RU000A0JU0U2</t>
  </si>
  <si>
    <t>НацСтдБО-2</t>
  </si>
  <si>
    <t>Национальный стандарт Банк Б-2</t>
  </si>
  <si>
    <t>RU000A0JS6Z2</t>
  </si>
  <si>
    <t>НефтАль 01</t>
  </si>
  <si>
    <t>КБ "НЕФТЯНОЙ АЛЬЯНС" обл. 01</t>
  </si>
  <si>
    <t>RU000A0JWLQ2</t>
  </si>
  <si>
    <t>НефтАль 03</t>
  </si>
  <si>
    <t>КБ "НЕФТЯНОЙ АЛЬЯНС" обл. 03</t>
  </si>
  <si>
    <t>RU000A0JVPR3</t>
  </si>
  <si>
    <t>НижгорОб10</t>
  </si>
  <si>
    <t>Нижегородская обл. 34010</t>
  </si>
  <si>
    <t>RU000A0JWLD0</t>
  </si>
  <si>
    <t>НижгорОб11</t>
  </si>
  <si>
    <t>Нижегородская обл. 35011</t>
  </si>
  <si>
    <t>RU000A0JSVD7</t>
  </si>
  <si>
    <t>НижгорОбл8</t>
  </si>
  <si>
    <t>Нижегородская обл. 34008</t>
  </si>
  <si>
    <t>RU000A0JU3B6</t>
  </si>
  <si>
    <t>НижгорОбл9</t>
  </si>
  <si>
    <t>Нижегородская обл. 34009</t>
  </si>
  <si>
    <t>RU000A0JVJ94</t>
  </si>
  <si>
    <t>НовикомБО2</t>
  </si>
  <si>
    <t>НОВИКОМБАНК АКБ АО БО-02</t>
  </si>
  <si>
    <t>RU000A0JVJ45</t>
  </si>
  <si>
    <t>НовикомБО5</t>
  </si>
  <si>
    <t>НОВИКОМБАНК АКБ АО БО-05</t>
  </si>
  <si>
    <t>RU000A0JSY25</t>
  </si>
  <si>
    <t>Новсиб 5об</t>
  </si>
  <si>
    <t>Новосибирск, мун.обл. 2012</t>
  </si>
  <si>
    <t>RU000A0JU1T2</t>
  </si>
  <si>
    <t>Новсиб 6об</t>
  </si>
  <si>
    <t>Новосибирск  мун.обл. 2013</t>
  </si>
  <si>
    <t>RU000A0JVUD3</t>
  </si>
  <si>
    <t>Новсиб 7об</t>
  </si>
  <si>
    <t>Новосибирск  мун.обл. 2015</t>
  </si>
  <si>
    <t>RU000A0JWHW8</t>
  </si>
  <si>
    <t>Новсиб 8об</t>
  </si>
  <si>
    <t>Новосибирск  мун.обл. 2016</t>
  </si>
  <si>
    <t>RU000A0JU963</t>
  </si>
  <si>
    <t>Новсиб2013</t>
  </si>
  <si>
    <t>Новосибирская область 2013</t>
  </si>
  <si>
    <t>RU000A0JUR46</t>
  </si>
  <si>
    <t>Новсиб2014</t>
  </si>
  <si>
    <t>Новосибирская область 2014</t>
  </si>
  <si>
    <t>RU000A0JWUV3</t>
  </si>
  <si>
    <t>Новсиб2016</t>
  </si>
  <si>
    <t>Новосибирская область 2016</t>
  </si>
  <si>
    <t>RU000A0JW5C7</t>
  </si>
  <si>
    <t>НорНик БО5</t>
  </si>
  <si>
    <t>ГМК Нор.Никель ПАО об БО-05</t>
  </si>
  <si>
    <t>RU000A0JUZN3</t>
  </si>
  <si>
    <t>НоябрПГЭ01</t>
  </si>
  <si>
    <t>ООО "Ноябрьская ПГЭ" 01 обл.</t>
  </si>
  <si>
    <t>RU000A0JTFU2</t>
  </si>
  <si>
    <t>О'КЕЙ-02</t>
  </si>
  <si>
    <t>О'КЕЙ ООО 02 Обл.</t>
  </si>
  <si>
    <t>RU000A0JU7J0</t>
  </si>
  <si>
    <t>О'КЕЙ-Б04</t>
  </si>
  <si>
    <t>О'КЕЙ ООО БО-04</t>
  </si>
  <si>
    <t>RU000A0JVD17</t>
  </si>
  <si>
    <t>О'КЕЙ-Б05</t>
  </si>
  <si>
    <t>О'КЕЙ ООО БО-05</t>
  </si>
  <si>
    <t>RU000A0JWCK4</t>
  </si>
  <si>
    <t>О'КЕЙ-Б06</t>
  </si>
  <si>
    <t>О'КЕЙ ООО БО-06</t>
  </si>
  <si>
    <t>RU000A0JU2F9</t>
  </si>
  <si>
    <t>О1пропфин1</t>
  </si>
  <si>
    <t>О1 Пропертиз Финанс АО 01 об.</t>
  </si>
  <si>
    <t>RU000A0JRA65</t>
  </si>
  <si>
    <t>ОАК1</t>
  </si>
  <si>
    <t>Объед.авиастр.корп. ПАО обл.01</t>
  </si>
  <si>
    <t>RU000A0JUU25</t>
  </si>
  <si>
    <t>ОВК Фин Б1</t>
  </si>
  <si>
    <t>ОВК Финанс ООО БО-01</t>
  </si>
  <si>
    <t>RU000A0JUBD5</t>
  </si>
  <si>
    <t>ОВК Фин01</t>
  </si>
  <si>
    <t>ОВК Финанс ООО об. сер.01</t>
  </si>
  <si>
    <t>RU000A0JVYN4</t>
  </si>
  <si>
    <t>ОГК2 Б1P1R</t>
  </si>
  <si>
    <t>ОГК-2 ПАО БО-001P-01R</t>
  </si>
  <si>
    <t>RU000A0JVYP9</t>
  </si>
  <si>
    <t>ОГК2 Б1P2R</t>
  </si>
  <si>
    <t>ОГК-2 ПАО БО-001P-02R</t>
  </si>
  <si>
    <t>RU000A0JWK74</t>
  </si>
  <si>
    <t>ОДК 01</t>
  </si>
  <si>
    <t>АО "Объед.двигателестр.корп"01</t>
  </si>
  <si>
    <t>RU000A0JWDA3</t>
  </si>
  <si>
    <t>ОДК 02</t>
  </si>
  <si>
    <t>АО "Объед.двигателестр.корп"02</t>
  </si>
  <si>
    <t>RU000A0JWDB1</t>
  </si>
  <si>
    <t>ОДК 03</t>
  </si>
  <si>
    <t>АО "Объед.двигателестр.корп"03</t>
  </si>
  <si>
    <t>RU000A0JWDC9</t>
  </si>
  <si>
    <t>ОДК 04</t>
  </si>
  <si>
    <t>АО "Объед.двигателестр.корп"04</t>
  </si>
  <si>
    <t>RU000A0JXLM9</t>
  </si>
  <si>
    <t>ОПИН БО-01</t>
  </si>
  <si>
    <t>ОПИН ПАО БО-01</t>
  </si>
  <si>
    <t>RU000A0JTV50</t>
  </si>
  <si>
    <t>ОбКонФ БО1</t>
  </si>
  <si>
    <t>Об.Кондитеры-Фин.ООО БО-01</t>
  </si>
  <si>
    <t>RU000A0JVF80</t>
  </si>
  <si>
    <t>ОбрАКИБ 01</t>
  </si>
  <si>
    <t>Образование АКИБ (АО) об.01</t>
  </si>
  <si>
    <t>RU000A0JUTX5</t>
  </si>
  <si>
    <t>ОбувьрусБ4</t>
  </si>
  <si>
    <t>Обувьрус ООО обл.БО-04</t>
  </si>
  <si>
    <t>RU000A0JVRP3</t>
  </si>
  <si>
    <t>ОбувьрусБ5</t>
  </si>
  <si>
    <t>Обувьрус ООО обл.БО-05</t>
  </si>
  <si>
    <t>RU000A0JWB83</t>
  </si>
  <si>
    <t>ОбувьрусБ6</t>
  </si>
  <si>
    <t>Обувьрус ООО обл.БО-06</t>
  </si>
  <si>
    <t>RU000A0JX8E6</t>
  </si>
  <si>
    <t>ОбувьрусБ7</t>
  </si>
  <si>
    <t>Обувьрус ООО обл.БО-07</t>
  </si>
  <si>
    <t>RU000A0JV0V9</t>
  </si>
  <si>
    <t>ОмскАдм 1</t>
  </si>
  <si>
    <t>Администрация г. Омска 2014</t>
  </si>
  <si>
    <t>RU000A0JWWQ9</t>
  </si>
  <si>
    <t>ОмскАдм 2</t>
  </si>
  <si>
    <t>Администрация г. Омска 2016</t>
  </si>
  <si>
    <t>RU000A0JUX89</t>
  </si>
  <si>
    <t>ОмскОб2014</t>
  </si>
  <si>
    <t>Омская обл. 34002 обл.</t>
  </si>
  <si>
    <t>RU000A0JWX87</t>
  </si>
  <si>
    <t>ОмскОб2016</t>
  </si>
  <si>
    <t>Омская обл. 35003 обл.</t>
  </si>
  <si>
    <t>RU000A0JTGE4</t>
  </si>
  <si>
    <t>ОренОбл 01</t>
  </si>
  <si>
    <t>Оренбургская область 34001 об.</t>
  </si>
  <si>
    <t>RU000A0JTZK1</t>
  </si>
  <si>
    <t>ОренОбл 02</t>
  </si>
  <si>
    <t>Оренбургская область 35001 об.</t>
  </si>
  <si>
    <t>RU000A0JUPE3</t>
  </si>
  <si>
    <t>Оренб35002</t>
  </si>
  <si>
    <t>Оренбургская область 35002 об.</t>
  </si>
  <si>
    <t>RU000A0JVM81</t>
  </si>
  <si>
    <t>Оренб35003</t>
  </si>
  <si>
    <t>Оренбургская область 35003 об.</t>
  </si>
  <si>
    <t>RU000A0JTG83</t>
  </si>
  <si>
    <t>ОткрФКБ 01</t>
  </si>
  <si>
    <t>ПАО ОТКРЫТИЕ ФК Банк 01</t>
  </si>
  <si>
    <t>RU000A0JQZT8</t>
  </si>
  <si>
    <t>ОткрФКБ12</t>
  </si>
  <si>
    <t>ПАО ОТКРЫТИЕ ФК Банк 12</t>
  </si>
  <si>
    <t>RU000A0JU872</t>
  </si>
  <si>
    <t>ОткрФКБ9</t>
  </si>
  <si>
    <t>ПАО ОТКРЫТИЕ ФК Банк 9</t>
  </si>
  <si>
    <t>RU000A0JV3J8</t>
  </si>
  <si>
    <t>ОткрФКББ02</t>
  </si>
  <si>
    <t>ПАО ОТКРЫТИЕ ФК Банк БО-02</t>
  </si>
  <si>
    <t>RU000A0JV573</t>
  </si>
  <si>
    <t>ОткрФКББ07</t>
  </si>
  <si>
    <t>ПАО ОТКРЫТИЕ ФК Банк БО-07</t>
  </si>
  <si>
    <t>RU000A0JV3L4</t>
  </si>
  <si>
    <t>ОткрФКББ4</t>
  </si>
  <si>
    <t>ПАО ОТКРЫТИЕ ФК Банк БО-4</t>
  </si>
  <si>
    <t>RU000A0JVC59</t>
  </si>
  <si>
    <t>ОткрФКБОП1</t>
  </si>
  <si>
    <t>ПАО ОТКРЫТИЕ ФК Банк БО-П01</t>
  </si>
  <si>
    <t>RU000A0JVC67</t>
  </si>
  <si>
    <t>ОткрФКБОП2</t>
  </si>
  <si>
    <t>ПАО ОТКРЫТИЕ ФК Банк БО-П02</t>
  </si>
  <si>
    <t>RU000A0JXLR8</t>
  </si>
  <si>
    <t>ОткрФКБОП3</t>
  </si>
  <si>
    <t>ПАО ОТКРЫТИЕ ФК Банк БО-П03</t>
  </si>
  <si>
    <t>RU000A0JS264</t>
  </si>
  <si>
    <t>ОткрХОЛ 2</t>
  </si>
  <si>
    <t>Открытие Холдинг АО обл. 02</t>
  </si>
  <si>
    <t>RU000A0JT3J2</t>
  </si>
  <si>
    <t>ОткрХОЛ 3</t>
  </si>
  <si>
    <t>Открытие Холдинг АО обл. 03</t>
  </si>
  <si>
    <t>RU000A0JTH82</t>
  </si>
  <si>
    <t>ОткрХОЛ 4</t>
  </si>
  <si>
    <t>Открытие Холдинг АО обл. 04</t>
  </si>
  <si>
    <t>RU000A0JTX09</t>
  </si>
  <si>
    <t>ОткрХОЛ 5</t>
  </si>
  <si>
    <t>Открытие Холдинг АО обл. 05</t>
  </si>
  <si>
    <t>RU000A0JU2N3</t>
  </si>
  <si>
    <t>ОткрХОЛ 6</t>
  </si>
  <si>
    <t>Открытие Холдинг АО обл. 06</t>
  </si>
  <si>
    <t>RU000A0JVPJ0</t>
  </si>
  <si>
    <t>ОткрХОЛБО1</t>
  </si>
  <si>
    <t>Открытие Холдинг АО обл.БО-01</t>
  </si>
  <si>
    <t>RU000A0JVDR9</t>
  </si>
  <si>
    <t>ОткрХОЛБО2</t>
  </si>
  <si>
    <t>Открытие Холдинг АО обл.БО-02</t>
  </si>
  <si>
    <t>RU000A0JURM2</t>
  </si>
  <si>
    <t>ОткрХОЛБО3</t>
  </si>
  <si>
    <t>Открытие Холдинг АО обл. БО-3</t>
  </si>
  <si>
    <t>RU000A0JUWV3</t>
  </si>
  <si>
    <t>ОткрХОЛБО4</t>
  </si>
  <si>
    <t>Открытие Холдинг АО обл. БО-4</t>
  </si>
  <si>
    <t>RU000A0JVP21</t>
  </si>
  <si>
    <t>ОткрХОЛБО5</t>
  </si>
  <si>
    <t>Открытие Холдинг АО обл.БО-05</t>
  </si>
  <si>
    <t>RU000A0JWX46</t>
  </si>
  <si>
    <t>ОткрХОЛБО6</t>
  </si>
  <si>
    <t>Открытие Холдинг АО обл.БО-06</t>
  </si>
  <si>
    <t>RU000A0JVT76</t>
  </si>
  <si>
    <t>ПГК 01</t>
  </si>
  <si>
    <t>Первая Грузовая Компания АО 01</t>
  </si>
  <si>
    <t>RU000A0JVW22</t>
  </si>
  <si>
    <t>ПГК 02</t>
  </si>
  <si>
    <t>Первая Грузовая Компания АО 02</t>
  </si>
  <si>
    <t>RU000A0JVWT5</t>
  </si>
  <si>
    <t>ПГК 03</t>
  </si>
  <si>
    <t>Первая Грузовая Компания АО 03</t>
  </si>
  <si>
    <t>RU000A0JVUL6</t>
  </si>
  <si>
    <t>ПГК 05</t>
  </si>
  <si>
    <t>Первая Грузовая Компания АО 05</t>
  </si>
  <si>
    <t>RU000A0JWP38</t>
  </si>
  <si>
    <t>ПИК БО-1</t>
  </si>
  <si>
    <t>ГК ПИК (ПАО) БО-01</t>
  </si>
  <si>
    <t>RU000A0JWSU9</t>
  </si>
  <si>
    <t>ПИК БО-2</t>
  </si>
  <si>
    <t>ГК ПИК (ПАО) БО-02</t>
  </si>
  <si>
    <t>RU000A0JWSV7</t>
  </si>
  <si>
    <t>ПИК БО-3</t>
  </si>
  <si>
    <t>ГК ПИК (ПАО) БО-03</t>
  </si>
  <si>
    <t>RU000A0JVPN2</t>
  </si>
  <si>
    <t>ПИК БО-4</t>
  </si>
  <si>
    <t>ГК ПИК (ПАО) БО-04</t>
  </si>
  <si>
    <t>RU000A0JVPP7</t>
  </si>
  <si>
    <t>ПИК БО-5</t>
  </si>
  <si>
    <t>ГК ПИК (ПАО) БО-05</t>
  </si>
  <si>
    <t>RU000A0JVPQ5</t>
  </si>
  <si>
    <t>ПИК БО-6</t>
  </si>
  <si>
    <t>ГК ПИК (ПАО) БО-06</t>
  </si>
  <si>
    <t>RU000A0JWP46</t>
  </si>
  <si>
    <t>ПИК БО-7</t>
  </si>
  <si>
    <t>ГК ПИК (ПАО) БО-07</t>
  </si>
  <si>
    <t>RU000A0JXK40</t>
  </si>
  <si>
    <t>ПИК БО-П01</t>
  </si>
  <si>
    <t>ГК ПИК (ПАО) БО-П01</t>
  </si>
  <si>
    <t>RU000A0JW2T8</t>
  </si>
  <si>
    <t>ПКБ 07</t>
  </si>
  <si>
    <t>Первое кол.бюро НАО 07</t>
  </si>
  <si>
    <t>RU000A0JVCK6</t>
  </si>
  <si>
    <t>ПКБ 08</t>
  </si>
  <si>
    <t>Первое кол.бюро НАО 08</t>
  </si>
  <si>
    <t>RU000A0JWWG0</t>
  </si>
  <si>
    <t>ПКБ БО-01</t>
  </si>
  <si>
    <t>Первое кол.бюро НАО БО-01</t>
  </si>
  <si>
    <t>RU000A0JW0S4</t>
  </si>
  <si>
    <t>ПКТ 01</t>
  </si>
  <si>
    <t>АО "ПКТ" обл. 01</t>
  </si>
  <si>
    <t>RU000A0JW5E3</t>
  </si>
  <si>
    <t>ПКТ 02</t>
  </si>
  <si>
    <t>АО "ПКТ" обл. 02</t>
  </si>
  <si>
    <t>RU000A0JWBP5</t>
  </si>
  <si>
    <t>ПКТ 03</t>
  </si>
  <si>
    <t>АО "ПКТ" обл. 03</t>
  </si>
  <si>
    <t>RU000A0JWTU7</t>
  </si>
  <si>
    <t>ПСБМСБ15А1</t>
  </si>
  <si>
    <t>СФО ПСБ МСБ 2015 об. 01 кл.А</t>
  </si>
  <si>
    <t>RU000A0JX017</t>
  </si>
  <si>
    <t>ПСКап БП1</t>
  </si>
  <si>
    <t>ПромСвязьКапитал АО БО-П01</t>
  </si>
  <si>
    <t>RU000A0JWTJ0</t>
  </si>
  <si>
    <t>ПСНПрМдж 1</t>
  </si>
  <si>
    <t>ПСН Проперти Менеджмент 01 об.</t>
  </si>
  <si>
    <t>RU000A0JWX95</t>
  </si>
  <si>
    <t>ПионерБ1P1</t>
  </si>
  <si>
    <t>ГК Пионер БО-001P-01</t>
  </si>
  <si>
    <t>RU000A0JWK66</t>
  </si>
  <si>
    <t>ПионерБО2</t>
  </si>
  <si>
    <t>Группа Компаний Пионер БО-02.</t>
  </si>
  <si>
    <t>RU000A0JVGR2</t>
  </si>
  <si>
    <t>ПолиплБ02</t>
  </si>
  <si>
    <t>Полипласт АО БО-02</t>
  </si>
  <si>
    <t>RU000A0JWYK8</t>
  </si>
  <si>
    <t>ПолиплБ03</t>
  </si>
  <si>
    <t>Полипласт АО БО-03</t>
  </si>
  <si>
    <t>RU000A0JVMD0</t>
  </si>
  <si>
    <t>ПолюсБ1</t>
  </si>
  <si>
    <t>Полюс ПАО БО-01</t>
  </si>
  <si>
    <t>RU000A0JVM99</t>
  </si>
  <si>
    <t>ПолюсБ2</t>
  </si>
  <si>
    <t>Полюс ПАО БО-02</t>
  </si>
  <si>
    <t>RU000A0JVMB4</t>
  </si>
  <si>
    <t>ПолюсБ3</t>
  </si>
  <si>
    <t>Полюс ПАО БО-03</t>
  </si>
  <si>
    <t>RU000A0JX2V3</t>
  </si>
  <si>
    <t>ПочтаРБ1P1</t>
  </si>
  <si>
    <t>Почта России (ФГУП) БО-001P-01</t>
  </si>
  <si>
    <t>RU000A0JT8N3</t>
  </si>
  <si>
    <t>ПочтаРос02</t>
  </si>
  <si>
    <t>Почта России (ФГУП) обл.02</t>
  </si>
  <si>
    <t>RU000A0JT8R4</t>
  </si>
  <si>
    <t>ПочтаРос03</t>
  </si>
  <si>
    <t>Почта России (ФГУП) обл.03</t>
  </si>
  <si>
    <t>RU000A0JT8T0</t>
  </si>
  <si>
    <t>ПочтаРос04</t>
  </si>
  <si>
    <t>Почта России (ФГУП) обл.04</t>
  </si>
  <si>
    <t>RU000A0JVZY8</t>
  </si>
  <si>
    <t>ПочтаРосБ1</t>
  </si>
  <si>
    <t>Почта России (ФГУП) БО-01</t>
  </si>
  <si>
    <t>RU000A0JWGV2</t>
  </si>
  <si>
    <t>ПочтаРосБ2</t>
  </si>
  <si>
    <t>Почта России (ФГУП) БО-02</t>
  </si>
  <si>
    <t>RU000A0JWTL6</t>
  </si>
  <si>
    <t>ПочтаРосБ3</t>
  </si>
  <si>
    <t>Почта России (ФГУП) БО-03</t>
  </si>
  <si>
    <t>RU000A0JURP5</t>
  </si>
  <si>
    <t>ПрГарант 2</t>
  </si>
  <si>
    <t>Профит-Гарант ООО обл.02</t>
  </si>
  <si>
    <t>RU000A0JTER1</t>
  </si>
  <si>
    <t>Правоурми1</t>
  </si>
  <si>
    <t>Правоурмийское ООО сер. 01</t>
  </si>
  <si>
    <t>RU000A0JU179</t>
  </si>
  <si>
    <t>ПраймФ 01</t>
  </si>
  <si>
    <t>ООО "Прайм Финанс" 01</t>
  </si>
  <si>
    <t>RU000A0JVYD5</t>
  </si>
  <si>
    <t>ПраймФ БО1</t>
  </si>
  <si>
    <t>ООО "Прайм Финанс" БО-01</t>
  </si>
  <si>
    <t>RU000A0JW4F3</t>
  </si>
  <si>
    <t>ПраймФ БО2</t>
  </si>
  <si>
    <t>ООО "Прайм Финанс" БО-02</t>
  </si>
  <si>
    <t>RU000A0JS1J7</t>
  </si>
  <si>
    <t>Приам 01</t>
  </si>
  <si>
    <t>Приам ПАО обл.01</t>
  </si>
  <si>
    <t>RU000A0JWEC7</t>
  </si>
  <si>
    <t>ПромСвКап1</t>
  </si>
  <si>
    <t>ПромСвязьКапитал АО 01</t>
  </si>
  <si>
    <t>RU000A0JURQ3</t>
  </si>
  <si>
    <t>Промкап 02</t>
  </si>
  <si>
    <t>Промкапитал ООО обл.02</t>
  </si>
  <si>
    <t>RU000A0JSQP1</t>
  </si>
  <si>
    <t>Промсвб-13</t>
  </si>
  <si>
    <t>Промсвязьбанк ПАО обл.13</t>
  </si>
  <si>
    <t>RU000A0JUVF8</t>
  </si>
  <si>
    <t>ПромсвбБО6</t>
  </si>
  <si>
    <t>Промсвязьбанк ПАО БО-06</t>
  </si>
  <si>
    <t>RU000A0JUVG6</t>
  </si>
  <si>
    <t>ПромсвбБО8</t>
  </si>
  <si>
    <t>Промсвязьбанк ПАО БО-08</t>
  </si>
  <si>
    <t>RU000A0JWEU9</t>
  </si>
  <si>
    <t>ПромсвбБП1</t>
  </si>
  <si>
    <t>Промсвязьбанк ПАО БО-П01</t>
  </si>
  <si>
    <t>RU000A0JVUB7</t>
  </si>
  <si>
    <t>ПропфинБО1</t>
  </si>
  <si>
    <t>О1 Пропертиз Финанс АО БО-01</t>
  </si>
  <si>
    <t>RU000A0JXC40</t>
  </si>
  <si>
    <t>ПропфнБ-П1</t>
  </si>
  <si>
    <t>О1 Пропертиз Финанс БО-П01USD</t>
  </si>
  <si>
    <t>RU000A0JQVD1</t>
  </si>
  <si>
    <t>РБК 04</t>
  </si>
  <si>
    <t>РБК ПАО обл.04</t>
  </si>
  <si>
    <t>RU000A0JQVE9</t>
  </si>
  <si>
    <t>РБК 05</t>
  </si>
  <si>
    <t>РБК ПАО обл.05</t>
  </si>
  <si>
    <t>RU000A0JQVF6</t>
  </si>
  <si>
    <t>РБК 06</t>
  </si>
  <si>
    <t>РБК ПАО обл.06</t>
  </si>
  <si>
    <t>RU000A0JW1F9</t>
  </si>
  <si>
    <t>РВКФинБО01</t>
  </si>
  <si>
    <t>ООО "РВК-Финанс" БО-01</t>
  </si>
  <si>
    <t>RU000A0JVVQ3</t>
  </si>
  <si>
    <t>РГСНдвБOП1</t>
  </si>
  <si>
    <t>РГС Недвижимость ООО БО-П01</t>
  </si>
  <si>
    <t>RU000A0JW373</t>
  </si>
  <si>
    <t>РГСНдвБOП2</t>
  </si>
  <si>
    <t>РГС Недвижимость ООО БО-П02</t>
  </si>
  <si>
    <t>RU000A0JW795</t>
  </si>
  <si>
    <t>РГСНдвБOП3</t>
  </si>
  <si>
    <t>РГС Недвижимость ООО БО-П03</t>
  </si>
  <si>
    <t>RU000A0JWLR0</t>
  </si>
  <si>
    <t>РГСНдвБOП4</t>
  </si>
  <si>
    <t>РГС Недвижимость ООО БО-П04</t>
  </si>
  <si>
    <t>RU000A0JWNL9</t>
  </si>
  <si>
    <t>РГСНдвБOП5</t>
  </si>
  <si>
    <t>РГС Недвижимость ООО БО-П05</t>
  </si>
  <si>
    <t>RU000A0JWT67</t>
  </si>
  <si>
    <t>РГСНдвБOП6</t>
  </si>
  <si>
    <t>РГС Недвижимость ООО БО-П06</t>
  </si>
  <si>
    <t>RU000A0JUXE7</t>
  </si>
  <si>
    <t>РГСНедвБ01</t>
  </si>
  <si>
    <t>РГС Недвижимость ООО БО-01</t>
  </si>
  <si>
    <t>RU000A0JUXM0</t>
  </si>
  <si>
    <t>РГСНедвБ03</t>
  </si>
  <si>
    <t>РГС Недвижимость ООО БО-03</t>
  </si>
  <si>
    <t>RU000A0JV2D3</t>
  </si>
  <si>
    <t>РГСНедвБ04</t>
  </si>
  <si>
    <t>РГС Недвижимость ООО БО-04</t>
  </si>
  <si>
    <t>RU000A0JUND0</t>
  </si>
  <si>
    <t>РГСНедвиж1</t>
  </si>
  <si>
    <t>РГС Недвижимость ООО 01 об.</t>
  </si>
  <si>
    <t>RU000A0JV2Q5</t>
  </si>
  <si>
    <t>РЕГИОН БО1</t>
  </si>
  <si>
    <t>РЕГИОН Капитал ООО об. БО-01</t>
  </si>
  <si>
    <t>RU000A0JV581</t>
  </si>
  <si>
    <t>РЕГИОН БО2</t>
  </si>
  <si>
    <t>РЕГИОН Капитал ООО об. БО-02</t>
  </si>
  <si>
    <t>RU000A0JV599</t>
  </si>
  <si>
    <t>РЕГИОН БО3</t>
  </si>
  <si>
    <t>РЕГИОН Капитал ООО об. БО-03</t>
  </si>
  <si>
    <t>RU000A0JVLW2</t>
  </si>
  <si>
    <t>РЕГИОН БО4</t>
  </si>
  <si>
    <t>РЕГИОН Капитал ООО об. БО-04</t>
  </si>
  <si>
    <t>RU000A0JVLX0</t>
  </si>
  <si>
    <t>РЕГИОН БО5</t>
  </si>
  <si>
    <t>РЕГИОН Капитал ООО об. БО-05</t>
  </si>
  <si>
    <t>RU000A0JWWJ4</t>
  </si>
  <si>
    <t>РЕГИОН БО6</t>
  </si>
  <si>
    <t>РЕГИОН Капитал ООО об. БО-06</t>
  </si>
  <si>
    <t>RU000A0JWWH8</t>
  </si>
  <si>
    <t>РЕГИОН БО7</t>
  </si>
  <si>
    <t>РЕГИОН Капитал ООО об. БО-07</t>
  </si>
  <si>
    <t>RU000A0JUXS7</t>
  </si>
  <si>
    <t>РЕГИОНКап1</t>
  </si>
  <si>
    <t>РЕГИОН Капитал ООО об. 01</t>
  </si>
  <si>
    <t>RU000A0JT1B3</t>
  </si>
  <si>
    <t>РЕСО-Гар02</t>
  </si>
  <si>
    <t>РЕСО-Гарантия СПАО 02 об.</t>
  </si>
  <si>
    <t>RU000A0JTTV1</t>
  </si>
  <si>
    <t>РЕСО-Гар03</t>
  </si>
  <si>
    <t>РЕСО-Гарантия СПАО 03 об.</t>
  </si>
  <si>
    <t>RU000A0JU6M6</t>
  </si>
  <si>
    <t>РЕСОЛизБ01</t>
  </si>
  <si>
    <t>РЕСО-Лизинг ООО БО1</t>
  </si>
  <si>
    <t>RU000A0JWPF6</t>
  </si>
  <si>
    <t>РЕСОЛизБ02</t>
  </si>
  <si>
    <t>РЕСО-Лизинг ООО БО-2</t>
  </si>
  <si>
    <t>RU000A0JVUS1</t>
  </si>
  <si>
    <t>РЕСОЛизБ03</t>
  </si>
  <si>
    <t>РЕСО-Лизинг ООО БО-3</t>
  </si>
  <si>
    <t>RU000A0JVXS5</t>
  </si>
  <si>
    <t>РЕСОЛизБ04</t>
  </si>
  <si>
    <t>РЕСО-Лизинг ООО БО-4</t>
  </si>
  <si>
    <t>RU000A0JWVT5</t>
  </si>
  <si>
    <t>РЕСОЛизБ05</t>
  </si>
  <si>
    <t>РЕСО-Лизинг ООО БО-5</t>
  </si>
  <si>
    <t>RU000A0JVW71</t>
  </si>
  <si>
    <t>РЖД БО-02</t>
  </si>
  <si>
    <t>Российские ЖД ОАО БО-02</t>
  </si>
  <si>
    <t>RU000A0JV8Q2</t>
  </si>
  <si>
    <t>РЖД БО-03</t>
  </si>
  <si>
    <t>Российские ЖД ОАО БО-03</t>
  </si>
  <si>
    <t>RU000A0JVEP1</t>
  </si>
  <si>
    <t>РЖД БО-04</t>
  </si>
  <si>
    <t>Российские ЖД ОАО БО-04</t>
  </si>
  <si>
    <t>RU000A0JWD57</t>
  </si>
  <si>
    <t>РЖД БО-05</t>
  </si>
  <si>
    <t>Российские ЖД ОАО БО-05</t>
  </si>
  <si>
    <t>RU000A0JWC82</t>
  </si>
  <si>
    <t>РЖД БО-07</t>
  </si>
  <si>
    <t>Российские ЖД ОАО БО-07</t>
  </si>
  <si>
    <t>RU000A0JVUM4</t>
  </si>
  <si>
    <t>РЖД БО-08</t>
  </si>
  <si>
    <t>Российские ЖД ОАО БО-08</t>
  </si>
  <si>
    <t>RU000A0JTZM7</t>
  </si>
  <si>
    <t>РЖД БО-09</t>
  </si>
  <si>
    <t>Российские ЖД ОАО БО-09</t>
  </si>
  <si>
    <t>RU000A0JUCG6</t>
  </si>
  <si>
    <t>РЖД БО-10</t>
  </si>
  <si>
    <t>Российские ЖД ОАО БО-10</t>
  </si>
  <si>
    <t>RU000A0JXJK7</t>
  </si>
  <si>
    <t>РЖД БО-11</t>
  </si>
  <si>
    <t>Российские ЖД ОАО БО-11</t>
  </si>
  <si>
    <t>RU000A0JU542</t>
  </si>
  <si>
    <t>РЖД БО-12</t>
  </si>
  <si>
    <t>Российские ЖД ОАО БО-12</t>
  </si>
  <si>
    <t>RU000A0JU7B7</t>
  </si>
  <si>
    <t>РЖД БО-13</t>
  </si>
  <si>
    <t>Российские ЖД ОАО БО-13</t>
  </si>
  <si>
    <t>RU000A0JVJS4</t>
  </si>
  <si>
    <t>РЖД БО-14</t>
  </si>
  <si>
    <t>Российские ЖД ОАО БО-14</t>
  </si>
  <si>
    <t>RU000A0JU9M0</t>
  </si>
  <si>
    <t>РЖД БО-15</t>
  </si>
  <si>
    <t>Российские ЖД ОАО БО-15</t>
  </si>
  <si>
    <t>RU000A0JUX71</t>
  </si>
  <si>
    <t>РЖД БО-16</t>
  </si>
  <si>
    <t>Российские ЖД ОАО БО-16</t>
  </si>
  <si>
    <t>RU000A0JWHU2</t>
  </si>
  <si>
    <t>РЖД БО-17</t>
  </si>
  <si>
    <t>Российские ЖД ОАО БО-17</t>
  </si>
  <si>
    <t>RU000A0JTY57</t>
  </si>
  <si>
    <t>РЖД БО-18</t>
  </si>
  <si>
    <t>Российские ЖД ОАО БО-18</t>
  </si>
  <si>
    <t>RU000A0JUPZ8</t>
  </si>
  <si>
    <t>РЖД БО-19</t>
  </si>
  <si>
    <t>Российские ЖД ОАО БО-19</t>
  </si>
  <si>
    <t>RU000A0JQ5Q5</t>
  </si>
  <si>
    <t>РЖД-12обл</t>
  </si>
  <si>
    <t>Российские ЖД ОАО 12 обл.</t>
  </si>
  <si>
    <t>RU000A0JQ656</t>
  </si>
  <si>
    <t>РЖД-16 обл</t>
  </si>
  <si>
    <t>Российские ЖД ОАО 16 обл.</t>
  </si>
  <si>
    <t>RU000A0JQ7W9</t>
  </si>
  <si>
    <t>РЖД-17 обл</t>
  </si>
  <si>
    <t>Российские ЖД ОАО 17 обл.</t>
  </si>
  <si>
    <t>RU000A0JQ7X7</t>
  </si>
  <si>
    <t>РЖД-18 обл</t>
  </si>
  <si>
    <t>Российские ЖД ОАО 18 обл.</t>
  </si>
  <si>
    <t>RU000A0JQ7Z2</t>
  </si>
  <si>
    <t>РЖД-19 обл</t>
  </si>
  <si>
    <t>Российские ЖД ОАО 19 обл.</t>
  </si>
  <si>
    <t>RU000A0JQRD9</t>
  </si>
  <si>
    <t>РЖД-23 обл</t>
  </si>
  <si>
    <t>Российские ЖД ОАО 23 обл.</t>
  </si>
  <si>
    <t>RU000A0JTU85</t>
  </si>
  <si>
    <t>РЖД-28 обл</t>
  </si>
  <si>
    <t>Российские ЖД ОАО 28 обл.</t>
  </si>
  <si>
    <t>RU000A0JUAH8</t>
  </si>
  <si>
    <t>РЖД-30 обл</t>
  </si>
  <si>
    <t>Российские ЖД ОАО 30 обл.</t>
  </si>
  <si>
    <t>RU000A0JSGV0</t>
  </si>
  <si>
    <t>РЖД-32 обл</t>
  </si>
  <si>
    <t>Российские ЖД ОАО 32 обл.</t>
  </si>
  <si>
    <t>RU000A0JVB19</t>
  </si>
  <si>
    <t>РЖД-33 обл</t>
  </si>
  <si>
    <t>Российские ЖД ОАО 33 обл.</t>
  </si>
  <si>
    <t>RU000A0JVB27</t>
  </si>
  <si>
    <t>РЖД-34 обл</t>
  </si>
  <si>
    <t>Российские ЖД ОАО 34 обл.</t>
  </si>
  <si>
    <t>RU000A0JVKH5</t>
  </si>
  <si>
    <t>РЖД-35 обл</t>
  </si>
  <si>
    <t>Российские ЖД ОАО 35 обл.</t>
  </si>
  <si>
    <t>RU000A0JX1S1</t>
  </si>
  <si>
    <t>РЖД-41 обл</t>
  </si>
  <si>
    <t>Российские ЖД ОАО 41 обл.</t>
  </si>
  <si>
    <t>RU000A0JWLU4</t>
  </si>
  <si>
    <t>РЖД-42 обл</t>
  </si>
  <si>
    <t>Российские ЖД ОАО 42 обл.</t>
  </si>
  <si>
    <t>RU000A0JU9X7</t>
  </si>
  <si>
    <t>РМБ БО-01</t>
  </si>
  <si>
    <t>РМБ БАНК АО БО-01</t>
  </si>
  <si>
    <t>RU000A0JWMJ5</t>
  </si>
  <si>
    <t>РН БАНК 01</t>
  </si>
  <si>
    <t>РН БАНК АО об. 01</t>
  </si>
  <si>
    <t>RU000A0JVVA7</t>
  </si>
  <si>
    <t>РОСНАНО 6</t>
  </si>
  <si>
    <t>РОСНАНО АО обл. 06</t>
  </si>
  <si>
    <t>RU000A0JW1G7</t>
  </si>
  <si>
    <t>РОСНАНО 7</t>
  </si>
  <si>
    <t>РОСНАНО АО обл. 07</t>
  </si>
  <si>
    <t>RU000A0JVT43</t>
  </si>
  <si>
    <t>РОССИУМ 01</t>
  </si>
  <si>
    <t>Концерн РОССИУМ ООО 01 об.</t>
  </si>
  <si>
    <t>RU000A0JVZA8</t>
  </si>
  <si>
    <t>РОССИУМ Б1</t>
  </si>
  <si>
    <t>Концерн РОССИУМ ООО БО-01</t>
  </si>
  <si>
    <t>RU000A0JVYG8</t>
  </si>
  <si>
    <t>РОСЭКСИМБ1</t>
  </si>
  <si>
    <t>РОСЭКСИМБАНК АО обл.01</t>
  </si>
  <si>
    <t>RU000A0JUAG0</t>
  </si>
  <si>
    <t>РСГ-ФинБ01</t>
  </si>
  <si>
    <t>РСГ-Финанс ООО обл. БО-01</t>
  </si>
  <si>
    <t>RU000A0JVSA3</t>
  </si>
  <si>
    <t>РСГ-ФинБ02</t>
  </si>
  <si>
    <t>РСГ-Финанс ООО обл. БО-02</t>
  </si>
  <si>
    <t>RU000A0JWLJ7</t>
  </si>
  <si>
    <t>РСГ-ФинБ10</t>
  </si>
  <si>
    <t>РСГ-Финанс ООО обл. БО-10</t>
  </si>
  <si>
    <t>RU000A0JWQX7</t>
  </si>
  <si>
    <t>РСГ-ФинБ6</t>
  </si>
  <si>
    <t>РСГ-Финанс ООО обл. БО-6</t>
  </si>
  <si>
    <t>RU000A0JWMZ1</t>
  </si>
  <si>
    <t>РСХБ 06Т1</t>
  </si>
  <si>
    <t>Россельхозбанк (АО) обл.06Т1</t>
  </si>
  <si>
    <t>RU000A0JWN22</t>
  </si>
  <si>
    <t>РСХБ 07Т1</t>
  </si>
  <si>
    <t>Россельхозбанк (АО) обл.07Т1</t>
  </si>
  <si>
    <t>RU000A0JWV63</t>
  </si>
  <si>
    <t>РСХБ 08Т1</t>
  </si>
  <si>
    <t>Россельхозбанк (АО) обл.08Т1</t>
  </si>
  <si>
    <t>RU000A0JQS09</t>
  </si>
  <si>
    <t>РСХБ 10</t>
  </si>
  <si>
    <t>Россельхозбанк (АО) обл.10</t>
  </si>
  <si>
    <t>RU000A0JQS74</t>
  </si>
  <si>
    <t>РСХБ 11</t>
  </si>
  <si>
    <t>Россельхозбанк (АО) обл.11</t>
  </si>
  <si>
    <t>RU000A0JRMB2</t>
  </si>
  <si>
    <t>РСХБ 12</t>
  </si>
  <si>
    <t>Россельхозбанк (АО) обл.12</t>
  </si>
  <si>
    <t>RU000A0JRMC0</t>
  </si>
  <si>
    <t>РСХБ 13</t>
  </si>
  <si>
    <t>Россельхозбанк (АО) обл.13</t>
  </si>
  <si>
    <t>RU000A0JRLE8</t>
  </si>
  <si>
    <t>РСХБ 14</t>
  </si>
  <si>
    <t>Россельхозбанк (АО) обл.14</t>
  </si>
  <si>
    <t>RU000A0JRVN8</t>
  </si>
  <si>
    <t>РСХБ 15</t>
  </si>
  <si>
    <t>Россельхозбанк (АО) обл.15</t>
  </si>
  <si>
    <t>RU000A0JS6N8</t>
  </si>
  <si>
    <t>РСХБ 16</t>
  </si>
  <si>
    <t>Россельхозбанк (АО) обл.16</t>
  </si>
  <si>
    <t>RU000A0JT7M7</t>
  </si>
  <si>
    <t>РСХБ 17</t>
  </si>
  <si>
    <t>Россельхозбанк (АО) обл.17</t>
  </si>
  <si>
    <t>RU000A0JT874</t>
  </si>
  <si>
    <t>РСХБ 18</t>
  </si>
  <si>
    <t>Россельхозбанк (АО) обл.18</t>
  </si>
  <si>
    <t>RU000A0JTVJ2</t>
  </si>
  <si>
    <t>РСХБ 20</t>
  </si>
  <si>
    <t>Россельхозбанк (АО) обл.20</t>
  </si>
  <si>
    <t>RU000A0JU1Q8</t>
  </si>
  <si>
    <t>РСХБ 21</t>
  </si>
  <si>
    <t>Россельхозбанк (АО) обл.21</t>
  </si>
  <si>
    <t>RU000A0JU6A1</t>
  </si>
  <si>
    <t>РСХБ 22</t>
  </si>
  <si>
    <t>Россельхозбанк (АО) обл.22</t>
  </si>
  <si>
    <t>RU000A0JUAD7</t>
  </si>
  <si>
    <t>РСХБ 23</t>
  </si>
  <si>
    <t>Россельхозбанк (АО) обл.23</t>
  </si>
  <si>
    <t>RU000A0JVN56</t>
  </si>
  <si>
    <t>РСХБ 24</t>
  </si>
  <si>
    <t>Россельхозбанк (АО) обл.24</t>
  </si>
  <si>
    <t>RU000A0JVN64</t>
  </si>
  <si>
    <t>РСХБ 25</t>
  </si>
  <si>
    <t>Россельхозбанк (АО) обл.25</t>
  </si>
  <si>
    <t>RU000A0JVN98</t>
  </si>
  <si>
    <t>РСХБ 26</t>
  </si>
  <si>
    <t>Россельхозбанк (АО) обл.26</t>
  </si>
  <si>
    <t>RU000A0JW1V6</t>
  </si>
  <si>
    <t>РСХБ 27</t>
  </si>
  <si>
    <t>Россельхозбанк (АО) обл.27</t>
  </si>
  <si>
    <t>RU000A0JW1Z7</t>
  </si>
  <si>
    <t>РСХБ 28</t>
  </si>
  <si>
    <t>Россельхозбанк (АО) обл.28</t>
  </si>
  <si>
    <t>RU000A0JPF47</t>
  </si>
  <si>
    <t>РСХБ 4</t>
  </si>
  <si>
    <t>Россельхозбанк (АО) обл. 04</t>
  </si>
  <si>
    <t>RU000A0JQ1H3</t>
  </si>
  <si>
    <t>РСХБ 5</t>
  </si>
  <si>
    <t>Россельхозбанк (АО) обл.05</t>
  </si>
  <si>
    <t>RU000A0JPMT8</t>
  </si>
  <si>
    <t>РСХБ 6</t>
  </si>
  <si>
    <t>Россельхозбанк (АО) обл. 06</t>
  </si>
  <si>
    <t>RU000A0JPTE5</t>
  </si>
  <si>
    <t>РСХБ 7</t>
  </si>
  <si>
    <t>Россельхозбанк (АО) обл.07</t>
  </si>
  <si>
    <t>RU000A0JQK64</t>
  </si>
  <si>
    <t>РСХБ 8</t>
  </si>
  <si>
    <t>Россельхозбанк (АО) обл.08</t>
  </si>
  <si>
    <t>RU000A0JQK72</t>
  </si>
  <si>
    <t>РСХБ 9</t>
  </si>
  <si>
    <t>Россельхозбанк (АО) обл.09</t>
  </si>
  <si>
    <t>RU000A0JUW31</t>
  </si>
  <si>
    <t>РСХБ БО13</t>
  </si>
  <si>
    <t>Россельхозбанк (АО) БО-13</t>
  </si>
  <si>
    <t>RU000A0JUW72</t>
  </si>
  <si>
    <t>РСХБ БО14</t>
  </si>
  <si>
    <t>Россельхозбанк (АО) БО-14</t>
  </si>
  <si>
    <t>RU000A0JV3R1</t>
  </si>
  <si>
    <t>РСХБ БО15</t>
  </si>
  <si>
    <t>Россельхозбанк (АО) БО-15</t>
  </si>
  <si>
    <t>RU000A0JV987</t>
  </si>
  <si>
    <t>РСХБ БО17</t>
  </si>
  <si>
    <t>Россельхозбанк (АО) БО-17</t>
  </si>
  <si>
    <t>RU000A0JUQ05</t>
  </si>
  <si>
    <t>РСХБ БО4</t>
  </si>
  <si>
    <t>Россельхозбанк (АО) БО-04</t>
  </si>
  <si>
    <t>RU000A0JUPQ7</t>
  </si>
  <si>
    <t>РСХБ БО7</t>
  </si>
  <si>
    <t>Россельхозбанк (АО) БО-07</t>
  </si>
  <si>
    <t>RU000A0JV805</t>
  </si>
  <si>
    <t>РСХБ БО8</t>
  </si>
  <si>
    <t>Россельхозбанк (АО) БО-08</t>
  </si>
  <si>
    <t>RU000A0JVWB3</t>
  </si>
  <si>
    <t>РСХБ БО9</t>
  </si>
  <si>
    <t>Россельхозбанк (АО) БО-09</t>
  </si>
  <si>
    <t>RU000A0JX2M2</t>
  </si>
  <si>
    <t>РСЭКСМБ1Р1</t>
  </si>
  <si>
    <t>РОСЭКСИМБАНК АО БО-001P-01</t>
  </si>
  <si>
    <t>RU000A0JSJZ5</t>
  </si>
  <si>
    <t>РТК 02</t>
  </si>
  <si>
    <t>Резерв.траст.компания АО об.2</t>
  </si>
  <si>
    <t>RU000A0JR9K9</t>
  </si>
  <si>
    <t>РУСАЛБАл07</t>
  </si>
  <si>
    <t>РУСАЛ Братский алюм. з-д об 07</t>
  </si>
  <si>
    <t>RU000A0JRF11</t>
  </si>
  <si>
    <t>РУСАЛБАл08</t>
  </si>
  <si>
    <t>РУСАЛ Братский алюм. з-д об 08</t>
  </si>
  <si>
    <t>RU000A0JWDN6</t>
  </si>
  <si>
    <t>РУСАЛБрБ01</t>
  </si>
  <si>
    <t>РУСАЛ Братский алюм. з-д БО-01</t>
  </si>
  <si>
    <t>RU000A0JX363</t>
  </si>
  <si>
    <t>РЭДВАНС Б1</t>
  </si>
  <si>
    <t>РЭДВАНС ООО БО-П01</t>
  </si>
  <si>
    <t>RU000A0JX389</t>
  </si>
  <si>
    <t>РЭДВАНС Б2</t>
  </si>
  <si>
    <t>РЭДВАНС ООО БО-П02</t>
  </si>
  <si>
    <t>RU000A0JX397</t>
  </si>
  <si>
    <t>РЭДВАНС Б3</t>
  </si>
  <si>
    <t>РЭДВАНС ООО БО-П03</t>
  </si>
  <si>
    <t>RU000A0JU8T7</t>
  </si>
  <si>
    <t>Райфб-БО1</t>
  </si>
  <si>
    <t>Райффайзенбанк АО обл. БО-01</t>
  </si>
  <si>
    <t>RU000A0JVGY8</t>
  </si>
  <si>
    <t>Райфб-БО2</t>
  </si>
  <si>
    <t>Райффайзенбанк АО обл. БО-02</t>
  </si>
  <si>
    <t>RU000A0JUUE3</t>
  </si>
  <si>
    <t>Райфб-БО4</t>
  </si>
  <si>
    <t>Райффайзенбанк АО обл. БО-04</t>
  </si>
  <si>
    <t>RU000A0JUUB9</t>
  </si>
  <si>
    <t>РегИнв 01</t>
  </si>
  <si>
    <t>РЕГИОН-ИНВЕСТ ООО 01 обл.</t>
  </si>
  <si>
    <t>RU000A0JVNA4</t>
  </si>
  <si>
    <t>РегИнв Б01</t>
  </si>
  <si>
    <t>РЕГИОН-ИНВЕСТ ООО БО-01</t>
  </si>
  <si>
    <t>RU000A0JW2R2</t>
  </si>
  <si>
    <t>РегИнв Б02</t>
  </si>
  <si>
    <t>РЕГИОН-ИНВЕСТ ООО БО-02</t>
  </si>
  <si>
    <t>RU000A0JWE72</t>
  </si>
  <si>
    <t>РегИнв Б03</t>
  </si>
  <si>
    <t>РЕГИОН-ИНВЕСТ ООО БО-03</t>
  </si>
  <si>
    <t>RU000A0JWEP9</t>
  </si>
  <si>
    <t>РегИнв Б04</t>
  </si>
  <si>
    <t>РЕГИОН-ИНВЕСТ ООО БО-04</t>
  </si>
  <si>
    <t>RU000A0JWES3</t>
  </si>
  <si>
    <t>РегИнв Б05</t>
  </si>
  <si>
    <t>РЕГИОН-ИНВЕСТ ООО БО-05</t>
  </si>
  <si>
    <t>RU000A0JWG88</t>
  </si>
  <si>
    <t>РегИнв Б06</t>
  </si>
  <si>
    <t>РЕГИОН-ИНВЕСТ ООО БО-06</t>
  </si>
  <si>
    <t>RU000A0JU1P0</t>
  </si>
  <si>
    <t>РенКредБО5</t>
  </si>
  <si>
    <t>КБ "Ренессанс Кредит"ООО БО-05</t>
  </si>
  <si>
    <t>RU000A0JUDW1</t>
  </si>
  <si>
    <t>РисЛэнд01</t>
  </si>
  <si>
    <t>Рислэнд ООО об. 01</t>
  </si>
  <si>
    <t>RU000A0JUV57</t>
  </si>
  <si>
    <t>Росбанк-А7</t>
  </si>
  <si>
    <t>РОСБАНК ПАО обл.с.А7</t>
  </si>
  <si>
    <t>RU000A0JVSG0</t>
  </si>
  <si>
    <t>Росбанк-А8</t>
  </si>
  <si>
    <t>РОСБАНК ПАО обл.с.А8</t>
  </si>
  <si>
    <t>RU000A0JX2F6</t>
  </si>
  <si>
    <t>РосбанкБ11</t>
  </si>
  <si>
    <t>РОСБАНК ПАО обл. БО-11</t>
  </si>
  <si>
    <t>RU000A0JX2D1</t>
  </si>
  <si>
    <t>РосбанкБ12</t>
  </si>
  <si>
    <t>РОСБАНК ПАО обл. БО-12</t>
  </si>
  <si>
    <t>RU000A0JWHT4</t>
  </si>
  <si>
    <t>РосбанкБ14</t>
  </si>
  <si>
    <t>РОСБАНК ПАО обл. БО-14</t>
  </si>
  <si>
    <t>RU000A0JUL67</t>
  </si>
  <si>
    <t>РосбнБСО12</t>
  </si>
  <si>
    <t>РОСБАНК ПАО обл.БСО-12</t>
  </si>
  <si>
    <t>RU000A0JUL91</t>
  </si>
  <si>
    <t>РосбнБСО13</t>
  </si>
  <si>
    <t>РОСБАНК ПАО обл.БСО-13</t>
  </si>
  <si>
    <t>RU000A0JULA0</t>
  </si>
  <si>
    <t>РосбнБСО14</t>
  </si>
  <si>
    <t>РОСБАНК ПАО обл.БСО-14</t>
  </si>
  <si>
    <t>RU000A0JULC6</t>
  </si>
  <si>
    <t>РосбнБСО15</t>
  </si>
  <si>
    <t>РОСБАНК ПАО обл.БСО-15</t>
  </si>
  <si>
    <t>RU000A0JR472</t>
  </si>
  <si>
    <t>Росгосстр2</t>
  </si>
  <si>
    <t>Росгосстрах СК ПАО об. 02</t>
  </si>
  <si>
    <t>RU000A0JUQN2</t>
  </si>
  <si>
    <t>Росинтруд1</t>
  </si>
  <si>
    <t>Росинтруд ООО обл.01</t>
  </si>
  <si>
    <t>RU000A0JT940</t>
  </si>
  <si>
    <t>Роснефть04</t>
  </si>
  <si>
    <t>ПАО НК Роснефть обл.04</t>
  </si>
  <si>
    <t>RU000A0JT965</t>
  </si>
  <si>
    <t>Роснефть05</t>
  </si>
  <si>
    <t>ПАО НК Роснефть обл.05</t>
  </si>
  <si>
    <t>RU000A0JTYL2</t>
  </si>
  <si>
    <t>Роснефть06</t>
  </si>
  <si>
    <t>ПАО НК Роснефть обл.06</t>
  </si>
  <si>
    <t>RU000A0JTS06</t>
  </si>
  <si>
    <t>Роснефть07</t>
  </si>
  <si>
    <t>ПАО НК Роснефть обл.07</t>
  </si>
  <si>
    <t>RU000A0JTS22</t>
  </si>
  <si>
    <t>Роснефть08</t>
  </si>
  <si>
    <t>ПАО НК Роснефть обл.08</t>
  </si>
  <si>
    <t>RU000A0JTYM0</t>
  </si>
  <si>
    <t>Роснефть09</t>
  </si>
  <si>
    <t>ПАО НК Роснефть обл.09</t>
  </si>
  <si>
    <t>RU000A0JTYN8</t>
  </si>
  <si>
    <t>Роснефть10</t>
  </si>
  <si>
    <t>ПАО НК Роснефть обл.10</t>
  </si>
  <si>
    <t>RU000A0JUFU0</t>
  </si>
  <si>
    <t>РоснефтьБ1</t>
  </si>
  <si>
    <t>ПАО НК Роснефть БО-01</t>
  </si>
  <si>
    <t>RU000A0JUCS1</t>
  </si>
  <si>
    <t>РоснефтьБ5</t>
  </si>
  <si>
    <t>ПАО НК Роснефть БО-05</t>
  </si>
  <si>
    <t>RU000A0JUCR3</t>
  </si>
  <si>
    <t>РоснефтьБ6</t>
  </si>
  <si>
    <t>ПАО НК Роснефть БО-06</t>
  </si>
  <si>
    <t>RU000A0JUFV8</t>
  </si>
  <si>
    <t>РоснефтьБ7</t>
  </si>
  <si>
    <t>ПАО НК Роснефть БО-07</t>
  </si>
  <si>
    <t>RU000A0JX132</t>
  </si>
  <si>
    <t>Роснфт1P1</t>
  </si>
  <si>
    <t>ПАО НК Роснефть 001P-01</t>
  </si>
  <si>
    <t>RU000A0JX355</t>
  </si>
  <si>
    <t>Роснфт1P2</t>
  </si>
  <si>
    <t>ПАО НК Роснефть 001P-02</t>
  </si>
  <si>
    <t>RU000A0JX413</t>
  </si>
  <si>
    <t>Роснфт1P3</t>
  </si>
  <si>
    <t>ПАО НК Роснефть 001P-03</t>
  </si>
  <si>
    <t>RU000A0JV235</t>
  </si>
  <si>
    <t>РоснфтБО10</t>
  </si>
  <si>
    <t>ПАО НК Роснефть БО-10</t>
  </si>
  <si>
    <t>RU000A0JV243</t>
  </si>
  <si>
    <t>РоснфтБО11</t>
  </si>
  <si>
    <t>ПАО НК Роснефть БО-11</t>
  </si>
  <si>
    <t>RU000A0JV250</t>
  </si>
  <si>
    <t>РоснфтБО12</t>
  </si>
  <si>
    <t>ПАО НК Роснефть БО-12</t>
  </si>
  <si>
    <t>RU000A0JV268</t>
  </si>
  <si>
    <t>РоснфтБО13</t>
  </si>
  <si>
    <t>ПАО НК Роснефть БО-13</t>
  </si>
  <si>
    <t>RU000A0JV227</t>
  </si>
  <si>
    <t>РоснфтБО14</t>
  </si>
  <si>
    <t>ПАО НК Роснефть БО-14</t>
  </si>
  <si>
    <t>RU000A0JV276</t>
  </si>
  <si>
    <t>РоснфтБО15</t>
  </si>
  <si>
    <t>ПАО НК Роснефть БО-15</t>
  </si>
  <si>
    <t>RU000A0JV292</t>
  </si>
  <si>
    <t>РоснфтБО16</t>
  </si>
  <si>
    <t>ПАО НК Роснефть БО-16</t>
  </si>
  <si>
    <t>RU000A0JV284</t>
  </si>
  <si>
    <t>РоснфтБО17</t>
  </si>
  <si>
    <t>ПАО НК Роснефть БО-17</t>
  </si>
  <si>
    <t>RU000A0JV763</t>
  </si>
  <si>
    <t>РоснфтБО18</t>
  </si>
  <si>
    <t>ПАО НК Роснефть БО-18</t>
  </si>
  <si>
    <t>RU000A0JV789</t>
  </si>
  <si>
    <t>РоснфтБО19</t>
  </si>
  <si>
    <t>ПАО НК Роснефть БО-19</t>
  </si>
  <si>
    <t>RU000A0JV1W5</t>
  </si>
  <si>
    <t>РоснфтБО2</t>
  </si>
  <si>
    <t>ПАО НК Роснефть БО-02</t>
  </si>
  <si>
    <t>RU000A0JV7A8</t>
  </si>
  <si>
    <t>РоснфтБО20</t>
  </si>
  <si>
    <t>ПАО НК Роснефть БО-20</t>
  </si>
  <si>
    <t>RU000A0JV7D2</t>
  </si>
  <si>
    <t>РоснфтБО21</t>
  </si>
  <si>
    <t>ПАО НК Роснефть БО-21</t>
  </si>
  <si>
    <t>RU000A0JV7C4</t>
  </si>
  <si>
    <t>РоснфтБО22</t>
  </si>
  <si>
    <t>ПАО НК Роснефть БО-22</t>
  </si>
  <si>
    <t>RU000A0JV7B6</t>
  </si>
  <si>
    <t>РоснфтБО23</t>
  </si>
  <si>
    <t>ПАО НК Роснефть БО-23</t>
  </si>
  <si>
    <t>RU000A0JV2A9</t>
  </si>
  <si>
    <t>РоснфтБО24</t>
  </si>
  <si>
    <t>ПАО НК Роснефть БО-24</t>
  </si>
  <si>
    <t>RU000A0JV797</t>
  </si>
  <si>
    <t>РоснфтБО25</t>
  </si>
  <si>
    <t>ПАО НК Роснефть БО-25</t>
  </si>
  <si>
    <t>RU000A0JV771</t>
  </si>
  <si>
    <t>РоснфтБО26</t>
  </si>
  <si>
    <t>ПАО НК Роснефть БО-26</t>
  </si>
  <si>
    <t>RU000A0JV1X3</t>
  </si>
  <si>
    <t>РоснфтБО3</t>
  </si>
  <si>
    <t>ПАО НК Роснефть БО-03</t>
  </si>
  <si>
    <t>RU000A0JV1Y1</t>
  </si>
  <si>
    <t>РоснфтБО4</t>
  </si>
  <si>
    <t>ПАО НК Роснефть БО-04</t>
  </si>
  <si>
    <t>RU000A0JV201</t>
  </si>
  <si>
    <t>РоснфтБО8</t>
  </si>
  <si>
    <t>ПАО НК Роснефть БО-08</t>
  </si>
  <si>
    <t>RU000A0JV219</t>
  </si>
  <si>
    <t>РоснфтБО9</t>
  </si>
  <si>
    <t>ПАО НК Роснефть БО-09</t>
  </si>
  <si>
    <t>RU000A0JV0N6</t>
  </si>
  <si>
    <t>РоссКапБ02</t>
  </si>
  <si>
    <t>АКБ Российский Капитал БО-02</t>
  </si>
  <si>
    <t>RU000A0JV565</t>
  </si>
  <si>
    <t>РоссКапБ03</t>
  </si>
  <si>
    <t>АКБ Российский Капитал БО-03</t>
  </si>
  <si>
    <t>RU000A0JV6D4</t>
  </si>
  <si>
    <t>РоссКапБ04</t>
  </si>
  <si>
    <t>АКБ Российский Капитал БО-04</t>
  </si>
  <si>
    <t>RU000A0JVJB0</t>
  </si>
  <si>
    <t>РоссетиБО1</t>
  </si>
  <si>
    <t>Российские сети ПАО БО-01</t>
  </si>
  <si>
    <t>RU000A0JWRM8</t>
  </si>
  <si>
    <t>РоссетиБО2</t>
  </si>
  <si>
    <t>Российские сети ПАО БО-02</t>
  </si>
  <si>
    <t>RU000A0JWRN6</t>
  </si>
  <si>
    <t>РоссетиБО3</t>
  </si>
  <si>
    <t>Российские сети ПАО БО-03</t>
  </si>
  <si>
    <t>RU000A0JVZ94</t>
  </si>
  <si>
    <t>РоссетиБО5</t>
  </si>
  <si>
    <t>Российские сети ПАО БО-05</t>
  </si>
  <si>
    <t>RU000A0JVZP6</t>
  </si>
  <si>
    <t>РоссетиБО6</t>
  </si>
  <si>
    <t>Российские сети ПАО БО-06</t>
  </si>
  <si>
    <t>RU000A0JTKD8</t>
  </si>
  <si>
    <t>Ростел 15</t>
  </si>
  <si>
    <t>Ростелеком ПАО об.15</t>
  </si>
  <si>
    <t>RU000A0JTYT5</t>
  </si>
  <si>
    <t>Ростел 16</t>
  </si>
  <si>
    <t>Ростелеком ПАО об.16</t>
  </si>
  <si>
    <t>RU000A0JTAQ1</t>
  </si>
  <si>
    <t>Ростел 17</t>
  </si>
  <si>
    <t>Ростелеком ПАО об.17</t>
  </si>
  <si>
    <t>RU000A0JTKC0</t>
  </si>
  <si>
    <t>Ростел 18</t>
  </si>
  <si>
    <t>Ростелеком ПАО об.18</t>
  </si>
  <si>
    <t>RU000A0JTR15</t>
  </si>
  <si>
    <t>Ростел 19</t>
  </si>
  <si>
    <t>Ростелеком ПАО об.19</t>
  </si>
  <si>
    <t>RU000A0JWTN2</t>
  </si>
  <si>
    <t>Ростел1P1R</t>
  </si>
  <si>
    <t>Ростелеком ПАО 001P-01R</t>
  </si>
  <si>
    <t>RU000A0JVFC6</t>
  </si>
  <si>
    <t>РостелБО-1</t>
  </si>
  <si>
    <t>Ростелеком ПАО БО-01</t>
  </si>
  <si>
    <t>RU000A0JVFG7</t>
  </si>
  <si>
    <t>РостелБО-2</t>
  </si>
  <si>
    <t>Ростелеком ПАО БО-02</t>
  </si>
  <si>
    <t>RU000A0JVLE0</t>
  </si>
  <si>
    <t>РусГидрБП1</t>
  </si>
  <si>
    <t>РусГидро (ПАО) БО-П01</t>
  </si>
  <si>
    <t>RU000A0JVLF7</t>
  </si>
  <si>
    <t>РусГидрБП2</t>
  </si>
  <si>
    <t>РусГидро (ПАО) БО-П02</t>
  </si>
  <si>
    <t>RU000A0JVLG5</t>
  </si>
  <si>
    <t>РусГидрБП3</t>
  </si>
  <si>
    <t>РусГидро (ПАО) БО-П03</t>
  </si>
  <si>
    <t>RU000A0JWCB3</t>
  </si>
  <si>
    <t>РусГидрБП4</t>
  </si>
  <si>
    <t>РусГидро (ПАО) БО-П04</t>
  </si>
  <si>
    <t>RU000A0JRFN1</t>
  </si>
  <si>
    <t>РусГидро01</t>
  </si>
  <si>
    <t>РусГидро (ПАО) 01</t>
  </si>
  <si>
    <t>RU000A0JRFP6</t>
  </si>
  <si>
    <t>РусГидро02</t>
  </si>
  <si>
    <t>РусГидро (ПАО) 02</t>
  </si>
  <si>
    <t>RU000A0JTMG7</t>
  </si>
  <si>
    <t>РусГидро07</t>
  </si>
  <si>
    <t>РусГидро (ПАО) 07</t>
  </si>
  <si>
    <t>RU000A0JTMK9</t>
  </si>
  <si>
    <t>РусГидро08</t>
  </si>
  <si>
    <t>РусГидро (ПАО) 08</t>
  </si>
  <si>
    <t>RU000A0JVD25</t>
  </si>
  <si>
    <t>РусГидро09</t>
  </si>
  <si>
    <t>РусГидро (ПАО) 09</t>
  </si>
  <si>
    <t>RU000A0JWPZ4</t>
  </si>
  <si>
    <t>РусфинБ1P1</t>
  </si>
  <si>
    <t>Русфинанс Банк ООО БО-001P-01</t>
  </si>
  <si>
    <t>RU000A0JXLE6</t>
  </si>
  <si>
    <t>РусфинБ1P2</t>
  </si>
  <si>
    <t>Русфинанс Банк ООО БО-001P-02</t>
  </si>
  <si>
    <t>RU000A0JVYJ2</t>
  </si>
  <si>
    <t>РусфинБО-4</t>
  </si>
  <si>
    <t>Русфинанс Банк (ООО) БО-4</t>
  </si>
  <si>
    <t>RU000A0JTVN4</t>
  </si>
  <si>
    <t>РусфинБО-7</t>
  </si>
  <si>
    <t>Русфинанс Банк (ООО) БО-07</t>
  </si>
  <si>
    <t>RU000A0JUNL3</t>
  </si>
  <si>
    <t>РусфинБО-8</t>
  </si>
  <si>
    <t>Русфинанс Банк (ООО) БО-08</t>
  </si>
  <si>
    <t>RU000A0JVKB8</t>
  </si>
  <si>
    <t>РусфинБО09</t>
  </si>
  <si>
    <t>Русфинанс Банк (ООО) БО-09</t>
  </si>
  <si>
    <t>RU000A0JVT68</t>
  </si>
  <si>
    <t>РусфинБО10</t>
  </si>
  <si>
    <t>Русфинанс Банк (ООО) БО-10</t>
  </si>
  <si>
    <t>RU000A0JUXL2</t>
  </si>
  <si>
    <t>РусфинБО11</t>
  </si>
  <si>
    <t>Русфинанс Банк (ООО) БО-11</t>
  </si>
  <si>
    <t>RU000A0JW5J2</t>
  </si>
  <si>
    <t>РусфинБО12</t>
  </si>
  <si>
    <t>Русфинанс Банк (ООО) БО-12</t>
  </si>
  <si>
    <t>RU000A0JUT69</t>
  </si>
  <si>
    <t>Русфинан12</t>
  </si>
  <si>
    <t>Русфинанс Банк (ООО) обл.12</t>
  </si>
  <si>
    <t>RU000A0JU195</t>
  </si>
  <si>
    <t>Русфинан13</t>
  </si>
  <si>
    <t>Русфинанс Банк (ООО) обл.13</t>
  </si>
  <si>
    <t>RU000A0JUVS1</t>
  </si>
  <si>
    <t>Русфинан14</t>
  </si>
  <si>
    <t>Русфинанс Банк (ООО) обл.14</t>
  </si>
  <si>
    <t>RU000A0JU6U9</t>
  </si>
  <si>
    <t>Русфинан15</t>
  </si>
  <si>
    <t>Русфинанс Банк (ООО) обл.15</t>
  </si>
  <si>
    <t>RU000A0JTGF1</t>
  </si>
  <si>
    <t>РязОбл 02</t>
  </si>
  <si>
    <t>Рязанская область 34002 об.</t>
  </si>
  <si>
    <t>RU000A0JRU20</t>
  </si>
  <si>
    <t>СЗКК 03</t>
  </si>
  <si>
    <t>Северо-Зап.концес.комп. сер.03</t>
  </si>
  <si>
    <t>RU000A0JRU46</t>
  </si>
  <si>
    <t>СЗКК 04</t>
  </si>
  <si>
    <t>Северо-Зап.концес.комп. сер.04</t>
  </si>
  <si>
    <t>RU000A0JWBK6</t>
  </si>
  <si>
    <t>СИБУРХол10</t>
  </si>
  <si>
    <t>СИБУР Холдинг(ПАО) об.10</t>
  </si>
  <si>
    <t>RU000A0JWNV8</t>
  </si>
  <si>
    <t>СИБУРХол11</t>
  </si>
  <si>
    <t>СИБУР Холдинг(ПАО) об.11</t>
  </si>
  <si>
    <t>RU000A0JWU72</t>
  </si>
  <si>
    <t>СИБУРХол12</t>
  </si>
  <si>
    <t>СИБУР Холдинг(ПАО) об.12</t>
  </si>
  <si>
    <t>RU000A0JXKQ2</t>
  </si>
  <si>
    <t>СКИБ C01</t>
  </si>
  <si>
    <t>ООО Банк "СКИБ" C01</t>
  </si>
  <si>
    <t>RU000A0JS8M6</t>
  </si>
  <si>
    <t>СМП 01</t>
  </si>
  <si>
    <t>АО "СМП Банк" обл.01</t>
  </si>
  <si>
    <t>RU000A0JXJM3</t>
  </si>
  <si>
    <t>СМП 02</t>
  </si>
  <si>
    <t>АО "СМП Банк" обл.02</t>
  </si>
  <si>
    <t>RU000A0JXJP6</t>
  </si>
  <si>
    <t>СМП 03</t>
  </si>
  <si>
    <t>АО "СМП Банк" обл.03</t>
  </si>
  <si>
    <t>RU000A0JVVK6</t>
  </si>
  <si>
    <t>СМП БО-01</t>
  </si>
  <si>
    <t>АО "СМП Банк" БО-01</t>
  </si>
  <si>
    <t>RU000A0JVVP5</t>
  </si>
  <si>
    <t>СМП БО-02</t>
  </si>
  <si>
    <t>АО "СМП Банк" БО-02</t>
  </si>
  <si>
    <t>RU000A0JVVT7</t>
  </si>
  <si>
    <t>СМП БО-03</t>
  </si>
  <si>
    <t>АО "СМП Банк" БО-03</t>
  </si>
  <si>
    <t>RU000A0JV0P1</t>
  </si>
  <si>
    <t>СОЮЗ БО-01</t>
  </si>
  <si>
    <t>СОЮЗ Банк (АО) БО-01</t>
  </si>
  <si>
    <t>RU000A0JVHS8</t>
  </si>
  <si>
    <t>СОЮЗ БО-04</t>
  </si>
  <si>
    <t>СОЮЗ Банк (АО) БО-04</t>
  </si>
  <si>
    <t>RU000A0JV0Q9</t>
  </si>
  <si>
    <t>СОЮЗ БО-06</t>
  </si>
  <si>
    <t>СОЮЗ Банк (АО) БО-06</t>
  </si>
  <si>
    <t>RU000A0JTDL6</t>
  </si>
  <si>
    <t>СПбГО-39</t>
  </si>
  <si>
    <t>Санкт-Петербург обл. 25039</t>
  </si>
  <si>
    <t>RU000A0JRKC4</t>
  </si>
  <si>
    <t>СПбТел 01</t>
  </si>
  <si>
    <t>Санкт-Пет.Телеком ОАО обл. 01</t>
  </si>
  <si>
    <t>RU000A0JRKD2</t>
  </si>
  <si>
    <t>СПбТел 02</t>
  </si>
  <si>
    <t>Санкт-Пет.Телеком ОАО обл. 02</t>
  </si>
  <si>
    <t>RU000A0JRKM3</t>
  </si>
  <si>
    <t>СПбТел 03</t>
  </si>
  <si>
    <t>Санкт-Пет.Телеком ОАО обл. 03</t>
  </si>
  <si>
    <t>RU000A0JS3M7</t>
  </si>
  <si>
    <t>СПбТел 04</t>
  </si>
  <si>
    <t>Санкт-Пет.Телеком ОАО обл. 04</t>
  </si>
  <si>
    <t>RU000A0JS3L9</t>
  </si>
  <si>
    <t>СПбТел 05</t>
  </si>
  <si>
    <t>Санкт-Пет.Телеком ОАО обл. 05</t>
  </si>
  <si>
    <t>RU000A0JRVU3</t>
  </si>
  <si>
    <t>СПбТел 07</t>
  </si>
  <si>
    <t>Санкт-Пет.Телеком ОАО обл. 07</t>
  </si>
  <si>
    <t>RU000A0JWKY8</t>
  </si>
  <si>
    <t>СТТ 01</t>
  </si>
  <si>
    <t>САМАРАТРАНСНЕФТЬ-ТЕРМИНАЛ об.1</t>
  </si>
  <si>
    <t>RU000A0JQXR7</t>
  </si>
  <si>
    <t>СУЭК-Фин01</t>
  </si>
  <si>
    <t>СУЭК-Финанс ООО об. 01</t>
  </si>
  <si>
    <t>RU000A0JU336</t>
  </si>
  <si>
    <t>СУЭК-Фин05</t>
  </si>
  <si>
    <t>СУЭК-Финанс ООО об. 05</t>
  </si>
  <si>
    <t>RU000A0JVQX9</t>
  </si>
  <si>
    <t>СУЭК-Фин07</t>
  </si>
  <si>
    <t>СУЭК-Финанс ООО об. 07</t>
  </si>
  <si>
    <t>RU000A0JVQY7</t>
  </si>
  <si>
    <t>СУЭК-Фин08</t>
  </si>
  <si>
    <t>СУЭК-Финанс ООО об. 08</t>
  </si>
  <si>
    <t>RU000A0JWWW7</t>
  </si>
  <si>
    <t>СУЭКФБ1P1R</t>
  </si>
  <si>
    <t>СУЭК-Финанс ООО БО 001P-01R</t>
  </si>
  <si>
    <t>RU000A0JVJN5</t>
  </si>
  <si>
    <t>СФОЕв14-1А</t>
  </si>
  <si>
    <t>ООО "СФО Европа 14-1А"</t>
  </si>
  <si>
    <t>RU000A0JS9J0</t>
  </si>
  <si>
    <t>СамарОбл 8</t>
  </si>
  <si>
    <t>Самарская область 2012</t>
  </si>
  <si>
    <t>RU000A0JU2H5</t>
  </si>
  <si>
    <t>СамарОбл 9</t>
  </si>
  <si>
    <t>Самарская область 2013</t>
  </si>
  <si>
    <t>RU000A0JUQP7</t>
  </si>
  <si>
    <t>СамарОбл10</t>
  </si>
  <si>
    <t>Самарская область 2014</t>
  </si>
  <si>
    <t>RU000A0JVK00</t>
  </si>
  <si>
    <t>СамарОбл11</t>
  </si>
  <si>
    <t>Самарская область 2015</t>
  </si>
  <si>
    <t>RU000A0JWM56</t>
  </si>
  <si>
    <t>СамарОбл12</t>
  </si>
  <si>
    <t>Самарская область 2016</t>
  </si>
  <si>
    <t>RU000A0JWYJ0</t>
  </si>
  <si>
    <t>Самолет 01</t>
  </si>
  <si>
    <t>Группа компаний "Самолет" 01</t>
  </si>
  <si>
    <t>RU000A0JWCD9</t>
  </si>
  <si>
    <t>СберБ БО17</t>
  </si>
  <si>
    <t>Сбербанк ПАО БО-17</t>
  </si>
  <si>
    <t>RU000A0JWH46</t>
  </si>
  <si>
    <t>СберБ БО18</t>
  </si>
  <si>
    <t>Сбербанк ПАО БО-18</t>
  </si>
  <si>
    <t>RU000A0JX1K8</t>
  </si>
  <si>
    <t>СберБ БО1Р</t>
  </si>
  <si>
    <t>Сбербанк ПАО БО 001Р</t>
  </si>
  <si>
    <t>RU000A0JWUE9</t>
  </si>
  <si>
    <t>СберБ БО37</t>
  </si>
  <si>
    <t>Сбербанк ПАО БО-37</t>
  </si>
  <si>
    <t>RU000A0JWKZ5</t>
  </si>
  <si>
    <t>СберБ БО42</t>
  </si>
  <si>
    <t>Сбербанк ПАО БО-42</t>
  </si>
  <si>
    <t>RU000A0JVWL2</t>
  </si>
  <si>
    <t>СберБ об 1</t>
  </si>
  <si>
    <t>Сбербанк ПАО об 01</t>
  </si>
  <si>
    <t>RU000A0JTDZ6</t>
  </si>
  <si>
    <t>СвердлОб2</t>
  </si>
  <si>
    <t>Свердловская обл. 02</t>
  </si>
  <si>
    <t>RU000A0JWZ77</t>
  </si>
  <si>
    <t>СвердлОб3</t>
  </si>
  <si>
    <t>Свердловская обл. 03</t>
  </si>
  <si>
    <t>RU000A0JV953</t>
  </si>
  <si>
    <t>СвязБанкБ3</t>
  </si>
  <si>
    <t>Связь-Банк АКБ ПАО БО-03</t>
  </si>
  <si>
    <t>RU000A0JVAF0</t>
  </si>
  <si>
    <t>СвязБанкБ4</t>
  </si>
  <si>
    <t>Связь-Банк АКБ ПАО БО-04</t>
  </si>
  <si>
    <t>RU000A0JS1F5</t>
  </si>
  <si>
    <t>СвязьБанк3</t>
  </si>
  <si>
    <t>Связь-Банк АКБ ПАО обл.03</t>
  </si>
  <si>
    <t>RU000A0JS793</t>
  </si>
  <si>
    <t>СвязьБанк4</t>
  </si>
  <si>
    <t>Связь-Банк АКБ ПАО обл.04</t>
  </si>
  <si>
    <t>RU000A0JS710</t>
  </si>
  <si>
    <t>СвязьБанк5</t>
  </si>
  <si>
    <t>Связь-Банк АКБ ПАО обл.05</t>
  </si>
  <si>
    <t>RU000A0JWLX8</t>
  </si>
  <si>
    <t>СибГосБ1P1</t>
  </si>
  <si>
    <t>Сибирский гостинец БО-001P-01</t>
  </si>
  <si>
    <t>RU000A0JVVV3</t>
  </si>
  <si>
    <t>СилМашБО-1</t>
  </si>
  <si>
    <t>Силовые машины ПАО БО-01</t>
  </si>
  <si>
    <t>RU000A0JVVW1</t>
  </si>
  <si>
    <t>СилМашБО-2</t>
  </si>
  <si>
    <t>Силовые машины ПАО БО-02</t>
  </si>
  <si>
    <t>RU000A0JWTW3</t>
  </si>
  <si>
    <t>СилМашБО-3</t>
  </si>
  <si>
    <t>Силовые машины ПАО БО-03</t>
  </si>
  <si>
    <t>RU000A0JWTX1</t>
  </si>
  <si>
    <t>СилМашБО-4</t>
  </si>
  <si>
    <t>Силовые машины ПАО БО-04</t>
  </si>
  <si>
    <t>RU000A0JX0Y1</t>
  </si>
  <si>
    <t>СилМашБО-5</t>
  </si>
  <si>
    <t>Силовые машины ПАО БО-05</t>
  </si>
  <si>
    <t>RU000A0JX1A9</t>
  </si>
  <si>
    <t>СилМашБО-6</t>
  </si>
  <si>
    <t>Силовые машины ПАО БО-06</t>
  </si>
  <si>
    <t>RU000A0JU716</t>
  </si>
  <si>
    <t>СилМашины2</t>
  </si>
  <si>
    <t>Силовые машины ПАО об. 2</t>
  </si>
  <si>
    <t>RU000A0JVG89</t>
  </si>
  <si>
    <t>СинергБО-4</t>
  </si>
  <si>
    <t>Синергия ПАО БО-04</t>
  </si>
  <si>
    <t>RU000A0JWFE0</t>
  </si>
  <si>
    <t>СинергБО-5</t>
  </si>
  <si>
    <t>Синергия ПАО БО-05</t>
  </si>
  <si>
    <t>RU000A0JVUK8</t>
  </si>
  <si>
    <t>СистемБ1P1</t>
  </si>
  <si>
    <t>АФК "Система" ПАО БО 001P-01</t>
  </si>
  <si>
    <t>RU000A0JVXZ0</t>
  </si>
  <si>
    <t>СистемБ1P2</t>
  </si>
  <si>
    <t>АФК "Система" ПАО БО 001P-02</t>
  </si>
  <si>
    <t>RU000A0JVZW2</t>
  </si>
  <si>
    <t>СистемБ1P3</t>
  </si>
  <si>
    <t>АФК "Система" ПАО БО 001P-03</t>
  </si>
  <si>
    <t>RU000A0JWYQ5</t>
  </si>
  <si>
    <t>СистемБ1P4</t>
  </si>
  <si>
    <t>АФК "Система" ПАО БО 001P-04</t>
  </si>
  <si>
    <t>RU000A0JWZY6</t>
  </si>
  <si>
    <t>СистемБ1P5</t>
  </si>
  <si>
    <t>АФК "Система" ПАО БО-001P-05</t>
  </si>
  <si>
    <t>RU000A0JU7R3</t>
  </si>
  <si>
    <t>СмолОб2013</t>
  </si>
  <si>
    <t>Смоленская обл.2013 34001 обл.</t>
  </si>
  <si>
    <t>RU000A0JTZ49</t>
  </si>
  <si>
    <t>Совком 02</t>
  </si>
  <si>
    <t>ИКБ Совкомбанк ПАО обл.02</t>
  </si>
  <si>
    <t>RU000A0JUFL9</t>
  </si>
  <si>
    <t>Совком БО1</t>
  </si>
  <si>
    <t>ИКБ Совкомбанк ПАО обл. БО-01</t>
  </si>
  <si>
    <t>RU000A0JWPA7</t>
  </si>
  <si>
    <t>Совком БО3</t>
  </si>
  <si>
    <t>Совкомбанк ПАО обл. БО-03</t>
  </si>
  <si>
    <t>RU000A0JXFC2</t>
  </si>
  <si>
    <t>СоллФин 01</t>
  </si>
  <si>
    <t>ООО СОЛЛЕРС-ФИНАНС об. 01</t>
  </si>
  <si>
    <t>RU000A0JUVT9</t>
  </si>
  <si>
    <t>СоломЛес01</t>
  </si>
  <si>
    <t>СОЛОМЕНСКИЙ ЛЕСОЗАВОД ПАО 01об</t>
  </si>
  <si>
    <t>RU000A0JULR4</t>
  </si>
  <si>
    <t>СпартакБО1</t>
  </si>
  <si>
    <t>ТД "Спартак-Казань"ООО БО-01</t>
  </si>
  <si>
    <t>RU000A0JW8G2</t>
  </si>
  <si>
    <t>Спектр 01</t>
  </si>
  <si>
    <t>ООО "Спектр" 01</t>
  </si>
  <si>
    <t>RU000A0JTFZ1</t>
  </si>
  <si>
    <t>СтаврКрай1</t>
  </si>
  <si>
    <t>Ставропольский край 01 обл.</t>
  </si>
  <si>
    <t>RU000A0JU9G2</t>
  </si>
  <si>
    <t>СтаврКрай2</t>
  </si>
  <si>
    <t>Ставропольский край 2013 обл.2</t>
  </si>
  <si>
    <t>RU000A0JWY29</t>
  </si>
  <si>
    <t>СтаврКрай3</t>
  </si>
  <si>
    <t>Ставропольский край 2016 обл.3</t>
  </si>
  <si>
    <t>RU000A0JV334</t>
  </si>
  <si>
    <t>СтржилинБ1</t>
  </si>
  <si>
    <t>ООО "Стройжилинвест" БО-01</t>
  </si>
  <si>
    <t>RU000A0JUQW3</t>
  </si>
  <si>
    <t>Стржилинв1</t>
  </si>
  <si>
    <t>ООО "Стройжилинвест" 01 обл.</t>
  </si>
  <si>
    <t>RU000A0JWJQ6</t>
  </si>
  <si>
    <t>СтруктИнв1</t>
  </si>
  <si>
    <t>Структурные инвестиции КСН 01</t>
  </si>
  <si>
    <t>RU000A0JUJP2</t>
  </si>
  <si>
    <t>ТБС 01</t>
  </si>
  <si>
    <t>Трансбалтстрой ООО об. 01</t>
  </si>
  <si>
    <t>RU000A0JS1W0</t>
  </si>
  <si>
    <t>ТГК-1 03</t>
  </si>
  <si>
    <t>ТГК-1 ПАО обл.03</t>
  </si>
  <si>
    <t>RU000A0JS470</t>
  </si>
  <si>
    <t>ТГК-1 04</t>
  </si>
  <si>
    <t>ТГК-1 ПАО обл.04</t>
  </si>
  <si>
    <t>RU000A0JU7L6</t>
  </si>
  <si>
    <t>ТГК-2 БО-2</t>
  </si>
  <si>
    <t>ТГК-2 ПАО обл. БО-02</t>
  </si>
  <si>
    <t>RU000A0JUPA1</t>
  </si>
  <si>
    <t>ТГенерац1</t>
  </si>
  <si>
    <t>Т-Генерация АО 01 об.</t>
  </si>
  <si>
    <t>RU000A0JTYQ1</t>
  </si>
  <si>
    <t>ТКБ БО-2</t>
  </si>
  <si>
    <t>ТКБ ПАО БО-2</t>
  </si>
  <si>
    <t>RU000A0JTFC0</t>
  </si>
  <si>
    <t>ТКБ-3</t>
  </si>
  <si>
    <t>ТКБ ПАО обл с.03</t>
  </si>
  <si>
    <t>RU000A0JWQ45</t>
  </si>
  <si>
    <t>ТКБ-С04</t>
  </si>
  <si>
    <t>ТКБ ПАО обл С04</t>
  </si>
  <si>
    <t>RU000A0JWU31</t>
  </si>
  <si>
    <t>ТКК кл. А1</t>
  </si>
  <si>
    <t>ООО Трансп.Концесс.Комп. кл.A1</t>
  </si>
  <si>
    <t>RU000A0JWU23</t>
  </si>
  <si>
    <t>ТКК кл.Б</t>
  </si>
  <si>
    <t>ООО Трансп.Концесс.Комп. кл.Б</t>
  </si>
  <si>
    <t>RU000A0JWQP3</t>
  </si>
  <si>
    <t>ТКК об. 01</t>
  </si>
  <si>
    <t>Тверская концес.компания об.01</t>
  </si>
  <si>
    <t>RU000A0JWCM0</t>
  </si>
  <si>
    <t>ТМК БО-5</t>
  </si>
  <si>
    <t>Трубная Мет.Комп. ОАО БО-05</t>
  </si>
  <si>
    <t>RU000A0JUTC9</t>
  </si>
  <si>
    <t>ТМэнерго 1</t>
  </si>
  <si>
    <t>ТМ-энерго финанс ООО 01 обл.</t>
  </si>
  <si>
    <t>RU000A0JU5M8</t>
  </si>
  <si>
    <t>ТПГК-Фин1</t>
  </si>
  <si>
    <t>ТПГК-Финанс АО об. 01</t>
  </si>
  <si>
    <t>RU000A0JUUW5</t>
  </si>
  <si>
    <t>ТПГКФинБ01</t>
  </si>
  <si>
    <t>ТПГК-Финанс АО БО-01</t>
  </si>
  <si>
    <t>RU000A0JUUX3</t>
  </si>
  <si>
    <t>ТПГКФинБ02</t>
  </si>
  <si>
    <t>ТПГК-Финанс АО БО-02</t>
  </si>
  <si>
    <t>RU000A0JUVW3</t>
  </si>
  <si>
    <t>ТПГКФинБ03</t>
  </si>
  <si>
    <t>ТПГК-Финанс АО БО-03</t>
  </si>
  <si>
    <t>RU000A0JR2S7</t>
  </si>
  <si>
    <t>ТПлюс 01</t>
  </si>
  <si>
    <t>Т Плюс ПАО обл. с.01</t>
  </si>
  <si>
    <t>RU000A0JR0E1</t>
  </si>
  <si>
    <t>ТПлюс 02</t>
  </si>
  <si>
    <t>Т Плюс ПАО обл. с.02</t>
  </si>
  <si>
    <t>RU000A0JQZB6</t>
  </si>
  <si>
    <t>ТПлюс 03</t>
  </si>
  <si>
    <t>Т Плюс ПАО обл. с.03</t>
  </si>
  <si>
    <t>RU000A0JVE57</t>
  </si>
  <si>
    <t>ТТБИнвПр01</t>
  </si>
  <si>
    <t>ТТБ Инвест Продакшн ООО об. 01</t>
  </si>
  <si>
    <t>RU000A0JWT75</t>
  </si>
  <si>
    <t>ТамбовОбл2</t>
  </si>
  <si>
    <t>ФУ Тамбовской области 35002</t>
  </si>
  <si>
    <t>RU000A0JU5G0</t>
  </si>
  <si>
    <t>ТатфондБ11</t>
  </si>
  <si>
    <t>Татфондбанк (ПАО) БО-11</t>
  </si>
  <si>
    <t>RU000A0JVBJ0</t>
  </si>
  <si>
    <t>ТатфондБ13</t>
  </si>
  <si>
    <t>Татфондбанк (ПАО) БО-13</t>
  </si>
  <si>
    <t>RU000A0JW4N7</t>
  </si>
  <si>
    <t>ТатфондБ17</t>
  </si>
  <si>
    <t>Татфондбанк (ПАО) БО-17</t>
  </si>
  <si>
    <t>RU000A0JTGN5</t>
  </si>
  <si>
    <t>ТверОбл 12</t>
  </si>
  <si>
    <t>Тверская область 2012</t>
  </si>
  <si>
    <t>RU000A0JUAX5</t>
  </si>
  <si>
    <t>ТверОбл 13</t>
  </si>
  <si>
    <t>Тверская область 2013</t>
  </si>
  <si>
    <t>RU000A0JWMM9</t>
  </si>
  <si>
    <t>ТелХолПБО1</t>
  </si>
  <si>
    <t>АО "ЭР-Телеком Холдинг" ПБО-01</t>
  </si>
  <si>
    <t>RU000A0JX108</t>
  </si>
  <si>
    <t>ТелХолПБО2</t>
  </si>
  <si>
    <t>АО "ЭР-Телеком Холдинг" ПБО-02</t>
  </si>
  <si>
    <t>RU000A0JWM31</t>
  </si>
  <si>
    <t>ТинькоффБ7</t>
  </si>
  <si>
    <t>АО "Тинькофф Банк" БО-07</t>
  </si>
  <si>
    <t>RU000A0JW8E7</t>
  </si>
  <si>
    <t>Тойота 01</t>
  </si>
  <si>
    <t>Тойота Банк АО 01 об.</t>
  </si>
  <si>
    <t>RU000A0JV2H4</t>
  </si>
  <si>
    <t>ТомскАдм 5</t>
  </si>
  <si>
    <t>Адм. г.Томск 2014</t>
  </si>
  <si>
    <t>RU000A0JWZ10</t>
  </si>
  <si>
    <t>ТомскАдм 6</t>
  </si>
  <si>
    <t>Адм. г.Томск 2016</t>
  </si>
  <si>
    <t>RU000A0JTGD6</t>
  </si>
  <si>
    <t>ТомскОб 45</t>
  </si>
  <si>
    <t>Томская обл. 45 вып.(с аморт.)</t>
  </si>
  <si>
    <t>RU000A0JUCZ6</t>
  </si>
  <si>
    <t>ТомскОб 48</t>
  </si>
  <si>
    <t>Томская обл. 48 вып.(с аморт.)</t>
  </si>
  <si>
    <t>RU000A0JW1K9</t>
  </si>
  <si>
    <t>ТомскОб 55</t>
  </si>
  <si>
    <t>Томская обл. 55 вып.(с аморт.)</t>
  </si>
  <si>
    <t>RU000A0JVC42</t>
  </si>
  <si>
    <t>ТрФинанс 1</t>
  </si>
  <si>
    <t>ТрансФинанс ООО 01 обл.</t>
  </si>
  <si>
    <t>RU000A0JV2G6</t>
  </si>
  <si>
    <t>ТранФинМ27</t>
  </si>
  <si>
    <t>ТрансФин-М ПАО 27</t>
  </si>
  <si>
    <t>RU000A0JVU73</t>
  </si>
  <si>
    <t>ТранФинМ28</t>
  </si>
  <si>
    <t>ТрансФин-М ПАО 28</t>
  </si>
  <si>
    <t>RU000A0JWX79</t>
  </si>
  <si>
    <t>ТранФинМ29</t>
  </si>
  <si>
    <t>ТрансФин-М ПАО 29 обл.</t>
  </si>
  <si>
    <t>RU000A0JWTH4</t>
  </si>
  <si>
    <t>ТрансКонБ2</t>
  </si>
  <si>
    <t>ТрансКонтейнер ПАО БО-02</t>
  </si>
  <si>
    <t>RU000A0JTKJ5</t>
  </si>
  <si>
    <t>ТрансКонт4</t>
  </si>
  <si>
    <t>ТрансКонтейнер ПАО об.сер. 04</t>
  </si>
  <si>
    <t>RU000A0JWWM8</t>
  </si>
  <si>
    <t>ТрансФ1P01</t>
  </si>
  <si>
    <t>ТрансФин-М ПАО 001P-01</t>
  </si>
  <si>
    <t>RU000A0JXK99</t>
  </si>
  <si>
    <t>ТрансФ1P02</t>
  </si>
  <si>
    <t>ТрансФин-М ПАО 001P-02</t>
  </si>
  <si>
    <t>RU000A0JUWL4</t>
  </si>
  <si>
    <t>ТрансФБО25</t>
  </si>
  <si>
    <t>ТрансФин-М ПАО БО-25</t>
  </si>
  <si>
    <t>RU000A0JUKA2</t>
  </si>
  <si>
    <t>ТрансФБО26</t>
  </si>
  <si>
    <t>ТрансФин-М ПАО БО-26</t>
  </si>
  <si>
    <t>RU000A0JWLW0</t>
  </si>
  <si>
    <t>ТрансФБО27</t>
  </si>
  <si>
    <t>ТрансФин-М ПАО БО-27</t>
  </si>
  <si>
    <t>RU000A0JUUG8</t>
  </si>
  <si>
    <t>ТрансФБО28</t>
  </si>
  <si>
    <t>ТрансФин-М ПАО БО-28</t>
  </si>
  <si>
    <t>RU000A0JUQ96</t>
  </si>
  <si>
    <t>ТрансФБО29</t>
  </si>
  <si>
    <t>ТрансФин-М ПАО БО-29</t>
  </si>
  <si>
    <t>RU000A0JUR04</t>
  </si>
  <si>
    <t>ТрансФБО30</t>
  </si>
  <si>
    <t>ТрансФин-М ПАО БО-30</t>
  </si>
  <si>
    <t>RU000A0JV9Q0</t>
  </si>
  <si>
    <t>ТрансФБО31</t>
  </si>
  <si>
    <t>ТрансФин-М ПАО БО-31</t>
  </si>
  <si>
    <t>RU000A0JUWW1</t>
  </si>
  <si>
    <t>ТрансФБО32</t>
  </si>
  <si>
    <t>ТрансФин-М ПАО БО-32</t>
  </si>
  <si>
    <t>RU000A0JUX30</t>
  </si>
  <si>
    <t>ТрансФБО33</t>
  </si>
  <si>
    <t>ТрансФин-М ПАО БО-33</t>
  </si>
  <si>
    <t>RU000A0JUWA7</t>
  </si>
  <si>
    <t>ТрансФБО34</t>
  </si>
  <si>
    <t>ТрансФин-М ПАО БО-34</t>
  </si>
  <si>
    <t>RU000A0JUXT5</t>
  </si>
  <si>
    <t>ТрансФБО35</t>
  </si>
  <si>
    <t>ТрансФин-М ПАО БО-35</t>
  </si>
  <si>
    <t>RU000A0JUYC9</t>
  </si>
  <si>
    <t>ТрансФБО36</t>
  </si>
  <si>
    <t>ТрансФин-М ПАО БО-36</t>
  </si>
  <si>
    <t>RU000A0JUZZ7</t>
  </si>
  <si>
    <t>ТрансФБО37</t>
  </si>
  <si>
    <t>ТрансФин-М ПАО БО-37</t>
  </si>
  <si>
    <t>RU000A0JV4S7</t>
  </si>
  <si>
    <t>ТрансФБО38</t>
  </si>
  <si>
    <t>ТрансФин-М ПАО БО-38</t>
  </si>
  <si>
    <t>RU000A0JVHH1</t>
  </si>
  <si>
    <t>ТрансФБО39</t>
  </si>
  <si>
    <t>ТрансФин-М ПАО БО-39</t>
  </si>
  <si>
    <t>RU000A0JVPS1</t>
  </si>
  <si>
    <t>ТрансФБО40</t>
  </si>
  <si>
    <t>ТрансФин-М ПАО БО-40</t>
  </si>
  <si>
    <t>RU000A0JVS36</t>
  </si>
  <si>
    <t>ТрансФБО41</t>
  </si>
  <si>
    <t>ТрансФин-М ПАО БО-41</t>
  </si>
  <si>
    <t>RU000A0JW5B9</t>
  </si>
  <si>
    <t>ТрансФБО42</t>
  </si>
  <si>
    <t>ТрансФин-М ПАО БО-42</t>
  </si>
  <si>
    <t>RU000A0JWEG8</t>
  </si>
  <si>
    <t>ТрансФБО43</t>
  </si>
  <si>
    <t>ТрансФин-М ПАО БО-43</t>
  </si>
  <si>
    <t>RU000A0JX0U9</t>
  </si>
  <si>
    <t>ТрансФБО44</t>
  </si>
  <si>
    <t>ТрансФин-М ПАО БО-44</t>
  </si>
  <si>
    <t>RU000A0JXD07</t>
  </si>
  <si>
    <t>ТрансмшПБ1</t>
  </si>
  <si>
    <t>Трансмашхолдинг ЗАО ПБО-01</t>
  </si>
  <si>
    <t>RU000A0JQ5G6</t>
  </si>
  <si>
    <t>Транснф 01</t>
  </si>
  <si>
    <t>Транснефть ПАО об.сер. 01</t>
  </si>
  <si>
    <t>RU000A0JQDV1</t>
  </si>
  <si>
    <t>Транснф 02</t>
  </si>
  <si>
    <t>Транснефть ПАО об.сер. 02</t>
  </si>
  <si>
    <t>RU000A0JQCR1</t>
  </si>
  <si>
    <t>Транснф 03</t>
  </si>
  <si>
    <t>Транснефть ПАО об.сер. 03</t>
  </si>
  <si>
    <t>RU000A0JUXJ6</t>
  </si>
  <si>
    <t>ТранснфБО3</t>
  </si>
  <si>
    <t>Транснефть ПАО БО- 03</t>
  </si>
  <si>
    <t>RU000A0JVM40</t>
  </si>
  <si>
    <t>ТранснфБО4</t>
  </si>
  <si>
    <t>Транснефть ПАО БО- 04</t>
  </si>
  <si>
    <t>RU000A0JWEB9</t>
  </si>
  <si>
    <t>ТранснфБО5</t>
  </si>
  <si>
    <t>Транснефть ПАО БО- 05</t>
  </si>
  <si>
    <t>RU000A0JWS92</t>
  </si>
  <si>
    <t>ТранснфБО6</t>
  </si>
  <si>
    <t>Транснефть ПАО БО-06</t>
  </si>
  <si>
    <t>RU000A0JWK90</t>
  </si>
  <si>
    <t>ТрнфБО1P1</t>
  </si>
  <si>
    <t>Транснефть ПАО БО-001P-01</t>
  </si>
  <si>
    <t>RU000A0JWMS6</t>
  </si>
  <si>
    <t>ТрнфБО1P2</t>
  </si>
  <si>
    <t>Транснефть ПАО БО-001P-02</t>
  </si>
  <si>
    <t>RU000A0JWPW1</t>
  </si>
  <si>
    <t>ТрнфБО1P3</t>
  </si>
  <si>
    <t>Транснефть ПАО БО-001P-03</t>
  </si>
  <si>
    <t>RU000A0JWVC1</t>
  </si>
  <si>
    <t>ТрнфБО1P4</t>
  </si>
  <si>
    <t>Транснефть ПАО БО-001P-04</t>
  </si>
  <si>
    <t>RU000A0JXC24</t>
  </si>
  <si>
    <t>ТрнфБО1P5</t>
  </si>
  <si>
    <t>Транснефть ПАО БО-001P-05</t>
  </si>
  <si>
    <t>RU000A0JXM97</t>
  </si>
  <si>
    <t>ТрнфБО1P6</t>
  </si>
  <si>
    <t>Транснефть ПАО БО-001P-06</t>
  </si>
  <si>
    <t>RU000A0JUAC9</t>
  </si>
  <si>
    <t>ТулОбл2013</t>
  </si>
  <si>
    <t>Тульская область 2013 обл.03</t>
  </si>
  <si>
    <t>RU000A0JVUW3</t>
  </si>
  <si>
    <t>ТулОбл2015</t>
  </si>
  <si>
    <t>Тульская область 2015 обл.04</t>
  </si>
  <si>
    <t>RU000A0JTVE3</t>
  </si>
  <si>
    <t>УБРиР БО-5</t>
  </si>
  <si>
    <t>УБРиР (ПАО) БО-05</t>
  </si>
  <si>
    <t>RU000A0JR647</t>
  </si>
  <si>
    <t>УВЗ 1об</t>
  </si>
  <si>
    <t>Уралвагонзавод НПК обл. 01</t>
  </si>
  <si>
    <t>RU000A0JR9E2</t>
  </si>
  <si>
    <t>УВЗ 2об</t>
  </si>
  <si>
    <t>Уралвагонзавод НПК обл. 02</t>
  </si>
  <si>
    <t>RU000A0JU0S6</t>
  </si>
  <si>
    <t>УВЗ Б01</t>
  </si>
  <si>
    <t>Уралвагонзавод НПК БО-01</t>
  </si>
  <si>
    <t>RU000A0JU0T4</t>
  </si>
  <si>
    <t>УВЗ Б02</t>
  </si>
  <si>
    <t>Уралвагонзавод НПК БО-02</t>
  </si>
  <si>
    <t>RU000A0JVSY3</t>
  </si>
  <si>
    <t>Удмурт2015</t>
  </si>
  <si>
    <t>Удмуртская респ. обл. 2015</t>
  </si>
  <si>
    <t>RU000A0JWT91</t>
  </si>
  <si>
    <t>Удмурт2016</t>
  </si>
  <si>
    <t>Удмуртская респ. обл. 2016</t>
  </si>
  <si>
    <t>RU000A0JTF76</t>
  </si>
  <si>
    <t>Удмуртия-6</t>
  </si>
  <si>
    <t>Удмуртская респ. обл.06 вып.</t>
  </si>
  <si>
    <t>RU000A0JU740</t>
  </si>
  <si>
    <t>Удмуртия-7</t>
  </si>
  <si>
    <t>Удмуртская респ. 2013 обл.</t>
  </si>
  <si>
    <t>RU000A0JUH97</t>
  </si>
  <si>
    <t>УниверКап1</t>
  </si>
  <si>
    <t>УНИВЕР Капитал ООО об.01</t>
  </si>
  <si>
    <t>RU000A0JU9K4</t>
  </si>
  <si>
    <t>УпрОтход01</t>
  </si>
  <si>
    <t>Управление отходами АО обл.01</t>
  </si>
  <si>
    <t>RU000A0JV0T3</t>
  </si>
  <si>
    <t>УпрОтход02</t>
  </si>
  <si>
    <t>Управление отходами АО обл.02</t>
  </si>
  <si>
    <t>RU000A0JWJF9</t>
  </si>
  <si>
    <t>УпрОтходБ1</t>
  </si>
  <si>
    <t>Управление отходами АО БО-01</t>
  </si>
  <si>
    <t>RU000A0JS9X1</t>
  </si>
  <si>
    <t>УпрОтходНН</t>
  </si>
  <si>
    <t>Управление отходами - НН ЗАО</t>
  </si>
  <si>
    <t>RU000A0JUBH6</t>
  </si>
  <si>
    <t>УралКапБ-1</t>
  </si>
  <si>
    <t>УралКапиталБанк ООО обл.01</t>
  </si>
  <si>
    <t>RU000A0JWR02</t>
  </si>
  <si>
    <t>ФГУП ГЦСС1</t>
  </si>
  <si>
    <t>Фед. гос. унитар. предпр.ГЦСС1</t>
  </si>
  <si>
    <t>RU000A0JWKN1</t>
  </si>
  <si>
    <t>ФПК 01</t>
  </si>
  <si>
    <t>ФедеральнаяПассажирКомпания 01</t>
  </si>
  <si>
    <t>RU000A0JVUG6</t>
  </si>
  <si>
    <t>ФСИ 01</t>
  </si>
  <si>
    <t>Фонд стратег инициативы 01 обл</t>
  </si>
  <si>
    <t>RU000A0JX090</t>
  </si>
  <si>
    <t>ФСК ЕЭС Б2</t>
  </si>
  <si>
    <t>ФСК ЕЭС(ПАО) БО-02</t>
  </si>
  <si>
    <t>RU000A0JR1Y7</t>
  </si>
  <si>
    <t>ФСК ЕЭС-06</t>
  </si>
  <si>
    <t>ФСК ЕЭС(ПАО)-обл. сер.06</t>
  </si>
  <si>
    <t>RU000A0JR1Z4</t>
  </si>
  <si>
    <t>ФСК ЕЭС-07</t>
  </si>
  <si>
    <t>ФСК ЕЭС(ПАО)-обл. сер.07</t>
  </si>
  <si>
    <t>RU000A0JR209</t>
  </si>
  <si>
    <t>ФСК ЕЭС-08</t>
  </si>
  <si>
    <t>ФСК ЕЭС(ПАО)-обл. сер.08</t>
  </si>
  <si>
    <t>RU000A0JR3M8</t>
  </si>
  <si>
    <t>ФСК ЕЭС-09</t>
  </si>
  <si>
    <t>ФСК ЕЭС(ПАО)-обл. сер.09</t>
  </si>
  <si>
    <t>RU000A0JR217</t>
  </si>
  <si>
    <t>ФСК ЕЭС-10</t>
  </si>
  <si>
    <t>ФСК ЕЭС(ПАО)-обл. сер.10</t>
  </si>
  <si>
    <t>RU000A0JR3L0</t>
  </si>
  <si>
    <t>ФСК ЕЭС-11</t>
  </si>
  <si>
    <t>ФСК ЕЭС(ПАО)-обл. сер.11</t>
  </si>
  <si>
    <t>RU000A0JS7H8</t>
  </si>
  <si>
    <t>ФСК ЕЭС-12</t>
  </si>
  <si>
    <t>ФСК ЕЭС(ПАО)-обл. сер.12</t>
  </si>
  <si>
    <t>RU000A0JRL96</t>
  </si>
  <si>
    <t>ФСК ЕЭС-13</t>
  </si>
  <si>
    <t>ФСК ЕЭС(ПАО)-обл. сер.13</t>
  </si>
  <si>
    <t>RU000A0JRUS9</t>
  </si>
  <si>
    <t>ФСК ЕЭС-15</t>
  </si>
  <si>
    <t>ФСК ЕЭС(ПАО)-обл. сер.15</t>
  </si>
  <si>
    <t>RU000A0JRZK5</t>
  </si>
  <si>
    <t>ФСК ЕЭС-18</t>
  </si>
  <si>
    <t>ФСК ЕЭС(ПАО)-обл. сер.18</t>
  </si>
  <si>
    <t>RU000A0JRMX6</t>
  </si>
  <si>
    <t>ФСК ЕЭС-19</t>
  </si>
  <si>
    <t>ФСК ЕЭС(ПАО)-обл. сер.19</t>
  </si>
  <si>
    <t>RU000A0JT7T2</t>
  </si>
  <si>
    <t>ФСК ЕЭС-21</t>
  </si>
  <si>
    <t>ФСК ЕЭС(ПАО)-обл. сер.21</t>
  </si>
  <si>
    <t>RU000A0JSQ58</t>
  </si>
  <si>
    <t>ФСК ЕЭС-22</t>
  </si>
  <si>
    <t>ФСК ЕЭС(ПАО)-обл. сер.22</t>
  </si>
  <si>
    <t>RU000A0JTYJ6</t>
  </si>
  <si>
    <t>ФСК ЕЭС-23</t>
  </si>
  <si>
    <t>ФСК ЕЭС(ПАО)-обл. сер.23</t>
  </si>
  <si>
    <t>RU000A0JTKA4</t>
  </si>
  <si>
    <t>ФСК ЕЭС-24</t>
  </si>
  <si>
    <t>ФСК ЕЭС(ПАО)-обл. сер.24</t>
  </si>
  <si>
    <t>RU000A0JT2K2</t>
  </si>
  <si>
    <t>ФСК ЕЭС-25</t>
  </si>
  <si>
    <t>ФСК ЕЭС(ПАО)-обл. сер.25</t>
  </si>
  <si>
    <t>RU000A0JU2K9</t>
  </si>
  <si>
    <t>ФСК ЕЭС-26</t>
  </si>
  <si>
    <t>ФСК ЕЭС(ПАО)-обл. сер.26</t>
  </si>
  <si>
    <t>RU000A0JU2L7</t>
  </si>
  <si>
    <t>ФСК ЕЭС-27</t>
  </si>
  <si>
    <t>ФСК ЕЭС(ПАО)-обл. сер.27</t>
  </si>
  <si>
    <t>RU000A0JTYK4</t>
  </si>
  <si>
    <t>ФСК ЕЭС-28</t>
  </si>
  <si>
    <t>ФСК ЕЭС(ПАО)-обл. сер.28</t>
  </si>
  <si>
    <t>RU000A0JU7S1</t>
  </si>
  <si>
    <t>ФСК ЕЭС-29</t>
  </si>
  <si>
    <t>ФСК ЕЭС(ПАО)-обл. сер.29</t>
  </si>
  <si>
    <t>RU000A0JUC92</t>
  </si>
  <si>
    <t>ФСК ЕЭС-30</t>
  </si>
  <si>
    <t>ФСК ЕЭС(ПАО)-обл. сер.30</t>
  </si>
  <si>
    <t>RU000A0JUCA9</t>
  </si>
  <si>
    <t>ФСК ЕЭС-34</t>
  </si>
  <si>
    <t>ФСК ЕЭС(ПАО)-обл. сер.34</t>
  </si>
  <si>
    <t>RU000A0JVCB5</t>
  </si>
  <si>
    <t>ФСК ЕЭС-37</t>
  </si>
  <si>
    <t>ФСК ЕЭС(ПАО)-обл. сер.37</t>
  </si>
  <si>
    <t>RU000A0JVDD9</t>
  </si>
  <si>
    <t>ФСК ЕЭС-38</t>
  </si>
  <si>
    <t>ФСК ЕЭС(ПАО)-обл. сер.38</t>
  </si>
  <si>
    <t>RU000A0JVZF7</t>
  </si>
  <si>
    <t>ФинАвиа 01</t>
  </si>
  <si>
    <t>Финанс-Авиа ООО 01 обл.</t>
  </si>
  <si>
    <t>RU000A0JVZG5</t>
  </si>
  <si>
    <t>ФинАвиа 02</t>
  </si>
  <si>
    <t>Финанс-Авиа ООО 02 обл.</t>
  </si>
  <si>
    <t>RU000A0JVXW7</t>
  </si>
  <si>
    <t>ФинИнв 01</t>
  </si>
  <si>
    <t>ФинИнвест ООО 01</t>
  </si>
  <si>
    <t>RU000A0JS8R5</t>
  </si>
  <si>
    <t>ФинСтанд01</t>
  </si>
  <si>
    <t>ФинСтандарт ООО обл. 01</t>
  </si>
  <si>
    <t>RU000A0JVE65</t>
  </si>
  <si>
    <t>Финанс-М 1</t>
  </si>
  <si>
    <t>Финанс-менеджмент (ООО) об.01</t>
  </si>
  <si>
    <t>RU000A0JUDX9</t>
  </si>
  <si>
    <t>Финстоун01</t>
  </si>
  <si>
    <t>Финстоун ООО об. 01</t>
  </si>
  <si>
    <t>RU000A0JWMT4</t>
  </si>
  <si>
    <t>ФолксвБ 10</t>
  </si>
  <si>
    <t>Фольксваген Банк РУС об. 10</t>
  </si>
  <si>
    <t>RU000A0JWVM0</t>
  </si>
  <si>
    <t>ФолксвБ1P1</t>
  </si>
  <si>
    <t>Фольксваген Банк РУС Б 001P-01</t>
  </si>
  <si>
    <t>RU000A0JX3X7</t>
  </si>
  <si>
    <t>ХКФинБ1P1</t>
  </si>
  <si>
    <t>ХК Финанс ООО БО 001P-01</t>
  </si>
  <si>
    <t>RU000A0JUWB5</t>
  </si>
  <si>
    <t>ХМАО 09</t>
  </si>
  <si>
    <t>ХМАО-Югры об. 34001</t>
  </si>
  <si>
    <t>RU000A0JX215</t>
  </si>
  <si>
    <t>ХМАО 10</t>
  </si>
  <si>
    <t>ХМАО-Югры об. 35001</t>
  </si>
  <si>
    <t>RU000A0JU8R1</t>
  </si>
  <si>
    <t>Хакас2013</t>
  </si>
  <si>
    <t>Хакасия 2013 об.35003</t>
  </si>
  <si>
    <t>RU000A0JUXW9</t>
  </si>
  <si>
    <t>Хакас2014</t>
  </si>
  <si>
    <t>Хакасия 2014 об.35004</t>
  </si>
  <si>
    <t>RU000A0JVUH4</t>
  </si>
  <si>
    <t>Хакас2015</t>
  </si>
  <si>
    <t>Хакасия 2015 об.35005</t>
  </si>
  <si>
    <t>RU000A0JWXQ7</t>
  </si>
  <si>
    <t>Хакас2016</t>
  </si>
  <si>
    <t>Хакасия 2016 об.35006</t>
  </si>
  <si>
    <t>RU000A0JUS37</t>
  </si>
  <si>
    <t>ХорусФ БО1</t>
  </si>
  <si>
    <t>ХОРУС ФИНАНС АО БО-01</t>
  </si>
  <si>
    <t>RU000A0JUSJ6</t>
  </si>
  <si>
    <t>ХорусФ БО2</t>
  </si>
  <si>
    <t>ХОРУС ФИНАНС АО БО-02</t>
  </si>
  <si>
    <t>RU000A0JUH89</t>
  </si>
  <si>
    <t>ХорусФин01</t>
  </si>
  <si>
    <t>ХОРУС ФИНАНС АО 01</t>
  </si>
  <si>
    <t>RU000A0JUMX0</t>
  </si>
  <si>
    <t>ЦентрИнБ10</t>
  </si>
  <si>
    <t>Центр-инвест ПАО об.с.БО-10</t>
  </si>
  <si>
    <t>RU000A0JUA60</t>
  </si>
  <si>
    <t>ЦентрИнБО7</t>
  </si>
  <si>
    <t>Центр-инвест ПАО об.с.БО-07</t>
  </si>
  <si>
    <t>RU000A0JX439</t>
  </si>
  <si>
    <t>ЧТПЗ 1P1</t>
  </si>
  <si>
    <t>ПАО ЧТПЗ 001P-01</t>
  </si>
  <si>
    <t>RU000A0JXHE4</t>
  </si>
  <si>
    <t>ЧТПЗ 1P2</t>
  </si>
  <si>
    <t>ПАО ЧТПЗ 001P-02</t>
  </si>
  <si>
    <t>RU000A0JVUJ0</t>
  </si>
  <si>
    <t>ЧеркизБ1P1</t>
  </si>
  <si>
    <t>ГруппаЧеркизово ПАО БО-001P-01</t>
  </si>
  <si>
    <t>RU000A0JTYB3</t>
  </si>
  <si>
    <t>Чувашия-10</t>
  </si>
  <si>
    <t>Чувашская респ. обл. 34010</t>
  </si>
  <si>
    <t>RU000A0JVQ38</t>
  </si>
  <si>
    <t>Экспател01</t>
  </si>
  <si>
    <t>Экспател 01 об</t>
  </si>
  <si>
    <t>RU000A0JTZG9</t>
  </si>
  <si>
    <t>Экспобанк3</t>
  </si>
  <si>
    <t>Экспобанк ООО об. 03</t>
  </si>
  <si>
    <t>RU000A0JUN08</t>
  </si>
  <si>
    <t>ЭлемЛизБО3</t>
  </si>
  <si>
    <t>Элемент Лизинг ООО обл.БО-03</t>
  </si>
  <si>
    <t>RU000A0JWC66</t>
  </si>
  <si>
    <t>ЭлемЛизБО4</t>
  </si>
  <si>
    <t>Элемент Лизинг ООО обл.БО-04</t>
  </si>
  <si>
    <t>RU000A0JVU08</t>
  </si>
  <si>
    <t>Энел 1P-1R</t>
  </si>
  <si>
    <t>Энел Россия ПАО 001P-01R</t>
  </si>
  <si>
    <t>RU000A0JVG97</t>
  </si>
  <si>
    <t>ЭнелР БО-5</t>
  </si>
  <si>
    <t>Энел Россия ПАО БО-05</t>
  </si>
  <si>
    <t>RU000A0JVGB6</t>
  </si>
  <si>
    <t>ЭнелР БО-6</t>
  </si>
  <si>
    <t>Энел Россия ПАО БО-06</t>
  </si>
  <si>
    <t>RU000A0JVSW7</t>
  </si>
  <si>
    <t>ЮнКр 02-ИП</t>
  </si>
  <si>
    <t>ЮниКредит Банк АО 02-ИП</t>
  </si>
  <si>
    <t>RU000A0JUAJ4</t>
  </si>
  <si>
    <t>ЮнКрБанБ10</t>
  </si>
  <si>
    <t>ЮниКредит Банк АО БО-10</t>
  </si>
  <si>
    <t>RU000A0JV052</t>
  </si>
  <si>
    <t>ЮнКрБанБ11</t>
  </si>
  <si>
    <t>ЮниКредит Банк АО БО-11</t>
  </si>
  <si>
    <t>RU000A0JUMJ9</t>
  </si>
  <si>
    <t>ЮнКрБанБ21</t>
  </si>
  <si>
    <t>ЮниКредит Банк АО БО-21</t>
  </si>
  <si>
    <t>RU000A0JUSH0</t>
  </si>
  <si>
    <t>ЮнКрБанБ22</t>
  </si>
  <si>
    <t>ЮниКредит Банк АО БО-22</t>
  </si>
  <si>
    <t>RU000A0JX0Z8</t>
  </si>
  <si>
    <t>ЯНАО-2016</t>
  </si>
  <si>
    <t>Ямало-Ненецкий АО об 2016</t>
  </si>
  <si>
    <t>RU000A0JTVM6</t>
  </si>
  <si>
    <t>Якут 35005</t>
  </si>
  <si>
    <t>Респ. Саха(Якутия) об. 35005</t>
  </si>
  <si>
    <t>RU000A0JUQH4</t>
  </si>
  <si>
    <t>Якут 35006</t>
  </si>
  <si>
    <t>Респ. Саха(Якутия) об. 35006</t>
  </si>
  <si>
    <t>RU000A0JVEH8</t>
  </si>
  <si>
    <t>Якут-07 об</t>
  </si>
  <si>
    <t>Республика Саха (Якутия) об.07</t>
  </si>
  <si>
    <t>RU000A0JWGT6</t>
  </si>
  <si>
    <t>Якут-08 об</t>
  </si>
  <si>
    <t>Республика Саха (Якутия) об.08</t>
  </si>
  <si>
    <t>RU000A0JS850</t>
  </si>
  <si>
    <t>Якут-11 об</t>
  </si>
  <si>
    <t>Республика Саха (Якутия) об.11</t>
  </si>
  <si>
    <t>RU000A0JWKL5</t>
  </si>
  <si>
    <t>ЯмалСтИн 1</t>
  </si>
  <si>
    <t>ЯмалСтройИнвест ООО 01</t>
  </si>
  <si>
    <t>RU000A0JU0W8</t>
  </si>
  <si>
    <t>ЯрОбл 2013</t>
  </si>
  <si>
    <t>Ярославская обл. об.2013г.</t>
  </si>
  <si>
    <t>RU000A0JUQF8</t>
  </si>
  <si>
    <t>ЯрОбл 2014</t>
  </si>
  <si>
    <t>Ярославская обл. об.2014г.</t>
  </si>
  <si>
    <t>RU000A0JWHN7</t>
  </si>
  <si>
    <t>ЯрОбл 2016</t>
  </si>
  <si>
    <t>Ярославская обл. об.2016г.</t>
  </si>
  <si>
    <t>RU000A0JXMQ8</t>
  </si>
  <si>
    <t>Кол-во бумаг</t>
  </si>
  <si>
    <t>Россельхозбанк, БО-01Р</t>
  </si>
  <si>
    <t>VEON US Equity</t>
  </si>
  <si>
    <t>RUB</t>
  </si>
  <si>
    <t>Стоимость позиции на дату покупки (RUB) без НКД</t>
  </si>
  <si>
    <t>Стоимость позиции на дату покупки (USD) без НКД</t>
  </si>
  <si>
    <t>Стоимость позиции по текущей цене (RUB) без НКД</t>
  </si>
  <si>
    <t>Стоимость позиции по текущей цене (USD) без НКД</t>
  </si>
  <si>
    <t>Стоимость позиции по текущей цене (USD) с НКД</t>
  </si>
  <si>
    <t>Дата объявленияследующего дивиденда</t>
  </si>
  <si>
    <t>Дата отсечки следующего дивиденда</t>
  </si>
  <si>
    <t>HGM LN Equity</t>
  </si>
  <si>
    <t>GB0032360173</t>
  </si>
  <si>
    <t>Текущие курсы валют:</t>
  </si>
  <si>
    <t>USDRUB</t>
  </si>
  <si>
    <t>EURRUB</t>
  </si>
  <si>
    <t>GBPUSD</t>
  </si>
  <si>
    <t>USDHKD</t>
  </si>
  <si>
    <t>POLY LN Equity</t>
  </si>
  <si>
    <t>KMG LI Equity</t>
  </si>
  <si>
    <t>RU000A0JXQ85</t>
  </si>
  <si>
    <t>Тинькофф Банк, 001P-01R (В обращении)</t>
  </si>
  <si>
    <t>Тинькофф Банк, 001P-01R</t>
  </si>
  <si>
    <t>GAZP RX Equity</t>
  </si>
  <si>
    <t>currency</t>
  </si>
  <si>
    <t>assettype</t>
  </si>
  <si>
    <t>isin</t>
  </si>
  <si>
    <t>US91822M1062</t>
  </si>
  <si>
    <t>US48666V2043</t>
  </si>
  <si>
    <t>VGG572791041</t>
  </si>
  <si>
    <t>MFON RX Equity</t>
  </si>
  <si>
    <t>GMKN RX Equity</t>
  </si>
  <si>
    <t>RU000A0JRHZ1</t>
  </si>
  <si>
    <t>Россия, 25079</t>
  </si>
  <si>
    <t>Итого</t>
  </si>
  <si>
    <t>Всего:</t>
  </si>
  <si>
    <t>RU000A0JXQ93</t>
  </si>
  <si>
    <t>ПИК, БО-П02</t>
  </si>
  <si>
    <t>Закрытые позиции</t>
  </si>
  <si>
    <t>19/07/2017</t>
  </si>
  <si>
    <t>23/06/2017</t>
  </si>
  <si>
    <t>12/04/2018</t>
  </si>
  <si>
    <t>03/05/2016</t>
  </si>
  <si>
    <t>GBX</t>
  </si>
  <si>
    <t>20/04/2017</t>
  </si>
  <si>
    <t>XS1513280757 Corp</t>
  </si>
  <si>
    <t>XS1513280757</t>
  </si>
  <si>
    <t>14/07/2017</t>
  </si>
  <si>
    <t>10/08/2017</t>
  </si>
  <si>
    <t>22/08/2017</t>
  </si>
  <si>
    <t>IMHRUS 10 ¾ 12/28/18</t>
  </si>
  <si>
    <t>XS1255387976</t>
  </si>
  <si>
    <t>01/06/2017</t>
  </si>
  <si>
    <t>08/11/2017</t>
  </si>
  <si>
    <t>26/05/2017</t>
  </si>
  <si>
    <t>19/06/2017</t>
  </si>
  <si>
    <t>10/07/2017</t>
  </si>
  <si>
    <t>29/09/2016</t>
  </si>
  <si>
    <t>22/06/2017</t>
  </si>
  <si>
    <t>07/11/2017</t>
  </si>
  <si>
    <t>04/05/2017</t>
  </si>
  <si>
    <t>B5M7 Comdty</t>
  </si>
  <si>
    <t>URM7 Curncy</t>
  </si>
  <si>
    <t>RU000A0JXMQ8 Corp</t>
  </si>
  <si>
    <t>29/09/2017</t>
  </si>
  <si>
    <t>RU000A0JX0J2 Corp</t>
  </si>
  <si>
    <t>18/10/2017</t>
  </si>
  <si>
    <t>Деривативы</t>
  </si>
  <si>
    <t>Brent Crude Futs  Apr17</t>
  </si>
  <si>
    <t>Brent Crude Futs  Jun17</t>
  </si>
  <si>
    <t>Brent Crude Futs  May17</t>
  </si>
  <si>
    <t>USD/RUB X-RATE    Jun17</t>
  </si>
  <si>
    <t>USD/RUB X-RATE    Mar17</t>
  </si>
  <si>
    <t>YANDEX NV-A</t>
  </si>
  <si>
    <t>URH7 Curncy</t>
  </si>
  <si>
    <t>B5J7 Comdty</t>
  </si>
  <si>
    <t>B5K7 Comdty</t>
  </si>
  <si>
    <t>Фактор</t>
  </si>
  <si>
    <t>B5N7 Comdty</t>
  </si>
  <si>
    <t>Brent Crude Futs  Jul17</t>
  </si>
  <si>
    <t>AGRO LI Equity</t>
  </si>
  <si>
    <t>24/04/2018</t>
  </si>
  <si>
    <t>NVTK RX Equity</t>
  </si>
  <si>
    <t>28/04/2017</t>
  </si>
  <si>
    <t>28/08/2017</t>
  </si>
  <si>
    <t>11/07/2017</t>
  </si>
  <si>
    <t>LKOH RX Equity</t>
  </si>
  <si>
    <t>07/07/2017</t>
  </si>
  <si>
    <t>27/10/2017</t>
  </si>
  <si>
    <t>URU7 Curncy</t>
  </si>
  <si>
    <t>21/09/2017</t>
  </si>
  <si>
    <t>TT343269 Corp</t>
  </si>
  <si>
    <t>24/12/2017</t>
  </si>
  <si>
    <t>XS0290580595 Corp</t>
  </si>
  <si>
    <t>XS0290580595</t>
  </si>
  <si>
    <t>07/09/2017</t>
  </si>
  <si>
    <t>XS1032750165 Corp</t>
  </si>
  <si>
    <t>XS1032750165</t>
  </si>
  <si>
    <t>26/08/2017</t>
  </si>
  <si>
    <t>AM562901 Corp</t>
  </si>
  <si>
    <t>GAZPRU 6.51 03/07/22</t>
  </si>
  <si>
    <t>USD/RUB X-RATE    Sep17</t>
  </si>
  <si>
    <t>29/08/2017</t>
  </si>
  <si>
    <t>Brent Crude Futs  Aug17</t>
  </si>
  <si>
    <t>B5Q7 Comdty</t>
  </si>
  <si>
    <t>Highland Gold Mining Ltd</t>
  </si>
  <si>
    <t>GBp</t>
  </si>
  <si>
    <t/>
  </si>
  <si>
    <t>VEON Ltd</t>
  </si>
  <si>
    <t>KazMunaiGas Exploration Produc</t>
  </si>
  <si>
    <t>Ros Agro PLC</t>
  </si>
  <si>
    <t>Polymetal International PLC</t>
  </si>
  <si>
    <t>KNFP 0 04/15/19</t>
  </si>
  <si>
    <t>SBERRU 5 1/2 02/26/24</t>
  </si>
  <si>
    <t>RUSSIA 12 3/4 06/24/28</t>
  </si>
  <si>
    <t>CLIENT</t>
  </si>
  <si>
    <t>multiple</t>
  </si>
  <si>
    <t>LXFT US Equity</t>
  </si>
  <si>
    <t>13/09/2017</t>
  </si>
  <si>
    <t>ALRS RX Equity</t>
  </si>
  <si>
    <t>RUALR RX Equity</t>
  </si>
  <si>
    <t>NMTP RX Equity</t>
  </si>
  <si>
    <t>NKNCP RX Equity</t>
  </si>
  <si>
    <t>SIBN RX Equity</t>
  </si>
  <si>
    <t>KMAZ RX Equity</t>
  </si>
  <si>
    <t>LSRG RX Equity</t>
  </si>
  <si>
    <t>30/08/2017</t>
  </si>
  <si>
    <t>B5U7 Comdty</t>
  </si>
  <si>
    <t>01/09/2017</t>
  </si>
  <si>
    <t>SBRF=U7 RU Equity</t>
  </si>
  <si>
    <t>AM281135 Corp</t>
  </si>
  <si>
    <t>09/11/2017</t>
  </si>
  <si>
    <t>RU000A0JV7K7 Corp</t>
  </si>
  <si>
    <t>27/12/2017</t>
  </si>
  <si>
    <t>AFKSRU 6.95 05/17/19</t>
  </si>
  <si>
    <t>XS0783242877</t>
  </si>
  <si>
    <t>Brent Crude Futs  Sep17</t>
  </si>
  <si>
    <t>RTS INDEX FUTURE  Sep17</t>
  </si>
  <si>
    <t>Sberbank Sep17</t>
  </si>
  <si>
    <t>VEU7 Index</t>
  </si>
  <si>
    <t>Luxoft Holding Inc</t>
  </si>
  <si>
    <t>18/08/2017</t>
  </si>
  <si>
    <t>Date</t>
  </si>
  <si>
    <t>Account Code</t>
  </si>
  <si>
    <t>Instrument</t>
  </si>
  <si>
    <t>Quantity</t>
  </si>
  <si>
    <t>Instrument SubClass</t>
  </si>
  <si>
    <t>Avg Price, RUR</t>
  </si>
  <si>
    <t>Avg Price, USD</t>
  </si>
  <si>
    <t>Rest Type</t>
  </si>
  <si>
    <t>AANDF</t>
  </si>
  <si>
    <t>486JE</t>
  </si>
  <si>
    <t>FOS</t>
  </si>
  <si>
    <t>Fact</t>
  </si>
  <si>
    <t>AGNUS</t>
  </si>
  <si>
    <t>IE00BY9D5467</t>
  </si>
  <si>
    <t>AGROLI</t>
  </si>
  <si>
    <t>GDR</t>
  </si>
  <si>
    <t>EU28REGS</t>
  </si>
  <si>
    <t>Eurobond</t>
  </si>
  <si>
    <t>GAZBK23</t>
  </si>
  <si>
    <t>XS0975320879</t>
  </si>
  <si>
    <t>GAZP</t>
  </si>
  <si>
    <t>Equity Local</t>
  </si>
  <si>
    <t>HGMLN</t>
  </si>
  <si>
    <t>KMG</t>
  </si>
  <si>
    <t>LSR-BO-01</t>
  </si>
  <si>
    <t>Bond Local</t>
  </si>
  <si>
    <t>LXFTUS</t>
  </si>
  <si>
    <t>MUS</t>
  </si>
  <si>
    <t>US55616P1049</t>
  </si>
  <si>
    <t>NKNCP</t>
  </si>
  <si>
    <t>NOMOS19</t>
  </si>
  <si>
    <t>XS0776121062</t>
  </si>
  <si>
    <t>POLYLN</t>
  </si>
  <si>
    <t>RTKM</t>
  </si>
  <si>
    <t>Plan</t>
  </si>
  <si>
    <t>VEONUS</t>
  </si>
  <si>
    <t>ADR</t>
  </si>
  <si>
    <t>AANTF</t>
  </si>
  <si>
    <t>BR-12.17</t>
  </si>
  <si>
    <t>BRZ7</t>
  </si>
  <si>
    <t>Futures Commodity</t>
  </si>
  <si>
    <t>SI-12.17</t>
  </si>
  <si>
    <t>SiZ7</t>
  </si>
  <si>
    <t>Futures FX</t>
  </si>
  <si>
    <t>AAOHF</t>
  </si>
  <si>
    <t>QIWIUS</t>
  </si>
  <si>
    <t>AAOJF</t>
  </si>
  <si>
    <t>EFGIF_0419E</t>
  </si>
  <si>
    <t>CH0384861396</t>
  </si>
  <si>
    <t>Structured Notes Bond</t>
  </si>
  <si>
    <t>EURONAT19M</t>
  </si>
  <si>
    <t>XS1513271418</t>
  </si>
  <si>
    <t>EURONAT19R</t>
  </si>
  <si>
    <t>XS1605088928</t>
  </si>
  <si>
    <t>NOMOS19S</t>
  </si>
  <si>
    <t>XS0940730228</t>
  </si>
  <si>
    <t>EVRAZ21</t>
  </si>
  <si>
    <t>XS1319822752</t>
  </si>
  <si>
    <t>LKOH</t>
  </si>
  <si>
    <t>NVTK</t>
  </si>
  <si>
    <t>OGZPY</t>
  </si>
  <si>
    <t>US3682872078</t>
  </si>
  <si>
    <t>SBER24</t>
  </si>
  <si>
    <t>TINCREPERP</t>
  </si>
  <si>
    <t>XS1631338495</t>
  </si>
  <si>
    <t>TMK20</t>
  </si>
  <si>
    <t>XS0911599701</t>
  </si>
  <si>
    <t>AAOUF</t>
  </si>
  <si>
    <t>ESV24</t>
  </si>
  <si>
    <t>US29358QAC33</t>
  </si>
  <si>
    <t>EUCHEM20</t>
  </si>
  <si>
    <t>XS1495632298</t>
  </si>
  <si>
    <t>JBSSBZ20N</t>
  </si>
  <si>
    <t>USA29866AA70</t>
  </si>
  <si>
    <t>MRFGBZ23</t>
  </si>
  <si>
    <t>USN54468AF52</t>
  </si>
  <si>
    <t>AAOVF</t>
  </si>
  <si>
    <t>ALRS</t>
  </si>
  <si>
    <t>MOEX</t>
  </si>
  <si>
    <t>AAOYF</t>
  </si>
  <si>
    <t>EFGIF_0419F</t>
  </si>
  <si>
    <t>CH0384862550</t>
  </si>
  <si>
    <t>VEB22</t>
  </si>
  <si>
    <t>XS0800817073</t>
  </si>
  <si>
    <t>VTB18N</t>
  </si>
  <si>
    <t>XS0592794597</t>
  </si>
  <si>
    <t>AKTOS</t>
  </si>
  <si>
    <t>486HK</t>
  </si>
  <si>
    <t>COMNED</t>
  </si>
  <si>
    <t>RU000A0ERGA7</t>
  </si>
  <si>
    <t>Mutual Fund</t>
  </si>
  <si>
    <t>ETLNLI</t>
  </si>
  <si>
    <t>US29760G1031</t>
  </si>
  <si>
    <t>EVRAZ22</t>
  </si>
  <si>
    <t>XS1405775377</t>
  </si>
  <si>
    <t>FKEC05</t>
  </si>
  <si>
    <t>RU000A0JPP11</t>
  </si>
  <si>
    <t>GLTRLI</t>
  </si>
  <si>
    <t>US37949E2046</t>
  </si>
  <si>
    <t>MFON</t>
  </si>
  <si>
    <t>MTSS</t>
  </si>
  <si>
    <t>UPRO</t>
  </si>
  <si>
    <t>AQLON</t>
  </si>
  <si>
    <t>PLZL</t>
  </si>
  <si>
    <t>ROSN</t>
  </si>
  <si>
    <t>AQLON1</t>
  </si>
  <si>
    <t>BANEP</t>
  </si>
  <si>
    <t>CNCRUS</t>
  </si>
  <si>
    <t>US26922A8264</t>
  </si>
  <si>
    <t>ETF</t>
  </si>
  <si>
    <t>EVRLN</t>
  </si>
  <si>
    <t>GB00B71N6K86</t>
  </si>
  <si>
    <t>FIVELI</t>
  </si>
  <si>
    <t>US98387E2054</t>
  </si>
  <si>
    <t>GLPRLI22</t>
  </si>
  <si>
    <t>XS1319813769</t>
  </si>
  <si>
    <t>GMKN</t>
  </si>
  <si>
    <t>HHPA2AHLX</t>
  </si>
  <si>
    <t>LU0974284688</t>
  </si>
  <si>
    <t>UCITS Equity</t>
  </si>
  <si>
    <t>KMAZ</t>
  </si>
  <si>
    <t>LSRG</t>
  </si>
  <si>
    <t>MAGN</t>
  </si>
  <si>
    <t>NMTP</t>
  </si>
  <si>
    <t>PGILLN23</t>
  </si>
  <si>
    <t>XS1533922933</t>
  </si>
  <si>
    <t>SIBN</t>
  </si>
  <si>
    <t>SNGSP</t>
  </si>
  <si>
    <t>TRMK</t>
  </si>
  <si>
    <t>BBJSF</t>
  </si>
  <si>
    <t>AFKS</t>
  </si>
  <si>
    <t>AMLPUS</t>
  </si>
  <si>
    <t>US00162Q8666</t>
  </si>
  <si>
    <t>NVTKL</t>
  </si>
  <si>
    <t>US6698881090</t>
  </si>
  <si>
    <t>PHOR</t>
  </si>
  <si>
    <t>SBKYY</t>
  </si>
  <si>
    <t>US36829G1076</t>
  </si>
  <si>
    <t>SX7EEXGR</t>
  </si>
  <si>
    <t>DE0006289309</t>
  </si>
  <si>
    <t>BBJUF</t>
  </si>
  <si>
    <t>EDCLLI20</t>
  </si>
  <si>
    <t>XS0918604496</t>
  </si>
  <si>
    <t>SBERBO3R</t>
  </si>
  <si>
    <t>RU000A0ZYBS1</t>
  </si>
  <si>
    <t>BBJVF</t>
  </si>
  <si>
    <t>ADNA</t>
  </si>
  <si>
    <t>NL0011794037</t>
  </si>
  <si>
    <t>DEUTPERPB</t>
  </si>
  <si>
    <t>DE000DB7XHP3</t>
  </si>
  <si>
    <t>EFGIF_0419C</t>
  </si>
  <si>
    <t>CH0384861404</t>
  </si>
  <si>
    <t>EURONAT19S</t>
  </si>
  <si>
    <t>XS1605089066</t>
  </si>
  <si>
    <t>IHYGLN</t>
  </si>
  <si>
    <t>IE00B66F4759</t>
  </si>
  <si>
    <t>INTNEDPERPJ</t>
  </si>
  <si>
    <t>US456837AE31</t>
  </si>
  <si>
    <t>OMEAEHAID</t>
  </si>
  <si>
    <t>IE00BLP5S460</t>
  </si>
  <si>
    <t>UCITS Debt</t>
  </si>
  <si>
    <t>PETBRA23A</t>
  </si>
  <si>
    <t>XS0835890350</t>
  </si>
  <si>
    <t>VEDLN23</t>
  </si>
  <si>
    <t>USG9328DAJ93</t>
  </si>
  <si>
    <t>BBKEF</t>
  </si>
  <si>
    <t>AFLT</t>
  </si>
  <si>
    <t>PHORLI</t>
  </si>
  <si>
    <t>US71922G2093</t>
  </si>
  <si>
    <t>TMKS</t>
  </si>
  <si>
    <t>US87260R2013</t>
  </si>
  <si>
    <t>BBKEF1</t>
  </si>
  <si>
    <t>CRBKMOPERP</t>
  </si>
  <si>
    <t>XS1601094755</t>
  </si>
  <si>
    <t>HALKBK21</t>
  </si>
  <si>
    <t>XS1439838548</t>
  </si>
  <si>
    <t>PETBRA26</t>
  </si>
  <si>
    <t>US71647NAQ25</t>
  </si>
  <si>
    <t>RUSAG23</t>
  </si>
  <si>
    <t>XS0979891925</t>
  </si>
  <si>
    <t>BBKTF</t>
  </si>
  <si>
    <t>GILDUS</t>
  </si>
  <si>
    <t>US3755581036</t>
  </si>
  <si>
    <t>BBKVF</t>
  </si>
  <si>
    <t>24018</t>
  </si>
  <si>
    <t>Bond OFZ</t>
  </si>
  <si>
    <t>24019</t>
  </si>
  <si>
    <t>AKBBIN19</t>
  </si>
  <si>
    <t>XS1379311761</t>
  </si>
  <si>
    <t>EVRAZ20</t>
  </si>
  <si>
    <t>XS0808638612</t>
  </si>
  <si>
    <t>GAZBK19</t>
  </si>
  <si>
    <t>XS0779213460</t>
  </si>
  <si>
    <t>OBUVRUS20</t>
  </si>
  <si>
    <t>RU000A0JXVY3</t>
  </si>
  <si>
    <t>PROMBK19N</t>
  </si>
  <si>
    <t>XS1506500039</t>
  </si>
  <si>
    <t>VEDLN22</t>
  </si>
  <si>
    <t>USG9328DAM23</t>
  </si>
  <si>
    <t>BBKXF</t>
  </si>
  <si>
    <t>BBKYF</t>
  </si>
  <si>
    <t>BBLNF</t>
  </si>
  <si>
    <t>BBLUF1</t>
  </si>
  <si>
    <t>BATSLN</t>
  </si>
  <si>
    <t>GB0002875804</t>
  </si>
  <si>
    <t>GSKLN</t>
  </si>
  <si>
    <t>GB0009252882</t>
  </si>
  <si>
    <t>GTLKOA24</t>
  </si>
  <si>
    <t>XS1577961516</t>
  </si>
  <si>
    <t>MTNSJ22</t>
  </si>
  <si>
    <t>XS1503116912</t>
  </si>
  <si>
    <t>PETBRA21A</t>
  </si>
  <si>
    <t>US71647NAP42</t>
  </si>
  <si>
    <t>RTPPF</t>
  </si>
  <si>
    <t>GB0007188757</t>
  </si>
  <si>
    <t>SCFRU23</t>
  </si>
  <si>
    <t>XS1433454243</t>
  </si>
  <si>
    <t>VIP23N</t>
  </si>
  <si>
    <t>XS1400710726</t>
  </si>
  <si>
    <t>BBLXF</t>
  </si>
  <si>
    <t>26222</t>
  </si>
  <si>
    <t>RU000A0JXQF2</t>
  </si>
  <si>
    <t>29011</t>
  </si>
  <si>
    <t>AAPLUS</t>
  </si>
  <si>
    <t>US0378331005</t>
  </si>
  <si>
    <t>WHRUS</t>
  </si>
  <si>
    <t>US9633201069</t>
  </si>
  <si>
    <t>CACFF</t>
  </si>
  <si>
    <t>MMKLI</t>
  </si>
  <si>
    <t>US5591892048</t>
  </si>
  <si>
    <t>DACEF</t>
  </si>
  <si>
    <t>MOSOBL2016</t>
  </si>
  <si>
    <t>DACFF</t>
  </si>
  <si>
    <t>GAZPR34</t>
  </si>
  <si>
    <t>XS0191754729</t>
  </si>
  <si>
    <t>PGILLN22</t>
  </si>
  <si>
    <t>XS1405766384</t>
  </si>
  <si>
    <t>SBER23</t>
  </si>
  <si>
    <t>XS0935311240</t>
  </si>
  <si>
    <t>VTB22</t>
  </si>
  <si>
    <t>XS0842078536</t>
  </si>
  <si>
    <t>DADNF</t>
  </si>
  <si>
    <t>CZZ24</t>
  </si>
  <si>
    <t>USG25343AA52</t>
  </si>
  <si>
    <t>EMBUS</t>
  </si>
  <si>
    <t>US4642882819</t>
  </si>
  <si>
    <t>ESKOM21</t>
  </si>
  <si>
    <t>XS0579851949</t>
  </si>
  <si>
    <t>EVRAZ23</t>
  </si>
  <si>
    <t>XS1533915721</t>
  </si>
  <si>
    <t>FCX23</t>
  </si>
  <si>
    <t>US35671DAZ87</t>
  </si>
  <si>
    <t>GAZPRU25E</t>
  </si>
  <si>
    <t>XS0906949523</t>
  </si>
  <si>
    <t>GFISJ20</t>
  </si>
  <si>
    <t>XS0547082973</t>
  </si>
  <si>
    <t>HALKBK19</t>
  </si>
  <si>
    <t>XS1069383856</t>
  </si>
  <si>
    <t>MTNSJ24</t>
  </si>
  <si>
    <t>XS1128996425</t>
  </si>
  <si>
    <t>PEMEX23B</t>
  </si>
  <si>
    <t>US71654QCD25</t>
  </si>
  <si>
    <t>PETBRA25</t>
  </si>
  <si>
    <t>XS0982711714</t>
  </si>
  <si>
    <t>PETRMX24</t>
  </si>
  <si>
    <t>XS1568874983</t>
  </si>
  <si>
    <t>SIBUR23</t>
  </si>
  <si>
    <t>XS1693971043</t>
  </si>
  <si>
    <t>STX22</t>
  </si>
  <si>
    <t>USG79456AK84</t>
  </si>
  <si>
    <t>VEB23E</t>
  </si>
  <si>
    <t>XS0893212398</t>
  </si>
  <si>
    <t>DADSF</t>
  </si>
  <si>
    <t>VEB23</t>
  </si>
  <si>
    <t>XS0993162683</t>
  </si>
  <si>
    <t>DAEHF</t>
  </si>
  <si>
    <t>DRPQF</t>
  </si>
  <si>
    <t>26204</t>
  </si>
  <si>
    <t>EURONAT19P</t>
  </si>
  <si>
    <t>XS1581931083</t>
  </si>
  <si>
    <t>NE18</t>
  </si>
  <si>
    <t>US65504LAM90</t>
  </si>
  <si>
    <t>ELLQF</t>
  </si>
  <si>
    <t>26221</t>
  </si>
  <si>
    <t>BSPB</t>
  </si>
  <si>
    <t>DAIGR</t>
  </si>
  <si>
    <t>DE0007100000</t>
  </si>
  <si>
    <t>EVRKHIMB1R1</t>
  </si>
  <si>
    <t>EVRKHOL1P1R</t>
  </si>
  <si>
    <t>EXILN</t>
  </si>
  <si>
    <t>IM00B58FMW76</t>
  </si>
  <si>
    <t>GAZCAP27</t>
  </si>
  <si>
    <t>GAZPRNEFB2</t>
  </si>
  <si>
    <t>GAZPRNEFB7</t>
  </si>
  <si>
    <t>GTLK-1P-03</t>
  </si>
  <si>
    <t>GZPN22</t>
  </si>
  <si>
    <t>XS0830192711</t>
  </si>
  <si>
    <t>GZPN23</t>
  </si>
  <si>
    <t>XS0997544860</t>
  </si>
  <si>
    <t>HMSGLI</t>
  </si>
  <si>
    <t>US40425X4079</t>
  </si>
  <si>
    <t>KCELLI</t>
  </si>
  <si>
    <t>US48668G2057</t>
  </si>
  <si>
    <t>METALINB02</t>
  </si>
  <si>
    <t>MGNT</t>
  </si>
  <si>
    <t>MHPCLI</t>
  </si>
  <si>
    <t>US55302T2042</t>
  </si>
  <si>
    <t>MHPSA20</t>
  </si>
  <si>
    <t>USL6366MAC75</t>
  </si>
  <si>
    <t>MTS-001P-1</t>
  </si>
  <si>
    <t>NKNC</t>
  </si>
  <si>
    <t>PHAGLN</t>
  </si>
  <si>
    <t>JE00B1VS3333</t>
  </si>
  <si>
    <t>PHAULN</t>
  </si>
  <si>
    <t>JE00B1VS3770</t>
  </si>
  <si>
    <t>PKT-01</t>
  </si>
  <si>
    <t>PRTK</t>
  </si>
  <si>
    <t>RUSAG18R</t>
  </si>
  <si>
    <t>XS0884734343</t>
  </si>
  <si>
    <t>RUSALBRB01</t>
  </si>
  <si>
    <t>RZHD-BO-07</t>
  </si>
  <si>
    <t>SUEK-FIN01R</t>
  </si>
  <si>
    <t>SVAV</t>
  </si>
  <si>
    <t>TGKA</t>
  </si>
  <si>
    <t>TINKOFF1R</t>
  </si>
  <si>
    <t>TRNFBO1P5</t>
  </si>
  <si>
    <t>URANIUM02</t>
  </si>
  <si>
    <t>URKA</t>
  </si>
  <si>
    <t>VEBL13</t>
  </si>
  <si>
    <t>VIP18R</t>
  </si>
  <si>
    <t>XS0889402029</t>
  </si>
  <si>
    <t>YNDXUS</t>
  </si>
  <si>
    <t>EMQQF</t>
  </si>
  <si>
    <t>IRAQ23</t>
  </si>
  <si>
    <t>XS1662407862</t>
  </si>
  <si>
    <t>TURKEY30</t>
  </si>
  <si>
    <t>US900123AL40</t>
  </si>
  <si>
    <t>ENGQF</t>
  </si>
  <si>
    <t>FOLKSVB1P1</t>
  </si>
  <si>
    <t>PIK-BO-P02</t>
  </si>
  <si>
    <t>RSHBBO001</t>
  </si>
  <si>
    <t>SPTEL07</t>
  </si>
  <si>
    <t>ENIQF</t>
  </si>
  <si>
    <t>ENJQF</t>
  </si>
  <si>
    <t>FOOQF</t>
  </si>
  <si>
    <t>ANG20</t>
  </si>
  <si>
    <t>US03512TAA97</t>
  </si>
  <si>
    <t>ARCO23</t>
  </si>
  <si>
    <t>USG0457FAD99</t>
  </si>
  <si>
    <t>BIDU19</t>
  </si>
  <si>
    <t>US056752AD07</t>
  </si>
  <si>
    <t>BISVP</t>
  </si>
  <si>
    <t>GAZBK19N</t>
  </si>
  <si>
    <t>XS1040726587</t>
  </si>
  <si>
    <t>GM23</t>
  </si>
  <si>
    <t>US37045XBK19</t>
  </si>
  <si>
    <t>GPS21</t>
  </si>
  <si>
    <t>US364760AK48</t>
  </si>
  <si>
    <t>LUKOY</t>
  </si>
  <si>
    <t>US69343P1057</t>
  </si>
  <si>
    <t>METINR20</t>
  </si>
  <si>
    <t>XS0918297382</t>
  </si>
  <si>
    <t>NILSY</t>
  </si>
  <si>
    <t>US55315J1025</t>
  </si>
  <si>
    <t>NOVT22</t>
  </si>
  <si>
    <t>XS0864383723</t>
  </si>
  <si>
    <t>PETBRA20A</t>
  </si>
  <si>
    <t>US71647NAL38</t>
  </si>
  <si>
    <t>PGILLN20</t>
  </si>
  <si>
    <t>XS0922301717</t>
  </si>
  <si>
    <t>SBER</t>
  </si>
  <si>
    <t>SBRCYUS</t>
  </si>
  <si>
    <t>US80585Y3080</t>
  </si>
  <si>
    <t>SSAREGS</t>
  </si>
  <si>
    <t>US48122U2042</t>
  </si>
  <si>
    <t>TTMTIN20A</t>
  </si>
  <si>
    <t>USG5002FAE63</t>
  </si>
  <si>
    <t>FPIQF</t>
  </si>
  <si>
    <t>FPKQF</t>
  </si>
  <si>
    <t>TCSLI</t>
  </si>
  <si>
    <t>US87238U2033</t>
  </si>
  <si>
    <t>GBANF</t>
  </si>
  <si>
    <t>EFGIF_0620A</t>
  </si>
  <si>
    <t>CH0367864680</t>
  </si>
  <si>
    <t>EURONAT20Y</t>
  </si>
  <si>
    <t>XS1581926083</t>
  </si>
  <si>
    <t>HENPEA2LX</t>
  </si>
  <si>
    <t>LU0138821268</t>
  </si>
  <si>
    <t>OMEAUSAID</t>
  </si>
  <si>
    <t>IE00BLP5S353</t>
  </si>
  <si>
    <t>GBBIF</t>
  </si>
  <si>
    <t>BELRUS18</t>
  </si>
  <si>
    <t>XS0583616239</t>
  </si>
  <si>
    <t>EURONAT18</t>
  </si>
  <si>
    <t>XS1468264822</t>
  </si>
  <si>
    <t>PETBRA22A</t>
  </si>
  <si>
    <t>US71647NAR08</t>
  </si>
  <si>
    <t>RDSANA</t>
  </si>
  <si>
    <t>GB00B03MLX29</t>
  </si>
  <si>
    <t>GBBVF</t>
  </si>
  <si>
    <t>GAZPRU22</t>
  </si>
  <si>
    <t>GBBVF1</t>
  </si>
  <si>
    <t>GBCDF</t>
  </si>
  <si>
    <t>25081</t>
  </si>
  <si>
    <t>EU18REGS</t>
  </si>
  <si>
    <t>GBCJF</t>
  </si>
  <si>
    <t>26216</t>
  </si>
  <si>
    <t>29012</t>
  </si>
  <si>
    <t>46021</t>
  </si>
  <si>
    <t>ALFABO-18</t>
  </si>
  <si>
    <t>GBCLF</t>
  </si>
  <si>
    <t>MOUS</t>
  </si>
  <si>
    <t>US02209S1033</t>
  </si>
  <si>
    <t>GBCNF</t>
  </si>
  <si>
    <t>ALOC15</t>
  </si>
  <si>
    <t>XS0493579238</t>
  </si>
  <si>
    <t>GRENF</t>
  </si>
  <si>
    <t>HOQQF</t>
  </si>
  <si>
    <t>EU47REGS</t>
  </si>
  <si>
    <t>RU000A0JXU14</t>
  </si>
  <si>
    <t>SBER22S</t>
  </si>
  <si>
    <t>XS0848530977</t>
  </si>
  <si>
    <t>HOTQF</t>
  </si>
  <si>
    <t>RUALRU22</t>
  </si>
  <si>
    <t>XS1533921299</t>
  </si>
  <si>
    <t>HPWQF</t>
  </si>
  <si>
    <t>EFGIF_0419A</t>
  </si>
  <si>
    <t>CH0361710632</t>
  </si>
  <si>
    <t>INFLE</t>
  </si>
  <si>
    <t>RUSST22</t>
  </si>
  <si>
    <t>XS1117280625</t>
  </si>
  <si>
    <t>IVNPF</t>
  </si>
  <si>
    <t>AUUSISE</t>
  </si>
  <si>
    <t>CH0106027193</t>
  </si>
  <si>
    <t>CMCSAUS</t>
  </si>
  <si>
    <t>US20030N1019</t>
  </si>
  <si>
    <t>CSX5LN</t>
  </si>
  <si>
    <t>IE00B53L3W79</t>
  </si>
  <si>
    <t>VFCUS</t>
  </si>
  <si>
    <t>US9182041080</t>
  </si>
  <si>
    <t>WSTP19</t>
  </si>
  <si>
    <t>US961214CF89</t>
  </si>
  <si>
    <t>JJGQF</t>
  </si>
  <si>
    <t>RRAIL23</t>
  </si>
  <si>
    <t>XS1041815116</t>
  </si>
  <si>
    <t>KARIS</t>
  </si>
  <si>
    <t>COMGEMKID</t>
  </si>
  <si>
    <t>IE0033535182</t>
  </si>
  <si>
    <t>GLPRLI</t>
  </si>
  <si>
    <t>US37951Q2021</t>
  </si>
  <si>
    <t>KDBEF</t>
  </si>
  <si>
    <t>AVP22</t>
  </si>
  <si>
    <t>USU05485AA20</t>
  </si>
  <si>
    <t>KOKS18</t>
  </si>
  <si>
    <t>RUALRU23</t>
  </si>
  <si>
    <t>XS1577964965</t>
  </si>
  <si>
    <t>KDBRF</t>
  </si>
  <si>
    <t>ALOC20</t>
  </si>
  <si>
    <t>XS0925043100</t>
  </si>
  <si>
    <t>ALROSA20</t>
  </si>
  <si>
    <t>XS0555493203</t>
  </si>
  <si>
    <t>BACLI</t>
  </si>
  <si>
    <t>US0605051046</t>
  </si>
  <si>
    <t>DEUTBPERP</t>
  </si>
  <si>
    <t>XS1071551474</t>
  </si>
  <si>
    <t>GLDUS</t>
  </si>
  <si>
    <t>US78463V1070</t>
  </si>
  <si>
    <t>HEDJUS</t>
  </si>
  <si>
    <t>US97717X7012</t>
  </si>
  <si>
    <t>PETBRA23</t>
  </si>
  <si>
    <t>US71647NAF69</t>
  </si>
  <si>
    <t>PORTUG24</t>
  </si>
  <si>
    <t>XS1085735899</t>
  </si>
  <si>
    <t>RLTAIN19</t>
  </si>
  <si>
    <t>USU77583AA79</t>
  </si>
  <si>
    <t>TBTUS</t>
  </si>
  <si>
    <t>US74347B2016</t>
  </si>
  <si>
    <t>TUPRST18</t>
  </si>
  <si>
    <t>XS0849020556</t>
  </si>
  <si>
    <t>VEB20</t>
  </si>
  <si>
    <t>XS0524610812</t>
  </si>
  <si>
    <t>KDBSF</t>
  </si>
  <si>
    <t>CSSMISW</t>
  </si>
  <si>
    <t>CH0008899764</t>
  </si>
  <si>
    <t>MONUS</t>
  </si>
  <si>
    <t>US61166W1018</t>
  </si>
  <si>
    <t>QNBK21</t>
  </si>
  <si>
    <t>XS1485745704</t>
  </si>
  <si>
    <t>TDNESG1LN</t>
  </si>
  <si>
    <t>GB0002771383</t>
  </si>
  <si>
    <t>TUNGLN</t>
  </si>
  <si>
    <t>GB00B7Z0Q502</t>
  </si>
  <si>
    <t>KDCEF1</t>
  </si>
  <si>
    <t>GAZBKPERP</t>
  </si>
  <si>
    <t>XS0848137708</t>
  </si>
  <si>
    <t>NORDLI18</t>
  </si>
  <si>
    <t>XS0923472814</t>
  </si>
  <si>
    <t>KDCTF</t>
  </si>
  <si>
    <t>KDDJF</t>
  </si>
  <si>
    <t>KDELF</t>
  </si>
  <si>
    <t>CEMEX25A</t>
  </si>
  <si>
    <t>USP2253TJE03</t>
  </si>
  <si>
    <t>PETBRA24</t>
  </si>
  <si>
    <t>US71647NAM11</t>
  </si>
  <si>
    <t>KDEOF</t>
  </si>
  <si>
    <t>EFGIF_0122C</t>
  </si>
  <si>
    <t>CH0355509487</t>
  </si>
  <si>
    <t>EFGIF_0419D</t>
  </si>
  <si>
    <t>CH0384862568</t>
  </si>
  <si>
    <t>KAZNMH23</t>
  </si>
  <si>
    <t>XS0934609016</t>
  </si>
  <si>
    <t>RURAIL21CHF</t>
  </si>
  <si>
    <t>CH0205819441</t>
  </si>
  <si>
    <t>TSLA25</t>
  </si>
  <si>
    <t>USU8810LAA18</t>
  </si>
  <si>
    <t>KDERF</t>
  </si>
  <si>
    <t>BANE06</t>
  </si>
  <si>
    <t>EVRKHOLDF-8</t>
  </si>
  <si>
    <t>GTLKBO02</t>
  </si>
  <si>
    <t>VEB-PBO1R4</t>
  </si>
  <si>
    <t>KDESF</t>
  </si>
  <si>
    <t>GDXUS</t>
  </si>
  <si>
    <t>US92189F1066</t>
  </si>
  <si>
    <t>KDETF</t>
  </si>
  <si>
    <t>BPLN</t>
  </si>
  <si>
    <t>GB0007980591</t>
  </si>
  <si>
    <t>RSHB-08T1</t>
  </si>
  <si>
    <t>SOLFIN20</t>
  </si>
  <si>
    <t>VTBPERP</t>
  </si>
  <si>
    <t>XS0810596832</t>
  </si>
  <si>
    <t>KDEYF</t>
  </si>
  <si>
    <t>KDFMF</t>
  </si>
  <si>
    <t>FTR20</t>
  </si>
  <si>
    <t>US35906AAH14</t>
  </si>
  <si>
    <t>FTR21A</t>
  </si>
  <si>
    <t>US35906AAP30</t>
  </si>
  <si>
    <t>SAMMIN23</t>
  </si>
  <si>
    <t>USP84050AB29</t>
  </si>
  <si>
    <t>KDFWF</t>
  </si>
  <si>
    <t>ANGSJ22</t>
  </si>
  <si>
    <t>US03512TAC53</t>
  </si>
  <si>
    <t>KDFXF</t>
  </si>
  <si>
    <t>26214</t>
  </si>
  <si>
    <t>26218</t>
  </si>
  <si>
    <t>KDGBF</t>
  </si>
  <si>
    <t>KDGLF</t>
  </si>
  <si>
    <t>ACKAF23</t>
  </si>
  <si>
    <t>XS0910932788</t>
  </si>
  <si>
    <t>ELEBRA21</t>
  </si>
  <si>
    <t>USP22854AG14</t>
  </si>
  <si>
    <t>GTLKOA21</t>
  </si>
  <si>
    <t>XS1449458915</t>
  </si>
  <si>
    <t>PEMEX22A</t>
  </si>
  <si>
    <t>US71656MBN83</t>
  </si>
  <si>
    <t>LABKS</t>
  </si>
  <si>
    <t>LADRF</t>
  </si>
  <si>
    <t>EFGIF_0219</t>
  </si>
  <si>
    <t>CH0355508588</t>
  </si>
  <si>
    <t>SOCGEN22A</t>
  </si>
  <si>
    <t>XS1337079997</t>
  </si>
  <si>
    <t>LADUF</t>
  </si>
  <si>
    <t>LADUF1</t>
  </si>
  <si>
    <t>MADUN</t>
  </si>
  <si>
    <t>DB18</t>
  </si>
  <si>
    <t>US25152RYE79</t>
  </si>
  <si>
    <t>EEMUS</t>
  </si>
  <si>
    <t>US4642872349</t>
  </si>
  <si>
    <t>EFGIF_0219A</t>
  </si>
  <si>
    <t>CH0374210356</t>
  </si>
  <si>
    <t>EUFNUS</t>
  </si>
  <si>
    <t>US4642891802</t>
  </si>
  <si>
    <t>HYGUS</t>
  </si>
  <si>
    <t>US4642885135</t>
  </si>
  <si>
    <t>IXJUS</t>
  </si>
  <si>
    <t>US4642873255</t>
  </si>
  <si>
    <t>KMIUS</t>
  </si>
  <si>
    <t>US49456B1017</t>
  </si>
  <si>
    <t>VIPSUS</t>
  </si>
  <si>
    <t>US92763W1036</t>
  </si>
  <si>
    <t>WPZUS</t>
  </si>
  <si>
    <t>US96949L1052</t>
  </si>
  <si>
    <t>XLEUS</t>
  </si>
  <si>
    <t>US81369Y5069</t>
  </si>
  <si>
    <t>MADUN2</t>
  </si>
  <si>
    <t>MBIUF</t>
  </si>
  <si>
    <t>AVGOUS</t>
  </si>
  <si>
    <t>SG9999014823</t>
  </si>
  <si>
    <t>BLKUS</t>
  </si>
  <si>
    <t>US09247X1019</t>
  </si>
  <si>
    <t>CELGUS</t>
  </si>
  <si>
    <t>US1510201049</t>
  </si>
  <si>
    <t>CITI19</t>
  </si>
  <si>
    <t>US172967HM62</t>
  </si>
  <si>
    <t>CUS</t>
  </si>
  <si>
    <t>US1729674242</t>
  </si>
  <si>
    <t>DOUS</t>
  </si>
  <si>
    <t>US25271C1027</t>
  </si>
  <si>
    <t>EDPPL18</t>
  </si>
  <si>
    <t>XS0328781728</t>
  </si>
  <si>
    <t>ESRXUS</t>
  </si>
  <si>
    <t>US30219G1085</t>
  </si>
  <si>
    <t>ESVUS</t>
  </si>
  <si>
    <t>GB00B4VLR192</t>
  </si>
  <si>
    <t>FORD19A</t>
  </si>
  <si>
    <t>US345397WP47</t>
  </si>
  <si>
    <t>FOSLUS</t>
  </si>
  <si>
    <t>US34988V1061</t>
  </si>
  <si>
    <t>FUS</t>
  </si>
  <si>
    <t>US3453708600</t>
  </si>
  <si>
    <t>GMUS</t>
  </si>
  <si>
    <t>US37045V1008</t>
  </si>
  <si>
    <t>HALUS</t>
  </si>
  <si>
    <t>US4062161017</t>
  </si>
  <si>
    <t>MS20</t>
  </si>
  <si>
    <t>XS1575061707</t>
  </si>
  <si>
    <t>MYLUS</t>
  </si>
  <si>
    <t>NL0011031208</t>
  </si>
  <si>
    <t>NSCUS</t>
  </si>
  <si>
    <t>US6558441084</t>
  </si>
  <si>
    <t>NTAPUS</t>
  </si>
  <si>
    <t>US64110D1046</t>
  </si>
  <si>
    <t>ORCLUS</t>
  </si>
  <si>
    <t>US68389X1054</t>
  </si>
  <si>
    <t>PRUUS</t>
  </si>
  <si>
    <t>US7443201022</t>
  </si>
  <si>
    <t>TRIPUS</t>
  </si>
  <si>
    <t>US8969452015</t>
  </si>
  <si>
    <t>TWX19</t>
  </si>
  <si>
    <t>US887317AT21</t>
  </si>
  <si>
    <t>VTB18</t>
  </si>
  <si>
    <t>XS0365923977</t>
  </si>
  <si>
    <t>WDCUS</t>
  </si>
  <si>
    <t>US9581021055</t>
  </si>
  <si>
    <t>MBLRF</t>
  </si>
  <si>
    <t>ABBVUS</t>
  </si>
  <si>
    <t>US00287Y1091</t>
  </si>
  <si>
    <t>BIIBUS</t>
  </si>
  <si>
    <t>US09062X1037</t>
  </si>
  <si>
    <t>BIVVUS</t>
  </si>
  <si>
    <t>US09075E1001</t>
  </si>
  <si>
    <t>ENDPUS</t>
  </si>
  <si>
    <t>IE00BJ3V9050</t>
  </si>
  <si>
    <t>FORD19</t>
  </si>
  <si>
    <t>US345397WY53</t>
  </si>
  <si>
    <t>GEC</t>
  </si>
  <si>
    <t>US3696041033</t>
  </si>
  <si>
    <t>LUKOIL26</t>
  </si>
  <si>
    <t>XS1514045886</t>
  </si>
  <si>
    <t>MERCK</t>
  </si>
  <si>
    <t>US58933Y1055</t>
  </si>
  <si>
    <t>MTS23</t>
  </si>
  <si>
    <t>XS0921331509</t>
  </si>
  <si>
    <t>PFEUS</t>
  </si>
  <si>
    <t>US7170811035</t>
  </si>
  <si>
    <t>ROSNFT1P4</t>
  </si>
  <si>
    <t>RU000A0JXQK2</t>
  </si>
  <si>
    <t>VTBR</t>
  </si>
  <si>
    <t>MBLUF</t>
  </si>
  <si>
    <t>CITIG17A</t>
  </si>
  <si>
    <t>XS1140509628</t>
  </si>
  <si>
    <t>MBLWF</t>
  </si>
  <si>
    <t>CSAG18</t>
  </si>
  <si>
    <t>XS1193838890</t>
  </si>
  <si>
    <t>EU27REGSN</t>
  </si>
  <si>
    <t>RU000A0JXTS9</t>
  </si>
  <si>
    <t>FCAIM23</t>
  </si>
  <si>
    <t>US31562QAF46</t>
  </si>
  <si>
    <t>GT27</t>
  </si>
  <si>
    <t>US382550BG56</t>
  </si>
  <si>
    <t>KCN24</t>
  </si>
  <si>
    <t>US496902AN77</t>
  </si>
  <si>
    <t>TURKEY24</t>
  </si>
  <si>
    <t>US900123CF53</t>
  </si>
  <si>
    <t>MBMOF</t>
  </si>
  <si>
    <t>AFKSRU19</t>
  </si>
  <si>
    <t>MBMSF</t>
  </si>
  <si>
    <t>MBMTF</t>
  </si>
  <si>
    <t>NIKAO</t>
  </si>
  <si>
    <t>TATN</t>
  </si>
  <si>
    <t>NWCQF</t>
  </si>
  <si>
    <t>NWXQF</t>
  </si>
  <si>
    <t>NWYQF</t>
  </si>
  <si>
    <t>OGKQF</t>
  </si>
  <si>
    <t>EFGIF_0419B</t>
  </si>
  <si>
    <t>CH0361710855</t>
  </si>
  <si>
    <t>SX7PEXGR</t>
  </si>
  <si>
    <t>DE000A0F5UJ7</t>
  </si>
  <si>
    <t>YPFSA21</t>
  </si>
  <si>
    <t>USP989MJBG51</t>
  </si>
  <si>
    <t>OKOQF</t>
  </si>
  <si>
    <t>LIDERINBP1</t>
  </si>
  <si>
    <t>PYUFF</t>
  </si>
  <si>
    <t>HCFN19</t>
  </si>
  <si>
    <t>MOSTREST-8</t>
  </si>
  <si>
    <t>PYUIF</t>
  </si>
  <si>
    <t>CCAPGY</t>
  </si>
  <si>
    <t>LU1296758029</t>
  </si>
  <si>
    <t>GAMSCOUID</t>
  </si>
  <si>
    <t>IE00B560QG61</t>
  </si>
  <si>
    <t>PYUMF</t>
  </si>
  <si>
    <t>TEVAUS</t>
  </si>
  <si>
    <t>US8816242098</t>
  </si>
  <si>
    <t>PYUNF</t>
  </si>
  <si>
    <t>PYUNF1</t>
  </si>
  <si>
    <t>26207</t>
  </si>
  <si>
    <t>46020</t>
  </si>
  <si>
    <t>46022</t>
  </si>
  <si>
    <t>GMSS27</t>
  </si>
  <si>
    <t>PYUOF</t>
  </si>
  <si>
    <t>PYUUF</t>
  </si>
  <si>
    <t>PYUZF</t>
  </si>
  <si>
    <t>PYVCF</t>
  </si>
  <si>
    <t>PYVEF</t>
  </si>
  <si>
    <t>PYVOF</t>
  </si>
  <si>
    <t>CHMF</t>
  </si>
  <si>
    <t>RMPQF</t>
  </si>
  <si>
    <t>GPBBO-13</t>
  </si>
  <si>
    <t>RU000A0JXTF6</t>
  </si>
  <si>
    <t>GTLK-1P-04</t>
  </si>
  <si>
    <t>RU000A0JXPG2</t>
  </si>
  <si>
    <t>SPTEL04</t>
  </si>
  <si>
    <t>VEBRUBO04</t>
  </si>
  <si>
    <t>RMPQF1</t>
  </si>
  <si>
    <t>NLMK</t>
  </si>
  <si>
    <t>RWVQF</t>
  </si>
  <si>
    <t>RXAQF</t>
  </si>
  <si>
    <t>RXAQF1</t>
  </si>
  <si>
    <t>RXSQF</t>
  </si>
  <si>
    <t>RXUQF</t>
  </si>
  <si>
    <t>RYOQF</t>
  </si>
  <si>
    <t>SATQF</t>
  </si>
  <si>
    <t>IESK</t>
  </si>
  <si>
    <t>RU000A0JQQP5</t>
  </si>
  <si>
    <t>IRAO</t>
  </si>
  <si>
    <t>IRAO/100</t>
  </si>
  <si>
    <t>MSNG</t>
  </si>
  <si>
    <t>OGKB</t>
  </si>
  <si>
    <t>RSTI</t>
  </si>
  <si>
    <t>RSTIP</t>
  </si>
  <si>
    <t>SNGS</t>
  </si>
  <si>
    <t>TGKJ</t>
  </si>
  <si>
    <t>RU000A0F61T7</t>
  </si>
  <si>
    <t>SCZVF</t>
  </si>
  <si>
    <t>STHUF</t>
  </si>
  <si>
    <t>ERXUS</t>
  </si>
  <si>
    <t>US25459W8881</t>
  </si>
  <si>
    <t>LNIKLN</t>
  </si>
  <si>
    <t>JE00BDD9QB77</t>
  </si>
  <si>
    <t>LWEALN</t>
  </si>
  <si>
    <t>JE00BDD9QC84</t>
  </si>
  <si>
    <t>TADFF</t>
  </si>
  <si>
    <t>KTZKZ22</t>
  </si>
  <si>
    <t>CH0246199050</t>
  </si>
  <si>
    <t>NOVNVX</t>
  </si>
  <si>
    <t>CH0012005267</t>
  </si>
  <si>
    <t>ROGVX</t>
  </si>
  <si>
    <t>CH0012032048</t>
  </si>
  <si>
    <t>YPFDAR19</t>
  </si>
  <si>
    <t>CH0336352825</t>
  </si>
  <si>
    <t>TADPF</t>
  </si>
  <si>
    <t>TADSF</t>
  </si>
  <si>
    <t>BINBANKBP1</t>
  </si>
  <si>
    <t>KAR34016</t>
  </si>
  <si>
    <t>LSSMU02</t>
  </si>
  <si>
    <t>MKRB11</t>
  </si>
  <si>
    <t>MOSTREST-7</t>
  </si>
  <si>
    <t>OTKRFKBOP3</t>
  </si>
  <si>
    <t>PIK-BO-4</t>
  </si>
  <si>
    <t>PIKBO7</t>
  </si>
  <si>
    <t>PIKKRM22</t>
  </si>
  <si>
    <t>SISTEMB1P5</t>
  </si>
  <si>
    <t>ZENTBO11</t>
  </si>
  <si>
    <t>TADTF</t>
  </si>
  <si>
    <t>BINBBO02</t>
  </si>
  <si>
    <t>CHEP22</t>
  </si>
  <si>
    <t>PROMSVBBO8</t>
  </si>
  <si>
    <t>SILMASHBO-3</t>
  </si>
  <si>
    <t>TMK-BO-5</t>
  </si>
  <si>
    <t>TADYF</t>
  </si>
  <si>
    <t>VADYF</t>
  </si>
  <si>
    <t>SGTZY</t>
  </si>
  <si>
    <t>US8688612048</t>
  </si>
  <si>
    <t>VADZF</t>
  </si>
  <si>
    <t>FKEC01</t>
  </si>
  <si>
    <t>RU000A0JP039</t>
  </si>
  <si>
    <t>FKEC03</t>
  </si>
  <si>
    <t>RU000A0JPB25</t>
  </si>
  <si>
    <t>GTLKBO01</t>
  </si>
  <si>
    <t>GTLK-BO-07</t>
  </si>
  <si>
    <t>LENTA-BO-3</t>
  </si>
  <si>
    <t>ODK-01</t>
  </si>
  <si>
    <t>OGK2-B1P1R</t>
  </si>
  <si>
    <t>RESO03</t>
  </si>
  <si>
    <t>RNBANK21</t>
  </si>
  <si>
    <t>ROSBNBO2R2</t>
  </si>
  <si>
    <t>RU000A0JXUH0</t>
  </si>
  <si>
    <t>SINERGBO-5</t>
  </si>
  <si>
    <t>SISTEMB1P1</t>
  </si>
  <si>
    <t>SPTEL01</t>
  </si>
  <si>
    <t>TOYOTA-01</t>
  </si>
  <si>
    <t>TRANSNFBO5</t>
  </si>
  <si>
    <t>VAEGF</t>
  </si>
  <si>
    <t>COMBAN18</t>
  </si>
  <si>
    <t>XS1220249970</t>
  </si>
  <si>
    <t>EURONAT19U</t>
  </si>
  <si>
    <t>XS1631530257</t>
  </si>
  <si>
    <t>NOMUR21A</t>
  </si>
  <si>
    <t>XS1542704421</t>
  </si>
  <si>
    <t>PEMEXPERP</t>
  </si>
  <si>
    <t>US71656MAF68</t>
  </si>
  <si>
    <t>SOCGEN21H</t>
  </si>
  <si>
    <t>XS1314820355</t>
  </si>
  <si>
    <t>VAEIF</t>
  </si>
  <si>
    <t>RSHB16</t>
  </si>
  <si>
    <t>SPTEL02</t>
  </si>
  <si>
    <t>XFLQF</t>
  </si>
  <si>
    <t>IM22</t>
  </si>
  <si>
    <t>US457153AF18</t>
  </si>
  <si>
    <t>METINR24</t>
  </si>
  <si>
    <t>XS1603335610</t>
  </si>
  <si>
    <t>XFLQF1</t>
  </si>
  <si>
    <t>XGAQF</t>
  </si>
  <si>
    <t>XGAQF2</t>
  </si>
  <si>
    <t>XGKQF</t>
  </si>
  <si>
    <t>XGNQF</t>
  </si>
  <si>
    <t>RRAIL31</t>
  </si>
  <si>
    <t>XS0609017917</t>
  </si>
  <si>
    <t>XGPQF</t>
  </si>
  <si>
    <t>26219</t>
  </si>
  <si>
    <t>GAZCAP04</t>
  </si>
  <si>
    <t>GTLK02</t>
  </si>
  <si>
    <t>VEBL11</t>
  </si>
  <si>
    <t>XGZQF</t>
  </si>
  <si>
    <t>XIIQF</t>
  </si>
  <si>
    <t>XIKQF</t>
  </si>
  <si>
    <t>XIKQF1</t>
  </si>
  <si>
    <t>XJHQF</t>
  </si>
  <si>
    <t>XJZQF</t>
  </si>
  <si>
    <t>ZURNVX</t>
  </si>
  <si>
    <t>CH0011075394</t>
  </si>
  <si>
    <t>XKQQF</t>
  </si>
  <si>
    <t>XKRQF</t>
  </si>
  <si>
    <t>EURONAT19Q</t>
  </si>
  <si>
    <t>XS1605088845</t>
  </si>
  <si>
    <t>XKTQF</t>
  </si>
  <si>
    <t>XKVQF</t>
  </si>
  <si>
    <t>DSKY</t>
  </si>
  <si>
    <t>VEBL12</t>
  </si>
  <si>
    <t>XNPQF</t>
  </si>
  <si>
    <t>XNPQF1</t>
  </si>
  <si>
    <t>26210</t>
  </si>
  <si>
    <t>XNRQF</t>
  </si>
  <si>
    <t>XNSQF</t>
  </si>
  <si>
    <t>GAZPRU24G</t>
  </si>
  <si>
    <t>XS1592279522</t>
  </si>
  <si>
    <t>XOLQF</t>
  </si>
  <si>
    <t>XOQQF</t>
  </si>
  <si>
    <t>XOVQF</t>
  </si>
  <si>
    <t>ZADBF</t>
  </si>
  <si>
    <t>ZADCF</t>
  </si>
  <si>
    <t>29006</t>
  </si>
  <si>
    <t>29009</t>
  </si>
  <si>
    <t>29010</t>
  </si>
  <si>
    <t>PIONERBO2</t>
  </si>
  <si>
    <t>RUPOST02</t>
  </si>
  <si>
    <t>ZADNF</t>
  </si>
  <si>
    <t>GGBRBZ24</t>
  </si>
  <si>
    <t>USG24422AA83</t>
  </si>
  <si>
    <t>ZADNF1</t>
  </si>
  <si>
    <t>MOESKBO27</t>
  </si>
  <si>
    <t>RZHD-B01P2R</t>
  </si>
  <si>
    <t>RU000A0JXQ44</t>
  </si>
  <si>
    <t>TRANSMBO01</t>
  </si>
  <si>
    <t>ZADNF2</t>
  </si>
  <si>
    <t>GTONA</t>
  </si>
  <si>
    <t>NL0000400653</t>
  </si>
  <si>
    <t>INGANA</t>
  </si>
  <si>
    <t>NL0011821202</t>
  </si>
  <si>
    <t>KPNNA</t>
  </si>
  <si>
    <t>NL0000009082</t>
  </si>
  <si>
    <t>LSRGLI</t>
  </si>
  <si>
    <t>US50218G2066</t>
  </si>
  <si>
    <t>Instrument FullName RUS</t>
  </si>
  <si>
    <t>Instrument FullName ENG</t>
  </si>
  <si>
    <t>OFZ-PD 24018</t>
  </si>
  <si>
    <t>OFZ-PD 24019</t>
  </si>
  <si>
    <t>OFZ-PD 25081</t>
  </si>
  <si>
    <t>OFZ-PD 26204</t>
  </si>
  <si>
    <t>OFZ-PD 26207</t>
  </si>
  <si>
    <t>OFZ-PD 26210</t>
  </si>
  <si>
    <t>OFZ-PD 26214</t>
  </si>
  <si>
    <t>OFZ-PD 26216</t>
  </si>
  <si>
    <t>OFZ-PD 26218</t>
  </si>
  <si>
    <t>OFZ-PD 26219</t>
  </si>
  <si>
    <t>OFZ-PD 26221</t>
  </si>
  <si>
    <t>ОФЗ 26222</t>
  </si>
  <si>
    <t>OFZ-PD 26222</t>
  </si>
  <si>
    <t>OFZ-PD 29006</t>
  </si>
  <si>
    <t>OFZ-PD 29009</t>
  </si>
  <si>
    <t>OFZ-PD 29010</t>
  </si>
  <si>
    <t>OFZ 29011</t>
  </si>
  <si>
    <t>OFZ-PD 29012</t>
  </si>
  <si>
    <t>ОФЗАД 46020</t>
  </si>
  <si>
    <t>OFZ-PD 46020</t>
  </si>
  <si>
    <t>ОФЗAД 46021</t>
  </si>
  <si>
    <t>OFZ-PD 46021</t>
  </si>
  <si>
    <t>ОФЗАД 46022</t>
  </si>
  <si>
    <t>OFZ-PD 46022</t>
  </si>
  <si>
    <t>United Company RUSAL PLC (JE00B5BCW814)</t>
  </si>
  <si>
    <t>United CO Rusal Hong Kong (JE00B5BCW814)</t>
  </si>
  <si>
    <t>United CO Rusal Jersey (JE00B5BCW814)</t>
  </si>
  <si>
    <t>Apple Inc. (US0378331005)</t>
  </si>
  <si>
    <t>Apple Inc (US0378331005)</t>
  </si>
  <si>
    <t>ABBVIE INC (US00287Y1091)</t>
  </si>
  <si>
    <t>Bond of Arcelik A.S., 5%, 03/04/2023, XS0910932788</t>
  </si>
  <si>
    <t>Koninklijke Ahold Delhaize N.V. (NL0011794037)</t>
  </si>
  <si>
    <t>ПАО АФК "Система"</t>
  </si>
  <si>
    <t>SISTEMA JOINT STOCK FINANCIAL CORPORATION</t>
  </si>
  <si>
    <t>Bonds of Sistema International Funding, 6.95%, 17/05/2019, XS0783242877</t>
  </si>
  <si>
    <t>Eurobonds of Sistema INTL , 6.95%, 17/05/2019, XS0783242877</t>
  </si>
  <si>
    <t>ПАО "Аэрофлот"</t>
  </si>
  <si>
    <t>PJSC "AEROFLOT- RUSSIAN AIRLINES"</t>
  </si>
  <si>
    <t>ALLERGAN PLC (IE00BY9D5467)</t>
  </si>
  <si>
    <t>ALLERGAN PLC(IE00BY9D5467)</t>
  </si>
  <si>
    <t>Ros Agro PLC (US7496552057)</t>
  </si>
  <si>
    <t>Bonds of B&amp;N Bonds D.A.C., 8.5%, 27/03/2019, XS1379311761</t>
  </si>
  <si>
    <t>Eurobond of B&amp;N Bank 8.5% 27/03/2019 (XS1379311761)</t>
  </si>
  <si>
    <t>Обл. Альфа-Банк, БО-18</t>
  </si>
  <si>
    <t>Bonds of Alfa-Bank, BO-18</t>
  </si>
  <si>
    <t>Bonds of Alliance Oil Company Ltd., 10%, 11/03/2019, XS0493579238</t>
  </si>
  <si>
    <t>Eurobonds of Alliance Oil Company, 10%, 11/03/2019, XS0493579238 (Restructured ex-2015)</t>
  </si>
  <si>
    <t>Bonds of Alliance Oil Company Ltd., 7%, 04/05/2020, XS0925043100</t>
  </si>
  <si>
    <t>Eurobonds of Alliance Oil Company, 7%, 05/04/2020, XS0925043100</t>
  </si>
  <si>
    <t>Bonds of Alrosa Finance S.A., 7.75%, 03/11/2020, XS0555493203</t>
  </si>
  <si>
    <t>Eurobonds of Alrosa, 7.75%, 03/11/2020, XS0555493203</t>
  </si>
  <si>
    <t>АК "АЛРОСА" (ПАО)</t>
  </si>
  <si>
    <t>PJSC "ALROSA"</t>
  </si>
  <si>
    <t>Alerian MLP ETF (US00162Q8666)</t>
  </si>
  <si>
    <t>Bonds of AngloGold Ashanti Holdings plc, 5.375%, 15/04/2020, US03512TAA97</t>
  </si>
  <si>
    <t>Bonds of Anglogold Holdings PLC, 5.125%, 01/08/2022, US03512TAC53</t>
  </si>
  <si>
    <t>Eurobonds of Arcos Dorados Holdings Inc., 6.625%, 27/09/2023, USG0457FAD99</t>
  </si>
  <si>
    <t>UBS ETF (CH) Gold (USD) A dis (CH0106027193)</t>
  </si>
  <si>
    <t>UBS ETF (CH) Gold (USD) (CH0106027193)</t>
  </si>
  <si>
    <t>Broadcom Limited (SG9999014823)</t>
  </si>
  <si>
    <t>Eurobonds of Avon International Operations Inc., 7.875%, 15/08/2022, USU05485AA20</t>
  </si>
  <si>
    <t>Bank of America Corp (US0605051046)</t>
  </si>
  <si>
    <t>Bank of America Corporation (US0605051046)</t>
  </si>
  <si>
    <t>Обл. ПАО АНК "Башнефть", 06</t>
  </si>
  <si>
    <t>PJS OIL COMPANY BASHNEFT, 06</t>
  </si>
  <si>
    <t>ПАО АНК "Башнефть" прив.</t>
  </si>
  <si>
    <t>PUBLIC JOINT STOCK OIL COMPANY BASHNEFT pref.</t>
  </si>
  <si>
    <t>British American Tabacco PLC (GB0002875804)</t>
  </si>
  <si>
    <t>Bonds of Republic of Belarus, 8.95%, 26/01/2018, XS0583616239</t>
  </si>
  <si>
    <t>Eurobonds of Belarus, 8.95%, 26/01/2018, XS0583616239</t>
  </si>
  <si>
    <t>Bonds of Baidu Inc, 2.75%, 0906/2019, US056752AD07</t>
  </si>
  <si>
    <t>Biogen Inc. (US09062X1037)</t>
  </si>
  <si>
    <t>Обл. Бинбанк ПАО, БО-П01</t>
  </si>
  <si>
    <t>Obl. B&amp;N Bank, BO-P01</t>
  </si>
  <si>
    <t>Обл. ПАО "БИНБАНК", БО-02</t>
  </si>
  <si>
    <t>B&amp;N BANK (PJSC), БО-02</t>
  </si>
  <si>
    <t>ПАО "Башинформсвязь" прив.</t>
  </si>
  <si>
    <t>PJSC "BASHINFORMSVYAZ" pref.</t>
  </si>
  <si>
    <t>Bioverativ Inc. (US09075E1001)</t>
  </si>
  <si>
    <t>BlackRock Inc. (US09247X1019)</t>
  </si>
  <si>
    <t>BLACKROCK INC (US09247X1019)</t>
  </si>
  <si>
    <t>BP CAPITAL MARKETS PLC (GB0007980591)</t>
  </si>
  <si>
    <t>BP PLC (GB0007980591)</t>
  </si>
  <si>
    <t>Контракт на нефть сорта "BRENT" с исполнением 01/12/2017</t>
  </si>
  <si>
    <t>FC based on BR-9.17 with expiration on 12.17</t>
  </si>
  <si>
    <t>ПАО "Банк "Санкт-Петербург"</t>
  </si>
  <si>
    <t>BANK "SAINT-PETERSBURG" PJSC</t>
  </si>
  <si>
    <t>CORESTATE CAPITAL HOLDING S.A. (LU1296758029)</t>
  </si>
  <si>
    <t>Celgene Corp (US1510201049)</t>
  </si>
  <si>
    <t>CELGENE CORP (US1510201049)</t>
  </si>
  <si>
    <t>Bonds of CEMEX SAB DE CV, 5.7%, 11/01/2025, USP2253TJE03</t>
  </si>
  <si>
    <t>Обл. ПАО "Челябинский трубопрокатный завод", БО-001Р-02</t>
  </si>
  <si>
    <t>Bonds of JSC Chelyabinsk Tube Rolling Plant, BО-001Р-02</t>
  </si>
  <si>
    <t>ПАО "Северсталь"</t>
  </si>
  <si>
    <t>PAO SEVERSTAL</t>
  </si>
  <si>
    <t>Bonds of CITIGROUP Inc, 2.55 %, 08042019, US172967HM62</t>
  </si>
  <si>
    <t>Bonds of Citigroup Global Markets Funding Luxembourg S.C.A 0%, 04/12/2017, XS1140509628</t>
  </si>
  <si>
    <t>COMCAST CORP-CLASS A (US20030N1019)</t>
  </si>
  <si>
    <t>Loncar Cancer Immunotherapy (US26922A8264)</t>
  </si>
  <si>
    <t>Structured Note of Commerzbank AG 23/04/2018 (XS1220249970)</t>
  </si>
  <si>
    <t>Comgest Growth PLC - Emerging Markets</t>
  </si>
  <si>
    <t>ЗПИФ недвижимости "Коммерческая Недвижимость"</t>
  </si>
  <si>
    <t>Real Estate Fund</t>
  </si>
  <si>
    <t>Eurobonds of Credit Bank Of Moscow, 8.875%, 01/01/2049, XS1601094755</t>
  </si>
  <si>
    <t>Structured Note of Credit Suisse AG, 18/06/2018, XS1193838890</t>
  </si>
  <si>
    <t>iShares ETF (CH) - iShares SMI (R) (CH) Class A (CH0008899764)</t>
  </si>
  <si>
    <t>iShares ETF (CH) - iShares SMI (R) (CH) Class A</t>
  </si>
  <si>
    <t>iShares Core EURO STOXX 50 UCITS ETF EUR (Acc) (IE00B53L3W79)</t>
  </si>
  <si>
    <t>Citigroup Inc. (US1729674242)</t>
  </si>
  <si>
    <t>Bonds of Cosan LTD, 5.95%, 20/09/2024, USG25343AA52</t>
  </si>
  <si>
    <t>DAIMLER AG (DE0007100000)</t>
  </si>
  <si>
    <t>Bonds of Deutsche bank AG, London, VAR, 13/02/2018, US25152RYE79</t>
  </si>
  <si>
    <t>Bonds of Deutsche Bank, Float, 13/02/2018, US25152RYE79</t>
  </si>
  <si>
    <t>Bonds of Deutsche Bank AG, 6.25%, 31/12/2049, XS1071551474</t>
  </si>
  <si>
    <t>Deutsche Bank, Undated/Perpetual, 6.25%, Fix to FRN, XS1071551474</t>
  </si>
  <si>
    <t>Bonds of Deutsche Bank AG, 6%, 31/12/2049, DE000DB7XHP3</t>
  </si>
  <si>
    <t>DEUTSCHE BANK, 6% 31/12/2049, DE000DB7XHP3</t>
  </si>
  <si>
    <t>Diamond Offshore Drilling, Inc. (US25271C1027)</t>
  </si>
  <si>
    <t>Diamond Offshore Drilling (US25271C1027)</t>
  </si>
  <si>
    <t>ПАО "Детский мир"</t>
  </si>
  <si>
    <t>PUBLIC JOINT STOCK COMPANY "DETSKY MIR"</t>
  </si>
  <si>
    <t>Bonds of EDC Finance DAC, 4.875%, 17/04/2020, XS0918604496</t>
  </si>
  <si>
    <t>Eurobond EDC FINANCE LTD, 4.875%, 17/04/2020, XS0918604496</t>
  </si>
  <si>
    <t>Bonds of EDP Finance BV, 6%, 02/02/2018, XS0328781728</t>
  </si>
  <si>
    <t>iShares MSCI Emerging Markets ETF (US4642872349)</t>
  </si>
  <si>
    <t>iShares MSCI Emerging Markets ETF</t>
  </si>
  <si>
    <t>Structured notes of EFG Intl Fin Gur Ltd, 10/01/2022, CH0355509487</t>
  </si>
  <si>
    <t>Structured notes of EFG Intl Fin Gur Ltd, 19/02/2019 , CH0355508588</t>
  </si>
  <si>
    <t>Structured notes of EFG Intl Fin Gur Ltd, 21/02/2019, CH0374210356</t>
  </si>
  <si>
    <t>Structured notes of EFG Intl Fin Gur Ltd, 0.0%,11/04/2019, CH0361710632</t>
  </si>
  <si>
    <t>Structured notes of EFG Intl Fin Gur Ltd, 0.0%, 11/04/2019, CH0361710855</t>
  </si>
  <si>
    <t>Structured notes of EFG Intl Fin Gur Ltd, 0.0%, 16/04/2019, CH0384861404</t>
  </si>
  <si>
    <t>Structured note of EFG Intl Fin Gur Ltd, 30/04/2019, CH0384862568</t>
  </si>
  <si>
    <t>Structured notes of EFG Intl Fin Gur Ltd, 0.0%,16/04/2019, CH0384861396</t>
  </si>
  <si>
    <t>Structured note of EFG Intl Fin Gur Ltd, 30/04/2019, CH0384862550</t>
  </si>
  <si>
    <t>Structured notes of EFG Intl Fin Gur Ltd, 22/06/2020, CH0367864680</t>
  </si>
  <si>
    <t>Bonds of Centrais Eletricas Brasileiras SA (Eletrobras), 5.75%, 27/10/2021, USP22854AG14</t>
  </si>
  <si>
    <t>iShares J.P. Morgan USD Emerging Markets Bond Fund (US4642882819)</t>
  </si>
  <si>
    <t>Ishares JP Morgan EM Bond FD ETF (US4642882819)</t>
  </si>
  <si>
    <t>ENDO INTERNATIONAL PLC (IE00BJ3V9050)</t>
  </si>
  <si>
    <t>Direxion Daily Energy Bull 3X Shares (US25459W8881)</t>
  </si>
  <si>
    <t>Direxion Daily Energy Bull 3X Shares</t>
  </si>
  <si>
    <t>Bonds of Eskom Holdings SOC Ltd, 5.75%, 26/01/2021, XS0579851949</t>
  </si>
  <si>
    <t>EXPRESS SCRIPTS HOLDING CO (US30219G1085)</t>
  </si>
  <si>
    <t>Bond of ENSCO PLC, 4.5%, 01/10/2024, US29358QAC33</t>
  </si>
  <si>
    <t>Ensco Plc (GB00B4VLR192)</t>
  </si>
  <si>
    <t>Ensco PLC-CL (GB00B4VLR192)</t>
  </si>
  <si>
    <t>Etalon Group plc (US29760G1031)</t>
  </si>
  <si>
    <t>Bonds of Russia, 7.85%, 10/03/2018, XS0564087541</t>
  </si>
  <si>
    <t>Eurobonds of Russia, 7.85%, 10/03/2018, XS0564087541</t>
  </si>
  <si>
    <t>ОВОЗ RegS 23/06/2027</t>
  </si>
  <si>
    <t>EUROBONDS OF RUSSIA, RegS 23/06/2027</t>
  </si>
  <si>
    <t>Bonds of Russia, 12.75%, 24/06/2028, XS0088543193</t>
  </si>
  <si>
    <t>EUROBONDS OF RUSSIA, Maturity 24/06/2028, REGS</t>
  </si>
  <si>
    <t>ОВОЗ RegS, 23/06/2047</t>
  </si>
  <si>
    <t>EUROBONDS OF RUSSIA RegS, 23/06/2047</t>
  </si>
  <si>
    <t>Bonds of EuroChem Global Investments DAC, 3.8%, 12/04/2020, XS1495632298</t>
  </si>
  <si>
    <t>EUROCHEM M &amp; C OJSC VIA, 3.8%, 12/04/2020, XS1495632298</t>
  </si>
  <si>
    <t>iShares MSCI Europe Financials ETF (US4642891802)</t>
  </si>
  <si>
    <t>iShares MSCI Europe Financials ETF</t>
  </si>
  <si>
    <t>Structured Note of NATIXIS STRUCTURED ISSUANCE SA 13/02/2017 (XS1468264822)</t>
  </si>
  <si>
    <t>Structured Note of NATIXIS STRUCTURED ISSUANCE SA, 01/04/2019, XS1513271418</t>
  </si>
  <si>
    <t>Structured Note of Natixis, 19/02/2019, XS1581931083</t>
  </si>
  <si>
    <t>Structured Note of Natixis Structured Issuance SA, 11/03/2019, XS1605088845</t>
  </si>
  <si>
    <t>Structured Note of Natixis, 07/03/2019, XS1605088928</t>
  </si>
  <si>
    <t>Structured Note of Natixis, 07/03/2019, XS1605089066</t>
  </si>
  <si>
    <t>Structured Note of Natixis Structured Issuance SA, 15/03/2019, XS1631530257</t>
  </si>
  <si>
    <t>Structured Note of Natixis Structured Issuance SA, 28/07/2020, XS1581926083</t>
  </si>
  <si>
    <t>Bonds of EVRAZ GROUP S.A., 6.5%, 22/04/2020, XS0808638612</t>
  </si>
  <si>
    <t>Eurobonds of Evraz Group SA,6.5, 22/04/2020, XS0808638612</t>
  </si>
  <si>
    <t>Bonds of EVRAZ GROUP S.A., 8.25%, 28/01/2021, XS1319822752</t>
  </si>
  <si>
    <t>Eurobonds of Evraz Group SA, 8.25%, 28/01/2021, XS1319822752</t>
  </si>
  <si>
    <t>Bonds of EVRAZ GROUP S.A., 6.75%, 31/01/2022, XS1405775377</t>
  </si>
  <si>
    <t>Eurobonds of Evraz Group SA, 6.75%, 31/01/2022, XS1405775377</t>
  </si>
  <si>
    <t>Eurobonds of Evraz Group SA, 5.375%, 03/20/2023, XS1533915721</t>
  </si>
  <si>
    <t>Обл. АО "МХК "ЕвроХим", БО-01</t>
  </si>
  <si>
    <t>Bonds of EuroChem, B1R1</t>
  </si>
  <si>
    <t>Обл. ООО "ЕвразХолдинг Финанс", БО-01</t>
  </si>
  <si>
    <t>Bonds of EvrazHolding Finans, 001P-01R</t>
  </si>
  <si>
    <t>Обл. ООО "ЕвразХолдинг Финанс", 08</t>
  </si>
  <si>
    <t>Bonds of EvrazHolding Finans, 08</t>
  </si>
  <si>
    <t>EVRAZ PLC (GB00B71N6K86)</t>
  </si>
  <si>
    <t>Exillon Energy Plc (IM00B58FMW76)</t>
  </si>
  <si>
    <t>Exillon Energy PLC (IM00B58FMW76)</t>
  </si>
  <si>
    <t>Eurobond of Fiat Chrysler Automobiles N.V., 5.25%, 15/04/2023, US31562QAF46</t>
  </si>
  <si>
    <t>Freeport-McMoRan Inc., 3.875%,15/03/2023, US35671DAZ87</t>
  </si>
  <si>
    <t>X 5 RETAIL GROUP NV- REGS GDR (US98387E2054)</t>
  </si>
  <si>
    <t>Обл. ЗАО "ФК "Еврокоммерц", 01</t>
  </si>
  <si>
    <t>Obl. ZAO Faktoringovaja kompanija Evrokommerc,01</t>
  </si>
  <si>
    <t>Обл. ЗАО "ФК "Еврокоммерц", 03</t>
  </si>
  <si>
    <t>Bonds of Eurokommerts, 03</t>
  </si>
  <si>
    <t>Обл. ЗАО "ФК "Еврокоммерц", 05</t>
  </si>
  <si>
    <t>FAKTORINGOVAYA KOMPANIYA YEVROKOMMERTS, 05</t>
  </si>
  <si>
    <t>Обл. ООО "Фольксваген Банк РУС", БО-01</t>
  </si>
  <si>
    <t>Bonds of LLC VW Bank RUS, 001Р-01</t>
  </si>
  <si>
    <t>Bond of Ford Motor Credit Co Llc, 2.597%, 04/11/2019, US345397WY53</t>
  </si>
  <si>
    <t>Eurobond of Ford Motor Credit Co LLC, 2.375%, 12/03/2019, US345397WP47</t>
  </si>
  <si>
    <t>Fossil Group, Inc. (US34988V1061)</t>
  </si>
  <si>
    <t>FOSSIL GROUP INC (US34988V1061)</t>
  </si>
  <si>
    <t>Eurobond of Frontier Communications, 8.5%, 15/04/2020, US35906AAH14</t>
  </si>
  <si>
    <t>Eurobond of Frontier Communications, 6.25%, 15/09/2021, US35906AAP30</t>
  </si>
  <si>
    <t>Ford Motor Co (US3453708600)</t>
  </si>
  <si>
    <t>Ford Motor Company ord shs (US3453708600)</t>
  </si>
  <si>
    <t>GAM Star Plc - Credit Opportunities (USD)</t>
  </si>
  <si>
    <t>Bonds of GPB EUROBOND FINANCE PLC, 7.25%, 03/05/2019, XS0779213460</t>
  </si>
  <si>
    <t>Gazprombank bonds, 03/05/2019, 7.25% (XS0779213460)</t>
  </si>
  <si>
    <t>Bonds of GPB EUROBOND FINANCE PLC, 4.96%, 05/09/2019, XS1040726587</t>
  </si>
  <si>
    <t>Gazprombank bonds, 05/09/2019, 4.96%, XS1040726587</t>
  </si>
  <si>
    <t>Bonds of GPB EUROBOND FINANCE PLC, 7.5%, 28/12/2023, XS0975320879</t>
  </si>
  <si>
    <t>Gazprombank bonds, 28/12/2023, 7.496%, XS0975320879</t>
  </si>
  <si>
    <t>Bonds of GPB EUROBOND FINANCE PLC, 7.875%, 31/12/2049, XS0848137708</t>
  </si>
  <si>
    <t>Eurobonds of Gazprombank, 7.875%, Perpetual, XS0848137708</t>
  </si>
  <si>
    <t>Обл. ООО "Газпром капитал", 04</t>
  </si>
  <si>
    <t>GAZPROM KAPITAL, 04</t>
  </si>
  <si>
    <t>Обл. ООО "Газпром капитал", БО-05</t>
  </si>
  <si>
    <t>Bonds of Gazprom capital, BO-05</t>
  </si>
  <si>
    <t>ПАО "Газпром"</t>
  </si>
  <si>
    <t>PJSC "GAZPROM"</t>
  </si>
  <si>
    <t>Bonds of GAZ CAPITAL S.A., 8.625%, 28/04/2034, XS0191754729</t>
  </si>
  <si>
    <t>Gazprom bonds, 8,625%, maturity 28/04/2034 (XS0191754729)</t>
  </si>
  <si>
    <t>Обл. ПАО "Газпром нефть", БО-02</t>
  </si>
  <si>
    <t>Bonds of Gazprom Neft, BO-02</t>
  </si>
  <si>
    <t>Обл. ПАО "Газпром нефть", БО-07</t>
  </si>
  <si>
    <t>Bonds of Gazprom Neft, BO-07</t>
  </si>
  <si>
    <t>Bonds of GAZ CAPITAL S.A., 6.51%, 07/03/2022, XS0290580595</t>
  </si>
  <si>
    <t>Gazprom bonds, 07/03/2022 (XS0290580595)</t>
  </si>
  <si>
    <t>Gazprom bonds 4.25% GBP, 06/04/2024, XS1592279522</t>
  </si>
  <si>
    <t>Bonds of GAZ CAPITAL S.A., 4.364%, 21/03/2025, XS0906949523</t>
  </si>
  <si>
    <t>Gazprom bonds 4,364%, maturity 21/03/25, (XS0906949523)</t>
  </si>
  <si>
    <t>VanEck Vectors Gold Miners ETF (US92189F1066)</t>
  </si>
  <si>
    <t>VanEck Vectors Gold Miners ETF</t>
  </si>
  <si>
    <t>General Electric Co (US3696041033)</t>
  </si>
  <si>
    <t>GENERAL ELECTRIC CO (US3696041033)</t>
  </si>
  <si>
    <t>Bonds of Gold Fields Orogen Holding (BVI) Ltd, 4.875%, 07/10/2020, XS0547082973</t>
  </si>
  <si>
    <t>Eurobonds of Gold Fields Orogen, 4.875%, 07/10/2020, XS0547082973</t>
  </si>
  <si>
    <t>Bonds of GTL Trade finnance Inc, 5.893%, 29/04/2024, USG24422AA83</t>
  </si>
  <si>
    <t>Gilead Sciences, Inc. (US3755581036)</t>
  </si>
  <si>
    <t>GILEAD SCIENCES INC (US3755581036)</t>
  </si>
  <si>
    <t>SPDR Gold Trust (US78463V1070)</t>
  </si>
  <si>
    <t>SPDR Gold Trust</t>
  </si>
  <si>
    <t>Global Ports Investments -Reg S GDR (US37951Q2021)</t>
  </si>
  <si>
    <t>Bonds of GLOBAL PORTS (FINANCE) PLC, 6.872%, 25/01/2022, XS1319813769</t>
  </si>
  <si>
    <t>Global Ports Finance, 6.872%, 25/01/2022 , XS1319813769</t>
  </si>
  <si>
    <t>GLOBALTRANS INVESTMENT PLC Spons (US37949E2046)</t>
  </si>
  <si>
    <t>Bonds of General Motors, 3.7%, 09/05/2023, US37045XBK19</t>
  </si>
  <si>
    <t>ПАО "ГМК "Норильский никель"</t>
  </si>
  <si>
    <t>PJSC "MINING AND METALLURGICAL COMPANY NORILSK NICKEL"</t>
  </si>
  <si>
    <t>Обл. АО "ГИДРОМАШСЕРВИС" , БО-01</t>
  </si>
  <si>
    <t>Bonds of AO GIDROMASHSERVIS, BО-01</t>
  </si>
  <si>
    <t>General Motors Co (US37045V1008)</t>
  </si>
  <si>
    <t>General Motors CO (US37045V1008)</t>
  </si>
  <si>
    <t>Обл. ОА "Газпромбанк", БО-13</t>
  </si>
  <si>
    <t>Bond "Gazprombank", BO-13</t>
  </si>
  <si>
    <t>Bonds of Gap Inc, 5.95%, 12/04/2021, US364760AK48</t>
  </si>
  <si>
    <t>Glaxosmithkline PLC (GB0009252882)</t>
  </si>
  <si>
    <t>Bonds of Goodyear Tire &amp; Rubber, 4.875%, 15/03/2027, US382550BG56</t>
  </si>
  <si>
    <t>Обл. ПАО "ГТЛК", 02</t>
  </si>
  <si>
    <t>Bonds of GTLK, 02</t>
  </si>
  <si>
    <t>Обл. ПАО "ГТЛК", 001P-03</t>
  </si>
  <si>
    <t>Bonds of GTLK, 001P-03</t>
  </si>
  <si>
    <t>Обл. ОАО ГТЛК, 001P-04</t>
  </si>
  <si>
    <t>Bonds of GTLK, 001P-04</t>
  </si>
  <si>
    <t>Обл. ПАО "ГТЛК", БО-01</t>
  </si>
  <si>
    <t>Bonds of GTLK, BO-01</t>
  </si>
  <si>
    <t>Обл. ПАО "ГТЛК", БО-02</t>
  </si>
  <si>
    <t>Bonds of GTLK, BO-02</t>
  </si>
  <si>
    <t>Обл. ПАО "ГТЛК", БО-07</t>
  </si>
  <si>
    <t>Bonds of GTLK, BO-07</t>
  </si>
  <si>
    <t>Bonds of GTLK EUROPE DAC, 5.95%, 19/07/2021, XS1449458915</t>
  </si>
  <si>
    <t>Bonds of GTLK EUROPE DAC, 5.125%, 31/05/2024, XS1577961516</t>
  </si>
  <si>
    <t>Gemalto N.V. (NL0000400653)</t>
  </si>
  <si>
    <t>Bonds of GPN Capital S.A., 4.375%, 19/09/2022, XS0830192711</t>
  </si>
  <si>
    <t>Eurobonds of Gazprom Oil, 19/09/2022, (XS0830192711)</t>
  </si>
  <si>
    <t>Bonds of GPN Capital S.A., 6%, 27/11/2023, XS0997544860</t>
  </si>
  <si>
    <t>Eurobonds of Gazprom Oil, 27/11/2023, (XS0997544860)</t>
  </si>
  <si>
    <t>Bonds of Turkiye Halk Bankasi A.S., 4.75%, 04/06/2019, XS1069383856</t>
  </si>
  <si>
    <t>Bonds of Turkiye Halk Bankasi A.S., 5%, 13/07/2021, XS1439838548</t>
  </si>
  <si>
    <t>TURKIYE HALK BANKASI AS, 5.00%, 13/07/2021, XS1439838548</t>
  </si>
  <si>
    <t>Halliburton Co (US4062161017)</t>
  </si>
  <si>
    <t>HALLIBURTON CO (US4062161017)</t>
  </si>
  <si>
    <t>Обл. ООО "ХК Финанс", 001P-01</t>
  </si>
  <si>
    <t>Bonds of OOO XK Finans, 001P-01</t>
  </si>
  <si>
    <t>WisdomTree Europe Hedged Equity Fund (US97717X7012)</t>
  </si>
  <si>
    <t>WisdomTree Europe Hedged Equity Fund</t>
  </si>
  <si>
    <t>Henderson Horizon - Pan European Equity Fund</t>
  </si>
  <si>
    <t>Highland Gold Mining Ltd (GB0032360173)</t>
  </si>
  <si>
    <t>Highland Gold Mining Ltd (ISIN GB0032360173)</t>
  </si>
  <si>
    <t>Hydralic Machine - GDR REG S (US40425X4079)</t>
  </si>
  <si>
    <t>iShares iBoxx USD High Yield Corporate Bond ETF (US4642885135)</t>
  </si>
  <si>
    <t>iShares iBoxx USD High Yield Corporate Bond ETF</t>
  </si>
  <si>
    <t>ОАО "ИЭСК"</t>
  </si>
  <si>
    <t>IRKUTSKAYA ELEKTROSETEVAYA KOMPANIYA</t>
  </si>
  <si>
    <t>iShares Euro High Yield Corp Bond UCITS ETF EUR (Dist) (IE00B66F4759)</t>
  </si>
  <si>
    <t>Bonds of Ingram Micro Inc., 5.0%, 10/08/2022, US457153AF18</t>
  </si>
  <si>
    <t>ING GROEP N.V. (NL0011821202)</t>
  </si>
  <si>
    <t>ING Groep N.V. (NL0011821202)</t>
  </si>
  <si>
    <t>Bonds of ING GROEP N.V., 6%, 31/12/2049, US456837AE31</t>
  </si>
  <si>
    <t>Bonds of ING Groep NV, Undated/Perpetual, 6%, Fix to FRN, US456837AE31</t>
  </si>
  <si>
    <t>ПАО "Интер РАО"</t>
  </si>
  <si>
    <t>PJSC "INTER RAO UES"</t>
  </si>
  <si>
    <t>Eurobonds of The Republic of Iraq, 6.752%, 09/03/2023, XS1662407862</t>
  </si>
  <si>
    <t>iShares Global Healthcare ETF (US4642873255)</t>
  </si>
  <si>
    <t>iShares Global Healthcare ETF</t>
  </si>
  <si>
    <t>Bonds of JBS INVESTMENTS GMBH, 7.75%, 28/10/2020, USA29866AA70</t>
  </si>
  <si>
    <t>Bonds of JBS Investments GMBH, 7.75%, 28/10/2020, USA29866AA70</t>
  </si>
  <si>
    <t>Обл. Министерства финансов Республики Карелия, 34016</t>
  </si>
  <si>
    <t>Bonds of Karelia, 34016</t>
  </si>
  <si>
    <t>Bonds of KazAgro National Management Holding, 4.625%, 24/05/2023, XS0934609016</t>
  </si>
  <si>
    <t>Bonds of KazAgro National Management Holding 144A, 4.625%, 24/05/2023, XS0934609016</t>
  </si>
  <si>
    <t>Kcell JSC Reg S (US48668G2057)</t>
  </si>
  <si>
    <t>Bonds of KINROSS GOLD CORP, 5.95%, 15/03/2024, US496902AN77</t>
  </si>
  <si>
    <t>Bonds of Kinross Gold Corp, 5.95%, 15/03/2024, US496902AN77</t>
  </si>
  <si>
    <t>ПАО "КАМАЗ"</t>
  </si>
  <si>
    <t>KAMAZ PUBLICLY TRADED COMPANY</t>
  </si>
  <si>
    <t>Kazmunaigaz GDR (US48666V2043)</t>
  </si>
  <si>
    <t>KINDER MORGAN INC (US49456B1017)</t>
  </si>
  <si>
    <t>Bonds of KOKS Finance DAC, 10.75%, 28/12/2018, XS1255387976</t>
  </si>
  <si>
    <t>Eurobonds of Koks, 10.75%, 28/12/2018, XS1255387976</t>
  </si>
  <si>
    <t>KONINKLIJKE KPN NV (NL0000009082)</t>
  </si>
  <si>
    <t>Kazakhstan Temir Zholy, 3.638%, 20/06/2022, CH0246199050</t>
  </si>
  <si>
    <t>Обл. ООО "Лента", БО-03</t>
  </si>
  <si>
    <t>Bonds of Lenta, BO-03</t>
  </si>
  <si>
    <t>Обл. АО "Лидер-Инвест", БО-П01</t>
  </si>
  <si>
    <t>Bonds of Lider-Invest, BO-P01</t>
  </si>
  <si>
    <t>ПАО "ЛУКОЙЛ"</t>
  </si>
  <si>
    <t>PJSC "OIL COMPANY LUKOIL"</t>
  </si>
  <si>
    <t>ETFS Commodity Securities Ltd (JE00BDD9QB77)</t>
  </si>
  <si>
    <t>ETFS DAILY LEVERAGED NICKEL (JE00B2NFTR57)</t>
  </si>
  <si>
    <t>Обл. ПАО "Группа ЛСР", БО-01</t>
  </si>
  <si>
    <t>Bonds of Gruppa LSR, BO-01</t>
  </si>
  <si>
    <t>ПАО "Группа ЛСР"</t>
  </si>
  <si>
    <t>PJSC LSR GROUP</t>
  </si>
  <si>
    <t>LSR GROUP - GDR REG-W/I (US50218G2066)</t>
  </si>
  <si>
    <t>Обл. АО "ЛенСпецСМУ", 02</t>
  </si>
  <si>
    <t>LENSPETSSMU, 02</t>
  </si>
  <si>
    <t>Bonds of LUKOIL INTERNATIONAL FINANCE B.V., 4.563%, 02/11/2026, XS1514045886</t>
  </si>
  <si>
    <t>Eurobonds of Lukoil Intl Finance, 4.563%, 02/11/2016</t>
  </si>
  <si>
    <t>LUKOIL PJSC - SPON ADR (US69343P1057)</t>
  </si>
  <si>
    <t>ETFS Commodity Securities Ltd (JE00BDD9QC84)</t>
  </si>
  <si>
    <t>ETFS Leveraged Wheat (JE00B2NFTX18)</t>
  </si>
  <si>
    <t>Luxoft Holding, Inc (VGG572791041)</t>
  </si>
  <si>
    <t>LUXOFT HOLDING INC (VGG572791041)</t>
  </si>
  <si>
    <t>ОАО "ММК"</t>
  </si>
  <si>
    <t>OJSC MAGNITOGORSK IRON &amp; STEEL WORKS</t>
  </si>
  <si>
    <t>MERCK &amp; CO INC (US58933Y1055)</t>
  </si>
  <si>
    <t>Merck &amp; CO INC (US58933Y1055)</t>
  </si>
  <si>
    <t>Обл. АО "ХК "МЕТАЛЛОИНВЕСТ", БО-02</t>
  </si>
  <si>
    <t>Bonds of HC Metalloinvest, BO-02</t>
  </si>
  <si>
    <t>Bonds of Metalloinvest Finance DAC, 5.625%, 17/04/2020, XS0918297382</t>
  </si>
  <si>
    <t>Eurobonds of Metalloinvest, 5.625%, 17/04/2020,XS0918297382</t>
  </si>
  <si>
    <t>Eurobonds of Metalloinvest, 4.85%, 02/05/2024, XS1603335610</t>
  </si>
  <si>
    <t>ПАО "МегаФон"</t>
  </si>
  <si>
    <t>PJSC "MEGAFON"</t>
  </si>
  <si>
    <t>ПАО "Магнит"</t>
  </si>
  <si>
    <t>PUBLIK JSC "MAGNIT"</t>
  </si>
  <si>
    <t>MHP SE GDR REGS (US55302T2042)</t>
  </si>
  <si>
    <t>Bonds of MHP S.A., 8.25%, 02/04/2020, USL6366MAC75</t>
  </si>
  <si>
    <t>Eurobonds of MHP SA, 8.25%, 02/04/2020, USL6366MAC75</t>
  </si>
  <si>
    <t>Обл. ПАО "МОСКОВСКИЙ КРЕДИТНЫЙ БАНК", 11</t>
  </si>
  <si>
    <t>CREDIT BANK OF MOSCOW, 11</t>
  </si>
  <si>
    <t>Magma OJSC - GDR RegS ( US5591892048 )</t>
  </si>
  <si>
    <t>Обл. ОАО Московская областная электросетевая компания, БО-09</t>
  </si>
  <si>
    <t>Bonds of OAO Moskovskaya oblastnaya elektrosetevaya kompaniya, BO-09</t>
  </si>
  <si>
    <t>PJSC "MOSCOW EXCHANGE MICEX-RTS"</t>
  </si>
  <si>
    <t>MONSANTO CO (US61166W1018)</t>
  </si>
  <si>
    <t>Обл. Московская область, 35010</t>
  </si>
  <si>
    <t>Bonds of Moscow Region, 35010</t>
  </si>
  <si>
    <t>Обл. ПАО "МОСТОТРЕСТ", 07</t>
  </si>
  <si>
    <t>Bonds of OAO Mostotrest ,07</t>
  </si>
  <si>
    <t>Обл. ПАО "МОСТОТРЕСТ", 08</t>
  </si>
  <si>
    <t>Bonds of OAO Mostotrest , 08</t>
  </si>
  <si>
    <t>Altria Group Inc. (US02209S1033)</t>
  </si>
  <si>
    <t>Eurobonds of Marfrig holding Europe B.V., 8,0%, 08/06/2023, USN54468AF52</t>
  </si>
  <si>
    <t>Bonds of Morgan Stanley, 15.5%, 21/04/2020, XS1575061707</t>
  </si>
  <si>
    <t>ПАО "Мосэнерго"</t>
  </si>
  <si>
    <t>MOSENERGO</t>
  </si>
  <si>
    <t>Bonds of MTN (Mauritius) Investments Limited, 5.373%, 13/02/2022, XS1503116912</t>
  </si>
  <si>
    <t>Bonds of MTN (Mauritius) Investments Limited, 4.755%, 11/11/2024, XS1128996425</t>
  </si>
  <si>
    <t>Обл. ПАО "МТС", 001P-01</t>
  </si>
  <si>
    <t>Bonds of MTS, 001P-01</t>
  </si>
  <si>
    <t>Bonds of MTS International Funding Ltd., 5%, 30/05/2023, XS0921331509</t>
  </si>
  <si>
    <t>Eurobonds of MTS, 5.0%, 30/05/2023, XS0921331509</t>
  </si>
  <si>
    <t>ПАО "МТС"</t>
  </si>
  <si>
    <t>MOBILE TELESYSTEMS PJSC</t>
  </si>
  <si>
    <t>Macys Inc. (US55616P1049)</t>
  </si>
  <si>
    <t>Mylan N.V. (NL0011031208)</t>
  </si>
  <si>
    <t>Bonds of Noble Holding International Ltd, 4%, 16/03/2018, US65504LAM90</t>
  </si>
  <si>
    <t>Noble Holding International Ltd 4.0%, 16/03/18, US65504LAM90</t>
  </si>
  <si>
    <t>PJSC MMC Norilsk Nickel (US55315J1025)</t>
  </si>
  <si>
    <t>ПАО "Нижнекамскнефтехим"</t>
  </si>
  <si>
    <t>PJSC "NIZHNEKAMSKNEFTEKHIM"</t>
  </si>
  <si>
    <t>ПАО "Нижнекамскнефтехим" прив.</t>
  </si>
  <si>
    <t>PJSC "NIZHNEKAMSKNEFTEKHIM" pref.</t>
  </si>
  <si>
    <t>ПАО "НЛМК"</t>
  </si>
  <si>
    <t>NOVOLIPETSKIY METALLURGICHESKIY KOMBINAT</t>
  </si>
  <si>
    <t>ПАО "НМТП"</t>
  </si>
  <si>
    <t>PJSC "NOVOROSSIYSK COMMERCIAL SEA PORT"</t>
  </si>
  <si>
    <t>Bonds of OFCB Capital PLC., 10%, 26/04/2019, XS0776121062</t>
  </si>
  <si>
    <t>Eurobonds of Otkritie Bank, 10%, 26/04/19, (XS0776121062))</t>
  </si>
  <si>
    <t>Bonds of OFCB Capital PLC., 10%, 17/12/2019, XS0940730228</t>
  </si>
  <si>
    <t>Eurobonds of Otkritie Bank, 10%, 17/12/19, (XS0940730228)</t>
  </si>
  <si>
    <t>Structured Note of Nomura International Funding PTE LTD, 30/12/2021, XS1542704421</t>
  </si>
  <si>
    <t>Bonds of NORD GOLD N.V., 6.375%, 07/05/2018, XS0923472814</t>
  </si>
  <si>
    <t>Eurobonds of Nord Gold NV, 6.375%, 07/05/2018, XS0923472814</t>
  </si>
  <si>
    <t>NOVARTIS AG (CH0012005267)</t>
  </si>
  <si>
    <t>Bonds of Novatek Finance DAC, 4.422%, 13/12/2022, XS0864383723</t>
  </si>
  <si>
    <t>Eurobonds of Novatek, 4.422%, 13/12/2022,XS0864383723</t>
  </si>
  <si>
    <t>Norfolk Southern Corp (US6558441084)</t>
  </si>
  <si>
    <t>NORFOLK SOUTHERN CORP (US6558441084)</t>
  </si>
  <si>
    <t>NETAPP INC (US64110D1046)</t>
  </si>
  <si>
    <t>ПАО "НОВАТЭК"</t>
  </si>
  <si>
    <t>NOVATEK</t>
  </si>
  <si>
    <t>Novatek - Spons GDR REG S (US6698881090)</t>
  </si>
  <si>
    <t>Обл. Обувьрус ООО, БО-01</t>
  </si>
  <si>
    <t>Bonds of Obuvrus OOO, BO-01</t>
  </si>
  <si>
    <t>Обл. АО "ОДК", 01</t>
  </si>
  <si>
    <t>United engine corp JSC 01</t>
  </si>
  <si>
    <t>Обл. ПАО "ОГК-2", БО-01</t>
  </si>
  <si>
    <t>Bonds of the Second 1Generation Company, BO-PO1</t>
  </si>
  <si>
    <t>ПАО "ОГК-2"</t>
  </si>
  <si>
    <t>JSC OGK-2</t>
  </si>
  <si>
    <t>GAZPROM ADR, (US3682872078)</t>
  </si>
  <si>
    <t>Old Mutual Global Equity Absolute Return Fund EURHD</t>
  </si>
  <si>
    <t>Old Mutual Global Equity Absolute Return Fund USDA</t>
  </si>
  <si>
    <t>Oracle Corp (US68389X1054)</t>
  </si>
  <si>
    <t>ORACLE CORP (US68389X1054)</t>
  </si>
  <si>
    <t>Обл. Банк "Финансовая Корпорация Открытие", БО-ПО3</t>
  </si>
  <si>
    <t>Bonds of Bank Otkritie FC, BO-PO3</t>
  </si>
  <si>
    <t>Bonds of Petrolios Mexicanos, 4.6065%, 11/03/2022, US71656MBN83</t>
  </si>
  <si>
    <t>Bonds of Petroleos Mexicanos, 4.625%, 21/09/2023, US71654QCD25</t>
  </si>
  <si>
    <t>Bonds of Petrolios Mexicanos, 6.625%, Perpetual, US71656MAF68</t>
  </si>
  <si>
    <t>Bonds of Petrobras Global Finance,FLT, 17/03/2020, US71647NAL38</t>
  </si>
  <si>
    <t>Bonds of Petrobras Global Finance, FLT, 17/03/2020, US71647NAL38</t>
  </si>
  <si>
    <t>Bonds of Petrobras Global Finance, 8.375%, 23/05/2023, US71647NAP42</t>
  </si>
  <si>
    <t>Bonds of Petrobras Global Finance, 6.125%, 17/01/2022, US71647NAR08</t>
  </si>
  <si>
    <t>Bonds of Petrobras Global Finance, 4,375%, 20/05/2023, US71647NAF69</t>
  </si>
  <si>
    <t>EUROBONDS OF PETROBRAS GLOBAL FINANCE, 4.25%, 02/10/2023, XS0835890350</t>
  </si>
  <si>
    <t>Bonds of Petrobras Global Finance, 6.25%, 17/03/2024, US71647NAM11</t>
  </si>
  <si>
    <t>EUROBONDS OF PETROBRAS GLOBAL FINANCE, 4.75%, 14/01/2025, XS0982711714</t>
  </si>
  <si>
    <t>Bonds of Petrobras Global Finance, 8.75%, 23/05/2026, US71647NAQ25</t>
  </si>
  <si>
    <t>Bonds of Petrolios Mexicanos, 3.75%, 21/02/2024, XS1568874983</t>
  </si>
  <si>
    <t>Pfizer Inc (US7170811035)</t>
  </si>
  <si>
    <t>Bonds of Polyus Finance Plc, 5.625%, 29/04/2020, XS0922301717</t>
  </si>
  <si>
    <t>Bonds of Polyus Finance Plc 4.699 28/03/22, XS1405766384</t>
  </si>
  <si>
    <t>Eurobonds of Polyus Finance Plc 4.699 28/03/22 (XS1405766384)</t>
  </si>
  <si>
    <t>Eurobonds of Polyus Finance Plc, 5.25%, 07/02/2023, XS1533922933</t>
  </si>
  <si>
    <t>ETFS Metal Securities LTD (JE00B1VS3333)</t>
  </si>
  <si>
    <t>ETFS Physical Silver ETC (JE00B1VS3333)</t>
  </si>
  <si>
    <t>ETFS Metal Securities Ltd (JE00B1VS3770)</t>
  </si>
  <si>
    <t>ETFS Physical Gold (JE00B1VS3770)</t>
  </si>
  <si>
    <t>ПАО "ФосАгро"</t>
  </si>
  <si>
    <t>PJSC "PHOSAGRO"</t>
  </si>
  <si>
    <t>Phosagro (US71922G2093)</t>
  </si>
  <si>
    <t>Обл. ПАО "Группа Компаний ПИК", БО-04</t>
  </si>
  <si>
    <t>Bonds of Gruppa Kompany PIK, BO-04</t>
  </si>
  <si>
    <t>Обл. ПАО "Группа Компаний ПИК", БО-07</t>
  </si>
  <si>
    <t>Bonds of Gruppa Kompany PIK, BO-07</t>
  </si>
  <si>
    <t>Облигации Группы Компаний ПИК, БО-П02</t>
  </si>
  <si>
    <t>Bonds of Gruppa Kompany PIK, BO-P02</t>
  </si>
  <si>
    <t>Облигации Группы Компаний ПИК, БО-П01</t>
  </si>
  <si>
    <t>Bonds of Gruppa Kompany PIK, BO-P01</t>
  </si>
  <si>
    <t>Обл. АО "ГК "Пионер", БО-02</t>
  </si>
  <si>
    <t>Bonds of J-S.C. "PIONEER GROUP", BO-02</t>
  </si>
  <si>
    <t>Обл. АО "ПКТ", 01</t>
  </si>
  <si>
    <t>Bonds of PKT, 01</t>
  </si>
  <si>
    <t>ПАО "Полюс"</t>
  </si>
  <si>
    <t>PJSC POLYUS</t>
  </si>
  <si>
    <t>Polymetal International plc (JE00B6T5S470)</t>
  </si>
  <si>
    <t>POLYMETAL INTL PLC (JE00B6T5S470)</t>
  </si>
  <si>
    <t>Bonds of Republic of Portugal, 5.125%, 15/10/2024, XS1085735899</t>
  </si>
  <si>
    <t>Bonds of PSB Finance S.A., 5.25%, 19/10/2019, XS1506500039</t>
  </si>
  <si>
    <t>Eurobonds of Promsvyazbank, 5.25%, 19/10/2019, XS1506500039</t>
  </si>
  <si>
    <t>Обл. ПАО "Промсвязьбанк", БО-08</t>
  </si>
  <si>
    <t>Bonds of OJSC Promsvjazbank, BO-08</t>
  </si>
  <si>
    <t>ПАО "ПРОТЕК"</t>
  </si>
  <si>
    <t>PROTEK</t>
  </si>
  <si>
    <t>Prudential Financial, Inc. (US7443201022)</t>
  </si>
  <si>
    <t>PRUDENTIAL FINANCIAL INC (US7443201022)</t>
  </si>
  <si>
    <t>QIWI PLC-SPONSORED ADR (US74735M1080)</t>
  </si>
  <si>
    <t>Bonds of QNB FINANCE LTD, 2.125%, 07/09/2021, XS1485745704</t>
  </si>
  <si>
    <t>ROYAL DUTCH SHELL PLC (GB00B03MLX29)</t>
  </si>
  <si>
    <t>ROYAL DUTCH SHELL PLC-A SHS (GB00B03MLX29)</t>
  </si>
  <si>
    <t>Обл. СПАО "РЕСО-Гарантия", 03</t>
  </si>
  <si>
    <t>Bonds of RESO-Garantia, 03</t>
  </si>
  <si>
    <t>Bonds of ROLTA AMERICAS LLC, 8.875%, 24/07/2019, USU77583AA79</t>
  </si>
  <si>
    <t>Eurobonds of Rolta Americas LLC, 8.875%, 24/07/2019, USU77583AA79</t>
  </si>
  <si>
    <t>Обл. АО "РН Банк", 01</t>
  </si>
  <si>
    <t>Bonds of RN Bank AO, 01</t>
  </si>
  <si>
    <t>ROCHE HOLDING AG (CH0012032048)</t>
  </si>
  <si>
    <t>Обл. АКБ Росбанк, БО-002Р-02</t>
  </si>
  <si>
    <t>Bonds of Rosbank, BО-002Р-02</t>
  </si>
  <si>
    <t>ПАО "НК "Роснефть"</t>
  </si>
  <si>
    <t>ROSNEFT OIL COMPANY</t>
  </si>
  <si>
    <t>Обл. ПАО Роснефть, 001Р-04</t>
  </si>
  <si>
    <t>Bonds of Rosneft, 001P-04</t>
  </si>
  <si>
    <t>Bonds of RZD CAPITAL PLC, 4.6%, 06/03/2023, XS1041815116</t>
  </si>
  <si>
    <t>Eurobonds of RZD, 4.6%, 06/03/2023, XS1041815116</t>
  </si>
  <si>
    <t>Bonds of RZD CAPITAL PLC, 7.487%, 25/03/2031, XS0609017917</t>
  </si>
  <si>
    <t>Eurobonds of RZD, 7.487%, 25/03/2031, XS0609017917</t>
  </si>
  <si>
    <t>Обл. АО "Россельхозбанк", 36</t>
  </si>
  <si>
    <t>Bonds of Russian Agricultural Bank, 08T1</t>
  </si>
  <si>
    <t>Обл. АО "Россельхозбанк", 16</t>
  </si>
  <si>
    <t>JSC RUSSIAN AGRICULTURAL BANK, 16</t>
  </si>
  <si>
    <t>Обл. ОАО Российский сельскохозяйственный банк, БО-01Р</t>
  </si>
  <si>
    <t>Bonds of Russian Agricultural Bank, BО-01Р</t>
  </si>
  <si>
    <t>ПАО "Россети"</t>
  </si>
  <si>
    <t>PJSC "ROSSETI"</t>
  </si>
  <si>
    <t>ПАО "Россети" прив.</t>
  </si>
  <si>
    <t>PJSC "ROSSETI" pref.</t>
  </si>
  <si>
    <t>ПАО "Ростелеком"</t>
  </si>
  <si>
    <t>PJSC LONG-DISTANCE AND INTERNATIONAL TELECOMMUNICATIONS "ROSTELECOM"</t>
  </si>
  <si>
    <t>RIO TINTO PLC (GB0007188757)</t>
  </si>
  <si>
    <t>Eurobonds of Rusal Capital DAC, 5.125%, 02/02/2022, XS1533921299</t>
  </si>
  <si>
    <t>Eurobonds of Rusal Capital DAC, 5.3%, 03/05/2023, XS1577964965</t>
  </si>
  <si>
    <t>Обл. ФГУП "Почта России", 02</t>
  </si>
  <si>
    <t>Bonds of Russian Post, 02</t>
  </si>
  <si>
    <t>Bonds of RZD CAPITAL PLC, 2.73%, 26/02/2021, CH0205819441</t>
  </si>
  <si>
    <t>Eurobonds of RZD Capital PLC, 2.73%, 26/02/2021, CH0205819441</t>
  </si>
  <si>
    <t>Bonds of RSHB Capital S.A., 7.875%, 07/02/2018, XS0884734343</t>
  </si>
  <si>
    <t>Eurobonds of RSHB Capital SA,7.875%, 07/02/2018, XS0884734343</t>
  </si>
  <si>
    <t>Bonds of RSHB Capital S.A., 8.5%, 16/10/2023, XS0979891925</t>
  </si>
  <si>
    <t>Eurobonds of RSHB Capital S.A., 8.5, 16/10/2023, XS0979891925</t>
  </si>
  <si>
    <t>Обл. ОАО "РУСАЛ Братск", БО-01</t>
  </si>
  <si>
    <t>Bonds of RUSAL Bratsk, BO-01</t>
  </si>
  <si>
    <t>Bonds of Russian Standard Ltd, 27/10/22, (XS1117280625)</t>
  </si>
  <si>
    <t>Обл. ОАО РЖД, 001P-02R</t>
  </si>
  <si>
    <t>Bonds of OAO RZHD, 001P-02R</t>
  </si>
  <si>
    <t>Обл. ОАО "РЖД", БО-07</t>
  </si>
  <si>
    <t>Bonds of OAO RZHD, BO-07</t>
  </si>
  <si>
    <t>Bonds of Samarco Mineracao SA, 5.75%, 24/10/2023, USP84050AB29</t>
  </si>
  <si>
    <t>ПАО Сбербанк</t>
  </si>
  <si>
    <t>SBERBANK OF RUSSIA</t>
  </si>
  <si>
    <t>Bonds of SB CAPITAL S.A., 5.125%, 29/10/2022, XS0848530977</t>
  </si>
  <si>
    <t>Eurobonds of Sberbank, 5.125%, 29/10/2022, XS0848530977</t>
  </si>
  <si>
    <t>Bonds of SB CAPITAL S.A., 5.25%, 23/05/2023, XS0935311240</t>
  </si>
  <si>
    <t>Eurobonds of Sberbank, 5.25%, 05/23/2023, (XS0935311240)</t>
  </si>
  <si>
    <t>Bonds of SB CAPITAL S.A., 5.5%, 26/02/2024, XS1032750165</t>
  </si>
  <si>
    <t>Eurobond of Sberbank of Russia, 5.5%, 26/02/2024, XS1032750165</t>
  </si>
  <si>
    <t>Обл. ПАО Сбербанк, 001Р-03R</t>
  </si>
  <si>
    <t>Bonds of Sberbank, 001Р-03R</t>
  </si>
  <si>
    <t>Gazprom Neft, ADR (US36829G1076)</t>
  </si>
  <si>
    <t>Sberbank Sponsored ADR (US80585Y3080)</t>
  </si>
  <si>
    <t>Bonds of SCF Capital ltd, 5.375%, 16/06/2023, XS1433454243</t>
  </si>
  <si>
    <t>Eurobonds of SCF Capital, 5,375%, 16/06/2023 (XS1433454243)</t>
  </si>
  <si>
    <t>Surgutneftegas ord - ADR (US8688612048)</t>
  </si>
  <si>
    <t>Контракт на курс безналичного доллара США с котировками в рублях 21 .12.2017</t>
  </si>
  <si>
    <t>Futures on USD/RUB Exchange Rate with expiration on 12.17</t>
  </si>
  <si>
    <t>ПАО "Газпром нефть"</t>
  </si>
  <si>
    <t>JSC GAZPROM NEFT</t>
  </si>
  <si>
    <t>Eurobonds of Sibur, 4.125%, 05/10/2023, REGS (XS1693971043)</t>
  </si>
  <si>
    <t>Обл. ПАО "Силовые машины", БО-03</t>
  </si>
  <si>
    <t>Silovie mashini BO3</t>
  </si>
  <si>
    <t>Обл. ПАО "Синергия", БО-05</t>
  </si>
  <si>
    <t>Bonds of Synergy PAO, 29/04/2020, BО-05</t>
  </si>
  <si>
    <t>Обл. ПАО АФК "Система", БО-01</t>
  </si>
  <si>
    <t>Bonds of JSFC Sistema 1Р-01</t>
  </si>
  <si>
    <t>Обл. ПАО АФК "Система", 001Р-05</t>
  </si>
  <si>
    <t>Bonds of JSFC Sistema, 001Р-05</t>
  </si>
  <si>
    <t>ОАО "Сургутнефтегаз"</t>
  </si>
  <si>
    <t>SURGUTNEFTEGAZ</t>
  </si>
  <si>
    <t>ОАО "Сургутнефтегаз" прив.</t>
  </si>
  <si>
    <t>SURGUTNEFTEGAZ pref.</t>
  </si>
  <si>
    <t>Nodes of Societe Generale, 0%, 10/07/2021, XS1314820355</t>
  </si>
  <si>
    <t>Notes of Societe Generale, 0%, 11/07/2022, XS1337079997</t>
  </si>
  <si>
    <t>Обл. "Соллерс-Финанс" ООО, 01</t>
  </si>
  <si>
    <t>Bonds of Sollers-Finance OOO, 01</t>
  </si>
  <si>
    <t>Обл. ОАО "Теле2-Санкт-Петербург", 01</t>
  </si>
  <si>
    <t>Bonds of Tele-2-Saint-Petersburg, 01</t>
  </si>
  <si>
    <t>Обл. ОАО "Теле2-Санкт-Петербург", 02</t>
  </si>
  <si>
    <t>Bonds of Tele-2-Saint-Petersburg, 02</t>
  </si>
  <si>
    <t>Обл. ОАО "Теле2-Санкт-Петербург", 04</t>
  </si>
  <si>
    <t>SANKT-PETERBURG TELEKOM, 04</t>
  </si>
  <si>
    <t>Обл. ОАО "Теле2-Санкт-Петербург", 07</t>
  </si>
  <si>
    <t>SANKT-PETERBURG TELEKOM, 07</t>
  </si>
  <si>
    <t>Sistema PJSFC-RegS (US48122U2042)</t>
  </si>
  <si>
    <t>Bonds of Seagate HDD Cayman, 4.25%, 01/03/2022, USG79456AK84</t>
  </si>
  <si>
    <t>Обл. ООО "СУЭК-Финанс", БО-01</t>
  </si>
  <si>
    <t>Bonds of SUEK-Finance, 001P-01R</t>
  </si>
  <si>
    <t>ПАО "СОЛЛЕРС"</t>
  </si>
  <si>
    <t>SOLLERS</t>
  </si>
  <si>
    <t>iShares EURO STOXX Banks 30-15 UCITS ETF (DE) (DE0006289309)</t>
  </si>
  <si>
    <t>iShares EURO STOXX Banks 30-15 UCITS ETF (DE)</t>
  </si>
  <si>
    <t>iShares STOXX Europe 600 Banks UCITS ETF (DE) (DE000A0F5UJ7)</t>
  </si>
  <si>
    <t>iShares STOXX Europe 600 Banks UCITS ETF (DE)</t>
  </si>
  <si>
    <t>ПАО "Татнефть" им. В.Д. Шашина</t>
  </si>
  <si>
    <t>TATNEFT IMENI V.D.SHASHINA</t>
  </si>
  <si>
    <t>ProShares UltraShort 20+ Year Treasury (US74347B2016)</t>
  </si>
  <si>
    <t>ProShares UltraShort 20+ Year Treasury</t>
  </si>
  <si>
    <t>TCS GROUP HOLDING PLC (US87238U2033)</t>
  </si>
  <si>
    <t>THREAD EU SM CMP-R ACC EUR (GB0002771383)</t>
  </si>
  <si>
    <t>Teva Pharmaceutical - SP ADR (US8816242098)</t>
  </si>
  <si>
    <t>ПАО "ТГК-1"</t>
  </si>
  <si>
    <t>JSC "TERRITORIAL GENERATING COMPANY N1"</t>
  </si>
  <si>
    <t>ОАО "Фортум"</t>
  </si>
  <si>
    <t>FORTUM</t>
  </si>
  <si>
    <t>Eurobonds of TCS Finance, 9.25% Fix-to-Variable, Perpetual, XS1631338495</t>
  </si>
  <si>
    <t>Обл. "Тинькоф Банк" АО, 001P-01R</t>
  </si>
  <si>
    <t>Bonds of Tinkoff Bank, 001P-01R</t>
  </si>
  <si>
    <t>Bonds of TMK CAPITAL S.A., 6.75%, 03/04/2020, XS0911599701</t>
  </si>
  <si>
    <t>Eurobond TMK, 6.75%, 03/04/2020, XS0911599701</t>
  </si>
  <si>
    <t>Обл. ПАО "ТМК", БО-05</t>
  </si>
  <si>
    <t>Bonds of PAO TMC, BO-05</t>
  </si>
  <si>
    <t>TMK GDR RegS ( US87260R2013 )</t>
  </si>
  <si>
    <t>Обл. АО "Тойота Банк", 01</t>
  </si>
  <si>
    <t>TOYOTA BANK ZAO, Bonds, ser.01</t>
  </si>
  <si>
    <t>Обл. ЗАО Трансмашхолдинг, ПБО-01</t>
  </si>
  <si>
    <t>Bonds of Transmashholding, PBO-01</t>
  </si>
  <si>
    <t>Обл. ПАО "Транснефть", БО-05</t>
  </si>
  <si>
    <t>Bonds of Transneft, BO-05</t>
  </si>
  <si>
    <t>TRIPADVISOR INC (US8969452015)</t>
  </si>
  <si>
    <t>ПАО "ТМК"</t>
  </si>
  <si>
    <t>PAO "TMK"</t>
  </si>
  <si>
    <t>Обл. ПАО "Транснефть", БО-001Р-05</t>
  </si>
  <si>
    <t>Bonds of Transneft, BO-001P-05</t>
  </si>
  <si>
    <t>Bonds of Tesla Inc, 5.3%, 15/08/2025, USU8810LAA18</t>
  </si>
  <si>
    <t>Eurobonds of Jaguar Land Rover Automo, 3.5%, 15/03/2020, USG5002FAE63</t>
  </si>
  <si>
    <t>Tungsten Corporation plс (GB00B7Z0Q502)</t>
  </si>
  <si>
    <t>Bonds of Turkiye Petrol Rafinerileri A.S., 4.125%, 02/05/2018, XS0849020556</t>
  </si>
  <si>
    <t>Bonds of Tupras-Turkiye Petrol, 4.125%, 02/05/2018, XS0849020556</t>
  </si>
  <si>
    <t>Eurobonds of Republic of Turkey, 5.75%, 22/03/2024, US900123CF53</t>
  </si>
  <si>
    <t>Eurobonds of Republic of Turkey, 11.875%, 15/01/2030, US900123AL40</t>
  </si>
  <si>
    <t>Bonds of Time Warner INC, 2.1%, 01/06/2019, US887317AT21</t>
  </si>
  <si>
    <t>ПАО "Юнипро"</t>
  </si>
  <si>
    <t>PJSC "UNIPRO"</t>
  </si>
  <si>
    <t>Обл. Uranium One Inc., 02</t>
  </si>
  <si>
    <t>Bonds of Uranium One Inc., 02</t>
  </si>
  <si>
    <t>ПАО "Уралкалий"</t>
  </si>
  <si>
    <t>PJSC URALKALI</t>
  </si>
  <si>
    <t>Bonds of VEB Finance PLC, 6.902%, 09/07/2020, XS0524610812</t>
  </si>
  <si>
    <t>Eurobonds of VEB FINANCE, 6.902%, 09/07/2020, XS0524610812</t>
  </si>
  <si>
    <t>Bonds of VEB Finance PLC, 6.025%, 05/07/2022, XS0800817073</t>
  </si>
  <si>
    <t>Eurobonds of VEB FINANCE, 6.025%, 05/07/2022, XS0800817073</t>
  </si>
  <si>
    <t>Bonds of VEB Finance PLC, 5.942%, 21/11/2023, XS0993162683</t>
  </si>
  <si>
    <t>Eurobonds of VEB, 5.942%, 21/11/2023, XS0993162683</t>
  </si>
  <si>
    <t>Bonds of VEB Finance PLC, 4.032%, 21/02/2023, XS0893212398</t>
  </si>
  <si>
    <t>Eurobonds of Vneshekonombank, 4.032%, 21/02/2023, XS0893212398</t>
  </si>
  <si>
    <t>Обл. АО "ВЭБ-лизинг", 21</t>
  </si>
  <si>
    <t>JSC "VEB-LEASING", 21</t>
  </si>
  <si>
    <t>Обл. АО "ВЭБ-лизинг", 22</t>
  </si>
  <si>
    <t>Bonds of VEB Leasing, 12</t>
  </si>
  <si>
    <t>Обл. АО "ВЭБ-лизинг", 23</t>
  </si>
  <si>
    <t>Bonds of VEB Leasing, 13</t>
  </si>
  <si>
    <t>Обл. Банк развития и внешнеэкономической деятельности, ПБО-001Р-04</t>
  </si>
  <si>
    <t>Bond of VEB, PBO-001P-04</t>
  </si>
  <si>
    <t>Обл. Внешэкономбанк, БО-04</t>
  </si>
  <si>
    <t>STATE CORPORATION "BANK FOR DEVELOPMENT AND FOREIGN ECONOMIC AFFAIRS (VNESHECONOMBANK)", БО-04</t>
  </si>
  <si>
    <t>Bonds of Vedanta Resources PLC, 6.375%, 30/07/2022, USG9328DAM23</t>
  </si>
  <si>
    <t>Bonds of Vedanta Resources Plc, 7.125%, 31/05/2023, USG9328DAJ93</t>
  </si>
  <si>
    <t>Bonds of Vedanta Resources PLC, 7.125%, 31/05/2023, USG9328DAJ93</t>
  </si>
  <si>
    <t>VEON LTD.</t>
  </si>
  <si>
    <t>VF CORP (US9182041080)</t>
  </si>
  <si>
    <t>Bonds of VIMPELCOM HOLDINGS B.V., 9%, 13/02/2018, XS0889402029</t>
  </si>
  <si>
    <t>Eurobonds Bonds of VimpelCom-Invest, 13/02/2018, XS0889402029</t>
  </si>
  <si>
    <t>Bonds of GTH Finance B.V., 7.25%, 26/04/2023, XS1400710726</t>
  </si>
  <si>
    <t>Eurobonds of Vimpelcom 7.25%, 26/04/2023, XS1400710726</t>
  </si>
  <si>
    <t>VIPSHOP HOLDINGS LTD-ADS (US92763W1036)</t>
  </si>
  <si>
    <t>Bonds of VTB CAPITAL S.A., 6.875%, 29/05/2018, XS0365923977</t>
  </si>
  <si>
    <t>Eurobonds of VTB Capital SA 6.875%, 29/05/2018, XS0365923977</t>
  </si>
  <si>
    <t>Bonds of VTB CAPITAL S.A., 6.315%, 22/02/2018, XS0592794597</t>
  </si>
  <si>
    <t>Eurobonds of VTB Capital, 6.315%, 22/02/2018, XS0592794597</t>
  </si>
  <si>
    <t>Bonds of VTB CAPITAL S.A., 6.95%, 17/10/2022, XS0842078536</t>
  </si>
  <si>
    <t>Eurobonds of VTB Capital SA, 6.95%, 17/10/2022, XS0842078536</t>
  </si>
  <si>
    <t>Bonds of VTB Eurasia DAC, 9.5%, 31/12/2049, XS0810596832</t>
  </si>
  <si>
    <t>Eurobonds of VTB Capital, 9.5%, 31/12/2049, XS0810596832</t>
  </si>
  <si>
    <t>Банк ВТБ (ПАО)</t>
  </si>
  <si>
    <t>VTB BANK (PJSC)</t>
  </si>
  <si>
    <t>Western Digital Corporation (US9581021055)</t>
  </si>
  <si>
    <t>Western Digital Corp. (US9581021055)</t>
  </si>
  <si>
    <t>Whirlpool Corporation (US9633201069)</t>
  </si>
  <si>
    <t>WHIRLPOOL CORPORATION (US9633201069)</t>
  </si>
  <si>
    <t>Williams Partners LP (US96949L1052)</t>
  </si>
  <si>
    <t>Bonds of Westpac Banking Corporation, 2.25%, 17/01/2019, US961214CF89</t>
  </si>
  <si>
    <t>Eurobond of Westpac Banking Corporation, 2.25%, 17/01/2019, US961214CF89</t>
  </si>
  <si>
    <t>The Energy Select Sector SPDR Fund (US81369Y5069)</t>
  </si>
  <si>
    <t>The Energy Select Sector SPDR Fund</t>
  </si>
  <si>
    <t>Yandex N.V. (NL0009805522)</t>
  </si>
  <si>
    <t>Yandex NV (NL0009805522)</t>
  </si>
  <si>
    <t>Bonds of YPF Sociedad Anonima, 3.75 %, 30/09/2019, CH0336352825</t>
  </si>
  <si>
    <t>Bonds of YPF SA, 8.5%, 23/03/2021, USP989MJBG51</t>
  </si>
  <si>
    <t>Bonds of YPF Seciedad Anonima, 8.5 %, 23/03/2016, USP989MJBG51</t>
  </si>
  <si>
    <t>Обл. ПАО Банк ЗЕНИТ, БО-11</t>
  </si>
  <si>
    <t>Bonds of Bank ZENIT, BO-11</t>
  </si>
  <si>
    <t>Zurich Financial Services AG (CH0011075394)</t>
  </si>
  <si>
    <t>ZURICH INSURANCE GROUP AG (CH0011075394)</t>
  </si>
  <si>
    <t>XS0304273948</t>
  </si>
  <si>
    <t>XS0304273948 Corp</t>
  </si>
  <si>
    <t>LUKOIL17</t>
  </si>
  <si>
    <t>RU000A0JU0N7 Corp</t>
  </si>
  <si>
    <t>XS0776121062 Corp</t>
  </si>
  <si>
    <t>US35906AAP30 Corp</t>
  </si>
  <si>
    <t>RU000A0JU5S5 Corp</t>
  </si>
  <si>
    <t>RU000A0JVP05 Corp</t>
  </si>
  <si>
    <t>XS1085735899 Corp</t>
  </si>
  <si>
    <t>XS0588433267</t>
  </si>
  <si>
    <t>XS0588433267 Corp</t>
  </si>
  <si>
    <t>NOVT21</t>
  </si>
  <si>
    <t>CH0347656545</t>
  </si>
  <si>
    <t>CH0347656545 Corp</t>
  </si>
  <si>
    <t>EFGIF_0318C</t>
  </si>
  <si>
    <t>CH0370470269</t>
  </si>
  <si>
    <t>CH0370470269 Corp</t>
  </si>
  <si>
    <t>EFGIF_0119A</t>
  </si>
  <si>
    <t>RU000A0JU7R3 Corp</t>
  </si>
  <si>
    <t>SMOL34001</t>
  </si>
  <si>
    <t>USC10602AN70</t>
  </si>
  <si>
    <t>USC10602AN70 Corp</t>
  </si>
  <si>
    <t>BBDBCN18</t>
  </si>
  <si>
    <t>XS1605088845 Corp</t>
  </si>
  <si>
    <t>XS0835886598</t>
  </si>
  <si>
    <t>XS0835886598 Corp</t>
  </si>
  <si>
    <t>PETBRA19A</t>
  </si>
  <si>
    <t>RU000A0JXJS0 Corp</t>
  </si>
  <si>
    <t>RU000A0JX5W4 Corp</t>
  </si>
  <si>
    <t>XS0618905219</t>
  </si>
  <si>
    <t>XS0618905219 Corp</t>
  </si>
  <si>
    <t>EVRAZ18N</t>
  </si>
  <si>
    <t>XS0864383723 CBBT Corp</t>
  </si>
  <si>
    <t>US03512TAC53 Corp</t>
  </si>
  <si>
    <t>RU000A0ZYBS1 Corp</t>
  </si>
  <si>
    <t>XS0620695204</t>
  </si>
  <si>
    <t>XS0620695204 CBBT Corp</t>
  </si>
  <si>
    <t>ALFARU21</t>
  </si>
  <si>
    <t>XS0748114005</t>
  </si>
  <si>
    <t>XS0748114005 Corp</t>
  </si>
  <si>
    <t>RUSAG17R</t>
  </si>
  <si>
    <t>RU000A0JRCJ6 Corp</t>
  </si>
  <si>
    <t>RU000A0JRHZ1 Corp</t>
  </si>
  <si>
    <t>25079</t>
  </si>
  <si>
    <t>US345397WP47 Corp</t>
  </si>
  <si>
    <t>RU000A0JTNB6 Corp</t>
  </si>
  <si>
    <t>XS1040726587 Corp</t>
  </si>
  <si>
    <t>XS1575061707 Corp</t>
  </si>
  <si>
    <t>RU000A0JPB25 Corp</t>
  </si>
  <si>
    <t>EJ359552 Corp</t>
  </si>
  <si>
    <t>ALFABO15</t>
  </si>
  <si>
    <t>CH0367864680 Corp</t>
  </si>
  <si>
    <t>CH0273395720</t>
  </si>
  <si>
    <t>CH0273395720 Corp</t>
  </si>
  <si>
    <t>EFGIF_0418</t>
  </si>
  <si>
    <t>XS0808638612 Corp</t>
  </si>
  <si>
    <t>RU000A0JXQK2 Corp</t>
  </si>
  <si>
    <t>EI178316 Corp</t>
  </si>
  <si>
    <t>CH0205819441 Corp</t>
  </si>
  <si>
    <t>XS1542704421 Corp</t>
  </si>
  <si>
    <t>US03938LAW46</t>
  </si>
  <si>
    <t>US03938LAW46 Corp</t>
  </si>
  <si>
    <t>MTNA17</t>
  </si>
  <si>
    <t>XS1581931083 Corp</t>
  </si>
  <si>
    <t>RU000A0JXC24 Corp</t>
  </si>
  <si>
    <t>US65504LAM90 Corp</t>
  </si>
  <si>
    <t>XS0981028177</t>
  </si>
  <si>
    <t>EJ878424 Corp</t>
  </si>
  <si>
    <t>HCFB21</t>
  </si>
  <si>
    <t>USG6712EAA67</t>
  </si>
  <si>
    <t>USG6712EAA67 Corp</t>
  </si>
  <si>
    <t>OOGCOR49</t>
  </si>
  <si>
    <t>RU000A0JTTV1 Corp</t>
  </si>
  <si>
    <t>XS0343690466</t>
  </si>
  <si>
    <t>XS0343690466 Corp</t>
  </si>
  <si>
    <t>PROMBK18</t>
  </si>
  <si>
    <t>RU000A0JXD07 Corp</t>
  </si>
  <si>
    <t>RU000A0JU9S7 Corp</t>
  </si>
  <si>
    <t>XS1577953174</t>
  </si>
  <si>
    <t>XS1577953174 Corp</t>
  </si>
  <si>
    <t>NLMK24</t>
  </si>
  <si>
    <t>XS1107291541</t>
  </si>
  <si>
    <t>XS1107291541 Corp</t>
  </si>
  <si>
    <t>SANTAN49A</t>
  </si>
  <si>
    <t>RU000A0JTQS3 Corp</t>
  </si>
  <si>
    <t>VEBL10</t>
  </si>
  <si>
    <t>XS0889401054</t>
  </si>
  <si>
    <t>XS0889401054 Corp</t>
  </si>
  <si>
    <t>VIP19</t>
  </si>
  <si>
    <t>XS0849020556 Corp</t>
  </si>
  <si>
    <t>RU000A0JWZY6 Corp</t>
  </si>
  <si>
    <t>XS1599428726</t>
  </si>
  <si>
    <t>XS1599428726 Corp</t>
  </si>
  <si>
    <t>PHORRU2021</t>
  </si>
  <si>
    <t>US428236BV43</t>
  </si>
  <si>
    <t>US428236BV43 Corp</t>
  </si>
  <si>
    <t>HP21</t>
  </si>
  <si>
    <t>XS0426517701</t>
  </si>
  <si>
    <t>XS0426517701 Corp</t>
  </si>
  <si>
    <t>GPBRU16</t>
  </si>
  <si>
    <t>XS0719009754</t>
  </si>
  <si>
    <t>XS0719009754 Corp</t>
  </si>
  <si>
    <t>VEB17N</t>
  </si>
  <si>
    <t>EJ545131 Corp</t>
  </si>
  <si>
    <t>XS1603245389</t>
  </si>
  <si>
    <t>XS1603245389 Corp</t>
  </si>
  <si>
    <t>GS19</t>
  </si>
  <si>
    <t>CH0359143119</t>
  </si>
  <si>
    <t>CH0359143119 Corp</t>
  </si>
  <si>
    <t>EFGIF_0419</t>
  </si>
  <si>
    <t>RU000A0JVUK8 Corp</t>
  </si>
  <si>
    <t>RU000A0JXEV5 Corp</t>
  </si>
  <si>
    <t>EJ644860 Corp</t>
  </si>
  <si>
    <t>EJ536591 Corp</t>
  </si>
  <si>
    <t>XS1513271418 Corp</t>
  </si>
  <si>
    <t>RU000A0JWHT4 Corp</t>
  </si>
  <si>
    <t>ROSBANKB14</t>
  </si>
  <si>
    <t>XS0579851949 Corp</t>
  </si>
  <si>
    <t>USP84050AB29 Corp</t>
  </si>
  <si>
    <t>XS0361041808</t>
  </si>
  <si>
    <t>XS0361041808 TRDB Corp</t>
  </si>
  <si>
    <t>VIP18</t>
  </si>
  <si>
    <t>US931142DF70</t>
  </si>
  <si>
    <t>US931142DF70 Corp</t>
  </si>
  <si>
    <t>WMT18</t>
  </si>
  <si>
    <t>US496902AN77 Corp</t>
  </si>
  <si>
    <t>XS1071368861</t>
  </si>
  <si>
    <t>XS1071368861 Corp</t>
  </si>
  <si>
    <t>KAISAG19</t>
  </si>
  <si>
    <t>XS1503160225</t>
  </si>
  <si>
    <t>XS1503160225 Corp</t>
  </si>
  <si>
    <t>ARGENT22E</t>
  </si>
  <si>
    <t>EJ606056 Corp</t>
  </si>
  <si>
    <t>XS0718502007</t>
  </si>
  <si>
    <t>XS0718502007 Corp</t>
  </si>
  <si>
    <t>PETBRA26G</t>
  </si>
  <si>
    <t>RU000A0JX3X7 Corp</t>
  </si>
  <si>
    <t>USG9328DAJ93 Corp</t>
  </si>
  <si>
    <t>JK744712 Corp</t>
  </si>
  <si>
    <t>US35906AAH14 Corp</t>
  </si>
  <si>
    <t>RU000A0JWHA4 Corp</t>
  </si>
  <si>
    <t>EU26REGS</t>
  </si>
  <si>
    <t>RU000A0JXPG2 Corp</t>
  </si>
  <si>
    <t>US620076BB42</t>
  </si>
  <si>
    <t>US620076BB42 Corp</t>
  </si>
  <si>
    <t>MSI22</t>
  </si>
  <si>
    <t>XS0878855773</t>
  </si>
  <si>
    <t>XS0878855773 CBBT Corp</t>
  </si>
  <si>
    <t>SIBUR18</t>
  </si>
  <si>
    <t>USQ3919KAD39</t>
  </si>
  <si>
    <t>USQ3919KAD39 Corp</t>
  </si>
  <si>
    <t>FMGAU19</t>
  </si>
  <si>
    <t>CH0279929233</t>
  </si>
  <si>
    <t>CH0279929233 Corp</t>
  </si>
  <si>
    <t>EFGIF_0616</t>
  </si>
  <si>
    <t>CH0336352825 Corp</t>
  </si>
  <si>
    <t>XS0513723873</t>
  </si>
  <si>
    <t>XS0513723873 Corp</t>
  </si>
  <si>
    <t>MTS20</t>
  </si>
  <si>
    <t>XS0626438112</t>
  </si>
  <si>
    <t>XS0626438112 Corp</t>
  </si>
  <si>
    <t>HECKKO18</t>
  </si>
  <si>
    <t>CH0279928706</t>
  </si>
  <si>
    <t>CH0279928706 Corp</t>
  </si>
  <si>
    <t>EFGIF_1215</t>
  </si>
  <si>
    <t>RU000A0JXQ93 Corp</t>
  </si>
  <si>
    <t>US515110BF06</t>
  </si>
  <si>
    <t>US515110BF06 Corp</t>
  </si>
  <si>
    <t>RENTEN18</t>
  </si>
  <si>
    <t>XS0925177130</t>
  </si>
  <si>
    <t>XS0925177130 Corp</t>
  </si>
  <si>
    <t>UCGIM23</t>
  </si>
  <si>
    <t>XS0995040051</t>
  </si>
  <si>
    <t>XS0995040051 Corp</t>
  </si>
  <si>
    <t>AALLN20E</t>
  </si>
  <si>
    <t>RU000A0JVKK9 Corp</t>
  </si>
  <si>
    <t>RU000A0JU153 Corp</t>
  </si>
  <si>
    <t>LOKZBO05</t>
  </si>
  <si>
    <t>XS1577964965 Corp</t>
  </si>
  <si>
    <t>XS1468264822 Corp</t>
  </si>
  <si>
    <t>US345397WY53 Corp</t>
  </si>
  <si>
    <t>CH0283709266</t>
  </si>
  <si>
    <t>CH0283709266 Corp</t>
  </si>
  <si>
    <t>EFGIF_1216</t>
  </si>
  <si>
    <t>US71647NAS80</t>
  </si>
  <si>
    <t>US71647NAS80 Corp</t>
  </si>
  <si>
    <t>PETBRA27</t>
  </si>
  <si>
    <t>CH0283715164</t>
  </si>
  <si>
    <t>CH0283715164 Corp</t>
  </si>
  <si>
    <t>NOTFG_1116</t>
  </si>
  <si>
    <t>XS0503839622</t>
  </si>
  <si>
    <t>EI2227078 Corp</t>
  </si>
  <si>
    <t>NOMOS15</t>
  </si>
  <si>
    <t>XS0981632804</t>
  </si>
  <si>
    <t>XS0981632804 Corp</t>
  </si>
  <si>
    <t>RBIAV23E</t>
  </si>
  <si>
    <t>XS1513271251</t>
  </si>
  <si>
    <t>XS1513271251 Corp</t>
  </si>
  <si>
    <t>EURONAT20L</t>
  </si>
  <si>
    <t>XS0494933806</t>
  </si>
  <si>
    <t>XS0494933806 Corp</t>
  </si>
  <si>
    <t>ALFARU15N</t>
  </si>
  <si>
    <t>XS0554659671</t>
  </si>
  <si>
    <t>XS0554659671 BGN Corp</t>
  </si>
  <si>
    <t>LUKOIL20</t>
  </si>
  <si>
    <t>XS1433454243 Corp</t>
  </si>
  <si>
    <t>US71647NAL38 Corp</t>
  </si>
  <si>
    <t>XS0867620725</t>
  </si>
  <si>
    <t>XS0867620725 Corp</t>
  </si>
  <si>
    <t>SOCGEN49E</t>
  </si>
  <si>
    <t>RU000A0JWV63 Corp</t>
  </si>
  <si>
    <t>XS0877983642</t>
  </si>
  <si>
    <t>XS0877983642 Corp</t>
  </si>
  <si>
    <t>GAZBK16R</t>
  </si>
  <si>
    <t>XS0288690539</t>
  </si>
  <si>
    <t>XS0288690539 Corp</t>
  </si>
  <si>
    <t>ALFARU17</t>
  </si>
  <si>
    <t>US71656MBK45</t>
  </si>
  <si>
    <t>US71656MBK45 Corp</t>
  </si>
  <si>
    <t>PEMEX26</t>
  </si>
  <si>
    <t>RU000A0JU336 Corp</t>
  </si>
  <si>
    <t>SUEKF05</t>
  </si>
  <si>
    <t>XS0591549232</t>
  </si>
  <si>
    <t>XS0591549232 GERM Corp</t>
  </si>
  <si>
    <t>METINV18</t>
  </si>
  <si>
    <t>RU000A0JWN63 Corp</t>
  </si>
  <si>
    <t>RU000A0JQFU8</t>
  </si>
  <si>
    <t>RU000A0JQFU8 Corp</t>
  </si>
  <si>
    <t>SIBMET01</t>
  </si>
  <si>
    <t>EJ801440 Corp</t>
  </si>
  <si>
    <t>RU000A0JXQF2 Corp</t>
  </si>
  <si>
    <t>XS1188073081</t>
  </si>
  <si>
    <t>XS1188073081 Corp</t>
  </si>
  <si>
    <t>HALKBK21N</t>
  </si>
  <si>
    <t>US457153AF18 Corp</t>
  </si>
  <si>
    <t>XS0893205186</t>
  </si>
  <si>
    <t>XS0893205186 Corp</t>
  </si>
  <si>
    <t>VEB18E</t>
  </si>
  <si>
    <t>US31562QAC15</t>
  </si>
  <si>
    <t>US31562QAC15 Corp</t>
  </si>
  <si>
    <t>FCAIM2020</t>
  </si>
  <si>
    <t>RU000A0JUD83 Corp</t>
  </si>
  <si>
    <t>RU000A0JU8W1 Corp</t>
  </si>
  <si>
    <t>MKRBBO07</t>
  </si>
  <si>
    <t>CH0384861404 Corp</t>
  </si>
  <si>
    <t>XS1581926083 Corp</t>
  </si>
  <si>
    <t>XS1140509628 Corp</t>
  </si>
  <si>
    <t>RU000A0JVYN4 Corp</t>
  </si>
  <si>
    <t>XS0776111188</t>
  </si>
  <si>
    <t>XS0776111188 Corp</t>
  </si>
  <si>
    <t>AGROK19E</t>
  </si>
  <si>
    <t>USU8810LAA18 Corp</t>
  </si>
  <si>
    <t>XS0800817073 Corp</t>
  </si>
  <si>
    <t>XS1405775450</t>
  </si>
  <si>
    <t>XS1405775450 Corp</t>
  </si>
  <si>
    <t>GLPRLI23</t>
  </si>
  <si>
    <t>RU000A0JTF50 Corp</t>
  </si>
  <si>
    <t>CH0374210356 Corp</t>
  </si>
  <si>
    <t>RU000A0JV4N8 Corp</t>
  </si>
  <si>
    <t>RU000A0JRVU3 Corp</t>
  </si>
  <si>
    <t>RU000A0JTQU9 Corp</t>
  </si>
  <si>
    <t>JV410549 Corp</t>
  </si>
  <si>
    <t>XS0891039165</t>
  </si>
  <si>
    <t>XS0891039165 Corp</t>
  </si>
  <si>
    <t>RENOT18</t>
  </si>
  <si>
    <t>XS1223394914</t>
  </si>
  <si>
    <t>XS1223394914 Corp</t>
  </si>
  <si>
    <t>TCZIRA21</t>
  </si>
  <si>
    <t>XS1601094755 Corp</t>
  </si>
  <si>
    <t>XS1107316041</t>
  </si>
  <si>
    <t>XS1107316041 Corp</t>
  </si>
  <si>
    <t>WESCHI19</t>
  </si>
  <si>
    <t>CH0246199050 Corp</t>
  </si>
  <si>
    <t>XS1603335610 Corp</t>
  </si>
  <si>
    <t>CH0355508588 Corp</t>
  </si>
  <si>
    <t>JK549945 Corp</t>
  </si>
  <si>
    <t>RU000A0JTX09 Corp</t>
  </si>
  <si>
    <t>ORBR05</t>
  </si>
  <si>
    <t>QZ914276 Corp</t>
  </si>
  <si>
    <t>RU000A0JRFQ4</t>
  </si>
  <si>
    <t>RU000A0JRFQ4 Corp</t>
  </si>
  <si>
    <t>MGNTBO06</t>
  </si>
  <si>
    <t>XS0833264335</t>
  </si>
  <si>
    <t>XS0833264335 Corp</t>
  </si>
  <si>
    <t>GAZBK15R</t>
  </si>
  <si>
    <t>XS0583616239 Corp</t>
  </si>
  <si>
    <t>US71645WAM38</t>
  </si>
  <si>
    <t>US71645WAM38 Corp</t>
  </si>
  <si>
    <t>PETBRA18A</t>
  </si>
  <si>
    <t>RU000A0JR779</t>
  </si>
  <si>
    <t>RU000A0JR779 Corp</t>
  </si>
  <si>
    <t>25076</t>
  </si>
  <si>
    <t>RU000A0JVPN2 Corp</t>
  </si>
  <si>
    <t>XS0903465127</t>
  </si>
  <si>
    <t>XS0903465127 Corp</t>
  </si>
  <si>
    <t>SOIAZ23</t>
  </si>
  <si>
    <t>XS0609017917 Corp</t>
  </si>
  <si>
    <t>US382550BG56 Corp</t>
  </si>
  <si>
    <t>XS1071551474 Corp</t>
  </si>
  <si>
    <t>RU000A0GN9A7 Corp</t>
  </si>
  <si>
    <t>XS1506500039 Corp</t>
  </si>
  <si>
    <t>XS0524610812 Corp</t>
  </si>
  <si>
    <t>XS1117280625 Corp</t>
  </si>
  <si>
    <t>RU000A0JWK66 Corp</t>
  </si>
  <si>
    <t>XS1508914691</t>
  </si>
  <si>
    <t>XS1508914691 Corp</t>
  </si>
  <si>
    <t>VAKBN21</t>
  </si>
  <si>
    <t>XS0191754729 Corp</t>
  </si>
  <si>
    <t>XS0863583281</t>
  </si>
  <si>
    <t>XS0863583281 BGN Corp</t>
  </si>
  <si>
    <t>EUCHEM17</t>
  </si>
  <si>
    <t>USN54468AF52 Corp</t>
  </si>
  <si>
    <t>RU000A0JWM07 Corp</t>
  </si>
  <si>
    <t>XS0922883318</t>
  </si>
  <si>
    <t>XS0922883318 Corp</t>
  </si>
  <si>
    <t>URKARM18</t>
  </si>
  <si>
    <t>CH0361717348</t>
  </si>
  <si>
    <t>CH0361717348 Corp</t>
  </si>
  <si>
    <t>EFGIF_0619</t>
  </si>
  <si>
    <t>RU000A0JUGY0 Corp</t>
  </si>
  <si>
    <t>RU000A0JV4Q1 Corp</t>
  </si>
  <si>
    <t>XS0783242877 Corp</t>
  </si>
  <si>
    <t>XS0911599701 Corp</t>
  </si>
  <si>
    <t>RU000A0JXHE4 Corp</t>
  </si>
  <si>
    <t>CH0361710855 Corp</t>
  </si>
  <si>
    <t>XS0555493203 Corp</t>
  </si>
  <si>
    <t>RU000A0JWBP5 Corp</t>
  </si>
  <si>
    <t>PKT-03</t>
  </si>
  <si>
    <t>US29358QAG47</t>
  </si>
  <si>
    <t>US29358QAG47 Corp</t>
  </si>
  <si>
    <t>ESV24A</t>
  </si>
  <si>
    <t>RU000A0JWTW3 Corp</t>
  </si>
  <si>
    <t>XS0316524130</t>
  </si>
  <si>
    <t>XS0316524130 Corp</t>
  </si>
  <si>
    <t>GAZP37</t>
  </si>
  <si>
    <t>XS0592794597 Corp</t>
  </si>
  <si>
    <t>XS0605637056</t>
  </si>
  <si>
    <t>XS0605637056 Corp</t>
  </si>
  <si>
    <t>RUSAG16R</t>
  </si>
  <si>
    <t>RU000A0JQZ18</t>
  </si>
  <si>
    <t>RU000A0JQZ18 Corp</t>
  </si>
  <si>
    <t>26203</t>
  </si>
  <si>
    <t>XS1198002690</t>
  </si>
  <si>
    <t>XS1198002690 Corp</t>
  </si>
  <si>
    <t>CEMEX23</t>
  </si>
  <si>
    <t>XS0848530977 Corp</t>
  </si>
  <si>
    <t>RU000A0JWFE0 Corp</t>
  </si>
  <si>
    <t>XS1379311761 Corp</t>
  </si>
  <si>
    <t>XS0563898062</t>
  </si>
  <si>
    <t>XS0563898062 Corp</t>
  </si>
  <si>
    <t>LUKOIL15</t>
  </si>
  <si>
    <t>XS12184320001</t>
  </si>
  <si>
    <t>XS12184320001 Corp</t>
  </si>
  <si>
    <t>GLENLN_2.875</t>
  </si>
  <si>
    <t>US71647NAR08 Corp</t>
  </si>
  <si>
    <t>US900123CF53 Corp</t>
  </si>
  <si>
    <t>US71654QCD25 Corp</t>
  </si>
  <si>
    <t>XS1592279522 Corp</t>
  </si>
  <si>
    <t>XS0716979595</t>
  </si>
  <si>
    <t>XS0716979595 Corp</t>
  </si>
  <si>
    <t>PETBRA22</t>
  </si>
  <si>
    <t>CH0384861396 Corp</t>
  </si>
  <si>
    <t>RU000A0JTWW3</t>
  </si>
  <si>
    <t>RU000A0JTWW3 Corp</t>
  </si>
  <si>
    <t>25082</t>
  </si>
  <si>
    <t>RU000A0JTFX6 Corp</t>
  </si>
  <si>
    <t>XS0995845566</t>
  </si>
  <si>
    <t>XS0995845566 CBBT Corp</t>
  </si>
  <si>
    <t>DMEA18</t>
  </si>
  <si>
    <t>XS1533915721 Corp</t>
  </si>
  <si>
    <t>XS1337079997 Corp</t>
  </si>
  <si>
    <t>RU000A0JQK64 Corp</t>
  </si>
  <si>
    <t>RSHB08</t>
  </si>
  <si>
    <t>XS1514045886 Corp</t>
  </si>
  <si>
    <t>RU000A0JR472 Corp</t>
  </si>
  <si>
    <t>RGST02</t>
  </si>
  <si>
    <t>RU000A0JXQ44 Corp</t>
  </si>
  <si>
    <t>EJ548954 Corp</t>
  </si>
  <si>
    <t>XS1003273767</t>
  </si>
  <si>
    <t>XS1003273767 Corp</t>
  </si>
  <si>
    <t>URANIUM18</t>
  </si>
  <si>
    <t>XS1662407862 Corp</t>
  </si>
  <si>
    <t>XS1069383856 Corp</t>
  </si>
  <si>
    <t>XS1218431705</t>
  </si>
  <si>
    <t>XS1218431705 Corp</t>
  </si>
  <si>
    <t>GLENCF18</t>
  </si>
  <si>
    <t>XS0441089926</t>
  </si>
  <si>
    <t>XS0441089926 Corp</t>
  </si>
  <si>
    <t>ALFAUA12NN</t>
  </si>
  <si>
    <t>XS0553072611</t>
  </si>
  <si>
    <t>XS0553072611 Corp</t>
  </si>
  <si>
    <t>HYDR15</t>
  </si>
  <si>
    <t>XS0424860947</t>
  </si>
  <si>
    <t>XS0424860947 Corp</t>
  </si>
  <si>
    <t>GAZP19</t>
  </si>
  <si>
    <t>XS0524658852</t>
  </si>
  <si>
    <t>XS0524658852 Corp</t>
  </si>
  <si>
    <t>PROMBK16</t>
  </si>
  <si>
    <t>US71656MBN83 Corp</t>
  </si>
  <si>
    <t>RU000A0JXM48 Corp</t>
  </si>
  <si>
    <t>XS0587031096</t>
  </si>
  <si>
    <t>XS0587031096 Corp</t>
  </si>
  <si>
    <t>VIP21</t>
  </si>
  <si>
    <t>XS0559915961</t>
  </si>
  <si>
    <t>XS0559915961 Corp</t>
  </si>
  <si>
    <t>VEB25</t>
  </si>
  <si>
    <t>US78008S7D27</t>
  </si>
  <si>
    <t>US78008S7D27 Corp</t>
  </si>
  <si>
    <t>RY18</t>
  </si>
  <si>
    <t>XS1077629225</t>
  </si>
  <si>
    <t>XS1077629225 Corp</t>
  </si>
  <si>
    <t>VAKBN19</t>
  </si>
  <si>
    <t>XS1485745704 Corp</t>
  </si>
  <si>
    <t>RU000A0JRJU8 Corp</t>
  </si>
  <si>
    <t>26206</t>
  </si>
  <si>
    <t>RU000A0JVUL6 Corp</t>
  </si>
  <si>
    <t>PGK-05</t>
  </si>
  <si>
    <t>XS1437965822</t>
  </si>
  <si>
    <t>XS1437965822 Corp</t>
  </si>
  <si>
    <t>SOCGEN19V</t>
  </si>
  <si>
    <t>EJ101924 Corp</t>
  </si>
  <si>
    <t>VIMP04</t>
  </si>
  <si>
    <t>XS0925043100 Corp</t>
  </si>
  <si>
    <t>RU000A0JPP11 Corp</t>
  </si>
  <si>
    <t>JK533840 Corp</t>
  </si>
  <si>
    <t>RU000A0JRKC4 Corp</t>
  </si>
  <si>
    <t>JK576342 Corp</t>
  </si>
  <si>
    <t>EJ951547 Corp</t>
  </si>
  <si>
    <t>RU000A0JP039 Corp</t>
  </si>
  <si>
    <t>XS0882561821</t>
  </si>
  <si>
    <t>XS0882561821 Corp</t>
  </si>
  <si>
    <t>SBER16R</t>
  </si>
  <si>
    <t>XS0299183250</t>
  </si>
  <si>
    <t>XS0299183250 Corp</t>
  </si>
  <si>
    <t>BKMOS17</t>
  </si>
  <si>
    <t>XS1634369067</t>
  </si>
  <si>
    <t>XS1634369067 Corp</t>
  </si>
  <si>
    <t>BELRUS23</t>
  </si>
  <si>
    <t>XS1400710726 Corp</t>
  </si>
  <si>
    <t>XS1035504247</t>
  </si>
  <si>
    <t>XS1035504247 Corp</t>
  </si>
  <si>
    <t>EURONAT15E</t>
  </si>
  <si>
    <t>XS0971721450 CBBT Corp</t>
  </si>
  <si>
    <t>EU23REGS</t>
  </si>
  <si>
    <t>USG25343AA52 Corp</t>
  </si>
  <si>
    <t>XS1193838890 Corp</t>
  </si>
  <si>
    <t>RU000A0JV4L2 Corp</t>
  </si>
  <si>
    <t>CH0355509487 Corp</t>
  </si>
  <si>
    <t>CH0326739403</t>
  </si>
  <si>
    <t>CH0326739403 Corp</t>
  </si>
  <si>
    <t>NOTFG_1216</t>
  </si>
  <si>
    <t>XS1405766384 Corp</t>
  </si>
  <si>
    <t>RU000A0JRDQ9</t>
  </si>
  <si>
    <t>RU000A0JRDQ9 Corp</t>
  </si>
  <si>
    <t>RTKM10</t>
  </si>
  <si>
    <t>US456837AF06</t>
  </si>
  <si>
    <t>US456837AF06 Corp</t>
  </si>
  <si>
    <t>INTNEDPERP</t>
  </si>
  <si>
    <t>XS1568888777</t>
  </si>
  <si>
    <t>XS1568888777 Corp</t>
  </si>
  <si>
    <t>PETRMX28</t>
  </si>
  <si>
    <t>RU000A0JTG59 Corp</t>
  </si>
  <si>
    <t>XS0922142574</t>
  </si>
  <si>
    <t>XS0922142574 Corp</t>
  </si>
  <si>
    <t>ALFARU16R</t>
  </si>
  <si>
    <t>XS0935311240 Corp</t>
  </si>
  <si>
    <t>XS0918297382 Corp</t>
  </si>
  <si>
    <t>XS0548633659</t>
  </si>
  <si>
    <t>XS0548633659 Corp</t>
  </si>
  <si>
    <t>VTB20</t>
  </si>
  <si>
    <t>XS0640334768</t>
  </si>
  <si>
    <t>XS0640334768 Corp</t>
  </si>
  <si>
    <t>KOKS16</t>
  </si>
  <si>
    <t>US364760AK48 Corp</t>
  </si>
  <si>
    <t>USU05485AA20 Corp</t>
  </si>
  <si>
    <t>RU000A0JWVM0 Corp</t>
  </si>
  <si>
    <t>USG03762CE22</t>
  </si>
  <si>
    <t>USG03762CE22 Corp</t>
  </si>
  <si>
    <t>AALLNUS20</t>
  </si>
  <si>
    <t>CH0347657816</t>
  </si>
  <si>
    <t>CH0347657816 Corp</t>
  </si>
  <si>
    <t>EFGIF_1218</t>
  </si>
  <si>
    <t>USG9328DAM23 Corp</t>
  </si>
  <si>
    <t>XS1319822752 Corp</t>
  </si>
  <si>
    <t>XS0652913558</t>
  </si>
  <si>
    <t>XS0652913558 Corp</t>
  </si>
  <si>
    <t>EVRAZ17</t>
  </si>
  <si>
    <t>CH0273394384</t>
  </si>
  <si>
    <t>CH0273394384 Corp</t>
  </si>
  <si>
    <t>EFGIF_0316</t>
  </si>
  <si>
    <t>XS0893212398 Corp</t>
  </si>
  <si>
    <t>XS0923110232</t>
  </si>
  <si>
    <t>XS0923110232 Corp</t>
  </si>
  <si>
    <t>NOMOS18</t>
  </si>
  <si>
    <t>USG9328DAG54</t>
  </si>
  <si>
    <t>USG9328DAG54 Corp</t>
  </si>
  <si>
    <t>VEDLN21</t>
  </si>
  <si>
    <t>XS0366630902</t>
  </si>
  <si>
    <t>XS0366630902 Corp</t>
  </si>
  <si>
    <t>RUSAG18</t>
  </si>
  <si>
    <t>XS1533922933 Corp</t>
  </si>
  <si>
    <t>US71647NAK54</t>
  </si>
  <si>
    <t>US71647NAK54 Corp</t>
  </si>
  <si>
    <t>PETBRA44</t>
  </si>
  <si>
    <t>RU000A0JVT76 Corp</t>
  </si>
  <si>
    <t>PGK-01</t>
  </si>
  <si>
    <t>XS1605088928 Corp</t>
  </si>
  <si>
    <t>USU0242AAB80</t>
  </si>
  <si>
    <t>USU0242AAB80 Corp</t>
  </si>
  <si>
    <t>AAL20</t>
  </si>
  <si>
    <t>XS0934609016 Corp</t>
  </si>
  <si>
    <t>US71645WAR25</t>
  </si>
  <si>
    <t>US71645WAR25 Corp</t>
  </si>
  <si>
    <t>PETBRA21</t>
  </si>
  <si>
    <t>XS0650962185</t>
  </si>
  <si>
    <t>XS0650962185 Corp</t>
  </si>
  <si>
    <t>METINR16</t>
  </si>
  <si>
    <t>XS1513286283</t>
  </si>
  <si>
    <t>XS1513286283 Corp</t>
  </si>
  <si>
    <t>EURONAT190</t>
  </si>
  <si>
    <t>RU000A0JXFM1 Corp</t>
  </si>
  <si>
    <t>XS1568874983 Corp</t>
  </si>
  <si>
    <t>US71647NAM11 Corp</t>
  </si>
  <si>
    <t>RU000A0JW1P8 Corp</t>
  </si>
  <si>
    <t>XS1533921299 Corp</t>
  </si>
  <si>
    <t>XS1314822054</t>
  </si>
  <si>
    <t>XS1314822054 Corp</t>
  </si>
  <si>
    <t>SOCGEN18G</t>
  </si>
  <si>
    <t>XS1041815116 Corp</t>
  </si>
  <si>
    <t>XS0975320879 Corp</t>
  </si>
  <si>
    <t>RU000A0JWN89 Corp</t>
  </si>
  <si>
    <t>US29358QAC33 Corp</t>
  </si>
  <si>
    <t>US35671DAZ87 Corp</t>
  </si>
  <si>
    <t>RU000A0JWNJ3 Corp</t>
  </si>
  <si>
    <t>JK551531 Corp</t>
  </si>
  <si>
    <t>JK628240 Corp</t>
  </si>
  <si>
    <t>XS0885733153</t>
  </si>
  <si>
    <t>XS0885733153 Corp</t>
  </si>
  <si>
    <t>GAZPRU20N</t>
  </si>
  <si>
    <t>RU000A0JX0B9 Corp</t>
  </si>
  <si>
    <t>RU000A0JW662 Corp</t>
  </si>
  <si>
    <t>MAGNIT1P02</t>
  </si>
  <si>
    <t>XS0588436799</t>
  </si>
  <si>
    <t>XS0588436799 Corp</t>
  </si>
  <si>
    <t>NOVT16</t>
  </si>
  <si>
    <t>USG1315RAD38</t>
  </si>
  <si>
    <t>USG1315RAD38 Corp</t>
  </si>
  <si>
    <t>BRASKM2021</t>
  </si>
  <si>
    <t>RU000A0JTPD7 Corp</t>
  </si>
  <si>
    <t>MKRB12</t>
  </si>
  <si>
    <t>XS0993162170</t>
  </si>
  <si>
    <t>XS0993162170 Corp</t>
  </si>
  <si>
    <t>VEB18</t>
  </si>
  <si>
    <t>USG79456AK84 Corp</t>
  </si>
  <si>
    <t>XS0213101073</t>
  </si>
  <si>
    <t>XS0213101073 Corp</t>
  </si>
  <si>
    <t>PEMEX25</t>
  </si>
  <si>
    <t>RU000A0JVW48 Corp</t>
  </si>
  <si>
    <t>XS0848137708 Corp</t>
  </si>
  <si>
    <t>USG37767AA13</t>
  </si>
  <si>
    <t>USG37767AA13 Corp</t>
  </si>
  <si>
    <t>GCX19</t>
  </si>
  <si>
    <t>USP32457AA44</t>
  </si>
  <si>
    <t>USP32457AA44 Corp</t>
  </si>
  <si>
    <t>CREAL23</t>
  </si>
  <si>
    <t>RU000A0JXK40 Corp</t>
  </si>
  <si>
    <t>XS0841677387</t>
  </si>
  <si>
    <t>XS0841677387 Corp</t>
  </si>
  <si>
    <t>RUSST18</t>
  </si>
  <si>
    <t>CH0384862550 Corp</t>
  </si>
  <si>
    <t>RU000A0JXVY3 Corp</t>
  </si>
  <si>
    <t>XS0810596832 Corp</t>
  </si>
  <si>
    <t>XS0775984213</t>
  </si>
  <si>
    <t>XS0775984213 Corp</t>
  </si>
  <si>
    <t>PROMBK17</t>
  </si>
  <si>
    <t>RU000A0JRKD2 Corp</t>
  </si>
  <si>
    <t>XS1516324321</t>
  </si>
  <si>
    <t>XS1516324321 Corp</t>
  </si>
  <si>
    <t>DMEAIR21</t>
  </si>
  <si>
    <t>US71654QBB77</t>
  </si>
  <si>
    <t>US71654QBB77 Corp</t>
  </si>
  <si>
    <t>PEMEX22</t>
  </si>
  <si>
    <t>XS1405775377 Corp</t>
  </si>
  <si>
    <t>CH0361710632 Corp</t>
  </si>
  <si>
    <t>CH0340808473</t>
  </si>
  <si>
    <t>CH0340808473 Corp</t>
  </si>
  <si>
    <t>EFGIF_1017A</t>
  </si>
  <si>
    <t>XS0234987153</t>
  </si>
  <si>
    <t>XS0234987153 Corp</t>
  </si>
  <si>
    <t>EVRAZ15</t>
  </si>
  <si>
    <t>XS0301347372</t>
  </si>
  <si>
    <t>XS0301347372 Corp</t>
  </si>
  <si>
    <t>RASPAD12</t>
  </si>
  <si>
    <t>US71647NAP42 Corp</t>
  </si>
  <si>
    <t>US71656MAF68 Corp</t>
  </si>
  <si>
    <t>RU000A0JT8N3 Corp</t>
  </si>
  <si>
    <t>XS0923472814 Corp</t>
  </si>
  <si>
    <t>XS1577961516 Corp</t>
  </si>
  <si>
    <t>USU77583AA79 Corp</t>
  </si>
  <si>
    <t>XS1255387976 Corp</t>
  </si>
  <si>
    <t>XS0979891925 Corp</t>
  </si>
  <si>
    <t>XS0564087541 Corp</t>
  </si>
  <si>
    <t>US71647NAQ25 Corp</t>
  </si>
  <si>
    <t>EJ920101 Corp</t>
  </si>
  <si>
    <t>XS0835890350 Corp</t>
  </si>
  <si>
    <t>XS0543783194</t>
  </si>
  <si>
    <t>XS0543783194 Corp</t>
  </si>
  <si>
    <t>UKRGB20</t>
  </si>
  <si>
    <t>RU000A0JTYA5 Corp</t>
  </si>
  <si>
    <t>US71647NAF69 Corp</t>
  </si>
  <si>
    <t>US836205AR58</t>
  </si>
  <si>
    <t>US836205AR58 Corp</t>
  </si>
  <si>
    <t>SOAF25</t>
  </si>
  <si>
    <t>US71656MBQ15</t>
  </si>
  <si>
    <t>US71656MBQ15 Corp</t>
  </si>
  <si>
    <t>PEMEX27</t>
  </si>
  <si>
    <t>US31562QAF46 Corp</t>
  </si>
  <si>
    <t>XS1266615175</t>
  </si>
  <si>
    <t>XS1266615175 Corp</t>
  </si>
  <si>
    <t>SOCGEN21F</t>
  </si>
  <si>
    <t>RU000A0JR3P1</t>
  </si>
  <si>
    <t>RU000A0JR3P1 SBER Corp</t>
  </si>
  <si>
    <t>EVRAZ02</t>
  </si>
  <si>
    <t>XS0832412505</t>
  </si>
  <si>
    <t>XS0832412505 Corp</t>
  </si>
  <si>
    <t>ALFARU19</t>
  </si>
  <si>
    <t>RU000A0JV7J9 Corp</t>
  </si>
  <si>
    <t>RU000A0JS3M7 Corp</t>
  </si>
  <si>
    <t>RU000A0JTKM9 Corp</t>
  </si>
  <si>
    <t>XS1693971043 Corp</t>
  </si>
  <si>
    <t>RU000A0JXFC2 Corp</t>
  </si>
  <si>
    <t>CH0340808812</t>
  </si>
  <si>
    <t>CH0340808812 Corp</t>
  </si>
  <si>
    <t>EFGIF_1017B</t>
  </si>
  <si>
    <t>XS0643183220</t>
  </si>
  <si>
    <t>XS0643183220 Corp</t>
  </si>
  <si>
    <t>VIP22</t>
  </si>
  <si>
    <t>RU000A0JWMJ5 Corp</t>
  </si>
  <si>
    <t>QZ580267 Corp</t>
  </si>
  <si>
    <t>EJ394063 Corp</t>
  </si>
  <si>
    <t>XS0552679879</t>
  </si>
  <si>
    <t>XS0552679879 CBBT Corp</t>
  </si>
  <si>
    <t>SCFRU17</t>
  </si>
  <si>
    <t>XS1314820355 Corp</t>
  </si>
  <si>
    <t>EJ142417 Corp</t>
  </si>
  <si>
    <t>25080</t>
  </si>
  <si>
    <t>XS0484209159</t>
  </si>
  <si>
    <t>XS0484209159 Corp</t>
  </si>
  <si>
    <t>TNK20</t>
  </si>
  <si>
    <t>US251525AP63</t>
  </si>
  <si>
    <t>US251525AP63 Corp</t>
  </si>
  <si>
    <t>DEUTBK25</t>
  </si>
  <si>
    <t>DE000DB7XHP3 Corp</t>
  </si>
  <si>
    <t>RU000A0JX0H6 Corp</t>
  </si>
  <si>
    <t>XS0861981180</t>
  </si>
  <si>
    <t>XS0861981180 Corp</t>
  </si>
  <si>
    <t>ROSN22</t>
  </si>
  <si>
    <t>XS0910932788 Corp</t>
  </si>
  <si>
    <t>XS1468260598</t>
  </si>
  <si>
    <t>XS1468260598 Corp</t>
  </si>
  <si>
    <t>EURONAT19L</t>
  </si>
  <si>
    <t>RU000A0JXFS8 Corp</t>
  </si>
  <si>
    <t>US456837AE31 Corp</t>
  </si>
  <si>
    <t>XS1084024584</t>
  </si>
  <si>
    <t>XS1084024584 Corp</t>
  </si>
  <si>
    <t>GPBRU19E</t>
  </si>
  <si>
    <t>RU000A0JUVG6 Corp</t>
  </si>
  <si>
    <t>XS0993162683 Corp</t>
  </si>
  <si>
    <t>XS0328781728 Corp</t>
  </si>
  <si>
    <t>XS0808632847</t>
  </si>
  <si>
    <t>XS0808632847 Corp</t>
  </si>
  <si>
    <t>NLMK18</t>
  </si>
  <si>
    <t>USG9328DAD24</t>
  </si>
  <si>
    <t>USG9328DAD24 Corp</t>
  </si>
  <si>
    <t>VEDLN18</t>
  </si>
  <si>
    <t>RU000A0JXUH0 Corp</t>
  </si>
  <si>
    <t>XS0767473852 Corp</t>
  </si>
  <si>
    <t>EU42REGS</t>
  </si>
  <si>
    <t>RU000A0JWM49 Corp</t>
  </si>
  <si>
    <t>AVTOBAN-F1</t>
  </si>
  <si>
    <t>CH0340809679</t>
  </si>
  <si>
    <t>CH0340809679 Corp</t>
  </si>
  <si>
    <t>EFGIF_1117</t>
  </si>
  <si>
    <t>US71654QCB68</t>
  </si>
  <si>
    <t>US71654QCB68 Corp</t>
  </si>
  <si>
    <t>PEMEX26A</t>
  </si>
  <si>
    <t>USP22854AG14 Corp</t>
  </si>
  <si>
    <t>RU000A0JTM28 Corp</t>
  </si>
  <si>
    <t>US191216AY64</t>
  </si>
  <si>
    <t>US191216AY64 Corp</t>
  </si>
  <si>
    <t>KO18</t>
  </si>
  <si>
    <t>RU000A0JS6N8 Corp</t>
  </si>
  <si>
    <t>XS0974126186</t>
  </si>
  <si>
    <t>XS0974126186 CBBT Corp</t>
  </si>
  <si>
    <t>GAZPRU20G</t>
  </si>
  <si>
    <t>XS0495973470</t>
  </si>
  <si>
    <t>XS0495973470 Corp</t>
  </si>
  <si>
    <t>GLENCF17</t>
  </si>
  <si>
    <t>XS1513741311</t>
  </si>
  <si>
    <t>XS1513741311 Corp</t>
  </si>
  <si>
    <t>ALFARUPERP</t>
  </si>
  <si>
    <t>CH0384862568 Corp</t>
  </si>
  <si>
    <t>RU000A0JU609 Corp</t>
  </si>
  <si>
    <t>USP2253TJE03 Corp</t>
  </si>
  <si>
    <t>USG24422AA83 Corp</t>
  </si>
  <si>
    <t>XS1495632298 Corp</t>
  </si>
  <si>
    <t>XS0743596040</t>
  </si>
  <si>
    <t>XS0743596040 Corp</t>
  </si>
  <si>
    <t>SBER22</t>
  </si>
  <si>
    <t>RU000A0JXTF6 Corp</t>
  </si>
  <si>
    <t>XS1128996425 Corp</t>
  </si>
  <si>
    <t>RU000A0JRVN8 Corp</t>
  </si>
  <si>
    <t>RSHB15</t>
  </si>
  <si>
    <t>JK907252 Corp</t>
  </si>
  <si>
    <t>IKS5FINBO6</t>
  </si>
  <si>
    <t>XS0816374663</t>
  </si>
  <si>
    <t>XS0816374663 Corp</t>
  </si>
  <si>
    <t>KFW19</t>
  </si>
  <si>
    <t>XS0906949523 Corp</t>
  </si>
  <si>
    <t>RU000A0JWK74 Corp</t>
  </si>
  <si>
    <t>RU000A0JXU14 Corp</t>
  </si>
  <si>
    <t>US71645WAU53</t>
  </si>
  <si>
    <t>US71645WAU53 Corp</t>
  </si>
  <si>
    <t>PETBRA17</t>
  </si>
  <si>
    <t>EJ634925 Corp</t>
  </si>
  <si>
    <t>RU000A0JWCM0 Corp</t>
  </si>
  <si>
    <t>XS1631338495 Corp</t>
  </si>
  <si>
    <t>USA29866AA70 Corp</t>
  </si>
  <si>
    <t>RU000A0JWEB9 Corp</t>
  </si>
  <si>
    <t>XS1439838548 Corp</t>
  </si>
  <si>
    <t>USG2440JAE58</t>
  </si>
  <si>
    <t>USG2440JAE58 Corp</t>
  </si>
  <si>
    <t>GGBRBZ17</t>
  </si>
  <si>
    <t>XS1605089066 Corp</t>
  </si>
  <si>
    <t>RU000A0JWP46 Corp</t>
  </si>
  <si>
    <t>US25152RYE79 Corp</t>
  </si>
  <si>
    <t>XS1503116912 Corp</t>
  </si>
  <si>
    <t>XS0783291221</t>
  </si>
  <si>
    <t>XS0783291221 CBBT Corp</t>
  </si>
  <si>
    <t>GAZBK17</t>
  </si>
  <si>
    <t>US887317AT21 Corp</t>
  </si>
  <si>
    <t>RU000A0JW8E7 Corp</t>
  </si>
  <si>
    <t>XS1132375897</t>
  </si>
  <si>
    <t>XS1132375897 Corp</t>
  </si>
  <si>
    <t>CHIOIL20</t>
  </si>
  <si>
    <t>RU000A0JS1P4</t>
  </si>
  <si>
    <t>RU000A0JS1P4 Corp</t>
  </si>
  <si>
    <t>VTBRBO04</t>
  </si>
  <si>
    <t>RU000A0JP2S9 Corp</t>
  </si>
  <si>
    <t>RU000A0JS3W6 Corp</t>
  </si>
  <si>
    <t>XS0716979249</t>
  </si>
  <si>
    <t>XS0716979249 Corp</t>
  </si>
  <si>
    <t>PETBRA18E</t>
  </si>
  <si>
    <t>CH0344437550</t>
  </si>
  <si>
    <t>CH0344437550 Corp</t>
  </si>
  <si>
    <t>EFGIF_1117A</t>
  </si>
  <si>
    <t>US71645WAP68</t>
  </si>
  <si>
    <t>US71645WAP68 Corp</t>
  </si>
  <si>
    <t>PETBRA20</t>
  </si>
  <si>
    <t>XS1220249970 Corp</t>
  </si>
  <si>
    <t>XS1631530257 Corp</t>
  </si>
  <si>
    <t>XS0547082973 Corp</t>
  </si>
  <si>
    <t>XS0940730228 Corp</t>
  </si>
  <si>
    <t>XS0830192711 Corp</t>
  </si>
  <si>
    <t>RU000A0JXQ85 Corp</t>
  </si>
  <si>
    <t>US900123AL40 Corp</t>
  </si>
  <si>
    <t>RU000A0JT7T2 Corp</t>
  </si>
  <si>
    <t>FEES21</t>
  </si>
  <si>
    <t>RU000A0JX3A5 Corp</t>
  </si>
  <si>
    <t>RU000A0JXTS9 Corp</t>
  </si>
  <si>
    <t>JK610487 Corp</t>
  </si>
  <si>
    <t>USA57902AA51</t>
  </si>
  <si>
    <t>USA57902AA51 Corp</t>
  </si>
  <si>
    <t>OASCBZ19</t>
  </si>
  <si>
    <t>XS0982711714 Corp</t>
  </si>
  <si>
    <t>RU000A0JXHQ8 Corp</t>
  </si>
  <si>
    <t>GPBBO23</t>
  </si>
  <si>
    <t>RU000A0JU1V8 Corp</t>
  </si>
  <si>
    <t>XS1319813769 Corp</t>
  </si>
  <si>
    <t>RU000A0JP4W7</t>
  </si>
  <si>
    <t>RU000A0JP4W7 Corp</t>
  </si>
  <si>
    <t>MAGF02</t>
  </si>
  <si>
    <t>RU000A0JPLH5 Corp</t>
  </si>
  <si>
    <t>EURONAT19N</t>
  </si>
  <si>
    <t>RU000A0JXLR8 Corp</t>
  </si>
  <si>
    <t>XS0974469206</t>
  </si>
  <si>
    <t>XS0974469206 Corp</t>
  </si>
  <si>
    <t>BORFIN18</t>
  </si>
  <si>
    <t>XS0869792928</t>
  </si>
  <si>
    <t>XS0869792928 Corp</t>
  </si>
  <si>
    <t>RENOT18S</t>
  </si>
  <si>
    <t>XS0921331509 Corp</t>
  </si>
  <si>
    <t>RU000A0JU9V1 Corp</t>
  </si>
  <si>
    <t>XS1218432000</t>
  </si>
  <si>
    <t>XS1218432000 Corp</t>
  </si>
  <si>
    <t>GLENLN2.87</t>
  </si>
  <si>
    <t>CH0340808259</t>
  </si>
  <si>
    <t>CH0340808259 Corp</t>
  </si>
  <si>
    <t>EFGIF_0417</t>
  </si>
  <si>
    <t>US172967HM62 Corp</t>
  </si>
  <si>
    <t>XS0802648955</t>
  </si>
  <si>
    <t>XS0802648955 Corp</t>
  </si>
  <si>
    <t>RUSST17</t>
  </si>
  <si>
    <t>XS0779213460 Corp</t>
  </si>
  <si>
    <t>US779382AU43</t>
  </si>
  <si>
    <t>US779382AU43 Corp</t>
  </si>
  <si>
    <t>RDC25</t>
  </si>
  <si>
    <t>US961214CF89 Corp</t>
  </si>
  <si>
    <t>XS0365923977 Corp</t>
  </si>
  <si>
    <t>USP989MJBG51 Corp</t>
  </si>
  <si>
    <t>XS1449458915 Corp</t>
  </si>
  <si>
    <t>bcode</t>
  </si>
  <si>
    <t>acode</t>
  </si>
  <si>
    <t>PGUS</t>
  </si>
  <si>
    <t>PG US Equity</t>
  </si>
  <si>
    <t>US7427181091</t>
  </si>
  <si>
    <t>IBBUS</t>
  </si>
  <si>
    <t>IBB US Equity</t>
  </si>
  <si>
    <t>US4642875565</t>
  </si>
  <si>
    <t>ROG EB Equity</t>
  </si>
  <si>
    <t>INTCUS</t>
  </si>
  <si>
    <t>INTC US Equity</t>
  </si>
  <si>
    <t>US4581401001</t>
  </si>
  <si>
    <t>AAXJUS</t>
  </si>
  <si>
    <t>AAXJ US Equity</t>
  </si>
  <si>
    <t>US4642881829</t>
  </si>
  <si>
    <t>MRKV</t>
  </si>
  <si>
    <t>MRKV RX Equity</t>
  </si>
  <si>
    <t>ATCOASS</t>
  </si>
  <si>
    <t>ATCOA SS Equity</t>
  </si>
  <si>
    <t>SE0006886750</t>
  </si>
  <si>
    <t>ETPUS</t>
  </si>
  <si>
    <t>ETP US Equity</t>
  </si>
  <si>
    <t>US29273R1095</t>
  </si>
  <si>
    <t>PHAU LN Equity</t>
  </si>
  <si>
    <t>EEM US Equity</t>
  </si>
  <si>
    <t>TDNESG1 LN Equity</t>
  </si>
  <si>
    <t>PETMUS</t>
  </si>
  <si>
    <t>PETM US Equity</t>
  </si>
  <si>
    <t>US7167681060</t>
  </si>
  <si>
    <t>HEWGUS</t>
  </si>
  <si>
    <t>HEWG US Equity</t>
  </si>
  <si>
    <t>US46434V7047</t>
  </si>
  <si>
    <t>DIXY</t>
  </si>
  <si>
    <t>DIXY RX Equity</t>
  </si>
  <si>
    <t>DO US Equity</t>
  </si>
  <si>
    <t>RUR</t>
  </si>
  <si>
    <t>RUR RF</t>
  </si>
  <si>
    <t>NKNC RX Equity</t>
  </si>
  <si>
    <t>GLPR LI Equity</t>
  </si>
  <si>
    <t>LWEA LN Equity</t>
  </si>
  <si>
    <t>BISVP RX Equity</t>
  </si>
  <si>
    <t>URKLI</t>
  </si>
  <si>
    <t>URKA S1 Equity</t>
  </si>
  <si>
    <t>US91688E2063</t>
  </si>
  <si>
    <t>AFKS RX Equity</t>
  </si>
  <si>
    <t>WDC US Equity</t>
  </si>
  <si>
    <t>G1AGY</t>
  </si>
  <si>
    <t>G1A GY Equity</t>
  </si>
  <si>
    <t>DE0006602006</t>
  </si>
  <si>
    <t>FXIUS</t>
  </si>
  <si>
    <t>FXI US Equity</t>
  </si>
  <si>
    <t>US4642871846</t>
  </si>
  <si>
    <t>HYG US Equity</t>
  </si>
  <si>
    <t>TRGPUS</t>
  </si>
  <si>
    <t>TRGP US Equity</t>
  </si>
  <si>
    <t>US87612G1013</t>
  </si>
  <si>
    <t>RUBCASH</t>
  </si>
  <si>
    <t>RUB CASH</t>
  </si>
  <si>
    <t>ETLN LI Equity</t>
  </si>
  <si>
    <t>MSFT</t>
  </si>
  <si>
    <t>MSFT US Equity</t>
  </si>
  <si>
    <t>US5949181045</t>
  </si>
  <si>
    <t>YAHOO</t>
  </si>
  <si>
    <t>AABA US Equity</t>
  </si>
  <si>
    <t>US0213461017</t>
  </si>
  <si>
    <t>PHOR RX Equity</t>
  </si>
  <si>
    <t>VTBR-3.15</t>
  </si>
  <si>
    <t>VTBH15 Index</t>
  </si>
  <si>
    <t>HEDJ US Equity</t>
  </si>
  <si>
    <t>WHR US Equity</t>
  </si>
  <si>
    <t>MINTUS</t>
  </si>
  <si>
    <t>MINT US Equity</t>
  </si>
  <si>
    <t>US72201R8337</t>
  </si>
  <si>
    <t>TRMK RX Equity</t>
  </si>
  <si>
    <t>OGKE</t>
  </si>
  <si>
    <t>ENRU RX Equity</t>
  </si>
  <si>
    <t>TNBPP</t>
  </si>
  <si>
    <t>TNBPP Equty</t>
  </si>
  <si>
    <t>TNBPPISIN</t>
  </si>
  <si>
    <t>NVTK LI Equity</t>
  </si>
  <si>
    <t>PRU US Equity</t>
  </si>
  <si>
    <t>YNDX US Equity</t>
  </si>
  <si>
    <t>TEFSM</t>
  </si>
  <si>
    <t>TEF SM Equity</t>
  </si>
  <si>
    <t>ES0178430E18</t>
  </si>
  <si>
    <t>DXJUS</t>
  </si>
  <si>
    <t>DXJ US Equity</t>
  </si>
  <si>
    <t>US97717W8516</t>
  </si>
  <si>
    <t>VIPS US Equity</t>
  </si>
  <si>
    <t>RSEA</t>
  </si>
  <si>
    <t>AQUA RX Equity</t>
  </si>
  <si>
    <t>RTS-9.17/P U95000 ACU 21SEP17</t>
  </si>
  <si>
    <t>VEU7P 95000.00 Index</t>
  </si>
  <si>
    <t>MAILLI</t>
  </si>
  <si>
    <t>MAIL LI Equity</t>
  </si>
  <si>
    <t>US5603172082</t>
  </si>
  <si>
    <t>HMSG LI Equity</t>
  </si>
  <si>
    <t>VTBR-9.14</t>
  </si>
  <si>
    <t>VTBU14 Index</t>
  </si>
  <si>
    <t>DIVUS</t>
  </si>
  <si>
    <t>DIV US Equity</t>
  </si>
  <si>
    <t>US37950E2919</t>
  </si>
  <si>
    <t>EXI LN Equity</t>
  </si>
  <si>
    <t>RUALR</t>
  </si>
  <si>
    <t>CHF</t>
  </si>
  <si>
    <t>CHFRUB Curncy</t>
  </si>
  <si>
    <t>CHFRUB ISIN</t>
  </si>
  <si>
    <t>RUAL RX Equity</t>
  </si>
  <si>
    <t>SI-9.17</t>
  </si>
  <si>
    <t>SX7EEX GY Equity</t>
  </si>
  <si>
    <t>IRAO_OLD</t>
  </si>
  <si>
    <t>IRAO1 RX Equity</t>
  </si>
  <si>
    <t>RU000A0JPNM11</t>
  </si>
  <si>
    <t>MAUS</t>
  </si>
  <si>
    <t>MA US Equity</t>
  </si>
  <si>
    <t>US57636Q1040</t>
  </si>
  <si>
    <t>RTS-9.14</t>
  </si>
  <si>
    <t>VEU14 Index</t>
  </si>
  <si>
    <t>LNIKLN_OLD</t>
  </si>
  <si>
    <t>LNIKM B3 Equity</t>
  </si>
  <si>
    <t>JE00B2NFTR57</t>
  </si>
  <si>
    <t>ISFLN</t>
  </si>
  <si>
    <t>ISF LN Equity</t>
  </si>
  <si>
    <t>IE0005042456</t>
  </si>
  <si>
    <t>SDIVUS</t>
  </si>
  <si>
    <t>SDIV US Equity</t>
  </si>
  <si>
    <t>US37950E5490</t>
  </si>
  <si>
    <t>ZGLDHGSW</t>
  </si>
  <si>
    <t>ZGLDHG SW Equity</t>
  </si>
  <si>
    <t>CH0104493306</t>
  </si>
  <si>
    <t>SAPUS</t>
  </si>
  <si>
    <t>SAP US Equity</t>
  </si>
  <si>
    <t>US8030542042</t>
  </si>
  <si>
    <t>HEIANA</t>
  </si>
  <si>
    <t>HEIA NA Equity</t>
  </si>
  <si>
    <t>NL0000009165</t>
  </si>
  <si>
    <t>TEVA US Equity</t>
  </si>
  <si>
    <t>C US Equity</t>
  </si>
  <si>
    <t>ELUS</t>
  </si>
  <si>
    <t>EL US Equity</t>
  </si>
  <si>
    <t>US5184391044</t>
  </si>
  <si>
    <t>XLYUS</t>
  </si>
  <si>
    <t>XLY US Equity</t>
  </si>
  <si>
    <t>US81369Y4070</t>
  </si>
  <si>
    <t>BWYLN</t>
  </si>
  <si>
    <t>41B GR Equity</t>
  </si>
  <si>
    <t>GB0000904986</t>
  </si>
  <si>
    <t>MYL US Equity</t>
  </si>
  <si>
    <t>RSTIP RX Equity</t>
  </si>
  <si>
    <t>TATNP</t>
  </si>
  <si>
    <t>TATNP RX Equity</t>
  </si>
  <si>
    <t>RTS-3.17/P O110000 ACU 16MAR17</t>
  </si>
  <si>
    <t>VEH7P 110000 Index</t>
  </si>
  <si>
    <t>ESRX US Equity</t>
  </si>
  <si>
    <t>MCDUS</t>
  </si>
  <si>
    <t>MCD US Equity</t>
  </si>
  <si>
    <t>US5801351017</t>
  </si>
  <si>
    <t>RDWLN</t>
  </si>
  <si>
    <t>RDW IX Equity</t>
  </si>
  <si>
    <t>GB0007282386</t>
  </si>
  <si>
    <t>YUMUS</t>
  </si>
  <si>
    <t>YUM US Equity</t>
  </si>
  <si>
    <t>US9884981013</t>
  </si>
  <si>
    <t>IXJ US Equity</t>
  </si>
  <si>
    <t>MSNG RX Equity</t>
  </si>
  <si>
    <t>MHPC LI Equity</t>
  </si>
  <si>
    <t>MVID</t>
  </si>
  <si>
    <t>MVID RX Equity</t>
  </si>
  <si>
    <t>EUFN US Equity</t>
  </si>
  <si>
    <t>BSPB RX Equity</t>
  </si>
  <si>
    <t>RTS-9.17</t>
  </si>
  <si>
    <t>CCAP GR Equity</t>
  </si>
  <si>
    <t>QQQQUS</t>
  </si>
  <si>
    <t>QQQQ US Equity</t>
  </si>
  <si>
    <t>US73935A1043</t>
  </si>
  <si>
    <t>M US Equity</t>
  </si>
  <si>
    <t>BLNG</t>
  </si>
  <si>
    <t>BLNG RX Equity</t>
  </si>
  <si>
    <t>IEVUS</t>
  </si>
  <si>
    <t>IEV US Equity</t>
  </si>
  <si>
    <t>US4642878619</t>
  </si>
  <si>
    <t>LSRG LI Equity</t>
  </si>
  <si>
    <t>CELG US Equity</t>
  </si>
  <si>
    <t>XLKUS</t>
  </si>
  <si>
    <t>XLK US Equity</t>
  </si>
  <si>
    <t>US81369Y8030</t>
  </si>
  <si>
    <t>FBUS</t>
  </si>
  <si>
    <t>FB US Equity</t>
  </si>
  <si>
    <t>US30303M1027</t>
  </si>
  <si>
    <t>RSTI RX Equity</t>
  </si>
  <si>
    <t>KORSUS</t>
  </si>
  <si>
    <t>KORS US Equity</t>
  </si>
  <si>
    <t>VGG607541015</t>
  </si>
  <si>
    <t>URZ7 Curncy</t>
  </si>
  <si>
    <t>PHOR LI Equity</t>
  </si>
  <si>
    <t>EAUS</t>
  </si>
  <si>
    <t>EA US Equity</t>
  </si>
  <si>
    <t>US2855121099</t>
  </si>
  <si>
    <t>AOXGY</t>
  </si>
  <si>
    <t>AOX GY Equity</t>
  </si>
  <si>
    <t>DE000A0LD2U1</t>
  </si>
  <si>
    <t>ENDP US Equity</t>
  </si>
  <si>
    <t>NVSUS</t>
  </si>
  <si>
    <t>NVS US Equity</t>
  </si>
  <si>
    <t>US66987V1098</t>
  </si>
  <si>
    <t>CMCSA US Equity</t>
  </si>
  <si>
    <t>O2CGR</t>
  </si>
  <si>
    <t>O2C GY Equity</t>
  </si>
  <si>
    <t>AT0000A00Y78</t>
  </si>
  <si>
    <t>BP/ LN Equity</t>
  </si>
  <si>
    <t>ARUS</t>
  </si>
  <si>
    <t>AR US Equity</t>
  </si>
  <si>
    <t>US03674X1063</t>
  </si>
  <si>
    <t>EDCLLI</t>
  </si>
  <si>
    <t>EDCL LI Equity</t>
  </si>
  <si>
    <t>US29843U2024</t>
  </si>
  <si>
    <t>UKUZ</t>
  </si>
  <si>
    <t>UKUZ RX Equity</t>
  </si>
  <si>
    <t>MGNT RX Equity</t>
  </si>
  <si>
    <t>VFC US Equity</t>
  </si>
  <si>
    <t>PHAG LN Equity</t>
  </si>
  <si>
    <t>GOLD-9.17</t>
  </si>
  <si>
    <t>C3U7 Comdty</t>
  </si>
  <si>
    <t>AETUS</t>
  </si>
  <si>
    <t>AET US Equity</t>
  </si>
  <si>
    <t>US00817Y1082</t>
  </si>
  <si>
    <t>HTZUS</t>
  </si>
  <si>
    <t>HTZ US Equity</t>
  </si>
  <si>
    <t>US42806J1060</t>
  </si>
  <si>
    <t>CHMK</t>
  </si>
  <si>
    <t>CHMK RX Equity</t>
  </si>
  <si>
    <t>BANEP RX Equity</t>
  </si>
  <si>
    <t>OMEAUSA ID Equity</t>
  </si>
  <si>
    <t>UCBBB</t>
  </si>
  <si>
    <t>UCB BB Equity</t>
  </si>
  <si>
    <t>BE0003739530</t>
  </si>
  <si>
    <t>IOMLN</t>
  </si>
  <si>
    <t>IOM PZ Equity</t>
  </si>
  <si>
    <t>GB0004281639</t>
  </si>
  <si>
    <t>MNOD LI Equity</t>
  </si>
  <si>
    <t>IDTPLN</t>
  </si>
  <si>
    <t>IDTP LN Equity</t>
  </si>
  <si>
    <t>IE00B1FZSC47</t>
  </si>
  <si>
    <t>CAT</t>
  </si>
  <si>
    <t>CAT1 EB Equity</t>
  </si>
  <si>
    <t>US1491231015</t>
  </si>
  <si>
    <t>TGKJ RX Equity</t>
  </si>
  <si>
    <t>TURUS</t>
  </si>
  <si>
    <t>ISVZ GR Equity</t>
  </si>
  <si>
    <t>US4642867158</t>
  </si>
  <si>
    <t>MTLR</t>
  </si>
  <si>
    <t>MTLR RX Equity</t>
  </si>
  <si>
    <t>GBP</t>
  </si>
  <si>
    <t>GBP Curncy</t>
  </si>
  <si>
    <t>GBPRUB ISIN</t>
  </si>
  <si>
    <t>RUSLUS</t>
  </si>
  <si>
    <t>RUSL US Equity</t>
  </si>
  <si>
    <t>US25490K2731</t>
  </si>
  <si>
    <t>BR-5.17</t>
  </si>
  <si>
    <t>IESK RX Equity</t>
  </si>
  <si>
    <t>SSA LI Equity</t>
  </si>
  <si>
    <t>GOLD-12.17</t>
  </si>
  <si>
    <t>C3Z7 Comdty</t>
  </si>
  <si>
    <t>LSUGLN</t>
  </si>
  <si>
    <t>LSUGL S2 Equity</t>
  </si>
  <si>
    <t>JE00B2NFTW01</t>
  </si>
  <si>
    <t>SI-3.15</t>
  </si>
  <si>
    <t>URH15 Curncy</t>
  </si>
  <si>
    <t>RUSLUS_OLD</t>
  </si>
  <si>
    <t>DFF GR Equity</t>
  </si>
  <si>
    <t>US25459Y1405</t>
  </si>
  <si>
    <t>PCLNUS</t>
  </si>
  <si>
    <t>PCLN US Equity</t>
  </si>
  <si>
    <t>US7415034039</t>
  </si>
  <si>
    <t>SBER RX Equity</t>
  </si>
  <si>
    <t>LKOD LI Equity</t>
  </si>
  <si>
    <t>TRIP US Equity</t>
  </si>
  <si>
    <t>MCSLN</t>
  </si>
  <si>
    <t>GB00BYNVD082</t>
  </si>
  <si>
    <t>LWEALN_OLD</t>
  </si>
  <si>
    <t>LWEAL B3 Equity</t>
  </si>
  <si>
    <t>JE00B2NFTX18</t>
  </si>
  <si>
    <t>UBSUS</t>
  </si>
  <si>
    <t>UBRA TH Equity</t>
  </si>
  <si>
    <t>CH0024899483</t>
  </si>
  <si>
    <t>HENPA2U</t>
  </si>
  <si>
    <t>HENPA2U LX Equity</t>
  </si>
  <si>
    <t>LU0705775699</t>
  </si>
  <si>
    <t>BR-4.17</t>
  </si>
  <si>
    <t>CWDLN</t>
  </si>
  <si>
    <t>3CW GR Equity</t>
  </si>
  <si>
    <t>GB00B9NWP991</t>
  </si>
  <si>
    <t>AMZNUS</t>
  </si>
  <si>
    <t>AMZN US Equity</t>
  </si>
  <si>
    <t>US0231351067</t>
  </si>
  <si>
    <t>AMLP US Equity</t>
  </si>
  <si>
    <t>UCOUS_OLD</t>
  </si>
  <si>
    <t>UCO US Equity</t>
  </si>
  <si>
    <t>US74347W3209</t>
  </si>
  <si>
    <t>BATS LN Equity</t>
  </si>
  <si>
    <t>BKGLN</t>
  </si>
  <si>
    <t>42BA GR Equity</t>
  </si>
  <si>
    <t>GB00B02L3W35</t>
  </si>
  <si>
    <t>FOSL US Equity</t>
  </si>
  <si>
    <t>USDCASH</t>
  </si>
  <si>
    <t>USD CASH</t>
  </si>
  <si>
    <t>MBT</t>
  </si>
  <si>
    <t>MBT US Equity</t>
  </si>
  <si>
    <t>US6074091090</t>
  </si>
  <si>
    <t>NOK</t>
  </si>
  <si>
    <t>NOKRUB Curncy</t>
  </si>
  <si>
    <t>NOKRUB ISIN</t>
  </si>
  <si>
    <t>SBERP</t>
  </si>
  <si>
    <t>SBERP RX Equity</t>
  </si>
  <si>
    <t>HKD</t>
  </si>
  <si>
    <t>HKDRUB Curncy</t>
  </si>
  <si>
    <t>HKDRUB ISIN</t>
  </si>
  <si>
    <t>MGNTLI</t>
  </si>
  <si>
    <t>MGNT LI Equity</t>
  </si>
  <si>
    <t>US55953Q2021</t>
  </si>
  <si>
    <t>GLTR LI Equity</t>
  </si>
  <si>
    <t>LTAMLN</t>
  </si>
  <si>
    <t>LTAM LN Equity</t>
  </si>
  <si>
    <t>IE00B27YCK28</t>
  </si>
  <si>
    <t>AALLN</t>
  </si>
  <si>
    <t>AAL LN Equity</t>
  </si>
  <si>
    <t>GB00B1XZS820</t>
  </si>
  <si>
    <t>AMMO</t>
  </si>
  <si>
    <t>AMMO RU Equity</t>
  </si>
  <si>
    <t>RU0006571882</t>
  </si>
  <si>
    <t>SCGSAUALX</t>
  </si>
  <si>
    <t>SCGSAUA LX Equity</t>
  </si>
  <si>
    <t>LU0885727932</t>
  </si>
  <si>
    <t>STXUS</t>
  </si>
  <si>
    <t>STX US Equity</t>
  </si>
  <si>
    <t>IE00B58JVZ52</t>
  </si>
  <si>
    <t>BABAUS</t>
  </si>
  <si>
    <t>BABA US Equity</t>
  </si>
  <si>
    <t>US01609W1027</t>
  </si>
  <si>
    <t>KOGK</t>
  </si>
  <si>
    <t>KOGK RX Equity</t>
  </si>
  <si>
    <t>NSC US Equity</t>
  </si>
  <si>
    <t>FEES</t>
  </si>
  <si>
    <t>FEES RX Equity</t>
  </si>
  <si>
    <t>XLE US Equity</t>
  </si>
  <si>
    <t>UNHUS</t>
  </si>
  <si>
    <t>UNH US Equity</t>
  </si>
  <si>
    <t>US91324P1021</t>
  </si>
  <si>
    <t>ACNUS</t>
  </si>
  <si>
    <t>ACN US Equity</t>
  </si>
  <si>
    <t>IE00B4BNMY34</t>
  </si>
  <si>
    <t>NTAP US Equity</t>
  </si>
  <si>
    <t>DWIGAA2LX</t>
  </si>
  <si>
    <t>DWIGAA2 LX Equity</t>
  </si>
  <si>
    <t>LU0273164847</t>
  </si>
  <si>
    <t>B5Z7 Comdty</t>
  </si>
  <si>
    <t>SAPAG</t>
  </si>
  <si>
    <t>SAP GY Equity</t>
  </si>
  <si>
    <t>DE0007164600</t>
  </si>
  <si>
    <t>SI-3.17</t>
  </si>
  <si>
    <t>MO US Equity</t>
  </si>
  <si>
    <t>ANTMUS</t>
  </si>
  <si>
    <t>ANTM US Equity</t>
  </si>
  <si>
    <t>US0367521038</t>
  </si>
  <si>
    <t>SX7PEX GY Equity</t>
  </si>
  <si>
    <t>CSCO</t>
  </si>
  <si>
    <t>CSCO US Equity</t>
  </si>
  <si>
    <t>US17275R1023</t>
  </si>
  <si>
    <t>GSZFP</t>
  </si>
  <si>
    <t>GSZ FP Equity</t>
  </si>
  <si>
    <t>FR0010208488</t>
  </si>
  <si>
    <t>AD NA Equity</t>
  </si>
  <si>
    <t>GLD US Equity</t>
  </si>
  <si>
    <t>MMK LI Equity</t>
  </si>
  <si>
    <t>IRAO RX Equity</t>
  </si>
  <si>
    <t>SI-6.17/C F60000 ACR 15JUN17</t>
  </si>
  <si>
    <t>URM7C 60000 Curncy</t>
  </si>
  <si>
    <t>HRIUS</t>
  </si>
  <si>
    <t>HRI US Equity</t>
  </si>
  <si>
    <t>US42704L1044</t>
  </si>
  <si>
    <t>BAC US Equity</t>
  </si>
  <si>
    <t>RUB Curncy</t>
  </si>
  <si>
    <t>RUB RF</t>
  </si>
  <si>
    <t>OGKB RX Equity</t>
  </si>
  <si>
    <t>AMATUS</t>
  </si>
  <si>
    <t>AMAT US Equity</t>
  </si>
  <si>
    <t>US0382221051</t>
  </si>
  <si>
    <t>HENGLTILX</t>
  </si>
  <si>
    <t>HENGLTI LX Equity</t>
  </si>
  <si>
    <t>LU0070992663</t>
  </si>
  <si>
    <t>ROSN RX Equity</t>
  </si>
  <si>
    <t>TWLN</t>
  </si>
  <si>
    <t>TWW GR Equity</t>
  </si>
  <si>
    <t>GB0008782301</t>
  </si>
  <si>
    <t>CHMF RX Equity</t>
  </si>
  <si>
    <t>ERX US Equity</t>
  </si>
  <si>
    <t>SDEXGY</t>
  </si>
  <si>
    <t>SD3EEX GY Equity</t>
  </si>
  <si>
    <t>DE0002635281</t>
  </si>
  <si>
    <t>F US Equity</t>
  </si>
  <si>
    <t>VUS</t>
  </si>
  <si>
    <t>V US Equity</t>
  </si>
  <si>
    <t>US92826C8394</t>
  </si>
  <si>
    <t>PHPDLN</t>
  </si>
  <si>
    <t>PHPD LN Equity</t>
  </si>
  <si>
    <t>JE00B1VS3002</t>
  </si>
  <si>
    <t>OMEAEHA ID Equity</t>
  </si>
  <si>
    <t>VOW3GR</t>
  </si>
  <si>
    <t>VOW3 GY Equity</t>
  </si>
  <si>
    <t>DE0007664039</t>
  </si>
  <si>
    <t>SILV</t>
  </si>
  <si>
    <t>SILV RX Equity</t>
  </si>
  <si>
    <t>RU0009018469</t>
  </si>
  <si>
    <t>EONR</t>
  </si>
  <si>
    <t>UPRO RM Equity</t>
  </si>
  <si>
    <t>ES0113790226</t>
  </si>
  <si>
    <t>EPDUS</t>
  </si>
  <si>
    <t>EPD US Equity</t>
  </si>
  <si>
    <t>US2937921078</t>
  </si>
  <si>
    <t>ENRUS</t>
  </si>
  <si>
    <t>ENR US Equity</t>
  </si>
  <si>
    <t>US29266R1086</t>
  </si>
  <si>
    <t>MAGN RX Equity</t>
  </si>
  <si>
    <t>GAMCBEAID</t>
  </si>
  <si>
    <t>GAMCBEA ID Equity</t>
  </si>
  <si>
    <t>IE00B3Q8M574</t>
  </si>
  <si>
    <t>RTS-9.17/C I110000 ACU 21SEP17</t>
  </si>
  <si>
    <t>VEU7C 110000.00 Index</t>
  </si>
  <si>
    <t>UNANA</t>
  </si>
  <si>
    <t>UNA NA Equity</t>
  </si>
  <si>
    <t>NL0000009355</t>
  </si>
  <si>
    <t>SHYUS</t>
  </si>
  <si>
    <t>SHY US Equity</t>
  </si>
  <si>
    <t>US4642874576</t>
  </si>
  <si>
    <t>SGGD LI Equity</t>
  </si>
  <si>
    <t>TCS LI Equity</t>
  </si>
  <si>
    <t>MTSS RX Equity</t>
  </si>
  <si>
    <t>KPN NA Equity</t>
  </si>
  <si>
    <t>QIWI US Equity</t>
  </si>
  <si>
    <t>SI-6.17/C F59000 ACR 15JUN17</t>
  </si>
  <si>
    <t>URM7C 59000 Curncy</t>
  </si>
  <si>
    <t>ABBV US Equity</t>
  </si>
  <si>
    <t>SNGS RX Equity</t>
  </si>
  <si>
    <t>BR-8.17</t>
  </si>
  <si>
    <t>GTO NA Equity</t>
  </si>
  <si>
    <t>MRK US Equity</t>
  </si>
  <si>
    <t>PLZL RX Equity</t>
  </si>
  <si>
    <t>LKOH-6.17</t>
  </si>
  <si>
    <t>LKOH=M7 RU Equity</t>
  </si>
  <si>
    <t>RTS-12.17</t>
  </si>
  <si>
    <t>VEZ7 Index</t>
  </si>
  <si>
    <t>DBKGR</t>
  </si>
  <si>
    <t>DBK GY Equity</t>
  </si>
  <si>
    <t>DE0005140008</t>
  </si>
  <si>
    <t>MOEX RX Equity</t>
  </si>
  <si>
    <t>PFE US Equity</t>
  </si>
  <si>
    <t>WZGRFUS</t>
  </si>
  <si>
    <t>WZR CN Equity</t>
  </si>
  <si>
    <t>CA9600081009</t>
  </si>
  <si>
    <t>NORDLI</t>
  </si>
  <si>
    <t>NORD LI Equity</t>
  </si>
  <si>
    <t>US65557T2050</t>
  </si>
  <si>
    <t>BDEVLN</t>
  </si>
  <si>
    <t>BDEV LN Equity</t>
  </si>
  <si>
    <t>GB0000811801</t>
  </si>
  <si>
    <t>SNGSP RX Equity</t>
  </si>
  <si>
    <t>TMKS LI Equity</t>
  </si>
  <si>
    <t>AAPL US Equity</t>
  </si>
  <si>
    <t>INGA NA Equity</t>
  </si>
  <si>
    <t>VTBR RX Equity</t>
  </si>
  <si>
    <t>TUNG LN Equity</t>
  </si>
  <si>
    <t>OKSUS</t>
  </si>
  <si>
    <t>OKS US Equity</t>
  </si>
  <si>
    <t>US68268N1037</t>
  </si>
  <si>
    <t>KRFTUS</t>
  </si>
  <si>
    <t>KRFT US Equity</t>
  </si>
  <si>
    <t>US50076Q1067</t>
  </si>
  <si>
    <t>MIX-12.17</t>
  </si>
  <si>
    <t>XMCZ7 Index</t>
  </si>
  <si>
    <t>AVGO US Equity</t>
  </si>
  <si>
    <t>BR-10.17</t>
  </si>
  <si>
    <t>B5V7 Comdty</t>
  </si>
  <si>
    <t>SBRF-9.17</t>
  </si>
  <si>
    <t>UPRO RX Equity</t>
  </si>
  <si>
    <t>TUS</t>
  </si>
  <si>
    <t>T US Equity</t>
  </si>
  <si>
    <t>US00206R1023</t>
  </si>
  <si>
    <t>RTKM RX Equity</t>
  </si>
  <si>
    <t>SI-9.17/C I65000 ACR 21SEP17</t>
  </si>
  <si>
    <t>URU7C 65000.00 Curncy</t>
  </si>
  <si>
    <t>HOME</t>
  </si>
  <si>
    <t>HD US Equity</t>
  </si>
  <si>
    <t>US4370761029</t>
  </si>
  <si>
    <t>WPZ US Equity</t>
  </si>
  <si>
    <t>HENPEA2 LX Equity</t>
  </si>
  <si>
    <t>SEK</t>
  </si>
  <si>
    <t>SEKRUB Curncy</t>
  </si>
  <si>
    <t>SEKRUB ISIN</t>
  </si>
  <si>
    <t>EVR LN Equity</t>
  </si>
  <si>
    <t>AGN US Equity</t>
  </si>
  <si>
    <t>WLPUS</t>
  </si>
  <si>
    <t>WLP US Equity</t>
  </si>
  <si>
    <t>US94973V1070</t>
  </si>
  <si>
    <t>SISIOAALX</t>
  </si>
  <si>
    <t>SISIOAA LX Equity</t>
  </si>
  <si>
    <t>LU0959626531</t>
  </si>
  <si>
    <t>BIIB US Equity</t>
  </si>
  <si>
    <t>EMB US Equity</t>
  </si>
  <si>
    <t>LCFELN</t>
  </si>
  <si>
    <t>LCFE LN Equity</t>
  </si>
  <si>
    <t>JE00B2NFTD12</t>
  </si>
  <si>
    <t>SVSTLI</t>
  </si>
  <si>
    <t>SVST LI Equity</t>
  </si>
  <si>
    <t>US8181503025</t>
  </si>
  <si>
    <t>RADUS</t>
  </si>
  <si>
    <t>RAD US Equity</t>
  </si>
  <si>
    <t>US7677541044</t>
  </si>
  <si>
    <t>HYDR</t>
  </si>
  <si>
    <t>HYDR RX Equity</t>
  </si>
  <si>
    <t>RIO LN Equity</t>
  </si>
  <si>
    <t>BANE</t>
  </si>
  <si>
    <t>BANE RX Equity</t>
  </si>
  <si>
    <t>XLIUS</t>
  </si>
  <si>
    <t>XLI US Equity</t>
  </si>
  <si>
    <t>US81369Y7040</t>
  </si>
  <si>
    <t>SI-6.17/C F58000 ACR 15JUN17</t>
  </si>
  <si>
    <t>URM7C 58000 Curncy</t>
  </si>
  <si>
    <t>GE US Equity</t>
  </si>
  <si>
    <t>UUPUS</t>
  </si>
  <si>
    <t>UUP US Equity</t>
  </si>
  <si>
    <t>US73936D1072</t>
  </si>
  <si>
    <t>SVAV RX Equity</t>
  </si>
  <si>
    <t>BLK US Equity</t>
  </si>
  <si>
    <t>HMSGLI_OLD</t>
  </si>
  <si>
    <t>HMSGL PO Equity</t>
  </si>
  <si>
    <t>US40425X2099</t>
  </si>
  <si>
    <t>MDLZUS</t>
  </si>
  <si>
    <t>MDLZ US Equity</t>
  </si>
  <si>
    <t>US6092071058</t>
  </si>
  <si>
    <t>ESV US Equity</t>
  </si>
  <si>
    <t>AUSSNO</t>
  </si>
  <si>
    <t>AUSS NO Equity</t>
  </si>
  <si>
    <t>NO0010073489</t>
  </si>
  <si>
    <t>PMUS</t>
  </si>
  <si>
    <t>PM US Equity</t>
  </si>
  <si>
    <t>US7181721090</t>
  </si>
  <si>
    <t>AFLT RX Equity</t>
  </si>
  <si>
    <t>BR-7.17</t>
  </si>
  <si>
    <t>HHPA2AH LX Equity</t>
  </si>
  <si>
    <t>ORCL US Equity</t>
  </si>
  <si>
    <t>SLHNVX</t>
  </si>
  <si>
    <t>SLHN BQ Equity</t>
  </si>
  <si>
    <t>CH0014852781</t>
  </si>
  <si>
    <t>PPGPMBPLX</t>
  </si>
  <si>
    <t>PPGPMBP LX Equity</t>
  </si>
  <si>
    <t>LU0217139020</t>
  </si>
  <si>
    <t>CSX5 LN Equity</t>
  </si>
  <si>
    <t>SBNCD PO Equity</t>
  </si>
  <si>
    <t>DSKY RX Equity</t>
  </si>
  <si>
    <t>TBCBLI</t>
  </si>
  <si>
    <t>TBCB S1 Equity</t>
  </si>
  <si>
    <t>US87217U2087</t>
  </si>
  <si>
    <t>HTZUS_OLD</t>
  </si>
  <si>
    <t>H9B GR Equity</t>
  </si>
  <si>
    <t>US42805T1051</t>
  </si>
  <si>
    <t>COMRLES RX Equity</t>
  </si>
  <si>
    <t>MNSTUS</t>
  </si>
  <si>
    <t>MNST US Equity</t>
  </si>
  <si>
    <t>US6117401017</t>
  </si>
  <si>
    <t>USD Curncy</t>
  </si>
  <si>
    <t>GILD US Equity</t>
  </si>
  <si>
    <t>IPUS</t>
  </si>
  <si>
    <t>IP US Equity</t>
  </si>
  <si>
    <t>US4601461035</t>
  </si>
  <si>
    <t>EBAYUS</t>
  </si>
  <si>
    <t>EBAY US Equity</t>
  </si>
  <si>
    <t>US2786421030</t>
  </si>
  <si>
    <t>NOVN VX Equity</t>
  </si>
  <si>
    <t>ALBUS</t>
  </si>
  <si>
    <t>ALBUS Equity</t>
  </si>
  <si>
    <t>US0126531013</t>
  </si>
  <si>
    <t>EUR</t>
  </si>
  <si>
    <t>EURRUB Curncy</t>
  </si>
  <si>
    <t>EURRUB ISIN</t>
  </si>
  <si>
    <t>GDX US Equity</t>
  </si>
  <si>
    <t>WUS</t>
  </si>
  <si>
    <t>W US Equity</t>
  </si>
  <si>
    <t>US94419L1017</t>
  </si>
  <si>
    <t>BIVV US Equity</t>
  </si>
  <si>
    <t>BR-9.17</t>
  </si>
  <si>
    <t>BR-11.17</t>
  </si>
  <si>
    <t>B5X7 Comdty</t>
  </si>
  <si>
    <t>KMI US Equity</t>
  </si>
  <si>
    <t>MSTT</t>
  </si>
  <si>
    <t>MSTT RX Equity</t>
  </si>
  <si>
    <t>MIDDLN</t>
  </si>
  <si>
    <t>MIDD LN Equity</t>
  </si>
  <si>
    <t>IE00B00FV128</t>
  </si>
  <si>
    <t>NILSY_OLD2</t>
  </si>
  <si>
    <t>US46626D1081 Corp</t>
  </si>
  <si>
    <t>US46626D1081</t>
  </si>
  <si>
    <t>OGZD LI Equity</t>
  </si>
  <si>
    <t>AMSEGLAFP</t>
  </si>
  <si>
    <t>AMSEGLA FP Equity</t>
  </si>
  <si>
    <t>FR0010286013</t>
  </si>
  <si>
    <t>MFONLI</t>
  </si>
  <si>
    <t>MFON LI Equity</t>
  </si>
  <si>
    <t>US58517T2096</t>
  </si>
  <si>
    <t>BR-6.17</t>
  </si>
  <si>
    <t>LNIK LN Equity</t>
  </si>
  <si>
    <t>RTS-9.17/P T102500 ACU 17AUG17</t>
  </si>
  <si>
    <t>VEQ7P 102500.00 Index</t>
  </si>
  <si>
    <t>AUUSI SW Equity</t>
  </si>
  <si>
    <t>NLMKDR</t>
  </si>
  <si>
    <t>NLMK LI Equity</t>
  </si>
  <si>
    <t>US67011E2046</t>
  </si>
  <si>
    <t>FIVE LI Equity</t>
  </si>
  <si>
    <t>VIPUS</t>
  </si>
  <si>
    <t>VIP US Equity</t>
  </si>
  <si>
    <t>US92719A1060</t>
  </si>
  <si>
    <t>GAZ LI Equity</t>
  </si>
  <si>
    <t>MHGNO</t>
  </si>
  <si>
    <t>PND GR Equity</t>
  </si>
  <si>
    <t>NO0003054108</t>
  </si>
  <si>
    <t>PCGUS</t>
  </si>
  <si>
    <t>PCG US Equity</t>
  </si>
  <si>
    <t>US69331C1080</t>
  </si>
  <si>
    <t>OGKF</t>
  </si>
  <si>
    <t>OGK6 RX Equity</t>
  </si>
  <si>
    <t>RU000A0JNG63</t>
  </si>
  <si>
    <t>COMGEMK ID Equity</t>
  </si>
  <si>
    <t>GAMSCOU ID Equity</t>
  </si>
  <si>
    <t>APAUS</t>
  </si>
  <si>
    <t>APA US Equity</t>
  </si>
  <si>
    <t>US0374111054</t>
  </si>
  <si>
    <t>MON US Equity</t>
  </si>
  <si>
    <t>URKA RX Equity</t>
  </si>
  <si>
    <t>SNDKUS</t>
  </si>
  <si>
    <t>SNDK US Equity</t>
  </si>
  <si>
    <t>US80004C1018</t>
  </si>
  <si>
    <t>SMSNLI</t>
  </si>
  <si>
    <t>SMSN LI Equity</t>
  </si>
  <si>
    <t>US7960508882</t>
  </si>
  <si>
    <t>TATN RX Equity</t>
  </si>
  <si>
    <t>RDSA NA Equity</t>
  </si>
  <si>
    <t>CSSMI SW Equity</t>
  </si>
  <si>
    <t>NESNVX</t>
  </si>
  <si>
    <t>NESN SW Equity</t>
  </si>
  <si>
    <t>CH0038863350</t>
  </si>
  <si>
    <t>RHHBYUS</t>
  </si>
  <si>
    <t>RHHBY US Equity</t>
  </si>
  <si>
    <t>US7711951043</t>
  </si>
  <si>
    <t>HSBALN</t>
  </si>
  <si>
    <t>HSB TQ Equity</t>
  </si>
  <si>
    <t>GB0005405286</t>
  </si>
  <si>
    <t>IHYG LN Equity</t>
  </si>
  <si>
    <t>LQDUS</t>
  </si>
  <si>
    <t>LQD US Equity</t>
  </si>
  <si>
    <t>US4642872422</t>
  </si>
  <si>
    <t>JPMUS</t>
  </si>
  <si>
    <t>JPMN PO Equity</t>
  </si>
  <si>
    <t>US46625H1005</t>
  </si>
  <si>
    <t>KCEL LI Equity</t>
  </si>
  <si>
    <t>SPYUS</t>
  </si>
  <si>
    <t>SPY US Equity</t>
  </si>
  <si>
    <t>US78462F1030</t>
  </si>
  <si>
    <t>EWWUS</t>
  </si>
  <si>
    <t>ISVJ TH Equity</t>
  </si>
  <si>
    <t>US4642868222</t>
  </si>
  <si>
    <t>CNCR US Equity</t>
  </si>
  <si>
    <t>IWMUS</t>
  </si>
  <si>
    <t>IWM US Equity</t>
  </si>
  <si>
    <t>US4642876555</t>
  </si>
  <si>
    <t>EU-9.17</t>
  </si>
  <si>
    <t>RERU7 Curncy</t>
  </si>
  <si>
    <t>TNBP</t>
  </si>
  <si>
    <t>TNBP Equty</t>
  </si>
  <si>
    <t>TNBPISIN</t>
  </si>
  <si>
    <t>GM US Equity</t>
  </si>
  <si>
    <t>GMST</t>
  </si>
  <si>
    <t>GMST RU Equity</t>
  </si>
  <si>
    <t>RU000A0HNHD1</t>
  </si>
  <si>
    <t>GOOGLUS</t>
  </si>
  <si>
    <t>GOOGL US Equity</t>
  </si>
  <si>
    <t>US02079K3059</t>
  </si>
  <si>
    <t>GOOGLE</t>
  </si>
  <si>
    <t>8888000D US Equity</t>
  </si>
  <si>
    <t>US38259P5089</t>
  </si>
  <si>
    <t>GSK LN Equity</t>
  </si>
  <si>
    <t>HAL US Equity</t>
  </si>
  <si>
    <t>ZURN VX Equity</t>
  </si>
  <si>
    <t>EWJUS</t>
  </si>
  <si>
    <t>EWJ US Equity</t>
  </si>
  <si>
    <t>US4642868487</t>
  </si>
  <si>
    <t>EWZ</t>
  </si>
  <si>
    <t>EWZ US Equity</t>
  </si>
  <si>
    <t>US4642864007</t>
  </si>
  <si>
    <t>LUKOY_OLD</t>
  </si>
  <si>
    <t>US6778621044 Corp</t>
  </si>
  <si>
    <t>US6778621044</t>
  </si>
  <si>
    <t>XLFUS</t>
  </si>
  <si>
    <t>XLF US Equity</t>
  </si>
  <si>
    <t>US81369Y6059</t>
  </si>
  <si>
    <t>SI-9.17/C I62000 ACR 21SEP17</t>
  </si>
  <si>
    <t>URU7C 62000.00 Curncy</t>
  </si>
  <si>
    <t>DAI GY Equity</t>
  </si>
  <si>
    <t>CTSHUS</t>
  </si>
  <si>
    <t>CTSH US Equity</t>
  </si>
  <si>
    <t>US1924461023</t>
  </si>
  <si>
    <t>TBT US Equity</t>
  </si>
  <si>
    <t>HONUS</t>
  </si>
  <si>
    <t>HON US Equity</t>
  </si>
  <si>
    <t>US4385161066</t>
  </si>
  <si>
    <t>ROSN-6.17</t>
  </si>
  <si>
    <t>ROSM7 Index</t>
  </si>
  <si>
    <t>CTLUS</t>
  </si>
  <si>
    <t>CTL US Equity</t>
  </si>
  <si>
    <t>US1567001060</t>
  </si>
  <si>
    <t>IBMUS</t>
  </si>
  <si>
    <t>IBM LN Equity</t>
  </si>
  <si>
    <t>US4592001014</t>
  </si>
  <si>
    <t>TGKA RX Equity</t>
  </si>
  <si>
    <t>RASP</t>
  </si>
  <si>
    <t>RASP RX Equity</t>
  </si>
  <si>
    <t>NLMK RX Equity</t>
  </si>
  <si>
    <t>SI-6.17</t>
  </si>
  <si>
    <t>PRTK RX Equity</t>
  </si>
  <si>
    <t>Amount</t>
  </si>
  <si>
    <t>Amount Currency</t>
  </si>
  <si>
    <t>Amount, USD</t>
  </si>
  <si>
    <t>Amount, RUR</t>
  </si>
  <si>
    <t>DADGF</t>
  </si>
  <si>
    <t>EMIQF1</t>
  </si>
  <si>
    <t>CAD</t>
  </si>
  <si>
    <t>VADAF</t>
  </si>
  <si>
    <t>VAESF</t>
  </si>
  <si>
    <t>XFEQF</t>
  </si>
  <si>
    <t>XGAQF1</t>
  </si>
  <si>
    <t>Дата экспирации</t>
  </si>
  <si>
    <t>AAOKF</t>
  </si>
  <si>
    <t>DEBLN21G</t>
  </si>
  <si>
    <t>XS1081972850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</si>
</sst>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"/>
    <numFmt numFmtId="165" formatCode="#,##0.00_);\(#,##0.00\);\–_);&quot;–&quot;_)"/>
    <numFmt numFmtId="166" formatCode="_-* #,##0.00_р_-;\-* #,##0.00_р_-;_-* &quot;-&quot;??_р_-;_-@_-"/>
    <numFmt numFmtId="167" formatCode="0.000000000%"/>
    <numFmt numFmtId="168" formatCode="dd\.mm\.yyyy"/>
    <numFmt numFmtId="169" formatCode="#\ ###\ ###\ ###\ ###\ ##0;[Red]\(#\ ###\ ###\ ###\ ##0\);0"/>
  </numFmts>
  <fonts count="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0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rgb="FF00B050"/>
      <name val="arial"/>
      <family val="2"/>
      <charset val="204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04"/>
    </font>
    <font>
      <b/>
      <sz val="9"/>
      <color rgb="FFFFFFFF"/>
      <name val="Arial"/>
      <family val="2"/>
      <charset val="204"/>
    </font>
    <font>
      <sz val="9"/>
      <color rgb="FF333333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sz val="9"/>
      <color rgb="FFFF0000"/>
      <name val="Arial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rgb="FFF8FBFC"/>
        <bgColor rgb="FFFFFFFF"/>
      </patternFill>
    </fill>
    <fill>
      <patternFill patternType="solid">
        <fgColor rgb="FFFFFFFF"/>
        <bgColor rgb="FFFFFFFF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65">
    <xf numFmtId="0" fontId="0" fillId="0" borderId="0"/>
    <xf numFmtId="9" fontId="1" fillId="0" borderId="0" applyFont="0" applyFill="0" applyBorder="0" applyAlignment="0" applyProtection="0"/>
    <xf numFmtId="0" fontId="2" fillId="15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166" fontId="7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9" fontId="7" fillId="0" borderId="0" applyFont="0" applyFill="0" applyBorder="0" applyAlignment="0" applyProtection="0"/>
    <xf numFmtId="0" fontId="11" fillId="0" borderId="0"/>
    <xf numFmtId="0" fontId="7" fillId="3" borderId="0" applyNumberFormat="0" applyBorder="0" applyAlignment="0" applyProtection="0"/>
    <xf numFmtId="0" fontId="7" fillId="5" borderId="0" applyNumberFormat="0" applyBorder="0" applyAlignment="0" applyProtection="0"/>
    <xf numFmtId="0" fontId="7" fillId="7" borderId="0" applyNumberFormat="0" applyBorder="0" applyAlignment="0" applyProtection="0"/>
    <xf numFmtId="0" fontId="7" fillId="9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29" fillId="27" borderId="0" applyNumberFormat="0" applyBorder="0" applyAlignment="0" applyProtection="0"/>
    <xf numFmtId="0" fontId="29" fillId="29" borderId="0" applyNumberFormat="0" applyBorder="0" applyAlignment="0" applyProtection="0"/>
    <xf numFmtId="0" fontId="29" fillId="31" borderId="0" applyNumberFormat="0" applyBorder="0" applyAlignment="0" applyProtection="0"/>
    <xf numFmtId="0" fontId="29" fillId="33" borderId="0" applyNumberFormat="0" applyBorder="0" applyAlignment="0" applyProtection="0"/>
    <xf numFmtId="0" fontId="29" fillId="35" borderId="0" applyNumberFormat="0" applyBorder="0" applyAlignment="0" applyProtection="0"/>
    <xf numFmtId="0" fontId="29" fillId="37" borderId="0" applyNumberFormat="0" applyBorder="0" applyAlignment="0" applyProtection="0"/>
    <xf numFmtId="0" fontId="29" fillId="26" borderId="0" applyNumberFormat="0" applyBorder="0" applyAlignment="0" applyProtection="0"/>
    <xf numFmtId="0" fontId="29" fillId="28" borderId="0" applyNumberFormat="0" applyBorder="0" applyAlignment="0" applyProtection="0"/>
    <xf numFmtId="0" fontId="29" fillId="30" borderId="0" applyNumberFormat="0" applyBorder="0" applyAlignment="0" applyProtection="0"/>
    <xf numFmtId="0" fontId="29" fillId="32" borderId="0" applyNumberFormat="0" applyBorder="0" applyAlignment="0" applyProtection="0"/>
    <xf numFmtId="0" fontId="29" fillId="34" borderId="0" applyNumberFormat="0" applyBorder="0" applyAlignment="0" applyProtection="0"/>
    <xf numFmtId="0" fontId="29" fillId="36" borderId="0" applyNumberFormat="0" applyBorder="0" applyAlignment="0" applyProtection="0"/>
    <xf numFmtId="0" fontId="20" fillId="21" borderId="0" applyNumberFormat="0" applyBorder="0" applyAlignment="0" applyProtection="0"/>
    <xf numFmtId="0" fontId="24" fillId="24" borderId="8" applyNumberFormat="0" applyAlignment="0" applyProtection="0"/>
    <xf numFmtId="0" fontId="26" fillId="25" borderId="11" applyNumberFormat="0" applyAlignment="0" applyProtection="0"/>
    <xf numFmtId="0" fontId="28" fillId="0" borderId="0" applyNumberFormat="0" applyFill="0" applyBorder="0" applyAlignment="0" applyProtection="0"/>
    <xf numFmtId="0" fontId="19" fillId="20" borderId="0" applyNumberFormat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22" fillId="23" borderId="8" applyNumberFormat="0" applyAlignment="0" applyProtection="0"/>
    <xf numFmtId="0" fontId="25" fillId="0" borderId="10" applyNumberFormat="0" applyFill="0" applyAlignment="0" applyProtection="0"/>
    <xf numFmtId="0" fontId="21" fillId="22" borderId="0" applyNumberFormat="0" applyBorder="0" applyAlignment="0" applyProtection="0"/>
    <xf numFmtId="0" fontId="7" fillId="2" borderId="1" applyNumberFormat="0" applyFont="0" applyAlignment="0" applyProtection="0"/>
    <xf numFmtId="0" fontId="23" fillId="24" borderId="9" applyNumberFormat="0" applyAlignment="0" applyProtection="0"/>
    <xf numFmtId="0" fontId="15" fillId="0" borderId="0" applyNumberFormat="0" applyFill="0" applyBorder="0" applyAlignment="0" applyProtection="0"/>
    <xf numFmtId="0" fontId="13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34" fillId="0" borderId="0"/>
  </cellStyleXfs>
  <cellXfs count="96">
    <xf numFmtId="0" fontId="0" fillId="0" borderId="0" xfId="0"/>
    <xf numFmtId="0" fontId="0" fillId="0" borderId="0" xfId="0" quotePrefix="1"/>
    <xf numFmtId="0" fontId="11" fillId="0" borderId="0" xfId="22"/>
    <xf numFmtId="0" fontId="11" fillId="0" borderId="0" xfId="22"/>
    <xf numFmtId="0" fontId="4" fillId="39" borderId="0" xfId="3" applyFill="1"/>
    <xf numFmtId="0" fontId="0" fillId="0" borderId="0" xfId="0"/>
    <xf numFmtId="0" fontId="3" fillId="16" borderId="0" xfId="2" applyNumberFormat="1" applyFont="1" applyFill="1" applyBorder="1" applyAlignment="1" applyProtection="1">
      <alignment horizontal="center" vertical="center"/>
    </xf>
    <xf numFmtId="0" fontId="3" fillId="16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/>
    </xf>
    <xf numFmtId="0" fontId="4" fillId="0" borderId="0" xfId="3" applyAlignment="1">
      <alignment horizontal="center" vertical="center"/>
    </xf>
    <xf numFmtId="0" fontId="5" fillId="18" borderId="0" xfId="3" applyFont="1" applyFill="1" applyBorder="1"/>
    <xf numFmtId="10" fontId="4" fillId="18" borderId="0" xfId="4" applyNumberFormat="1" applyFont="1" applyFill="1" applyBorder="1"/>
    <xf numFmtId="164" fontId="5" fillId="18" borderId="0" xfId="3" applyNumberFormat="1" applyFont="1" applyFill="1" applyBorder="1"/>
    <xf numFmtId="4" fontId="4" fillId="18" borderId="0" xfId="3" applyNumberFormat="1" applyFont="1" applyFill="1" applyBorder="1"/>
    <xf numFmtId="10" fontId="4" fillId="18" borderId="0" xfId="1" applyNumberFormat="1" applyFont="1" applyFill="1" applyBorder="1"/>
    <xf numFmtId="0" fontId="4" fillId="18" borderId="0" xfId="3" applyFill="1" applyBorder="1" applyAlignment="1">
      <alignment horizontal="left" indent="1"/>
    </xf>
    <xf numFmtId="0" fontId="4" fillId="18" borderId="0" xfId="3" applyFill="1"/>
    <xf numFmtId="0" fontId="5" fillId="19" borderId="0" xfId="3" applyFont="1" applyFill="1" applyBorder="1"/>
    <xf numFmtId="10" fontId="5" fillId="19" borderId="0" xfId="1" applyNumberFormat="1" applyFont="1" applyFill="1" applyBorder="1"/>
    <xf numFmtId="3" fontId="4" fillId="19" borderId="0" xfId="3" applyNumberFormat="1" applyFont="1" applyFill="1" applyBorder="1"/>
    <xf numFmtId="4" fontId="5" fillId="19" borderId="0" xfId="3" applyNumberFormat="1" applyFont="1" applyFill="1" applyBorder="1"/>
    <xf numFmtId="165" fontId="5" fillId="19" borderId="0" xfId="3" applyNumberFormat="1" applyFont="1" applyFill="1" applyBorder="1"/>
    <xf numFmtId="0" fontId="4" fillId="19" borderId="0" xfId="3" applyFill="1" applyBorder="1" applyAlignment="1">
      <alignment horizontal="left" indent="1"/>
    </xf>
    <xf numFmtId="10" fontId="4" fillId="19" borderId="0" xfId="4" applyNumberFormat="1" applyFont="1" applyFill="1" applyBorder="1"/>
    <xf numFmtId="3" fontId="4" fillId="19" borderId="0" xfId="3" applyNumberFormat="1" applyFill="1" applyBorder="1"/>
    <xf numFmtId="3" fontId="8" fillId="19" borderId="0" xfId="3" applyNumberFormat="1" applyFont="1" applyFill="1" applyBorder="1"/>
    <xf numFmtId="3" fontId="6" fillId="19" borderId="0" xfId="3" applyNumberFormat="1" applyFont="1" applyFill="1" applyBorder="1"/>
    <xf numFmtId="0" fontId="4" fillId="0" borderId="0" xfId="3"/>
    <xf numFmtId="0" fontId="4" fillId="0" borderId="2" xfId="3" applyFont="1" applyBorder="1"/>
    <xf numFmtId="10" fontId="5" fillId="0" borderId="2" xfId="4" applyNumberFormat="1" applyFont="1" applyBorder="1"/>
    <xf numFmtId="3" fontId="9" fillId="0" borderId="2" xfId="3" applyNumberFormat="1" applyFont="1" applyBorder="1"/>
    <xf numFmtId="10" fontId="4" fillId="0" borderId="2" xfId="1" applyNumberFormat="1" applyFont="1" applyBorder="1"/>
    <xf numFmtId="3" fontId="5" fillId="0" borderId="2" xfId="3" applyNumberFormat="1" applyFont="1" applyFill="1" applyBorder="1"/>
    <xf numFmtId="0" fontId="4" fillId="0" borderId="0" xfId="3" applyFont="1" applyBorder="1"/>
    <xf numFmtId="10" fontId="5" fillId="0" borderId="0" xfId="4" applyNumberFormat="1" applyFont="1" applyBorder="1"/>
    <xf numFmtId="3" fontId="4" fillId="0" borderId="0" xfId="3" applyNumberFormat="1" applyFont="1" applyFill="1" applyBorder="1"/>
    <xf numFmtId="3" fontId="10" fillId="0" borderId="0" xfId="3" applyNumberFormat="1" applyFont="1" applyFill="1" applyBorder="1"/>
    <xf numFmtId="3" fontId="6" fillId="0" borderId="0" xfId="3" applyNumberFormat="1" applyFont="1" applyFill="1" applyBorder="1"/>
    <xf numFmtId="9" fontId="9" fillId="0" borderId="0" xfId="1" applyNumberFormat="1" applyFont="1" applyFill="1" applyBorder="1"/>
    <xf numFmtId="3" fontId="0" fillId="0" borderId="0" xfId="0" applyNumberFormat="1"/>
    <xf numFmtId="4" fontId="6" fillId="18" borderId="0" xfId="1" applyNumberFormat="1" applyFont="1" applyFill="1" applyBorder="1"/>
    <xf numFmtId="3" fontId="4" fillId="0" borderId="0" xfId="3" applyNumberFormat="1"/>
    <xf numFmtId="0" fontId="12" fillId="18" borderId="0" xfId="3" applyFont="1" applyFill="1" applyBorder="1"/>
    <xf numFmtId="0" fontId="4" fillId="0" borderId="0" xfId="3" applyAlignment="1">
      <alignment horizontal="center"/>
    </xf>
    <xf numFmtId="3" fontId="13" fillId="0" borderId="0" xfId="0" applyNumberFormat="1" applyFont="1"/>
    <xf numFmtId="167" fontId="14" fillId="0" borderId="0" xfId="1" applyNumberFormat="1" applyFont="1" applyAlignment="1">
      <alignment horizontal="center"/>
    </xf>
    <xf numFmtId="3" fontId="14" fillId="0" borderId="0" xfId="1" applyNumberFormat="1" applyFont="1" applyAlignment="1">
      <alignment horizontal="center"/>
    </xf>
    <xf numFmtId="10" fontId="4" fillId="0" borderId="0" xfId="1" applyNumberFormat="1" applyFont="1"/>
    <xf numFmtId="9" fontId="4" fillId="0" borderId="0" xfId="1" applyFont="1"/>
    <xf numFmtId="10" fontId="5" fillId="18" borderId="0" xfId="4" applyNumberFormat="1" applyFont="1" applyFill="1" applyBorder="1"/>
    <xf numFmtId="4" fontId="5" fillId="18" borderId="0" xfId="3" applyNumberFormat="1" applyFont="1" applyFill="1" applyBorder="1"/>
    <xf numFmtId="0" fontId="7" fillId="0" borderId="0" xfId="5"/>
    <xf numFmtId="4" fontId="0" fillId="0" borderId="0" xfId="0" applyNumberFormat="1"/>
    <xf numFmtId="0" fontId="30" fillId="18" borderId="0" xfId="3" applyFont="1" applyFill="1" applyAlignment="1">
      <alignment horizontal="right"/>
    </xf>
    <xf numFmtId="0" fontId="30" fillId="18" borderId="0" xfId="3" applyFont="1" applyFill="1"/>
    <xf numFmtId="0" fontId="4" fillId="0" borderId="3" xfId="3" applyBorder="1" applyAlignment="1">
      <alignment horizontal="centerContinuous" vertical="center"/>
    </xf>
    <xf numFmtId="0" fontId="4" fillId="0" borderId="13" xfId="3" applyBorder="1" applyAlignment="1">
      <alignment horizontal="centerContinuous" vertical="center"/>
    </xf>
    <xf numFmtId="0" fontId="4" fillId="0" borderId="4" xfId="3" applyBorder="1" applyAlignment="1">
      <alignment horizontal="centerContinuous" vertical="center"/>
    </xf>
    <xf numFmtId="0" fontId="4" fillId="0" borderId="14" xfId="3" applyBorder="1" applyAlignment="1">
      <alignment horizontal="center"/>
    </xf>
    <xf numFmtId="0" fontId="4" fillId="0" borderId="15" xfId="3" applyBorder="1"/>
    <xf numFmtId="0" fontId="14" fillId="0" borderId="2" xfId="3" applyFont="1" applyBorder="1"/>
    <xf numFmtId="0" fontId="4" fillId="38" borderId="0" xfId="3" applyFill="1"/>
    <xf numFmtId="0" fontId="12" fillId="38" borderId="0" xfId="3" applyFont="1" applyFill="1" applyBorder="1"/>
    <xf numFmtId="0" fontId="0" fillId="38" borderId="0" xfId="0" applyFill="1"/>
    <xf numFmtId="10" fontId="4" fillId="38" borderId="0" xfId="4" applyNumberFormat="1" applyFont="1" applyFill="1" applyBorder="1"/>
    <xf numFmtId="3" fontId="0" fillId="38" borderId="0" xfId="0" applyNumberFormat="1" applyFill="1"/>
    <xf numFmtId="4" fontId="0" fillId="38" borderId="0" xfId="0" applyNumberFormat="1" applyFill="1"/>
    <xf numFmtId="4" fontId="5" fillId="38" borderId="0" xfId="3" applyNumberFormat="1" applyFont="1" applyFill="1" applyBorder="1"/>
    <xf numFmtId="4" fontId="4" fillId="38" borderId="0" xfId="3" applyNumberFormat="1" applyFont="1" applyFill="1" applyBorder="1"/>
    <xf numFmtId="0" fontId="4" fillId="38" borderId="0" xfId="3" applyFill="1" applyBorder="1" applyAlignment="1">
      <alignment horizontal="left" indent="1"/>
    </xf>
    <xf numFmtId="4" fontId="6" fillId="38" borderId="0" xfId="1" applyNumberFormat="1" applyFont="1" applyFill="1" applyBorder="1"/>
    <xf numFmtId="0" fontId="30" fillId="38" borderId="0" xfId="3" applyFont="1" applyFill="1" applyAlignment="1">
      <alignment horizontal="right"/>
    </xf>
    <xf numFmtId="0" fontId="30" fillId="38" borderId="0" xfId="3" applyFont="1" applyFill="1"/>
    <xf numFmtId="3" fontId="4" fillId="18" borderId="0" xfId="3" applyNumberFormat="1" applyFont="1" applyFill="1" applyBorder="1"/>
    <xf numFmtId="49" fontId="32" fillId="40" borderId="16" xfId="0" applyNumberFormat="1" applyFont="1" applyFill="1" applyBorder="1" applyAlignment="1">
      <alignment horizontal="left"/>
    </xf>
    <xf numFmtId="168" fontId="33" fillId="41" borderId="17" xfId="0" applyNumberFormat="1" applyFont="1" applyFill="1" applyBorder="1" applyAlignment="1">
      <alignment horizontal="left"/>
    </xf>
    <xf numFmtId="49" fontId="33" fillId="41" borderId="17" xfId="0" applyNumberFormat="1" applyFont="1" applyFill="1" applyBorder="1" applyAlignment="1">
      <alignment horizontal="left"/>
    </xf>
    <xf numFmtId="0" fontId="33" fillId="41" borderId="17" xfId="0" applyFont="1" applyFill="1" applyBorder="1" applyAlignment="1">
      <alignment horizontal="right"/>
    </xf>
    <xf numFmtId="168" fontId="33" fillId="42" borderId="17" xfId="0" applyNumberFormat="1" applyFont="1" applyFill="1" applyBorder="1" applyAlignment="1">
      <alignment horizontal="left"/>
    </xf>
    <xf numFmtId="49" fontId="33" fillId="42" borderId="17" xfId="0" applyNumberFormat="1" applyFont="1" applyFill="1" applyBorder="1" applyAlignment="1">
      <alignment horizontal="left"/>
    </xf>
    <xf numFmtId="0" fontId="33" fillId="42" borderId="17" xfId="0" applyFont="1" applyFill="1" applyBorder="1" applyAlignment="1">
      <alignment horizontal="right"/>
    </xf>
    <xf numFmtId="0" fontId="33" fillId="42" borderId="0" xfId="0" applyFont="1" applyFill="1" applyAlignment="1">
      <alignment horizontal="left"/>
    </xf>
    <xf numFmtId="49" fontId="32" fillId="40" borderId="16" xfId="64" applyNumberFormat="1" applyFont="1" applyFill="1" applyBorder="1" applyAlignment="1">
      <alignment horizontal="left"/>
    </xf>
    <xf numFmtId="0" fontId="33" fillId="42" borderId="0" xfId="64" applyFont="1" applyFill="1" applyAlignment="1">
      <alignment horizontal="left"/>
    </xf>
    <xf numFmtId="49" fontId="33" fillId="41" borderId="17" xfId="64" applyNumberFormat="1" applyFont="1" applyFill="1" applyBorder="1" applyAlignment="1">
      <alignment horizontal="left"/>
    </xf>
    <xf numFmtId="49" fontId="33" fillId="42" borderId="17" xfId="64" applyNumberFormat="1" applyFont="1" applyFill="1" applyBorder="1" applyAlignment="1">
      <alignment horizontal="left"/>
    </xf>
    <xf numFmtId="0" fontId="34" fillId="0" borderId="0" xfId="64"/>
    <xf numFmtId="0" fontId="36" fillId="0" borderId="0" xfId="0" applyFont="1"/>
    <xf numFmtId="0" fontId="35" fillId="0" borderId="0" xfId="0" applyFont="1"/>
    <xf numFmtId="168" fontId="33" fillId="41" borderId="17" xfId="64" applyNumberFormat="1" applyFont="1" applyFill="1" applyBorder="1" applyAlignment="1">
      <alignment horizontal="left"/>
    </xf>
    <xf numFmtId="169" fontId="33" fillId="41" borderId="17" xfId="64" applyNumberFormat="1" applyFont="1" applyFill="1" applyBorder="1" applyAlignment="1">
      <alignment horizontal="right"/>
    </xf>
    <xf numFmtId="168" fontId="33" fillId="42" borderId="17" xfId="64" applyNumberFormat="1" applyFont="1" applyFill="1" applyBorder="1" applyAlignment="1">
      <alignment horizontal="left"/>
    </xf>
    <xf numFmtId="169" fontId="33" fillId="42" borderId="17" xfId="64" applyNumberFormat="1" applyFont="1" applyFill="1" applyBorder="1" applyAlignment="1">
      <alignment horizontal="right"/>
    </xf>
    <xf numFmtId="169" fontId="37" fillId="42" borderId="17" xfId="64" applyNumberFormat="1" applyFont="1" applyFill="1" applyBorder="1" applyAlignment="1">
      <alignment horizontal="right"/>
    </xf>
    <xf numFmtId="169" fontId="37" fillId="41" borderId="17" xfId="64" applyNumberFormat="1" applyFont="1" applyFill="1" applyBorder="1" applyAlignment="1">
      <alignment horizontal="right"/>
    </xf>
  </cellXfs>
  <cellStyles count="65">
    <cellStyle name="20% - Accent1 2" xfId="6"/>
    <cellStyle name="20% - Accent1 3" xfId="23"/>
    <cellStyle name="20% - Accent2 2" xfId="7"/>
    <cellStyle name="20% - Accent2 3" xfId="24"/>
    <cellStyle name="20% - Accent3 2" xfId="8"/>
    <cellStyle name="20% - Accent3 3" xfId="25"/>
    <cellStyle name="20% - Accent4 2" xfId="9"/>
    <cellStyle name="20% - Accent4 3" xfId="26"/>
    <cellStyle name="20% - Accent5 2" xfId="10"/>
    <cellStyle name="20% - Accent5 3" xfId="27"/>
    <cellStyle name="20% - Accent6 2" xfId="11"/>
    <cellStyle name="20% - Accent6 3" xfId="28"/>
    <cellStyle name="40% - Accent1 2" xfId="12"/>
    <cellStyle name="40% - Accent1 3" xfId="29"/>
    <cellStyle name="40% - Accent2 2" xfId="13"/>
    <cellStyle name="40% - Accent2 3" xfId="30"/>
    <cellStyle name="40% - Accent3 2" xfId="14"/>
    <cellStyle name="40% - Accent3 3" xfId="31"/>
    <cellStyle name="40% - Accent4 2" xfId="15"/>
    <cellStyle name="40% - Accent4 3" xfId="32"/>
    <cellStyle name="40% - Accent5 2" xfId="16"/>
    <cellStyle name="40% - Accent5 3" xfId="33"/>
    <cellStyle name="40% - Accent6 2" xfId="17"/>
    <cellStyle name="40% - Accent6 3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Bad 2" xfId="47"/>
    <cellStyle name="blp_column_header" xfId="2"/>
    <cellStyle name="Calculation 2" xfId="48"/>
    <cellStyle name="Check Cell 2" xfId="49"/>
    <cellStyle name="Comma 2" xfId="18"/>
    <cellStyle name="Explanatory Text 2" xfId="50"/>
    <cellStyle name="Good 2" xfId="51"/>
    <cellStyle name="Heading 1 2" xfId="52"/>
    <cellStyle name="Heading 2 2" xfId="53"/>
    <cellStyle name="Heading 3 2" xfId="54"/>
    <cellStyle name="Heading 4 2" xfId="55"/>
    <cellStyle name="Input 2" xfId="56"/>
    <cellStyle name="Linked Cell 2" xfId="57"/>
    <cellStyle name="Neutral 2" xfId="58"/>
    <cellStyle name="Normal" xfId="0" builtinId="0"/>
    <cellStyle name="Normal 2" xfId="3"/>
    <cellStyle name="Normal 3" xfId="19"/>
    <cellStyle name="Normal 4" xfId="5"/>
    <cellStyle name="Normal 5" xfId="22"/>
    <cellStyle name="Normal 6" xfId="64"/>
    <cellStyle name="Note 2" xfId="20"/>
    <cellStyle name="Note 3" xfId="59"/>
    <cellStyle name="Output 2" xfId="60"/>
    <cellStyle name="Percent" xfId="1" builtinId="5"/>
    <cellStyle name="Percent 2" xfId="4"/>
    <cellStyle name="Percent 3" xfId="21"/>
    <cellStyle name="Title 2" xfId="61"/>
    <cellStyle name="Total 2" xfId="62"/>
    <cellStyle name="Warning Text 2" xfId="6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57150</xdr:rowOff>
        </xdr:from>
        <xdr:to>
          <xdr:col>8</xdr:col>
          <xdr:colOff>466725</xdr:colOff>
          <xdr:row>2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Упорhjgjhgh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419100</xdr:colOff>
          <xdr:row>6</xdr:row>
          <xdr:rowOff>381000</xdr:rowOff>
        </xdr:from>
        <xdr:to>
          <xdr:col>28</xdr:col>
          <xdr:colOff>85725</xdr:colOff>
          <xdr:row>6</xdr:row>
          <xdr:rowOff>762000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Упорядочить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Y115"/>
  <sheetViews>
    <sheetView showGridLines="0" zoomScaleNormal="100" workbookViewId="0">
      <pane xSplit="4" ySplit="7" topLeftCell="E43" activePane="bottomRight" state="frozen"/>
      <selection pane="topRight" activeCell="D1" sqref="D1"/>
      <selection pane="bottomLeft" activeCell="A4" sqref="A4"/>
      <selection pane="bottomRight" activeCell="I35" sqref="I35"/>
    </sheetView>
  </sheetViews>
  <sheetFormatPr defaultRowHeight="12.75" x14ac:dyDescent="0.2"/>
  <cols>
    <col min="1" max="1" width="3.5703125" style="28" customWidth="1"/>
    <col min="2" max="2" width="23" style="28" customWidth="1"/>
    <col min="3" max="3" width="15.42578125" style="28" customWidth="1"/>
    <col min="4" max="4" width="29.140625" style="28" customWidth="1"/>
    <col min="5" max="6" width="10.140625" style="28" customWidth="1"/>
    <col min="7" max="7" width="13.28515625" style="28" hidden="1" customWidth="1"/>
    <col min="8" max="8" width="9.140625" style="28" bestFit="1" customWidth="1"/>
    <col min="9" max="9" width="9" style="28" customWidth="1"/>
    <col min="10" max="10" width="11.5703125" style="28" customWidth="1"/>
    <col min="11" max="11" width="12" style="28" customWidth="1"/>
    <col min="12" max="12" width="6.5703125" style="28" customWidth="1"/>
    <col min="13" max="13" width="8.28515625" style="28" customWidth="1"/>
    <col min="14" max="14" width="13.5703125" style="28" customWidth="1"/>
    <col min="15" max="15" width="11.28515625" style="28" customWidth="1"/>
    <col min="16" max="16" width="12.7109375" style="28" customWidth="1"/>
    <col min="17" max="17" width="15" style="28" customWidth="1"/>
    <col min="18" max="18" width="14.5703125" style="28" customWidth="1"/>
    <col min="19" max="19" width="12.5703125" style="28" customWidth="1"/>
    <col min="20" max="20" width="14.140625" style="28" customWidth="1"/>
    <col min="21" max="21" width="11.5703125" style="28" customWidth="1"/>
    <col min="22" max="22" width="13" style="28" customWidth="1"/>
    <col min="23" max="23" width="12.140625" style="28" customWidth="1"/>
    <col min="24" max="25" width="12.28515625" style="28" customWidth="1"/>
    <col min="26" max="16384" width="9.140625" style="28"/>
  </cols>
  <sheetData>
    <row r="1" spans="1:25" x14ac:dyDescent="0.2">
      <c r="K1" s="44"/>
      <c r="L1" s="44"/>
      <c r="M1" s="44"/>
      <c r="N1" s="44"/>
      <c r="O1" s="44"/>
      <c r="P1" s="44"/>
      <c r="Q1" s="44"/>
      <c r="R1" s="56" t="s">
        <v>4660</v>
      </c>
      <c r="S1" s="57"/>
      <c r="T1" s="57"/>
      <c r="U1" s="58"/>
    </row>
    <row r="2" spans="1:25" x14ac:dyDescent="0.2">
      <c r="B2" s="28" t="s">
        <v>14</v>
      </c>
      <c r="E2" s="4" t="s">
        <v>4762</v>
      </c>
      <c r="I2" s="44"/>
      <c r="K2" s="44"/>
      <c r="L2" s="44"/>
      <c r="M2" s="44"/>
      <c r="N2" s="44"/>
      <c r="O2" s="44"/>
      <c r="P2" s="44"/>
      <c r="Q2" s="44"/>
      <c r="R2" s="59" t="s">
        <v>4661</v>
      </c>
      <c r="S2" s="59" t="s">
        <v>4662</v>
      </c>
      <c r="T2" s="59" t="s">
        <v>4663</v>
      </c>
      <c r="U2" s="59" t="s">
        <v>4664</v>
      </c>
    </row>
    <row r="3" spans="1:25" x14ac:dyDescent="0.2">
      <c r="E3" s="42"/>
      <c r="I3" s="44"/>
      <c r="K3" s="44"/>
      <c r="L3" s="44"/>
      <c r="M3" s="44"/>
      <c r="N3" s="44"/>
      <c r="O3" s="44"/>
      <c r="P3" s="44"/>
      <c r="Q3" s="44"/>
      <c r="R3" s="60">
        <v>59.679499999999997</v>
      </c>
      <c r="S3" s="60">
        <v>70.052199999999999</v>
      </c>
      <c r="T3" s="60">
        <v>1.2871999999999999</v>
      </c>
      <c r="U3" s="60">
        <v>7.8230000000000004</v>
      </c>
    </row>
    <row r="4" spans="1:25" x14ac:dyDescent="0.2">
      <c r="H4" s="44"/>
      <c r="I4" s="48"/>
      <c r="K4" s="44"/>
      <c r="L4" s="44"/>
      <c r="M4" s="44"/>
      <c r="N4" s="44"/>
      <c r="O4" s="44"/>
      <c r="P4" s="44"/>
      <c r="Q4" s="44"/>
    </row>
    <row r="5" spans="1:25" hidden="1" x14ac:dyDescent="0.2">
      <c r="E5" s="42"/>
      <c r="H5" s="44"/>
      <c r="I5" s="42"/>
      <c r="K5" s="42"/>
      <c r="N5" s="47"/>
      <c r="O5" s="47"/>
    </row>
    <row r="6" spans="1:25" hidden="1" x14ac:dyDescent="0.2">
      <c r="E6" s="49"/>
      <c r="F6" s="49"/>
      <c r="N6" s="46"/>
      <c r="O6" s="46"/>
    </row>
    <row r="7" spans="1:25" s="10" customFormat="1" ht="76.5" x14ac:dyDescent="0.25">
      <c r="B7" s="6" t="s">
        <v>0</v>
      </c>
      <c r="C7" s="6" t="s">
        <v>20</v>
      </c>
      <c r="D7" s="7" t="s">
        <v>1</v>
      </c>
      <c r="E7" s="7" t="s">
        <v>2</v>
      </c>
      <c r="F7" s="7" t="s">
        <v>4647</v>
      </c>
      <c r="G7" s="7" t="s">
        <v>18</v>
      </c>
      <c r="H7" s="7" t="s">
        <v>3</v>
      </c>
      <c r="I7" s="7" t="s">
        <v>4</v>
      </c>
      <c r="J7" s="8" t="s">
        <v>5</v>
      </c>
      <c r="K7" s="8" t="s">
        <v>6</v>
      </c>
      <c r="L7" s="9" t="s">
        <v>7</v>
      </c>
      <c r="M7" s="7" t="s">
        <v>8</v>
      </c>
      <c r="N7" s="7" t="s">
        <v>9</v>
      </c>
      <c r="O7" s="7" t="s">
        <v>10</v>
      </c>
      <c r="P7" s="7" t="s">
        <v>4651</v>
      </c>
      <c r="Q7" s="7" t="s">
        <v>4652</v>
      </c>
      <c r="R7" s="7" t="s">
        <v>4653</v>
      </c>
      <c r="S7" s="7" t="s">
        <v>4654</v>
      </c>
      <c r="T7" s="7" t="s">
        <v>11</v>
      </c>
      <c r="U7" s="7" t="s">
        <v>12</v>
      </c>
      <c r="V7" s="7" t="s">
        <v>13</v>
      </c>
      <c r="W7" s="7" t="s">
        <v>4655</v>
      </c>
      <c r="X7" s="7" t="s">
        <v>4657</v>
      </c>
      <c r="Y7" s="7" t="s">
        <v>4656</v>
      </c>
    </row>
    <row r="8" spans="1:25" s="17" customFormat="1" ht="15" x14ac:dyDescent="0.25">
      <c r="A8" s="11"/>
      <c r="B8" s="11" t="s">
        <v>17</v>
      </c>
      <c r="C8" s="11"/>
      <c r="D8" s="5"/>
      <c r="E8" s="12"/>
      <c r="F8" s="12"/>
      <c r="G8" s="5"/>
      <c r="H8" s="5"/>
      <c r="I8" s="13"/>
      <c r="J8" s="14"/>
      <c r="K8" s="15"/>
      <c r="L8" s="14"/>
      <c r="M8" s="16"/>
      <c r="N8" s="12"/>
      <c r="O8" s="12"/>
      <c r="P8" s="40"/>
      <c r="Q8" s="40"/>
      <c r="R8" s="40"/>
      <c r="S8" s="40"/>
      <c r="T8" s="40"/>
      <c r="U8" s="40"/>
      <c r="V8" s="41"/>
      <c r="W8" s="41"/>
    </row>
    <row r="9" spans="1:25" s="17" customFormat="1" ht="15" x14ac:dyDescent="0.25">
      <c r="B9" s="43" t="s">
        <v>4752</v>
      </c>
      <c r="C9" s="43" t="s">
        <v>4659</v>
      </c>
      <c r="D9" s="52" t="s">
        <v>4658</v>
      </c>
      <c r="E9" s="12">
        <v>2.5390446688596122E-2</v>
      </c>
      <c r="F9" s="40">
        <v>52208</v>
      </c>
      <c r="G9" s="40">
        <v>-107597.06871890154</v>
      </c>
      <c r="H9" s="53">
        <v>162.63707063556956</v>
      </c>
      <c r="I9" s="51">
        <v>137</v>
      </c>
      <c r="J9" s="14">
        <v>215</v>
      </c>
      <c r="K9" s="15">
        <v>0.56934306569343063</v>
      </c>
      <c r="L9" s="14">
        <v>5</v>
      </c>
      <c r="M9" s="16" t="s">
        <v>4753</v>
      </c>
      <c r="N9" s="12">
        <v>-9.2218710835022977E-2</v>
      </c>
      <c r="O9" s="12">
        <v>-0.14435806300161813</v>
      </c>
      <c r="P9" s="40">
        <v>6060843.1410400001</v>
      </c>
      <c r="Q9" s="40">
        <v>107597.06871890154</v>
      </c>
      <c r="R9" s="40">
        <v>5501920</v>
      </c>
      <c r="S9" s="40">
        <v>92064.564293988922</v>
      </c>
      <c r="T9" s="40">
        <v>-436081</v>
      </c>
      <c r="U9" s="40">
        <v>-13363</v>
      </c>
      <c r="V9" s="41">
        <v>7.371855</v>
      </c>
      <c r="W9" s="40">
        <v>92064.564293988922</v>
      </c>
      <c r="X9" s="54" t="s">
        <v>4691</v>
      </c>
      <c r="Y9" s="54" t="s">
        <v>4754</v>
      </c>
    </row>
    <row r="10" spans="1:25" s="17" customFormat="1" ht="15" x14ac:dyDescent="0.25">
      <c r="B10" s="43" t="s">
        <v>4755</v>
      </c>
      <c r="C10" s="43" t="s">
        <v>4674</v>
      </c>
      <c r="D10" s="52" t="s">
        <v>4649</v>
      </c>
      <c r="E10" s="12">
        <v>1.3720531155982804E-2</v>
      </c>
      <c r="F10" s="40">
        <v>12500</v>
      </c>
      <c r="G10" s="40">
        <v>-50000</v>
      </c>
      <c r="H10" s="53">
        <v>4</v>
      </c>
      <c r="I10" s="51">
        <v>3.98</v>
      </c>
      <c r="J10" s="14">
        <v>5.4666666984558105</v>
      </c>
      <c r="K10" s="15">
        <v>0.37353434634568106</v>
      </c>
      <c r="L10" s="14">
        <v>4.5789475440979004</v>
      </c>
      <c r="M10" s="16" t="s">
        <v>15</v>
      </c>
      <c r="N10" s="12">
        <v>2.5354332697784532E-3</v>
      </c>
      <c r="O10" s="12">
        <v>-5.0000000000000044E-3</v>
      </c>
      <c r="P10" s="40">
        <v>2960870</v>
      </c>
      <c r="Q10" s="40">
        <v>50000</v>
      </c>
      <c r="R10" s="40">
        <v>2968377.0883054892</v>
      </c>
      <c r="S10" s="40">
        <v>49750</v>
      </c>
      <c r="T10" s="40">
        <v>253405</v>
      </c>
      <c r="U10" s="40">
        <v>3562</v>
      </c>
      <c r="V10" s="41">
        <v>6.733668341708543</v>
      </c>
      <c r="W10" s="40">
        <v>49750</v>
      </c>
      <c r="X10" s="54" t="s">
        <v>4695</v>
      </c>
      <c r="Y10" s="54" t="s">
        <v>4700</v>
      </c>
    </row>
    <row r="11" spans="1:25" s="17" customFormat="1" ht="15" x14ac:dyDescent="0.25">
      <c r="B11" s="43" t="s">
        <v>100</v>
      </c>
      <c r="C11" s="43" t="s">
        <v>99</v>
      </c>
      <c r="D11" s="52" t="s">
        <v>4766</v>
      </c>
      <c r="E11" s="12">
        <v>4.0013249886732251E-2</v>
      </c>
      <c r="F11" s="40">
        <v>107950</v>
      </c>
      <c r="G11" s="40">
        <v>-160668.27535724238</v>
      </c>
      <c r="H11" s="53">
        <v>86.282384089856421</v>
      </c>
      <c r="I11" s="51">
        <v>80.209999999999994</v>
      </c>
      <c r="J11" s="14">
        <v>102.25390625</v>
      </c>
      <c r="K11" s="15">
        <v>0.27482740618376766</v>
      </c>
      <c r="L11" s="14">
        <v>4</v>
      </c>
      <c r="M11" s="16" t="s">
        <v>4650</v>
      </c>
      <c r="N11" s="12">
        <v>-7.0378028538623849E-2</v>
      </c>
      <c r="O11" s="12">
        <v>-9.6983147938307868E-2</v>
      </c>
      <c r="P11" s="40">
        <v>9314183.3625000007</v>
      </c>
      <c r="Q11" s="40">
        <v>160668.27535724238</v>
      </c>
      <c r="R11" s="40">
        <v>8658669.5</v>
      </c>
      <c r="S11" s="40">
        <v>145086.16023927816</v>
      </c>
      <c r="T11" s="40">
        <v>323592</v>
      </c>
      <c r="U11" s="40">
        <v>162</v>
      </c>
      <c r="V11" s="41">
        <v>8.6734819999999999</v>
      </c>
      <c r="W11" s="40">
        <v>145086.16023927816</v>
      </c>
      <c r="X11" s="54" t="s">
        <v>4686</v>
      </c>
      <c r="Y11" s="54" t="s">
        <v>4728</v>
      </c>
    </row>
    <row r="12" spans="1:25" s="17" customFormat="1" ht="15" x14ac:dyDescent="0.25">
      <c r="B12" s="43" t="s">
        <v>4756</v>
      </c>
      <c r="C12" s="43" t="s">
        <v>4675</v>
      </c>
      <c r="D12" s="52" t="s">
        <v>4666</v>
      </c>
      <c r="E12" s="12">
        <v>1.4046790218445671E-2</v>
      </c>
      <c r="F12" s="40">
        <v>5300</v>
      </c>
      <c r="G12" s="40">
        <v>-51579.834964808673</v>
      </c>
      <c r="H12" s="53">
        <v>9.7320443329827686</v>
      </c>
      <c r="I12" s="51">
        <v>9.61</v>
      </c>
      <c r="J12" s="14">
        <v>11.819999694824219</v>
      </c>
      <c r="K12" s="15">
        <v>0.22996875076214573</v>
      </c>
      <c r="L12" s="14">
        <v>4</v>
      </c>
      <c r="M12" s="16" t="s">
        <v>15</v>
      </c>
      <c r="N12" s="12">
        <v>1.413046742849744E-2</v>
      </c>
      <c r="O12" s="12">
        <v>-1.2540462086588433E-2</v>
      </c>
      <c r="P12" s="40">
        <v>2996618.1980000003</v>
      </c>
      <c r="Q12" s="40">
        <v>51579.834964808673</v>
      </c>
      <c r="R12" s="40">
        <v>3038961.8138424819</v>
      </c>
      <c r="S12" s="40">
        <v>50933</v>
      </c>
      <c r="T12" s="40">
        <v>100210</v>
      </c>
      <c r="U12" s="40">
        <v>133</v>
      </c>
      <c r="V12" s="41">
        <v>2.83683</v>
      </c>
      <c r="W12" s="40">
        <v>50933</v>
      </c>
      <c r="X12" s="54" t="s">
        <v>4699</v>
      </c>
      <c r="Y12" s="54" t="s">
        <v>4754</v>
      </c>
    </row>
    <row r="13" spans="1:25" s="17" customFormat="1" ht="15" x14ac:dyDescent="0.25">
      <c r="B13" s="43" t="s">
        <v>221</v>
      </c>
      <c r="C13" s="43" t="s">
        <v>220</v>
      </c>
      <c r="D13" s="52" t="s">
        <v>4678</v>
      </c>
      <c r="E13" s="12">
        <v>3.7347377997923814E-2</v>
      </c>
      <c r="F13" s="40">
        <v>923</v>
      </c>
      <c r="G13" s="40">
        <v>-138348.28553136202</v>
      </c>
      <c r="H13" s="53">
        <v>8709.4355059588306</v>
      </c>
      <c r="I13" s="51">
        <v>8756</v>
      </c>
      <c r="J13" s="14">
        <v>10569.388671875</v>
      </c>
      <c r="K13" s="15">
        <v>0.20710240656407031</v>
      </c>
      <c r="L13" s="14">
        <v>4.5</v>
      </c>
      <c r="M13" s="16" t="s">
        <v>4650</v>
      </c>
      <c r="N13" s="12">
        <v>5.3464422590085992E-3</v>
      </c>
      <c r="O13" s="12">
        <v>-2.116723917944574E-2</v>
      </c>
      <c r="P13" s="40">
        <v>8038808.972000001</v>
      </c>
      <c r="Q13" s="40">
        <v>138348.28553136202</v>
      </c>
      <c r="R13" s="40">
        <v>8081788</v>
      </c>
      <c r="S13" s="40">
        <v>135419.83428145343</v>
      </c>
      <c r="T13" s="40">
        <v>605178</v>
      </c>
      <c r="U13" s="40">
        <v>6044</v>
      </c>
      <c r="V13" s="41">
        <v>10.06541</v>
      </c>
      <c r="W13" s="40">
        <v>135419.83428145343</v>
      </c>
      <c r="X13" s="54" t="s">
        <v>4705</v>
      </c>
      <c r="Y13" s="54" t="s">
        <v>4706</v>
      </c>
    </row>
    <row r="14" spans="1:25" s="17" customFormat="1" ht="15" x14ac:dyDescent="0.25">
      <c r="B14" s="43" t="s">
        <v>4787</v>
      </c>
      <c r="C14" s="43" t="s">
        <v>4676</v>
      </c>
      <c r="D14" s="52" t="s">
        <v>4764</v>
      </c>
      <c r="E14" s="12">
        <v>1.5572458125076764E-2</v>
      </c>
      <c r="F14" s="40">
        <v>1150</v>
      </c>
      <c r="G14" s="40">
        <v>-49288.285627517529</v>
      </c>
      <c r="H14" s="53">
        <v>42.859378806536988</v>
      </c>
      <c r="I14" s="51">
        <v>49.1</v>
      </c>
      <c r="J14" s="14">
        <v>59</v>
      </c>
      <c r="K14" s="15">
        <v>0.20162932790224031</v>
      </c>
      <c r="L14" s="14">
        <v>4.0769228935241699</v>
      </c>
      <c r="M14" s="16" t="s">
        <v>15</v>
      </c>
      <c r="N14" s="12">
        <v>0.14056168259509905</v>
      </c>
      <c r="O14" s="12">
        <v>0.14560689788885117</v>
      </c>
      <c r="P14" s="40">
        <v>2953837.1</v>
      </c>
      <c r="Q14" s="40">
        <v>49288.285627517529</v>
      </c>
      <c r="R14" s="40">
        <v>3369033.412887828</v>
      </c>
      <c r="S14" s="40">
        <v>56465</v>
      </c>
      <c r="T14" s="40">
        <v>429230</v>
      </c>
      <c r="U14" s="40">
        <v>7176</v>
      </c>
      <c r="V14" s="41">
        <v>0</v>
      </c>
      <c r="W14" s="40">
        <v>56465</v>
      </c>
      <c r="X14" s="54" t="s">
        <v>4754</v>
      </c>
      <c r="Y14" s="54" t="s">
        <v>4754</v>
      </c>
    </row>
    <row r="15" spans="1:25" s="17" customFormat="1" ht="15" x14ac:dyDescent="0.25">
      <c r="B15" s="43" t="s">
        <v>367</v>
      </c>
      <c r="C15" s="43" t="s">
        <v>366</v>
      </c>
      <c r="D15" s="52" t="s">
        <v>4772</v>
      </c>
      <c r="E15" s="12">
        <v>1.2475331157312607E-2</v>
      </c>
      <c r="F15" s="40">
        <v>3400</v>
      </c>
      <c r="G15" s="40">
        <v>-53855.47857832531</v>
      </c>
      <c r="H15" s="53">
        <v>899</v>
      </c>
      <c r="I15" s="51">
        <v>794</v>
      </c>
      <c r="J15" s="14">
        <v>950</v>
      </c>
      <c r="K15" s="15">
        <v>0.19647355163727953</v>
      </c>
      <c r="L15" s="14">
        <v>4</v>
      </c>
      <c r="M15" s="16" t="s">
        <v>4650</v>
      </c>
      <c r="N15" s="12">
        <v>-0.11679644048943272</v>
      </c>
      <c r="O15" s="12">
        <v>-0.16006756185695337</v>
      </c>
      <c r="P15" s="40">
        <v>3056600</v>
      </c>
      <c r="Q15" s="40">
        <v>53855.47857832531</v>
      </c>
      <c r="R15" s="40">
        <v>2699600</v>
      </c>
      <c r="S15" s="40">
        <v>45234.963429653399</v>
      </c>
      <c r="T15" s="40">
        <v>-105400</v>
      </c>
      <c r="U15" s="40">
        <v>-4295</v>
      </c>
      <c r="V15" s="41">
        <v>9.7166250000000005</v>
      </c>
      <c r="W15" s="40">
        <v>45234.963429653399</v>
      </c>
      <c r="X15" s="54" t="s">
        <v>4702</v>
      </c>
      <c r="Y15" s="54" t="s">
        <v>4773</v>
      </c>
    </row>
    <row r="16" spans="1:25" s="17" customFormat="1" ht="15" x14ac:dyDescent="0.25">
      <c r="B16" s="43" t="s">
        <v>512</v>
      </c>
      <c r="C16" s="43" t="s">
        <v>511</v>
      </c>
      <c r="D16" s="52" t="s">
        <v>4729</v>
      </c>
      <c r="E16" s="12">
        <v>2.7267628359836874E-2</v>
      </c>
      <c r="F16" s="40">
        <v>9800</v>
      </c>
      <c r="G16" s="40">
        <v>-104300.83108869416</v>
      </c>
      <c r="H16" s="53">
        <v>619.0139918367347</v>
      </c>
      <c r="I16" s="51">
        <v>602.1</v>
      </c>
      <c r="J16" s="14">
        <v>701.17572021484375</v>
      </c>
      <c r="K16" s="15">
        <v>0.164550274397681</v>
      </c>
      <c r="L16" s="14">
        <v>3.75</v>
      </c>
      <c r="M16" s="16" t="s">
        <v>4650</v>
      </c>
      <c r="N16" s="12">
        <v>-2.7324086466200215E-2</v>
      </c>
      <c r="O16" s="12">
        <v>-5.2058016959727227E-2</v>
      </c>
      <c r="P16" s="40">
        <v>6066337.1200000001</v>
      </c>
      <c r="Q16" s="40">
        <v>104300.83108869416</v>
      </c>
      <c r="R16" s="40">
        <v>5900580</v>
      </c>
      <c r="S16" s="40">
        <v>98871.136654965274</v>
      </c>
      <c r="T16" s="40">
        <v>-148116</v>
      </c>
      <c r="U16" s="40">
        <v>-5273</v>
      </c>
      <c r="V16" s="41">
        <v>2.5520679999999998</v>
      </c>
      <c r="W16" s="40">
        <v>98871.136654965274</v>
      </c>
      <c r="X16" s="54" t="s">
        <v>4730</v>
      </c>
      <c r="Y16" s="54" t="s">
        <v>4731</v>
      </c>
    </row>
    <row r="17" spans="2:25" s="17" customFormat="1" ht="15" x14ac:dyDescent="0.25">
      <c r="B17" s="43" t="s">
        <v>453</v>
      </c>
      <c r="C17" s="43" t="s">
        <v>29</v>
      </c>
      <c r="D17" s="52" t="s">
        <v>4677</v>
      </c>
      <c r="E17" s="12">
        <v>1.2571266805121842E-2</v>
      </c>
      <c r="F17" s="40">
        <v>4700</v>
      </c>
      <c r="G17" s="40">
        <v>-52468.191815673294</v>
      </c>
      <c r="H17" s="53">
        <v>637.99869999999999</v>
      </c>
      <c r="I17" s="51">
        <v>578.79999999999995</v>
      </c>
      <c r="J17" s="14">
        <v>656.66668701171875</v>
      </c>
      <c r="K17" s="15">
        <v>0.13453124915639036</v>
      </c>
      <c r="L17" s="14">
        <v>4.2</v>
      </c>
      <c r="M17" s="16" t="s">
        <v>4650</v>
      </c>
      <c r="N17" s="12">
        <v>-9.2788120101185201E-2</v>
      </c>
      <c r="O17" s="12">
        <v>-0.13122941739570193</v>
      </c>
      <c r="P17" s="40">
        <v>2998593.89</v>
      </c>
      <c r="Q17" s="40">
        <v>52468.191815673294</v>
      </c>
      <c r="R17" s="40">
        <v>2720360</v>
      </c>
      <c r="S17" s="40">
        <v>45582.821571896551</v>
      </c>
      <c r="T17" s="40">
        <v>-129478</v>
      </c>
      <c r="U17" s="40">
        <v>-4147</v>
      </c>
      <c r="V17" s="41">
        <v>8.6589500000000008</v>
      </c>
      <c r="W17" s="40">
        <v>45582.821571896551</v>
      </c>
      <c r="X17" s="54" t="s">
        <v>4703</v>
      </c>
      <c r="Y17" s="54" t="s">
        <v>4754</v>
      </c>
    </row>
    <row r="18" spans="2:25" s="17" customFormat="1" ht="15" x14ac:dyDescent="0.25">
      <c r="B18" s="43" t="s">
        <v>370</v>
      </c>
      <c r="C18" s="43" t="s">
        <v>369</v>
      </c>
      <c r="D18" s="52" t="s">
        <v>4733</v>
      </c>
      <c r="E18" s="12">
        <v>1.362276956535851E-2</v>
      </c>
      <c r="F18" s="40">
        <v>1025</v>
      </c>
      <c r="G18" s="40">
        <v>-50114.962887707326</v>
      </c>
      <c r="H18" s="53">
        <v>2926</v>
      </c>
      <c r="I18" s="51">
        <v>2876</v>
      </c>
      <c r="J18" s="14">
        <v>3238.91845703125</v>
      </c>
      <c r="K18" s="15">
        <v>0.12618861510126922</v>
      </c>
      <c r="L18" s="14">
        <v>4.6923069999999996</v>
      </c>
      <c r="M18" s="16" t="s">
        <v>4650</v>
      </c>
      <c r="N18" s="12">
        <v>-1.7088174982911819E-2</v>
      </c>
      <c r="O18" s="12">
        <v>-1.4355828502624068E-2</v>
      </c>
      <c r="P18" s="40">
        <v>2999150</v>
      </c>
      <c r="Q18" s="40">
        <v>50114.962887707326</v>
      </c>
      <c r="R18" s="40">
        <v>2947900</v>
      </c>
      <c r="S18" s="40">
        <v>49395.521075076031</v>
      </c>
      <c r="T18" s="40">
        <v>277539</v>
      </c>
      <c r="U18" s="40">
        <v>3620</v>
      </c>
      <c r="V18" s="41">
        <v>7.0485740000000003</v>
      </c>
      <c r="W18" s="40">
        <v>49395.521075076031</v>
      </c>
      <c r="X18" s="54" t="s">
        <v>4734</v>
      </c>
      <c r="Y18" s="54" t="s">
        <v>4735</v>
      </c>
    </row>
    <row r="19" spans="2:25" s="17" customFormat="1" ht="15" x14ac:dyDescent="0.25">
      <c r="B19" s="43" t="s">
        <v>212</v>
      </c>
      <c r="C19" s="43" t="s">
        <v>30</v>
      </c>
      <c r="D19" s="52" t="s">
        <v>4670</v>
      </c>
      <c r="E19" s="12">
        <v>4.1145006790574111E-2</v>
      </c>
      <c r="F19" s="40">
        <v>75730</v>
      </c>
      <c r="G19" s="40">
        <v>-163065.38071400978</v>
      </c>
      <c r="H19" s="53">
        <v>125.38486698798363</v>
      </c>
      <c r="I19" s="51">
        <v>117.57</v>
      </c>
      <c r="J19" s="14">
        <v>130.15773010253906</v>
      </c>
      <c r="K19" s="15">
        <v>0.10706583399284741</v>
      </c>
      <c r="L19" s="14">
        <v>3.4615390000000001</v>
      </c>
      <c r="M19" s="16" t="s">
        <v>4650</v>
      </c>
      <c r="N19" s="12">
        <v>-6.2327034958154726E-2</v>
      </c>
      <c r="O19" s="12">
        <v>-8.5091778306964905E-2</v>
      </c>
      <c r="P19" s="40">
        <v>9495395.977</v>
      </c>
      <c r="Q19" s="40">
        <v>163065.38071400978</v>
      </c>
      <c r="R19" s="40">
        <v>8903576.0999999996</v>
      </c>
      <c r="S19" s="40">
        <v>149189.85748875243</v>
      </c>
      <c r="T19" s="40">
        <v>-184059</v>
      </c>
      <c r="U19" s="40">
        <v>-8125</v>
      </c>
      <c r="V19" s="41">
        <v>6.710045</v>
      </c>
      <c r="W19" s="40">
        <v>149189.85748875243</v>
      </c>
      <c r="X19" s="54" t="s">
        <v>4686</v>
      </c>
      <c r="Y19" s="54" t="s">
        <v>4688</v>
      </c>
    </row>
    <row r="20" spans="2:25" s="17" customFormat="1" ht="15" x14ac:dyDescent="0.25">
      <c r="B20" s="43" t="s">
        <v>4757</v>
      </c>
      <c r="C20" s="43" t="s">
        <v>39</v>
      </c>
      <c r="D20" s="52" t="s">
        <v>4727</v>
      </c>
      <c r="E20" s="12">
        <v>1.549054862249733E-2</v>
      </c>
      <c r="F20" s="40">
        <v>4760</v>
      </c>
      <c r="G20" s="40">
        <v>-49980</v>
      </c>
      <c r="H20" s="53">
        <v>10.5</v>
      </c>
      <c r="I20" s="51">
        <v>11.8</v>
      </c>
      <c r="J20" s="14">
        <v>12.960000038146973</v>
      </c>
      <c r="K20" s="15">
        <v>9.8305087978556971E-2</v>
      </c>
      <c r="L20" s="14">
        <v>4</v>
      </c>
      <c r="M20" s="16" t="s">
        <v>15</v>
      </c>
      <c r="N20" s="12">
        <v>0.17666492142728329</v>
      </c>
      <c r="O20" s="12">
        <v>0.12380952380952381</v>
      </c>
      <c r="P20" s="40">
        <v>2848145.2860000003</v>
      </c>
      <c r="Q20" s="40">
        <v>49980</v>
      </c>
      <c r="R20" s="40">
        <v>3351312.6491646776</v>
      </c>
      <c r="S20" s="40">
        <v>56168</v>
      </c>
      <c r="T20" s="40">
        <v>516697</v>
      </c>
      <c r="U20" s="40">
        <v>6188</v>
      </c>
      <c r="V20" s="41">
        <v>4.7996369999999997</v>
      </c>
      <c r="W20" s="40">
        <v>56168</v>
      </c>
      <c r="X20" s="54" t="s">
        <v>4765</v>
      </c>
      <c r="Y20" s="54" t="s">
        <v>4754</v>
      </c>
    </row>
    <row r="21" spans="2:25" s="17" customFormat="1" ht="15" x14ac:dyDescent="0.25">
      <c r="B21" s="43" t="s">
        <v>626</v>
      </c>
      <c r="C21" s="43" t="s">
        <v>625</v>
      </c>
      <c r="D21" s="52" t="s">
        <v>4767</v>
      </c>
      <c r="E21" s="12">
        <v>1.8484710560546166E-2</v>
      </c>
      <c r="F21" s="40">
        <v>10000</v>
      </c>
      <c r="G21" s="40">
        <v>-50330.016162263943</v>
      </c>
      <c r="H21" s="53">
        <v>296.33236732673271</v>
      </c>
      <c r="I21" s="51">
        <v>400</v>
      </c>
      <c r="J21" s="14">
        <v>437.26089143287925</v>
      </c>
      <c r="K21" s="15">
        <v>9.3152228582198182E-2</v>
      </c>
      <c r="L21" s="14">
        <v>4.4000000000000004</v>
      </c>
      <c r="M21" s="16" t="s">
        <v>4650</v>
      </c>
      <c r="N21" s="12">
        <v>0.34983567137289628</v>
      </c>
      <c r="O21" s="12">
        <v>0.33170412670189342</v>
      </c>
      <c r="P21" s="40">
        <v>2963323.6732673272</v>
      </c>
      <c r="Q21" s="40">
        <v>50330.016162263943</v>
      </c>
      <c r="R21" s="40">
        <v>4000000</v>
      </c>
      <c r="S21" s="40">
        <v>67024.690220259887</v>
      </c>
      <c r="T21" s="40">
        <v>1614739</v>
      </c>
      <c r="U21" s="40">
        <v>25034</v>
      </c>
      <c r="V21" s="41">
        <v>0</v>
      </c>
      <c r="W21" s="40">
        <v>67024.690220259887</v>
      </c>
      <c r="X21" s="54" t="s">
        <v>4704</v>
      </c>
      <c r="Y21" s="54" t="s">
        <v>4754</v>
      </c>
    </row>
    <row r="22" spans="2:25" s="17" customFormat="1" ht="15" x14ac:dyDescent="0.25">
      <c r="B22" s="43" t="s">
        <v>4758</v>
      </c>
      <c r="C22" s="43" t="s">
        <v>42</v>
      </c>
      <c r="D22" s="52" t="s">
        <v>4665</v>
      </c>
      <c r="E22" s="12">
        <v>3.3807207866854476E-2</v>
      </c>
      <c r="F22" s="40">
        <v>10500</v>
      </c>
      <c r="G22" s="40">
        <v>-110590.0152735163</v>
      </c>
      <c r="H22" s="53">
        <v>839.43383442653078</v>
      </c>
      <c r="I22" s="51">
        <v>907</v>
      </c>
      <c r="J22" s="14">
        <v>954.59637451171875</v>
      </c>
      <c r="K22" s="15">
        <v>5.247670839219265E-2</v>
      </c>
      <c r="L22" s="14">
        <v>3.1</v>
      </c>
      <c r="M22" s="16" t="s">
        <v>4753</v>
      </c>
      <c r="N22" s="12">
        <v>9.6396453571544249E-2</v>
      </c>
      <c r="O22" s="12">
        <v>0.1084485679520506</v>
      </c>
      <c r="P22" s="40">
        <v>6681679.0649999995</v>
      </c>
      <c r="Q22" s="40">
        <v>110590.0152735163</v>
      </c>
      <c r="R22" s="40">
        <v>7325769.230769231</v>
      </c>
      <c r="S22" s="40">
        <v>122583.34405972455</v>
      </c>
      <c r="T22" s="40">
        <v>765089</v>
      </c>
      <c r="U22" s="40">
        <v>13450</v>
      </c>
      <c r="V22" s="41">
        <v>4.094252</v>
      </c>
      <c r="W22" s="40">
        <v>122583.34405972455</v>
      </c>
      <c r="X22" s="54" t="s">
        <v>4707</v>
      </c>
      <c r="Y22" s="54" t="s">
        <v>4749</v>
      </c>
    </row>
    <row r="23" spans="2:25" s="17" customFormat="1" ht="15" x14ac:dyDescent="0.25">
      <c r="B23" s="43" t="s">
        <v>227</v>
      </c>
      <c r="C23" s="43" t="s">
        <v>226</v>
      </c>
      <c r="D23" s="52" t="s">
        <v>4770</v>
      </c>
      <c r="E23" s="12">
        <v>1.456297126213249E-2</v>
      </c>
      <c r="F23" s="40">
        <v>15350</v>
      </c>
      <c r="G23" s="40">
        <v>-52540.789724788636</v>
      </c>
      <c r="H23" s="53">
        <v>195.5</v>
      </c>
      <c r="I23" s="51">
        <v>205.3</v>
      </c>
      <c r="J23" s="14">
        <v>215.79345703125</v>
      </c>
      <c r="K23" s="15">
        <v>5.1112796060643007E-2</v>
      </c>
      <c r="L23" s="14">
        <v>4.1666670000000003</v>
      </c>
      <c r="M23" s="16" t="s">
        <v>4650</v>
      </c>
      <c r="N23" s="12">
        <v>5.0127877237851726E-2</v>
      </c>
      <c r="O23" s="12">
        <v>5.021973191881024E-3</v>
      </c>
      <c r="P23" s="40">
        <v>3000925</v>
      </c>
      <c r="Q23" s="40">
        <v>52540.789724788636</v>
      </c>
      <c r="R23" s="40">
        <v>3151355</v>
      </c>
      <c r="S23" s="40">
        <v>52804.648162266778</v>
      </c>
      <c r="T23" s="40">
        <v>303623</v>
      </c>
      <c r="U23" s="40">
        <v>2646</v>
      </c>
      <c r="V23" s="41">
        <v>5.6395520000000001</v>
      </c>
      <c r="W23" s="40">
        <v>52804.648162266778</v>
      </c>
      <c r="X23" s="54" t="s">
        <v>4687</v>
      </c>
      <c r="Y23" s="54" t="s">
        <v>4788</v>
      </c>
    </row>
    <row r="24" spans="2:25" s="17" customFormat="1" ht="15" x14ac:dyDescent="0.25">
      <c r="B24" s="43" t="s">
        <v>503</v>
      </c>
      <c r="C24" s="43" t="s">
        <v>28</v>
      </c>
      <c r="D24" s="5" t="s">
        <v>4768</v>
      </c>
      <c r="E24" s="12">
        <v>1.6291407228984561E-2</v>
      </c>
      <c r="F24" s="40">
        <v>491000</v>
      </c>
      <c r="G24" s="40">
        <v>-52033.052980731125</v>
      </c>
      <c r="H24" s="53">
        <v>6.0959000000000003</v>
      </c>
      <c r="I24" s="51">
        <v>7.18</v>
      </c>
      <c r="J24" s="14">
        <v>0</v>
      </c>
      <c r="K24" s="15">
        <v>0</v>
      </c>
      <c r="L24" s="14">
        <v>0</v>
      </c>
      <c r="M24" s="16" t="s">
        <v>4650</v>
      </c>
      <c r="N24" s="12">
        <v>0.17784084384586341</v>
      </c>
      <c r="O24" s="12">
        <v>0.1352759874391849</v>
      </c>
      <c r="P24" s="40">
        <v>2993086.9000000004</v>
      </c>
      <c r="Q24" s="40">
        <v>52033.052980731125</v>
      </c>
      <c r="R24" s="40">
        <v>3525380</v>
      </c>
      <c r="S24" s="40">
        <v>59071.87560217495</v>
      </c>
      <c r="T24" s="40">
        <v>919605</v>
      </c>
      <c r="U24" s="40">
        <v>13569</v>
      </c>
      <c r="V24" s="41">
        <v>2.493347</v>
      </c>
      <c r="W24" s="40">
        <v>59071.87560217495</v>
      </c>
      <c r="X24" s="54" t="s">
        <v>4701</v>
      </c>
      <c r="Y24" s="54" t="s">
        <v>4754</v>
      </c>
    </row>
    <row r="25" spans="2:25" s="17" customFormat="1" ht="15" x14ac:dyDescent="0.25">
      <c r="B25" s="43" t="s">
        <v>495</v>
      </c>
      <c r="C25" s="43" t="s">
        <v>494</v>
      </c>
      <c r="D25" s="5" t="s">
        <v>4769</v>
      </c>
      <c r="E25" s="12">
        <v>1.6047524579026355E-2</v>
      </c>
      <c r="F25" s="40">
        <v>130500</v>
      </c>
      <c r="G25" s="40">
        <v>-77321.935669323735</v>
      </c>
      <c r="H25" s="53">
        <v>34.422600000000003</v>
      </c>
      <c r="I25" s="51">
        <v>26.61</v>
      </c>
      <c r="J25" s="14">
        <v>0</v>
      </c>
      <c r="K25" s="15">
        <v>0</v>
      </c>
      <c r="L25" s="14">
        <v>5</v>
      </c>
      <c r="M25" s="16" t="s">
        <v>4650</v>
      </c>
      <c r="N25" s="12">
        <v>-0.22696135678304385</v>
      </c>
      <c r="O25" s="12">
        <v>-0.24746363251396974</v>
      </c>
      <c r="P25" s="40">
        <v>4492149.3000000007</v>
      </c>
      <c r="Q25" s="40">
        <v>77321.935669323735</v>
      </c>
      <c r="R25" s="40">
        <v>3472605</v>
      </c>
      <c r="S25" s="40">
        <v>58187.568595581397</v>
      </c>
      <c r="T25" s="40">
        <v>-1053474</v>
      </c>
      <c r="U25" s="40">
        <v>-19971</v>
      </c>
      <c r="V25" s="41">
        <v>0</v>
      </c>
      <c r="W25" s="40">
        <v>58187.568595581397</v>
      </c>
      <c r="X25" s="54" t="s">
        <v>4689</v>
      </c>
      <c r="Y25" s="54" t="s">
        <v>4754</v>
      </c>
    </row>
    <row r="26" spans="2:25" s="17" customFormat="1" ht="15" x14ac:dyDescent="0.25">
      <c r="B26" s="43" t="s">
        <v>287</v>
      </c>
      <c r="C26" s="43" t="s">
        <v>286</v>
      </c>
      <c r="D26" s="5" t="s">
        <v>4771</v>
      </c>
      <c r="E26" s="12">
        <v>1.477852609315666E-2</v>
      </c>
      <c r="F26" s="40">
        <v>60000</v>
      </c>
      <c r="G26" s="40">
        <v>-52566.7315998099</v>
      </c>
      <c r="H26" s="53">
        <v>50.327126</v>
      </c>
      <c r="I26" s="51">
        <v>53.3</v>
      </c>
      <c r="J26" s="14">
        <v>0</v>
      </c>
      <c r="K26" s="15">
        <v>0</v>
      </c>
      <c r="L26" s="14">
        <v>3</v>
      </c>
      <c r="M26" s="16" t="s">
        <v>4650</v>
      </c>
      <c r="N26" s="12">
        <v>5.9071006756872935E-2</v>
      </c>
      <c r="O26" s="12">
        <v>1.9394552414812249E-2</v>
      </c>
      <c r="P26" s="40">
        <v>3019627.56</v>
      </c>
      <c r="Q26" s="40">
        <v>52566.7315998099</v>
      </c>
      <c r="R26" s="40">
        <v>3198000</v>
      </c>
      <c r="S26" s="40">
        <v>53586.239831097781</v>
      </c>
      <c r="T26" s="40">
        <v>143572</v>
      </c>
      <c r="U26" s="40">
        <v>584</v>
      </c>
      <c r="V26" s="41">
        <v>0</v>
      </c>
      <c r="W26" s="40">
        <v>53586.239831097781</v>
      </c>
      <c r="X26" s="54" t="s">
        <v>4732</v>
      </c>
      <c r="Y26" s="54" t="s">
        <v>4754</v>
      </c>
    </row>
    <row r="27" spans="2:25" s="17" customFormat="1" ht="15" hidden="1" x14ac:dyDescent="0.25">
      <c r="B27" s="43"/>
      <c r="C27" s="43"/>
      <c r="D27" s="5"/>
      <c r="E27" s="12"/>
      <c r="F27" s="40"/>
      <c r="G27" s="40"/>
      <c r="H27" s="53"/>
      <c r="I27" s="51"/>
      <c r="J27" s="14"/>
      <c r="K27" s="15"/>
      <c r="L27" s="14"/>
      <c r="M27" s="16"/>
      <c r="N27" s="12"/>
      <c r="O27" s="12"/>
      <c r="P27" s="40"/>
      <c r="Q27" s="40"/>
      <c r="R27" s="40"/>
      <c r="S27" s="40"/>
      <c r="T27" s="40"/>
      <c r="U27" s="40"/>
      <c r="V27" s="41"/>
      <c r="W27" s="40"/>
      <c r="X27" s="54"/>
      <c r="Y27" s="54"/>
    </row>
    <row r="28" spans="2:25" s="17" customFormat="1" ht="15" hidden="1" x14ac:dyDescent="0.25">
      <c r="B28" s="43"/>
      <c r="C28" s="43"/>
      <c r="D28" s="5"/>
      <c r="E28" s="12"/>
      <c r="F28" s="40"/>
      <c r="G28" s="40"/>
      <c r="H28" s="53"/>
      <c r="I28" s="51"/>
      <c r="J28" s="14"/>
      <c r="K28" s="15"/>
      <c r="L28" s="14"/>
      <c r="M28" s="16"/>
      <c r="N28" s="12"/>
      <c r="O28" s="12"/>
      <c r="P28" s="40"/>
      <c r="Q28" s="40"/>
      <c r="R28" s="40"/>
      <c r="S28" s="40"/>
      <c r="T28" s="40"/>
      <c r="U28" s="40"/>
      <c r="V28" s="41"/>
      <c r="W28" s="40"/>
      <c r="X28" s="54"/>
      <c r="Y28" s="54"/>
    </row>
    <row r="29" spans="2:25" s="17" customFormat="1" ht="15" hidden="1" x14ac:dyDescent="0.25">
      <c r="B29" s="43"/>
      <c r="C29" s="43"/>
      <c r="D29" s="5"/>
      <c r="E29" s="12"/>
      <c r="F29" s="40"/>
      <c r="G29" s="40"/>
      <c r="H29" s="53"/>
      <c r="I29" s="51"/>
      <c r="J29" s="14"/>
      <c r="K29" s="15"/>
      <c r="L29" s="14"/>
      <c r="M29" s="16"/>
      <c r="N29" s="12"/>
      <c r="O29" s="12"/>
      <c r="P29" s="40"/>
      <c r="Q29" s="40"/>
      <c r="R29" s="40"/>
      <c r="S29" s="40"/>
      <c r="T29" s="40"/>
      <c r="U29" s="40"/>
      <c r="V29" s="41"/>
      <c r="W29" s="40"/>
      <c r="X29" s="54"/>
      <c r="Y29" s="54"/>
    </row>
    <row r="30" spans="2:25" s="17" customFormat="1" ht="15" hidden="1" x14ac:dyDescent="0.25">
      <c r="B30" s="43"/>
      <c r="C30" s="43"/>
      <c r="D30" s="5"/>
      <c r="E30" s="12"/>
      <c r="F30" s="40"/>
      <c r="G30" s="40"/>
      <c r="H30" s="53"/>
      <c r="I30" s="51"/>
      <c r="J30" s="14"/>
      <c r="K30" s="15"/>
      <c r="L30" s="14"/>
      <c r="M30" s="16"/>
      <c r="N30" s="12"/>
      <c r="O30" s="12"/>
      <c r="P30" s="40"/>
      <c r="Q30" s="40"/>
      <c r="R30" s="40"/>
      <c r="S30" s="40"/>
      <c r="T30" s="40"/>
      <c r="U30" s="40"/>
      <c r="V30" s="41"/>
      <c r="W30" s="40"/>
      <c r="X30" s="54"/>
      <c r="Y30" s="54"/>
    </row>
    <row r="31" spans="2:25" s="17" customFormat="1" ht="15" hidden="1" x14ac:dyDescent="0.25">
      <c r="B31" s="43"/>
      <c r="C31" s="43"/>
      <c r="D31" s="5"/>
      <c r="E31" s="12"/>
      <c r="F31" s="40"/>
      <c r="G31" s="40"/>
      <c r="H31" s="53"/>
      <c r="I31" s="51"/>
      <c r="J31" s="14"/>
      <c r="K31" s="15"/>
      <c r="L31" s="14"/>
      <c r="M31" s="16"/>
      <c r="N31" s="12"/>
      <c r="O31" s="12"/>
      <c r="P31" s="40"/>
      <c r="Q31" s="40"/>
      <c r="R31" s="40"/>
      <c r="S31" s="40"/>
      <c r="T31" s="40"/>
      <c r="U31" s="40"/>
      <c r="V31" s="41"/>
      <c r="W31" s="40"/>
      <c r="X31" s="54"/>
      <c r="Y31" s="54"/>
    </row>
    <row r="32" spans="2:25" s="17" customFormat="1" ht="15" hidden="1" x14ac:dyDescent="0.25">
      <c r="B32" s="43"/>
      <c r="C32" s="43"/>
      <c r="D32" s="5"/>
      <c r="E32" s="12"/>
      <c r="F32" s="40"/>
      <c r="G32" s="40"/>
      <c r="H32" s="53"/>
      <c r="I32" s="51"/>
      <c r="J32" s="14"/>
      <c r="K32" s="15"/>
      <c r="L32" s="14"/>
      <c r="M32" s="16"/>
      <c r="N32" s="12"/>
      <c r="O32" s="12"/>
      <c r="P32" s="40"/>
      <c r="Q32" s="40"/>
      <c r="R32" s="40"/>
      <c r="S32" s="40"/>
      <c r="T32" s="40"/>
      <c r="U32" s="40"/>
      <c r="V32" s="41"/>
      <c r="W32" s="40"/>
      <c r="X32" s="54"/>
      <c r="Y32" s="54"/>
    </row>
    <row r="33" spans="1:25" s="17" customFormat="1" ht="15" hidden="1" x14ac:dyDescent="0.25">
      <c r="B33" s="43"/>
      <c r="C33" s="43"/>
      <c r="D33" s="5"/>
      <c r="E33" s="12"/>
      <c r="F33" s="40"/>
      <c r="G33" s="40"/>
      <c r="H33" s="53"/>
      <c r="I33" s="51"/>
      <c r="J33" s="14"/>
      <c r="K33" s="15"/>
      <c r="L33" s="14"/>
      <c r="M33" s="16"/>
      <c r="N33" s="12"/>
      <c r="O33" s="12"/>
      <c r="P33" s="40"/>
      <c r="Q33" s="40"/>
      <c r="R33" s="40"/>
      <c r="S33" s="40"/>
      <c r="T33" s="40"/>
      <c r="U33" s="40"/>
      <c r="V33" s="41"/>
      <c r="W33" s="40"/>
      <c r="X33" s="54"/>
      <c r="Y33" s="54"/>
    </row>
    <row r="34" spans="1:25" s="17" customFormat="1" ht="15" x14ac:dyDescent="0.25">
      <c r="B34" s="43"/>
      <c r="C34" s="43"/>
      <c r="D34" s="5"/>
      <c r="E34" s="50">
        <v>0.38263575296415941</v>
      </c>
      <c r="F34" s="50"/>
      <c r="G34" s="40"/>
      <c r="H34" s="53"/>
      <c r="I34" s="13"/>
      <c r="J34" s="14"/>
      <c r="K34" s="15">
        <v>6.5199217365136383E-2</v>
      </c>
      <c r="L34" s="14"/>
      <c r="M34" s="16"/>
      <c r="N34" s="12">
        <v>4.6187232822659467E-3</v>
      </c>
      <c r="O34" s="12">
        <v>-4.7684578279524152E-3</v>
      </c>
      <c r="P34" s="45">
        <v>82940174.54480733</v>
      </c>
      <c r="Q34" s="45">
        <v>1426649.1366946753</v>
      </c>
      <c r="R34" s="45">
        <v>82815187.794969708</v>
      </c>
      <c r="S34" s="45">
        <v>1387419.2255061697</v>
      </c>
      <c r="T34" s="45">
        <v>4195871</v>
      </c>
      <c r="U34" s="45">
        <v>26994</v>
      </c>
      <c r="V34" s="41"/>
      <c r="W34" s="45">
        <v>1387419.2255061697</v>
      </c>
      <c r="X34" s="55"/>
      <c r="Y34" s="55"/>
    </row>
    <row r="35" spans="1:25" s="17" customFormat="1" ht="25.5" x14ac:dyDescent="0.25">
      <c r="A35" s="11"/>
      <c r="B35" s="11" t="s">
        <v>16</v>
      </c>
      <c r="C35" s="11"/>
      <c r="D35" s="5"/>
      <c r="E35" s="12"/>
      <c r="F35" s="12"/>
      <c r="G35" s="5"/>
      <c r="H35" s="53"/>
      <c r="I35" s="13"/>
      <c r="J35" s="8" t="s">
        <v>21</v>
      </c>
      <c r="K35" s="8" t="s">
        <v>32</v>
      </c>
      <c r="L35" s="14"/>
      <c r="M35" s="16"/>
      <c r="N35" s="12"/>
      <c r="O35" s="12"/>
      <c r="P35" s="40"/>
      <c r="Q35" s="40"/>
      <c r="R35" s="40"/>
      <c r="S35" s="40"/>
      <c r="T35" s="40"/>
      <c r="U35" s="40"/>
      <c r="V35" s="41"/>
      <c r="W35" s="41"/>
      <c r="X35" s="55"/>
      <c r="Y35" s="55"/>
    </row>
    <row r="36" spans="1:25" s="17" customFormat="1" ht="15" x14ac:dyDescent="0.25">
      <c r="B36" s="43" t="s">
        <v>4759</v>
      </c>
      <c r="C36" s="43" t="s">
        <v>4693</v>
      </c>
      <c r="D36" s="5" t="s">
        <v>4692</v>
      </c>
      <c r="E36" s="12">
        <v>1.3484455283228607E-2</v>
      </c>
      <c r="F36" s="40">
        <v>50000</v>
      </c>
      <c r="G36" s="40">
        <v>-47500</v>
      </c>
      <c r="H36" s="53">
        <v>95</v>
      </c>
      <c r="I36" s="51">
        <v>97.787999999999997</v>
      </c>
      <c r="J36" s="14">
        <v>0</v>
      </c>
      <c r="K36" s="12">
        <v>0</v>
      </c>
      <c r="L36" s="14"/>
      <c r="M36" s="16" t="s">
        <v>15</v>
      </c>
      <c r="N36" s="12">
        <v>8.2459422007541638E-2</v>
      </c>
      <c r="O36" s="12">
        <v>2.9347368421052566E-2</v>
      </c>
      <c r="P36" s="40">
        <v>2695069.25</v>
      </c>
      <c r="Q36" s="40">
        <v>47500</v>
      </c>
      <c r="R36" s="40">
        <v>2917303.1026252988</v>
      </c>
      <c r="S36" s="40">
        <v>48894</v>
      </c>
      <c r="T36" s="40">
        <v>175964</v>
      </c>
      <c r="U36" s="40">
        <v>2500</v>
      </c>
      <c r="V36" s="41">
        <v>0</v>
      </c>
      <c r="W36" s="40">
        <v>48894</v>
      </c>
      <c r="X36" s="54" t="s">
        <v>4694</v>
      </c>
      <c r="Y36" s="55"/>
    </row>
    <row r="37" spans="1:25" s="17" customFormat="1" ht="15" x14ac:dyDescent="0.25">
      <c r="B37" s="43" t="s">
        <v>4760</v>
      </c>
      <c r="C37" s="43" t="s">
        <v>4744</v>
      </c>
      <c r="D37" s="5" t="s">
        <v>4743</v>
      </c>
      <c r="E37" s="12">
        <v>5.6092620208852619E-2</v>
      </c>
      <c r="F37" s="40">
        <v>200000</v>
      </c>
      <c r="G37" s="40">
        <v>-202420</v>
      </c>
      <c r="H37" s="53">
        <v>101.21</v>
      </c>
      <c r="I37" s="51">
        <v>101.69459999999999</v>
      </c>
      <c r="J37" s="14">
        <v>1.4443276796537448</v>
      </c>
      <c r="K37" s="12">
        <v>4.3367934426269648E-2</v>
      </c>
      <c r="L37" s="14"/>
      <c r="M37" s="16" t="s">
        <v>15</v>
      </c>
      <c r="N37" s="12">
        <v>-8.0741406074802402E-4</v>
      </c>
      <c r="O37" s="12">
        <v>4.7880644205118283E-3</v>
      </c>
      <c r="P37" s="40">
        <v>12145200</v>
      </c>
      <c r="Q37" s="40">
        <v>202420</v>
      </c>
      <c r="R37" s="40">
        <v>12135393.794749403</v>
      </c>
      <c r="S37" s="40">
        <v>203389.2</v>
      </c>
      <c r="T37" s="40">
        <v>209050</v>
      </c>
      <c r="U37" s="40">
        <v>2252</v>
      </c>
      <c r="V37" s="41">
        <v>4.3367934426269645</v>
      </c>
      <c r="W37" s="40">
        <v>208644.55555555556</v>
      </c>
      <c r="X37" s="54" t="s">
        <v>4745</v>
      </c>
      <c r="Y37" s="55"/>
    </row>
    <row r="38" spans="1:25" s="17" customFormat="1" ht="15" x14ac:dyDescent="0.25">
      <c r="B38" s="43" t="s">
        <v>4747</v>
      </c>
      <c r="C38" s="43" t="s">
        <v>4741</v>
      </c>
      <c r="D38" s="5" t="s">
        <v>4740</v>
      </c>
      <c r="E38" s="12">
        <v>6.1040671217535029E-2</v>
      </c>
      <c r="F38" s="40">
        <v>200000</v>
      </c>
      <c r="G38" s="40">
        <v>-221220</v>
      </c>
      <c r="H38" s="53">
        <v>110.61</v>
      </c>
      <c r="I38" s="51">
        <v>110.6653</v>
      </c>
      <c r="J38" s="14">
        <v>3.941238051928484</v>
      </c>
      <c r="K38" s="12">
        <v>3.9280554720938138E-2</v>
      </c>
      <c r="L38" s="14"/>
      <c r="M38" s="16" t="s">
        <v>15</v>
      </c>
      <c r="N38" s="12">
        <v>-7.5230620342587873E-3</v>
      </c>
      <c r="O38" s="12">
        <v>4.9995479613063054E-4</v>
      </c>
      <c r="P38" s="40">
        <v>13305984.803999998</v>
      </c>
      <c r="Q38" s="40">
        <v>221220</v>
      </c>
      <c r="R38" s="40">
        <v>13205883.054892601</v>
      </c>
      <c r="S38" s="40">
        <v>221330.6</v>
      </c>
      <c r="T38" s="40">
        <v>13128385</v>
      </c>
      <c r="U38" s="40">
        <v>219267</v>
      </c>
      <c r="V38" s="41">
        <v>3.9280554720938139</v>
      </c>
      <c r="W38" s="40">
        <v>227153.83333333331</v>
      </c>
      <c r="X38" s="54" t="s">
        <v>4742</v>
      </c>
      <c r="Y38" s="55"/>
    </row>
    <row r="39" spans="1:25" s="17" customFormat="1" ht="15" x14ac:dyDescent="0.25">
      <c r="B39" s="43" t="s">
        <v>4761</v>
      </c>
      <c r="C39" s="43" t="s">
        <v>31</v>
      </c>
      <c r="D39" s="5" t="s">
        <v>4738</v>
      </c>
      <c r="E39" s="12">
        <v>0.16569153085102012</v>
      </c>
      <c r="F39" s="40">
        <v>342000</v>
      </c>
      <c r="G39" s="40">
        <v>-598115.1</v>
      </c>
      <c r="H39" s="53">
        <v>174.88745614035088</v>
      </c>
      <c r="I39" s="51">
        <v>175.6695</v>
      </c>
      <c r="J39" s="14">
        <v>7.255807465366531</v>
      </c>
      <c r="K39" s="12">
        <v>4.0574991000000005E-2</v>
      </c>
      <c r="L39" s="14"/>
      <c r="M39" s="16" t="s">
        <v>15</v>
      </c>
      <c r="N39" s="12">
        <v>2.1903440401393803E-2</v>
      </c>
      <c r="O39" s="12">
        <v>4.4716978387606687E-3</v>
      </c>
      <c r="P39" s="40">
        <v>35078304.659309998</v>
      </c>
      <c r="Q39" s="40">
        <v>598115.1</v>
      </c>
      <c r="R39" s="40">
        <v>35846640.214797132</v>
      </c>
      <c r="S39" s="40">
        <v>600789.69000000006</v>
      </c>
      <c r="T39" s="40">
        <v>11725482</v>
      </c>
      <c r="U39" s="40">
        <v>191312</v>
      </c>
      <c r="V39" s="41">
        <v>4.0574991000000002</v>
      </c>
      <c r="W39" s="40">
        <v>607330.44000000006</v>
      </c>
      <c r="X39" s="54" t="s">
        <v>4739</v>
      </c>
      <c r="Y39" s="55"/>
    </row>
    <row r="40" spans="1:25" s="62" customFormat="1" ht="15" x14ac:dyDescent="0.25">
      <c r="B40" s="63" t="s">
        <v>4648</v>
      </c>
      <c r="C40" s="63" t="s">
        <v>4646</v>
      </c>
      <c r="D40" s="64" t="s">
        <v>4710</v>
      </c>
      <c r="E40" s="65">
        <v>6.425123649628442E-2</v>
      </c>
      <c r="F40" s="66">
        <v>13500</v>
      </c>
      <c r="G40" s="66">
        <v>-239455.53133408658</v>
      </c>
      <c r="H40" s="67">
        <v>100</v>
      </c>
      <c r="I40" s="68">
        <v>102.99</v>
      </c>
      <c r="J40" s="69">
        <v>0</v>
      </c>
      <c r="K40" s="65">
        <v>0</v>
      </c>
      <c r="L40" s="69"/>
      <c r="M40" s="70" t="s">
        <v>4650</v>
      </c>
      <c r="N40" s="65">
        <v>2.9900000000000038E-2</v>
      </c>
      <c r="O40" s="65">
        <v>-2.7076312469105801E-2</v>
      </c>
      <c r="P40" s="66">
        <v>13500000</v>
      </c>
      <c r="Q40" s="66">
        <v>239455.53133408658</v>
      </c>
      <c r="R40" s="66">
        <v>13903650</v>
      </c>
      <c r="S40" s="66">
        <v>232971.95854522911</v>
      </c>
      <c r="T40" s="66">
        <v>837270</v>
      </c>
      <c r="U40" s="66">
        <v>-1396</v>
      </c>
      <c r="V40" s="71">
        <v>0</v>
      </c>
      <c r="W40" s="66">
        <v>226208.32949337712</v>
      </c>
      <c r="X40" s="72" t="s">
        <v>4711</v>
      </c>
      <c r="Y40" s="73"/>
    </row>
    <row r="41" spans="1:25" s="62" customFormat="1" ht="15" x14ac:dyDescent="0.25">
      <c r="B41" s="63" t="s">
        <v>940</v>
      </c>
      <c r="C41" s="63" t="s">
        <v>939</v>
      </c>
      <c r="D41" s="64" t="s">
        <v>4712</v>
      </c>
      <c r="E41" s="65">
        <v>3.1275806786009303E-2</v>
      </c>
      <c r="F41" s="66">
        <v>6590</v>
      </c>
      <c r="G41" s="66">
        <v>-116167.67298216392</v>
      </c>
      <c r="H41" s="67">
        <v>101.6</v>
      </c>
      <c r="I41" s="68">
        <v>102.7</v>
      </c>
      <c r="J41" s="69">
        <v>0.17828907293125193</v>
      </c>
      <c r="K41" s="65">
        <v>8.4399999999999989E-2</v>
      </c>
      <c r="L41" s="69"/>
      <c r="M41" s="70" t="s">
        <v>4650</v>
      </c>
      <c r="N41" s="65">
        <v>1.0826771653543288E-2</v>
      </c>
      <c r="O41" s="65">
        <v>-2.3785189034364773E-2</v>
      </c>
      <c r="P41" s="66">
        <v>6695440</v>
      </c>
      <c r="Q41" s="66">
        <v>116167.67298216392</v>
      </c>
      <c r="R41" s="66">
        <v>6767930</v>
      </c>
      <c r="S41" s="66">
        <v>113404.60292060088</v>
      </c>
      <c r="T41" s="66">
        <v>355125</v>
      </c>
      <c r="U41" s="66">
        <v>2178</v>
      </c>
      <c r="V41" s="71">
        <v>8.44</v>
      </c>
      <c r="W41" s="66">
        <v>117272.72681574077</v>
      </c>
      <c r="X41" s="72" t="s">
        <v>4713</v>
      </c>
      <c r="Y41" s="73"/>
    </row>
    <row r="42" spans="1:25" s="62" customFormat="1" ht="15" x14ac:dyDescent="0.25">
      <c r="B42" s="63" t="s">
        <v>937</v>
      </c>
      <c r="C42" s="63" t="s">
        <v>23</v>
      </c>
      <c r="D42" s="64" t="s">
        <v>4779</v>
      </c>
      <c r="E42" s="65">
        <v>4.6576849434936205E-3</v>
      </c>
      <c r="F42" s="66">
        <v>1000</v>
      </c>
      <c r="G42" s="66">
        <v>-16619.50640572968</v>
      </c>
      <c r="H42" s="67">
        <v>100.964</v>
      </c>
      <c r="I42" s="68">
        <v>100.79</v>
      </c>
      <c r="J42" s="69">
        <v>0.34425466237541363</v>
      </c>
      <c r="K42" s="65">
        <v>8.1500000000000003E-2</v>
      </c>
      <c r="L42" s="69"/>
      <c r="M42" s="70" t="s">
        <v>4650</v>
      </c>
      <c r="N42" s="65">
        <v>-1.7233865536230297E-3</v>
      </c>
      <c r="O42" s="65">
        <v>1.6188201138606306E-2</v>
      </c>
      <c r="P42" s="66">
        <v>1009640</v>
      </c>
      <c r="Q42" s="66">
        <v>16619.50640572968</v>
      </c>
      <c r="R42" s="66">
        <v>1007900</v>
      </c>
      <c r="S42" s="66">
        <v>16888.546318249988</v>
      </c>
      <c r="T42" s="66">
        <v>2473</v>
      </c>
      <c r="U42" s="66">
        <v>132</v>
      </c>
      <c r="V42" s="71">
        <v>8.15</v>
      </c>
      <c r="W42" s="66">
        <v>17137.878165869355</v>
      </c>
      <c r="X42" s="72" t="s">
        <v>4780</v>
      </c>
      <c r="Y42" s="73"/>
    </row>
    <row r="43" spans="1:25" s="62" customFormat="1" ht="15" x14ac:dyDescent="0.25">
      <c r="B43" s="63" t="s">
        <v>1764</v>
      </c>
      <c r="C43" s="63" t="s">
        <v>1763</v>
      </c>
      <c r="D43" s="64" t="s">
        <v>4746</v>
      </c>
      <c r="E43" s="65">
        <v>6.4132703289814921E-2</v>
      </c>
      <c r="F43" s="66">
        <v>13500</v>
      </c>
      <c r="G43" s="66">
        <v>-232371.20180664305</v>
      </c>
      <c r="H43" s="67">
        <v>100</v>
      </c>
      <c r="I43" s="68">
        <v>102.8</v>
      </c>
      <c r="J43" s="69">
        <v>2.1605611615354192</v>
      </c>
      <c r="K43" s="65">
        <v>9.6699999999999994E-2</v>
      </c>
      <c r="L43" s="69"/>
      <c r="M43" s="70" t="s">
        <v>4650</v>
      </c>
      <c r="N43" s="65">
        <v>2.8000000000000025E-2</v>
      </c>
      <c r="O43" s="65">
        <v>7.3572332207882951E-4</v>
      </c>
      <c r="P43" s="66">
        <v>13500000</v>
      </c>
      <c r="Q43" s="66">
        <v>232371.20180664305</v>
      </c>
      <c r="R43" s="66">
        <v>13878000</v>
      </c>
      <c r="S43" s="66">
        <v>232542.16271919169</v>
      </c>
      <c r="T43" s="66">
        <v>1101124</v>
      </c>
      <c r="U43" s="66">
        <v>11244</v>
      </c>
      <c r="V43" s="71">
        <v>9.67</v>
      </c>
      <c r="W43" s="66">
        <v>244393.2171013497</v>
      </c>
      <c r="X43" s="72" t="s">
        <v>4696</v>
      </c>
      <c r="Y43" s="73"/>
    </row>
    <row r="44" spans="1:25" s="62" customFormat="1" ht="15" x14ac:dyDescent="0.25">
      <c r="B44" s="63" t="s">
        <v>1836</v>
      </c>
      <c r="C44" s="63" t="s">
        <v>1835</v>
      </c>
      <c r="D44" s="64" t="s">
        <v>4777</v>
      </c>
      <c r="E44" s="65">
        <v>6.7657506534829076E-2</v>
      </c>
      <c r="F44" s="66">
        <v>13500</v>
      </c>
      <c r="G44" s="66">
        <v>-236662.4034290257</v>
      </c>
      <c r="H44" s="67">
        <v>101.43</v>
      </c>
      <c r="I44" s="68">
        <v>108.45</v>
      </c>
      <c r="J44" s="69">
        <v>4.7800880303415285</v>
      </c>
      <c r="K44" s="65">
        <v>9.6199999999999994E-2</v>
      </c>
      <c r="L44" s="69"/>
      <c r="M44" s="70" t="s">
        <v>4650</v>
      </c>
      <c r="N44" s="65">
        <v>6.9210292812777352E-2</v>
      </c>
      <c r="O44" s="65">
        <v>3.6594447538174757E-2</v>
      </c>
      <c r="P44" s="66">
        <v>13693050</v>
      </c>
      <c r="Q44" s="66">
        <v>236662.4034290257</v>
      </c>
      <c r="R44" s="66">
        <v>14640750</v>
      </c>
      <c r="S44" s="66">
        <v>245322.9333355675</v>
      </c>
      <c r="T44" s="66">
        <v>1634380</v>
      </c>
      <c r="U44" s="66">
        <v>18851</v>
      </c>
      <c r="V44" s="71">
        <v>9.6199999999999992</v>
      </c>
      <c r="W44" s="66">
        <v>245234.7120870651</v>
      </c>
      <c r="X44" s="72" t="s">
        <v>4778</v>
      </c>
      <c r="Y44" s="73"/>
    </row>
    <row r="45" spans="1:25" s="62" customFormat="1" ht="15" hidden="1" x14ac:dyDescent="0.25">
      <c r="B45" s="63"/>
      <c r="C45" s="63"/>
      <c r="D45" s="64"/>
      <c r="E45" s="65"/>
      <c r="F45" s="66"/>
      <c r="G45" s="66"/>
      <c r="H45" s="67"/>
      <c r="I45" s="68"/>
      <c r="J45" s="69"/>
      <c r="K45" s="65"/>
      <c r="L45" s="69"/>
      <c r="M45" s="70"/>
      <c r="N45" s="65"/>
      <c r="O45" s="65"/>
      <c r="P45" s="66"/>
      <c r="Q45" s="66"/>
      <c r="R45" s="66"/>
      <c r="S45" s="66"/>
      <c r="T45" s="66"/>
      <c r="U45" s="66"/>
      <c r="V45" s="71"/>
      <c r="W45" s="66"/>
      <c r="X45" s="72"/>
      <c r="Y45" s="73"/>
    </row>
    <row r="46" spans="1:25" s="17" customFormat="1" ht="15" hidden="1" x14ac:dyDescent="0.25">
      <c r="B46" s="43"/>
      <c r="C46" s="43"/>
      <c r="D46" s="5"/>
      <c r="E46" s="12"/>
      <c r="F46" s="40"/>
      <c r="G46" s="40"/>
      <c r="H46" s="53"/>
      <c r="I46" s="51"/>
      <c r="J46" s="14"/>
      <c r="K46" s="12"/>
      <c r="L46" s="14"/>
      <c r="M46" s="16"/>
      <c r="N46" s="12"/>
      <c r="O46" s="12"/>
      <c r="P46" s="40"/>
      <c r="Q46" s="40"/>
      <c r="R46" s="40"/>
      <c r="S46" s="40"/>
      <c r="T46" s="40"/>
      <c r="U46" s="40"/>
      <c r="V46" s="41"/>
      <c r="W46" s="40"/>
      <c r="X46" s="54"/>
      <c r="Y46" s="55"/>
    </row>
    <row r="47" spans="1:25" s="17" customFormat="1" ht="15" hidden="1" x14ac:dyDescent="0.25">
      <c r="B47" s="43"/>
      <c r="C47" s="43"/>
      <c r="D47" s="5"/>
      <c r="E47" s="12"/>
      <c r="F47" s="40"/>
      <c r="G47" s="40"/>
      <c r="H47" s="53"/>
      <c r="I47" s="51"/>
      <c r="J47" s="14"/>
      <c r="K47" s="12"/>
      <c r="L47" s="14"/>
      <c r="M47" s="16"/>
      <c r="N47" s="12"/>
      <c r="O47" s="12"/>
      <c r="P47" s="40"/>
      <c r="Q47" s="40"/>
      <c r="R47" s="40"/>
      <c r="S47" s="40"/>
      <c r="T47" s="40"/>
      <c r="U47" s="40"/>
      <c r="V47" s="41"/>
      <c r="W47" s="40"/>
      <c r="X47" s="54"/>
      <c r="Y47" s="55"/>
    </row>
    <row r="48" spans="1:25" s="17" customFormat="1" ht="15" hidden="1" x14ac:dyDescent="0.25">
      <c r="B48" s="43"/>
      <c r="C48" s="43"/>
      <c r="D48" s="52"/>
      <c r="E48" s="12"/>
      <c r="F48" s="40"/>
      <c r="G48" s="40"/>
      <c r="H48" s="53"/>
      <c r="I48" s="51"/>
      <c r="J48" s="14"/>
      <c r="K48" s="12"/>
      <c r="L48" s="14"/>
      <c r="M48" s="16"/>
      <c r="N48" s="12"/>
      <c r="O48" s="12"/>
      <c r="P48" s="40"/>
      <c r="Q48" s="40"/>
      <c r="R48" s="40"/>
      <c r="S48" s="40"/>
      <c r="T48" s="40"/>
      <c r="U48" s="40"/>
      <c r="V48" s="41"/>
      <c r="W48" s="40"/>
      <c r="X48" s="54"/>
    </row>
    <row r="49" spans="2:24" s="17" customFormat="1" ht="15" hidden="1" x14ac:dyDescent="0.25">
      <c r="B49" s="43"/>
      <c r="C49" s="43"/>
      <c r="D49" s="52"/>
      <c r="E49" s="12"/>
      <c r="F49" s="40"/>
      <c r="G49" s="40"/>
      <c r="H49" s="53"/>
      <c r="I49" s="51"/>
      <c r="J49" s="14"/>
      <c r="K49" s="12"/>
      <c r="L49" s="14"/>
      <c r="M49" s="16"/>
      <c r="N49" s="12"/>
      <c r="O49" s="12"/>
      <c r="P49" s="40"/>
      <c r="Q49" s="40"/>
      <c r="R49" s="40"/>
      <c r="S49" s="40"/>
      <c r="T49" s="40"/>
      <c r="U49" s="40"/>
      <c r="V49" s="41"/>
      <c r="W49" s="40"/>
      <c r="X49" s="54"/>
    </row>
    <row r="50" spans="2:24" s="17" customFormat="1" ht="15" hidden="1" x14ac:dyDescent="0.25">
      <c r="B50" s="43"/>
      <c r="C50" s="43"/>
      <c r="D50" s="52"/>
      <c r="E50" s="12"/>
      <c r="F50" s="40"/>
      <c r="G50" s="40"/>
      <c r="H50" s="53"/>
      <c r="I50" s="51"/>
      <c r="J50" s="14"/>
      <c r="K50" s="12"/>
      <c r="L50" s="14"/>
      <c r="M50" s="16"/>
      <c r="N50" s="12"/>
      <c r="O50" s="12"/>
      <c r="P50" s="40"/>
      <c r="Q50" s="40"/>
      <c r="R50" s="40"/>
      <c r="S50" s="40"/>
      <c r="T50" s="40"/>
      <c r="U50" s="40"/>
      <c r="V50" s="41"/>
      <c r="W50" s="40"/>
      <c r="X50" s="54"/>
    </row>
    <row r="51" spans="2:24" s="17" customFormat="1" ht="15" hidden="1" x14ac:dyDescent="0.25">
      <c r="B51" s="43"/>
      <c r="C51" s="43"/>
      <c r="D51" s="52"/>
      <c r="E51" s="12"/>
      <c r="F51" s="40"/>
      <c r="G51" s="40"/>
      <c r="H51" s="53"/>
      <c r="I51" s="51"/>
      <c r="J51" s="14"/>
      <c r="K51" s="12"/>
      <c r="L51" s="14"/>
      <c r="M51" s="16"/>
      <c r="N51" s="12"/>
      <c r="O51" s="12"/>
      <c r="P51" s="40"/>
      <c r="Q51" s="40"/>
      <c r="R51" s="40"/>
      <c r="S51" s="40"/>
      <c r="T51" s="40"/>
      <c r="U51" s="40"/>
      <c r="V51" s="41"/>
      <c r="W51" s="41"/>
    </row>
    <row r="52" spans="2:24" s="17" customFormat="1" ht="15" hidden="1" x14ac:dyDescent="0.25">
      <c r="B52" s="43"/>
      <c r="C52" s="43"/>
      <c r="D52" s="52"/>
      <c r="E52" s="12"/>
      <c r="F52" s="40"/>
      <c r="G52" s="40"/>
      <c r="H52" s="53"/>
      <c r="I52" s="51"/>
      <c r="J52" s="14"/>
      <c r="K52" s="12"/>
      <c r="L52" s="14"/>
      <c r="M52" s="16"/>
      <c r="N52" s="12"/>
      <c r="O52" s="12"/>
      <c r="P52" s="40"/>
      <c r="Q52" s="40"/>
      <c r="R52" s="40"/>
      <c r="S52" s="40"/>
      <c r="T52" s="40"/>
      <c r="U52" s="40"/>
      <c r="V52" s="41"/>
      <c r="W52" s="41"/>
    </row>
    <row r="53" spans="2:24" s="17" customFormat="1" ht="15" hidden="1" x14ac:dyDescent="0.25">
      <c r="B53" s="43"/>
      <c r="C53" s="43"/>
      <c r="D53" s="52"/>
      <c r="E53" s="12"/>
      <c r="F53" s="40"/>
      <c r="G53" s="40"/>
      <c r="H53" s="53"/>
      <c r="I53" s="51"/>
      <c r="J53" s="14"/>
      <c r="K53" s="12"/>
      <c r="L53" s="14"/>
      <c r="M53" s="16"/>
      <c r="N53" s="12"/>
      <c r="O53" s="12"/>
      <c r="P53" s="40"/>
      <c r="Q53" s="40"/>
      <c r="R53" s="40"/>
      <c r="S53" s="40"/>
      <c r="T53" s="40"/>
      <c r="U53" s="40"/>
      <c r="V53" s="41"/>
      <c r="W53" s="41"/>
    </row>
    <row r="54" spans="2:24" s="17" customFormat="1" ht="15" x14ac:dyDescent="0.25">
      <c r="B54" s="11"/>
      <c r="C54" s="11"/>
      <c r="D54" s="5"/>
      <c r="E54" s="50">
        <v>0.52828421561106764</v>
      </c>
      <c r="F54" s="50"/>
      <c r="G54" s="40"/>
      <c r="H54" s="5"/>
      <c r="I54" s="13"/>
      <c r="J54" s="14"/>
      <c r="K54" s="15">
        <v>2.7282828826444283E-2</v>
      </c>
      <c r="L54" s="14"/>
      <c r="M54" s="16"/>
      <c r="N54" s="12">
        <v>1.2966644761670934E-2</v>
      </c>
      <c r="O54" s="12">
        <v>1.5506334001401201E-3</v>
      </c>
      <c r="P54" s="45">
        <v>111622688.71331</v>
      </c>
      <c r="Q54" s="45">
        <v>1910531.415957649</v>
      </c>
      <c r="R54" s="45">
        <v>114303450.16706443</v>
      </c>
      <c r="S54" s="45">
        <v>1915533.6938388397</v>
      </c>
      <c r="T54" s="45">
        <v>29169253</v>
      </c>
      <c r="U54" s="45">
        <v>446340</v>
      </c>
      <c r="V54" s="41"/>
      <c r="W54" s="45">
        <v>1942269.6925522909</v>
      </c>
    </row>
    <row r="55" spans="2:24" s="17" customFormat="1" ht="15" x14ac:dyDescent="0.25">
      <c r="B55" s="11" t="s">
        <v>4714</v>
      </c>
      <c r="C55" s="11"/>
      <c r="D55" s="5"/>
      <c r="E55" s="50"/>
      <c r="F55" s="50"/>
      <c r="G55" s="40"/>
      <c r="H55" s="5"/>
      <c r="I55" s="13"/>
      <c r="J55" s="8" t="s">
        <v>4724</v>
      </c>
      <c r="K55" s="16"/>
      <c r="L55" s="14"/>
      <c r="M55" s="16"/>
      <c r="N55" s="12"/>
      <c r="O55" s="12"/>
      <c r="P55" s="45"/>
      <c r="Q55" s="45"/>
      <c r="R55" s="45"/>
      <c r="S55" s="45"/>
      <c r="T55" s="45"/>
      <c r="U55" s="45"/>
      <c r="V55" s="41"/>
      <c r="W55" s="45"/>
    </row>
    <row r="56" spans="2:24" s="17" customFormat="1" ht="15" x14ac:dyDescent="0.25">
      <c r="B56" s="43" t="s">
        <v>4783</v>
      </c>
      <c r="C56" s="11"/>
      <c r="D56" s="5" t="s">
        <v>4774</v>
      </c>
      <c r="E56" s="50"/>
      <c r="F56" s="40">
        <v>-60</v>
      </c>
      <c r="G56" s="40"/>
      <c r="H56" s="53">
        <v>50.857999999999997</v>
      </c>
      <c r="I56" s="51">
        <v>51.230000000000004</v>
      </c>
      <c r="J56" s="74">
        <v>10</v>
      </c>
      <c r="K56" s="15"/>
      <c r="L56" s="14"/>
      <c r="M56" s="16" t="s">
        <v>15</v>
      </c>
      <c r="N56" s="12"/>
      <c r="O56" s="12"/>
      <c r="P56" s="45"/>
      <c r="Q56" s="45"/>
      <c r="R56" s="45"/>
      <c r="S56" s="45"/>
      <c r="T56" s="40">
        <v>61248</v>
      </c>
      <c r="U56" s="45">
        <v>1034</v>
      </c>
      <c r="V56" s="41"/>
      <c r="W56" s="45"/>
      <c r="X56" s="17" t="s">
        <v>4775</v>
      </c>
    </row>
    <row r="57" spans="2:24" s="17" customFormat="1" ht="15" x14ac:dyDescent="0.25">
      <c r="B57" s="43" t="s">
        <v>4748</v>
      </c>
      <c r="C57" s="11"/>
      <c r="D57" s="5" t="s">
        <v>4736</v>
      </c>
      <c r="E57" s="50"/>
      <c r="F57" s="40">
        <v>-31</v>
      </c>
      <c r="G57" s="40"/>
      <c r="H57" s="53">
        <v>60594.691489361699</v>
      </c>
      <c r="I57" s="51">
        <v>60068</v>
      </c>
      <c r="J57" s="74">
        <v>1</v>
      </c>
      <c r="K57" s="15"/>
      <c r="L57" s="14"/>
      <c r="M57" s="16" t="s">
        <v>4650</v>
      </c>
      <c r="N57" s="12"/>
      <c r="O57" s="12"/>
      <c r="P57" s="45"/>
      <c r="Q57" s="45"/>
      <c r="R57" s="45"/>
      <c r="S57" s="45"/>
      <c r="T57" s="40">
        <v>141071</v>
      </c>
      <c r="U57" s="45">
        <v>2407</v>
      </c>
      <c r="V57" s="41"/>
      <c r="W57" s="45"/>
      <c r="X57" s="17" t="s">
        <v>4737</v>
      </c>
    </row>
    <row r="58" spans="2:24" s="17" customFormat="1" ht="15" x14ac:dyDescent="0.25">
      <c r="B58" s="43" t="s">
        <v>4785</v>
      </c>
      <c r="C58" s="11"/>
      <c r="D58" s="5" t="s">
        <v>4776</v>
      </c>
      <c r="E58" s="50"/>
      <c r="F58" s="40">
        <v>-250</v>
      </c>
      <c r="G58" s="40"/>
      <c r="H58" s="53">
        <v>17190.247999999992</v>
      </c>
      <c r="I58" s="51">
        <v>17538</v>
      </c>
      <c r="J58" s="74">
        <v>100</v>
      </c>
      <c r="K58" s="15"/>
      <c r="L58" s="14"/>
      <c r="M58" s="16" t="s">
        <v>4650</v>
      </c>
      <c r="N58" s="12"/>
      <c r="O58" s="12"/>
      <c r="P58" s="45"/>
      <c r="Q58" s="45"/>
      <c r="R58" s="45"/>
      <c r="S58" s="45"/>
      <c r="T58" s="40">
        <v>-55188</v>
      </c>
      <c r="U58" s="45">
        <v>-921</v>
      </c>
      <c r="V58" s="41"/>
      <c r="W58" s="45"/>
      <c r="X58" s="17" t="s">
        <v>4737</v>
      </c>
    </row>
    <row r="59" spans="2:24" s="17" customFormat="1" ht="15" hidden="1" x14ac:dyDescent="0.25">
      <c r="B59" s="11"/>
      <c r="C59" s="11"/>
      <c r="D59" s="5"/>
      <c r="E59" s="50"/>
      <c r="F59" s="50"/>
      <c r="G59" s="40"/>
      <c r="H59" s="5"/>
      <c r="I59" s="13"/>
      <c r="J59" s="14"/>
      <c r="K59" s="15"/>
      <c r="L59" s="14"/>
      <c r="M59" s="16"/>
      <c r="N59" s="12"/>
      <c r="O59" s="12"/>
      <c r="P59" s="45"/>
      <c r="Q59" s="45"/>
      <c r="R59" s="45"/>
      <c r="S59" s="45"/>
      <c r="T59" s="45"/>
      <c r="U59" s="45"/>
      <c r="V59" s="41"/>
      <c r="W59" s="45"/>
    </row>
    <row r="60" spans="2:24" s="17" customFormat="1" ht="15" hidden="1" x14ac:dyDescent="0.25">
      <c r="B60" s="11"/>
      <c r="C60" s="11"/>
      <c r="D60" s="5"/>
      <c r="E60" s="50"/>
      <c r="F60" s="50"/>
      <c r="G60" s="40"/>
      <c r="H60" s="5"/>
      <c r="I60" s="13"/>
      <c r="J60" s="14"/>
      <c r="K60" s="15"/>
      <c r="L60" s="14"/>
      <c r="M60" s="16"/>
      <c r="N60" s="12"/>
      <c r="O60" s="12"/>
      <c r="P60" s="45"/>
      <c r="Q60" s="45"/>
      <c r="R60" s="45"/>
      <c r="S60" s="45"/>
      <c r="T60" s="45"/>
      <c r="U60" s="45"/>
      <c r="V60" s="41"/>
      <c r="W60" s="45"/>
    </row>
    <row r="61" spans="2:24" s="17" customFormat="1" ht="15" hidden="1" x14ac:dyDescent="0.25">
      <c r="B61" s="11"/>
      <c r="C61" s="11"/>
      <c r="D61" s="5"/>
      <c r="E61" s="50"/>
      <c r="F61" s="50"/>
      <c r="G61" s="40"/>
      <c r="H61" s="5"/>
      <c r="I61" s="13"/>
      <c r="J61" s="14"/>
      <c r="K61" s="15"/>
      <c r="L61" s="14"/>
      <c r="M61" s="16"/>
      <c r="N61" s="12"/>
      <c r="O61" s="12"/>
      <c r="P61" s="45"/>
      <c r="Q61" s="45"/>
      <c r="R61" s="45"/>
      <c r="S61" s="45"/>
      <c r="T61" s="45"/>
      <c r="U61" s="45"/>
      <c r="V61" s="41"/>
      <c r="W61" s="45"/>
    </row>
    <row r="62" spans="2:24" s="17" customFormat="1" ht="15" hidden="1" x14ac:dyDescent="0.25">
      <c r="B62" s="11"/>
      <c r="C62" s="11"/>
      <c r="D62" s="5"/>
      <c r="E62" s="50"/>
      <c r="F62" s="50"/>
      <c r="G62" s="40"/>
      <c r="H62" s="5"/>
      <c r="I62" s="13"/>
      <c r="J62" s="14"/>
      <c r="K62" s="15"/>
      <c r="L62" s="14"/>
      <c r="M62" s="16"/>
      <c r="N62" s="12"/>
      <c r="O62" s="12"/>
      <c r="P62" s="45"/>
      <c r="Q62" s="45"/>
      <c r="R62" s="45"/>
      <c r="S62" s="45"/>
      <c r="T62" s="45"/>
      <c r="U62" s="45"/>
      <c r="V62" s="41"/>
      <c r="W62" s="45"/>
    </row>
    <row r="63" spans="2:24" s="17" customFormat="1" ht="15" hidden="1" x14ac:dyDescent="0.25">
      <c r="B63" s="11"/>
      <c r="C63" s="11"/>
      <c r="D63" s="5"/>
      <c r="E63" s="50"/>
      <c r="F63" s="50"/>
      <c r="G63" s="40"/>
      <c r="H63" s="5"/>
      <c r="I63" s="13"/>
      <c r="J63" s="14"/>
      <c r="K63" s="15"/>
      <c r="L63" s="14"/>
      <c r="M63" s="16"/>
      <c r="N63" s="12"/>
      <c r="O63" s="12"/>
      <c r="P63" s="45"/>
      <c r="Q63" s="45"/>
      <c r="R63" s="45"/>
      <c r="S63" s="45"/>
      <c r="T63" s="45"/>
      <c r="U63" s="45"/>
      <c r="V63" s="41"/>
      <c r="W63" s="45"/>
    </row>
    <row r="64" spans="2:24" s="17" customFormat="1" ht="15" hidden="1" x14ac:dyDescent="0.25">
      <c r="B64" s="11"/>
      <c r="C64" s="11"/>
      <c r="D64" s="5"/>
      <c r="E64" s="50"/>
      <c r="F64" s="50"/>
      <c r="G64" s="40"/>
      <c r="H64" s="5"/>
      <c r="I64" s="13"/>
      <c r="J64" s="14"/>
      <c r="K64" s="15"/>
      <c r="L64" s="14"/>
      <c r="M64" s="16"/>
      <c r="N64" s="12"/>
      <c r="O64" s="12"/>
      <c r="P64" s="45"/>
      <c r="Q64" s="45"/>
      <c r="R64" s="45"/>
      <c r="S64" s="45"/>
      <c r="T64" s="45"/>
      <c r="U64" s="45"/>
      <c r="V64" s="41"/>
      <c r="W64" s="45"/>
    </row>
    <row r="65" spans="2:25" s="17" customFormat="1" ht="15" hidden="1" x14ac:dyDescent="0.25">
      <c r="B65" s="11"/>
      <c r="C65" s="11"/>
      <c r="D65" s="5"/>
      <c r="E65" s="50"/>
      <c r="F65" s="50"/>
      <c r="G65" s="40"/>
      <c r="H65" s="5"/>
      <c r="I65" s="13"/>
      <c r="J65" s="14"/>
      <c r="K65" s="15"/>
      <c r="L65" s="14"/>
      <c r="M65" s="16"/>
      <c r="N65" s="12"/>
      <c r="O65" s="12"/>
      <c r="P65" s="45"/>
      <c r="Q65" s="45"/>
      <c r="R65" s="45"/>
      <c r="S65" s="45"/>
      <c r="T65" s="45"/>
      <c r="U65" s="45"/>
      <c r="V65" s="41"/>
      <c r="W65" s="45"/>
    </row>
    <row r="66" spans="2:25" s="17" customFormat="1" ht="15" hidden="1" x14ac:dyDescent="0.25">
      <c r="B66" s="11"/>
      <c r="C66" s="11"/>
      <c r="D66" s="5"/>
      <c r="E66" s="50"/>
      <c r="F66" s="50"/>
      <c r="G66" s="40"/>
      <c r="H66" s="5"/>
      <c r="I66" s="13"/>
      <c r="J66" s="14"/>
      <c r="K66" s="15"/>
      <c r="L66" s="14"/>
      <c r="M66" s="16"/>
      <c r="N66" s="12"/>
      <c r="O66" s="12"/>
      <c r="P66" s="45"/>
      <c r="Q66" s="45"/>
      <c r="R66" s="45"/>
      <c r="S66" s="45"/>
      <c r="T66" s="45"/>
      <c r="U66" s="45"/>
      <c r="V66" s="41"/>
      <c r="W66" s="45"/>
    </row>
    <row r="67" spans="2:25" s="17" customFormat="1" ht="15" hidden="1" x14ac:dyDescent="0.25">
      <c r="B67" s="11"/>
      <c r="C67" s="11"/>
      <c r="D67" s="5"/>
      <c r="E67" s="50"/>
      <c r="F67" s="50"/>
      <c r="G67" s="40"/>
      <c r="H67" s="5"/>
      <c r="I67" s="13"/>
      <c r="J67" s="14"/>
      <c r="K67" s="15"/>
      <c r="L67" s="14"/>
      <c r="M67" s="16"/>
      <c r="N67" s="12"/>
      <c r="O67" s="12"/>
      <c r="P67" s="45"/>
      <c r="Q67" s="45"/>
      <c r="R67" s="45"/>
      <c r="S67" s="45"/>
      <c r="T67" s="45"/>
      <c r="U67" s="45"/>
      <c r="V67" s="41"/>
      <c r="W67" s="45"/>
    </row>
    <row r="68" spans="2:25" s="17" customFormat="1" ht="15" hidden="1" x14ac:dyDescent="0.25">
      <c r="B68" s="11"/>
      <c r="C68" s="11"/>
      <c r="D68" s="5"/>
      <c r="E68" s="50"/>
      <c r="F68" s="50"/>
      <c r="G68" s="40"/>
      <c r="H68" s="5"/>
      <c r="I68" s="13"/>
      <c r="J68" s="14"/>
      <c r="K68" s="15"/>
      <c r="L68" s="14"/>
      <c r="M68" s="16"/>
      <c r="N68" s="12"/>
      <c r="O68" s="12"/>
      <c r="P68" s="45"/>
      <c r="Q68" s="45"/>
      <c r="R68" s="45"/>
      <c r="S68" s="45"/>
      <c r="T68" s="45"/>
      <c r="U68" s="45"/>
      <c r="V68" s="41"/>
      <c r="W68" s="45"/>
    </row>
    <row r="69" spans="2:25" s="17" customFormat="1" ht="15" hidden="1" x14ac:dyDescent="0.25">
      <c r="B69" s="11"/>
      <c r="C69" s="11"/>
      <c r="D69" s="5"/>
      <c r="E69" s="50"/>
      <c r="F69" s="50"/>
      <c r="G69" s="40"/>
      <c r="H69" s="5"/>
      <c r="I69" s="13"/>
      <c r="J69" s="14"/>
      <c r="K69" s="15"/>
      <c r="L69" s="14"/>
      <c r="M69" s="16"/>
      <c r="N69" s="12"/>
      <c r="O69" s="12"/>
      <c r="P69" s="45"/>
      <c r="Q69" s="45"/>
      <c r="R69" s="45"/>
      <c r="S69" s="45"/>
      <c r="T69" s="45"/>
      <c r="U69" s="45"/>
      <c r="V69" s="41"/>
      <c r="W69" s="45"/>
    </row>
    <row r="70" spans="2:25" s="17" customFormat="1" ht="15" hidden="1" x14ac:dyDescent="0.25">
      <c r="B70" s="11"/>
      <c r="C70" s="11"/>
      <c r="D70" s="5"/>
      <c r="E70" s="50"/>
      <c r="F70" s="50"/>
      <c r="G70" s="40"/>
      <c r="H70" s="5"/>
      <c r="I70" s="13"/>
      <c r="J70" s="14"/>
      <c r="K70" s="15"/>
      <c r="L70" s="14"/>
      <c r="M70" s="16"/>
      <c r="N70" s="12"/>
      <c r="O70" s="12"/>
      <c r="P70" s="45"/>
      <c r="Q70" s="45"/>
      <c r="R70" s="45"/>
      <c r="S70" s="45"/>
      <c r="T70" s="45"/>
      <c r="U70" s="45"/>
      <c r="V70" s="41"/>
      <c r="W70" s="45"/>
    </row>
    <row r="71" spans="2:25" s="17" customFormat="1" ht="15" hidden="1" x14ac:dyDescent="0.25">
      <c r="B71" s="11"/>
      <c r="C71" s="11"/>
      <c r="D71" s="5"/>
      <c r="E71" s="50"/>
      <c r="F71" s="50"/>
      <c r="G71" s="40"/>
      <c r="H71" s="5"/>
      <c r="I71" s="13"/>
      <c r="J71" s="14"/>
      <c r="K71" s="15"/>
      <c r="L71" s="14"/>
      <c r="M71" s="16"/>
      <c r="N71" s="12"/>
      <c r="O71" s="12"/>
      <c r="P71" s="45"/>
      <c r="Q71" s="45"/>
      <c r="R71" s="45"/>
      <c r="S71" s="45"/>
      <c r="T71" s="45"/>
      <c r="U71" s="45"/>
      <c r="V71" s="41"/>
      <c r="W71" s="45"/>
    </row>
    <row r="72" spans="2:25" s="17" customFormat="1" ht="15" hidden="1" x14ac:dyDescent="0.25">
      <c r="B72" s="11"/>
      <c r="C72" s="11"/>
      <c r="D72" s="5"/>
      <c r="E72" s="50"/>
      <c r="F72" s="50"/>
      <c r="G72" s="40"/>
      <c r="H72" s="5"/>
      <c r="I72" s="13"/>
      <c r="J72" s="14"/>
      <c r="K72" s="15"/>
      <c r="L72" s="14"/>
      <c r="M72" s="16"/>
      <c r="N72" s="12"/>
      <c r="O72" s="12"/>
      <c r="P72" s="45"/>
      <c r="Q72" s="45"/>
      <c r="R72" s="45"/>
      <c r="S72" s="45"/>
      <c r="T72" s="45"/>
      <c r="U72" s="45"/>
      <c r="V72" s="41"/>
      <c r="W72" s="45"/>
    </row>
    <row r="73" spans="2:25" s="17" customFormat="1" ht="15" hidden="1" x14ac:dyDescent="0.25">
      <c r="B73" s="11"/>
      <c r="C73" s="11"/>
      <c r="D73" s="5"/>
      <c r="E73" s="50"/>
      <c r="F73" s="50"/>
      <c r="G73" s="40"/>
      <c r="H73" s="5"/>
      <c r="I73" s="13"/>
      <c r="J73" s="14"/>
      <c r="K73" s="15"/>
      <c r="L73" s="14"/>
      <c r="M73" s="16"/>
      <c r="N73" s="12"/>
      <c r="O73" s="12"/>
      <c r="P73" s="45"/>
      <c r="Q73" s="45"/>
      <c r="R73" s="45"/>
      <c r="S73" s="45"/>
      <c r="T73" s="45"/>
      <c r="U73" s="45"/>
      <c r="V73" s="41"/>
      <c r="W73" s="45"/>
    </row>
    <row r="74" spans="2:25" s="17" customFormat="1" ht="15" hidden="1" x14ac:dyDescent="0.25">
      <c r="B74" s="11"/>
      <c r="C74" s="11"/>
      <c r="D74" s="5"/>
      <c r="E74" s="50"/>
      <c r="F74" s="50"/>
      <c r="G74" s="40"/>
      <c r="H74" s="5"/>
      <c r="I74" s="13"/>
      <c r="J74" s="14"/>
      <c r="K74" s="15"/>
      <c r="L74" s="14"/>
      <c r="M74" s="16"/>
      <c r="N74" s="12"/>
      <c r="O74" s="12"/>
      <c r="P74" s="45"/>
      <c r="Q74" s="45"/>
      <c r="R74" s="45"/>
      <c r="S74" s="45"/>
      <c r="T74" s="45"/>
      <c r="U74" s="45"/>
      <c r="V74" s="41"/>
      <c r="W74" s="45"/>
    </row>
    <row r="75" spans="2:25" s="17" customFormat="1" ht="15" x14ac:dyDescent="0.25">
      <c r="B75" s="11"/>
      <c r="C75" s="11"/>
      <c r="D75" s="5"/>
      <c r="E75" s="50"/>
      <c r="F75" s="50"/>
      <c r="G75" s="40"/>
      <c r="H75" s="5"/>
      <c r="I75" s="13"/>
      <c r="J75" s="14"/>
      <c r="K75" s="15"/>
      <c r="L75" s="14"/>
      <c r="M75" s="16"/>
      <c r="N75" s="12"/>
      <c r="O75" s="12"/>
      <c r="P75" s="45"/>
      <c r="Q75" s="45"/>
      <c r="R75" s="45"/>
      <c r="S75" s="45"/>
      <c r="T75" s="45">
        <v>147131</v>
      </c>
      <c r="U75" s="45">
        <v>2520</v>
      </c>
      <c r="V75" s="41"/>
      <c r="W75" s="45"/>
    </row>
    <row r="76" spans="2:25" x14ac:dyDescent="0.2">
      <c r="B76" s="18" t="s">
        <v>19</v>
      </c>
      <c r="C76" s="18"/>
      <c r="D76" s="18"/>
      <c r="E76" s="19">
        <v>8.9080031424772776E-2</v>
      </c>
      <c r="F76" s="19"/>
      <c r="G76" s="20"/>
      <c r="H76" s="21"/>
      <c r="I76" s="22"/>
      <c r="J76" s="23"/>
      <c r="K76" s="23"/>
      <c r="L76" s="23"/>
      <c r="M76" s="23"/>
      <c r="N76" s="24"/>
      <c r="O76" s="24"/>
      <c r="P76" s="20"/>
      <c r="Q76" s="20"/>
      <c r="R76" s="20">
        <v>19276478.5</v>
      </c>
      <c r="S76" s="25">
        <v>323000</v>
      </c>
      <c r="T76" s="26"/>
      <c r="U76" s="27"/>
      <c r="V76" s="23"/>
      <c r="W76" s="25">
        <v>323000</v>
      </c>
      <c r="X76" s="23"/>
      <c r="Y76" s="23"/>
    </row>
    <row r="77" spans="2:25" ht="13.5" customHeight="1" thickBot="1" x14ac:dyDescent="0.25">
      <c r="B77" s="29"/>
      <c r="C77" s="29"/>
      <c r="D77" s="29"/>
      <c r="E77" s="30">
        <v>0.99999999999999978</v>
      </c>
      <c r="F77" s="30"/>
      <c r="G77" s="29"/>
      <c r="H77" s="29"/>
      <c r="I77" s="29"/>
      <c r="J77" s="31"/>
      <c r="K77" s="30"/>
      <c r="L77" s="31"/>
      <c r="M77" s="31"/>
      <c r="N77" s="32"/>
      <c r="O77" s="32"/>
      <c r="P77" s="33">
        <v>194562863.25811732</v>
      </c>
      <c r="Q77" s="33">
        <v>3337180.5526523245</v>
      </c>
      <c r="R77" s="33">
        <v>216395116.46203414</v>
      </c>
      <c r="S77" s="33">
        <v>3625952.9193450091</v>
      </c>
      <c r="T77" s="33">
        <v>33512255</v>
      </c>
      <c r="U77" s="33">
        <v>475854</v>
      </c>
      <c r="V77" s="32">
        <v>4.7779461881456972E-2</v>
      </c>
      <c r="W77" s="33">
        <v>3652688.9180584606</v>
      </c>
      <c r="X77" s="32"/>
      <c r="Y77" s="32"/>
    </row>
    <row r="78" spans="2:25" ht="13.5" customHeight="1" x14ac:dyDescent="0.2">
      <c r="B78" s="34"/>
      <c r="C78" s="34"/>
      <c r="D78" s="34"/>
      <c r="E78" s="35"/>
      <c r="F78" s="35"/>
      <c r="G78" s="34"/>
      <c r="H78" s="34"/>
      <c r="I78" s="34"/>
      <c r="K78" s="34"/>
      <c r="L78" s="34"/>
      <c r="M78" s="34"/>
      <c r="N78" s="34"/>
      <c r="O78" s="34"/>
      <c r="P78" s="34"/>
      <c r="Q78" s="36"/>
      <c r="R78" s="37"/>
      <c r="S78" s="38"/>
      <c r="T78" s="39"/>
      <c r="U78" s="39"/>
      <c r="V78" s="39"/>
      <c r="W78" s="39"/>
      <c r="X78" s="39"/>
      <c r="Y78" s="39"/>
    </row>
    <row r="79" spans="2:25" x14ac:dyDescent="0.2">
      <c r="B79" s="11" t="s">
        <v>4685</v>
      </c>
    </row>
    <row r="80" spans="2:25" s="62" customFormat="1" ht="15" customHeight="1" x14ac:dyDescent="0.25">
      <c r="B80" s="63" t="s">
        <v>4719</v>
      </c>
      <c r="C80" s="63"/>
      <c r="D80" s="64" t="s">
        <v>4721</v>
      </c>
      <c r="E80" s="65"/>
      <c r="F80" s="66"/>
      <c r="G80" s="66"/>
      <c r="H80" s="67"/>
      <c r="I80" s="68"/>
      <c r="J80" s="69"/>
      <c r="K80" s="65"/>
      <c r="L80" s="69"/>
      <c r="M80" s="70" t="s">
        <v>4650</v>
      </c>
      <c r="N80" s="65"/>
      <c r="O80" s="65"/>
      <c r="P80" s="66"/>
      <c r="Q80" s="66"/>
      <c r="R80" s="66"/>
      <c r="S80" s="66"/>
      <c r="T80" s="66">
        <v>-23602</v>
      </c>
      <c r="U80" s="66">
        <v>-401</v>
      </c>
      <c r="V80" s="71"/>
      <c r="W80" s="66"/>
      <c r="X80" s="72"/>
      <c r="Y80" s="73"/>
    </row>
    <row r="81" spans="2:25" s="62" customFormat="1" ht="15" customHeight="1" x14ac:dyDescent="0.25">
      <c r="B81" s="63" t="s">
        <v>4718</v>
      </c>
      <c r="C81" s="63"/>
      <c r="D81" s="64" t="s">
        <v>4709</v>
      </c>
      <c r="E81" s="65"/>
      <c r="F81" s="66"/>
      <c r="G81" s="66"/>
      <c r="H81" s="67"/>
      <c r="I81" s="68"/>
      <c r="J81" s="69"/>
      <c r="K81" s="65"/>
      <c r="L81" s="69"/>
      <c r="M81" s="70" t="s">
        <v>4650</v>
      </c>
      <c r="N81" s="65"/>
      <c r="O81" s="65"/>
      <c r="P81" s="66"/>
      <c r="Q81" s="66"/>
      <c r="R81" s="66"/>
      <c r="S81" s="66"/>
      <c r="T81" s="66">
        <v>-348505</v>
      </c>
      <c r="U81" s="66">
        <v>-6095</v>
      </c>
      <c r="V81" s="71"/>
      <c r="W81" s="66"/>
      <c r="X81" s="72"/>
      <c r="Y81" s="73"/>
    </row>
    <row r="82" spans="2:25" s="62" customFormat="1" ht="15" hidden="1" customHeight="1" x14ac:dyDescent="0.25">
      <c r="B82" s="63"/>
      <c r="C82" s="63"/>
      <c r="D82" s="64"/>
      <c r="E82" s="65"/>
      <c r="F82" s="66"/>
      <c r="G82" s="66"/>
      <c r="H82" s="67"/>
      <c r="I82" s="68"/>
      <c r="J82" s="69"/>
      <c r="K82" s="65"/>
      <c r="L82" s="69"/>
      <c r="M82" s="70"/>
      <c r="N82" s="65"/>
      <c r="O82" s="65"/>
      <c r="P82" s="66"/>
      <c r="Q82" s="66"/>
      <c r="R82" s="66"/>
      <c r="S82" s="66"/>
      <c r="T82" s="66">
        <v>0</v>
      </c>
      <c r="U82" s="66">
        <v>0</v>
      </c>
      <c r="V82" s="71"/>
      <c r="W82" s="66"/>
      <c r="X82" s="72"/>
      <c r="Y82" s="73"/>
    </row>
    <row r="83" spans="2:25" s="62" customFormat="1" ht="15" customHeight="1" x14ac:dyDescent="0.25">
      <c r="B83" s="63" t="s">
        <v>4715</v>
      </c>
      <c r="C83" s="63"/>
      <c r="D83" s="64" t="s">
        <v>4722</v>
      </c>
      <c r="E83" s="65"/>
      <c r="F83" s="66"/>
      <c r="G83" s="66"/>
      <c r="H83" s="67"/>
      <c r="I83" s="68"/>
      <c r="J83" s="69"/>
      <c r="K83" s="65"/>
      <c r="L83" s="69"/>
      <c r="M83" s="70" t="s">
        <v>15</v>
      </c>
      <c r="N83" s="65"/>
      <c r="O83" s="65"/>
      <c r="P83" s="66"/>
      <c r="Q83" s="66"/>
      <c r="R83" s="66"/>
      <c r="S83" s="66"/>
      <c r="T83" s="66">
        <v>122111</v>
      </c>
      <c r="U83" s="66">
        <v>2183</v>
      </c>
      <c r="V83" s="71"/>
      <c r="W83" s="66"/>
      <c r="X83" s="72"/>
      <c r="Y83" s="73"/>
    </row>
    <row r="84" spans="2:25" s="62" customFormat="1" ht="15" customHeight="1" x14ac:dyDescent="0.25">
      <c r="B84" s="63" t="s">
        <v>4717</v>
      </c>
      <c r="C84" s="63"/>
      <c r="D84" s="64" t="s">
        <v>4723</v>
      </c>
      <c r="E84" s="65"/>
      <c r="F84" s="66"/>
      <c r="G84" s="66"/>
      <c r="H84" s="67"/>
      <c r="I84" s="68"/>
      <c r="J84" s="69"/>
      <c r="K84" s="65"/>
      <c r="L84" s="69"/>
      <c r="M84" s="70" t="s">
        <v>15</v>
      </c>
      <c r="N84" s="65"/>
      <c r="O84" s="65"/>
      <c r="P84" s="66"/>
      <c r="Q84" s="66"/>
      <c r="R84" s="66"/>
      <c r="S84" s="66"/>
      <c r="T84" s="66">
        <v>166012</v>
      </c>
      <c r="U84" s="66">
        <v>2941</v>
      </c>
      <c r="V84" s="71"/>
      <c r="W84" s="66"/>
      <c r="X84" s="72"/>
      <c r="Y84" s="73"/>
    </row>
    <row r="85" spans="2:25" s="62" customFormat="1" ht="15" customHeight="1" x14ac:dyDescent="0.25">
      <c r="B85" s="63" t="s">
        <v>4716</v>
      </c>
      <c r="C85" s="63"/>
      <c r="D85" s="64" t="s">
        <v>4708</v>
      </c>
      <c r="E85" s="65"/>
      <c r="F85" s="66"/>
      <c r="G85" s="66"/>
      <c r="H85" s="67"/>
      <c r="I85" s="68"/>
      <c r="J85" s="69"/>
      <c r="K85" s="65"/>
      <c r="L85" s="69"/>
      <c r="M85" s="70" t="s">
        <v>15</v>
      </c>
      <c r="N85" s="65"/>
      <c r="O85" s="65"/>
      <c r="P85" s="66"/>
      <c r="Q85" s="66"/>
      <c r="R85" s="66"/>
      <c r="S85" s="66"/>
      <c r="T85" s="66">
        <v>206829</v>
      </c>
      <c r="U85" s="66">
        <v>3630</v>
      </c>
      <c r="V85" s="71"/>
      <c r="W85" s="66"/>
      <c r="X85" s="72"/>
      <c r="Y85" s="73"/>
    </row>
    <row r="86" spans="2:25" s="62" customFormat="1" ht="15" customHeight="1" x14ac:dyDescent="0.25">
      <c r="B86" s="63" t="s">
        <v>4726</v>
      </c>
      <c r="C86" s="63"/>
      <c r="D86" s="64" t="s">
        <v>4725</v>
      </c>
      <c r="E86" s="65"/>
      <c r="F86" s="66"/>
      <c r="G86" s="66"/>
      <c r="H86" s="67"/>
      <c r="I86" s="68"/>
      <c r="J86" s="69"/>
      <c r="K86" s="65"/>
      <c r="L86" s="69"/>
      <c r="M86" s="70" t="s">
        <v>15</v>
      </c>
      <c r="N86" s="65"/>
      <c r="O86" s="65"/>
      <c r="P86" s="66"/>
      <c r="Q86" s="66"/>
      <c r="R86" s="66"/>
      <c r="S86" s="66"/>
      <c r="T86" s="66">
        <v>-176159</v>
      </c>
      <c r="U86" s="66">
        <v>-3090</v>
      </c>
      <c r="V86" s="71"/>
      <c r="W86" s="66"/>
      <c r="X86" s="72"/>
      <c r="Y86" s="73"/>
    </row>
    <row r="87" spans="2:25" s="62" customFormat="1" ht="15" customHeight="1" x14ac:dyDescent="0.25">
      <c r="B87" s="63" t="s">
        <v>4750</v>
      </c>
      <c r="C87" s="63"/>
      <c r="D87" s="64" t="s">
        <v>4751</v>
      </c>
      <c r="E87" s="65"/>
      <c r="F87" s="66"/>
      <c r="G87" s="66"/>
      <c r="H87" s="67"/>
      <c r="I87" s="68"/>
      <c r="J87" s="69"/>
      <c r="K87" s="65"/>
      <c r="L87" s="69"/>
      <c r="M87" s="70" t="s">
        <v>15</v>
      </c>
      <c r="N87" s="65"/>
      <c r="O87" s="65"/>
      <c r="P87" s="66"/>
      <c r="Q87" s="66"/>
      <c r="R87" s="66"/>
      <c r="S87" s="66"/>
      <c r="T87" s="66">
        <v>135986</v>
      </c>
      <c r="U87" s="66">
        <v>2282</v>
      </c>
      <c r="V87" s="71"/>
      <c r="W87" s="66"/>
      <c r="X87" s="72"/>
      <c r="Y87" s="73"/>
    </row>
    <row r="88" spans="2:25" s="62" customFormat="1" ht="15" customHeight="1" x14ac:dyDescent="0.25">
      <c r="B88" s="63" t="s">
        <v>4784</v>
      </c>
      <c r="C88" s="63"/>
      <c r="D88" s="64" t="s">
        <v>4786</v>
      </c>
      <c r="E88" s="65"/>
      <c r="F88" s="66"/>
      <c r="G88" s="66"/>
      <c r="H88" s="67"/>
      <c r="I88" s="68"/>
      <c r="J88" s="69"/>
      <c r="K88" s="65"/>
      <c r="L88" s="69"/>
      <c r="M88" s="70" t="s">
        <v>15</v>
      </c>
      <c r="N88" s="65"/>
      <c r="O88" s="65"/>
      <c r="P88" s="66"/>
      <c r="Q88" s="66"/>
      <c r="R88" s="66"/>
      <c r="S88" s="66"/>
      <c r="T88" s="66">
        <v>-9191</v>
      </c>
      <c r="U88" s="66">
        <v>-151</v>
      </c>
      <c r="V88" s="71"/>
      <c r="W88" s="66"/>
      <c r="X88" s="72"/>
      <c r="Y88" s="73"/>
    </row>
    <row r="89" spans="2:25" s="17" customFormat="1" ht="15" customHeight="1" x14ac:dyDescent="0.25">
      <c r="B89" s="43" t="s">
        <v>4781</v>
      </c>
      <c r="C89" s="43" t="s">
        <v>4782</v>
      </c>
      <c r="D89" s="5"/>
      <c r="E89" s="12"/>
      <c r="F89" s="40"/>
      <c r="G89" s="40"/>
      <c r="H89" s="53"/>
      <c r="I89" s="51"/>
      <c r="J89" s="14"/>
      <c r="K89" s="12"/>
      <c r="L89" s="14"/>
      <c r="M89" s="16"/>
      <c r="N89" s="12"/>
      <c r="O89" s="12"/>
      <c r="P89" s="40"/>
      <c r="Q89" s="40"/>
      <c r="R89" s="40"/>
      <c r="S89" s="40"/>
      <c r="T89" s="40">
        <v>2853153</v>
      </c>
      <c r="U89" s="40">
        <v>45592</v>
      </c>
      <c r="V89" s="41"/>
      <c r="W89" s="40"/>
      <c r="X89" s="54"/>
      <c r="Y89" s="55"/>
    </row>
    <row r="90" spans="2:25" s="17" customFormat="1" ht="15" customHeight="1" x14ac:dyDescent="0.25">
      <c r="B90" s="43" t="s">
        <v>695</v>
      </c>
      <c r="C90" s="43" t="s">
        <v>694</v>
      </c>
      <c r="D90" s="5"/>
      <c r="E90" s="12"/>
      <c r="F90" s="40"/>
      <c r="G90" s="40"/>
      <c r="H90" s="53"/>
      <c r="I90" s="51"/>
      <c r="J90" s="14"/>
      <c r="K90" s="12"/>
      <c r="L90" s="14"/>
      <c r="M90" s="16"/>
      <c r="N90" s="12"/>
      <c r="O90" s="12"/>
      <c r="P90" s="40"/>
      <c r="Q90" s="40"/>
      <c r="R90" s="40"/>
      <c r="S90" s="40"/>
      <c r="T90" s="40">
        <v>-1021649</v>
      </c>
      <c r="U90" s="40">
        <v>-17858</v>
      </c>
      <c r="V90" s="41"/>
      <c r="W90" s="40"/>
      <c r="X90" s="54"/>
      <c r="Y90" s="55"/>
    </row>
    <row r="91" spans="2:25" s="17" customFormat="1" ht="15" customHeight="1" x14ac:dyDescent="0.25">
      <c r="B91" s="43" t="s">
        <v>145</v>
      </c>
      <c r="C91" s="43" t="s">
        <v>144</v>
      </c>
      <c r="D91" s="5"/>
      <c r="E91" s="12"/>
      <c r="F91" s="40"/>
      <c r="G91" s="40"/>
      <c r="H91" s="53"/>
      <c r="I91" s="51"/>
      <c r="J91" s="14"/>
      <c r="K91" s="12"/>
      <c r="L91" s="14"/>
      <c r="M91" s="16"/>
      <c r="N91" s="12"/>
      <c r="O91" s="12"/>
      <c r="P91" s="40"/>
      <c r="Q91" s="40"/>
      <c r="R91" s="40"/>
      <c r="S91" s="40"/>
      <c r="T91" s="40">
        <v>-743295</v>
      </c>
      <c r="U91" s="40">
        <v>-10167</v>
      </c>
      <c r="V91" s="41"/>
      <c r="W91" s="40"/>
      <c r="X91" s="54"/>
      <c r="Y91" s="55"/>
    </row>
    <row r="92" spans="2:25" s="17" customFormat="1" ht="15" customHeight="1" x14ac:dyDescent="0.25">
      <c r="B92" s="43" t="s">
        <v>142</v>
      </c>
      <c r="C92" s="43" t="s">
        <v>141</v>
      </c>
      <c r="D92" s="5"/>
      <c r="E92" s="12"/>
      <c r="F92" s="40"/>
      <c r="G92" s="40"/>
      <c r="H92" s="53"/>
      <c r="I92" s="51"/>
      <c r="J92" s="14"/>
      <c r="K92" s="12"/>
      <c r="L92" s="14"/>
      <c r="M92" s="16"/>
      <c r="N92" s="12"/>
      <c r="O92" s="12"/>
      <c r="P92" s="40"/>
      <c r="Q92" s="40"/>
      <c r="R92" s="40"/>
      <c r="S92" s="40"/>
      <c r="T92" s="40">
        <v>3509019</v>
      </c>
      <c r="U92" s="40">
        <v>148902</v>
      </c>
      <c r="V92" s="41"/>
      <c r="W92" s="40"/>
      <c r="X92" s="54"/>
      <c r="Y92" s="55"/>
    </row>
    <row r="93" spans="2:25" s="17" customFormat="1" ht="15" customHeight="1" x14ac:dyDescent="0.25">
      <c r="B93" s="43" t="s">
        <v>4720</v>
      </c>
      <c r="C93" s="43" t="s">
        <v>48</v>
      </c>
      <c r="D93" s="5"/>
      <c r="E93" s="12"/>
      <c r="F93" s="40"/>
      <c r="G93" s="40"/>
      <c r="H93" s="53"/>
      <c r="I93" s="51"/>
      <c r="J93" s="14"/>
      <c r="K93" s="12"/>
      <c r="L93" s="14"/>
      <c r="M93" s="16"/>
      <c r="N93" s="12"/>
      <c r="O93" s="12"/>
      <c r="P93" s="40"/>
      <c r="Q93" s="40"/>
      <c r="R93" s="40"/>
      <c r="S93" s="40"/>
      <c r="T93" s="40">
        <v>733069</v>
      </c>
      <c r="U93" s="40">
        <v>13684</v>
      </c>
      <c r="V93" s="41"/>
      <c r="W93" s="40"/>
      <c r="X93" s="54"/>
      <c r="Y93" s="55"/>
    </row>
    <row r="94" spans="2:25" s="17" customFormat="1" ht="15" customHeight="1" x14ac:dyDescent="0.25">
      <c r="B94" s="43" t="s">
        <v>4697</v>
      </c>
      <c r="C94" s="43" t="s">
        <v>4698</v>
      </c>
      <c r="D94" s="5"/>
      <c r="E94" s="12"/>
      <c r="F94" s="40"/>
      <c r="G94" s="40"/>
      <c r="H94" s="53"/>
      <c r="I94" s="51"/>
      <c r="J94" s="14"/>
      <c r="K94" s="12"/>
      <c r="L94" s="14"/>
      <c r="M94" s="16"/>
      <c r="N94" s="12"/>
      <c r="O94" s="12"/>
      <c r="P94" s="40"/>
      <c r="Q94" s="40"/>
      <c r="R94" s="40"/>
      <c r="S94" s="40"/>
      <c r="T94" s="40">
        <v>12320002</v>
      </c>
      <c r="U94" s="40">
        <v>211951</v>
      </c>
      <c r="V94" s="41"/>
      <c r="W94" s="40"/>
      <c r="X94" s="54"/>
      <c r="Y94" s="55"/>
    </row>
    <row r="95" spans="2:25" s="17" customFormat="1" ht="15" customHeight="1" x14ac:dyDescent="0.25">
      <c r="B95" s="43" t="s">
        <v>448</v>
      </c>
      <c r="C95" s="43" t="s">
        <v>447</v>
      </c>
      <c r="D95" s="5"/>
      <c r="E95" s="12"/>
      <c r="F95" s="40"/>
      <c r="G95" s="40"/>
      <c r="H95" s="53"/>
      <c r="I95" s="51"/>
      <c r="J95" s="14"/>
      <c r="K95" s="12"/>
      <c r="L95" s="14"/>
      <c r="M95" s="16"/>
      <c r="N95" s="12"/>
      <c r="O95" s="12"/>
      <c r="P95" s="40"/>
      <c r="Q95" s="40"/>
      <c r="R95" s="40"/>
      <c r="S95" s="40"/>
      <c r="T95" s="40">
        <v>206368</v>
      </c>
      <c r="U95" s="40">
        <v>4607</v>
      </c>
      <c r="V95" s="41"/>
      <c r="W95" s="40"/>
      <c r="X95" s="54"/>
      <c r="Y95" s="55"/>
    </row>
    <row r="96" spans="2:25" s="17" customFormat="1" ht="15" hidden="1" customHeight="1" x14ac:dyDescent="0.25">
      <c r="B96" s="43"/>
      <c r="C96" s="43"/>
      <c r="D96" s="5"/>
      <c r="E96" s="12"/>
      <c r="F96" s="40"/>
      <c r="G96" s="40"/>
      <c r="H96" s="53"/>
      <c r="I96" s="51"/>
      <c r="J96" s="14"/>
      <c r="K96" s="12"/>
      <c r="L96" s="14"/>
      <c r="M96" s="16"/>
      <c r="N96" s="12"/>
      <c r="O96" s="12"/>
      <c r="P96" s="40"/>
      <c r="Q96" s="40"/>
      <c r="R96" s="40"/>
      <c r="S96" s="40"/>
      <c r="T96" s="40"/>
      <c r="U96" s="40"/>
      <c r="V96" s="41"/>
      <c r="W96" s="40"/>
      <c r="X96" s="54"/>
      <c r="Y96" s="55"/>
    </row>
    <row r="97" spans="2:25" s="17" customFormat="1" ht="15" customHeight="1" x14ac:dyDescent="0.25">
      <c r="B97" s="43" t="s">
        <v>391</v>
      </c>
      <c r="C97" s="43" t="s">
        <v>390</v>
      </c>
      <c r="D97" s="5"/>
      <c r="E97" s="12"/>
      <c r="F97" s="40"/>
      <c r="G97" s="40"/>
      <c r="H97" s="53"/>
      <c r="I97" s="51"/>
      <c r="J97" s="14"/>
      <c r="K97" s="12"/>
      <c r="L97" s="14"/>
      <c r="M97" s="16"/>
      <c r="N97" s="12"/>
      <c r="O97" s="12"/>
      <c r="P97" s="40"/>
      <c r="Q97" s="40"/>
      <c r="R97" s="40"/>
      <c r="S97" s="40"/>
      <c r="T97" s="40">
        <v>999501</v>
      </c>
      <c r="U97" s="40">
        <v>-9703</v>
      </c>
      <c r="V97" s="41"/>
      <c r="W97" s="40"/>
      <c r="X97" s="54"/>
      <c r="Y97" s="55"/>
    </row>
    <row r="98" spans="2:25" s="17" customFormat="1" ht="15" customHeight="1" x14ac:dyDescent="0.25">
      <c r="B98" s="43" t="s">
        <v>620</v>
      </c>
      <c r="C98" s="43" t="s">
        <v>619</v>
      </c>
      <c r="D98" s="5"/>
      <c r="E98" s="12"/>
      <c r="F98" s="40"/>
      <c r="G98" s="40"/>
      <c r="H98" s="53"/>
      <c r="I98" s="51"/>
      <c r="J98" s="14"/>
      <c r="K98" s="12"/>
      <c r="L98" s="14"/>
      <c r="M98" s="16"/>
      <c r="N98" s="12"/>
      <c r="O98" s="12"/>
      <c r="P98" s="40"/>
      <c r="Q98" s="40"/>
      <c r="R98" s="40"/>
      <c r="S98" s="40"/>
      <c r="T98" s="40">
        <v>204400</v>
      </c>
      <c r="U98" s="40">
        <v>3654</v>
      </c>
      <c r="V98" s="41"/>
      <c r="W98" s="40"/>
      <c r="X98" s="54"/>
      <c r="Y98" s="55"/>
    </row>
    <row r="99" spans="2:25" s="17" customFormat="1" ht="15" customHeight="1" x14ac:dyDescent="0.25">
      <c r="B99" s="43" t="s">
        <v>674</v>
      </c>
      <c r="C99" s="43" t="s">
        <v>673</v>
      </c>
      <c r="D99" s="5"/>
      <c r="E99" s="12"/>
      <c r="F99" s="40"/>
      <c r="G99" s="40"/>
      <c r="H99" s="53"/>
      <c r="I99" s="51"/>
      <c r="J99" s="14"/>
      <c r="K99" s="12"/>
      <c r="L99" s="14"/>
      <c r="M99" s="16"/>
      <c r="N99" s="12"/>
      <c r="O99" s="12"/>
      <c r="P99" s="40"/>
      <c r="Q99" s="40"/>
      <c r="R99" s="40"/>
      <c r="S99" s="40"/>
      <c r="T99" s="40">
        <v>530027</v>
      </c>
      <c r="U99" s="40">
        <v>8951</v>
      </c>
      <c r="V99" s="41"/>
      <c r="W99" s="40"/>
      <c r="X99" s="54"/>
      <c r="Y99" s="55"/>
    </row>
    <row r="100" spans="2:25" s="17" customFormat="1" ht="15" hidden="1" customHeight="1" x14ac:dyDescent="0.25">
      <c r="B100" s="43"/>
      <c r="C100" s="43"/>
      <c r="D100" s="5"/>
      <c r="E100" s="12"/>
      <c r="F100" s="40"/>
      <c r="G100" s="40"/>
      <c r="H100" s="53"/>
      <c r="I100" s="51"/>
      <c r="J100" s="14"/>
      <c r="K100" s="12"/>
      <c r="L100" s="14"/>
      <c r="M100" s="16"/>
      <c r="N100" s="12"/>
      <c r="O100" s="12"/>
      <c r="P100" s="40"/>
      <c r="Q100" s="40"/>
      <c r="R100" s="40"/>
      <c r="S100" s="40"/>
      <c r="T100" s="40"/>
      <c r="U100" s="40"/>
      <c r="V100" s="41"/>
      <c r="W100" s="40"/>
      <c r="X100" s="54"/>
      <c r="Y100" s="55"/>
    </row>
    <row r="101" spans="2:25" s="17" customFormat="1" ht="15" hidden="1" customHeight="1" x14ac:dyDescent="0.25">
      <c r="B101" s="43"/>
      <c r="C101" s="43"/>
      <c r="D101" s="5"/>
      <c r="E101" s="12"/>
      <c r="F101" s="40"/>
      <c r="G101" s="40"/>
      <c r="H101" s="53"/>
      <c r="I101" s="51"/>
      <c r="J101" s="14"/>
      <c r="K101" s="12"/>
      <c r="L101" s="14"/>
      <c r="M101" s="16"/>
      <c r="N101" s="12"/>
      <c r="O101" s="12"/>
      <c r="P101" s="40"/>
      <c r="Q101" s="40"/>
      <c r="R101" s="40"/>
      <c r="S101" s="40"/>
      <c r="T101" s="40"/>
      <c r="U101" s="40"/>
      <c r="V101" s="41"/>
      <c r="W101" s="40"/>
      <c r="X101" s="54"/>
      <c r="Y101" s="55"/>
    </row>
    <row r="102" spans="2:25" s="17" customFormat="1" ht="15" hidden="1" customHeight="1" x14ac:dyDescent="0.25">
      <c r="B102" s="43"/>
      <c r="C102" s="43"/>
      <c r="D102" s="5"/>
      <c r="E102" s="12"/>
      <c r="F102" s="40"/>
      <c r="G102" s="40"/>
      <c r="H102" s="53"/>
      <c r="I102" s="51"/>
      <c r="J102" s="14"/>
      <c r="K102" s="12"/>
      <c r="L102" s="14"/>
      <c r="M102" s="16"/>
      <c r="N102" s="12"/>
      <c r="O102" s="12"/>
      <c r="P102" s="40"/>
      <c r="Q102" s="40"/>
      <c r="R102" s="40"/>
      <c r="S102" s="40"/>
      <c r="T102" s="40"/>
      <c r="U102" s="40"/>
      <c r="V102" s="41"/>
      <c r="W102" s="40"/>
      <c r="X102" s="54"/>
      <c r="Y102" s="55"/>
    </row>
    <row r="103" spans="2:25" s="17" customFormat="1" ht="15" hidden="1" customHeight="1" x14ac:dyDescent="0.25">
      <c r="B103" s="43"/>
      <c r="C103" s="43"/>
      <c r="D103" s="5"/>
      <c r="E103" s="12"/>
      <c r="F103" s="40"/>
      <c r="G103" s="40"/>
      <c r="H103" s="53"/>
      <c r="I103" s="51"/>
      <c r="J103" s="14"/>
      <c r="K103" s="12"/>
      <c r="L103" s="14"/>
      <c r="M103" s="16"/>
      <c r="N103" s="12"/>
      <c r="O103" s="12"/>
      <c r="P103" s="40"/>
      <c r="Q103" s="40"/>
      <c r="R103" s="40"/>
      <c r="S103" s="40"/>
      <c r="T103" s="40"/>
      <c r="U103" s="40"/>
      <c r="V103" s="41"/>
      <c r="W103" s="40"/>
      <c r="X103" s="54"/>
      <c r="Y103" s="55"/>
    </row>
    <row r="104" spans="2:25" ht="12.75" hidden="1" customHeight="1" x14ac:dyDescent="0.2"/>
    <row r="105" spans="2:25" ht="12.75" hidden="1" customHeight="1" x14ac:dyDescent="0.2"/>
    <row r="106" spans="2:25" ht="12.75" hidden="1" customHeight="1" x14ac:dyDescent="0.2"/>
    <row r="107" spans="2:25" ht="12.75" hidden="1" customHeight="1" thickBot="1" x14ac:dyDescent="0.25"/>
    <row r="108" spans="2:25" ht="12.75" hidden="1" customHeight="1" thickBot="1" x14ac:dyDescent="0.25"/>
    <row r="109" spans="2:25" ht="12.75" hidden="1" customHeight="1" x14ac:dyDescent="0.2"/>
    <row r="110" spans="2:25" ht="12.75" hidden="1" customHeight="1" thickBot="1" x14ac:dyDescent="0.25"/>
    <row r="111" spans="2:25" ht="12.75" hidden="1" customHeight="1" x14ac:dyDescent="0.2"/>
    <row r="112" spans="2:25" ht="12.75" hidden="1" customHeight="1" x14ac:dyDescent="0.2"/>
    <row r="113" spans="2:25" ht="13.5" customHeight="1" thickBot="1" x14ac:dyDescent="0.25">
      <c r="B113" s="61" t="s">
        <v>4682</v>
      </c>
      <c r="C113" s="29"/>
      <c r="D113" s="29"/>
      <c r="E113" s="30"/>
      <c r="F113" s="30"/>
      <c r="G113" s="29"/>
      <c r="H113" s="29"/>
      <c r="I113" s="29"/>
      <c r="J113" s="31"/>
      <c r="K113" s="30"/>
      <c r="L113" s="31"/>
      <c r="M113" s="31"/>
      <c r="N113" s="32"/>
      <c r="O113" s="32"/>
      <c r="P113" s="33"/>
      <c r="Q113" s="33"/>
      <c r="R113" s="33"/>
      <c r="S113" s="33"/>
      <c r="T113" s="33">
        <v>19664076</v>
      </c>
      <c r="U113" s="33">
        <v>400912</v>
      </c>
      <c r="V113" s="32"/>
      <c r="W113" s="33"/>
      <c r="X113" s="32"/>
      <c r="Y113" s="32"/>
    </row>
    <row r="115" spans="2:25" ht="13.5" customHeight="1" thickBot="1" x14ac:dyDescent="0.25">
      <c r="B115" s="61" t="s">
        <v>4681</v>
      </c>
      <c r="C115" s="29"/>
      <c r="D115" s="29"/>
      <c r="E115" s="30"/>
      <c r="F115" s="30"/>
      <c r="G115" s="29"/>
      <c r="H115" s="29"/>
      <c r="I115" s="29"/>
      <c r="J115" s="31"/>
      <c r="K115" s="30"/>
      <c r="L115" s="31"/>
      <c r="M115" s="31"/>
      <c r="N115" s="32"/>
      <c r="O115" s="32"/>
      <c r="P115" s="33"/>
      <c r="Q115" s="33"/>
      <c r="R115" s="33"/>
      <c r="S115" s="33"/>
      <c r="T115" s="33">
        <v>53176331</v>
      </c>
      <c r="U115" s="33">
        <v>876766</v>
      </c>
      <c r="V115" s="32"/>
      <c r="W115" s="33"/>
      <c r="X115" s="32"/>
      <c r="Y115" s="32"/>
    </row>
  </sheetData>
  <conditionalFormatting sqref="K34 K54 K70:K75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{48A61BCF-5B6F-4EA1-B1BC-7E0BB761734F}</x14:id>
        </ext>
      </extLst>
    </cfRule>
  </conditionalFormatting>
  <conditionalFormatting sqref="V34:V35 V54 V70:V7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{CB866CA6-0ABC-44D2-84F5-A5BFC2EF5544}</x14:id>
        </ext>
      </extLst>
    </cfRule>
  </conditionalFormatting>
  <conditionalFormatting sqref="N34:O35 N54:O54 N70:O7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{E0B5C16F-750A-4738-B55E-BB7EAA90A30E}</x14:id>
        </ext>
      </extLst>
    </cfRule>
  </conditionalFormatting>
  <conditionalFormatting sqref="N34:O35 N54:O54 N70:O75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{BA4BD480-A43A-4748-B591-FDEC5678C027}</x14:id>
        </ext>
      </extLst>
    </cfRule>
  </conditionalFormatting>
  <conditionalFormatting sqref="K34 K54 K70:K76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{06A16E09-45D5-4D25-979B-11CF50D9F16D}</x14:id>
        </ext>
      </extLst>
    </cfRule>
  </conditionalFormatting>
  <conditionalFormatting sqref="N34:N35 N54 N70:N77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{D3CD81EF-36E8-44FB-AFCB-D16E914FFA31}</x14:id>
        </ext>
      </extLst>
    </cfRule>
  </conditionalFormatting>
  <conditionalFormatting sqref="O34:O35 O54 O70:O77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{C3C14EC3-F534-40CF-8980-520911E17577}</x14:id>
        </ext>
      </extLst>
    </cfRule>
  </conditionalFormatting>
  <conditionalFormatting sqref="V34:V35 V54 V70:V7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{2120A452-E636-407A-811C-40EE2A753CF2}</x14:id>
        </ext>
      </extLst>
    </cfRule>
  </conditionalFormatting>
  <conditionalFormatting sqref="N7:O7 N34:O35 N54:O54 N70:O77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{9BB9C535-A815-4191-83EC-F9B0893E6B58}</x14:id>
        </ext>
      </extLst>
    </cfRule>
  </conditionalFormatting>
  <conditionalFormatting sqref="O77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{83F7F011-7B65-41E0-846B-451FAF961CB1}</x14:id>
        </ext>
      </extLst>
    </cfRule>
  </conditionalFormatting>
  <conditionalFormatting sqref="V7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{D288691F-6FDB-45DB-AAFD-B56C3C73C852}</x14:id>
        </ext>
      </extLst>
    </cfRule>
  </conditionalFormatting>
  <conditionalFormatting sqref="V7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{ADA0C606-02C6-4E40-BD32-CDCB9B5C5D56}</x14:id>
        </ext>
      </extLst>
    </cfRule>
  </conditionalFormatting>
  <conditionalFormatting sqref="V77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{2935E5FE-9052-4ECC-B539-69A183A0CA18}</x14:id>
        </ext>
      </extLst>
    </cfRule>
  </conditionalFormatting>
  <conditionalFormatting sqref="K8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{12356BFA-3881-4A79-8FD8-BE78C37229DB}</x14:id>
        </ext>
      </extLst>
    </cfRule>
  </conditionalFormatting>
  <conditionalFormatting sqref="V8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{9CF5F9D0-1C72-4BFD-84EB-65E57EF7AD2D}</x14:id>
        </ext>
      </extLst>
    </cfRule>
  </conditionalFormatting>
  <conditionalFormatting sqref="N8:O8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{65FD47F5-1745-44C6-B600-AC7B5346E2FB}</x14:id>
        </ext>
      </extLst>
    </cfRule>
  </conditionalFormatting>
  <conditionalFormatting sqref="N8:O8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{906BE130-5381-466D-BF57-C59D626E180B}</x14:id>
        </ext>
      </extLst>
    </cfRule>
  </conditionalFormatting>
  <conditionalFormatting sqref="K8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{2DC4F0EA-AA4D-42E5-BA60-E1196BC2F3DF}</x14:id>
        </ext>
      </extLst>
    </cfRule>
  </conditionalFormatting>
  <conditionalFormatting sqref="N8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{13AC6878-556C-4134-B36C-1CE941B786E7}</x14:id>
        </ext>
      </extLst>
    </cfRule>
  </conditionalFormatting>
  <conditionalFormatting sqref="O8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{BD6CFA15-8383-46CB-81AC-23C8FF0CDAC0}</x14:id>
        </ext>
      </extLst>
    </cfRule>
  </conditionalFormatting>
  <conditionalFormatting sqref="V8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{64DAEC9F-7C0B-4094-A09E-7A5E5679E199}</x14:id>
        </ext>
      </extLst>
    </cfRule>
  </conditionalFormatting>
  <conditionalFormatting sqref="N8:O8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{305A4549-FE73-42BF-A813-EF688EE1E8B8}</x14:id>
        </ext>
      </extLst>
    </cfRule>
  </conditionalFormatting>
  <conditionalFormatting sqref="V52:V53 V36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{EE02A4F3-3A9E-46CF-89D1-9027E8841FD8}</x14:id>
        </ext>
      </extLst>
    </cfRule>
  </conditionalFormatting>
  <conditionalFormatting sqref="N52:O53 N36:O3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{EDCFA442-49AD-48ED-914D-5EFDDFA65A10}</x14:id>
        </ext>
      </extLst>
    </cfRule>
  </conditionalFormatting>
  <conditionalFormatting sqref="N52:O53 N36:O36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{77EC8811-6628-40D9-B4B1-285417ADCFA7}</x14:id>
        </ext>
      </extLst>
    </cfRule>
  </conditionalFormatting>
  <conditionalFormatting sqref="N52:N53 N36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{BAE5B509-3A37-4FCC-B83A-39DF05C5F62B}</x14:id>
        </ext>
      </extLst>
    </cfRule>
  </conditionalFormatting>
  <conditionalFormatting sqref="O52:O53 O3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{267F4253-115E-4339-9B3B-531E13B7673C}</x14:id>
        </ext>
      </extLst>
    </cfRule>
  </conditionalFormatting>
  <conditionalFormatting sqref="V52:V53 V36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{A22E5E1E-60AD-49C0-BC11-DBF61F75569F}</x14:id>
        </ext>
      </extLst>
    </cfRule>
  </conditionalFormatting>
  <conditionalFormatting sqref="N52:O53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{9AE82BA6-9A41-4BD7-B6EA-386AFA604EA2}</x14:id>
        </ext>
      </extLst>
    </cfRule>
  </conditionalFormatting>
  <conditionalFormatting sqref="V51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{DF74284E-D983-4E3C-BF20-D0B9071DFED6}</x14:id>
        </ext>
      </extLst>
    </cfRule>
  </conditionalFormatting>
  <conditionalFormatting sqref="N51:O51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{CC2A547F-704F-46BA-AC0C-7EBC2C42D335}</x14:id>
        </ext>
      </extLst>
    </cfRule>
  </conditionalFormatting>
  <conditionalFormatting sqref="N51:O51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{96411DA8-78CB-47A4-A97C-5FBE74354535}</x14:id>
        </ext>
      </extLst>
    </cfRule>
  </conditionalFormatting>
  <conditionalFormatting sqref="N5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{0551AEC1-F0FF-460D-B506-17327BF034A6}</x14:id>
        </ext>
      </extLst>
    </cfRule>
  </conditionalFormatting>
  <conditionalFormatting sqref="O51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{D4783B7A-F385-4013-A080-E839DAD6D169}</x14:id>
        </ext>
      </extLst>
    </cfRule>
  </conditionalFormatting>
  <conditionalFormatting sqref="V51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{3EF4B007-0BC5-45A0-BA78-D7B345ACF80C}</x14:id>
        </ext>
      </extLst>
    </cfRule>
  </conditionalFormatting>
  <conditionalFormatting sqref="N51:O51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{0F40098C-0FE7-41C9-93CB-531242CD9AED}</x14:id>
        </ext>
      </extLst>
    </cfRule>
  </conditionalFormatting>
  <conditionalFormatting sqref="W35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{D19DBFB6-2133-4068-B5E6-A8F64B247039}</x14:id>
        </ext>
      </extLst>
    </cfRule>
  </conditionalFormatting>
  <conditionalFormatting sqref="W3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{09D077A4-C443-4A96-A618-2E7BF8937F28}</x14:id>
        </ext>
      </extLst>
    </cfRule>
  </conditionalFormatting>
  <conditionalFormatting sqref="W8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{07D11F13-112F-4EB8-8F83-5D35EDE557A3}</x14:id>
        </ext>
      </extLst>
    </cfRule>
  </conditionalFormatting>
  <conditionalFormatting sqref="W8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{65B70AD6-1E89-4D04-BC35-F9B7DEBC6956}</x14:id>
        </ext>
      </extLst>
    </cfRule>
  </conditionalFormatting>
  <conditionalFormatting sqref="W52:W53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{1CF230FB-D2D6-47F4-A437-1CE2B80969F0}</x14:id>
        </ext>
      </extLst>
    </cfRule>
  </conditionalFormatting>
  <conditionalFormatting sqref="W52:W53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{CEC99AD6-7674-48D0-AADF-6312B9FCDE43}</x14:id>
        </ext>
      </extLst>
    </cfRule>
  </conditionalFormatting>
  <conditionalFormatting sqref="W51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{1715AEBB-29FE-47DF-B22D-6EF88A0B99D7}</x14:id>
        </ext>
      </extLst>
    </cfRule>
  </conditionalFormatting>
  <conditionalFormatting sqref="W51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{AD85DB2D-D2A0-4083-A404-6C36BF73C056}</x14:id>
        </ext>
      </extLst>
    </cfRule>
  </conditionalFormatting>
  <conditionalFormatting sqref="X76:Y76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{2774A7BC-E4EB-4CBB-965F-038E3B81CD18}</x14:id>
        </ext>
      </extLst>
    </cfRule>
  </conditionalFormatting>
  <conditionalFormatting sqref="X77:Y7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{E87BF264-F48E-4910-9B3F-8ECB7DB01D2E}</x14:id>
        </ext>
      </extLst>
    </cfRule>
  </conditionalFormatting>
  <conditionalFormatting sqref="X77:Y77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{CDD04FB8-6713-4963-AEED-147FFEBFB46C}</x14:id>
        </ext>
      </extLst>
    </cfRule>
  </conditionalFormatting>
  <conditionalFormatting sqref="X77:Y7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{F6525084-459B-4EB8-9B15-EB45B381629A}</x14:id>
        </ext>
      </extLst>
    </cfRule>
  </conditionalFormatting>
  <conditionalFormatting sqref="V28:V33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{9BCC290B-1037-4478-B530-80F111D7668B}</x14:id>
        </ext>
      </extLst>
    </cfRule>
  </conditionalFormatting>
  <conditionalFormatting sqref="N28:O33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{16C7148C-54BE-4055-AAED-7258907E6333}</x14:id>
        </ext>
      </extLst>
    </cfRule>
  </conditionalFormatting>
  <conditionalFormatting sqref="N28:O33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{A8CB0888-A39C-4FE4-BE21-8D95AC4B6E9B}</x14:id>
        </ext>
      </extLst>
    </cfRule>
  </conditionalFormatting>
  <conditionalFormatting sqref="N28:N33"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{EB4B7422-10CF-443F-82B4-1562574B3DF9}</x14:id>
        </ext>
      </extLst>
    </cfRule>
  </conditionalFormatting>
  <conditionalFormatting sqref="O28:O33">
    <cfRule type="dataBar" priority="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{C6BB7BC1-AB3D-4E1E-B9BA-13668FBE846C}</x14:id>
        </ext>
      </extLst>
    </cfRule>
  </conditionalFormatting>
  <conditionalFormatting sqref="V28:V3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{B49F3C65-0FEC-4AF6-9A4E-01AF216CBE93}</x14:id>
        </ext>
      </extLst>
    </cfRule>
  </conditionalFormatting>
  <conditionalFormatting sqref="N28:O33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{8141E77B-D44B-49BE-8600-B7E3024A18D7}</x14:id>
        </ext>
      </extLst>
    </cfRule>
  </conditionalFormatting>
  <conditionalFormatting sqref="K28:K33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{8A2AEB61-712F-45B6-A24C-F201FA5A8A79}</x14:id>
        </ext>
      </extLst>
    </cfRule>
  </conditionalFormatting>
  <conditionalFormatting sqref="K28:K33">
    <cfRule type="dataBar" priority="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{9999AD5C-B220-40E7-8932-CCF66268AFBF}</x14:id>
        </ext>
      </extLst>
    </cfRule>
  </conditionalFormatting>
  <conditionalFormatting sqref="O77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{4831432A-7BA6-4647-9479-F20C04EDB09D}</x14:id>
        </ext>
      </extLst>
    </cfRule>
  </conditionalFormatting>
  <conditionalFormatting sqref="N77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{67434671-1F36-4238-BFD1-467B498456E8}</x14:id>
        </ext>
      </extLst>
    </cfRule>
  </conditionalFormatting>
  <conditionalFormatting sqref="N77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{7E113E9C-1FE5-4CFA-A0D0-B59BBAAFC6C1}</x14:id>
        </ext>
      </extLst>
    </cfRule>
  </conditionalFormatting>
  <conditionalFormatting sqref="N77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{07DF35A9-FAA5-4611-9C9F-9B406104C23B}</x14:id>
        </ext>
      </extLst>
    </cfRule>
  </conditionalFormatting>
  <conditionalFormatting sqref="K28:K33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{6F9DBD97-B9F9-4629-BCE9-4B554288AA2F}</x14:id>
        </ext>
      </extLst>
    </cfRule>
  </conditionalFormatting>
  <conditionalFormatting sqref="N70:N75 N5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{A11D078A-C114-4165-9FCF-B10B0D3442B8}</x14:id>
        </ext>
      </extLst>
    </cfRule>
  </conditionalFormatting>
  <conditionalFormatting sqref="V37:V39 V44:V5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{4F0EC40A-A21F-479A-8DE4-91280BB31C9D}</x14:id>
        </ext>
      </extLst>
    </cfRule>
  </conditionalFormatting>
  <conditionalFormatting sqref="N37:O38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{F21E58A4-EB00-4089-9BA4-D6CE9A2A0A70}</x14:id>
        </ext>
      </extLst>
    </cfRule>
  </conditionalFormatting>
  <conditionalFormatting sqref="N37:O3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{21951660-DA26-4A1E-B894-C62F9FE2EC61}</x14:id>
        </ext>
      </extLst>
    </cfRule>
  </conditionalFormatting>
  <conditionalFormatting sqref="N37:N3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{3AE7A88E-01F4-4C0A-AB5B-4F7DA9D6ECA0}</x14:id>
        </ext>
      </extLst>
    </cfRule>
  </conditionalFormatting>
  <conditionalFormatting sqref="O37:O3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{ECA46E25-5401-473F-8089-938F0B748913}</x14:id>
        </ext>
      </extLst>
    </cfRule>
  </conditionalFormatting>
  <conditionalFormatting sqref="V37:V39 V44:V50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{D7AAF313-3145-442C-94D1-96794F594432}</x14:id>
        </ext>
      </extLst>
    </cfRule>
  </conditionalFormatting>
  <conditionalFormatting sqref="N39:O39 N44:O5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{5CE625F4-D4B6-4897-A114-BC259E1570D2}</x14:id>
        </ext>
      </extLst>
    </cfRule>
  </conditionalFormatting>
  <conditionalFormatting sqref="N39:O39 N44:O50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{B5FDC93E-F145-47DE-905C-573CDC988AEC}</x14:id>
        </ext>
      </extLst>
    </cfRule>
  </conditionalFormatting>
  <conditionalFormatting sqref="N44:N50 N39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{7824D738-ABD9-44AA-AC0E-F7850461853B}</x14:id>
        </ext>
      </extLst>
    </cfRule>
  </conditionalFormatting>
  <conditionalFormatting sqref="O44:O50 O39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{534D6297-A511-4E16-811A-B7BCEB215879}</x14:id>
        </ext>
      </extLst>
    </cfRule>
  </conditionalFormatting>
  <conditionalFormatting sqref="V91:V103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{0E5A66F2-810B-46F6-9674-BA3FF20F7B5B}</x14:id>
        </ext>
      </extLst>
    </cfRule>
  </conditionalFormatting>
  <conditionalFormatting sqref="N91:O103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{940036B4-11FC-4595-BBDE-A8F47DFB4A66}</x14:id>
        </ext>
      </extLst>
    </cfRule>
  </conditionalFormatting>
  <conditionalFormatting sqref="N91:O103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{1B794DD5-9AE2-424B-9E5D-3C49C149F563}</x14:id>
        </ext>
      </extLst>
    </cfRule>
  </conditionalFormatting>
  <conditionalFormatting sqref="N91:N103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{BF78BEB3-CBBB-4C10-8E39-671C9B71838E}</x14:id>
        </ext>
      </extLst>
    </cfRule>
  </conditionalFormatting>
  <conditionalFormatting sqref="O91:O103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{A18F4762-5F28-4CC8-9AFC-D81007621AAE}</x14:id>
        </ext>
      </extLst>
    </cfRule>
  </conditionalFormatting>
  <conditionalFormatting sqref="V91:V10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{8DBF6B9C-6F4E-4CE8-96C1-79A66B0F00FC}</x14:id>
        </ext>
      </extLst>
    </cfRule>
  </conditionalFormatting>
  <conditionalFormatting sqref="N1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{494FB218-048C-4194-BF71-043882FA2352}</x14:id>
        </ext>
      </extLst>
    </cfRule>
  </conditionalFormatting>
  <conditionalFormatting sqref="O115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{BEA0CB69-B772-413A-A615-7949FA517838}</x14:id>
        </ext>
      </extLst>
    </cfRule>
  </conditionalFormatting>
  <conditionalFormatting sqref="N115:O115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{6B14B08E-F34B-459F-B94C-318FC0198DC0}</x14:id>
        </ext>
      </extLst>
    </cfRule>
  </conditionalFormatting>
  <conditionalFormatting sqref="O115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{2890E7C7-9CCA-4C17-86F5-BFC648708B03}</x14:id>
        </ext>
      </extLst>
    </cfRule>
  </conditionalFormatting>
  <conditionalFormatting sqref="V115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{7FECA0A4-5F86-446F-8550-17F549A2574D}</x14:id>
        </ext>
      </extLst>
    </cfRule>
  </conditionalFormatting>
  <conditionalFormatting sqref="V115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{FE580FD6-F016-4ACC-820B-28BB6DFB8BAD}</x14:id>
        </ext>
      </extLst>
    </cfRule>
  </conditionalFormatting>
  <conditionalFormatting sqref="V11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{91852979-D177-4666-852A-6F9BE8FF0C24}</x14:id>
        </ext>
      </extLst>
    </cfRule>
  </conditionalFormatting>
  <conditionalFormatting sqref="X115:Y115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{B5B37056-F930-4EE1-A85F-3FFD65814CCA}</x14:id>
        </ext>
      </extLst>
    </cfRule>
  </conditionalFormatting>
  <conditionalFormatting sqref="X115:Y11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{1F38CE2C-16AF-4F57-A2C7-1C18A0E28572}</x14:id>
        </ext>
      </extLst>
    </cfRule>
  </conditionalFormatting>
  <conditionalFormatting sqref="X115:Y115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{348925DF-DDBD-4E07-BA8B-5A9B246618A8}</x14:id>
        </ext>
      </extLst>
    </cfRule>
  </conditionalFormatting>
  <conditionalFormatting sqref="O11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{8B26C288-1991-4DC2-8D92-35903625E1AF}</x14:id>
        </ext>
      </extLst>
    </cfRule>
  </conditionalFormatting>
  <conditionalFormatting sqref="N115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{EBD7C315-A6A5-4AF0-9BB1-B25B348E75B3}</x14:id>
        </ext>
      </extLst>
    </cfRule>
  </conditionalFormatting>
  <conditionalFormatting sqref="N11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{1DFE04FC-C25B-47BC-BFEC-98B3C2356D61}</x14:id>
        </ext>
      </extLst>
    </cfRule>
  </conditionalFormatting>
  <conditionalFormatting sqref="N11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{16A0C3C6-C869-4928-B752-1E7CC8E20099}</x14:id>
        </ext>
      </extLst>
    </cfRule>
  </conditionalFormatting>
  <conditionalFormatting sqref="N113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{1D9D74A5-490F-47A9-B994-1ED3FABF4BBE}</x14:id>
        </ext>
      </extLst>
    </cfRule>
  </conditionalFormatting>
  <conditionalFormatting sqref="O113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{EA4A5906-A959-498D-B791-9C56CA15C1FA}</x14:id>
        </ext>
      </extLst>
    </cfRule>
  </conditionalFormatting>
  <conditionalFormatting sqref="N113:O1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{F73CE938-8A1C-4E27-9433-DF4CF617DAC6}</x14:id>
        </ext>
      </extLst>
    </cfRule>
  </conditionalFormatting>
  <conditionalFormatting sqref="O113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{CCC03CA9-C999-4910-81AC-D4F77ED09363}</x14:id>
        </ext>
      </extLst>
    </cfRule>
  </conditionalFormatting>
  <conditionalFormatting sqref="V113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{94361FB3-855C-4298-B5A4-40285B95846D}</x14:id>
        </ext>
      </extLst>
    </cfRule>
  </conditionalFormatting>
  <conditionalFormatting sqref="V113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{62B7A788-7125-4BF9-B2B5-9DD2A8E7CEFB}</x14:id>
        </ext>
      </extLst>
    </cfRule>
  </conditionalFormatting>
  <conditionalFormatting sqref="V113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{3A61C6AE-1347-49D3-96B8-EC9F71758D38}</x14:id>
        </ext>
      </extLst>
    </cfRule>
  </conditionalFormatting>
  <conditionalFormatting sqref="X113:Y113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{96B60DC3-FC13-4674-B956-54FF9512BCF1}</x14:id>
        </ext>
      </extLst>
    </cfRule>
  </conditionalFormatting>
  <conditionalFormatting sqref="X113:Y113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{22F1E99C-A3B9-43B2-AC0C-B25A23C08467}</x14:id>
        </ext>
      </extLst>
    </cfRule>
  </conditionalFormatting>
  <conditionalFormatting sqref="X113:Y113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{D23AC332-BB3D-448D-944B-BC861C708D97}</x14:id>
        </ext>
      </extLst>
    </cfRule>
  </conditionalFormatting>
  <conditionalFormatting sqref="O113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{5CADEDA4-97F1-4691-823C-AC355AD9FE51}</x14:id>
        </ext>
      </extLst>
    </cfRule>
  </conditionalFormatting>
  <conditionalFormatting sqref="N113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{AA3DDFDD-F765-4177-A2CF-F80D71FF9EDB}</x14:id>
        </ext>
      </extLst>
    </cfRule>
  </conditionalFormatting>
  <conditionalFormatting sqref="N113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{F26D4768-5048-4B42-A47B-4BA8415C3C2F}</x14:id>
        </ext>
      </extLst>
    </cfRule>
  </conditionalFormatting>
  <conditionalFormatting sqref="N113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{EE2F7BA0-E63A-491C-992B-0995D1F3268F}</x14:id>
        </ext>
      </extLst>
    </cfRule>
  </conditionalFormatting>
  <conditionalFormatting sqref="V9:V2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{6FFF6FB9-EB54-48B8-8A0A-A2399C006E42}</x14:id>
        </ext>
      </extLst>
    </cfRule>
  </conditionalFormatting>
  <conditionalFormatting sqref="N9:O2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{55CEE1CA-0AB7-40B4-85EF-90EC59376042}</x14:id>
        </ext>
      </extLst>
    </cfRule>
  </conditionalFormatting>
  <conditionalFormatting sqref="N9:O2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{A8DF83E6-C4E4-468A-9FC6-3A6EAE4ABB9E}</x14:id>
        </ext>
      </extLst>
    </cfRule>
  </conditionalFormatting>
  <conditionalFormatting sqref="N9:N27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{C4281623-E21A-4EC3-9894-4557A30FF0AB}</x14:id>
        </ext>
      </extLst>
    </cfRule>
  </conditionalFormatting>
  <conditionalFormatting sqref="O9:O2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{694E13AF-8D21-4694-8625-90071646A414}</x14:id>
        </ext>
      </extLst>
    </cfRule>
  </conditionalFormatting>
  <conditionalFormatting sqref="V9:V2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{8B3BA1E2-500E-458A-858D-CF1BF05FB79C}</x14:id>
        </ext>
      </extLst>
    </cfRule>
  </conditionalFormatting>
  <conditionalFormatting sqref="N9:O2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{80C641D4-A2BC-4527-A699-0FF0A5CE0D36}</x14:id>
        </ext>
      </extLst>
    </cfRule>
  </conditionalFormatting>
  <conditionalFormatting sqref="K9:K27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{56A9CEE8-2527-4348-972F-F0C050D50A9B}</x14:id>
        </ext>
      </extLst>
    </cfRule>
  </conditionalFormatting>
  <conditionalFormatting sqref="K9:K27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{3B57B6AD-F99B-467C-8E20-E41472D3029F}</x14:id>
        </ext>
      </extLst>
    </cfRule>
  </conditionalFormatting>
  <conditionalFormatting sqref="K9:K27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{6DA4FA1C-34D0-44E9-A0F3-C5653DF74176}</x14:id>
        </ext>
      </extLst>
    </cfRule>
  </conditionalFormatting>
  <conditionalFormatting sqref="V80:V85 V87:V88 V9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{1DA3785D-E3EC-4406-BE58-8FB74B788DEC}</x14:id>
        </ext>
      </extLst>
    </cfRule>
  </conditionalFormatting>
  <conditionalFormatting sqref="N80:O85 N87:O88 N90:O9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{BCF6A625-5E3D-4A87-9F25-60968F644767}</x14:id>
        </ext>
      </extLst>
    </cfRule>
  </conditionalFormatting>
  <conditionalFormatting sqref="N80:O85 N87:O88 N90:O90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{4C70245A-1CE1-4588-9E32-9C4689E1DEF1}</x14:id>
        </ext>
      </extLst>
    </cfRule>
  </conditionalFormatting>
  <conditionalFormatting sqref="N80:N85 N87:N88 N90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{96EF7C1E-22C8-4471-93E4-B53FDD448FAF}</x14:id>
        </ext>
      </extLst>
    </cfRule>
  </conditionalFormatting>
  <conditionalFormatting sqref="O80:O85 O87:O88 O9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{03B73599-42AA-4193-B296-5106AE133A3B}</x14:id>
        </ext>
      </extLst>
    </cfRule>
  </conditionalFormatting>
  <conditionalFormatting sqref="V80:V85 V87:V88 V9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{6EF8601F-CCEA-498D-82AA-6B09859B436E}</x14:id>
        </ext>
      </extLst>
    </cfRule>
  </conditionalFormatting>
  <conditionalFormatting sqref="K65:K69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{09656EDB-1C89-4F5F-8257-048B88BD3EB2}</x14:id>
        </ext>
      </extLst>
    </cfRule>
  </conditionalFormatting>
  <conditionalFormatting sqref="V65:V69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{B80A979B-BA21-4F4F-9D95-A6EC16BA140C}</x14:id>
        </ext>
      </extLst>
    </cfRule>
  </conditionalFormatting>
  <conditionalFormatting sqref="N65:O69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{A9B13FC5-74A0-4AE9-8EF7-A06CB05BB19D}</x14:id>
        </ext>
      </extLst>
    </cfRule>
  </conditionalFormatting>
  <conditionalFormatting sqref="N65:O69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{AEABC7CC-C9F9-4E8C-9CFA-20DC3FB5C7CF}</x14:id>
        </ext>
      </extLst>
    </cfRule>
  </conditionalFormatting>
  <conditionalFormatting sqref="K65:K69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{0E990B94-FD70-47E6-B893-1B065B2F6515}</x14:id>
        </ext>
      </extLst>
    </cfRule>
  </conditionalFormatting>
  <conditionalFormatting sqref="N65:N69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{F689F9B1-F8A3-432E-8870-3184AFE06F20}</x14:id>
        </ext>
      </extLst>
    </cfRule>
  </conditionalFormatting>
  <conditionalFormatting sqref="O65:O69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{B626F1EB-54C7-4DE0-90F6-59E4A2E7C8DF}</x14:id>
        </ext>
      </extLst>
    </cfRule>
  </conditionalFormatting>
  <conditionalFormatting sqref="V65:V69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{E9F5C329-3C95-4B6D-AB12-CBFCCD8D79FD}</x14:id>
        </ext>
      </extLst>
    </cfRule>
  </conditionalFormatting>
  <conditionalFormatting sqref="N65:O6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{2CD9E1AB-A695-4F80-90A1-92BA793AC4D6}</x14:id>
        </ext>
      </extLst>
    </cfRule>
  </conditionalFormatting>
  <conditionalFormatting sqref="N65:N69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{F925DA33-C0A1-42D1-A20C-DADF96361C52}</x14:id>
        </ext>
      </extLst>
    </cfRule>
  </conditionalFormatting>
  <conditionalFormatting sqref="K60:K6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{ED9652D2-BC84-468C-ABAE-04104038F04E}</x14:id>
        </ext>
      </extLst>
    </cfRule>
  </conditionalFormatting>
  <conditionalFormatting sqref="V60:V6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{34FB8918-8589-4BF9-8B78-98CEF18BB643}</x14:id>
        </ext>
      </extLst>
    </cfRule>
  </conditionalFormatting>
  <conditionalFormatting sqref="N60:O6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{E515FE22-6D85-4B5B-A2B1-62B8C6BD39B4}</x14:id>
        </ext>
      </extLst>
    </cfRule>
  </conditionalFormatting>
  <conditionalFormatting sqref="N60:O6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{A73984F6-48C6-4137-B5F7-7A29FC548225}</x14:id>
        </ext>
      </extLst>
    </cfRule>
  </conditionalFormatting>
  <conditionalFormatting sqref="K60:K64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{3813DAB8-FD9C-4DB1-A711-41C2D0E9EDCD}</x14:id>
        </ext>
      </extLst>
    </cfRule>
  </conditionalFormatting>
  <conditionalFormatting sqref="N60:N6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{141C45F7-33F3-4EA6-BB61-6E2CC7ACF8FE}</x14:id>
        </ext>
      </extLst>
    </cfRule>
  </conditionalFormatting>
  <conditionalFormatting sqref="O60:O6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{7AC8206F-33A9-427B-A94C-A5E2EB5F45F5}</x14:id>
        </ext>
      </extLst>
    </cfRule>
  </conditionalFormatting>
  <conditionalFormatting sqref="V60:V6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{7A10892D-20D4-4AD6-A5D4-4D224E901618}</x14:id>
        </ext>
      </extLst>
    </cfRule>
  </conditionalFormatting>
  <conditionalFormatting sqref="N60:O6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{9E32262E-82E8-46AE-85C3-7789544E118A}</x14:id>
        </ext>
      </extLst>
    </cfRule>
  </conditionalFormatting>
  <conditionalFormatting sqref="N60:N6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{EEB63653-1EFD-4678-92C6-1C05090D54E9}</x14:id>
        </ext>
      </extLst>
    </cfRule>
  </conditionalFormatting>
  <conditionalFormatting sqref="K59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{DE14BED7-E943-41F8-A6E0-16E31F84AAE1}</x14:id>
        </ext>
      </extLst>
    </cfRule>
  </conditionalFormatting>
  <conditionalFormatting sqref="V55 V5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{A3B764F1-C75C-4741-AE40-FF5B2BE6B4FB}</x14:id>
        </ext>
      </extLst>
    </cfRule>
  </conditionalFormatting>
  <conditionalFormatting sqref="N55:O55 N59:O5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{EF2F7F31-EE20-438D-9B73-5314AA7146B2}</x14:id>
        </ext>
      </extLst>
    </cfRule>
  </conditionalFormatting>
  <conditionalFormatting sqref="N55:O55 N59:O5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{0528F453-2998-4133-B704-A3DCB3ECCFA4}</x14:id>
        </ext>
      </extLst>
    </cfRule>
  </conditionalFormatting>
  <conditionalFormatting sqref="K5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{012EF6EF-069F-4D89-AC88-D217A0A8F1CC}</x14:id>
        </ext>
      </extLst>
    </cfRule>
  </conditionalFormatting>
  <conditionalFormatting sqref="N59 N5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{8738FDDC-2BEC-4D8F-B451-8E1CA76404C0}</x14:id>
        </ext>
      </extLst>
    </cfRule>
  </conditionalFormatting>
  <conditionalFormatting sqref="O59 O5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{9CCFBA03-AFAD-4C4C-B866-33C56B426387}</x14:id>
        </ext>
      </extLst>
    </cfRule>
  </conditionalFormatting>
  <conditionalFormatting sqref="V55 V5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{D25D4346-29D9-4EFA-AE34-A70A50A428B9}</x14:id>
        </ext>
      </extLst>
    </cfRule>
  </conditionalFormatting>
  <conditionalFormatting sqref="N55:O55 N59:O59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{0DF63EAA-7F0B-4577-8F01-2B6E4E3D0605}</x14:id>
        </ext>
      </extLst>
    </cfRule>
  </conditionalFormatting>
  <conditionalFormatting sqref="N59 N5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{5C3EEEED-0287-4ACA-99F8-6801360D5252}</x14:id>
        </ext>
      </extLst>
    </cfRule>
  </conditionalFormatting>
  <conditionalFormatting sqref="V8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{83B0B5CA-1133-42DA-8466-BB84604C96FF}</x14:id>
        </ext>
      </extLst>
    </cfRule>
  </conditionalFormatting>
  <conditionalFormatting sqref="N86:O8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{7D719482-849E-49CB-B750-AEE121E959D4}</x14:id>
        </ext>
      </extLst>
    </cfRule>
  </conditionalFormatting>
  <conditionalFormatting sqref="N86:O8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{6F077BED-6F7E-46DB-8D4B-825259DD2431}</x14:id>
        </ext>
      </extLst>
    </cfRule>
  </conditionalFormatting>
  <conditionalFormatting sqref="N8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{189F0974-93C7-4427-8297-EBC8BF6DA008}</x14:id>
        </ext>
      </extLst>
    </cfRule>
  </conditionalFormatting>
  <conditionalFormatting sqref="O8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{33731A9E-C0D0-4924-9988-55D0AED51760}</x14:id>
        </ext>
      </extLst>
    </cfRule>
  </conditionalFormatting>
  <conditionalFormatting sqref="V8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{DFF40150-412E-4705-8BA8-EBD11EDEC34D}</x14:id>
        </ext>
      </extLst>
    </cfRule>
  </conditionalFormatting>
  <conditionalFormatting sqref="K56:K5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{085EBC5D-3F67-4F71-B321-515273CE379D}</x14:id>
        </ext>
      </extLst>
    </cfRule>
  </conditionalFormatting>
  <conditionalFormatting sqref="V56:V5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{7E833E39-3A58-4BA2-8195-C6A020B4FEF8}</x14:id>
        </ext>
      </extLst>
    </cfRule>
  </conditionalFormatting>
  <conditionalFormatting sqref="N56:O5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{F2DE6F4D-9D6E-4EFD-AF55-2A6491259CEC}</x14:id>
        </ext>
      </extLst>
    </cfRule>
  </conditionalFormatting>
  <conditionalFormatting sqref="N56:O5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{692F11AA-3689-4450-88E9-1778CA0344A1}</x14:id>
        </ext>
      </extLst>
    </cfRule>
  </conditionalFormatting>
  <conditionalFormatting sqref="K56:K58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{5BE8C0D6-39CB-42DE-AEC0-31C6A68F0DCE}</x14:id>
        </ext>
      </extLst>
    </cfRule>
  </conditionalFormatting>
  <conditionalFormatting sqref="N56:N58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{0BA088DD-5483-4B9F-B755-2BEC7FE2E3A1}</x14:id>
        </ext>
      </extLst>
    </cfRule>
  </conditionalFormatting>
  <conditionalFormatting sqref="O56:O58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{47FAC38D-FDF5-4861-8C32-4400A840A3A5}</x14:id>
        </ext>
      </extLst>
    </cfRule>
  </conditionalFormatting>
  <conditionalFormatting sqref="V56:V58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{68D6DAE8-F924-461E-A28C-7BB9C509DC8E}</x14:id>
        </ext>
      </extLst>
    </cfRule>
  </conditionalFormatting>
  <conditionalFormatting sqref="N56:O5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{373DD3CE-4CA5-48D8-988C-4C306F2670A1}</x14:id>
        </ext>
      </extLst>
    </cfRule>
  </conditionalFormatting>
  <conditionalFormatting sqref="N56:N58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{97C84450-09A8-4F05-838F-B01E47D289D3}</x14:id>
        </ext>
      </extLst>
    </cfRule>
  </conditionalFormatting>
  <conditionalFormatting sqref="V89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{6EE134F2-65FD-41C3-8FC1-5F1C57A145AD}</x14:id>
        </ext>
      </extLst>
    </cfRule>
  </conditionalFormatting>
  <conditionalFormatting sqref="N89:O89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{A8E2F1E1-E1C6-419B-956D-E740211491E3}</x14:id>
        </ext>
      </extLst>
    </cfRule>
  </conditionalFormatting>
  <conditionalFormatting sqref="N89:O8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{43E26193-23D9-4EC1-9BF3-9E60B2CE19BC}</x14:id>
        </ext>
      </extLst>
    </cfRule>
  </conditionalFormatting>
  <conditionalFormatting sqref="N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{19A7C6AC-B0B4-4C78-A0AE-A6AE3B090695}</x14:id>
        </ext>
      </extLst>
    </cfRule>
  </conditionalFormatting>
  <conditionalFormatting sqref="O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{5310824C-4DC0-4253-AF39-7A2745D9F455}</x14:id>
        </ext>
      </extLst>
    </cfRule>
  </conditionalFormatting>
  <conditionalFormatting sqref="V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{92014D44-F25C-4551-BE62-9FCCABCC82C6}</x14:id>
        </ext>
      </extLst>
    </cfRule>
  </conditionalFormatting>
  <conditionalFormatting sqref="V40:V4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{997D25D1-5189-4C07-93A2-A0925DD97BAD}</x14:id>
        </ext>
      </extLst>
    </cfRule>
  </conditionalFormatting>
  <conditionalFormatting sqref="V40:V4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{FED06D6E-5BB5-4887-9ADA-6DCA7F63B416}</x14:id>
        </ext>
      </extLst>
    </cfRule>
  </conditionalFormatting>
  <conditionalFormatting sqref="N40:O4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{23B89525-8895-45E6-853C-F83A8ADE40EC}</x14:id>
        </ext>
      </extLst>
    </cfRule>
  </conditionalFormatting>
  <conditionalFormatting sqref="N40:O4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{00FF46E7-0616-437F-9C46-23B42AA35D2B}</x14:id>
        </ext>
      </extLst>
    </cfRule>
  </conditionalFormatting>
  <conditionalFormatting sqref="N40:N4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{69367A4D-99C4-4911-85E6-2402CA33128F}</x14:id>
        </ext>
      </extLst>
    </cfRule>
  </conditionalFormatting>
  <conditionalFormatting sqref="O40:O4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{9CD86112-60EE-4058-9AF8-A6FFFE7A3D9F}</x14:id>
        </ext>
      </extLst>
    </cfRule>
  </conditionalFormatting>
  <pageMargins left="0.25" right="0.25" top="0.75" bottom="0.75" header="0.3" footer="0.3"/>
  <pageSetup paperSize="9" scale="4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A61BCF-5B6F-4EA1-B1BC-7E0BB761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K70:K75</xm:sqref>
        </x14:conditionalFormatting>
        <x14:conditionalFormatting xmlns:xm="http://schemas.microsoft.com/office/excel/2006/main">
          <x14:cfRule type="dataBar" id="{CB866CA6-0ABC-44D2-84F5-A5BFC2EF5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V34:V35 V54 V70:V75</xm:sqref>
        </x14:conditionalFormatting>
        <x14:conditionalFormatting xmlns:xm="http://schemas.microsoft.com/office/excel/2006/main">
          <x14:cfRule type="dataBar" id="{E0B5C16F-750A-4738-B55E-BB7EAA90A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BA4BD480-A43A-4748-B591-FDEC5678C0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06A16E09-45D5-4D25-979B-11CF50D9F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K70:K76</xm:sqref>
        </x14:conditionalFormatting>
        <x14:conditionalFormatting xmlns:xm="http://schemas.microsoft.com/office/excel/2006/main">
          <x14:cfRule type="dataBar" id="{D3CD81EF-36E8-44FB-AFCB-D16E914FFA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N34:N35 N54 N70:N77</xm:sqref>
        </x14:conditionalFormatting>
        <x14:conditionalFormatting xmlns:xm="http://schemas.microsoft.com/office/excel/2006/main">
          <x14:cfRule type="dataBar" id="{C3C14EC3-F534-40CF-8980-520911E17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O34:O35 O54 O70:O77</xm:sqref>
        </x14:conditionalFormatting>
        <x14:conditionalFormatting xmlns:xm="http://schemas.microsoft.com/office/excel/2006/main">
          <x14:cfRule type="dataBar" id="{2120A452-E636-407A-811C-40EE2A753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V34:V35 V54 V70:V76</xm:sqref>
        </x14:conditionalFormatting>
        <x14:conditionalFormatting xmlns:xm="http://schemas.microsoft.com/office/excel/2006/main">
          <x14:cfRule type="dataBar" id="{9BB9C535-A815-4191-83EC-F9B0893E6B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N34:O35 N54:O54 N70:O77</xm:sqref>
        </x14:conditionalFormatting>
        <x14:conditionalFormatting xmlns:xm="http://schemas.microsoft.com/office/excel/2006/main">
          <x14:cfRule type="dataBar" id="{83F7F011-7B65-41E0-846B-451FAF961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288691F-6FDB-45DB-AAFD-B56C3C73C8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ADA0C606-02C6-4E40-BD32-CDCB9B5C5D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2935E5FE-9052-4ECC-B539-69A183A0CA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12356BFA-3881-4A79-8FD8-BE78C3722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9CF5F9D0-1C72-4BFD-84EB-65E57EF7AD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5FD47F5-1745-44C6-B600-AC7B5346E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906BE130-5381-466D-BF57-C59D626E18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2DC4F0EA-AA4D-42E5-BA60-E1196BC2F3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13AC6878-556C-4134-B36C-1CE941B78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BD6CFA15-8383-46CB-81AC-23C8FF0CD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64DAEC9F-7C0B-4094-A09E-7A5E5679E1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05A4549-FE73-42BF-A813-EF688EE1E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EE02A4F3-3A9E-46CF-89D1-9027E8841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EDCFA442-49AD-48ED-914D-5EFDDFA65A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77EC8811-6628-40D9-B4B1-285417ADCF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BAE5B509-3A37-4FCC-B83A-39DF05C5F6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N52:N53 N36</xm:sqref>
        </x14:conditionalFormatting>
        <x14:conditionalFormatting xmlns:xm="http://schemas.microsoft.com/office/excel/2006/main">
          <x14:cfRule type="dataBar" id="{267F4253-115E-4339-9B3B-531E13B767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O52:O53 O36</xm:sqref>
        </x14:conditionalFormatting>
        <x14:conditionalFormatting xmlns:xm="http://schemas.microsoft.com/office/excel/2006/main">
          <x14:cfRule type="dataBar" id="{A22E5E1E-60AD-49C0-BC11-DBF61F755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9AE82BA6-9A41-4BD7-B6EA-386AFA604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</xm:sqref>
        </x14:conditionalFormatting>
        <x14:conditionalFormatting xmlns:xm="http://schemas.microsoft.com/office/excel/2006/main">
          <x14:cfRule type="dataBar" id="{DF74284E-D983-4E3C-BF20-D0B9071DFE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CC2A547F-704F-46BA-AC0C-7EBC2C42D3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96411DA8-78CB-47A4-A97C-5FBE743545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0551AEC1-F0FF-460D-B506-17327BF034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D4783B7A-F385-4013-A080-E839DAD6D1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3EF4B007-0BC5-45A0-BA78-D7B345ACF8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0F40098C-0FE7-41C9-93CB-531242CD9A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D19DBFB6-2133-4068-B5E6-A8F64B247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9D077A4-C443-4A96-A618-2E7BF8937F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7D11F13-112F-4EB8-8F83-5D35EDE557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65B70AD6-1E89-4D04-BC35-F9B7DEBC6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CF230FB-D2D6-47F4-A437-1CE2B80969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CEC99AD6-7674-48D0-AADF-6312B9FCDE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1715AEBB-29FE-47DF-B22D-6EF88A0B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D85DB2D-D2A0-4083-A404-6C36BF73C0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2774A7BC-E4EB-4CBB-965F-038E3B81C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X76:Y76</xm:sqref>
        </x14:conditionalFormatting>
        <x14:conditionalFormatting xmlns:xm="http://schemas.microsoft.com/office/excel/2006/main">
          <x14:cfRule type="dataBar" id="{E87BF264-F48E-4910-9B3F-8ECB7DB01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CDD04FB8-6713-4963-AEED-147FFEBFB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F6525084-459B-4EB8-9B15-EB45B3816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9BCC290B-1037-4478-B530-80F111D76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16C7148C-54BE-4055-AAED-7258907E63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A8CB0888-A39C-4FE4-BE21-8D95AC4B6E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EB4B7422-10CF-443F-82B4-1562574B3D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N28:N33</xm:sqref>
        </x14:conditionalFormatting>
        <x14:conditionalFormatting xmlns:xm="http://schemas.microsoft.com/office/excel/2006/main">
          <x14:cfRule type="dataBar" id="{C6BB7BC1-AB3D-4E1E-B9BA-13668FBE8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O28:O33</xm:sqref>
        </x14:conditionalFormatting>
        <x14:conditionalFormatting xmlns:xm="http://schemas.microsoft.com/office/excel/2006/main">
          <x14:cfRule type="dataBar" id="{B49F3C65-0FEC-4AF6-9A4E-01AF216CB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8141E77B-D44B-49BE-8600-B7E3024A18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8A2AEB61-712F-45B6-A24C-F201FA5A8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9999AD5C-B220-40E7-8932-CCF66268AF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4831432A-7BA6-4647-9479-F20C04EDB0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67434671-1F36-4238-BFD1-467B498456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7E113E9C-1FE5-4CFA-A0D0-B59BBAAFC6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07DF35A9-FAA5-4611-9C9F-9B406104C2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6F9DBD97-B9F9-4629-BCE9-4B554288A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A11D078A-C114-4165-9FCF-B10B0D344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N70:N75 N54</xm:sqref>
        </x14:conditionalFormatting>
        <x14:conditionalFormatting xmlns:xm="http://schemas.microsoft.com/office/excel/2006/main">
          <x14:cfRule type="dataBar" id="{4F0EC40A-A21F-479A-8DE4-91280BB31C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F21E58A4-EB00-4089-9BA4-D6CE9A2A0A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21951660-DA26-4A1E-B894-C62F9FE2EC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3AE7A88E-01F4-4C0A-AB5B-4F7DA9D6EC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N37:N38</xm:sqref>
        </x14:conditionalFormatting>
        <x14:conditionalFormatting xmlns:xm="http://schemas.microsoft.com/office/excel/2006/main">
          <x14:cfRule type="dataBar" id="{ECA46E25-5401-473F-8089-938F0B7489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O37:O38</xm:sqref>
        </x14:conditionalFormatting>
        <x14:conditionalFormatting xmlns:xm="http://schemas.microsoft.com/office/excel/2006/main">
          <x14:cfRule type="dataBar" id="{D7AAF313-3145-442C-94D1-96794F5944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5CE625F4-D4B6-4897-A114-BC259E1570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B5FDC93E-F145-47DE-905C-573CDC988A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7824D738-ABD9-44AA-AC0E-F785046185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N44:N50 N39</xm:sqref>
        </x14:conditionalFormatting>
        <x14:conditionalFormatting xmlns:xm="http://schemas.microsoft.com/office/excel/2006/main">
          <x14:cfRule type="dataBar" id="{534D6297-A511-4E16-811A-B7BCEB2158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O44:O50 O39</xm:sqref>
        </x14:conditionalFormatting>
        <x14:conditionalFormatting xmlns:xm="http://schemas.microsoft.com/office/excel/2006/main">
          <x14:cfRule type="dataBar" id="{0E5A66F2-810B-46F6-9674-BA3FF20F7B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940036B4-11FC-4595-BBDE-A8F47DFB4A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1B794DD5-9AE2-424B-9E5D-3C49C149F5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BF78BEB3-CBBB-4C10-8E39-671C9B7183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N91:N103</xm:sqref>
        </x14:conditionalFormatting>
        <x14:conditionalFormatting xmlns:xm="http://schemas.microsoft.com/office/excel/2006/main">
          <x14:cfRule type="dataBar" id="{A18F4762-5F28-4CC8-9AFC-D81007621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O91:O103</xm:sqref>
        </x14:conditionalFormatting>
        <x14:conditionalFormatting xmlns:xm="http://schemas.microsoft.com/office/excel/2006/main">
          <x14:cfRule type="dataBar" id="{8DBF6B9C-6F4E-4CE8-96C1-79A66B0F0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494FB218-048C-4194-BF71-043882FA23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BEA0CB69-B772-413A-A615-7949FA5178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6B14B08E-F34B-459F-B94C-318FC0198D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N115:O115</xm:sqref>
        </x14:conditionalFormatting>
        <x14:conditionalFormatting xmlns:xm="http://schemas.microsoft.com/office/excel/2006/main">
          <x14:cfRule type="dataBar" id="{2890E7C7-9CCA-4C17-86F5-BFC648708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7FECA0A4-5F86-446F-8550-17F549A25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FE580FD6-F016-4ACC-820B-28BB6DFB8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91852979-D177-4666-852A-6F9BE8FF0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B5B37056-F930-4EE1-A85F-3FFD65814C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1F38CE2C-16AF-4F57-A2C7-1C18A0E285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348925DF-DDBD-4E07-BA8B-5A9B246618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8B26C288-1991-4DC2-8D92-35903625E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EBD7C315-A6A5-4AF0-9BB1-B25B348E75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FE04FC-C25B-47BC-BFEC-98B3C2356D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6A0C3C6-C869-4928-B752-1E7CC8E20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9D74A5-490F-47A9-B994-1ED3FABF4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A4A5906-A959-498D-B791-9C56CA15C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F73CE938-8A1C-4E27-9433-DF4CF617DA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N113:O113</xm:sqref>
        </x14:conditionalFormatting>
        <x14:conditionalFormatting xmlns:xm="http://schemas.microsoft.com/office/excel/2006/main">
          <x14:cfRule type="dataBar" id="{CCC03CA9-C999-4910-81AC-D4F77ED093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94361FB3-855C-4298-B5A4-40285B9584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62B7A788-7125-4BF9-B2B5-9DD2A8E7CE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3A61C6AE-1347-49D3-96B8-EC9F71758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96B60DC3-FC13-4674-B956-54FF9512BC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22F1E99C-A3B9-43B2-AC0C-B25A23C084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D23AC332-BB3D-448D-944B-BC861C708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5CADEDA4-97F1-4691-823C-AC355AD9F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AA3DDFDD-F765-4177-A2CF-F80D71FF9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F26D4768-5048-4B42-A47B-4BA8415C3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E2F7BA0-E63A-491C-992B-0995D1F326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6FFF6FB9-EB54-48B8-8A0A-A2399C006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55CEE1CA-0AB7-40B4-85EF-90EC59376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A8DF83E6-C4E4-468A-9FC6-3A6EAE4AB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C4281623-E21A-4EC3-9894-4557A30FF0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N9:N27</xm:sqref>
        </x14:conditionalFormatting>
        <x14:conditionalFormatting xmlns:xm="http://schemas.microsoft.com/office/excel/2006/main">
          <x14:cfRule type="dataBar" id="{694E13AF-8D21-4694-8625-90071646A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O9:O27</xm:sqref>
        </x14:conditionalFormatting>
        <x14:conditionalFormatting xmlns:xm="http://schemas.microsoft.com/office/excel/2006/main">
          <x14:cfRule type="dataBar" id="{8B3BA1E2-500E-458A-858D-CF1BF05FB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80C641D4-A2BC-4527-A699-0FF0A5CE0D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56A9CEE8-2527-4348-972F-F0C050D50A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3B57B6AD-F99B-467C-8E20-E41472D302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6DA4FA1C-34D0-44E9-A0F3-C5653DF741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1DA3785D-E3EC-4406-BE58-8FB74B788D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BCF6A625-5E3D-4A87-9F25-60968F644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4C70245A-1CE1-4588-9E32-9C4689E1DE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96EF7C1E-22C8-4471-93E4-B53FDD448F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N80:N85 N87:N88 N90</xm:sqref>
        </x14:conditionalFormatting>
        <x14:conditionalFormatting xmlns:xm="http://schemas.microsoft.com/office/excel/2006/main">
          <x14:cfRule type="dataBar" id="{03B73599-42AA-4193-B296-5106AE133A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O80:O85 O87:O88 O90</xm:sqref>
        </x14:conditionalFormatting>
        <x14:conditionalFormatting xmlns:xm="http://schemas.microsoft.com/office/excel/2006/main">
          <x14:cfRule type="dataBar" id="{6EF8601F-CCEA-498D-82AA-6B09859B43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09656EDB-1C89-4F5F-8257-048B88BD3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B80A979B-BA21-4F4F-9D95-A6EC16BA1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A9B13FC5-74A0-4AE9-8EF7-A06CB05BB1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AEABC7CC-C9F9-4E8C-9CFA-20DC3FB5C7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0E990B94-FD70-47E6-B893-1B065B2F6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F689F9B1-F8A3-432E-8870-3184AFE06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B626F1EB-54C7-4DE0-90F6-59E4A2E7C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O65:O69</xm:sqref>
        </x14:conditionalFormatting>
        <x14:conditionalFormatting xmlns:xm="http://schemas.microsoft.com/office/excel/2006/main">
          <x14:cfRule type="dataBar" id="{E9F5C329-3C95-4B6D-AB12-CBFCCD8D79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2CD9E1AB-A695-4F80-90A1-92BA793AC4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F925DA33-C0A1-42D1-A20C-DADF96361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ED9652D2-BC84-468C-ABAE-04104038F0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34FB8918-8589-4BF9-8B78-98CEF18BB6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E515FE22-6D85-4B5B-A2B1-62B8C6BD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A73984F6-48C6-4137-B5F7-7A29FC5482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3813DAB8-FD9C-4DB1-A711-41C2D0E9ED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141C45F7-33F3-4EA6-BB61-6E2CC7ACF8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7AC8206F-33A9-427B-A94C-A5E2EB5F4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O60:O64</xm:sqref>
        </x14:conditionalFormatting>
        <x14:conditionalFormatting xmlns:xm="http://schemas.microsoft.com/office/excel/2006/main">
          <x14:cfRule type="dataBar" id="{7A10892D-20D4-4AD6-A5D4-4D224E901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9E32262E-82E8-46AE-85C3-7789544E1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EEB63653-1EFD-4678-92C6-1C05090D5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DE14BED7-E943-41F8-A6E0-16E31F84A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A3B764F1-C75C-4741-AE40-FF5B2BE6B4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EF2F7F31-EE20-438D-9B73-5314AA7146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528F453-2998-4133-B704-A3DCB3ECC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12EF6EF-069F-4D89-AC88-D217A0A8F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8738FDDC-2BEC-4D8F-B451-8E1CA7640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9CCFBA03-AFAD-4C4C-B866-33C56B426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O59 O55</xm:sqref>
        </x14:conditionalFormatting>
        <x14:conditionalFormatting xmlns:xm="http://schemas.microsoft.com/office/excel/2006/main">
          <x14:cfRule type="dataBar" id="{D25D4346-29D9-4EFA-AE34-A70A50A42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0DF63EAA-7F0B-4577-8F01-2B6E4E3D0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5C3EEEED-0287-4ACA-99F8-6801360D5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83B0B5CA-1133-42DA-8466-BB84604C9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7D719482-849E-49CB-B750-AEE121E95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6F077BED-6F7E-46DB-8D4B-825259DD24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189F0974-93C7-4427-8297-EBC8BF6DA0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33731A9E-C0D0-4924-9988-55D0AED517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DFF40150-412E-4705-8BA8-EBD11EDEC3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085EBC5D-3F67-4F71-B321-515273CE37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7E833E39-3A58-4BA2-8195-C6A020B4F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F2DE6F4D-9D6E-4EFD-AF55-2A6491259C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692F11AA-3689-4450-88E9-1778CA034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5BE8C0D6-39CB-42DE-AEC0-31C6A68F0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0BA088DD-5483-4B9F-B755-2BEC7FE2E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47FAC38D-FDF5-4861-8C32-4400A840A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O56:O58</xm:sqref>
        </x14:conditionalFormatting>
        <x14:conditionalFormatting xmlns:xm="http://schemas.microsoft.com/office/excel/2006/main">
          <x14:cfRule type="dataBar" id="{68D6DAE8-F924-461E-A28C-7BB9C509D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373DD3CE-4CA5-48D8-988C-4C306F2670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97C84450-09A8-4F05-838F-B01E47D289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6EE134F2-65FD-41C3-8FC1-5F1C57A14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A8E2F1E1-E1C6-419B-956D-E740211491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43E26193-23D9-4EC1-9BF3-9E60B2CE1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19A7C6AC-B0B4-4C78-A0AE-A6AE3B0906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5310824C-4DC0-4253-AF39-7A2745D9F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92014D44-F25C-4551-BE62-9FCCABCC82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997D25D1-5189-4C07-93A2-A0925DD97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FED06D6E-5BB5-4887-9ADA-6DCA7F63B4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23B89525-8895-45E6-853C-F83A8ADE40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00FF46E7-0616-437F-9C46-23B42AA35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69367A4D-99C4-4911-85E6-2402CA3312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N40:N43</xm:sqref>
        </x14:conditionalFormatting>
        <x14:conditionalFormatting xmlns:xm="http://schemas.microsoft.com/office/excel/2006/main">
          <x14:cfRule type="dataBar" id="{9CD86112-60EE-4058-9AF8-A6FFFE7A3D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O40:O43</xm:sqref>
        </x14:conditionalFormatting>
        <x14:conditionalFormatting xmlns:xm="http://schemas.microsoft.com/office/excel/2006/main">
          <x14:cfRule type="iconSet" priority="198" id="{A97600E5-E4E3-44F2-AFCD-CB4AC09DDAD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L54 L34:L35 L70:L75</xm:sqref>
        </x14:conditionalFormatting>
        <x14:conditionalFormatting xmlns:xm="http://schemas.microsoft.com/office/excel/2006/main">
          <x14:cfRule type="iconSet" priority="184" id="{D2D797ED-6670-4094-9474-ECCB3512543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174" id="{8CDCAAF2-7654-4F36-AE56-01F9979979F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L52:L53 L36</xm:sqref>
        </x14:conditionalFormatting>
        <x14:conditionalFormatting xmlns:xm="http://schemas.microsoft.com/office/excel/2006/main">
          <x14:cfRule type="iconSet" priority="166" id="{6AEBC5C6-A9C0-4ABB-BAEB-6B888814BA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L51</xm:sqref>
        </x14:conditionalFormatting>
        <x14:conditionalFormatting xmlns:xm="http://schemas.microsoft.com/office/excel/2006/main">
          <x14:cfRule type="iconSet" priority="146" id="{AA5A66F7-08D4-4DF5-866B-949B88ABBA7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L28:L33</xm:sqref>
        </x14:conditionalFormatting>
        <x14:conditionalFormatting xmlns:xm="http://schemas.microsoft.com/office/excel/2006/main">
          <x14:cfRule type="iconSet" priority="130" id="{C64F22CA-535E-49AA-B3A4-490D3BCE2EA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L37:L38</xm:sqref>
        </x14:conditionalFormatting>
        <x14:conditionalFormatting xmlns:xm="http://schemas.microsoft.com/office/excel/2006/main">
          <x14:cfRule type="iconSet" priority="123" id="{516167ED-72E8-48BA-A67F-F413B1E152B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L39 L44:L50</xm:sqref>
        </x14:conditionalFormatting>
        <x14:conditionalFormatting xmlns:xm="http://schemas.microsoft.com/office/excel/2006/main">
          <x14:cfRule type="iconSet" priority="118" id="{DDCB9130-6812-439B-9C1E-15DF0E91935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L91:L103</xm:sqref>
        </x14:conditionalFormatting>
        <x14:conditionalFormatting xmlns:xm="http://schemas.microsoft.com/office/excel/2006/main">
          <x14:cfRule type="iconSet" priority="83" id="{E7E29883-2069-41F6-B953-C61EA11384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L9:L27</xm:sqref>
        </x14:conditionalFormatting>
        <x14:conditionalFormatting xmlns:xm="http://schemas.microsoft.com/office/excel/2006/main">
          <x14:cfRule type="iconSet" priority="72" id="{060A9EDE-D474-4897-A3C2-8AC6BA05B32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L80:L85 L87:L88 L90</xm:sqref>
        </x14:conditionalFormatting>
        <x14:conditionalFormatting xmlns:xm="http://schemas.microsoft.com/office/excel/2006/main">
          <x14:cfRule type="iconSet" priority="65" id="{9F73E2DD-21FE-4924-BA1B-A0F50EAD1D8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L65:L69</xm:sqref>
        </x14:conditionalFormatting>
        <x14:conditionalFormatting xmlns:xm="http://schemas.microsoft.com/office/excel/2006/main">
          <x14:cfRule type="iconSet" priority="54" id="{5F46DBDE-6A6B-4CB1-9F91-D53780E40D8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L60:L64</xm:sqref>
        </x14:conditionalFormatting>
        <x14:conditionalFormatting xmlns:xm="http://schemas.microsoft.com/office/excel/2006/main">
          <x14:cfRule type="iconSet" priority="43" id="{D8C21D87-6009-49FE-A791-CBF4EB4A396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L55 L59</xm:sqref>
        </x14:conditionalFormatting>
        <x14:conditionalFormatting xmlns:xm="http://schemas.microsoft.com/office/excel/2006/main">
          <x14:cfRule type="iconSet" priority="32" id="{04408C25-02E5-4205-B104-BD403D9BE3E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</xm:sqref>
        </x14:conditionalFormatting>
        <x14:conditionalFormatting xmlns:xm="http://schemas.microsoft.com/office/excel/2006/main">
          <x14:cfRule type="iconSet" priority="25" id="{6B9F2499-DE7E-4C67-806A-A99F275D608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L56:L58</xm:sqref>
        </x14:conditionalFormatting>
        <x14:conditionalFormatting xmlns:xm="http://schemas.microsoft.com/office/excel/2006/main">
          <x14:cfRule type="iconSet" priority="14" id="{3568E835-2BD5-40F6-8DCC-1B66653655F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L89</xm:sqref>
        </x14:conditionalFormatting>
        <x14:conditionalFormatting xmlns:xm="http://schemas.microsoft.com/office/excel/2006/main">
          <x14:cfRule type="iconSet" priority="5" id="{222CA741-4DF3-46DC-8176-C6465CA1735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L40:L43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  <pageSetUpPr fitToPage="1"/>
  </sheetPr>
  <dimension ref="A1:Y184"/>
  <sheetViews>
    <sheetView showGridLines="0" tabSelected="1" zoomScaleNormal="100" workbookViewId="0">
      <pane xSplit="4" ySplit="7" topLeftCell="E8" activePane="bottomRight" state="frozen"/>
      <selection activeCell="C18" sqref="C18"/>
      <selection pane="topRight" activeCell="C18" sqref="C18"/>
      <selection pane="bottomLeft" activeCell="C18" sqref="C18"/>
      <selection pane="bottomRight" activeCell="M93" sqref="M93"/>
    </sheetView>
  </sheetViews>
  <sheetFormatPr defaultRowHeight="12.75" x14ac:dyDescent="0.2"/>
  <cols>
    <col min="1" max="1" width="3.5703125" style="28" customWidth="1"/>
    <col min="2" max="2" width="66.5703125" style="28" customWidth="1"/>
    <col min="3" max="3" width="15.42578125" style="28" hidden="1" customWidth="1"/>
    <col min="4" max="4" width="21" style="28" customWidth="1"/>
    <col min="5" max="6" width="10.140625" style="28" customWidth="1"/>
    <col min="7" max="7" width="13.28515625" style="28" hidden="1" customWidth="1"/>
    <col min="8" max="8" width="9.140625" style="28" bestFit="1" customWidth="1"/>
    <col min="9" max="9" width="9" style="28" customWidth="1"/>
    <col min="10" max="10" width="11.5703125" style="28" customWidth="1"/>
    <col min="11" max="11" width="12" style="28" customWidth="1"/>
    <col min="12" max="12" width="6.5703125" style="28" customWidth="1"/>
    <col min="13" max="13" width="8.28515625" style="28" customWidth="1"/>
    <col min="14" max="14" width="13.5703125" style="28" customWidth="1"/>
    <col min="15" max="15" width="11.28515625" style="28" customWidth="1"/>
    <col min="16" max="16" width="12.7109375" style="28" customWidth="1"/>
    <col min="17" max="17" width="15" style="28" customWidth="1"/>
    <col min="18" max="18" width="14.5703125" style="28" customWidth="1"/>
    <col min="19" max="19" width="12.5703125" style="28" customWidth="1"/>
    <col min="20" max="20" width="14.140625" style="28" customWidth="1"/>
    <col min="21" max="21" width="11.5703125" style="28" customWidth="1"/>
    <col min="22" max="22" width="13" style="28" customWidth="1"/>
    <col min="23" max="23" width="12.140625" style="28" customWidth="1"/>
    <col min="24" max="25" width="12.28515625" style="28" customWidth="1"/>
    <col min="26" max="16384" width="9.140625" style="28"/>
  </cols>
  <sheetData>
    <row r="1" spans="1:25" x14ac:dyDescent="0.2">
      <c r="K1" s="44"/>
      <c r="L1" s="44"/>
      <c r="M1" s="44"/>
      <c r="N1" s="44"/>
      <c r="O1" s="44"/>
      <c r="P1" s="44"/>
      <c r="Q1" s="44"/>
      <c r="R1" s="56" t="s">
        <v>4660</v>
      </c>
      <c r="S1" s="57"/>
      <c r="T1" s="57"/>
      <c r="U1" s="58"/>
    </row>
    <row r="2" spans="1:25" x14ac:dyDescent="0.2">
      <c r="B2" s="28" t="s">
        <v>14</v>
      </c>
      <c r="E2" s="4" t="s">
        <v>5170</v>
      </c>
      <c r="I2" s="44"/>
      <c r="K2" s="44"/>
      <c r="L2" s="44"/>
      <c r="M2" s="44"/>
      <c r="N2" s="44"/>
      <c r="O2" s="44"/>
      <c r="P2" s="44"/>
      <c r="Q2" s="44"/>
      <c r="R2" s="59" t="s">
        <v>4661</v>
      </c>
      <c r="S2" s="59" t="s">
        <v>4662</v>
      </c>
      <c r="T2" s="59" t="s">
        <v>4663</v>
      </c>
      <c r="U2" s="59" t="s">
        <v>4664</v>
      </c>
    </row>
    <row r="3" spans="1:25" x14ac:dyDescent="0.2">
      <c r="E3" s="42"/>
      <c r="I3" s="44"/>
      <c r="K3" s="44"/>
      <c r="L3" s="44"/>
      <c r="M3" s="44"/>
      <c r="N3" s="44"/>
      <c r="O3" s="44"/>
      <c r="P3" s="44"/>
      <c r="Q3" s="44"/>
      <c r="R3" s="60" t="e">
        <f ca="1">_xll.BDP(CONCATENATE(R2," Curncy"),"PX_LAST")</f>
        <v>#NAME?</v>
      </c>
      <c r="S3" s="60" t="e">
        <f ca="1">_xll.BDP(CONCATENATE(S2," Curncy"),"PX_LAST")</f>
        <v>#NAME?</v>
      </c>
      <c r="T3" s="60" t="e">
        <f ca="1">_xll.BDP(CONCATENATE(T2," Curncy"),"PX_LAST")</f>
        <v>#NAME?</v>
      </c>
      <c r="U3" s="60" t="e">
        <f ca="1">_xll.BDP(CONCATENATE(U2," Curncy"),"PX_LAST")</f>
        <v>#NAME?</v>
      </c>
    </row>
    <row r="4" spans="1:25" x14ac:dyDescent="0.2">
      <c r="H4" s="44"/>
      <c r="I4" s="48"/>
      <c r="K4" s="44"/>
      <c r="L4" s="44"/>
      <c r="M4" s="44"/>
      <c r="N4" s="44"/>
      <c r="O4" s="44"/>
      <c r="P4" s="44"/>
      <c r="Q4" s="44"/>
    </row>
    <row r="5" spans="1:25" x14ac:dyDescent="0.2">
      <c r="E5" s="42"/>
      <c r="H5" s="44"/>
      <c r="I5" s="42"/>
      <c r="K5" s="42"/>
      <c r="N5" s="47"/>
      <c r="O5" s="47"/>
    </row>
    <row r="6" spans="1:25" x14ac:dyDescent="0.2">
      <c r="E6" s="49"/>
      <c r="F6" s="49"/>
      <c r="N6" s="46"/>
      <c r="O6" s="46"/>
    </row>
    <row r="7" spans="1:25" s="10" customFormat="1" ht="76.5" x14ac:dyDescent="0.25">
      <c r="B7" s="6" t="s">
        <v>0</v>
      </c>
      <c r="C7" s="6" t="s">
        <v>20</v>
      </c>
      <c r="D7" s="7" t="s">
        <v>1</v>
      </c>
      <c r="E7" s="7" t="s">
        <v>2</v>
      </c>
      <c r="F7" s="7" t="s">
        <v>4647</v>
      </c>
      <c r="G7" s="7" t="s">
        <v>18</v>
      </c>
      <c r="H7" s="7" t="s">
        <v>3</v>
      </c>
      <c r="I7" s="7" t="s">
        <v>4</v>
      </c>
      <c r="J7" s="8" t="s">
        <v>5</v>
      </c>
      <c r="K7" s="8" t="s">
        <v>6</v>
      </c>
      <c r="L7" s="9" t="s">
        <v>7</v>
      </c>
      <c r="M7" s="7" t="s">
        <v>8</v>
      </c>
      <c r="N7" s="7" t="s">
        <v>9</v>
      </c>
      <c r="O7" s="7" t="s">
        <v>10</v>
      </c>
      <c r="P7" s="7" t="s">
        <v>4651</v>
      </c>
      <c r="Q7" s="7" t="s">
        <v>4652</v>
      </c>
      <c r="R7" s="7" t="s">
        <v>4653</v>
      </c>
      <c r="S7" s="7" t="s">
        <v>4654</v>
      </c>
      <c r="T7" s="7" t="s">
        <v>11</v>
      </c>
      <c r="U7" s="7" t="s">
        <v>12</v>
      </c>
      <c r="V7" s="7" t="s">
        <v>13</v>
      </c>
      <c r="W7" s="7" t="s">
        <v>4655</v>
      </c>
      <c r="X7" s="7" t="s">
        <v>4657</v>
      </c>
      <c r="Y7" s="7" t="s">
        <v>4656</v>
      </c>
    </row>
    <row r="8" spans="1:25" s="17" customFormat="1" ht="15" x14ac:dyDescent="0.25">
      <c r="A8" s="11"/>
      <c r="B8" s="11" t="s">
        <v>17</v>
      </c>
      <c r="C8" s="11"/>
      <c r="D8" s="5"/>
      <c r="E8" s="12"/>
      <c r="F8" s="12"/>
      <c r="G8" s="5"/>
      <c r="H8" s="5"/>
      <c r="I8" s="13"/>
      <c r="J8" s="14"/>
      <c r="K8" s="15"/>
      <c r="L8" s="14"/>
      <c r="M8" s="16"/>
      <c r="N8" s="12"/>
      <c r="O8" s="12"/>
      <c r="P8" s="40"/>
      <c r="Q8" s="40"/>
      <c r="R8" s="40"/>
      <c r="S8" s="40"/>
      <c r="T8" s="40"/>
      <c r="U8" s="40"/>
      <c r="V8" s="41"/>
      <c r="W8" s="41"/>
    </row>
    <row r="9" spans="1:25" s="17" customFormat="1" ht="15" customHeight="1" x14ac:dyDescent="0.25">
      <c r="B9" s="43" t="str">
        <f>IF(LEFT(C9,2) = "RU", VLOOKUP(C9,MICEX!$A$2:$D$1554,4,FALSE),VLOOKUP(C9,Instruments!B:C,2,FALSE))</f>
        <v>Koninklijke Ahold Delhaize N.V. (NL0011794037)</v>
      </c>
      <c r="C9" s="43" t="str">
        <f>VLOOKUP(D9,Securities!B:C,2,FALSE)</f>
        <v>NL0011794037</v>
      </c>
      <c r="D9" s="52" t="s">
        <v>7539</v>
      </c>
      <c r="E9" s="12" t="e">
        <f t="shared" ref="E9" ca="1" si="0">S9/$S$182</f>
        <v>#N/A</v>
      </c>
      <c r="F9" s="40">
        <f>SUMIFS(positions!$E:$E,positions!$D:$D,C9,positions!B:B,$E$2)</f>
        <v>5640</v>
      </c>
      <c r="G9" s="40">
        <f t="shared" ref="G9" si="1">$K$5-Q9</f>
        <v>-110606.65475999999</v>
      </c>
      <c r="H9" s="53" t="e">
        <f ca="1">IF(M9="RUB",SUMIFS(positions!G:G,positions!B:B,$E$2,positions!D:D,C9),SUMIFS(positions!H:H,positions!B:B,$E$2,positions!D:D,C9))</f>
        <v>#NAME?</v>
      </c>
      <c r="I9" s="51" t="e">
        <f ca="1">IF(ISERR(_xll.BDP(D9,"PX_LAST")),VLOOKUP(C9,positions!$B:$C,2,FALSE),_xll.BDP(D9,"PX_LAST"))</f>
        <v>#N/A</v>
      </c>
      <c r="J9" s="14" t="e">
        <f ca="1">IF( C9 = "RU000A0JR5Z5", _xll.BDP("486 HK EQUITY","BEST_TARGET_PRICE")*_xll.BDP("USDRUB Curncy","PX_LAST")/_xll.BDP("HKD Curncy","PX_LAST")*10, IF(  OR(   _xll.BDP(D9,"BEST_TARGET_PRICE")="#N/A N/A", _xll.BDP(D9,"BEST_TARGET_PRICE")="#N/A Field Not Applicable"),0,_xll.BDP(D9,"BEST_TARGET_PRICE")))</f>
        <v>#NAME?</v>
      </c>
      <c r="K9" s="15" t="e">
        <f t="shared" ref="K9" ca="1" si="2">IF(J9&gt;0,J9/I9-1,0)</f>
        <v>#NAME?</v>
      </c>
      <c r="L9" s="14" t="e">
        <f ca="1">IF(C9="RU000A0JR5Z5",_xll.BDP("486 HK EQUITY","EQY_REC_CONS"),IF(OR(_xll.BDP(D9,"EQY_REC_CONS")="#N/A Field Not Applicable",_xll.BDP(D9,"EQY_REC_CONS")="#N/A N/A"),0,_xll.BDP(D9,"EQY_REC_CONS")))</f>
        <v>#NAME?</v>
      </c>
      <c r="M9" s="16" t="e">
        <f ca="1">_xll.BDP(D9,"Currency")</f>
        <v>#NAME?</v>
      </c>
      <c r="N9" s="12" t="e">
        <f t="shared" ref="N9:O9" ca="1" si="3">IF(P9&gt;0,R9/P9-1,0)</f>
        <v>#N/A</v>
      </c>
      <c r="O9" s="12" t="e">
        <f t="shared" ca="1" si="3"/>
        <v>#N/A</v>
      </c>
      <c r="P9" s="40">
        <f>SUMIFS(positions!G:G,positions!B:B,$E$2,positions!D:D,C9)*F9</f>
        <v>6452106.9332400002</v>
      </c>
      <c r="Q9" s="40">
        <f>SUMIFS(positions!H:H,positions!B:B,$E$2,positions!D:D,C9)*F9</f>
        <v>110606.65475999999</v>
      </c>
      <c r="R9" s="40" t="e">
        <f ca="1">F9*I9/IF(M9="RUB",1,_xll.BDP( CONCATENATE("RUB",UPPER(M9)," Curncy"), "PX_LAST"))/IF(M9="GBp",100,1)</f>
        <v>#N/A</v>
      </c>
      <c r="S9" s="40" t="e">
        <f ca="1">F9*I9/IF(M9="USD",1,_xll.BDP( CONCATENATE("USD",UPPER(M9)," Curncy"), "PX_LAST"))/IF(M9="GBp",100,1)</f>
        <v>#N/A</v>
      </c>
      <c r="T9" s="40" t="e">
        <f ca="1">R9-P9</f>
        <v>#N/A</v>
      </c>
      <c r="U9" s="40" t="e">
        <f ca="1">S9-Q9</f>
        <v>#N/A</v>
      </c>
      <c r="V9" s="41" t="e">
        <f ca="1">IF( OR(  _xll.BDP($D9,"EQY_DVD_YLD_EST")="#N/A Field Not Applicable", _xll.BDP($D9,"EQY_DVD_YLD_EST")="#N/A N/A"),IF(   OR(  _xll.BDP(D9,"YLD_CNV_MID")="#N/A Field Not Applicable", _xll.BDP(D9,"YLD_CNV_MID")="#N/A N/A"), 0,_xll.BDP(D9,"YLD_CNV_MID")),_xll.BDP($D9,"EQY_DVD_YLD_EST"))</f>
        <v>#NAME?</v>
      </c>
      <c r="W9" s="40" t="e">
        <f ca="1">F9*I9/IF(M9="USD",1,_xll.BDP( CONCATENATE("USD",UPPER(M9)," Curncy"), "PX_LAST"))/IF(M9="GBp",100,1)</f>
        <v>#N/A</v>
      </c>
      <c r="X9" s="54" t="e">
        <f ca="1">IF(  OR(   _xll.BDP($D9,"DVD_EX_DT")="#N/A N/A", _xll.BDP($D9,"DVD_EX_DT")="#N/A Field Not Applicable"),"",_xll.BDP($D9,"DVD_EX_DT"))</f>
        <v>#NAME?</v>
      </c>
      <c r="Y9" s="54" t="e">
        <f ca="1">IF(  OR(   _xll.BDP($D9,"BDVD_NEXT_EST_DECL_DT")="#N/A N/A", _xll.BDP($D9,"BDVD_NEXT_EST_DECL_DT")="#N/A Field Not Applicable"),"",_xll.BDP($D9,"BDVD_NEXT_EST_DECL_DT"))</f>
        <v>#NAME?</v>
      </c>
    </row>
    <row r="10" spans="1:25" s="17" customFormat="1" ht="15" customHeight="1" x14ac:dyDescent="0.25">
      <c r="B10" s="43" t="str">
        <f>IF(LEFT(C10,2) = "RU", VLOOKUP(C10,MICEX!$A$2:$D$1554,4,FALSE),VLOOKUP(C10,Instruments!B:C,2,FALSE))</f>
        <v>Alerian MLP ETF (US00162Q8666)</v>
      </c>
      <c r="C10" s="43" t="str">
        <f>VLOOKUP(D10,Securities!B:C,2,FALSE)</f>
        <v>US00162Q8666</v>
      </c>
      <c r="D10" s="52" t="s">
        <v>7463</v>
      </c>
      <c r="E10" s="12" t="e">
        <f t="shared" ref="E10:E15" ca="1" si="4">S10/$S$182</f>
        <v>#N/A</v>
      </c>
      <c r="F10" s="40">
        <f>SUMIFS(positions!$E:$E,positions!$D:$D,C10,positions!B:B,$E$2)</f>
        <v>6200</v>
      </c>
      <c r="G10" s="40">
        <f t="shared" ref="G10:G15" si="5">$K$5-Q10</f>
        <v>-70058.995599999995</v>
      </c>
      <c r="H10" s="53" t="e">
        <f ca="1">IF(M10="RUB",SUMIFS(positions!G:G,positions!B:B,$E$2,positions!D:D,C10),SUMIFS(positions!H:H,positions!B:B,$E$2,positions!D:D,C10))</f>
        <v>#NAME?</v>
      </c>
      <c r="I10" s="51" t="e">
        <f ca="1">IF(ISERR(_xll.BDP(D10,"PX_LAST")),VLOOKUP(C10,positions!$B:$C,2,FALSE),_xll.BDP(D10,"PX_LAST"))</f>
        <v>#N/A</v>
      </c>
      <c r="J10" s="14" t="e">
        <f ca="1">IF( C10 = "RU000A0JR5Z5", _xll.BDP("486 HK EQUITY","BEST_TARGET_PRICE")*_xll.BDP("USDRUB Curncy","PX_LAST")/_xll.BDP("HKD Curncy","PX_LAST")*10, IF(  OR(   _xll.BDP(D10,"BEST_TARGET_PRICE")="#N/A N/A", _xll.BDP(D10,"BEST_TARGET_PRICE")="#N/A Field Not Applicable"),0,_xll.BDP(D10,"BEST_TARGET_PRICE")))</f>
        <v>#NAME?</v>
      </c>
      <c r="K10" s="15" t="e">
        <f t="shared" ref="K10:K15" ca="1" si="6">IF(J10&gt;0,J10/I10-1,0)</f>
        <v>#NAME?</v>
      </c>
      <c r="L10" s="14" t="e">
        <f ca="1">IF(C10="RU000A0JR5Z5",_xll.BDP("486 HK EQUITY","EQY_REC_CONS"),IF(OR(_xll.BDP(D10,"EQY_REC_CONS")="#N/A Field Not Applicable",_xll.BDP(D10,"EQY_REC_CONS")="#N/A N/A"),0,_xll.BDP(D10,"EQY_REC_CONS")))</f>
        <v>#NAME?</v>
      </c>
      <c r="M10" s="16" t="e">
        <f ca="1">_xll.BDP(D10,"Currency")</f>
        <v>#NAME?</v>
      </c>
      <c r="N10" s="12" t="e">
        <f t="shared" ref="N10:N15" ca="1" si="7">IF(P10&gt;0,R10/P10-1,0)</f>
        <v>#N/A</v>
      </c>
      <c r="O10" s="12" t="e">
        <f t="shared" ref="O10:O15" ca="1" si="8">IF(Q10&gt;0,S10/Q10-1,0)</f>
        <v>#N/A</v>
      </c>
      <c r="P10" s="40">
        <f>SUMIFS(positions!G:G,positions!B:B,$E$2,positions!D:D,C10)*F10</f>
        <v>4048128.2234</v>
      </c>
      <c r="Q10" s="40">
        <f>SUMIFS(positions!H:H,positions!B:B,$E$2,positions!D:D,C10)*F10</f>
        <v>70058.995599999995</v>
      </c>
      <c r="R10" s="40" t="e">
        <f ca="1">F10*I10/IF(M10="RUB",1,_xll.BDP( CONCATENATE("RUB",UPPER(M10)," Curncy"), "PX_LAST"))/IF(M10="GBp",100,1)</f>
        <v>#N/A</v>
      </c>
      <c r="S10" s="40" t="e">
        <f ca="1">F10*I10/IF(M10="USD",1,_xll.BDP( CONCATENATE("USD",UPPER(M10)," Curncy"), "PX_LAST"))/IF(M10="GBp",100,1)</f>
        <v>#N/A</v>
      </c>
      <c r="T10" s="40" t="e">
        <f t="shared" ref="T10:T15" ca="1" si="9">R10-P10</f>
        <v>#N/A</v>
      </c>
      <c r="U10" s="40" t="e">
        <f t="shared" ref="U10:U15" ca="1" si="10">S10-Q10</f>
        <v>#N/A</v>
      </c>
      <c r="V10" s="41" t="e">
        <f ca="1">IF( OR(  _xll.BDP($D10,"EQY_DVD_YLD_EST")="#N/A Field Not Applicable", _xll.BDP($D10,"EQY_DVD_YLD_EST")="#N/A N/A"),IF(   OR(  _xll.BDP(D10,"YLD_CNV_MID")="#N/A Field Not Applicable", _xll.BDP(D10,"YLD_CNV_MID")="#N/A N/A"), 0,_xll.BDP(D10,"YLD_CNV_MID")),_xll.BDP($D10,"EQY_DVD_YLD_EST"))</f>
        <v>#NAME?</v>
      </c>
      <c r="W10" s="40" t="e">
        <f ca="1">F10*I10/IF(M10="USD",1,_xll.BDP( CONCATENATE("USD",UPPER(M10)," Curncy"), "PX_LAST"))/IF(M10="GBp",100,1)</f>
        <v>#N/A</v>
      </c>
      <c r="X10" s="54" t="e">
        <f ca="1">IF(  OR(   _xll.BDP($D10,"DVD_EX_DT")="#N/A N/A", _xll.BDP($D10,"DVD_EX_DT")="#N/A Field Not Applicable"),"",_xll.BDP($D10,"DVD_EX_DT"))</f>
        <v>#NAME?</v>
      </c>
      <c r="Y10" s="54" t="e">
        <f ca="1">IF(  OR(   _xll.BDP($D10,"BDVD_NEXT_EST_DECL_DT")="#N/A N/A", _xll.BDP($D10,"BDVD_NEXT_EST_DECL_DT")="#N/A Field Not Applicable"),"",_xll.BDP($D10,"BDVD_NEXT_EST_DECL_DT"))</f>
        <v>#NAME?</v>
      </c>
    </row>
    <row r="11" spans="1:25" s="17" customFormat="1" ht="15" customHeight="1" x14ac:dyDescent="0.25">
      <c r="B11" s="43" t="str">
        <f>IF(LEFT(C11,2) = "RU", VLOOKUP(C11,MICEX!$A$2:$D$1554,4,FALSE),VLOOKUP(C11,Instruments!B:C,2,FALSE))</f>
        <v>Henderson Horizon - Pan European Equity Fund</v>
      </c>
      <c r="C11" s="43" t="str">
        <f>VLOOKUP(D11,Securities!B:C,2,FALSE)</f>
        <v>LU0138821268</v>
      </c>
      <c r="D11" s="52" t="s">
        <v>7662</v>
      </c>
      <c r="E11" s="12" t="e">
        <f t="shared" ca="1" si="4"/>
        <v>#N/A</v>
      </c>
      <c r="F11" s="40">
        <f>SUMIFS(positions!$E:$E,positions!$D:$D,C11,positions!B:B,$E$2)</f>
        <v>6900</v>
      </c>
      <c r="G11" s="40">
        <f t="shared" si="5"/>
        <v>-233378.32740000001</v>
      </c>
      <c r="H11" s="53" t="e">
        <f ca="1">IF(M11="RUB",SUMIFS(positions!G:G,positions!B:B,$E$2,positions!D:D,C11),SUMIFS(positions!H:H,positions!B:B,$E$2,positions!D:D,C11))</f>
        <v>#NAME?</v>
      </c>
      <c r="I11" s="51" t="e">
        <f ca="1">IF(ISERR(_xll.BDP(D11,"PX_LAST")),VLOOKUP(C11,positions!$B:$C,2,FALSE),_xll.BDP(D11,"PX_LAST"))</f>
        <v>#N/A</v>
      </c>
      <c r="J11" s="14" t="e">
        <f ca="1">IF( C11 = "RU000A0JR5Z5", _xll.BDP("486 HK EQUITY","BEST_TARGET_PRICE")*_xll.BDP("USDRUB Curncy","PX_LAST")/_xll.BDP("HKD Curncy","PX_LAST")*10, IF(  OR(   _xll.BDP(D11,"BEST_TARGET_PRICE")="#N/A N/A", _xll.BDP(D11,"BEST_TARGET_PRICE")="#N/A Field Not Applicable"),0,_xll.BDP(D11,"BEST_TARGET_PRICE")))</f>
        <v>#NAME?</v>
      </c>
      <c r="K11" s="15" t="e">
        <f t="shared" ca="1" si="6"/>
        <v>#NAME?</v>
      </c>
      <c r="L11" s="14" t="e">
        <f ca="1">IF(C11="RU000A0JR5Z5",_xll.BDP("486 HK EQUITY","EQY_REC_CONS"),IF(OR(_xll.BDP(D11,"EQY_REC_CONS")="#N/A Field Not Applicable",_xll.BDP(D11,"EQY_REC_CONS")="#N/A N/A"),0,_xll.BDP(D11,"EQY_REC_CONS")))</f>
        <v>#NAME?</v>
      </c>
      <c r="M11" s="16" t="e">
        <f ca="1">_xll.BDP(D11,"Currency")</f>
        <v>#NAME?</v>
      </c>
      <c r="N11" s="12" t="e">
        <f t="shared" ca="1" si="7"/>
        <v>#N/A</v>
      </c>
      <c r="O11" s="12" t="e">
        <f t="shared" ca="1" si="8"/>
        <v>#N/A</v>
      </c>
      <c r="P11" s="40">
        <f>SUMIFS(positions!G:G,positions!B:B,$E$2,positions!D:D,C11)*F11</f>
        <v>13505977.3311</v>
      </c>
      <c r="Q11" s="40">
        <f>SUMIFS(positions!H:H,positions!B:B,$E$2,positions!D:D,C11)*F11</f>
        <v>233378.32740000001</v>
      </c>
      <c r="R11" s="40" t="e">
        <f ca="1">F11*I11/IF(M11="RUB",1,_xll.BDP( CONCATENATE("RUB",UPPER(M11)," Curncy"), "PX_LAST"))/IF(M11="GBp",100,1)</f>
        <v>#N/A</v>
      </c>
      <c r="S11" s="40" t="e">
        <f ca="1">F11*I11/IF(M11="USD",1,_xll.BDP( CONCATENATE("USD",UPPER(M11)," Curncy"), "PX_LAST"))/IF(M11="GBp",100,1)</f>
        <v>#N/A</v>
      </c>
      <c r="T11" s="40" t="e">
        <f t="shared" ca="1" si="9"/>
        <v>#N/A</v>
      </c>
      <c r="U11" s="40" t="e">
        <f t="shared" ca="1" si="10"/>
        <v>#N/A</v>
      </c>
      <c r="V11" s="41" t="e">
        <f ca="1">IF( OR(  _xll.BDP($D11,"EQY_DVD_YLD_EST")="#N/A Field Not Applicable", _xll.BDP($D11,"EQY_DVD_YLD_EST")="#N/A N/A"),IF(   OR(  _xll.BDP(D11,"YLD_CNV_MID")="#N/A Field Not Applicable", _xll.BDP(D11,"YLD_CNV_MID")="#N/A N/A"), 0,_xll.BDP(D11,"YLD_CNV_MID")),_xll.BDP($D11,"EQY_DVD_YLD_EST"))</f>
        <v>#NAME?</v>
      </c>
      <c r="W11" s="40" t="e">
        <f ca="1">F11*I11/IF(M11="USD",1,_xll.BDP( CONCATENATE("USD",UPPER(M11)," Curncy"), "PX_LAST"))/IF(M11="GBp",100,1)</f>
        <v>#N/A</v>
      </c>
      <c r="X11" s="54" t="e">
        <f ca="1">IF(  OR(   _xll.BDP($D11,"DVD_EX_DT")="#N/A N/A", _xll.BDP($D11,"DVD_EX_DT")="#N/A Field Not Applicable"),"",_xll.BDP($D11,"DVD_EX_DT"))</f>
        <v>#NAME?</v>
      </c>
      <c r="Y11" s="54" t="e">
        <f ca="1">IF(  OR(   _xll.BDP($D11,"BDVD_NEXT_EST_DECL_DT")="#N/A N/A", _xll.BDP($D11,"BDVD_NEXT_EST_DECL_DT")="#N/A Field Not Applicable"),"",_xll.BDP($D11,"BDVD_NEXT_EST_DECL_DT"))</f>
        <v>#NAME?</v>
      </c>
    </row>
    <row r="12" spans="1:25" s="17" customFormat="1" ht="15" customHeight="1" x14ac:dyDescent="0.25">
      <c r="B12" s="43" t="str">
        <f>IF(LEFT(C12,2) = "RU", VLOOKUP(C12,MICEX!$A$2:$D$1554,4,FALSE),VLOOKUP(C12,Instruments!B:C,2,FALSE))</f>
        <v>iShares Euro High Yield Corp Bond UCITS ETF EUR (Dist) (IE00B66F4759)</v>
      </c>
      <c r="C12" s="43" t="str">
        <f>VLOOKUP(D12,Securities!B:C,2,FALSE)</f>
        <v>IE00B66F4759</v>
      </c>
      <c r="D12" s="52" t="s">
        <v>7823</v>
      </c>
      <c r="E12" s="12" t="e">
        <f t="shared" ca="1" si="4"/>
        <v>#N/A</v>
      </c>
      <c r="F12" s="40">
        <f>SUMIFS(positions!$E:$E,positions!$D:$D,C12,positions!B:B,$E$2)</f>
        <v>947</v>
      </c>
      <c r="G12" s="40">
        <f t="shared" si="5"/>
        <v>-109427.91161900001</v>
      </c>
      <c r="H12" s="53" t="e">
        <f ca="1">IF(M12="RUB",SUMIFS(positions!G:G,positions!B:B,$E$2,positions!D:D,C12),SUMIFS(positions!H:H,positions!B:B,$E$2,positions!D:D,C12))</f>
        <v>#NAME?</v>
      </c>
      <c r="I12" s="51" t="e">
        <f ca="1">IF(ISERR(_xll.BDP(D12,"PX_LAST")),VLOOKUP(C12,positions!$B:$C,2,FALSE),_xll.BDP(D12,"PX_LAST"))</f>
        <v>#N/A</v>
      </c>
      <c r="J12" s="14" t="e">
        <f ca="1">IF( C12 = "RU000A0JR5Z5", _xll.BDP("486 HK EQUITY","BEST_TARGET_PRICE")*_xll.BDP("USDRUB Curncy","PX_LAST")/_xll.BDP("HKD Curncy","PX_LAST")*10, IF(  OR(   _xll.BDP(D12,"BEST_TARGET_PRICE")="#N/A N/A", _xll.BDP(D12,"BEST_TARGET_PRICE")="#N/A Field Not Applicable"),0,_xll.BDP(D12,"BEST_TARGET_PRICE")))</f>
        <v>#NAME?</v>
      </c>
      <c r="K12" s="15" t="e">
        <f t="shared" ca="1" si="6"/>
        <v>#NAME?</v>
      </c>
      <c r="L12" s="14" t="e">
        <f ca="1">IF(C12="RU000A0JR5Z5",_xll.BDP("486 HK EQUITY","EQY_REC_CONS"),IF(OR(_xll.BDP(D12,"EQY_REC_CONS")="#N/A Field Not Applicable",_xll.BDP(D12,"EQY_REC_CONS")="#N/A N/A"),0,_xll.BDP(D12,"EQY_REC_CONS")))</f>
        <v>#NAME?</v>
      </c>
      <c r="M12" s="16" t="e">
        <f ca="1">_xll.BDP(D12,"Currency")</f>
        <v>#NAME?</v>
      </c>
      <c r="N12" s="12" t="e">
        <f t="shared" ca="1" si="7"/>
        <v>#N/A</v>
      </c>
      <c r="O12" s="12" t="e">
        <f t="shared" ca="1" si="8"/>
        <v>#N/A</v>
      </c>
      <c r="P12" s="40">
        <f>SUMIFS(positions!G:G,positions!B:B,$E$2,positions!D:D,C12)*F12</f>
        <v>6991655.89439</v>
      </c>
      <c r="Q12" s="40">
        <f>SUMIFS(positions!H:H,positions!B:B,$E$2,positions!D:D,C12)*F12</f>
        <v>109427.91161900001</v>
      </c>
      <c r="R12" s="40" t="e">
        <f ca="1">F12*I12/IF(M12="RUB",1,_xll.BDP( CONCATENATE("RUB",UPPER(M12)," Curncy"), "PX_LAST"))/IF(M12="GBp",100,1)</f>
        <v>#N/A</v>
      </c>
      <c r="S12" s="40" t="e">
        <f ca="1">F12*I12/IF(M12="USD",1,_xll.BDP( CONCATENATE("USD",UPPER(M12)," Curncy"), "PX_LAST"))/IF(M12="GBp",100,1)</f>
        <v>#N/A</v>
      </c>
      <c r="T12" s="40" t="e">
        <f t="shared" ca="1" si="9"/>
        <v>#N/A</v>
      </c>
      <c r="U12" s="40" t="e">
        <f t="shared" ca="1" si="10"/>
        <v>#N/A</v>
      </c>
      <c r="V12" s="41" t="e">
        <f ca="1">IF( OR(  _xll.BDP($D12,"EQY_DVD_YLD_EST")="#N/A Field Not Applicable", _xll.BDP($D12,"EQY_DVD_YLD_EST")="#N/A N/A"),IF(   OR(  _xll.BDP(D12,"YLD_CNV_MID")="#N/A Field Not Applicable", _xll.BDP(D12,"YLD_CNV_MID")="#N/A N/A"), 0,_xll.BDP(D12,"YLD_CNV_MID")),_xll.BDP($D12,"EQY_DVD_YLD_EST"))</f>
        <v>#NAME?</v>
      </c>
      <c r="W12" s="40" t="e">
        <f ca="1">F12*I12/IF(M12="USD",1,_xll.BDP( CONCATENATE("USD",UPPER(M12)," Curncy"), "PX_LAST"))/IF(M12="GBp",100,1)</f>
        <v>#N/A</v>
      </c>
      <c r="X12" s="54" t="e">
        <f ca="1">IF(  OR(   _xll.BDP($D12,"DVD_EX_DT")="#N/A N/A", _xll.BDP($D12,"DVD_EX_DT")="#N/A Field Not Applicable"),"",_xll.BDP($D12,"DVD_EX_DT"))</f>
        <v>#NAME?</v>
      </c>
      <c r="Y12" s="54" t="e">
        <f ca="1">IF(  OR(   _xll.BDP($D12,"BDVD_NEXT_EST_DECL_DT")="#N/A N/A", _xll.BDP($D12,"BDVD_NEXT_EST_DECL_DT")="#N/A Field Not Applicable"),"",_xll.BDP($D12,"BDVD_NEXT_EST_DECL_DT"))</f>
        <v>#NAME?</v>
      </c>
    </row>
    <row r="13" spans="1:25" s="17" customFormat="1" ht="15" customHeight="1" x14ac:dyDescent="0.25">
      <c r="B13" s="43" t="str">
        <f>IF(LEFT(C13,2) = "RU", VLOOKUP(C13,MICEX!$A$2:$D$1554,4,FALSE),VLOOKUP(C13,Instruments!B:C,2,FALSE))</f>
        <v>Old Mutual Global Equity Absolute Return Fund USDA</v>
      </c>
      <c r="C13" s="43" t="str">
        <f>VLOOKUP(D13,Securities!B:C,2,FALSE)</f>
        <v>IE00BLP5S353</v>
      </c>
      <c r="D13" s="52" t="s">
        <v>7400</v>
      </c>
      <c r="E13" s="12" t="e">
        <f t="shared" ca="1" si="4"/>
        <v>#N/A</v>
      </c>
      <c r="F13" s="40">
        <f>SUMIFS(positions!$E:$E,positions!$D:$D,C13,positions!B:B,$E$2)</f>
        <v>86103</v>
      </c>
      <c r="G13" s="40">
        <f t="shared" si="5"/>
        <v>-100077.5169</v>
      </c>
      <c r="H13" s="53" t="e">
        <f ca="1">IF(M13="RUB",SUMIFS(positions!G:G,positions!B:B,$E$2,positions!D:D,C13),SUMIFS(positions!H:H,positions!B:B,$E$2,positions!D:D,C13))</f>
        <v>#NAME?</v>
      </c>
      <c r="I13" s="51" t="e">
        <f ca="1">IF(ISERR(_xll.BDP(D13,"PX_LAST")),VLOOKUP(C13,positions!$B:$C,2,FALSE),_xll.BDP(D13,"PX_LAST"))</f>
        <v>#N/A</v>
      </c>
      <c r="J13" s="14" t="e">
        <f ca="1">IF( C13 = "RU000A0JR5Z5", _xll.BDP("486 HK EQUITY","BEST_TARGET_PRICE")*_xll.BDP("USDRUB Curncy","PX_LAST")/_xll.BDP("HKD Curncy","PX_LAST")*10, IF(  OR(   _xll.BDP(D13,"BEST_TARGET_PRICE")="#N/A N/A", _xll.BDP(D13,"BEST_TARGET_PRICE")="#N/A Field Not Applicable"),0,_xll.BDP(D13,"BEST_TARGET_PRICE")))</f>
        <v>#NAME?</v>
      </c>
      <c r="K13" s="15" t="e">
        <f t="shared" ca="1" si="6"/>
        <v>#NAME?</v>
      </c>
      <c r="L13" s="14" t="e">
        <f ca="1">IF(C13="RU000A0JR5Z5",_xll.BDP("486 HK EQUITY","EQY_REC_CONS"),IF(OR(_xll.BDP(D13,"EQY_REC_CONS")="#N/A Field Not Applicable",_xll.BDP(D13,"EQY_REC_CONS")="#N/A N/A"),0,_xll.BDP(D13,"EQY_REC_CONS")))</f>
        <v>#NAME?</v>
      </c>
      <c r="M13" s="16" t="e">
        <f ca="1">_xll.BDP(D13,"Currency")</f>
        <v>#NAME?</v>
      </c>
      <c r="N13" s="12" t="e">
        <f t="shared" ca="1" si="7"/>
        <v>#N/A</v>
      </c>
      <c r="O13" s="12" t="e">
        <f t="shared" ca="1" si="8"/>
        <v>#N/A</v>
      </c>
      <c r="P13" s="40">
        <f>SUMIFS(positions!G:G,positions!B:B,$E$2,positions!D:D,C13)*F13</f>
        <v>6549052.988349</v>
      </c>
      <c r="Q13" s="40">
        <f>SUMIFS(positions!H:H,positions!B:B,$E$2,positions!D:D,C13)*F13</f>
        <v>100077.5169</v>
      </c>
      <c r="R13" s="40" t="e">
        <f ca="1">F13*I13/IF(M13="RUB",1,_xll.BDP( CONCATENATE("RUB",UPPER(M13)," Curncy"), "PX_LAST"))/IF(M13="GBp",100,1)</f>
        <v>#N/A</v>
      </c>
      <c r="S13" s="40" t="e">
        <f ca="1">F13*I13/IF(M13="USD",1,_xll.BDP( CONCATENATE("USD",UPPER(M13)," Curncy"), "PX_LAST"))/IF(M13="GBp",100,1)</f>
        <v>#N/A</v>
      </c>
      <c r="T13" s="40" t="e">
        <f t="shared" ca="1" si="9"/>
        <v>#N/A</v>
      </c>
      <c r="U13" s="40" t="e">
        <f t="shared" ca="1" si="10"/>
        <v>#N/A</v>
      </c>
      <c r="V13" s="41" t="e">
        <f ca="1">IF( OR(  _xll.BDP($D13,"EQY_DVD_YLD_EST")="#N/A Field Not Applicable", _xll.BDP($D13,"EQY_DVD_YLD_EST")="#N/A N/A"),IF(   OR(  _xll.BDP(D13,"YLD_CNV_MID")="#N/A Field Not Applicable", _xll.BDP(D13,"YLD_CNV_MID")="#N/A N/A"), 0,_xll.BDP(D13,"YLD_CNV_MID")),_xll.BDP($D13,"EQY_DVD_YLD_EST"))</f>
        <v>#NAME?</v>
      </c>
      <c r="W13" s="40" t="e">
        <f ca="1">F13*I13/IF(M13="USD",1,_xll.BDP( CONCATENATE("USD",UPPER(M13)," Curncy"), "PX_LAST"))/IF(M13="GBp",100,1)</f>
        <v>#N/A</v>
      </c>
      <c r="X13" s="54" t="e">
        <f ca="1">IF(  OR(   _xll.BDP($D13,"DVD_EX_DT")="#N/A N/A", _xll.BDP($D13,"DVD_EX_DT")="#N/A Field Not Applicable"),"",_xll.BDP($D13,"DVD_EX_DT"))</f>
        <v>#NAME?</v>
      </c>
      <c r="Y13" s="54" t="e">
        <f ca="1">IF(  OR(   _xll.BDP($D13,"BDVD_NEXT_EST_DECL_DT")="#N/A N/A", _xll.BDP($D13,"BDVD_NEXT_EST_DECL_DT")="#N/A Field Not Applicable"),"",_xll.BDP($D13,"BDVD_NEXT_EST_DECL_DT"))</f>
        <v>#NAME?</v>
      </c>
    </row>
    <row r="14" spans="1:25" s="17" customFormat="1" ht="15" customHeight="1" x14ac:dyDescent="0.25">
      <c r="B14" s="43" t="str">
        <f>IF(LEFT(C14,2) = "RU", VLOOKUP(C14,MICEX!$A$2:$D$1554,4,FALSE),VLOOKUP(C14,Instruments!B:C,2,FALSE))</f>
        <v>iShares EURO STOXX Banks 30-15 UCITS ETF (DE) (DE0006289309)</v>
      </c>
      <c r="C14" s="43" t="str">
        <f>VLOOKUP(D14,Securities!B:C,2,FALSE)</f>
        <v>DE0006289309</v>
      </c>
      <c r="D14" s="52" t="s">
        <v>7277</v>
      </c>
      <c r="E14" s="12" t="e">
        <f t="shared" ca="1" si="4"/>
        <v>#N/A</v>
      </c>
      <c r="F14" s="40">
        <f>SUMIFS(positions!$E:$E,positions!$D:$D,C14,positions!B:B,$E$2)</f>
        <v>7550</v>
      </c>
      <c r="G14" s="40">
        <f t="shared" si="5"/>
        <v>-117145.86039999999</v>
      </c>
      <c r="H14" s="53" t="e">
        <f ca="1">IF(M14="RUB",SUMIFS(positions!G:G,positions!B:B,$E$2,positions!D:D,C14),SUMIFS(positions!H:H,positions!B:B,$E$2,positions!D:D,C14))</f>
        <v>#NAME?</v>
      </c>
      <c r="I14" s="51" t="e">
        <f ca="1">IF(ISERR(_xll.BDP(D14,"PX_LAST")),VLOOKUP(C14,positions!$B:$C,2,FALSE),_xll.BDP(D14,"PX_LAST"))</f>
        <v>#N/A</v>
      </c>
      <c r="J14" s="14" t="e">
        <f ca="1">IF( C14 = "RU000A0JR5Z5", _xll.BDP("486 HK EQUITY","BEST_TARGET_PRICE")*_xll.BDP("USDRUB Curncy","PX_LAST")/_xll.BDP("HKD Curncy","PX_LAST")*10, IF(  OR(   _xll.BDP(D14,"BEST_TARGET_PRICE")="#N/A N/A", _xll.BDP(D14,"BEST_TARGET_PRICE")="#N/A Field Not Applicable"),0,_xll.BDP(D14,"BEST_TARGET_PRICE")))</f>
        <v>#NAME?</v>
      </c>
      <c r="K14" s="15" t="e">
        <f t="shared" ca="1" si="6"/>
        <v>#NAME?</v>
      </c>
      <c r="L14" s="14" t="e">
        <f ca="1">IF(C14="RU000A0JR5Z5",_xll.BDP("486 HK EQUITY","EQY_REC_CONS"),IF(OR(_xll.BDP(D14,"EQY_REC_CONS")="#N/A Field Not Applicable",_xll.BDP(D14,"EQY_REC_CONS")="#N/A N/A"),0,_xll.BDP(D14,"EQY_REC_CONS")))</f>
        <v>#NAME?</v>
      </c>
      <c r="M14" s="16" t="e">
        <f ca="1">_xll.BDP(D14,"Currency")</f>
        <v>#NAME?</v>
      </c>
      <c r="N14" s="12" t="e">
        <f t="shared" ca="1" si="7"/>
        <v>#N/A</v>
      </c>
      <c r="O14" s="12" t="e">
        <f t="shared" ca="1" si="8"/>
        <v>#N/A</v>
      </c>
      <c r="P14" s="40">
        <f>SUMIFS(positions!G:G,positions!B:B,$E$2,positions!D:D,C14)*F14</f>
        <v>6787138.4870000007</v>
      </c>
      <c r="Q14" s="40">
        <f>SUMIFS(positions!H:H,positions!B:B,$E$2,positions!D:D,C14)*F14</f>
        <v>117145.86039999999</v>
      </c>
      <c r="R14" s="40" t="e">
        <f ca="1">F14*I14/IF(M14="RUB",1,_xll.BDP( CONCATENATE("RUB",UPPER(M14)," Curncy"), "PX_LAST"))/IF(M14="GBp",100,1)</f>
        <v>#N/A</v>
      </c>
      <c r="S14" s="40" t="e">
        <f ca="1">F14*I14/IF(M14="USD",1,_xll.BDP( CONCATENATE("USD",UPPER(M14)," Curncy"), "PX_LAST"))/IF(M14="GBp",100,1)</f>
        <v>#N/A</v>
      </c>
      <c r="T14" s="40" t="e">
        <f t="shared" ca="1" si="9"/>
        <v>#N/A</v>
      </c>
      <c r="U14" s="40" t="e">
        <f t="shared" ca="1" si="10"/>
        <v>#N/A</v>
      </c>
      <c r="V14" s="41" t="e">
        <f ca="1">IF( OR(  _xll.BDP($D14,"EQY_DVD_YLD_EST")="#N/A Field Not Applicable", _xll.BDP($D14,"EQY_DVD_YLD_EST")="#N/A N/A"),IF(   OR(  _xll.BDP(D14,"YLD_CNV_MID")="#N/A Field Not Applicable", _xll.BDP(D14,"YLD_CNV_MID")="#N/A N/A"), 0,_xll.BDP(D14,"YLD_CNV_MID")),_xll.BDP($D14,"EQY_DVD_YLD_EST"))</f>
        <v>#NAME?</v>
      </c>
      <c r="W14" s="40" t="e">
        <f ca="1">F14*I14/IF(M14="USD",1,_xll.BDP( CONCATENATE("USD",UPPER(M14)," Curncy"), "PX_LAST"))/IF(M14="GBp",100,1)</f>
        <v>#N/A</v>
      </c>
      <c r="X14" s="54" t="e">
        <f ca="1">IF(  OR(   _xll.BDP($D14,"DVD_EX_DT")="#N/A N/A", _xll.BDP($D14,"DVD_EX_DT")="#N/A Field Not Applicable"),"",_xll.BDP($D14,"DVD_EX_DT"))</f>
        <v>#NAME?</v>
      </c>
      <c r="Y14" s="54" t="e">
        <f ca="1">IF(  OR(   _xll.BDP($D14,"BDVD_NEXT_EST_DECL_DT")="#N/A N/A", _xll.BDP($D14,"BDVD_NEXT_EST_DECL_DT")="#N/A Field Not Applicable"),"",_xll.BDP($D14,"BDVD_NEXT_EST_DECL_DT"))</f>
        <v>#NAME?</v>
      </c>
    </row>
    <row r="15" spans="1:25" s="17" customFormat="1" ht="15" customHeight="1" x14ac:dyDescent="0.25">
      <c r="B15" s="43" t="str">
        <f>IF(LEFT(C15,2) = "RU", VLOOKUP(C15,MICEX!$A$2:$D$1554,4,FALSE),VLOOKUP(C15,Instruments!B:C,2,FALSE))</f>
        <v>THREAD EU SM CMP-R ACC EUR (GB0002771383)</v>
      </c>
      <c r="C15" s="43" t="str">
        <f>VLOOKUP(D15,Securities!B:C,2,FALSE)</f>
        <v>GB0002771383</v>
      </c>
      <c r="D15" s="52" t="s">
        <v>7193</v>
      </c>
      <c r="E15" s="12" t="e">
        <f t="shared" ca="1" si="4"/>
        <v>#N/A</v>
      </c>
      <c r="F15" s="40">
        <f>SUMIFS(positions!$E:$E,positions!$D:$D,C15,positions!B:B,$E$2)</f>
        <v>5823</v>
      </c>
      <c r="G15" s="40">
        <f t="shared" si="5"/>
        <v>-64225.436498999996</v>
      </c>
      <c r="H15" s="53" t="e">
        <f ca="1">IF(M15="RUB",SUMIFS(positions!G:G,positions!B:B,$E$2,positions!D:D,C15),SUMIFS(positions!H:H,positions!B:B,$E$2,positions!D:D,C15))</f>
        <v>#NAME?</v>
      </c>
      <c r="I15" s="51" t="e">
        <f ca="1">IF(ISERR(_xll.BDP(D15,"PX_LAST")),VLOOKUP(C15,positions!$B:$C,2,FALSE),_xll.BDP(D15,"PX_LAST"))</f>
        <v>#N/A</v>
      </c>
      <c r="J15" s="14" t="e">
        <f ca="1">IF( C15 = "RU000A0JR5Z5", _xll.BDP("486 HK EQUITY","BEST_TARGET_PRICE")*_xll.BDP("USDRUB Curncy","PX_LAST")/_xll.BDP("HKD Curncy","PX_LAST")*10, IF(  OR(   _xll.BDP(D15,"BEST_TARGET_PRICE")="#N/A N/A", _xll.BDP(D15,"BEST_TARGET_PRICE")="#N/A Field Not Applicable"),0,_xll.BDP(D15,"BEST_TARGET_PRICE")))</f>
        <v>#NAME?</v>
      </c>
      <c r="K15" s="15" t="e">
        <f t="shared" ca="1" si="6"/>
        <v>#NAME?</v>
      </c>
      <c r="L15" s="14" t="e">
        <f ca="1">IF(C15="RU000A0JR5Z5",_xll.BDP("486 HK EQUITY","EQY_REC_CONS"),IF(OR(_xll.BDP(D15,"EQY_REC_CONS")="#N/A Field Not Applicable",_xll.BDP(D15,"EQY_REC_CONS")="#N/A N/A"),0,_xll.BDP(D15,"EQY_REC_CONS")))</f>
        <v>#NAME?</v>
      </c>
      <c r="M15" s="16" t="e">
        <f ca="1">_xll.BDP(D15,"Currency")</f>
        <v>#NAME?</v>
      </c>
      <c r="N15" s="12" t="e">
        <f t="shared" ca="1" si="7"/>
        <v>#N/A</v>
      </c>
      <c r="O15" s="12" t="e">
        <f t="shared" ca="1" si="8"/>
        <v>#N/A</v>
      </c>
      <c r="P15" s="40">
        <f>SUMIFS(positions!G:G,positions!B:B,$E$2,positions!D:D,C15)*F15</f>
        <v>3801009.0187800005</v>
      </c>
      <c r="Q15" s="40">
        <f>SUMIFS(positions!H:H,positions!B:B,$E$2,positions!D:D,C15)*F15</f>
        <v>64225.436498999996</v>
      </c>
      <c r="R15" s="40" t="e">
        <f ca="1">F15*I15/IF(M15="RUB",1,_xll.BDP( CONCATENATE("RUB",UPPER(M15)," Curncy"), "PX_LAST"))/IF(M15="GBp",100,1)</f>
        <v>#N/A</v>
      </c>
      <c r="S15" s="40" t="e">
        <f ca="1">F15*I15/IF(M15="USD",1,_xll.BDP( CONCATENATE("USD",UPPER(M15)," Curncy"), "PX_LAST"))/IF(M15="GBp",100,1)</f>
        <v>#N/A</v>
      </c>
      <c r="T15" s="40" t="e">
        <f t="shared" ca="1" si="9"/>
        <v>#N/A</v>
      </c>
      <c r="U15" s="40" t="e">
        <f t="shared" ca="1" si="10"/>
        <v>#N/A</v>
      </c>
      <c r="V15" s="41" t="e">
        <f ca="1">IF( OR(  _xll.BDP($D15,"EQY_DVD_YLD_EST")="#N/A Field Not Applicable", _xll.BDP($D15,"EQY_DVD_YLD_EST")="#N/A N/A"),IF(   OR(  _xll.BDP(D15,"YLD_CNV_MID")="#N/A Field Not Applicable", _xll.BDP(D15,"YLD_CNV_MID")="#N/A N/A"), 0,_xll.BDP(D15,"YLD_CNV_MID")),_xll.BDP($D15,"EQY_DVD_YLD_EST"))</f>
        <v>#NAME?</v>
      </c>
      <c r="W15" s="40" t="e">
        <f ca="1">F15*I15/IF(M15="USD",1,_xll.BDP( CONCATENATE("USD",UPPER(M15)," Curncy"), "PX_LAST"))/IF(M15="GBp",100,1)</f>
        <v>#N/A</v>
      </c>
      <c r="X15" s="54" t="e">
        <f ca="1">IF(  OR(   _xll.BDP($D15,"DVD_EX_DT")="#N/A N/A", _xll.BDP($D15,"DVD_EX_DT")="#N/A Field Not Applicable"),"",_xll.BDP($D15,"DVD_EX_DT"))</f>
        <v>#NAME?</v>
      </c>
      <c r="Y15" s="54" t="e">
        <f ca="1">IF(  OR(   _xll.BDP($D15,"BDVD_NEXT_EST_DECL_DT")="#N/A N/A", _xll.BDP($D15,"BDVD_NEXT_EST_DECL_DT")="#N/A Field Not Applicable"),"",_xll.BDP($D15,"BDVD_NEXT_EST_DECL_DT"))</f>
        <v>#NAME?</v>
      </c>
    </row>
    <row r="16" spans="1:25" s="17" customFormat="1" ht="15" hidden="1" customHeight="1" x14ac:dyDescent="0.25">
      <c r="B16" s="43"/>
      <c r="C16" s="43"/>
      <c r="D16" s="52"/>
      <c r="E16" s="12"/>
      <c r="F16" s="40"/>
      <c r="G16" s="40"/>
      <c r="H16" s="53"/>
      <c r="I16" s="51"/>
      <c r="J16" s="14"/>
      <c r="K16" s="15"/>
      <c r="L16" s="14"/>
      <c r="M16" s="16"/>
      <c r="N16" s="12"/>
      <c r="O16" s="12"/>
      <c r="P16" s="40"/>
      <c r="Q16" s="40"/>
      <c r="R16" s="40"/>
      <c r="S16" s="40"/>
      <c r="T16" s="40"/>
      <c r="U16" s="40"/>
      <c r="V16" s="41"/>
      <c r="W16" s="40"/>
      <c r="X16" s="54"/>
      <c r="Y16" s="54"/>
    </row>
    <row r="17" spans="2:25" s="17" customFormat="1" ht="15" hidden="1" customHeight="1" x14ac:dyDescent="0.25">
      <c r="B17" s="43"/>
      <c r="C17" s="43"/>
      <c r="D17" s="52"/>
      <c r="E17" s="12"/>
      <c r="F17" s="40"/>
      <c r="G17" s="40"/>
      <c r="H17" s="53"/>
      <c r="I17" s="51"/>
      <c r="J17" s="14"/>
      <c r="K17" s="15"/>
      <c r="L17" s="14"/>
      <c r="M17" s="16"/>
      <c r="N17" s="12"/>
      <c r="O17" s="12"/>
      <c r="P17" s="40"/>
      <c r="Q17" s="40"/>
      <c r="R17" s="40"/>
      <c r="S17" s="40"/>
      <c r="T17" s="40"/>
      <c r="U17" s="40"/>
      <c r="V17" s="41"/>
      <c r="W17" s="40"/>
      <c r="X17" s="54"/>
      <c r="Y17" s="54"/>
    </row>
    <row r="18" spans="2:25" s="17" customFormat="1" ht="15" hidden="1" customHeight="1" x14ac:dyDescent="0.25">
      <c r="B18" s="43"/>
      <c r="C18" s="43"/>
      <c r="D18" s="52"/>
      <c r="E18" s="12"/>
      <c r="F18" s="40"/>
      <c r="G18" s="40"/>
      <c r="H18" s="53"/>
      <c r="I18" s="51"/>
      <c r="J18" s="14"/>
      <c r="K18" s="15"/>
      <c r="L18" s="14"/>
      <c r="M18" s="16"/>
      <c r="N18" s="12"/>
      <c r="O18" s="12"/>
      <c r="P18" s="40"/>
      <c r="Q18" s="40"/>
      <c r="R18" s="40"/>
      <c r="S18" s="40"/>
      <c r="T18" s="40"/>
      <c r="U18" s="40"/>
      <c r="V18" s="41"/>
      <c r="W18" s="40"/>
      <c r="X18" s="54"/>
      <c r="Y18" s="54"/>
    </row>
    <row r="19" spans="2:25" s="17" customFormat="1" ht="15" hidden="1" customHeight="1" x14ac:dyDescent="0.25">
      <c r="B19" s="43"/>
      <c r="C19" s="43"/>
      <c r="D19" s="52"/>
      <c r="E19" s="12"/>
      <c r="F19" s="40"/>
      <c r="G19" s="40"/>
      <c r="H19" s="53"/>
      <c r="I19" s="51"/>
      <c r="J19" s="14"/>
      <c r="K19" s="15"/>
      <c r="L19" s="14"/>
      <c r="M19" s="16"/>
      <c r="N19" s="12"/>
      <c r="O19" s="12"/>
      <c r="P19" s="40"/>
      <c r="Q19" s="40"/>
      <c r="R19" s="40"/>
      <c r="S19" s="40"/>
      <c r="T19" s="40"/>
      <c r="U19" s="40"/>
      <c r="V19" s="41"/>
      <c r="W19" s="40"/>
      <c r="X19" s="54"/>
      <c r="Y19" s="54"/>
    </row>
    <row r="20" spans="2:25" s="17" customFormat="1" ht="15" hidden="1" customHeight="1" x14ac:dyDescent="0.25">
      <c r="B20" s="43"/>
      <c r="C20" s="43"/>
      <c r="D20" s="52"/>
      <c r="E20" s="12"/>
      <c r="F20" s="40"/>
      <c r="G20" s="40"/>
      <c r="H20" s="53"/>
      <c r="I20" s="51"/>
      <c r="J20" s="14"/>
      <c r="K20" s="15"/>
      <c r="L20" s="14"/>
      <c r="M20" s="16"/>
      <c r="N20" s="12"/>
      <c r="O20" s="12"/>
      <c r="P20" s="40"/>
      <c r="Q20" s="40"/>
      <c r="R20" s="40"/>
      <c r="S20" s="40"/>
      <c r="T20" s="40"/>
      <c r="U20" s="40"/>
      <c r="V20" s="41"/>
      <c r="W20" s="40"/>
      <c r="X20" s="54"/>
      <c r="Y20" s="54"/>
    </row>
    <row r="21" spans="2:25" s="17" customFormat="1" ht="15" hidden="1" customHeight="1" x14ac:dyDescent="0.25">
      <c r="B21" s="43"/>
      <c r="C21" s="43"/>
      <c r="D21" s="52"/>
      <c r="E21" s="12"/>
      <c r="F21" s="40"/>
      <c r="G21" s="40"/>
      <c r="H21" s="53"/>
      <c r="I21" s="51"/>
      <c r="J21" s="14"/>
      <c r="K21" s="15"/>
      <c r="L21" s="14"/>
      <c r="M21" s="16"/>
      <c r="N21" s="12"/>
      <c r="O21" s="12"/>
      <c r="P21" s="40"/>
      <c r="Q21" s="40"/>
      <c r="R21" s="40"/>
      <c r="S21" s="40"/>
      <c r="T21" s="40"/>
      <c r="U21" s="40"/>
      <c r="V21" s="41"/>
      <c r="W21" s="40"/>
      <c r="X21" s="54"/>
      <c r="Y21" s="54"/>
    </row>
    <row r="22" spans="2:25" s="17" customFormat="1" ht="15" hidden="1" customHeight="1" x14ac:dyDescent="0.25">
      <c r="B22" s="43"/>
      <c r="C22" s="43"/>
      <c r="D22" s="52"/>
      <c r="E22" s="12"/>
      <c r="F22" s="40"/>
      <c r="G22" s="40"/>
      <c r="H22" s="53"/>
      <c r="I22" s="51"/>
      <c r="J22" s="14"/>
      <c r="K22" s="15"/>
      <c r="L22" s="14"/>
      <c r="M22" s="16"/>
      <c r="N22" s="12"/>
      <c r="O22" s="12"/>
      <c r="P22" s="40"/>
      <c r="Q22" s="40"/>
      <c r="R22" s="40"/>
      <c r="S22" s="40"/>
      <c r="T22" s="40"/>
      <c r="U22" s="40"/>
      <c r="V22" s="41"/>
      <c r="W22" s="40"/>
      <c r="X22" s="54"/>
      <c r="Y22" s="54"/>
    </row>
    <row r="23" spans="2:25" s="17" customFormat="1" ht="15" hidden="1" customHeight="1" x14ac:dyDescent="0.25">
      <c r="B23" s="43"/>
      <c r="C23" s="43"/>
      <c r="D23" s="52"/>
      <c r="E23" s="12"/>
      <c r="F23" s="40"/>
      <c r="G23" s="40"/>
      <c r="H23" s="53"/>
      <c r="I23" s="51"/>
      <c r="J23" s="14"/>
      <c r="K23" s="15"/>
      <c r="L23" s="14"/>
      <c r="M23" s="16"/>
      <c r="N23" s="12"/>
      <c r="O23" s="12"/>
      <c r="P23" s="40"/>
      <c r="Q23" s="40"/>
      <c r="R23" s="40"/>
      <c r="S23" s="40"/>
      <c r="T23" s="40"/>
      <c r="U23" s="40"/>
      <c r="V23" s="41"/>
      <c r="W23" s="40"/>
      <c r="X23" s="54"/>
      <c r="Y23" s="54"/>
    </row>
    <row r="24" spans="2:25" s="17" customFormat="1" ht="15" hidden="1" customHeight="1" x14ac:dyDescent="0.25">
      <c r="B24" s="43"/>
      <c r="C24" s="43"/>
      <c r="D24" s="5"/>
      <c r="E24" s="12"/>
      <c r="F24" s="40"/>
      <c r="G24" s="40"/>
      <c r="H24" s="53"/>
      <c r="I24" s="51"/>
      <c r="J24" s="14"/>
      <c r="K24" s="15"/>
      <c r="L24" s="14"/>
      <c r="M24" s="16"/>
      <c r="N24" s="12"/>
      <c r="O24" s="12"/>
      <c r="P24" s="40"/>
      <c r="Q24" s="40"/>
      <c r="R24" s="40"/>
      <c r="S24" s="40"/>
      <c r="T24" s="40"/>
      <c r="U24" s="40"/>
      <c r="V24" s="41"/>
      <c r="W24" s="40"/>
      <c r="X24" s="54"/>
      <c r="Y24" s="54"/>
    </row>
    <row r="25" spans="2:25" s="17" customFormat="1" ht="15" hidden="1" customHeight="1" x14ac:dyDescent="0.25">
      <c r="B25" s="43"/>
      <c r="C25" s="43"/>
      <c r="D25" s="5"/>
      <c r="E25" s="12"/>
      <c r="F25" s="40"/>
      <c r="G25" s="40"/>
      <c r="H25" s="53"/>
      <c r="I25" s="51"/>
      <c r="J25" s="14"/>
      <c r="K25" s="15"/>
      <c r="L25" s="14"/>
      <c r="M25" s="16"/>
      <c r="N25" s="12"/>
      <c r="O25" s="12"/>
      <c r="P25" s="40"/>
      <c r="Q25" s="40"/>
      <c r="R25" s="40"/>
      <c r="S25" s="40"/>
      <c r="T25" s="40"/>
      <c r="U25" s="40"/>
      <c r="V25" s="41"/>
      <c r="W25" s="40"/>
      <c r="X25" s="54"/>
      <c r="Y25" s="54"/>
    </row>
    <row r="26" spans="2:25" s="17" customFormat="1" ht="15" hidden="1" customHeight="1" x14ac:dyDescent="0.25">
      <c r="B26" s="43"/>
      <c r="C26" s="43"/>
      <c r="D26" s="5"/>
      <c r="E26" s="12"/>
      <c r="F26" s="40"/>
      <c r="G26" s="40"/>
      <c r="H26" s="53"/>
      <c r="I26" s="51"/>
      <c r="J26" s="14"/>
      <c r="K26" s="15"/>
      <c r="L26" s="14"/>
      <c r="M26" s="16"/>
      <c r="N26" s="12"/>
      <c r="O26" s="12"/>
      <c r="P26" s="40"/>
      <c r="Q26" s="40"/>
      <c r="R26" s="40"/>
      <c r="S26" s="40"/>
      <c r="T26" s="40"/>
      <c r="U26" s="40"/>
      <c r="V26" s="41"/>
      <c r="W26" s="40"/>
      <c r="X26" s="54"/>
      <c r="Y26" s="54"/>
    </row>
    <row r="27" spans="2:25" s="17" customFormat="1" ht="15" hidden="1" customHeight="1" x14ac:dyDescent="0.25">
      <c r="B27" s="43"/>
      <c r="C27" s="43"/>
      <c r="D27" s="5"/>
      <c r="E27" s="12"/>
      <c r="F27" s="40"/>
      <c r="G27" s="40"/>
      <c r="H27" s="53"/>
      <c r="I27" s="51"/>
      <c r="J27" s="14"/>
      <c r="K27" s="15"/>
      <c r="L27" s="14"/>
      <c r="M27" s="16"/>
      <c r="N27" s="12"/>
      <c r="O27" s="12"/>
      <c r="P27" s="40"/>
      <c r="Q27" s="40"/>
      <c r="R27" s="40"/>
      <c r="S27" s="40"/>
      <c r="T27" s="40"/>
      <c r="U27" s="40"/>
      <c r="V27" s="41"/>
      <c r="W27" s="40"/>
      <c r="X27" s="54"/>
      <c r="Y27" s="54"/>
    </row>
    <row r="28" spans="2:25" s="17" customFormat="1" ht="15" hidden="1" customHeight="1" x14ac:dyDescent="0.25">
      <c r="B28" s="43"/>
      <c r="C28" s="43"/>
      <c r="D28" s="5"/>
      <c r="E28" s="12"/>
      <c r="F28" s="40"/>
      <c r="G28" s="40"/>
      <c r="H28" s="53"/>
      <c r="I28" s="51"/>
      <c r="J28" s="14"/>
      <c r="K28" s="15"/>
      <c r="L28" s="14"/>
      <c r="M28" s="16"/>
      <c r="N28" s="12"/>
      <c r="O28" s="12"/>
      <c r="P28" s="40"/>
      <c r="Q28" s="40"/>
      <c r="R28" s="40"/>
      <c r="S28" s="40"/>
      <c r="T28" s="40"/>
      <c r="U28" s="40"/>
      <c r="V28" s="41"/>
      <c r="W28" s="40"/>
      <c r="X28" s="54"/>
      <c r="Y28" s="54"/>
    </row>
    <row r="29" spans="2:25" s="17" customFormat="1" ht="15" hidden="1" customHeight="1" x14ac:dyDescent="0.25">
      <c r="B29" s="43"/>
      <c r="C29" s="43"/>
      <c r="D29" s="5"/>
      <c r="E29" s="12"/>
      <c r="F29" s="40"/>
      <c r="G29" s="40"/>
      <c r="H29" s="53"/>
      <c r="I29" s="51"/>
      <c r="J29" s="14"/>
      <c r="K29" s="15"/>
      <c r="L29" s="14"/>
      <c r="M29" s="16"/>
      <c r="N29" s="12"/>
      <c r="O29" s="12"/>
      <c r="P29" s="40"/>
      <c r="Q29" s="40"/>
      <c r="R29" s="40"/>
      <c r="S29" s="40"/>
      <c r="T29" s="40"/>
      <c r="U29" s="40"/>
      <c r="V29" s="41"/>
      <c r="W29" s="40"/>
      <c r="X29" s="54"/>
      <c r="Y29" s="54"/>
    </row>
    <row r="30" spans="2:25" s="17" customFormat="1" ht="15" hidden="1" customHeight="1" x14ac:dyDescent="0.25">
      <c r="B30" s="43"/>
      <c r="C30" s="43"/>
      <c r="D30" s="5"/>
      <c r="E30" s="12"/>
      <c r="F30" s="40"/>
      <c r="G30" s="40"/>
      <c r="H30" s="53"/>
      <c r="I30" s="51"/>
      <c r="J30" s="14"/>
      <c r="K30" s="15"/>
      <c r="L30" s="14"/>
      <c r="M30" s="16"/>
      <c r="N30" s="12"/>
      <c r="O30" s="12"/>
      <c r="P30" s="40"/>
      <c r="Q30" s="40"/>
      <c r="R30" s="40"/>
      <c r="S30" s="40"/>
      <c r="T30" s="40"/>
      <c r="U30" s="40"/>
      <c r="V30" s="41"/>
      <c r="W30" s="40"/>
      <c r="X30" s="54"/>
      <c r="Y30" s="54"/>
    </row>
    <row r="31" spans="2:25" s="17" customFormat="1" ht="15" hidden="1" customHeight="1" x14ac:dyDescent="0.25">
      <c r="B31" s="43"/>
      <c r="C31" s="43"/>
      <c r="D31" s="5"/>
      <c r="E31" s="12"/>
      <c r="F31" s="40"/>
      <c r="G31" s="40"/>
      <c r="H31" s="53"/>
      <c r="I31" s="51"/>
      <c r="J31" s="14"/>
      <c r="K31" s="15"/>
      <c r="L31" s="14"/>
      <c r="M31" s="16"/>
      <c r="N31" s="12"/>
      <c r="O31" s="12"/>
      <c r="P31" s="40"/>
      <c r="Q31" s="40"/>
      <c r="R31" s="40"/>
      <c r="S31" s="40"/>
      <c r="T31" s="40"/>
      <c r="U31" s="40"/>
      <c r="V31" s="41"/>
      <c r="W31" s="40"/>
      <c r="X31" s="54"/>
      <c r="Y31" s="54"/>
    </row>
    <row r="32" spans="2:25" s="17" customFormat="1" ht="15" hidden="1" customHeight="1" x14ac:dyDescent="0.25">
      <c r="B32" s="43"/>
      <c r="C32" s="43"/>
      <c r="D32" s="5"/>
      <c r="E32" s="12"/>
      <c r="F32" s="40"/>
      <c r="G32" s="40"/>
      <c r="H32" s="53"/>
      <c r="I32" s="51"/>
      <c r="J32" s="14"/>
      <c r="K32" s="15"/>
      <c r="L32" s="14"/>
      <c r="M32" s="16"/>
      <c r="N32" s="12"/>
      <c r="O32" s="12"/>
      <c r="P32" s="40"/>
      <c r="Q32" s="40"/>
      <c r="R32" s="40"/>
      <c r="S32" s="40"/>
      <c r="T32" s="40"/>
      <c r="U32" s="40"/>
      <c r="V32" s="41"/>
      <c r="W32" s="40"/>
      <c r="X32" s="54"/>
      <c r="Y32" s="54"/>
    </row>
    <row r="33" spans="2:25" s="17" customFormat="1" ht="15" hidden="1" customHeight="1" x14ac:dyDescent="0.25">
      <c r="B33" s="43"/>
      <c r="C33" s="43"/>
      <c r="D33" s="5"/>
      <c r="E33" s="12"/>
      <c r="F33" s="40"/>
      <c r="G33" s="40"/>
      <c r="H33" s="53"/>
      <c r="I33" s="51"/>
      <c r="J33" s="14"/>
      <c r="K33" s="15"/>
      <c r="L33" s="14"/>
      <c r="M33" s="16"/>
      <c r="N33" s="12"/>
      <c r="O33" s="12"/>
      <c r="P33" s="40"/>
      <c r="Q33" s="40"/>
      <c r="R33" s="40"/>
      <c r="S33" s="40"/>
      <c r="T33" s="40"/>
      <c r="U33" s="40"/>
      <c r="V33" s="41"/>
      <c r="W33" s="40"/>
      <c r="X33" s="54"/>
      <c r="Y33" s="54"/>
    </row>
    <row r="34" spans="2:25" s="17" customFormat="1" ht="15" hidden="1" customHeight="1" x14ac:dyDescent="0.25">
      <c r="B34" s="43"/>
      <c r="C34" s="43"/>
      <c r="D34" s="5"/>
      <c r="E34" s="12"/>
      <c r="F34" s="40"/>
      <c r="G34" s="40"/>
      <c r="H34" s="53"/>
      <c r="I34" s="51"/>
      <c r="J34" s="14"/>
      <c r="K34" s="15"/>
      <c r="L34" s="14"/>
      <c r="M34" s="16"/>
      <c r="N34" s="12"/>
      <c r="O34" s="12"/>
      <c r="P34" s="40"/>
      <c r="Q34" s="40"/>
      <c r="R34" s="40"/>
      <c r="S34" s="40"/>
      <c r="T34" s="40"/>
      <c r="U34" s="40"/>
      <c r="V34" s="41"/>
      <c r="W34" s="40"/>
      <c r="X34" s="54"/>
      <c r="Y34" s="54"/>
    </row>
    <row r="35" spans="2:25" s="17" customFormat="1" ht="15" hidden="1" customHeight="1" x14ac:dyDescent="0.25">
      <c r="B35" s="43"/>
      <c r="C35" s="43"/>
      <c r="D35" s="5"/>
      <c r="E35" s="12"/>
      <c r="F35" s="40"/>
      <c r="G35" s="40"/>
      <c r="H35" s="53"/>
      <c r="I35" s="51"/>
      <c r="J35" s="14"/>
      <c r="K35" s="15"/>
      <c r="L35" s="14"/>
      <c r="M35" s="16"/>
      <c r="N35" s="12"/>
      <c r="O35" s="12"/>
      <c r="P35" s="40"/>
      <c r="Q35" s="40"/>
      <c r="R35" s="40"/>
      <c r="S35" s="40"/>
      <c r="T35" s="40"/>
      <c r="U35" s="40"/>
      <c r="V35" s="41"/>
      <c r="W35" s="40"/>
      <c r="X35" s="54"/>
      <c r="Y35" s="54"/>
    </row>
    <row r="36" spans="2:25" s="17" customFormat="1" ht="15" hidden="1" customHeight="1" x14ac:dyDescent="0.25">
      <c r="B36" s="43"/>
      <c r="C36" s="43"/>
      <c r="D36" s="5"/>
      <c r="E36" s="12"/>
      <c r="F36" s="40"/>
      <c r="G36" s="40"/>
      <c r="H36" s="53"/>
      <c r="I36" s="51"/>
      <c r="J36" s="14"/>
      <c r="K36" s="15"/>
      <c r="L36" s="14"/>
      <c r="M36" s="16"/>
      <c r="N36" s="12"/>
      <c r="O36" s="12"/>
      <c r="P36" s="40"/>
      <c r="Q36" s="40"/>
      <c r="R36" s="40"/>
      <c r="S36" s="40"/>
      <c r="T36" s="40"/>
      <c r="U36" s="40"/>
      <c r="V36" s="41"/>
      <c r="W36" s="40"/>
      <c r="X36" s="54"/>
      <c r="Y36" s="54"/>
    </row>
    <row r="37" spans="2:25" s="17" customFormat="1" ht="15" hidden="1" customHeight="1" x14ac:dyDescent="0.25">
      <c r="B37" s="43"/>
      <c r="C37" s="43"/>
      <c r="D37" s="5"/>
      <c r="E37" s="12"/>
      <c r="F37" s="40"/>
      <c r="G37" s="40"/>
      <c r="H37" s="53"/>
      <c r="I37" s="51"/>
      <c r="J37" s="14"/>
      <c r="K37" s="15"/>
      <c r="L37" s="14"/>
      <c r="M37" s="16"/>
      <c r="N37" s="12"/>
      <c r="O37" s="12"/>
      <c r="P37" s="40"/>
      <c r="Q37" s="40"/>
      <c r="R37" s="40"/>
      <c r="S37" s="40"/>
      <c r="T37" s="40"/>
      <c r="U37" s="40"/>
      <c r="V37" s="41"/>
      <c r="W37" s="40"/>
      <c r="X37" s="54"/>
      <c r="Y37" s="54"/>
    </row>
    <row r="38" spans="2:25" s="17" customFormat="1" ht="15" hidden="1" customHeight="1" x14ac:dyDescent="0.25">
      <c r="B38" s="43"/>
      <c r="C38" s="43"/>
      <c r="D38" s="5"/>
      <c r="E38" s="12"/>
      <c r="F38" s="40"/>
      <c r="G38" s="40"/>
      <c r="H38" s="53"/>
      <c r="I38" s="51"/>
      <c r="J38" s="14"/>
      <c r="K38" s="15"/>
      <c r="L38" s="14"/>
      <c r="M38" s="16"/>
      <c r="N38" s="12"/>
      <c r="O38" s="12"/>
      <c r="P38" s="40"/>
      <c r="Q38" s="40"/>
      <c r="R38" s="40"/>
      <c r="S38" s="40"/>
      <c r="T38" s="40"/>
      <c r="U38" s="40"/>
      <c r="V38" s="41"/>
      <c r="W38" s="40"/>
      <c r="X38" s="54"/>
      <c r="Y38" s="54"/>
    </row>
    <row r="39" spans="2:25" s="17" customFormat="1" ht="15" hidden="1" customHeight="1" x14ac:dyDescent="0.25">
      <c r="B39" s="43"/>
      <c r="C39" s="43"/>
      <c r="D39" s="5"/>
      <c r="E39" s="12"/>
      <c r="F39" s="40"/>
      <c r="G39" s="40"/>
      <c r="H39" s="53"/>
      <c r="I39" s="51"/>
      <c r="J39" s="14"/>
      <c r="K39" s="15"/>
      <c r="L39" s="14"/>
      <c r="M39" s="16"/>
      <c r="N39" s="12"/>
      <c r="O39" s="12"/>
      <c r="P39" s="40"/>
      <c r="Q39" s="40"/>
      <c r="R39" s="40"/>
      <c r="S39" s="40"/>
      <c r="T39" s="40"/>
      <c r="U39" s="40"/>
      <c r="V39" s="41"/>
      <c r="W39" s="40"/>
      <c r="X39" s="54"/>
      <c r="Y39" s="54"/>
    </row>
    <row r="40" spans="2:25" s="17" customFormat="1" ht="15" hidden="1" customHeight="1" x14ac:dyDescent="0.25">
      <c r="B40" s="43"/>
      <c r="C40" s="43"/>
      <c r="D40" s="5"/>
      <c r="E40" s="12"/>
      <c r="F40" s="40"/>
      <c r="G40" s="40"/>
      <c r="H40" s="53"/>
      <c r="I40" s="51"/>
      <c r="J40" s="14"/>
      <c r="K40" s="15"/>
      <c r="L40" s="14"/>
      <c r="M40" s="16"/>
      <c r="N40" s="12"/>
      <c r="O40" s="12"/>
      <c r="P40" s="40"/>
      <c r="Q40" s="40"/>
      <c r="R40" s="40"/>
      <c r="S40" s="40"/>
      <c r="T40" s="40"/>
      <c r="U40" s="40"/>
      <c r="V40" s="41"/>
      <c r="W40" s="40"/>
      <c r="X40" s="54"/>
      <c r="Y40" s="54"/>
    </row>
    <row r="41" spans="2:25" s="17" customFormat="1" ht="15" hidden="1" customHeight="1" x14ac:dyDescent="0.25">
      <c r="B41" s="43"/>
      <c r="C41" s="43"/>
      <c r="D41" s="5"/>
      <c r="E41" s="12"/>
      <c r="F41" s="40"/>
      <c r="G41" s="40"/>
      <c r="H41" s="53"/>
      <c r="I41" s="51"/>
      <c r="J41" s="14"/>
      <c r="K41" s="15"/>
      <c r="L41" s="14"/>
      <c r="M41" s="16"/>
      <c r="N41" s="12"/>
      <c r="O41" s="12"/>
      <c r="P41" s="40"/>
      <c r="Q41" s="40"/>
      <c r="R41" s="40"/>
      <c r="S41" s="40"/>
      <c r="T41" s="40"/>
      <c r="U41" s="40"/>
      <c r="V41" s="41"/>
      <c r="W41" s="40"/>
      <c r="X41" s="54"/>
      <c r="Y41" s="54"/>
    </row>
    <row r="42" spans="2:25" s="17" customFormat="1" ht="15" hidden="1" customHeight="1" x14ac:dyDescent="0.25">
      <c r="B42" s="43"/>
      <c r="C42" s="43"/>
      <c r="D42" s="5"/>
      <c r="E42" s="12"/>
      <c r="F42" s="40"/>
      <c r="G42" s="40"/>
      <c r="H42" s="53"/>
      <c r="I42" s="51"/>
      <c r="J42" s="14"/>
      <c r="K42" s="15"/>
      <c r="L42" s="14"/>
      <c r="M42" s="16"/>
      <c r="N42" s="12"/>
      <c r="O42" s="12"/>
      <c r="P42" s="40"/>
      <c r="Q42" s="40"/>
      <c r="R42" s="40"/>
      <c r="S42" s="40"/>
      <c r="T42" s="40"/>
      <c r="U42" s="40"/>
      <c r="V42" s="41"/>
      <c r="W42" s="40"/>
      <c r="X42" s="54"/>
      <c r="Y42" s="54"/>
    </row>
    <row r="43" spans="2:25" s="17" customFormat="1" ht="15" hidden="1" customHeight="1" x14ac:dyDescent="0.25">
      <c r="B43" s="43"/>
      <c r="C43" s="43"/>
      <c r="D43" s="5"/>
      <c r="E43" s="12"/>
      <c r="F43" s="40"/>
      <c r="G43" s="40"/>
      <c r="H43" s="53"/>
      <c r="I43" s="51"/>
      <c r="J43" s="14"/>
      <c r="K43" s="15"/>
      <c r="L43" s="14"/>
      <c r="M43" s="16"/>
      <c r="N43" s="12"/>
      <c r="O43" s="12"/>
      <c r="P43" s="40"/>
      <c r="Q43" s="40"/>
      <c r="R43" s="40"/>
      <c r="S43" s="40"/>
      <c r="T43" s="40"/>
      <c r="U43" s="40"/>
      <c r="V43" s="41"/>
      <c r="W43" s="40"/>
      <c r="X43" s="54"/>
      <c r="Y43" s="54"/>
    </row>
    <row r="44" spans="2:25" s="17" customFormat="1" ht="15" hidden="1" customHeight="1" x14ac:dyDescent="0.25">
      <c r="B44" s="43"/>
      <c r="C44" s="43"/>
      <c r="D44" s="5"/>
      <c r="E44" s="12"/>
      <c r="F44" s="40"/>
      <c r="G44" s="40"/>
      <c r="H44" s="53"/>
      <c r="I44" s="51"/>
      <c r="J44" s="14"/>
      <c r="K44" s="15"/>
      <c r="L44" s="14"/>
      <c r="M44" s="16"/>
      <c r="N44" s="12"/>
      <c r="O44" s="12"/>
      <c r="P44" s="40"/>
      <c r="Q44" s="40"/>
      <c r="R44" s="40"/>
      <c r="S44" s="40"/>
      <c r="T44" s="40"/>
      <c r="U44" s="40"/>
      <c r="V44" s="41"/>
      <c r="W44" s="40"/>
      <c r="X44" s="54"/>
      <c r="Y44" s="54"/>
    </row>
    <row r="45" spans="2:25" s="17" customFormat="1" ht="15" hidden="1" customHeight="1" x14ac:dyDescent="0.25">
      <c r="B45" s="43"/>
      <c r="C45" s="43"/>
      <c r="D45" s="5"/>
      <c r="E45" s="12"/>
      <c r="F45" s="40"/>
      <c r="G45" s="40"/>
      <c r="H45" s="53"/>
      <c r="I45" s="51"/>
      <c r="J45" s="14"/>
      <c r="K45" s="15"/>
      <c r="L45" s="14"/>
      <c r="M45" s="16"/>
      <c r="N45" s="12"/>
      <c r="O45" s="12"/>
      <c r="P45" s="40"/>
      <c r="Q45" s="40"/>
      <c r="R45" s="40"/>
      <c r="S45" s="40"/>
      <c r="T45" s="40"/>
      <c r="U45" s="40"/>
      <c r="V45" s="41"/>
      <c r="W45" s="40"/>
      <c r="X45" s="54"/>
      <c r="Y45" s="54"/>
    </row>
    <row r="46" spans="2:25" s="17" customFormat="1" ht="15" hidden="1" customHeight="1" x14ac:dyDescent="0.25">
      <c r="B46" s="43"/>
      <c r="C46" s="43"/>
      <c r="D46" s="5"/>
      <c r="E46" s="12"/>
      <c r="F46" s="40"/>
      <c r="G46" s="40"/>
      <c r="H46" s="53"/>
      <c r="I46" s="51"/>
      <c r="J46" s="14"/>
      <c r="K46" s="15"/>
      <c r="L46" s="14"/>
      <c r="M46" s="16"/>
      <c r="N46" s="12"/>
      <c r="O46" s="12"/>
      <c r="P46" s="40"/>
      <c r="Q46" s="40"/>
      <c r="R46" s="40"/>
      <c r="S46" s="40"/>
      <c r="T46" s="40"/>
      <c r="U46" s="40"/>
      <c r="V46" s="41"/>
      <c r="W46" s="40"/>
      <c r="X46" s="54"/>
      <c r="Y46" s="54"/>
    </row>
    <row r="47" spans="2:25" s="17" customFormat="1" ht="15" hidden="1" customHeight="1" x14ac:dyDescent="0.25">
      <c r="B47" s="43"/>
      <c r="C47" s="43"/>
      <c r="D47" s="5"/>
      <c r="E47" s="12"/>
      <c r="F47" s="40"/>
      <c r="G47" s="40"/>
      <c r="H47" s="53"/>
      <c r="I47" s="51"/>
      <c r="J47" s="14"/>
      <c r="K47" s="15"/>
      <c r="L47" s="14"/>
      <c r="M47" s="16"/>
      <c r="N47" s="12"/>
      <c r="O47" s="12"/>
      <c r="P47" s="40"/>
      <c r="Q47" s="40"/>
      <c r="R47" s="40"/>
      <c r="S47" s="40"/>
      <c r="T47" s="40"/>
      <c r="U47" s="40"/>
      <c r="V47" s="41"/>
      <c r="W47" s="40"/>
      <c r="X47" s="54"/>
      <c r="Y47" s="54"/>
    </row>
    <row r="48" spans="2:25" s="17" customFormat="1" ht="15" hidden="1" customHeight="1" x14ac:dyDescent="0.25">
      <c r="B48" s="43"/>
      <c r="C48" s="43"/>
      <c r="D48" s="5"/>
      <c r="E48" s="12"/>
      <c r="F48" s="40"/>
      <c r="G48" s="40"/>
      <c r="H48" s="53"/>
      <c r="I48" s="51"/>
      <c r="J48" s="14"/>
      <c r="K48" s="15"/>
      <c r="L48" s="14"/>
      <c r="M48" s="16"/>
      <c r="N48" s="12"/>
      <c r="O48" s="12"/>
      <c r="P48" s="40"/>
      <c r="Q48" s="40"/>
      <c r="R48" s="40"/>
      <c r="S48" s="40"/>
      <c r="T48" s="40"/>
      <c r="U48" s="40"/>
      <c r="V48" s="41"/>
      <c r="W48" s="40"/>
      <c r="X48" s="54"/>
      <c r="Y48" s="54"/>
    </row>
    <row r="49" spans="2:25" s="17" customFormat="1" ht="15" hidden="1" customHeight="1" x14ac:dyDescent="0.25">
      <c r="B49" s="43"/>
      <c r="C49" s="43"/>
      <c r="D49" s="5"/>
      <c r="E49" s="12"/>
      <c r="F49" s="40"/>
      <c r="G49" s="40"/>
      <c r="H49" s="53"/>
      <c r="I49" s="51"/>
      <c r="J49" s="14"/>
      <c r="K49" s="15"/>
      <c r="L49" s="14"/>
      <c r="M49" s="16"/>
      <c r="N49" s="12"/>
      <c r="O49" s="12"/>
      <c r="P49" s="40"/>
      <c r="Q49" s="40"/>
      <c r="R49" s="40"/>
      <c r="S49" s="40"/>
      <c r="T49" s="40"/>
      <c r="U49" s="40"/>
      <c r="V49" s="41"/>
      <c r="W49" s="40"/>
      <c r="X49" s="54"/>
      <c r="Y49" s="54"/>
    </row>
    <row r="50" spans="2:25" s="17" customFormat="1" ht="15" hidden="1" customHeight="1" x14ac:dyDescent="0.25">
      <c r="B50" s="43"/>
      <c r="C50" s="43"/>
      <c r="D50" s="5"/>
      <c r="E50" s="12"/>
      <c r="F50" s="40"/>
      <c r="G50" s="40"/>
      <c r="H50" s="53"/>
      <c r="I50" s="51"/>
      <c r="J50" s="14"/>
      <c r="K50" s="15"/>
      <c r="L50" s="14"/>
      <c r="M50" s="16"/>
      <c r="N50" s="12"/>
      <c r="O50" s="12"/>
      <c r="P50" s="40"/>
      <c r="Q50" s="40"/>
      <c r="R50" s="40"/>
      <c r="S50" s="40"/>
      <c r="T50" s="40"/>
      <c r="U50" s="40"/>
      <c r="V50" s="41"/>
      <c r="W50" s="40"/>
      <c r="X50" s="54"/>
      <c r="Y50" s="54"/>
    </row>
    <row r="51" spans="2:25" s="17" customFormat="1" ht="15" hidden="1" customHeight="1" x14ac:dyDescent="0.25">
      <c r="B51" s="43"/>
      <c r="C51" s="43"/>
      <c r="D51" s="5"/>
      <c r="E51" s="12"/>
      <c r="F51" s="40"/>
      <c r="G51" s="40"/>
      <c r="H51" s="53"/>
      <c r="I51" s="51"/>
      <c r="J51" s="14"/>
      <c r="K51" s="15"/>
      <c r="L51" s="14"/>
      <c r="M51" s="16"/>
      <c r="N51" s="12"/>
      <c r="O51" s="12"/>
      <c r="P51" s="40"/>
      <c r="Q51" s="40"/>
      <c r="R51" s="40"/>
      <c r="S51" s="40"/>
      <c r="T51" s="40"/>
      <c r="U51" s="40"/>
      <c r="V51" s="41"/>
      <c r="W51" s="40"/>
      <c r="X51" s="54"/>
      <c r="Y51" s="54"/>
    </row>
    <row r="52" spans="2:25" s="17" customFormat="1" ht="15" hidden="1" customHeight="1" x14ac:dyDescent="0.25">
      <c r="B52" s="43"/>
      <c r="C52" s="43"/>
      <c r="D52" s="5"/>
      <c r="E52" s="12"/>
      <c r="F52" s="40"/>
      <c r="G52" s="40"/>
      <c r="H52" s="53"/>
      <c r="I52" s="51"/>
      <c r="J52" s="14"/>
      <c r="K52" s="15"/>
      <c r="L52" s="14"/>
      <c r="M52" s="16"/>
      <c r="N52" s="12"/>
      <c r="O52" s="12"/>
      <c r="P52" s="40"/>
      <c r="Q52" s="40"/>
      <c r="R52" s="40"/>
      <c r="S52" s="40"/>
      <c r="T52" s="40"/>
      <c r="U52" s="40"/>
      <c r="V52" s="41"/>
      <c r="W52" s="40"/>
      <c r="X52" s="54"/>
      <c r="Y52" s="54"/>
    </row>
    <row r="53" spans="2:25" s="17" customFormat="1" ht="15" hidden="1" customHeight="1" x14ac:dyDescent="0.25">
      <c r="B53" s="43"/>
      <c r="C53" s="43"/>
      <c r="D53" s="5"/>
      <c r="E53" s="12"/>
      <c r="F53" s="40"/>
      <c r="G53" s="40"/>
      <c r="H53" s="53"/>
      <c r="I53" s="51"/>
      <c r="J53" s="14"/>
      <c r="K53" s="15"/>
      <c r="L53" s="14"/>
      <c r="M53" s="16"/>
      <c r="N53" s="12"/>
      <c r="O53" s="12"/>
      <c r="P53" s="40"/>
      <c r="Q53" s="40"/>
      <c r="R53" s="40"/>
      <c r="S53" s="40"/>
      <c r="T53" s="40"/>
      <c r="U53" s="40"/>
      <c r="V53" s="41"/>
      <c r="W53" s="40"/>
      <c r="X53" s="54"/>
      <c r="Y53" s="54"/>
    </row>
    <row r="54" spans="2:25" s="17" customFormat="1" ht="15" hidden="1" customHeight="1" x14ac:dyDescent="0.25">
      <c r="B54" s="43"/>
      <c r="C54" s="43"/>
      <c r="D54" s="5"/>
      <c r="E54" s="12"/>
      <c r="F54" s="40"/>
      <c r="G54" s="40"/>
      <c r="H54" s="53"/>
      <c r="I54" s="51"/>
      <c r="J54" s="14"/>
      <c r="K54" s="15"/>
      <c r="L54" s="14"/>
      <c r="M54" s="16"/>
      <c r="N54" s="12"/>
      <c r="O54" s="12"/>
      <c r="P54" s="40"/>
      <c r="Q54" s="40"/>
      <c r="R54" s="40"/>
      <c r="S54" s="40"/>
      <c r="T54" s="40"/>
      <c r="U54" s="40"/>
      <c r="V54" s="41"/>
      <c r="W54" s="40"/>
      <c r="X54" s="54"/>
      <c r="Y54" s="54"/>
    </row>
    <row r="55" spans="2:25" s="17" customFormat="1" ht="15" hidden="1" customHeight="1" x14ac:dyDescent="0.25">
      <c r="B55" s="43"/>
      <c r="C55" s="43"/>
      <c r="D55" s="5"/>
      <c r="E55" s="12"/>
      <c r="F55" s="40"/>
      <c r="G55" s="40"/>
      <c r="H55" s="53"/>
      <c r="I55" s="51"/>
      <c r="J55" s="14"/>
      <c r="K55" s="15"/>
      <c r="L55" s="14"/>
      <c r="M55" s="16"/>
      <c r="N55" s="12"/>
      <c r="O55" s="12"/>
      <c r="P55" s="40"/>
      <c r="Q55" s="40"/>
      <c r="R55" s="40"/>
      <c r="S55" s="40"/>
      <c r="T55" s="40"/>
      <c r="U55" s="40"/>
      <c r="V55" s="41"/>
      <c r="W55" s="40"/>
      <c r="X55" s="54"/>
      <c r="Y55" s="54"/>
    </row>
    <row r="56" spans="2:25" s="17" customFormat="1" ht="15" hidden="1" customHeight="1" x14ac:dyDescent="0.25">
      <c r="B56" s="43"/>
      <c r="C56" s="43"/>
      <c r="D56" s="5"/>
      <c r="E56" s="12"/>
      <c r="F56" s="40"/>
      <c r="G56" s="40"/>
      <c r="H56" s="53"/>
      <c r="I56" s="51"/>
      <c r="J56" s="14"/>
      <c r="K56" s="15"/>
      <c r="L56" s="14"/>
      <c r="M56" s="16"/>
      <c r="N56" s="12"/>
      <c r="O56" s="12"/>
      <c r="P56" s="40"/>
      <c r="Q56" s="40"/>
      <c r="R56" s="40"/>
      <c r="S56" s="40"/>
      <c r="T56" s="40"/>
      <c r="U56" s="40"/>
      <c r="V56" s="41"/>
      <c r="W56" s="40"/>
      <c r="X56" s="54"/>
      <c r="Y56" s="54"/>
    </row>
    <row r="57" spans="2:25" s="17" customFormat="1" ht="15" hidden="1" customHeight="1" x14ac:dyDescent="0.25">
      <c r="B57" s="43"/>
      <c r="C57" s="43"/>
      <c r="D57" s="5"/>
      <c r="E57" s="12"/>
      <c r="F57" s="40"/>
      <c r="G57" s="40"/>
      <c r="H57" s="53"/>
      <c r="I57" s="51"/>
      <c r="J57" s="14"/>
      <c r="K57" s="15"/>
      <c r="L57" s="14"/>
      <c r="M57" s="16"/>
      <c r="N57" s="12"/>
      <c r="O57" s="12"/>
      <c r="P57" s="40"/>
      <c r="Q57" s="40"/>
      <c r="R57" s="40"/>
      <c r="S57" s="40"/>
      <c r="T57" s="40"/>
      <c r="U57" s="40"/>
      <c r="V57" s="41"/>
      <c r="W57" s="40"/>
      <c r="X57" s="54"/>
      <c r="Y57" s="54"/>
    </row>
    <row r="58" spans="2:25" s="17" customFormat="1" ht="15" hidden="1" customHeight="1" x14ac:dyDescent="0.25">
      <c r="B58" s="43"/>
      <c r="C58" s="43"/>
      <c r="D58" s="5"/>
      <c r="E58" s="12"/>
      <c r="F58" s="40"/>
      <c r="G58" s="40"/>
      <c r="H58" s="53"/>
      <c r="I58" s="51"/>
      <c r="J58" s="14"/>
      <c r="K58" s="15"/>
      <c r="L58" s="14"/>
      <c r="M58" s="16"/>
      <c r="N58" s="12"/>
      <c r="O58" s="12"/>
      <c r="P58" s="40"/>
      <c r="Q58" s="40"/>
      <c r="R58" s="40"/>
      <c r="S58" s="40"/>
      <c r="T58" s="40"/>
      <c r="U58" s="40"/>
      <c r="V58" s="41"/>
      <c r="W58" s="40"/>
      <c r="X58" s="54"/>
      <c r="Y58" s="54"/>
    </row>
    <row r="59" spans="2:25" s="17" customFormat="1" ht="15" hidden="1" customHeight="1" x14ac:dyDescent="0.25">
      <c r="B59" s="43"/>
      <c r="C59" s="43"/>
      <c r="D59" s="5"/>
      <c r="E59" s="12"/>
      <c r="F59" s="40"/>
      <c r="G59" s="40"/>
      <c r="H59" s="53"/>
      <c r="I59" s="51"/>
      <c r="J59" s="14"/>
      <c r="K59" s="15"/>
      <c r="L59" s="14"/>
      <c r="M59" s="16"/>
      <c r="N59" s="12"/>
      <c r="O59" s="12"/>
      <c r="P59" s="40"/>
      <c r="Q59" s="40"/>
      <c r="R59" s="40"/>
      <c r="S59" s="40"/>
      <c r="T59" s="40"/>
      <c r="U59" s="40"/>
      <c r="V59" s="41"/>
      <c r="W59" s="40"/>
      <c r="X59" s="54"/>
      <c r="Y59" s="54"/>
    </row>
    <row r="60" spans="2:25" s="17" customFormat="1" ht="15" hidden="1" customHeight="1" x14ac:dyDescent="0.25">
      <c r="B60" s="43"/>
      <c r="C60" s="43"/>
      <c r="D60" s="5"/>
      <c r="E60" s="12"/>
      <c r="F60" s="40"/>
      <c r="G60" s="40"/>
      <c r="H60" s="53"/>
      <c r="I60" s="51"/>
      <c r="J60" s="14"/>
      <c r="K60" s="15"/>
      <c r="L60" s="14"/>
      <c r="M60" s="16"/>
      <c r="N60" s="12"/>
      <c r="O60" s="12"/>
      <c r="P60" s="40"/>
      <c r="Q60" s="40"/>
      <c r="R60" s="40"/>
      <c r="S60" s="40"/>
      <c r="T60" s="40"/>
      <c r="U60" s="40"/>
      <c r="V60" s="41"/>
      <c r="W60" s="40"/>
      <c r="X60" s="54"/>
      <c r="Y60" s="54"/>
    </row>
    <row r="61" spans="2:25" s="17" customFormat="1" ht="15" hidden="1" customHeight="1" x14ac:dyDescent="0.25">
      <c r="B61" s="43"/>
      <c r="C61" s="43"/>
      <c r="D61" s="5"/>
      <c r="E61" s="12"/>
      <c r="F61" s="40"/>
      <c r="G61" s="40"/>
      <c r="H61" s="53"/>
      <c r="I61" s="51"/>
      <c r="J61" s="14"/>
      <c r="K61" s="15"/>
      <c r="L61" s="14"/>
      <c r="M61" s="16"/>
      <c r="N61" s="12"/>
      <c r="O61" s="12"/>
      <c r="P61" s="40"/>
      <c r="Q61" s="40"/>
      <c r="R61" s="40"/>
      <c r="S61" s="40"/>
      <c r="T61" s="40"/>
      <c r="U61" s="40"/>
      <c r="V61" s="41"/>
      <c r="W61" s="40"/>
      <c r="X61" s="54"/>
      <c r="Y61" s="54"/>
    </row>
    <row r="62" spans="2:25" s="17" customFormat="1" ht="15" hidden="1" customHeight="1" x14ac:dyDescent="0.25">
      <c r="B62" s="43"/>
      <c r="C62" s="43"/>
      <c r="D62" s="5"/>
      <c r="E62" s="12"/>
      <c r="F62" s="40"/>
      <c r="G62" s="40"/>
      <c r="H62" s="53"/>
      <c r="I62" s="51"/>
      <c r="J62" s="14"/>
      <c r="K62" s="15"/>
      <c r="L62" s="14"/>
      <c r="M62" s="16"/>
      <c r="N62" s="12"/>
      <c r="O62" s="12"/>
      <c r="P62" s="40"/>
      <c r="Q62" s="40"/>
      <c r="R62" s="40"/>
      <c r="S62" s="40"/>
      <c r="T62" s="40"/>
      <c r="U62" s="40"/>
      <c r="V62" s="41"/>
      <c r="W62" s="40"/>
      <c r="X62" s="54"/>
      <c r="Y62" s="54"/>
    </row>
    <row r="63" spans="2:25" s="17" customFormat="1" ht="15" hidden="1" customHeight="1" x14ac:dyDescent="0.25">
      <c r="B63" s="43"/>
      <c r="C63" s="43"/>
      <c r="D63" s="5"/>
      <c r="E63" s="12"/>
      <c r="F63" s="40"/>
      <c r="G63" s="40"/>
      <c r="H63" s="53"/>
      <c r="I63" s="51"/>
      <c r="J63" s="14"/>
      <c r="K63" s="15"/>
      <c r="L63" s="14"/>
      <c r="M63" s="16"/>
      <c r="N63" s="12"/>
      <c r="O63" s="12"/>
      <c r="P63" s="40"/>
      <c r="Q63" s="40"/>
      <c r="R63" s="40"/>
      <c r="S63" s="40"/>
      <c r="T63" s="40"/>
      <c r="U63" s="40"/>
      <c r="V63" s="41"/>
      <c r="W63" s="40"/>
      <c r="X63" s="54"/>
      <c r="Y63" s="54"/>
    </row>
    <row r="64" spans="2:25" s="17" customFormat="1" ht="15" hidden="1" customHeight="1" x14ac:dyDescent="0.25">
      <c r="B64" s="43"/>
      <c r="C64" s="43"/>
      <c r="D64" s="5"/>
      <c r="E64" s="12"/>
      <c r="F64" s="40"/>
      <c r="G64" s="40"/>
      <c r="H64" s="53"/>
      <c r="I64" s="51"/>
      <c r="J64" s="14"/>
      <c r="K64" s="15"/>
      <c r="L64" s="14"/>
      <c r="M64" s="16"/>
      <c r="N64" s="12"/>
      <c r="O64" s="12"/>
      <c r="P64" s="40"/>
      <c r="Q64" s="40"/>
      <c r="R64" s="40"/>
      <c r="S64" s="40"/>
      <c r="T64" s="40"/>
      <c r="U64" s="40"/>
      <c r="V64" s="41"/>
      <c r="W64" s="40"/>
      <c r="X64" s="54"/>
      <c r="Y64" s="54"/>
    </row>
    <row r="65" spans="2:25" s="17" customFormat="1" ht="15" hidden="1" customHeight="1" x14ac:dyDescent="0.25">
      <c r="B65" s="43"/>
      <c r="C65" s="43"/>
      <c r="D65" s="5"/>
      <c r="E65" s="12"/>
      <c r="F65" s="40"/>
      <c r="G65" s="40"/>
      <c r="H65" s="53"/>
      <c r="I65" s="51"/>
      <c r="J65" s="14"/>
      <c r="K65" s="15"/>
      <c r="L65" s="14"/>
      <c r="M65" s="16"/>
      <c r="N65" s="12"/>
      <c r="O65" s="12"/>
      <c r="P65" s="40"/>
      <c r="Q65" s="40"/>
      <c r="R65" s="40"/>
      <c r="S65" s="40"/>
      <c r="T65" s="40"/>
      <c r="U65" s="40"/>
      <c r="V65" s="41"/>
      <c r="W65" s="40"/>
      <c r="X65" s="54"/>
      <c r="Y65" s="54"/>
    </row>
    <row r="66" spans="2:25" s="17" customFormat="1" ht="15" hidden="1" customHeight="1" x14ac:dyDescent="0.25">
      <c r="B66" s="43"/>
      <c r="C66" s="43"/>
      <c r="D66" s="5"/>
      <c r="E66" s="12"/>
      <c r="F66" s="40"/>
      <c r="G66" s="40"/>
      <c r="H66" s="53"/>
      <c r="I66" s="51"/>
      <c r="J66" s="14"/>
      <c r="K66" s="15"/>
      <c r="L66" s="14"/>
      <c r="M66" s="16"/>
      <c r="N66" s="12"/>
      <c r="O66" s="12"/>
      <c r="P66" s="40"/>
      <c r="Q66" s="40"/>
      <c r="R66" s="40"/>
      <c r="S66" s="40"/>
      <c r="T66" s="40"/>
      <c r="U66" s="40"/>
      <c r="V66" s="41"/>
      <c r="W66" s="40"/>
      <c r="X66" s="54"/>
      <c r="Y66" s="54"/>
    </row>
    <row r="67" spans="2:25" s="17" customFormat="1" ht="15" hidden="1" customHeight="1" x14ac:dyDescent="0.25">
      <c r="B67" s="43"/>
      <c r="C67" s="43"/>
      <c r="D67" s="5"/>
      <c r="E67" s="12"/>
      <c r="F67" s="40"/>
      <c r="G67" s="40"/>
      <c r="H67" s="53"/>
      <c r="I67" s="51"/>
      <c r="J67" s="14"/>
      <c r="K67" s="15"/>
      <c r="L67" s="14"/>
      <c r="M67" s="16"/>
      <c r="N67" s="12"/>
      <c r="O67" s="12"/>
      <c r="P67" s="40"/>
      <c r="Q67" s="40"/>
      <c r="R67" s="40"/>
      <c r="S67" s="40"/>
      <c r="T67" s="40"/>
      <c r="U67" s="40"/>
      <c r="V67" s="41"/>
      <c r="W67" s="40"/>
      <c r="X67" s="54"/>
      <c r="Y67" s="54"/>
    </row>
    <row r="68" spans="2:25" s="17" customFormat="1" ht="15" hidden="1" customHeight="1" x14ac:dyDescent="0.25">
      <c r="B68" s="43"/>
      <c r="C68" s="43"/>
      <c r="D68" s="5"/>
      <c r="E68" s="12"/>
      <c r="F68" s="40"/>
      <c r="G68" s="40"/>
      <c r="H68" s="53"/>
      <c r="I68" s="51"/>
      <c r="J68" s="14"/>
      <c r="K68" s="15"/>
      <c r="L68" s="14"/>
      <c r="M68" s="16"/>
      <c r="N68" s="12"/>
      <c r="O68" s="12"/>
      <c r="P68" s="40"/>
      <c r="Q68" s="40"/>
      <c r="R68" s="40"/>
      <c r="S68" s="40"/>
      <c r="T68" s="40"/>
      <c r="U68" s="40"/>
      <c r="V68" s="41"/>
      <c r="W68" s="40"/>
      <c r="X68" s="54"/>
      <c r="Y68" s="54"/>
    </row>
    <row r="69" spans="2:25" s="17" customFormat="1" ht="15" hidden="1" customHeight="1" x14ac:dyDescent="0.25">
      <c r="B69" s="43"/>
      <c r="C69" s="43"/>
      <c r="D69" s="5"/>
      <c r="E69" s="12"/>
      <c r="F69" s="40"/>
      <c r="G69" s="40"/>
      <c r="H69" s="53"/>
      <c r="I69" s="51"/>
      <c r="J69" s="14"/>
      <c r="K69" s="15"/>
      <c r="L69" s="14"/>
      <c r="M69" s="16"/>
      <c r="N69" s="12"/>
      <c r="O69" s="12"/>
      <c r="P69" s="40"/>
      <c r="Q69" s="40"/>
      <c r="R69" s="40"/>
      <c r="S69" s="40"/>
      <c r="T69" s="40"/>
      <c r="U69" s="40"/>
      <c r="V69" s="41"/>
      <c r="W69" s="40"/>
      <c r="X69" s="54"/>
      <c r="Y69" s="54"/>
    </row>
    <row r="70" spans="2:25" s="17" customFormat="1" ht="15" hidden="1" customHeight="1" x14ac:dyDescent="0.25">
      <c r="B70" s="43"/>
      <c r="C70" s="43"/>
      <c r="D70" s="5"/>
      <c r="E70" s="12"/>
      <c r="F70" s="40"/>
      <c r="G70" s="40"/>
      <c r="H70" s="53"/>
      <c r="I70" s="51"/>
      <c r="J70" s="14"/>
      <c r="K70" s="15"/>
      <c r="L70" s="14"/>
      <c r="M70" s="16"/>
      <c r="N70" s="12"/>
      <c r="O70" s="12"/>
      <c r="P70" s="40"/>
      <c r="Q70" s="40"/>
      <c r="R70" s="40"/>
      <c r="S70" s="40"/>
      <c r="T70" s="40"/>
      <c r="U70" s="40"/>
      <c r="V70" s="41"/>
      <c r="W70" s="40"/>
      <c r="X70" s="54"/>
      <c r="Y70" s="54"/>
    </row>
    <row r="71" spans="2:25" s="17" customFormat="1" ht="15" hidden="1" customHeight="1" x14ac:dyDescent="0.25">
      <c r="B71" s="43"/>
      <c r="C71" s="43"/>
      <c r="D71" s="5"/>
      <c r="E71" s="12"/>
      <c r="F71" s="40"/>
      <c r="G71" s="40"/>
      <c r="H71" s="53"/>
      <c r="I71" s="51"/>
      <c r="J71" s="14"/>
      <c r="K71" s="15"/>
      <c r="L71" s="14"/>
      <c r="M71" s="16"/>
      <c r="N71" s="12"/>
      <c r="O71" s="12"/>
      <c r="P71" s="40"/>
      <c r="Q71" s="40"/>
      <c r="R71" s="40"/>
      <c r="S71" s="40"/>
      <c r="T71" s="40"/>
      <c r="U71" s="40"/>
      <c r="V71" s="41"/>
      <c r="W71" s="40"/>
      <c r="X71" s="54"/>
      <c r="Y71" s="54"/>
    </row>
    <row r="72" spans="2:25" s="17" customFormat="1" ht="15" hidden="1" customHeight="1" x14ac:dyDescent="0.25">
      <c r="B72" s="43"/>
      <c r="C72" s="43"/>
      <c r="D72" s="5"/>
      <c r="E72" s="12"/>
      <c r="F72" s="40"/>
      <c r="G72" s="40"/>
      <c r="H72" s="53"/>
      <c r="I72" s="51"/>
      <c r="J72" s="14"/>
      <c r="K72" s="15"/>
      <c r="L72" s="14"/>
      <c r="M72" s="16"/>
      <c r="N72" s="12"/>
      <c r="O72" s="12"/>
      <c r="P72" s="40"/>
      <c r="Q72" s="40"/>
      <c r="R72" s="40"/>
      <c r="S72" s="40"/>
      <c r="T72" s="40"/>
      <c r="U72" s="40"/>
      <c r="V72" s="41"/>
      <c r="W72" s="40"/>
      <c r="X72" s="54"/>
      <c r="Y72" s="54"/>
    </row>
    <row r="73" spans="2:25" s="17" customFormat="1" ht="15" hidden="1" customHeight="1" x14ac:dyDescent="0.25">
      <c r="B73" s="43"/>
      <c r="C73" s="43"/>
      <c r="D73" s="5"/>
      <c r="E73" s="12"/>
      <c r="F73" s="40"/>
      <c r="G73" s="40"/>
      <c r="H73" s="53"/>
      <c r="I73" s="51"/>
      <c r="J73" s="14"/>
      <c r="K73" s="15"/>
      <c r="L73" s="14"/>
      <c r="M73" s="16"/>
      <c r="N73" s="12"/>
      <c r="O73" s="12"/>
      <c r="P73" s="40"/>
      <c r="Q73" s="40"/>
      <c r="R73" s="40"/>
      <c r="S73" s="40"/>
      <c r="T73" s="40"/>
      <c r="U73" s="40"/>
      <c r="V73" s="41"/>
      <c r="W73" s="40"/>
      <c r="X73" s="54"/>
      <c r="Y73" s="54"/>
    </row>
    <row r="74" spans="2:25" s="17" customFormat="1" ht="15" hidden="1" customHeight="1" x14ac:dyDescent="0.25">
      <c r="B74" s="43"/>
      <c r="C74" s="43"/>
      <c r="D74" s="5"/>
      <c r="E74" s="12"/>
      <c r="F74" s="40"/>
      <c r="G74" s="40"/>
      <c r="H74" s="53"/>
      <c r="I74" s="51"/>
      <c r="J74" s="14"/>
      <c r="K74" s="15"/>
      <c r="L74" s="14"/>
      <c r="M74" s="16"/>
      <c r="N74" s="12"/>
      <c r="O74" s="12"/>
      <c r="P74" s="40"/>
      <c r="Q74" s="40"/>
      <c r="R74" s="40"/>
      <c r="S74" s="40"/>
      <c r="T74" s="40"/>
      <c r="U74" s="40"/>
      <c r="V74" s="41"/>
      <c r="W74" s="40"/>
      <c r="X74" s="54"/>
      <c r="Y74" s="54"/>
    </row>
    <row r="75" spans="2:25" s="17" customFormat="1" ht="15" hidden="1" customHeight="1" x14ac:dyDescent="0.25">
      <c r="B75" s="43"/>
      <c r="C75" s="43"/>
      <c r="D75" s="5"/>
      <c r="E75" s="12"/>
      <c r="F75" s="40"/>
      <c r="G75" s="40"/>
      <c r="H75" s="53"/>
      <c r="I75" s="51"/>
      <c r="J75" s="14"/>
      <c r="K75" s="15"/>
      <c r="L75" s="14"/>
      <c r="M75" s="16"/>
      <c r="N75" s="12"/>
      <c r="O75" s="12"/>
      <c r="P75" s="40"/>
      <c r="Q75" s="40"/>
      <c r="R75" s="40"/>
      <c r="S75" s="40"/>
      <c r="T75" s="40"/>
      <c r="U75" s="40"/>
      <c r="V75" s="41"/>
      <c r="W75" s="40"/>
      <c r="X75" s="54"/>
      <c r="Y75" s="54"/>
    </row>
    <row r="76" spans="2:25" s="17" customFormat="1" ht="15" hidden="1" customHeight="1" x14ac:dyDescent="0.25">
      <c r="B76" s="43"/>
      <c r="C76" s="43"/>
      <c r="D76" s="5"/>
      <c r="E76" s="12"/>
      <c r="F76" s="40"/>
      <c r="G76" s="40"/>
      <c r="H76" s="53"/>
      <c r="I76" s="51"/>
      <c r="J76" s="14"/>
      <c r="K76" s="15"/>
      <c r="L76" s="14"/>
      <c r="M76" s="16"/>
      <c r="N76" s="12"/>
      <c r="O76" s="12"/>
      <c r="P76" s="40"/>
      <c r="Q76" s="40"/>
      <c r="R76" s="40"/>
      <c r="S76" s="40"/>
      <c r="T76" s="40"/>
      <c r="U76" s="40"/>
      <c r="V76" s="41"/>
      <c r="W76" s="40"/>
      <c r="X76" s="54"/>
      <c r="Y76" s="54"/>
    </row>
    <row r="77" spans="2:25" s="17" customFormat="1" ht="15" hidden="1" customHeight="1" x14ac:dyDescent="0.25">
      <c r="B77" s="43"/>
      <c r="C77" s="43"/>
      <c r="D77" s="5"/>
      <c r="E77" s="12"/>
      <c r="F77" s="40"/>
      <c r="G77" s="40"/>
      <c r="H77" s="53"/>
      <c r="I77" s="51"/>
      <c r="J77" s="14"/>
      <c r="K77" s="15"/>
      <c r="L77" s="14"/>
      <c r="M77" s="16"/>
      <c r="N77" s="12"/>
      <c r="O77" s="12"/>
      <c r="P77" s="40"/>
      <c r="Q77" s="40"/>
      <c r="R77" s="40"/>
      <c r="S77" s="40"/>
      <c r="T77" s="40"/>
      <c r="U77" s="40"/>
      <c r="V77" s="41"/>
      <c r="W77" s="40"/>
      <c r="X77" s="54"/>
      <c r="Y77" s="54"/>
    </row>
    <row r="78" spans="2:25" s="17" customFormat="1" ht="15" hidden="1" customHeight="1" x14ac:dyDescent="0.25">
      <c r="B78" s="43"/>
      <c r="C78" s="43"/>
      <c r="D78" s="5"/>
      <c r="E78" s="12"/>
      <c r="F78" s="40"/>
      <c r="G78" s="40"/>
      <c r="H78" s="53"/>
      <c r="I78" s="51"/>
      <c r="J78" s="14"/>
      <c r="K78" s="15"/>
      <c r="L78" s="14"/>
      <c r="M78" s="16"/>
      <c r="N78" s="12"/>
      <c r="O78" s="12"/>
      <c r="P78" s="40"/>
      <c r="Q78" s="40"/>
      <c r="R78" s="40"/>
      <c r="S78" s="40"/>
      <c r="T78" s="40"/>
      <c r="U78" s="40"/>
      <c r="V78" s="41"/>
      <c r="W78" s="40"/>
      <c r="X78" s="54"/>
      <c r="Y78" s="54"/>
    </row>
    <row r="79" spans="2:25" s="17" customFormat="1" ht="15" hidden="1" customHeight="1" x14ac:dyDescent="0.25">
      <c r="B79" s="43"/>
      <c r="C79" s="43"/>
      <c r="D79" s="5"/>
      <c r="E79" s="12"/>
      <c r="F79" s="40"/>
      <c r="G79" s="40"/>
      <c r="H79" s="53"/>
      <c r="I79" s="51"/>
      <c r="J79" s="14"/>
      <c r="K79" s="15"/>
      <c r="L79" s="14"/>
      <c r="M79" s="16"/>
      <c r="N79" s="12"/>
      <c r="O79" s="12"/>
      <c r="P79" s="40"/>
      <c r="Q79" s="40"/>
      <c r="R79" s="40"/>
      <c r="S79" s="40"/>
      <c r="T79" s="40"/>
      <c r="U79" s="40"/>
      <c r="V79" s="41"/>
      <c r="W79" s="40"/>
      <c r="X79" s="54"/>
      <c r="Y79" s="54"/>
    </row>
    <row r="80" spans="2:25" s="17" customFormat="1" ht="15" hidden="1" customHeight="1" x14ac:dyDescent="0.25">
      <c r="B80" s="43"/>
      <c r="C80" s="43"/>
      <c r="D80" s="5"/>
      <c r="E80" s="12"/>
      <c r="F80" s="40"/>
      <c r="G80" s="40"/>
      <c r="H80" s="53"/>
      <c r="I80" s="51"/>
      <c r="J80" s="14"/>
      <c r="K80" s="15"/>
      <c r="L80" s="14"/>
      <c r="M80" s="16"/>
      <c r="N80" s="12"/>
      <c r="O80" s="12"/>
      <c r="P80" s="40"/>
      <c r="Q80" s="40"/>
      <c r="R80" s="40"/>
      <c r="S80" s="40"/>
      <c r="T80" s="40"/>
      <c r="U80" s="40"/>
      <c r="V80" s="41"/>
      <c r="W80" s="40"/>
      <c r="X80" s="54"/>
      <c r="Y80" s="54"/>
    </row>
    <row r="81" spans="1:25" s="17" customFormat="1" ht="15" hidden="1" customHeight="1" x14ac:dyDescent="0.25">
      <c r="B81" s="43"/>
      <c r="C81" s="43"/>
      <c r="D81" s="5"/>
      <c r="E81" s="12"/>
      <c r="F81" s="40"/>
      <c r="G81" s="40"/>
      <c r="H81" s="53"/>
      <c r="I81" s="51"/>
      <c r="J81" s="14"/>
      <c r="K81" s="15"/>
      <c r="L81" s="14"/>
      <c r="M81" s="16"/>
      <c r="N81" s="12"/>
      <c r="O81" s="12"/>
      <c r="P81" s="40"/>
      <c r="Q81" s="40"/>
      <c r="R81" s="40"/>
      <c r="S81" s="40"/>
      <c r="T81" s="40"/>
      <c r="U81" s="40"/>
      <c r="V81" s="41"/>
      <c r="W81" s="40"/>
      <c r="X81" s="54"/>
      <c r="Y81" s="54"/>
    </row>
    <row r="82" spans="1:25" s="17" customFormat="1" ht="15" hidden="1" customHeight="1" x14ac:dyDescent="0.25">
      <c r="B82" s="43"/>
      <c r="C82" s="43"/>
      <c r="D82" s="5"/>
      <c r="E82" s="12"/>
      <c r="F82" s="40"/>
      <c r="G82" s="40"/>
      <c r="H82" s="53"/>
      <c r="I82" s="51"/>
      <c r="J82" s="14"/>
      <c r="K82" s="15"/>
      <c r="L82" s="14"/>
      <c r="M82" s="16"/>
      <c r="N82" s="12"/>
      <c r="O82" s="12"/>
      <c r="P82" s="40"/>
      <c r="Q82" s="40"/>
      <c r="R82" s="40"/>
      <c r="S82" s="40"/>
      <c r="T82" s="40"/>
      <c r="U82" s="40"/>
      <c r="V82" s="41"/>
      <c r="W82" s="40"/>
      <c r="X82" s="54"/>
      <c r="Y82" s="54"/>
    </row>
    <row r="83" spans="1:25" s="17" customFormat="1" ht="15" customHeight="1" x14ac:dyDescent="0.25">
      <c r="B83" s="43"/>
      <c r="C83" s="43"/>
      <c r="D83" s="5"/>
      <c r="E83" s="50" t="e">
        <f ca="1">SUM(E9:E82)</f>
        <v>#N/A</v>
      </c>
      <c r="F83" s="50"/>
      <c r="G83" s="40"/>
      <c r="H83" s="53"/>
      <c r="I83" s="13"/>
      <c r="J83" s="14"/>
      <c r="K83" s="15" t="e">
        <f ca="1">SUMPRODUCT(K9:K82,E9:E82)</f>
        <v>#NAME?</v>
      </c>
      <c r="L83" s="14"/>
      <c r="M83" s="16"/>
      <c r="N83" s="12" t="e">
        <f ca="1">SUMPRODUCT(N9:N82,E9:E82)</f>
        <v>#N/A</v>
      </c>
      <c r="O83" s="12" t="e">
        <f ca="1">SUMPRODUCT(O9:O82,E9:E82)</f>
        <v>#N/A</v>
      </c>
      <c r="P83" s="45">
        <f t="shared" ref="P83:U83" si="11">SUM(P9:P82)</f>
        <v>48135068.876259007</v>
      </c>
      <c r="Q83" s="45">
        <f t="shared" si="11"/>
        <v>804920.70317799994</v>
      </c>
      <c r="R83" s="45" t="e">
        <f t="shared" ca="1" si="11"/>
        <v>#N/A</v>
      </c>
      <c r="S83" s="45" t="e">
        <f t="shared" ca="1" si="11"/>
        <v>#N/A</v>
      </c>
      <c r="T83" s="45" t="e">
        <f t="shared" ca="1" si="11"/>
        <v>#N/A</v>
      </c>
      <c r="U83" s="45" t="e">
        <f t="shared" ca="1" si="11"/>
        <v>#N/A</v>
      </c>
      <c r="V83" s="41"/>
      <c r="W83" s="45" t="e">
        <f ca="1">SUM(W9:W82)</f>
        <v>#N/A</v>
      </c>
      <c r="X83" s="55"/>
      <c r="Y83" s="55"/>
    </row>
    <row r="84" spans="1:25" s="17" customFormat="1" ht="15" customHeight="1" x14ac:dyDescent="0.25">
      <c r="A84" s="11"/>
      <c r="B84" s="11" t="s">
        <v>16</v>
      </c>
      <c r="C84" s="11"/>
      <c r="D84" s="5"/>
      <c r="E84" s="12"/>
      <c r="F84" s="12"/>
      <c r="G84" s="5"/>
      <c r="H84" s="53"/>
      <c r="I84" s="13"/>
      <c r="J84" s="8" t="s">
        <v>21</v>
      </c>
      <c r="K84" s="8" t="s">
        <v>32</v>
      </c>
      <c r="L84" s="14"/>
      <c r="M84" s="16"/>
      <c r="N84" s="12"/>
      <c r="O84" s="12"/>
      <c r="P84" s="40"/>
      <c r="Q84" s="40"/>
      <c r="R84" s="40"/>
      <c r="S84" s="40"/>
      <c r="T84" s="40"/>
      <c r="U84" s="40"/>
      <c r="V84" s="41"/>
      <c r="W84" s="41"/>
      <c r="X84" s="55"/>
      <c r="Y84" s="55"/>
    </row>
    <row r="85" spans="1:25" s="17" customFormat="1" ht="15" customHeight="1" x14ac:dyDescent="0.25">
      <c r="B85" s="43" t="str">
        <f>IF(LEFT(C85,2) = "RU", VLOOKUP(C85,MICEX!$A$2:$D$1554,4,FALSE),VLOOKUP(C85,Instruments!B:C,2,FALSE))</f>
        <v>Structured notes of EFG Intl Fin Gur Ltd, 22/06/2020, CH0367864680</v>
      </c>
      <c r="C85" s="43" t="str">
        <f>VLOOKUP(D85,Securities!B:C,2,FALSE)</f>
        <v>CH0367864680</v>
      </c>
      <c r="D85" s="5" t="s">
        <v>6408</v>
      </c>
      <c r="E85" s="12" t="e">
        <f ca="1">S85/$S$182</f>
        <v>#NAME?</v>
      </c>
      <c r="F85" s="40">
        <f>SUMIFS(positions!$E:$E,positions!$D:$D,C85,positions!B:B,$E$2)</f>
        <v>100000</v>
      </c>
      <c r="G85" s="40">
        <f t="shared" ref="G85" si="12">$K$5-Q85</f>
        <v>-97000</v>
      </c>
      <c r="H85" s="53" t="e">
        <f ca="1">IF(M85="RUB",SUMIFS(positions!G:G,positions!B:B,$E$2,positions!D:D,C85),SUMIFS(positions!H:H,positions!B:B,$E$2,positions!D:D,C85))</f>
        <v>#NAME?</v>
      </c>
      <c r="I85" s="51" t="e">
        <f ca="1">IF(_xll.BDP(D85,"PX_LAST")="#N/A N/A",100,_xll.BDP(D85,"PX_LAST"))</f>
        <v>#NAME?</v>
      </c>
      <c r="J85" s="14" t="e">
        <f ca="1">IF( _xll.BDP($D85,"DUR_MID") = "#N/A N/A", 0,  _xll.BDP($D85,"DUR_MID") )</f>
        <v>#NAME?</v>
      </c>
      <c r="K85" s="12" t="e">
        <f ca="1">IF( OR( _xll.BDP($D85,"YLD_CNV_MID")="#N/A Field Not Applicable",_xll.BDP($D85,"YLD_CNV_MID")= "#N/A N/A"), 0, _xll.BDP($D85,"YLD_CNV_MID")/100)</f>
        <v>#NAME?</v>
      </c>
      <c r="L85" s="14"/>
      <c r="M85" s="16" t="e">
        <f ca="1">_xll.BDP(D85,"Currency")</f>
        <v>#NAME?</v>
      </c>
      <c r="N85" s="12" t="e">
        <f ca="1">R85/P85-1</f>
        <v>#NAME?</v>
      </c>
      <c r="O85" s="12" t="e">
        <f ca="1">IF(Q85&gt;0,S85/Q85-1,0)</f>
        <v>#NAME?</v>
      </c>
      <c r="P85" s="40" t="e">
        <f ca="1">SUMIFS(positions!H:H,positions!B:B,$E$2,positions!D:D,C85)*F85%*$R$3</f>
        <v>#NAME?</v>
      </c>
      <c r="Q85" s="40">
        <f>SUMIFS(positions!H:H,positions!B:B,$E$2,positions!D:D,C85)*F85%</f>
        <v>97000</v>
      </c>
      <c r="R85" s="40" t="e">
        <f ca="1">F85*I85/IF(M85="RUB",0.001,_xll.BDP( CONCATENATE("RUB",UPPER(M85)," Curncy"), "PX_LAST"))/IF(M85="GBp",100,1)*0.01</f>
        <v>#NAME?</v>
      </c>
      <c r="S85" s="40" t="e">
        <f ca="1">F85*I85/IF(M85="USD",1,_xll.BDP( CONCATENATE("USD",UPPER(M85)," Curncy"), "PX_LAST"))/IF(M85="GBp",100,1)*IF(M85="RUB",10,0.01)</f>
        <v>#NAME?</v>
      </c>
      <c r="T85" s="40" t="e">
        <f t="shared" ref="T85:U85" ca="1" si="13">R85-P85</f>
        <v>#NAME?</v>
      </c>
      <c r="U85" s="40" t="e">
        <f t="shared" ca="1" si="13"/>
        <v>#NAME?</v>
      </c>
      <c r="V85" s="41" t="e">
        <f ca="1">IF( OR(  _xll.BDP($D85,"EQY_DVD_YLD_EST")="#N/A Field Not Applicable", _xll.BDP($D85,"EQY_DVD_YLD_EST")="#N/A N/A"),IF(   OR(  _xll.BDP(D85,"YLD_CNV_MID")="#N/A Field Not Applicable", _xll.BDP(D85,"YLD_CNV_MID")="#N/A N/A"), 0,_xll.BDP(D85,"YLD_CNV_MID")),_xll.BDP($D85,"EQY_DVD_YLD_EST"))</f>
        <v>#NAME?</v>
      </c>
      <c r="W85" s="40" t="e">
        <f ca="1">F85*IF(_xll.BDP(D85,"PX_DIRTY_MID")="#N/A N/A",100,_xll.BDP(D85,"PX_DIRTY_MID"))/IF(M85="USD",1,_xll.BDP( CONCATENATE("USD",UPPER(M85)," Curncy"), "PX_LAST"))/IF(M85="GBp",100,1)*IF(M85="RUB",10,0.01)</f>
        <v>#NAME?</v>
      </c>
      <c r="X85" s="54" t="e">
        <f ca="1">IF(  OR(   _xll.BDP($D85,"NXT_CPN_DT")="#N/A N/A", _xll.BDP($D85,"NXT_CPN_DT")="#N/A Field Not Applicable"),"",_xll.BDP($D85,"NXT_CPN_DT"))</f>
        <v>#NAME?</v>
      </c>
      <c r="Y85" s="55"/>
    </row>
    <row r="86" spans="1:25" s="17" customFormat="1" ht="15" customHeight="1" x14ac:dyDescent="0.25">
      <c r="B86" s="43" t="str">
        <f>IF(LEFT(C86,2) = "RU", VLOOKUP(C86,MICEX!$A$2:$D$1554,4,FALSE),VLOOKUP(C86,Instruments!B:C,2,FALSE))</f>
        <v>Bonds of Eskom Holdings SOC Ltd, 5.75%, 26/01/2021, XS0579851949</v>
      </c>
      <c r="C86" s="43" t="str">
        <f>VLOOKUP(D86,Securities!B:C,2,FALSE)</f>
        <v>XS0579851949</v>
      </c>
      <c r="D86" s="5" t="s">
        <v>6474</v>
      </c>
      <c r="E86" s="12" t="e">
        <f t="shared" ref="E86:E98" ca="1" si="14">S86/$S$182</f>
        <v>#NAME?</v>
      </c>
      <c r="F86" s="40">
        <f>SUMIFS(positions!$E:$E,positions!$D:$D,C86,positions!B:B,$E$2)</f>
        <v>470000</v>
      </c>
      <c r="G86" s="40">
        <f t="shared" ref="G86:G98" si="15">$K$5-Q86</f>
        <v>-475049.99959999998</v>
      </c>
      <c r="H86" s="53" t="e">
        <f ca="1">IF(M86="RUB",SUMIFS(positions!G:G,positions!B:B,$E$2,positions!D:D,C86),SUMIFS(positions!H:H,positions!B:B,$E$2,positions!D:D,C86))</f>
        <v>#NAME?</v>
      </c>
      <c r="I86" s="51" t="e">
        <f ca="1">IF(_xll.BDP(D86,"PX_LAST")="#N/A N/A",100,_xll.BDP(D86,"PX_LAST"))</f>
        <v>#NAME?</v>
      </c>
      <c r="J86" s="14" t="e">
        <f ca="1">IF( _xll.BDP($D86,"DUR_MID") = "#N/A N/A", 0,  _xll.BDP($D86,"DUR_MID") )</f>
        <v>#NAME?</v>
      </c>
      <c r="K86" s="12" t="e">
        <f ca="1">IF( OR( _xll.BDP($D86,"YLD_CNV_MID")="#N/A Field Not Applicable",_xll.BDP($D86,"YLD_CNV_MID")= "#N/A N/A"), 0, _xll.BDP($D86,"YLD_CNV_MID")/100)</f>
        <v>#NAME?</v>
      </c>
      <c r="L86" s="14"/>
      <c r="M86" s="16" t="e">
        <f ca="1">_xll.BDP(D86,"Currency")</f>
        <v>#NAME?</v>
      </c>
      <c r="N86" s="12" t="e">
        <f t="shared" ref="N86:N98" ca="1" si="16">R86/P86-1</f>
        <v>#NAME?</v>
      </c>
      <c r="O86" s="12" t="e">
        <f t="shared" ref="O86:O98" ca="1" si="17">IF(Q86&gt;0,S86/Q86-1,0)</f>
        <v>#NAME?</v>
      </c>
      <c r="P86" s="40" t="e">
        <f ca="1">SUMIFS(positions!H:H,positions!B:B,$E$2,positions!D:D,C86)*F86%*$R$3</f>
        <v>#NAME?</v>
      </c>
      <c r="Q86" s="40">
        <f>SUMIFS(positions!H:H,positions!B:B,$E$2,positions!D:D,C86)*F86%</f>
        <v>475049.99959999998</v>
      </c>
      <c r="R86" s="40" t="e">
        <f ca="1">F86*I86/IF(M86="RUB",0.001,_xll.BDP( CONCATENATE("RUB",UPPER(M86)," Curncy"), "PX_LAST"))/IF(M86="GBp",100,1)*0.01</f>
        <v>#NAME?</v>
      </c>
      <c r="S86" s="40" t="e">
        <f ca="1">F86*I86/IF(M86="USD",1,_xll.BDP( CONCATENATE("USD",UPPER(M86)," Curncy"), "PX_LAST"))/IF(M86="GBp",100,1)*IF(M86="RUB",10,0.01)</f>
        <v>#NAME?</v>
      </c>
      <c r="T86" s="40" t="e">
        <f t="shared" ref="T86:T98" ca="1" si="18">R86-P86</f>
        <v>#NAME?</v>
      </c>
      <c r="U86" s="40" t="e">
        <f t="shared" ref="U86:U98" ca="1" si="19">S86-Q86</f>
        <v>#NAME?</v>
      </c>
      <c r="V86" s="41" t="e">
        <f ca="1">IF( OR(  _xll.BDP($D86,"EQY_DVD_YLD_EST")="#N/A Field Not Applicable", _xll.BDP($D86,"EQY_DVD_YLD_EST")="#N/A N/A"),IF(   OR(  _xll.BDP(D86,"YLD_CNV_MID")="#N/A Field Not Applicable", _xll.BDP(D86,"YLD_CNV_MID")="#N/A N/A"), 0,_xll.BDP(D86,"YLD_CNV_MID")),_xll.BDP($D86,"EQY_DVD_YLD_EST"))</f>
        <v>#NAME?</v>
      </c>
      <c r="W86" s="40" t="e">
        <f ca="1">F86*IF(_xll.BDP(D86,"PX_DIRTY_MID")="#N/A N/A",100,_xll.BDP(D86,"PX_DIRTY_MID"))/IF(M86="USD",1,_xll.BDP( CONCATENATE("USD",UPPER(M86)," Curncy"), "PX_LAST"))/IF(M86="GBp",100,1)*IF(M86="RUB",10,0.01)</f>
        <v>#NAME?</v>
      </c>
      <c r="X86" s="54" t="e">
        <f ca="1">IF(  OR(   _xll.BDP($D86,"NXT_CPN_DT")="#N/A N/A", _xll.BDP($D86,"NXT_CPN_DT")="#N/A Field Not Applicable"),"",_xll.BDP($D86,"NXT_CPN_DT"))</f>
        <v>#NAME?</v>
      </c>
      <c r="Y86" s="55"/>
    </row>
    <row r="87" spans="1:25" s="17" customFormat="1" ht="15" customHeight="1" x14ac:dyDescent="0.25">
      <c r="B87" s="43" t="str">
        <f>IF(LEFT(C87,2) = "RU", VLOOKUP(C87,MICEX!$A$2:$D$1554,4,FALSE),VLOOKUP(C87,Instruments!B:C,2,FALSE))</f>
        <v>Bonds of Russia, 12.75%, 24/06/2028, XS0088543193</v>
      </c>
      <c r="C87" s="43" t="str">
        <f>VLOOKUP(D87,Securities!B:C,2,FALSE)</f>
        <v>XS0088543193</v>
      </c>
      <c r="D87" s="5" t="s">
        <v>4738</v>
      </c>
      <c r="E87" s="12" t="e">
        <f t="shared" ca="1" si="14"/>
        <v>#NAME?</v>
      </c>
      <c r="F87" s="40">
        <f>SUMIFS(positions!$E:$E,positions!$D:$D,C87,positions!B:B,$E$2)</f>
        <v>300000</v>
      </c>
      <c r="G87" s="40">
        <f t="shared" si="15"/>
        <v>-516300</v>
      </c>
      <c r="H87" s="53" t="e">
        <f ca="1">IF(M87="RUB",SUMIFS(positions!G:G,positions!B:B,$E$2,positions!D:D,C87),SUMIFS(positions!H:H,positions!B:B,$E$2,positions!D:D,C87))</f>
        <v>#NAME?</v>
      </c>
      <c r="I87" s="51" t="e">
        <f ca="1">IF(_xll.BDP(D87,"PX_LAST")="#N/A N/A",100,_xll.BDP(D87,"PX_LAST"))</f>
        <v>#NAME?</v>
      </c>
      <c r="J87" s="14" t="e">
        <f ca="1">IF( _xll.BDP($D87,"DUR_MID") = "#N/A N/A", 0,  _xll.BDP($D87,"DUR_MID") )</f>
        <v>#NAME?</v>
      </c>
      <c r="K87" s="12" t="e">
        <f ca="1">IF( OR( _xll.BDP($D87,"YLD_CNV_MID")="#N/A Field Not Applicable",_xll.BDP($D87,"YLD_CNV_MID")= "#N/A N/A"), 0, _xll.BDP($D87,"YLD_CNV_MID")/100)</f>
        <v>#NAME?</v>
      </c>
      <c r="L87" s="14"/>
      <c r="M87" s="16" t="e">
        <f ca="1">_xll.BDP(D87,"Currency")</f>
        <v>#NAME?</v>
      </c>
      <c r="N87" s="12" t="e">
        <f t="shared" ca="1" si="16"/>
        <v>#NAME?</v>
      </c>
      <c r="O87" s="12" t="e">
        <f t="shared" ca="1" si="17"/>
        <v>#NAME?</v>
      </c>
      <c r="P87" s="40" t="e">
        <f ca="1">SUMIFS(positions!H:H,positions!B:B,$E$2,positions!D:D,C87)*F87%*$R$3</f>
        <v>#NAME?</v>
      </c>
      <c r="Q87" s="40">
        <f>SUMIFS(positions!H:H,positions!B:B,$E$2,positions!D:D,C87)*F87%</f>
        <v>516300</v>
      </c>
      <c r="R87" s="40" t="e">
        <f ca="1">F87*I87/IF(M87="RUB",0.001,_xll.BDP( CONCATENATE("RUB",UPPER(M87)," Curncy"), "PX_LAST"))/IF(M87="GBp",100,1)*0.01</f>
        <v>#NAME?</v>
      </c>
      <c r="S87" s="40" t="e">
        <f ca="1">F87*I87/IF(M87="USD",1,_xll.BDP( CONCATENATE("USD",UPPER(M87)," Curncy"), "PX_LAST"))/IF(M87="GBp",100,1)*IF(M87="RUB",10,0.01)</f>
        <v>#NAME?</v>
      </c>
      <c r="T87" s="40" t="e">
        <f t="shared" ca="1" si="18"/>
        <v>#NAME?</v>
      </c>
      <c r="U87" s="40" t="e">
        <f t="shared" ca="1" si="19"/>
        <v>#NAME?</v>
      </c>
      <c r="V87" s="41" t="e">
        <f ca="1">IF( OR(  _xll.BDP($D87,"EQY_DVD_YLD_EST")="#N/A Field Not Applicable", _xll.BDP($D87,"EQY_DVD_YLD_EST")="#N/A N/A"),IF(   OR(  _xll.BDP(D87,"YLD_CNV_MID")="#N/A Field Not Applicable", _xll.BDP(D87,"YLD_CNV_MID")="#N/A N/A"), 0,_xll.BDP(D87,"YLD_CNV_MID")),_xll.BDP($D87,"EQY_DVD_YLD_EST"))</f>
        <v>#NAME?</v>
      </c>
      <c r="W87" s="40" t="e">
        <f ca="1">F87*IF(_xll.BDP(D87,"PX_DIRTY_MID")="#N/A N/A",100,_xll.BDP(D87,"PX_DIRTY_MID"))/IF(M87="USD",1,_xll.BDP( CONCATENATE("USD",UPPER(M87)," Curncy"), "PX_LAST"))/IF(M87="GBp",100,1)*IF(M87="RUB",10,0.01)</f>
        <v>#NAME?</v>
      </c>
      <c r="X87" s="54" t="e">
        <f ca="1">IF(  OR(   _xll.BDP($D87,"NXT_CPN_DT")="#N/A N/A", _xll.BDP($D87,"NXT_CPN_DT")="#N/A Field Not Applicable"),"",_xll.BDP($D87,"NXT_CPN_DT"))</f>
        <v>#NAME?</v>
      </c>
      <c r="Y87" s="55"/>
    </row>
    <row r="88" spans="1:25" s="17" customFormat="1" ht="15" customHeight="1" x14ac:dyDescent="0.25">
      <c r="B88" s="43" t="str">
        <f>IF(LEFT(C88,2) = "RU", VLOOKUP(C88,MICEX!$A$2:$D$1554,4,FALSE),VLOOKUP(C88,Instruments!B:C,2,FALSE))</f>
        <v>Structured Note of Natixis, 07/03/2019, XS1605089066</v>
      </c>
      <c r="C88" s="43" t="str">
        <f>VLOOKUP(D88,Securities!B:C,2,FALSE)</f>
        <v>XS1605089066</v>
      </c>
      <c r="D88" s="5" t="s">
        <v>7090</v>
      </c>
      <c r="E88" s="12" t="e">
        <f t="shared" ca="1" si="14"/>
        <v>#NAME?</v>
      </c>
      <c r="F88" s="40">
        <f>SUMIFS(positions!$E:$E,positions!$D:$D,C88,positions!B:B,$E$2)</f>
        <v>100000</v>
      </c>
      <c r="G88" s="40">
        <f t="shared" si="15"/>
        <v>-100000</v>
      </c>
      <c r="H88" s="53" t="e">
        <f ca="1">IF(M88="RUB",SUMIFS(positions!G:G,positions!B:B,$E$2,positions!D:D,C88),SUMIFS(positions!H:H,positions!B:B,$E$2,positions!D:D,C88))</f>
        <v>#NAME?</v>
      </c>
      <c r="I88" s="51" t="e">
        <f ca="1">IF(_xll.BDP(D88,"PX_LAST")="#N/A N/A",100,_xll.BDP(D88,"PX_LAST"))</f>
        <v>#NAME?</v>
      </c>
      <c r="J88" s="14" t="e">
        <f ca="1">IF( _xll.BDP($D88,"DUR_MID") = "#N/A N/A", 0,  _xll.BDP($D88,"DUR_MID") )</f>
        <v>#NAME?</v>
      </c>
      <c r="K88" s="12" t="e">
        <f ca="1">IF( OR( _xll.BDP($D88,"YLD_CNV_MID")="#N/A Field Not Applicable",_xll.BDP($D88,"YLD_CNV_MID")= "#N/A N/A"), 0, _xll.BDP($D88,"YLD_CNV_MID")/100)</f>
        <v>#NAME?</v>
      </c>
      <c r="L88" s="14"/>
      <c r="M88" s="16" t="e">
        <f ca="1">_xll.BDP(D88,"Currency")</f>
        <v>#NAME?</v>
      </c>
      <c r="N88" s="12" t="e">
        <f t="shared" ca="1" si="16"/>
        <v>#NAME?</v>
      </c>
      <c r="O88" s="12" t="e">
        <f t="shared" ca="1" si="17"/>
        <v>#NAME?</v>
      </c>
      <c r="P88" s="40" t="e">
        <f ca="1">SUMIFS(positions!H:H,positions!B:B,$E$2,positions!D:D,C88)*F88%*$R$3</f>
        <v>#NAME?</v>
      </c>
      <c r="Q88" s="40">
        <f>SUMIFS(positions!H:H,positions!B:B,$E$2,positions!D:D,C88)*F88%</f>
        <v>100000</v>
      </c>
      <c r="R88" s="40" t="e">
        <f ca="1">F88*I88/IF(M88="RUB",0.001,_xll.BDP( CONCATENATE("RUB",UPPER(M88)," Curncy"), "PX_LAST"))/IF(M88="GBp",100,1)*0.01</f>
        <v>#NAME?</v>
      </c>
      <c r="S88" s="40" t="e">
        <f ca="1">F88*I88/IF(M88="USD",1,_xll.BDP( CONCATENATE("USD",UPPER(M88)," Curncy"), "PX_LAST"))/IF(M88="GBp",100,1)*IF(M88="RUB",10,0.01)</f>
        <v>#NAME?</v>
      </c>
      <c r="T88" s="40" t="e">
        <f t="shared" ca="1" si="18"/>
        <v>#NAME?</v>
      </c>
      <c r="U88" s="40" t="e">
        <f t="shared" ca="1" si="19"/>
        <v>#NAME?</v>
      </c>
      <c r="V88" s="41" t="e">
        <f ca="1">IF( OR(  _xll.BDP($D88,"EQY_DVD_YLD_EST")="#N/A Field Not Applicable", _xll.BDP($D88,"EQY_DVD_YLD_EST")="#N/A N/A"),IF(   OR(  _xll.BDP(D88,"YLD_CNV_MID")="#N/A Field Not Applicable", _xll.BDP(D88,"YLD_CNV_MID")="#N/A N/A"), 0,_xll.BDP(D88,"YLD_CNV_MID")),_xll.BDP($D88,"EQY_DVD_YLD_EST"))</f>
        <v>#NAME?</v>
      </c>
      <c r="W88" s="40" t="e">
        <f ca="1">F88*IF(_xll.BDP(D88,"PX_DIRTY_MID")="#N/A N/A",100,_xll.BDP(D88,"PX_DIRTY_MID"))/IF(M88="USD",1,_xll.BDP( CONCATENATE("USD",UPPER(M88)," Curncy"), "PX_LAST"))/IF(M88="GBp",100,1)*IF(M88="RUB",10,0.01)</f>
        <v>#NAME?</v>
      </c>
      <c r="X88" s="54" t="e">
        <f ca="1">IF(  OR(   _xll.BDP($D88,"NXT_CPN_DT")="#N/A N/A", _xll.BDP($D88,"NXT_CPN_DT")="#N/A Field Not Applicable"),"",_xll.BDP($D88,"NXT_CPN_DT"))</f>
        <v>#NAME?</v>
      </c>
      <c r="Y88" s="55"/>
    </row>
    <row r="89" spans="1:25" s="62" customFormat="1" ht="15" customHeight="1" x14ac:dyDescent="0.25">
      <c r="B89" s="43" t="str">
        <f>IF(LEFT(C89,2) = "RU", VLOOKUP(C89,MICEX!$A$2:$D$1554,4,FALSE),VLOOKUP(C89,Instruments!B:C,2,FALSE))</f>
        <v>Structured Note of Natixis Structured Issuance SA, 28/07/2020, XS1581926083</v>
      </c>
      <c r="C89" s="43" t="str">
        <f>VLOOKUP(D89,Securities!B:C,2,FALSE)</f>
        <v>XS1581926083</v>
      </c>
      <c r="D89" s="64" t="s">
        <v>6602</v>
      </c>
      <c r="E89" s="12" t="e">
        <f t="shared" ca="1" si="14"/>
        <v>#NAME?</v>
      </c>
      <c r="F89" s="40">
        <f>SUMIFS(positions!$E:$E,positions!$D:$D,C89,positions!B:B,$E$2)</f>
        <v>100000</v>
      </c>
      <c r="G89" s="40">
        <f t="shared" si="15"/>
        <v>-100000</v>
      </c>
      <c r="H89" s="53" t="e">
        <f ca="1">IF(M89="RUB",SUMIFS(positions!G:G,positions!B:B,$E$2,positions!D:D,C89),SUMIFS(positions!H:H,positions!B:B,$E$2,positions!D:D,C89))</f>
        <v>#NAME?</v>
      </c>
      <c r="I89" s="51" t="e">
        <f ca="1">IF(_xll.BDP(D89,"PX_LAST")="#N/A N/A",100,_xll.BDP(D89,"PX_LAST"))</f>
        <v>#NAME?</v>
      </c>
      <c r="J89" s="14" t="e">
        <f ca="1">IF( _xll.BDP($D89,"DUR_MID") = "#N/A N/A", 0,  _xll.BDP($D89,"DUR_MID") )</f>
        <v>#NAME?</v>
      </c>
      <c r="K89" s="12" t="e">
        <f ca="1">IF( OR( _xll.BDP($D89,"YLD_CNV_MID")="#N/A Field Not Applicable",_xll.BDP($D89,"YLD_CNV_MID")= "#N/A N/A"), 0, _xll.BDP($D89,"YLD_CNV_MID")/100)</f>
        <v>#NAME?</v>
      </c>
      <c r="L89" s="14"/>
      <c r="M89" s="16" t="e">
        <f ca="1">_xll.BDP(D89,"Currency")</f>
        <v>#NAME?</v>
      </c>
      <c r="N89" s="12" t="e">
        <f t="shared" ca="1" si="16"/>
        <v>#NAME?</v>
      </c>
      <c r="O89" s="12" t="e">
        <f t="shared" ca="1" si="17"/>
        <v>#NAME?</v>
      </c>
      <c r="P89" s="40" t="e">
        <f ca="1">SUMIFS(positions!H:H,positions!B:B,$E$2,positions!D:D,C89)*F89%*$R$3</f>
        <v>#NAME?</v>
      </c>
      <c r="Q89" s="40">
        <f>SUMIFS(positions!H:H,positions!B:B,$E$2,positions!D:D,C89)*F89%</f>
        <v>100000</v>
      </c>
      <c r="R89" s="40" t="e">
        <f ca="1">F89*I89/IF(M89="RUB",0.001,_xll.BDP( CONCATENATE("RUB",UPPER(M89)," Curncy"), "PX_LAST"))/IF(M89="GBp",100,1)*0.01</f>
        <v>#NAME?</v>
      </c>
      <c r="S89" s="40" t="e">
        <f ca="1">F89*I89/IF(M89="USD",1,_xll.BDP( CONCATENATE("USD",UPPER(M89)," Curncy"), "PX_LAST"))/IF(M89="GBp",100,1)*IF(M89="RUB",10,0.01)</f>
        <v>#NAME?</v>
      </c>
      <c r="T89" s="40" t="e">
        <f t="shared" ca="1" si="18"/>
        <v>#NAME?</v>
      </c>
      <c r="U89" s="40" t="e">
        <f t="shared" ca="1" si="19"/>
        <v>#NAME?</v>
      </c>
      <c r="V89" s="41" t="e">
        <f ca="1">IF( OR(  _xll.BDP($D89,"EQY_DVD_YLD_EST")="#N/A Field Not Applicable", _xll.BDP($D89,"EQY_DVD_YLD_EST")="#N/A N/A"),IF(   OR(  _xll.BDP(D89,"YLD_CNV_MID")="#N/A Field Not Applicable", _xll.BDP(D89,"YLD_CNV_MID")="#N/A N/A"), 0,_xll.BDP(D89,"YLD_CNV_MID")),_xll.BDP($D89,"EQY_DVD_YLD_EST"))</f>
        <v>#NAME?</v>
      </c>
      <c r="W89" s="40" t="e">
        <f ca="1">F89*IF(_xll.BDP(D89,"PX_DIRTY_MID")="#N/A N/A",100,_xll.BDP(D89,"PX_DIRTY_MID"))/IF(M89="USD",1,_xll.BDP( CONCATENATE("USD",UPPER(M89)," Curncy"), "PX_LAST"))/IF(M89="GBp",100,1)*IF(M89="RUB",10,0.01)</f>
        <v>#NAME?</v>
      </c>
      <c r="X89" s="54" t="e">
        <f ca="1">IF(  OR(   _xll.BDP($D89,"NXT_CPN_DT")="#N/A N/A", _xll.BDP($D89,"NXT_CPN_DT")="#N/A Field Not Applicable"),"",_xll.BDP($D89,"NXT_CPN_DT"))</f>
        <v>#NAME?</v>
      </c>
      <c r="Y89" s="55"/>
    </row>
    <row r="90" spans="1:25" s="62" customFormat="1" ht="15" customHeight="1" x14ac:dyDescent="0.25">
      <c r="B90" s="43" t="str">
        <f>IF(LEFT(C90,2) = "RU", VLOOKUP(C90,MICEX!$A$2:$D$1554,4,FALSE),VLOOKUP(C90,Instruments!B:C,2,FALSE))</f>
        <v>Bonds of GAZ CAPITAL S.A., 8.625%, 28/04/2034, XS0191754729</v>
      </c>
      <c r="C90" s="43" t="str">
        <f>VLOOKUP(D90,Securities!B:C,2,FALSE)</f>
        <v>XS0191754729</v>
      </c>
      <c r="D90" s="64" t="s">
        <v>6664</v>
      </c>
      <c r="E90" s="12" t="e">
        <f t="shared" ca="1" si="14"/>
        <v>#NAME?</v>
      </c>
      <c r="F90" s="40">
        <f>SUMIFS(positions!$E:$E,positions!$D:$D,C90,positions!B:B,$E$2)</f>
        <v>152000</v>
      </c>
      <c r="G90" s="40">
        <f t="shared" si="15"/>
        <v>-205200</v>
      </c>
      <c r="H90" s="53" t="e">
        <f ca="1">IF(M90="RUB",SUMIFS(positions!G:G,positions!B:B,$E$2,positions!D:D,C90),SUMIFS(positions!H:H,positions!B:B,$E$2,positions!D:D,C90))</f>
        <v>#NAME?</v>
      </c>
      <c r="I90" s="51" t="e">
        <f ca="1">IF(_xll.BDP(D90,"PX_LAST")="#N/A N/A",100,_xll.BDP(D90,"PX_LAST"))</f>
        <v>#NAME?</v>
      </c>
      <c r="J90" s="14" t="e">
        <f ca="1">IF( _xll.BDP($D90,"DUR_MID") = "#N/A N/A", 0,  _xll.BDP($D90,"DUR_MID") )</f>
        <v>#NAME?</v>
      </c>
      <c r="K90" s="12" t="e">
        <f ca="1">IF( OR( _xll.BDP($D90,"YLD_CNV_MID")="#N/A Field Not Applicable",_xll.BDP($D90,"YLD_CNV_MID")= "#N/A N/A"), 0, _xll.BDP($D90,"YLD_CNV_MID")/100)</f>
        <v>#NAME?</v>
      </c>
      <c r="L90" s="14"/>
      <c r="M90" s="16" t="e">
        <f ca="1">_xll.BDP(D90,"Currency")</f>
        <v>#NAME?</v>
      </c>
      <c r="N90" s="12" t="e">
        <f t="shared" ca="1" si="16"/>
        <v>#NAME?</v>
      </c>
      <c r="O90" s="12" t="e">
        <f t="shared" ca="1" si="17"/>
        <v>#NAME?</v>
      </c>
      <c r="P90" s="40" t="e">
        <f ca="1">SUMIFS(positions!H:H,positions!B:B,$E$2,positions!D:D,C90)*F90%*$R$3</f>
        <v>#NAME?</v>
      </c>
      <c r="Q90" s="40">
        <f>SUMIFS(positions!H:H,positions!B:B,$E$2,positions!D:D,C90)*F90%</f>
        <v>205200</v>
      </c>
      <c r="R90" s="40" t="e">
        <f ca="1">F90*I90/IF(M90="RUB",0.001,_xll.BDP( CONCATENATE("RUB",UPPER(M90)," Curncy"), "PX_LAST"))/IF(M90="GBp",100,1)*0.01</f>
        <v>#NAME?</v>
      </c>
      <c r="S90" s="40" t="e">
        <f ca="1">F90*I90/IF(M90="USD",1,_xll.BDP( CONCATENATE("USD",UPPER(M90)," Curncy"), "PX_LAST"))/IF(M90="GBp",100,1)*IF(M90="RUB",10,0.01)</f>
        <v>#NAME?</v>
      </c>
      <c r="T90" s="40" t="e">
        <f t="shared" ca="1" si="18"/>
        <v>#NAME?</v>
      </c>
      <c r="U90" s="40" t="e">
        <f t="shared" ca="1" si="19"/>
        <v>#NAME?</v>
      </c>
      <c r="V90" s="41" t="e">
        <f ca="1">IF( OR(  _xll.BDP($D90,"EQY_DVD_YLD_EST")="#N/A Field Not Applicable", _xll.BDP($D90,"EQY_DVD_YLD_EST")="#N/A N/A"),IF(   OR(  _xll.BDP(D90,"YLD_CNV_MID")="#N/A Field Not Applicable", _xll.BDP(D90,"YLD_CNV_MID")="#N/A N/A"), 0,_xll.BDP(D90,"YLD_CNV_MID")),_xll.BDP($D90,"EQY_DVD_YLD_EST"))</f>
        <v>#NAME?</v>
      </c>
      <c r="W90" s="40" t="e">
        <f ca="1">F90*IF(_xll.BDP(D90,"PX_DIRTY_MID")="#N/A N/A",100,_xll.BDP(D90,"PX_DIRTY_MID"))/IF(M90="USD",1,_xll.BDP( CONCATENATE("USD",UPPER(M90)," Curncy"), "PX_LAST"))/IF(M90="GBp",100,1)*IF(M90="RUB",10,0.01)</f>
        <v>#NAME?</v>
      </c>
      <c r="X90" s="54" t="e">
        <f ca="1">IF(  OR(   _xll.BDP($D90,"NXT_CPN_DT")="#N/A N/A", _xll.BDP($D90,"NXT_CPN_DT")="#N/A Field Not Applicable"),"",_xll.BDP($D90,"NXT_CPN_DT"))</f>
        <v>#NAME?</v>
      </c>
      <c r="Y90" s="55"/>
    </row>
    <row r="91" spans="1:25" s="62" customFormat="1" ht="15" customHeight="1" x14ac:dyDescent="0.25">
      <c r="B91" s="43" t="str">
        <f>IF(LEFT(C91,2) = "RU", VLOOKUP(C91,MICEX!$A$2:$D$1554,4,FALSE),VLOOKUP(C91,Instruments!B:C,2,FALSE))</f>
        <v>Bonds of GTLK EUROPE DAC, 5.125%, 31/05/2024, XS1577961516</v>
      </c>
      <c r="C91" s="43" t="str">
        <f>VLOOKUP(D91,Securities!B:C,2,FALSE)</f>
        <v>XS1577961516</v>
      </c>
      <c r="D91" s="64" t="s">
        <v>6954</v>
      </c>
      <c r="E91" s="12" t="e">
        <f t="shared" ca="1" si="14"/>
        <v>#NAME?</v>
      </c>
      <c r="F91" s="40">
        <f>SUMIFS(positions!$E:$E,positions!$D:$D,C91,positions!B:B,$E$2)</f>
        <v>297000</v>
      </c>
      <c r="G91" s="40">
        <f t="shared" si="15"/>
        <v>-299524.5</v>
      </c>
      <c r="H91" s="53" t="e">
        <f ca="1">IF(M91="RUB",SUMIFS(positions!G:G,positions!B:B,$E$2,positions!D:D,C91),SUMIFS(positions!H:H,positions!B:B,$E$2,positions!D:D,C91))</f>
        <v>#NAME?</v>
      </c>
      <c r="I91" s="51" t="e">
        <f ca="1">IF(_xll.BDP(D91,"PX_LAST")="#N/A N/A",100,_xll.BDP(D91,"PX_LAST"))</f>
        <v>#NAME?</v>
      </c>
      <c r="J91" s="14" t="e">
        <f ca="1">IF( _xll.BDP($D91,"DUR_MID") = "#N/A N/A", 0,  _xll.BDP($D91,"DUR_MID") )</f>
        <v>#NAME?</v>
      </c>
      <c r="K91" s="12" t="e">
        <f ca="1">IF( OR( _xll.BDP($D91,"YLD_CNV_MID")="#N/A Field Not Applicable",_xll.BDP($D91,"YLD_CNV_MID")= "#N/A N/A"), 0, _xll.BDP($D91,"YLD_CNV_MID")/100)</f>
        <v>#NAME?</v>
      </c>
      <c r="L91" s="14"/>
      <c r="M91" s="16" t="e">
        <f ca="1">_xll.BDP(D91,"Currency")</f>
        <v>#NAME?</v>
      </c>
      <c r="N91" s="12" t="e">
        <f t="shared" ca="1" si="16"/>
        <v>#NAME?</v>
      </c>
      <c r="O91" s="12" t="e">
        <f t="shared" ca="1" si="17"/>
        <v>#NAME?</v>
      </c>
      <c r="P91" s="40" t="e">
        <f ca="1">SUMIFS(positions!H:H,positions!B:B,$E$2,positions!D:D,C91)*F91%*$R$3</f>
        <v>#NAME?</v>
      </c>
      <c r="Q91" s="40">
        <f>SUMIFS(positions!H:H,positions!B:B,$E$2,positions!D:D,C91)*F91%</f>
        <v>299524.5</v>
      </c>
      <c r="R91" s="40" t="e">
        <f ca="1">F91*I91/IF(M91="RUB",0.001,_xll.BDP( CONCATENATE("RUB",UPPER(M91)," Curncy"), "PX_LAST"))/IF(M91="GBp",100,1)*0.01</f>
        <v>#NAME?</v>
      </c>
      <c r="S91" s="40" t="e">
        <f ca="1">F91*I91/IF(M91="USD",1,_xll.BDP( CONCATENATE("USD",UPPER(M91)," Curncy"), "PX_LAST"))/IF(M91="GBp",100,1)*IF(M91="RUB",10,0.01)</f>
        <v>#NAME?</v>
      </c>
      <c r="T91" s="40" t="e">
        <f t="shared" ca="1" si="18"/>
        <v>#NAME?</v>
      </c>
      <c r="U91" s="40" t="e">
        <f t="shared" ca="1" si="19"/>
        <v>#NAME?</v>
      </c>
      <c r="V91" s="41" t="e">
        <f ca="1">IF( OR(  _xll.BDP($D91,"EQY_DVD_YLD_EST")="#N/A Field Not Applicable", _xll.BDP($D91,"EQY_DVD_YLD_EST")="#N/A N/A"),IF(   OR(  _xll.BDP(D91,"YLD_CNV_MID")="#N/A Field Not Applicable", _xll.BDP(D91,"YLD_CNV_MID")="#N/A N/A"), 0,_xll.BDP(D91,"YLD_CNV_MID")),_xll.BDP($D91,"EQY_DVD_YLD_EST"))</f>
        <v>#NAME?</v>
      </c>
      <c r="W91" s="40" t="e">
        <f ca="1">F91*IF(_xll.BDP(D91,"PX_DIRTY_MID")="#N/A N/A",100,_xll.BDP(D91,"PX_DIRTY_MID"))/IF(M91="USD",1,_xll.BDP( CONCATENATE("USD",UPPER(M91)," Curncy"), "PX_LAST"))/IF(M91="GBp",100,1)*IF(M91="RUB",10,0.01)</f>
        <v>#NAME?</v>
      </c>
      <c r="X91" s="54" t="e">
        <f ca="1">IF(  OR(   _xll.BDP($D91,"NXT_CPN_DT")="#N/A N/A", _xll.BDP($D91,"NXT_CPN_DT")="#N/A Field Not Applicable"),"",_xll.BDP($D91,"NXT_CPN_DT"))</f>
        <v>#NAME?</v>
      </c>
      <c r="Y91" s="55"/>
    </row>
    <row r="92" spans="1:25" s="62" customFormat="1" ht="15" customHeight="1" x14ac:dyDescent="0.25">
      <c r="B92" s="43" t="str">
        <f>IF(LEFT(C92,2) = "RU", VLOOKUP(C92,MICEX!$A$2:$D$1554,4,FALSE),VLOOKUP(C92,Instruments!B:C,2,FALSE))</f>
        <v>Bonds of Turkiye Halk Bankasi A.S., 5%, 13/07/2021, XS1439838548</v>
      </c>
      <c r="C92" s="43" t="str">
        <f>VLOOKUP(D92,Securities!B:C,2,FALSE)</f>
        <v>XS1439838548</v>
      </c>
      <c r="D92" s="64" t="s">
        <v>7086</v>
      </c>
      <c r="E92" s="12" t="e">
        <f t="shared" ca="1" si="14"/>
        <v>#NAME?</v>
      </c>
      <c r="F92" s="40">
        <f>SUMIFS(positions!$E:$E,positions!$D:$D,C92,positions!B:B,$E$2)</f>
        <v>480000</v>
      </c>
      <c r="G92" s="40">
        <f t="shared" si="15"/>
        <v>-469599.99839999998</v>
      </c>
      <c r="H92" s="53" t="e">
        <f ca="1">IF(M92="RUB",SUMIFS(positions!G:G,positions!B:B,$E$2,positions!D:D,C92),SUMIFS(positions!H:H,positions!B:B,$E$2,positions!D:D,C92))</f>
        <v>#NAME?</v>
      </c>
      <c r="I92" s="51" t="e">
        <f ca="1">IF(_xll.BDP(D92,"PX_LAST")="#N/A N/A",100,_xll.BDP(D92,"PX_LAST"))</f>
        <v>#NAME?</v>
      </c>
      <c r="J92" s="14" t="e">
        <f ca="1">IF( _xll.BDP($D92,"DUR_MID") = "#N/A N/A", 0,  _xll.BDP($D92,"DUR_MID") )</f>
        <v>#NAME?</v>
      </c>
      <c r="K92" s="12" t="e">
        <f ca="1">IF( OR( _xll.BDP($D92,"YLD_CNV_MID")="#N/A Field Not Applicable",_xll.BDP($D92,"YLD_CNV_MID")= "#N/A N/A"), 0, _xll.BDP($D92,"YLD_CNV_MID")/100)</f>
        <v>#NAME?</v>
      </c>
      <c r="L92" s="14"/>
      <c r="M92" s="16" t="e">
        <f ca="1">_xll.BDP(D92,"Currency")</f>
        <v>#NAME?</v>
      </c>
      <c r="N92" s="12" t="e">
        <f t="shared" ca="1" si="16"/>
        <v>#NAME?</v>
      </c>
      <c r="O92" s="12" t="e">
        <f t="shared" ca="1" si="17"/>
        <v>#NAME?</v>
      </c>
      <c r="P92" s="40" t="e">
        <f ca="1">SUMIFS(positions!H:H,positions!B:B,$E$2,positions!D:D,C92)*F92%*$R$3</f>
        <v>#NAME?</v>
      </c>
      <c r="Q92" s="40">
        <f>SUMIFS(positions!H:H,positions!B:B,$E$2,positions!D:D,C92)*F92%</f>
        <v>469599.99839999998</v>
      </c>
      <c r="R92" s="40" t="e">
        <f ca="1">F92*I92/IF(M92="RUB",0.001,_xll.BDP( CONCATENATE("RUB",UPPER(M92)," Curncy"), "PX_LAST"))/IF(M92="GBp",100,1)*0.01</f>
        <v>#NAME?</v>
      </c>
      <c r="S92" s="40" t="e">
        <f ca="1">F92*I92/IF(M92="USD",1,_xll.BDP( CONCATENATE("USD",UPPER(M92)," Curncy"), "PX_LAST"))/IF(M92="GBp",100,1)*IF(M92="RUB",10,0.01)</f>
        <v>#NAME?</v>
      </c>
      <c r="T92" s="40" t="e">
        <f t="shared" ca="1" si="18"/>
        <v>#NAME?</v>
      </c>
      <c r="U92" s="40" t="e">
        <f t="shared" ca="1" si="19"/>
        <v>#NAME?</v>
      </c>
      <c r="V92" s="41" t="e">
        <f ca="1">IF( OR(  _xll.BDP($D92,"EQY_DVD_YLD_EST")="#N/A Field Not Applicable", _xll.BDP($D92,"EQY_DVD_YLD_EST")="#N/A N/A"),IF(   OR(  _xll.BDP(D92,"YLD_CNV_MID")="#N/A Field Not Applicable", _xll.BDP(D92,"YLD_CNV_MID")="#N/A N/A"), 0,_xll.BDP(D92,"YLD_CNV_MID")),_xll.BDP($D92,"EQY_DVD_YLD_EST"))</f>
        <v>#NAME?</v>
      </c>
      <c r="W92" s="40" t="e">
        <f ca="1">F92*IF(_xll.BDP(D92,"PX_DIRTY_MID")="#N/A N/A",100,_xll.BDP(D92,"PX_DIRTY_MID"))/IF(M92="USD",1,_xll.BDP( CONCATENATE("USD",UPPER(M92)," Curncy"), "PX_LAST"))/IF(M92="GBp",100,1)*IF(M92="RUB",10,0.01)</f>
        <v>#NAME?</v>
      </c>
      <c r="X92" s="54" t="e">
        <f ca="1">IF(  OR(   _xll.BDP($D92,"NXT_CPN_DT")="#N/A N/A", _xll.BDP($D92,"NXT_CPN_DT")="#N/A Field Not Applicable"),"",_xll.BDP($D92,"NXT_CPN_DT"))</f>
        <v>#NAME?</v>
      </c>
      <c r="Y92" s="55"/>
    </row>
    <row r="93" spans="1:25" s="62" customFormat="1" ht="15" customHeight="1" x14ac:dyDescent="0.25">
      <c r="B93" s="43" t="str">
        <f>IF(LEFT(C93,2) = "RU", VLOOKUP(C93,MICEX!$A$2:$D$1554,4,FALSE),VLOOKUP(C93,Instruments!B:C,2,FALSE))</f>
        <v>Bonds of JBS INVESTMENTS GMBH, 7.75%, 28/10/2020, USA29866AA70</v>
      </c>
      <c r="C93" s="43" t="str">
        <f>VLOOKUP(D93,Securities!B:C,2,FALSE)</f>
        <v>USA29866AA70</v>
      </c>
      <c r="D93" s="64" t="s">
        <v>7084</v>
      </c>
      <c r="E93" s="12" t="e">
        <f t="shared" ca="1" si="14"/>
        <v>#NAME?</v>
      </c>
      <c r="F93" s="40">
        <f>SUMIFS(positions!$E:$E,positions!$D:$D,C93,positions!B:B,$E$2)</f>
        <v>200000</v>
      </c>
      <c r="G93" s="40">
        <f t="shared" si="15"/>
        <v>-208500</v>
      </c>
      <c r="H93" s="53" t="e">
        <f ca="1">IF(M93="RUB",SUMIFS(positions!G:G,positions!B:B,$E$2,positions!D:D,C93),SUMIFS(positions!H:H,positions!B:B,$E$2,positions!D:D,C93))</f>
        <v>#NAME?</v>
      </c>
      <c r="I93" s="51" t="e">
        <f ca="1">IF(_xll.BDP(D93,"PX_LAST")="#N/A N/A",100,_xll.BDP(D93,"PX_LAST"))</f>
        <v>#NAME?</v>
      </c>
      <c r="J93" s="14" t="e">
        <f ca="1">IF( _xll.BDP($D93,"DUR_MID") = "#N/A N/A", 0,  _xll.BDP($D93,"DUR_MID") )</f>
        <v>#NAME?</v>
      </c>
      <c r="K93" s="12" t="e">
        <f ca="1">IF( OR( _xll.BDP($D93,"YLD_CNV_MID")="#N/A Field Not Applicable",_xll.BDP($D93,"YLD_CNV_MID")= "#N/A N/A"), 0, _xll.BDP($D93,"YLD_CNV_MID")/100)</f>
        <v>#NAME?</v>
      </c>
      <c r="L93" s="14"/>
      <c r="M93" s="16" t="e">
        <f ca="1">_xll.BDP(D93,"Currency")</f>
        <v>#NAME?</v>
      </c>
      <c r="N93" s="12" t="e">
        <f t="shared" ca="1" si="16"/>
        <v>#NAME?</v>
      </c>
      <c r="O93" s="12" t="e">
        <f t="shared" ca="1" si="17"/>
        <v>#NAME?</v>
      </c>
      <c r="P93" s="40" t="e">
        <f ca="1">SUMIFS(positions!H:H,positions!B:B,$E$2,positions!D:D,C93)*F93%*$R$3</f>
        <v>#NAME?</v>
      </c>
      <c r="Q93" s="40">
        <f>SUMIFS(positions!H:H,positions!B:B,$E$2,positions!D:D,C93)*F93%</f>
        <v>208500</v>
      </c>
      <c r="R93" s="40" t="e">
        <f ca="1">F93*I93/IF(M93="RUB",0.001,_xll.BDP( CONCATENATE("RUB",UPPER(M93)," Curncy"), "PX_LAST"))/IF(M93="GBp",100,1)*0.01</f>
        <v>#NAME?</v>
      </c>
      <c r="S93" s="40" t="e">
        <f ca="1">F93*I93/IF(M93="USD",1,_xll.BDP( CONCATENATE("USD",UPPER(M93)," Curncy"), "PX_LAST"))/IF(M93="GBp",100,1)*IF(M93="RUB",10,0.01)</f>
        <v>#NAME?</v>
      </c>
      <c r="T93" s="40" t="e">
        <f t="shared" ca="1" si="18"/>
        <v>#NAME?</v>
      </c>
      <c r="U93" s="40" t="e">
        <f t="shared" ca="1" si="19"/>
        <v>#NAME?</v>
      </c>
      <c r="V93" s="41" t="e">
        <f ca="1">IF( OR(  _xll.BDP($D93,"EQY_DVD_YLD_EST")="#N/A Field Not Applicable", _xll.BDP($D93,"EQY_DVD_YLD_EST")="#N/A N/A"),IF(   OR(  _xll.BDP(D93,"YLD_CNV_MID")="#N/A Field Not Applicable", _xll.BDP(D93,"YLD_CNV_MID")="#N/A N/A"), 0,_xll.BDP(D93,"YLD_CNV_MID")),_xll.BDP($D93,"EQY_DVD_YLD_EST"))</f>
        <v>#NAME?</v>
      </c>
      <c r="W93" s="40" t="e">
        <f ca="1">F93*IF(_xll.BDP(D93,"PX_DIRTY_MID")="#N/A N/A",100,_xll.BDP(D93,"PX_DIRTY_MID"))/IF(M93="USD",1,_xll.BDP( CONCATENATE("USD",UPPER(M93)," Curncy"), "PX_LAST"))/IF(M93="GBp",100,1)*IF(M93="RUB",10,0.01)</f>
        <v>#NAME?</v>
      </c>
      <c r="X93" s="54" t="e">
        <f ca="1">IF(  OR(   _xll.BDP($D93,"NXT_CPN_DT")="#N/A N/A", _xll.BDP($D93,"NXT_CPN_DT")="#N/A Field Not Applicable"),"",_xll.BDP($D93,"NXT_CPN_DT"))</f>
        <v>#NAME?</v>
      </c>
      <c r="Y93" s="55"/>
    </row>
    <row r="94" spans="1:25" s="62" customFormat="1" ht="15" customHeight="1" x14ac:dyDescent="0.25">
      <c r="B94" s="43" t="str">
        <f>IF(LEFT(C94,2) = "RU", VLOOKUP(C94,MICEX!$A$2:$D$1554,4,FALSE),VLOOKUP(C94,Instruments!B:C,2,FALSE))</f>
        <v>Eurobonds of Marfrig holding Europe B.V., 8,0%, 08/06/2023, USN54468AF52</v>
      </c>
      <c r="C94" s="43" t="str">
        <f>VLOOKUP(D94,Securities!B:C,2,FALSE)</f>
        <v>USN54468AF52</v>
      </c>
      <c r="D94" s="64" t="s">
        <v>6668</v>
      </c>
      <c r="E94" s="12" t="e">
        <f t="shared" ca="1" si="14"/>
        <v>#NAME?</v>
      </c>
      <c r="F94" s="40">
        <f>SUMIFS(positions!$E:$E,positions!$D:$D,C94,positions!B:B,$E$2)</f>
        <v>200000</v>
      </c>
      <c r="G94" s="40">
        <f t="shared" si="15"/>
        <v>-208200</v>
      </c>
      <c r="H94" s="53" t="e">
        <f ca="1">IF(M94="RUB",SUMIFS(positions!G:G,positions!B:B,$E$2,positions!D:D,C94),SUMIFS(positions!H:H,positions!B:B,$E$2,positions!D:D,C94))</f>
        <v>#NAME?</v>
      </c>
      <c r="I94" s="51" t="e">
        <f ca="1">IF(_xll.BDP(D94,"PX_LAST")="#N/A N/A",100,_xll.BDP(D94,"PX_LAST"))</f>
        <v>#NAME?</v>
      </c>
      <c r="J94" s="14" t="e">
        <f ca="1">IF( _xll.BDP($D94,"DUR_MID") = "#N/A N/A", 0,  _xll.BDP($D94,"DUR_MID") )</f>
        <v>#NAME?</v>
      </c>
      <c r="K94" s="12" t="e">
        <f ca="1">IF( OR( _xll.BDP($D94,"YLD_CNV_MID")="#N/A Field Not Applicable",_xll.BDP($D94,"YLD_CNV_MID")= "#N/A N/A"), 0, _xll.BDP($D94,"YLD_CNV_MID")/100)</f>
        <v>#NAME?</v>
      </c>
      <c r="L94" s="14"/>
      <c r="M94" s="16" t="e">
        <f ca="1">_xll.BDP(D94,"Currency")</f>
        <v>#NAME?</v>
      </c>
      <c r="N94" s="12" t="e">
        <f t="shared" ca="1" si="16"/>
        <v>#NAME?</v>
      </c>
      <c r="O94" s="12" t="e">
        <f t="shared" ca="1" si="17"/>
        <v>#NAME?</v>
      </c>
      <c r="P94" s="40" t="e">
        <f ca="1">SUMIFS(positions!H:H,positions!B:B,$E$2,positions!D:D,C94)*F94%*$R$3</f>
        <v>#NAME?</v>
      </c>
      <c r="Q94" s="40">
        <f>SUMIFS(positions!H:H,positions!B:B,$E$2,positions!D:D,C94)*F94%</f>
        <v>208200</v>
      </c>
      <c r="R94" s="40" t="e">
        <f ca="1">F94*I94/IF(M94="RUB",0.001,_xll.BDP( CONCATENATE("RUB",UPPER(M94)," Curncy"), "PX_LAST"))/IF(M94="GBp",100,1)*0.01</f>
        <v>#NAME?</v>
      </c>
      <c r="S94" s="40" t="e">
        <f ca="1">F94*I94/IF(M94="USD",1,_xll.BDP( CONCATENATE("USD",UPPER(M94)," Curncy"), "PX_LAST"))/IF(M94="GBp",100,1)*IF(M94="RUB",10,0.01)</f>
        <v>#NAME?</v>
      </c>
      <c r="T94" s="40" t="e">
        <f t="shared" ca="1" si="18"/>
        <v>#NAME?</v>
      </c>
      <c r="U94" s="40" t="e">
        <f t="shared" ca="1" si="19"/>
        <v>#NAME?</v>
      </c>
      <c r="V94" s="41" t="e">
        <f ca="1">IF( OR(  _xll.BDP($D94,"EQY_DVD_YLD_EST")="#N/A Field Not Applicable", _xll.BDP($D94,"EQY_DVD_YLD_EST")="#N/A N/A"),IF(   OR(  _xll.BDP(D94,"YLD_CNV_MID")="#N/A Field Not Applicable", _xll.BDP(D94,"YLD_CNV_MID")="#N/A N/A"), 0,_xll.BDP(D94,"YLD_CNV_MID")),_xll.BDP($D94,"EQY_DVD_YLD_EST"))</f>
        <v>#NAME?</v>
      </c>
      <c r="W94" s="40" t="e">
        <f ca="1">F94*IF(_xll.BDP(D94,"PX_DIRTY_MID")="#N/A N/A",100,_xll.BDP(D94,"PX_DIRTY_MID"))/IF(M94="USD",1,_xll.BDP( CONCATENATE("USD",UPPER(M94)," Curncy"), "PX_LAST"))/IF(M94="GBp",100,1)*IF(M94="RUB",10,0.01)</f>
        <v>#NAME?</v>
      </c>
      <c r="X94" s="54" t="e">
        <f ca="1">IF(  OR(   _xll.BDP($D94,"NXT_CPN_DT")="#N/A N/A", _xll.BDP($D94,"NXT_CPN_DT")="#N/A Field Not Applicable"),"",_xll.BDP($D94,"NXT_CPN_DT"))</f>
        <v>#NAME?</v>
      </c>
      <c r="Y94" s="55"/>
    </row>
    <row r="95" spans="1:25" s="17" customFormat="1" ht="15" customHeight="1" x14ac:dyDescent="0.25">
      <c r="B95" s="43" t="str">
        <f>IF(LEFT(C95,2) = "RU", VLOOKUP(C95,MICEX!$A$2:$D$1554,4,FALSE),VLOOKUP(C95,Instruments!B:C,2,FALSE))</f>
        <v>Bonds of Noble Holding International Ltd, 4%, 16/03/2018, US65504LAM90</v>
      </c>
      <c r="C95" s="43" t="str">
        <f>VLOOKUP(D95,Securities!B:C,2,FALSE)</f>
        <v>US65504LAM90</v>
      </c>
      <c r="D95" s="5" t="s">
        <v>6422</v>
      </c>
      <c r="E95" s="12" t="e">
        <f t="shared" ca="1" si="14"/>
        <v>#NAME?</v>
      </c>
      <c r="F95" s="40">
        <f>SUMIFS(positions!$E:$E,positions!$D:$D,C95,positions!B:B,$E$2)</f>
        <v>50000</v>
      </c>
      <c r="G95" s="40">
        <f t="shared" si="15"/>
        <v>-49125</v>
      </c>
      <c r="H95" s="53" t="e">
        <f ca="1">IF(M95="RUB",SUMIFS(positions!G:G,positions!B:B,$E$2,positions!D:D,C95),SUMIFS(positions!H:H,positions!B:B,$E$2,positions!D:D,C95))</f>
        <v>#NAME?</v>
      </c>
      <c r="I95" s="51" t="e">
        <f ca="1">IF(_xll.BDP(D95,"PX_LAST")="#N/A N/A",100,_xll.BDP(D95,"PX_LAST"))</f>
        <v>#NAME?</v>
      </c>
      <c r="J95" s="14" t="e">
        <f ca="1">IF( _xll.BDP($D95,"DUR_MID") = "#N/A N/A", 0,  _xll.BDP($D95,"DUR_MID") )</f>
        <v>#NAME?</v>
      </c>
      <c r="K95" s="12" t="e">
        <f ca="1">IF( OR( _xll.BDP($D95,"YLD_CNV_MID")="#N/A Field Not Applicable",_xll.BDP($D95,"YLD_CNV_MID")= "#N/A N/A"), 0, _xll.BDP($D95,"YLD_CNV_MID")/100)</f>
        <v>#NAME?</v>
      </c>
      <c r="L95" s="14"/>
      <c r="M95" s="16" t="e">
        <f ca="1">_xll.BDP(D95,"Currency")</f>
        <v>#NAME?</v>
      </c>
      <c r="N95" s="12" t="e">
        <f t="shared" ca="1" si="16"/>
        <v>#NAME?</v>
      </c>
      <c r="O95" s="12" t="e">
        <f t="shared" ca="1" si="17"/>
        <v>#NAME?</v>
      </c>
      <c r="P95" s="40" t="e">
        <f ca="1">SUMIFS(positions!H:H,positions!B:B,$E$2,positions!D:D,C95)*F95%*$R$3</f>
        <v>#NAME?</v>
      </c>
      <c r="Q95" s="40">
        <f>SUMIFS(positions!H:H,positions!B:B,$E$2,positions!D:D,C95)*F95%</f>
        <v>49125</v>
      </c>
      <c r="R95" s="40" t="e">
        <f ca="1">F95*I95/IF(M95="RUB",0.001,_xll.BDP( CONCATENATE("RUB",UPPER(M95)," Curncy"), "PX_LAST"))/IF(M95="GBp",100,1)*0.01</f>
        <v>#NAME?</v>
      </c>
      <c r="S95" s="40" t="e">
        <f ca="1">F95*I95/IF(M95="USD",1,_xll.BDP( CONCATENATE("USD",UPPER(M95)," Curncy"), "PX_LAST"))/IF(M95="GBp",100,1)*IF(M95="RUB",10,0.01)</f>
        <v>#NAME?</v>
      </c>
      <c r="T95" s="40" t="e">
        <f t="shared" ca="1" si="18"/>
        <v>#NAME?</v>
      </c>
      <c r="U95" s="40" t="e">
        <f t="shared" ca="1" si="19"/>
        <v>#NAME?</v>
      </c>
      <c r="V95" s="41" t="e">
        <f ca="1">IF( OR(  _xll.BDP($D95,"EQY_DVD_YLD_EST")="#N/A Field Not Applicable", _xll.BDP($D95,"EQY_DVD_YLD_EST")="#N/A N/A"),IF(   OR(  _xll.BDP(D95,"YLD_CNV_MID")="#N/A Field Not Applicable", _xll.BDP(D95,"YLD_CNV_MID")="#N/A N/A"), 0,_xll.BDP(D95,"YLD_CNV_MID")),_xll.BDP($D95,"EQY_DVD_YLD_EST"))</f>
        <v>#NAME?</v>
      </c>
      <c r="W95" s="40" t="e">
        <f ca="1">F95*IF(_xll.BDP(D95,"PX_DIRTY_MID")="#N/A N/A",100,_xll.BDP(D95,"PX_DIRTY_MID"))/IF(M95="USD",1,_xll.BDP( CONCATENATE("USD",UPPER(M95)," Curncy"), "PX_LAST"))/IF(M95="GBp",100,1)*IF(M95="RUB",10,0.01)</f>
        <v>#NAME?</v>
      </c>
      <c r="X95" s="54" t="e">
        <f ca="1">IF(  OR(   _xll.BDP($D95,"NXT_CPN_DT")="#N/A N/A", _xll.BDP($D95,"NXT_CPN_DT")="#N/A Field Not Applicable"),"",_xll.BDP($D95,"NXT_CPN_DT"))</f>
        <v>#NAME?</v>
      </c>
      <c r="Y95" s="55"/>
    </row>
    <row r="96" spans="1:25" s="17" customFormat="1" ht="15" customHeight="1" x14ac:dyDescent="0.25">
      <c r="B96" s="43" t="str">
        <f>IF(LEFT(C96,2) = "RU", VLOOKUP(C96,MICEX!$A$2:$D$1554,4,FALSE),VLOOKUP(C96,Instruments!B:C,2,FALSE))</f>
        <v>Bonds of OFCB Capital PLC., 10%, 26/04/2019, XS0776121062</v>
      </c>
      <c r="C96" s="43" t="str">
        <f>VLOOKUP(D96,Securities!B:C,2,FALSE)</f>
        <v>XS0776121062</v>
      </c>
      <c r="D96" s="5" t="s">
        <v>6361</v>
      </c>
      <c r="E96" s="12" t="e">
        <f t="shared" ca="1" si="14"/>
        <v>#NAME?</v>
      </c>
      <c r="F96" s="40">
        <f>SUMIFS(positions!$E:$E,positions!$D:$D,C96,positions!B:B,$E$2)</f>
        <v>200000</v>
      </c>
      <c r="G96" s="40">
        <f t="shared" si="15"/>
        <v>-214000</v>
      </c>
      <c r="H96" s="53" t="e">
        <f ca="1">IF(M96="RUB",SUMIFS(positions!G:G,positions!B:B,$E$2,positions!D:D,C96),SUMIFS(positions!H:H,positions!B:B,$E$2,positions!D:D,C96))</f>
        <v>#NAME?</v>
      </c>
      <c r="I96" s="51" t="e">
        <f ca="1">IF(_xll.BDP(D96,"PX_LAST")="#N/A N/A",100,_xll.BDP(D96,"PX_LAST"))</f>
        <v>#NAME?</v>
      </c>
      <c r="J96" s="14" t="e">
        <f ca="1">IF( _xll.BDP($D96,"DUR_MID") = "#N/A N/A", 0,  _xll.BDP($D96,"DUR_MID") )</f>
        <v>#NAME?</v>
      </c>
      <c r="K96" s="12" t="e">
        <f ca="1">IF( OR( _xll.BDP($D96,"YLD_CNV_MID")="#N/A Field Not Applicable",_xll.BDP($D96,"YLD_CNV_MID")= "#N/A N/A"), 0, _xll.BDP($D96,"YLD_CNV_MID")/100)</f>
        <v>#NAME?</v>
      </c>
      <c r="L96" s="14"/>
      <c r="M96" s="16" t="e">
        <f ca="1">_xll.BDP(D96,"Currency")</f>
        <v>#NAME?</v>
      </c>
      <c r="N96" s="12" t="e">
        <f t="shared" ca="1" si="16"/>
        <v>#NAME?</v>
      </c>
      <c r="O96" s="12" t="e">
        <f t="shared" ca="1" si="17"/>
        <v>#NAME?</v>
      </c>
      <c r="P96" s="40" t="e">
        <f ca="1">SUMIFS(positions!H:H,positions!B:B,$E$2,positions!D:D,C96)*F96%*$R$3</f>
        <v>#NAME?</v>
      </c>
      <c r="Q96" s="40">
        <f>SUMIFS(positions!H:H,positions!B:B,$E$2,positions!D:D,C96)*F96%</f>
        <v>214000</v>
      </c>
      <c r="R96" s="40" t="e">
        <f ca="1">F96*I96/IF(M96="RUB",0.001,_xll.BDP( CONCATENATE("RUB",UPPER(M96)," Curncy"), "PX_LAST"))/IF(M96="GBp",100,1)*0.01</f>
        <v>#NAME?</v>
      </c>
      <c r="S96" s="40" t="e">
        <f ca="1">F96*I96/IF(M96="USD",1,_xll.BDP( CONCATENATE("USD",UPPER(M96)," Curncy"), "PX_LAST"))/IF(M96="GBp",100,1)*IF(M96="RUB",10,0.01)</f>
        <v>#NAME?</v>
      </c>
      <c r="T96" s="40" t="e">
        <f t="shared" ca="1" si="18"/>
        <v>#NAME?</v>
      </c>
      <c r="U96" s="40" t="e">
        <f t="shared" ca="1" si="19"/>
        <v>#NAME?</v>
      </c>
      <c r="V96" s="41" t="e">
        <f ca="1">IF( OR(  _xll.BDP($D96,"EQY_DVD_YLD_EST")="#N/A Field Not Applicable", _xll.BDP($D96,"EQY_DVD_YLD_EST")="#N/A N/A"),IF(   OR(  _xll.BDP(D96,"YLD_CNV_MID")="#N/A Field Not Applicable", _xll.BDP(D96,"YLD_CNV_MID")="#N/A N/A"), 0,_xll.BDP(D96,"YLD_CNV_MID")),_xll.BDP($D96,"EQY_DVD_YLD_EST"))</f>
        <v>#NAME?</v>
      </c>
      <c r="W96" s="40" t="e">
        <f ca="1">F96*IF(_xll.BDP(D96,"PX_DIRTY_MID")="#N/A N/A",100,_xll.BDP(D96,"PX_DIRTY_MID"))/IF(M96="USD",1,_xll.BDP( CONCATENATE("USD",UPPER(M96)," Curncy"), "PX_LAST"))/IF(M96="GBp",100,1)*IF(M96="RUB",10,0.01)</f>
        <v>#NAME?</v>
      </c>
      <c r="X96" s="54" t="e">
        <f ca="1">IF(  OR(   _xll.BDP($D96,"NXT_CPN_DT")="#N/A N/A", _xll.BDP($D96,"NXT_CPN_DT")="#N/A Field Not Applicable"),"",_xll.BDP($D96,"NXT_CPN_DT"))</f>
        <v>#NAME?</v>
      </c>
      <c r="Y96" s="55"/>
    </row>
    <row r="97" spans="2:25" s="17" customFormat="1" ht="15" customHeight="1" x14ac:dyDescent="0.25">
      <c r="B97" s="43" t="str">
        <f>IF(LEFT(C97,2) = "RU", VLOOKUP(C97,MICEX!$A$2:$D$1554,4,FALSE),VLOOKUP(C97,Instruments!B:C,2,FALSE))</f>
        <v>Bonds of RSHB Capital S.A., 8.5%, 16/10/2023, XS0979891925</v>
      </c>
      <c r="C97" s="43" t="str">
        <f>VLOOKUP(D97,Securities!B:C,2,FALSE)</f>
        <v>XS0979891925</v>
      </c>
      <c r="D97" s="52" t="s">
        <v>6957</v>
      </c>
      <c r="E97" s="12" t="e">
        <f t="shared" ca="1" si="14"/>
        <v>#NAME?</v>
      </c>
      <c r="F97" s="40">
        <f>SUMIFS(positions!$E:$E,positions!$D:$D,C97,positions!B:B,$E$2)</f>
        <v>200000</v>
      </c>
      <c r="G97" s="40">
        <f t="shared" si="15"/>
        <v>-229000</v>
      </c>
      <c r="H97" s="53" t="e">
        <f ca="1">IF(M97="RUB",SUMIFS(positions!G:G,positions!B:B,$E$2,positions!D:D,C97),SUMIFS(positions!H:H,positions!B:B,$E$2,positions!D:D,C97))</f>
        <v>#NAME?</v>
      </c>
      <c r="I97" s="51" t="e">
        <f ca="1">IF(_xll.BDP(D97,"PX_LAST")="#N/A N/A",100,_xll.BDP(D97,"PX_LAST"))</f>
        <v>#NAME?</v>
      </c>
      <c r="J97" s="14" t="e">
        <f ca="1">IF( _xll.BDP($D97,"DUR_MID") = "#N/A N/A", 0,  _xll.BDP($D97,"DUR_MID") )</f>
        <v>#NAME?</v>
      </c>
      <c r="K97" s="12" t="e">
        <f ca="1">IF( OR( _xll.BDP($D97,"YLD_CNV_MID")="#N/A Field Not Applicable",_xll.BDP($D97,"YLD_CNV_MID")= "#N/A N/A"), 0, _xll.BDP($D97,"YLD_CNV_MID")/100)</f>
        <v>#NAME?</v>
      </c>
      <c r="L97" s="14"/>
      <c r="M97" s="16" t="e">
        <f ca="1">_xll.BDP(D97,"Currency")</f>
        <v>#NAME?</v>
      </c>
      <c r="N97" s="12" t="e">
        <f t="shared" ca="1" si="16"/>
        <v>#NAME?</v>
      </c>
      <c r="O97" s="12" t="e">
        <f t="shared" ca="1" si="17"/>
        <v>#NAME?</v>
      </c>
      <c r="P97" s="40" t="e">
        <f ca="1">SUMIFS(positions!H:H,positions!B:B,$E$2,positions!D:D,C97)*F97%*$R$3</f>
        <v>#NAME?</v>
      </c>
      <c r="Q97" s="40">
        <f>SUMIFS(positions!H:H,positions!B:B,$E$2,positions!D:D,C97)*F97%</f>
        <v>229000</v>
      </c>
      <c r="R97" s="40" t="e">
        <f ca="1">F97*I97/IF(M97="RUB",0.001,_xll.BDP( CONCATENATE("RUB",UPPER(M97)," Curncy"), "PX_LAST"))/IF(M97="GBp",100,1)*0.01</f>
        <v>#NAME?</v>
      </c>
      <c r="S97" s="40" t="e">
        <f ca="1">F97*I97/IF(M97="USD",1,_xll.BDP( CONCATENATE("USD",UPPER(M97)," Curncy"), "PX_LAST"))/IF(M97="GBp",100,1)*IF(M97="RUB",10,0.01)</f>
        <v>#NAME?</v>
      </c>
      <c r="T97" s="40" t="e">
        <f t="shared" ca="1" si="18"/>
        <v>#NAME?</v>
      </c>
      <c r="U97" s="40" t="e">
        <f t="shared" ca="1" si="19"/>
        <v>#NAME?</v>
      </c>
      <c r="V97" s="41" t="e">
        <f ca="1">IF( OR(  _xll.BDP($D97,"EQY_DVD_YLD_EST")="#N/A Field Not Applicable", _xll.BDP($D97,"EQY_DVD_YLD_EST")="#N/A N/A"),IF(   OR(  _xll.BDP(D97,"YLD_CNV_MID")="#N/A Field Not Applicable", _xll.BDP(D97,"YLD_CNV_MID")="#N/A N/A"), 0,_xll.BDP(D97,"YLD_CNV_MID")),_xll.BDP($D97,"EQY_DVD_YLD_EST"))</f>
        <v>#NAME?</v>
      </c>
      <c r="W97" s="40" t="e">
        <f ca="1">F97*IF(_xll.BDP(D97,"PX_DIRTY_MID")="#N/A N/A",100,_xll.BDP(D97,"PX_DIRTY_MID"))/IF(M97="USD",1,_xll.BDP( CONCATENATE("USD",UPPER(M97)," Curncy"), "PX_LAST"))/IF(M97="GBp",100,1)*IF(M97="RUB",10,0.01)</f>
        <v>#NAME?</v>
      </c>
      <c r="X97" s="54" t="e">
        <f ca="1">IF(  OR(   _xll.BDP($D97,"NXT_CPN_DT")="#N/A N/A", _xll.BDP($D97,"NXT_CPN_DT")="#N/A Field Not Applicable"),"",_xll.BDP($D97,"NXT_CPN_DT"))</f>
        <v>#NAME?</v>
      </c>
      <c r="Y97" s="55"/>
    </row>
    <row r="98" spans="2:25" s="17" customFormat="1" ht="15" customHeight="1" x14ac:dyDescent="0.25">
      <c r="B98" s="43" t="str">
        <f>IF(LEFT(C98,2) = "RU", VLOOKUP(C98,MICEX!$A$2:$D$1554,4,FALSE),VLOOKUP(C98,Instruments!B:C,2,FALSE))</f>
        <v>Bonds of Vedanta Resources Plc, 7.125%, 31/05/2023, USG9328DAJ93</v>
      </c>
      <c r="C98" s="43" t="str">
        <f>VLOOKUP(D98,Securities!B:C,2,FALSE)</f>
        <v>USG9328DAJ93</v>
      </c>
      <c r="D98" s="52" t="s">
        <v>6494</v>
      </c>
      <c r="E98" s="12" t="e">
        <f t="shared" ca="1" si="14"/>
        <v>#NAME?</v>
      </c>
      <c r="F98" s="40">
        <f>SUMIFS(positions!$E:$E,positions!$D:$D,C98,positions!B:B,$E$2)</f>
        <v>200000</v>
      </c>
      <c r="G98" s="40">
        <f t="shared" si="15"/>
        <v>-212800</v>
      </c>
      <c r="H98" s="53" t="e">
        <f ca="1">IF(M98="RUB",SUMIFS(positions!G:G,positions!B:B,$E$2,positions!D:D,C98),SUMIFS(positions!H:H,positions!B:B,$E$2,positions!D:D,C98))</f>
        <v>#NAME?</v>
      </c>
      <c r="I98" s="51" t="e">
        <f ca="1">IF(_xll.BDP(D98,"PX_LAST")="#N/A N/A",100,_xll.BDP(D98,"PX_LAST"))</f>
        <v>#NAME?</v>
      </c>
      <c r="J98" s="14" t="e">
        <f ca="1">IF( _xll.BDP($D98,"DUR_MID") = "#N/A N/A", 0,  _xll.BDP($D98,"DUR_MID") )</f>
        <v>#NAME?</v>
      </c>
      <c r="K98" s="12" t="e">
        <f ca="1">IF( OR( _xll.BDP($D98,"YLD_CNV_MID")="#N/A Field Not Applicable",_xll.BDP($D98,"YLD_CNV_MID")= "#N/A N/A"), 0, _xll.BDP($D98,"YLD_CNV_MID")/100)</f>
        <v>#NAME?</v>
      </c>
      <c r="L98" s="14"/>
      <c r="M98" s="16" t="e">
        <f ca="1">_xll.BDP(D98,"Currency")</f>
        <v>#NAME?</v>
      </c>
      <c r="N98" s="12" t="e">
        <f t="shared" ca="1" si="16"/>
        <v>#NAME?</v>
      </c>
      <c r="O98" s="12" t="e">
        <f t="shared" ca="1" si="17"/>
        <v>#NAME?</v>
      </c>
      <c r="P98" s="40" t="e">
        <f ca="1">SUMIFS(positions!H:H,positions!B:B,$E$2,positions!D:D,C98)*F98%*$R$3</f>
        <v>#NAME?</v>
      </c>
      <c r="Q98" s="40">
        <f>SUMIFS(positions!H:H,positions!B:B,$E$2,positions!D:D,C98)*F98%</f>
        <v>212800</v>
      </c>
      <c r="R98" s="40" t="e">
        <f ca="1">F98*I98/IF(M98="RUB",0.001,_xll.BDP( CONCATENATE("RUB",UPPER(M98)," Curncy"), "PX_LAST"))/IF(M98="GBp",100,1)*0.01</f>
        <v>#NAME?</v>
      </c>
      <c r="S98" s="40" t="e">
        <f ca="1">F98*I98/IF(M98="USD",1,_xll.BDP( CONCATENATE("USD",UPPER(M98)," Curncy"), "PX_LAST"))/IF(M98="GBp",100,1)*IF(M98="RUB",10,0.01)</f>
        <v>#NAME?</v>
      </c>
      <c r="T98" s="40" t="e">
        <f t="shared" ca="1" si="18"/>
        <v>#NAME?</v>
      </c>
      <c r="U98" s="40" t="e">
        <f t="shared" ca="1" si="19"/>
        <v>#NAME?</v>
      </c>
      <c r="V98" s="41" t="e">
        <f ca="1">IF( OR(  _xll.BDP($D98,"EQY_DVD_YLD_EST")="#N/A Field Not Applicable", _xll.BDP($D98,"EQY_DVD_YLD_EST")="#N/A N/A"),IF(   OR(  _xll.BDP(D98,"YLD_CNV_MID")="#N/A Field Not Applicable", _xll.BDP(D98,"YLD_CNV_MID")="#N/A N/A"), 0,_xll.BDP(D98,"YLD_CNV_MID")),_xll.BDP($D98,"EQY_DVD_YLD_EST"))</f>
        <v>#NAME?</v>
      </c>
      <c r="W98" s="40" t="e">
        <f ca="1">F98*IF(_xll.BDP(D98,"PX_DIRTY_MID")="#N/A N/A",100,_xll.BDP(D98,"PX_DIRTY_MID"))/IF(M98="USD",1,_xll.BDP( CONCATENATE("USD",UPPER(M98)," Curncy"), "PX_LAST"))/IF(M98="GBp",100,1)*IF(M98="RUB",10,0.01)</f>
        <v>#NAME?</v>
      </c>
      <c r="X98" s="54" t="e">
        <f ca="1">IF(  OR(   _xll.BDP($D98,"NXT_CPN_DT")="#N/A N/A", _xll.BDP($D98,"NXT_CPN_DT")="#N/A Field Not Applicable"),"",_xll.BDP($D98,"NXT_CPN_DT"))</f>
        <v>#NAME?</v>
      </c>
      <c r="Y98" s="55"/>
    </row>
    <row r="99" spans="2:25" s="17" customFormat="1" ht="15" hidden="1" customHeight="1" x14ac:dyDescent="0.25">
      <c r="B99" s="43"/>
      <c r="C99" s="43"/>
      <c r="D99" s="52"/>
      <c r="E99" s="12"/>
      <c r="F99" s="40"/>
      <c r="G99" s="40"/>
      <c r="H99" s="53"/>
      <c r="I99" s="51"/>
      <c r="J99" s="14"/>
      <c r="K99" s="12"/>
      <c r="L99" s="14"/>
      <c r="M99" s="16"/>
      <c r="N99" s="12"/>
      <c r="O99" s="12"/>
      <c r="P99" s="40"/>
      <c r="Q99" s="40"/>
      <c r="R99" s="40"/>
      <c r="S99" s="40"/>
      <c r="T99" s="40"/>
      <c r="U99" s="40"/>
      <c r="V99" s="41"/>
      <c r="W99" s="40"/>
      <c r="X99" s="54"/>
      <c r="Y99" s="55"/>
    </row>
    <row r="100" spans="2:25" s="17" customFormat="1" ht="15" hidden="1" customHeight="1" x14ac:dyDescent="0.25">
      <c r="B100" s="43"/>
      <c r="C100" s="43"/>
      <c r="D100" s="52"/>
      <c r="E100" s="12"/>
      <c r="F100" s="40"/>
      <c r="G100" s="40"/>
      <c r="H100" s="53"/>
      <c r="I100" s="51"/>
      <c r="J100" s="14"/>
      <c r="K100" s="12"/>
      <c r="L100" s="14"/>
      <c r="M100" s="16"/>
      <c r="N100" s="12"/>
      <c r="O100" s="12"/>
      <c r="P100" s="40"/>
      <c r="Q100" s="40"/>
      <c r="R100" s="40"/>
      <c r="S100" s="40"/>
      <c r="T100" s="40"/>
      <c r="U100" s="40"/>
      <c r="V100" s="41"/>
      <c r="W100" s="40"/>
      <c r="X100" s="54"/>
      <c r="Y100" s="55"/>
    </row>
    <row r="101" spans="2:25" s="17" customFormat="1" ht="15" hidden="1" customHeight="1" x14ac:dyDescent="0.25">
      <c r="B101" s="43"/>
      <c r="C101" s="43"/>
      <c r="D101" s="52"/>
      <c r="E101" s="12"/>
      <c r="F101" s="40"/>
      <c r="G101" s="40"/>
      <c r="H101" s="53"/>
      <c r="I101" s="51"/>
      <c r="J101" s="14"/>
      <c r="K101" s="12"/>
      <c r="L101" s="14"/>
      <c r="M101" s="16"/>
      <c r="N101" s="12"/>
      <c r="O101" s="12"/>
      <c r="P101" s="40"/>
      <c r="Q101" s="40"/>
      <c r="R101" s="40"/>
      <c r="S101" s="40"/>
      <c r="T101" s="40"/>
      <c r="U101" s="40"/>
      <c r="V101" s="41"/>
      <c r="W101" s="40"/>
      <c r="X101" s="54"/>
      <c r="Y101" s="55"/>
    </row>
    <row r="102" spans="2:25" s="17" customFormat="1" ht="15" hidden="1" customHeight="1" x14ac:dyDescent="0.25">
      <c r="B102" s="43"/>
      <c r="C102" s="43"/>
      <c r="D102" s="52"/>
      <c r="E102" s="12"/>
      <c r="F102" s="40"/>
      <c r="G102" s="40"/>
      <c r="H102" s="53"/>
      <c r="I102" s="51"/>
      <c r="J102" s="14"/>
      <c r="K102" s="12"/>
      <c r="L102" s="14"/>
      <c r="M102" s="16"/>
      <c r="N102" s="12"/>
      <c r="O102" s="12"/>
      <c r="P102" s="40"/>
      <c r="Q102" s="40"/>
      <c r="R102" s="40"/>
      <c r="S102" s="40"/>
      <c r="T102" s="40"/>
      <c r="U102" s="40"/>
      <c r="V102" s="41"/>
      <c r="W102" s="40"/>
      <c r="X102" s="54"/>
      <c r="Y102" s="55"/>
    </row>
    <row r="103" spans="2:25" s="17" customFormat="1" ht="15" hidden="1" customHeight="1" x14ac:dyDescent="0.25">
      <c r="B103" s="43"/>
      <c r="C103" s="43"/>
      <c r="D103" s="5"/>
      <c r="E103" s="12"/>
      <c r="F103" s="40"/>
      <c r="G103" s="40"/>
      <c r="H103" s="53"/>
      <c r="I103" s="51"/>
      <c r="J103" s="14"/>
      <c r="K103" s="12"/>
      <c r="L103" s="14"/>
      <c r="M103" s="16"/>
      <c r="N103" s="12"/>
      <c r="O103" s="12"/>
      <c r="P103" s="40"/>
      <c r="Q103" s="40"/>
      <c r="R103" s="40"/>
      <c r="S103" s="40"/>
      <c r="T103" s="40"/>
      <c r="U103" s="40"/>
      <c r="V103" s="41"/>
      <c r="W103" s="40"/>
      <c r="X103" s="54"/>
      <c r="Y103" s="55"/>
    </row>
    <row r="104" spans="2:25" s="17" customFormat="1" ht="15" hidden="1" customHeight="1" x14ac:dyDescent="0.25">
      <c r="B104" s="43"/>
      <c r="C104" s="43"/>
      <c r="D104" s="5"/>
      <c r="E104" s="12"/>
      <c r="F104" s="40"/>
      <c r="G104" s="40"/>
      <c r="H104" s="53"/>
      <c r="I104" s="51"/>
      <c r="J104" s="14"/>
      <c r="K104" s="12"/>
      <c r="L104" s="14"/>
      <c r="M104" s="16"/>
      <c r="N104" s="12"/>
      <c r="O104" s="12"/>
      <c r="P104" s="40"/>
      <c r="Q104" s="40"/>
      <c r="R104" s="40"/>
      <c r="S104" s="40"/>
      <c r="T104" s="40"/>
      <c r="U104" s="40"/>
      <c r="V104" s="41"/>
      <c r="W104" s="40"/>
      <c r="X104" s="54"/>
      <c r="Y104" s="55"/>
    </row>
    <row r="105" spans="2:25" s="17" customFormat="1" ht="15" hidden="1" customHeight="1" x14ac:dyDescent="0.25">
      <c r="B105" s="43"/>
      <c r="C105" s="43"/>
      <c r="D105" s="52"/>
      <c r="E105" s="12"/>
      <c r="F105" s="40"/>
      <c r="G105" s="40"/>
      <c r="H105" s="53"/>
      <c r="I105" s="51"/>
      <c r="J105" s="14"/>
      <c r="K105" s="12"/>
      <c r="L105" s="14"/>
      <c r="M105" s="16"/>
      <c r="N105" s="12"/>
      <c r="O105" s="12"/>
      <c r="P105" s="40"/>
      <c r="Q105" s="40"/>
      <c r="R105" s="40"/>
      <c r="S105" s="40"/>
      <c r="T105" s="40"/>
      <c r="U105" s="40"/>
      <c r="V105" s="41"/>
      <c r="W105" s="40"/>
      <c r="X105" s="54"/>
      <c r="Y105" s="55"/>
    </row>
    <row r="106" spans="2:25" s="17" customFormat="1" ht="15" hidden="1" customHeight="1" x14ac:dyDescent="0.25">
      <c r="B106" s="43"/>
      <c r="C106" s="43"/>
      <c r="D106" s="52"/>
      <c r="E106" s="12"/>
      <c r="F106" s="40"/>
      <c r="G106" s="40"/>
      <c r="H106" s="53"/>
      <c r="I106" s="51"/>
      <c r="J106" s="14"/>
      <c r="K106" s="12"/>
      <c r="L106" s="14"/>
      <c r="M106" s="16"/>
      <c r="N106" s="12"/>
      <c r="O106" s="12"/>
      <c r="P106" s="40"/>
      <c r="Q106" s="40"/>
      <c r="R106" s="40"/>
      <c r="S106" s="40"/>
      <c r="T106" s="40"/>
      <c r="U106" s="40"/>
      <c r="V106" s="41"/>
      <c r="W106" s="40"/>
      <c r="X106" s="54"/>
      <c r="Y106" s="55"/>
    </row>
    <row r="107" spans="2:25" s="17" customFormat="1" ht="15" hidden="1" customHeight="1" x14ac:dyDescent="0.25">
      <c r="B107" s="43"/>
      <c r="C107" s="43"/>
      <c r="D107" s="52"/>
      <c r="E107" s="12"/>
      <c r="F107" s="40"/>
      <c r="G107" s="40"/>
      <c r="H107" s="53"/>
      <c r="I107" s="51"/>
      <c r="J107" s="14"/>
      <c r="K107" s="12"/>
      <c r="L107" s="14"/>
      <c r="M107" s="16"/>
      <c r="N107" s="12"/>
      <c r="O107" s="12"/>
      <c r="P107" s="40"/>
      <c r="Q107" s="40"/>
      <c r="R107" s="40"/>
      <c r="S107" s="40"/>
      <c r="T107" s="40"/>
      <c r="U107" s="40"/>
      <c r="V107" s="41"/>
      <c r="W107" s="40"/>
      <c r="X107" s="54"/>
      <c r="Y107" s="55"/>
    </row>
    <row r="108" spans="2:25" s="17" customFormat="1" ht="15" hidden="1" customHeight="1" x14ac:dyDescent="0.25">
      <c r="B108" s="43"/>
      <c r="C108" s="43"/>
      <c r="D108" s="52"/>
      <c r="E108" s="12"/>
      <c r="F108" s="40"/>
      <c r="G108" s="40"/>
      <c r="H108" s="53"/>
      <c r="I108" s="51"/>
      <c r="J108" s="14"/>
      <c r="K108" s="12"/>
      <c r="L108" s="14"/>
      <c r="M108" s="16"/>
      <c r="N108" s="12"/>
      <c r="O108" s="12"/>
      <c r="P108" s="40"/>
      <c r="Q108" s="40"/>
      <c r="R108" s="40"/>
      <c r="S108" s="40"/>
      <c r="T108" s="40"/>
      <c r="U108" s="40"/>
      <c r="V108" s="41"/>
      <c r="W108" s="40"/>
      <c r="X108" s="54"/>
      <c r="Y108" s="55"/>
    </row>
    <row r="109" spans="2:25" s="17" customFormat="1" ht="15" hidden="1" customHeight="1" x14ac:dyDescent="0.25">
      <c r="B109" s="43"/>
      <c r="C109" s="43"/>
      <c r="D109" s="52"/>
      <c r="E109" s="12"/>
      <c r="F109" s="40"/>
      <c r="G109" s="40"/>
      <c r="H109" s="53"/>
      <c r="I109" s="51"/>
      <c r="J109" s="14"/>
      <c r="K109" s="12"/>
      <c r="L109" s="14"/>
      <c r="M109" s="16"/>
      <c r="N109" s="12"/>
      <c r="O109" s="12"/>
      <c r="P109" s="40"/>
      <c r="Q109" s="40"/>
      <c r="R109" s="40"/>
      <c r="S109" s="40"/>
      <c r="T109" s="40"/>
      <c r="U109" s="40"/>
      <c r="V109" s="41"/>
      <c r="W109" s="40"/>
      <c r="X109" s="54"/>
      <c r="Y109" s="55"/>
    </row>
    <row r="110" spans="2:25" s="17" customFormat="1" ht="15" hidden="1" customHeight="1" x14ac:dyDescent="0.25">
      <c r="B110" s="43"/>
      <c r="C110" s="43"/>
      <c r="D110" s="52"/>
      <c r="E110" s="12"/>
      <c r="F110" s="40"/>
      <c r="G110" s="40"/>
      <c r="H110" s="53"/>
      <c r="I110" s="51"/>
      <c r="J110" s="14"/>
      <c r="K110" s="12"/>
      <c r="L110" s="14"/>
      <c r="M110" s="16"/>
      <c r="N110" s="12"/>
      <c r="O110" s="12"/>
      <c r="P110" s="40"/>
      <c r="Q110" s="40"/>
      <c r="R110" s="40"/>
      <c r="S110" s="40"/>
      <c r="T110" s="40"/>
      <c r="U110" s="40"/>
      <c r="V110" s="41"/>
      <c r="W110" s="40"/>
      <c r="X110" s="54"/>
      <c r="Y110" s="55"/>
    </row>
    <row r="111" spans="2:25" s="17" customFormat="1" ht="15" hidden="1" customHeight="1" x14ac:dyDescent="0.25">
      <c r="B111" s="43"/>
      <c r="C111" s="43"/>
      <c r="D111" s="5"/>
      <c r="E111" s="12"/>
      <c r="F111" s="40"/>
      <c r="G111" s="40"/>
      <c r="H111" s="53"/>
      <c r="I111" s="51"/>
      <c r="J111" s="14"/>
      <c r="K111" s="12"/>
      <c r="L111" s="14"/>
      <c r="M111" s="16"/>
      <c r="N111" s="12"/>
      <c r="O111" s="12"/>
      <c r="P111" s="40"/>
      <c r="Q111" s="40"/>
      <c r="R111" s="40"/>
      <c r="S111" s="40"/>
      <c r="T111" s="40"/>
      <c r="U111" s="40"/>
      <c r="V111" s="41"/>
      <c r="W111" s="40"/>
      <c r="X111" s="54"/>
      <c r="Y111" s="55"/>
    </row>
    <row r="112" spans="2:25" s="17" customFormat="1" ht="15" hidden="1" customHeight="1" x14ac:dyDescent="0.25">
      <c r="B112" s="43"/>
      <c r="C112" s="43"/>
      <c r="D112" s="5"/>
      <c r="E112" s="12"/>
      <c r="F112" s="40"/>
      <c r="G112" s="40"/>
      <c r="H112" s="53"/>
      <c r="I112" s="51"/>
      <c r="J112" s="14"/>
      <c r="K112" s="12"/>
      <c r="L112" s="14"/>
      <c r="M112" s="16"/>
      <c r="N112" s="12"/>
      <c r="O112" s="12"/>
      <c r="P112" s="40"/>
      <c r="Q112" s="40"/>
      <c r="R112" s="40"/>
      <c r="S112" s="40"/>
      <c r="T112" s="40"/>
      <c r="U112" s="40"/>
      <c r="V112" s="41"/>
      <c r="W112" s="40"/>
      <c r="X112" s="54"/>
      <c r="Y112" s="55"/>
    </row>
    <row r="113" spans="2:25" s="17" customFormat="1" ht="15" hidden="1" customHeight="1" x14ac:dyDescent="0.25">
      <c r="B113" s="43"/>
      <c r="C113" s="43"/>
      <c r="D113" s="52"/>
      <c r="E113" s="12"/>
      <c r="F113" s="40"/>
      <c r="G113" s="40"/>
      <c r="H113" s="53"/>
      <c r="I113" s="51"/>
      <c r="J113" s="14"/>
      <c r="K113" s="12"/>
      <c r="L113" s="14"/>
      <c r="M113" s="16"/>
      <c r="N113" s="12"/>
      <c r="O113" s="12"/>
      <c r="P113" s="40"/>
      <c r="Q113" s="40"/>
      <c r="R113" s="40"/>
      <c r="S113" s="40"/>
      <c r="T113" s="40"/>
      <c r="U113" s="40"/>
      <c r="V113" s="41"/>
      <c r="W113" s="40"/>
      <c r="X113" s="54"/>
      <c r="Y113" s="55"/>
    </row>
    <row r="114" spans="2:25" s="17" customFormat="1" ht="15" hidden="1" customHeight="1" x14ac:dyDescent="0.25">
      <c r="B114" s="43"/>
      <c r="C114" s="43"/>
      <c r="D114" s="52"/>
      <c r="E114" s="12"/>
      <c r="F114" s="40"/>
      <c r="G114" s="40"/>
      <c r="H114" s="53"/>
      <c r="I114" s="51"/>
      <c r="J114" s="14"/>
      <c r="K114" s="12"/>
      <c r="L114" s="14"/>
      <c r="M114" s="16"/>
      <c r="N114" s="12"/>
      <c r="O114" s="12"/>
      <c r="P114" s="40"/>
      <c r="Q114" s="40"/>
      <c r="R114" s="40"/>
      <c r="S114" s="40"/>
      <c r="T114" s="40"/>
      <c r="U114" s="40"/>
      <c r="V114" s="41"/>
      <c r="W114" s="40"/>
      <c r="X114" s="54"/>
      <c r="Y114" s="55"/>
    </row>
    <row r="115" spans="2:25" s="17" customFormat="1" ht="15" hidden="1" customHeight="1" x14ac:dyDescent="0.25">
      <c r="B115" s="43"/>
      <c r="C115" s="43"/>
      <c r="D115" s="52"/>
      <c r="E115" s="12"/>
      <c r="F115" s="40"/>
      <c r="G115" s="40"/>
      <c r="H115" s="53"/>
      <c r="I115" s="51"/>
      <c r="J115" s="14"/>
      <c r="K115" s="12"/>
      <c r="L115" s="14"/>
      <c r="M115" s="16"/>
      <c r="N115" s="12"/>
      <c r="O115" s="12"/>
      <c r="P115" s="40"/>
      <c r="Q115" s="40"/>
      <c r="R115" s="40"/>
      <c r="S115" s="40"/>
      <c r="T115" s="40"/>
      <c r="U115" s="40"/>
      <c r="V115" s="41"/>
      <c r="W115" s="40"/>
      <c r="X115" s="54"/>
      <c r="Y115" s="55"/>
    </row>
    <row r="116" spans="2:25" s="17" customFormat="1" ht="15" hidden="1" customHeight="1" x14ac:dyDescent="0.25">
      <c r="B116" s="43"/>
      <c r="C116" s="43"/>
      <c r="D116" s="52"/>
      <c r="E116" s="12"/>
      <c r="F116" s="40"/>
      <c r="G116" s="40"/>
      <c r="H116" s="53"/>
      <c r="I116" s="51"/>
      <c r="J116" s="14"/>
      <c r="K116" s="12"/>
      <c r="L116" s="14"/>
      <c r="M116" s="16"/>
      <c r="N116" s="12"/>
      <c r="O116" s="12"/>
      <c r="P116" s="40"/>
      <c r="Q116" s="40"/>
      <c r="R116" s="40"/>
      <c r="S116" s="40"/>
      <c r="T116" s="40"/>
      <c r="U116" s="40"/>
      <c r="V116" s="41"/>
      <c r="W116" s="40"/>
      <c r="X116" s="54"/>
      <c r="Y116" s="55"/>
    </row>
    <row r="117" spans="2:25" s="17" customFormat="1" ht="15" hidden="1" customHeight="1" x14ac:dyDescent="0.25">
      <c r="B117" s="43"/>
      <c r="C117" s="43"/>
      <c r="D117" s="52"/>
      <c r="E117" s="12"/>
      <c r="F117" s="40"/>
      <c r="G117" s="40"/>
      <c r="H117" s="53"/>
      <c r="I117" s="51"/>
      <c r="J117" s="14"/>
      <c r="K117" s="12"/>
      <c r="L117" s="14"/>
      <c r="M117" s="16"/>
      <c r="N117" s="12"/>
      <c r="O117" s="12"/>
      <c r="P117" s="40"/>
      <c r="Q117" s="40"/>
      <c r="R117" s="40"/>
      <c r="S117" s="40"/>
      <c r="T117" s="40"/>
      <c r="U117" s="40"/>
      <c r="V117" s="41"/>
      <c r="W117" s="40"/>
      <c r="X117" s="54"/>
      <c r="Y117" s="55"/>
    </row>
    <row r="118" spans="2:25" s="17" customFormat="1" ht="15" hidden="1" customHeight="1" x14ac:dyDescent="0.25">
      <c r="B118" s="43"/>
      <c r="C118" s="43"/>
      <c r="D118" s="52"/>
      <c r="E118" s="12"/>
      <c r="F118" s="40"/>
      <c r="G118" s="40"/>
      <c r="H118" s="53"/>
      <c r="I118" s="51"/>
      <c r="J118" s="14"/>
      <c r="K118" s="12"/>
      <c r="L118" s="14"/>
      <c r="M118" s="16"/>
      <c r="N118" s="12"/>
      <c r="O118" s="12"/>
      <c r="P118" s="40"/>
      <c r="Q118" s="40"/>
      <c r="R118" s="40"/>
      <c r="S118" s="40"/>
      <c r="T118" s="40"/>
      <c r="U118" s="40"/>
      <c r="V118" s="41"/>
      <c r="W118" s="40"/>
      <c r="X118" s="54"/>
      <c r="Y118" s="55"/>
    </row>
    <row r="119" spans="2:25" s="17" customFormat="1" ht="15" hidden="1" customHeight="1" x14ac:dyDescent="0.25">
      <c r="B119" s="43"/>
      <c r="C119" s="43"/>
      <c r="D119" s="5"/>
      <c r="E119" s="12"/>
      <c r="F119" s="40"/>
      <c r="G119" s="40"/>
      <c r="H119" s="53"/>
      <c r="I119" s="51"/>
      <c r="J119" s="14"/>
      <c r="K119" s="12"/>
      <c r="L119" s="14"/>
      <c r="M119" s="16"/>
      <c r="N119" s="12"/>
      <c r="O119" s="12"/>
      <c r="P119" s="40"/>
      <c r="Q119" s="40"/>
      <c r="R119" s="40"/>
      <c r="S119" s="40"/>
      <c r="T119" s="40"/>
      <c r="U119" s="40"/>
      <c r="V119" s="41"/>
      <c r="W119" s="40"/>
      <c r="X119" s="54"/>
      <c r="Y119" s="55"/>
    </row>
    <row r="120" spans="2:25" s="17" customFormat="1" ht="15" hidden="1" customHeight="1" x14ac:dyDescent="0.25">
      <c r="B120" s="43"/>
      <c r="C120" s="43"/>
      <c r="D120" s="5"/>
      <c r="E120" s="12"/>
      <c r="F120" s="40"/>
      <c r="G120" s="40"/>
      <c r="H120" s="53"/>
      <c r="I120" s="51"/>
      <c r="J120" s="14"/>
      <c r="K120" s="12"/>
      <c r="L120" s="14"/>
      <c r="M120" s="16"/>
      <c r="N120" s="12"/>
      <c r="O120" s="12"/>
      <c r="P120" s="40"/>
      <c r="Q120" s="40"/>
      <c r="R120" s="40"/>
      <c r="S120" s="40"/>
      <c r="T120" s="40"/>
      <c r="U120" s="40"/>
      <c r="V120" s="41"/>
      <c r="W120" s="40"/>
      <c r="X120" s="54"/>
      <c r="Y120" s="55"/>
    </row>
    <row r="121" spans="2:25" s="17" customFormat="1" ht="15" hidden="1" customHeight="1" x14ac:dyDescent="0.25">
      <c r="B121" s="43"/>
      <c r="C121" s="43"/>
      <c r="D121" s="52"/>
      <c r="E121" s="12"/>
      <c r="F121" s="40"/>
      <c r="G121" s="40"/>
      <c r="H121" s="53"/>
      <c r="I121" s="51"/>
      <c r="J121" s="14"/>
      <c r="K121" s="12"/>
      <c r="L121" s="14"/>
      <c r="M121" s="16"/>
      <c r="N121" s="12"/>
      <c r="O121" s="12"/>
      <c r="P121" s="40"/>
      <c r="Q121" s="40"/>
      <c r="R121" s="40"/>
      <c r="S121" s="40"/>
      <c r="T121" s="40"/>
      <c r="U121" s="40"/>
      <c r="V121" s="41"/>
      <c r="W121" s="40"/>
      <c r="X121" s="54"/>
      <c r="Y121" s="55"/>
    </row>
    <row r="122" spans="2:25" s="17" customFormat="1" ht="15" hidden="1" customHeight="1" x14ac:dyDescent="0.25">
      <c r="B122" s="43"/>
      <c r="C122" s="43"/>
      <c r="D122" s="52"/>
      <c r="E122" s="12"/>
      <c r="F122" s="40"/>
      <c r="G122" s="40"/>
      <c r="H122" s="53"/>
      <c r="I122" s="51"/>
      <c r="J122" s="14"/>
      <c r="K122" s="12"/>
      <c r="L122" s="14"/>
      <c r="M122" s="16"/>
      <c r="N122" s="12"/>
      <c r="O122" s="12"/>
      <c r="P122" s="40"/>
      <c r="Q122" s="40"/>
      <c r="R122" s="40"/>
      <c r="S122" s="40"/>
      <c r="T122" s="40"/>
      <c r="U122" s="40"/>
      <c r="V122" s="41"/>
      <c r="W122" s="40"/>
      <c r="X122" s="54"/>
      <c r="Y122" s="55"/>
    </row>
    <row r="123" spans="2:25" s="17" customFormat="1" ht="15" hidden="1" customHeight="1" x14ac:dyDescent="0.25">
      <c r="B123" s="43"/>
      <c r="C123" s="43"/>
      <c r="D123" s="52"/>
      <c r="E123" s="12"/>
      <c r="F123" s="40"/>
      <c r="G123" s="40"/>
      <c r="H123" s="53"/>
      <c r="I123" s="51"/>
      <c r="J123" s="14"/>
      <c r="K123" s="12"/>
      <c r="L123" s="14"/>
      <c r="M123" s="16"/>
      <c r="N123" s="12"/>
      <c r="O123" s="12"/>
      <c r="P123" s="40"/>
      <c r="Q123" s="40"/>
      <c r="R123" s="40"/>
      <c r="S123" s="40"/>
      <c r="T123" s="40"/>
      <c r="U123" s="40"/>
      <c r="V123" s="41"/>
      <c r="W123" s="40"/>
      <c r="X123" s="54"/>
      <c r="Y123" s="55"/>
    </row>
    <row r="124" spans="2:25" s="17" customFormat="1" ht="15" hidden="1" customHeight="1" x14ac:dyDescent="0.25">
      <c r="B124" s="43"/>
      <c r="C124" s="43"/>
      <c r="D124" s="52"/>
      <c r="E124" s="12"/>
      <c r="F124" s="40"/>
      <c r="G124" s="40"/>
      <c r="H124" s="53"/>
      <c r="I124" s="51"/>
      <c r="J124" s="14"/>
      <c r="K124" s="12"/>
      <c r="L124" s="14"/>
      <c r="M124" s="16"/>
      <c r="N124" s="12"/>
      <c r="O124" s="12"/>
      <c r="P124" s="40"/>
      <c r="Q124" s="40"/>
      <c r="R124" s="40"/>
      <c r="S124" s="40"/>
      <c r="T124" s="40"/>
      <c r="U124" s="40"/>
      <c r="V124" s="41"/>
      <c r="W124" s="40"/>
      <c r="X124" s="54"/>
      <c r="Y124" s="55"/>
    </row>
    <row r="125" spans="2:25" s="17" customFormat="1" ht="15" hidden="1" customHeight="1" x14ac:dyDescent="0.25">
      <c r="B125" s="43"/>
      <c r="C125" s="43"/>
      <c r="D125" s="52"/>
      <c r="E125" s="12"/>
      <c r="F125" s="40"/>
      <c r="G125" s="40"/>
      <c r="H125" s="53"/>
      <c r="I125" s="51"/>
      <c r="J125" s="14"/>
      <c r="K125" s="12"/>
      <c r="L125" s="14"/>
      <c r="M125" s="16"/>
      <c r="N125" s="12"/>
      <c r="O125" s="12"/>
      <c r="P125" s="40"/>
      <c r="Q125" s="40"/>
      <c r="R125" s="40"/>
      <c r="S125" s="40"/>
      <c r="T125" s="40"/>
      <c r="U125" s="40"/>
      <c r="V125" s="41"/>
      <c r="W125" s="40"/>
      <c r="X125" s="54"/>
      <c r="Y125" s="55"/>
    </row>
    <row r="126" spans="2:25" s="17" customFormat="1" ht="15" hidden="1" customHeight="1" x14ac:dyDescent="0.25">
      <c r="B126" s="43"/>
      <c r="C126" s="43"/>
      <c r="D126" s="52"/>
      <c r="E126" s="12"/>
      <c r="F126" s="40"/>
      <c r="G126" s="40"/>
      <c r="H126" s="53"/>
      <c r="I126" s="51"/>
      <c r="J126" s="14"/>
      <c r="K126" s="12"/>
      <c r="L126" s="14"/>
      <c r="M126" s="16"/>
      <c r="N126" s="12"/>
      <c r="O126" s="12"/>
      <c r="P126" s="40"/>
      <c r="Q126" s="40"/>
      <c r="R126" s="40"/>
      <c r="S126" s="40"/>
      <c r="T126" s="40"/>
      <c r="U126" s="40"/>
      <c r="V126" s="41"/>
      <c r="W126" s="40"/>
      <c r="X126" s="54"/>
      <c r="Y126" s="55"/>
    </row>
    <row r="127" spans="2:25" s="17" customFormat="1" ht="15" hidden="1" customHeight="1" x14ac:dyDescent="0.25">
      <c r="B127" s="43"/>
      <c r="C127" s="43"/>
      <c r="D127" s="5"/>
      <c r="E127" s="12"/>
      <c r="F127" s="40"/>
      <c r="G127" s="40"/>
      <c r="H127" s="53"/>
      <c r="I127" s="51"/>
      <c r="J127" s="14"/>
      <c r="K127" s="12"/>
      <c r="L127" s="14"/>
      <c r="M127" s="16"/>
      <c r="N127" s="12"/>
      <c r="O127" s="12"/>
      <c r="P127" s="40"/>
      <c r="Q127" s="40"/>
      <c r="R127" s="40"/>
      <c r="S127" s="40"/>
      <c r="T127" s="40"/>
      <c r="U127" s="40"/>
      <c r="V127" s="41"/>
      <c r="W127" s="40"/>
      <c r="X127" s="54"/>
      <c r="Y127" s="55"/>
    </row>
    <row r="128" spans="2:25" s="17" customFormat="1" ht="15" hidden="1" customHeight="1" x14ac:dyDescent="0.25">
      <c r="B128" s="43"/>
      <c r="C128" s="43"/>
      <c r="D128" s="5"/>
      <c r="E128" s="12"/>
      <c r="F128" s="40"/>
      <c r="G128" s="40"/>
      <c r="H128" s="53"/>
      <c r="I128" s="51"/>
      <c r="J128" s="14"/>
      <c r="K128" s="12"/>
      <c r="L128" s="14"/>
      <c r="M128" s="16"/>
      <c r="N128" s="12"/>
      <c r="O128" s="12"/>
      <c r="P128" s="40"/>
      <c r="Q128" s="40"/>
      <c r="R128" s="40"/>
      <c r="S128" s="40"/>
      <c r="T128" s="40"/>
      <c r="U128" s="40"/>
      <c r="V128" s="41"/>
      <c r="W128" s="40"/>
      <c r="X128" s="54"/>
      <c r="Y128" s="55"/>
    </row>
    <row r="129" spans="2:25" s="17" customFormat="1" ht="15" hidden="1" customHeight="1" x14ac:dyDescent="0.25">
      <c r="B129" s="43"/>
      <c r="C129" s="43"/>
      <c r="D129" s="52"/>
      <c r="E129" s="12"/>
      <c r="F129" s="40"/>
      <c r="G129" s="40"/>
      <c r="H129" s="53"/>
      <c r="I129" s="51"/>
      <c r="J129" s="14"/>
      <c r="K129" s="12"/>
      <c r="L129" s="14"/>
      <c r="M129" s="16"/>
      <c r="N129" s="12"/>
      <c r="O129" s="12"/>
      <c r="P129" s="40"/>
      <c r="Q129" s="40"/>
      <c r="R129" s="40"/>
      <c r="S129" s="40"/>
      <c r="T129" s="40"/>
      <c r="U129" s="40"/>
      <c r="V129" s="41"/>
      <c r="W129" s="40"/>
      <c r="X129" s="54"/>
      <c r="Y129" s="55"/>
    </row>
    <row r="130" spans="2:25" s="17" customFormat="1" ht="15" hidden="1" customHeight="1" x14ac:dyDescent="0.25">
      <c r="B130" s="43"/>
      <c r="C130" s="43"/>
      <c r="D130" s="52"/>
      <c r="E130" s="12"/>
      <c r="F130" s="40"/>
      <c r="G130" s="40"/>
      <c r="H130" s="53"/>
      <c r="I130" s="51"/>
      <c r="J130" s="14"/>
      <c r="K130" s="12"/>
      <c r="L130" s="14"/>
      <c r="M130" s="16"/>
      <c r="N130" s="12"/>
      <c r="O130" s="12"/>
      <c r="P130" s="40"/>
      <c r="Q130" s="40"/>
      <c r="R130" s="40"/>
      <c r="S130" s="40"/>
      <c r="T130" s="40"/>
      <c r="U130" s="40"/>
      <c r="V130" s="41"/>
      <c r="W130" s="40"/>
      <c r="X130" s="54"/>
      <c r="Y130" s="55"/>
    </row>
    <row r="131" spans="2:25" s="17" customFormat="1" ht="15" hidden="1" customHeight="1" x14ac:dyDescent="0.25">
      <c r="B131" s="43"/>
      <c r="C131" s="43"/>
      <c r="D131" s="52"/>
      <c r="E131" s="12"/>
      <c r="F131" s="40"/>
      <c r="G131" s="40"/>
      <c r="H131" s="53"/>
      <c r="I131" s="51"/>
      <c r="J131" s="14"/>
      <c r="K131" s="12"/>
      <c r="L131" s="14"/>
      <c r="M131" s="16"/>
      <c r="N131" s="12"/>
      <c r="O131" s="12"/>
      <c r="P131" s="40"/>
      <c r="Q131" s="40"/>
      <c r="R131" s="40"/>
      <c r="S131" s="40"/>
      <c r="T131" s="40"/>
      <c r="U131" s="40"/>
      <c r="V131" s="41"/>
      <c r="W131" s="40"/>
      <c r="X131" s="54"/>
      <c r="Y131" s="55"/>
    </row>
    <row r="132" spans="2:25" s="17" customFormat="1" ht="15" hidden="1" customHeight="1" x14ac:dyDescent="0.25">
      <c r="B132" s="43"/>
      <c r="C132" s="43"/>
      <c r="D132" s="52"/>
      <c r="E132" s="12"/>
      <c r="F132" s="40"/>
      <c r="G132" s="40"/>
      <c r="H132" s="53"/>
      <c r="I132" s="51"/>
      <c r="J132" s="14"/>
      <c r="K132" s="12"/>
      <c r="L132" s="14"/>
      <c r="M132" s="16"/>
      <c r="N132" s="12"/>
      <c r="O132" s="12"/>
      <c r="P132" s="40"/>
      <c r="Q132" s="40"/>
      <c r="R132" s="40"/>
      <c r="S132" s="40"/>
      <c r="T132" s="40"/>
      <c r="U132" s="40"/>
      <c r="V132" s="41"/>
      <c r="W132" s="40"/>
      <c r="X132" s="54"/>
      <c r="Y132" s="55"/>
    </row>
    <row r="133" spans="2:25" s="17" customFormat="1" ht="15" hidden="1" customHeight="1" x14ac:dyDescent="0.25">
      <c r="B133" s="43"/>
      <c r="C133" s="43"/>
      <c r="D133" s="52"/>
      <c r="E133" s="12"/>
      <c r="F133" s="40"/>
      <c r="G133" s="40"/>
      <c r="H133" s="53"/>
      <c r="I133" s="51"/>
      <c r="J133" s="14"/>
      <c r="K133" s="12"/>
      <c r="L133" s="14"/>
      <c r="M133" s="16"/>
      <c r="N133" s="12"/>
      <c r="O133" s="12"/>
      <c r="P133" s="40"/>
      <c r="Q133" s="40"/>
      <c r="R133" s="40"/>
      <c r="S133" s="40"/>
      <c r="T133" s="40"/>
      <c r="U133" s="40"/>
      <c r="V133" s="41"/>
      <c r="W133" s="40"/>
      <c r="X133" s="54"/>
      <c r="Y133" s="55"/>
    </row>
    <row r="134" spans="2:25" s="17" customFormat="1" ht="15" hidden="1" customHeight="1" x14ac:dyDescent="0.25">
      <c r="B134" s="43"/>
      <c r="C134" s="43"/>
      <c r="D134" s="52"/>
      <c r="E134" s="12"/>
      <c r="F134" s="40"/>
      <c r="G134" s="40"/>
      <c r="H134" s="53"/>
      <c r="I134" s="51"/>
      <c r="J134" s="14"/>
      <c r="K134" s="12"/>
      <c r="L134" s="14"/>
      <c r="M134" s="16"/>
      <c r="N134" s="12"/>
      <c r="O134" s="12"/>
      <c r="P134" s="40"/>
      <c r="Q134" s="40"/>
      <c r="R134" s="40"/>
      <c r="S134" s="40"/>
      <c r="T134" s="40"/>
      <c r="U134" s="40"/>
      <c r="V134" s="41"/>
      <c r="W134" s="40"/>
      <c r="X134" s="54"/>
      <c r="Y134" s="55"/>
    </row>
    <row r="135" spans="2:25" s="17" customFormat="1" ht="15" hidden="1" customHeight="1" x14ac:dyDescent="0.25">
      <c r="B135" s="43"/>
      <c r="C135" s="43"/>
      <c r="D135" s="5"/>
      <c r="E135" s="12"/>
      <c r="F135" s="40"/>
      <c r="G135" s="40"/>
      <c r="H135" s="53"/>
      <c r="I135" s="51"/>
      <c r="J135" s="14"/>
      <c r="K135" s="12"/>
      <c r="L135" s="14"/>
      <c r="M135" s="16"/>
      <c r="N135" s="12"/>
      <c r="O135" s="12"/>
      <c r="P135" s="40"/>
      <c r="Q135" s="40"/>
      <c r="R135" s="40"/>
      <c r="S135" s="40"/>
      <c r="T135" s="40"/>
      <c r="U135" s="40"/>
      <c r="V135" s="41"/>
      <c r="W135" s="40"/>
      <c r="X135" s="54"/>
      <c r="Y135" s="55"/>
    </row>
    <row r="136" spans="2:25" s="17" customFormat="1" ht="15" hidden="1" customHeight="1" x14ac:dyDescent="0.25">
      <c r="B136" s="43"/>
      <c r="C136" s="43"/>
      <c r="D136" s="5"/>
      <c r="E136" s="12"/>
      <c r="F136" s="40"/>
      <c r="G136" s="40"/>
      <c r="H136" s="53"/>
      <c r="I136" s="51"/>
      <c r="J136" s="14"/>
      <c r="K136" s="12"/>
      <c r="L136" s="14"/>
      <c r="M136" s="16"/>
      <c r="N136" s="12"/>
      <c r="O136" s="12"/>
      <c r="P136" s="40"/>
      <c r="Q136" s="40"/>
      <c r="R136" s="40"/>
      <c r="S136" s="40"/>
      <c r="T136" s="40"/>
      <c r="U136" s="40"/>
      <c r="V136" s="41"/>
      <c r="W136" s="40"/>
      <c r="X136" s="54"/>
      <c r="Y136" s="55"/>
    </row>
    <row r="137" spans="2:25" s="17" customFormat="1" ht="15" hidden="1" customHeight="1" x14ac:dyDescent="0.25">
      <c r="B137" s="43"/>
      <c r="C137" s="43"/>
      <c r="D137" s="52"/>
      <c r="E137" s="12"/>
      <c r="F137" s="40"/>
      <c r="G137" s="40"/>
      <c r="H137" s="53"/>
      <c r="I137" s="51"/>
      <c r="J137" s="14"/>
      <c r="K137" s="12"/>
      <c r="L137" s="14"/>
      <c r="M137" s="16"/>
      <c r="N137" s="12"/>
      <c r="O137" s="12"/>
      <c r="P137" s="40"/>
      <c r="Q137" s="40"/>
      <c r="R137" s="40"/>
      <c r="S137" s="40"/>
      <c r="T137" s="40"/>
      <c r="U137" s="40"/>
      <c r="V137" s="41"/>
      <c r="W137" s="40"/>
      <c r="X137" s="54"/>
      <c r="Y137" s="55"/>
    </row>
    <row r="138" spans="2:25" s="17" customFormat="1" ht="15" hidden="1" customHeight="1" x14ac:dyDescent="0.25">
      <c r="B138" s="43"/>
      <c r="C138" s="43"/>
      <c r="D138" s="52"/>
      <c r="E138" s="12"/>
      <c r="F138" s="40"/>
      <c r="G138" s="40"/>
      <c r="H138" s="53"/>
      <c r="I138" s="51"/>
      <c r="J138" s="14"/>
      <c r="K138" s="12"/>
      <c r="L138" s="14"/>
      <c r="M138" s="16"/>
      <c r="N138" s="12"/>
      <c r="O138" s="12"/>
      <c r="P138" s="40"/>
      <c r="Q138" s="40"/>
      <c r="R138" s="40"/>
      <c r="S138" s="40"/>
      <c r="T138" s="40"/>
      <c r="U138" s="40"/>
      <c r="V138" s="41"/>
      <c r="W138" s="40"/>
      <c r="X138" s="54"/>
      <c r="Y138" s="55"/>
    </row>
    <row r="139" spans="2:25" s="17" customFormat="1" ht="15" hidden="1" customHeight="1" x14ac:dyDescent="0.25">
      <c r="B139" s="43"/>
      <c r="C139" s="43"/>
      <c r="D139" s="52"/>
      <c r="E139" s="12"/>
      <c r="F139" s="40"/>
      <c r="G139" s="40"/>
      <c r="H139" s="53"/>
      <c r="I139" s="51"/>
      <c r="J139" s="14"/>
      <c r="K139" s="12"/>
      <c r="L139" s="14"/>
      <c r="M139" s="16"/>
      <c r="N139" s="12"/>
      <c r="O139" s="12"/>
      <c r="P139" s="40"/>
      <c r="Q139" s="40"/>
      <c r="R139" s="40"/>
      <c r="S139" s="40"/>
      <c r="T139" s="40"/>
      <c r="U139" s="40"/>
      <c r="V139" s="41"/>
      <c r="W139" s="40"/>
      <c r="X139" s="54"/>
      <c r="Y139" s="55"/>
    </row>
    <row r="140" spans="2:25" s="17" customFormat="1" ht="15" hidden="1" customHeight="1" x14ac:dyDescent="0.25">
      <c r="B140" s="43"/>
      <c r="C140" s="43"/>
      <c r="D140" s="52"/>
      <c r="E140" s="12"/>
      <c r="F140" s="40"/>
      <c r="G140" s="40"/>
      <c r="H140" s="53"/>
      <c r="I140" s="51"/>
      <c r="J140" s="14"/>
      <c r="K140" s="12"/>
      <c r="L140" s="14"/>
      <c r="M140" s="16"/>
      <c r="N140" s="12"/>
      <c r="O140" s="12"/>
      <c r="P140" s="40"/>
      <c r="Q140" s="40"/>
      <c r="R140" s="40"/>
      <c r="S140" s="40"/>
      <c r="T140" s="40"/>
      <c r="U140" s="40"/>
      <c r="V140" s="41"/>
      <c r="W140" s="40"/>
      <c r="X140" s="54"/>
      <c r="Y140" s="55"/>
    </row>
    <row r="141" spans="2:25" s="17" customFormat="1" ht="15" hidden="1" customHeight="1" x14ac:dyDescent="0.25">
      <c r="B141" s="43"/>
      <c r="C141" s="43"/>
      <c r="D141" s="52"/>
      <c r="E141" s="12"/>
      <c r="F141" s="40"/>
      <c r="G141" s="40"/>
      <c r="H141" s="53"/>
      <c r="I141" s="51"/>
      <c r="J141" s="14"/>
      <c r="K141" s="12"/>
      <c r="L141" s="14"/>
      <c r="M141" s="16"/>
      <c r="N141" s="12"/>
      <c r="O141" s="12"/>
      <c r="P141" s="40"/>
      <c r="Q141" s="40"/>
      <c r="R141" s="40"/>
      <c r="S141" s="40"/>
      <c r="T141" s="40"/>
      <c r="U141" s="40"/>
      <c r="V141" s="41"/>
      <c r="W141" s="40"/>
      <c r="X141" s="54"/>
      <c r="Y141" s="55"/>
    </row>
    <row r="142" spans="2:25" s="17" customFormat="1" ht="15" hidden="1" customHeight="1" x14ac:dyDescent="0.25">
      <c r="B142" s="43"/>
      <c r="C142" s="43"/>
      <c r="D142" s="52"/>
      <c r="E142" s="12"/>
      <c r="F142" s="40"/>
      <c r="G142" s="40"/>
      <c r="H142" s="53"/>
      <c r="I142" s="51"/>
      <c r="J142" s="14"/>
      <c r="K142" s="12"/>
      <c r="L142" s="14"/>
      <c r="M142" s="16"/>
      <c r="N142" s="12"/>
      <c r="O142" s="12"/>
      <c r="P142" s="40"/>
      <c r="Q142" s="40"/>
      <c r="R142" s="40"/>
      <c r="S142" s="40"/>
      <c r="T142" s="40"/>
      <c r="U142" s="40"/>
      <c r="V142" s="41"/>
      <c r="W142" s="40"/>
      <c r="X142" s="54"/>
      <c r="Y142" s="55"/>
    </row>
    <row r="143" spans="2:25" s="17" customFormat="1" ht="15" hidden="1" customHeight="1" x14ac:dyDescent="0.25">
      <c r="B143" s="43"/>
      <c r="C143" s="43"/>
      <c r="D143" s="5"/>
      <c r="E143" s="12"/>
      <c r="F143" s="40"/>
      <c r="G143" s="40"/>
      <c r="H143" s="53"/>
      <c r="I143" s="51"/>
      <c r="J143" s="14"/>
      <c r="K143" s="12"/>
      <c r="L143" s="14"/>
      <c r="M143" s="16"/>
      <c r="N143" s="12"/>
      <c r="O143" s="12"/>
      <c r="P143" s="40"/>
      <c r="Q143" s="40"/>
      <c r="R143" s="40"/>
      <c r="S143" s="40"/>
      <c r="T143" s="40"/>
      <c r="U143" s="40"/>
      <c r="V143" s="41"/>
      <c r="W143" s="40"/>
      <c r="X143" s="54"/>
      <c r="Y143" s="55"/>
    </row>
    <row r="144" spans="2:25" s="17" customFormat="1" ht="15" hidden="1" customHeight="1" x14ac:dyDescent="0.25">
      <c r="B144" s="43"/>
      <c r="C144" s="43"/>
      <c r="D144" s="5"/>
      <c r="E144" s="12"/>
      <c r="F144" s="40"/>
      <c r="G144" s="40"/>
      <c r="H144" s="53"/>
      <c r="I144" s="51"/>
      <c r="J144" s="14"/>
      <c r="K144" s="12"/>
      <c r="L144" s="14"/>
      <c r="M144" s="16"/>
      <c r="N144" s="12"/>
      <c r="O144" s="12"/>
      <c r="P144" s="40"/>
      <c r="Q144" s="40"/>
      <c r="R144" s="40"/>
      <c r="S144" s="40"/>
      <c r="T144" s="40"/>
      <c r="U144" s="40"/>
      <c r="V144" s="41"/>
      <c r="W144" s="40"/>
      <c r="X144" s="54"/>
      <c r="Y144" s="55"/>
    </row>
    <row r="145" spans="2:25" s="17" customFormat="1" ht="15" hidden="1" customHeight="1" x14ac:dyDescent="0.25">
      <c r="B145" s="43"/>
      <c r="C145" s="43"/>
      <c r="D145" s="52"/>
      <c r="E145" s="12"/>
      <c r="F145" s="40"/>
      <c r="G145" s="40"/>
      <c r="H145" s="53"/>
      <c r="I145" s="51"/>
      <c r="J145" s="14"/>
      <c r="K145" s="12"/>
      <c r="L145" s="14"/>
      <c r="M145" s="16"/>
      <c r="N145" s="12"/>
      <c r="O145" s="12"/>
      <c r="P145" s="40"/>
      <c r="Q145" s="40"/>
      <c r="R145" s="40"/>
      <c r="S145" s="40"/>
      <c r="T145" s="40"/>
      <c r="U145" s="40"/>
      <c r="V145" s="41"/>
      <c r="W145" s="40"/>
      <c r="X145" s="54"/>
      <c r="Y145" s="55"/>
    </row>
    <row r="146" spans="2:25" s="17" customFormat="1" ht="15" hidden="1" customHeight="1" x14ac:dyDescent="0.25">
      <c r="B146" s="43"/>
      <c r="C146" s="43"/>
      <c r="D146" s="52"/>
      <c r="E146" s="12"/>
      <c r="F146" s="40"/>
      <c r="G146" s="40"/>
      <c r="H146" s="53"/>
      <c r="I146" s="51"/>
      <c r="J146" s="14"/>
      <c r="K146" s="12"/>
      <c r="L146" s="14"/>
      <c r="M146" s="16"/>
      <c r="N146" s="12"/>
      <c r="O146" s="12"/>
      <c r="P146" s="40"/>
      <c r="Q146" s="40"/>
      <c r="R146" s="40"/>
      <c r="S146" s="40"/>
      <c r="T146" s="40"/>
      <c r="U146" s="40"/>
      <c r="V146" s="41"/>
      <c r="W146" s="40"/>
      <c r="X146" s="54"/>
      <c r="Y146" s="55"/>
    </row>
    <row r="147" spans="2:25" s="17" customFormat="1" ht="15" hidden="1" customHeight="1" x14ac:dyDescent="0.25">
      <c r="B147" s="43"/>
      <c r="C147" s="43"/>
      <c r="D147" s="52"/>
      <c r="E147" s="12"/>
      <c r="F147" s="40"/>
      <c r="G147" s="40"/>
      <c r="H147" s="53"/>
      <c r="I147" s="51"/>
      <c r="J147" s="14"/>
      <c r="K147" s="12"/>
      <c r="L147" s="14"/>
      <c r="M147" s="16"/>
      <c r="N147" s="12"/>
      <c r="O147" s="12"/>
      <c r="P147" s="40"/>
      <c r="Q147" s="40"/>
      <c r="R147" s="40"/>
      <c r="S147" s="40"/>
      <c r="T147" s="40"/>
      <c r="U147" s="40"/>
      <c r="V147" s="41"/>
      <c r="W147" s="40"/>
      <c r="X147" s="54"/>
      <c r="Y147" s="55"/>
    </row>
    <row r="148" spans="2:25" s="17" customFormat="1" ht="15" hidden="1" customHeight="1" x14ac:dyDescent="0.25">
      <c r="B148" s="43"/>
      <c r="C148" s="43"/>
      <c r="D148" s="52"/>
      <c r="E148" s="12"/>
      <c r="F148" s="40"/>
      <c r="G148" s="40"/>
      <c r="H148" s="53"/>
      <c r="I148" s="51"/>
      <c r="J148" s="14"/>
      <c r="K148" s="12"/>
      <c r="L148" s="14"/>
      <c r="M148" s="16"/>
      <c r="N148" s="12"/>
      <c r="O148" s="12"/>
      <c r="P148" s="40"/>
      <c r="Q148" s="40"/>
      <c r="R148" s="40"/>
      <c r="S148" s="40"/>
      <c r="T148" s="40"/>
      <c r="U148" s="40"/>
      <c r="V148" s="41"/>
      <c r="W148" s="40"/>
      <c r="X148" s="54"/>
      <c r="Y148" s="55"/>
    </row>
    <row r="149" spans="2:25" s="17" customFormat="1" ht="15" hidden="1" customHeight="1" x14ac:dyDescent="0.25">
      <c r="B149" s="43"/>
      <c r="C149" s="43"/>
      <c r="D149" s="52"/>
      <c r="E149" s="12"/>
      <c r="F149" s="40"/>
      <c r="G149" s="40"/>
      <c r="H149" s="53"/>
      <c r="I149" s="51"/>
      <c r="J149" s="14"/>
      <c r="K149" s="12"/>
      <c r="L149" s="14"/>
      <c r="M149" s="16"/>
      <c r="N149" s="12"/>
      <c r="O149" s="12"/>
      <c r="P149" s="40"/>
      <c r="Q149" s="40"/>
      <c r="R149" s="40"/>
      <c r="S149" s="40"/>
      <c r="T149" s="40"/>
      <c r="U149" s="40"/>
      <c r="V149" s="41"/>
      <c r="W149" s="40"/>
      <c r="X149" s="54"/>
      <c r="Y149" s="55"/>
    </row>
    <row r="150" spans="2:25" s="17" customFormat="1" ht="15" hidden="1" customHeight="1" x14ac:dyDescent="0.25">
      <c r="B150" s="43"/>
      <c r="C150" s="43"/>
      <c r="D150" s="52"/>
      <c r="E150" s="12"/>
      <c r="F150" s="40"/>
      <c r="G150" s="40"/>
      <c r="H150" s="53"/>
      <c r="I150" s="51"/>
      <c r="J150" s="14"/>
      <c r="K150" s="12"/>
      <c r="L150" s="14"/>
      <c r="M150" s="16"/>
      <c r="N150" s="12"/>
      <c r="O150" s="12"/>
      <c r="P150" s="40"/>
      <c r="Q150" s="40"/>
      <c r="R150" s="40"/>
      <c r="S150" s="40"/>
      <c r="T150" s="40"/>
      <c r="U150" s="40"/>
      <c r="V150" s="41"/>
      <c r="W150" s="40"/>
      <c r="X150" s="54"/>
      <c r="Y150" s="55"/>
    </row>
    <row r="151" spans="2:25" s="17" customFormat="1" ht="15" hidden="1" customHeight="1" x14ac:dyDescent="0.25">
      <c r="B151" s="43"/>
      <c r="C151" s="43"/>
      <c r="D151" s="5"/>
      <c r="E151" s="12"/>
      <c r="F151" s="40"/>
      <c r="G151" s="40"/>
      <c r="H151" s="53"/>
      <c r="I151" s="51"/>
      <c r="J151" s="14"/>
      <c r="K151" s="12"/>
      <c r="L151" s="14"/>
      <c r="M151" s="16"/>
      <c r="N151" s="12"/>
      <c r="O151" s="12"/>
      <c r="P151" s="40"/>
      <c r="Q151" s="40"/>
      <c r="R151" s="40"/>
      <c r="S151" s="40"/>
      <c r="T151" s="40"/>
      <c r="U151" s="40"/>
      <c r="V151" s="41"/>
      <c r="W151" s="40"/>
      <c r="X151" s="54"/>
      <c r="Y151" s="55"/>
    </row>
    <row r="152" spans="2:25" s="17" customFormat="1" ht="15" hidden="1" customHeight="1" x14ac:dyDescent="0.25">
      <c r="B152" s="43"/>
      <c r="C152" s="43"/>
      <c r="D152" s="5"/>
      <c r="E152" s="12"/>
      <c r="F152" s="40"/>
      <c r="G152" s="40"/>
      <c r="H152" s="53"/>
      <c r="I152" s="51"/>
      <c r="J152" s="14"/>
      <c r="K152" s="12"/>
      <c r="L152" s="14"/>
      <c r="M152" s="16"/>
      <c r="N152" s="12"/>
      <c r="O152" s="12"/>
      <c r="P152" s="40"/>
      <c r="Q152" s="40"/>
      <c r="R152" s="40"/>
      <c r="S152" s="40"/>
      <c r="T152" s="40"/>
      <c r="U152" s="40"/>
      <c r="V152" s="41"/>
      <c r="W152" s="40"/>
      <c r="X152" s="54"/>
      <c r="Y152" s="55"/>
    </row>
    <row r="153" spans="2:25" s="17" customFormat="1" ht="15" hidden="1" customHeight="1" x14ac:dyDescent="0.25">
      <c r="B153" s="43"/>
      <c r="C153" s="43"/>
      <c r="D153" s="52"/>
      <c r="E153" s="12"/>
      <c r="F153" s="40"/>
      <c r="G153" s="40"/>
      <c r="H153" s="53"/>
      <c r="I153" s="51"/>
      <c r="J153" s="14"/>
      <c r="K153" s="12"/>
      <c r="L153" s="14"/>
      <c r="M153" s="16"/>
      <c r="N153" s="12"/>
      <c r="O153" s="12"/>
      <c r="P153" s="40"/>
      <c r="Q153" s="40"/>
      <c r="R153" s="40"/>
      <c r="S153" s="40"/>
      <c r="T153" s="40"/>
      <c r="U153" s="40"/>
      <c r="V153" s="41"/>
      <c r="W153" s="40"/>
      <c r="X153" s="54"/>
      <c r="Y153" s="55"/>
    </row>
    <row r="154" spans="2:25" s="17" customFormat="1" ht="15" hidden="1" customHeight="1" x14ac:dyDescent="0.25">
      <c r="B154" s="43"/>
      <c r="C154" s="43"/>
      <c r="D154" s="52"/>
      <c r="E154" s="12"/>
      <c r="F154" s="40"/>
      <c r="G154" s="40"/>
      <c r="H154" s="53"/>
      <c r="I154" s="51"/>
      <c r="J154" s="14"/>
      <c r="K154" s="12"/>
      <c r="L154" s="14"/>
      <c r="M154" s="16"/>
      <c r="N154" s="12"/>
      <c r="O154" s="12"/>
      <c r="P154" s="40"/>
      <c r="Q154" s="40"/>
      <c r="R154" s="40"/>
      <c r="S154" s="40"/>
      <c r="T154" s="40"/>
      <c r="U154" s="40"/>
      <c r="V154" s="41"/>
      <c r="W154" s="40"/>
      <c r="X154" s="54"/>
      <c r="Y154" s="55"/>
    </row>
    <row r="155" spans="2:25" s="17" customFormat="1" ht="15" hidden="1" customHeight="1" x14ac:dyDescent="0.25">
      <c r="B155" s="43"/>
      <c r="C155" s="43"/>
      <c r="D155" s="52"/>
      <c r="E155" s="12"/>
      <c r="F155" s="40"/>
      <c r="G155" s="40"/>
      <c r="H155" s="53"/>
      <c r="I155" s="51"/>
      <c r="J155" s="14"/>
      <c r="K155" s="12"/>
      <c r="L155" s="14"/>
      <c r="M155" s="16"/>
      <c r="N155" s="12"/>
      <c r="O155" s="12"/>
      <c r="P155" s="40"/>
      <c r="Q155" s="40"/>
      <c r="R155" s="40"/>
      <c r="S155" s="40"/>
      <c r="T155" s="40"/>
      <c r="U155" s="40"/>
      <c r="V155" s="41"/>
      <c r="W155" s="40"/>
      <c r="X155" s="54"/>
      <c r="Y155" s="55"/>
    </row>
    <row r="156" spans="2:25" s="17" customFormat="1" ht="15" hidden="1" customHeight="1" x14ac:dyDescent="0.25">
      <c r="B156" s="43"/>
      <c r="C156" s="43"/>
      <c r="D156" s="52"/>
      <c r="E156" s="12"/>
      <c r="F156" s="40"/>
      <c r="G156" s="40"/>
      <c r="H156" s="53"/>
      <c r="I156" s="51"/>
      <c r="J156" s="14"/>
      <c r="K156" s="12"/>
      <c r="L156" s="14"/>
      <c r="M156" s="16"/>
      <c r="N156" s="12"/>
      <c r="O156" s="12"/>
      <c r="P156" s="40"/>
      <c r="Q156" s="40"/>
      <c r="R156" s="40"/>
      <c r="S156" s="40"/>
      <c r="T156" s="40"/>
      <c r="U156" s="40"/>
      <c r="V156" s="41"/>
      <c r="W156" s="40"/>
      <c r="X156" s="54"/>
      <c r="Y156" s="55"/>
    </row>
    <row r="157" spans="2:25" s="17" customFormat="1" ht="15" hidden="1" customHeight="1" x14ac:dyDescent="0.25">
      <c r="B157" s="43"/>
      <c r="C157" s="43"/>
      <c r="D157" s="52"/>
      <c r="E157" s="12"/>
      <c r="F157" s="40"/>
      <c r="G157" s="40"/>
      <c r="H157" s="53"/>
      <c r="I157" s="51"/>
      <c r="J157" s="14"/>
      <c r="K157" s="12"/>
      <c r="L157" s="14"/>
      <c r="M157" s="16"/>
      <c r="N157" s="12"/>
      <c r="O157" s="12"/>
      <c r="P157" s="40"/>
      <c r="Q157" s="40"/>
      <c r="R157" s="40"/>
      <c r="S157" s="40"/>
      <c r="T157" s="40"/>
      <c r="U157" s="40"/>
      <c r="V157" s="41"/>
      <c r="W157" s="40"/>
      <c r="X157" s="54"/>
      <c r="Y157" s="55"/>
    </row>
    <row r="158" spans="2:25" s="17" customFormat="1" ht="15" hidden="1" customHeight="1" x14ac:dyDescent="0.25">
      <c r="B158" s="43"/>
      <c r="C158" s="43"/>
      <c r="D158" s="52"/>
      <c r="E158" s="12"/>
      <c r="F158" s="40"/>
      <c r="G158" s="40"/>
      <c r="H158" s="53"/>
      <c r="I158" s="51"/>
      <c r="J158" s="14"/>
      <c r="K158" s="12"/>
      <c r="L158" s="14"/>
      <c r="M158" s="16"/>
      <c r="N158" s="12"/>
      <c r="O158" s="12"/>
      <c r="P158" s="40"/>
      <c r="Q158" s="40"/>
      <c r="R158" s="40"/>
      <c r="S158" s="40"/>
      <c r="T158" s="40"/>
      <c r="U158" s="40"/>
      <c r="V158" s="41"/>
      <c r="W158" s="40"/>
      <c r="X158" s="54"/>
      <c r="Y158" s="55"/>
    </row>
    <row r="159" spans="2:25" s="17" customFormat="1" ht="15" customHeight="1" x14ac:dyDescent="0.25">
      <c r="B159" s="11"/>
      <c r="C159" s="11"/>
      <c r="D159" s="5"/>
      <c r="E159" s="50" t="e">
        <f ca="1">SUM(E85:E158)</f>
        <v>#NAME?</v>
      </c>
      <c r="F159" s="50"/>
      <c r="G159" s="40"/>
      <c r="H159" s="5"/>
      <c r="I159" s="13"/>
      <c r="J159" s="14"/>
      <c r="K159" s="15" t="e">
        <f ca="1">SUMPRODUCT(K85:K158,E85:E158)</f>
        <v>#NAME?</v>
      </c>
      <c r="L159" s="14"/>
      <c r="M159" s="16"/>
      <c r="N159" s="12" t="e">
        <f ca="1">SUMPRODUCT(N85:N158,E85:E158)</f>
        <v>#NAME?</v>
      </c>
      <c r="O159" s="12" t="e">
        <f ca="1">SUMPRODUCT(O85:O158,E85:E158)</f>
        <v>#NAME?</v>
      </c>
      <c r="P159" s="45" t="e">
        <f t="shared" ref="P159:U159" ca="1" si="20">SUM(P85:P158)</f>
        <v>#NAME?</v>
      </c>
      <c r="Q159" s="45">
        <f t="shared" si="20"/>
        <v>3384299.4980000001</v>
      </c>
      <c r="R159" s="45" t="e">
        <f t="shared" ca="1" si="20"/>
        <v>#NAME?</v>
      </c>
      <c r="S159" s="45" t="e">
        <f t="shared" ca="1" si="20"/>
        <v>#NAME?</v>
      </c>
      <c r="T159" s="45" t="e">
        <f t="shared" ca="1" si="20"/>
        <v>#NAME?</v>
      </c>
      <c r="U159" s="45" t="e">
        <f t="shared" ca="1" si="20"/>
        <v>#NAME?</v>
      </c>
      <c r="V159" s="41"/>
      <c r="W159" s="45" t="e">
        <f ca="1">SUM(W85:W158)</f>
        <v>#NAME?</v>
      </c>
    </row>
    <row r="160" spans="2:25" s="17" customFormat="1" ht="30" customHeight="1" x14ac:dyDescent="0.25">
      <c r="B160" s="11" t="s">
        <v>4714</v>
      </c>
      <c r="C160" s="11"/>
      <c r="D160" s="5"/>
      <c r="E160" s="50"/>
      <c r="F160" s="50"/>
      <c r="G160" s="40"/>
      <c r="H160" s="5"/>
      <c r="I160" s="13"/>
      <c r="J160" s="8" t="s">
        <v>4724</v>
      </c>
      <c r="K160" s="16"/>
      <c r="L160" s="14"/>
      <c r="M160" s="16"/>
      <c r="N160" s="12"/>
      <c r="O160" s="12"/>
      <c r="P160" s="45"/>
      <c r="Q160" s="45"/>
      <c r="R160" s="45"/>
      <c r="S160" s="45"/>
      <c r="T160" s="45"/>
      <c r="U160" s="45"/>
      <c r="V160" s="41"/>
      <c r="W160" s="45"/>
      <c r="X160" s="8" t="s">
        <v>7906</v>
      </c>
    </row>
    <row r="161" spans="2:24" s="17" customFormat="1" ht="15" hidden="1" customHeight="1" x14ac:dyDescent="0.25">
      <c r="B161" s="43" t="str">
        <f ca="1">IF(LEFT(C161,2) = "RU", VLOOKUP(C161,MICEX!$A$2:$D$1554,4,FALSE),VLOOKUP(C161,Instruments!A:C,3,FALSE))</f>
        <v>Контракт на нефть сорта "BRENT" с исполнением 01/12/2017</v>
      </c>
      <c r="C161" s="43" t="str">
        <f ca="1">OFFSET(Securities!$A$1,MATCH(D161,Securities!$B:$B,0)-1,0,1,1)</f>
        <v>BR-12.17</v>
      </c>
      <c r="D161" s="5" t="s">
        <v>7523</v>
      </c>
      <c r="E161" s="50"/>
      <c r="F161" s="40">
        <v>0</v>
      </c>
      <c r="G161" s="40"/>
      <c r="H161" s="53">
        <f ca="1">IF(M161="RUB",SUMIFS(positions!G:G,positions!B:B,$E$2,positions!C:C,C161),SUMIFS(positions!H:H,positions!B:B,$E$2,positions!C:C,C161))/J161</f>
        <v>0</v>
      </c>
      <c r="I161" s="51" t="e">
        <f ca="1">IF(_xll.BDP(D161,"PX_LAST")="#N/A N/A",100,_xll.BDP(D161,"PX_LAST"))</f>
        <v>#NAME?</v>
      </c>
      <c r="J161" s="74">
        <f>VLOOKUP(D161,Securities!B:E,4,FALSE)</f>
        <v>10</v>
      </c>
      <c r="K161" s="15"/>
      <c r="L161" s="14"/>
      <c r="M161" s="16" t="str">
        <f>VLOOKUP(D161,Securities!B:F,5,FALSE)</f>
        <v>USD</v>
      </c>
      <c r="N161" s="12"/>
      <c r="O161" s="12"/>
      <c r="P161" s="45"/>
      <c r="Q161" s="45"/>
      <c r="R161" s="45"/>
      <c r="S161" s="45"/>
      <c r="T161" s="40" t="e">
        <f ca="1">IF(M161="RUB",J161*F161*(I161-H161),U161*$R$3)</f>
        <v>#NAME?</v>
      </c>
      <c r="U161" s="45" t="e">
        <f ca="1">IF(M161="USD",J161*F161*(I161-H161),T161/$R$3)</f>
        <v>#NAME?</v>
      </c>
      <c r="V161" s="41"/>
      <c r="W161" s="45"/>
      <c r="X161" s="17" t="e">
        <f ca="1">IF(  OR(   _xll.BDP($D161,"LAST_TRADEABLE_DT")="#N/A N/A"),"",_xll.BDP($D161,"LAST_TRADEABLE_DT"))</f>
        <v>#NAME?</v>
      </c>
    </row>
    <row r="162" spans="2:24" s="17" customFormat="1" ht="15" hidden="1" customHeight="1" x14ac:dyDescent="0.25">
      <c r="B162" s="43"/>
      <c r="C162" s="43"/>
      <c r="D162" s="5"/>
      <c r="E162" s="50"/>
      <c r="F162" s="40"/>
      <c r="G162" s="40"/>
      <c r="H162" s="53"/>
      <c r="I162" s="51"/>
      <c r="J162" s="74"/>
      <c r="K162" s="15"/>
      <c r="L162" s="14"/>
      <c r="M162" s="16"/>
      <c r="N162" s="12"/>
      <c r="O162" s="12"/>
      <c r="P162" s="45"/>
      <c r="Q162" s="45"/>
      <c r="R162" s="45"/>
      <c r="S162" s="45"/>
      <c r="T162" s="40"/>
      <c r="U162" s="45"/>
      <c r="V162" s="41"/>
      <c r="W162" s="45"/>
    </row>
    <row r="163" spans="2:24" s="17" customFormat="1" ht="15" hidden="1" customHeight="1" x14ac:dyDescent="0.25">
      <c r="B163" s="43"/>
      <c r="C163" s="43"/>
      <c r="D163" s="5"/>
      <c r="E163" s="50"/>
      <c r="F163" s="40"/>
      <c r="G163" s="40"/>
      <c r="H163" s="53"/>
      <c r="I163" s="51"/>
      <c r="J163" s="74"/>
      <c r="K163" s="15"/>
      <c r="L163" s="14"/>
      <c r="M163" s="16"/>
      <c r="N163" s="12"/>
      <c r="O163" s="12"/>
      <c r="P163" s="45"/>
      <c r="Q163" s="45"/>
      <c r="R163" s="45"/>
      <c r="S163" s="45"/>
      <c r="T163" s="40"/>
      <c r="U163" s="45"/>
      <c r="V163" s="41"/>
      <c r="W163" s="45"/>
    </row>
    <row r="164" spans="2:24" s="17" customFormat="1" ht="15" hidden="1" customHeight="1" x14ac:dyDescent="0.25">
      <c r="B164" s="43"/>
      <c r="C164" s="43"/>
      <c r="D164" s="5"/>
      <c r="E164" s="50"/>
      <c r="F164" s="40"/>
      <c r="G164" s="40"/>
      <c r="H164" s="53"/>
      <c r="I164" s="51"/>
      <c r="J164" s="74"/>
      <c r="K164" s="15"/>
      <c r="L164" s="14"/>
      <c r="M164" s="16"/>
      <c r="N164" s="12"/>
      <c r="O164" s="12"/>
      <c r="P164" s="45"/>
      <c r="Q164" s="45"/>
      <c r="R164" s="45"/>
      <c r="S164" s="45"/>
      <c r="T164" s="40"/>
      <c r="U164" s="45"/>
      <c r="V164" s="41"/>
      <c r="W164" s="45"/>
    </row>
    <row r="165" spans="2:24" s="17" customFormat="1" ht="15" hidden="1" customHeight="1" x14ac:dyDescent="0.25">
      <c r="B165" s="43"/>
      <c r="C165" s="43"/>
      <c r="D165" s="5"/>
      <c r="E165" s="50"/>
      <c r="F165" s="40"/>
      <c r="G165" s="40"/>
      <c r="H165" s="53"/>
      <c r="I165" s="51"/>
      <c r="J165" s="74"/>
      <c r="K165" s="15"/>
      <c r="L165" s="14"/>
      <c r="M165" s="16"/>
      <c r="N165" s="12"/>
      <c r="O165" s="12"/>
      <c r="P165" s="45"/>
      <c r="Q165" s="45"/>
      <c r="R165" s="45"/>
      <c r="S165" s="45"/>
      <c r="T165" s="40"/>
      <c r="U165" s="45"/>
      <c r="V165" s="41"/>
      <c r="W165" s="45"/>
    </row>
    <row r="166" spans="2:24" s="17" customFormat="1" ht="15" hidden="1" customHeight="1" x14ac:dyDescent="0.25">
      <c r="B166" s="43"/>
      <c r="C166" s="43"/>
      <c r="D166" s="5"/>
      <c r="E166" s="50"/>
      <c r="F166" s="40"/>
      <c r="G166" s="40"/>
      <c r="H166" s="53"/>
      <c r="I166" s="51"/>
      <c r="J166" s="74"/>
      <c r="K166" s="15"/>
      <c r="L166" s="14"/>
      <c r="M166" s="16"/>
      <c r="N166" s="12"/>
      <c r="O166" s="12"/>
      <c r="P166" s="45"/>
      <c r="Q166" s="45"/>
      <c r="R166" s="45"/>
      <c r="S166" s="45"/>
      <c r="T166" s="40"/>
      <c r="U166" s="45"/>
      <c r="V166" s="41"/>
      <c r="W166" s="45"/>
    </row>
    <row r="167" spans="2:24" s="17" customFormat="1" ht="15" hidden="1" customHeight="1" x14ac:dyDescent="0.25">
      <c r="B167" s="43"/>
      <c r="C167" s="43"/>
      <c r="D167" s="5"/>
      <c r="E167" s="50"/>
      <c r="F167" s="40"/>
      <c r="G167" s="40"/>
      <c r="H167" s="53"/>
      <c r="I167" s="51"/>
      <c r="J167" s="74"/>
      <c r="K167" s="15"/>
      <c r="L167" s="14"/>
      <c r="M167" s="16"/>
      <c r="N167" s="12"/>
      <c r="O167" s="12"/>
      <c r="P167" s="45"/>
      <c r="Q167" s="45"/>
      <c r="R167" s="45"/>
      <c r="S167" s="45"/>
      <c r="T167" s="40"/>
      <c r="U167" s="45"/>
      <c r="V167" s="41"/>
      <c r="W167" s="45"/>
    </row>
    <row r="168" spans="2:24" s="17" customFormat="1" ht="15" hidden="1" customHeight="1" x14ac:dyDescent="0.25">
      <c r="B168" s="43"/>
      <c r="C168" s="43"/>
      <c r="D168" s="5"/>
      <c r="E168" s="50"/>
      <c r="F168" s="40"/>
      <c r="G168" s="40"/>
      <c r="H168" s="53"/>
      <c r="I168" s="51"/>
      <c r="J168" s="74"/>
      <c r="K168" s="15"/>
      <c r="L168" s="14"/>
      <c r="M168" s="16"/>
      <c r="N168" s="12"/>
      <c r="O168" s="12"/>
      <c r="P168" s="45"/>
      <c r="Q168" s="45"/>
      <c r="R168" s="45"/>
      <c r="S168" s="45"/>
      <c r="T168" s="40"/>
      <c r="U168" s="45"/>
      <c r="V168" s="41"/>
      <c r="W168" s="45"/>
    </row>
    <row r="169" spans="2:24" s="17" customFormat="1" ht="15" hidden="1" customHeight="1" x14ac:dyDescent="0.25">
      <c r="B169" s="43"/>
      <c r="C169" s="43"/>
      <c r="D169" s="5"/>
      <c r="E169" s="50"/>
      <c r="F169" s="40"/>
      <c r="G169" s="40"/>
      <c r="H169" s="53"/>
      <c r="I169" s="51"/>
      <c r="J169" s="74"/>
      <c r="K169" s="15"/>
      <c r="L169" s="14"/>
      <c r="M169" s="16"/>
      <c r="N169" s="12"/>
      <c r="O169" s="12"/>
      <c r="P169" s="45"/>
      <c r="Q169" s="45"/>
      <c r="R169" s="45"/>
      <c r="S169" s="45"/>
      <c r="T169" s="40"/>
      <c r="U169" s="45"/>
      <c r="V169" s="41"/>
      <c r="W169" s="45"/>
    </row>
    <row r="170" spans="2:24" s="17" customFormat="1" ht="15" hidden="1" customHeight="1" x14ac:dyDescent="0.25">
      <c r="B170" s="43"/>
      <c r="C170" s="43"/>
      <c r="D170" s="5"/>
      <c r="E170" s="50"/>
      <c r="F170" s="40"/>
      <c r="G170" s="40"/>
      <c r="H170" s="53"/>
      <c r="I170" s="51"/>
      <c r="J170" s="74"/>
      <c r="K170" s="15"/>
      <c r="L170" s="14"/>
      <c r="M170" s="16"/>
      <c r="N170" s="12"/>
      <c r="O170" s="12"/>
      <c r="P170" s="45"/>
      <c r="Q170" s="45"/>
      <c r="R170" s="45"/>
      <c r="S170" s="45"/>
      <c r="T170" s="40"/>
      <c r="U170" s="45"/>
      <c r="V170" s="41"/>
      <c r="W170" s="45"/>
    </row>
    <row r="171" spans="2:24" s="17" customFormat="1" ht="15" hidden="1" customHeight="1" x14ac:dyDescent="0.25">
      <c r="B171" s="43"/>
      <c r="C171" s="43"/>
      <c r="D171" s="5"/>
      <c r="E171" s="50"/>
      <c r="F171" s="40"/>
      <c r="G171" s="40"/>
      <c r="H171" s="53"/>
      <c r="I171" s="51"/>
      <c r="J171" s="74"/>
      <c r="K171" s="15"/>
      <c r="L171" s="14"/>
      <c r="M171" s="16"/>
      <c r="N171" s="12"/>
      <c r="O171" s="12"/>
      <c r="P171" s="45"/>
      <c r="Q171" s="45"/>
      <c r="R171" s="45"/>
      <c r="S171" s="45"/>
      <c r="T171" s="40"/>
      <c r="U171" s="45"/>
      <c r="V171" s="41"/>
      <c r="W171" s="45"/>
    </row>
    <row r="172" spans="2:24" s="17" customFormat="1" ht="15" hidden="1" customHeight="1" x14ac:dyDescent="0.25">
      <c r="B172" s="43"/>
      <c r="C172" s="43"/>
      <c r="D172" s="5"/>
      <c r="E172" s="50"/>
      <c r="F172" s="40"/>
      <c r="G172" s="40"/>
      <c r="H172" s="53"/>
      <c r="I172" s="51"/>
      <c r="J172" s="74"/>
      <c r="K172" s="15"/>
      <c r="L172" s="14"/>
      <c r="M172" s="16"/>
      <c r="N172" s="12"/>
      <c r="O172" s="12"/>
      <c r="P172" s="45"/>
      <c r="Q172" s="45"/>
      <c r="R172" s="45"/>
      <c r="S172" s="45"/>
      <c r="T172" s="40"/>
      <c r="U172" s="45"/>
      <c r="V172" s="41"/>
      <c r="W172" s="45"/>
    </row>
    <row r="173" spans="2:24" s="17" customFormat="1" ht="15" hidden="1" customHeight="1" x14ac:dyDescent="0.25">
      <c r="B173" s="43"/>
      <c r="C173" s="43"/>
      <c r="D173" s="5"/>
      <c r="E173" s="50"/>
      <c r="F173" s="40"/>
      <c r="G173" s="40"/>
      <c r="H173" s="53"/>
      <c r="I173" s="51"/>
      <c r="J173" s="74"/>
      <c r="K173" s="15"/>
      <c r="L173" s="14"/>
      <c r="M173" s="16"/>
      <c r="N173" s="12"/>
      <c r="O173" s="12"/>
      <c r="P173" s="45"/>
      <c r="Q173" s="45"/>
      <c r="R173" s="45"/>
      <c r="S173" s="45"/>
      <c r="T173" s="40"/>
      <c r="U173" s="45"/>
      <c r="V173" s="41"/>
      <c r="W173" s="45"/>
    </row>
    <row r="174" spans="2:24" s="17" customFormat="1" ht="15" hidden="1" customHeight="1" x14ac:dyDescent="0.25">
      <c r="B174" s="43"/>
      <c r="C174" s="43"/>
      <c r="D174" s="5"/>
      <c r="E174" s="50"/>
      <c r="F174" s="40"/>
      <c r="G174" s="40"/>
      <c r="H174" s="53"/>
      <c r="I174" s="51"/>
      <c r="J174" s="74"/>
      <c r="K174" s="15"/>
      <c r="L174" s="14"/>
      <c r="M174" s="16"/>
      <c r="N174" s="12"/>
      <c r="O174" s="12"/>
      <c r="P174" s="45"/>
      <c r="Q174" s="45"/>
      <c r="R174" s="45"/>
      <c r="S174" s="45"/>
      <c r="T174" s="40"/>
      <c r="U174" s="45"/>
      <c r="V174" s="41"/>
      <c r="W174" s="45"/>
    </row>
    <row r="175" spans="2:24" s="17" customFormat="1" ht="15" hidden="1" customHeight="1" x14ac:dyDescent="0.25">
      <c r="B175" s="43"/>
      <c r="C175" s="43"/>
      <c r="D175" s="5"/>
      <c r="E175" s="50"/>
      <c r="F175" s="40"/>
      <c r="G175" s="40"/>
      <c r="H175" s="53"/>
      <c r="I175" s="51"/>
      <c r="J175" s="74"/>
      <c r="K175" s="15"/>
      <c r="L175" s="14"/>
      <c r="M175" s="16"/>
      <c r="N175" s="12"/>
      <c r="O175" s="12"/>
      <c r="P175" s="45"/>
      <c r="Q175" s="45"/>
      <c r="R175" s="45"/>
      <c r="S175" s="45"/>
      <c r="T175" s="40"/>
      <c r="U175" s="45"/>
      <c r="V175" s="41"/>
      <c r="W175" s="45"/>
    </row>
    <row r="176" spans="2:24" s="17" customFormat="1" ht="15" hidden="1" customHeight="1" x14ac:dyDescent="0.25">
      <c r="B176" s="43"/>
      <c r="C176" s="43"/>
      <c r="D176" s="5"/>
      <c r="E176" s="50"/>
      <c r="F176" s="40"/>
      <c r="G176" s="40"/>
      <c r="H176" s="53"/>
      <c r="I176" s="51"/>
      <c r="J176" s="74"/>
      <c r="K176" s="15"/>
      <c r="L176" s="14"/>
      <c r="M176" s="16"/>
      <c r="N176" s="12"/>
      <c r="O176" s="12"/>
      <c r="P176" s="45"/>
      <c r="Q176" s="45"/>
      <c r="R176" s="45"/>
      <c r="S176" s="45"/>
      <c r="T176" s="40"/>
      <c r="U176" s="45"/>
      <c r="V176" s="41"/>
      <c r="W176" s="45"/>
    </row>
    <row r="177" spans="2:25" s="17" customFormat="1" ht="15" hidden="1" customHeight="1" x14ac:dyDescent="0.25">
      <c r="B177" s="43"/>
      <c r="C177" s="43"/>
      <c r="D177" s="5"/>
      <c r="E177" s="50"/>
      <c r="F177" s="40"/>
      <c r="G177" s="40"/>
      <c r="H177" s="53"/>
      <c r="I177" s="51"/>
      <c r="J177" s="74"/>
      <c r="K177" s="15"/>
      <c r="L177" s="14"/>
      <c r="M177" s="16"/>
      <c r="N177" s="12"/>
      <c r="O177" s="12"/>
      <c r="P177" s="45"/>
      <c r="Q177" s="45"/>
      <c r="R177" s="45"/>
      <c r="S177" s="45"/>
      <c r="T177" s="40"/>
      <c r="U177" s="45"/>
      <c r="V177" s="41"/>
      <c r="W177" s="45"/>
    </row>
    <row r="178" spans="2:25" s="17" customFormat="1" ht="15" hidden="1" customHeight="1" x14ac:dyDescent="0.25">
      <c r="B178" s="43"/>
      <c r="C178" s="43"/>
      <c r="D178" s="5"/>
      <c r="E178" s="50"/>
      <c r="F178" s="40"/>
      <c r="G178" s="40"/>
      <c r="H178" s="53"/>
      <c r="I178" s="51"/>
      <c r="J178" s="74"/>
      <c r="K178" s="15"/>
      <c r="L178" s="14"/>
      <c r="M178" s="16"/>
      <c r="N178" s="12"/>
      <c r="O178" s="12"/>
      <c r="P178" s="45"/>
      <c r="Q178" s="45"/>
      <c r="R178" s="45"/>
      <c r="S178" s="45"/>
      <c r="T178" s="40"/>
      <c r="U178" s="45"/>
      <c r="V178" s="41"/>
      <c r="W178" s="45"/>
    </row>
    <row r="179" spans="2:25" s="17" customFormat="1" ht="15" hidden="1" customHeight="1" x14ac:dyDescent="0.25">
      <c r="B179" s="43"/>
      <c r="C179" s="43"/>
      <c r="D179" s="5"/>
      <c r="E179" s="50"/>
      <c r="F179" s="40"/>
      <c r="G179" s="40"/>
      <c r="H179" s="53"/>
      <c r="I179" s="51"/>
      <c r="J179" s="74"/>
      <c r="K179" s="15"/>
      <c r="L179" s="14"/>
      <c r="M179" s="16"/>
      <c r="N179" s="12"/>
      <c r="O179" s="12"/>
      <c r="P179" s="45"/>
      <c r="Q179" s="45"/>
      <c r="R179" s="45"/>
      <c r="S179" s="45"/>
      <c r="T179" s="40"/>
      <c r="U179" s="45"/>
      <c r="V179" s="41"/>
      <c r="W179" s="45"/>
    </row>
    <row r="180" spans="2:25" s="17" customFormat="1" ht="15" customHeight="1" x14ac:dyDescent="0.25">
      <c r="B180" s="11"/>
      <c r="C180" s="11"/>
      <c r="D180" s="5"/>
      <c r="E180" s="50"/>
      <c r="F180" s="50"/>
      <c r="G180" s="40"/>
      <c r="H180" s="5"/>
      <c r="I180" s="13"/>
      <c r="J180" s="14"/>
      <c r="K180" s="15"/>
      <c r="L180" s="14"/>
      <c r="M180" s="16"/>
      <c r="N180" s="12"/>
      <c r="O180" s="12"/>
      <c r="P180" s="45"/>
      <c r="Q180" s="45"/>
      <c r="R180" s="45"/>
      <c r="S180" s="45"/>
      <c r="T180" s="45" t="e">
        <f ca="1">SUM(T161:T179)</f>
        <v>#NAME?</v>
      </c>
      <c r="U180" s="45" t="e">
        <f ca="1">SUM(U161:U179)</f>
        <v>#NAME?</v>
      </c>
      <c r="V180" s="41"/>
      <c r="W180" s="45"/>
    </row>
    <row r="181" spans="2:25" ht="15" customHeight="1" x14ac:dyDescent="0.2">
      <c r="B181" s="18" t="s">
        <v>19</v>
      </c>
      <c r="C181" s="18"/>
      <c r="D181" s="18"/>
      <c r="E181" s="19" t="e">
        <f ca="1">S181/S182</f>
        <v>#N/A</v>
      </c>
      <c r="F181" s="19"/>
      <c r="G181" s="20"/>
      <c r="H181" s="21"/>
      <c r="I181" s="22"/>
      <c r="J181" s="23"/>
      <c r="K181" s="23"/>
      <c r="L181" s="23"/>
      <c r="M181" s="23"/>
      <c r="N181" s="24"/>
      <c r="O181" s="24"/>
      <c r="P181" s="20"/>
      <c r="Q181" s="20"/>
      <c r="R181" s="20" t="e">
        <f ca="1">S181*_xll.BDP("USDRUB Curncy","PX_LAST")</f>
        <v>#NAME?</v>
      </c>
      <c r="S181" s="25">
        <f>SUMIF('Balances-Currency'!B:B,$E$2,'Balances-Currency'!F:F)</f>
        <v>491620.782427</v>
      </c>
      <c r="T181" s="26"/>
      <c r="U181" s="27"/>
      <c r="V181" s="23"/>
      <c r="W181" s="25">
        <f>S181</f>
        <v>491620.782427</v>
      </c>
      <c r="X181" s="23"/>
      <c r="Y181" s="23"/>
    </row>
    <row r="182" spans="2:25" ht="15" customHeight="1" thickBot="1" x14ac:dyDescent="0.25">
      <c r="B182" s="29"/>
      <c r="C182" s="29"/>
      <c r="D182" s="29"/>
      <c r="E182" s="30" t="e">
        <f ca="1">E83+E159+E181</f>
        <v>#N/A</v>
      </c>
      <c r="F182" s="30"/>
      <c r="G182" s="29"/>
      <c r="H182" s="29"/>
      <c r="I182" s="29"/>
      <c r="J182" s="31"/>
      <c r="K182" s="30"/>
      <c r="L182" s="31"/>
      <c r="M182" s="31"/>
      <c r="N182" s="32"/>
      <c r="O182" s="32"/>
      <c r="P182" s="33" t="e">
        <f t="shared" ref="P182:S182" ca="1" si="21">P83+P159+P181</f>
        <v>#NAME?</v>
      </c>
      <c r="Q182" s="33">
        <f t="shared" si="21"/>
        <v>4189220.2011780003</v>
      </c>
      <c r="R182" s="33" t="e">
        <f t="shared" ca="1" si="21"/>
        <v>#N/A</v>
      </c>
      <c r="S182" s="33" t="e">
        <f t="shared" ca="1" si="21"/>
        <v>#N/A</v>
      </c>
      <c r="T182" s="33" t="e">
        <f ca="1">T83+T159+T180</f>
        <v>#N/A</v>
      </c>
      <c r="U182" s="33" t="e">
        <f ca="1">U83+U159+U180</f>
        <v>#N/A</v>
      </c>
      <c r="V182" s="32" t="e">
        <f ca="1">SUMPRODUCT($E$9:$E$158,V9:V158)/100</f>
        <v>#N/A</v>
      </c>
      <c r="W182" s="33" t="e">
        <f ca="1">W83+W159+W181</f>
        <v>#N/A</v>
      </c>
      <c r="X182" s="32"/>
      <c r="Y182" s="32"/>
    </row>
    <row r="183" spans="2:25" ht="15" customHeight="1" x14ac:dyDescent="0.2"/>
    <row r="184" spans="2:25" ht="15" customHeight="1" x14ac:dyDescent="0.2"/>
  </sheetData>
  <conditionalFormatting sqref="K159 K83 K180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{C41D2FE5-3EBB-40C5-90D5-E661784666CB}</x14:id>
        </ext>
      </extLst>
    </cfRule>
  </conditionalFormatting>
  <conditionalFormatting sqref="V83:V84 V159 V180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{04E1F7EB-65BB-48EA-B985-07BA5B21F8B0}</x14:id>
        </ext>
      </extLst>
    </cfRule>
  </conditionalFormatting>
  <conditionalFormatting sqref="N83:O84 N159:O159 N180:O180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{420C9EDD-144E-4193-BA97-FEDDBA6D3637}</x14:id>
        </ext>
      </extLst>
    </cfRule>
  </conditionalFormatting>
  <conditionalFormatting sqref="N83:O84 N159:O159 N180:O180">
    <cfRule type="dataBar" priority="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{56828864-30A2-4107-90CD-088861309841}</x14:id>
        </ext>
      </extLst>
    </cfRule>
  </conditionalFormatting>
  <conditionalFormatting sqref="K159 K83 K180:K181">
    <cfRule type="dataBar" priority="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{C6FC018D-1319-4817-825A-3DB7BD13C6B3}</x14:id>
        </ext>
      </extLst>
    </cfRule>
  </conditionalFormatting>
  <conditionalFormatting sqref="N83:N84 N159 N180:N182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{84F4FD01-4BC8-4DA6-9D6D-8A259F0866F4}</x14:id>
        </ext>
      </extLst>
    </cfRule>
  </conditionalFormatting>
  <conditionalFormatting sqref="O83:O84 O159 O180:O182">
    <cfRule type="dataBar" priority="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{E1E5ADE1-40CB-4F4A-9ABE-8E22A756D82C}</x14:id>
        </ext>
      </extLst>
    </cfRule>
  </conditionalFormatting>
  <conditionalFormatting sqref="V83:V84 V159 V180:V181">
    <cfRule type="dataBar" priority="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{3C8A6055-1B04-4C78-804B-CA0AED8E211A}</x14:id>
        </ext>
      </extLst>
    </cfRule>
  </conditionalFormatting>
  <conditionalFormatting sqref="N7:O7 N83:O84 N159:O159 N180:O182">
    <cfRule type="dataBar" priority="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{A42F7870-4C85-487D-9B9B-2536F1616405}</x14:id>
        </ext>
      </extLst>
    </cfRule>
  </conditionalFormatting>
  <conditionalFormatting sqref="O182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{2D0A3A1C-7F89-4026-B0AB-FC48477DC69B}</x14:id>
        </ext>
      </extLst>
    </cfRule>
  </conditionalFormatting>
  <conditionalFormatting sqref="V182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{FEE31638-41E9-4213-937F-0386E7ADBA41}</x14:id>
        </ext>
      </extLst>
    </cfRule>
  </conditionalFormatting>
  <conditionalFormatting sqref="V182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{A4382293-DC09-44B5-B451-7A2E031A776E}</x14:id>
        </ext>
      </extLst>
    </cfRule>
  </conditionalFormatting>
  <conditionalFormatting sqref="V182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{D606210B-5E44-4EF7-A711-4A4571272AA8}</x14:id>
        </ext>
      </extLst>
    </cfRule>
  </conditionalFormatting>
  <conditionalFormatting sqref="K8">
    <cfRule type="dataBar" priority="4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{8C818474-C0F6-4C40-941C-057D84607890}</x14:id>
        </ext>
      </extLst>
    </cfRule>
  </conditionalFormatting>
  <conditionalFormatting sqref="V8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{3FF9A3E5-79B5-453B-810B-A492B495CD17}</x14:id>
        </ext>
      </extLst>
    </cfRule>
  </conditionalFormatting>
  <conditionalFormatting sqref="N8:O8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{C21413F2-A5CD-42F9-9EAC-BA9AAACC2C59}</x14:id>
        </ext>
      </extLst>
    </cfRule>
  </conditionalFormatting>
  <conditionalFormatting sqref="N8:O8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{2C6E559D-6A1F-410E-82ED-212394E3FC3F}</x14:id>
        </ext>
      </extLst>
    </cfRule>
  </conditionalFormatting>
  <conditionalFormatting sqref="K8">
    <cfRule type="dataBar" priority="4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{7E77CAEE-BC20-434B-AE34-20027FD03E4D}</x14:id>
        </ext>
      </extLst>
    </cfRule>
  </conditionalFormatting>
  <conditionalFormatting sqref="N8">
    <cfRule type="dataBar" priority="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{078BB76E-B481-4C38-B50B-AFA9E4A379E6}</x14:id>
        </ext>
      </extLst>
    </cfRule>
  </conditionalFormatting>
  <conditionalFormatting sqref="O8">
    <cfRule type="dataBar" priority="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{B01844A6-906D-4C5E-A852-A8D4817C79D3}</x14:id>
        </ext>
      </extLst>
    </cfRule>
  </conditionalFormatting>
  <conditionalFormatting sqref="V8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{B205D90C-453F-4BF9-AB9E-461C38054DC9}</x14:id>
        </ext>
      </extLst>
    </cfRule>
  </conditionalFormatting>
  <conditionalFormatting sqref="N8:O8">
    <cfRule type="dataBar" priority="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{3D151B54-42EB-40E6-9EA6-3B33BBDD7588}</x14:id>
        </ext>
      </extLst>
    </cfRule>
  </conditionalFormatting>
  <conditionalFormatting sqref="V85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{149CEC40-3FA7-42DB-8FD8-5D19F1D04ABD}</x14:id>
        </ext>
      </extLst>
    </cfRule>
  </conditionalFormatting>
  <conditionalFormatting sqref="N85:O85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{8AA02CD3-3D8A-4C2B-9D90-681106E592F0}</x14:id>
        </ext>
      </extLst>
    </cfRule>
  </conditionalFormatting>
  <conditionalFormatting sqref="N85:O85">
    <cfRule type="dataBar" priority="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{03F0422C-B6BD-45EB-BFB8-C650AE4D57F8}</x14:id>
        </ext>
      </extLst>
    </cfRule>
  </conditionalFormatting>
  <conditionalFormatting sqref="N85">
    <cfRule type="dataBar" priority="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{5E949302-FEFF-4627-BE01-50CEC6D525F5}</x14:id>
        </ext>
      </extLst>
    </cfRule>
  </conditionalFormatting>
  <conditionalFormatting sqref="O85">
    <cfRule type="dataBar" priority="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{98B84448-FD85-4D71-9F08-F20B6C24ED7C}</x14:id>
        </ext>
      </extLst>
    </cfRule>
  </conditionalFormatting>
  <conditionalFormatting sqref="V85">
    <cfRule type="dataBar" priority="4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{16EC71CC-F447-4EF9-909E-286DFF534BB0}</x14:id>
        </ext>
      </extLst>
    </cfRule>
  </conditionalFormatting>
  <conditionalFormatting sqref="W84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{A68E161C-1798-4D57-A8BA-DB09E99E4EF2}</x14:id>
        </ext>
      </extLst>
    </cfRule>
  </conditionalFormatting>
  <conditionalFormatting sqref="W84">
    <cfRule type="dataBar" priority="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{0C416F86-D2F6-43DD-A0A2-0A51C3AE97CD}</x14:id>
        </ext>
      </extLst>
    </cfRule>
  </conditionalFormatting>
  <conditionalFormatting sqref="W8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{563C94B4-63D1-4F6B-B046-C85301136559}</x14:id>
        </ext>
      </extLst>
    </cfRule>
  </conditionalFormatting>
  <conditionalFormatting sqref="W8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{BDE09B0D-7836-47AF-82C0-760AFA1D0A1E}</x14:id>
        </ext>
      </extLst>
    </cfRule>
  </conditionalFormatting>
  <conditionalFormatting sqref="X181:Y181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{87E3FF09-587C-4A63-8203-64632EB0CDA7}</x14:id>
        </ext>
      </extLst>
    </cfRule>
  </conditionalFormatting>
  <conditionalFormatting sqref="X182:Y182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{B55DACA2-10C8-4A1D-8F71-D3393831ABD2}</x14:id>
        </ext>
      </extLst>
    </cfRule>
  </conditionalFormatting>
  <conditionalFormatting sqref="X182:Y182">
    <cfRule type="dataBar" priority="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{2E4BD6C5-87B3-4CB6-B27E-B8C91070B4EF}</x14:id>
        </ext>
      </extLst>
    </cfRule>
  </conditionalFormatting>
  <conditionalFormatting sqref="X182:Y182">
    <cfRule type="dataBar" priority="3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{31739181-8D93-4E5D-880D-4B9A19F51CE2}</x14:id>
        </ext>
      </extLst>
    </cfRule>
  </conditionalFormatting>
  <conditionalFormatting sqref="O182">
    <cfRule type="dataBar" priority="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{A973173A-6F77-4EED-BBFD-65A84E40A8AB}</x14:id>
        </ext>
      </extLst>
    </cfRule>
  </conditionalFormatting>
  <conditionalFormatting sqref="N182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{BD2C7BC8-4051-4563-A782-C5AF82DA1E98}</x14:id>
        </ext>
      </extLst>
    </cfRule>
  </conditionalFormatting>
  <conditionalFormatting sqref="N182">
    <cfRule type="dataBar" priority="3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{28736309-7DA7-42BA-84BC-724BA2D4B795}</x14:id>
        </ext>
      </extLst>
    </cfRule>
  </conditionalFormatting>
  <conditionalFormatting sqref="N182">
    <cfRule type="dataBar" priority="3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{88398CF8-2EE1-4EF3-9A22-9D692E759A4E}</x14:id>
        </ext>
      </extLst>
    </cfRule>
  </conditionalFormatting>
  <conditionalFormatting sqref="N159 N180">
    <cfRule type="dataBar" priority="3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{D9D1A282-0438-4B32-A3F5-EC7652224E38}</x14:id>
        </ext>
      </extLst>
    </cfRule>
  </conditionalFormatting>
  <conditionalFormatting sqref="V9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{018EFF57-3E94-41CC-9EA2-1549AF55E461}</x14:id>
        </ext>
      </extLst>
    </cfRule>
  </conditionalFormatting>
  <conditionalFormatting sqref="N9:O9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{B096B507-490B-4CAC-B2B7-FB3CC7E93032}</x14:id>
        </ext>
      </extLst>
    </cfRule>
  </conditionalFormatting>
  <conditionalFormatting sqref="N9:O9">
    <cfRule type="dataBar" priority="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{25CC5417-8AB3-479C-B0AE-0DEBC29175AB}</x14:id>
        </ext>
      </extLst>
    </cfRule>
  </conditionalFormatting>
  <conditionalFormatting sqref="N9">
    <cfRule type="dataBar" priority="3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{C793EFDE-9A6C-41E5-8A4C-E6E229D69CE3}</x14:id>
        </ext>
      </extLst>
    </cfRule>
  </conditionalFormatting>
  <conditionalFormatting sqref="O9">
    <cfRule type="dataBar" priority="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{6D10F886-0A17-4B40-9C37-D7310449AE9D}</x14:id>
        </ext>
      </extLst>
    </cfRule>
  </conditionalFormatting>
  <conditionalFormatting sqref="V9">
    <cfRule type="dataBar" priority="3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{4E2AC6CA-67A9-4E72-B3FC-C7A67A4E6538}</x14:id>
        </ext>
      </extLst>
    </cfRule>
  </conditionalFormatting>
  <conditionalFormatting sqref="N9:O9">
    <cfRule type="dataBar" priority="3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{0900B819-72C5-4A93-ACE6-6602C87023C6}</x14:id>
        </ext>
      </extLst>
    </cfRule>
  </conditionalFormatting>
  <conditionalFormatting sqref="K9">
    <cfRule type="dataBar" priority="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{6D1FCA62-A267-4E25-8DBF-E4801BE94D88}</x14:id>
        </ext>
      </extLst>
    </cfRule>
  </conditionalFormatting>
  <conditionalFormatting sqref="K9">
    <cfRule type="dataBar" priority="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{807EA612-7677-49B0-BA35-8D079BB2EF65}</x14:id>
        </ext>
      </extLst>
    </cfRule>
  </conditionalFormatting>
  <conditionalFormatting sqref="K9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{9B574E38-EBB1-437A-A631-91AC215F4CDD}</x14:id>
        </ext>
      </extLst>
    </cfRule>
  </conditionalFormatting>
  <conditionalFormatting sqref="V160">
    <cfRule type="dataBar" priority="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{B26BEF34-F6E4-439F-9FA6-B2D35A64DD11}</x14:id>
        </ext>
      </extLst>
    </cfRule>
  </conditionalFormatting>
  <conditionalFormatting sqref="N160:O160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{69DE44B4-1ABC-4644-927D-F7B0A3DDEBF1}</x14:id>
        </ext>
      </extLst>
    </cfRule>
  </conditionalFormatting>
  <conditionalFormatting sqref="N160:O160">
    <cfRule type="dataBar" priority="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{330F37AD-59DA-4B85-B8BB-C8A4AA504E52}</x14:id>
        </ext>
      </extLst>
    </cfRule>
  </conditionalFormatting>
  <conditionalFormatting sqref="N16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{C207351F-52A1-40E0-9A2A-D62690500AA4}</x14:id>
        </ext>
      </extLst>
    </cfRule>
  </conditionalFormatting>
  <conditionalFormatting sqref="O160">
    <cfRule type="dataBar" priority="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{80BB36FC-2C70-4411-A4FF-47D4C878A851}</x14:id>
        </ext>
      </extLst>
    </cfRule>
  </conditionalFormatting>
  <conditionalFormatting sqref="V160">
    <cfRule type="dataBar" priority="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{4300A9F5-F04A-4E76-8709-0954F9B69331}</x14:id>
        </ext>
      </extLst>
    </cfRule>
  </conditionalFormatting>
  <conditionalFormatting sqref="N160:O16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{12D9E927-0242-434E-A128-4BE346BD92A6}</x14:id>
        </ext>
      </extLst>
    </cfRule>
  </conditionalFormatting>
  <conditionalFormatting sqref="K161">
    <cfRule type="dataBar" priority="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{DD05ED1F-3109-40C2-88A7-975D33541C35}</x14:id>
        </ext>
      </extLst>
    </cfRule>
  </conditionalFormatting>
  <conditionalFormatting sqref="V161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{158AA89D-FBC8-40E5-B458-BBD7F54C2EDC}</x14:id>
        </ext>
      </extLst>
    </cfRule>
  </conditionalFormatting>
  <conditionalFormatting sqref="N161:O161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{9FDBF2A5-4C09-462B-82FE-73AFBC5E82DC}</x14:id>
        </ext>
      </extLst>
    </cfRule>
  </conditionalFormatting>
  <conditionalFormatting sqref="N161:O161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{1E2425C0-9C9A-4FB1-B159-D5DFEFD7D062}</x14:id>
        </ext>
      </extLst>
    </cfRule>
  </conditionalFormatting>
  <conditionalFormatting sqref="K161">
    <cfRule type="dataBar" priority="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{7B36AB67-A9FB-4A41-BBD1-9F1914E67C50}</x14:id>
        </ext>
      </extLst>
    </cfRule>
  </conditionalFormatting>
  <conditionalFormatting sqref="N161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{547AD8EA-F8C6-40EF-8C44-E94A168ADA22}</x14:id>
        </ext>
      </extLst>
    </cfRule>
  </conditionalFormatting>
  <conditionalFormatting sqref="O161">
    <cfRule type="dataBar" priority="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{D7FF0FA6-7134-4D5D-9FBD-EDCADF9B6F27}</x14:id>
        </ext>
      </extLst>
    </cfRule>
  </conditionalFormatting>
  <conditionalFormatting sqref="V161">
    <cfRule type="dataBar" priority="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{7153F4BD-F9BB-47EB-AF4C-4944631C91A7}</x14:id>
        </ext>
      </extLst>
    </cfRule>
  </conditionalFormatting>
  <conditionalFormatting sqref="N161:O161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{FD5765A5-BE1E-4BE1-BBB3-25FD0683010D}</x14:id>
        </ext>
      </extLst>
    </cfRule>
  </conditionalFormatting>
  <conditionalFormatting sqref="N161">
    <cfRule type="dataBar" priority="3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{525E86CA-2B1B-4325-A79B-B7D7AB3D0116}</x14:id>
        </ext>
      </extLst>
    </cfRule>
  </conditionalFormatting>
  <conditionalFormatting sqref="V10:V82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{3D308386-EA24-4ABB-A83A-91CCB083B093}</x14:id>
        </ext>
      </extLst>
    </cfRule>
  </conditionalFormatting>
  <conditionalFormatting sqref="N10:O82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{7E1F9530-906E-4DB4-8D51-9FFE0A6BECE9}</x14:id>
        </ext>
      </extLst>
    </cfRule>
  </conditionalFormatting>
  <conditionalFormatting sqref="N10:O82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{96B35993-959C-4A4A-AB1F-89BA4A19DCD8}</x14:id>
        </ext>
      </extLst>
    </cfRule>
  </conditionalFormatting>
  <conditionalFormatting sqref="N10:N82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{E08FF40F-AC9B-422F-8A96-A134D1F4ED86}</x14:id>
        </ext>
      </extLst>
    </cfRule>
  </conditionalFormatting>
  <conditionalFormatting sqref="O10:O82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{9C2CB5F1-139B-4FE2-B055-52B60326F58A}</x14:id>
        </ext>
      </extLst>
    </cfRule>
  </conditionalFormatting>
  <conditionalFormatting sqref="V10:V8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{9EA45770-B8C1-4562-B086-0452B69B5D37}</x14:id>
        </ext>
      </extLst>
    </cfRule>
  </conditionalFormatting>
  <conditionalFormatting sqref="N10:O82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{0CB2C635-88F3-4426-AEAA-B509EB02771F}</x14:id>
        </ext>
      </extLst>
    </cfRule>
  </conditionalFormatting>
  <conditionalFormatting sqref="K10:K82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{EB9CD447-CFCA-4C80-B7D2-F227A100C5C7}</x14:id>
        </ext>
      </extLst>
    </cfRule>
  </conditionalFormatting>
  <conditionalFormatting sqref="K10:K82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{00C49355-BC37-4E40-9686-0524725AFEF9}</x14:id>
        </ext>
      </extLst>
    </cfRule>
  </conditionalFormatting>
  <conditionalFormatting sqref="K10:K82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{1E7C8957-FE74-48E6-9317-DD183A5AC023}</x14:id>
        </ext>
      </extLst>
    </cfRule>
  </conditionalFormatting>
  <conditionalFormatting sqref="K162:K179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{FA5792C9-F605-4DD8-917A-A2BC8831910E}</x14:id>
        </ext>
      </extLst>
    </cfRule>
  </conditionalFormatting>
  <conditionalFormatting sqref="V162:V179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{A3133027-8001-4748-A13C-53D9FDA37196}</x14:id>
        </ext>
      </extLst>
    </cfRule>
  </conditionalFormatting>
  <conditionalFormatting sqref="N162:O179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{EDFF7AAD-BEEE-4A28-ADD5-C7DFFEB804ED}</x14:id>
        </ext>
      </extLst>
    </cfRule>
  </conditionalFormatting>
  <conditionalFormatting sqref="N162:O17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{9E5EEE96-623C-4DFF-9958-86C7CE736843}</x14:id>
        </ext>
      </extLst>
    </cfRule>
  </conditionalFormatting>
  <conditionalFormatting sqref="K162:K17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{8F09522A-646B-47B6-9DEC-808F4121BA1E}</x14:id>
        </ext>
      </extLst>
    </cfRule>
  </conditionalFormatting>
  <conditionalFormatting sqref="N162:N17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{E0A27E22-AB77-4DF2-BF26-5D3D59065C8C}</x14:id>
        </ext>
      </extLst>
    </cfRule>
  </conditionalFormatting>
  <conditionalFormatting sqref="O162:O17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{A6416E28-CDCE-4943-8E56-9F5C87416151}</x14:id>
        </ext>
      </extLst>
    </cfRule>
  </conditionalFormatting>
  <conditionalFormatting sqref="V162:V17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{7BCAC763-FA5C-42BE-94E0-DDCE57A5395B}</x14:id>
        </ext>
      </extLst>
    </cfRule>
  </conditionalFormatting>
  <conditionalFormatting sqref="N162:O17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{EA010C66-F4D6-4530-899F-BC81AAF0E7AC}</x14:id>
        </ext>
      </extLst>
    </cfRule>
  </conditionalFormatting>
  <conditionalFormatting sqref="N162:N17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{829DA977-05E0-4291-A775-7A8ACD919B10}</x14:id>
        </ext>
      </extLst>
    </cfRule>
  </conditionalFormatting>
  <conditionalFormatting sqref="V86:V15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{85FC0DD5-D919-4748-8A14-C08BAC0FC8B0}</x14:id>
        </ext>
      </extLst>
    </cfRule>
  </conditionalFormatting>
  <conditionalFormatting sqref="N86:O15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{3E64E43A-78A3-44E9-A417-4D90044C1D51}</x14:id>
        </ext>
      </extLst>
    </cfRule>
  </conditionalFormatting>
  <conditionalFormatting sqref="N86:O15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{1B7C9BAF-3E12-4B5F-B712-9FD01900A6C6}</x14:id>
        </ext>
      </extLst>
    </cfRule>
  </conditionalFormatting>
  <conditionalFormatting sqref="N86:N15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{60A41841-BE6F-48CD-A612-39DB7F896277}</x14:id>
        </ext>
      </extLst>
    </cfRule>
  </conditionalFormatting>
  <conditionalFormatting sqref="O86:O15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{BC5F0727-E49C-40AF-B778-C62A8BBCA240}</x14:id>
        </ext>
      </extLst>
    </cfRule>
  </conditionalFormatting>
  <conditionalFormatting sqref="V86:V15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{76DAB267-9AB1-4276-9B9F-CD515B578693}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 altText="Упорядочить">
                <anchor moveWithCells="1" sizeWithCells="1">
                  <from>
                    <xdr:col>5</xdr:col>
                    <xdr:colOff>257175</xdr:colOff>
                    <xdr:row>0</xdr:row>
                    <xdr:rowOff>57150</xdr:rowOff>
                  </from>
                  <to>
                    <xdr:col>8</xdr:col>
                    <xdr:colOff>466725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1D2FE5-3EBB-40C5-90D5-E661784666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</xm:sqref>
        </x14:conditionalFormatting>
        <x14:conditionalFormatting xmlns:xm="http://schemas.microsoft.com/office/excel/2006/main">
          <x14:cfRule type="dataBar" id="{04E1F7EB-65BB-48EA-B985-07BA5B21F8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V83:V84 V159 V180</xm:sqref>
        </x14:conditionalFormatting>
        <x14:conditionalFormatting xmlns:xm="http://schemas.microsoft.com/office/excel/2006/main">
          <x14:cfRule type="dataBar" id="{420C9EDD-144E-4193-BA97-FEDDBA6D3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56828864-30A2-4107-90CD-0888613098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C6FC018D-1319-4817-825A-3DB7BD13C6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K180:K181</xm:sqref>
        </x14:conditionalFormatting>
        <x14:conditionalFormatting xmlns:xm="http://schemas.microsoft.com/office/excel/2006/main">
          <x14:cfRule type="dataBar" id="{84F4FD01-4BC8-4DA6-9D6D-8A259F0866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N83:N84 N159 N180:N182</xm:sqref>
        </x14:conditionalFormatting>
        <x14:conditionalFormatting xmlns:xm="http://schemas.microsoft.com/office/excel/2006/main">
          <x14:cfRule type="dataBar" id="{E1E5ADE1-40CB-4F4A-9ABE-8E22A756D8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O83:O84 O159 O180:O182</xm:sqref>
        </x14:conditionalFormatting>
        <x14:conditionalFormatting xmlns:xm="http://schemas.microsoft.com/office/excel/2006/main">
          <x14:cfRule type="dataBar" id="{3C8A6055-1B04-4C78-804B-CA0AED8E21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V83:V84 V159 V180:V181</xm:sqref>
        </x14:conditionalFormatting>
        <x14:conditionalFormatting xmlns:xm="http://schemas.microsoft.com/office/excel/2006/main">
          <x14:cfRule type="dataBar" id="{A42F7870-4C85-487D-9B9B-2536F16164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N83:O84 N159:O159 N180:O182</xm:sqref>
        </x14:conditionalFormatting>
        <x14:conditionalFormatting xmlns:xm="http://schemas.microsoft.com/office/excel/2006/main">
          <x14:cfRule type="dataBar" id="{2D0A3A1C-7F89-4026-B0AB-FC48477DC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FEE31638-41E9-4213-937F-0386E7ADBA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A4382293-DC09-44B5-B451-7A2E031A77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D606210B-5E44-4EF7-A711-4A4571272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8C818474-C0F6-4C40-941C-057D846078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FF9A3E5-79B5-453B-810B-A492B495C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21413F2-A5CD-42F9-9EAC-BA9AAACC2C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2C6E559D-6A1F-410E-82ED-212394E3FC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7E77CAEE-BC20-434B-AE34-20027FD03E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078BB76E-B481-4C38-B50B-AFA9E4A379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B01844A6-906D-4C5E-A852-A8D4817C79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B205D90C-453F-4BF9-AB9E-461C38054D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D151B54-42EB-40E6-9EA6-3B33BBDD75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149CEC40-3FA7-42DB-8FD8-5D19F1D04A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8AA02CD3-3D8A-4C2B-9D90-681106E592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03F0422C-B6BD-45EB-BFB8-C650AE4D57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5E949302-FEFF-4627-BE01-50CEC6D52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98B84448-FD85-4D71-9F08-F20B6C24ED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16EC71CC-F447-4EF9-909E-286DFF534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A68E161C-1798-4D57-A8BA-DB09E99E4E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0C416F86-D2F6-43DD-A0A2-0A51C3AE97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563C94B4-63D1-4F6B-B046-C853011365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DE09B0D-7836-47AF-82C0-760AFA1D0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87E3FF09-587C-4A63-8203-64632EB0CD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X181:Y181</xm:sqref>
        </x14:conditionalFormatting>
        <x14:conditionalFormatting xmlns:xm="http://schemas.microsoft.com/office/excel/2006/main">
          <x14:cfRule type="dataBar" id="{B55DACA2-10C8-4A1D-8F71-D3393831A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2E4BD6C5-87B3-4CB6-B27E-B8C91070B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31739181-8D93-4E5D-880D-4B9A19F51C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A973173A-6F77-4EED-BBFD-65A84E40A8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BD2C7BC8-4051-4563-A782-C5AF82DA1E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28736309-7DA7-42BA-84BC-724BA2D4B7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88398CF8-2EE1-4EF3-9A22-9D692E759A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D9D1A282-0438-4B32-A3F5-EC7652224E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N159 N180</xm:sqref>
        </x14:conditionalFormatting>
        <x14:conditionalFormatting xmlns:xm="http://schemas.microsoft.com/office/excel/2006/main">
          <x14:cfRule type="dataBar" id="{018EFF57-3E94-41CC-9EA2-1549AF55E4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096B507-490B-4CAC-B2B7-FB3CC7E930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25CC5417-8AB3-479C-B0AE-0DEBC29175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C793EFDE-9A6C-41E5-8A4C-E6E229D69C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6D10F886-0A17-4B40-9C37-D7310449AE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4E2AC6CA-67A9-4E72-B3FC-C7A67A4E65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900B819-72C5-4A93-ACE6-6602C87023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6D1FCA62-A267-4E25-8DBF-E4801BE94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807EA612-7677-49B0-BA35-8D079BB2EF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9B574E38-EBB1-437A-A631-91AC215F4C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B26BEF34-F6E4-439F-9FA6-B2D35A64DD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69DE44B4-1ABC-4644-927D-F7B0A3DDEB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330F37AD-59DA-4B85-B8BB-C8A4AA504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C207351F-52A1-40E0-9A2A-D62690500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80BB36FC-2C70-4411-A4FF-47D4C878A8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4300A9F5-F04A-4E76-8709-0954F9B693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12D9E927-0242-434E-A128-4BE346BD92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DD05ED1F-3109-40C2-88A7-975D33541C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158AA89D-FBC8-40E5-B458-BBD7F54C2E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9FDBF2A5-4C09-462B-82FE-73AFBC5E82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1E2425C0-9C9A-4FB1-B159-D5DFEFD7D0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7B36AB67-A9FB-4A41-BBD1-9F1914E67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547AD8EA-F8C6-40EF-8C44-E94A168ADA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D7FF0FA6-7134-4D5D-9FBD-EDCADF9B6F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7153F4BD-F9BB-47EB-AF4C-4944631C9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FD5765A5-BE1E-4BE1-BBB3-25FD06830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525E86CA-2B1B-4325-A79B-B7D7AB3D01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3D308386-EA24-4ABB-A83A-91CCB083B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7E1F9530-906E-4DB4-8D51-9FFE0A6BEC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96B35993-959C-4A4A-AB1F-89BA4A19DC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E08FF40F-AC9B-422F-8A96-A134D1F4ED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N10:N82</xm:sqref>
        </x14:conditionalFormatting>
        <x14:conditionalFormatting xmlns:xm="http://schemas.microsoft.com/office/excel/2006/main">
          <x14:cfRule type="dataBar" id="{9C2CB5F1-139B-4FE2-B055-52B60326F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O10:O82</xm:sqref>
        </x14:conditionalFormatting>
        <x14:conditionalFormatting xmlns:xm="http://schemas.microsoft.com/office/excel/2006/main">
          <x14:cfRule type="dataBar" id="{9EA45770-B8C1-4562-B086-0452B69B5D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0CB2C635-88F3-4426-AEAA-B509EB0277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EB9CD447-CFCA-4C80-B7D2-F227A100C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00C49355-BC37-4E40-9686-0524725AF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1E7C8957-FE74-48E6-9317-DD183A5AC0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FA5792C9-F605-4DD8-917A-A2BC883191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A3133027-8001-4748-A13C-53D9FDA371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EDFF7AAD-BEEE-4A28-ADD5-C7DFFEB804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9E5EEE96-623C-4DFF-9958-86C7CE7368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8F09522A-646B-47B6-9DEC-808F4121B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E0A27E22-AB77-4DF2-BF26-5D3D59065C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A6416E28-CDCE-4943-8E56-9F5C87416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O162:O179</xm:sqref>
        </x14:conditionalFormatting>
        <x14:conditionalFormatting xmlns:xm="http://schemas.microsoft.com/office/excel/2006/main">
          <x14:cfRule type="dataBar" id="{7BCAC763-FA5C-42BE-94E0-DDCE57A539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EA010C66-F4D6-4530-899F-BC81AAF0E7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829DA977-05E0-4291-A775-7A8ACD919B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85FC0DD5-D919-4748-8A14-C08BAC0FC8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dataBar" id="{3E64E43A-78A3-44E9-A417-4D90044C1D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1B7C9BAF-3E12-4B5F-B712-9FD01900A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60A41841-BE6F-48CD-A612-39DB7F8962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N86:N158</xm:sqref>
        </x14:conditionalFormatting>
        <x14:conditionalFormatting xmlns:xm="http://schemas.microsoft.com/office/excel/2006/main">
          <x14:cfRule type="dataBar" id="{BC5F0727-E49C-40AF-B778-C62A8BBCA2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O86:O158</xm:sqref>
        </x14:conditionalFormatting>
        <x14:conditionalFormatting xmlns:xm="http://schemas.microsoft.com/office/excel/2006/main">
          <x14:cfRule type="dataBar" id="{76DAB267-9AB1-4276-9B9F-CD515B5786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iconSet" priority="427" id="{365F485D-3A73-4544-9D7B-49EBF4D5D4F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L159 L83:L84 L180</xm:sqref>
        </x14:conditionalFormatting>
        <x14:conditionalFormatting xmlns:xm="http://schemas.microsoft.com/office/excel/2006/main">
          <x14:cfRule type="iconSet" priority="413" id="{F4656E5B-155F-4FD9-92E3-CBEB2D58F32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403" id="{1A2DB893-C553-4998-BEC9-3DCC3ABE4BE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L85</xm:sqref>
        </x14:conditionalFormatting>
        <x14:conditionalFormatting xmlns:xm="http://schemas.microsoft.com/office/excel/2006/main">
          <x14:cfRule type="iconSet" priority="383" id="{D90D14C2-D4DF-4AA0-98B0-63DFB551764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</xm:sqref>
        </x14:conditionalFormatting>
        <x14:conditionalFormatting xmlns:xm="http://schemas.microsoft.com/office/excel/2006/main">
          <x14:cfRule type="iconSet" priority="372" id="{95E0CA1A-EFCB-489F-BC8D-E8538FA2DB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L160</xm:sqref>
        </x14:conditionalFormatting>
        <x14:conditionalFormatting xmlns:xm="http://schemas.microsoft.com/office/excel/2006/main">
          <x14:cfRule type="iconSet" priority="364" id="{4E927287-871A-44CD-B634-3C74283F70B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L161</xm:sqref>
        </x14:conditionalFormatting>
        <x14:conditionalFormatting xmlns:xm="http://schemas.microsoft.com/office/excel/2006/main">
          <x14:cfRule type="iconSet" priority="36" id="{28AD7728-ECAC-465A-9A63-A09ADC345B0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L10:L82</xm:sqref>
        </x14:conditionalFormatting>
        <x14:conditionalFormatting xmlns:xm="http://schemas.microsoft.com/office/excel/2006/main">
          <x14:cfRule type="iconSet" priority="18" id="{7EF93986-8FC3-48C1-9DAA-477EA9562E4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L162:L179</xm:sqref>
        </x14:conditionalFormatting>
        <x14:conditionalFormatting xmlns:xm="http://schemas.microsoft.com/office/excel/2006/main">
          <x14:cfRule type="iconSet" priority="7" id="{7F9DC22D-F273-4156-BEB0-035A95F432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L86:L158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4140"/>
  <sheetViews>
    <sheetView topLeftCell="A47" workbookViewId="0">
      <selection activeCell="L52" sqref="L52"/>
    </sheetView>
  </sheetViews>
  <sheetFormatPr defaultRowHeight="15" x14ac:dyDescent="0.25"/>
  <cols>
    <col min="1" max="1" width="11.85546875" style="5" customWidth="1"/>
    <col min="2" max="2" width="14.7109375" style="5" customWidth="1"/>
    <col min="3" max="3" width="15.42578125" style="5" customWidth="1"/>
    <col min="4" max="4" width="17.140625" style="5" customWidth="1"/>
    <col min="5" max="5" width="12.42578125" style="5" customWidth="1"/>
    <col min="6" max="6" width="20.5703125" style="5" customWidth="1"/>
    <col min="7" max="7" width="15.5703125" style="5" customWidth="1"/>
    <col min="8" max="8" width="15.42578125" style="5" customWidth="1"/>
    <col min="9" max="9" width="11.140625" style="5" customWidth="1"/>
    <col min="10" max="16384" width="9.140625" style="2"/>
  </cols>
  <sheetData>
    <row r="1" spans="1:15" x14ac:dyDescent="0.25">
      <c r="A1" s="75" t="s">
        <v>4789</v>
      </c>
      <c r="B1" s="75" t="s">
        <v>4790</v>
      </c>
      <c r="C1" s="75" t="s">
        <v>4791</v>
      </c>
      <c r="D1" s="75" t="s">
        <v>20</v>
      </c>
      <c r="E1" s="75" t="s">
        <v>4792</v>
      </c>
      <c r="F1" s="75" t="s">
        <v>4793</v>
      </c>
      <c r="G1" s="75" t="s">
        <v>4794</v>
      </c>
      <c r="H1" s="75" t="s">
        <v>4795</v>
      </c>
      <c r="I1" s="75" t="s">
        <v>4796</v>
      </c>
    </row>
    <row r="2" spans="1:15" x14ac:dyDescent="0.25">
      <c r="A2" s="76">
        <v>43053</v>
      </c>
      <c r="B2" s="77" t="s">
        <v>4797</v>
      </c>
      <c r="C2" s="77" t="s">
        <v>4798</v>
      </c>
      <c r="D2" s="77" t="s">
        <v>45</v>
      </c>
      <c r="E2" s="78">
        <v>83000</v>
      </c>
      <c r="F2" s="77" t="s">
        <v>4799</v>
      </c>
      <c r="G2" s="78">
        <v>39.21</v>
      </c>
      <c r="H2" s="78">
        <v>0.68226100000000001</v>
      </c>
      <c r="I2" s="77" t="s">
        <v>4800</v>
      </c>
      <c r="L2" s="3">
        <f>VLOOKUP(C2,Securities!A:D,4,FALSE)</f>
        <v>1</v>
      </c>
      <c r="M2" s="2" t="str">
        <f>VLOOKUP(C2,Securities!A:B,2,FALSE)</f>
        <v>RUAL RX Equity</v>
      </c>
      <c r="O2" s="3">
        <f t="shared" ref="O2:O65" si="0">SUMIFS(E:E,C:C,C2,B:B,B2)</f>
        <v>83000</v>
      </c>
    </row>
    <row r="3" spans="1:15" x14ac:dyDescent="0.25">
      <c r="A3" s="79">
        <v>43053</v>
      </c>
      <c r="B3" s="80" t="s">
        <v>4797</v>
      </c>
      <c r="C3" s="80" t="s">
        <v>4801</v>
      </c>
      <c r="D3" s="80" t="s">
        <v>4802</v>
      </c>
      <c r="E3" s="81">
        <v>319</v>
      </c>
      <c r="F3" s="80" t="s">
        <v>4799</v>
      </c>
      <c r="G3" s="81">
        <v>10761.36994</v>
      </c>
      <c r="H3" s="81">
        <v>187.25</v>
      </c>
      <c r="I3" s="80" t="s">
        <v>4800</v>
      </c>
      <c r="L3" s="3">
        <f>VLOOKUP(C3,Securities!A:D,4,FALSE)</f>
        <v>1</v>
      </c>
      <c r="M3" s="3" t="str">
        <f>VLOOKUP(C3,Securities!A:B,2,FALSE)</f>
        <v>AGN US Equity</v>
      </c>
      <c r="O3" s="3">
        <f t="shared" si="0"/>
        <v>319</v>
      </c>
    </row>
    <row r="4" spans="1:15" x14ac:dyDescent="0.25">
      <c r="A4" s="76">
        <v>43053</v>
      </c>
      <c r="B4" s="77" t="s">
        <v>4797</v>
      </c>
      <c r="C4" s="77" t="s">
        <v>4803</v>
      </c>
      <c r="D4" s="77" t="s">
        <v>39</v>
      </c>
      <c r="E4" s="78">
        <v>3866</v>
      </c>
      <c r="F4" s="77" t="s">
        <v>4804</v>
      </c>
      <c r="G4" s="78">
        <v>760.90839200000005</v>
      </c>
      <c r="H4" s="78">
        <v>12.966632000000001</v>
      </c>
      <c r="I4" s="77" t="s">
        <v>4800</v>
      </c>
      <c r="L4" s="3">
        <f>VLOOKUP(C4,Securities!A:D,4,FALSE)</f>
        <v>1</v>
      </c>
      <c r="M4" s="3" t="str">
        <f>VLOOKUP(C4,Securities!A:B,2,FALSE)</f>
        <v>AGRO LI Equity</v>
      </c>
      <c r="O4" s="3">
        <f t="shared" si="0"/>
        <v>3866</v>
      </c>
    </row>
    <row r="5" spans="1:15" x14ac:dyDescent="0.25">
      <c r="A5" s="79">
        <v>43053</v>
      </c>
      <c r="B5" s="80" t="s">
        <v>4797</v>
      </c>
      <c r="C5" s="80" t="s">
        <v>4805</v>
      </c>
      <c r="D5" s="80" t="s">
        <v>31</v>
      </c>
      <c r="E5" s="81">
        <v>258000</v>
      </c>
      <c r="F5" s="80" t="s">
        <v>4806</v>
      </c>
      <c r="G5" s="81">
        <v>176</v>
      </c>
      <c r="H5" s="81">
        <v>176</v>
      </c>
      <c r="I5" s="80" t="s">
        <v>4800</v>
      </c>
      <c r="L5" s="3">
        <f>VLOOKUP(C5,Securities!A:D,4,FALSE)</f>
        <v>5</v>
      </c>
      <c r="M5" s="3" t="str">
        <f>VLOOKUP(C5,Securities!A:B,2,FALSE)</f>
        <v>TT343269 Corp</v>
      </c>
      <c r="O5" s="3">
        <f t="shared" si="0"/>
        <v>258000</v>
      </c>
    </row>
    <row r="6" spans="1:15" x14ac:dyDescent="0.25">
      <c r="A6" s="76">
        <v>43053</v>
      </c>
      <c r="B6" s="77" t="s">
        <v>4797</v>
      </c>
      <c r="C6" s="77" t="s">
        <v>4807</v>
      </c>
      <c r="D6" s="77" t="s">
        <v>4808</v>
      </c>
      <c r="E6" s="78">
        <v>200000</v>
      </c>
      <c r="F6" s="77" t="s">
        <v>4806</v>
      </c>
      <c r="G6" s="78">
        <v>103.5</v>
      </c>
      <c r="H6" s="78">
        <v>103.5</v>
      </c>
      <c r="I6" s="77" t="s">
        <v>4800</v>
      </c>
      <c r="L6" s="3">
        <f>VLOOKUP(C6,Securities!A:D,4,FALSE)</f>
        <v>5</v>
      </c>
      <c r="M6" s="3" t="str">
        <f>VLOOKUP(C6,Securities!A:B,2,FALSE)</f>
        <v>XS0975320879 Corp</v>
      </c>
      <c r="O6" s="3">
        <f t="shared" si="0"/>
        <v>200000</v>
      </c>
    </row>
    <row r="7" spans="1:15" x14ac:dyDescent="0.25">
      <c r="A7" s="79">
        <v>43053</v>
      </c>
      <c r="B7" s="80" t="s">
        <v>4797</v>
      </c>
      <c r="C7" s="80" t="s">
        <v>4809</v>
      </c>
      <c r="D7" s="80" t="s">
        <v>30</v>
      </c>
      <c r="E7" s="81">
        <v>31100</v>
      </c>
      <c r="F7" s="80" t="s">
        <v>4810</v>
      </c>
      <c r="G7" s="81">
        <v>122.87590299999999</v>
      </c>
      <c r="H7" s="81">
        <v>1.9788410000000001</v>
      </c>
      <c r="I7" s="80" t="s">
        <v>4800</v>
      </c>
      <c r="L7" s="3">
        <f>VLOOKUP(C7,Securities!A:D,4,FALSE)</f>
        <v>1</v>
      </c>
      <c r="M7" s="3" t="str">
        <f>VLOOKUP(C7,Securities!A:B,2,FALSE)</f>
        <v>GAZP RX Equity</v>
      </c>
      <c r="O7" s="3">
        <f t="shared" si="0"/>
        <v>31100</v>
      </c>
    </row>
    <row r="8" spans="1:15" x14ac:dyDescent="0.25">
      <c r="A8" s="76">
        <v>43053</v>
      </c>
      <c r="B8" s="77" t="s">
        <v>4797</v>
      </c>
      <c r="C8" s="77" t="s">
        <v>4811</v>
      </c>
      <c r="D8" s="77" t="s">
        <v>4659</v>
      </c>
      <c r="E8" s="78">
        <v>27922</v>
      </c>
      <c r="F8" s="77" t="s">
        <v>4799</v>
      </c>
      <c r="G8" s="78">
        <v>108.403524</v>
      </c>
      <c r="H8" s="78">
        <v>1.845585</v>
      </c>
      <c r="I8" s="77" t="s">
        <v>4800</v>
      </c>
      <c r="L8" s="3">
        <f>VLOOKUP(C8,Securities!A:D,4,FALSE)</f>
        <v>1</v>
      </c>
      <c r="M8" s="3" t="str">
        <f>VLOOKUP(C8,Securities!A:B,2,FALSE)</f>
        <v>HGM LN Equity</v>
      </c>
      <c r="O8" s="3">
        <f t="shared" si="0"/>
        <v>27922</v>
      </c>
    </row>
    <row r="9" spans="1:15" x14ac:dyDescent="0.25">
      <c r="A9" s="79">
        <v>43053</v>
      </c>
      <c r="B9" s="80" t="s">
        <v>4797</v>
      </c>
      <c r="C9" s="80" t="s">
        <v>4812</v>
      </c>
      <c r="D9" s="80" t="s">
        <v>4675</v>
      </c>
      <c r="E9" s="81">
        <v>5857</v>
      </c>
      <c r="F9" s="80" t="s">
        <v>4804</v>
      </c>
      <c r="G9" s="81">
        <v>598.07655199999999</v>
      </c>
      <c r="H9" s="81">
        <v>10.269506</v>
      </c>
      <c r="I9" s="80" t="s">
        <v>4800</v>
      </c>
      <c r="L9" s="3">
        <f>VLOOKUP(C9,Securities!A:D,4,FALSE)</f>
        <v>1</v>
      </c>
      <c r="M9" s="3" t="str">
        <f>VLOOKUP(C9,Securities!A:B,2,FALSE)</f>
        <v>KMG LI Equity</v>
      </c>
      <c r="O9" s="3">
        <f t="shared" si="0"/>
        <v>5857</v>
      </c>
    </row>
    <row r="10" spans="1:15" x14ac:dyDescent="0.25">
      <c r="A10" s="76">
        <v>43053</v>
      </c>
      <c r="B10" s="77" t="s">
        <v>4797</v>
      </c>
      <c r="C10" s="77" t="s">
        <v>4813</v>
      </c>
      <c r="D10" s="77" t="s">
        <v>2573</v>
      </c>
      <c r="E10" s="78">
        <v>4000</v>
      </c>
      <c r="F10" s="77" t="s">
        <v>4814</v>
      </c>
      <c r="G10" s="78">
        <v>100</v>
      </c>
      <c r="H10" s="78">
        <v>100</v>
      </c>
      <c r="I10" s="77" t="s">
        <v>4800</v>
      </c>
      <c r="L10" s="3">
        <f>VLOOKUP(C10,Securities!A:D,4,FALSE)</f>
        <v>5</v>
      </c>
      <c r="M10" s="3" t="str">
        <f>VLOOKUP(C10,Securities!A:B,2,FALSE)</f>
        <v>QZ580267 Corp</v>
      </c>
      <c r="O10" s="3">
        <f t="shared" si="0"/>
        <v>4000</v>
      </c>
    </row>
    <row r="11" spans="1:15" x14ac:dyDescent="0.25">
      <c r="A11" s="79">
        <v>43053</v>
      </c>
      <c r="B11" s="80" t="s">
        <v>4797</v>
      </c>
      <c r="C11" s="80" t="s">
        <v>4815</v>
      </c>
      <c r="D11" s="80" t="s">
        <v>4676</v>
      </c>
      <c r="E11" s="81">
        <v>1250</v>
      </c>
      <c r="F11" s="80" t="s">
        <v>4799</v>
      </c>
      <c r="G11" s="81">
        <v>2888.5567599999999</v>
      </c>
      <c r="H11" s="81">
        <v>46.620882999999999</v>
      </c>
      <c r="I11" s="80" t="s">
        <v>4800</v>
      </c>
      <c r="L11" s="3">
        <f>VLOOKUP(C11,Securities!A:D,4,FALSE)</f>
        <v>1</v>
      </c>
      <c r="M11" s="3" t="str">
        <f>VLOOKUP(C11,Securities!A:B,2,FALSE)</f>
        <v>LXFT US Equity</v>
      </c>
      <c r="O11" s="3">
        <f t="shared" si="0"/>
        <v>1250</v>
      </c>
    </row>
    <row r="12" spans="1:15" x14ac:dyDescent="0.25">
      <c r="A12" s="76">
        <v>43053</v>
      </c>
      <c r="B12" s="77" t="s">
        <v>4797</v>
      </c>
      <c r="C12" s="77" t="s">
        <v>4816</v>
      </c>
      <c r="D12" s="77" t="s">
        <v>4817</v>
      </c>
      <c r="E12" s="78">
        <v>2123</v>
      </c>
      <c r="F12" s="77" t="s">
        <v>4799</v>
      </c>
      <c r="G12" s="78">
        <v>1252.4404850000001</v>
      </c>
      <c r="H12" s="78">
        <v>21.180703999999999</v>
      </c>
      <c r="I12" s="77" t="s">
        <v>4800</v>
      </c>
      <c r="L12" s="3">
        <f>VLOOKUP(C12,Securities!A:D,4,FALSE)</f>
        <v>1</v>
      </c>
      <c r="M12" s="3" t="str">
        <f>VLOOKUP(C12,Securities!A:B,2,FALSE)</f>
        <v>M US Equity</v>
      </c>
      <c r="O12" s="3">
        <f t="shared" si="0"/>
        <v>2123</v>
      </c>
    </row>
    <row r="13" spans="1:15" x14ac:dyDescent="0.25">
      <c r="A13" s="79">
        <v>43053</v>
      </c>
      <c r="B13" s="80" t="s">
        <v>4797</v>
      </c>
      <c r="C13" s="80" t="s">
        <v>4818</v>
      </c>
      <c r="D13" s="80" t="s">
        <v>494</v>
      </c>
      <c r="E13" s="81">
        <v>74000</v>
      </c>
      <c r="F13" s="80" t="s">
        <v>4810</v>
      </c>
      <c r="G13" s="81">
        <v>34.625700000000002</v>
      </c>
      <c r="H13" s="81">
        <v>0.596001</v>
      </c>
      <c r="I13" s="80" t="s">
        <v>4800</v>
      </c>
      <c r="L13" s="3">
        <f>VLOOKUP(C13,Securities!A:D,4,FALSE)</f>
        <v>1</v>
      </c>
      <c r="M13" s="3" t="str">
        <f>VLOOKUP(C13,Securities!A:B,2,FALSE)</f>
        <v>NKNCP RX Equity</v>
      </c>
      <c r="O13" s="3">
        <f t="shared" si="0"/>
        <v>74000</v>
      </c>
    </row>
    <row r="14" spans="1:15" x14ac:dyDescent="0.25">
      <c r="A14" s="76">
        <v>43053</v>
      </c>
      <c r="B14" s="77" t="s">
        <v>4797</v>
      </c>
      <c r="C14" s="77" t="s">
        <v>4819</v>
      </c>
      <c r="D14" s="77" t="s">
        <v>4820</v>
      </c>
      <c r="E14" s="78">
        <v>200000</v>
      </c>
      <c r="F14" s="77" t="s">
        <v>4806</v>
      </c>
      <c r="G14" s="78">
        <v>95.515000000000001</v>
      </c>
      <c r="H14" s="78">
        <v>95.515000000000001</v>
      </c>
      <c r="I14" s="77" t="s">
        <v>4800</v>
      </c>
      <c r="L14" s="3">
        <f>VLOOKUP(C14,Securities!A:D,4,FALSE)</f>
        <v>5</v>
      </c>
      <c r="M14" s="3" t="str">
        <f>VLOOKUP(C14,Securities!A:B,2,FALSE)</f>
        <v>XS0776121062 Corp</v>
      </c>
      <c r="O14" s="3">
        <f t="shared" si="0"/>
        <v>200000</v>
      </c>
    </row>
    <row r="15" spans="1:15" x14ac:dyDescent="0.25">
      <c r="A15" s="79">
        <v>43053</v>
      </c>
      <c r="B15" s="80" t="s">
        <v>4797</v>
      </c>
      <c r="C15" s="80" t="s">
        <v>4821</v>
      </c>
      <c r="D15" s="80" t="s">
        <v>42</v>
      </c>
      <c r="E15" s="81">
        <v>6808</v>
      </c>
      <c r="F15" s="80" t="s">
        <v>4799</v>
      </c>
      <c r="G15" s="81">
        <v>671.73277499999995</v>
      </c>
      <c r="H15" s="81">
        <v>10.791899000000001</v>
      </c>
      <c r="I15" s="80" t="s">
        <v>4800</v>
      </c>
      <c r="L15" s="3">
        <f>VLOOKUP(C15,Securities!A:D,4,FALSE)</f>
        <v>1</v>
      </c>
      <c r="M15" s="3" t="str">
        <f>VLOOKUP(C15,Securities!A:B,2,FALSE)</f>
        <v>POLY LN Equity</v>
      </c>
      <c r="O15" s="3">
        <f t="shared" si="0"/>
        <v>6808</v>
      </c>
    </row>
    <row r="16" spans="1:15" x14ac:dyDescent="0.25">
      <c r="A16" s="76">
        <v>43053</v>
      </c>
      <c r="B16" s="77" t="s">
        <v>4797</v>
      </c>
      <c r="C16" s="77" t="s">
        <v>4822</v>
      </c>
      <c r="D16" s="77" t="s">
        <v>613</v>
      </c>
      <c r="E16" s="78">
        <v>36000</v>
      </c>
      <c r="F16" s="77" t="s">
        <v>4810</v>
      </c>
      <c r="G16" s="78">
        <v>71.468141000000003</v>
      </c>
      <c r="H16" s="78">
        <v>1.2061580000000001</v>
      </c>
      <c r="I16" s="77" t="s">
        <v>4800</v>
      </c>
      <c r="L16" s="3">
        <f>VLOOKUP(C16,Securities!A:D,4,FALSE)</f>
        <v>1</v>
      </c>
      <c r="M16" s="3" t="str">
        <f>VLOOKUP(C16,Securities!A:B,2,FALSE)</f>
        <v>RTKM RX Equity</v>
      </c>
      <c r="O16" s="3">
        <f t="shared" si="0"/>
        <v>36000</v>
      </c>
    </row>
    <row r="17" spans="1:15" x14ac:dyDescent="0.25">
      <c r="A17" s="79">
        <v>43053</v>
      </c>
      <c r="B17" s="80" t="s">
        <v>4797</v>
      </c>
      <c r="C17" s="80" t="s">
        <v>4824</v>
      </c>
      <c r="D17" s="80" t="s">
        <v>4674</v>
      </c>
      <c r="E17" s="81">
        <v>8200</v>
      </c>
      <c r="F17" s="80" t="s">
        <v>4825</v>
      </c>
      <c r="G17" s="81">
        <v>0</v>
      </c>
      <c r="H17" s="81">
        <v>0</v>
      </c>
      <c r="I17" s="80" t="s">
        <v>4800</v>
      </c>
      <c r="L17" s="3">
        <f>VLOOKUP(C17,Securities!A:D,4,FALSE)</f>
        <v>1</v>
      </c>
      <c r="M17" s="3" t="str">
        <f>VLOOKUP(C17,Securities!A:B,2,FALSE)</f>
        <v>VEON US Equity</v>
      </c>
      <c r="O17" s="3">
        <f t="shared" si="0"/>
        <v>8200</v>
      </c>
    </row>
    <row r="18" spans="1:15" x14ac:dyDescent="0.25">
      <c r="A18" s="76">
        <v>43053</v>
      </c>
      <c r="B18" s="77" t="s">
        <v>4826</v>
      </c>
      <c r="C18" s="77" t="s">
        <v>4827</v>
      </c>
      <c r="D18" s="77" t="s">
        <v>4828</v>
      </c>
      <c r="E18" s="78">
        <v>-2617</v>
      </c>
      <c r="F18" s="77" t="s">
        <v>4829</v>
      </c>
      <c r="G18" s="78">
        <v>34852.725103999997</v>
      </c>
      <c r="H18" s="78">
        <v>600.57977300000005</v>
      </c>
      <c r="I18" s="77" t="s">
        <v>4800</v>
      </c>
      <c r="L18" s="3">
        <f>VLOOKUP(C18,Securities!A:D,4,FALSE)</f>
        <v>15</v>
      </c>
      <c r="M18" s="3" t="str">
        <f>VLOOKUP(C18,Securities!A:B,2,FALSE)</f>
        <v>B5Z7 Comdty</v>
      </c>
      <c r="O18" s="3">
        <f t="shared" si="0"/>
        <v>-2617</v>
      </c>
    </row>
    <row r="19" spans="1:15" x14ac:dyDescent="0.25">
      <c r="A19" s="79">
        <v>43053</v>
      </c>
      <c r="B19" s="80" t="s">
        <v>4826</v>
      </c>
      <c r="C19" s="80" t="s">
        <v>4819</v>
      </c>
      <c r="D19" s="80" t="s">
        <v>4820</v>
      </c>
      <c r="E19" s="81">
        <v>1050000</v>
      </c>
      <c r="F19" s="80" t="s">
        <v>4806</v>
      </c>
      <c r="G19" s="81">
        <v>101.611904</v>
      </c>
      <c r="H19" s="81">
        <v>101.611904</v>
      </c>
      <c r="I19" s="80" t="s">
        <v>4800</v>
      </c>
      <c r="L19" s="3">
        <f>VLOOKUP(C19,Securities!A:D,4,FALSE)</f>
        <v>5</v>
      </c>
      <c r="M19" s="3" t="str">
        <f>VLOOKUP(C19,Securities!A:B,2,FALSE)</f>
        <v>XS0776121062 Corp</v>
      </c>
      <c r="O19" s="3">
        <f t="shared" si="0"/>
        <v>1050000</v>
      </c>
    </row>
    <row r="20" spans="1:15" x14ac:dyDescent="0.25">
      <c r="A20" s="76">
        <v>43053</v>
      </c>
      <c r="B20" s="77" t="s">
        <v>4826</v>
      </c>
      <c r="C20" s="77" t="s">
        <v>4830</v>
      </c>
      <c r="D20" s="77" t="s">
        <v>4831</v>
      </c>
      <c r="E20" s="78">
        <v>-1317</v>
      </c>
      <c r="F20" s="77" t="s">
        <v>4832</v>
      </c>
      <c r="G20" s="78">
        <v>58558.085469999998</v>
      </c>
      <c r="H20" s="78">
        <v>1016.371615</v>
      </c>
      <c r="I20" s="77" t="s">
        <v>4800</v>
      </c>
      <c r="L20" s="3">
        <f>VLOOKUP(C20,Securities!A:D,4,FALSE)</f>
        <v>15</v>
      </c>
      <c r="M20" s="3" t="str">
        <f>VLOOKUP(C20,Securities!A:B,2,FALSE)</f>
        <v>URZ7 Curncy</v>
      </c>
      <c r="O20" s="3">
        <f t="shared" si="0"/>
        <v>-1317</v>
      </c>
    </row>
    <row r="21" spans="1:15" x14ac:dyDescent="0.25">
      <c r="A21" s="79">
        <v>43053</v>
      </c>
      <c r="B21" s="80" t="s">
        <v>4833</v>
      </c>
      <c r="C21" s="80" t="s">
        <v>4805</v>
      </c>
      <c r="D21" s="80" t="s">
        <v>31</v>
      </c>
      <c r="E21" s="81">
        <v>170000</v>
      </c>
      <c r="F21" s="80" t="s">
        <v>4806</v>
      </c>
      <c r="G21" s="81">
        <v>175.37543299999999</v>
      </c>
      <c r="H21" s="81">
        <v>175.37543299999999</v>
      </c>
      <c r="I21" s="80" t="s">
        <v>4800</v>
      </c>
      <c r="L21" s="3">
        <f>VLOOKUP(C21,Securities!A:D,4,FALSE)</f>
        <v>5</v>
      </c>
      <c r="M21" s="3" t="str">
        <f>VLOOKUP(C21,Securities!A:B,2,FALSE)</f>
        <v>TT343269 Corp</v>
      </c>
      <c r="O21" s="3">
        <f t="shared" si="0"/>
        <v>170000</v>
      </c>
    </row>
    <row r="22" spans="1:15" x14ac:dyDescent="0.25">
      <c r="A22" s="76">
        <v>43053</v>
      </c>
      <c r="B22" s="77" t="s">
        <v>4833</v>
      </c>
      <c r="C22" s="77" t="s">
        <v>4811</v>
      </c>
      <c r="D22" s="77" t="s">
        <v>4659</v>
      </c>
      <c r="E22" s="78">
        <v>10700</v>
      </c>
      <c r="F22" s="77" t="s">
        <v>4799</v>
      </c>
      <c r="G22" s="78">
        <v>132.89573899999999</v>
      </c>
      <c r="H22" s="78">
        <v>2.3408709999999999</v>
      </c>
      <c r="I22" s="77" t="s">
        <v>4800</v>
      </c>
      <c r="L22" s="3">
        <f>VLOOKUP(C22,Securities!A:D,4,FALSE)</f>
        <v>1</v>
      </c>
      <c r="M22" s="3" t="str">
        <f>VLOOKUP(C22,Securities!A:B,2,FALSE)</f>
        <v>HGM LN Equity</v>
      </c>
      <c r="O22" s="3">
        <f t="shared" si="0"/>
        <v>10700</v>
      </c>
    </row>
    <row r="23" spans="1:15" x14ac:dyDescent="0.25">
      <c r="A23" s="79">
        <v>43053</v>
      </c>
      <c r="B23" s="80" t="s">
        <v>4833</v>
      </c>
      <c r="C23" s="80" t="s">
        <v>4812</v>
      </c>
      <c r="D23" s="80" t="s">
        <v>4675</v>
      </c>
      <c r="E23" s="81">
        <v>5000</v>
      </c>
      <c r="F23" s="80" t="s">
        <v>4804</v>
      </c>
      <c r="G23" s="81">
        <v>578.21267</v>
      </c>
      <c r="H23" s="81">
        <v>10.050000000000001</v>
      </c>
      <c r="I23" s="80" t="s">
        <v>4800</v>
      </c>
      <c r="L23" s="3">
        <f>VLOOKUP(C23,Securities!A:D,4,FALSE)</f>
        <v>1</v>
      </c>
      <c r="M23" s="3" t="str">
        <f>VLOOKUP(C23,Securities!A:B,2,FALSE)</f>
        <v>KMG LI Equity</v>
      </c>
      <c r="O23" s="3">
        <f t="shared" si="0"/>
        <v>5000</v>
      </c>
    </row>
    <row r="24" spans="1:15" x14ac:dyDescent="0.25">
      <c r="A24" s="76">
        <v>43053</v>
      </c>
      <c r="B24" s="77" t="s">
        <v>4833</v>
      </c>
      <c r="C24" s="77" t="s">
        <v>4815</v>
      </c>
      <c r="D24" s="77" t="s">
        <v>4676</v>
      </c>
      <c r="E24" s="78">
        <v>933</v>
      </c>
      <c r="F24" s="77" t="s">
        <v>4799</v>
      </c>
      <c r="G24" s="78">
        <v>2568.7549469999999</v>
      </c>
      <c r="H24" s="78">
        <v>42.862732999999999</v>
      </c>
      <c r="I24" s="77" t="s">
        <v>4800</v>
      </c>
      <c r="L24" s="3">
        <f>VLOOKUP(C24,Securities!A:D,4,FALSE)</f>
        <v>1</v>
      </c>
      <c r="M24" s="3" t="str">
        <f>VLOOKUP(C24,Securities!A:B,2,FALSE)</f>
        <v>LXFT US Equity</v>
      </c>
      <c r="O24" s="3">
        <f t="shared" si="0"/>
        <v>933</v>
      </c>
    </row>
    <row r="25" spans="1:15" x14ac:dyDescent="0.25">
      <c r="A25" s="79">
        <v>43053</v>
      </c>
      <c r="B25" s="80" t="s">
        <v>4833</v>
      </c>
      <c r="C25" s="80" t="s">
        <v>4819</v>
      </c>
      <c r="D25" s="80" t="s">
        <v>4820</v>
      </c>
      <c r="E25" s="81">
        <v>200000</v>
      </c>
      <c r="F25" s="80" t="s">
        <v>4806</v>
      </c>
      <c r="G25" s="81">
        <v>101.5</v>
      </c>
      <c r="H25" s="81">
        <v>101.5</v>
      </c>
      <c r="I25" s="80" t="s">
        <v>4800</v>
      </c>
      <c r="L25" s="3">
        <f>VLOOKUP(C25,Securities!A:D,4,FALSE)</f>
        <v>5</v>
      </c>
      <c r="M25" s="3" t="str">
        <f>VLOOKUP(C25,Securities!A:B,2,FALSE)</f>
        <v>XS0776121062 Corp</v>
      </c>
      <c r="O25" s="3">
        <f t="shared" si="0"/>
        <v>200000</v>
      </c>
    </row>
    <row r="26" spans="1:15" x14ac:dyDescent="0.25">
      <c r="A26" s="76">
        <v>43053</v>
      </c>
      <c r="B26" s="77" t="s">
        <v>4833</v>
      </c>
      <c r="C26" s="77" t="s">
        <v>4821</v>
      </c>
      <c r="D26" s="77" t="s">
        <v>42</v>
      </c>
      <c r="E26" s="78">
        <v>2060</v>
      </c>
      <c r="F26" s="77" t="s">
        <v>4799</v>
      </c>
      <c r="G26" s="78">
        <v>692.19491700000003</v>
      </c>
      <c r="H26" s="78">
        <v>12.192562000000001</v>
      </c>
      <c r="I26" s="77" t="s">
        <v>4800</v>
      </c>
      <c r="L26" s="3">
        <f>VLOOKUP(C26,Securities!A:D,4,FALSE)</f>
        <v>1</v>
      </c>
      <c r="M26" s="3" t="str">
        <f>VLOOKUP(C26,Securities!A:B,2,FALSE)</f>
        <v>POLY LN Equity</v>
      </c>
      <c r="O26" s="3">
        <f t="shared" si="0"/>
        <v>2060</v>
      </c>
    </row>
    <row r="27" spans="1:15" x14ac:dyDescent="0.25">
      <c r="A27" s="79">
        <v>43053</v>
      </c>
      <c r="B27" s="80" t="s">
        <v>4833</v>
      </c>
      <c r="C27" s="80" t="s">
        <v>4834</v>
      </c>
      <c r="D27" s="80" t="s">
        <v>51</v>
      </c>
      <c r="E27" s="81">
        <v>2860</v>
      </c>
      <c r="F27" s="80" t="s">
        <v>4825</v>
      </c>
      <c r="G27" s="81">
        <v>1026.3224479999999</v>
      </c>
      <c r="H27" s="81">
        <v>17.356698999999999</v>
      </c>
      <c r="I27" s="80" t="s">
        <v>4800</v>
      </c>
      <c r="L27" s="3">
        <f>VLOOKUP(C27,Securities!A:D,4,FALSE)</f>
        <v>1</v>
      </c>
      <c r="M27" s="3" t="str">
        <f>VLOOKUP(C27,Securities!A:B,2,FALSE)</f>
        <v>QIWI US Equity</v>
      </c>
      <c r="O27" s="3">
        <f t="shared" si="0"/>
        <v>2860</v>
      </c>
    </row>
    <row r="28" spans="1:15" x14ac:dyDescent="0.25">
      <c r="A28" s="76">
        <v>43053</v>
      </c>
      <c r="B28" s="77" t="s">
        <v>4833</v>
      </c>
      <c r="C28" s="77" t="s">
        <v>4824</v>
      </c>
      <c r="D28" s="77" t="s">
        <v>4674</v>
      </c>
      <c r="E28" s="78">
        <v>6230</v>
      </c>
      <c r="F28" s="77" t="s">
        <v>4825</v>
      </c>
      <c r="G28" s="78">
        <v>0</v>
      </c>
      <c r="H28" s="78">
        <v>0</v>
      </c>
      <c r="I28" s="77" t="s">
        <v>4800</v>
      </c>
      <c r="L28" s="3">
        <f>VLOOKUP(C28,Securities!A:D,4,FALSE)</f>
        <v>1</v>
      </c>
      <c r="M28" s="3" t="str">
        <f>VLOOKUP(C28,Securities!A:B,2,FALSE)</f>
        <v>VEON US Equity</v>
      </c>
      <c r="O28" s="3">
        <f t="shared" si="0"/>
        <v>6230</v>
      </c>
    </row>
    <row r="29" spans="1:15" x14ac:dyDescent="0.25">
      <c r="A29" s="79">
        <v>43053</v>
      </c>
      <c r="B29" s="80" t="s">
        <v>4835</v>
      </c>
      <c r="C29" s="80" t="s">
        <v>4836</v>
      </c>
      <c r="D29" s="80" t="s">
        <v>4837</v>
      </c>
      <c r="E29" s="81">
        <v>200000</v>
      </c>
      <c r="F29" s="80" t="s">
        <v>4838</v>
      </c>
      <c r="G29" s="81">
        <v>100</v>
      </c>
      <c r="H29" s="81">
        <v>100</v>
      </c>
      <c r="I29" s="80" t="s">
        <v>4800</v>
      </c>
      <c r="L29" s="3">
        <f>VLOOKUP(C29,Securities!A:D,4,FALSE)</f>
        <v>5</v>
      </c>
      <c r="M29" s="3" t="str">
        <f>VLOOKUP(C29,Securities!A:B,2,FALSE)</f>
        <v>CH0384861396 Corp</v>
      </c>
      <c r="O29" s="3">
        <f t="shared" si="0"/>
        <v>200000</v>
      </c>
    </row>
    <row r="30" spans="1:15" x14ac:dyDescent="0.25">
      <c r="A30" s="76">
        <v>43053</v>
      </c>
      <c r="B30" s="77" t="s">
        <v>4835</v>
      </c>
      <c r="C30" s="77" t="s">
        <v>4805</v>
      </c>
      <c r="D30" s="77" t="s">
        <v>31</v>
      </c>
      <c r="E30" s="78">
        <v>215000</v>
      </c>
      <c r="F30" s="77" t="s">
        <v>4806</v>
      </c>
      <c r="G30" s="78">
        <v>175.55264099999999</v>
      </c>
      <c r="H30" s="78">
        <v>175.55264099999999</v>
      </c>
      <c r="I30" s="77" t="s">
        <v>4800</v>
      </c>
      <c r="L30" s="3">
        <f>VLOOKUP(C30,Securities!A:D,4,FALSE)</f>
        <v>5</v>
      </c>
      <c r="M30" s="3" t="str">
        <f>VLOOKUP(C30,Securities!A:B,2,FALSE)</f>
        <v>TT343269 Corp</v>
      </c>
      <c r="O30" s="3">
        <f t="shared" si="0"/>
        <v>215000</v>
      </c>
    </row>
    <row r="31" spans="1:15" x14ac:dyDescent="0.25">
      <c r="A31" s="79">
        <v>43053</v>
      </c>
      <c r="B31" s="80" t="s">
        <v>4835</v>
      </c>
      <c r="C31" s="80" t="s">
        <v>4839</v>
      </c>
      <c r="D31" s="80" t="s">
        <v>4840</v>
      </c>
      <c r="E31" s="81">
        <v>200000</v>
      </c>
      <c r="F31" s="80" t="s">
        <v>4838</v>
      </c>
      <c r="G31" s="81">
        <v>100</v>
      </c>
      <c r="H31" s="81">
        <v>100</v>
      </c>
      <c r="I31" s="80" t="s">
        <v>4800</v>
      </c>
      <c r="L31" s="3">
        <f>VLOOKUP(C31,Securities!A:D,4,FALSE)</f>
        <v>5</v>
      </c>
      <c r="M31" s="3" t="str">
        <f>VLOOKUP(C31,Securities!A:B,2,FALSE)</f>
        <v>XS1513271418 Corp</v>
      </c>
      <c r="O31" s="3">
        <f t="shared" si="0"/>
        <v>200000</v>
      </c>
    </row>
    <row r="32" spans="1:15" x14ac:dyDescent="0.25">
      <c r="A32" s="76">
        <v>43053</v>
      </c>
      <c r="B32" s="77" t="s">
        <v>4835</v>
      </c>
      <c r="C32" s="77" t="s">
        <v>4841</v>
      </c>
      <c r="D32" s="77" t="s">
        <v>4842</v>
      </c>
      <c r="E32" s="78">
        <v>200000</v>
      </c>
      <c r="F32" s="77" t="s">
        <v>4838</v>
      </c>
      <c r="G32" s="78">
        <v>99</v>
      </c>
      <c r="H32" s="78">
        <v>99</v>
      </c>
      <c r="I32" s="77" t="s">
        <v>4800</v>
      </c>
      <c r="L32" s="3">
        <f>VLOOKUP(C32,Securities!A:D,4,FALSE)</f>
        <v>5</v>
      </c>
      <c r="M32" s="3" t="str">
        <f>VLOOKUP(C32,Securities!A:B,2,FALSE)</f>
        <v>XS1605088928 Corp</v>
      </c>
      <c r="O32" s="3">
        <f t="shared" si="0"/>
        <v>200000</v>
      </c>
    </row>
    <row r="33" spans="1:15" x14ac:dyDescent="0.25">
      <c r="A33" s="79">
        <v>43053</v>
      </c>
      <c r="B33" s="80" t="s">
        <v>4835</v>
      </c>
      <c r="C33" s="80" t="s">
        <v>4815</v>
      </c>
      <c r="D33" s="80" t="s">
        <v>4676</v>
      </c>
      <c r="E33" s="81">
        <v>1108</v>
      </c>
      <c r="F33" s="80" t="s">
        <v>4799</v>
      </c>
      <c r="G33" s="81">
        <v>2568.7550390000001</v>
      </c>
      <c r="H33" s="81">
        <v>42.862734000000003</v>
      </c>
      <c r="I33" s="80" t="s">
        <v>4800</v>
      </c>
      <c r="L33" s="3">
        <f>VLOOKUP(C33,Securities!A:D,4,FALSE)</f>
        <v>1</v>
      </c>
      <c r="M33" s="3" t="str">
        <f>VLOOKUP(C33,Securities!A:B,2,FALSE)</f>
        <v>LXFT US Equity</v>
      </c>
      <c r="O33" s="3">
        <f t="shared" si="0"/>
        <v>1108</v>
      </c>
    </row>
    <row r="34" spans="1:15" x14ac:dyDescent="0.25">
      <c r="A34" s="76">
        <v>43053</v>
      </c>
      <c r="B34" s="77" t="s">
        <v>4835</v>
      </c>
      <c r="C34" s="77" t="s">
        <v>4843</v>
      </c>
      <c r="D34" s="77" t="s">
        <v>4844</v>
      </c>
      <c r="E34" s="78">
        <v>200000</v>
      </c>
      <c r="F34" s="77" t="s">
        <v>4806</v>
      </c>
      <c r="G34" s="78">
        <v>102.75</v>
      </c>
      <c r="H34" s="78">
        <v>102.75</v>
      </c>
      <c r="I34" s="77" t="s">
        <v>4800</v>
      </c>
      <c r="L34" s="3">
        <f>VLOOKUP(C34,Securities!A:D,4,FALSE)</f>
        <v>5</v>
      </c>
      <c r="M34" s="3" t="str">
        <f>VLOOKUP(C34,Securities!A:B,2,FALSE)</f>
        <v>XS0940730228 Corp</v>
      </c>
      <c r="O34" s="3">
        <f t="shared" si="0"/>
        <v>200000</v>
      </c>
    </row>
    <row r="35" spans="1:15" x14ac:dyDescent="0.25">
      <c r="A35" s="79">
        <v>43053</v>
      </c>
      <c r="B35" s="80" t="s">
        <v>7907</v>
      </c>
      <c r="C35" s="80" t="s">
        <v>4803</v>
      </c>
      <c r="D35" s="80" t="s">
        <v>39</v>
      </c>
      <c r="E35" s="81">
        <v>8710</v>
      </c>
      <c r="F35" s="80" t="s">
        <v>4804</v>
      </c>
      <c r="G35" s="81">
        <v>646.38228200000003</v>
      </c>
      <c r="H35" s="81">
        <v>11.452353</v>
      </c>
      <c r="I35" s="80" t="s">
        <v>4800</v>
      </c>
      <c r="L35" s="3">
        <f>VLOOKUP(C35,Securities!A:D,4,FALSE)</f>
        <v>1</v>
      </c>
      <c r="M35" s="3" t="str">
        <f>VLOOKUP(C35,Securities!A:B,2,FALSE)</f>
        <v>AGRO LI Equity</v>
      </c>
      <c r="O35" s="3">
        <f t="shared" si="0"/>
        <v>8710</v>
      </c>
    </row>
    <row r="36" spans="1:15" x14ac:dyDescent="0.25">
      <c r="A36" s="76">
        <v>43053</v>
      </c>
      <c r="B36" s="77" t="s">
        <v>7907</v>
      </c>
      <c r="C36" s="77" t="s">
        <v>4827</v>
      </c>
      <c r="D36" s="77" t="s">
        <v>4828</v>
      </c>
      <c r="E36" s="78">
        <v>-433</v>
      </c>
      <c r="F36" s="77" t="s">
        <v>4829</v>
      </c>
      <c r="G36" s="78">
        <v>33645.039150999997</v>
      </c>
      <c r="H36" s="78">
        <v>583.60715900000002</v>
      </c>
      <c r="I36" s="77" t="s">
        <v>4800</v>
      </c>
      <c r="L36" s="3">
        <f>VLOOKUP(C36,Securities!A:D,4,FALSE)</f>
        <v>15</v>
      </c>
      <c r="M36" s="3" t="str">
        <f>VLOOKUP(C36,Securities!A:B,2,FALSE)</f>
        <v>B5Z7 Comdty</v>
      </c>
      <c r="O36" s="3">
        <f t="shared" si="0"/>
        <v>-433</v>
      </c>
    </row>
    <row r="37" spans="1:15" x14ac:dyDescent="0.25">
      <c r="A37" s="79">
        <v>43053</v>
      </c>
      <c r="B37" s="80" t="s">
        <v>7907</v>
      </c>
      <c r="C37" s="80" t="s">
        <v>4805</v>
      </c>
      <c r="D37" s="80" t="s">
        <v>31</v>
      </c>
      <c r="E37" s="81">
        <v>100000</v>
      </c>
      <c r="F37" s="80" t="s">
        <v>4806</v>
      </c>
      <c r="G37" s="81">
        <v>175.01</v>
      </c>
      <c r="H37" s="81">
        <v>175.01</v>
      </c>
      <c r="I37" s="80" t="s">
        <v>4800</v>
      </c>
      <c r="L37" s="3">
        <f>VLOOKUP(C37,Securities!A:D,4,FALSE)</f>
        <v>5</v>
      </c>
      <c r="M37" s="3" t="str">
        <f>VLOOKUP(C37,Securities!A:B,2,FALSE)</f>
        <v>TT343269 Corp</v>
      </c>
      <c r="O37" s="3">
        <f t="shared" si="0"/>
        <v>100000</v>
      </c>
    </row>
    <row r="38" spans="1:15" x14ac:dyDescent="0.25">
      <c r="A38" s="76">
        <v>43053</v>
      </c>
      <c r="B38" s="77" t="s">
        <v>7907</v>
      </c>
      <c r="C38" s="77" t="s">
        <v>4845</v>
      </c>
      <c r="D38" s="77" t="s">
        <v>4846</v>
      </c>
      <c r="E38" s="78">
        <v>200000</v>
      </c>
      <c r="F38" s="77" t="s">
        <v>4806</v>
      </c>
      <c r="G38" s="78">
        <v>111.4</v>
      </c>
      <c r="H38" s="78">
        <v>111.4</v>
      </c>
      <c r="I38" s="77" t="s">
        <v>4800</v>
      </c>
      <c r="L38" s="3">
        <f>VLOOKUP(C38,Securities!A:D,4,FALSE)</f>
        <v>5</v>
      </c>
      <c r="M38" s="3" t="str">
        <f>VLOOKUP(C38,Securities!A:B,2,FALSE)</f>
        <v>XS1319822752 Corp</v>
      </c>
      <c r="O38" s="3">
        <f t="shared" si="0"/>
        <v>200000</v>
      </c>
    </row>
    <row r="39" spans="1:15" x14ac:dyDescent="0.25">
      <c r="A39" s="79">
        <v>43053</v>
      </c>
      <c r="B39" s="80" t="s">
        <v>7907</v>
      </c>
      <c r="C39" s="80" t="s">
        <v>4809</v>
      </c>
      <c r="D39" s="80" t="s">
        <v>30</v>
      </c>
      <c r="E39" s="81">
        <v>23830</v>
      </c>
      <c r="F39" s="80" t="s">
        <v>4810</v>
      </c>
      <c r="G39" s="81">
        <v>119.44175</v>
      </c>
      <c r="H39" s="81">
        <v>2.1097109999999999</v>
      </c>
      <c r="I39" s="80" t="s">
        <v>4800</v>
      </c>
      <c r="L39" s="3">
        <f>VLOOKUP(C39,Securities!A:D,4,FALSE)</f>
        <v>1</v>
      </c>
      <c r="M39" s="3" t="str">
        <f>VLOOKUP(C39,Securities!A:B,2,FALSE)</f>
        <v>GAZP RX Equity</v>
      </c>
      <c r="O39" s="3">
        <f t="shared" si="0"/>
        <v>23830</v>
      </c>
    </row>
    <row r="40" spans="1:15" x14ac:dyDescent="0.25">
      <c r="A40" s="76">
        <v>43053</v>
      </c>
      <c r="B40" s="77" t="s">
        <v>7907</v>
      </c>
      <c r="C40" s="77" t="s">
        <v>4811</v>
      </c>
      <c r="D40" s="77" t="s">
        <v>4659</v>
      </c>
      <c r="E40" s="78">
        <v>56100</v>
      </c>
      <c r="F40" s="77" t="s">
        <v>4799</v>
      </c>
      <c r="G40" s="78">
        <v>106.499889</v>
      </c>
      <c r="H40" s="78">
        <v>1.7873790000000001</v>
      </c>
      <c r="I40" s="77" t="s">
        <v>4800</v>
      </c>
      <c r="L40" s="3">
        <f>VLOOKUP(C40,Securities!A:D,4,FALSE)</f>
        <v>1</v>
      </c>
      <c r="M40" s="3" t="str">
        <f>VLOOKUP(C40,Securities!A:B,2,FALSE)</f>
        <v>HGM LN Equity</v>
      </c>
      <c r="O40" s="3">
        <f t="shared" si="0"/>
        <v>56100</v>
      </c>
    </row>
    <row r="41" spans="1:15" x14ac:dyDescent="0.25">
      <c r="A41" s="79">
        <v>43053</v>
      </c>
      <c r="B41" s="80" t="s">
        <v>7907</v>
      </c>
      <c r="C41" s="80" t="s">
        <v>4847</v>
      </c>
      <c r="D41" s="80" t="s">
        <v>369</v>
      </c>
      <c r="E41" s="81">
        <v>1287</v>
      </c>
      <c r="F41" s="80" t="s">
        <v>4810</v>
      </c>
      <c r="G41" s="81">
        <v>2930.516858</v>
      </c>
      <c r="H41" s="81">
        <v>50.656899000000003</v>
      </c>
      <c r="I41" s="80" t="s">
        <v>4800</v>
      </c>
      <c r="L41" s="3">
        <f>VLOOKUP(C41,Securities!A:D,4,FALSE)</f>
        <v>1</v>
      </c>
      <c r="M41" s="3" t="str">
        <f>VLOOKUP(C41,Securities!A:B,2,FALSE)</f>
        <v>LKOH RX Equity</v>
      </c>
      <c r="O41" s="3">
        <f t="shared" si="0"/>
        <v>1287</v>
      </c>
    </row>
    <row r="42" spans="1:15" x14ac:dyDescent="0.25">
      <c r="A42" s="76">
        <v>43053</v>
      </c>
      <c r="B42" s="77" t="s">
        <v>7907</v>
      </c>
      <c r="C42" s="77" t="s">
        <v>4815</v>
      </c>
      <c r="D42" s="77" t="s">
        <v>4676</v>
      </c>
      <c r="E42" s="78">
        <v>1167</v>
      </c>
      <c r="F42" s="77" t="s">
        <v>4799</v>
      </c>
      <c r="G42" s="78">
        <v>2568.7554839999998</v>
      </c>
      <c r="H42" s="78">
        <v>42.862741999999997</v>
      </c>
      <c r="I42" s="77" t="s">
        <v>4800</v>
      </c>
      <c r="L42" s="3">
        <f>VLOOKUP(C42,Securities!A:D,4,FALSE)</f>
        <v>1</v>
      </c>
      <c r="M42" s="3" t="str">
        <f>VLOOKUP(C42,Securities!A:B,2,FALSE)</f>
        <v>LXFT US Equity</v>
      </c>
      <c r="O42" s="3">
        <f t="shared" si="0"/>
        <v>1167</v>
      </c>
    </row>
    <row r="43" spans="1:15" x14ac:dyDescent="0.25">
      <c r="A43" s="79">
        <v>43053</v>
      </c>
      <c r="B43" s="80" t="s">
        <v>7907</v>
      </c>
      <c r="C43" s="80" t="s">
        <v>4848</v>
      </c>
      <c r="D43" s="80" t="s">
        <v>511</v>
      </c>
      <c r="E43" s="81">
        <v>4600</v>
      </c>
      <c r="F43" s="80" t="s">
        <v>4810</v>
      </c>
      <c r="G43" s="81">
        <v>616.77879099999996</v>
      </c>
      <c r="H43" s="81">
        <v>10.894226</v>
      </c>
      <c r="I43" s="80" t="s">
        <v>4800</v>
      </c>
      <c r="L43" s="3">
        <f>VLOOKUP(C43,Securities!A:D,4,FALSE)</f>
        <v>1</v>
      </c>
      <c r="M43" s="3" t="str">
        <f>VLOOKUP(C43,Securities!A:B,2,FALSE)</f>
        <v>NVTK RX Equity</v>
      </c>
      <c r="O43" s="3">
        <f t="shared" si="0"/>
        <v>4600</v>
      </c>
    </row>
    <row r="44" spans="1:15" x14ac:dyDescent="0.25">
      <c r="A44" s="76">
        <v>43053</v>
      </c>
      <c r="B44" s="77" t="s">
        <v>7907</v>
      </c>
      <c r="C44" s="77" t="s">
        <v>4849</v>
      </c>
      <c r="D44" s="77" t="s">
        <v>4850</v>
      </c>
      <c r="E44" s="78">
        <v>11199</v>
      </c>
      <c r="F44" s="77" t="s">
        <v>4825</v>
      </c>
      <c r="G44" s="78">
        <v>258.33609300000001</v>
      </c>
      <c r="H44" s="78">
        <v>4.4821999999999997</v>
      </c>
      <c r="I44" s="77" t="s">
        <v>4800</v>
      </c>
      <c r="L44" s="3">
        <f>VLOOKUP(C44,Securities!A:D,4,FALSE)</f>
        <v>1</v>
      </c>
      <c r="M44" s="3" t="str">
        <f>VLOOKUP(C44,Securities!A:B,2,FALSE)</f>
        <v>OGZD LI Equity</v>
      </c>
      <c r="O44" s="3">
        <f t="shared" si="0"/>
        <v>11199</v>
      </c>
    </row>
    <row r="45" spans="1:15" x14ac:dyDescent="0.25">
      <c r="A45" s="79">
        <v>43053</v>
      </c>
      <c r="B45" s="80" t="s">
        <v>7907</v>
      </c>
      <c r="C45" s="80" t="s">
        <v>4821</v>
      </c>
      <c r="D45" s="80" t="s">
        <v>42</v>
      </c>
      <c r="E45" s="81">
        <v>9275</v>
      </c>
      <c r="F45" s="80" t="s">
        <v>4799</v>
      </c>
      <c r="G45" s="81">
        <v>691.72243700000001</v>
      </c>
      <c r="H45" s="81">
        <v>11.503064</v>
      </c>
      <c r="I45" s="80" t="s">
        <v>4800</v>
      </c>
      <c r="L45" s="3">
        <f>VLOOKUP(C45,Securities!A:D,4,FALSE)</f>
        <v>1</v>
      </c>
      <c r="M45" s="3" t="str">
        <f>VLOOKUP(C45,Securities!A:B,2,FALSE)</f>
        <v>POLY LN Equity</v>
      </c>
      <c r="O45" s="3">
        <f t="shared" si="0"/>
        <v>9275</v>
      </c>
    </row>
    <row r="46" spans="1:15" x14ac:dyDescent="0.25">
      <c r="A46" s="76">
        <v>43053</v>
      </c>
      <c r="B46" s="77" t="s">
        <v>7907</v>
      </c>
      <c r="C46" s="77" t="s">
        <v>4834</v>
      </c>
      <c r="D46" s="77" t="s">
        <v>51</v>
      </c>
      <c r="E46" s="78">
        <v>2860</v>
      </c>
      <c r="F46" s="77" t="s">
        <v>4825</v>
      </c>
      <c r="G46" s="78">
        <v>1026.2726210000001</v>
      </c>
      <c r="H46" s="78">
        <v>17.355855999999999</v>
      </c>
      <c r="I46" s="77" t="s">
        <v>4800</v>
      </c>
      <c r="L46" s="3">
        <f>VLOOKUP(C46,Securities!A:D,4,FALSE)</f>
        <v>1</v>
      </c>
      <c r="M46" s="3" t="str">
        <f>VLOOKUP(C46,Securities!A:B,2,FALSE)</f>
        <v>QIWI US Equity</v>
      </c>
      <c r="O46" s="3">
        <f t="shared" si="0"/>
        <v>2860</v>
      </c>
    </row>
    <row r="47" spans="1:15" x14ac:dyDescent="0.25">
      <c r="A47" s="79">
        <v>43053</v>
      </c>
      <c r="B47" s="80" t="s">
        <v>7907</v>
      </c>
      <c r="C47" s="80" t="s">
        <v>4851</v>
      </c>
      <c r="D47" s="80" t="s">
        <v>4744</v>
      </c>
      <c r="E47" s="81">
        <v>200000</v>
      </c>
      <c r="F47" s="80" t="s">
        <v>4806</v>
      </c>
      <c r="G47" s="81">
        <v>103</v>
      </c>
      <c r="H47" s="81">
        <v>103</v>
      </c>
      <c r="I47" s="80" t="s">
        <v>4800</v>
      </c>
      <c r="L47" s="3">
        <f>VLOOKUP(C47,Securities!A:D,4,FALSE)</f>
        <v>5</v>
      </c>
      <c r="M47" s="3" t="str">
        <f>VLOOKUP(C47,Securities!A:B,2,FALSE)</f>
        <v>XS1032750165 Corp</v>
      </c>
      <c r="O47" s="3">
        <f t="shared" si="0"/>
        <v>200000</v>
      </c>
    </row>
    <row r="48" spans="1:15" x14ac:dyDescent="0.25">
      <c r="A48" s="76">
        <v>43053</v>
      </c>
      <c r="B48" s="77" t="s">
        <v>7907</v>
      </c>
      <c r="C48" s="77" t="s">
        <v>4830</v>
      </c>
      <c r="D48" s="77" t="s">
        <v>4831</v>
      </c>
      <c r="E48" s="78">
        <v>-250</v>
      </c>
      <c r="F48" s="77" t="s">
        <v>4832</v>
      </c>
      <c r="G48" s="78">
        <v>58662.09</v>
      </c>
      <c r="H48" s="78">
        <v>1016.770622</v>
      </c>
      <c r="I48" s="77" t="s">
        <v>4800</v>
      </c>
      <c r="L48" s="3">
        <f>VLOOKUP(C48,Securities!A:D,4,FALSE)</f>
        <v>15</v>
      </c>
      <c r="M48" s="3" t="str">
        <f>VLOOKUP(C48,Securities!A:B,2,FALSE)</f>
        <v>URZ7 Curncy</v>
      </c>
      <c r="O48" s="3">
        <f t="shared" si="0"/>
        <v>-250</v>
      </c>
    </row>
    <row r="49" spans="1:15" x14ac:dyDescent="0.25">
      <c r="A49" s="79">
        <v>43053</v>
      </c>
      <c r="B49" s="80" t="s">
        <v>7907</v>
      </c>
      <c r="C49" s="80" t="s">
        <v>4852</v>
      </c>
      <c r="D49" s="80" t="s">
        <v>4853</v>
      </c>
      <c r="E49" s="81">
        <v>266000</v>
      </c>
      <c r="F49" s="80" t="s">
        <v>4806</v>
      </c>
      <c r="G49" s="81">
        <v>100</v>
      </c>
      <c r="H49" s="81">
        <v>100</v>
      </c>
      <c r="I49" s="80" t="s">
        <v>4800</v>
      </c>
      <c r="L49" s="3">
        <f>VLOOKUP(C49,Securities!A:D,4,FALSE)</f>
        <v>5</v>
      </c>
      <c r="M49" s="3" t="str">
        <f>VLOOKUP(C49,Securities!A:B,2,FALSE)</f>
        <v>XS1631338495 Corp</v>
      </c>
      <c r="O49" s="3">
        <f t="shared" si="0"/>
        <v>266000</v>
      </c>
    </row>
    <row r="50" spans="1:15" x14ac:dyDescent="0.25">
      <c r="A50" s="76">
        <v>43053</v>
      </c>
      <c r="B50" s="77" t="s">
        <v>7907</v>
      </c>
      <c r="C50" s="77" t="s">
        <v>4854</v>
      </c>
      <c r="D50" s="77" t="s">
        <v>4855</v>
      </c>
      <c r="E50" s="78">
        <v>200000</v>
      </c>
      <c r="F50" s="77" t="s">
        <v>4806</v>
      </c>
      <c r="G50" s="78">
        <v>106</v>
      </c>
      <c r="H50" s="78">
        <v>106</v>
      </c>
      <c r="I50" s="77" t="s">
        <v>4800</v>
      </c>
      <c r="L50" s="3">
        <f>VLOOKUP(C50,Securities!A:D,4,FALSE)</f>
        <v>5</v>
      </c>
      <c r="M50" s="3" t="str">
        <f>VLOOKUP(C50,Securities!A:B,2,FALSE)</f>
        <v>XS0911599701 Corp</v>
      </c>
      <c r="O50" s="3">
        <f t="shared" si="0"/>
        <v>200000</v>
      </c>
    </row>
    <row r="51" spans="1:15" x14ac:dyDescent="0.25">
      <c r="A51" s="79">
        <v>43053</v>
      </c>
      <c r="B51" s="80" t="s">
        <v>7907</v>
      </c>
      <c r="C51" s="80" t="s">
        <v>4824</v>
      </c>
      <c r="D51" s="80" t="s">
        <v>4674</v>
      </c>
      <c r="E51" s="81">
        <v>12350</v>
      </c>
      <c r="F51" s="80" t="s">
        <v>4825</v>
      </c>
      <c r="G51" s="81">
        <v>0</v>
      </c>
      <c r="H51" s="81">
        <v>0</v>
      </c>
      <c r="I51" s="80" t="s">
        <v>4800</v>
      </c>
      <c r="L51" s="3">
        <f>VLOOKUP(C51,Securities!A:D,4,FALSE)</f>
        <v>1</v>
      </c>
      <c r="M51" s="3" t="str">
        <f>VLOOKUP(C51,Securities!A:B,2,FALSE)</f>
        <v>VEON US Equity</v>
      </c>
      <c r="O51" s="3">
        <f t="shared" si="0"/>
        <v>12350</v>
      </c>
    </row>
    <row r="52" spans="1:15" x14ac:dyDescent="0.25">
      <c r="A52" s="76">
        <v>43053</v>
      </c>
      <c r="B52" s="77" t="s">
        <v>4856</v>
      </c>
      <c r="C52" s="77" t="s">
        <v>7908</v>
      </c>
      <c r="D52" s="77" t="s">
        <v>7909</v>
      </c>
      <c r="E52" s="78">
        <v>125000</v>
      </c>
      <c r="F52" s="77" t="s">
        <v>4806</v>
      </c>
      <c r="G52" s="78">
        <v>99.7</v>
      </c>
      <c r="H52" s="78">
        <v>99.7</v>
      </c>
      <c r="I52" s="77" t="s">
        <v>4823</v>
      </c>
      <c r="L52" s="3" t="e">
        <f>VLOOKUP(C52,Securities!A:D,4,FALSE)</f>
        <v>#N/A</v>
      </c>
      <c r="M52" s="3" t="e">
        <f>VLOOKUP(C52,Securities!A:B,2,FALSE)</f>
        <v>#N/A</v>
      </c>
      <c r="O52" s="3">
        <f t="shared" si="0"/>
        <v>125000</v>
      </c>
    </row>
    <row r="53" spans="1:15" x14ac:dyDescent="0.25">
      <c r="A53" s="79">
        <v>43053</v>
      </c>
      <c r="B53" s="80" t="s">
        <v>4856</v>
      </c>
      <c r="C53" s="80" t="s">
        <v>4857</v>
      </c>
      <c r="D53" s="80" t="s">
        <v>4858</v>
      </c>
      <c r="E53" s="81">
        <v>100000</v>
      </c>
      <c r="F53" s="80" t="s">
        <v>4806</v>
      </c>
      <c r="G53" s="81">
        <v>78.900000000000006</v>
      </c>
      <c r="H53" s="81">
        <v>78.900000000000006</v>
      </c>
      <c r="I53" s="80" t="s">
        <v>4800</v>
      </c>
      <c r="L53" s="3">
        <f>VLOOKUP(C53,Securities!A:D,4,FALSE)</f>
        <v>5</v>
      </c>
      <c r="M53" s="3" t="str">
        <f>VLOOKUP(C53,Securities!A:B,2,FALSE)</f>
        <v>US29358QAC33 Corp</v>
      </c>
      <c r="O53" s="3">
        <f t="shared" si="0"/>
        <v>100000</v>
      </c>
    </row>
    <row r="54" spans="1:15" x14ac:dyDescent="0.25">
      <c r="A54" s="76">
        <v>43053</v>
      </c>
      <c r="B54" s="77" t="s">
        <v>4856</v>
      </c>
      <c r="C54" s="77" t="s">
        <v>4859</v>
      </c>
      <c r="D54" s="77" t="s">
        <v>4860</v>
      </c>
      <c r="E54" s="78">
        <v>200000</v>
      </c>
      <c r="F54" s="77" t="s">
        <v>4806</v>
      </c>
      <c r="G54" s="78">
        <v>100.85</v>
      </c>
      <c r="H54" s="78">
        <v>100.85</v>
      </c>
      <c r="I54" s="77" t="s">
        <v>4800</v>
      </c>
      <c r="L54" s="3">
        <f>VLOOKUP(C54,Securities!A:D,4,FALSE)</f>
        <v>5</v>
      </c>
      <c r="M54" s="3" t="str">
        <f>VLOOKUP(C54,Securities!A:B,2,FALSE)</f>
        <v>XS1495632298 Corp</v>
      </c>
      <c r="O54" s="3">
        <f t="shared" si="0"/>
        <v>200000</v>
      </c>
    </row>
    <row r="55" spans="1:15" x14ac:dyDescent="0.25">
      <c r="A55" s="79">
        <v>43053</v>
      </c>
      <c r="B55" s="80" t="s">
        <v>4856</v>
      </c>
      <c r="C55" s="80" t="s">
        <v>4861</v>
      </c>
      <c r="D55" s="80" t="s">
        <v>4862</v>
      </c>
      <c r="E55" s="81">
        <v>203000</v>
      </c>
      <c r="F55" s="80" t="s">
        <v>4806</v>
      </c>
      <c r="G55" s="81">
        <v>0</v>
      </c>
      <c r="H55" s="81">
        <v>0</v>
      </c>
      <c r="I55" s="80" t="s">
        <v>4800</v>
      </c>
      <c r="L55" s="3">
        <f>VLOOKUP(C55,Securities!A:D,4,FALSE)</f>
        <v>5</v>
      </c>
      <c r="M55" s="3" t="str">
        <f>VLOOKUP(C55,Securities!A:B,2,FALSE)</f>
        <v>USA29866AA70 Corp</v>
      </c>
      <c r="O55" s="3">
        <f t="shared" si="0"/>
        <v>203000</v>
      </c>
    </row>
    <row r="56" spans="1:15" x14ac:dyDescent="0.25">
      <c r="A56" s="76">
        <v>43053</v>
      </c>
      <c r="B56" s="77" t="s">
        <v>4856</v>
      </c>
      <c r="C56" s="77" t="s">
        <v>4863</v>
      </c>
      <c r="D56" s="77" t="s">
        <v>4864</v>
      </c>
      <c r="E56" s="78">
        <v>200000</v>
      </c>
      <c r="F56" s="77" t="s">
        <v>4806</v>
      </c>
      <c r="G56" s="78">
        <v>104.55</v>
      </c>
      <c r="H56" s="78">
        <v>104.55</v>
      </c>
      <c r="I56" s="77" t="s">
        <v>4800</v>
      </c>
      <c r="L56" s="3">
        <f>VLOOKUP(C56,Securities!A:D,4,FALSE)</f>
        <v>5</v>
      </c>
      <c r="M56" s="3" t="str">
        <f>VLOOKUP(C56,Securities!A:B,2,FALSE)</f>
        <v>USN54468AF52 Corp</v>
      </c>
      <c r="O56" s="3">
        <f t="shared" si="0"/>
        <v>200000</v>
      </c>
    </row>
    <row r="57" spans="1:15" x14ac:dyDescent="0.25">
      <c r="A57" s="79">
        <v>43053</v>
      </c>
      <c r="B57" s="80" t="s">
        <v>4856</v>
      </c>
      <c r="C57" s="80" t="s">
        <v>4819</v>
      </c>
      <c r="D57" s="80" t="s">
        <v>4820</v>
      </c>
      <c r="E57" s="81">
        <v>200000</v>
      </c>
      <c r="F57" s="80" t="s">
        <v>4806</v>
      </c>
      <c r="G57" s="81">
        <v>95.9</v>
      </c>
      <c r="H57" s="81">
        <v>95.9</v>
      </c>
      <c r="I57" s="80" t="s">
        <v>4800</v>
      </c>
      <c r="L57" s="3">
        <f>VLOOKUP(C57,Securities!A:D,4,FALSE)</f>
        <v>5</v>
      </c>
      <c r="M57" s="3" t="str">
        <f>VLOOKUP(C57,Securities!A:B,2,FALSE)</f>
        <v>XS0776121062 Corp</v>
      </c>
      <c r="O57" s="3">
        <f t="shared" si="0"/>
        <v>200000</v>
      </c>
    </row>
    <row r="58" spans="1:15" x14ac:dyDescent="0.25">
      <c r="A58" s="76">
        <v>43053</v>
      </c>
      <c r="B58" s="77" t="s">
        <v>4865</v>
      </c>
      <c r="C58" s="77" t="s">
        <v>4801</v>
      </c>
      <c r="D58" s="77" t="s">
        <v>4802</v>
      </c>
      <c r="E58" s="78">
        <v>50</v>
      </c>
      <c r="F58" s="77" t="s">
        <v>4799</v>
      </c>
      <c r="G58" s="78">
        <v>10269.280000000001</v>
      </c>
      <c r="H58" s="78">
        <v>175.67628099999999</v>
      </c>
      <c r="I58" s="77" t="s">
        <v>4800</v>
      </c>
      <c r="L58" s="3">
        <f>VLOOKUP(C58,Securities!A:D,4,FALSE)</f>
        <v>1</v>
      </c>
      <c r="M58" s="3" t="str">
        <f>VLOOKUP(C58,Securities!A:B,2,FALSE)</f>
        <v>AGN US Equity</v>
      </c>
      <c r="O58" s="3">
        <f t="shared" si="0"/>
        <v>50</v>
      </c>
    </row>
    <row r="59" spans="1:15" x14ac:dyDescent="0.25">
      <c r="A59" s="79">
        <v>43053</v>
      </c>
      <c r="B59" s="80" t="s">
        <v>4865</v>
      </c>
      <c r="C59" s="80" t="s">
        <v>4803</v>
      </c>
      <c r="D59" s="80" t="s">
        <v>39</v>
      </c>
      <c r="E59" s="81">
        <v>800</v>
      </c>
      <c r="F59" s="80" t="s">
        <v>4804</v>
      </c>
      <c r="G59" s="81">
        <v>668.15167299999996</v>
      </c>
      <c r="H59" s="81">
        <v>11.2</v>
      </c>
      <c r="I59" s="80" t="s">
        <v>4800</v>
      </c>
      <c r="L59" s="3">
        <f>VLOOKUP(C59,Securities!A:D,4,FALSE)</f>
        <v>1</v>
      </c>
      <c r="M59" s="3" t="str">
        <f>VLOOKUP(C59,Securities!A:B,2,FALSE)</f>
        <v>AGRO LI Equity</v>
      </c>
      <c r="O59" s="3">
        <f t="shared" si="0"/>
        <v>800</v>
      </c>
    </row>
    <row r="60" spans="1:15" x14ac:dyDescent="0.25">
      <c r="A60" s="76">
        <v>43053</v>
      </c>
      <c r="B60" s="77" t="s">
        <v>4865</v>
      </c>
      <c r="C60" s="77" t="s">
        <v>4866</v>
      </c>
      <c r="D60" s="77" t="s">
        <v>99</v>
      </c>
      <c r="E60" s="78">
        <v>6400</v>
      </c>
      <c r="F60" s="77" t="s">
        <v>4810</v>
      </c>
      <c r="G60" s="78">
        <v>85.323400000000007</v>
      </c>
      <c r="H60" s="78">
        <v>1.430247</v>
      </c>
      <c r="I60" s="77" t="s">
        <v>4800</v>
      </c>
      <c r="L60" s="3">
        <f>VLOOKUP(C60,Securities!A:D,4,FALSE)</f>
        <v>1</v>
      </c>
      <c r="M60" s="3" t="str">
        <f>VLOOKUP(C60,Securities!A:B,2,FALSE)</f>
        <v>ALRS RX Equity</v>
      </c>
      <c r="O60" s="3">
        <f t="shared" si="0"/>
        <v>6400</v>
      </c>
    </row>
    <row r="61" spans="1:15" x14ac:dyDescent="0.25">
      <c r="A61" s="79">
        <v>43053</v>
      </c>
      <c r="B61" s="80" t="s">
        <v>4865</v>
      </c>
      <c r="C61" s="80" t="s">
        <v>4809</v>
      </c>
      <c r="D61" s="80" t="s">
        <v>30</v>
      </c>
      <c r="E61" s="81">
        <v>4200</v>
      </c>
      <c r="F61" s="80" t="s">
        <v>4810</v>
      </c>
      <c r="G61" s="81">
        <v>119.04369699999999</v>
      </c>
      <c r="H61" s="81">
        <v>1.9954890000000001</v>
      </c>
      <c r="I61" s="80" t="s">
        <v>4800</v>
      </c>
      <c r="L61" s="3">
        <f>VLOOKUP(C61,Securities!A:D,4,FALSE)</f>
        <v>1</v>
      </c>
      <c r="M61" s="3" t="str">
        <f>VLOOKUP(C61,Securities!A:B,2,FALSE)</f>
        <v>GAZP RX Equity</v>
      </c>
      <c r="O61" s="3">
        <f t="shared" si="0"/>
        <v>4200</v>
      </c>
    </row>
    <row r="62" spans="1:15" x14ac:dyDescent="0.25">
      <c r="A62" s="76">
        <v>43053</v>
      </c>
      <c r="B62" s="77" t="s">
        <v>4865</v>
      </c>
      <c r="C62" s="77" t="s">
        <v>4811</v>
      </c>
      <c r="D62" s="77" t="s">
        <v>4659</v>
      </c>
      <c r="E62" s="78">
        <v>4700</v>
      </c>
      <c r="F62" s="77" t="s">
        <v>4799</v>
      </c>
      <c r="G62" s="78">
        <v>109.303623</v>
      </c>
      <c r="H62" s="78">
        <v>1.832219</v>
      </c>
      <c r="I62" s="77" t="s">
        <v>4800</v>
      </c>
      <c r="L62" s="3">
        <f>VLOOKUP(C62,Securities!A:D,4,FALSE)</f>
        <v>1</v>
      </c>
      <c r="M62" s="3" t="str">
        <f>VLOOKUP(C62,Securities!A:B,2,FALSE)</f>
        <v>HGM LN Equity</v>
      </c>
      <c r="O62" s="3">
        <f t="shared" si="0"/>
        <v>4700</v>
      </c>
    </row>
    <row r="63" spans="1:15" x14ac:dyDescent="0.25">
      <c r="A63" s="79">
        <v>43053</v>
      </c>
      <c r="B63" s="80" t="s">
        <v>4865</v>
      </c>
      <c r="C63" s="80" t="s">
        <v>4812</v>
      </c>
      <c r="D63" s="80" t="s">
        <v>4675</v>
      </c>
      <c r="E63" s="81">
        <v>920</v>
      </c>
      <c r="F63" s="80" t="s">
        <v>4804</v>
      </c>
      <c r="G63" s="81">
        <v>560.77015400000005</v>
      </c>
      <c r="H63" s="81">
        <v>9.4</v>
      </c>
      <c r="I63" s="80" t="s">
        <v>4800</v>
      </c>
      <c r="L63" s="3">
        <f>VLOOKUP(C63,Securities!A:D,4,FALSE)</f>
        <v>1</v>
      </c>
      <c r="M63" s="3" t="str">
        <f>VLOOKUP(C63,Securities!A:B,2,FALSE)</f>
        <v>KMG LI Equity</v>
      </c>
      <c r="O63" s="3">
        <f t="shared" si="0"/>
        <v>920</v>
      </c>
    </row>
    <row r="64" spans="1:15" x14ac:dyDescent="0.25">
      <c r="A64" s="76">
        <v>43053</v>
      </c>
      <c r="B64" s="77" t="s">
        <v>4865</v>
      </c>
      <c r="C64" s="77" t="s">
        <v>4847</v>
      </c>
      <c r="D64" s="77" t="s">
        <v>369</v>
      </c>
      <c r="E64" s="78">
        <v>200</v>
      </c>
      <c r="F64" s="77" t="s">
        <v>4810</v>
      </c>
      <c r="G64" s="78">
        <v>2805.604656</v>
      </c>
      <c r="H64" s="78">
        <v>47.029398999999998</v>
      </c>
      <c r="I64" s="77" t="s">
        <v>4800</v>
      </c>
      <c r="L64" s="3">
        <f>VLOOKUP(C64,Securities!A:D,4,FALSE)</f>
        <v>1</v>
      </c>
      <c r="M64" s="3" t="str">
        <f>VLOOKUP(C64,Securities!A:B,2,FALSE)</f>
        <v>LKOH RX Equity</v>
      </c>
      <c r="O64" s="3">
        <f t="shared" si="0"/>
        <v>200</v>
      </c>
    </row>
    <row r="65" spans="1:15" x14ac:dyDescent="0.25">
      <c r="A65" s="79">
        <v>43053</v>
      </c>
      <c r="B65" s="80" t="s">
        <v>4865</v>
      </c>
      <c r="C65" s="80" t="s">
        <v>4867</v>
      </c>
      <c r="D65" s="80" t="s">
        <v>473</v>
      </c>
      <c r="E65" s="81">
        <v>5000</v>
      </c>
      <c r="F65" s="80" t="s">
        <v>4810</v>
      </c>
      <c r="G65" s="81">
        <v>107.554</v>
      </c>
      <c r="H65" s="81">
        <v>1.802891</v>
      </c>
      <c r="I65" s="80" t="s">
        <v>4800</v>
      </c>
      <c r="L65" s="3">
        <f>VLOOKUP(C65,Securities!A:D,4,FALSE)</f>
        <v>1</v>
      </c>
      <c r="M65" s="3" t="str">
        <f>VLOOKUP(C65,Securities!A:B,2,FALSE)</f>
        <v>MOEX RX Equity</v>
      </c>
      <c r="O65" s="3">
        <f t="shared" si="0"/>
        <v>5000</v>
      </c>
    </row>
    <row r="66" spans="1:15" x14ac:dyDescent="0.25">
      <c r="A66" s="76">
        <v>43053</v>
      </c>
      <c r="B66" s="77" t="s">
        <v>4865</v>
      </c>
      <c r="C66" s="77" t="s">
        <v>4821</v>
      </c>
      <c r="D66" s="77" t="s">
        <v>42</v>
      </c>
      <c r="E66" s="78">
        <v>853</v>
      </c>
      <c r="F66" s="77" t="s">
        <v>4799</v>
      </c>
      <c r="G66" s="78">
        <v>694.5</v>
      </c>
      <c r="H66" s="78">
        <v>11.539688</v>
      </c>
      <c r="I66" s="77" t="s">
        <v>4800</v>
      </c>
      <c r="L66" s="3">
        <f>VLOOKUP(C66,Securities!A:D,4,FALSE)</f>
        <v>1</v>
      </c>
      <c r="M66" s="3" t="str">
        <f>VLOOKUP(C66,Securities!A:B,2,FALSE)</f>
        <v>POLY LN Equity</v>
      </c>
      <c r="O66" s="3">
        <f t="shared" ref="O66:O129" si="1">SUMIFS(E:E,C:C,C66,B:B,B66)</f>
        <v>853</v>
      </c>
    </row>
    <row r="67" spans="1:15" x14ac:dyDescent="0.25">
      <c r="A67" s="79">
        <v>43053</v>
      </c>
      <c r="B67" s="80" t="s">
        <v>4868</v>
      </c>
      <c r="C67" s="80" t="s">
        <v>4869</v>
      </c>
      <c r="D67" s="80" t="s">
        <v>4870</v>
      </c>
      <c r="E67" s="81">
        <v>100000</v>
      </c>
      <c r="F67" s="80" t="s">
        <v>4838</v>
      </c>
      <c r="G67" s="81">
        <v>100</v>
      </c>
      <c r="H67" s="81">
        <v>100</v>
      </c>
      <c r="I67" s="80" t="s">
        <v>4800</v>
      </c>
      <c r="L67" s="3">
        <f>VLOOKUP(C67,Securities!A:D,4,FALSE)</f>
        <v>5</v>
      </c>
      <c r="M67" s="3" t="str">
        <f>VLOOKUP(C67,Securities!A:B,2,FALSE)</f>
        <v>CH0384862550 Corp</v>
      </c>
      <c r="O67" s="3">
        <f t="shared" si="1"/>
        <v>100000</v>
      </c>
    </row>
    <row r="68" spans="1:15" x14ac:dyDescent="0.25">
      <c r="A68" s="76">
        <v>43053</v>
      </c>
      <c r="B68" s="77" t="s">
        <v>4868</v>
      </c>
      <c r="C68" s="77" t="s">
        <v>4805</v>
      </c>
      <c r="D68" s="77" t="s">
        <v>31</v>
      </c>
      <c r="E68" s="78">
        <v>100000</v>
      </c>
      <c r="F68" s="77" t="s">
        <v>4806</v>
      </c>
      <c r="G68" s="78">
        <v>177.5</v>
      </c>
      <c r="H68" s="78">
        <v>177.5</v>
      </c>
      <c r="I68" s="77" t="s">
        <v>4800</v>
      </c>
      <c r="L68" s="3">
        <f>VLOOKUP(C68,Securities!A:D,4,FALSE)</f>
        <v>5</v>
      </c>
      <c r="M68" s="3" t="str">
        <f>VLOOKUP(C68,Securities!A:B,2,FALSE)</f>
        <v>TT343269 Corp</v>
      </c>
      <c r="O68" s="3">
        <f t="shared" si="1"/>
        <v>100000</v>
      </c>
    </row>
    <row r="69" spans="1:15" x14ac:dyDescent="0.25">
      <c r="A69" s="79">
        <v>43053</v>
      </c>
      <c r="B69" s="80" t="s">
        <v>4868</v>
      </c>
      <c r="C69" s="80" t="s">
        <v>4871</v>
      </c>
      <c r="D69" s="80" t="s">
        <v>4872</v>
      </c>
      <c r="E69" s="81">
        <v>200000</v>
      </c>
      <c r="F69" s="80" t="s">
        <v>4806</v>
      </c>
      <c r="G69" s="81">
        <v>0</v>
      </c>
      <c r="H69" s="81">
        <v>0</v>
      </c>
      <c r="I69" s="80" t="s">
        <v>4800</v>
      </c>
      <c r="L69" s="3">
        <f>VLOOKUP(C69,Securities!A:D,4,FALSE)</f>
        <v>5</v>
      </c>
      <c r="M69" s="3" t="str">
        <f>VLOOKUP(C69,Securities!A:B,2,FALSE)</f>
        <v>XS0800817073 Corp</v>
      </c>
      <c r="O69" s="3">
        <f t="shared" si="1"/>
        <v>200000</v>
      </c>
    </row>
    <row r="70" spans="1:15" x14ac:dyDescent="0.25">
      <c r="A70" s="76">
        <v>43053</v>
      </c>
      <c r="B70" s="77" t="s">
        <v>4868</v>
      </c>
      <c r="C70" s="77" t="s">
        <v>4873</v>
      </c>
      <c r="D70" s="77" t="s">
        <v>4874</v>
      </c>
      <c r="E70" s="78">
        <v>269000</v>
      </c>
      <c r="F70" s="77" t="s">
        <v>4806</v>
      </c>
      <c r="G70" s="78">
        <v>0</v>
      </c>
      <c r="H70" s="78">
        <v>0</v>
      </c>
      <c r="I70" s="77" t="s">
        <v>4800</v>
      </c>
      <c r="L70" s="3">
        <f>VLOOKUP(C70,Securities!A:D,4,FALSE)</f>
        <v>5</v>
      </c>
      <c r="M70" s="3" t="str">
        <f>VLOOKUP(C70,Securities!A:B,2,FALSE)</f>
        <v>XS0592794597 Corp</v>
      </c>
      <c r="O70" s="3">
        <f t="shared" si="1"/>
        <v>269000</v>
      </c>
    </row>
    <row r="71" spans="1:15" x14ac:dyDescent="0.25">
      <c r="A71" s="79">
        <v>43053</v>
      </c>
      <c r="B71" s="80" t="s">
        <v>4875</v>
      </c>
      <c r="C71" s="80" t="s">
        <v>4876</v>
      </c>
      <c r="D71" s="80" t="s">
        <v>45</v>
      </c>
      <c r="E71" s="81">
        <v>24000</v>
      </c>
      <c r="F71" s="80" t="s">
        <v>4799</v>
      </c>
      <c r="G71" s="81">
        <v>0</v>
      </c>
      <c r="H71" s="81">
        <v>0</v>
      </c>
      <c r="I71" s="80" t="s">
        <v>4800</v>
      </c>
      <c r="L71" s="3" t="e">
        <f>VLOOKUP(C71,Securities!A:D,4,FALSE)</f>
        <v>#N/A</v>
      </c>
      <c r="M71" s="3" t="e">
        <f>VLOOKUP(C71,Securities!A:B,2,FALSE)</f>
        <v>#N/A</v>
      </c>
      <c r="O71" s="3">
        <f t="shared" si="1"/>
        <v>24000</v>
      </c>
    </row>
    <row r="72" spans="1:15" x14ac:dyDescent="0.25">
      <c r="A72" s="76">
        <v>43053</v>
      </c>
      <c r="B72" s="77" t="s">
        <v>4875</v>
      </c>
      <c r="C72" s="77" t="s">
        <v>4798</v>
      </c>
      <c r="D72" s="77" t="s">
        <v>45</v>
      </c>
      <c r="E72" s="78">
        <v>162400</v>
      </c>
      <c r="F72" s="77" t="s">
        <v>4799</v>
      </c>
      <c r="G72" s="78">
        <v>0</v>
      </c>
      <c r="H72" s="78">
        <v>0</v>
      </c>
      <c r="I72" s="77" t="s">
        <v>4800</v>
      </c>
      <c r="L72" s="3">
        <f>VLOOKUP(C72,Securities!A:D,4,FALSE)</f>
        <v>1</v>
      </c>
      <c r="M72" s="3" t="str">
        <f>VLOOKUP(C72,Securities!A:B,2,FALSE)</f>
        <v>RUAL RX Equity</v>
      </c>
      <c r="O72" s="3">
        <f t="shared" si="1"/>
        <v>162400</v>
      </c>
    </row>
    <row r="73" spans="1:15" x14ac:dyDescent="0.25">
      <c r="A73" s="79">
        <v>43053</v>
      </c>
      <c r="B73" s="80" t="s">
        <v>4875</v>
      </c>
      <c r="C73" s="80" t="s">
        <v>4803</v>
      </c>
      <c r="D73" s="80" t="s">
        <v>39</v>
      </c>
      <c r="E73" s="81">
        <v>8710</v>
      </c>
      <c r="F73" s="80" t="s">
        <v>4804</v>
      </c>
      <c r="G73" s="81">
        <v>645.11488099999997</v>
      </c>
      <c r="H73" s="81">
        <v>11.429677999999999</v>
      </c>
      <c r="I73" s="80" t="s">
        <v>4800</v>
      </c>
      <c r="L73" s="3">
        <f>VLOOKUP(C73,Securities!A:D,4,FALSE)</f>
        <v>1</v>
      </c>
      <c r="M73" s="3" t="str">
        <f>VLOOKUP(C73,Securities!A:B,2,FALSE)</f>
        <v>AGRO LI Equity</v>
      </c>
      <c r="O73" s="3">
        <f t="shared" si="1"/>
        <v>8710</v>
      </c>
    </row>
    <row r="74" spans="1:15" x14ac:dyDescent="0.25">
      <c r="A74" s="76">
        <v>43053</v>
      </c>
      <c r="B74" s="77" t="s">
        <v>4875</v>
      </c>
      <c r="C74" s="77" t="s">
        <v>4877</v>
      </c>
      <c r="D74" s="77" t="s">
        <v>4878</v>
      </c>
      <c r="E74" s="78">
        <v>38486</v>
      </c>
      <c r="F74" s="77" t="s">
        <v>4879</v>
      </c>
      <c r="G74" s="78">
        <v>0</v>
      </c>
      <c r="H74" s="78">
        <v>0</v>
      </c>
      <c r="I74" s="77" t="s">
        <v>4800</v>
      </c>
      <c r="L74" s="3">
        <f>VLOOKUP(C74,Securities!A:D,4,FALSE)</f>
        <v>1</v>
      </c>
      <c r="M74" s="3" t="str">
        <f>VLOOKUP(C74,Securities!A:B,2,FALSE)</f>
        <v>COMRLES RX Equity</v>
      </c>
      <c r="O74" s="3">
        <f t="shared" si="1"/>
        <v>38486</v>
      </c>
    </row>
    <row r="75" spans="1:15" x14ac:dyDescent="0.25">
      <c r="A75" s="79">
        <v>43053</v>
      </c>
      <c r="B75" s="80" t="s">
        <v>4875</v>
      </c>
      <c r="C75" s="80" t="s">
        <v>4880</v>
      </c>
      <c r="D75" s="80" t="s">
        <v>4881</v>
      </c>
      <c r="E75" s="81">
        <v>24110</v>
      </c>
      <c r="F75" s="80" t="s">
        <v>4804</v>
      </c>
      <c r="G75" s="81">
        <v>127.342591</v>
      </c>
      <c r="H75" s="81">
        <v>1.74</v>
      </c>
      <c r="I75" s="80" t="s">
        <v>4800</v>
      </c>
      <c r="L75" s="3">
        <f>VLOOKUP(C75,Securities!A:D,4,FALSE)</f>
        <v>1</v>
      </c>
      <c r="M75" s="3" t="str">
        <f>VLOOKUP(C75,Securities!A:B,2,FALSE)</f>
        <v>ETLN LI Equity</v>
      </c>
      <c r="O75" s="3">
        <f t="shared" si="1"/>
        <v>24110</v>
      </c>
    </row>
    <row r="76" spans="1:15" x14ac:dyDescent="0.25">
      <c r="A76" s="76">
        <v>43053</v>
      </c>
      <c r="B76" s="77" t="s">
        <v>4875</v>
      </c>
      <c r="C76" s="77" t="s">
        <v>4805</v>
      </c>
      <c r="D76" s="77" t="s">
        <v>31</v>
      </c>
      <c r="E76" s="78">
        <v>300000</v>
      </c>
      <c r="F76" s="77" t="s">
        <v>4806</v>
      </c>
      <c r="G76" s="78">
        <v>175.25</v>
      </c>
      <c r="H76" s="78">
        <v>175.25</v>
      </c>
      <c r="I76" s="77" t="s">
        <v>4800</v>
      </c>
      <c r="L76" s="3">
        <f>VLOOKUP(C76,Securities!A:D,4,FALSE)</f>
        <v>5</v>
      </c>
      <c r="M76" s="3" t="str">
        <f>VLOOKUP(C76,Securities!A:B,2,FALSE)</f>
        <v>TT343269 Corp</v>
      </c>
      <c r="O76" s="3">
        <f t="shared" si="1"/>
        <v>300000</v>
      </c>
    </row>
    <row r="77" spans="1:15" x14ac:dyDescent="0.25">
      <c r="A77" s="79">
        <v>43053</v>
      </c>
      <c r="B77" s="80" t="s">
        <v>4875</v>
      </c>
      <c r="C77" s="80" t="s">
        <v>4882</v>
      </c>
      <c r="D77" s="80" t="s">
        <v>4883</v>
      </c>
      <c r="E77" s="81">
        <v>200000</v>
      </c>
      <c r="F77" s="80" t="s">
        <v>4806</v>
      </c>
      <c r="G77" s="81">
        <v>106.85</v>
      </c>
      <c r="H77" s="81">
        <v>106.85</v>
      </c>
      <c r="I77" s="80" t="s">
        <v>4800</v>
      </c>
      <c r="L77" s="3">
        <f>VLOOKUP(C77,Securities!A:D,4,FALSE)</f>
        <v>5</v>
      </c>
      <c r="M77" s="3" t="str">
        <f>VLOOKUP(C77,Securities!A:B,2,FALSE)</f>
        <v>XS1405775377 Corp</v>
      </c>
      <c r="O77" s="3">
        <f t="shared" si="1"/>
        <v>200000</v>
      </c>
    </row>
    <row r="78" spans="1:15" x14ac:dyDescent="0.25">
      <c r="A78" s="76">
        <v>43053</v>
      </c>
      <c r="B78" s="77" t="s">
        <v>4875</v>
      </c>
      <c r="C78" s="77" t="s">
        <v>4884</v>
      </c>
      <c r="D78" s="77" t="s">
        <v>4885</v>
      </c>
      <c r="E78" s="78">
        <v>269</v>
      </c>
      <c r="F78" s="77" t="s">
        <v>4814</v>
      </c>
      <c r="G78" s="78">
        <v>0</v>
      </c>
      <c r="H78" s="78">
        <v>0</v>
      </c>
      <c r="I78" s="77" t="s">
        <v>4800</v>
      </c>
      <c r="L78" s="3">
        <f>VLOOKUP(C78,Securities!A:D,4,FALSE)</f>
        <v>5</v>
      </c>
      <c r="M78" s="3" t="str">
        <f>VLOOKUP(C78,Securities!A:B,2,FALSE)</f>
        <v>RU000A0JPP11 Corp</v>
      </c>
      <c r="O78" s="3">
        <f t="shared" si="1"/>
        <v>269</v>
      </c>
    </row>
    <row r="79" spans="1:15" x14ac:dyDescent="0.25">
      <c r="A79" s="79">
        <v>43053</v>
      </c>
      <c r="B79" s="80" t="s">
        <v>4875</v>
      </c>
      <c r="C79" s="80" t="s">
        <v>4807</v>
      </c>
      <c r="D79" s="80" t="s">
        <v>4808</v>
      </c>
      <c r="E79" s="81">
        <v>200000</v>
      </c>
      <c r="F79" s="80" t="s">
        <v>4806</v>
      </c>
      <c r="G79" s="81">
        <v>104.7</v>
      </c>
      <c r="H79" s="81">
        <v>104.7</v>
      </c>
      <c r="I79" s="80" t="s">
        <v>4800</v>
      </c>
      <c r="L79" s="3">
        <f>VLOOKUP(C79,Securities!A:D,4,FALSE)</f>
        <v>5</v>
      </c>
      <c r="M79" s="3" t="str">
        <f>VLOOKUP(C79,Securities!A:B,2,FALSE)</f>
        <v>XS0975320879 Corp</v>
      </c>
      <c r="O79" s="3">
        <f t="shared" si="1"/>
        <v>200000</v>
      </c>
    </row>
    <row r="80" spans="1:15" x14ac:dyDescent="0.25">
      <c r="A80" s="76">
        <v>43053</v>
      </c>
      <c r="B80" s="77" t="s">
        <v>4875</v>
      </c>
      <c r="C80" s="77" t="s">
        <v>4809</v>
      </c>
      <c r="D80" s="77" t="s">
        <v>30</v>
      </c>
      <c r="E80" s="78">
        <v>44280</v>
      </c>
      <c r="F80" s="77" t="s">
        <v>4810</v>
      </c>
      <c r="G80" s="78">
        <v>119.727126</v>
      </c>
      <c r="H80" s="78">
        <v>2.1147520000000002</v>
      </c>
      <c r="I80" s="77" t="s">
        <v>4800</v>
      </c>
      <c r="L80" s="3">
        <f>VLOOKUP(C80,Securities!A:D,4,FALSE)</f>
        <v>1</v>
      </c>
      <c r="M80" s="3" t="str">
        <f>VLOOKUP(C80,Securities!A:B,2,FALSE)</f>
        <v>GAZP RX Equity</v>
      </c>
      <c r="O80" s="3">
        <f t="shared" si="1"/>
        <v>44280</v>
      </c>
    </row>
    <row r="81" spans="1:25" x14ac:dyDescent="0.25">
      <c r="A81" s="79">
        <v>43053</v>
      </c>
      <c r="B81" s="80" t="s">
        <v>4875</v>
      </c>
      <c r="C81" s="80" t="s">
        <v>4886</v>
      </c>
      <c r="D81" s="80" t="s">
        <v>4887</v>
      </c>
      <c r="E81" s="81">
        <v>6194</v>
      </c>
      <c r="F81" s="80" t="s">
        <v>4804</v>
      </c>
      <c r="G81" s="81">
        <v>0</v>
      </c>
      <c r="H81" s="81">
        <v>0</v>
      </c>
      <c r="I81" s="80" t="s">
        <v>4800</v>
      </c>
      <c r="L81" s="3">
        <f>VLOOKUP(C81,Securities!A:D,4,FALSE)</f>
        <v>1</v>
      </c>
      <c r="M81" s="3" t="str">
        <f>VLOOKUP(C81,Securities!A:B,2,FALSE)</f>
        <v>GLTR LI Equity</v>
      </c>
      <c r="O81" s="3">
        <f t="shared" si="1"/>
        <v>6194</v>
      </c>
    </row>
    <row r="82" spans="1:25" x14ac:dyDescent="0.25">
      <c r="A82" s="76">
        <v>43053</v>
      </c>
      <c r="B82" s="77" t="s">
        <v>4875</v>
      </c>
      <c r="C82" s="77" t="s">
        <v>4811</v>
      </c>
      <c r="D82" s="77" t="s">
        <v>4659</v>
      </c>
      <c r="E82" s="78">
        <v>28500</v>
      </c>
      <c r="F82" s="77" t="s">
        <v>4799</v>
      </c>
      <c r="G82" s="78">
        <v>102.01692199999999</v>
      </c>
      <c r="H82" s="78">
        <v>1.7720070000000001</v>
      </c>
      <c r="I82" s="77" t="s">
        <v>4800</v>
      </c>
      <c r="L82" s="3">
        <f>VLOOKUP(C82,Securities!A:D,4,FALSE)</f>
        <v>1</v>
      </c>
      <c r="M82" s="3" t="str">
        <f>VLOOKUP(C82,Securities!A:B,2,FALSE)</f>
        <v>HGM LN Equity</v>
      </c>
      <c r="O82" s="3">
        <f t="shared" si="1"/>
        <v>28500</v>
      </c>
    </row>
    <row r="83" spans="1:25" x14ac:dyDescent="0.25">
      <c r="A83" s="79">
        <v>43053</v>
      </c>
      <c r="B83" s="80" t="s">
        <v>4875</v>
      </c>
      <c r="C83" s="80" t="s">
        <v>4812</v>
      </c>
      <c r="D83" s="80" t="s">
        <v>4675</v>
      </c>
      <c r="E83" s="81">
        <v>5000</v>
      </c>
      <c r="F83" s="80" t="s">
        <v>4804</v>
      </c>
      <c r="G83" s="81">
        <v>558.85615800000005</v>
      </c>
      <c r="H83" s="81">
        <v>9.9984999999999999</v>
      </c>
      <c r="I83" s="80" t="s">
        <v>4800</v>
      </c>
      <c r="L83" s="3">
        <f>VLOOKUP(C83,Securities!A:D,4,FALSE)</f>
        <v>1</v>
      </c>
      <c r="M83" s="3" t="str">
        <f>VLOOKUP(C83,Securities!A:B,2,FALSE)</f>
        <v>KMG LI Equity</v>
      </c>
      <c r="O83" s="3">
        <f t="shared" si="1"/>
        <v>5000</v>
      </c>
    </row>
    <row r="84" spans="1:25" x14ac:dyDescent="0.25">
      <c r="A84" s="76">
        <v>43053</v>
      </c>
      <c r="B84" s="77" t="s">
        <v>4875</v>
      </c>
      <c r="C84" s="77" t="s">
        <v>4888</v>
      </c>
      <c r="D84" s="77" t="s">
        <v>29</v>
      </c>
      <c r="E84" s="78">
        <v>4405</v>
      </c>
      <c r="F84" s="77" t="s">
        <v>4810</v>
      </c>
      <c r="G84" s="78">
        <v>701.02020400000004</v>
      </c>
      <c r="H84" s="78">
        <v>11.344063999999999</v>
      </c>
      <c r="I84" s="77" t="s">
        <v>4800</v>
      </c>
      <c r="L84" s="3">
        <f>VLOOKUP(C84,Securities!A:D,4,FALSE)</f>
        <v>1</v>
      </c>
      <c r="M84" s="3" t="str">
        <f>VLOOKUP(C84,Securities!A:B,2,FALSE)</f>
        <v>MFON RX Equity</v>
      </c>
      <c r="O84" s="3">
        <f t="shared" si="1"/>
        <v>4405</v>
      </c>
    </row>
    <row r="85" spans="1:25" x14ac:dyDescent="0.25">
      <c r="A85" s="79">
        <v>43053</v>
      </c>
      <c r="B85" s="80" t="s">
        <v>4875</v>
      </c>
      <c r="C85" s="80" t="s">
        <v>4889</v>
      </c>
      <c r="D85" s="80" t="s">
        <v>438</v>
      </c>
      <c r="E85" s="81">
        <v>7600</v>
      </c>
      <c r="F85" s="80" t="s">
        <v>4810</v>
      </c>
      <c r="G85" s="81">
        <v>197</v>
      </c>
      <c r="H85" s="81">
        <v>2.9564349999999999</v>
      </c>
      <c r="I85" s="80" t="s">
        <v>4800</v>
      </c>
      <c r="L85" s="3">
        <f>VLOOKUP(C85,Securities!A:D,4,FALSE)</f>
        <v>1</v>
      </c>
      <c r="M85" s="3" t="str">
        <f>VLOOKUP(C85,Securities!A:B,2,FALSE)</f>
        <v>MTSS RX Equity</v>
      </c>
      <c r="O85" s="3">
        <f t="shared" si="1"/>
        <v>7600</v>
      </c>
    </row>
    <row r="86" spans="1:25" x14ac:dyDescent="0.25">
      <c r="A86" s="76">
        <v>43053</v>
      </c>
      <c r="B86" s="77" t="s">
        <v>4875</v>
      </c>
      <c r="C86" s="77" t="s">
        <v>4819</v>
      </c>
      <c r="D86" s="77" t="s">
        <v>4820</v>
      </c>
      <c r="E86" s="78">
        <v>200000</v>
      </c>
      <c r="F86" s="77" t="s">
        <v>4806</v>
      </c>
      <c r="G86" s="78">
        <v>101.45</v>
      </c>
      <c r="H86" s="78">
        <v>101.45</v>
      </c>
      <c r="I86" s="77" t="s">
        <v>4800</v>
      </c>
      <c r="J86" s="3"/>
      <c r="K86" s="3"/>
      <c r="L86" s="3">
        <f>VLOOKUP(C86,Securities!A:D,4,FALSE)</f>
        <v>5</v>
      </c>
      <c r="M86" s="3" t="str">
        <f>VLOOKUP(C86,Securities!A:B,2,FALSE)</f>
        <v>XS0776121062 Corp</v>
      </c>
      <c r="N86" s="3"/>
      <c r="O86" s="3">
        <f t="shared" si="1"/>
        <v>200000</v>
      </c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 x14ac:dyDescent="0.25">
      <c r="A87" s="79">
        <v>43053</v>
      </c>
      <c r="B87" s="80" t="s">
        <v>4875</v>
      </c>
      <c r="C87" s="80" t="s">
        <v>4848</v>
      </c>
      <c r="D87" s="80" t="s">
        <v>511</v>
      </c>
      <c r="E87" s="81">
        <v>10225</v>
      </c>
      <c r="F87" s="80" t="s">
        <v>4810</v>
      </c>
      <c r="G87" s="81">
        <v>629.41730700000005</v>
      </c>
      <c r="H87" s="81">
        <v>10.958607000000001</v>
      </c>
      <c r="I87" s="80" t="s">
        <v>4800</v>
      </c>
      <c r="J87" s="3"/>
      <c r="K87" s="3"/>
      <c r="L87" s="3">
        <f>VLOOKUP(C87,Securities!A:D,4,FALSE)</f>
        <v>1</v>
      </c>
      <c r="M87" s="3" t="str">
        <f>VLOOKUP(C87,Securities!A:B,2,FALSE)</f>
        <v>NVTK RX Equity</v>
      </c>
      <c r="N87" s="3"/>
      <c r="O87" s="3">
        <f t="shared" si="1"/>
        <v>10225</v>
      </c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 x14ac:dyDescent="0.25">
      <c r="A88" s="76">
        <v>43053</v>
      </c>
      <c r="B88" s="77" t="s">
        <v>4875</v>
      </c>
      <c r="C88" s="77" t="s">
        <v>4821</v>
      </c>
      <c r="D88" s="77" t="s">
        <v>42</v>
      </c>
      <c r="E88" s="78">
        <v>4500</v>
      </c>
      <c r="F88" s="77" t="s">
        <v>4799</v>
      </c>
      <c r="G88" s="78">
        <v>648.77676199999996</v>
      </c>
      <c r="H88" s="78">
        <v>10.4314</v>
      </c>
      <c r="I88" s="77" t="s">
        <v>4800</v>
      </c>
      <c r="J88" s="3"/>
      <c r="K88" s="3"/>
      <c r="L88" s="3">
        <f>VLOOKUP(C88,Securities!A:D,4,FALSE)</f>
        <v>1</v>
      </c>
      <c r="M88" s="3" t="str">
        <f>VLOOKUP(C88,Securities!A:B,2,FALSE)</f>
        <v>POLY LN Equity</v>
      </c>
      <c r="N88" s="3"/>
      <c r="O88" s="3">
        <f t="shared" si="1"/>
        <v>4500</v>
      </c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 x14ac:dyDescent="0.25">
      <c r="A89" s="79">
        <v>43053</v>
      </c>
      <c r="B89" s="80" t="s">
        <v>4875</v>
      </c>
      <c r="C89" s="80" t="s">
        <v>4851</v>
      </c>
      <c r="D89" s="80" t="s">
        <v>4744</v>
      </c>
      <c r="E89" s="81">
        <v>200000</v>
      </c>
      <c r="F89" s="80" t="s">
        <v>4806</v>
      </c>
      <c r="G89" s="81">
        <v>101.21</v>
      </c>
      <c r="H89" s="81">
        <v>101.21</v>
      </c>
      <c r="I89" s="80" t="s">
        <v>4800</v>
      </c>
      <c r="J89" s="3"/>
      <c r="K89" s="3"/>
      <c r="L89" s="3">
        <f>VLOOKUP(C89,Securities!A:D,4,FALSE)</f>
        <v>5</v>
      </c>
      <c r="M89" s="3" t="str">
        <f>VLOOKUP(C89,Securities!A:B,2,FALSE)</f>
        <v>XS1032750165 Corp</v>
      </c>
      <c r="N89" s="3"/>
      <c r="O89" s="3">
        <f t="shared" si="1"/>
        <v>200000</v>
      </c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 x14ac:dyDescent="0.25">
      <c r="A90" s="76">
        <v>43053</v>
      </c>
      <c r="B90" s="77" t="s">
        <v>4875</v>
      </c>
      <c r="C90" s="77" t="s">
        <v>4890</v>
      </c>
      <c r="D90" s="77" t="s">
        <v>886</v>
      </c>
      <c r="E90" s="78">
        <v>1521000</v>
      </c>
      <c r="F90" s="77" t="s">
        <v>4810</v>
      </c>
      <c r="G90" s="78">
        <v>2.4</v>
      </c>
      <c r="H90" s="78">
        <v>4.1307999999999997E-2</v>
      </c>
      <c r="I90" s="77" t="s">
        <v>4800</v>
      </c>
      <c r="J90" s="3"/>
      <c r="K90" s="3"/>
      <c r="L90" s="3">
        <f>VLOOKUP(C90,Securities!A:D,4,FALSE)</f>
        <v>1</v>
      </c>
      <c r="M90" s="3" t="str">
        <f>VLOOKUP(C90,Securities!A:B,2,FALSE)</f>
        <v>UPRO RX Equity</v>
      </c>
      <c r="N90" s="3"/>
      <c r="O90" s="3">
        <f t="shared" si="1"/>
        <v>1521000</v>
      </c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 x14ac:dyDescent="0.25">
      <c r="A91" s="79">
        <v>43053</v>
      </c>
      <c r="B91" s="80" t="s">
        <v>4875</v>
      </c>
      <c r="C91" s="80" t="s">
        <v>4824</v>
      </c>
      <c r="D91" s="80" t="s">
        <v>4674</v>
      </c>
      <c r="E91" s="81">
        <v>12550</v>
      </c>
      <c r="F91" s="80" t="s">
        <v>4825</v>
      </c>
      <c r="G91" s="81">
        <v>0</v>
      </c>
      <c r="H91" s="81">
        <v>0</v>
      </c>
      <c r="I91" s="80" t="s">
        <v>4800</v>
      </c>
      <c r="J91" s="3"/>
      <c r="K91" s="3"/>
      <c r="L91" s="3">
        <f>VLOOKUP(C91,Securities!A:D,4,FALSE)</f>
        <v>1</v>
      </c>
      <c r="M91" s="3" t="str">
        <f>VLOOKUP(C91,Securities!A:B,2,FALSE)</f>
        <v>VEON US Equity</v>
      </c>
      <c r="N91" s="3"/>
      <c r="O91" s="3">
        <f t="shared" si="1"/>
        <v>12550</v>
      </c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 x14ac:dyDescent="0.25">
      <c r="A92" s="76">
        <v>43053</v>
      </c>
      <c r="B92" s="77" t="s">
        <v>4891</v>
      </c>
      <c r="C92" s="77" t="s">
        <v>4807</v>
      </c>
      <c r="D92" s="77" t="s">
        <v>4808</v>
      </c>
      <c r="E92" s="78">
        <v>400000</v>
      </c>
      <c r="F92" s="77" t="s">
        <v>4806</v>
      </c>
      <c r="G92" s="78">
        <v>103.25</v>
      </c>
      <c r="H92" s="78">
        <v>103.25</v>
      </c>
      <c r="I92" s="77" t="s">
        <v>4800</v>
      </c>
      <c r="J92" s="3"/>
      <c r="K92" s="3"/>
      <c r="L92" s="3">
        <f>VLOOKUP(C92,Securities!A:D,4,FALSE)</f>
        <v>5</v>
      </c>
      <c r="M92" s="3" t="str">
        <f>VLOOKUP(C92,Securities!A:B,2,FALSE)</f>
        <v>XS0975320879 Corp</v>
      </c>
      <c r="N92" s="3"/>
      <c r="O92" s="3">
        <f t="shared" si="1"/>
        <v>400000</v>
      </c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 x14ac:dyDescent="0.25">
      <c r="A93" s="79">
        <v>43053</v>
      </c>
      <c r="B93" s="80" t="s">
        <v>4891</v>
      </c>
      <c r="C93" s="80" t="s">
        <v>4809</v>
      </c>
      <c r="D93" s="80" t="s">
        <v>30</v>
      </c>
      <c r="E93" s="81">
        <v>23400</v>
      </c>
      <c r="F93" s="80" t="s">
        <v>4810</v>
      </c>
      <c r="G93" s="81">
        <v>128.18879999999999</v>
      </c>
      <c r="H93" s="81">
        <v>2.2126540000000001</v>
      </c>
      <c r="I93" s="80" t="s">
        <v>4800</v>
      </c>
      <c r="J93" s="3"/>
      <c r="K93" s="3"/>
      <c r="L93" s="3">
        <f>VLOOKUP(C93,Securities!A:D,4,FALSE)</f>
        <v>1</v>
      </c>
      <c r="M93" s="3" t="str">
        <f>VLOOKUP(C93,Securities!A:B,2,FALSE)</f>
        <v>GAZP RX Equity</v>
      </c>
      <c r="N93" s="3"/>
      <c r="O93" s="3">
        <f t="shared" si="1"/>
        <v>23400</v>
      </c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 x14ac:dyDescent="0.25">
      <c r="A94" s="76">
        <v>43053</v>
      </c>
      <c r="B94" s="77" t="s">
        <v>4891</v>
      </c>
      <c r="C94" s="77" t="s">
        <v>4892</v>
      </c>
      <c r="D94" s="77" t="s">
        <v>568</v>
      </c>
      <c r="E94" s="78">
        <v>1560</v>
      </c>
      <c r="F94" s="77" t="s">
        <v>4810</v>
      </c>
      <c r="G94" s="78">
        <v>4176.2785519999998</v>
      </c>
      <c r="H94" s="78">
        <v>69.221942999999996</v>
      </c>
      <c r="I94" s="77" t="s">
        <v>4800</v>
      </c>
      <c r="J94" s="3"/>
      <c r="K94" s="3"/>
      <c r="L94" s="3">
        <f>VLOOKUP(C94,Securities!A:D,4,FALSE)</f>
        <v>1</v>
      </c>
      <c r="M94" s="3" t="str">
        <f>VLOOKUP(C94,Securities!A:B,2,FALSE)</f>
        <v>PLZL RX Equity</v>
      </c>
      <c r="N94" s="3"/>
      <c r="O94" s="3">
        <f t="shared" si="1"/>
        <v>1560</v>
      </c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 x14ac:dyDescent="0.25">
      <c r="A95" s="79">
        <v>43053</v>
      </c>
      <c r="B95" s="80" t="s">
        <v>4891</v>
      </c>
      <c r="C95" s="80" t="s">
        <v>4893</v>
      </c>
      <c r="D95" s="80" t="s">
        <v>604</v>
      </c>
      <c r="E95" s="81">
        <v>431038</v>
      </c>
      <c r="F95" s="80" t="s">
        <v>4810</v>
      </c>
      <c r="G95" s="81">
        <v>216.857981</v>
      </c>
      <c r="H95" s="81">
        <v>4.695932</v>
      </c>
      <c r="I95" s="80" t="s">
        <v>4800</v>
      </c>
      <c r="J95" s="3"/>
      <c r="K95" s="3"/>
      <c r="L95" s="3">
        <f>VLOOKUP(C95,Securities!A:D,4,FALSE)</f>
        <v>1</v>
      </c>
      <c r="M95" s="3" t="str">
        <f>VLOOKUP(C95,Securities!A:B,2,FALSE)</f>
        <v>ROSN RX Equity</v>
      </c>
      <c r="N95" s="3"/>
      <c r="O95" s="3">
        <f t="shared" si="1"/>
        <v>431038</v>
      </c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 x14ac:dyDescent="0.25">
      <c r="A96" s="76">
        <v>43053</v>
      </c>
      <c r="B96" s="77" t="s">
        <v>4894</v>
      </c>
      <c r="C96" s="77" t="s">
        <v>4895</v>
      </c>
      <c r="D96" s="77" t="s">
        <v>144</v>
      </c>
      <c r="E96" s="78">
        <v>4590</v>
      </c>
      <c r="F96" s="77" t="s">
        <v>4810</v>
      </c>
      <c r="G96" s="78">
        <v>1338.77244</v>
      </c>
      <c r="H96" s="78">
        <v>22.657442</v>
      </c>
      <c r="I96" s="77" t="s">
        <v>4800</v>
      </c>
      <c r="J96" s="3"/>
      <c r="K96" s="3"/>
      <c r="L96" s="3">
        <f>VLOOKUP(C96,Securities!A:D,4,FALSE)</f>
        <v>1</v>
      </c>
      <c r="M96" s="3" t="str">
        <f>VLOOKUP(C96,Securities!A:B,2,FALSE)</f>
        <v>BANEP RX Equity</v>
      </c>
      <c r="N96" s="3"/>
      <c r="O96" s="3">
        <f t="shared" si="1"/>
        <v>4590</v>
      </c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 x14ac:dyDescent="0.25">
      <c r="A97" s="79">
        <v>43053</v>
      </c>
      <c r="B97" s="80" t="s">
        <v>4894</v>
      </c>
      <c r="C97" s="80" t="s">
        <v>4896</v>
      </c>
      <c r="D97" s="80" t="s">
        <v>4897</v>
      </c>
      <c r="E97" s="81">
        <v>3900</v>
      </c>
      <c r="F97" s="80" t="s">
        <v>4898</v>
      </c>
      <c r="G97" s="81">
        <v>1489.715874</v>
      </c>
      <c r="H97" s="81">
        <v>25.741743</v>
      </c>
      <c r="I97" s="80" t="s">
        <v>4800</v>
      </c>
      <c r="J97" s="3"/>
      <c r="K97" s="3"/>
      <c r="L97" s="3">
        <f>VLOOKUP(C97,Securities!A:D,4,FALSE)</f>
        <v>1</v>
      </c>
      <c r="M97" s="3" t="str">
        <f>VLOOKUP(C97,Securities!A:B,2,FALSE)</f>
        <v>CNCR US Equity</v>
      </c>
      <c r="N97" s="3"/>
      <c r="O97" s="3">
        <f t="shared" si="1"/>
        <v>3900</v>
      </c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 x14ac:dyDescent="0.25">
      <c r="A98" s="76">
        <v>43053</v>
      </c>
      <c r="B98" s="77" t="s">
        <v>4894</v>
      </c>
      <c r="C98" s="77" t="s">
        <v>4880</v>
      </c>
      <c r="D98" s="77" t="s">
        <v>4881</v>
      </c>
      <c r="E98" s="78">
        <v>53170</v>
      </c>
      <c r="F98" s="77" t="s">
        <v>4804</v>
      </c>
      <c r="G98" s="78">
        <v>121.449018</v>
      </c>
      <c r="H98" s="78">
        <v>1.7325699999999999</v>
      </c>
      <c r="I98" s="77" t="s">
        <v>4800</v>
      </c>
      <c r="J98" s="3"/>
      <c r="K98" s="3"/>
      <c r="L98" s="3">
        <f>VLOOKUP(C98,Securities!A:D,4,FALSE)</f>
        <v>1</v>
      </c>
      <c r="M98" s="3" t="str">
        <f>VLOOKUP(C98,Securities!A:B,2,FALSE)</f>
        <v>ETLN LI Equity</v>
      </c>
      <c r="N98" s="3"/>
      <c r="O98" s="3">
        <f t="shared" si="1"/>
        <v>53170</v>
      </c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 x14ac:dyDescent="0.25">
      <c r="A99" s="79">
        <v>43053</v>
      </c>
      <c r="B99" s="80" t="s">
        <v>4894</v>
      </c>
      <c r="C99" s="80" t="s">
        <v>4899</v>
      </c>
      <c r="D99" s="80" t="s">
        <v>4900</v>
      </c>
      <c r="E99" s="81">
        <v>16486</v>
      </c>
      <c r="F99" s="80" t="s">
        <v>4799</v>
      </c>
      <c r="G99" s="81">
        <v>208.01850099999999</v>
      </c>
      <c r="H99" s="81">
        <v>3.4745750000000002</v>
      </c>
      <c r="I99" s="80" t="s">
        <v>4800</v>
      </c>
      <c r="J99" s="3"/>
      <c r="K99" s="3"/>
      <c r="L99" s="3">
        <f>VLOOKUP(C99,Securities!A:D,4,FALSE)</f>
        <v>1</v>
      </c>
      <c r="M99" s="3" t="str">
        <f>VLOOKUP(C99,Securities!A:B,2,FALSE)</f>
        <v>EVR LN Equity</v>
      </c>
      <c r="N99" s="3"/>
      <c r="O99" s="3">
        <f t="shared" si="1"/>
        <v>16486</v>
      </c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 x14ac:dyDescent="0.25">
      <c r="A100" s="76">
        <v>43053</v>
      </c>
      <c r="B100" s="77" t="s">
        <v>4894</v>
      </c>
      <c r="C100" s="77" t="s">
        <v>4901</v>
      </c>
      <c r="D100" s="77" t="s">
        <v>4902</v>
      </c>
      <c r="E100" s="78">
        <v>4669</v>
      </c>
      <c r="F100" s="77" t="s">
        <v>4804</v>
      </c>
      <c r="G100" s="78">
        <v>2130.751037</v>
      </c>
      <c r="H100" s="78">
        <v>37.068173000000002</v>
      </c>
      <c r="I100" s="77" t="s">
        <v>4800</v>
      </c>
      <c r="J100" s="3"/>
      <c r="K100" s="3"/>
      <c r="L100" s="3">
        <f>VLOOKUP(C100,Securities!A:D,4,FALSE)</f>
        <v>1</v>
      </c>
      <c r="M100" s="3" t="str">
        <f>VLOOKUP(C100,Securities!A:B,2,FALSE)</f>
        <v>FIVE LI Equity</v>
      </c>
      <c r="N100" s="3"/>
      <c r="O100" s="3">
        <f t="shared" si="1"/>
        <v>4669</v>
      </c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 x14ac:dyDescent="0.25">
      <c r="A101" s="79">
        <v>43053</v>
      </c>
      <c r="B101" s="80" t="s">
        <v>4894</v>
      </c>
      <c r="C101" s="80" t="s">
        <v>4903</v>
      </c>
      <c r="D101" s="80" t="s">
        <v>4904</v>
      </c>
      <c r="E101" s="81">
        <v>200000</v>
      </c>
      <c r="F101" s="80" t="s">
        <v>4806</v>
      </c>
      <c r="G101" s="81">
        <v>107.05</v>
      </c>
      <c r="H101" s="81">
        <v>107.05</v>
      </c>
      <c r="I101" s="80" t="s">
        <v>4800</v>
      </c>
      <c r="J101" s="3"/>
      <c r="K101" s="3"/>
      <c r="L101" s="3">
        <f>VLOOKUP(C101,Securities!A:D,4,FALSE)</f>
        <v>5</v>
      </c>
      <c r="M101" s="3" t="str">
        <f>VLOOKUP(C101,Securities!A:B,2,FALSE)</f>
        <v>XS1319813769 Corp</v>
      </c>
      <c r="N101" s="3"/>
      <c r="O101" s="3">
        <f t="shared" si="1"/>
        <v>200000</v>
      </c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 x14ac:dyDescent="0.25">
      <c r="A102" s="76">
        <v>43053</v>
      </c>
      <c r="B102" s="77" t="s">
        <v>4894</v>
      </c>
      <c r="C102" s="77" t="s">
        <v>4905</v>
      </c>
      <c r="D102" s="77" t="s">
        <v>220</v>
      </c>
      <c r="E102" s="78">
        <v>1480</v>
      </c>
      <c r="F102" s="77" t="s">
        <v>4810</v>
      </c>
      <c r="G102" s="78">
        <v>8159.2584809999998</v>
      </c>
      <c r="H102" s="78">
        <v>128.482586</v>
      </c>
      <c r="I102" s="77" t="s">
        <v>4800</v>
      </c>
      <c r="J102" s="3"/>
      <c r="K102" s="3"/>
      <c r="L102" s="3">
        <f>VLOOKUP(C102,Securities!A:D,4,FALSE)</f>
        <v>1</v>
      </c>
      <c r="M102" s="3" t="str">
        <f>VLOOKUP(C102,Securities!A:B,2,FALSE)</f>
        <v>GMKN RX Equity</v>
      </c>
      <c r="N102" s="3"/>
      <c r="O102" s="3">
        <f t="shared" si="1"/>
        <v>1480</v>
      </c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 x14ac:dyDescent="0.25">
      <c r="A103" s="79">
        <v>43053</v>
      </c>
      <c r="B103" s="80" t="s">
        <v>4894</v>
      </c>
      <c r="C103" s="80" t="s">
        <v>4811</v>
      </c>
      <c r="D103" s="80" t="s">
        <v>4659</v>
      </c>
      <c r="E103" s="81">
        <v>155920</v>
      </c>
      <c r="F103" s="80" t="s">
        <v>4799</v>
      </c>
      <c r="G103" s="81">
        <v>72.934565000000006</v>
      </c>
      <c r="H103" s="81">
        <v>1.1321000000000001</v>
      </c>
      <c r="I103" s="80" t="s">
        <v>4800</v>
      </c>
      <c r="J103" s="3"/>
      <c r="K103" s="3"/>
      <c r="L103" s="3">
        <f>VLOOKUP(C103,Securities!A:D,4,FALSE)</f>
        <v>1</v>
      </c>
      <c r="M103" s="3" t="str">
        <f>VLOOKUP(C103,Securities!A:B,2,FALSE)</f>
        <v>HGM LN Equity</v>
      </c>
      <c r="N103" s="3"/>
      <c r="O103" s="3">
        <f t="shared" si="1"/>
        <v>155920</v>
      </c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 x14ac:dyDescent="0.25">
      <c r="A104" s="76">
        <v>43053</v>
      </c>
      <c r="B104" s="77" t="s">
        <v>4894</v>
      </c>
      <c r="C104" s="77" t="s">
        <v>4906</v>
      </c>
      <c r="D104" s="77" t="s">
        <v>4907</v>
      </c>
      <c r="E104" s="78">
        <v>7000</v>
      </c>
      <c r="F104" s="77" t="s">
        <v>4908</v>
      </c>
      <c r="G104" s="78">
        <v>796.88302999999996</v>
      </c>
      <c r="H104" s="78">
        <v>13.29</v>
      </c>
      <c r="I104" s="77" t="s">
        <v>4800</v>
      </c>
      <c r="J104" s="3"/>
      <c r="K104" s="3"/>
      <c r="L104" s="3">
        <f>VLOOKUP(C104,Securities!A:D,4,FALSE)</f>
        <v>1</v>
      </c>
      <c r="M104" s="3" t="str">
        <f>VLOOKUP(C104,Securities!A:B,2,FALSE)</f>
        <v>HHPA2AH LX Equity</v>
      </c>
      <c r="N104" s="3"/>
      <c r="O104" s="3">
        <f t="shared" si="1"/>
        <v>7000</v>
      </c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 x14ac:dyDescent="0.25">
      <c r="A105" s="79">
        <v>43053</v>
      </c>
      <c r="B105" s="80" t="s">
        <v>4894</v>
      </c>
      <c r="C105" s="80" t="s">
        <v>4909</v>
      </c>
      <c r="D105" s="80" t="s">
        <v>286</v>
      </c>
      <c r="E105" s="81">
        <v>20500</v>
      </c>
      <c r="F105" s="80" t="s">
        <v>4810</v>
      </c>
      <c r="G105" s="81">
        <v>41.336964999999999</v>
      </c>
      <c r="H105" s="81">
        <v>0.73823000000000005</v>
      </c>
      <c r="I105" s="80" t="s">
        <v>4800</v>
      </c>
      <c r="J105" s="3"/>
      <c r="K105" s="3"/>
      <c r="L105" s="3">
        <f>VLOOKUP(C105,Securities!A:D,4,FALSE)</f>
        <v>1</v>
      </c>
      <c r="M105" s="3" t="str">
        <f>VLOOKUP(C105,Securities!A:B,2,FALSE)</f>
        <v>KMAZ RX Equity</v>
      </c>
      <c r="N105" s="3"/>
      <c r="O105" s="3">
        <f t="shared" si="1"/>
        <v>20500</v>
      </c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 x14ac:dyDescent="0.25">
      <c r="A106" s="76">
        <v>43053</v>
      </c>
      <c r="B106" s="77" t="s">
        <v>4894</v>
      </c>
      <c r="C106" s="77" t="s">
        <v>4812</v>
      </c>
      <c r="D106" s="77" t="s">
        <v>4675</v>
      </c>
      <c r="E106" s="78">
        <v>11000</v>
      </c>
      <c r="F106" s="77" t="s">
        <v>4804</v>
      </c>
      <c r="G106" s="78">
        <v>547.17472699999996</v>
      </c>
      <c r="H106" s="78">
        <v>9.5688709999999997</v>
      </c>
      <c r="I106" s="77" t="s">
        <v>4800</v>
      </c>
      <c r="J106" s="3"/>
      <c r="K106" s="3"/>
      <c r="L106" s="3">
        <f>VLOOKUP(C106,Securities!A:D,4,FALSE)</f>
        <v>1</v>
      </c>
      <c r="M106" s="3" t="str">
        <f>VLOOKUP(C106,Securities!A:B,2,FALSE)</f>
        <v>KMG LI Equity</v>
      </c>
      <c r="N106" s="3"/>
      <c r="O106" s="3">
        <f t="shared" si="1"/>
        <v>11000</v>
      </c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 x14ac:dyDescent="0.25">
      <c r="A107" s="79">
        <v>43053</v>
      </c>
      <c r="B107" s="80" t="s">
        <v>4894</v>
      </c>
      <c r="C107" s="80" t="s">
        <v>4847</v>
      </c>
      <c r="D107" s="80" t="s">
        <v>369</v>
      </c>
      <c r="E107" s="81">
        <v>2597</v>
      </c>
      <c r="F107" s="80" t="s">
        <v>4810</v>
      </c>
      <c r="G107" s="81">
        <v>2182.40364</v>
      </c>
      <c r="H107" s="81">
        <v>30.041681000000001</v>
      </c>
      <c r="I107" s="80" t="s">
        <v>4800</v>
      </c>
      <c r="J107" s="3"/>
      <c r="K107" s="3"/>
      <c r="L107" s="3">
        <f>VLOOKUP(C107,Securities!A:D,4,FALSE)</f>
        <v>1</v>
      </c>
      <c r="M107" s="3" t="str">
        <f>VLOOKUP(C107,Securities!A:B,2,FALSE)</f>
        <v>LKOH RX Equity</v>
      </c>
      <c r="N107" s="3"/>
      <c r="O107" s="3">
        <f t="shared" si="1"/>
        <v>2597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 x14ac:dyDescent="0.25">
      <c r="A108" s="76">
        <v>43053</v>
      </c>
      <c r="B108" s="77" t="s">
        <v>4894</v>
      </c>
      <c r="C108" s="77" t="s">
        <v>4910</v>
      </c>
      <c r="D108" s="77" t="s">
        <v>366</v>
      </c>
      <c r="E108" s="78">
        <v>14037</v>
      </c>
      <c r="F108" s="77" t="s">
        <v>4810</v>
      </c>
      <c r="G108" s="78">
        <v>709.853883</v>
      </c>
      <c r="H108" s="78">
        <v>10.828424</v>
      </c>
      <c r="I108" s="77" t="s">
        <v>4800</v>
      </c>
      <c r="J108" s="3"/>
      <c r="K108" s="3"/>
      <c r="L108" s="3">
        <f>VLOOKUP(C108,Securities!A:D,4,FALSE)</f>
        <v>1</v>
      </c>
      <c r="M108" s="3" t="str">
        <f>VLOOKUP(C108,Securities!A:B,2,FALSE)</f>
        <v>LSRG RX Equity</v>
      </c>
      <c r="N108" s="3"/>
      <c r="O108" s="3">
        <f t="shared" si="1"/>
        <v>14037</v>
      </c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 x14ac:dyDescent="0.25">
      <c r="A109" s="79">
        <v>43053</v>
      </c>
      <c r="B109" s="80" t="s">
        <v>4894</v>
      </c>
      <c r="C109" s="80" t="s">
        <v>4911</v>
      </c>
      <c r="D109" s="80" t="s">
        <v>405</v>
      </c>
      <c r="E109" s="81">
        <v>242000</v>
      </c>
      <c r="F109" s="80" t="s">
        <v>4810</v>
      </c>
      <c r="G109" s="81">
        <v>41.835514000000003</v>
      </c>
      <c r="H109" s="81">
        <v>0.72600500000000001</v>
      </c>
      <c r="I109" s="80" t="s">
        <v>4800</v>
      </c>
      <c r="J109" s="3"/>
      <c r="K109" s="3"/>
      <c r="L109" s="3">
        <f>VLOOKUP(C109,Securities!A:D,4,FALSE)</f>
        <v>1</v>
      </c>
      <c r="M109" s="3" t="str">
        <f>VLOOKUP(C109,Securities!A:B,2,FALSE)</f>
        <v>MAGN RX Equity</v>
      </c>
      <c r="N109" s="3"/>
      <c r="O109" s="3">
        <f t="shared" si="1"/>
        <v>242000</v>
      </c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 x14ac:dyDescent="0.25">
      <c r="A110" s="76">
        <v>43053</v>
      </c>
      <c r="B110" s="77" t="s">
        <v>4894</v>
      </c>
      <c r="C110" s="77" t="s">
        <v>4888</v>
      </c>
      <c r="D110" s="77" t="s">
        <v>29</v>
      </c>
      <c r="E110" s="78">
        <v>8000</v>
      </c>
      <c r="F110" s="77" t="s">
        <v>4810</v>
      </c>
      <c r="G110" s="78">
        <v>742.67843800000003</v>
      </c>
      <c r="H110" s="78">
        <v>11.71733</v>
      </c>
      <c r="I110" s="77" t="s">
        <v>4800</v>
      </c>
      <c r="J110" s="3"/>
      <c r="K110" s="3"/>
      <c r="L110" s="3">
        <f>VLOOKUP(C110,Securities!A:D,4,FALSE)</f>
        <v>1</v>
      </c>
      <c r="M110" s="3" t="str">
        <f>VLOOKUP(C110,Securities!A:B,2,FALSE)</f>
        <v>MFON RX Equity</v>
      </c>
      <c r="N110" s="3"/>
      <c r="O110" s="3">
        <f t="shared" si="1"/>
        <v>8000</v>
      </c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 x14ac:dyDescent="0.25">
      <c r="A111" s="79">
        <v>43053</v>
      </c>
      <c r="B111" s="80" t="s">
        <v>4894</v>
      </c>
      <c r="C111" s="80" t="s">
        <v>4889</v>
      </c>
      <c r="D111" s="80" t="s">
        <v>438</v>
      </c>
      <c r="E111" s="81">
        <v>6500</v>
      </c>
      <c r="F111" s="80" t="s">
        <v>4810</v>
      </c>
      <c r="G111" s="81">
        <v>231.046153</v>
      </c>
      <c r="H111" s="81">
        <v>4.108422</v>
      </c>
      <c r="I111" s="80" t="s">
        <v>4800</v>
      </c>
      <c r="J111" s="3"/>
      <c r="K111" s="3"/>
      <c r="L111" s="3">
        <f>VLOOKUP(C111,Securities!A:D,4,FALSE)</f>
        <v>1</v>
      </c>
      <c r="M111" s="3" t="str">
        <f>VLOOKUP(C111,Securities!A:B,2,FALSE)</f>
        <v>MTSS RX Equity</v>
      </c>
      <c r="N111" s="3"/>
      <c r="O111" s="3">
        <f t="shared" si="1"/>
        <v>6500</v>
      </c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 x14ac:dyDescent="0.25">
      <c r="A112" s="76">
        <v>43053</v>
      </c>
      <c r="B112" s="77" t="s">
        <v>4894</v>
      </c>
      <c r="C112" s="77" t="s">
        <v>4912</v>
      </c>
      <c r="D112" s="77" t="s">
        <v>28</v>
      </c>
      <c r="E112" s="78">
        <v>1009000</v>
      </c>
      <c r="F112" s="77" t="s">
        <v>4810</v>
      </c>
      <c r="G112" s="78">
        <v>5.8775510000000004</v>
      </c>
      <c r="H112" s="78">
        <v>9.6792000000000003E-2</v>
      </c>
      <c r="I112" s="77" t="s">
        <v>4800</v>
      </c>
      <c r="J112" s="3"/>
      <c r="K112" s="3"/>
      <c r="L112" s="3">
        <f>VLOOKUP(C112,Securities!A:D,4,FALSE)</f>
        <v>1</v>
      </c>
      <c r="M112" s="3" t="str">
        <f>VLOOKUP(C112,Securities!A:B,2,FALSE)</f>
        <v>NMTP RX Equity</v>
      </c>
      <c r="N112" s="3"/>
      <c r="O112" s="3">
        <f t="shared" si="1"/>
        <v>1009000</v>
      </c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 x14ac:dyDescent="0.25">
      <c r="A113" s="79">
        <v>43053</v>
      </c>
      <c r="B113" s="80" t="s">
        <v>4894</v>
      </c>
      <c r="C113" s="80" t="s">
        <v>4819</v>
      </c>
      <c r="D113" s="80" t="s">
        <v>4820</v>
      </c>
      <c r="E113" s="81">
        <v>200000</v>
      </c>
      <c r="F113" s="80" t="s">
        <v>4806</v>
      </c>
      <c r="G113" s="81">
        <v>107.3</v>
      </c>
      <c r="H113" s="81">
        <v>107.3</v>
      </c>
      <c r="I113" s="80" t="s">
        <v>4800</v>
      </c>
      <c r="J113" s="3"/>
      <c r="K113" s="3"/>
      <c r="L113" s="3">
        <f>VLOOKUP(C113,Securities!A:D,4,FALSE)</f>
        <v>5</v>
      </c>
      <c r="M113" s="3" t="str">
        <f>VLOOKUP(C113,Securities!A:B,2,FALSE)</f>
        <v>XS0776121062 Corp</v>
      </c>
      <c r="N113" s="3"/>
      <c r="O113" s="3">
        <f t="shared" si="1"/>
        <v>200000</v>
      </c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 x14ac:dyDescent="0.25">
      <c r="A114" s="76">
        <v>43053</v>
      </c>
      <c r="B114" s="77" t="s">
        <v>4894</v>
      </c>
      <c r="C114" s="77" t="s">
        <v>4848</v>
      </c>
      <c r="D114" s="77" t="s">
        <v>511</v>
      </c>
      <c r="E114" s="78">
        <v>12860</v>
      </c>
      <c r="F114" s="77" t="s">
        <v>4810</v>
      </c>
      <c r="G114" s="78">
        <v>622.188266</v>
      </c>
      <c r="H114" s="78">
        <v>10.918322</v>
      </c>
      <c r="I114" s="77" t="s">
        <v>4800</v>
      </c>
      <c r="J114" s="3"/>
      <c r="K114" s="3"/>
      <c r="L114" s="3">
        <f>VLOOKUP(C114,Securities!A:D,4,FALSE)</f>
        <v>1</v>
      </c>
      <c r="M114" s="3" t="str">
        <f>VLOOKUP(C114,Securities!A:B,2,FALSE)</f>
        <v>NVTK RX Equity</v>
      </c>
      <c r="N114" s="3"/>
      <c r="O114" s="3">
        <f t="shared" si="1"/>
        <v>12860</v>
      </c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 x14ac:dyDescent="0.25">
      <c r="A115" s="79">
        <v>43053</v>
      </c>
      <c r="B115" s="80" t="s">
        <v>4894</v>
      </c>
      <c r="C115" s="80" t="s">
        <v>4913</v>
      </c>
      <c r="D115" s="80" t="s">
        <v>4914</v>
      </c>
      <c r="E115" s="81">
        <v>200000</v>
      </c>
      <c r="F115" s="80" t="s">
        <v>4806</v>
      </c>
      <c r="G115" s="81">
        <v>103.15</v>
      </c>
      <c r="H115" s="81">
        <v>103.15</v>
      </c>
      <c r="I115" s="80" t="s">
        <v>4800</v>
      </c>
      <c r="J115" s="3"/>
      <c r="K115" s="3"/>
      <c r="L115" s="3">
        <f>VLOOKUP(C115,Securities!A:D,4,FALSE)</f>
        <v>5</v>
      </c>
      <c r="M115" s="3" t="str">
        <f>VLOOKUP(C115,Securities!A:B,2,FALSE)</f>
        <v>XS1533922933 Corp</v>
      </c>
      <c r="N115" s="3"/>
      <c r="O115" s="3">
        <f t="shared" si="1"/>
        <v>200000</v>
      </c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 x14ac:dyDescent="0.25">
      <c r="A116" s="76">
        <v>43053</v>
      </c>
      <c r="B116" s="77" t="s">
        <v>4894</v>
      </c>
      <c r="C116" s="77" t="s">
        <v>4915</v>
      </c>
      <c r="D116" s="77" t="s">
        <v>226</v>
      </c>
      <c r="E116" s="78">
        <v>44670</v>
      </c>
      <c r="F116" s="77" t="s">
        <v>4810</v>
      </c>
      <c r="G116" s="78">
        <v>149.84692699999999</v>
      </c>
      <c r="H116" s="78">
        <v>2.240688</v>
      </c>
      <c r="I116" s="77" t="s">
        <v>4800</v>
      </c>
      <c r="J116" s="3"/>
      <c r="K116" s="3"/>
      <c r="L116" s="3">
        <f>VLOOKUP(C116,Securities!A:D,4,FALSE)</f>
        <v>1</v>
      </c>
      <c r="M116" s="3" t="str">
        <f>VLOOKUP(C116,Securities!A:B,2,FALSE)</f>
        <v>SIBN RX Equity</v>
      </c>
      <c r="N116" s="3"/>
      <c r="O116" s="3">
        <f t="shared" si="1"/>
        <v>44670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 x14ac:dyDescent="0.25">
      <c r="A117" s="79">
        <v>43053</v>
      </c>
      <c r="B117" s="80" t="s">
        <v>4894</v>
      </c>
      <c r="C117" s="80" t="s">
        <v>4916</v>
      </c>
      <c r="D117" s="80" t="s">
        <v>712</v>
      </c>
      <c r="E117" s="81">
        <v>141200</v>
      </c>
      <c r="F117" s="80" t="s">
        <v>4810</v>
      </c>
      <c r="G117" s="81">
        <v>41.180453</v>
      </c>
      <c r="H117" s="81">
        <v>0.64394200000000001</v>
      </c>
      <c r="I117" s="80" t="s">
        <v>4800</v>
      </c>
      <c r="J117" s="3"/>
      <c r="K117" s="3"/>
      <c r="L117" s="3">
        <f>VLOOKUP(C117,Securities!A:D,4,FALSE)</f>
        <v>1</v>
      </c>
      <c r="M117" s="3" t="str">
        <f>VLOOKUP(C117,Securities!A:B,2,FALSE)</f>
        <v>SNGSP RX Equity</v>
      </c>
      <c r="N117" s="3"/>
      <c r="O117" s="3">
        <f t="shared" si="1"/>
        <v>141200</v>
      </c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 x14ac:dyDescent="0.25">
      <c r="A118" s="76">
        <v>43053</v>
      </c>
      <c r="B118" s="77" t="s">
        <v>4894</v>
      </c>
      <c r="C118" s="77" t="s">
        <v>4917</v>
      </c>
      <c r="D118" s="77" t="s">
        <v>742</v>
      </c>
      <c r="E118" s="78">
        <v>88600</v>
      </c>
      <c r="F118" s="77" t="s">
        <v>4810</v>
      </c>
      <c r="G118" s="78">
        <v>45.635044999999998</v>
      </c>
      <c r="H118" s="78">
        <v>0.72014900000000004</v>
      </c>
      <c r="I118" s="77" t="s">
        <v>4800</v>
      </c>
      <c r="J118" s="3"/>
      <c r="K118" s="3"/>
      <c r="L118" s="3">
        <f>VLOOKUP(C118,Securities!A:D,4,FALSE)</f>
        <v>1</v>
      </c>
      <c r="M118" s="3" t="str">
        <f>VLOOKUP(C118,Securities!A:B,2,FALSE)</f>
        <v>TRMK RX Equity</v>
      </c>
      <c r="N118" s="3"/>
      <c r="O118" s="3">
        <f t="shared" si="1"/>
        <v>88600</v>
      </c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 x14ac:dyDescent="0.25">
      <c r="A119" s="79">
        <v>43053</v>
      </c>
      <c r="B119" s="80" t="s">
        <v>4894</v>
      </c>
      <c r="C119" s="80" t="s">
        <v>4890</v>
      </c>
      <c r="D119" s="80" t="s">
        <v>886</v>
      </c>
      <c r="E119" s="81">
        <v>2083000</v>
      </c>
      <c r="F119" s="80" t="s">
        <v>4810</v>
      </c>
      <c r="G119" s="81">
        <v>0</v>
      </c>
      <c r="H119" s="81">
        <v>0</v>
      </c>
      <c r="I119" s="80" t="s">
        <v>4800</v>
      </c>
      <c r="J119" s="3"/>
      <c r="K119" s="3"/>
      <c r="L119" s="3">
        <f>VLOOKUP(C119,Securities!A:D,4,FALSE)</f>
        <v>1</v>
      </c>
      <c r="M119" s="3" t="str">
        <f>VLOOKUP(C119,Securities!A:B,2,FALSE)</f>
        <v>UPRO RX Equity</v>
      </c>
      <c r="N119" s="3"/>
      <c r="O119" s="3">
        <f t="shared" si="1"/>
        <v>2083000</v>
      </c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 x14ac:dyDescent="0.25">
      <c r="A120" s="76">
        <v>43053</v>
      </c>
      <c r="B120" s="77" t="s">
        <v>4894</v>
      </c>
      <c r="C120" s="77" t="s">
        <v>4824</v>
      </c>
      <c r="D120" s="77" t="s">
        <v>4674</v>
      </c>
      <c r="E120" s="78">
        <v>40224</v>
      </c>
      <c r="F120" s="77" t="s">
        <v>4825</v>
      </c>
      <c r="G120" s="78">
        <v>0</v>
      </c>
      <c r="H120" s="78">
        <v>0</v>
      </c>
      <c r="I120" s="77" t="s">
        <v>4800</v>
      </c>
      <c r="J120" s="3"/>
      <c r="K120" s="3"/>
      <c r="L120" s="3">
        <f>VLOOKUP(C120,Securities!A:D,4,FALSE)</f>
        <v>1</v>
      </c>
      <c r="M120" s="3" t="str">
        <f>VLOOKUP(C120,Securities!A:B,2,FALSE)</f>
        <v>VEON US Equity</v>
      </c>
      <c r="N120" s="3"/>
      <c r="O120" s="3">
        <f t="shared" si="1"/>
        <v>40224</v>
      </c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 x14ac:dyDescent="0.25">
      <c r="A121" s="79">
        <v>43053</v>
      </c>
      <c r="B121" s="80" t="s">
        <v>4918</v>
      </c>
      <c r="C121" s="80" t="s">
        <v>4919</v>
      </c>
      <c r="D121" s="80" t="s">
        <v>694</v>
      </c>
      <c r="E121" s="81">
        <v>69200</v>
      </c>
      <c r="F121" s="80" t="s">
        <v>4810</v>
      </c>
      <c r="G121" s="81">
        <v>21.633500000000002</v>
      </c>
      <c r="H121" s="81">
        <v>0.36695499999999998</v>
      </c>
      <c r="I121" s="80" t="s">
        <v>4800</v>
      </c>
      <c r="J121" s="3"/>
      <c r="K121" s="3"/>
      <c r="L121" s="3">
        <f>VLOOKUP(C121,Securities!A:D,4,FALSE)</f>
        <v>1</v>
      </c>
      <c r="M121" s="3" t="str">
        <f>VLOOKUP(C121,Securities!A:B,2,FALSE)</f>
        <v>AFKS RX Equity</v>
      </c>
      <c r="N121" s="3"/>
      <c r="O121" s="3">
        <f t="shared" si="1"/>
        <v>69200</v>
      </c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 x14ac:dyDescent="0.25">
      <c r="A122" s="76">
        <v>43053</v>
      </c>
      <c r="B122" s="77" t="s">
        <v>4918</v>
      </c>
      <c r="C122" s="77" t="s">
        <v>4920</v>
      </c>
      <c r="D122" s="77" t="s">
        <v>4921</v>
      </c>
      <c r="E122" s="78">
        <v>4076</v>
      </c>
      <c r="F122" s="77" t="s">
        <v>4898</v>
      </c>
      <c r="G122" s="78">
        <v>616.27772800000002</v>
      </c>
      <c r="H122" s="78">
        <v>10.668834</v>
      </c>
      <c r="I122" s="77" t="s">
        <v>4800</v>
      </c>
      <c r="J122" s="3"/>
      <c r="K122" s="3"/>
      <c r="L122" s="3">
        <f>VLOOKUP(C122,Securities!A:D,4,FALSE)</f>
        <v>1</v>
      </c>
      <c r="M122" s="3" t="str">
        <f>VLOOKUP(C122,Securities!A:B,2,FALSE)</f>
        <v>AMLP US Equity</v>
      </c>
      <c r="N122" s="3"/>
      <c r="O122" s="3">
        <f t="shared" si="1"/>
        <v>4076</v>
      </c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 x14ac:dyDescent="0.25">
      <c r="A123" s="79">
        <v>43053</v>
      </c>
      <c r="B123" s="80" t="s">
        <v>4918</v>
      </c>
      <c r="C123" s="80" t="s">
        <v>4895</v>
      </c>
      <c r="D123" s="80" t="s">
        <v>144</v>
      </c>
      <c r="E123" s="81">
        <v>5966</v>
      </c>
      <c r="F123" s="80" t="s">
        <v>4810</v>
      </c>
      <c r="G123" s="81">
        <v>1308.313858</v>
      </c>
      <c r="H123" s="81">
        <v>21.065434</v>
      </c>
      <c r="I123" s="80" t="s">
        <v>4800</v>
      </c>
      <c r="J123" s="3"/>
      <c r="K123" s="3"/>
      <c r="L123" s="3">
        <f>VLOOKUP(C123,Securities!A:D,4,FALSE)</f>
        <v>1</v>
      </c>
      <c r="M123" s="3" t="str">
        <f>VLOOKUP(C123,Securities!A:B,2,FALSE)</f>
        <v>BANEP RX Equity</v>
      </c>
      <c r="N123" s="3"/>
      <c r="O123" s="3">
        <f t="shared" si="1"/>
        <v>5966</v>
      </c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 x14ac:dyDescent="0.25">
      <c r="A124" s="76">
        <v>43053</v>
      </c>
      <c r="B124" s="77" t="s">
        <v>4918</v>
      </c>
      <c r="C124" s="77" t="s">
        <v>4901</v>
      </c>
      <c r="D124" s="77" t="s">
        <v>4902</v>
      </c>
      <c r="E124" s="78">
        <v>817</v>
      </c>
      <c r="F124" s="77" t="s">
        <v>4804</v>
      </c>
      <c r="G124" s="78">
        <v>2077.7508979999998</v>
      </c>
      <c r="H124" s="78">
        <v>36.717294000000003</v>
      </c>
      <c r="I124" s="77" t="s">
        <v>4800</v>
      </c>
      <c r="J124" s="3"/>
      <c r="K124" s="3"/>
      <c r="L124" s="3">
        <f>VLOOKUP(C124,Securities!A:D,4,FALSE)</f>
        <v>1</v>
      </c>
      <c r="M124" s="3" t="str">
        <f>VLOOKUP(C124,Securities!A:B,2,FALSE)</f>
        <v>FIVE LI Equity</v>
      </c>
      <c r="N124" s="3"/>
      <c r="O124" s="3">
        <f t="shared" si="1"/>
        <v>817</v>
      </c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 x14ac:dyDescent="0.25">
      <c r="A125" s="79">
        <v>43053</v>
      </c>
      <c r="B125" s="80" t="s">
        <v>4918</v>
      </c>
      <c r="C125" s="80" t="s">
        <v>4905</v>
      </c>
      <c r="D125" s="80" t="s">
        <v>220</v>
      </c>
      <c r="E125" s="81">
        <v>438</v>
      </c>
      <c r="F125" s="80" t="s">
        <v>4810</v>
      </c>
      <c r="G125" s="81">
        <v>8751.4364280000009</v>
      </c>
      <c r="H125" s="81">
        <v>143.481425</v>
      </c>
      <c r="I125" s="80" t="s">
        <v>4800</v>
      </c>
      <c r="J125" s="3"/>
      <c r="K125" s="3"/>
      <c r="L125" s="3">
        <f>VLOOKUP(C125,Securities!A:D,4,FALSE)</f>
        <v>1</v>
      </c>
      <c r="M125" s="3" t="str">
        <f>VLOOKUP(C125,Securities!A:B,2,FALSE)</f>
        <v>GMKN RX Equity</v>
      </c>
      <c r="N125" s="3"/>
      <c r="O125" s="3">
        <f t="shared" si="1"/>
        <v>438</v>
      </c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 x14ac:dyDescent="0.25">
      <c r="A126" s="76">
        <v>43053</v>
      </c>
      <c r="B126" s="77" t="s">
        <v>4918</v>
      </c>
      <c r="C126" s="77" t="s">
        <v>4811</v>
      </c>
      <c r="D126" s="77" t="s">
        <v>4659</v>
      </c>
      <c r="E126" s="78">
        <v>78629</v>
      </c>
      <c r="F126" s="77" t="s">
        <v>4799</v>
      </c>
      <c r="G126" s="78">
        <v>51.162092000000001</v>
      </c>
      <c r="H126" s="78">
        <v>0.78258700000000003</v>
      </c>
      <c r="I126" s="77" t="s">
        <v>4800</v>
      </c>
      <c r="J126" s="3"/>
      <c r="K126" s="3"/>
      <c r="L126" s="3">
        <f>VLOOKUP(C126,Securities!A:D,4,FALSE)</f>
        <v>1</v>
      </c>
      <c r="M126" s="3" t="str">
        <f>VLOOKUP(C126,Securities!A:B,2,FALSE)</f>
        <v>HGM LN Equity</v>
      </c>
      <c r="N126" s="3"/>
      <c r="O126" s="3">
        <f t="shared" si="1"/>
        <v>78629</v>
      </c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 x14ac:dyDescent="0.25">
      <c r="A127" s="79">
        <v>43053</v>
      </c>
      <c r="B127" s="80" t="s">
        <v>4918</v>
      </c>
      <c r="C127" s="80" t="s">
        <v>4812</v>
      </c>
      <c r="D127" s="80" t="s">
        <v>4675</v>
      </c>
      <c r="E127" s="81">
        <v>2100</v>
      </c>
      <c r="F127" s="80" t="s">
        <v>4804</v>
      </c>
      <c r="G127" s="81">
        <v>567.32409900000005</v>
      </c>
      <c r="H127" s="81">
        <v>10.15</v>
      </c>
      <c r="I127" s="80" t="s">
        <v>4800</v>
      </c>
      <c r="J127" s="3"/>
      <c r="K127" s="3"/>
      <c r="L127" s="3">
        <f>VLOOKUP(C127,Securities!A:D,4,FALSE)</f>
        <v>1</v>
      </c>
      <c r="M127" s="3" t="str">
        <f>VLOOKUP(C127,Securities!A:B,2,FALSE)</f>
        <v>KMG LI Equity</v>
      </c>
      <c r="N127" s="3"/>
      <c r="O127" s="3">
        <f t="shared" si="1"/>
        <v>2100</v>
      </c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 x14ac:dyDescent="0.25">
      <c r="A128" s="76">
        <v>43053</v>
      </c>
      <c r="B128" s="77" t="s">
        <v>4918</v>
      </c>
      <c r="C128" s="77" t="s">
        <v>4889</v>
      </c>
      <c r="D128" s="77" t="s">
        <v>438</v>
      </c>
      <c r="E128" s="78">
        <v>11350</v>
      </c>
      <c r="F128" s="77" t="s">
        <v>4810</v>
      </c>
      <c r="G128" s="78">
        <v>220.37676200000001</v>
      </c>
      <c r="H128" s="78">
        <v>3.3854500000000001</v>
      </c>
      <c r="I128" s="77" t="s">
        <v>4800</v>
      </c>
      <c r="J128" s="3"/>
      <c r="K128" s="3"/>
      <c r="L128" s="3">
        <f>VLOOKUP(C128,Securities!A:D,4,FALSE)</f>
        <v>1</v>
      </c>
      <c r="M128" s="3" t="str">
        <f>VLOOKUP(C128,Securities!A:B,2,FALSE)</f>
        <v>MTSS RX Equity</v>
      </c>
      <c r="N128" s="3"/>
      <c r="O128" s="3">
        <f t="shared" si="1"/>
        <v>11350</v>
      </c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 x14ac:dyDescent="0.25">
      <c r="A129" s="79">
        <v>43053</v>
      </c>
      <c r="B129" s="80" t="s">
        <v>4918</v>
      </c>
      <c r="C129" s="80" t="s">
        <v>4922</v>
      </c>
      <c r="D129" s="80" t="s">
        <v>4923</v>
      </c>
      <c r="E129" s="81">
        <v>323</v>
      </c>
      <c r="F129" s="80" t="s">
        <v>4804</v>
      </c>
      <c r="G129" s="81">
        <v>6122.7998230000003</v>
      </c>
      <c r="H129" s="81">
        <v>108.2</v>
      </c>
      <c r="I129" s="80" t="s">
        <v>4800</v>
      </c>
      <c r="J129" s="3"/>
      <c r="K129" s="3"/>
      <c r="L129" s="3">
        <f>VLOOKUP(C129,Securities!A:D,4,FALSE)</f>
        <v>1</v>
      </c>
      <c r="M129" s="3" t="str">
        <f>VLOOKUP(C129,Securities!A:B,2,FALSE)</f>
        <v>NVTK LI Equity</v>
      </c>
      <c r="N129" s="3"/>
      <c r="O129" s="3">
        <f t="shared" si="1"/>
        <v>323</v>
      </c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 x14ac:dyDescent="0.25">
      <c r="A130" s="76">
        <v>43053</v>
      </c>
      <c r="B130" s="77" t="s">
        <v>4918</v>
      </c>
      <c r="C130" s="77" t="s">
        <v>4924</v>
      </c>
      <c r="D130" s="77" t="s">
        <v>829</v>
      </c>
      <c r="E130" s="78">
        <v>725</v>
      </c>
      <c r="F130" s="77" t="s">
        <v>4810</v>
      </c>
      <c r="G130" s="78">
        <v>2264.7368820000002</v>
      </c>
      <c r="H130" s="78">
        <v>39.308793999999999</v>
      </c>
      <c r="I130" s="77" t="s">
        <v>4800</v>
      </c>
      <c r="J130" s="3"/>
      <c r="K130" s="3"/>
      <c r="L130" s="3">
        <f>VLOOKUP(C130,Securities!A:D,4,FALSE)</f>
        <v>1</v>
      </c>
      <c r="M130" s="3" t="str">
        <f>VLOOKUP(C130,Securities!A:B,2,FALSE)</f>
        <v>PHOR RX Equity</v>
      </c>
      <c r="N130" s="3"/>
      <c r="O130" s="3">
        <f t="shared" ref="O130:O193" si="2">SUMIFS(E:E,C:C,C130,B:B,B130)</f>
        <v>725</v>
      </c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 x14ac:dyDescent="0.25">
      <c r="A131" s="79">
        <v>43053</v>
      </c>
      <c r="B131" s="80" t="s">
        <v>4918</v>
      </c>
      <c r="C131" s="80" t="s">
        <v>4892</v>
      </c>
      <c r="D131" s="80" t="s">
        <v>568</v>
      </c>
      <c r="E131" s="81">
        <v>1055</v>
      </c>
      <c r="F131" s="80" t="s">
        <v>4810</v>
      </c>
      <c r="G131" s="81">
        <v>4310.8255920000001</v>
      </c>
      <c r="H131" s="81">
        <v>71.935092999999995</v>
      </c>
      <c r="I131" s="80" t="s">
        <v>4800</v>
      </c>
      <c r="J131" s="3"/>
      <c r="K131" s="3"/>
      <c r="L131" s="3">
        <f>VLOOKUP(C131,Securities!A:D,4,FALSE)</f>
        <v>1</v>
      </c>
      <c r="M131" s="3" t="str">
        <f>VLOOKUP(C131,Securities!A:B,2,FALSE)</f>
        <v>PLZL RX Equity</v>
      </c>
      <c r="N131" s="3"/>
      <c r="O131" s="3">
        <f t="shared" si="2"/>
        <v>1055</v>
      </c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 x14ac:dyDescent="0.25">
      <c r="A132" s="76">
        <v>43053</v>
      </c>
      <c r="B132" s="77" t="s">
        <v>4918</v>
      </c>
      <c r="C132" s="77" t="s">
        <v>4925</v>
      </c>
      <c r="D132" s="77" t="s">
        <v>4926</v>
      </c>
      <c r="E132" s="78">
        <v>1977</v>
      </c>
      <c r="F132" s="77" t="s">
        <v>4825</v>
      </c>
      <c r="G132" s="78">
        <v>979.96500000000003</v>
      </c>
      <c r="H132" s="78">
        <v>17.317602000000001</v>
      </c>
      <c r="I132" s="77" t="s">
        <v>4800</v>
      </c>
      <c r="J132" s="3"/>
      <c r="K132" s="3"/>
      <c r="L132" s="3">
        <f>VLOOKUP(C132,Securities!A:D,4,FALSE)</f>
        <v>1</v>
      </c>
      <c r="M132" s="3" t="str">
        <f>VLOOKUP(C132,Securities!A:B,2,FALSE)</f>
        <v>GAZ LI Equity</v>
      </c>
      <c r="N132" s="3"/>
      <c r="O132" s="3">
        <f t="shared" si="2"/>
        <v>1977</v>
      </c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 x14ac:dyDescent="0.25">
      <c r="A133" s="79">
        <v>43053</v>
      </c>
      <c r="B133" s="80" t="s">
        <v>4918</v>
      </c>
      <c r="C133" s="80" t="s">
        <v>4927</v>
      </c>
      <c r="D133" s="80" t="s">
        <v>4928</v>
      </c>
      <c r="E133" s="81">
        <v>2965</v>
      </c>
      <c r="F133" s="80" t="s">
        <v>4898</v>
      </c>
      <c r="G133" s="81">
        <v>908.29848900000002</v>
      </c>
      <c r="H133" s="81">
        <v>15.765238</v>
      </c>
      <c r="I133" s="80" t="s">
        <v>4800</v>
      </c>
      <c r="J133" s="3"/>
      <c r="K133" s="3"/>
      <c r="L133" s="3">
        <f>VLOOKUP(C133,Securities!A:D,4,FALSE)</f>
        <v>1</v>
      </c>
      <c r="M133" s="3" t="str">
        <f>VLOOKUP(C133,Securities!A:B,2,FALSE)</f>
        <v>SX7EEX GY Equity</v>
      </c>
      <c r="N133" s="3"/>
      <c r="O133" s="3">
        <f t="shared" si="2"/>
        <v>2965</v>
      </c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 x14ac:dyDescent="0.25">
      <c r="A134" s="76">
        <v>43053</v>
      </c>
      <c r="B134" s="77" t="s">
        <v>4918</v>
      </c>
      <c r="C134" s="77" t="s">
        <v>4917</v>
      </c>
      <c r="D134" s="77" t="s">
        <v>742</v>
      </c>
      <c r="E134" s="78">
        <v>21670</v>
      </c>
      <c r="F134" s="77" t="s">
        <v>4810</v>
      </c>
      <c r="G134" s="78">
        <v>79.653599</v>
      </c>
      <c r="H134" s="78">
        <v>1.40761</v>
      </c>
      <c r="I134" s="77" t="s">
        <v>4800</v>
      </c>
      <c r="J134" s="3"/>
      <c r="K134" s="3"/>
      <c r="L134" s="3">
        <f>VLOOKUP(C134,Securities!A:D,4,FALSE)</f>
        <v>1</v>
      </c>
      <c r="M134" s="3" t="str">
        <f>VLOOKUP(C134,Securities!A:B,2,FALSE)</f>
        <v>TRMK RX Equity</v>
      </c>
      <c r="N134" s="3"/>
      <c r="O134" s="3">
        <f t="shared" si="2"/>
        <v>21670</v>
      </c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 x14ac:dyDescent="0.25">
      <c r="A135" s="79">
        <v>43053</v>
      </c>
      <c r="B135" s="80" t="s">
        <v>4918</v>
      </c>
      <c r="C135" s="80" t="s">
        <v>4824</v>
      </c>
      <c r="D135" s="80" t="s">
        <v>4674</v>
      </c>
      <c r="E135" s="81">
        <v>18250</v>
      </c>
      <c r="F135" s="80" t="s">
        <v>4825</v>
      </c>
      <c r="G135" s="81">
        <v>0</v>
      </c>
      <c r="H135" s="81">
        <v>0</v>
      </c>
      <c r="I135" s="80" t="s">
        <v>4800</v>
      </c>
      <c r="J135" s="3"/>
      <c r="K135" s="3"/>
      <c r="L135" s="3">
        <f>VLOOKUP(C135,Securities!A:D,4,FALSE)</f>
        <v>1</v>
      </c>
      <c r="M135" s="3" t="str">
        <f>VLOOKUP(C135,Securities!A:B,2,FALSE)</f>
        <v>VEON US Equity</v>
      </c>
      <c r="N135" s="3"/>
      <c r="O135" s="3">
        <f t="shared" si="2"/>
        <v>18250</v>
      </c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 x14ac:dyDescent="0.25">
      <c r="A136" s="76">
        <v>43053</v>
      </c>
      <c r="B136" s="77" t="s">
        <v>4929</v>
      </c>
      <c r="C136" s="77" t="s">
        <v>4920</v>
      </c>
      <c r="D136" s="77" t="s">
        <v>4921</v>
      </c>
      <c r="E136" s="78">
        <v>6355</v>
      </c>
      <c r="F136" s="77" t="s">
        <v>4898</v>
      </c>
      <c r="G136" s="78">
        <v>630.14434100000005</v>
      </c>
      <c r="H136" s="78">
        <v>10.848303</v>
      </c>
      <c r="I136" s="77" t="s">
        <v>4800</v>
      </c>
      <c r="J136" s="3"/>
      <c r="K136" s="3"/>
      <c r="L136" s="3">
        <f>VLOOKUP(C136,Securities!A:D,4,FALSE)</f>
        <v>1</v>
      </c>
      <c r="M136" s="3" t="str">
        <f>VLOOKUP(C136,Securities!A:B,2,FALSE)</f>
        <v>AMLP US Equity</v>
      </c>
      <c r="N136" s="3"/>
      <c r="O136" s="3">
        <f t="shared" si="2"/>
        <v>6355</v>
      </c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 x14ac:dyDescent="0.25">
      <c r="A137" s="79">
        <v>43053</v>
      </c>
      <c r="B137" s="80" t="s">
        <v>4929</v>
      </c>
      <c r="C137" s="80" t="s">
        <v>4895</v>
      </c>
      <c r="D137" s="80" t="s">
        <v>144</v>
      </c>
      <c r="E137" s="81">
        <v>2700</v>
      </c>
      <c r="F137" s="80" t="s">
        <v>4810</v>
      </c>
      <c r="G137" s="81">
        <v>1334.6134999999999</v>
      </c>
      <c r="H137" s="81">
        <v>22.564119000000002</v>
      </c>
      <c r="I137" s="80" t="s">
        <v>4800</v>
      </c>
      <c r="J137" s="3"/>
      <c r="K137" s="3"/>
      <c r="L137" s="3">
        <f>VLOOKUP(C137,Securities!A:D,4,FALSE)</f>
        <v>1</v>
      </c>
      <c r="M137" s="3" t="str">
        <f>VLOOKUP(C137,Securities!A:B,2,FALSE)</f>
        <v>BANEP RX Equity</v>
      </c>
      <c r="N137" s="3"/>
      <c r="O137" s="3">
        <f t="shared" si="2"/>
        <v>2700</v>
      </c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 x14ac:dyDescent="0.25">
      <c r="A138" s="76">
        <v>43053</v>
      </c>
      <c r="B138" s="77" t="s">
        <v>4929</v>
      </c>
      <c r="C138" s="77" t="s">
        <v>4930</v>
      </c>
      <c r="D138" s="77" t="s">
        <v>4931</v>
      </c>
      <c r="E138" s="78">
        <v>200000</v>
      </c>
      <c r="F138" s="77" t="s">
        <v>4806</v>
      </c>
      <c r="G138" s="78">
        <v>88.2</v>
      </c>
      <c r="H138" s="78">
        <v>88.2</v>
      </c>
      <c r="I138" s="77" t="s">
        <v>4800</v>
      </c>
      <c r="J138" s="3"/>
      <c r="K138" s="3"/>
      <c r="L138" s="3">
        <f>VLOOKUP(C138,Securities!A:D,4,FALSE)</f>
        <v>5</v>
      </c>
      <c r="M138" s="3" t="str">
        <f>VLOOKUP(C138,Securities!A:B,2,FALSE)</f>
        <v>EJ634925 Corp</v>
      </c>
      <c r="N138" s="3"/>
      <c r="O138" s="3">
        <f t="shared" si="2"/>
        <v>200000</v>
      </c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 x14ac:dyDescent="0.25">
      <c r="A139" s="79">
        <v>43053</v>
      </c>
      <c r="B139" s="80" t="s">
        <v>4929</v>
      </c>
      <c r="C139" s="80" t="s">
        <v>4901</v>
      </c>
      <c r="D139" s="80" t="s">
        <v>4902</v>
      </c>
      <c r="E139" s="81">
        <v>1357</v>
      </c>
      <c r="F139" s="80" t="s">
        <v>4804</v>
      </c>
      <c r="G139" s="81">
        <v>2089.924512</v>
      </c>
      <c r="H139" s="81">
        <v>36.875791999999997</v>
      </c>
      <c r="I139" s="80" t="s">
        <v>4800</v>
      </c>
      <c r="J139" s="3"/>
      <c r="K139" s="3"/>
      <c r="L139" s="3">
        <f>VLOOKUP(C139,Securities!A:D,4,FALSE)</f>
        <v>1</v>
      </c>
      <c r="M139" s="3" t="str">
        <f>VLOOKUP(C139,Securities!A:B,2,FALSE)</f>
        <v>FIVE LI Equity</v>
      </c>
      <c r="N139" s="3"/>
      <c r="O139" s="3">
        <f t="shared" si="2"/>
        <v>1357</v>
      </c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 x14ac:dyDescent="0.25">
      <c r="A140" s="76">
        <v>43053</v>
      </c>
      <c r="B140" s="77" t="s">
        <v>4929</v>
      </c>
      <c r="C140" s="77" t="s">
        <v>4811</v>
      </c>
      <c r="D140" s="77" t="s">
        <v>4659</v>
      </c>
      <c r="E140" s="78">
        <v>27379</v>
      </c>
      <c r="F140" s="77" t="s">
        <v>4799</v>
      </c>
      <c r="G140" s="78">
        <v>51.329213000000003</v>
      </c>
      <c r="H140" s="78">
        <v>0.76780199999999998</v>
      </c>
      <c r="I140" s="77" t="s">
        <v>4800</v>
      </c>
      <c r="J140" s="3"/>
      <c r="K140" s="3"/>
      <c r="L140" s="3">
        <f>VLOOKUP(C140,Securities!A:D,4,FALSE)</f>
        <v>1</v>
      </c>
      <c r="M140" s="3" t="str">
        <f>VLOOKUP(C140,Securities!A:B,2,FALSE)</f>
        <v>HGM LN Equity</v>
      </c>
      <c r="N140" s="3"/>
      <c r="O140" s="3">
        <f t="shared" si="2"/>
        <v>27379</v>
      </c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 x14ac:dyDescent="0.25">
      <c r="A141" s="79">
        <v>43053</v>
      </c>
      <c r="B141" s="80" t="s">
        <v>4929</v>
      </c>
      <c r="C141" s="80" t="s">
        <v>4812</v>
      </c>
      <c r="D141" s="80" t="s">
        <v>4675</v>
      </c>
      <c r="E141" s="81">
        <v>2115</v>
      </c>
      <c r="F141" s="80" t="s">
        <v>4804</v>
      </c>
      <c r="G141" s="81">
        <v>567.32409900000005</v>
      </c>
      <c r="H141" s="81">
        <v>10.15</v>
      </c>
      <c r="I141" s="80" t="s">
        <v>4800</v>
      </c>
      <c r="J141" s="3"/>
      <c r="K141" s="3"/>
      <c r="L141" s="3">
        <f>VLOOKUP(C141,Securities!A:D,4,FALSE)</f>
        <v>1</v>
      </c>
      <c r="M141" s="3" t="str">
        <f>VLOOKUP(C141,Securities!A:B,2,FALSE)</f>
        <v>KMG LI Equity</v>
      </c>
      <c r="N141" s="3"/>
      <c r="O141" s="3">
        <f t="shared" si="2"/>
        <v>2115</v>
      </c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 x14ac:dyDescent="0.25">
      <c r="A142" s="76">
        <v>43053</v>
      </c>
      <c r="B142" s="77" t="s">
        <v>4929</v>
      </c>
      <c r="C142" s="77" t="s">
        <v>4847</v>
      </c>
      <c r="D142" s="77" t="s">
        <v>369</v>
      </c>
      <c r="E142" s="78">
        <v>932</v>
      </c>
      <c r="F142" s="77" t="s">
        <v>4810</v>
      </c>
      <c r="G142" s="78">
        <v>3014.5096560000002</v>
      </c>
      <c r="H142" s="78">
        <v>50.492328000000001</v>
      </c>
      <c r="I142" s="77" t="s">
        <v>4800</v>
      </c>
      <c r="J142" s="3"/>
      <c r="K142" s="3"/>
      <c r="L142" s="3">
        <f>VLOOKUP(C142,Securities!A:D,4,FALSE)</f>
        <v>1</v>
      </c>
      <c r="M142" s="3" t="str">
        <f>VLOOKUP(C142,Securities!A:B,2,FALSE)</f>
        <v>LKOH RX Equity</v>
      </c>
      <c r="N142" s="3"/>
      <c r="O142" s="3">
        <f t="shared" si="2"/>
        <v>932</v>
      </c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 x14ac:dyDescent="0.25">
      <c r="A143" s="79">
        <v>43053</v>
      </c>
      <c r="B143" s="80" t="s">
        <v>4929</v>
      </c>
      <c r="C143" s="80" t="s">
        <v>4910</v>
      </c>
      <c r="D143" s="80" t="s">
        <v>366</v>
      </c>
      <c r="E143" s="81">
        <v>3165</v>
      </c>
      <c r="F143" s="80" t="s">
        <v>4810</v>
      </c>
      <c r="G143" s="81">
        <v>891.23555499999998</v>
      </c>
      <c r="H143" s="81">
        <v>15.725455999999999</v>
      </c>
      <c r="I143" s="80" t="s">
        <v>4800</v>
      </c>
      <c r="J143" s="3"/>
      <c r="K143" s="3"/>
      <c r="L143" s="3">
        <f>VLOOKUP(C143,Securities!A:D,4,FALSE)</f>
        <v>1</v>
      </c>
      <c r="M143" s="3" t="str">
        <f>VLOOKUP(C143,Securities!A:B,2,FALSE)</f>
        <v>LSRG RX Equity</v>
      </c>
      <c r="N143" s="3"/>
      <c r="O143" s="3">
        <f t="shared" si="2"/>
        <v>3165</v>
      </c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 x14ac:dyDescent="0.25">
      <c r="A144" s="76">
        <v>43053</v>
      </c>
      <c r="B144" s="77" t="s">
        <v>4929</v>
      </c>
      <c r="C144" s="77" t="s">
        <v>4911</v>
      </c>
      <c r="D144" s="77" t="s">
        <v>405</v>
      </c>
      <c r="E144" s="78">
        <v>93280</v>
      </c>
      <c r="F144" s="77" t="s">
        <v>4810</v>
      </c>
      <c r="G144" s="78">
        <v>42.968398999999998</v>
      </c>
      <c r="H144" s="78">
        <v>0.75197000000000003</v>
      </c>
      <c r="I144" s="77" t="s">
        <v>4800</v>
      </c>
      <c r="J144" s="3"/>
      <c r="K144" s="3"/>
      <c r="L144" s="3">
        <f>VLOOKUP(C144,Securities!A:D,4,FALSE)</f>
        <v>1</v>
      </c>
      <c r="M144" s="3" t="str">
        <f>VLOOKUP(C144,Securities!A:B,2,FALSE)</f>
        <v>MAGN RX Equity</v>
      </c>
      <c r="N144" s="3"/>
      <c r="O144" s="3">
        <f t="shared" si="2"/>
        <v>93280</v>
      </c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 x14ac:dyDescent="0.25">
      <c r="A145" s="79">
        <v>43053</v>
      </c>
      <c r="B145" s="80" t="s">
        <v>4929</v>
      </c>
      <c r="C145" s="80" t="s">
        <v>4889</v>
      </c>
      <c r="D145" s="80" t="s">
        <v>438</v>
      </c>
      <c r="E145" s="81">
        <v>11350</v>
      </c>
      <c r="F145" s="80" t="s">
        <v>4810</v>
      </c>
      <c r="G145" s="81">
        <v>220.37676200000001</v>
      </c>
      <c r="H145" s="81">
        <v>3.3854500000000001</v>
      </c>
      <c r="I145" s="80" t="s">
        <v>4800</v>
      </c>
      <c r="J145" s="3"/>
      <c r="K145" s="3"/>
      <c r="L145" s="3">
        <f>VLOOKUP(C145,Securities!A:D,4,FALSE)</f>
        <v>1</v>
      </c>
      <c r="M145" s="3" t="str">
        <f>VLOOKUP(C145,Securities!A:B,2,FALSE)</f>
        <v>MTSS RX Equity</v>
      </c>
      <c r="N145" s="3"/>
      <c r="O145" s="3">
        <f t="shared" si="2"/>
        <v>11350</v>
      </c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 x14ac:dyDescent="0.25">
      <c r="A146" s="76">
        <v>43053</v>
      </c>
      <c r="B146" s="77" t="s">
        <v>4929</v>
      </c>
      <c r="C146" s="77" t="s">
        <v>4922</v>
      </c>
      <c r="D146" s="77" t="s">
        <v>4923</v>
      </c>
      <c r="E146" s="78">
        <v>455</v>
      </c>
      <c r="F146" s="77" t="s">
        <v>4804</v>
      </c>
      <c r="G146" s="78">
        <v>6225.0993820000003</v>
      </c>
      <c r="H146" s="78">
        <v>109.83911999999999</v>
      </c>
      <c r="I146" s="77" t="s">
        <v>4800</v>
      </c>
      <c r="J146" s="3"/>
      <c r="K146" s="3"/>
      <c r="L146" s="3">
        <f>VLOOKUP(C146,Securities!A:D,4,FALSE)</f>
        <v>1</v>
      </c>
      <c r="M146" s="3" t="str">
        <f>VLOOKUP(C146,Securities!A:B,2,FALSE)</f>
        <v>NVTK LI Equity</v>
      </c>
      <c r="N146" s="3"/>
      <c r="O146" s="3">
        <f t="shared" si="2"/>
        <v>455</v>
      </c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 x14ac:dyDescent="0.25">
      <c r="A147" s="79">
        <v>43053</v>
      </c>
      <c r="B147" s="80" t="s">
        <v>4929</v>
      </c>
      <c r="C147" s="80" t="s">
        <v>4924</v>
      </c>
      <c r="D147" s="80" t="s">
        <v>829</v>
      </c>
      <c r="E147" s="81">
        <v>1650</v>
      </c>
      <c r="F147" s="80" t="s">
        <v>4810</v>
      </c>
      <c r="G147" s="81">
        <v>2264.7368780000002</v>
      </c>
      <c r="H147" s="81">
        <v>39.308793999999999</v>
      </c>
      <c r="I147" s="80" t="s">
        <v>4800</v>
      </c>
      <c r="J147" s="3"/>
      <c r="K147" s="3"/>
      <c r="L147" s="3">
        <f>VLOOKUP(C147,Securities!A:D,4,FALSE)</f>
        <v>1</v>
      </c>
      <c r="M147" s="3" t="str">
        <f>VLOOKUP(C147,Securities!A:B,2,FALSE)</f>
        <v>PHOR RX Equity</v>
      </c>
      <c r="N147" s="3"/>
      <c r="O147" s="3">
        <f t="shared" si="2"/>
        <v>1650</v>
      </c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 x14ac:dyDescent="0.25">
      <c r="A148" s="76">
        <v>43053</v>
      </c>
      <c r="B148" s="77" t="s">
        <v>4929</v>
      </c>
      <c r="C148" s="77" t="s">
        <v>4892</v>
      </c>
      <c r="D148" s="77" t="s">
        <v>568</v>
      </c>
      <c r="E148" s="78">
        <v>445</v>
      </c>
      <c r="F148" s="77" t="s">
        <v>4810</v>
      </c>
      <c r="G148" s="78">
        <v>3929.19</v>
      </c>
      <c r="H148" s="78">
        <v>66.500071000000005</v>
      </c>
      <c r="I148" s="77" t="s">
        <v>4800</v>
      </c>
      <c r="J148" s="3"/>
      <c r="K148" s="3"/>
      <c r="L148" s="3">
        <f>VLOOKUP(C148,Securities!A:D,4,FALSE)</f>
        <v>1</v>
      </c>
      <c r="M148" s="3" t="str">
        <f>VLOOKUP(C148,Securities!A:B,2,FALSE)</f>
        <v>PLZL RX Equity</v>
      </c>
      <c r="N148" s="3"/>
      <c r="O148" s="3">
        <f t="shared" si="2"/>
        <v>445</v>
      </c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 x14ac:dyDescent="0.25">
      <c r="A149" s="79">
        <v>43053</v>
      </c>
      <c r="B149" s="80" t="s">
        <v>4929</v>
      </c>
      <c r="C149" s="80" t="s">
        <v>4932</v>
      </c>
      <c r="D149" s="80" t="s">
        <v>4933</v>
      </c>
      <c r="E149" s="81">
        <v>10000</v>
      </c>
      <c r="F149" s="80" t="s">
        <v>4814</v>
      </c>
      <c r="G149" s="81">
        <v>100</v>
      </c>
      <c r="H149" s="81">
        <v>100</v>
      </c>
      <c r="I149" s="80" t="s">
        <v>4800</v>
      </c>
      <c r="J149" s="3"/>
      <c r="K149" s="3"/>
      <c r="L149" s="3">
        <f>VLOOKUP(C149,Securities!A:D,4,FALSE)</f>
        <v>5</v>
      </c>
      <c r="M149" s="3" t="str">
        <f>VLOOKUP(C149,Securities!A:B,2,FALSE)</f>
        <v>RU000A0ZYBS1 Corp</v>
      </c>
      <c r="N149" s="3"/>
      <c r="O149" s="3">
        <f t="shared" si="2"/>
        <v>10000</v>
      </c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 x14ac:dyDescent="0.25">
      <c r="A150" s="76">
        <v>43053</v>
      </c>
      <c r="B150" s="77" t="s">
        <v>4929</v>
      </c>
      <c r="C150" s="77" t="s">
        <v>4925</v>
      </c>
      <c r="D150" s="77" t="s">
        <v>4926</v>
      </c>
      <c r="E150" s="78">
        <v>2794</v>
      </c>
      <c r="F150" s="77" t="s">
        <v>4825</v>
      </c>
      <c r="G150" s="78">
        <v>981.068175</v>
      </c>
      <c r="H150" s="78">
        <v>17.337097</v>
      </c>
      <c r="I150" s="77" t="s">
        <v>4800</v>
      </c>
      <c r="J150" s="3"/>
      <c r="K150" s="3"/>
      <c r="L150" s="3">
        <f>VLOOKUP(C150,Securities!A:D,4,FALSE)</f>
        <v>1</v>
      </c>
      <c r="M150" s="3" t="str">
        <f>VLOOKUP(C150,Securities!A:B,2,FALSE)</f>
        <v>GAZ LI Equity</v>
      </c>
      <c r="N150" s="3"/>
      <c r="O150" s="3">
        <f t="shared" si="2"/>
        <v>2794</v>
      </c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 x14ac:dyDescent="0.25">
      <c r="A151" s="79">
        <v>43053</v>
      </c>
      <c r="B151" s="80" t="s">
        <v>4929</v>
      </c>
      <c r="C151" s="80" t="s">
        <v>4927</v>
      </c>
      <c r="D151" s="80" t="s">
        <v>4928</v>
      </c>
      <c r="E151" s="81">
        <v>4445</v>
      </c>
      <c r="F151" s="80" t="s">
        <v>4898</v>
      </c>
      <c r="G151" s="81">
        <v>907.20872999999995</v>
      </c>
      <c r="H151" s="81">
        <v>15.746323</v>
      </c>
      <c r="I151" s="80" t="s">
        <v>4800</v>
      </c>
      <c r="J151" s="3"/>
      <c r="K151" s="3"/>
      <c r="L151" s="3">
        <f>VLOOKUP(C151,Securities!A:D,4,FALSE)</f>
        <v>1</v>
      </c>
      <c r="M151" s="3" t="str">
        <f>VLOOKUP(C151,Securities!A:B,2,FALSE)</f>
        <v>SX7EEX GY Equity</v>
      </c>
      <c r="N151" s="3"/>
      <c r="O151" s="3">
        <f t="shared" si="2"/>
        <v>4445</v>
      </c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 x14ac:dyDescent="0.25">
      <c r="A152" s="76">
        <v>43053</v>
      </c>
      <c r="B152" s="77" t="s">
        <v>4929</v>
      </c>
      <c r="C152" s="77" t="s">
        <v>4917</v>
      </c>
      <c r="D152" s="77" t="s">
        <v>742</v>
      </c>
      <c r="E152" s="78">
        <v>35500</v>
      </c>
      <c r="F152" s="77" t="s">
        <v>4810</v>
      </c>
      <c r="G152" s="78">
        <v>79.896480999999994</v>
      </c>
      <c r="H152" s="78">
        <v>1.4097379999999999</v>
      </c>
      <c r="I152" s="77" t="s">
        <v>4800</v>
      </c>
      <c r="J152" s="3"/>
      <c r="K152" s="3"/>
      <c r="L152" s="3">
        <f>VLOOKUP(C152,Securities!A:D,4,FALSE)</f>
        <v>1</v>
      </c>
      <c r="M152" s="3" t="str">
        <f>VLOOKUP(C152,Securities!A:B,2,FALSE)</f>
        <v>TRMK RX Equity</v>
      </c>
      <c r="N152" s="3"/>
      <c r="O152" s="3">
        <f t="shared" si="2"/>
        <v>35500</v>
      </c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 x14ac:dyDescent="0.25">
      <c r="A153" s="79">
        <v>43053</v>
      </c>
      <c r="B153" s="80" t="s">
        <v>4929</v>
      </c>
      <c r="C153" s="80" t="s">
        <v>4824</v>
      </c>
      <c r="D153" s="80" t="s">
        <v>4674</v>
      </c>
      <c r="E153" s="81">
        <v>4590</v>
      </c>
      <c r="F153" s="80" t="s">
        <v>4825</v>
      </c>
      <c r="G153" s="81">
        <v>0</v>
      </c>
      <c r="H153" s="81">
        <v>0</v>
      </c>
      <c r="I153" s="80" t="s">
        <v>4800</v>
      </c>
      <c r="J153" s="3"/>
      <c r="K153" s="3"/>
      <c r="L153" s="3">
        <f>VLOOKUP(C153,Securities!A:D,4,FALSE)</f>
        <v>1</v>
      </c>
      <c r="M153" s="3" t="str">
        <f>VLOOKUP(C153,Securities!A:B,2,FALSE)</f>
        <v>VEON US Equity</v>
      </c>
      <c r="N153" s="3"/>
      <c r="O153" s="3">
        <f t="shared" si="2"/>
        <v>4590</v>
      </c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 x14ac:dyDescent="0.25">
      <c r="A154" s="76">
        <v>43053</v>
      </c>
      <c r="B154" s="77" t="s">
        <v>4934</v>
      </c>
      <c r="C154" s="77" t="s">
        <v>4935</v>
      </c>
      <c r="D154" s="77" t="s">
        <v>4936</v>
      </c>
      <c r="E154" s="78">
        <v>3250</v>
      </c>
      <c r="F154" s="77" t="s">
        <v>4799</v>
      </c>
      <c r="G154" s="78">
        <v>1070.582725</v>
      </c>
      <c r="H154" s="78">
        <v>18.426774999999999</v>
      </c>
      <c r="I154" s="77" t="s">
        <v>4800</v>
      </c>
      <c r="J154" s="3"/>
      <c r="K154" s="3"/>
      <c r="L154" s="3">
        <f>VLOOKUP(C154,Securities!A:D,4,FALSE)</f>
        <v>1</v>
      </c>
      <c r="M154" s="3" t="str">
        <f>VLOOKUP(C154,Securities!A:B,2,FALSE)</f>
        <v>AD NA Equity</v>
      </c>
      <c r="N154" s="3"/>
      <c r="O154" s="3">
        <f t="shared" si="2"/>
        <v>3250</v>
      </c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 x14ac:dyDescent="0.25">
      <c r="A155" s="79">
        <v>43053</v>
      </c>
      <c r="B155" s="80" t="s">
        <v>4934</v>
      </c>
      <c r="C155" s="80" t="s">
        <v>4937</v>
      </c>
      <c r="D155" s="80" t="s">
        <v>4938</v>
      </c>
      <c r="E155" s="81">
        <v>100000</v>
      </c>
      <c r="F155" s="80" t="s">
        <v>4806</v>
      </c>
      <c r="G155" s="81">
        <v>93.5</v>
      </c>
      <c r="H155" s="81">
        <v>93.5</v>
      </c>
      <c r="I155" s="80" t="s">
        <v>4800</v>
      </c>
      <c r="J155" s="3"/>
      <c r="K155" s="3"/>
      <c r="L155" s="3">
        <f>VLOOKUP(C155,Securities!A:D,4,FALSE)</f>
        <v>5</v>
      </c>
      <c r="M155" s="3" t="str">
        <f>VLOOKUP(C155,Securities!A:B,2,FALSE)</f>
        <v>DE000DB7XHP3 Corp</v>
      </c>
      <c r="N155" s="3"/>
      <c r="O155" s="3">
        <f t="shared" si="2"/>
        <v>100000</v>
      </c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 x14ac:dyDescent="0.25">
      <c r="A156" s="76">
        <v>43053</v>
      </c>
      <c r="B156" s="77" t="s">
        <v>4934</v>
      </c>
      <c r="C156" s="77" t="s">
        <v>4939</v>
      </c>
      <c r="D156" s="77" t="s">
        <v>4940</v>
      </c>
      <c r="E156" s="78">
        <v>100000</v>
      </c>
      <c r="F156" s="77" t="s">
        <v>4838</v>
      </c>
      <c r="G156" s="78">
        <v>100</v>
      </c>
      <c r="H156" s="78">
        <v>100</v>
      </c>
      <c r="I156" s="77" t="s">
        <v>4800</v>
      </c>
      <c r="J156" s="3"/>
      <c r="K156" s="3"/>
      <c r="L156" s="3">
        <f>VLOOKUP(C156,Securities!A:D,4,FALSE)</f>
        <v>5</v>
      </c>
      <c r="M156" s="3" t="str">
        <f>VLOOKUP(C156,Securities!A:B,2,FALSE)</f>
        <v>CH0384861404 Corp</v>
      </c>
      <c r="N156" s="3"/>
      <c r="O156" s="3">
        <f t="shared" si="2"/>
        <v>100000</v>
      </c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 x14ac:dyDescent="0.25">
      <c r="A157" s="79">
        <v>43053</v>
      </c>
      <c r="B157" s="80" t="s">
        <v>4934</v>
      </c>
      <c r="C157" s="80" t="s">
        <v>4941</v>
      </c>
      <c r="D157" s="80" t="s">
        <v>4942</v>
      </c>
      <c r="E157" s="81">
        <v>50000</v>
      </c>
      <c r="F157" s="80" t="s">
        <v>4838</v>
      </c>
      <c r="G157" s="81">
        <v>100</v>
      </c>
      <c r="H157" s="81">
        <v>100</v>
      </c>
      <c r="I157" s="80" t="s">
        <v>4800</v>
      </c>
      <c r="J157" s="3"/>
      <c r="K157" s="3"/>
      <c r="L157" s="3">
        <f>VLOOKUP(C157,Securities!A:D,4,FALSE)</f>
        <v>5</v>
      </c>
      <c r="M157" s="3" t="str">
        <f>VLOOKUP(C157,Securities!A:B,2,FALSE)</f>
        <v>XS1605089066 Corp</v>
      </c>
      <c r="N157" s="3"/>
      <c r="O157" s="3">
        <f t="shared" si="2"/>
        <v>50000</v>
      </c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 x14ac:dyDescent="0.25">
      <c r="A158" s="76">
        <v>43053</v>
      </c>
      <c r="B158" s="77" t="s">
        <v>4934</v>
      </c>
      <c r="C158" s="77" t="s">
        <v>4943</v>
      </c>
      <c r="D158" s="77" t="s">
        <v>4944</v>
      </c>
      <c r="E158" s="78">
        <v>1508</v>
      </c>
      <c r="F158" s="77" t="s">
        <v>4898</v>
      </c>
      <c r="G158" s="78">
        <v>7244.3985769999999</v>
      </c>
      <c r="H158" s="78">
        <v>118.13059800000001</v>
      </c>
      <c r="I158" s="77" t="s">
        <v>4800</v>
      </c>
      <c r="J158" s="3"/>
      <c r="K158" s="3"/>
      <c r="L158" s="3">
        <f>VLOOKUP(C158,Securities!A:D,4,FALSE)</f>
        <v>1</v>
      </c>
      <c r="M158" s="3" t="str">
        <f>VLOOKUP(C158,Securities!A:B,2,FALSE)</f>
        <v>IHYG LN Equity</v>
      </c>
      <c r="N158" s="3"/>
      <c r="O158" s="3">
        <f t="shared" si="2"/>
        <v>1508</v>
      </c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 x14ac:dyDescent="0.25">
      <c r="A159" s="79">
        <v>43053</v>
      </c>
      <c r="B159" s="80" t="s">
        <v>4934</v>
      </c>
      <c r="C159" s="80" t="s">
        <v>4945</v>
      </c>
      <c r="D159" s="80" t="s">
        <v>4946</v>
      </c>
      <c r="E159" s="81">
        <v>200000</v>
      </c>
      <c r="F159" s="80" t="s">
        <v>4806</v>
      </c>
      <c r="G159" s="81">
        <v>100.8</v>
      </c>
      <c r="H159" s="81">
        <v>100.8</v>
      </c>
      <c r="I159" s="80" t="s">
        <v>4800</v>
      </c>
      <c r="L159" s="3">
        <f>VLOOKUP(C159,Securities!A:D,4,FALSE)</f>
        <v>5</v>
      </c>
      <c r="M159" s="3" t="str">
        <f>VLOOKUP(C159,Securities!A:B,2,FALSE)</f>
        <v>US456837AE31 Corp</v>
      </c>
      <c r="O159" s="3">
        <f t="shared" si="2"/>
        <v>200000</v>
      </c>
    </row>
    <row r="160" spans="1:25" x14ac:dyDescent="0.25">
      <c r="A160" s="76">
        <v>43053</v>
      </c>
      <c r="B160" s="77" t="s">
        <v>4934</v>
      </c>
      <c r="C160" s="77" t="s">
        <v>4861</v>
      </c>
      <c r="D160" s="77" t="s">
        <v>4862</v>
      </c>
      <c r="E160" s="78">
        <v>200000</v>
      </c>
      <c r="F160" s="77" t="s">
        <v>4806</v>
      </c>
      <c r="G160" s="78">
        <v>104.3</v>
      </c>
      <c r="H160" s="78">
        <v>104.3</v>
      </c>
      <c r="I160" s="77" t="s">
        <v>4800</v>
      </c>
      <c r="L160" s="3">
        <f>VLOOKUP(C160,Securities!A:D,4,FALSE)</f>
        <v>5</v>
      </c>
      <c r="M160" s="3" t="str">
        <f>VLOOKUP(C160,Securities!A:B,2,FALSE)</f>
        <v>USA29866AA70 Corp</v>
      </c>
      <c r="O160" s="3">
        <f t="shared" si="2"/>
        <v>200000</v>
      </c>
    </row>
    <row r="161" spans="1:15" x14ac:dyDescent="0.25">
      <c r="A161" s="79">
        <v>43053</v>
      </c>
      <c r="B161" s="80" t="s">
        <v>4934</v>
      </c>
      <c r="C161" s="80" t="s">
        <v>4947</v>
      </c>
      <c r="D161" s="80" t="s">
        <v>4948</v>
      </c>
      <c r="E161" s="81">
        <v>70746</v>
      </c>
      <c r="F161" s="80" t="s">
        <v>4949</v>
      </c>
      <c r="G161" s="81">
        <v>95.965937999999994</v>
      </c>
      <c r="H161" s="81">
        <v>1.669826</v>
      </c>
      <c r="I161" s="80" t="s">
        <v>4800</v>
      </c>
      <c r="L161" s="3">
        <f>VLOOKUP(C161,Securities!A:D,4,FALSE)</f>
        <v>1</v>
      </c>
      <c r="M161" s="3" t="str">
        <f>VLOOKUP(C161,Securities!A:B,2,FALSE)</f>
        <v>OMEAEHA ID Equity</v>
      </c>
      <c r="O161" s="3">
        <f t="shared" si="2"/>
        <v>70746</v>
      </c>
    </row>
    <row r="162" spans="1:15" x14ac:dyDescent="0.25">
      <c r="A162" s="76">
        <v>43053</v>
      </c>
      <c r="B162" s="77" t="s">
        <v>4934</v>
      </c>
      <c r="C162" s="77" t="s">
        <v>4950</v>
      </c>
      <c r="D162" s="77" t="s">
        <v>4951</v>
      </c>
      <c r="E162" s="78">
        <v>200000</v>
      </c>
      <c r="F162" s="77" t="s">
        <v>4806</v>
      </c>
      <c r="G162" s="78">
        <v>102.32</v>
      </c>
      <c r="H162" s="78">
        <v>102.32</v>
      </c>
      <c r="I162" s="77" t="s">
        <v>4800</v>
      </c>
      <c r="L162" s="3">
        <f>VLOOKUP(C162,Securities!A:D,4,FALSE)</f>
        <v>5</v>
      </c>
      <c r="M162" s="3" t="str">
        <f>VLOOKUP(C162,Securities!A:B,2,FALSE)</f>
        <v>XS0835890350 Corp</v>
      </c>
      <c r="O162" s="3">
        <f t="shared" si="2"/>
        <v>200000</v>
      </c>
    </row>
    <row r="163" spans="1:15" x14ac:dyDescent="0.25">
      <c r="A163" s="79">
        <v>43053</v>
      </c>
      <c r="B163" s="80" t="s">
        <v>4934</v>
      </c>
      <c r="C163" s="80" t="s">
        <v>4913</v>
      </c>
      <c r="D163" s="80" t="s">
        <v>4914</v>
      </c>
      <c r="E163" s="81">
        <v>200000</v>
      </c>
      <c r="F163" s="80" t="s">
        <v>4806</v>
      </c>
      <c r="G163" s="81">
        <v>100.8</v>
      </c>
      <c r="H163" s="81">
        <v>100.8</v>
      </c>
      <c r="I163" s="80" t="s">
        <v>4800</v>
      </c>
      <c r="L163" s="3">
        <f>VLOOKUP(C163,Securities!A:D,4,FALSE)</f>
        <v>5</v>
      </c>
      <c r="M163" s="3" t="str">
        <f>VLOOKUP(C163,Securities!A:B,2,FALSE)</f>
        <v>XS1533922933 Corp</v>
      </c>
      <c r="O163" s="3">
        <f t="shared" si="2"/>
        <v>200000</v>
      </c>
    </row>
    <row r="164" spans="1:15" x14ac:dyDescent="0.25">
      <c r="A164" s="76">
        <v>43053</v>
      </c>
      <c r="B164" s="77" t="s">
        <v>4934</v>
      </c>
      <c r="C164" s="77" t="s">
        <v>4851</v>
      </c>
      <c r="D164" s="77" t="s">
        <v>4744</v>
      </c>
      <c r="E164" s="78">
        <v>200000</v>
      </c>
      <c r="F164" s="77" t="s">
        <v>4806</v>
      </c>
      <c r="G164" s="78">
        <v>99.5</v>
      </c>
      <c r="H164" s="78">
        <v>99.5</v>
      </c>
      <c r="I164" s="77" t="s">
        <v>4800</v>
      </c>
      <c r="L164" s="3">
        <f>VLOOKUP(C164,Securities!A:D,4,FALSE)</f>
        <v>5</v>
      </c>
      <c r="M164" s="3" t="str">
        <f>VLOOKUP(C164,Securities!A:B,2,FALSE)</f>
        <v>XS1032750165 Corp</v>
      </c>
      <c r="O164" s="3">
        <f t="shared" si="2"/>
        <v>200000</v>
      </c>
    </row>
    <row r="165" spans="1:15" x14ac:dyDescent="0.25">
      <c r="A165" s="79">
        <v>43053</v>
      </c>
      <c r="B165" s="80" t="s">
        <v>4934</v>
      </c>
      <c r="C165" s="80" t="s">
        <v>4927</v>
      </c>
      <c r="D165" s="80" t="s">
        <v>4928</v>
      </c>
      <c r="E165" s="81">
        <v>3730</v>
      </c>
      <c r="F165" s="80" t="s">
        <v>4898</v>
      </c>
      <c r="G165" s="81">
        <v>900.62798599999996</v>
      </c>
      <c r="H165" s="81">
        <v>15.544819</v>
      </c>
      <c r="I165" s="80" t="s">
        <v>4800</v>
      </c>
      <c r="L165" s="3">
        <f>VLOOKUP(C165,Securities!A:D,4,FALSE)</f>
        <v>1</v>
      </c>
      <c r="M165" s="3" t="str">
        <f>VLOOKUP(C165,Securities!A:B,2,FALSE)</f>
        <v>SX7EEX GY Equity</v>
      </c>
      <c r="O165" s="3">
        <f t="shared" si="2"/>
        <v>3730</v>
      </c>
    </row>
    <row r="166" spans="1:15" x14ac:dyDescent="0.25">
      <c r="A166" s="76">
        <v>43053</v>
      </c>
      <c r="B166" s="77" t="s">
        <v>4934</v>
      </c>
      <c r="C166" s="77" t="s">
        <v>4952</v>
      </c>
      <c r="D166" s="77" t="s">
        <v>4953</v>
      </c>
      <c r="E166" s="78">
        <v>200000</v>
      </c>
      <c r="F166" s="77" t="s">
        <v>4806</v>
      </c>
      <c r="G166" s="78">
        <v>104.3</v>
      </c>
      <c r="H166" s="78">
        <v>104.3</v>
      </c>
      <c r="I166" s="77" t="s">
        <v>4800</v>
      </c>
      <c r="L166" s="3">
        <f>VLOOKUP(C166,Securities!A:D,4,FALSE)</f>
        <v>5</v>
      </c>
      <c r="M166" s="3" t="str">
        <f>VLOOKUP(C166,Securities!A:B,2,FALSE)</f>
        <v>USG9328DAJ93 Corp</v>
      </c>
      <c r="O166" s="3">
        <f t="shared" si="2"/>
        <v>200000</v>
      </c>
    </row>
    <row r="167" spans="1:15" x14ac:dyDescent="0.25">
      <c r="A167" s="79">
        <v>43053</v>
      </c>
      <c r="B167" s="80" t="s">
        <v>4954</v>
      </c>
      <c r="C167" s="80" t="s">
        <v>4955</v>
      </c>
      <c r="D167" s="80" t="s">
        <v>126</v>
      </c>
      <c r="E167" s="81">
        <v>18200</v>
      </c>
      <c r="F167" s="80" t="s">
        <v>4810</v>
      </c>
      <c r="G167" s="81">
        <v>163.92609999999999</v>
      </c>
      <c r="H167" s="81">
        <v>2.8042790000000002</v>
      </c>
      <c r="I167" s="80" t="s">
        <v>4800</v>
      </c>
      <c r="L167" s="3">
        <f>VLOOKUP(C167,Securities!A:D,4,FALSE)</f>
        <v>1</v>
      </c>
      <c r="M167" s="3" t="str">
        <f>VLOOKUP(C167,Securities!A:B,2,FALSE)</f>
        <v>AFLT RX Equity</v>
      </c>
      <c r="O167" s="3">
        <f t="shared" si="2"/>
        <v>18200</v>
      </c>
    </row>
    <row r="168" spans="1:15" x14ac:dyDescent="0.25">
      <c r="A168" s="76">
        <v>43053</v>
      </c>
      <c r="B168" s="77" t="s">
        <v>4954</v>
      </c>
      <c r="C168" s="77" t="s">
        <v>4803</v>
      </c>
      <c r="D168" s="77" t="s">
        <v>39</v>
      </c>
      <c r="E168" s="78">
        <v>3950</v>
      </c>
      <c r="F168" s="77" t="s">
        <v>4804</v>
      </c>
      <c r="G168" s="78">
        <v>708.28308500000003</v>
      </c>
      <c r="H168" s="78">
        <v>12.55</v>
      </c>
      <c r="I168" s="77" t="s">
        <v>4800</v>
      </c>
      <c r="L168" s="3">
        <f>VLOOKUP(C168,Securities!A:D,4,FALSE)</f>
        <v>1</v>
      </c>
      <c r="M168" s="3" t="str">
        <f>VLOOKUP(C168,Securities!A:B,2,FALSE)</f>
        <v>AGRO LI Equity</v>
      </c>
      <c r="O168" s="3">
        <f t="shared" si="2"/>
        <v>3950</v>
      </c>
    </row>
    <row r="169" spans="1:15" x14ac:dyDescent="0.25">
      <c r="A169" s="79">
        <v>43053</v>
      </c>
      <c r="B169" s="80" t="s">
        <v>4954</v>
      </c>
      <c r="C169" s="80" t="s">
        <v>4866</v>
      </c>
      <c r="D169" s="80" t="s">
        <v>99</v>
      </c>
      <c r="E169" s="81">
        <v>38650</v>
      </c>
      <c r="F169" s="80" t="s">
        <v>4810</v>
      </c>
      <c r="G169" s="81">
        <v>0</v>
      </c>
      <c r="H169" s="81">
        <v>0</v>
      </c>
      <c r="I169" s="80" t="s">
        <v>4800</v>
      </c>
      <c r="L169" s="3">
        <f>VLOOKUP(C169,Securities!A:D,4,FALSE)</f>
        <v>1</v>
      </c>
      <c r="M169" s="3" t="str">
        <f>VLOOKUP(C169,Securities!A:B,2,FALSE)</f>
        <v>ALRS RX Equity</v>
      </c>
      <c r="O169" s="3">
        <f t="shared" si="2"/>
        <v>38650</v>
      </c>
    </row>
    <row r="170" spans="1:15" x14ac:dyDescent="0.25">
      <c r="A170" s="76">
        <v>43053</v>
      </c>
      <c r="B170" s="77" t="s">
        <v>4954</v>
      </c>
      <c r="C170" s="77" t="s">
        <v>4895</v>
      </c>
      <c r="D170" s="77" t="s">
        <v>144</v>
      </c>
      <c r="E170" s="78">
        <v>2163</v>
      </c>
      <c r="F170" s="77" t="s">
        <v>4810</v>
      </c>
      <c r="G170" s="78">
        <v>1532.5410999999999</v>
      </c>
      <c r="H170" s="78">
        <v>26.328351000000001</v>
      </c>
      <c r="I170" s="77" t="s">
        <v>4800</v>
      </c>
      <c r="L170" s="3">
        <f>VLOOKUP(C170,Securities!A:D,4,FALSE)</f>
        <v>1</v>
      </c>
      <c r="M170" s="3" t="str">
        <f>VLOOKUP(C170,Securities!A:B,2,FALSE)</f>
        <v>BANEP RX Equity</v>
      </c>
      <c r="O170" s="3">
        <f t="shared" si="2"/>
        <v>2163</v>
      </c>
    </row>
    <row r="171" spans="1:15" x14ac:dyDescent="0.25">
      <c r="A171" s="79">
        <v>43053</v>
      </c>
      <c r="B171" s="80" t="s">
        <v>4954</v>
      </c>
      <c r="C171" s="80" t="s">
        <v>4899</v>
      </c>
      <c r="D171" s="80" t="s">
        <v>4900</v>
      </c>
      <c r="E171" s="81">
        <v>17600</v>
      </c>
      <c r="F171" s="80" t="s">
        <v>4799</v>
      </c>
      <c r="G171" s="81">
        <v>196.257272</v>
      </c>
      <c r="H171" s="81">
        <v>3.2395360000000002</v>
      </c>
      <c r="I171" s="80" t="s">
        <v>4800</v>
      </c>
      <c r="L171" s="3">
        <f>VLOOKUP(C171,Securities!A:D,4,FALSE)</f>
        <v>1</v>
      </c>
      <c r="M171" s="3" t="str">
        <f>VLOOKUP(C171,Securities!A:B,2,FALSE)</f>
        <v>EVR LN Equity</v>
      </c>
      <c r="O171" s="3">
        <f t="shared" si="2"/>
        <v>17600</v>
      </c>
    </row>
    <row r="172" spans="1:15" x14ac:dyDescent="0.25">
      <c r="A172" s="76">
        <v>43053</v>
      </c>
      <c r="B172" s="77" t="s">
        <v>4954</v>
      </c>
      <c r="C172" s="77" t="s">
        <v>4901</v>
      </c>
      <c r="D172" s="77" t="s">
        <v>4902</v>
      </c>
      <c r="E172" s="78">
        <v>891</v>
      </c>
      <c r="F172" s="77" t="s">
        <v>4804</v>
      </c>
      <c r="G172" s="78">
        <v>2079.2800000000002</v>
      </c>
      <c r="H172" s="78">
        <v>36.404446</v>
      </c>
      <c r="I172" s="77" t="s">
        <v>4800</v>
      </c>
      <c r="L172" s="3">
        <f>VLOOKUP(C172,Securities!A:D,4,FALSE)</f>
        <v>1</v>
      </c>
      <c r="M172" s="3" t="str">
        <f>VLOOKUP(C172,Securities!A:B,2,FALSE)</f>
        <v>FIVE LI Equity</v>
      </c>
      <c r="O172" s="3">
        <f t="shared" si="2"/>
        <v>891</v>
      </c>
    </row>
    <row r="173" spans="1:15" x14ac:dyDescent="0.25">
      <c r="A173" s="79">
        <v>43053</v>
      </c>
      <c r="B173" s="80" t="s">
        <v>4954</v>
      </c>
      <c r="C173" s="80" t="s">
        <v>4811</v>
      </c>
      <c r="D173" s="80" t="s">
        <v>4659</v>
      </c>
      <c r="E173" s="81">
        <v>19190</v>
      </c>
      <c r="F173" s="80" t="s">
        <v>4799</v>
      </c>
      <c r="G173" s="81">
        <v>119.61344099999999</v>
      </c>
      <c r="H173" s="81">
        <v>2.1367440000000002</v>
      </c>
      <c r="I173" s="80" t="s">
        <v>4800</v>
      </c>
      <c r="L173" s="3">
        <f>VLOOKUP(C173,Securities!A:D,4,FALSE)</f>
        <v>1</v>
      </c>
      <c r="M173" s="3" t="str">
        <f>VLOOKUP(C173,Securities!A:B,2,FALSE)</f>
        <v>HGM LN Equity</v>
      </c>
      <c r="O173" s="3">
        <f t="shared" si="2"/>
        <v>19190</v>
      </c>
    </row>
    <row r="174" spans="1:15" x14ac:dyDescent="0.25">
      <c r="A174" s="76">
        <v>43053</v>
      </c>
      <c r="B174" s="77" t="s">
        <v>4954</v>
      </c>
      <c r="C174" s="77" t="s">
        <v>4847</v>
      </c>
      <c r="D174" s="77" t="s">
        <v>369</v>
      </c>
      <c r="E174" s="78">
        <v>1175</v>
      </c>
      <c r="F174" s="77" t="s">
        <v>4810</v>
      </c>
      <c r="G174" s="78">
        <v>2927.5489360000001</v>
      </c>
      <c r="H174" s="78">
        <v>48.323821000000002</v>
      </c>
      <c r="I174" s="77" t="s">
        <v>4800</v>
      </c>
      <c r="L174" s="3">
        <f>VLOOKUP(C174,Securities!A:D,4,FALSE)</f>
        <v>1</v>
      </c>
      <c r="M174" s="3" t="str">
        <f>VLOOKUP(C174,Securities!A:B,2,FALSE)</f>
        <v>LKOH RX Equity</v>
      </c>
      <c r="O174" s="3">
        <f t="shared" si="2"/>
        <v>1175</v>
      </c>
    </row>
    <row r="175" spans="1:15" x14ac:dyDescent="0.25">
      <c r="A175" s="79">
        <v>43053</v>
      </c>
      <c r="B175" s="80" t="s">
        <v>4954</v>
      </c>
      <c r="C175" s="80" t="s">
        <v>4910</v>
      </c>
      <c r="D175" s="80" t="s">
        <v>366</v>
      </c>
      <c r="E175" s="81">
        <v>2646</v>
      </c>
      <c r="F175" s="80" t="s">
        <v>4810</v>
      </c>
      <c r="G175" s="81">
        <v>846.60186699999997</v>
      </c>
      <c r="H175" s="81">
        <v>15.123480000000001</v>
      </c>
      <c r="I175" s="80" t="s">
        <v>4800</v>
      </c>
      <c r="L175" s="3">
        <f>VLOOKUP(C175,Securities!A:D,4,FALSE)</f>
        <v>1</v>
      </c>
      <c r="M175" s="3" t="str">
        <f>VLOOKUP(C175,Securities!A:B,2,FALSE)</f>
        <v>LSRG RX Equity</v>
      </c>
      <c r="O175" s="3">
        <f t="shared" si="2"/>
        <v>2646</v>
      </c>
    </row>
    <row r="176" spans="1:15" x14ac:dyDescent="0.25">
      <c r="A176" s="76">
        <v>43053</v>
      </c>
      <c r="B176" s="77" t="s">
        <v>4954</v>
      </c>
      <c r="C176" s="77" t="s">
        <v>4911</v>
      </c>
      <c r="D176" s="77" t="s">
        <v>405</v>
      </c>
      <c r="E176" s="78">
        <v>144200</v>
      </c>
      <c r="F176" s="77" t="s">
        <v>4810</v>
      </c>
      <c r="G176" s="78">
        <v>42.212901000000002</v>
      </c>
      <c r="H176" s="78">
        <v>0.73199999999999998</v>
      </c>
      <c r="I176" s="77" t="s">
        <v>4800</v>
      </c>
      <c r="L176" s="3">
        <f>VLOOKUP(C176,Securities!A:D,4,FALSE)</f>
        <v>1</v>
      </c>
      <c r="M176" s="3" t="str">
        <f>VLOOKUP(C176,Securities!A:B,2,FALSE)</f>
        <v>MAGN RX Equity</v>
      </c>
      <c r="O176" s="3">
        <f t="shared" si="2"/>
        <v>144200</v>
      </c>
    </row>
    <row r="177" spans="1:15" x14ac:dyDescent="0.25">
      <c r="A177" s="79">
        <v>43053</v>
      </c>
      <c r="B177" s="80" t="s">
        <v>4954</v>
      </c>
      <c r="C177" s="80" t="s">
        <v>4867</v>
      </c>
      <c r="D177" s="80" t="s">
        <v>473</v>
      </c>
      <c r="E177" s="81">
        <v>18290</v>
      </c>
      <c r="F177" s="80" t="s">
        <v>4810</v>
      </c>
      <c r="G177" s="81">
        <v>111.55954800000001</v>
      </c>
      <c r="H177" s="81">
        <v>1.878096</v>
      </c>
      <c r="I177" s="80" t="s">
        <v>4800</v>
      </c>
      <c r="L177" s="3">
        <f>VLOOKUP(C177,Securities!A:D,4,FALSE)</f>
        <v>1</v>
      </c>
      <c r="M177" s="3" t="str">
        <f>VLOOKUP(C177,Securities!A:B,2,FALSE)</f>
        <v>MOEX RX Equity</v>
      </c>
      <c r="O177" s="3">
        <f t="shared" si="2"/>
        <v>18290</v>
      </c>
    </row>
    <row r="178" spans="1:15" x14ac:dyDescent="0.25">
      <c r="A178" s="76">
        <v>43053</v>
      </c>
      <c r="B178" s="77" t="s">
        <v>4954</v>
      </c>
      <c r="C178" s="77" t="s">
        <v>4818</v>
      </c>
      <c r="D178" s="77" t="s">
        <v>494</v>
      </c>
      <c r="E178" s="78">
        <v>28800</v>
      </c>
      <c r="F178" s="77" t="s">
        <v>4810</v>
      </c>
      <c r="G178" s="78">
        <v>34.999443999999997</v>
      </c>
      <c r="H178" s="78">
        <v>0.60490900000000003</v>
      </c>
      <c r="I178" s="77" t="s">
        <v>4800</v>
      </c>
      <c r="L178" s="3">
        <f>VLOOKUP(C178,Securities!A:D,4,FALSE)</f>
        <v>1</v>
      </c>
      <c r="M178" s="3" t="str">
        <f>VLOOKUP(C178,Securities!A:B,2,FALSE)</f>
        <v>NKNCP RX Equity</v>
      </c>
      <c r="O178" s="3">
        <f t="shared" si="2"/>
        <v>28800</v>
      </c>
    </row>
    <row r="179" spans="1:15" x14ac:dyDescent="0.25">
      <c r="A179" s="79">
        <v>43053</v>
      </c>
      <c r="B179" s="80" t="s">
        <v>4954</v>
      </c>
      <c r="C179" s="80" t="s">
        <v>4912</v>
      </c>
      <c r="D179" s="80" t="s">
        <v>28</v>
      </c>
      <c r="E179" s="81">
        <v>487000</v>
      </c>
      <c r="F179" s="80" t="s">
        <v>4810</v>
      </c>
      <c r="G179" s="81">
        <v>7.693028</v>
      </c>
      <c r="H179" s="81">
        <v>0.13616200000000001</v>
      </c>
      <c r="I179" s="80" t="s">
        <v>4800</v>
      </c>
      <c r="L179" s="3">
        <f>VLOOKUP(C179,Securities!A:D,4,FALSE)</f>
        <v>1</v>
      </c>
      <c r="M179" s="3" t="str">
        <f>VLOOKUP(C179,Securities!A:B,2,FALSE)</f>
        <v>NMTP RX Equity</v>
      </c>
      <c r="O179" s="3">
        <f t="shared" si="2"/>
        <v>487000</v>
      </c>
    </row>
    <row r="180" spans="1:15" x14ac:dyDescent="0.25">
      <c r="A180" s="76">
        <v>43053</v>
      </c>
      <c r="B180" s="77" t="s">
        <v>4954</v>
      </c>
      <c r="C180" s="77" t="s">
        <v>4848</v>
      </c>
      <c r="D180" s="77" t="s">
        <v>511</v>
      </c>
      <c r="E180" s="78">
        <v>5570</v>
      </c>
      <c r="F180" s="77" t="s">
        <v>4810</v>
      </c>
      <c r="G180" s="78">
        <v>619.01184899999998</v>
      </c>
      <c r="H180" s="78">
        <v>10.217768</v>
      </c>
      <c r="I180" s="77" t="s">
        <v>4800</v>
      </c>
      <c r="L180" s="3">
        <f>VLOOKUP(C180,Securities!A:D,4,FALSE)</f>
        <v>1</v>
      </c>
      <c r="M180" s="3" t="str">
        <f>VLOOKUP(C180,Securities!A:B,2,FALSE)</f>
        <v>NVTK RX Equity</v>
      </c>
      <c r="O180" s="3">
        <f t="shared" si="2"/>
        <v>5570</v>
      </c>
    </row>
    <row r="181" spans="1:15" x14ac:dyDescent="0.25">
      <c r="A181" s="79">
        <v>43053</v>
      </c>
      <c r="B181" s="80" t="s">
        <v>4954</v>
      </c>
      <c r="C181" s="80" t="s">
        <v>4956</v>
      </c>
      <c r="D181" s="80" t="s">
        <v>4957</v>
      </c>
      <c r="E181" s="81">
        <v>4350</v>
      </c>
      <c r="F181" s="80" t="s">
        <v>4804</v>
      </c>
      <c r="G181" s="81">
        <v>810.7115</v>
      </c>
      <c r="H181" s="81">
        <v>13.956873</v>
      </c>
      <c r="I181" s="80" t="s">
        <v>4800</v>
      </c>
      <c r="L181" s="3">
        <f>VLOOKUP(C181,Securities!A:D,4,FALSE)</f>
        <v>1</v>
      </c>
      <c r="M181" s="3" t="str">
        <f>VLOOKUP(C181,Securities!A:B,2,FALSE)</f>
        <v>PHOR LI Equity</v>
      </c>
      <c r="O181" s="3">
        <f t="shared" si="2"/>
        <v>4350</v>
      </c>
    </row>
    <row r="182" spans="1:15" x14ac:dyDescent="0.25">
      <c r="A182" s="76">
        <v>43053</v>
      </c>
      <c r="B182" s="77" t="s">
        <v>4954</v>
      </c>
      <c r="C182" s="77" t="s">
        <v>4892</v>
      </c>
      <c r="D182" s="77" t="s">
        <v>568</v>
      </c>
      <c r="E182" s="78">
        <v>804</v>
      </c>
      <c r="F182" s="77" t="s">
        <v>4810</v>
      </c>
      <c r="G182" s="78">
        <v>3924.6397350000002</v>
      </c>
      <c r="H182" s="78">
        <v>66.423058999999995</v>
      </c>
      <c r="I182" s="77" t="s">
        <v>4800</v>
      </c>
      <c r="L182" s="3">
        <f>VLOOKUP(C182,Securities!A:D,4,FALSE)</f>
        <v>1</v>
      </c>
      <c r="M182" s="3" t="str">
        <f>VLOOKUP(C182,Securities!A:B,2,FALSE)</f>
        <v>PLZL RX Equity</v>
      </c>
      <c r="O182" s="3">
        <f t="shared" si="2"/>
        <v>804</v>
      </c>
    </row>
    <row r="183" spans="1:15" x14ac:dyDescent="0.25">
      <c r="A183" s="79">
        <v>43053</v>
      </c>
      <c r="B183" s="80" t="s">
        <v>4954</v>
      </c>
      <c r="C183" s="80" t="s">
        <v>4958</v>
      </c>
      <c r="D183" s="80" t="s">
        <v>4959</v>
      </c>
      <c r="E183" s="81">
        <v>13732</v>
      </c>
      <c r="F183" s="80" t="s">
        <v>4804</v>
      </c>
      <c r="G183" s="81">
        <v>321.23353600000002</v>
      </c>
      <c r="H183" s="81">
        <v>5.68</v>
      </c>
      <c r="I183" s="80" t="s">
        <v>4800</v>
      </c>
      <c r="L183" s="3">
        <f>VLOOKUP(C183,Securities!A:D,4,FALSE)</f>
        <v>1</v>
      </c>
      <c r="M183" s="3" t="str">
        <f>VLOOKUP(C183,Securities!A:B,2,FALSE)</f>
        <v>TMKS LI Equity</v>
      </c>
      <c r="O183" s="3">
        <f t="shared" si="2"/>
        <v>13732</v>
      </c>
    </row>
    <row r="184" spans="1:15" x14ac:dyDescent="0.25">
      <c r="A184" s="76">
        <v>43053</v>
      </c>
      <c r="B184" s="77" t="s">
        <v>4954</v>
      </c>
      <c r="C184" s="77" t="s">
        <v>4824</v>
      </c>
      <c r="D184" s="77" t="s">
        <v>4674</v>
      </c>
      <c r="E184" s="78">
        <v>26700</v>
      </c>
      <c r="F184" s="77" t="s">
        <v>4825</v>
      </c>
      <c r="G184" s="78">
        <v>0</v>
      </c>
      <c r="H184" s="78">
        <v>0</v>
      </c>
      <c r="I184" s="77" t="s">
        <v>4800</v>
      </c>
      <c r="L184" s="3">
        <f>VLOOKUP(C184,Securities!A:D,4,FALSE)</f>
        <v>1</v>
      </c>
      <c r="M184" s="3" t="str">
        <f>VLOOKUP(C184,Securities!A:B,2,FALSE)</f>
        <v>VEON US Equity</v>
      </c>
      <c r="O184" s="3">
        <f t="shared" si="2"/>
        <v>26700</v>
      </c>
    </row>
    <row r="185" spans="1:15" x14ac:dyDescent="0.25">
      <c r="A185" s="79">
        <v>43053</v>
      </c>
      <c r="B185" s="80" t="s">
        <v>4960</v>
      </c>
      <c r="C185" s="80" t="s">
        <v>4961</v>
      </c>
      <c r="D185" s="80" t="s">
        <v>4962</v>
      </c>
      <c r="E185" s="81">
        <v>1000000</v>
      </c>
      <c r="F185" s="80" t="s">
        <v>4806</v>
      </c>
      <c r="G185" s="81">
        <v>94.665000000000006</v>
      </c>
      <c r="H185" s="81">
        <v>94.665000000000006</v>
      </c>
      <c r="I185" s="80" t="s">
        <v>4800</v>
      </c>
      <c r="L185" s="3">
        <f>VLOOKUP(C185,Securities!A:D,4,FALSE)</f>
        <v>5</v>
      </c>
      <c r="M185" s="3" t="str">
        <f>VLOOKUP(C185,Securities!A:B,2,FALSE)</f>
        <v>XS1601094755 Corp</v>
      </c>
      <c r="O185" s="3">
        <f t="shared" si="2"/>
        <v>1000000</v>
      </c>
    </row>
    <row r="186" spans="1:15" x14ac:dyDescent="0.25">
      <c r="A186" s="76">
        <v>43053</v>
      </c>
      <c r="B186" s="77" t="s">
        <v>4960</v>
      </c>
      <c r="C186" s="77" t="s">
        <v>4805</v>
      </c>
      <c r="D186" s="77" t="s">
        <v>31</v>
      </c>
      <c r="E186" s="78">
        <v>642000</v>
      </c>
      <c r="F186" s="77" t="s">
        <v>4806</v>
      </c>
      <c r="G186" s="78">
        <v>175.308177</v>
      </c>
      <c r="H186" s="78">
        <v>175.308177</v>
      </c>
      <c r="I186" s="77" t="s">
        <v>4800</v>
      </c>
      <c r="L186" s="3">
        <f>VLOOKUP(C186,Securities!A:D,4,FALSE)</f>
        <v>5</v>
      </c>
      <c r="M186" s="3" t="str">
        <f>VLOOKUP(C186,Securities!A:B,2,FALSE)</f>
        <v>TT343269 Corp</v>
      </c>
      <c r="O186" s="3">
        <f t="shared" si="2"/>
        <v>642000</v>
      </c>
    </row>
    <row r="187" spans="1:15" x14ac:dyDescent="0.25">
      <c r="A187" s="79">
        <v>43053</v>
      </c>
      <c r="B187" s="80" t="s">
        <v>4960</v>
      </c>
      <c r="C187" s="80" t="s">
        <v>4903</v>
      </c>
      <c r="D187" s="80" t="s">
        <v>4904</v>
      </c>
      <c r="E187" s="81">
        <v>200000</v>
      </c>
      <c r="F187" s="80" t="s">
        <v>4806</v>
      </c>
      <c r="G187" s="81">
        <v>105</v>
      </c>
      <c r="H187" s="81">
        <v>105</v>
      </c>
      <c r="I187" s="80" t="s">
        <v>4800</v>
      </c>
      <c r="L187" s="3">
        <f>VLOOKUP(C187,Securities!A:D,4,FALSE)</f>
        <v>5</v>
      </c>
      <c r="M187" s="3" t="str">
        <f>VLOOKUP(C187,Securities!A:B,2,FALSE)</f>
        <v>XS1319813769 Corp</v>
      </c>
      <c r="O187" s="3">
        <f t="shared" si="2"/>
        <v>200000</v>
      </c>
    </row>
    <row r="188" spans="1:15" x14ac:dyDescent="0.25">
      <c r="A188" s="76">
        <v>43053</v>
      </c>
      <c r="B188" s="77" t="s">
        <v>4960</v>
      </c>
      <c r="C188" s="77" t="s">
        <v>4963</v>
      </c>
      <c r="D188" s="77" t="s">
        <v>4964</v>
      </c>
      <c r="E188" s="78">
        <v>255000</v>
      </c>
      <c r="F188" s="77" t="s">
        <v>4806</v>
      </c>
      <c r="G188" s="78">
        <v>97</v>
      </c>
      <c r="H188" s="78">
        <v>97</v>
      </c>
      <c r="I188" s="77" t="s">
        <v>4823</v>
      </c>
      <c r="L188" s="3">
        <f>VLOOKUP(C188,Securities!A:D,4,FALSE)</f>
        <v>5</v>
      </c>
      <c r="M188" s="3" t="str">
        <f>VLOOKUP(C188,Securities!A:B,2,FALSE)</f>
        <v>XS1439838548 Corp</v>
      </c>
      <c r="O188" s="3">
        <f t="shared" si="2"/>
        <v>255000</v>
      </c>
    </row>
    <row r="189" spans="1:15" x14ac:dyDescent="0.25">
      <c r="A189" s="79">
        <v>43053</v>
      </c>
      <c r="B189" s="80" t="s">
        <v>4960</v>
      </c>
      <c r="C189" s="80" t="s">
        <v>4861</v>
      </c>
      <c r="D189" s="80" t="s">
        <v>4862</v>
      </c>
      <c r="E189" s="81">
        <v>800000</v>
      </c>
      <c r="F189" s="80" t="s">
        <v>4806</v>
      </c>
      <c r="G189" s="81">
        <v>92.5</v>
      </c>
      <c r="H189" s="81">
        <v>92.5</v>
      </c>
      <c r="I189" s="80" t="s">
        <v>4800</v>
      </c>
      <c r="L189" s="3">
        <f>VLOOKUP(C189,Securities!A:D,4,FALSE)</f>
        <v>5</v>
      </c>
      <c r="M189" s="3" t="str">
        <f>VLOOKUP(C189,Securities!A:B,2,FALSE)</f>
        <v>USA29866AA70 Corp</v>
      </c>
      <c r="O189" s="3">
        <f t="shared" si="2"/>
        <v>800000</v>
      </c>
    </row>
    <row r="190" spans="1:15" x14ac:dyDescent="0.25">
      <c r="A190" s="76">
        <v>43053</v>
      </c>
      <c r="B190" s="77" t="s">
        <v>4960</v>
      </c>
      <c r="C190" s="77" t="s">
        <v>4863</v>
      </c>
      <c r="D190" s="77" t="s">
        <v>4864</v>
      </c>
      <c r="E190" s="78">
        <v>200000</v>
      </c>
      <c r="F190" s="77" t="s">
        <v>4806</v>
      </c>
      <c r="G190" s="78">
        <v>105.55</v>
      </c>
      <c r="H190" s="78">
        <v>105.55</v>
      </c>
      <c r="I190" s="77" t="s">
        <v>4800</v>
      </c>
      <c r="L190" s="3">
        <f>VLOOKUP(C190,Securities!A:D,4,FALSE)</f>
        <v>5</v>
      </c>
      <c r="M190" s="3" t="str">
        <f>VLOOKUP(C190,Securities!A:B,2,FALSE)</f>
        <v>USN54468AF52 Corp</v>
      </c>
      <c r="O190" s="3">
        <f t="shared" si="2"/>
        <v>200000</v>
      </c>
    </row>
    <row r="191" spans="1:15" x14ac:dyDescent="0.25">
      <c r="A191" s="79">
        <v>43053</v>
      </c>
      <c r="B191" s="80" t="s">
        <v>4960</v>
      </c>
      <c r="C191" s="80" t="s">
        <v>4843</v>
      </c>
      <c r="D191" s="80" t="s">
        <v>4844</v>
      </c>
      <c r="E191" s="81">
        <v>400000</v>
      </c>
      <c r="F191" s="80" t="s">
        <v>4806</v>
      </c>
      <c r="G191" s="81">
        <v>103</v>
      </c>
      <c r="H191" s="81">
        <v>103</v>
      </c>
      <c r="I191" s="80" t="s">
        <v>4800</v>
      </c>
      <c r="L191" s="3">
        <f>VLOOKUP(C191,Securities!A:D,4,FALSE)</f>
        <v>5</v>
      </c>
      <c r="M191" s="3" t="str">
        <f>VLOOKUP(C191,Securities!A:B,2,FALSE)</f>
        <v>XS0940730228 Corp</v>
      </c>
      <c r="O191" s="3">
        <f t="shared" si="2"/>
        <v>400000</v>
      </c>
    </row>
    <row r="192" spans="1:15" x14ac:dyDescent="0.25">
      <c r="A192" s="76">
        <v>43053</v>
      </c>
      <c r="B192" s="77" t="s">
        <v>4960</v>
      </c>
      <c r="C192" s="77" t="s">
        <v>4965</v>
      </c>
      <c r="D192" s="77" t="s">
        <v>4966</v>
      </c>
      <c r="E192" s="78">
        <v>100000</v>
      </c>
      <c r="F192" s="77" t="s">
        <v>4806</v>
      </c>
      <c r="G192" s="78">
        <v>115.65</v>
      </c>
      <c r="H192" s="78">
        <v>115.65</v>
      </c>
      <c r="I192" s="77" t="s">
        <v>4800</v>
      </c>
      <c r="L192" s="3">
        <f>VLOOKUP(C192,Securities!A:D,4,FALSE)</f>
        <v>5</v>
      </c>
      <c r="M192" s="3" t="str">
        <f>VLOOKUP(C192,Securities!A:B,2,FALSE)</f>
        <v>US71647NAQ25 Corp</v>
      </c>
      <c r="O192" s="3">
        <f t="shared" si="2"/>
        <v>100000</v>
      </c>
    </row>
    <row r="193" spans="1:15" x14ac:dyDescent="0.25">
      <c r="A193" s="79">
        <v>43053</v>
      </c>
      <c r="B193" s="80" t="s">
        <v>4960</v>
      </c>
      <c r="C193" s="80" t="s">
        <v>4967</v>
      </c>
      <c r="D193" s="80" t="s">
        <v>4968</v>
      </c>
      <c r="E193" s="81">
        <v>200000</v>
      </c>
      <c r="F193" s="80" t="s">
        <v>4806</v>
      </c>
      <c r="G193" s="81">
        <v>114.5</v>
      </c>
      <c r="H193" s="81">
        <v>114.5</v>
      </c>
      <c r="I193" s="80" t="s">
        <v>4800</v>
      </c>
      <c r="L193" s="3">
        <f>VLOOKUP(C193,Securities!A:D,4,FALSE)</f>
        <v>5</v>
      </c>
      <c r="M193" s="3" t="str">
        <f>VLOOKUP(C193,Securities!A:B,2,FALSE)</f>
        <v>XS0979891925 Corp</v>
      </c>
      <c r="O193" s="3">
        <f t="shared" si="2"/>
        <v>200000</v>
      </c>
    </row>
    <row r="194" spans="1:15" x14ac:dyDescent="0.25">
      <c r="A194" s="76">
        <v>43053</v>
      </c>
      <c r="B194" s="77" t="s">
        <v>4969</v>
      </c>
      <c r="C194" s="77" t="s">
        <v>4970</v>
      </c>
      <c r="D194" s="77" t="s">
        <v>4971</v>
      </c>
      <c r="E194" s="78">
        <v>460</v>
      </c>
      <c r="F194" s="77" t="s">
        <v>4799</v>
      </c>
      <c r="G194" s="78">
        <v>4687.1058979999998</v>
      </c>
      <c r="H194" s="78">
        <v>75.540000000000006</v>
      </c>
      <c r="I194" s="77" t="s">
        <v>4800</v>
      </c>
      <c r="L194" s="3">
        <f>VLOOKUP(C194,Securities!A:D,4,FALSE)</f>
        <v>1</v>
      </c>
      <c r="M194" s="3" t="str">
        <f>VLOOKUP(C194,Securities!A:B,2,FALSE)</f>
        <v>GILD US Equity</v>
      </c>
      <c r="O194" s="3">
        <f t="shared" ref="O194:O257" si="3">SUMIFS(E:E,C:C,C194,B:B,B194)</f>
        <v>460</v>
      </c>
    </row>
    <row r="195" spans="1:15" x14ac:dyDescent="0.25">
      <c r="A195" s="79">
        <v>43053</v>
      </c>
      <c r="B195" s="80" t="s">
        <v>4972</v>
      </c>
      <c r="C195" s="80" t="s">
        <v>4973</v>
      </c>
      <c r="D195" s="80" t="s">
        <v>23</v>
      </c>
      <c r="E195" s="81">
        <v>28930</v>
      </c>
      <c r="F195" s="80" t="s">
        <v>4974</v>
      </c>
      <c r="G195" s="81">
        <v>101.21</v>
      </c>
      <c r="H195" s="81">
        <v>101.21</v>
      </c>
      <c r="I195" s="80" t="s">
        <v>4800</v>
      </c>
      <c r="L195" s="3">
        <f>VLOOKUP(C195,Securities!A:D,4,FALSE)</f>
        <v>5</v>
      </c>
      <c r="M195" s="3" t="str">
        <f>VLOOKUP(C195,Securities!A:B,2,FALSE)</f>
        <v>RU000A0JV7K7 Corp</v>
      </c>
      <c r="O195" s="3">
        <f t="shared" si="3"/>
        <v>28930</v>
      </c>
    </row>
    <row r="196" spans="1:15" x14ac:dyDescent="0.25">
      <c r="A196" s="76">
        <v>43053</v>
      </c>
      <c r="B196" s="77" t="s">
        <v>4972</v>
      </c>
      <c r="C196" s="77" t="s">
        <v>4975</v>
      </c>
      <c r="D196" s="77" t="s">
        <v>939</v>
      </c>
      <c r="E196" s="78">
        <v>83500</v>
      </c>
      <c r="F196" s="77" t="s">
        <v>4974</v>
      </c>
      <c r="G196" s="78">
        <v>102.592215</v>
      </c>
      <c r="H196" s="78">
        <v>102.592215</v>
      </c>
      <c r="I196" s="77" t="s">
        <v>4800</v>
      </c>
      <c r="L196" s="3">
        <f>VLOOKUP(C196,Securities!A:D,4,FALSE)</f>
        <v>5</v>
      </c>
      <c r="M196" s="3" t="str">
        <f>VLOOKUP(C196,Securities!A:B,2,FALSE)</f>
        <v>RU000A0JX0J2 Corp</v>
      </c>
      <c r="O196" s="3">
        <f t="shared" si="3"/>
        <v>83500</v>
      </c>
    </row>
    <row r="197" spans="1:15" x14ac:dyDescent="0.25">
      <c r="A197" s="79">
        <v>43053</v>
      </c>
      <c r="B197" s="80" t="s">
        <v>4972</v>
      </c>
      <c r="C197" s="80" t="s">
        <v>4976</v>
      </c>
      <c r="D197" s="80" t="s">
        <v>4977</v>
      </c>
      <c r="E197" s="81">
        <v>500000</v>
      </c>
      <c r="F197" s="80" t="s">
        <v>4806</v>
      </c>
      <c r="G197" s="81">
        <v>105.4</v>
      </c>
      <c r="H197" s="81">
        <v>105.4</v>
      </c>
      <c r="I197" s="80" t="s">
        <v>4800</v>
      </c>
      <c r="L197" s="3">
        <f>VLOOKUP(C197,Securities!A:D,4,FALSE)</f>
        <v>5</v>
      </c>
      <c r="M197" s="3" t="str">
        <f>VLOOKUP(C197,Securities!A:B,2,FALSE)</f>
        <v>XS1379311761 Corp</v>
      </c>
      <c r="O197" s="3">
        <f t="shared" si="3"/>
        <v>500000</v>
      </c>
    </row>
    <row r="198" spans="1:15" x14ac:dyDescent="0.25">
      <c r="A198" s="76">
        <v>43053</v>
      </c>
      <c r="B198" s="77" t="s">
        <v>4972</v>
      </c>
      <c r="C198" s="77" t="s">
        <v>4866</v>
      </c>
      <c r="D198" s="77" t="s">
        <v>99</v>
      </c>
      <c r="E198" s="78">
        <v>221300</v>
      </c>
      <c r="F198" s="77" t="s">
        <v>4810</v>
      </c>
      <c r="G198" s="78">
        <v>92.340605999999994</v>
      </c>
      <c r="H198" s="78">
        <v>1.6327510000000001</v>
      </c>
      <c r="I198" s="77" t="s">
        <v>4800</v>
      </c>
      <c r="L198" s="3">
        <f>VLOOKUP(C198,Securities!A:D,4,FALSE)</f>
        <v>1</v>
      </c>
      <c r="M198" s="3" t="str">
        <f>VLOOKUP(C198,Securities!A:B,2,FALSE)</f>
        <v>ALRS RX Equity</v>
      </c>
      <c r="O198" s="3">
        <f t="shared" si="3"/>
        <v>221300</v>
      </c>
    </row>
    <row r="199" spans="1:15" x14ac:dyDescent="0.25">
      <c r="A199" s="79">
        <v>43053</v>
      </c>
      <c r="B199" s="80" t="s">
        <v>4972</v>
      </c>
      <c r="C199" s="80" t="s">
        <v>4805</v>
      </c>
      <c r="D199" s="80" t="s">
        <v>31</v>
      </c>
      <c r="E199" s="81">
        <v>560000</v>
      </c>
      <c r="F199" s="80" t="s">
        <v>4806</v>
      </c>
      <c r="G199" s="81">
        <v>177</v>
      </c>
      <c r="H199" s="81">
        <v>177</v>
      </c>
      <c r="I199" s="80" t="s">
        <v>4800</v>
      </c>
      <c r="L199" s="3">
        <f>VLOOKUP(C199,Securities!A:D,4,FALSE)</f>
        <v>5</v>
      </c>
      <c r="M199" s="3" t="str">
        <f>VLOOKUP(C199,Securities!A:B,2,FALSE)</f>
        <v>TT343269 Corp</v>
      </c>
      <c r="O199" s="3">
        <f t="shared" si="3"/>
        <v>560000</v>
      </c>
    </row>
    <row r="200" spans="1:15" x14ac:dyDescent="0.25">
      <c r="A200" s="76">
        <v>43053</v>
      </c>
      <c r="B200" s="77" t="s">
        <v>4972</v>
      </c>
      <c r="C200" s="77" t="s">
        <v>4978</v>
      </c>
      <c r="D200" s="77" t="s">
        <v>4979</v>
      </c>
      <c r="E200" s="78">
        <v>906000</v>
      </c>
      <c r="F200" s="77" t="s">
        <v>4806</v>
      </c>
      <c r="G200" s="78">
        <v>104.413</v>
      </c>
      <c r="H200" s="78">
        <v>104.413</v>
      </c>
      <c r="I200" s="77" t="s">
        <v>4800</v>
      </c>
      <c r="L200" s="3">
        <f>VLOOKUP(C200,Securities!A:D,4,FALSE)</f>
        <v>5</v>
      </c>
      <c r="M200" s="3" t="str">
        <f>VLOOKUP(C200,Securities!A:B,2,FALSE)</f>
        <v>XS0808638612 Corp</v>
      </c>
      <c r="O200" s="3">
        <f t="shared" si="3"/>
        <v>906000</v>
      </c>
    </row>
    <row r="201" spans="1:15" x14ac:dyDescent="0.25">
      <c r="A201" s="79">
        <v>43053</v>
      </c>
      <c r="B201" s="80" t="s">
        <v>4972</v>
      </c>
      <c r="C201" s="80" t="s">
        <v>4980</v>
      </c>
      <c r="D201" s="80" t="s">
        <v>4981</v>
      </c>
      <c r="E201" s="81">
        <v>1500000</v>
      </c>
      <c r="F201" s="80" t="s">
        <v>4806</v>
      </c>
      <c r="G201" s="81">
        <v>107</v>
      </c>
      <c r="H201" s="81">
        <v>107</v>
      </c>
      <c r="I201" s="80" t="s">
        <v>4800</v>
      </c>
      <c r="L201" s="3">
        <f>VLOOKUP(C201,Securities!A:D,4,FALSE)</f>
        <v>5</v>
      </c>
      <c r="M201" s="3" t="str">
        <f>VLOOKUP(C201,Securities!A:B,2,FALSE)</f>
        <v>XS0779213460 Corp</v>
      </c>
      <c r="O201" s="3">
        <f t="shared" si="3"/>
        <v>1500000</v>
      </c>
    </row>
    <row r="202" spans="1:15" x14ac:dyDescent="0.25">
      <c r="A202" s="76">
        <v>43053</v>
      </c>
      <c r="B202" s="77" t="s">
        <v>4972</v>
      </c>
      <c r="C202" s="77" t="s">
        <v>4807</v>
      </c>
      <c r="D202" s="77" t="s">
        <v>4808</v>
      </c>
      <c r="E202" s="78">
        <v>1000000</v>
      </c>
      <c r="F202" s="77" t="s">
        <v>4806</v>
      </c>
      <c r="G202" s="78">
        <v>103.25</v>
      </c>
      <c r="H202" s="78">
        <v>103.25</v>
      </c>
      <c r="I202" s="77" t="s">
        <v>4800</v>
      </c>
      <c r="L202" s="3">
        <f>VLOOKUP(C202,Securities!A:D,4,FALSE)</f>
        <v>5</v>
      </c>
      <c r="M202" s="3" t="str">
        <f>VLOOKUP(C202,Securities!A:B,2,FALSE)</f>
        <v>XS0975320879 Corp</v>
      </c>
      <c r="O202" s="3">
        <f t="shared" si="3"/>
        <v>1000000</v>
      </c>
    </row>
    <row r="203" spans="1:15" x14ac:dyDescent="0.25">
      <c r="A203" s="79">
        <v>43053</v>
      </c>
      <c r="B203" s="80" t="s">
        <v>4972</v>
      </c>
      <c r="C203" s="80" t="s">
        <v>4905</v>
      </c>
      <c r="D203" s="80" t="s">
        <v>220</v>
      </c>
      <c r="E203" s="81">
        <v>2020</v>
      </c>
      <c r="F203" s="80" t="s">
        <v>4810</v>
      </c>
      <c r="G203" s="81">
        <v>8412.6921309999998</v>
      </c>
      <c r="H203" s="81">
        <v>148.75187600000001</v>
      </c>
      <c r="I203" s="80" t="s">
        <v>4800</v>
      </c>
      <c r="L203" s="3">
        <f>VLOOKUP(C203,Securities!A:D,4,FALSE)</f>
        <v>1</v>
      </c>
      <c r="M203" s="3" t="str">
        <f>VLOOKUP(C203,Securities!A:B,2,FALSE)</f>
        <v>GMKN RX Equity</v>
      </c>
      <c r="O203" s="3">
        <f t="shared" si="3"/>
        <v>2020</v>
      </c>
    </row>
    <row r="204" spans="1:15" x14ac:dyDescent="0.25">
      <c r="A204" s="76">
        <v>43053</v>
      </c>
      <c r="B204" s="77" t="s">
        <v>4972</v>
      </c>
      <c r="C204" s="77" t="s">
        <v>4963</v>
      </c>
      <c r="D204" s="77" t="s">
        <v>4964</v>
      </c>
      <c r="E204" s="78">
        <v>295000</v>
      </c>
      <c r="F204" s="77" t="s">
        <v>4806</v>
      </c>
      <c r="G204" s="78">
        <v>101</v>
      </c>
      <c r="H204" s="78">
        <v>101</v>
      </c>
      <c r="I204" s="77" t="s">
        <v>4800</v>
      </c>
      <c r="L204" s="3">
        <f>VLOOKUP(C204,Securities!A:D,4,FALSE)</f>
        <v>5</v>
      </c>
      <c r="M204" s="3" t="str">
        <f>VLOOKUP(C204,Securities!A:B,2,FALSE)</f>
        <v>XS1439838548 Corp</v>
      </c>
      <c r="O204" s="3">
        <f t="shared" si="3"/>
        <v>295000</v>
      </c>
    </row>
    <row r="205" spans="1:15" x14ac:dyDescent="0.25">
      <c r="A205" s="79">
        <v>43053</v>
      </c>
      <c r="B205" s="80" t="s">
        <v>4972</v>
      </c>
      <c r="C205" s="80" t="s">
        <v>4811</v>
      </c>
      <c r="D205" s="80" t="s">
        <v>4659</v>
      </c>
      <c r="E205" s="81">
        <v>101000</v>
      </c>
      <c r="F205" s="80" t="s">
        <v>4799</v>
      </c>
      <c r="G205" s="81">
        <v>118.76702400000001</v>
      </c>
      <c r="H205" s="81">
        <v>1.9845630000000001</v>
      </c>
      <c r="I205" s="80" t="s">
        <v>4800</v>
      </c>
      <c r="L205" s="3">
        <f>VLOOKUP(C205,Securities!A:D,4,FALSE)</f>
        <v>1</v>
      </c>
      <c r="M205" s="3" t="str">
        <f>VLOOKUP(C205,Securities!A:B,2,FALSE)</f>
        <v>HGM LN Equity</v>
      </c>
      <c r="O205" s="3">
        <f t="shared" si="3"/>
        <v>101000</v>
      </c>
    </row>
    <row r="206" spans="1:15" x14ac:dyDescent="0.25">
      <c r="A206" s="76">
        <v>43053</v>
      </c>
      <c r="B206" s="77" t="s">
        <v>4972</v>
      </c>
      <c r="C206" s="77" t="s">
        <v>4861</v>
      </c>
      <c r="D206" s="77" t="s">
        <v>4862</v>
      </c>
      <c r="E206" s="78">
        <v>550000</v>
      </c>
      <c r="F206" s="77" t="s">
        <v>4806</v>
      </c>
      <c r="G206" s="78">
        <v>100.75</v>
      </c>
      <c r="H206" s="78">
        <v>100.75</v>
      </c>
      <c r="I206" s="77" t="s">
        <v>4800</v>
      </c>
      <c r="L206" s="3">
        <f>VLOOKUP(C206,Securities!A:D,4,FALSE)</f>
        <v>5</v>
      </c>
      <c r="M206" s="3" t="str">
        <f>VLOOKUP(C206,Securities!A:B,2,FALSE)</f>
        <v>USA29866AA70 Corp</v>
      </c>
      <c r="O206" s="3">
        <f t="shared" si="3"/>
        <v>550000</v>
      </c>
    </row>
    <row r="207" spans="1:15" x14ac:dyDescent="0.25">
      <c r="A207" s="79">
        <v>43053</v>
      </c>
      <c r="B207" s="80" t="s">
        <v>4972</v>
      </c>
      <c r="C207" s="80" t="s">
        <v>4847</v>
      </c>
      <c r="D207" s="80" t="s">
        <v>369</v>
      </c>
      <c r="E207" s="81">
        <v>6850</v>
      </c>
      <c r="F207" s="80" t="s">
        <v>4810</v>
      </c>
      <c r="G207" s="81">
        <v>2810.408128</v>
      </c>
      <c r="H207" s="81">
        <v>49.693185999999997</v>
      </c>
      <c r="I207" s="80" t="s">
        <v>4800</v>
      </c>
      <c r="L207" s="3">
        <f>VLOOKUP(C207,Securities!A:D,4,FALSE)</f>
        <v>1</v>
      </c>
      <c r="M207" s="3" t="str">
        <f>VLOOKUP(C207,Securities!A:B,2,FALSE)</f>
        <v>LKOH RX Equity</v>
      </c>
      <c r="O207" s="3">
        <f t="shared" si="3"/>
        <v>6850</v>
      </c>
    </row>
    <row r="208" spans="1:15" x14ac:dyDescent="0.25">
      <c r="A208" s="76">
        <v>43053</v>
      </c>
      <c r="B208" s="77" t="s">
        <v>4972</v>
      </c>
      <c r="C208" s="77" t="s">
        <v>4819</v>
      </c>
      <c r="D208" s="77" t="s">
        <v>4820</v>
      </c>
      <c r="E208" s="78">
        <v>400000</v>
      </c>
      <c r="F208" s="77" t="s">
        <v>4806</v>
      </c>
      <c r="G208" s="78">
        <v>103.95</v>
      </c>
      <c r="H208" s="78">
        <v>103.95</v>
      </c>
      <c r="I208" s="77" t="s">
        <v>4800</v>
      </c>
      <c r="L208" s="3">
        <f>VLOOKUP(C208,Securities!A:D,4,FALSE)</f>
        <v>5</v>
      </c>
      <c r="M208" s="3" t="str">
        <f>VLOOKUP(C208,Securities!A:B,2,FALSE)</f>
        <v>XS0776121062 Corp</v>
      </c>
      <c r="O208" s="3">
        <f t="shared" si="3"/>
        <v>400000</v>
      </c>
    </row>
    <row r="209" spans="1:15" x14ac:dyDescent="0.25">
      <c r="A209" s="79">
        <v>43053</v>
      </c>
      <c r="B209" s="80" t="s">
        <v>4972</v>
      </c>
      <c r="C209" s="80" t="s">
        <v>4982</v>
      </c>
      <c r="D209" s="80" t="s">
        <v>4983</v>
      </c>
      <c r="E209" s="81">
        <v>32000</v>
      </c>
      <c r="F209" s="80" t="s">
        <v>4814</v>
      </c>
      <c r="G209" s="81">
        <v>100.3</v>
      </c>
      <c r="H209" s="81">
        <v>100.3</v>
      </c>
      <c r="I209" s="80" t="s">
        <v>4800</v>
      </c>
      <c r="L209" s="3">
        <f>VLOOKUP(C209,Securities!A:D,4,FALSE)</f>
        <v>5</v>
      </c>
      <c r="M209" s="3" t="str">
        <f>VLOOKUP(C209,Securities!A:B,2,FALSE)</f>
        <v>RU000A0JXVY3 Corp</v>
      </c>
      <c r="O209" s="3">
        <f t="shared" si="3"/>
        <v>32000</v>
      </c>
    </row>
    <row r="210" spans="1:15" x14ac:dyDescent="0.25">
      <c r="A210" s="76">
        <v>43053</v>
      </c>
      <c r="B210" s="77" t="s">
        <v>4972</v>
      </c>
      <c r="C210" s="77" t="s">
        <v>4984</v>
      </c>
      <c r="D210" s="77" t="s">
        <v>4985</v>
      </c>
      <c r="E210" s="78">
        <v>1500000</v>
      </c>
      <c r="F210" s="77" t="s">
        <v>4806</v>
      </c>
      <c r="G210" s="78">
        <v>100.9</v>
      </c>
      <c r="H210" s="78">
        <v>100.9</v>
      </c>
      <c r="I210" s="77" t="s">
        <v>4800</v>
      </c>
      <c r="L210" s="3">
        <f>VLOOKUP(C210,Securities!A:D,4,FALSE)</f>
        <v>5</v>
      </c>
      <c r="M210" s="3" t="str">
        <f>VLOOKUP(C210,Securities!A:B,2,FALSE)</f>
        <v>XS1506500039 Corp</v>
      </c>
      <c r="O210" s="3">
        <f t="shared" si="3"/>
        <v>1500000</v>
      </c>
    </row>
    <row r="211" spans="1:15" x14ac:dyDescent="0.25">
      <c r="A211" s="79">
        <v>43053</v>
      </c>
      <c r="B211" s="80" t="s">
        <v>4972</v>
      </c>
      <c r="C211" s="80" t="s">
        <v>4967</v>
      </c>
      <c r="D211" s="80" t="s">
        <v>4968</v>
      </c>
      <c r="E211" s="81">
        <v>253000</v>
      </c>
      <c r="F211" s="80" t="s">
        <v>4806</v>
      </c>
      <c r="G211" s="81">
        <v>116</v>
      </c>
      <c r="H211" s="81">
        <v>116</v>
      </c>
      <c r="I211" s="80" t="s">
        <v>4800</v>
      </c>
      <c r="L211" s="3">
        <f>VLOOKUP(C211,Securities!A:D,4,FALSE)</f>
        <v>5</v>
      </c>
      <c r="M211" s="3" t="str">
        <f>VLOOKUP(C211,Securities!A:B,2,FALSE)</f>
        <v>XS0979891925 Corp</v>
      </c>
      <c r="O211" s="3">
        <f t="shared" si="3"/>
        <v>253000</v>
      </c>
    </row>
    <row r="212" spans="1:15" x14ac:dyDescent="0.25">
      <c r="A212" s="76">
        <v>43053</v>
      </c>
      <c r="B212" s="77" t="s">
        <v>4972</v>
      </c>
      <c r="C212" s="77" t="s">
        <v>4851</v>
      </c>
      <c r="D212" s="77" t="s">
        <v>4744</v>
      </c>
      <c r="E212" s="78">
        <v>1000000</v>
      </c>
      <c r="F212" s="77" t="s">
        <v>4806</v>
      </c>
      <c r="G212" s="78">
        <v>99.75</v>
      </c>
      <c r="H212" s="78">
        <v>99.75</v>
      </c>
      <c r="I212" s="77" t="s">
        <v>4800</v>
      </c>
      <c r="L212" s="3">
        <f>VLOOKUP(C212,Securities!A:D,4,FALSE)</f>
        <v>5</v>
      </c>
      <c r="M212" s="3" t="str">
        <f>VLOOKUP(C212,Securities!A:B,2,FALSE)</f>
        <v>XS1032750165 Corp</v>
      </c>
      <c r="O212" s="3">
        <f t="shared" si="3"/>
        <v>1000000</v>
      </c>
    </row>
    <row r="213" spans="1:15" x14ac:dyDescent="0.25">
      <c r="A213" s="79">
        <v>43053</v>
      </c>
      <c r="B213" s="80" t="s">
        <v>4972</v>
      </c>
      <c r="C213" s="80" t="s">
        <v>4854</v>
      </c>
      <c r="D213" s="80" t="s">
        <v>4855</v>
      </c>
      <c r="E213" s="81">
        <v>2546000</v>
      </c>
      <c r="F213" s="80" t="s">
        <v>4806</v>
      </c>
      <c r="G213" s="81">
        <v>104.053613</v>
      </c>
      <c r="H213" s="81">
        <v>104.053613</v>
      </c>
      <c r="I213" s="80" t="s">
        <v>4800</v>
      </c>
      <c r="L213" s="3">
        <f>VLOOKUP(C213,Securities!A:D,4,FALSE)</f>
        <v>5</v>
      </c>
      <c r="M213" s="3" t="str">
        <f>VLOOKUP(C213,Securities!A:B,2,FALSE)</f>
        <v>XS0911599701 Corp</v>
      </c>
      <c r="O213" s="3">
        <f t="shared" si="3"/>
        <v>2546000</v>
      </c>
    </row>
    <row r="214" spans="1:15" x14ac:dyDescent="0.25">
      <c r="A214" s="76">
        <v>43053</v>
      </c>
      <c r="B214" s="77" t="s">
        <v>4972</v>
      </c>
      <c r="C214" s="77" t="s">
        <v>4986</v>
      </c>
      <c r="D214" s="77" t="s">
        <v>4987</v>
      </c>
      <c r="E214" s="78">
        <v>286000</v>
      </c>
      <c r="F214" s="77" t="s">
        <v>4806</v>
      </c>
      <c r="G214" s="78">
        <v>104.75</v>
      </c>
      <c r="H214" s="78">
        <v>104.75</v>
      </c>
      <c r="I214" s="77" t="s">
        <v>4800</v>
      </c>
      <c r="L214" s="3">
        <f>VLOOKUP(C214,Securities!A:D,4,FALSE)</f>
        <v>5</v>
      </c>
      <c r="M214" s="3" t="str">
        <f>VLOOKUP(C214,Securities!A:B,2,FALSE)</f>
        <v>USG9328DAM23 Corp</v>
      </c>
      <c r="O214" s="3">
        <f t="shared" si="3"/>
        <v>286000</v>
      </c>
    </row>
    <row r="215" spans="1:15" x14ac:dyDescent="0.25">
      <c r="A215" s="79">
        <v>43053</v>
      </c>
      <c r="B215" s="80" t="s">
        <v>4988</v>
      </c>
      <c r="C215" s="80" t="s">
        <v>4935</v>
      </c>
      <c r="D215" s="80" t="s">
        <v>4936</v>
      </c>
      <c r="E215" s="81">
        <v>3315</v>
      </c>
      <c r="F215" s="80" t="s">
        <v>4799</v>
      </c>
      <c r="G215" s="81">
        <v>1025.8759419999999</v>
      </c>
      <c r="H215" s="81">
        <v>17.944493999999999</v>
      </c>
      <c r="I215" s="80" t="s">
        <v>4800</v>
      </c>
      <c r="L215" s="3">
        <f>VLOOKUP(C215,Securities!A:D,4,FALSE)</f>
        <v>1</v>
      </c>
      <c r="M215" s="3" t="str">
        <f>VLOOKUP(C215,Securities!A:B,2,FALSE)</f>
        <v>AD NA Equity</v>
      </c>
      <c r="O215" s="3">
        <f t="shared" si="3"/>
        <v>3315</v>
      </c>
    </row>
    <row r="216" spans="1:15" x14ac:dyDescent="0.25">
      <c r="A216" s="76">
        <v>43053</v>
      </c>
      <c r="B216" s="77" t="s">
        <v>4988</v>
      </c>
      <c r="C216" s="77" t="s">
        <v>4812</v>
      </c>
      <c r="D216" s="77" t="s">
        <v>4675</v>
      </c>
      <c r="E216" s="78">
        <v>5000</v>
      </c>
      <c r="F216" s="77" t="s">
        <v>4804</v>
      </c>
      <c r="G216" s="78">
        <v>586.221948</v>
      </c>
      <c r="H216" s="78">
        <v>10.09</v>
      </c>
      <c r="I216" s="77" t="s">
        <v>4800</v>
      </c>
      <c r="L216" s="3">
        <f>VLOOKUP(C216,Securities!A:D,4,FALSE)</f>
        <v>1</v>
      </c>
      <c r="M216" s="3" t="str">
        <f>VLOOKUP(C216,Securities!A:B,2,FALSE)</f>
        <v>KMG LI Equity</v>
      </c>
      <c r="O216" s="3">
        <f t="shared" si="3"/>
        <v>5000</v>
      </c>
    </row>
    <row r="217" spans="1:15" x14ac:dyDescent="0.25">
      <c r="A217" s="79">
        <v>43053</v>
      </c>
      <c r="B217" s="80" t="s">
        <v>4988</v>
      </c>
      <c r="C217" s="80" t="s">
        <v>4816</v>
      </c>
      <c r="D217" s="80" t="s">
        <v>4817</v>
      </c>
      <c r="E217" s="81">
        <v>2360</v>
      </c>
      <c r="F217" s="80" t="s">
        <v>4799</v>
      </c>
      <c r="G217" s="81">
        <v>1250.6499240000001</v>
      </c>
      <c r="H217" s="81">
        <v>21.150423</v>
      </c>
      <c r="I217" s="80" t="s">
        <v>4800</v>
      </c>
      <c r="L217" s="3">
        <f>VLOOKUP(C217,Securities!A:D,4,FALSE)</f>
        <v>1</v>
      </c>
      <c r="M217" s="3" t="str">
        <f>VLOOKUP(C217,Securities!A:B,2,FALSE)</f>
        <v>M US Equity</v>
      </c>
      <c r="O217" s="3">
        <f t="shared" si="3"/>
        <v>2360</v>
      </c>
    </row>
    <row r="218" spans="1:15" x14ac:dyDescent="0.25">
      <c r="A218" s="76">
        <v>43053</v>
      </c>
      <c r="B218" s="77" t="s">
        <v>4988</v>
      </c>
      <c r="C218" s="77" t="s">
        <v>4848</v>
      </c>
      <c r="D218" s="77" t="s">
        <v>511</v>
      </c>
      <c r="E218" s="78">
        <v>4540</v>
      </c>
      <c r="F218" s="77" t="s">
        <v>4810</v>
      </c>
      <c r="G218" s="78">
        <v>634.91632900000002</v>
      </c>
      <c r="H218" s="78">
        <v>10.928122999999999</v>
      </c>
      <c r="I218" s="77" t="s">
        <v>4800</v>
      </c>
      <c r="L218" s="3">
        <f>VLOOKUP(C218,Securities!A:D,4,FALSE)</f>
        <v>1</v>
      </c>
      <c r="M218" s="3" t="str">
        <f>VLOOKUP(C218,Securities!A:B,2,FALSE)</f>
        <v>NVTK RX Equity</v>
      </c>
      <c r="O218" s="3">
        <f t="shared" si="3"/>
        <v>4540</v>
      </c>
    </row>
    <row r="219" spans="1:15" x14ac:dyDescent="0.25">
      <c r="A219" s="79">
        <v>43053</v>
      </c>
      <c r="B219" s="80" t="s">
        <v>4989</v>
      </c>
      <c r="C219" s="80" t="s">
        <v>4811</v>
      </c>
      <c r="D219" s="80" t="s">
        <v>4659</v>
      </c>
      <c r="E219" s="81">
        <v>8560</v>
      </c>
      <c r="F219" s="80" t="s">
        <v>4799</v>
      </c>
      <c r="G219" s="81">
        <v>135.22108399999999</v>
      </c>
      <c r="H219" s="81">
        <v>2.3275169999999998</v>
      </c>
      <c r="I219" s="80" t="s">
        <v>4800</v>
      </c>
      <c r="L219" s="3">
        <f>VLOOKUP(C219,Securities!A:D,4,FALSE)</f>
        <v>1</v>
      </c>
      <c r="M219" s="3" t="str">
        <f>VLOOKUP(C219,Securities!A:B,2,FALSE)</f>
        <v>HGM LN Equity</v>
      </c>
      <c r="O219" s="3">
        <f t="shared" si="3"/>
        <v>8560</v>
      </c>
    </row>
    <row r="220" spans="1:15" x14ac:dyDescent="0.25">
      <c r="A220" s="76">
        <v>43053</v>
      </c>
      <c r="B220" s="77" t="s">
        <v>4990</v>
      </c>
      <c r="C220" s="77" t="s">
        <v>4973</v>
      </c>
      <c r="D220" s="77" t="s">
        <v>23</v>
      </c>
      <c r="E220" s="78">
        <v>14850</v>
      </c>
      <c r="F220" s="77" t="s">
        <v>4974</v>
      </c>
      <c r="G220" s="78">
        <v>101.211157</v>
      </c>
      <c r="H220" s="78">
        <v>101.211157</v>
      </c>
      <c r="I220" s="77" t="s">
        <v>4800</v>
      </c>
      <c r="L220" s="3">
        <f>VLOOKUP(C220,Securities!A:D,4,FALSE)</f>
        <v>5</v>
      </c>
      <c r="M220" s="3" t="str">
        <f>VLOOKUP(C220,Securities!A:B,2,FALSE)</f>
        <v>RU000A0JV7K7 Corp</v>
      </c>
      <c r="O220" s="3">
        <f t="shared" si="3"/>
        <v>14850</v>
      </c>
    </row>
    <row r="221" spans="1:15" x14ac:dyDescent="0.25">
      <c r="A221" s="79">
        <v>43053</v>
      </c>
      <c r="B221" s="80" t="s">
        <v>4991</v>
      </c>
      <c r="C221" s="80" t="s">
        <v>4973</v>
      </c>
      <c r="D221" s="80" t="s">
        <v>23</v>
      </c>
      <c r="E221" s="81">
        <v>2340</v>
      </c>
      <c r="F221" s="80" t="s">
        <v>4974</v>
      </c>
      <c r="G221" s="81">
        <v>100.89</v>
      </c>
      <c r="H221" s="81">
        <v>100.89</v>
      </c>
      <c r="I221" s="80" t="s">
        <v>4800</v>
      </c>
      <c r="L221" s="3">
        <f>VLOOKUP(C221,Securities!A:D,4,FALSE)</f>
        <v>5</v>
      </c>
      <c r="M221" s="3" t="str">
        <f>VLOOKUP(C221,Securities!A:B,2,FALSE)</f>
        <v>RU000A0JV7K7 Corp</v>
      </c>
      <c r="O221" s="3">
        <f t="shared" si="3"/>
        <v>2340</v>
      </c>
    </row>
    <row r="222" spans="1:15" x14ac:dyDescent="0.25">
      <c r="A222" s="76">
        <v>43053</v>
      </c>
      <c r="B222" s="77" t="s">
        <v>4991</v>
      </c>
      <c r="C222" s="77" t="s">
        <v>4801</v>
      </c>
      <c r="D222" s="77" t="s">
        <v>4802</v>
      </c>
      <c r="E222" s="78">
        <v>290</v>
      </c>
      <c r="F222" s="77" t="s">
        <v>4799</v>
      </c>
      <c r="G222" s="78">
        <v>10254.159793000001</v>
      </c>
      <c r="H222" s="78">
        <v>173.05810099999999</v>
      </c>
      <c r="I222" s="77" t="s">
        <v>4823</v>
      </c>
      <c r="L222" s="3">
        <f>VLOOKUP(C222,Securities!A:D,4,FALSE)</f>
        <v>1</v>
      </c>
      <c r="M222" s="3" t="str">
        <f>VLOOKUP(C222,Securities!A:B,2,FALSE)</f>
        <v>AGN US Equity</v>
      </c>
      <c r="O222" s="3">
        <f t="shared" si="3"/>
        <v>290</v>
      </c>
    </row>
    <row r="223" spans="1:15" x14ac:dyDescent="0.25">
      <c r="A223" s="79">
        <v>43053</v>
      </c>
      <c r="B223" s="80" t="s">
        <v>4991</v>
      </c>
      <c r="C223" s="80" t="s">
        <v>4866</v>
      </c>
      <c r="D223" s="80" t="s">
        <v>99</v>
      </c>
      <c r="E223" s="81">
        <v>42000</v>
      </c>
      <c r="F223" s="80" t="s">
        <v>4810</v>
      </c>
      <c r="G223" s="81">
        <v>85.499799999999993</v>
      </c>
      <c r="H223" s="81">
        <v>1.423494</v>
      </c>
      <c r="I223" s="80" t="s">
        <v>4800</v>
      </c>
      <c r="L223" s="3">
        <f>VLOOKUP(C223,Securities!A:D,4,FALSE)</f>
        <v>1</v>
      </c>
      <c r="M223" s="3" t="str">
        <f>VLOOKUP(C223,Securities!A:B,2,FALSE)</f>
        <v>ALRS RX Equity</v>
      </c>
      <c r="O223" s="3">
        <f t="shared" si="3"/>
        <v>42000</v>
      </c>
    </row>
    <row r="224" spans="1:15" x14ac:dyDescent="0.25">
      <c r="A224" s="76">
        <v>43053</v>
      </c>
      <c r="B224" s="77" t="s">
        <v>4991</v>
      </c>
      <c r="C224" s="77" t="s">
        <v>4992</v>
      </c>
      <c r="D224" s="77" t="s">
        <v>4993</v>
      </c>
      <c r="E224" s="78">
        <v>1065</v>
      </c>
      <c r="F224" s="77" t="s">
        <v>4799</v>
      </c>
      <c r="G224" s="78">
        <v>3685.305758</v>
      </c>
      <c r="H224" s="78">
        <v>64.054843000000005</v>
      </c>
      <c r="I224" s="77" t="s">
        <v>4800</v>
      </c>
      <c r="L224" s="3">
        <f>VLOOKUP(C224,Securities!A:D,4,FALSE)</f>
        <v>1</v>
      </c>
      <c r="M224" s="3" t="str">
        <f>VLOOKUP(C224,Securities!A:B,2,FALSE)</f>
        <v>BATS LN Equity</v>
      </c>
      <c r="O224" s="3">
        <f t="shared" si="3"/>
        <v>1065</v>
      </c>
    </row>
    <row r="225" spans="1:15" x14ac:dyDescent="0.25">
      <c r="A225" s="79">
        <v>43053</v>
      </c>
      <c r="B225" s="80" t="s">
        <v>4991</v>
      </c>
      <c r="C225" s="80" t="s">
        <v>4930</v>
      </c>
      <c r="D225" s="80" t="s">
        <v>4931</v>
      </c>
      <c r="E225" s="81">
        <v>300000</v>
      </c>
      <c r="F225" s="80" t="s">
        <v>4806</v>
      </c>
      <c r="G225" s="81">
        <v>103.25</v>
      </c>
      <c r="H225" s="81">
        <v>103.25</v>
      </c>
      <c r="I225" s="80" t="s">
        <v>4800</v>
      </c>
      <c r="L225" s="3">
        <f>VLOOKUP(C225,Securities!A:D,4,FALSE)</f>
        <v>5</v>
      </c>
      <c r="M225" s="3" t="str">
        <f>VLOOKUP(C225,Securities!A:B,2,FALSE)</f>
        <v>EJ634925 Corp</v>
      </c>
      <c r="O225" s="3">
        <f t="shared" si="3"/>
        <v>300000</v>
      </c>
    </row>
    <row r="226" spans="1:15" x14ac:dyDescent="0.25">
      <c r="A226" s="76">
        <v>43053</v>
      </c>
      <c r="B226" s="77" t="s">
        <v>4991</v>
      </c>
      <c r="C226" s="77" t="s">
        <v>4805</v>
      </c>
      <c r="D226" s="77" t="s">
        <v>31</v>
      </c>
      <c r="E226" s="78">
        <v>200000</v>
      </c>
      <c r="F226" s="77" t="s">
        <v>4806</v>
      </c>
      <c r="G226" s="78">
        <v>176.25</v>
      </c>
      <c r="H226" s="78">
        <v>176.25</v>
      </c>
      <c r="I226" s="77" t="s">
        <v>4800</v>
      </c>
      <c r="L226" s="3">
        <f>VLOOKUP(C226,Securities!A:D,4,FALSE)</f>
        <v>5</v>
      </c>
      <c r="M226" s="3" t="str">
        <f>VLOOKUP(C226,Securities!A:B,2,FALSE)</f>
        <v>TT343269 Corp</v>
      </c>
      <c r="O226" s="3">
        <f t="shared" si="3"/>
        <v>200000</v>
      </c>
    </row>
    <row r="227" spans="1:15" x14ac:dyDescent="0.25">
      <c r="A227" s="79">
        <v>43053</v>
      </c>
      <c r="B227" s="80" t="s">
        <v>4991</v>
      </c>
      <c r="C227" s="80" t="s">
        <v>4882</v>
      </c>
      <c r="D227" s="80" t="s">
        <v>4883</v>
      </c>
      <c r="E227" s="81">
        <v>300000</v>
      </c>
      <c r="F227" s="80" t="s">
        <v>4806</v>
      </c>
      <c r="G227" s="81">
        <v>106.9</v>
      </c>
      <c r="H227" s="81">
        <v>106.9</v>
      </c>
      <c r="I227" s="80" t="s">
        <v>4800</v>
      </c>
      <c r="L227" s="3">
        <f>VLOOKUP(C227,Securities!A:D,4,FALSE)</f>
        <v>5</v>
      </c>
      <c r="M227" s="3" t="str">
        <f>VLOOKUP(C227,Securities!A:B,2,FALSE)</f>
        <v>XS1405775377 Corp</v>
      </c>
      <c r="O227" s="3">
        <f t="shared" si="3"/>
        <v>300000</v>
      </c>
    </row>
    <row r="228" spans="1:15" x14ac:dyDescent="0.25">
      <c r="A228" s="76">
        <v>43053</v>
      </c>
      <c r="B228" s="77" t="s">
        <v>4991</v>
      </c>
      <c r="C228" s="77" t="s">
        <v>4899</v>
      </c>
      <c r="D228" s="77" t="s">
        <v>4900</v>
      </c>
      <c r="E228" s="78">
        <v>18000</v>
      </c>
      <c r="F228" s="77" t="s">
        <v>4799</v>
      </c>
      <c r="G228" s="78">
        <v>194.64650800000001</v>
      </c>
      <c r="H228" s="78">
        <v>3.2040410000000001</v>
      </c>
      <c r="I228" s="77" t="s">
        <v>4800</v>
      </c>
      <c r="L228" s="3">
        <f>VLOOKUP(C228,Securities!A:D,4,FALSE)</f>
        <v>1</v>
      </c>
      <c r="M228" s="3" t="str">
        <f>VLOOKUP(C228,Securities!A:B,2,FALSE)</f>
        <v>EVR LN Equity</v>
      </c>
      <c r="O228" s="3">
        <f t="shared" si="3"/>
        <v>18000</v>
      </c>
    </row>
    <row r="229" spans="1:15" x14ac:dyDescent="0.25">
      <c r="A229" s="79">
        <v>43053</v>
      </c>
      <c r="B229" s="80" t="s">
        <v>4991</v>
      </c>
      <c r="C229" s="80" t="s">
        <v>4901</v>
      </c>
      <c r="D229" s="80" t="s">
        <v>4902</v>
      </c>
      <c r="E229" s="81">
        <v>1480</v>
      </c>
      <c r="F229" s="80" t="s">
        <v>4804</v>
      </c>
      <c r="G229" s="81">
        <v>2380.2750329999999</v>
      </c>
      <c r="H229" s="81">
        <v>39.773733999999997</v>
      </c>
      <c r="I229" s="80" t="s">
        <v>4800</v>
      </c>
      <c r="L229" s="3">
        <f>VLOOKUP(C229,Securities!A:D,4,FALSE)</f>
        <v>1</v>
      </c>
      <c r="M229" s="3" t="str">
        <f>VLOOKUP(C229,Securities!A:B,2,FALSE)</f>
        <v>FIVE LI Equity</v>
      </c>
      <c r="O229" s="3">
        <f t="shared" si="3"/>
        <v>1480</v>
      </c>
    </row>
    <row r="230" spans="1:15" x14ac:dyDescent="0.25">
      <c r="A230" s="76">
        <v>43053</v>
      </c>
      <c r="B230" s="77" t="s">
        <v>4991</v>
      </c>
      <c r="C230" s="77" t="s">
        <v>4903</v>
      </c>
      <c r="D230" s="77" t="s">
        <v>4904</v>
      </c>
      <c r="E230" s="78">
        <v>200000</v>
      </c>
      <c r="F230" s="77" t="s">
        <v>4806</v>
      </c>
      <c r="G230" s="78">
        <v>106.25</v>
      </c>
      <c r="H230" s="78">
        <v>106.25</v>
      </c>
      <c r="I230" s="77" t="s">
        <v>4800</v>
      </c>
      <c r="L230" s="3">
        <f>VLOOKUP(C230,Securities!A:D,4,FALSE)</f>
        <v>5</v>
      </c>
      <c r="M230" s="3" t="str">
        <f>VLOOKUP(C230,Securities!A:B,2,FALSE)</f>
        <v>XS1319813769 Corp</v>
      </c>
      <c r="O230" s="3">
        <f t="shared" si="3"/>
        <v>200000</v>
      </c>
    </row>
    <row r="231" spans="1:15" x14ac:dyDescent="0.25">
      <c r="A231" s="79">
        <v>43053</v>
      </c>
      <c r="B231" s="80" t="s">
        <v>4991</v>
      </c>
      <c r="C231" s="80" t="s">
        <v>4994</v>
      </c>
      <c r="D231" s="80" t="s">
        <v>4995</v>
      </c>
      <c r="E231" s="81">
        <v>2660</v>
      </c>
      <c r="F231" s="80" t="s">
        <v>4799</v>
      </c>
      <c r="G231" s="81">
        <v>1126.1446980000001</v>
      </c>
      <c r="H231" s="81">
        <v>19.640218999999998</v>
      </c>
      <c r="I231" s="80" t="s">
        <v>4800</v>
      </c>
      <c r="L231" s="3">
        <f>VLOOKUP(C231,Securities!A:D,4,FALSE)</f>
        <v>1</v>
      </c>
      <c r="M231" s="3" t="str">
        <f>VLOOKUP(C231,Securities!A:B,2,FALSE)</f>
        <v>GSK LN Equity</v>
      </c>
      <c r="O231" s="3">
        <f t="shared" si="3"/>
        <v>2660</v>
      </c>
    </row>
    <row r="232" spans="1:15" x14ac:dyDescent="0.25">
      <c r="A232" s="76">
        <v>43053</v>
      </c>
      <c r="B232" s="77" t="s">
        <v>4991</v>
      </c>
      <c r="C232" s="77" t="s">
        <v>4996</v>
      </c>
      <c r="D232" s="77" t="s">
        <v>4997</v>
      </c>
      <c r="E232" s="78">
        <v>200000</v>
      </c>
      <c r="F232" s="77" t="s">
        <v>4806</v>
      </c>
      <c r="G232" s="78">
        <v>101.9</v>
      </c>
      <c r="H232" s="78">
        <v>101.9</v>
      </c>
      <c r="I232" s="77" t="s">
        <v>4800</v>
      </c>
      <c r="L232" s="3">
        <f>VLOOKUP(C232,Securities!A:D,4,FALSE)</f>
        <v>5</v>
      </c>
      <c r="M232" s="3" t="str">
        <f>VLOOKUP(C232,Securities!A:B,2,FALSE)</f>
        <v>XS1577961516 Corp</v>
      </c>
      <c r="O232" s="3">
        <f t="shared" si="3"/>
        <v>200000</v>
      </c>
    </row>
    <row r="233" spans="1:15" x14ac:dyDescent="0.25">
      <c r="A233" s="79">
        <v>43053</v>
      </c>
      <c r="B233" s="80" t="s">
        <v>4991</v>
      </c>
      <c r="C233" s="80" t="s">
        <v>4963</v>
      </c>
      <c r="D233" s="80" t="s">
        <v>4964</v>
      </c>
      <c r="E233" s="81">
        <v>300000</v>
      </c>
      <c r="F233" s="80" t="s">
        <v>4806</v>
      </c>
      <c r="G233" s="81">
        <v>100.38</v>
      </c>
      <c r="H233" s="81">
        <v>100.38</v>
      </c>
      <c r="I233" s="80" t="s">
        <v>4800</v>
      </c>
      <c r="L233" s="3">
        <f>VLOOKUP(C233,Securities!A:D,4,FALSE)</f>
        <v>5</v>
      </c>
      <c r="M233" s="3" t="str">
        <f>VLOOKUP(C233,Securities!A:B,2,FALSE)</f>
        <v>XS1439838548 Corp</v>
      </c>
      <c r="O233" s="3">
        <f t="shared" si="3"/>
        <v>300000</v>
      </c>
    </row>
    <row r="234" spans="1:15" x14ac:dyDescent="0.25">
      <c r="A234" s="76">
        <v>43053</v>
      </c>
      <c r="B234" s="77" t="s">
        <v>4991</v>
      </c>
      <c r="C234" s="77" t="s">
        <v>4847</v>
      </c>
      <c r="D234" s="77" t="s">
        <v>369</v>
      </c>
      <c r="E234" s="78">
        <v>1250</v>
      </c>
      <c r="F234" s="77" t="s">
        <v>4810</v>
      </c>
      <c r="G234" s="78">
        <v>2879.5</v>
      </c>
      <c r="H234" s="78">
        <v>47.941088000000001</v>
      </c>
      <c r="I234" s="77" t="s">
        <v>4800</v>
      </c>
      <c r="L234" s="3">
        <f>VLOOKUP(C234,Securities!A:D,4,FALSE)</f>
        <v>1</v>
      </c>
      <c r="M234" s="3" t="str">
        <f>VLOOKUP(C234,Securities!A:B,2,FALSE)</f>
        <v>LKOH RX Equity</v>
      </c>
      <c r="O234" s="3">
        <f t="shared" si="3"/>
        <v>1250</v>
      </c>
    </row>
    <row r="235" spans="1:15" x14ac:dyDescent="0.25">
      <c r="A235" s="79">
        <v>43053</v>
      </c>
      <c r="B235" s="80" t="s">
        <v>4991</v>
      </c>
      <c r="C235" s="80" t="s">
        <v>4911</v>
      </c>
      <c r="D235" s="80" t="s">
        <v>405</v>
      </c>
      <c r="E235" s="81">
        <v>135700</v>
      </c>
      <c r="F235" s="80" t="s">
        <v>4810</v>
      </c>
      <c r="G235" s="81">
        <v>41.543374</v>
      </c>
      <c r="H235" s="81">
        <v>0.72452499999999997</v>
      </c>
      <c r="I235" s="80" t="s">
        <v>4800</v>
      </c>
      <c r="L235" s="3">
        <f>VLOOKUP(C235,Securities!A:D,4,FALSE)</f>
        <v>1</v>
      </c>
      <c r="M235" s="3" t="str">
        <f>VLOOKUP(C235,Securities!A:B,2,FALSE)</f>
        <v>MAGN RX Equity</v>
      </c>
      <c r="O235" s="3">
        <f t="shared" si="3"/>
        <v>135700</v>
      </c>
    </row>
    <row r="236" spans="1:15" x14ac:dyDescent="0.25">
      <c r="A236" s="76">
        <v>43053</v>
      </c>
      <c r="B236" s="77" t="s">
        <v>4991</v>
      </c>
      <c r="C236" s="77" t="s">
        <v>4863</v>
      </c>
      <c r="D236" s="77" t="s">
        <v>4864</v>
      </c>
      <c r="E236" s="78">
        <v>200000</v>
      </c>
      <c r="F236" s="77" t="s">
        <v>4806</v>
      </c>
      <c r="G236" s="78">
        <v>104</v>
      </c>
      <c r="H236" s="78">
        <v>104</v>
      </c>
      <c r="I236" s="77" t="s">
        <v>4800</v>
      </c>
      <c r="L236" s="3">
        <f>VLOOKUP(C236,Securities!A:D,4,FALSE)</f>
        <v>5</v>
      </c>
      <c r="M236" s="3" t="str">
        <f>VLOOKUP(C236,Securities!A:B,2,FALSE)</f>
        <v>USN54468AF52 Corp</v>
      </c>
      <c r="O236" s="3">
        <f t="shared" si="3"/>
        <v>200000</v>
      </c>
    </row>
    <row r="237" spans="1:15" x14ac:dyDescent="0.25">
      <c r="A237" s="79">
        <v>43053</v>
      </c>
      <c r="B237" s="80" t="s">
        <v>4991</v>
      </c>
      <c r="C237" s="80" t="s">
        <v>4998</v>
      </c>
      <c r="D237" s="80" t="s">
        <v>4999</v>
      </c>
      <c r="E237" s="81">
        <v>200000</v>
      </c>
      <c r="F237" s="80" t="s">
        <v>4806</v>
      </c>
      <c r="G237" s="81">
        <v>104.3</v>
      </c>
      <c r="H237" s="81">
        <v>104.3</v>
      </c>
      <c r="I237" s="80" t="s">
        <v>4800</v>
      </c>
      <c r="L237" s="3">
        <f>VLOOKUP(C237,Securities!A:D,4,FALSE)</f>
        <v>5</v>
      </c>
      <c r="M237" s="3" t="str">
        <f>VLOOKUP(C237,Securities!A:B,2,FALSE)</f>
        <v>XS1503116912 Corp</v>
      </c>
      <c r="O237" s="3">
        <f t="shared" si="3"/>
        <v>200000</v>
      </c>
    </row>
    <row r="238" spans="1:15" x14ac:dyDescent="0.25">
      <c r="A238" s="76">
        <v>43053</v>
      </c>
      <c r="B238" s="77" t="s">
        <v>4991</v>
      </c>
      <c r="C238" s="77" t="s">
        <v>4816</v>
      </c>
      <c r="D238" s="77" t="s">
        <v>4817</v>
      </c>
      <c r="E238" s="78">
        <v>2600</v>
      </c>
      <c r="F238" s="77" t="s">
        <v>4799</v>
      </c>
      <c r="G238" s="78">
        <v>1220.5934440000001</v>
      </c>
      <c r="H238" s="78">
        <v>20.998011000000002</v>
      </c>
      <c r="I238" s="77" t="s">
        <v>4800</v>
      </c>
      <c r="L238" s="3">
        <f>VLOOKUP(C238,Securities!A:D,4,FALSE)</f>
        <v>1</v>
      </c>
      <c r="M238" s="3" t="str">
        <f>VLOOKUP(C238,Securities!A:B,2,FALSE)</f>
        <v>M US Equity</v>
      </c>
      <c r="O238" s="3">
        <f t="shared" si="3"/>
        <v>2600</v>
      </c>
    </row>
    <row r="239" spans="1:15" x14ac:dyDescent="0.25">
      <c r="A239" s="79">
        <v>43053</v>
      </c>
      <c r="B239" s="80" t="s">
        <v>4991</v>
      </c>
      <c r="C239" s="80" t="s">
        <v>4848</v>
      </c>
      <c r="D239" s="80" t="s">
        <v>511</v>
      </c>
      <c r="E239" s="81">
        <v>6500</v>
      </c>
      <c r="F239" s="80" t="s">
        <v>4810</v>
      </c>
      <c r="G239" s="81">
        <v>620</v>
      </c>
      <c r="H239" s="81">
        <v>10.322443</v>
      </c>
      <c r="I239" s="80" t="s">
        <v>4800</v>
      </c>
      <c r="L239" s="3">
        <f>VLOOKUP(C239,Securities!A:D,4,FALSE)</f>
        <v>1</v>
      </c>
      <c r="M239" s="3" t="str">
        <f>VLOOKUP(C239,Securities!A:B,2,FALSE)</f>
        <v>NVTK RX Equity</v>
      </c>
      <c r="O239" s="3">
        <f t="shared" si="3"/>
        <v>6500</v>
      </c>
    </row>
    <row r="240" spans="1:15" x14ac:dyDescent="0.25">
      <c r="A240" s="76">
        <v>43053</v>
      </c>
      <c r="B240" s="77" t="s">
        <v>4991</v>
      </c>
      <c r="C240" s="77" t="s">
        <v>5000</v>
      </c>
      <c r="D240" s="77" t="s">
        <v>5001</v>
      </c>
      <c r="E240" s="78">
        <v>300000</v>
      </c>
      <c r="F240" s="77" t="s">
        <v>4806</v>
      </c>
      <c r="G240" s="78">
        <v>113.1</v>
      </c>
      <c r="H240" s="78">
        <v>113.1</v>
      </c>
      <c r="I240" s="77" t="s">
        <v>4800</v>
      </c>
      <c r="L240" s="3">
        <f>VLOOKUP(C240,Securities!A:D,4,FALSE)</f>
        <v>5</v>
      </c>
      <c r="M240" s="3" t="str">
        <f>VLOOKUP(C240,Securities!A:B,2,FALSE)</f>
        <v>US71647NAP42 Corp</v>
      </c>
      <c r="O240" s="3">
        <f t="shared" si="3"/>
        <v>300000</v>
      </c>
    </row>
    <row r="241" spans="1:15" x14ac:dyDescent="0.25">
      <c r="A241" s="79">
        <v>43053</v>
      </c>
      <c r="B241" s="80" t="s">
        <v>4991</v>
      </c>
      <c r="C241" s="80" t="s">
        <v>5002</v>
      </c>
      <c r="D241" s="80" t="s">
        <v>5003</v>
      </c>
      <c r="E241" s="81">
        <v>1440</v>
      </c>
      <c r="F241" s="80" t="s">
        <v>4799</v>
      </c>
      <c r="G241" s="81">
        <v>2718.9260760000002</v>
      </c>
      <c r="H241" s="81">
        <v>47.258054999999999</v>
      </c>
      <c r="I241" s="80" t="s">
        <v>4800</v>
      </c>
      <c r="L241" s="3">
        <f>VLOOKUP(C241,Securities!A:D,4,FALSE)</f>
        <v>1</v>
      </c>
      <c r="M241" s="3" t="str">
        <f>VLOOKUP(C241,Securities!A:B,2,FALSE)</f>
        <v>RIO LN Equity</v>
      </c>
      <c r="O241" s="3">
        <f t="shared" si="3"/>
        <v>1440</v>
      </c>
    </row>
    <row r="242" spans="1:15" x14ac:dyDescent="0.25">
      <c r="A242" s="76">
        <v>43053</v>
      </c>
      <c r="B242" s="77" t="s">
        <v>4991</v>
      </c>
      <c r="C242" s="77" t="s">
        <v>4967</v>
      </c>
      <c r="D242" s="77" t="s">
        <v>4968</v>
      </c>
      <c r="E242" s="78">
        <v>300000</v>
      </c>
      <c r="F242" s="77" t="s">
        <v>4806</v>
      </c>
      <c r="G242" s="78">
        <v>115.6</v>
      </c>
      <c r="H242" s="78">
        <v>115.6</v>
      </c>
      <c r="I242" s="77" t="s">
        <v>4800</v>
      </c>
      <c r="L242" s="3">
        <f>VLOOKUP(C242,Securities!A:D,4,FALSE)</f>
        <v>5</v>
      </c>
      <c r="M242" s="3" t="str">
        <f>VLOOKUP(C242,Securities!A:B,2,FALSE)</f>
        <v>XS0979891925 Corp</v>
      </c>
      <c r="O242" s="3">
        <f t="shared" si="3"/>
        <v>300000</v>
      </c>
    </row>
    <row r="243" spans="1:15" x14ac:dyDescent="0.25">
      <c r="A243" s="79">
        <v>43053</v>
      </c>
      <c r="B243" s="80" t="s">
        <v>4991</v>
      </c>
      <c r="C243" s="80" t="s">
        <v>4851</v>
      </c>
      <c r="D243" s="80" t="s">
        <v>4744</v>
      </c>
      <c r="E243" s="81">
        <v>300000</v>
      </c>
      <c r="F243" s="80" t="s">
        <v>4806</v>
      </c>
      <c r="G243" s="81">
        <v>102.25</v>
      </c>
      <c r="H243" s="81">
        <v>102.25</v>
      </c>
      <c r="I243" s="80" t="s">
        <v>4800</v>
      </c>
      <c r="L243" s="3">
        <f>VLOOKUP(C243,Securities!A:D,4,FALSE)</f>
        <v>5</v>
      </c>
      <c r="M243" s="3" t="str">
        <f>VLOOKUP(C243,Securities!A:B,2,FALSE)</f>
        <v>XS1032750165 Corp</v>
      </c>
      <c r="O243" s="3">
        <f t="shared" si="3"/>
        <v>300000</v>
      </c>
    </row>
    <row r="244" spans="1:15" x14ac:dyDescent="0.25">
      <c r="A244" s="76">
        <v>43053</v>
      </c>
      <c r="B244" s="77" t="s">
        <v>4991</v>
      </c>
      <c r="C244" s="77" t="s">
        <v>5004</v>
      </c>
      <c r="D244" s="77" t="s">
        <v>5005</v>
      </c>
      <c r="E244" s="78">
        <v>300000</v>
      </c>
      <c r="F244" s="77" t="s">
        <v>4806</v>
      </c>
      <c r="G244" s="78">
        <v>103.9</v>
      </c>
      <c r="H244" s="78">
        <v>103.9</v>
      </c>
      <c r="I244" s="77" t="s">
        <v>4800</v>
      </c>
      <c r="L244" s="3">
        <f>VLOOKUP(C244,Securities!A:D,4,FALSE)</f>
        <v>5</v>
      </c>
      <c r="M244" s="3" t="str">
        <f>VLOOKUP(C244,Securities!A:B,2,FALSE)</f>
        <v>XS1433454243 Corp</v>
      </c>
      <c r="O244" s="3">
        <f t="shared" si="3"/>
        <v>300000</v>
      </c>
    </row>
    <row r="245" spans="1:15" x14ac:dyDescent="0.25">
      <c r="A245" s="79">
        <v>43053</v>
      </c>
      <c r="B245" s="80" t="s">
        <v>4991</v>
      </c>
      <c r="C245" s="80" t="s">
        <v>4986</v>
      </c>
      <c r="D245" s="80" t="s">
        <v>4987</v>
      </c>
      <c r="E245" s="81">
        <v>300000</v>
      </c>
      <c r="F245" s="80" t="s">
        <v>4806</v>
      </c>
      <c r="G245" s="81">
        <v>104.15</v>
      </c>
      <c r="H245" s="81">
        <v>104.15</v>
      </c>
      <c r="I245" s="80" t="s">
        <v>4800</v>
      </c>
      <c r="L245" s="3">
        <f>VLOOKUP(C245,Securities!A:D,4,FALSE)</f>
        <v>5</v>
      </c>
      <c r="M245" s="3" t="str">
        <f>VLOOKUP(C245,Securities!A:B,2,FALSE)</f>
        <v>USG9328DAM23 Corp</v>
      </c>
      <c r="O245" s="3">
        <f t="shared" si="3"/>
        <v>300000</v>
      </c>
    </row>
    <row r="246" spans="1:15" x14ac:dyDescent="0.25">
      <c r="A246" s="76">
        <v>43053</v>
      </c>
      <c r="B246" s="77" t="s">
        <v>4991</v>
      </c>
      <c r="C246" s="77" t="s">
        <v>5006</v>
      </c>
      <c r="D246" s="77" t="s">
        <v>5007</v>
      </c>
      <c r="E246" s="78">
        <v>300000</v>
      </c>
      <c r="F246" s="77" t="s">
        <v>4806</v>
      </c>
      <c r="G246" s="78">
        <v>112.25</v>
      </c>
      <c r="H246" s="78">
        <v>112.25</v>
      </c>
      <c r="I246" s="77" t="s">
        <v>4800</v>
      </c>
      <c r="L246" s="3">
        <f>VLOOKUP(C246,Securities!A:D,4,FALSE)</f>
        <v>5</v>
      </c>
      <c r="M246" s="3" t="str">
        <f>VLOOKUP(C246,Securities!A:B,2,FALSE)</f>
        <v>XS1400710726 Corp</v>
      </c>
      <c r="O246" s="3">
        <f t="shared" si="3"/>
        <v>300000</v>
      </c>
    </row>
    <row r="247" spans="1:15" x14ac:dyDescent="0.25">
      <c r="A247" s="79">
        <v>43053</v>
      </c>
      <c r="B247" s="80" t="s">
        <v>5008</v>
      </c>
      <c r="C247" s="80" t="s">
        <v>4975</v>
      </c>
      <c r="D247" s="80" t="s">
        <v>939</v>
      </c>
      <c r="E247" s="81">
        <v>4871</v>
      </c>
      <c r="F247" s="80" t="s">
        <v>4974</v>
      </c>
      <c r="G247" s="81">
        <v>102.3</v>
      </c>
      <c r="H247" s="81">
        <v>102.3</v>
      </c>
      <c r="I247" s="80" t="s">
        <v>4800</v>
      </c>
      <c r="L247" s="3">
        <f>VLOOKUP(C247,Securities!A:D,4,FALSE)</f>
        <v>5</v>
      </c>
      <c r="M247" s="3" t="str">
        <f>VLOOKUP(C247,Securities!A:B,2,FALSE)</f>
        <v>RU000A0JX0J2 Corp</v>
      </c>
      <c r="O247" s="3">
        <f t="shared" si="3"/>
        <v>4871</v>
      </c>
    </row>
    <row r="248" spans="1:15" x14ac:dyDescent="0.25">
      <c r="A248" s="76">
        <v>43053</v>
      </c>
      <c r="B248" s="77" t="s">
        <v>5008</v>
      </c>
      <c r="C248" s="77" t="s">
        <v>5009</v>
      </c>
      <c r="D248" s="77" t="s">
        <v>5010</v>
      </c>
      <c r="E248" s="78">
        <v>4861</v>
      </c>
      <c r="F248" s="77" t="s">
        <v>4974</v>
      </c>
      <c r="G248" s="78">
        <v>98.75</v>
      </c>
      <c r="H248" s="78">
        <v>98.75</v>
      </c>
      <c r="I248" s="77" t="s">
        <v>4800</v>
      </c>
      <c r="L248" s="3">
        <f>VLOOKUP(C248,Securities!A:D,4,FALSE)</f>
        <v>5</v>
      </c>
      <c r="M248" s="3" t="str">
        <f>VLOOKUP(C248,Securities!A:B,2,FALSE)</f>
        <v>RU000A0JXQF2 Corp</v>
      </c>
      <c r="O248" s="3">
        <f t="shared" si="3"/>
        <v>4861</v>
      </c>
    </row>
    <row r="249" spans="1:15" x14ac:dyDescent="0.25">
      <c r="A249" s="79">
        <v>43053</v>
      </c>
      <c r="B249" s="80" t="s">
        <v>5008</v>
      </c>
      <c r="C249" s="80" t="s">
        <v>5011</v>
      </c>
      <c r="D249" s="80" t="s">
        <v>24</v>
      </c>
      <c r="E249" s="81">
        <v>4692</v>
      </c>
      <c r="F249" s="80" t="s">
        <v>4974</v>
      </c>
      <c r="G249" s="81">
        <v>104</v>
      </c>
      <c r="H249" s="81">
        <v>104</v>
      </c>
      <c r="I249" s="80" t="s">
        <v>4800</v>
      </c>
      <c r="L249" s="3">
        <f>VLOOKUP(C249,Securities!A:D,4,FALSE)</f>
        <v>5</v>
      </c>
      <c r="M249" s="3" t="str">
        <f>VLOOKUP(C249,Securities!A:B,2,FALSE)</f>
        <v>RU000A0JV7J9 Corp</v>
      </c>
      <c r="O249" s="3">
        <f t="shared" si="3"/>
        <v>4692</v>
      </c>
    </row>
    <row r="250" spans="1:15" x14ac:dyDescent="0.25">
      <c r="A250" s="76">
        <v>43053</v>
      </c>
      <c r="B250" s="77" t="s">
        <v>5008</v>
      </c>
      <c r="C250" s="77" t="s">
        <v>5012</v>
      </c>
      <c r="D250" s="77" t="s">
        <v>5013</v>
      </c>
      <c r="E250" s="78">
        <v>174</v>
      </c>
      <c r="F250" s="77" t="s">
        <v>4799</v>
      </c>
      <c r="G250" s="78">
        <v>0</v>
      </c>
      <c r="H250" s="78">
        <v>0</v>
      </c>
      <c r="I250" s="77" t="s">
        <v>4800</v>
      </c>
      <c r="L250" s="3">
        <f>VLOOKUP(C250,Securities!A:D,4,FALSE)</f>
        <v>1</v>
      </c>
      <c r="M250" s="3" t="str">
        <f>VLOOKUP(C250,Securities!A:B,2,FALSE)</f>
        <v>AAPL US Equity</v>
      </c>
      <c r="O250" s="3">
        <f t="shared" si="3"/>
        <v>174</v>
      </c>
    </row>
    <row r="251" spans="1:15" x14ac:dyDescent="0.25">
      <c r="A251" s="79">
        <v>43053</v>
      </c>
      <c r="B251" s="80" t="s">
        <v>5008</v>
      </c>
      <c r="C251" s="80" t="s">
        <v>4955</v>
      </c>
      <c r="D251" s="80" t="s">
        <v>126</v>
      </c>
      <c r="E251" s="81">
        <v>7930</v>
      </c>
      <c r="F251" s="80" t="s">
        <v>4810</v>
      </c>
      <c r="G251" s="81">
        <v>182.29553799999999</v>
      </c>
      <c r="H251" s="81">
        <v>3.15</v>
      </c>
      <c r="I251" s="80" t="s">
        <v>4800</v>
      </c>
      <c r="L251" s="3">
        <f>VLOOKUP(C251,Securities!A:D,4,FALSE)</f>
        <v>1</v>
      </c>
      <c r="M251" s="3" t="str">
        <f>VLOOKUP(C251,Securities!A:B,2,FALSE)</f>
        <v>AFLT RX Equity</v>
      </c>
      <c r="O251" s="3">
        <f t="shared" si="3"/>
        <v>7930</v>
      </c>
    </row>
    <row r="252" spans="1:15" x14ac:dyDescent="0.25">
      <c r="A252" s="76">
        <v>43053</v>
      </c>
      <c r="B252" s="77" t="s">
        <v>5008</v>
      </c>
      <c r="C252" s="77" t="s">
        <v>4801</v>
      </c>
      <c r="D252" s="77" t="s">
        <v>4802</v>
      </c>
      <c r="E252" s="78">
        <v>141</v>
      </c>
      <c r="F252" s="77" t="s">
        <v>4799</v>
      </c>
      <c r="G252" s="78">
        <v>10174.861467999999</v>
      </c>
      <c r="H252" s="78">
        <v>176.603971</v>
      </c>
      <c r="I252" s="77" t="s">
        <v>4800</v>
      </c>
      <c r="L252" s="3">
        <f>VLOOKUP(C252,Securities!A:D,4,FALSE)</f>
        <v>1</v>
      </c>
      <c r="M252" s="3" t="str">
        <f>VLOOKUP(C252,Securities!A:B,2,FALSE)</f>
        <v>AGN US Equity</v>
      </c>
      <c r="O252" s="3">
        <f t="shared" si="3"/>
        <v>141</v>
      </c>
    </row>
    <row r="253" spans="1:15" x14ac:dyDescent="0.25">
      <c r="A253" s="79">
        <v>43053</v>
      </c>
      <c r="B253" s="80" t="s">
        <v>5008</v>
      </c>
      <c r="C253" s="80" t="s">
        <v>4920</v>
      </c>
      <c r="D253" s="80" t="s">
        <v>4921</v>
      </c>
      <c r="E253" s="81">
        <v>2306</v>
      </c>
      <c r="F253" s="80" t="s">
        <v>4898</v>
      </c>
      <c r="G253" s="81">
        <v>624.64101100000005</v>
      </c>
      <c r="H253" s="81">
        <v>10.85</v>
      </c>
      <c r="I253" s="80" t="s">
        <v>4800</v>
      </c>
      <c r="L253" s="3">
        <f>VLOOKUP(C253,Securities!A:D,4,FALSE)</f>
        <v>1</v>
      </c>
      <c r="M253" s="3" t="str">
        <f>VLOOKUP(C253,Securities!A:B,2,FALSE)</f>
        <v>AMLP US Equity</v>
      </c>
      <c r="O253" s="3">
        <f t="shared" si="3"/>
        <v>2306</v>
      </c>
    </row>
    <row r="254" spans="1:15" x14ac:dyDescent="0.25">
      <c r="A254" s="76">
        <v>43053</v>
      </c>
      <c r="B254" s="77" t="s">
        <v>5008</v>
      </c>
      <c r="C254" s="77" t="s">
        <v>4896</v>
      </c>
      <c r="D254" s="77" t="s">
        <v>4897</v>
      </c>
      <c r="E254" s="78">
        <v>951</v>
      </c>
      <c r="F254" s="77" t="s">
        <v>4898</v>
      </c>
      <c r="G254" s="78">
        <v>1498.079031</v>
      </c>
      <c r="H254" s="78">
        <v>26.021598000000001</v>
      </c>
      <c r="I254" s="77" t="s">
        <v>4800</v>
      </c>
      <c r="L254" s="3">
        <f>VLOOKUP(C254,Securities!A:D,4,FALSE)</f>
        <v>1</v>
      </c>
      <c r="M254" s="3" t="str">
        <f>VLOOKUP(C254,Securities!A:B,2,FALSE)</f>
        <v>CNCR US Equity</v>
      </c>
      <c r="O254" s="3">
        <f t="shared" si="3"/>
        <v>951</v>
      </c>
    </row>
    <row r="255" spans="1:15" x14ac:dyDescent="0.25">
      <c r="A255" s="79">
        <v>43053</v>
      </c>
      <c r="B255" s="80" t="s">
        <v>5008</v>
      </c>
      <c r="C255" s="80" t="s">
        <v>4805</v>
      </c>
      <c r="D255" s="80" t="s">
        <v>31</v>
      </c>
      <c r="E255" s="81">
        <v>115000</v>
      </c>
      <c r="F255" s="80" t="s">
        <v>4806</v>
      </c>
      <c r="G255" s="81">
        <v>176</v>
      </c>
      <c r="H255" s="81">
        <v>176</v>
      </c>
      <c r="I255" s="80" t="s">
        <v>4800</v>
      </c>
      <c r="L255" s="3">
        <f>VLOOKUP(C255,Securities!A:D,4,FALSE)</f>
        <v>5</v>
      </c>
      <c r="M255" s="3" t="str">
        <f>VLOOKUP(C255,Securities!A:B,2,FALSE)</f>
        <v>TT343269 Corp</v>
      </c>
      <c r="O255" s="3">
        <f t="shared" si="3"/>
        <v>115000</v>
      </c>
    </row>
    <row r="256" spans="1:15" x14ac:dyDescent="0.25">
      <c r="A256" s="76">
        <v>43053</v>
      </c>
      <c r="B256" s="77" t="s">
        <v>5008</v>
      </c>
      <c r="C256" s="77" t="s">
        <v>4899</v>
      </c>
      <c r="D256" s="77" t="s">
        <v>4900</v>
      </c>
      <c r="E256" s="78">
        <v>6440</v>
      </c>
      <c r="F256" s="77" t="s">
        <v>4799</v>
      </c>
      <c r="G256" s="78">
        <v>224.825412</v>
      </c>
      <c r="H256" s="78">
        <v>3.8849</v>
      </c>
      <c r="I256" s="77" t="s">
        <v>4800</v>
      </c>
      <c r="L256" s="3">
        <f>VLOOKUP(C256,Securities!A:D,4,FALSE)</f>
        <v>1</v>
      </c>
      <c r="M256" s="3" t="str">
        <f>VLOOKUP(C256,Securities!A:B,2,FALSE)</f>
        <v>EVR LN Equity</v>
      </c>
      <c r="O256" s="3">
        <f t="shared" si="3"/>
        <v>6440</v>
      </c>
    </row>
    <row r="257" spans="1:15" x14ac:dyDescent="0.25">
      <c r="A257" s="79">
        <v>43053</v>
      </c>
      <c r="B257" s="80" t="s">
        <v>5008</v>
      </c>
      <c r="C257" s="80" t="s">
        <v>4901</v>
      </c>
      <c r="D257" s="80" t="s">
        <v>4902</v>
      </c>
      <c r="E257" s="81">
        <v>587</v>
      </c>
      <c r="F257" s="80" t="s">
        <v>4804</v>
      </c>
      <c r="G257" s="81">
        <v>2460.7230840000002</v>
      </c>
      <c r="H257" s="81">
        <v>42.520390999999996</v>
      </c>
      <c r="I257" s="80" t="s">
        <v>4800</v>
      </c>
      <c r="L257" s="3">
        <f>VLOOKUP(C257,Securities!A:D,4,FALSE)</f>
        <v>1</v>
      </c>
      <c r="M257" s="3" t="str">
        <f>VLOOKUP(C257,Securities!A:B,2,FALSE)</f>
        <v>FIVE LI Equity</v>
      </c>
      <c r="O257" s="3">
        <f t="shared" si="3"/>
        <v>587</v>
      </c>
    </row>
    <row r="258" spans="1:15" x14ac:dyDescent="0.25">
      <c r="A258" s="76">
        <v>43053</v>
      </c>
      <c r="B258" s="77" t="s">
        <v>5008</v>
      </c>
      <c r="C258" s="77" t="s">
        <v>4903</v>
      </c>
      <c r="D258" s="77" t="s">
        <v>4904</v>
      </c>
      <c r="E258" s="78">
        <v>200000</v>
      </c>
      <c r="F258" s="77" t="s">
        <v>4806</v>
      </c>
      <c r="G258" s="78">
        <v>106.65</v>
      </c>
      <c r="H258" s="78">
        <v>106.65</v>
      </c>
      <c r="I258" s="77" t="s">
        <v>4800</v>
      </c>
      <c r="L258" s="3">
        <f>VLOOKUP(C258,Securities!A:D,4,FALSE)</f>
        <v>5</v>
      </c>
      <c r="M258" s="3" t="str">
        <f>VLOOKUP(C258,Securities!A:B,2,FALSE)</f>
        <v>XS1319813769 Corp</v>
      </c>
      <c r="O258" s="3">
        <f t="shared" ref="O258:O321" si="4">SUMIFS(E:E,C:C,C258,B:B,B258)</f>
        <v>200000</v>
      </c>
    </row>
    <row r="259" spans="1:15" x14ac:dyDescent="0.25">
      <c r="A259" s="79">
        <v>43053</v>
      </c>
      <c r="B259" s="80" t="s">
        <v>5008</v>
      </c>
      <c r="C259" s="80" t="s">
        <v>4848</v>
      </c>
      <c r="D259" s="80" t="s">
        <v>511</v>
      </c>
      <c r="E259" s="81">
        <v>2235</v>
      </c>
      <c r="F259" s="80" t="s">
        <v>4810</v>
      </c>
      <c r="G259" s="81">
        <v>648.16191400000002</v>
      </c>
      <c r="H259" s="81">
        <v>11.2</v>
      </c>
      <c r="I259" s="80" t="s">
        <v>4800</v>
      </c>
      <c r="L259" s="3">
        <f>VLOOKUP(C259,Securities!A:D,4,FALSE)</f>
        <v>1</v>
      </c>
      <c r="M259" s="3" t="str">
        <f>VLOOKUP(C259,Securities!A:B,2,FALSE)</f>
        <v>NVTK RX Equity</v>
      </c>
      <c r="O259" s="3">
        <f t="shared" si="4"/>
        <v>2235</v>
      </c>
    </row>
    <row r="260" spans="1:15" x14ac:dyDescent="0.25">
      <c r="A260" s="76">
        <v>43053</v>
      </c>
      <c r="B260" s="77" t="s">
        <v>5008</v>
      </c>
      <c r="C260" s="77" t="s">
        <v>4924</v>
      </c>
      <c r="D260" s="77" t="s">
        <v>829</v>
      </c>
      <c r="E260" s="78">
        <v>625</v>
      </c>
      <c r="F260" s="77" t="s">
        <v>4810</v>
      </c>
      <c r="G260" s="78">
        <v>2316.6001259999998</v>
      </c>
      <c r="H260" s="78">
        <v>40.03</v>
      </c>
      <c r="I260" s="77" t="s">
        <v>4800</v>
      </c>
      <c r="L260" s="3">
        <f>VLOOKUP(C260,Securities!A:D,4,FALSE)</f>
        <v>1</v>
      </c>
      <c r="M260" s="3" t="str">
        <f>VLOOKUP(C260,Securities!A:B,2,FALSE)</f>
        <v>PHOR RX Equity</v>
      </c>
      <c r="O260" s="3">
        <f t="shared" si="4"/>
        <v>625</v>
      </c>
    </row>
    <row r="261" spans="1:15" x14ac:dyDescent="0.25">
      <c r="A261" s="79">
        <v>43053</v>
      </c>
      <c r="B261" s="80" t="s">
        <v>5008</v>
      </c>
      <c r="C261" s="80" t="s">
        <v>4892</v>
      </c>
      <c r="D261" s="80" t="s">
        <v>568</v>
      </c>
      <c r="E261" s="81">
        <v>306</v>
      </c>
      <c r="F261" s="80" t="s">
        <v>4810</v>
      </c>
      <c r="G261" s="81">
        <v>4722.3225160000002</v>
      </c>
      <c r="H261" s="81">
        <v>81.599999999999994</v>
      </c>
      <c r="I261" s="80" t="s">
        <v>4800</v>
      </c>
      <c r="L261" s="3">
        <f>VLOOKUP(C261,Securities!A:D,4,FALSE)</f>
        <v>1</v>
      </c>
      <c r="M261" s="3" t="str">
        <f>VLOOKUP(C261,Securities!A:B,2,FALSE)</f>
        <v>PLZL RX Equity</v>
      </c>
      <c r="O261" s="3">
        <f t="shared" si="4"/>
        <v>306</v>
      </c>
    </row>
    <row r="262" spans="1:15" x14ac:dyDescent="0.25">
      <c r="A262" s="76">
        <v>43053</v>
      </c>
      <c r="B262" s="77" t="s">
        <v>5008</v>
      </c>
      <c r="C262" s="77" t="s">
        <v>4917</v>
      </c>
      <c r="D262" s="77" t="s">
        <v>742</v>
      </c>
      <c r="E262" s="78">
        <v>18330</v>
      </c>
      <c r="F262" s="77" t="s">
        <v>4810</v>
      </c>
      <c r="G262" s="78">
        <v>78.803753</v>
      </c>
      <c r="H262" s="78">
        <v>1.361699</v>
      </c>
      <c r="I262" s="77" t="s">
        <v>4800</v>
      </c>
      <c r="L262" s="3">
        <f>VLOOKUP(C262,Securities!A:D,4,FALSE)</f>
        <v>1</v>
      </c>
      <c r="M262" s="3" t="str">
        <f>VLOOKUP(C262,Securities!A:B,2,FALSE)</f>
        <v>TRMK RX Equity</v>
      </c>
      <c r="O262" s="3">
        <f t="shared" si="4"/>
        <v>18330</v>
      </c>
    </row>
    <row r="263" spans="1:15" x14ac:dyDescent="0.25">
      <c r="A263" s="79">
        <v>43053</v>
      </c>
      <c r="B263" s="80" t="s">
        <v>5008</v>
      </c>
      <c r="C263" s="80" t="s">
        <v>5014</v>
      </c>
      <c r="D263" s="80" t="s">
        <v>5015</v>
      </c>
      <c r="E263" s="81">
        <v>145</v>
      </c>
      <c r="F263" s="80" t="s">
        <v>4799</v>
      </c>
      <c r="G263" s="81">
        <v>0</v>
      </c>
      <c r="H263" s="81">
        <v>0</v>
      </c>
      <c r="I263" s="80" t="s">
        <v>4800</v>
      </c>
      <c r="L263" s="3">
        <f>VLOOKUP(C263,Securities!A:D,4,FALSE)</f>
        <v>1</v>
      </c>
      <c r="M263" s="3" t="str">
        <f>VLOOKUP(C263,Securities!A:B,2,FALSE)</f>
        <v>WHR US Equity</v>
      </c>
      <c r="O263" s="3">
        <f t="shared" si="4"/>
        <v>145</v>
      </c>
    </row>
    <row r="264" spans="1:15" x14ac:dyDescent="0.25">
      <c r="A264" s="76">
        <v>43053</v>
      </c>
      <c r="B264" s="77" t="s">
        <v>5016</v>
      </c>
      <c r="C264" s="77" t="s">
        <v>4882</v>
      </c>
      <c r="D264" s="77" t="s">
        <v>4883</v>
      </c>
      <c r="E264" s="78">
        <v>200000</v>
      </c>
      <c r="F264" s="77" t="s">
        <v>4806</v>
      </c>
      <c r="G264" s="78">
        <v>107.25</v>
      </c>
      <c r="H264" s="78">
        <v>107.25</v>
      </c>
      <c r="I264" s="77" t="s">
        <v>4800</v>
      </c>
      <c r="L264" s="3">
        <f>VLOOKUP(C264,Securities!A:D,4,FALSE)</f>
        <v>5</v>
      </c>
      <c r="M264" s="3" t="str">
        <f>VLOOKUP(C264,Securities!A:B,2,FALSE)</f>
        <v>XS1405775377 Corp</v>
      </c>
      <c r="O264" s="3">
        <f t="shared" si="4"/>
        <v>200000</v>
      </c>
    </row>
    <row r="265" spans="1:15" x14ac:dyDescent="0.25">
      <c r="A265" s="79">
        <v>43053</v>
      </c>
      <c r="B265" s="80" t="s">
        <v>5016</v>
      </c>
      <c r="C265" s="80" t="s">
        <v>4899</v>
      </c>
      <c r="D265" s="80" t="s">
        <v>4900</v>
      </c>
      <c r="E265" s="81">
        <v>14790</v>
      </c>
      <c r="F265" s="80" t="s">
        <v>4799</v>
      </c>
      <c r="G265" s="81">
        <v>203.46680599999999</v>
      </c>
      <c r="H265" s="81">
        <v>3.4025110000000001</v>
      </c>
      <c r="I265" s="80" t="s">
        <v>4800</v>
      </c>
      <c r="L265" s="3">
        <f>VLOOKUP(C265,Securities!A:D,4,FALSE)</f>
        <v>1</v>
      </c>
      <c r="M265" s="3" t="str">
        <f>VLOOKUP(C265,Securities!A:B,2,FALSE)</f>
        <v>EVR LN Equity</v>
      </c>
      <c r="O265" s="3">
        <f t="shared" si="4"/>
        <v>14790</v>
      </c>
    </row>
    <row r="266" spans="1:15" x14ac:dyDescent="0.25">
      <c r="A266" s="76">
        <v>43053</v>
      </c>
      <c r="B266" s="77" t="s">
        <v>5016</v>
      </c>
      <c r="C266" s="77" t="s">
        <v>4901</v>
      </c>
      <c r="D266" s="77" t="s">
        <v>4902</v>
      </c>
      <c r="E266" s="78">
        <v>1470</v>
      </c>
      <c r="F266" s="77" t="s">
        <v>4804</v>
      </c>
      <c r="G266" s="78">
        <v>2222.5652340000001</v>
      </c>
      <c r="H266" s="78">
        <v>37.516840999999999</v>
      </c>
      <c r="I266" s="77" t="s">
        <v>4800</v>
      </c>
      <c r="L266" s="3">
        <f>VLOOKUP(C266,Securities!A:D,4,FALSE)</f>
        <v>1</v>
      </c>
      <c r="M266" s="3" t="str">
        <f>VLOOKUP(C266,Securities!A:B,2,FALSE)</f>
        <v>FIVE LI Equity</v>
      </c>
      <c r="O266" s="3">
        <f t="shared" si="4"/>
        <v>1470</v>
      </c>
    </row>
    <row r="267" spans="1:15" x14ac:dyDescent="0.25">
      <c r="A267" s="79">
        <v>43053</v>
      </c>
      <c r="B267" s="80" t="s">
        <v>5016</v>
      </c>
      <c r="C267" s="80" t="s">
        <v>4847</v>
      </c>
      <c r="D267" s="80" t="s">
        <v>369</v>
      </c>
      <c r="E267" s="81">
        <v>1127</v>
      </c>
      <c r="F267" s="80" t="s">
        <v>4810</v>
      </c>
      <c r="G267" s="81">
        <v>2914.4550340000001</v>
      </c>
      <c r="H267" s="81">
        <v>49.089280000000002</v>
      </c>
      <c r="I267" s="80" t="s">
        <v>4800</v>
      </c>
      <c r="L267" s="3">
        <f>VLOOKUP(C267,Securities!A:D,4,FALSE)</f>
        <v>1</v>
      </c>
      <c r="M267" s="3" t="str">
        <f>VLOOKUP(C267,Securities!A:B,2,FALSE)</f>
        <v>LKOH RX Equity</v>
      </c>
      <c r="O267" s="3">
        <f t="shared" si="4"/>
        <v>1127</v>
      </c>
    </row>
    <row r="268" spans="1:15" x14ac:dyDescent="0.25">
      <c r="A268" s="76">
        <v>43053</v>
      </c>
      <c r="B268" s="77" t="s">
        <v>5016</v>
      </c>
      <c r="C268" s="77" t="s">
        <v>5017</v>
      </c>
      <c r="D268" s="77" t="s">
        <v>5018</v>
      </c>
      <c r="E268" s="78">
        <v>7128</v>
      </c>
      <c r="F268" s="77" t="s">
        <v>4804</v>
      </c>
      <c r="G268" s="78">
        <v>542.92230300000006</v>
      </c>
      <c r="H268" s="78">
        <v>9.3978990000000007</v>
      </c>
      <c r="I268" s="77" t="s">
        <v>4800</v>
      </c>
      <c r="L268" s="3">
        <f>VLOOKUP(C268,Securities!A:D,4,FALSE)</f>
        <v>1</v>
      </c>
      <c r="M268" s="3" t="str">
        <f>VLOOKUP(C268,Securities!A:B,2,FALSE)</f>
        <v>MMK LI Equity</v>
      </c>
      <c r="O268" s="3">
        <f t="shared" si="4"/>
        <v>7128</v>
      </c>
    </row>
    <row r="269" spans="1:15" x14ac:dyDescent="0.25">
      <c r="A269" s="79">
        <v>43053</v>
      </c>
      <c r="B269" s="80" t="s">
        <v>5016</v>
      </c>
      <c r="C269" s="80" t="s">
        <v>4867</v>
      </c>
      <c r="D269" s="80" t="s">
        <v>473</v>
      </c>
      <c r="E269" s="81">
        <v>28640</v>
      </c>
      <c r="F269" s="80" t="s">
        <v>4810</v>
      </c>
      <c r="G269" s="81">
        <v>111.417495</v>
      </c>
      <c r="H269" s="81">
        <v>1.876647</v>
      </c>
      <c r="I269" s="80" t="s">
        <v>4800</v>
      </c>
      <c r="L269" s="3">
        <f>VLOOKUP(C269,Securities!A:D,4,FALSE)</f>
        <v>1</v>
      </c>
      <c r="M269" s="3" t="str">
        <f>VLOOKUP(C269,Securities!A:B,2,FALSE)</f>
        <v>MOEX RX Equity</v>
      </c>
      <c r="O269" s="3">
        <f t="shared" si="4"/>
        <v>28640</v>
      </c>
    </row>
    <row r="270" spans="1:15" x14ac:dyDescent="0.25">
      <c r="A270" s="76">
        <v>43053</v>
      </c>
      <c r="B270" s="77" t="s">
        <v>5016</v>
      </c>
      <c r="C270" s="77" t="s">
        <v>4848</v>
      </c>
      <c r="D270" s="77" t="s">
        <v>511</v>
      </c>
      <c r="E270" s="78">
        <v>5180</v>
      </c>
      <c r="F270" s="77" t="s">
        <v>4810</v>
      </c>
      <c r="G270" s="78">
        <v>625.77065600000003</v>
      </c>
      <c r="H270" s="78">
        <v>10.540094</v>
      </c>
      <c r="I270" s="77" t="s">
        <v>4800</v>
      </c>
      <c r="L270" s="3">
        <f>VLOOKUP(C270,Securities!A:D,4,FALSE)</f>
        <v>1</v>
      </c>
      <c r="M270" s="3" t="str">
        <f>VLOOKUP(C270,Securities!A:B,2,FALSE)</f>
        <v>NVTK RX Equity</v>
      </c>
      <c r="O270" s="3">
        <f t="shared" si="4"/>
        <v>5180</v>
      </c>
    </row>
    <row r="271" spans="1:15" x14ac:dyDescent="0.25">
      <c r="A271" s="79">
        <v>43053</v>
      </c>
      <c r="B271" s="80" t="s">
        <v>5016</v>
      </c>
      <c r="C271" s="80" t="s">
        <v>4892</v>
      </c>
      <c r="D271" s="80" t="s">
        <v>568</v>
      </c>
      <c r="E271" s="81">
        <v>695</v>
      </c>
      <c r="F271" s="80" t="s">
        <v>4810</v>
      </c>
      <c r="G271" s="81">
        <v>4334.9656839999998</v>
      </c>
      <c r="H271" s="81">
        <v>72.492273999999995</v>
      </c>
      <c r="I271" s="80" t="s">
        <v>4800</v>
      </c>
      <c r="L271" s="3">
        <f>VLOOKUP(C271,Securities!A:D,4,FALSE)</f>
        <v>1</v>
      </c>
      <c r="M271" s="3" t="str">
        <f>VLOOKUP(C271,Securities!A:B,2,FALSE)</f>
        <v>PLZL RX Equity</v>
      </c>
      <c r="O271" s="3">
        <f t="shared" si="4"/>
        <v>695</v>
      </c>
    </row>
    <row r="272" spans="1:15" x14ac:dyDescent="0.25">
      <c r="A272" s="76">
        <v>43053</v>
      </c>
      <c r="B272" s="77" t="s">
        <v>5016</v>
      </c>
      <c r="C272" s="77" t="s">
        <v>4851</v>
      </c>
      <c r="D272" s="77" t="s">
        <v>4744</v>
      </c>
      <c r="E272" s="78">
        <v>200000</v>
      </c>
      <c r="F272" s="77" t="s">
        <v>4806</v>
      </c>
      <c r="G272" s="78">
        <v>102.1</v>
      </c>
      <c r="H272" s="78">
        <v>102.1</v>
      </c>
      <c r="I272" s="77" t="s">
        <v>4800</v>
      </c>
      <c r="L272" s="3">
        <f>VLOOKUP(C272,Securities!A:D,4,FALSE)</f>
        <v>5</v>
      </c>
      <c r="M272" s="3" t="str">
        <f>VLOOKUP(C272,Securities!A:B,2,FALSE)</f>
        <v>XS1032750165 Corp</v>
      </c>
      <c r="O272" s="3">
        <f t="shared" si="4"/>
        <v>200000</v>
      </c>
    </row>
    <row r="273" spans="1:15" x14ac:dyDescent="0.25">
      <c r="A273" s="79">
        <v>43053</v>
      </c>
      <c r="B273" s="80" t="s">
        <v>5016</v>
      </c>
      <c r="C273" s="80" t="s">
        <v>4917</v>
      </c>
      <c r="D273" s="80" t="s">
        <v>742</v>
      </c>
      <c r="E273" s="81">
        <v>40800</v>
      </c>
      <c r="F273" s="80" t="s">
        <v>4810</v>
      </c>
      <c r="G273" s="81">
        <v>79.219159000000005</v>
      </c>
      <c r="H273" s="81">
        <v>1.3343179999999999</v>
      </c>
      <c r="I273" s="80" t="s">
        <v>4800</v>
      </c>
      <c r="L273" s="3">
        <f>VLOOKUP(C273,Securities!A:D,4,FALSE)</f>
        <v>1</v>
      </c>
      <c r="M273" s="3" t="str">
        <f>VLOOKUP(C273,Securities!A:B,2,FALSE)</f>
        <v>TRMK RX Equity</v>
      </c>
      <c r="O273" s="3">
        <f t="shared" si="4"/>
        <v>40800</v>
      </c>
    </row>
    <row r="274" spans="1:15" x14ac:dyDescent="0.25">
      <c r="A274" s="76">
        <v>43053</v>
      </c>
      <c r="B274" s="77" t="s">
        <v>5016</v>
      </c>
      <c r="C274" s="77" t="s">
        <v>5006</v>
      </c>
      <c r="D274" s="77" t="s">
        <v>5007</v>
      </c>
      <c r="E274" s="78">
        <v>200000</v>
      </c>
      <c r="F274" s="77" t="s">
        <v>4806</v>
      </c>
      <c r="G274" s="78">
        <v>111.9</v>
      </c>
      <c r="H274" s="78">
        <v>111.9</v>
      </c>
      <c r="I274" s="77" t="s">
        <v>4800</v>
      </c>
      <c r="L274" s="3">
        <f>VLOOKUP(C274,Securities!A:D,4,FALSE)</f>
        <v>5</v>
      </c>
      <c r="M274" s="3" t="str">
        <f>VLOOKUP(C274,Securities!A:B,2,FALSE)</f>
        <v>XS1400710726 Corp</v>
      </c>
      <c r="O274" s="3">
        <f t="shared" si="4"/>
        <v>200000</v>
      </c>
    </row>
    <row r="275" spans="1:15" x14ac:dyDescent="0.25">
      <c r="A275" s="79">
        <v>43053</v>
      </c>
      <c r="B275" s="80" t="s">
        <v>5019</v>
      </c>
      <c r="C275" s="80" t="s">
        <v>4869</v>
      </c>
      <c r="D275" s="80" t="s">
        <v>4870</v>
      </c>
      <c r="E275" s="81">
        <v>200000</v>
      </c>
      <c r="F275" s="80" t="s">
        <v>4838</v>
      </c>
      <c r="G275" s="81">
        <v>100</v>
      </c>
      <c r="H275" s="81">
        <v>100</v>
      </c>
      <c r="I275" s="80" t="s">
        <v>4800</v>
      </c>
      <c r="L275" s="3">
        <f>VLOOKUP(C275,Securities!A:D,4,FALSE)</f>
        <v>5</v>
      </c>
      <c r="M275" s="3" t="str">
        <f>VLOOKUP(C275,Securities!A:B,2,FALSE)</f>
        <v>CH0384862550 Corp</v>
      </c>
      <c r="O275" s="3">
        <f t="shared" si="4"/>
        <v>200000</v>
      </c>
    </row>
    <row r="276" spans="1:15" x14ac:dyDescent="0.25">
      <c r="A276" s="76">
        <v>43053</v>
      </c>
      <c r="B276" s="77" t="s">
        <v>5019</v>
      </c>
      <c r="C276" s="77" t="s">
        <v>5020</v>
      </c>
      <c r="D276" s="77" t="s">
        <v>2879</v>
      </c>
      <c r="E276" s="78">
        <v>12377</v>
      </c>
      <c r="F276" s="77" t="s">
        <v>4814</v>
      </c>
      <c r="G276" s="78">
        <v>100</v>
      </c>
      <c r="H276" s="78">
        <v>100</v>
      </c>
      <c r="I276" s="77" t="s">
        <v>4800</v>
      </c>
      <c r="L276" s="3">
        <f>VLOOKUP(C276,Securities!A:D,4,FALSE)</f>
        <v>5</v>
      </c>
      <c r="M276" s="3" t="str">
        <f>VLOOKUP(C276,Securities!A:B,2,FALSE)</f>
        <v>RU000A0JX0B9 Corp</v>
      </c>
      <c r="O276" s="3">
        <f t="shared" si="4"/>
        <v>12377</v>
      </c>
    </row>
    <row r="277" spans="1:15" x14ac:dyDescent="0.25">
      <c r="A277" s="79">
        <v>43053</v>
      </c>
      <c r="B277" s="80" t="s">
        <v>5019</v>
      </c>
      <c r="C277" s="80" t="s">
        <v>4932</v>
      </c>
      <c r="D277" s="80" t="s">
        <v>4933</v>
      </c>
      <c r="E277" s="81">
        <v>50000</v>
      </c>
      <c r="F277" s="80" t="s">
        <v>4814</v>
      </c>
      <c r="G277" s="81">
        <v>100</v>
      </c>
      <c r="H277" s="81">
        <v>100</v>
      </c>
      <c r="I277" s="80" t="s">
        <v>4800</v>
      </c>
      <c r="L277" s="3">
        <f>VLOOKUP(C277,Securities!A:D,4,FALSE)</f>
        <v>5</v>
      </c>
      <c r="M277" s="3" t="str">
        <f>VLOOKUP(C277,Securities!A:B,2,FALSE)</f>
        <v>RU000A0ZYBS1 Corp</v>
      </c>
      <c r="O277" s="3">
        <f t="shared" si="4"/>
        <v>50000</v>
      </c>
    </row>
    <row r="278" spans="1:15" x14ac:dyDescent="0.25">
      <c r="A278" s="76">
        <v>43053</v>
      </c>
      <c r="B278" s="77" t="s">
        <v>5021</v>
      </c>
      <c r="C278" s="77" t="s">
        <v>4930</v>
      </c>
      <c r="D278" s="77" t="s">
        <v>4931</v>
      </c>
      <c r="E278" s="78">
        <v>200000</v>
      </c>
      <c r="F278" s="77" t="s">
        <v>4806</v>
      </c>
      <c r="G278" s="78">
        <v>102.3</v>
      </c>
      <c r="H278" s="78">
        <v>102.3</v>
      </c>
      <c r="I278" s="77" t="s">
        <v>4800</v>
      </c>
      <c r="L278" s="3">
        <f>VLOOKUP(C278,Securities!A:D,4,FALSE)</f>
        <v>5</v>
      </c>
      <c r="M278" s="3" t="str">
        <f>VLOOKUP(C278,Securities!A:B,2,FALSE)</f>
        <v>EJ634925 Corp</v>
      </c>
      <c r="O278" s="3">
        <f t="shared" si="4"/>
        <v>200000</v>
      </c>
    </row>
    <row r="279" spans="1:15" x14ac:dyDescent="0.25">
      <c r="A279" s="79">
        <v>43053</v>
      </c>
      <c r="B279" s="80" t="s">
        <v>5021</v>
      </c>
      <c r="C279" s="80" t="s">
        <v>4805</v>
      </c>
      <c r="D279" s="80" t="s">
        <v>31</v>
      </c>
      <c r="E279" s="81">
        <v>250000</v>
      </c>
      <c r="F279" s="80" t="s">
        <v>4806</v>
      </c>
      <c r="G279" s="81">
        <v>172.5</v>
      </c>
      <c r="H279" s="81">
        <v>172.5</v>
      </c>
      <c r="I279" s="80" t="s">
        <v>4800</v>
      </c>
      <c r="L279" s="3">
        <f>VLOOKUP(C279,Securities!A:D,4,FALSE)</f>
        <v>5</v>
      </c>
      <c r="M279" s="3" t="str">
        <f>VLOOKUP(C279,Securities!A:B,2,FALSE)</f>
        <v>TT343269 Corp</v>
      </c>
      <c r="O279" s="3">
        <f t="shared" si="4"/>
        <v>250000</v>
      </c>
    </row>
    <row r="280" spans="1:15" x14ac:dyDescent="0.25">
      <c r="A280" s="76">
        <v>43053</v>
      </c>
      <c r="B280" s="77" t="s">
        <v>5021</v>
      </c>
      <c r="C280" s="77" t="s">
        <v>4980</v>
      </c>
      <c r="D280" s="77" t="s">
        <v>4981</v>
      </c>
      <c r="E280" s="78">
        <v>300000</v>
      </c>
      <c r="F280" s="77" t="s">
        <v>4806</v>
      </c>
      <c r="G280" s="78">
        <v>0</v>
      </c>
      <c r="H280" s="78">
        <v>0</v>
      </c>
      <c r="I280" s="77" t="s">
        <v>4800</v>
      </c>
      <c r="L280" s="3">
        <f>VLOOKUP(C280,Securities!A:D,4,FALSE)</f>
        <v>5</v>
      </c>
      <c r="M280" s="3" t="str">
        <f>VLOOKUP(C280,Securities!A:B,2,FALSE)</f>
        <v>XS0779213460 Corp</v>
      </c>
      <c r="O280" s="3">
        <f t="shared" si="4"/>
        <v>300000</v>
      </c>
    </row>
    <row r="281" spans="1:15" x14ac:dyDescent="0.25">
      <c r="A281" s="79">
        <v>43053</v>
      </c>
      <c r="B281" s="80" t="s">
        <v>5021</v>
      </c>
      <c r="C281" s="80" t="s">
        <v>5022</v>
      </c>
      <c r="D281" s="80" t="s">
        <v>5023</v>
      </c>
      <c r="E281" s="81">
        <v>350000</v>
      </c>
      <c r="F281" s="80" t="s">
        <v>4806</v>
      </c>
      <c r="G281" s="81">
        <v>103</v>
      </c>
      <c r="H281" s="81">
        <v>103</v>
      </c>
      <c r="I281" s="80" t="s">
        <v>4800</v>
      </c>
      <c r="L281" s="3">
        <f>VLOOKUP(C281,Securities!A:D,4,FALSE)</f>
        <v>5</v>
      </c>
      <c r="M281" s="3" t="str">
        <f>VLOOKUP(C281,Securities!A:B,2,FALSE)</f>
        <v>XS0191754729 Corp</v>
      </c>
      <c r="O281" s="3">
        <f t="shared" si="4"/>
        <v>350000</v>
      </c>
    </row>
    <row r="282" spans="1:15" x14ac:dyDescent="0.25">
      <c r="A282" s="76">
        <v>43053</v>
      </c>
      <c r="B282" s="77" t="s">
        <v>5021</v>
      </c>
      <c r="C282" s="77" t="s">
        <v>4903</v>
      </c>
      <c r="D282" s="77" t="s">
        <v>4904</v>
      </c>
      <c r="E282" s="78">
        <v>400000</v>
      </c>
      <c r="F282" s="77" t="s">
        <v>4806</v>
      </c>
      <c r="G282" s="78">
        <v>107.1875</v>
      </c>
      <c r="H282" s="78">
        <v>107.1875</v>
      </c>
      <c r="I282" s="77" t="s">
        <v>4800</v>
      </c>
      <c r="L282" s="3">
        <f>VLOOKUP(C282,Securities!A:D,4,FALSE)</f>
        <v>5</v>
      </c>
      <c r="M282" s="3" t="str">
        <f>VLOOKUP(C282,Securities!A:B,2,FALSE)</f>
        <v>XS1319813769 Corp</v>
      </c>
      <c r="O282" s="3">
        <f t="shared" si="4"/>
        <v>400000</v>
      </c>
    </row>
    <row r="283" spans="1:15" x14ac:dyDescent="0.25">
      <c r="A283" s="79">
        <v>43053</v>
      </c>
      <c r="B283" s="80" t="s">
        <v>5021</v>
      </c>
      <c r="C283" s="80" t="s">
        <v>5024</v>
      </c>
      <c r="D283" s="80" t="s">
        <v>5025</v>
      </c>
      <c r="E283" s="81">
        <v>200000</v>
      </c>
      <c r="F283" s="80" t="s">
        <v>4806</v>
      </c>
      <c r="G283" s="81">
        <v>99.25</v>
      </c>
      <c r="H283" s="81">
        <v>99.25</v>
      </c>
      <c r="I283" s="80" t="s">
        <v>4800</v>
      </c>
      <c r="L283" s="3">
        <f>VLOOKUP(C283,Securities!A:D,4,FALSE)</f>
        <v>5</v>
      </c>
      <c r="M283" s="3" t="str">
        <f>VLOOKUP(C283,Securities!A:B,2,FALSE)</f>
        <v>XS1405766384 Corp</v>
      </c>
      <c r="O283" s="3">
        <f t="shared" si="4"/>
        <v>200000</v>
      </c>
    </row>
    <row r="284" spans="1:15" x14ac:dyDescent="0.25">
      <c r="A284" s="76">
        <v>43053</v>
      </c>
      <c r="B284" s="77" t="s">
        <v>5021</v>
      </c>
      <c r="C284" s="77" t="s">
        <v>4967</v>
      </c>
      <c r="D284" s="77" t="s">
        <v>4968</v>
      </c>
      <c r="E284" s="78">
        <v>200000</v>
      </c>
      <c r="F284" s="77" t="s">
        <v>4806</v>
      </c>
      <c r="G284" s="78">
        <v>114.25</v>
      </c>
      <c r="H284" s="78">
        <v>114.25</v>
      </c>
      <c r="I284" s="77" t="s">
        <v>4800</v>
      </c>
      <c r="L284" s="3">
        <f>VLOOKUP(C284,Securities!A:D,4,FALSE)</f>
        <v>5</v>
      </c>
      <c r="M284" s="3" t="str">
        <f>VLOOKUP(C284,Securities!A:B,2,FALSE)</f>
        <v>XS0979891925 Corp</v>
      </c>
      <c r="O284" s="3">
        <f t="shared" si="4"/>
        <v>200000</v>
      </c>
    </row>
    <row r="285" spans="1:15" x14ac:dyDescent="0.25">
      <c r="A285" s="79">
        <v>43053</v>
      </c>
      <c r="B285" s="80" t="s">
        <v>5021</v>
      </c>
      <c r="C285" s="80" t="s">
        <v>5026</v>
      </c>
      <c r="D285" s="80" t="s">
        <v>5027</v>
      </c>
      <c r="E285" s="81">
        <v>500000</v>
      </c>
      <c r="F285" s="80" t="s">
        <v>4806</v>
      </c>
      <c r="G285" s="81">
        <v>0</v>
      </c>
      <c r="H285" s="81">
        <v>0</v>
      </c>
      <c r="I285" s="80" t="s">
        <v>4800</v>
      </c>
      <c r="L285" s="3">
        <f>VLOOKUP(C285,Securities!A:D,4,FALSE)</f>
        <v>5</v>
      </c>
      <c r="M285" s="3" t="str">
        <f>VLOOKUP(C285,Securities!A:B,2,FALSE)</f>
        <v>XS0935311240 Corp</v>
      </c>
      <c r="O285" s="3">
        <f t="shared" si="4"/>
        <v>500000</v>
      </c>
    </row>
    <row r="286" spans="1:15" x14ac:dyDescent="0.25">
      <c r="A286" s="76">
        <v>43053</v>
      </c>
      <c r="B286" s="77" t="s">
        <v>5021</v>
      </c>
      <c r="C286" s="77" t="s">
        <v>4851</v>
      </c>
      <c r="D286" s="77" t="s">
        <v>4744</v>
      </c>
      <c r="E286" s="78">
        <v>200000</v>
      </c>
      <c r="F286" s="77" t="s">
        <v>4806</v>
      </c>
      <c r="G286" s="78">
        <v>98.405000000000001</v>
      </c>
      <c r="H286" s="78">
        <v>98.405000000000001</v>
      </c>
      <c r="I286" s="77" t="s">
        <v>4800</v>
      </c>
      <c r="L286" s="3">
        <f>VLOOKUP(C286,Securities!A:D,4,FALSE)</f>
        <v>5</v>
      </c>
      <c r="M286" s="3" t="str">
        <f>VLOOKUP(C286,Securities!A:B,2,FALSE)</f>
        <v>XS1032750165 Corp</v>
      </c>
      <c r="O286" s="3">
        <f t="shared" si="4"/>
        <v>200000</v>
      </c>
    </row>
    <row r="287" spans="1:15" x14ac:dyDescent="0.25">
      <c r="A287" s="79">
        <v>43053</v>
      </c>
      <c r="B287" s="80" t="s">
        <v>5021</v>
      </c>
      <c r="C287" s="80" t="s">
        <v>5028</v>
      </c>
      <c r="D287" s="80" t="s">
        <v>5029</v>
      </c>
      <c r="E287" s="81">
        <v>200000</v>
      </c>
      <c r="F287" s="80" t="s">
        <v>4806</v>
      </c>
      <c r="G287" s="81">
        <v>108.9</v>
      </c>
      <c r="H287" s="81">
        <v>108.9</v>
      </c>
      <c r="I287" s="80" t="s">
        <v>4800</v>
      </c>
      <c r="L287" s="3">
        <f>VLOOKUP(C287,Securities!A:D,4,FALSE)</f>
        <v>5</v>
      </c>
      <c r="M287" s="3" t="str">
        <f>VLOOKUP(C287,Securities!A:B,2,FALSE)</f>
        <v>EJ394063 Corp</v>
      </c>
      <c r="O287" s="3">
        <f t="shared" si="4"/>
        <v>200000</v>
      </c>
    </row>
    <row r="288" spans="1:15" x14ac:dyDescent="0.25">
      <c r="A288" s="76">
        <v>43053</v>
      </c>
      <c r="B288" s="77" t="s">
        <v>5030</v>
      </c>
      <c r="C288" s="77" t="s">
        <v>5031</v>
      </c>
      <c r="D288" s="77" t="s">
        <v>5032</v>
      </c>
      <c r="E288" s="78">
        <v>300000</v>
      </c>
      <c r="F288" s="77" t="s">
        <v>4806</v>
      </c>
      <c r="G288" s="78">
        <v>104.1</v>
      </c>
      <c r="H288" s="78">
        <v>104.1</v>
      </c>
      <c r="I288" s="77" t="s">
        <v>4800</v>
      </c>
      <c r="L288" s="3">
        <f>VLOOKUP(C288,Securities!A:D,4,FALSE)</f>
        <v>5</v>
      </c>
      <c r="M288" s="3" t="str">
        <f>VLOOKUP(C288,Securities!A:B,2,FALSE)</f>
        <v>USG25343AA52 Corp</v>
      </c>
      <c r="O288" s="3">
        <f t="shared" si="4"/>
        <v>300000</v>
      </c>
    </row>
    <row r="289" spans="1:15" x14ac:dyDescent="0.25">
      <c r="A289" s="79">
        <v>43053</v>
      </c>
      <c r="B289" s="80" t="s">
        <v>5030</v>
      </c>
      <c r="C289" s="80" t="s">
        <v>5033</v>
      </c>
      <c r="D289" s="80" t="s">
        <v>5034</v>
      </c>
      <c r="E289" s="81">
        <v>3440</v>
      </c>
      <c r="F289" s="80" t="s">
        <v>4898</v>
      </c>
      <c r="G289" s="81">
        <v>6725.2470149999999</v>
      </c>
      <c r="H289" s="81">
        <v>115.1</v>
      </c>
      <c r="I289" s="80" t="s">
        <v>4800</v>
      </c>
      <c r="L289" s="3">
        <f>VLOOKUP(C289,Securities!A:D,4,FALSE)</f>
        <v>1</v>
      </c>
      <c r="M289" s="3" t="str">
        <f>VLOOKUP(C289,Securities!A:B,2,FALSE)</f>
        <v>EMB US Equity</v>
      </c>
      <c r="O289" s="3">
        <f t="shared" si="4"/>
        <v>3440</v>
      </c>
    </row>
    <row r="290" spans="1:15" x14ac:dyDescent="0.25">
      <c r="A290" s="76">
        <v>43053</v>
      </c>
      <c r="B290" s="77" t="s">
        <v>5030</v>
      </c>
      <c r="C290" s="77" t="s">
        <v>5035</v>
      </c>
      <c r="D290" s="77" t="s">
        <v>5036</v>
      </c>
      <c r="E290" s="78">
        <v>200000</v>
      </c>
      <c r="F290" s="77" t="s">
        <v>4806</v>
      </c>
      <c r="G290" s="78">
        <v>101</v>
      </c>
      <c r="H290" s="78">
        <v>101</v>
      </c>
      <c r="I290" s="77" t="s">
        <v>4800</v>
      </c>
      <c r="L290" s="3">
        <f>VLOOKUP(C290,Securities!A:D,4,FALSE)</f>
        <v>5</v>
      </c>
      <c r="M290" s="3" t="str">
        <f>VLOOKUP(C290,Securities!A:B,2,FALSE)</f>
        <v>XS0579851949 Corp</v>
      </c>
      <c r="O290" s="3">
        <f t="shared" si="4"/>
        <v>200000</v>
      </c>
    </row>
    <row r="291" spans="1:15" x14ac:dyDescent="0.25">
      <c r="A291" s="79">
        <v>43053</v>
      </c>
      <c r="B291" s="80" t="s">
        <v>5030</v>
      </c>
      <c r="C291" s="80" t="s">
        <v>4805</v>
      </c>
      <c r="D291" s="80" t="s">
        <v>31</v>
      </c>
      <c r="E291" s="81">
        <v>500000</v>
      </c>
      <c r="F291" s="80" t="s">
        <v>4806</v>
      </c>
      <c r="G291" s="81">
        <v>176.102</v>
      </c>
      <c r="H291" s="81">
        <v>176.102</v>
      </c>
      <c r="I291" s="80" t="s">
        <v>4800</v>
      </c>
      <c r="L291" s="3">
        <f>VLOOKUP(C291,Securities!A:D,4,FALSE)</f>
        <v>5</v>
      </c>
      <c r="M291" s="3" t="str">
        <f>VLOOKUP(C291,Securities!A:B,2,FALSE)</f>
        <v>TT343269 Corp</v>
      </c>
      <c r="O291" s="3">
        <f t="shared" si="4"/>
        <v>500000</v>
      </c>
    </row>
    <row r="292" spans="1:15" x14ac:dyDescent="0.25">
      <c r="A292" s="76">
        <v>43053</v>
      </c>
      <c r="B292" s="77" t="s">
        <v>5030</v>
      </c>
      <c r="C292" s="77" t="s">
        <v>5037</v>
      </c>
      <c r="D292" s="77" t="s">
        <v>5038</v>
      </c>
      <c r="E292" s="78">
        <v>400000</v>
      </c>
      <c r="F292" s="77" t="s">
        <v>4806</v>
      </c>
      <c r="G292" s="78">
        <v>100.49</v>
      </c>
      <c r="H292" s="78">
        <v>100.49</v>
      </c>
      <c r="I292" s="77" t="s">
        <v>4800</v>
      </c>
      <c r="L292" s="3">
        <f>VLOOKUP(C292,Securities!A:D,4,FALSE)</f>
        <v>5</v>
      </c>
      <c r="M292" s="3" t="str">
        <f>VLOOKUP(C292,Securities!A:B,2,FALSE)</f>
        <v>XS1533915721 Corp</v>
      </c>
      <c r="O292" s="3">
        <f t="shared" si="4"/>
        <v>400000</v>
      </c>
    </row>
    <row r="293" spans="1:15" x14ac:dyDescent="0.25">
      <c r="A293" s="79">
        <v>43053</v>
      </c>
      <c r="B293" s="80" t="s">
        <v>5030</v>
      </c>
      <c r="C293" s="80" t="s">
        <v>5039</v>
      </c>
      <c r="D293" s="80" t="s">
        <v>5040</v>
      </c>
      <c r="E293" s="81">
        <v>300000</v>
      </c>
      <c r="F293" s="80" t="s">
        <v>4806</v>
      </c>
      <c r="G293" s="81">
        <v>99.3</v>
      </c>
      <c r="H293" s="81">
        <v>99.3</v>
      </c>
      <c r="I293" s="80" t="s">
        <v>4800</v>
      </c>
      <c r="L293" s="3">
        <f>VLOOKUP(C293,Securities!A:D,4,FALSE)</f>
        <v>5</v>
      </c>
      <c r="M293" s="3" t="str">
        <f>VLOOKUP(C293,Securities!A:B,2,FALSE)</f>
        <v>US35671DAZ87 Corp</v>
      </c>
      <c r="O293" s="3">
        <f t="shared" si="4"/>
        <v>300000</v>
      </c>
    </row>
    <row r="294" spans="1:15" x14ac:dyDescent="0.25">
      <c r="A294" s="76">
        <v>43053</v>
      </c>
      <c r="B294" s="77" t="s">
        <v>5030</v>
      </c>
      <c r="C294" s="77" t="s">
        <v>5041</v>
      </c>
      <c r="D294" s="77" t="s">
        <v>5042</v>
      </c>
      <c r="E294" s="78">
        <v>300000</v>
      </c>
      <c r="F294" s="77" t="s">
        <v>4806</v>
      </c>
      <c r="G294" s="78">
        <v>112</v>
      </c>
      <c r="H294" s="78">
        <v>112</v>
      </c>
      <c r="I294" s="77" t="s">
        <v>4800</v>
      </c>
      <c r="L294" s="3">
        <f>VLOOKUP(C294,Securities!A:D,4,FALSE)</f>
        <v>5</v>
      </c>
      <c r="M294" s="3" t="str">
        <f>VLOOKUP(C294,Securities!A:B,2,FALSE)</f>
        <v>XS0906949523 Corp</v>
      </c>
      <c r="O294" s="3">
        <f t="shared" si="4"/>
        <v>300000</v>
      </c>
    </row>
    <row r="295" spans="1:15" x14ac:dyDescent="0.25">
      <c r="A295" s="79">
        <v>43053</v>
      </c>
      <c r="B295" s="80" t="s">
        <v>5030</v>
      </c>
      <c r="C295" s="80" t="s">
        <v>5043</v>
      </c>
      <c r="D295" s="80" t="s">
        <v>5044</v>
      </c>
      <c r="E295" s="81">
        <v>500000</v>
      </c>
      <c r="F295" s="80" t="s">
        <v>4806</v>
      </c>
      <c r="G295" s="81">
        <v>103.675</v>
      </c>
      <c r="H295" s="81">
        <v>103.675</v>
      </c>
      <c r="I295" s="80" t="s">
        <v>4800</v>
      </c>
      <c r="L295" s="3">
        <f>VLOOKUP(C295,Securities!A:D,4,FALSE)</f>
        <v>5</v>
      </c>
      <c r="M295" s="3" t="str">
        <f>VLOOKUP(C295,Securities!A:B,2,FALSE)</f>
        <v>XS0547082973 Corp</v>
      </c>
      <c r="O295" s="3">
        <f t="shared" si="4"/>
        <v>500000</v>
      </c>
    </row>
    <row r="296" spans="1:15" x14ac:dyDescent="0.25">
      <c r="A296" s="76">
        <v>43053</v>
      </c>
      <c r="B296" s="77" t="s">
        <v>5030</v>
      </c>
      <c r="C296" s="77" t="s">
        <v>4903</v>
      </c>
      <c r="D296" s="77" t="s">
        <v>4904</v>
      </c>
      <c r="E296" s="78">
        <v>300000</v>
      </c>
      <c r="F296" s="77" t="s">
        <v>4806</v>
      </c>
      <c r="G296" s="78">
        <v>106.3</v>
      </c>
      <c r="H296" s="78">
        <v>106.3</v>
      </c>
      <c r="I296" s="77" t="s">
        <v>4800</v>
      </c>
      <c r="L296" s="3">
        <f>VLOOKUP(C296,Securities!A:D,4,FALSE)</f>
        <v>5</v>
      </c>
      <c r="M296" s="3" t="str">
        <f>VLOOKUP(C296,Securities!A:B,2,FALSE)</f>
        <v>XS1319813769 Corp</v>
      </c>
      <c r="O296" s="3">
        <f t="shared" si="4"/>
        <v>300000</v>
      </c>
    </row>
    <row r="297" spans="1:15" x14ac:dyDescent="0.25">
      <c r="A297" s="79">
        <v>43053</v>
      </c>
      <c r="B297" s="80" t="s">
        <v>5030</v>
      </c>
      <c r="C297" s="80" t="s">
        <v>5045</v>
      </c>
      <c r="D297" s="80" t="s">
        <v>5046</v>
      </c>
      <c r="E297" s="81">
        <v>200000</v>
      </c>
      <c r="F297" s="80" t="s">
        <v>4806</v>
      </c>
      <c r="G297" s="81">
        <v>99.674999999999997</v>
      </c>
      <c r="H297" s="81">
        <v>99.674999999999997</v>
      </c>
      <c r="I297" s="80" t="s">
        <v>4800</v>
      </c>
      <c r="L297" s="3">
        <f>VLOOKUP(C297,Securities!A:D,4,FALSE)</f>
        <v>5</v>
      </c>
      <c r="M297" s="3" t="str">
        <f>VLOOKUP(C297,Securities!A:B,2,FALSE)</f>
        <v>XS1069383856 Corp</v>
      </c>
      <c r="O297" s="3">
        <f t="shared" si="4"/>
        <v>200000</v>
      </c>
    </row>
    <row r="298" spans="1:15" x14ac:dyDescent="0.25">
      <c r="A298" s="76">
        <v>43053</v>
      </c>
      <c r="B298" s="77" t="s">
        <v>5030</v>
      </c>
      <c r="C298" s="77" t="s">
        <v>4963</v>
      </c>
      <c r="D298" s="77" t="s">
        <v>4964</v>
      </c>
      <c r="E298" s="78">
        <v>300000</v>
      </c>
      <c r="F298" s="77" t="s">
        <v>4806</v>
      </c>
      <c r="G298" s="78">
        <v>99.8</v>
      </c>
      <c r="H298" s="78">
        <v>99.8</v>
      </c>
      <c r="I298" s="77" t="s">
        <v>4800</v>
      </c>
      <c r="L298" s="3">
        <f>VLOOKUP(C298,Securities!A:D,4,FALSE)</f>
        <v>5</v>
      </c>
      <c r="M298" s="3" t="str">
        <f>VLOOKUP(C298,Securities!A:B,2,FALSE)</f>
        <v>XS1439838548 Corp</v>
      </c>
      <c r="O298" s="3">
        <f t="shared" si="4"/>
        <v>300000</v>
      </c>
    </row>
    <row r="299" spans="1:15" x14ac:dyDescent="0.25">
      <c r="A299" s="79">
        <v>43053</v>
      </c>
      <c r="B299" s="80" t="s">
        <v>5030</v>
      </c>
      <c r="C299" s="80" t="s">
        <v>4943</v>
      </c>
      <c r="D299" s="80" t="s">
        <v>4944</v>
      </c>
      <c r="E299" s="81">
        <v>5050</v>
      </c>
      <c r="F299" s="80" t="s">
        <v>4898</v>
      </c>
      <c r="G299" s="81">
        <v>7332.2661209999997</v>
      </c>
      <c r="H299" s="81">
        <v>125.774818</v>
      </c>
      <c r="I299" s="80" t="s">
        <v>4800</v>
      </c>
      <c r="L299" s="3">
        <f>VLOOKUP(C299,Securities!A:D,4,FALSE)</f>
        <v>1</v>
      </c>
      <c r="M299" s="3" t="str">
        <f>VLOOKUP(C299,Securities!A:B,2,FALSE)</f>
        <v>IHYG LN Equity</v>
      </c>
      <c r="O299" s="3">
        <f t="shared" si="4"/>
        <v>5050</v>
      </c>
    </row>
    <row r="300" spans="1:15" x14ac:dyDescent="0.25">
      <c r="A300" s="76">
        <v>43053</v>
      </c>
      <c r="B300" s="77" t="s">
        <v>5030</v>
      </c>
      <c r="C300" s="77" t="s">
        <v>4863</v>
      </c>
      <c r="D300" s="77" t="s">
        <v>4864</v>
      </c>
      <c r="E300" s="78">
        <v>200000</v>
      </c>
      <c r="F300" s="77" t="s">
        <v>4806</v>
      </c>
      <c r="G300" s="78">
        <v>105.5</v>
      </c>
      <c r="H300" s="78">
        <v>105.5</v>
      </c>
      <c r="I300" s="77" t="s">
        <v>4800</v>
      </c>
      <c r="L300" s="3">
        <f>VLOOKUP(C300,Securities!A:D,4,FALSE)</f>
        <v>5</v>
      </c>
      <c r="M300" s="3" t="str">
        <f>VLOOKUP(C300,Securities!A:B,2,FALSE)</f>
        <v>USN54468AF52 Corp</v>
      </c>
      <c r="O300" s="3">
        <f t="shared" si="4"/>
        <v>200000</v>
      </c>
    </row>
    <row r="301" spans="1:15" x14ac:dyDescent="0.25">
      <c r="A301" s="79">
        <v>43053</v>
      </c>
      <c r="B301" s="80" t="s">
        <v>5030</v>
      </c>
      <c r="C301" s="80" t="s">
        <v>4998</v>
      </c>
      <c r="D301" s="80" t="s">
        <v>4999</v>
      </c>
      <c r="E301" s="81">
        <v>300000</v>
      </c>
      <c r="F301" s="80" t="s">
        <v>4806</v>
      </c>
      <c r="G301" s="81">
        <v>103.875</v>
      </c>
      <c r="H301" s="81">
        <v>103.875</v>
      </c>
      <c r="I301" s="80" t="s">
        <v>4800</v>
      </c>
      <c r="L301" s="3">
        <f>VLOOKUP(C301,Securities!A:D,4,FALSE)</f>
        <v>5</v>
      </c>
      <c r="M301" s="3" t="str">
        <f>VLOOKUP(C301,Securities!A:B,2,FALSE)</f>
        <v>XS1503116912 Corp</v>
      </c>
      <c r="O301" s="3">
        <f t="shared" si="4"/>
        <v>300000</v>
      </c>
    </row>
    <row r="302" spans="1:15" x14ac:dyDescent="0.25">
      <c r="A302" s="76">
        <v>43053</v>
      </c>
      <c r="B302" s="77" t="s">
        <v>5030</v>
      </c>
      <c r="C302" s="77" t="s">
        <v>5047</v>
      </c>
      <c r="D302" s="77" t="s">
        <v>5048</v>
      </c>
      <c r="E302" s="78">
        <v>200000</v>
      </c>
      <c r="F302" s="77" t="s">
        <v>4806</v>
      </c>
      <c r="G302" s="78">
        <v>98</v>
      </c>
      <c r="H302" s="78">
        <v>98</v>
      </c>
      <c r="I302" s="77" t="s">
        <v>4800</v>
      </c>
      <c r="L302" s="3">
        <f>VLOOKUP(C302,Securities!A:D,4,FALSE)</f>
        <v>5</v>
      </c>
      <c r="M302" s="3" t="str">
        <f>VLOOKUP(C302,Securities!A:B,2,FALSE)</f>
        <v>XS1128996425 Corp</v>
      </c>
      <c r="O302" s="3">
        <f t="shared" si="4"/>
        <v>200000</v>
      </c>
    </row>
    <row r="303" spans="1:15" x14ac:dyDescent="0.25">
      <c r="A303" s="79">
        <v>43053</v>
      </c>
      <c r="B303" s="80" t="s">
        <v>5030</v>
      </c>
      <c r="C303" s="80" t="s">
        <v>4947</v>
      </c>
      <c r="D303" s="80" t="s">
        <v>4948</v>
      </c>
      <c r="E303" s="81">
        <v>212751</v>
      </c>
      <c r="F303" s="80" t="s">
        <v>4949</v>
      </c>
      <c r="G303" s="81">
        <v>96.550655000000006</v>
      </c>
      <c r="H303" s="81">
        <v>1.6737010000000001</v>
      </c>
      <c r="I303" s="80" t="s">
        <v>4800</v>
      </c>
      <c r="L303" s="3">
        <f>VLOOKUP(C303,Securities!A:D,4,FALSE)</f>
        <v>1</v>
      </c>
      <c r="M303" s="3" t="str">
        <f>VLOOKUP(C303,Securities!A:B,2,FALSE)</f>
        <v>OMEAEHA ID Equity</v>
      </c>
      <c r="O303" s="3">
        <f t="shared" si="4"/>
        <v>212751</v>
      </c>
    </row>
    <row r="304" spans="1:15" x14ac:dyDescent="0.25">
      <c r="A304" s="76">
        <v>43053</v>
      </c>
      <c r="B304" s="77" t="s">
        <v>5030</v>
      </c>
      <c r="C304" s="77" t="s">
        <v>5049</v>
      </c>
      <c r="D304" s="77" t="s">
        <v>5050</v>
      </c>
      <c r="E304" s="78">
        <v>200000</v>
      </c>
      <c r="F304" s="77" t="s">
        <v>4806</v>
      </c>
      <c r="G304" s="78">
        <v>103.5</v>
      </c>
      <c r="H304" s="78">
        <v>103.5</v>
      </c>
      <c r="I304" s="77" t="s">
        <v>4800</v>
      </c>
      <c r="L304" s="3">
        <f>VLOOKUP(C304,Securities!A:D,4,FALSE)</f>
        <v>5</v>
      </c>
      <c r="M304" s="3" t="str">
        <f>VLOOKUP(C304,Securities!A:B,2,FALSE)</f>
        <v>US71654QCD25 Corp</v>
      </c>
      <c r="O304" s="3">
        <f t="shared" si="4"/>
        <v>200000</v>
      </c>
    </row>
    <row r="305" spans="1:15" x14ac:dyDescent="0.25">
      <c r="A305" s="79">
        <v>43053</v>
      </c>
      <c r="B305" s="80" t="s">
        <v>5030</v>
      </c>
      <c r="C305" s="80" t="s">
        <v>5051</v>
      </c>
      <c r="D305" s="80" t="s">
        <v>5052</v>
      </c>
      <c r="E305" s="81">
        <v>300000</v>
      </c>
      <c r="F305" s="80" t="s">
        <v>4806</v>
      </c>
      <c r="G305" s="81">
        <v>104.5</v>
      </c>
      <c r="H305" s="81">
        <v>104.5</v>
      </c>
      <c r="I305" s="80" t="s">
        <v>4800</v>
      </c>
      <c r="L305" s="3">
        <f>VLOOKUP(C305,Securities!A:D,4,FALSE)</f>
        <v>5</v>
      </c>
      <c r="M305" s="3" t="str">
        <f>VLOOKUP(C305,Securities!A:B,2,FALSE)</f>
        <v>XS0982711714 Corp</v>
      </c>
      <c r="O305" s="3">
        <f t="shared" si="4"/>
        <v>300000</v>
      </c>
    </row>
    <row r="306" spans="1:15" x14ac:dyDescent="0.25">
      <c r="A306" s="76">
        <v>43053</v>
      </c>
      <c r="B306" s="77" t="s">
        <v>5030</v>
      </c>
      <c r="C306" s="77" t="s">
        <v>5053</v>
      </c>
      <c r="D306" s="77" t="s">
        <v>5054</v>
      </c>
      <c r="E306" s="78">
        <v>300000</v>
      </c>
      <c r="F306" s="77" t="s">
        <v>4806</v>
      </c>
      <c r="G306" s="78">
        <v>104.35</v>
      </c>
      <c r="H306" s="78">
        <v>104.35</v>
      </c>
      <c r="I306" s="77" t="s">
        <v>4800</v>
      </c>
      <c r="L306" s="3">
        <f>VLOOKUP(C306,Securities!A:D,4,FALSE)</f>
        <v>5</v>
      </c>
      <c r="M306" s="3" t="str">
        <f>VLOOKUP(C306,Securities!A:B,2,FALSE)</f>
        <v>XS1568874983 Corp</v>
      </c>
      <c r="O306" s="3">
        <f t="shared" si="4"/>
        <v>300000</v>
      </c>
    </row>
    <row r="307" spans="1:15" x14ac:dyDescent="0.25">
      <c r="A307" s="79">
        <v>43053</v>
      </c>
      <c r="B307" s="80" t="s">
        <v>5030</v>
      </c>
      <c r="C307" s="80" t="s">
        <v>4913</v>
      </c>
      <c r="D307" s="80" t="s">
        <v>4914</v>
      </c>
      <c r="E307" s="81">
        <v>386000</v>
      </c>
      <c r="F307" s="80" t="s">
        <v>4806</v>
      </c>
      <c r="G307" s="81">
        <v>102.3</v>
      </c>
      <c r="H307" s="81">
        <v>102.3</v>
      </c>
      <c r="I307" s="80" t="s">
        <v>4800</v>
      </c>
      <c r="L307" s="3">
        <f>VLOOKUP(C307,Securities!A:D,4,FALSE)</f>
        <v>5</v>
      </c>
      <c r="M307" s="3" t="str">
        <f>VLOOKUP(C307,Securities!A:B,2,FALSE)</f>
        <v>XS1533922933 Corp</v>
      </c>
      <c r="O307" s="3">
        <f t="shared" si="4"/>
        <v>386000</v>
      </c>
    </row>
    <row r="308" spans="1:15" x14ac:dyDescent="0.25">
      <c r="A308" s="76">
        <v>43053</v>
      </c>
      <c r="B308" s="77" t="s">
        <v>5030</v>
      </c>
      <c r="C308" s="77" t="s">
        <v>4967</v>
      </c>
      <c r="D308" s="77" t="s">
        <v>4968</v>
      </c>
      <c r="E308" s="78">
        <v>300000</v>
      </c>
      <c r="F308" s="77" t="s">
        <v>4806</v>
      </c>
      <c r="G308" s="78">
        <v>115.38</v>
      </c>
      <c r="H308" s="78">
        <v>115.38</v>
      </c>
      <c r="I308" s="77" t="s">
        <v>4800</v>
      </c>
      <c r="L308" s="3">
        <f>VLOOKUP(C308,Securities!A:D,4,FALSE)</f>
        <v>5</v>
      </c>
      <c r="M308" s="3" t="str">
        <f>VLOOKUP(C308,Securities!A:B,2,FALSE)</f>
        <v>XS0979891925 Corp</v>
      </c>
      <c r="O308" s="3">
        <f t="shared" si="4"/>
        <v>300000</v>
      </c>
    </row>
    <row r="309" spans="1:15" x14ac:dyDescent="0.25">
      <c r="A309" s="79">
        <v>43053</v>
      </c>
      <c r="B309" s="80" t="s">
        <v>5030</v>
      </c>
      <c r="C309" s="80" t="s">
        <v>5026</v>
      </c>
      <c r="D309" s="80" t="s">
        <v>5027</v>
      </c>
      <c r="E309" s="81">
        <v>300000</v>
      </c>
      <c r="F309" s="80" t="s">
        <v>4806</v>
      </c>
      <c r="G309" s="81">
        <v>104.3</v>
      </c>
      <c r="H309" s="81">
        <v>104.3</v>
      </c>
      <c r="I309" s="80" t="s">
        <v>4800</v>
      </c>
      <c r="L309" s="3">
        <f>VLOOKUP(C309,Securities!A:D,4,FALSE)</f>
        <v>5</v>
      </c>
      <c r="M309" s="3" t="str">
        <f>VLOOKUP(C309,Securities!A:B,2,FALSE)</f>
        <v>XS0935311240 Corp</v>
      </c>
      <c r="O309" s="3">
        <f t="shared" si="4"/>
        <v>300000</v>
      </c>
    </row>
    <row r="310" spans="1:15" x14ac:dyDescent="0.25">
      <c r="A310" s="76">
        <v>43053</v>
      </c>
      <c r="B310" s="77" t="s">
        <v>5030</v>
      </c>
      <c r="C310" s="77" t="s">
        <v>4851</v>
      </c>
      <c r="D310" s="77" t="s">
        <v>4744</v>
      </c>
      <c r="E310" s="78">
        <v>300000</v>
      </c>
      <c r="F310" s="77" t="s">
        <v>4806</v>
      </c>
      <c r="G310" s="78">
        <v>102</v>
      </c>
      <c r="H310" s="78">
        <v>102</v>
      </c>
      <c r="I310" s="77" t="s">
        <v>4800</v>
      </c>
      <c r="L310" s="3">
        <f>VLOOKUP(C310,Securities!A:D,4,FALSE)</f>
        <v>5</v>
      </c>
      <c r="M310" s="3" t="str">
        <f>VLOOKUP(C310,Securities!A:B,2,FALSE)</f>
        <v>XS1032750165 Corp</v>
      </c>
      <c r="O310" s="3">
        <f t="shared" si="4"/>
        <v>300000</v>
      </c>
    </row>
    <row r="311" spans="1:15" x14ac:dyDescent="0.25">
      <c r="A311" s="79">
        <v>43053</v>
      </c>
      <c r="B311" s="80" t="s">
        <v>5030</v>
      </c>
      <c r="C311" s="80" t="s">
        <v>5004</v>
      </c>
      <c r="D311" s="80" t="s">
        <v>5005</v>
      </c>
      <c r="E311" s="81">
        <v>300000</v>
      </c>
      <c r="F311" s="80" t="s">
        <v>4806</v>
      </c>
      <c r="G311" s="81">
        <v>104.35</v>
      </c>
      <c r="H311" s="81">
        <v>104.35</v>
      </c>
      <c r="I311" s="80" t="s">
        <v>4800</v>
      </c>
      <c r="L311" s="3">
        <f>VLOOKUP(C311,Securities!A:D,4,FALSE)</f>
        <v>5</v>
      </c>
      <c r="M311" s="3" t="str">
        <f>VLOOKUP(C311,Securities!A:B,2,FALSE)</f>
        <v>XS1433454243 Corp</v>
      </c>
      <c r="O311" s="3">
        <f t="shared" si="4"/>
        <v>300000</v>
      </c>
    </row>
    <row r="312" spans="1:15" x14ac:dyDescent="0.25">
      <c r="A312" s="76">
        <v>43053</v>
      </c>
      <c r="B312" s="77" t="s">
        <v>5030</v>
      </c>
      <c r="C312" s="77" t="s">
        <v>5055</v>
      </c>
      <c r="D312" s="77" t="s">
        <v>5056</v>
      </c>
      <c r="E312" s="78">
        <v>300000</v>
      </c>
      <c r="F312" s="77" t="s">
        <v>4806</v>
      </c>
      <c r="G312" s="78">
        <v>100.5</v>
      </c>
      <c r="H312" s="78">
        <v>100.5</v>
      </c>
      <c r="I312" s="77" t="s">
        <v>4800</v>
      </c>
      <c r="L312" s="3">
        <f>VLOOKUP(C312,Securities!A:D,4,FALSE)</f>
        <v>5</v>
      </c>
      <c r="M312" s="3" t="str">
        <f>VLOOKUP(C312,Securities!A:B,2,FALSE)</f>
        <v>XS1693971043 Corp</v>
      </c>
      <c r="O312" s="3">
        <f t="shared" si="4"/>
        <v>300000</v>
      </c>
    </row>
    <row r="313" spans="1:15" x14ac:dyDescent="0.25">
      <c r="A313" s="79">
        <v>43053</v>
      </c>
      <c r="B313" s="80" t="s">
        <v>5030</v>
      </c>
      <c r="C313" s="80" t="s">
        <v>5057</v>
      </c>
      <c r="D313" s="80" t="s">
        <v>5058</v>
      </c>
      <c r="E313" s="81">
        <v>300000</v>
      </c>
      <c r="F313" s="80" t="s">
        <v>4806</v>
      </c>
      <c r="G313" s="81">
        <v>100.7</v>
      </c>
      <c r="H313" s="81">
        <v>100.7</v>
      </c>
      <c r="I313" s="80" t="s">
        <v>4800</v>
      </c>
      <c r="L313" s="3">
        <f>VLOOKUP(C313,Securities!A:D,4,FALSE)</f>
        <v>5</v>
      </c>
      <c r="M313" s="3" t="str">
        <f>VLOOKUP(C313,Securities!A:B,2,FALSE)</f>
        <v>USG79456AK84 Corp</v>
      </c>
      <c r="O313" s="3">
        <f t="shared" si="4"/>
        <v>300000</v>
      </c>
    </row>
    <row r="314" spans="1:15" x14ac:dyDescent="0.25">
      <c r="A314" s="76">
        <v>43053</v>
      </c>
      <c r="B314" s="77" t="s">
        <v>5030</v>
      </c>
      <c r="C314" s="77" t="s">
        <v>4927</v>
      </c>
      <c r="D314" s="77" t="s">
        <v>4928</v>
      </c>
      <c r="E314" s="78">
        <v>15300</v>
      </c>
      <c r="F314" s="77" t="s">
        <v>4898</v>
      </c>
      <c r="G314" s="78">
        <v>897.24729400000001</v>
      </c>
      <c r="H314" s="78">
        <v>15.450787</v>
      </c>
      <c r="I314" s="77" t="s">
        <v>4800</v>
      </c>
      <c r="L314" s="3">
        <f>VLOOKUP(C314,Securities!A:D,4,FALSE)</f>
        <v>1</v>
      </c>
      <c r="M314" s="3" t="str">
        <f>VLOOKUP(C314,Securities!A:B,2,FALSE)</f>
        <v>SX7EEX GY Equity</v>
      </c>
      <c r="O314" s="3">
        <f t="shared" si="4"/>
        <v>15300</v>
      </c>
    </row>
    <row r="315" spans="1:15" x14ac:dyDescent="0.25">
      <c r="A315" s="79">
        <v>43053</v>
      </c>
      <c r="B315" s="80" t="s">
        <v>5030</v>
      </c>
      <c r="C315" s="80" t="s">
        <v>5059</v>
      </c>
      <c r="D315" s="80" t="s">
        <v>5060</v>
      </c>
      <c r="E315" s="81">
        <v>300000</v>
      </c>
      <c r="F315" s="80" t="s">
        <v>4806</v>
      </c>
      <c r="G315" s="81">
        <v>108.5</v>
      </c>
      <c r="H315" s="81">
        <v>108.5</v>
      </c>
      <c r="I315" s="80" t="s">
        <v>4800</v>
      </c>
      <c r="L315" s="3">
        <f>VLOOKUP(C315,Securities!A:D,4,FALSE)</f>
        <v>5</v>
      </c>
      <c r="M315" s="3" t="str">
        <f>VLOOKUP(C315,Securities!A:B,2,FALSE)</f>
        <v>XS0893212398 Corp</v>
      </c>
      <c r="O315" s="3">
        <f t="shared" si="4"/>
        <v>300000</v>
      </c>
    </row>
    <row r="316" spans="1:15" x14ac:dyDescent="0.25">
      <c r="A316" s="76">
        <v>43053</v>
      </c>
      <c r="B316" s="77" t="s">
        <v>5030</v>
      </c>
      <c r="C316" s="77" t="s">
        <v>4986</v>
      </c>
      <c r="D316" s="77" t="s">
        <v>4987</v>
      </c>
      <c r="E316" s="78">
        <v>400000</v>
      </c>
      <c r="F316" s="77" t="s">
        <v>4806</v>
      </c>
      <c r="G316" s="78">
        <v>101.79</v>
      </c>
      <c r="H316" s="78">
        <v>101.79</v>
      </c>
      <c r="I316" s="77" t="s">
        <v>4800</v>
      </c>
      <c r="L316" s="3">
        <f>VLOOKUP(C316,Securities!A:D,4,FALSE)</f>
        <v>5</v>
      </c>
      <c r="M316" s="3" t="str">
        <f>VLOOKUP(C316,Securities!A:B,2,FALSE)</f>
        <v>USG9328DAM23 Corp</v>
      </c>
      <c r="O316" s="3">
        <f t="shared" si="4"/>
        <v>400000</v>
      </c>
    </row>
    <row r="317" spans="1:15" x14ac:dyDescent="0.25">
      <c r="A317" s="79">
        <v>43053</v>
      </c>
      <c r="B317" s="80" t="s">
        <v>5030</v>
      </c>
      <c r="C317" s="80" t="s">
        <v>5006</v>
      </c>
      <c r="D317" s="80" t="s">
        <v>5007</v>
      </c>
      <c r="E317" s="81">
        <v>300000</v>
      </c>
      <c r="F317" s="80" t="s">
        <v>4806</v>
      </c>
      <c r="G317" s="81">
        <v>109.9</v>
      </c>
      <c r="H317" s="81">
        <v>109.9</v>
      </c>
      <c r="I317" s="80" t="s">
        <v>4800</v>
      </c>
      <c r="L317" s="3">
        <f>VLOOKUP(C317,Securities!A:D,4,FALSE)</f>
        <v>5</v>
      </c>
      <c r="M317" s="3" t="str">
        <f>VLOOKUP(C317,Securities!A:B,2,FALSE)</f>
        <v>XS1400710726 Corp</v>
      </c>
      <c r="O317" s="3">
        <f t="shared" si="4"/>
        <v>300000</v>
      </c>
    </row>
    <row r="318" spans="1:15" x14ac:dyDescent="0.25">
      <c r="A318" s="76">
        <v>43053</v>
      </c>
      <c r="B318" s="77" t="s">
        <v>5030</v>
      </c>
      <c r="C318" s="77" t="s">
        <v>5028</v>
      </c>
      <c r="D318" s="77" t="s">
        <v>5029</v>
      </c>
      <c r="E318" s="78">
        <v>300000</v>
      </c>
      <c r="F318" s="77" t="s">
        <v>4806</v>
      </c>
      <c r="G318" s="78">
        <v>109.2</v>
      </c>
      <c r="H318" s="78">
        <v>109.2</v>
      </c>
      <c r="I318" s="77" t="s">
        <v>4800</v>
      </c>
      <c r="L318" s="3">
        <f>VLOOKUP(C318,Securities!A:D,4,FALSE)</f>
        <v>5</v>
      </c>
      <c r="M318" s="3" t="str">
        <f>VLOOKUP(C318,Securities!A:B,2,FALSE)</f>
        <v>EJ394063 Corp</v>
      </c>
      <c r="O318" s="3">
        <f t="shared" si="4"/>
        <v>300000</v>
      </c>
    </row>
    <row r="319" spans="1:15" x14ac:dyDescent="0.25">
      <c r="A319" s="79">
        <v>43053</v>
      </c>
      <c r="B319" s="80" t="s">
        <v>5061</v>
      </c>
      <c r="C319" s="80" t="s">
        <v>5037</v>
      </c>
      <c r="D319" s="80" t="s">
        <v>5038</v>
      </c>
      <c r="E319" s="81">
        <v>535000</v>
      </c>
      <c r="F319" s="80" t="s">
        <v>4806</v>
      </c>
      <c r="G319" s="81">
        <v>100.75</v>
      </c>
      <c r="H319" s="81">
        <v>100.75</v>
      </c>
      <c r="I319" s="80" t="s">
        <v>4800</v>
      </c>
      <c r="L319" s="3">
        <f>VLOOKUP(C319,Securities!A:D,4,FALSE)</f>
        <v>5</v>
      </c>
      <c r="M319" s="3" t="str">
        <f>VLOOKUP(C319,Securities!A:B,2,FALSE)</f>
        <v>XS1533915721 Corp</v>
      </c>
      <c r="O319" s="3">
        <f t="shared" si="4"/>
        <v>535000</v>
      </c>
    </row>
    <row r="320" spans="1:15" x14ac:dyDescent="0.25">
      <c r="A320" s="76">
        <v>43053</v>
      </c>
      <c r="B320" s="77" t="s">
        <v>5061</v>
      </c>
      <c r="C320" s="77" t="s">
        <v>4807</v>
      </c>
      <c r="D320" s="77" t="s">
        <v>4808</v>
      </c>
      <c r="E320" s="78">
        <v>500000</v>
      </c>
      <c r="F320" s="77" t="s">
        <v>4806</v>
      </c>
      <c r="G320" s="78">
        <v>103.5</v>
      </c>
      <c r="H320" s="78">
        <v>103.5</v>
      </c>
      <c r="I320" s="77" t="s">
        <v>4800</v>
      </c>
      <c r="L320" s="3">
        <f>VLOOKUP(C320,Securities!A:D,4,FALSE)</f>
        <v>5</v>
      </c>
      <c r="M320" s="3" t="str">
        <f>VLOOKUP(C320,Securities!A:B,2,FALSE)</f>
        <v>XS0975320879 Corp</v>
      </c>
      <c r="O320" s="3">
        <f t="shared" si="4"/>
        <v>500000</v>
      </c>
    </row>
    <row r="321" spans="1:15" x14ac:dyDescent="0.25">
      <c r="A321" s="79">
        <v>43053</v>
      </c>
      <c r="B321" s="80" t="s">
        <v>5061</v>
      </c>
      <c r="C321" s="80" t="s">
        <v>5043</v>
      </c>
      <c r="D321" s="80" t="s">
        <v>5044</v>
      </c>
      <c r="E321" s="81">
        <v>300000</v>
      </c>
      <c r="F321" s="80" t="s">
        <v>4806</v>
      </c>
      <c r="G321" s="81">
        <v>103</v>
      </c>
      <c r="H321" s="81">
        <v>103</v>
      </c>
      <c r="I321" s="80" t="s">
        <v>4800</v>
      </c>
      <c r="L321" s="3">
        <f>VLOOKUP(C321,Securities!A:D,4,FALSE)</f>
        <v>5</v>
      </c>
      <c r="M321" s="3" t="str">
        <f>VLOOKUP(C321,Securities!A:B,2,FALSE)</f>
        <v>XS0547082973 Corp</v>
      </c>
      <c r="O321" s="3">
        <f t="shared" si="4"/>
        <v>300000</v>
      </c>
    </row>
    <row r="322" spans="1:15" x14ac:dyDescent="0.25">
      <c r="A322" s="76">
        <v>43053</v>
      </c>
      <c r="B322" s="77" t="s">
        <v>5061</v>
      </c>
      <c r="C322" s="77" t="s">
        <v>4996</v>
      </c>
      <c r="D322" s="77" t="s">
        <v>4997</v>
      </c>
      <c r="E322" s="78">
        <v>300000</v>
      </c>
      <c r="F322" s="77" t="s">
        <v>4806</v>
      </c>
      <c r="G322" s="78">
        <v>100.75</v>
      </c>
      <c r="H322" s="78">
        <v>100.75</v>
      </c>
      <c r="I322" s="77" t="s">
        <v>4800</v>
      </c>
      <c r="L322" s="3">
        <f>VLOOKUP(C322,Securities!A:D,4,FALSE)</f>
        <v>5</v>
      </c>
      <c r="M322" s="3" t="str">
        <f>VLOOKUP(C322,Securities!A:B,2,FALSE)</f>
        <v>XS1577961516 Corp</v>
      </c>
      <c r="O322" s="3">
        <f t="shared" ref="O322:O385" si="5">SUMIFS(E:E,C:C,C322,B:B,B322)</f>
        <v>300000</v>
      </c>
    </row>
    <row r="323" spans="1:15" x14ac:dyDescent="0.25">
      <c r="A323" s="79">
        <v>43053</v>
      </c>
      <c r="B323" s="80" t="s">
        <v>5061</v>
      </c>
      <c r="C323" s="80" t="s">
        <v>4963</v>
      </c>
      <c r="D323" s="80" t="s">
        <v>4964</v>
      </c>
      <c r="E323" s="81">
        <v>300000</v>
      </c>
      <c r="F323" s="80" t="s">
        <v>4806</v>
      </c>
      <c r="G323" s="81">
        <v>99.3</v>
      </c>
      <c r="H323" s="81">
        <v>99.3</v>
      </c>
      <c r="I323" s="80" t="s">
        <v>4800</v>
      </c>
      <c r="L323" s="3">
        <f>VLOOKUP(C323,Securities!A:D,4,FALSE)</f>
        <v>5</v>
      </c>
      <c r="M323" s="3" t="str">
        <f>VLOOKUP(C323,Securities!A:B,2,FALSE)</f>
        <v>XS1439838548 Corp</v>
      </c>
      <c r="O323" s="3">
        <f t="shared" si="5"/>
        <v>300000</v>
      </c>
    </row>
    <row r="324" spans="1:15" x14ac:dyDescent="0.25">
      <c r="A324" s="76">
        <v>43053</v>
      </c>
      <c r="B324" s="77" t="s">
        <v>5061</v>
      </c>
      <c r="C324" s="77" t="s">
        <v>4863</v>
      </c>
      <c r="D324" s="77" t="s">
        <v>4864</v>
      </c>
      <c r="E324" s="78">
        <v>300000</v>
      </c>
      <c r="F324" s="77" t="s">
        <v>4806</v>
      </c>
      <c r="G324" s="78">
        <v>104.15</v>
      </c>
      <c r="H324" s="78">
        <v>104.15</v>
      </c>
      <c r="I324" s="77" t="s">
        <v>4800</v>
      </c>
      <c r="L324" s="3">
        <f>VLOOKUP(C324,Securities!A:D,4,FALSE)</f>
        <v>5</v>
      </c>
      <c r="M324" s="3" t="str">
        <f>VLOOKUP(C324,Securities!A:B,2,FALSE)</f>
        <v>USN54468AF52 Corp</v>
      </c>
      <c r="O324" s="3">
        <f t="shared" si="5"/>
        <v>300000</v>
      </c>
    </row>
    <row r="325" spans="1:15" x14ac:dyDescent="0.25">
      <c r="A325" s="79">
        <v>43053</v>
      </c>
      <c r="B325" s="80" t="s">
        <v>5061</v>
      </c>
      <c r="C325" s="80" t="s">
        <v>4998</v>
      </c>
      <c r="D325" s="80" t="s">
        <v>4999</v>
      </c>
      <c r="E325" s="81">
        <v>300000</v>
      </c>
      <c r="F325" s="80" t="s">
        <v>4806</v>
      </c>
      <c r="G325" s="81">
        <v>103.25</v>
      </c>
      <c r="H325" s="81">
        <v>103.25</v>
      </c>
      <c r="I325" s="80" t="s">
        <v>4800</v>
      </c>
      <c r="L325" s="3">
        <f>VLOOKUP(C325,Securities!A:D,4,FALSE)</f>
        <v>5</v>
      </c>
      <c r="M325" s="3" t="str">
        <f>VLOOKUP(C325,Securities!A:B,2,FALSE)</f>
        <v>XS1503116912 Corp</v>
      </c>
      <c r="O325" s="3">
        <f t="shared" si="5"/>
        <v>300000</v>
      </c>
    </row>
    <row r="326" spans="1:15" x14ac:dyDescent="0.25">
      <c r="A326" s="76">
        <v>43053</v>
      </c>
      <c r="B326" s="77" t="s">
        <v>5061</v>
      </c>
      <c r="C326" s="77" t="s">
        <v>4967</v>
      </c>
      <c r="D326" s="77" t="s">
        <v>4968</v>
      </c>
      <c r="E326" s="78">
        <v>550000</v>
      </c>
      <c r="F326" s="77" t="s">
        <v>4806</v>
      </c>
      <c r="G326" s="78">
        <v>115.15909000000001</v>
      </c>
      <c r="H326" s="78">
        <v>115.15909000000001</v>
      </c>
      <c r="I326" s="77" t="s">
        <v>4800</v>
      </c>
      <c r="L326" s="3">
        <f>VLOOKUP(C326,Securities!A:D,4,FALSE)</f>
        <v>5</v>
      </c>
      <c r="M326" s="3" t="str">
        <f>VLOOKUP(C326,Securities!A:B,2,FALSE)</f>
        <v>XS0979891925 Corp</v>
      </c>
      <c r="O326" s="3">
        <f t="shared" si="5"/>
        <v>550000</v>
      </c>
    </row>
    <row r="327" spans="1:15" x14ac:dyDescent="0.25">
      <c r="A327" s="79">
        <v>43053</v>
      </c>
      <c r="B327" s="80" t="s">
        <v>5061</v>
      </c>
      <c r="C327" s="80" t="s">
        <v>4851</v>
      </c>
      <c r="D327" s="80" t="s">
        <v>4744</v>
      </c>
      <c r="E327" s="81">
        <v>565000</v>
      </c>
      <c r="F327" s="80" t="s">
        <v>4806</v>
      </c>
      <c r="G327" s="81">
        <v>100.7</v>
      </c>
      <c r="H327" s="81">
        <v>100.7</v>
      </c>
      <c r="I327" s="80" t="s">
        <v>4800</v>
      </c>
      <c r="L327" s="3">
        <f>VLOOKUP(C327,Securities!A:D,4,FALSE)</f>
        <v>5</v>
      </c>
      <c r="M327" s="3" t="str">
        <f>VLOOKUP(C327,Securities!A:B,2,FALSE)</f>
        <v>XS1032750165 Corp</v>
      </c>
      <c r="O327" s="3">
        <f t="shared" si="5"/>
        <v>565000</v>
      </c>
    </row>
    <row r="328" spans="1:15" x14ac:dyDescent="0.25">
      <c r="A328" s="76">
        <v>43053</v>
      </c>
      <c r="B328" s="77" t="s">
        <v>5061</v>
      </c>
      <c r="C328" s="77" t="s">
        <v>5062</v>
      </c>
      <c r="D328" s="77" t="s">
        <v>5063</v>
      </c>
      <c r="E328" s="78">
        <v>500000</v>
      </c>
      <c r="F328" s="77" t="s">
        <v>4806</v>
      </c>
      <c r="G328" s="78">
        <v>105.1</v>
      </c>
      <c r="H328" s="78">
        <v>105.1</v>
      </c>
      <c r="I328" s="77" t="s">
        <v>4800</v>
      </c>
      <c r="L328" s="3">
        <f>VLOOKUP(C328,Securities!A:D,4,FALSE)</f>
        <v>5</v>
      </c>
      <c r="M328" s="3" t="str">
        <f>VLOOKUP(C328,Securities!A:B,2,FALSE)</f>
        <v>XS0993162683 Corp</v>
      </c>
      <c r="O328" s="3">
        <f t="shared" si="5"/>
        <v>500000</v>
      </c>
    </row>
    <row r="329" spans="1:15" x14ac:dyDescent="0.25">
      <c r="A329" s="79">
        <v>43053</v>
      </c>
      <c r="B329" s="80" t="s">
        <v>5061</v>
      </c>
      <c r="C329" s="80" t="s">
        <v>4986</v>
      </c>
      <c r="D329" s="80" t="s">
        <v>4987</v>
      </c>
      <c r="E329" s="81">
        <v>300000</v>
      </c>
      <c r="F329" s="80" t="s">
        <v>4806</v>
      </c>
      <c r="G329" s="81">
        <v>102.25</v>
      </c>
      <c r="H329" s="81">
        <v>102.25</v>
      </c>
      <c r="I329" s="80" t="s">
        <v>4800</v>
      </c>
      <c r="L329" s="3">
        <f>VLOOKUP(C329,Securities!A:D,4,FALSE)</f>
        <v>5</v>
      </c>
      <c r="M329" s="3" t="str">
        <f>VLOOKUP(C329,Securities!A:B,2,FALSE)</f>
        <v>USG9328DAM23 Corp</v>
      </c>
      <c r="O329" s="3">
        <f t="shared" si="5"/>
        <v>300000</v>
      </c>
    </row>
    <row r="330" spans="1:15" x14ac:dyDescent="0.25">
      <c r="A330" s="76">
        <v>43053</v>
      </c>
      <c r="B330" s="77" t="s">
        <v>5061</v>
      </c>
      <c r="C330" s="77" t="s">
        <v>5028</v>
      </c>
      <c r="D330" s="77" t="s">
        <v>5029</v>
      </c>
      <c r="E330" s="78">
        <v>300000</v>
      </c>
      <c r="F330" s="77" t="s">
        <v>4806</v>
      </c>
      <c r="G330" s="78">
        <v>106.5</v>
      </c>
      <c r="H330" s="78">
        <v>106.5</v>
      </c>
      <c r="I330" s="77" t="s">
        <v>4800</v>
      </c>
      <c r="L330" s="3">
        <f>VLOOKUP(C330,Securities!A:D,4,FALSE)</f>
        <v>5</v>
      </c>
      <c r="M330" s="3" t="str">
        <f>VLOOKUP(C330,Securities!A:B,2,FALSE)</f>
        <v>EJ394063 Corp</v>
      </c>
      <c r="O330" s="3">
        <f t="shared" si="5"/>
        <v>300000</v>
      </c>
    </row>
    <row r="331" spans="1:15" x14ac:dyDescent="0.25">
      <c r="A331" s="79">
        <v>43053</v>
      </c>
      <c r="B331" s="80" t="s">
        <v>5064</v>
      </c>
      <c r="C331" s="80" t="s">
        <v>4973</v>
      </c>
      <c r="D331" s="80" t="s">
        <v>23</v>
      </c>
      <c r="E331" s="81">
        <v>4870</v>
      </c>
      <c r="F331" s="80" t="s">
        <v>4974</v>
      </c>
      <c r="G331" s="81">
        <v>100.83</v>
      </c>
      <c r="H331" s="81">
        <v>100.83</v>
      </c>
      <c r="I331" s="80" t="s">
        <v>4800</v>
      </c>
      <c r="L331" s="3">
        <f>VLOOKUP(C331,Securities!A:D,4,FALSE)</f>
        <v>5</v>
      </c>
      <c r="M331" s="3" t="str">
        <f>VLOOKUP(C331,Securities!A:B,2,FALSE)</f>
        <v>RU000A0JV7K7 Corp</v>
      </c>
      <c r="O331" s="3">
        <f t="shared" si="5"/>
        <v>4870</v>
      </c>
    </row>
    <row r="332" spans="1:15" x14ac:dyDescent="0.25">
      <c r="A332" s="76">
        <v>43053</v>
      </c>
      <c r="B332" s="77" t="s">
        <v>5064</v>
      </c>
      <c r="C332" s="77" t="s">
        <v>4811</v>
      </c>
      <c r="D332" s="77" t="s">
        <v>4659</v>
      </c>
      <c r="E332" s="78">
        <v>8130</v>
      </c>
      <c r="F332" s="77" t="s">
        <v>4799</v>
      </c>
      <c r="G332" s="78">
        <v>123.20005</v>
      </c>
      <c r="H332" s="78">
        <v>2.1043500000000002</v>
      </c>
      <c r="I332" s="77" t="s">
        <v>4800</v>
      </c>
      <c r="L332" s="3">
        <f>VLOOKUP(C332,Securities!A:D,4,FALSE)</f>
        <v>1</v>
      </c>
      <c r="M332" s="3" t="str">
        <f>VLOOKUP(C332,Securities!A:B,2,FALSE)</f>
        <v>HGM LN Equity</v>
      </c>
      <c r="O332" s="3">
        <f t="shared" si="5"/>
        <v>8130</v>
      </c>
    </row>
    <row r="333" spans="1:15" x14ac:dyDescent="0.25">
      <c r="A333" s="79">
        <v>43053</v>
      </c>
      <c r="B333" s="80" t="s">
        <v>5064</v>
      </c>
      <c r="C333" s="80" t="s">
        <v>4812</v>
      </c>
      <c r="D333" s="80" t="s">
        <v>4675</v>
      </c>
      <c r="E333" s="81">
        <v>1730</v>
      </c>
      <c r="F333" s="80" t="s">
        <v>4804</v>
      </c>
      <c r="G333" s="81">
        <v>577.6</v>
      </c>
      <c r="H333" s="81">
        <v>9.8860939999999999</v>
      </c>
      <c r="I333" s="80" t="s">
        <v>4800</v>
      </c>
      <c r="L333" s="3">
        <f>VLOOKUP(C333,Securities!A:D,4,FALSE)</f>
        <v>1</v>
      </c>
      <c r="M333" s="3" t="str">
        <f>VLOOKUP(C333,Securities!A:B,2,FALSE)</f>
        <v>KMG LI Equity</v>
      </c>
      <c r="O333" s="3">
        <f t="shared" si="5"/>
        <v>1730</v>
      </c>
    </row>
    <row r="334" spans="1:15" x14ac:dyDescent="0.25">
      <c r="A334" s="76">
        <v>43053</v>
      </c>
      <c r="B334" s="77" t="s">
        <v>5064</v>
      </c>
      <c r="C334" s="77" t="s">
        <v>4816</v>
      </c>
      <c r="D334" s="77" t="s">
        <v>4817</v>
      </c>
      <c r="E334" s="78">
        <v>800</v>
      </c>
      <c r="F334" s="77" t="s">
        <v>4799</v>
      </c>
      <c r="G334" s="78">
        <v>1249.06</v>
      </c>
      <c r="H334" s="78">
        <v>21.123535</v>
      </c>
      <c r="I334" s="77" t="s">
        <v>4800</v>
      </c>
      <c r="L334" s="3">
        <f>VLOOKUP(C334,Securities!A:D,4,FALSE)</f>
        <v>1</v>
      </c>
      <c r="M334" s="3" t="str">
        <f>VLOOKUP(C334,Securities!A:B,2,FALSE)</f>
        <v>M US Equity</v>
      </c>
      <c r="O334" s="3">
        <f t="shared" si="5"/>
        <v>800</v>
      </c>
    </row>
    <row r="335" spans="1:15" x14ac:dyDescent="0.25">
      <c r="A335" s="79">
        <v>43053</v>
      </c>
      <c r="B335" s="80" t="s">
        <v>5064</v>
      </c>
      <c r="C335" s="80" t="s">
        <v>4834</v>
      </c>
      <c r="D335" s="80" t="s">
        <v>51</v>
      </c>
      <c r="E335" s="81">
        <v>970</v>
      </c>
      <c r="F335" s="80" t="s">
        <v>4825</v>
      </c>
      <c r="G335" s="81">
        <v>1031.150144</v>
      </c>
      <c r="H335" s="81">
        <v>17.438341999999999</v>
      </c>
      <c r="I335" s="80" t="s">
        <v>4800</v>
      </c>
      <c r="L335" s="3">
        <f>VLOOKUP(C335,Securities!A:D,4,FALSE)</f>
        <v>1</v>
      </c>
      <c r="M335" s="3" t="str">
        <f>VLOOKUP(C335,Securities!A:B,2,FALSE)</f>
        <v>QIWI US Equity</v>
      </c>
      <c r="O335" s="3">
        <f t="shared" si="5"/>
        <v>970</v>
      </c>
    </row>
    <row r="336" spans="1:15" x14ac:dyDescent="0.25">
      <c r="A336" s="76">
        <v>43053</v>
      </c>
      <c r="B336" s="77" t="s">
        <v>5064</v>
      </c>
      <c r="C336" s="77" t="s">
        <v>4824</v>
      </c>
      <c r="D336" s="77" t="s">
        <v>4674</v>
      </c>
      <c r="E336" s="78">
        <v>3950</v>
      </c>
      <c r="F336" s="77" t="s">
        <v>4825</v>
      </c>
      <c r="G336" s="78">
        <v>239.97354899999999</v>
      </c>
      <c r="H336" s="78">
        <v>4.107342</v>
      </c>
      <c r="I336" s="77" t="s">
        <v>4800</v>
      </c>
      <c r="L336" s="3">
        <f>VLOOKUP(C336,Securities!A:D,4,FALSE)</f>
        <v>1</v>
      </c>
      <c r="M336" s="3" t="str">
        <f>VLOOKUP(C336,Securities!A:B,2,FALSE)</f>
        <v>VEON US Equity</v>
      </c>
      <c r="O336" s="3">
        <f t="shared" si="5"/>
        <v>3950</v>
      </c>
    </row>
    <row r="337" spans="1:15" x14ac:dyDescent="0.25">
      <c r="A337" s="79">
        <v>43053</v>
      </c>
      <c r="B337" s="80" t="s">
        <v>5065</v>
      </c>
      <c r="C337" s="80" t="s">
        <v>5066</v>
      </c>
      <c r="D337" s="80" t="s">
        <v>26</v>
      </c>
      <c r="E337" s="81">
        <v>2985</v>
      </c>
      <c r="F337" s="80" t="s">
        <v>4974</v>
      </c>
      <c r="G337" s="81">
        <v>92.68</v>
      </c>
      <c r="H337" s="81">
        <v>92.68</v>
      </c>
      <c r="I337" s="80" t="s">
        <v>4800</v>
      </c>
      <c r="L337" s="3">
        <f>VLOOKUP(C337,Securities!A:D,4,FALSE)</f>
        <v>5</v>
      </c>
      <c r="M337" s="3" t="str">
        <f>VLOOKUP(C337,Securities!A:B,2,FALSE)</f>
        <v>RU000A0JRCJ6 Corp</v>
      </c>
      <c r="O337" s="3">
        <f t="shared" si="5"/>
        <v>2985</v>
      </c>
    </row>
    <row r="338" spans="1:15" x14ac:dyDescent="0.25">
      <c r="A338" s="76">
        <v>43053</v>
      </c>
      <c r="B338" s="77" t="s">
        <v>5065</v>
      </c>
      <c r="C338" s="77" t="s">
        <v>4801</v>
      </c>
      <c r="D338" s="77" t="s">
        <v>4802</v>
      </c>
      <c r="E338" s="78">
        <v>335</v>
      </c>
      <c r="F338" s="77" t="s">
        <v>4799</v>
      </c>
      <c r="G338" s="78">
        <v>10951.787136000001</v>
      </c>
      <c r="H338" s="78">
        <v>191</v>
      </c>
      <c r="I338" s="77" t="s">
        <v>4800</v>
      </c>
      <c r="L338" s="3">
        <f>VLOOKUP(C338,Securities!A:D,4,FALSE)</f>
        <v>1</v>
      </c>
      <c r="M338" s="3" t="str">
        <f>VLOOKUP(C338,Securities!A:B,2,FALSE)</f>
        <v>AGN US Equity</v>
      </c>
      <c r="O338" s="3">
        <f t="shared" si="5"/>
        <v>335</v>
      </c>
    </row>
    <row r="339" spans="1:15" x14ac:dyDescent="0.25">
      <c r="A339" s="79">
        <v>43053</v>
      </c>
      <c r="B339" s="80" t="s">
        <v>5065</v>
      </c>
      <c r="C339" s="80" t="s">
        <v>4836</v>
      </c>
      <c r="D339" s="80" t="s">
        <v>4837</v>
      </c>
      <c r="E339" s="81">
        <v>60000</v>
      </c>
      <c r="F339" s="80" t="s">
        <v>4838</v>
      </c>
      <c r="G339" s="81">
        <v>100</v>
      </c>
      <c r="H339" s="81">
        <v>100</v>
      </c>
      <c r="I339" s="80" t="s">
        <v>4800</v>
      </c>
      <c r="L339" s="3">
        <f>VLOOKUP(C339,Securities!A:D,4,FALSE)</f>
        <v>5</v>
      </c>
      <c r="M339" s="3" t="str">
        <f>VLOOKUP(C339,Securities!A:B,2,FALSE)</f>
        <v>CH0384861396 Corp</v>
      </c>
      <c r="O339" s="3">
        <f t="shared" si="5"/>
        <v>60000</v>
      </c>
    </row>
    <row r="340" spans="1:15" x14ac:dyDescent="0.25">
      <c r="A340" s="76">
        <v>43053</v>
      </c>
      <c r="B340" s="77" t="s">
        <v>5065</v>
      </c>
      <c r="C340" s="77" t="s">
        <v>5067</v>
      </c>
      <c r="D340" s="77" t="s">
        <v>5068</v>
      </c>
      <c r="E340" s="78">
        <v>80000</v>
      </c>
      <c r="F340" s="77" t="s">
        <v>4838</v>
      </c>
      <c r="G340" s="78">
        <v>100</v>
      </c>
      <c r="H340" s="78">
        <v>100</v>
      </c>
      <c r="I340" s="77" t="s">
        <v>4800</v>
      </c>
      <c r="L340" s="3">
        <f>VLOOKUP(C340,Securities!A:D,4,FALSE)</f>
        <v>5</v>
      </c>
      <c r="M340" s="3" t="str">
        <f>VLOOKUP(C340,Securities!A:B,2,FALSE)</f>
        <v>XS1581931083 Corp</v>
      </c>
      <c r="O340" s="3">
        <f t="shared" si="5"/>
        <v>80000</v>
      </c>
    </row>
    <row r="341" spans="1:15" x14ac:dyDescent="0.25">
      <c r="A341" s="79">
        <v>43053</v>
      </c>
      <c r="B341" s="80" t="s">
        <v>5065</v>
      </c>
      <c r="C341" s="80" t="s">
        <v>4861</v>
      </c>
      <c r="D341" s="80" t="s">
        <v>4862</v>
      </c>
      <c r="E341" s="81">
        <v>200000</v>
      </c>
      <c r="F341" s="80" t="s">
        <v>4806</v>
      </c>
      <c r="G341" s="81">
        <v>104.2</v>
      </c>
      <c r="H341" s="81">
        <v>104.2</v>
      </c>
      <c r="I341" s="80" t="s">
        <v>4800</v>
      </c>
      <c r="L341" s="3">
        <f>VLOOKUP(C341,Securities!A:D,4,FALSE)</f>
        <v>5</v>
      </c>
      <c r="M341" s="3" t="str">
        <f>VLOOKUP(C341,Securities!A:B,2,FALSE)</f>
        <v>USA29866AA70 Corp</v>
      </c>
      <c r="O341" s="3">
        <f t="shared" si="5"/>
        <v>200000</v>
      </c>
    </row>
    <row r="342" spans="1:15" x14ac:dyDescent="0.25">
      <c r="A342" s="76">
        <v>43053</v>
      </c>
      <c r="B342" s="77" t="s">
        <v>5065</v>
      </c>
      <c r="C342" s="77" t="s">
        <v>5069</v>
      </c>
      <c r="D342" s="77" t="s">
        <v>5070</v>
      </c>
      <c r="E342" s="78">
        <v>200000</v>
      </c>
      <c r="F342" s="77" t="s">
        <v>4806</v>
      </c>
      <c r="G342" s="78">
        <v>98.83</v>
      </c>
      <c r="H342" s="78">
        <v>98.83</v>
      </c>
      <c r="I342" s="77" t="s">
        <v>4800</v>
      </c>
      <c r="L342" s="3">
        <f>VLOOKUP(C342,Securities!A:D,4,FALSE)</f>
        <v>5</v>
      </c>
      <c r="M342" s="3" t="str">
        <f>VLOOKUP(C342,Securities!A:B,2,FALSE)</f>
        <v>US65504LAM90 Corp</v>
      </c>
      <c r="O342" s="3">
        <f t="shared" si="5"/>
        <v>200000</v>
      </c>
    </row>
    <row r="343" spans="1:15" x14ac:dyDescent="0.25">
      <c r="A343" s="79">
        <v>43053</v>
      </c>
      <c r="B343" s="80" t="s">
        <v>5065</v>
      </c>
      <c r="C343" s="80" t="s">
        <v>5024</v>
      </c>
      <c r="D343" s="80" t="s">
        <v>5025</v>
      </c>
      <c r="E343" s="81">
        <v>200000</v>
      </c>
      <c r="F343" s="80" t="s">
        <v>4806</v>
      </c>
      <c r="G343" s="81">
        <v>99.4</v>
      </c>
      <c r="H343" s="81">
        <v>99.4</v>
      </c>
      <c r="I343" s="80" t="s">
        <v>4800</v>
      </c>
      <c r="L343" s="3">
        <f>VLOOKUP(C343,Securities!A:D,4,FALSE)</f>
        <v>5</v>
      </c>
      <c r="M343" s="3" t="str">
        <f>VLOOKUP(C343,Securities!A:B,2,FALSE)</f>
        <v>XS1405766384 Corp</v>
      </c>
      <c r="O343" s="3">
        <f t="shared" si="5"/>
        <v>200000</v>
      </c>
    </row>
    <row r="344" spans="1:15" x14ac:dyDescent="0.25">
      <c r="A344" s="76">
        <v>43053</v>
      </c>
      <c r="B344" s="77" t="s">
        <v>5065</v>
      </c>
      <c r="C344" s="77" t="s">
        <v>4916</v>
      </c>
      <c r="D344" s="77" t="s">
        <v>712</v>
      </c>
      <c r="E344" s="78">
        <v>34220</v>
      </c>
      <c r="F344" s="77" t="s">
        <v>4810</v>
      </c>
      <c r="G344" s="78">
        <v>40.876598999999999</v>
      </c>
      <c r="H344" s="78">
        <v>0.636683</v>
      </c>
      <c r="I344" s="77" t="s">
        <v>4800</v>
      </c>
      <c r="L344" s="3">
        <f>VLOOKUP(C344,Securities!A:D,4,FALSE)</f>
        <v>1</v>
      </c>
      <c r="M344" s="3" t="str">
        <f>VLOOKUP(C344,Securities!A:B,2,FALSE)</f>
        <v>SNGSP RX Equity</v>
      </c>
      <c r="O344" s="3">
        <f t="shared" si="5"/>
        <v>34220</v>
      </c>
    </row>
    <row r="345" spans="1:15" x14ac:dyDescent="0.25">
      <c r="A345" s="79">
        <v>43053</v>
      </c>
      <c r="B345" s="80" t="s">
        <v>5071</v>
      </c>
      <c r="C345" s="80" t="s">
        <v>4973</v>
      </c>
      <c r="D345" s="80" t="s">
        <v>23</v>
      </c>
      <c r="E345" s="81">
        <v>7054</v>
      </c>
      <c r="F345" s="80" t="s">
        <v>4974</v>
      </c>
      <c r="G345" s="81">
        <v>100.964</v>
      </c>
      <c r="H345" s="81">
        <v>100.964</v>
      </c>
      <c r="I345" s="80" t="s">
        <v>4800</v>
      </c>
      <c r="L345" s="3">
        <f>VLOOKUP(C345,Securities!A:D,4,FALSE)</f>
        <v>5</v>
      </c>
      <c r="M345" s="3" t="str">
        <f>VLOOKUP(C345,Securities!A:B,2,FALSE)</f>
        <v>RU000A0JV7K7 Corp</v>
      </c>
      <c r="O345" s="3">
        <f t="shared" si="5"/>
        <v>7054</v>
      </c>
    </row>
    <row r="346" spans="1:15" x14ac:dyDescent="0.25">
      <c r="A346" s="76">
        <v>43053</v>
      </c>
      <c r="B346" s="77" t="s">
        <v>5071</v>
      </c>
      <c r="C346" s="77" t="s">
        <v>5072</v>
      </c>
      <c r="D346" s="77" t="s">
        <v>974</v>
      </c>
      <c r="E346" s="78">
        <v>47853</v>
      </c>
      <c r="F346" s="77" t="s">
        <v>4974</v>
      </c>
      <c r="G346" s="78">
        <v>98.494997999999995</v>
      </c>
      <c r="H346" s="78">
        <v>98.494997999999995</v>
      </c>
      <c r="I346" s="77" t="s">
        <v>4800</v>
      </c>
      <c r="L346" s="3">
        <f>VLOOKUP(C346,Securities!A:D,4,FALSE)</f>
        <v>5</v>
      </c>
      <c r="M346" s="3" t="str">
        <f>VLOOKUP(C346,Securities!A:B,2,FALSE)</f>
        <v>RU000A0JXFM1 Corp</v>
      </c>
      <c r="O346" s="3">
        <f t="shared" si="5"/>
        <v>47853</v>
      </c>
    </row>
    <row r="347" spans="1:15" x14ac:dyDescent="0.25">
      <c r="A347" s="79">
        <v>43053</v>
      </c>
      <c r="B347" s="80" t="s">
        <v>5071</v>
      </c>
      <c r="C347" s="80" t="s">
        <v>4798</v>
      </c>
      <c r="D347" s="80" t="s">
        <v>45</v>
      </c>
      <c r="E347" s="81">
        <v>6816670</v>
      </c>
      <c r="F347" s="80" t="s">
        <v>4799</v>
      </c>
      <c r="G347" s="81">
        <v>0</v>
      </c>
      <c r="H347" s="81">
        <v>0</v>
      </c>
      <c r="I347" s="80" t="s">
        <v>4800</v>
      </c>
      <c r="L347" s="3">
        <f>VLOOKUP(C347,Securities!A:D,4,FALSE)</f>
        <v>1</v>
      </c>
      <c r="M347" s="3" t="str">
        <f>VLOOKUP(C347,Securities!A:B,2,FALSE)</f>
        <v>RUAL RX Equity</v>
      </c>
      <c r="O347" s="3">
        <f t="shared" si="5"/>
        <v>6816670</v>
      </c>
    </row>
    <row r="348" spans="1:15" x14ac:dyDescent="0.25">
      <c r="A348" s="76">
        <v>43053</v>
      </c>
      <c r="B348" s="77" t="s">
        <v>5071</v>
      </c>
      <c r="C348" s="77" t="s">
        <v>4866</v>
      </c>
      <c r="D348" s="77" t="s">
        <v>99</v>
      </c>
      <c r="E348" s="78">
        <v>1076850</v>
      </c>
      <c r="F348" s="77" t="s">
        <v>4810</v>
      </c>
      <c r="G348" s="78">
        <v>85.584056000000004</v>
      </c>
      <c r="H348" s="78">
        <v>1.5036309999999999</v>
      </c>
      <c r="I348" s="77" t="s">
        <v>4800</v>
      </c>
      <c r="L348" s="3">
        <f>VLOOKUP(C348,Securities!A:D,4,FALSE)</f>
        <v>1</v>
      </c>
      <c r="M348" s="3" t="str">
        <f>VLOOKUP(C348,Securities!A:B,2,FALSE)</f>
        <v>ALRS RX Equity</v>
      </c>
      <c r="O348" s="3">
        <f t="shared" si="5"/>
        <v>1076850</v>
      </c>
    </row>
    <row r="349" spans="1:15" x14ac:dyDescent="0.25">
      <c r="A349" s="79">
        <v>43053</v>
      </c>
      <c r="B349" s="80" t="s">
        <v>5071</v>
      </c>
      <c r="C349" s="80" t="s">
        <v>4895</v>
      </c>
      <c r="D349" s="80" t="s">
        <v>144</v>
      </c>
      <c r="E349" s="81">
        <v>35629</v>
      </c>
      <c r="F349" s="80" t="s">
        <v>4810</v>
      </c>
      <c r="G349" s="81">
        <v>895.22625200000004</v>
      </c>
      <c r="H349" s="81">
        <v>19.212651999999999</v>
      </c>
      <c r="I349" s="80" t="s">
        <v>4800</v>
      </c>
      <c r="L349" s="3">
        <f>VLOOKUP(C349,Securities!A:D,4,FALSE)</f>
        <v>1</v>
      </c>
      <c r="M349" s="3" t="str">
        <f>VLOOKUP(C349,Securities!A:B,2,FALSE)</f>
        <v>BANEP RX Equity</v>
      </c>
      <c r="O349" s="3">
        <f t="shared" si="5"/>
        <v>35629</v>
      </c>
    </row>
    <row r="350" spans="1:15" x14ac:dyDescent="0.25">
      <c r="A350" s="76">
        <v>43053</v>
      </c>
      <c r="B350" s="77" t="s">
        <v>5071</v>
      </c>
      <c r="C350" s="77" t="s">
        <v>5073</v>
      </c>
      <c r="D350" s="77" t="s">
        <v>129</v>
      </c>
      <c r="E350" s="78">
        <v>139127</v>
      </c>
      <c r="F350" s="77" t="s">
        <v>4810</v>
      </c>
      <c r="G350" s="78">
        <v>32.762461000000002</v>
      </c>
      <c r="H350" s="78">
        <v>0.78351800000000005</v>
      </c>
      <c r="I350" s="77" t="s">
        <v>4800</v>
      </c>
      <c r="L350" s="3">
        <f>VLOOKUP(C350,Securities!A:D,4,FALSE)</f>
        <v>1</v>
      </c>
      <c r="M350" s="3" t="str">
        <f>VLOOKUP(C350,Securities!A:B,2,FALSE)</f>
        <v>BSPB RX Equity</v>
      </c>
      <c r="O350" s="3">
        <f t="shared" si="5"/>
        <v>139127</v>
      </c>
    </row>
    <row r="351" spans="1:15" x14ac:dyDescent="0.25">
      <c r="A351" s="79">
        <v>43053</v>
      </c>
      <c r="B351" s="80" t="s">
        <v>5071</v>
      </c>
      <c r="C351" s="80" t="s">
        <v>5074</v>
      </c>
      <c r="D351" s="80" t="s">
        <v>5075</v>
      </c>
      <c r="E351" s="81">
        <v>1670</v>
      </c>
      <c r="F351" s="80" t="s">
        <v>4799</v>
      </c>
      <c r="G351" s="81">
        <v>4259.1334310000002</v>
      </c>
      <c r="H351" s="81">
        <v>70.910746000000003</v>
      </c>
      <c r="I351" s="80" t="s">
        <v>4800</v>
      </c>
      <c r="L351" s="3">
        <f>VLOOKUP(C351,Securities!A:D,4,FALSE)</f>
        <v>1</v>
      </c>
      <c r="M351" s="3" t="str">
        <f>VLOOKUP(C351,Securities!A:B,2,FALSE)</f>
        <v>DAI GY Equity</v>
      </c>
      <c r="O351" s="3">
        <f t="shared" si="5"/>
        <v>1670</v>
      </c>
    </row>
    <row r="352" spans="1:15" x14ac:dyDescent="0.25">
      <c r="A352" s="76">
        <v>43053</v>
      </c>
      <c r="B352" s="77" t="s">
        <v>5071</v>
      </c>
      <c r="C352" s="77" t="s">
        <v>4880</v>
      </c>
      <c r="D352" s="77" t="s">
        <v>4881</v>
      </c>
      <c r="E352" s="78">
        <v>323745</v>
      </c>
      <c r="F352" s="77" t="s">
        <v>4804</v>
      </c>
      <c r="G352" s="78">
        <v>121.68901</v>
      </c>
      <c r="H352" s="78">
        <v>2.3872900000000001</v>
      </c>
      <c r="I352" s="77" t="s">
        <v>4800</v>
      </c>
      <c r="L352" s="3">
        <f>VLOOKUP(C352,Securities!A:D,4,FALSE)</f>
        <v>1</v>
      </c>
      <c r="M352" s="3" t="str">
        <f>VLOOKUP(C352,Securities!A:B,2,FALSE)</f>
        <v>ETLN LI Equity</v>
      </c>
      <c r="O352" s="3">
        <f t="shared" si="5"/>
        <v>323745</v>
      </c>
    </row>
    <row r="353" spans="1:15" x14ac:dyDescent="0.25">
      <c r="A353" s="79">
        <v>43053</v>
      </c>
      <c r="B353" s="80" t="s">
        <v>5071</v>
      </c>
      <c r="C353" s="80" t="s">
        <v>4805</v>
      </c>
      <c r="D353" s="80" t="s">
        <v>31</v>
      </c>
      <c r="E353" s="81">
        <v>642000</v>
      </c>
      <c r="F353" s="80" t="s">
        <v>4806</v>
      </c>
      <c r="G353" s="81">
        <v>174.600101</v>
      </c>
      <c r="H353" s="81">
        <v>174.600101</v>
      </c>
      <c r="I353" s="80" t="s">
        <v>4800</v>
      </c>
      <c r="L353" s="3">
        <f>VLOOKUP(C353,Securities!A:D,4,FALSE)</f>
        <v>5</v>
      </c>
      <c r="M353" s="3" t="str">
        <f>VLOOKUP(C353,Securities!A:B,2,FALSE)</f>
        <v>TT343269 Corp</v>
      </c>
      <c r="O353" s="3">
        <f t="shared" si="5"/>
        <v>642000</v>
      </c>
    </row>
    <row r="354" spans="1:15" x14ac:dyDescent="0.25">
      <c r="A354" s="76">
        <v>43053</v>
      </c>
      <c r="B354" s="77" t="s">
        <v>5071</v>
      </c>
      <c r="C354" s="77" t="s">
        <v>4882</v>
      </c>
      <c r="D354" s="77" t="s">
        <v>4883</v>
      </c>
      <c r="E354" s="78">
        <v>400000</v>
      </c>
      <c r="F354" s="77" t="s">
        <v>4806</v>
      </c>
      <c r="G354" s="78">
        <v>106.7</v>
      </c>
      <c r="H354" s="78">
        <v>106.7</v>
      </c>
      <c r="I354" s="77" t="s">
        <v>4800</v>
      </c>
      <c r="L354" s="3">
        <f>VLOOKUP(C354,Securities!A:D,4,FALSE)</f>
        <v>5</v>
      </c>
      <c r="M354" s="3" t="str">
        <f>VLOOKUP(C354,Securities!A:B,2,FALSE)</f>
        <v>XS1405775377 Corp</v>
      </c>
      <c r="O354" s="3">
        <f t="shared" si="5"/>
        <v>400000</v>
      </c>
    </row>
    <row r="355" spans="1:15" x14ac:dyDescent="0.25">
      <c r="A355" s="79">
        <v>43053</v>
      </c>
      <c r="B355" s="80" t="s">
        <v>5071</v>
      </c>
      <c r="C355" s="80" t="s">
        <v>5076</v>
      </c>
      <c r="D355" s="80" t="s">
        <v>2051</v>
      </c>
      <c r="E355" s="81">
        <v>104000</v>
      </c>
      <c r="F355" s="80" t="s">
        <v>4814</v>
      </c>
      <c r="G355" s="81">
        <v>100.686538</v>
      </c>
      <c r="H355" s="81">
        <v>100.686538</v>
      </c>
      <c r="I355" s="80" t="s">
        <v>4800</v>
      </c>
      <c r="L355" s="3">
        <f>VLOOKUP(C355,Securities!A:D,4,FALSE)</f>
        <v>5</v>
      </c>
      <c r="M355" s="3" t="str">
        <f>VLOOKUP(C355,Securities!A:B,2,FALSE)</f>
        <v>JK610487 Corp</v>
      </c>
      <c r="O355" s="3">
        <f t="shared" si="5"/>
        <v>104000</v>
      </c>
    </row>
    <row r="356" spans="1:15" x14ac:dyDescent="0.25">
      <c r="A356" s="76">
        <v>43053</v>
      </c>
      <c r="B356" s="77" t="s">
        <v>5071</v>
      </c>
      <c r="C356" s="77" t="s">
        <v>5077</v>
      </c>
      <c r="D356" s="77" t="s">
        <v>2054</v>
      </c>
      <c r="E356" s="78">
        <v>30000</v>
      </c>
      <c r="F356" s="77" t="s">
        <v>4814</v>
      </c>
      <c r="G356" s="78">
        <v>104.3</v>
      </c>
      <c r="H356" s="78">
        <v>104.3</v>
      </c>
      <c r="I356" s="77" t="s">
        <v>4800</v>
      </c>
      <c r="L356" s="3">
        <f>VLOOKUP(C356,Securities!A:D,4,FALSE)</f>
        <v>5</v>
      </c>
      <c r="M356" s="3" t="str">
        <f>VLOOKUP(C356,Securities!A:B,2,FALSE)</f>
        <v>JK549945 Corp</v>
      </c>
      <c r="O356" s="3">
        <f t="shared" si="5"/>
        <v>30000</v>
      </c>
    </row>
    <row r="357" spans="1:15" x14ac:dyDescent="0.25">
      <c r="A357" s="79">
        <v>43053</v>
      </c>
      <c r="B357" s="80" t="s">
        <v>5071</v>
      </c>
      <c r="C357" s="80" t="s">
        <v>5078</v>
      </c>
      <c r="D357" s="80" t="s">
        <v>5079</v>
      </c>
      <c r="E357" s="81">
        <v>32481</v>
      </c>
      <c r="F357" s="80" t="s">
        <v>4799</v>
      </c>
      <c r="G357" s="81">
        <v>59.972318999999999</v>
      </c>
      <c r="H357" s="81">
        <v>1.047266</v>
      </c>
      <c r="I357" s="80" t="s">
        <v>4800</v>
      </c>
      <c r="L357" s="3">
        <f>VLOOKUP(C357,Securities!A:D,4,FALSE)</f>
        <v>1</v>
      </c>
      <c r="M357" s="3" t="str">
        <f>VLOOKUP(C357,Securities!A:B,2,FALSE)</f>
        <v>EXI LN Equity</v>
      </c>
      <c r="O357" s="3">
        <f t="shared" si="5"/>
        <v>32481</v>
      </c>
    </row>
    <row r="358" spans="1:15" x14ac:dyDescent="0.25">
      <c r="A358" s="76">
        <v>43053</v>
      </c>
      <c r="B358" s="77" t="s">
        <v>5071</v>
      </c>
      <c r="C358" s="77" t="s">
        <v>5080</v>
      </c>
      <c r="D358" s="77" t="s">
        <v>1895</v>
      </c>
      <c r="E358" s="78">
        <v>19780</v>
      </c>
      <c r="F358" s="77" t="s">
        <v>4814</v>
      </c>
      <c r="G358" s="78">
        <v>100.297472</v>
      </c>
      <c r="H358" s="78">
        <v>100.297472</v>
      </c>
      <c r="I358" s="77" t="s">
        <v>4800</v>
      </c>
      <c r="L358" s="3">
        <f>VLOOKUP(C358,Securities!A:D,4,FALSE)</f>
        <v>5</v>
      </c>
      <c r="M358" s="3" t="str">
        <f>VLOOKUP(C358,Securities!A:B,2,FALSE)</f>
        <v>RU000A0JXFS8 Corp</v>
      </c>
      <c r="O358" s="3">
        <f t="shared" si="5"/>
        <v>19780</v>
      </c>
    </row>
    <row r="359" spans="1:15" x14ac:dyDescent="0.25">
      <c r="A359" s="79">
        <v>43053</v>
      </c>
      <c r="B359" s="80" t="s">
        <v>5071</v>
      </c>
      <c r="C359" s="80" t="s">
        <v>4809</v>
      </c>
      <c r="D359" s="80" t="s">
        <v>30</v>
      </c>
      <c r="E359" s="81">
        <v>1136059</v>
      </c>
      <c r="F359" s="80" t="s">
        <v>4810</v>
      </c>
      <c r="G359" s="81">
        <v>122.31327400000001</v>
      </c>
      <c r="H359" s="81">
        <v>2.0807739999999999</v>
      </c>
      <c r="I359" s="80" t="s">
        <v>4800</v>
      </c>
      <c r="L359" s="3">
        <f>VLOOKUP(C359,Securities!A:D,4,FALSE)</f>
        <v>1</v>
      </c>
      <c r="M359" s="3" t="str">
        <f>VLOOKUP(C359,Securities!A:B,2,FALSE)</f>
        <v>GAZP RX Equity</v>
      </c>
      <c r="O359" s="3">
        <f t="shared" si="5"/>
        <v>1136059</v>
      </c>
    </row>
    <row r="360" spans="1:15" x14ac:dyDescent="0.25">
      <c r="A360" s="76">
        <v>43053</v>
      </c>
      <c r="B360" s="77" t="s">
        <v>5071</v>
      </c>
      <c r="C360" s="77" t="s">
        <v>5081</v>
      </c>
      <c r="D360" s="77" t="s">
        <v>1871</v>
      </c>
      <c r="E360" s="78">
        <v>20000</v>
      </c>
      <c r="F360" s="77" t="s">
        <v>4814</v>
      </c>
      <c r="G360" s="78">
        <v>100</v>
      </c>
      <c r="H360" s="78">
        <v>100</v>
      </c>
      <c r="I360" s="77" t="s">
        <v>4800</v>
      </c>
      <c r="L360" s="3">
        <f>VLOOKUP(C360,Securities!A:D,4,FALSE)</f>
        <v>5</v>
      </c>
      <c r="M360" s="3" t="str">
        <f>VLOOKUP(C360,Securities!A:B,2,FALSE)</f>
        <v>JK533840 Corp</v>
      </c>
      <c r="O360" s="3">
        <f t="shared" si="5"/>
        <v>20000</v>
      </c>
    </row>
    <row r="361" spans="1:15" x14ac:dyDescent="0.25">
      <c r="A361" s="79">
        <v>43053</v>
      </c>
      <c r="B361" s="80" t="s">
        <v>5071</v>
      </c>
      <c r="C361" s="80" t="s">
        <v>5082</v>
      </c>
      <c r="D361" s="80" t="s">
        <v>1880</v>
      </c>
      <c r="E361" s="81">
        <v>30000</v>
      </c>
      <c r="F361" s="80" t="s">
        <v>4814</v>
      </c>
      <c r="G361" s="81">
        <v>100</v>
      </c>
      <c r="H361" s="81">
        <v>100</v>
      </c>
      <c r="I361" s="80" t="s">
        <v>4800</v>
      </c>
      <c r="L361" s="3">
        <f>VLOOKUP(C361,Securities!A:D,4,FALSE)</f>
        <v>5</v>
      </c>
      <c r="M361" s="3" t="str">
        <f>VLOOKUP(C361,Securities!A:B,2,FALSE)</f>
        <v>JK551531 Corp</v>
      </c>
      <c r="O361" s="3">
        <f t="shared" si="5"/>
        <v>30000</v>
      </c>
    </row>
    <row r="362" spans="1:15" x14ac:dyDescent="0.25">
      <c r="A362" s="76">
        <v>43053</v>
      </c>
      <c r="B362" s="77" t="s">
        <v>5071</v>
      </c>
      <c r="C362" s="77" t="s">
        <v>4886</v>
      </c>
      <c r="D362" s="77" t="s">
        <v>4887</v>
      </c>
      <c r="E362" s="78">
        <v>72244</v>
      </c>
      <c r="F362" s="77" t="s">
        <v>4804</v>
      </c>
      <c r="G362" s="78">
        <v>312.90598799999998</v>
      </c>
      <c r="H362" s="78">
        <v>7.2245910000000002</v>
      </c>
      <c r="I362" s="77" t="s">
        <v>4800</v>
      </c>
      <c r="L362" s="3">
        <f>VLOOKUP(C362,Securities!A:D,4,FALSE)</f>
        <v>1</v>
      </c>
      <c r="M362" s="3" t="str">
        <f>VLOOKUP(C362,Securities!A:B,2,FALSE)</f>
        <v>GLTR LI Equity</v>
      </c>
      <c r="O362" s="3">
        <f t="shared" si="5"/>
        <v>72244</v>
      </c>
    </row>
    <row r="363" spans="1:15" x14ac:dyDescent="0.25">
      <c r="A363" s="79">
        <v>43053</v>
      </c>
      <c r="B363" s="80" t="s">
        <v>5071</v>
      </c>
      <c r="C363" s="80" t="s">
        <v>4905</v>
      </c>
      <c r="D363" s="80" t="s">
        <v>220</v>
      </c>
      <c r="E363" s="81">
        <v>6598</v>
      </c>
      <c r="F363" s="80" t="s">
        <v>4810</v>
      </c>
      <c r="G363" s="81">
        <v>8019.3050999999996</v>
      </c>
      <c r="H363" s="81">
        <v>140.92562100000001</v>
      </c>
      <c r="I363" s="80" t="s">
        <v>4800</v>
      </c>
      <c r="L363" s="3">
        <f>VLOOKUP(C363,Securities!A:D,4,FALSE)</f>
        <v>1</v>
      </c>
      <c r="M363" s="3" t="str">
        <f>VLOOKUP(C363,Securities!A:B,2,FALSE)</f>
        <v>GMKN RX Equity</v>
      </c>
      <c r="O363" s="3">
        <f t="shared" si="5"/>
        <v>6598</v>
      </c>
    </row>
    <row r="364" spans="1:15" x14ac:dyDescent="0.25">
      <c r="A364" s="76">
        <v>43053</v>
      </c>
      <c r="B364" s="77" t="s">
        <v>5071</v>
      </c>
      <c r="C364" s="77" t="s">
        <v>5083</v>
      </c>
      <c r="D364" s="77" t="s">
        <v>1835</v>
      </c>
      <c r="E364" s="78">
        <v>20000</v>
      </c>
      <c r="F364" s="77" t="s">
        <v>4814</v>
      </c>
      <c r="G364" s="78">
        <v>101.43</v>
      </c>
      <c r="H364" s="78">
        <v>101.43</v>
      </c>
      <c r="I364" s="77" t="s">
        <v>4800</v>
      </c>
      <c r="L364" s="3">
        <f>VLOOKUP(C364,Securities!A:D,4,FALSE)</f>
        <v>5</v>
      </c>
      <c r="M364" s="3" t="str">
        <f>VLOOKUP(C364,Securities!A:B,2,FALSE)</f>
        <v>AM281135 Corp</v>
      </c>
      <c r="O364" s="3">
        <f t="shared" si="5"/>
        <v>20000</v>
      </c>
    </row>
    <row r="365" spans="1:15" x14ac:dyDescent="0.25">
      <c r="A365" s="79">
        <v>43053</v>
      </c>
      <c r="B365" s="80" t="s">
        <v>5071</v>
      </c>
      <c r="C365" s="80" t="s">
        <v>5084</v>
      </c>
      <c r="D365" s="80" t="s">
        <v>5085</v>
      </c>
      <c r="E365" s="81">
        <v>400000</v>
      </c>
      <c r="F365" s="80" t="s">
        <v>4806</v>
      </c>
      <c r="G365" s="81">
        <v>84.75</v>
      </c>
      <c r="H365" s="81">
        <v>84.75</v>
      </c>
      <c r="I365" s="80" t="s">
        <v>4800</v>
      </c>
      <c r="L365" s="3">
        <f>VLOOKUP(C365,Securities!A:D,4,FALSE)</f>
        <v>5</v>
      </c>
      <c r="M365" s="3" t="str">
        <f>VLOOKUP(C365,Securities!A:B,2,FALSE)</f>
        <v>XS0830192711 Corp</v>
      </c>
      <c r="O365" s="3">
        <f t="shared" si="5"/>
        <v>400000</v>
      </c>
    </row>
    <row r="366" spans="1:15" x14ac:dyDescent="0.25">
      <c r="A366" s="76">
        <v>43053</v>
      </c>
      <c r="B366" s="77" t="s">
        <v>5071</v>
      </c>
      <c r="C366" s="77" t="s">
        <v>5086</v>
      </c>
      <c r="D366" s="77" t="s">
        <v>5087</v>
      </c>
      <c r="E366" s="78">
        <v>335000</v>
      </c>
      <c r="F366" s="77" t="s">
        <v>4806</v>
      </c>
      <c r="G366" s="78">
        <v>84.941193999999996</v>
      </c>
      <c r="H366" s="78">
        <v>84.941193999999996</v>
      </c>
      <c r="I366" s="77" t="s">
        <v>4800</v>
      </c>
      <c r="L366" s="3">
        <f>VLOOKUP(C366,Securities!A:D,4,FALSE)</f>
        <v>5</v>
      </c>
      <c r="M366" s="3" t="str">
        <f>VLOOKUP(C366,Securities!A:B,2,FALSE)</f>
        <v>EJ951547 Corp</v>
      </c>
      <c r="O366" s="3">
        <f t="shared" si="5"/>
        <v>335000</v>
      </c>
    </row>
    <row r="367" spans="1:15" x14ac:dyDescent="0.25">
      <c r="A367" s="79">
        <v>43053</v>
      </c>
      <c r="B367" s="80" t="s">
        <v>5071</v>
      </c>
      <c r="C367" s="80" t="s">
        <v>4811</v>
      </c>
      <c r="D367" s="80" t="s">
        <v>4659</v>
      </c>
      <c r="E367" s="81">
        <v>5086969</v>
      </c>
      <c r="F367" s="80" t="s">
        <v>4799</v>
      </c>
      <c r="G367" s="81">
        <v>31.097189</v>
      </c>
      <c r="H367" s="81">
        <v>0.66674</v>
      </c>
      <c r="I367" s="80" t="s">
        <v>4800</v>
      </c>
      <c r="L367" s="3">
        <f>VLOOKUP(C367,Securities!A:D,4,FALSE)</f>
        <v>1</v>
      </c>
      <c r="M367" s="3" t="str">
        <f>VLOOKUP(C367,Securities!A:B,2,FALSE)</f>
        <v>HGM LN Equity</v>
      </c>
      <c r="O367" s="3">
        <f t="shared" si="5"/>
        <v>5086969</v>
      </c>
    </row>
    <row r="368" spans="1:15" x14ac:dyDescent="0.25">
      <c r="A368" s="76">
        <v>43053</v>
      </c>
      <c r="B368" s="77" t="s">
        <v>5071</v>
      </c>
      <c r="C368" s="77" t="s">
        <v>5088</v>
      </c>
      <c r="D368" s="77" t="s">
        <v>5089</v>
      </c>
      <c r="E368" s="78">
        <v>61500</v>
      </c>
      <c r="F368" s="77" t="s">
        <v>4804</v>
      </c>
      <c r="G368" s="78">
        <v>0</v>
      </c>
      <c r="H368" s="78">
        <v>0</v>
      </c>
      <c r="I368" s="77" t="s">
        <v>4800</v>
      </c>
      <c r="L368" s="3">
        <f>VLOOKUP(C368,Securities!A:D,4,FALSE)</f>
        <v>1</v>
      </c>
      <c r="M368" s="3" t="str">
        <f>VLOOKUP(C368,Securities!A:B,2,FALSE)</f>
        <v>HMSG LI Equity</v>
      </c>
      <c r="O368" s="3">
        <f t="shared" si="5"/>
        <v>61500</v>
      </c>
    </row>
    <row r="369" spans="1:15" x14ac:dyDescent="0.25">
      <c r="A369" s="79">
        <v>43053</v>
      </c>
      <c r="B369" s="80" t="s">
        <v>5071</v>
      </c>
      <c r="C369" s="80" t="s">
        <v>5090</v>
      </c>
      <c r="D369" s="80" t="s">
        <v>5091</v>
      </c>
      <c r="E369" s="81">
        <v>233961</v>
      </c>
      <c r="F369" s="80" t="s">
        <v>4804</v>
      </c>
      <c r="G369" s="81">
        <v>243.32671500000001</v>
      </c>
      <c r="H369" s="81">
        <v>3.5346329999999999</v>
      </c>
      <c r="I369" s="80" t="s">
        <v>4800</v>
      </c>
      <c r="L369" s="3">
        <f>VLOOKUP(C369,Securities!A:D,4,FALSE)</f>
        <v>1</v>
      </c>
      <c r="M369" s="3" t="str">
        <f>VLOOKUP(C369,Securities!A:B,2,FALSE)</f>
        <v>KCEL LI Equity</v>
      </c>
      <c r="O369" s="3">
        <f t="shared" si="5"/>
        <v>233961</v>
      </c>
    </row>
    <row r="370" spans="1:15" x14ac:dyDescent="0.25">
      <c r="A370" s="76">
        <v>43053</v>
      </c>
      <c r="B370" s="77" t="s">
        <v>5071</v>
      </c>
      <c r="C370" s="77" t="s">
        <v>4909</v>
      </c>
      <c r="D370" s="77" t="s">
        <v>286</v>
      </c>
      <c r="E370" s="78">
        <v>419600</v>
      </c>
      <c r="F370" s="77" t="s">
        <v>4810</v>
      </c>
      <c r="G370" s="78">
        <v>30.247354000000001</v>
      </c>
      <c r="H370" s="78">
        <v>0.60896399999999995</v>
      </c>
      <c r="I370" s="77" t="s">
        <v>4800</v>
      </c>
      <c r="L370" s="3">
        <f>VLOOKUP(C370,Securities!A:D,4,FALSE)</f>
        <v>1</v>
      </c>
      <c r="M370" s="3" t="str">
        <f>VLOOKUP(C370,Securities!A:B,2,FALSE)</f>
        <v>KMAZ RX Equity</v>
      </c>
      <c r="O370" s="3">
        <f t="shared" si="5"/>
        <v>419600</v>
      </c>
    </row>
    <row r="371" spans="1:15" x14ac:dyDescent="0.25">
      <c r="A371" s="79">
        <v>43053</v>
      </c>
      <c r="B371" s="80" t="s">
        <v>5071</v>
      </c>
      <c r="C371" s="80" t="s">
        <v>4812</v>
      </c>
      <c r="D371" s="80" t="s">
        <v>4675</v>
      </c>
      <c r="E371" s="81">
        <v>79700</v>
      </c>
      <c r="F371" s="80" t="s">
        <v>4804</v>
      </c>
      <c r="G371" s="81">
        <v>540.55969300000004</v>
      </c>
      <c r="H371" s="81">
        <v>9.6325470000000006</v>
      </c>
      <c r="I371" s="80" t="s">
        <v>4800</v>
      </c>
      <c r="L371" s="3">
        <f>VLOOKUP(C371,Securities!A:D,4,FALSE)</f>
        <v>1</v>
      </c>
      <c r="M371" s="3" t="str">
        <f>VLOOKUP(C371,Securities!A:B,2,FALSE)</f>
        <v>KMG LI Equity</v>
      </c>
      <c r="O371" s="3">
        <f t="shared" si="5"/>
        <v>79700</v>
      </c>
    </row>
    <row r="372" spans="1:15" x14ac:dyDescent="0.25">
      <c r="A372" s="76">
        <v>43053</v>
      </c>
      <c r="B372" s="77" t="s">
        <v>5071</v>
      </c>
      <c r="C372" s="77" t="s">
        <v>4847</v>
      </c>
      <c r="D372" s="77" t="s">
        <v>369</v>
      </c>
      <c r="E372" s="78">
        <v>71439</v>
      </c>
      <c r="F372" s="77" t="s">
        <v>4810</v>
      </c>
      <c r="G372" s="78">
        <v>2822.19058</v>
      </c>
      <c r="H372" s="78">
        <v>49.858383000000003</v>
      </c>
      <c r="I372" s="77" t="s">
        <v>4800</v>
      </c>
      <c r="L372" s="3">
        <f>VLOOKUP(C372,Securities!A:D,4,FALSE)</f>
        <v>1</v>
      </c>
      <c r="M372" s="3" t="str">
        <f>VLOOKUP(C372,Securities!A:B,2,FALSE)</f>
        <v>LKOH RX Equity</v>
      </c>
      <c r="O372" s="3">
        <f t="shared" si="5"/>
        <v>71439</v>
      </c>
    </row>
    <row r="373" spans="1:15" x14ac:dyDescent="0.25">
      <c r="A373" s="79">
        <v>43053</v>
      </c>
      <c r="B373" s="80" t="s">
        <v>5071</v>
      </c>
      <c r="C373" s="80" t="s">
        <v>4813</v>
      </c>
      <c r="D373" s="80" t="s">
        <v>2573</v>
      </c>
      <c r="E373" s="81">
        <v>30000</v>
      </c>
      <c r="F373" s="80" t="s">
        <v>4814</v>
      </c>
      <c r="G373" s="81">
        <v>100</v>
      </c>
      <c r="H373" s="81">
        <v>100</v>
      </c>
      <c r="I373" s="80" t="s">
        <v>4800</v>
      </c>
      <c r="L373" s="3">
        <f>VLOOKUP(C373,Securities!A:D,4,FALSE)</f>
        <v>5</v>
      </c>
      <c r="M373" s="3" t="str">
        <f>VLOOKUP(C373,Securities!A:B,2,FALSE)</f>
        <v>QZ580267 Corp</v>
      </c>
      <c r="O373" s="3">
        <f t="shared" si="5"/>
        <v>30000</v>
      </c>
    </row>
    <row r="374" spans="1:15" x14ac:dyDescent="0.25">
      <c r="A374" s="76">
        <v>43053</v>
      </c>
      <c r="B374" s="77" t="s">
        <v>5071</v>
      </c>
      <c r="C374" s="77" t="s">
        <v>4910</v>
      </c>
      <c r="D374" s="77" t="s">
        <v>366</v>
      </c>
      <c r="E374" s="78">
        <v>55548</v>
      </c>
      <c r="F374" s="77" t="s">
        <v>4810</v>
      </c>
      <c r="G374" s="78">
        <v>633.08911899999998</v>
      </c>
      <c r="H374" s="78">
        <v>10.158991</v>
      </c>
      <c r="I374" s="77" t="s">
        <v>4800</v>
      </c>
      <c r="L374" s="3">
        <f>VLOOKUP(C374,Securities!A:D,4,FALSE)</f>
        <v>1</v>
      </c>
      <c r="M374" s="3" t="str">
        <f>VLOOKUP(C374,Securities!A:B,2,FALSE)</f>
        <v>LSRG RX Equity</v>
      </c>
      <c r="O374" s="3">
        <f t="shared" si="5"/>
        <v>55548</v>
      </c>
    </row>
    <row r="375" spans="1:15" x14ac:dyDescent="0.25">
      <c r="A375" s="79">
        <v>43053</v>
      </c>
      <c r="B375" s="80" t="s">
        <v>5071</v>
      </c>
      <c r="C375" s="80" t="s">
        <v>4815</v>
      </c>
      <c r="D375" s="80" t="s">
        <v>4676</v>
      </c>
      <c r="E375" s="81">
        <v>4900</v>
      </c>
      <c r="F375" s="80" t="s">
        <v>4799</v>
      </c>
      <c r="G375" s="81">
        <v>2926.419034</v>
      </c>
      <c r="H375" s="81">
        <v>47.432792999999997</v>
      </c>
      <c r="I375" s="80" t="s">
        <v>4800</v>
      </c>
      <c r="L375" s="3">
        <f>VLOOKUP(C375,Securities!A:D,4,FALSE)</f>
        <v>1</v>
      </c>
      <c r="M375" s="3" t="str">
        <f>VLOOKUP(C375,Securities!A:B,2,FALSE)</f>
        <v>LXFT US Equity</v>
      </c>
      <c r="O375" s="3">
        <f t="shared" si="5"/>
        <v>4900</v>
      </c>
    </row>
    <row r="376" spans="1:15" x14ac:dyDescent="0.25">
      <c r="A376" s="76">
        <v>43053</v>
      </c>
      <c r="B376" s="77" t="s">
        <v>5071</v>
      </c>
      <c r="C376" s="77" t="s">
        <v>5092</v>
      </c>
      <c r="D376" s="77" t="s">
        <v>2645</v>
      </c>
      <c r="E376" s="78">
        <v>20000</v>
      </c>
      <c r="F376" s="77" t="s">
        <v>4814</v>
      </c>
      <c r="G376" s="78">
        <v>100</v>
      </c>
      <c r="H376" s="78">
        <v>100</v>
      </c>
      <c r="I376" s="77" t="s">
        <v>4800</v>
      </c>
      <c r="L376" s="3">
        <f>VLOOKUP(C376,Securities!A:D,4,FALSE)</f>
        <v>5</v>
      </c>
      <c r="M376" s="3" t="str">
        <f>VLOOKUP(C376,Securities!A:B,2,FALSE)</f>
        <v>JK576342 Corp</v>
      </c>
      <c r="O376" s="3">
        <f t="shared" si="5"/>
        <v>20000</v>
      </c>
    </row>
    <row r="377" spans="1:15" x14ac:dyDescent="0.25">
      <c r="A377" s="79">
        <v>43053</v>
      </c>
      <c r="B377" s="80" t="s">
        <v>5071</v>
      </c>
      <c r="C377" s="80" t="s">
        <v>4888</v>
      </c>
      <c r="D377" s="80" t="s">
        <v>29</v>
      </c>
      <c r="E377" s="81">
        <v>151062</v>
      </c>
      <c r="F377" s="80" t="s">
        <v>4810</v>
      </c>
      <c r="G377" s="81">
        <v>650.23473100000001</v>
      </c>
      <c r="H377" s="81">
        <v>10.110093000000001</v>
      </c>
      <c r="I377" s="80" t="s">
        <v>4800</v>
      </c>
      <c r="L377" s="3">
        <f>VLOOKUP(C377,Securities!A:D,4,FALSE)</f>
        <v>1</v>
      </c>
      <c r="M377" s="3" t="str">
        <f>VLOOKUP(C377,Securities!A:B,2,FALSE)</f>
        <v>MFON RX Equity</v>
      </c>
      <c r="O377" s="3">
        <f t="shared" si="5"/>
        <v>151062</v>
      </c>
    </row>
    <row r="378" spans="1:15" x14ac:dyDescent="0.25">
      <c r="A378" s="76">
        <v>43053</v>
      </c>
      <c r="B378" s="77" t="s">
        <v>5071</v>
      </c>
      <c r="C378" s="77" t="s">
        <v>5093</v>
      </c>
      <c r="D378" s="77" t="s">
        <v>447</v>
      </c>
      <c r="E378" s="78">
        <v>674</v>
      </c>
      <c r="F378" s="77" t="s">
        <v>4810</v>
      </c>
      <c r="G378" s="78">
        <v>7420</v>
      </c>
      <c r="H378" s="78">
        <v>126.933729</v>
      </c>
      <c r="I378" s="77" t="s">
        <v>4800</v>
      </c>
      <c r="L378" s="3">
        <f>VLOOKUP(C378,Securities!A:D,4,FALSE)</f>
        <v>1</v>
      </c>
      <c r="M378" s="3" t="str">
        <f>VLOOKUP(C378,Securities!A:B,2,FALSE)</f>
        <v>MGNT RX Equity</v>
      </c>
      <c r="O378" s="3">
        <f t="shared" si="5"/>
        <v>674</v>
      </c>
    </row>
    <row r="379" spans="1:15" x14ac:dyDescent="0.25">
      <c r="A379" s="79">
        <v>43053</v>
      </c>
      <c r="B379" s="80" t="s">
        <v>5071</v>
      </c>
      <c r="C379" s="80" t="s">
        <v>5094</v>
      </c>
      <c r="D379" s="80" t="s">
        <v>5095</v>
      </c>
      <c r="E379" s="81">
        <v>11710</v>
      </c>
      <c r="F379" s="80" t="s">
        <v>4804</v>
      </c>
      <c r="G379" s="81">
        <v>534.07918500000005</v>
      </c>
      <c r="H379" s="81">
        <v>9.1718229999999998</v>
      </c>
      <c r="I379" s="80" t="s">
        <v>4800</v>
      </c>
      <c r="L379" s="3">
        <f>VLOOKUP(C379,Securities!A:D,4,FALSE)</f>
        <v>1</v>
      </c>
      <c r="M379" s="3" t="str">
        <f>VLOOKUP(C379,Securities!A:B,2,FALSE)</f>
        <v>MHPC LI Equity</v>
      </c>
      <c r="O379" s="3">
        <f t="shared" si="5"/>
        <v>11710</v>
      </c>
    </row>
    <row r="380" spans="1:15" x14ac:dyDescent="0.25">
      <c r="A380" s="76">
        <v>43053</v>
      </c>
      <c r="B380" s="77" t="s">
        <v>5071</v>
      </c>
      <c r="C380" s="77" t="s">
        <v>5096</v>
      </c>
      <c r="D380" s="77" t="s">
        <v>5097</v>
      </c>
      <c r="E380" s="78">
        <v>700000</v>
      </c>
      <c r="F380" s="77" t="s">
        <v>4806</v>
      </c>
      <c r="G380" s="78">
        <v>84.24</v>
      </c>
      <c r="H380" s="78">
        <v>84.24</v>
      </c>
      <c r="I380" s="77" t="s">
        <v>4800</v>
      </c>
      <c r="L380" s="3">
        <f>VLOOKUP(C380,Securities!A:D,4,FALSE)</f>
        <v>5</v>
      </c>
      <c r="M380" s="3" t="str">
        <f>VLOOKUP(C380,Securities!A:B,2,FALSE)</f>
        <v>EJ606056 Corp</v>
      </c>
      <c r="O380" s="3">
        <f t="shared" si="5"/>
        <v>700000</v>
      </c>
    </row>
    <row r="381" spans="1:15" x14ac:dyDescent="0.25">
      <c r="A381" s="79">
        <v>43053</v>
      </c>
      <c r="B381" s="80" t="s">
        <v>5071</v>
      </c>
      <c r="C381" s="80" t="s">
        <v>4867</v>
      </c>
      <c r="D381" s="80" t="s">
        <v>473</v>
      </c>
      <c r="E381" s="81">
        <v>46100</v>
      </c>
      <c r="F381" s="80" t="s">
        <v>4810</v>
      </c>
      <c r="G381" s="81">
        <v>108.49930000000001</v>
      </c>
      <c r="H381" s="81">
        <v>1.931441</v>
      </c>
      <c r="I381" s="80" t="s">
        <v>4800</v>
      </c>
      <c r="L381" s="3">
        <f>VLOOKUP(C381,Securities!A:D,4,FALSE)</f>
        <v>1</v>
      </c>
      <c r="M381" s="3" t="str">
        <f>VLOOKUP(C381,Securities!A:B,2,FALSE)</f>
        <v>MOEX RX Equity</v>
      </c>
      <c r="O381" s="3">
        <f t="shared" si="5"/>
        <v>46100</v>
      </c>
    </row>
    <row r="382" spans="1:15" x14ac:dyDescent="0.25">
      <c r="A382" s="76">
        <v>43053</v>
      </c>
      <c r="B382" s="77" t="s">
        <v>5071</v>
      </c>
      <c r="C382" s="77" t="s">
        <v>5098</v>
      </c>
      <c r="D382" s="77" t="s">
        <v>2753</v>
      </c>
      <c r="E382" s="78">
        <v>19780</v>
      </c>
      <c r="F382" s="77" t="s">
        <v>4814</v>
      </c>
      <c r="G382" s="78">
        <v>100.2</v>
      </c>
      <c r="H382" s="78">
        <v>100.2</v>
      </c>
      <c r="I382" s="77" t="s">
        <v>4800</v>
      </c>
      <c r="L382" s="3">
        <f>VLOOKUP(C382,Securities!A:D,4,FALSE)</f>
        <v>5</v>
      </c>
      <c r="M382" s="3" t="str">
        <f>VLOOKUP(C382,Securities!A:B,2,FALSE)</f>
        <v>RU000A0JXEV5 Corp</v>
      </c>
      <c r="O382" s="3">
        <f t="shared" si="5"/>
        <v>19780</v>
      </c>
    </row>
    <row r="383" spans="1:15" x14ac:dyDescent="0.25">
      <c r="A383" s="79">
        <v>43053</v>
      </c>
      <c r="B383" s="80" t="s">
        <v>5071</v>
      </c>
      <c r="C383" s="80" t="s">
        <v>4889</v>
      </c>
      <c r="D383" s="80" t="s">
        <v>438</v>
      </c>
      <c r="E383" s="81">
        <v>360500</v>
      </c>
      <c r="F383" s="80" t="s">
        <v>4810</v>
      </c>
      <c r="G383" s="81">
        <v>218.660392</v>
      </c>
      <c r="H383" s="81">
        <v>4.6706200000000004</v>
      </c>
      <c r="I383" s="80" t="s">
        <v>4800</v>
      </c>
      <c r="L383" s="3">
        <f>VLOOKUP(C383,Securities!A:D,4,FALSE)</f>
        <v>1</v>
      </c>
      <c r="M383" s="3" t="str">
        <f>VLOOKUP(C383,Securities!A:B,2,FALSE)</f>
        <v>MTSS RX Equity</v>
      </c>
      <c r="O383" s="3">
        <f t="shared" si="5"/>
        <v>360500</v>
      </c>
    </row>
    <row r="384" spans="1:15" x14ac:dyDescent="0.25">
      <c r="A384" s="76">
        <v>43053</v>
      </c>
      <c r="B384" s="77" t="s">
        <v>5071</v>
      </c>
      <c r="C384" s="77" t="s">
        <v>5099</v>
      </c>
      <c r="D384" s="77" t="s">
        <v>491</v>
      </c>
      <c r="E384" s="78">
        <v>1339700</v>
      </c>
      <c r="F384" s="77" t="s">
        <v>4810</v>
      </c>
      <c r="G384" s="78">
        <v>20.6952</v>
      </c>
      <c r="H384" s="78">
        <v>0.47691</v>
      </c>
      <c r="I384" s="77" t="s">
        <v>4800</v>
      </c>
      <c r="L384" s="3">
        <f>VLOOKUP(C384,Securities!A:D,4,FALSE)</f>
        <v>1</v>
      </c>
      <c r="M384" s="3" t="str">
        <f>VLOOKUP(C384,Securities!A:B,2,FALSE)</f>
        <v>NKNC RX Equity</v>
      </c>
      <c r="O384" s="3">
        <f t="shared" si="5"/>
        <v>1339700</v>
      </c>
    </row>
    <row r="385" spans="1:15" x14ac:dyDescent="0.25">
      <c r="A385" s="79">
        <v>43053</v>
      </c>
      <c r="B385" s="80" t="s">
        <v>5071</v>
      </c>
      <c r="C385" s="80" t="s">
        <v>4818</v>
      </c>
      <c r="D385" s="80" t="s">
        <v>494</v>
      </c>
      <c r="E385" s="81">
        <v>5845009</v>
      </c>
      <c r="F385" s="80" t="s">
        <v>4810</v>
      </c>
      <c r="G385" s="81">
        <v>27.273091000000001</v>
      </c>
      <c r="H385" s="81">
        <v>0.48857600000000001</v>
      </c>
      <c r="I385" s="80" t="s">
        <v>4800</v>
      </c>
      <c r="L385" s="3">
        <f>VLOOKUP(C385,Securities!A:D,4,FALSE)</f>
        <v>1</v>
      </c>
      <c r="M385" s="3" t="str">
        <f>VLOOKUP(C385,Securities!A:B,2,FALSE)</f>
        <v>NKNCP RX Equity</v>
      </c>
      <c r="O385" s="3">
        <f t="shared" si="5"/>
        <v>5845009</v>
      </c>
    </row>
    <row r="386" spans="1:15" x14ac:dyDescent="0.25">
      <c r="A386" s="76">
        <v>43053</v>
      </c>
      <c r="B386" s="77" t="s">
        <v>5071</v>
      </c>
      <c r="C386" s="77" t="s">
        <v>4912</v>
      </c>
      <c r="D386" s="77" t="s">
        <v>28</v>
      </c>
      <c r="E386" s="78">
        <v>12101742</v>
      </c>
      <c r="F386" s="77" t="s">
        <v>4810</v>
      </c>
      <c r="G386" s="78">
        <v>1.464825</v>
      </c>
      <c r="H386" s="78">
        <v>2.5233999999999999E-2</v>
      </c>
      <c r="I386" s="77" t="s">
        <v>4800</v>
      </c>
      <c r="L386" s="3">
        <f>VLOOKUP(C386,Securities!A:D,4,FALSE)</f>
        <v>1</v>
      </c>
      <c r="M386" s="3" t="str">
        <f>VLOOKUP(C386,Securities!A:B,2,FALSE)</f>
        <v>NMTP RX Equity</v>
      </c>
      <c r="O386" s="3">
        <f t="shared" ref="O386:O449" si="6">SUMIFS(E:E,C:C,C386,B:B,B386)</f>
        <v>12101742</v>
      </c>
    </row>
    <row r="387" spans="1:15" x14ac:dyDescent="0.25">
      <c r="A387" s="79">
        <v>43053</v>
      </c>
      <c r="B387" s="80" t="s">
        <v>5071</v>
      </c>
      <c r="C387" s="80" t="s">
        <v>4848</v>
      </c>
      <c r="D387" s="80" t="s">
        <v>511</v>
      </c>
      <c r="E387" s="81">
        <v>32100</v>
      </c>
      <c r="F387" s="80" t="s">
        <v>4810</v>
      </c>
      <c r="G387" s="81">
        <v>622.03259100000002</v>
      </c>
      <c r="H387" s="81">
        <v>10.365937000000001</v>
      </c>
      <c r="I387" s="80" t="s">
        <v>4800</v>
      </c>
      <c r="L387" s="3">
        <f>VLOOKUP(C387,Securities!A:D,4,FALSE)</f>
        <v>1</v>
      </c>
      <c r="M387" s="3" t="str">
        <f>VLOOKUP(C387,Securities!A:B,2,FALSE)</f>
        <v>NVTK RX Equity</v>
      </c>
      <c r="O387" s="3">
        <f t="shared" si="6"/>
        <v>32100</v>
      </c>
    </row>
    <row r="388" spans="1:15" x14ac:dyDescent="0.25">
      <c r="A388" s="76">
        <v>43053</v>
      </c>
      <c r="B388" s="77" t="s">
        <v>5071</v>
      </c>
      <c r="C388" s="77" t="s">
        <v>4982</v>
      </c>
      <c r="D388" s="77" t="s">
        <v>4983</v>
      </c>
      <c r="E388" s="78">
        <v>30000</v>
      </c>
      <c r="F388" s="77" t="s">
        <v>4814</v>
      </c>
      <c r="G388" s="78">
        <v>100.3</v>
      </c>
      <c r="H388" s="78">
        <v>100.3</v>
      </c>
      <c r="I388" s="77" t="s">
        <v>4800</v>
      </c>
      <c r="L388" s="3">
        <f>VLOOKUP(C388,Securities!A:D,4,FALSE)</f>
        <v>5</v>
      </c>
      <c r="M388" s="3" t="str">
        <f>VLOOKUP(C388,Securities!A:B,2,FALSE)</f>
        <v>RU000A0JXVY3 Corp</v>
      </c>
      <c r="O388" s="3">
        <f t="shared" si="6"/>
        <v>30000</v>
      </c>
    </row>
    <row r="389" spans="1:15" x14ac:dyDescent="0.25">
      <c r="A389" s="79">
        <v>43053</v>
      </c>
      <c r="B389" s="80" t="s">
        <v>5071</v>
      </c>
      <c r="C389" s="80" t="s">
        <v>5100</v>
      </c>
      <c r="D389" s="80" t="s">
        <v>5101</v>
      </c>
      <c r="E389" s="81">
        <v>9200</v>
      </c>
      <c r="F389" s="80" t="s">
        <v>4898</v>
      </c>
      <c r="G389" s="81">
        <v>1086.25244</v>
      </c>
      <c r="H389" s="81">
        <v>16.345462000000001</v>
      </c>
      <c r="I389" s="80" t="s">
        <v>4800</v>
      </c>
      <c r="L389" s="3">
        <f>VLOOKUP(C389,Securities!A:D,4,FALSE)</f>
        <v>1</v>
      </c>
      <c r="M389" s="3" t="str">
        <f>VLOOKUP(C389,Securities!A:B,2,FALSE)</f>
        <v>PHAG LN Equity</v>
      </c>
      <c r="O389" s="3">
        <f t="shared" si="6"/>
        <v>9200</v>
      </c>
    </row>
    <row r="390" spans="1:15" x14ac:dyDescent="0.25">
      <c r="A390" s="76">
        <v>43053</v>
      </c>
      <c r="B390" s="77" t="s">
        <v>5071</v>
      </c>
      <c r="C390" s="77" t="s">
        <v>5102</v>
      </c>
      <c r="D390" s="77" t="s">
        <v>5103</v>
      </c>
      <c r="E390" s="78">
        <v>3258</v>
      </c>
      <c r="F390" s="77" t="s">
        <v>4898</v>
      </c>
      <c r="G390" s="78">
        <v>7226.0090339999997</v>
      </c>
      <c r="H390" s="78">
        <v>117.354547</v>
      </c>
      <c r="I390" s="77" t="s">
        <v>4800</v>
      </c>
      <c r="L390" s="3">
        <f>VLOOKUP(C390,Securities!A:D,4,FALSE)</f>
        <v>1</v>
      </c>
      <c r="M390" s="3" t="str">
        <f>VLOOKUP(C390,Securities!A:B,2,FALSE)</f>
        <v>PHAU LN Equity</v>
      </c>
      <c r="O390" s="3">
        <f t="shared" si="6"/>
        <v>3258</v>
      </c>
    </row>
    <row r="391" spans="1:15" x14ac:dyDescent="0.25">
      <c r="A391" s="79">
        <v>43053</v>
      </c>
      <c r="B391" s="80" t="s">
        <v>5071</v>
      </c>
      <c r="C391" s="80" t="s">
        <v>5104</v>
      </c>
      <c r="D391" s="80" t="s">
        <v>3170</v>
      </c>
      <c r="E391" s="81">
        <v>30000</v>
      </c>
      <c r="F391" s="80" t="s">
        <v>4814</v>
      </c>
      <c r="G391" s="81">
        <v>105.8</v>
      </c>
      <c r="H391" s="81">
        <v>105.8</v>
      </c>
      <c r="I391" s="80" t="s">
        <v>4800</v>
      </c>
      <c r="L391" s="3">
        <f>VLOOKUP(C391,Securities!A:D,4,FALSE)</f>
        <v>5</v>
      </c>
      <c r="M391" s="3" t="str">
        <f>VLOOKUP(C391,Securities!A:B,2,FALSE)</f>
        <v>JV410549 Corp</v>
      </c>
      <c r="O391" s="3">
        <f t="shared" si="6"/>
        <v>30000</v>
      </c>
    </row>
    <row r="392" spans="1:15" x14ac:dyDescent="0.25">
      <c r="A392" s="76">
        <v>43053</v>
      </c>
      <c r="B392" s="77" t="s">
        <v>5071</v>
      </c>
      <c r="C392" s="77" t="s">
        <v>4821</v>
      </c>
      <c r="D392" s="77" t="s">
        <v>42</v>
      </c>
      <c r="E392" s="78">
        <v>215491</v>
      </c>
      <c r="F392" s="77" t="s">
        <v>4799</v>
      </c>
      <c r="G392" s="78">
        <v>615.36778200000003</v>
      </c>
      <c r="H392" s="78">
        <v>9.6340730000000008</v>
      </c>
      <c r="I392" s="77" t="s">
        <v>4800</v>
      </c>
      <c r="L392" s="3">
        <f>VLOOKUP(C392,Securities!A:D,4,FALSE)</f>
        <v>1</v>
      </c>
      <c r="M392" s="3" t="str">
        <f>VLOOKUP(C392,Securities!A:B,2,FALSE)</f>
        <v>POLY LN Equity</v>
      </c>
      <c r="O392" s="3">
        <f t="shared" si="6"/>
        <v>215491</v>
      </c>
    </row>
    <row r="393" spans="1:15" x14ac:dyDescent="0.25">
      <c r="A393" s="79">
        <v>43053</v>
      </c>
      <c r="B393" s="80" t="s">
        <v>5071</v>
      </c>
      <c r="C393" s="80" t="s">
        <v>5105</v>
      </c>
      <c r="D393" s="80" t="s">
        <v>553</v>
      </c>
      <c r="E393" s="81">
        <v>278500</v>
      </c>
      <c r="F393" s="80" t="s">
        <v>4810</v>
      </c>
      <c r="G393" s="81">
        <v>0</v>
      </c>
      <c r="H393" s="81">
        <v>0</v>
      </c>
      <c r="I393" s="80" t="s">
        <v>4800</v>
      </c>
      <c r="L393" s="3">
        <f>VLOOKUP(C393,Securities!A:D,4,FALSE)</f>
        <v>1</v>
      </c>
      <c r="M393" s="3" t="str">
        <f>VLOOKUP(C393,Securities!A:B,2,FALSE)</f>
        <v>PRTK RX Equity</v>
      </c>
      <c r="O393" s="3">
        <f t="shared" si="6"/>
        <v>278500</v>
      </c>
    </row>
    <row r="394" spans="1:15" x14ac:dyDescent="0.25">
      <c r="A394" s="76">
        <v>43053</v>
      </c>
      <c r="B394" s="77" t="s">
        <v>5071</v>
      </c>
      <c r="C394" s="77" t="s">
        <v>5106</v>
      </c>
      <c r="D394" s="77" t="s">
        <v>5107</v>
      </c>
      <c r="E394" s="78">
        <v>80000000</v>
      </c>
      <c r="F394" s="77" t="s">
        <v>4806</v>
      </c>
      <c r="G394" s="78">
        <v>76.292500000000004</v>
      </c>
      <c r="H394" s="78">
        <v>76.292500000000004</v>
      </c>
      <c r="I394" s="77" t="s">
        <v>4800</v>
      </c>
      <c r="L394" s="3">
        <f>VLOOKUP(C394,Securities!A:D,4,FALSE)</f>
        <v>5</v>
      </c>
      <c r="M394" s="3" t="str">
        <f>VLOOKUP(C394,Securities!A:B,2,FALSE)</f>
        <v>EJ536591 Corp</v>
      </c>
      <c r="O394" s="3">
        <f t="shared" si="6"/>
        <v>80000000</v>
      </c>
    </row>
    <row r="395" spans="1:15" x14ac:dyDescent="0.25">
      <c r="A395" s="79">
        <v>43053</v>
      </c>
      <c r="B395" s="80" t="s">
        <v>5071</v>
      </c>
      <c r="C395" s="80" t="s">
        <v>5108</v>
      </c>
      <c r="D395" s="80" t="s">
        <v>3602</v>
      </c>
      <c r="E395" s="81">
        <v>150000</v>
      </c>
      <c r="F395" s="80" t="s">
        <v>4814</v>
      </c>
      <c r="G395" s="81">
        <v>100</v>
      </c>
      <c r="H395" s="81">
        <v>100</v>
      </c>
      <c r="I395" s="80" t="s">
        <v>4800</v>
      </c>
      <c r="L395" s="3">
        <f>VLOOKUP(C395,Securities!A:D,4,FALSE)</f>
        <v>5</v>
      </c>
      <c r="M395" s="3" t="str">
        <f>VLOOKUP(C395,Securities!A:B,2,FALSE)</f>
        <v>JK744712 Corp</v>
      </c>
      <c r="O395" s="3">
        <f t="shared" si="6"/>
        <v>150000</v>
      </c>
    </row>
    <row r="396" spans="1:15" x14ac:dyDescent="0.25">
      <c r="A396" s="76">
        <v>43053</v>
      </c>
      <c r="B396" s="77" t="s">
        <v>5071</v>
      </c>
      <c r="C396" s="77" t="s">
        <v>5109</v>
      </c>
      <c r="D396" s="77" t="s">
        <v>3371</v>
      </c>
      <c r="E396" s="78">
        <v>50000</v>
      </c>
      <c r="F396" s="77" t="s">
        <v>4814</v>
      </c>
      <c r="G396" s="78">
        <v>100</v>
      </c>
      <c r="H396" s="78">
        <v>100</v>
      </c>
      <c r="I396" s="77" t="s">
        <v>4800</v>
      </c>
      <c r="L396" s="3">
        <f>VLOOKUP(C396,Securities!A:D,4,FALSE)</f>
        <v>5</v>
      </c>
      <c r="M396" s="3" t="str">
        <f>VLOOKUP(C396,Securities!A:B,2,FALSE)</f>
        <v>JK628240 Corp</v>
      </c>
      <c r="O396" s="3">
        <f t="shared" si="6"/>
        <v>50000</v>
      </c>
    </row>
    <row r="397" spans="1:15" x14ac:dyDescent="0.25">
      <c r="A397" s="79">
        <v>43053</v>
      </c>
      <c r="B397" s="80" t="s">
        <v>5071</v>
      </c>
      <c r="C397" s="80" t="s">
        <v>4932</v>
      </c>
      <c r="D397" s="80" t="s">
        <v>4933</v>
      </c>
      <c r="E397" s="81">
        <v>129060</v>
      </c>
      <c r="F397" s="80" t="s">
        <v>4814</v>
      </c>
      <c r="G397" s="81">
        <v>100</v>
      </c>
      <c r="H397" s="81">
        <v>100</v>
      </c>
      <c r="I397" s="80" t="s">
        <v>4800</v>
      </c>
      <c r="L397" s="3">
        <f>VLOOKUP(C397,Securities!A:D,4,FALSE)</f>
        <v>5</v>
      </c>
      <c r="M397" s="3" t="str">
        <f>VLOOKUP(C397,Securities!A:B,2,FALSE)</f>
        <v>RU000A0ZYBS1 Corp</v>
      </c>
      <c r="O397" s="3">
        <f t="shared" si="6"/>
        <v>129060</v>
      </c>
    </row>
    <row r="398" spans="1:15" x14ac:dyDescent="0.25">
      <c r="A398" s="76">
        <v>43053</v>
      </c>
      <c r="B398" s="77" t="s">
        <v>5071</v>
      </c>
      <c r="C398" s="77" t="s">
        <v>4915</v>
      </c>
      <c r="D398" s="77" t="s">
        <v>226</v>
      </c>
      <c r="E398" s="78">
        <v>431650</v>
      </c>
      <c r="F398" s="77" t="s">
        <v>4810</v>
      </c>
      <c r="G398" s="78">
        <v>150.472748</v>
      </c>
      <c r="H398" s="78">
        <v>2.638287</v>
      </c>
      <c r="I398" s="77" t="s">
        <v>4800</v>
      </c>
      <c r="L398" s="3">
        <f>VLOOKUP(C398,Securities!A:D,4,FALSE)</f>
        <v>1</v>
      </c>
      <c r="M398" s="3" t="str">
        <f>VLOOKUP(C398,Securities!A:B,2,FALSE)</f>
        <v>SIBN RX Equity</v>
      </c>
      <c r="O398" s="3">
        <f t="shared" si="6"/>
        <v>431650</v>
      </c>
    </row>
    <row r="399" spans="1:15" x14ac:dyDescent="0.25">
      <c r="A399" s="79">
        <v>43053</v>
      </c>
      <c r="B399" s="80" t="s">
        <v>5071</v>
      </c>
      <c r="C399" s="80" t="s">
        <v>4916</v>
      </c>
      <c r="D399" s="80" t="s">
        <v>712</v>
      </c>
      <c r="E399" s="81">
        <v>584600</v>
      </c>
      <c r="F399" s="80" t="s">
        <v>4810</v>
      </c>
      <c r="G399" s="81">
        <v>29.390446000000001</v>
      </c>
      <c r="H399" s="81">
        <v>0.49854700000000002</v>
      </c>
      <c r="I399" s="80" t="s">
        <v>4800</v>
      </c>
      <c r="L399" s="3">
        <f>VLOOKUP(C399,Securities!A:D,4,FALSE)</f>
        <v>1</v>
      </c>
      <c r="M399" s="3" t="str">
        <f>VLOOKUP(C399,Securities!A:B,2,FALSE)</f>
        <v>SNGSP RX Equity</v>
      </c>
      <c r="O399" s="3">
        <f t="shared" si="6"/>
        <v>584600</v>
      </c>
    </row>
    <row r="400" spans="1:15" x14ac:dyDescent="0.25">
      <c r="A400" s="76">
        <v>43053</v>
      </c>
      <c r="B400" s="77" t="s">
        <v>5071</v>
      </c>
      <c r="C400" s="77" t="s">
        <v>5110</v>
      </c>
      <c r="D400" s="77" t="s">
        <v>3989</v>
      </c>
      <c r="E400" s="78">
        <v>15000</v>
      </c>
      <c r="F400" s="77" t="s">
        <v>4814</v>
      </c>
      <c r="G400" s="78">
        <v>100</v>
      </c>
      <c r="H400" s="78">
        <v>100</v>
      </c>
      <c r="I400" s="77" t="s">
        <v>4800</v>
      </c>
      <c r="L400" s="3">
        <f>VLOOKUP(C400,Securities!A:D,4,FALSE)</f>
        <v>5</v>
      </c>
      <c r="M400" s="3" t="str">
        <f>VLOOKUP(C400,Securities!A:B,2,FALSE)</f>
        <v>QZ914276 Corp</v>
      </c>
      <c r="O400" s="3">
        <f t="shared" si="6"/>
        <v>15000</v>
      </c>
    </row>
    <row r="401" spans="1:15" x14ac:dyDescent="0.25">
      <c r="A401" s="79">
        <v>43053</v>
      </c>
      <c r="B401" s="80" t="s">
        <v>5071</v>
      </c>
      <c r="C401" s="80" t="s">
        <v>5111</v>
      </c>
      <c r="D401" s="80" t="s">
        <v>649</v>
      </c>
      <c r="E401" s="81">
        <v>3770</v>
      </c>
      <c r="F401" s="80" t="s">
        <v>4810</v>
      </c>
      <c r="G401" s="81">
        <v>416</v>
      </c>
      <c r="H401" s="81">
        <v>8.4343699999999995</v>
      </c>
      <c r="I401" s="80" t="s">
        <v>4800</v>
      </c>
      <c r="L401" s="3">
        <f>VLOOKUP(C401,Securities!A:D,4,FALSE)</f>
        <v>1</v>
      </c>
      <c r="M401" s="3" t="str">
        <f>VLOOKUP(C401,Securities!A:B,2,FALSE)</f>
        <v>SVAV RX Equity</v>
      </c>
      <c r="O401" s="3">
        <f t="shared" si="6"/>
        <v>3770</v>
      </c>
    </row>
    <row r="402" spans="1:15" x14ac:dyDescent="0.25">
      <c r="A402" s="76">
        <v>43053</v>
      </c>
      <c r="B402" s="77" t="s">
        <v>5071</v>
      </c>
      <c r="C402" s="77" t="s">
        <v>5112</v>
      </c>
      <c r="D402" s="77" t="s">
        <v>721</v>
      </c>
      <c r="E402" s="78">
        <v>778400000</v>
      </c>
      <c r="F402" s="77" t="s">
        <v>4810</v>
      </c>
      <c r="G402" s="78">
        <v>5.0670000000000003E-3</v>
      </c>
      <c r="H402" s="78">
        <v>1.16E-4</v>
      </c>
      <c r="I402" s="77" t="s">
        <v>4800</v>
      </c>
      <c r="L402" s="3">
        <f>VLOOKUP(C402,Securities!A:D,4,FALSE)</f>
        <v>1</v>
      </c>
      <c r="M402" s="3" t="str">
        <f>VLOOKUP(C402,Securities!A:B,2,FALSE)</f>
        <v>TGKA RX Equity</v>
      </c>
      <c r="O402" s="3">
        <f t="shared" si="6"/>
        <v>778400000</v>
      </c>
    </row>
    <row r="403" spans="1:15" x14ac:dyDescent="0.25">
      <c r="A403" s="79">
        <v>43053</v>
      </c>
      <c r="B403" s="80" t="s">
        <v>5071</v>
      </c>
      <c r="C403" s="80" t="s">
        <v>5113</v>
      </c>
      <c r="D403" s="80" t="s">
        <v>4667</v>
      </c>
      <c r="E403" s="81">
        <v>25000</v>
      </c>
      <c r="F403" s="80" t="s">
        <v>4814</v>
      </c>
      <c r="G403" s="81">
        <v>100</v>
      </c>
      <c r="H403" s="81">
        <v>100</v>
      </c>
      <c r="I403" s="80" t="s">
        <v>4800</v>
      </c>
      <c r="L403" s="3">
        <f>VLOOKUP(C403,Securities!A:D,4,FALSE)</f>
        <v>5</v>
      </c>
      <c r="M403" s="3" t="str">
        <f>VLOOKUP(C403,Securities!A:B,2,FALSE)</f>
        <v>RU000A0JXQ85 Corp</v>
      </c>
      <c r="O403" s="3">
        <f t="shared" si="6"/>
        <v>25000</v>
      </c>
    </row>
    <row r="404" spans="1:15" x14ac:dyDescent="0.25">
      <c r="A404" s="76">
        <v>43053</v>
      </c>
      <c r="B404" s="77" t="s">
        <v>5071</v>
      </c>
      <c r="C404" s="77" t="s">
        <v>4917</v>
      </c>
      <c r="D404" s="77" t="s">
        <v>742</v>
      </c>
      <c r="E404" s="78">
        <v>94950</v>
      </c>
      <c r="F404" s="77" t="s">
        <v>4810</v>
      </c>
      <c r="G404" s="78">
        <v>48.898325</v>
      </c>
      <c r="H404" s="78">
        <v>0.80380399999999996</v>
      </c>
      <c r="I404" s="77" t="s">
        <v>4800</v>
      </c>
      <c r="L404" s="3">
        <f>VLOOKUP(C404,Securities!A:D,4,FALSE)</f>
        <v>1</v>
      </c>
      <c r="M404" s="3" t="str">
        <f>VLOOKUP(C404,Securities!A:B,2,FALSE)</f>
        <v>TRMK RX Equity</v>
      </c>
      <c r="O404" s="3">
        <f t="shared" si="6"/>
        <v>94950</v>
      </c>
    </row>
    <row r="405" spans="1:15" x14ac:dyDescent="0.25">
      <c r="A405" s="79">
        <v>43053</v>
      </c>
      <c r="B405" s="80" t="s">
        <v>5071</v>
      </c>
      <c r="C405" s="80" t="s">
        <v>5114</v>
      </c>
      <c r="D405" s="80" t="s">
        <v>4367</v>
      </c>
      <c r="E405" s="81">
        <v>30000</v>
      </c>
      <c r="F405" s="80" t="s">
        <v>4814</v>
      </c>
      <c r="G405" s="81">
        <v>100.8</v>
      </c>
      <c r="H405" s="81">
        <v>100.8</v>
      </c>
      <c r="I405" s="80" t="s">
        <v>4800</v>
      </c>
      <c r="L405" s="3">
        <f>VLOOKUP(C405,Securities!A:D,4,FALSE)</f>
        <v>5</v>
      </c>
      <c r="M405" s="3" t="str">
        <f>VLOOKUP(C405,Securities!A:B,2,FALSE)</f>
        <v>RU000A0JXC24 Corp</v>
      </c>
      <c r="O405" s="3">
        <f t="shared" si="6"/>
        <v>30000</v>
      </c>
    </row>
    <row r="406" spans="1:15" x14ac:dyDescent="0.25">
      <c r="A406" s="76">
        <v>43053</v>
      </c>
      <c r="B406" s="77" t="s">
        <v>5071</v>
      </c>
      <c r="C406" s="77" t="s">
        <v>4890</v>
      </c>
      <c r="D406" s="77" t="s">
        <v>886</v>
      </c>
      <c r="E406" s="78">
        <v>26409000</v>
      </c>
      <c r="F406" s="77" t="s">
        <v>4810</v>
      </c>
      <c r="G406" s="78">
        <v>2.3945590000000001</v>
      </c>
      <c r="H406" s="78">
        <v>4.1325000000000001E-2</v>
      </c>
      <c r="I406" s="77" t="s">
        <v>4800</v>
      </c>
      <c r="L406" s="3">
        <f>VLOOKUP(C406,Securities!A:D,4,FALSE)</f>
        <v>1</v>
      </c>
      <c r="M406" s="3" t="str">
        <f>VLOOKUP(C406,Securities!A:B,2,FALSE)</f>
        <v>UPRO RX Equity</v>
      </c>
      <c r="O406" s="3">
        <f t="shared" si="6"/>
        <v>26409000</v>
      </c>
    </row>
    <row r="407" spans="1:15" x14ac:dyDescent="0.25">
      <c r="A407" s="79">
        <v>43053</v>
      </c>
      <c r="B407" s="80" t="s">
        <v>5071</v>
      </c>
      <c r="C407" s="80" t="s">
        <v>5115</v>
      </c>
      <c r="D407" s="80" t="s">
        <v>1068</v>
      </c>
      <c r="E407" s="81">
        <v>5590</v>
      </c>
      <c r="F407" s="80" t="s">
        <v>4814</v>
      </c>
      <c r="G407" s="81">
        <v>97.5</v>
      </c>
      <c r="H407" s="81">
        <v>97.5</v>
      </c>
      <c r="I407" s="80" t="s">
        <v>4800</v>
      </c>
      <c r="L407" s="3">
        <f>VLOOKUP(C407,Securities!A:D,4,FALSE)</f>
        <v>5</v>
      </c>
      <c r="M407" s="3" t="str">
        <f>VLOOKUP(C407,Securities!A:B,2,FALSE)</f>
        <v>EJ801440 Corp</v>
      </c>
      <c r="O407" s="3">
        <f t="shared" si="6"/>
        <v>5590</v>
      </c>
    </row>
    <row r="408" spans="1:15" x14ac:dyDescent="0.25">
      <c r="A408" s="76">
        <v>43053</v>
      </c>
      <c r="B408" s="77" t="s">
        <v>5071</v>
      </c>
      <c r="C408" s="77" t="s">
        <v>5116</v>
      </c>
      <c r="D408" s="77" t="s">
        <v>817</v>
      </c>
      <c r="E408" s="78">
        <v>243780</v>
      </c>
      <c r="F408" s="77" t="s">
        <v>4810</v>
      </c>
      <c r="G408" s="78">
        <v>148.53799599999999</v>
      </c>
      <c r="H408" s="78">
        <v>2.2961130000000001</v>
      </c>
      <c r="I408" s="77" t="s">
        <v>4800</v>
      </c>
      <c r="L408" s="3">
        <f>VLOOKUP(C408,Securities!A:D,4,FALSE)</f>
        <v>1</v>
      </c>
      <c r="M408" s="3" t="str">
        <f>VLOOKUP(C408,Securities!A:B,2,FALSE)</f>
        <v>URKA RX Equity</v>
      </c>
      <c r="O408" s="3">
        <f t="shared" si="6"/>
        <v>243780</v>
      </c>
    </row>
    <row r="409" spans="1:15" x14ac:dyDescent="0.25">
      <c r="A409" s="79">
        <v>43053</v>
      </c>
      <c r="B409" s="80" t="s">
        <v>5071</v>
      </c>
      <c r="C409" s="80" t="s">
        <v>5117</v>
      </c>
      <c r="D409" s="80" t="s">
        <v>1628</v>
      </c>
      <c r="E409" s="81">
        <v>48000</v>
      </c>
      <c r="F409" s="80" t="s">
        <v>4814</v>
      </c>
      <c r="G409" s="81">
        <v>95.86</v>
      </c>
      <c r="H409" s="81">
        <v>95.86</v>
      </c>
      <c r="I409" s="80" t="s">
        <v>4800</v>
      </c>
      <c r="L409" s="3">
        <f>VLOOKUP(C409,Securities!A:D,4,FALSE)</f>
        <v>5</v>
      </c>
      <c r="M409" s="3" t="str">
        <f>VLOOKUP(C409,Securities!A:B,2,FALSE)</f>
        <v>EJ920101 Corp</v>
      </c>
      <c r="O409" s="3">
        <f t="shared" si="6"/>
        <v>48000</v>
      </c>
    </row>
    <row r="410" spans="1:15" x14ac:dyDescent="0.25">
      <c r="A410" s="76">
        <v>43053</v>
      </c>
      <c r="B410" s="77" t="s">
        <v>5071</v>
      </c>
      <c r="C410" s="77" t="s">
        <v>4824</v>
      </c>
      <c r="D410" s="77" t="s">
        <v>4674</v>
      </c>
      <c r="E410" s="78">
        <v>243976</v>
      </c>
      <c r="F410" s="77" t="s">
        <v>4825</v>
      </c>
      <c r="G410" s="78">
        <v>0</v>
      </c>
      <c r="H410" s="78">
        <v>0</v>
      </c>
      <c r="I410" s="77" t="s">
        <v>4800</v>
      </c>
      <c r="L410" s="3">
        <f>VLOOKUP(C410,Securities!A:D,4,FALSE)</f>
        <v>1</v>
      </c>
      <c r="M410" s="3" t="str">
        <f>VLOOKUP(C410,Securities!A:B,2,FALSE)</f>
        <v>VEON US Equity</v>
      </c>
      <c r="O410" s="3">
        <f t="shared" si="6"/>
        <v>243976</v>
      </c>
    </row>
    <row r="411" spans="1:15" x14ac:dyDescent="0.25">
      <c r="A411" s="79">
        <v>43053</v>
      </c>
      <c r="B411" s="80" t="s">
        <v>5071</v>
      </c>
      <c r="C411" s="80" t="s">
        <v>5118</v>
      </c>
      <c r="D411" s="80" t="s">
        <v>5119</v>
      </c>
      <c r="E411" s="81">
        <v>50000000</v>
      </c>
      <c r="F411" s="80" t="s">
        <v>4806</v>
      </c>
      <c r="G411" s="81">
        <v>70.03</v>
      </c>
      <c r="H411" s="81">
        <v>70.03</v>
      </c>
      <c r="I411" s="80" t="s">
        <v>4800</v>
      </c>
      <c r="L411" s="3">
        <f>VLOOKUP(C411,Securities!A:D,4,FALSE)</f>
        <v>5</v>
      </c>
      <c r="M411" s="3" t="str">
        <f>VLOOKUP(C411,Securities!A:B,2,FALSE)</f>
        <v>EJ548954 Corp</v>
      </c>
      <c r="O411" s="3">
        <f t="shared" si="6"/>
        <v>50000000</v>
      </c>
    </row>
    <row r="412" spans="1:15" x14ac:dyDescent="0.25">
      <c r="A412" s="76">
        <v>43053</v>
      </c>
      <c r="B412" s="77" t="s">
        <v>5071</v>
      </c>
      <c r="C412" s="77" t="s">
        <v>5120</v>
      </c>
      <c r="D412" s="77" t="s">
        <v>48</v>
      </c>
      <c r="E412" s="78">
        <v>20000</v>
      </c>
      <c r="F412" s="77" t="s">
        <v>4799</v>
      </c>
      <c r="G412" s="78">
        <v>928.63087599999994</v>
      </c>
      <c r="H412" s="78">
        <v>14.998965999999999</v>
      </c>
      <c r="I412" s="77" t="s">
        <v>4800</v>
      </c>
      <c r="L412" s="3">
        <f>VLOOKUP(C412,Securities!A:D,4,FALSE)</f>
        <v>1</v>
      </c>
      <c r="M412" s="3" t="str">
        <f>VLOOKUP(C412,Securities!A:B,2,FALSE)</f>
        <v>YNDX US Equity</v>
      </c>
      <c r="O412" s="3">
        <f t="shared" si="6"/>
        <v>20000</v>
      </c>
    </row>
    <row r="413" spans="1:15" x14ac:dyDescent="0.25">
      <c r="A413" s="79">
        <v>43053</v>
      </c>
      <c r="B413" s="80" t="s">
        <v>5121</v>
      </c>
      <c r="C413" s="80" t="s">
        <v>4961</v>
      </c>
      <c r="D413" s="80" t="s">
        <v>4962</v>
      </c>
      <c r="E413" s="81">
        <v>1000000</v>
      </c>
      <c r="F413" s="80" t="s">
        <v>4806</v>
      </c>
      <c r="G413" s="81">
        <v>95</v>
      </c>
      <c r="H413" s="81">
        <v>95</v>
      </c>
      <c r="I413" s="80" t="s">
        <v>4800</v>
      </c>
      <c r="L413" s="3">
        <f>VLOOKUP(C413,Securities!A:D,4,FALSE)</f>
        <v>5</v>
      </c>
      <c r="M413" s="3" t="str">
        <f>VLOOKUP(C413,Securities!A:B,2,FALSE)</f>
        <v>XS1601094755 Corp</v>
      </c>
      <c r="O413" s="3">
        <f t="shared" si="6"/>
        <v>1000000</v>
      </c>
    </row>
    <row r="414" spans="1:15" x14ac:dyDescent="0.25">
      <c r="A414" s="76">
        <v>43053</v>
      </c>
      <c r="B414" s="77" t="s">
        <v>5121</v>
      </c>
      <c r="C414" s="77" t="s">
        <v>5035</v>
      </c>
      <c r="D414" s="77" t="s">
        <v>5036</v>
      </c>
      <c r="E414" s="78">
        <v>500000</v>
      </c>
      <c r="F414" s="77" t="s">
        <v>4806</v>
      </c>
      <c r="G414" s="78">
        <v>101.625</v>
      </c>
      <c r="H414" s="78">
        <v>101.625</v>
      </c>
      <c r="I414" s="77" t="s">
        <v>4800</v>
      </c>
      <c r="L414" s="3">
        <f>VLOOKUP(C414,Securities!A:D,4,FALSE)</f>
        <v>5</v>
      </c>
      <c r="M414" s="3" t="str">
        <f>VLOOKUP(C414,Securities!A:B,2,FALSE)</f>
        <v>XS0579851949 Corp</v>
      </c>
      <c r="O414" s="3">
        <f t="shared" si="6"/>
        <v>500000</v>
      </c>
    </row>
    <row r="415" spans="1:15" x14ac:dyDescent="0.25">
      <c r="A415" s="79">
        <v>43053</v>
      </c>
      <c r="B415" s="80" t="s">
        <v>5121</v>
      </c>
      <c r="C415" s="80" t="s">
        <v>4903</v>
      </c>
      <c r="D415" s="80" t="s">
        <v>4904</v>
      </c>
      <c r="E415" s="81">
        <v>730000</v>
      </c>
      <c r="F415" s="80" t="s">
        <v>4806</v>
      </c>
      <c r="G415" s="81">
        <v>105.2</v>
      </c>
      <c r="H415" s="81">
        <v>105.2</v>
      </c>
      <c r="I415" s="80" t="s">
        <v>4800</v>
      </c>
      <c r="L415" s="3">
        <f>VLOOKUP(C415,Securities!A:D,4,FALSE)</f>
        <v>5</v>
      </c>
      <c r="M415" s="3" t="str">
        <f>VLOOKUP(C415,Securities!A:B,2,FALSE)</f>
        <v>XS1319813769 Corp</v>
      </c>
      <c r="O415" s="3">
        <f t="shared" si="6"/>
        <v>730000</v>
      </c>
    </row>
    <row r="416" spans="1:15" x14ac:dyDescent="0.25">
      <c r="A416" s="76">
        <v>43053</v>
      </c>
      <c r="B416" s="77" t="s">
        <v>5121</v>
      </c>
      <c r="C416" s="77" t="s">
        <v>4963</v>
      </c>
      <c r="D416" s="77" t="s">
        <v>4964</v>
      </c>
      <c r="E416" s="78">
        <v>2000000</v>
      </c>
      <c r="F416" s="77" t="s">
        <v>4806</v>
      </c>
      <c r="G416" s="78">
        <v>96.798205999999993</v>
      </c>
      <c r="H416" s="78">
        <v>96.798205999999993</v>
      </c>
      <c r="I416" s="77" t="s">
        <v>4800</v>
      </c>
      <c r="L416" s="3">
        <f>VLOOKUP(C416,Securities!A:D,4,FALSE)</f>
        <v>5</v>
      </c>
      <c r="M416" s="3" t="str">
        <f>VLOOKUP(C416,Securities!A:B,2,FALSE)</f>
        <v>XS1439838548 Corp</v>
      </c>
      <c r="O416" s="3">
        <f t="shared" si="6"/>
        <v>2230000</v>
      </c>
    </row>
    <row r="417" spans="1:15" x14ac:dyDescent="0.25">
      <c r="A417" s="79">
        <v>43053</v>
      </c>
      <c r="B417" s="80" t="s">
        <v>5121</v>
      </c>
      <c r="C417" s="80" t="s">
        <v>4963</v>
      </c>
      <c r="D417" s="80" t="s">
        <v>4964</v>
      </c>
      <c r="E417" s="81">
        <v>230000</v>
      </c>
      <c r="F417" s="80" t="s">
        <v>4806</v>
      </c>
      <c r="G417" s="81">
        <v>96.798205999999993</v>
      </c>
      <c r="H417" s="81">
        <v>96.798205999999993</v>
      </c>
      <c r="I417" s="80" t="s">
        <v>4823</v>
      </c>
      <c r="L417" s="3">
        <f>VLOOKUP(C417,Securities!A:D,4,FALSE)</f>
        <v>5</v>
      </c>
      <c r="M417" s="3" t="str">
        <f>VLOOKUP(C417,Securities!A:B,2,FALSE)</f>
        <v>XS1439838548 Corp</v>
      </c>
      <c r="O417" s="3">
        <f t="shared" si="6"/>
        <v>2230000</v>
      </c>
    </row>
    <row r="418" spans="1:15" x14ac:dyDescent="0.25">
      <c r="A418" s="76">
        <v>43053</v>
      </c>
      <c r="B418" s="77" t="s">
        <v>5121</v>
      </c>
      <c r="C418" s="77" t="s">
        <v>5122</v>
      </c>
      <c r="D418" s="77" t="s">
        <v>5123</v>
      </c>
      <c r="E418" s="78">
        <v>500000</v>
      </c>
      <c r="F418" s="77" t="s">
        <v>4806</v>
      </c>
      <c r="G418" s="78">
        <v>99.9</v>
      </c>
      <c r="H418" s="78">
        <v>99.9</v>
      </c>
      <c r="I418" s="77" t="s">
        <v>4800</v>
      </c>
      <c r="L418" s="3">
        <f>VLOOKUP(C418,Securities!A:D,4,FALSE)</f>
        <v>5</v>
      </c>
      <c r="M418" s="3" t="str">
        <f>VLOOKUP(C418,Securities!A:B,2,FALSE)</f>
        <v>XS1662407862 Corp</v>
      </c>
      <c r="O418" s="3">
        <f t="shared" si="6"/>
        <v>500000</v>
      </c>
    </row>
    <row r="419" spans="1:15" x14ac:dyDescent="0.25">
      <c r="A419" s="79">
        <v>43053</v>
      </c>
      <c r="B419" s="80" t="s">
        <v>5121</v>
      </c>
      <c r="C419" s="80" t="s">
        <v>4861</v>
      </c>
      <c r="D419" s="80" t="s">
        <v>4862</v>
      </c>
      <c r="E419" s="81">
        <v>1000000</v>
      </c>
      <c r="F419" s="80" t="s">
        <v>4806</v>
      </c>
      <c r="G419" s="81">
        <v>104.25</v>
      </c>
      <c r="H419" s="81">
        <v>104.25</v>
      </c>
      <c r="I419" s="80" t="s">
        <v>4800</v>
      </c>
      <c r="L419" s="3">
        <f>VLOOKUP(C419,Securities!A:D,4,FALSE)</f>
        <v>5</v>
      </c>
      <c r="M419" s="3" t="str">
        <f>VLOOKUP(C419,Securities!A:B,2,FALSE)</f>
        <v>USA29866AA70 Corp</v>
      </c>
      <c r="O419" s="3">
        <f t="shared" si="6"/>
        <v>1000000</v>
      </c>
    </row>
    <row r="420" spans="1:15" x14ac:dyDescent="0.25">
      <c r="A420" s="76">
        <v>43053</v>
      </c>
      <c r="B420" s="77" t="s">
        <v>5121</v>
      </c>
      <c r="C420" s="77" t="s">
        <v>4863</v>
      </c>
      <c r="D420" s="77" t="s">
        <v>4864</v>
      </c>
      <c r="E420" s="78">
        <v>1000000</v>
      </c>
      <c r="F420" s="77" t="s">
        <v>4806</v>
      </c>
      <c r="G420" s="78">
        <v>105.375</v>
      </c>
      <c r="H420" s="78">
        <v>105.375</v>
      </c>
      <c r="I420" s="77" t="s">
        <v>4800</v>
      </c>
      <c r="L420" s="3">
        <f>VLOOKUP(C420,Securities!A:D,4,FALSE)</f>
        <v>5</v>
      </c>
      <c r="M420" s="3" t="str">
        <f>VLOOKUP(C420,Securities!A:B,2,FALSE)</f>
        <v>USN54468AF52 Corp</v>
      </c>
      <c r="O420" s="3">
        <f t="shared" si="6"/>
        <v>1000000</v>
      </c>
    </row>
    <row r="421" spans="1:15" x14ac:dyDescent="0.25">
      <c r="A421" s="79">
        <v>43053</v>
      </c>
      <c r="B421" s="80" t="s">
        <v>5121</v>
      </c>
      <c r="C421" s="80" t="s">
        <v>4819</v>
      </c>
      <c r="D421" s="80" t="s">
        <v>4820</v>
      </c>
      <c r="E421" s="81">
        <v>3000000</v>
      </c>
      <c r="F421" s="80" t="s">
        <v>4806</v>
      </c>
      <c r="G421" s="81">
        <v>105.75</v>
      </c>
      <c r="H421" s="81">
        <v>105.75</v>
      </c>
      <c r="I421" s="80" t="s">
        <v>4800</v>
      </c>
      <c r="L421" s="3">
        <f>VLOOKUP(C421,Securities!A:D,4,FALSE)</f>
        <v>5</v>
      </c>
      <c r="M421" s="3" t="str">
        <f>VLOOKUP(C421,Securities!A:B,2,FALSE)</f>
        <v>XS0776121062 Corp</v>
      </c>
      <c r="O421" s="3">
        <f t="shared" si="6"/>
        <v>3000000</v>
      </c>
    </row>
    <row r="422" spans="1:15" x14ac:dyDescent="0.25">
      <c r="A422" s="76">
        <v>43053</v>
      </c>
      <c r="B422" s="77" t="s">
        <v>5121</v>
      </c>
      <c r="C422" s="77" t="s">
        <v>4967</v>
      </c>
      <c r="D422" s="77" t="s">
        <v>4968</v>
      </c>
      <c r="E422" s="78">
        <v>3000000</v>
      </c>
      <c r="F422" s="77" t="s">
        <v>4806</v>
      </c>
      <c r="G422" s="78">
        <v>114.16666600000001</v>
      </c>
      <c r="H422" s="78">
        <v>114.16666600000001</v>
      </c>
      <c r="I422" s="77" t="s">
        <v>4800</v>
      </c>
      <c r="L422" s="3">
        <f>VLOOKUP(C422,Securities!A:D,4,FALSE)</f>
        <v>5</v>
      </c>
      <c r="M422" s="3" t="str">
        <f>VLOOKUP(C422,Securities!A:B,2,FALSE)</f>
        <v>XS0979891925 Corp</v>
      </c>
      <c r="O422" s="3">
        <f t="shared" si="6"/>
        <v>3000000</v>
      </c>
    </row>
    <row r="423" spans="1:15" x14ac:dyDescent="0.25">
      <c r="A423" s="79">
        <v>43053</v>
      </c>
      <c r="B423" s="80" t="s">
        <v>5121</v>
      </c>
      <c r="C423" s="80" t="s">
        <v>5124</v>
      </c>
      <c r="D423" s="80" t="s">
        <v>5125</v>
      </c>
      <c r="E423" s="81">
        <v>1000000</v>
      </c>
      <c r="F423" s="80" t="s">
        <v>4806</v>
      </c>
      <c r="G423" s="81">
        <v>156.1</v>
      </c>
      <c r="H423" s="81">
        <v>156.1</v>
      </c>
      <c r="I423" s="80" t="s">
        <v>4800</v>
      </c>
      <c r="L423" s="3">
        <f>VLOOKUP(C423,Securities!A:D,4,FALSE)</f>
        <v>5</v>
      </c>
      <c r="M423" s="3" t="str">
        <f>VLOOKUP(C423,Securities!A:B,2,FALSE)</f>
        <v>US900123AL40 Corp</v>
      </c>
      <c r="O423" s="3">
        <f t="shared" si="6"/>
        <v>1000000</v>
      </c>
    </row>
    <row r="424" spans="1:15" x14ac:dyDescent="0.25">
      <c r="A424" s="76">
        <v>43053</v>
      </c>
      <c r="B424" s="77" t="s">
        <v>5121</v>
      </c>
      <c r="C424" s="77" t="s">
        <v>5028</v>
      </c>
      <c r="D424" s="77" t="s">
        <v>5029</v>
      </c>
      <c r="E424" s="78">
        <v>1000000</v>
      </c>
      <c r="F424" s="77" t="s">
        <v>4806</v>
      </c>
      <c r="G424" s="78">
        <v>108</v>
      </c>
      <c r="H424" s="78">
        <v>108</v>
      </c>
      <c r="I424" s="77" t="s">
        <v>4800</v>
      </c>
      <c r="L424" s="3">
        <f>VLOOKUP(C424,Securities!A:D,4,FALSE)</f>
        <v>5</v>
      </c>
      <c r="M424" s="3" t="str">
        <f>VLOOKUP(C424,Securities!A:B,2,FALSE)</f>
        <v>EJ394063 Corp</v>
      </c>
      <c r="O424" s="3">
        <f t="shared" si="6"/>
        <v>1000000</v>
      </c>
    </row>
    <row r="425" spans="1:15" x14ac:dyDescent="0.25">
      <c r="A425" s="79">
        <v>43053</v>
      </c>
      <c r="B425" s="80" t="s">
        <v>5121</v>
      </c>
      <c r="C425" s="80" t="s">
        <v>5120</v>
      </c>
      <c r="D425" s="80" t="s">
        <v>48</v>
      </c>
      <c r="E425" s="81">
        <v>2990070</v>
      </c>
      <c r="F425" s="80" t="s">
        <v>4799</v>
      </c>
      <c r="G425" s="81">
        <v>1217.985858</v>
      </c>
      <c r="H425" s="81">
        <v>19.46</v>
      </c>
      <c r="I425" s="80" t="s">
        <v>4800</v>
      </c>
      <c r="L425" s="3">
        <f>VLOOKUP(C425,Securities!A:D,4,FALSE)</f>
        <v>1</v>
      </c>
      <c r="M425" s="3" t="str">
        <f>VLOOKUP(C425,Securities!A:B,2,FALSE)</f>
        <v>YNDX US Equity</v>
      </c>
      <c r="O425" s="3">
        <f t="shared" si="6"/>
        <v>3452150</v>
      </c>
    </row>
    <row r="426" spans="1:15" x14ac:dyDescent="0.25">
      <c r="A426" s="76">
        <v>43053</v>
      </c>
      <c r="B426" s="77" t="s">
        <v>5121</v>
      </c>
      <c r="C426" s="77" t="s">
        <v>5120</v>
      </c>
      <c r="D426" s="77" t="s">
        <v>48</v>
      </c>
      <c r="E426" s="78">
        <v>462080</v>
      </c>
      <c r="F426" s="77" t="s">
        <v>4799</v>
      </c>
      <c r="G426" s="78">
        <v>1217.985858</v>
      </c>
      <c r="H426" s="78">
        <v>19.46</v>
      </c>
      <c r="I426" s="77" t="s">
        <v>4823</v>
      </c>
      <c r="L426" s="3">
        <f>VLOOKUP(C426,Securities!A:D,4,FALSE)</f>
        <v>1</v>
      </c>
      <c r="M426" s="3" t="str">
        <f>VLOOKUP(C426,Securities!A:B,2,FALSE)</f>
        <v>YNDX US Equity</v>
      </c>
      <c r="O426" s="3">
        <f t="shared" si="6"/>
        <v>3452150</v>
      </c>
    </row>
    <row r="427" spans="1:15" x14ac:dyDescent="0.25">
      <c r="A427" s="79">
        <v>43053</v>
      </c>
      <c r="B427" s="80" t="s">
        <v>5126</v>
      </c>
      <c r="C427" s="80" t="s">
        <v>4973</v>
      </c>
      <c r="D427" s="80" t="s">
        <v>23</v>
      </c>
      <c r="E427" s="81">
        <v>32924</v>
      </c>
      <c r="F427" s="80" t="s">
        <v>4974</v>
      </c>
      <c r="G427" s="81">
        <v>100.930628</v>
      </c>
      <c r="H427" s="81">
        <v>100.930628</v>
      </c>
      <c r="I427" s="80" t="s">
        <v>4800</v>
      </c>
      <c r="L427" s="3">
        <f>VLOOKUP(C427,Securities!A:D,4,FALSE)</f>
        <v>5</v>
      </c>
      <c r="M427" s="3" t="str">
        <f>VLOOKUP(C427,Securities!A:B,2,FALSE)</f>
        <v>RU000A0JV7K7 Corp</v>
      </c>
      <c r="O427" s="3">
        <f t="shared" si="6"/>
        <v>32924</v>
      </c>
    </row>
    <row r="428" spans="1:15" x14ac:dyDescent="0.25">
      <c r="A428" s="76">
        <v>43053</v>
      </c>
      <c r="B428" s="77" t="s">
        <v>5126</v>
      </c>
      <c r="C428" s="77" t="s">
        <v>4866</v>
      </c>
      <c r="D428" s="77" t="s">
        <v>99</v>
      </c>
      <c r="E428" s="78">
        <v>41200</v>
      </c>
      <c r="F428" s="77" t="s">
        <v>4810</v>
      </c>
      <c r="G428" s="78">
        <v>87.620800000000003</v>
      </c>
      <c r="H428" s="78">
        <v>1.508483</v>
      </c>
      <c r="I428" s="77" t="s">
        <v>4800</v>
      </c>
      <c r="L428" s="3">
        <f>VLOOKUP(C428,Securities!A:D,4,FALSE)</f>
        <v>1</v>
      </c>
      <c r="M428" s="3" t="str">
        <f>VLOOKUP(C428,Securities!A:B,2,FALSE)</f>
        <v>ALRS RX Equity</v>
      </c>
      <c r="O428" s="3">
        <f t="shared" si="6"/>
        <v>41200</v>
      </c>
    </row>
    <row r="429" spans="1:15" x14ac:dyDescent="0.25">
      <c r="A429" s="79">
        <v>43053</v>
      </c>
      <c r="B429" s="80" t="s">
        <v>5126</v>
      </c>
      <c r="C429" s="80" t="s">
        <v>4827</v>
      </c>
      <c r="D429" s="80" t="s">
        <v>4828</v>
      </c>
      <c r="E429" s="81">
        <v>-353</v>
      </c>
      <c r="F429" s="80" t="s">
        <v>4829</v>
      </c>
      <c r="G429" s="81">
        <v>34774.046450000002</v>
      </c>
      <c r="H429" s="81">
        <v>599.62322900000004</v>
      </c>
      <c r="I429" s="80" t="s">
        <v>4800</v>
      </c>
      <c r="L429" s="3">
        <f>VLOOKUP(C429,Securities!A:D,4,FALSE)</f>
        <v>15</v>
      </c>
      <c r="M429" s="3" t="str">
        <f>VLOOKUP(C429,Securities!A:B,2,FALSE)</f>
        <v>B5Z7 Comdty</v>
      </c>
      <c r="O429" s="3">
        <f t="shared" si="6"/>
        <v>-353</v>
      </c>
    </row>
    <row r="430" spans="1:15" x14ac:dyDescent="0.25">
      <c r="A430" s="76">
        <v>43053</v>
      </c>
      <c r="B430" s="77" t="s">
        <v>5126</v>
      </c>
      <c r="C430" s="77" t="s">
        <v>4805</v>
      </c>
      <c r="D430" s="77" t="s">
        <v>31</v>
      </c>
      <c r="E430" s="78">
        <v>134000</v>
      </c>
      <c r="F430" s="77" t="s">
        <v>4806</v>
      </c>
      <c r="G430" s="78">
        <v>175.28</v>
      </c>
      <c r="H430" s="78">
        <v>175.28</v>
      </c>
      <c r="I430" s="77" t="s">
        <v>4800</v>
      </c>
      <c r="L430" s="3">
        <f>VLOOKUP(C430,Securities!A:D,4,FALSE)</f>
        <v>5</v>
      </c>
      <c r="M430" s="3" t="str">
        <f>VLOOKUP(C430,Securities!A:B,2,FALSE)</f>
        <v>TT343269 Corp</v>
      </c>
      <c r="O430" s="3">
        <f t="shared" si="6"/>
        <v>134000</v>
      </c>
    </row>
    <row r="431" spans="1:15" x14ac:dyDescent="0.25">
      <c r="A431" s="79">
        <v>43053</v>
      </c>
      <c r="B431" s="80" t="s">
        <v>5126</v>
      </c>
      <c r="C431" s="80" t="s">
        <v>5077</v>
      </c>
      <c r="D431" s="80" t="s">
        <v>2054</v>
      </c>
      <c r="E431" s="81">
        <v>8140</v>
      </c>
      <c r="F431" s="80" t="s">
        <v>4814</v>
      </c>
      <c r="G431" s="81">
        <v>109.794963</v>
      </c>
      <c r="H431" s="81">
        <v>109.794963</v>
      </c>
      <c r="I431" s="80" t="s">
        <v>4800</v>
      </c>
      <c r="L431" s="3">
        <f>VLOOKUP(C431,Securities!A:D,4,FALSE)</f>
        <v>5</v>
      </c>
      <c r="M431" s="3" t="str">
        <f>VLOOKUP(C431,Securities!A:B,2,FALSE)</f>
        <v>JK549945 Corp</v>
      </c>
      <c r="O431" s="3">
        <f t="shared" si="6"/>
        <v>8140</v>
      </c>
    </row>
    <row r="432" spans="1:15" x14ac:dyDescent="0.25">
      <c r="A432" s="76">
        <v>43053</v>
      </c>
      <c r="B432" s="77" t="s">
        <v>5126</v>
      </c>
      <c r="C432" s="77" t="s">
        <v>5127</v>
      </c>
      <c r="D432" s="77" t="s">
        <v>4529</v>
      </c>
      <c r="E432" s="78">
        <v>4559</v>
      </c>
      <c r="F432" s="77" t="s">
        <v>4814</v>
      </c>
      <c r="G432" s="78">
        <v>100.5</v>
      </c>
      <c r="H432" s="78">
        <v>100.5</v>
      </c>
      <c r="I432" s="77" t="s">
        <v>4800</v>
      </c>
      <c r="L432" s="3">
        <f>VLOOKUP(C432,Securities!A:D,4,FALSE)</f>
        <v>5</v>
      </c>
      <c r="M432" s="3" t="str">
        <f>VLOOKUP(C432,Securities!A:B,2,FALSE)</f>
        <v>RU000A0JWVM0 Corp</v>
      </c>
      <c r="O432" s="3">
        <f t="shared" si="6"/>
        <v>4559</v>
      </c>
    </row>
    <row r="433" spans="1:15" x14ac:dyDescent="0.25">
      <c r="A433" s="79">
        <v>43053</v>
      </c>
      <c r="B433" s="80" t="s">
        <v>5126</v>
      </c>
      <c r="C433" s="80" t="s">
        <v>5083</v>
      </c>
      <c r="D433" s="80" t="s">
        <v>1835</v>
      </c>
      <c r="E433" s="81">
        <v>8550</v>
      </c>
      <c r="F433" s="80" t="s">
        <v>4814</v>
      </c>
      <c r="G433" s="81">
        <v>104.81814</v>
      </c>
      <c r="H433" s="81">
        <v>104.81814</v>
      </c>
      <c r="I433" s="80" t="s">
        <v>4800</v>
      </c>
      <c r="L433" s="3">
        <f>VLOOKUP(C433,Securities!A:D,4,FALSE)</f>
        <v>5</v>
      </c>
      <c r="M433" s="3" t="str">
        <f>VLOOKUP(C433,Securities!A:B,2,FALSE)</f>
        <v>AM281135 Corp</v>
      </c>
      <c r="O433" s="3">
        <f t="shared" si="6"/>
        <v>8550</v>
      </c>
    </row>
    <row r="434" spans="1:15" x14ac:dyDescent="0.25">
      <c r="A434" s="76">
        <v>43053</v>
      </c>
      <c r="B434" s="77" t="s">
        <v>5126</v>
      </c>
      <c r="C434" s="77" t="s">
        <v>4811</v>
      </c>
      <c r="D434" s="77" t="s">
        <v>4659</v>
      </c>
      <c r="E434" s="78">
        <v>27200</v>
      </c>
      <c r="F434" s="77" t="s">
        <v>4799</v>
      </c>
      <c r="G434" s="78">
        <v>110.368816</v>
      </c>
      <c r="H434" s="78">
        <v>1.8694029999999999</v>
      </c>
      <c r="I434" s="77" t="s">
        <v>4800</v>
      </c>
      <c r="L434" s="3">
        <f>VLOOKUP(C434,Securities!A:D,4,FALSE)</f>
        <v>1</v>
      </c>
      <c r="M434" s="3" t="str">
        <f>VLOOKUP(C434,Securities!A:B,2,FALSE)</f>
        <v>HGM LN Equity</v>
      </c>
      <c r="O434" s="3">
        <f t="shared" si="6"/>
        <v>27200</v>
      </c>
    </row>
    <row r="435" spans="1:15" x14ac:dyDescent="0.25">
      <c r="A435" s="79">
        <v>43053</v>
      </c>
      <c r="B435" s="80" t="s">
        <v>5126</v>
      </c>
      <c r="C435" s="80" t="s">
        <v>4812</v>
      </c>
      <c r="D435" s="80" t="s">
        <v>4675</v>
      </c>
      <c r="E435" s="81">
        <v>5000</v>
      </c>
      <c r="F435" s="80" t="s">
        <v>4804</v>
      </c>
      <c r="G435" s="81">
        <v>578.93604000000005</v>
      </c>
      <c r="H435" s="81">
        <v>9.9089609999999997</v>
      </c>
      <c r="I435" s="80" t="s">
        <v>4800</v>
      </c>
      <c r="L435" s="3">
        <f>VLOOKUP(C435,Securities!A:D,4,FALSE)</f>
        <v>1</v>
      </c>
      <c r="M435" s="3" t="str">
        <f>VLOOKUP(C435,Securities!A:B,2,FALSE)</f>
        <v>KMG LI Equity</v>
      </c>
      <c r="O435" s="3">
        <f t="shared" si="6"/>
        <v>5000</v>
      </c>
    </row>
    <row r="436" spans="1:15" x14ac:dyDescent="0.25">
      <c r="A436" s="76">
        <v>43053</v>
      </c>
      <c r="B436" s="77" t="s">
        <v>5126</v>
      </c>
      <c r="C436" s="77" t="s">
        <v>4816</v>
      </c>
      <c r="D436" s="77" t="s">
        <v>4817</v>
      </c>
      <c r="E436" s="78">
        <v>2436</v>
      </c>
      <c r="F436" s="77" t="s">
        <v>4799</v>
      </c>
      <c r="G436" s="78">
        <v>1212.804909</v>
      </c>
      <c r="H436" s="78">
        <v>20.542227</v>
      </c>
      <c r="I436" s="77" t="s">
        <v>4800</v>
      </c>
      <c r="L436" s="3">
        <f>VLOOKUP(C436,Securities!A:D,4,FALSE)</f>
        <v>1</v>
      </c>
      <c r="M436" s="3" t="str">
        <f>VLOOKUP(C436,Securities!A:B,2,FALSE)</f>
        <v>M US Equity</v>
      </c>
      <c r="O436" s="3">
        <f t="shared" si="6"/>
        <v>2436</v>
      </c>
    </row>
    <row r="437" spans="1:15" x14ac:dyDescent="0.25">
      <c r="A437" s="79">
        <v>43053</v>
      </c>
      <c r="B437" s="80" t="s">
        <v>5126</v>
      </c>
      <c r="C437" s="80" t="s">
        <v>4818</v>
      </c>
      <c r="D437" s="80" t="s">
        <v>494</v>
      </c>
      <c r="E437" s="81">
        <v>41400</v>
      </c>
      <c r="F437" s="80" t="s">
        <v>4810</v>
      </c>
      <c r="G437" s="81">
        <v>33.072099999999999</v>
      </c>
      <c r="H437" s="81">
        <v>0.56691400000000003</v>
      </c>
      <c r="I437" s="80" t="s">
        <v>4800</v>
      </c>
      <c r="L437" s="3">
        <f>VLOOKUP(C437,Securities!A:D,4,FALSE)</f>
        <v>1</v>
      </c>
      <c r="M437" s="3" t="str">
        <f>VLOOKUP(C437,Securities!A:B,2,FALSE)</f>
        <v>NKNCP RX Equity</v>
      </c>
      <c r="O437" s="3">
        <f t="shared" si="6"/>
        <v>41400</v>
      </c>
    </row>
    <row r="438" spans="1:15" x14ac:dyDescent="0.25">
      <c r="A438" s="76">
        <v>43053</v>
      </c>
      <c r="B438" s="77" t="s">
        <v>5126</v>
      </c>
      <c r="C438" s="77" t="s">
        <v>4819</v>
      </c>
      <c r="D438" s="77" t="s">
        <v>4820</v>
      </c>
      <c r="E438" s="78">
        <v>200000</v>
      </c>
      <c r="F438" s="77" t="s">
        <v>4806</v>
      </c>
      <c r="G438" s="78">
        <v>101.5</v>
      </c>
      <c r="H438" s="78">
        <v>101.5</v>
      </c>
      <c r="I438" s="77" t="s">
        <v>4800</v>
      </c>
      <c r="L438" s="3">
        <f>VLOOKUP(C438,Securities!A:D,4,FALSE)</f>
        <v>5</v>
      </c>
      <c r="M438" s="3" t="str">
        <f>VLOOKUP(C438,Securities!A:B,2,FALSE)</f>
        <v>XS0776121062 Corp</v>
      </c>
      <c r="O438" s="3">
        <f t="shared" si="6"/>
        <v>200000</v>
      </c>
    </row>
    <row r="439" spans="1:15" x14ac:dyDescent="0.25">
      <c r="A439" s="79">
        <v>43053</v>
      </c>
      <c r="B439" s="80" t="s">
        <v>5126</v>
      </c>
      <c r="C439" s="80" t="s">
        <v>5128</v>
      </c>
      <c r="D439" s="80" t="s">
        <v>4683</v>
      </c>
      <c r="E439" s="81">
        <v>4460</v>
      </c>
      <c r="F439" s="80" t="s">
        <v>4814</v>
      </c>
      <c r="G439" s="81">
        <v>100.39</v>
      </c>
      <c r="H439" s="81">
        <v>100.39</v>
      </c>
      <c r="I439" s="80" t="s">
        <v>4800</v>
      </c>
      <c r="L439" s="3">
        <f>VLOOKUP(C439,Securities!A:D,4,FALSE)</f>
        <v>5</v>
      </c>
      <c r="M439" s="3" t="str">
        <f>VLOOKUP(C439,Securities!A:B,2,FALSE)</f>
        <v>RU000A0JXQ93 Corp</v>
      </c>
      <c r="O439" s="3">
        <f t="shared" si="6"/>
        <v>4460</v>
      </c>
    </row>
    <row r="440" spans="1:15" x14ac:dyDescent="0.25">
      <c r="A440" s="76">
        <v>43053</v>
      </c>
      <c r="B440" s="77" t="s">
        <v>5126</v>
      </c>
      <c r="C440" s="77" t="s">
        <v>4834</v>
      </c>
      <c r="D440" s="77" t="s">
        <v>51</v>
      </c>
      <c r="E440" s="78">
        <v>2825</v>
      </c>
      <c r="F440" s="77" t="s">
        <v>4825</v>
      </c>
      <c r="G440" s="78">
        <v>1045.1494439999999</v>
      </c>
      <c r="H440" s="78">
        <v>17.702514999999998</v>
      </c>
      <c r="I440" s="77" t="s">
        <v>4800</v>
      </c>
      <c r="L440" s="3">
        <f>VLOOKUP(C440,Securities!A:D,4,FALSE)</f>
        <v>1</v>
      </c>
      <c r="M440" s="3" t="str">
        <f>VLOOKUP(C440,Securities!A:B,2,FALSE)</f>
        <v>QIWI US Equity</v>
      </c>
      <c r="O440" s="3">
        <f t="shared" si="6"/>
        <v>2825</v>
      </c>
    </row>
    <row r="441" spans="1:15" x14ac:dyDescent="0.25">
      <c r="A441" s="79">
        <v>43053</v>
      </c>
      <c r="B441" s="80" t="s">
        <v>5126</v>
      </c>
      <c r="C441" s="80" t="s">
        <v>5129</v>
      </c>
      <c r="D441" s="80" t="s">
        <v>4646</v>
      </c>
      <c r="E441" s="81">
        <v>4695</v>
      </c>
      <c r="F441" s="80" t="s">
        <v>4814</v>
      </c>
      <c r="G441" s="81">
        <v>101.75</v>
      </c>
      <c r="H441" s="81">
        <v>101.75</v>
      </c>
      <c r="I441" s="80" t="s">
        <v>4800</v>
      </c>
      <c r="L441" s="3">
        <f>VLOOKUP(C441,Securities!A:D,4,FALSE)</f>
        <v>5</v>
      </c>
      <c r="M441" s="3" t="str">
        <f>VLOOKUP(C441,Securities!A:B,2,FALSE)</f>
        <v>RU000A0JXMQ8 Corp</v>
      </c>
      <c r="O441" s="3">
        <f t="shared" si="6"/>
        <v>4695</v>
      </c>
    </row>
    <row r="442" spans="1:15" x14ac:dyDescent="0.25">
      <c r="A442" s="76">
        <v>43053</v>
      </c>
      <c r="B442" s="77" t="s">
        <v>5126</v>
      </c>
      <c r="C442" s="77" t="s">
        <v>4830</v>
      </c>
      <c r="D442" s="77" t="s">
        <v>4831</v>
      </c>
      <c r="E442" s="78">
        <v>-210</v>
      </c>
      <c r="F442" s="77" t="s">
        <v>4832</v>
      </c>
      <c r="G442" s="78">
        <v>58483.828570999998</v>
      </c>
      <c r="H442" s="78">
        <v>1010.024611</v>
      </c>
      <c r="I442" s="77" t="s">
        <v>4800</v>
      </c>
      <c r="L442" s="3">
        <f>VLOOKUP(C442,Securities!A:D,4,FALSE)</f>
        <v>15</v>
      </c>
      <c r="M442" s="3" t="str">
        <f>VLOOKUP(C442,Securities!A:B,2,FALSE)</f>
        <v>URZ7 Curncy</v>
      </c>
      <c r="O442" s="3">
        <f t="shared" si="6"/>
        <v>-210</v>
      </c>
    </row>
    <row r="443" spans="1:15" x14ac:dyDescent="0.25">
      <c r="A443" s="79">
        <v>43053</v>
      </c>
      <c r="B443" s="80" t="s">
        <v>5126</v>
      </c>
      <c r="C443" s="80" t="s">
        <v>5130</v>
      </c>
      <c r="D443" s="80" t="s">
        <v>3971</v>
      </c>
      <c r="E443" s="81">
        <v>8800</v>
      </c>
      <c r="F443" s="80" t="s">
        <v>4814</v>
      </c>
      <c r="G443" s="81">
        <v>101.45</v>
      </c>
      <c r="H443" s="81">
        <v>101.45</v>
      </c>
      <c r="I443" s="80" t="s">
        <v>4800</v>
      </c>
      <c r="L443" s="3">
        <f>VLOOKUP(C443,Securities!A:D,4,FALSE)</f>
        <v>5</v>
      </c>
      <c r="M443" s="3" t="str">
        <f>VLOOKUP(C443,Securities!A:B,2,FALSE)</f>
        <v>RU000A0JRVU3 Corp</v>
      </c>
      <c r="O443" s="3">
        <f t="shared" si="6"/>
        <v>8800</v>
      </c>
    </row>
    <row r="444" spans="1:15" x14ac:dyDescent="0.25">
      <c r="A444" s="76">
        <v>43053</v>
      </c>
      <c r="B444" s="77" t="s">
        <v>5131</v>
      </c>
      <c r="C444" s="77" t="s">
        <v>4866</v>
      </c>
      <c r="D444" s="77" t="s">
        <v>99</v>
      </c>
      <c r="E444" s="78">
        <v>9723</v>
      </c>
      <c r="F444" s="77" t="s">
        <v>4810</v>
      </c>
      <c r="G444" s="78">
        <v>78.401414000000003</v>
      </c>
      <c r="H444" s="78">
        <v>1.355246</v>
      </c>
      <c r="I444" s="77" t="s">
        <v>4800</v>
      </c>
      <c r="L444" s="3">
        <f>VLOOKUP(C444,Securities!A:D,4,FALSE)</f>
        <v>1</v>
      </c>
      <c r="M444" s="3" t="str">
        <f>VLOOKUP(C444,Securities!A:B,2,FALSE)</f>
        <v>ALRS RX Equity</v>
      </c>
      <c r="O444" s="3">
        <f t="shared" si="6"/>
        <v>9723</v>
      </c>
    </row>
    <row r="445" spans="1:15" x14ac:dyDescent="0.25">
      <c r="A445" s="79">
        <v>43053</v>
      </c>
      <c r="B445" s="80" t="s">
        <v>5131</v>
      </c>
      <c r="C445" s="80" t="s">
        <v>4895</v>
      </c>
      <c r="D445" s="80" t="s">
        <v>144</v>
      </c>
      <c r="E445" s="81">
        <v>2380</v>
      </c>
      <c r="F445" s="80" t="s">
        <v>4810</v>
      </c>
      <c r="G445" s="81">
        <v>1277.5889999999999</v>
      </c>
      <c r="H445" s="81">
        <v>21.874013999999999</v>
      </c>
      <c r="I445" s="80" t="s">
        <v>4800</v>
      </c>
      <c r="L445" s="3">
        <f>VLOOKUP(C445,Securities!A:D,4,FALSE)</f>
        <v>1</v>
      </c>
      <c r="M445" s="3" t="str">
        <f>VLOOKUP(C445,Securities!A:B,2,FALSE)</f>
        <v>BANEP RX Equity</v>
      </c>
      <c r="O445" s="3">
        <f t="shared" si="6"/>
        <v>2380</v>
      </c>
    </row>
    <row r="446" spans="1:15" x14ac:dyDescent="0.25">
      <c r="A446" s="76">
        <v>43053</v>
      </c>
      <c r="B446" s="77" t="s">
        <v>5131</v>
      </c>
      <c r="C446" s="77" t="s">
        <v>4809</v>
      </c>
      <c r="D446" s="77" t="s">
        <v>30</v>
      </c>
      <c r="E446" s="78">
        <v>12760</v>
      </c>
      <c r="F446" s="77" t="s">
        <v>4810</v>
      </c>
      <c r="G446" s="78">
        <v>117.469899</v>
      </c>
      <c r="H446" s="78">
        <v>2.0305840000000002</v>
      </c>
      <c r="I446" s="77" t="s">
        <v>4800</v>
      </c>
      <c r="L446" s="3">
        <f>VLOOKUP(C446,Securities!A:D,4,FALSE)</f>
        <v>1</v>
      </c>
      <c r="M446" s="3" t="str">
        <f>VLOOKUP(C446,Securities!A:B,2,FALSE)</f>
        <v>GAZP RX Equity</v>
      </c>
      <c r="O446" s="3">
        <f t="shared" si="6"/>
        <v>12760</v>
      </c>
    </row>
    <row r="447" spans="1:15" x14ac:dyDescent="0.25">
      <c r="A447" s="79">
        <v>43053</v>
      </c>
      <c r="B447" s="80" t="s">
        <v>5131</v>
      </c>
      <c r="C447" s="80" t="s">
        <v>4812</v>
      </c>
      <c r="D447" s="80" t="s">
        <v>4675</v>
      </c>
      <c r="E447" s="81">
        <v>3000</v>
      </c>
      <c r="F447" s="80" t="s">
        <v>4804</v>
      </c>
      <c r="G447" s="81">
        <v>580.23670000000004</v>
      </c>
      <c r="H447" s="81">
        <v>10.085179</v>
      </c>
      <c r="I447" s="80" t="s">
        <v>4800</v>
      </c>
      <c r="L447" s="3">
        <f>VLOOKUP(C447,Securities!A:D,4,FALSE)</f>
        <v>1</v>
      </c>
      <c r="M447" s="3" t="str">
        <f>VLOOKUP(C447,Securities!A:B,2,FALSE)</f>
        <v>KMG LI Equity</v>
      </c>
      <c r="O447" s="3">
        <f t="shared" si="6"/>
        <v>3000</v>
      </c>
    </row>
    <row r="448" spans="1:15" x14ac:dyDescent="0.25">
      <c r="A448" s="76">
        <v>43053</v>
      </c>
      <c r="B448" s="77" t="s">
        <v>5131</v>
      </c>
      <c r="C448" s="77" t="s">
        <v>4847</v>
      </c>
      <c r="D448" s="77" t="s">
        <v>369</v>
      </c>
      <c r="E448" s="78">
        <v>559</v>
      </c>
      <c r="F448" s="77" t="s">
        <v>4810</v>
      </c>
      <c r="G448" s="78">
        <v>3040</v>
      </c>
      <c r="H448" s="78">
        <v>52.838689000000002</v>
      </c>
      <c r="I448" s="77" t="s">
        <v>4800</v>
      </c>
      <c r="L448" s="3">
        <f>VLOOKUP(C448,Securities!A:D,4,FALSE)</f>
        <v>1</v>
      </c>
      <c r="M448" s="3" t="str">
        <f>VLOOKUP(C448,Securities!A:B,2,FALSE)</f>
        <v>LKOH RX Equity</v>
      </c>
      <c r="O448" s="3">
        <f t="shared" si="6"/>
        <v>559</v>
      </c>
    </row>
    <row r="449" spans="1:15" x14ac:dyDescent="0.25">
      <c r="A449" s="79">
        <v>43053</v>
      </c>
      <c r="B449" s="80" t="s">
        <v>5131</v>
      </c>
      <c r="C449" s="80" t="s">
        <v>4910</v>
      </c>
      <c r="D449" s="80" t="s">
        <v>366</v>
      </c>
      <c r="E449" s="81">
        <v>1715</v>
      </c>
      <c r="F449" s="80" t="s">
        <v>4810</v>
      </c>
      <c r="G449" s="81">
        <v>887.09795899999995</v>
      </c>
      <c r="H449" s="81">
        <v>15.531485999999999</v>
      </c>
      <c r="I449" s="80" t="s">
        <v>4800</v>
      </c>
      <c r="L449" s="3">
        <f>VLOOKUP(C449,Securities!A:D,4,FALSE)</f>
        <v>1</v>
      </c>
      <c r="M449" s="3" t="str">
        <f>VLOOKUP(C449,Securities!A:B,2,FALSE)</f>
        <v>LSRG RX Equity</v>
      </c>
      <c r="O449" s="3">
        <f t="shared" si="6"/>
        <v>1715</v>
      </c>
    </row>
    <row r="450" spans="1:15" x14ac:dyDescent="0.25">
      <c r="A450" s="76">
        <v>43053</v>
      </c>
      <c r="B450" s="77" t="s">
        <v>5131</v>
      </c>
      <c r="C450" s="77" t="s">
        <v>4816</v>
      </c>
      <c r="D450" s="77" t="s">
        <v>4817</v>
      </c>
      <c r="E450" s="78">
        <v>1195</v>
      </c>
      <c r="F450" s="77" t="s">
        <v>4799</v>
      </c>
      <c r="G450" s="78">
        <v>1249.4386019999999</v>
      </c>
      <c r="H450" s="78">
        <v>21.597788999999999</v>
      </c>
      <c r="I450" s="77" t="s">
        <v>4800</v>
      </c>
      <c r="L450" s="3">
        <f>VLOOKUP(C450,Securities!A:D,4,FALSE)</f>
        <v>1</v>
      </c>
      <c r="M450" s="3" t="str">
        <f>VLOOKUP(C450,Securities!A:B,2,FALSE)</f>
        <v>M US Equity</v>
      </c>
      <c r="O450" s="3">
        <f t="shared" ref="O450:O513" si="7">SUMIFS(E:E,C:C,C450,B:B,B450)</f>
        <v>1195</v>
      </c>
    </row>
    <row r="451" spans="1:15" x14ac:dyDescent="0.25">
      <c r="A451" s="79">
        <v>43053</v>
      </c>
      <c r="B451" s="80" t="s">
        <v>5131</v>
      </c>
      <c r="C451" s="80" t="s">
        <v>4912</v>
      </c>
      <c r="D451" s="80" t="s">
        <v>28</v>
      </c>
      <c r="E451" s="81">
        <v>207400</v>
      </c>
      <c r="F451" s="80" t="s">
        <v>4810</v>
      </c>
      <c r="G451" s="81">
        <v>7.23</v>
      </c>
      <c r="H451" s="81">
        <v>0.126584</v>
      </c>
      <c r="I451" s="80" t="s">
        <v>4800</v>
      </c>
      <c r="L451" s="3">
        <f>VLOOKUP(C451,Securities!A:D,4,FALSE)</f>
        <v>1</v>
      </c>
      <c r="M451" s="3" t="str">
        <f>VLOOKUP(C451,Securities!A:B,2,FALSE)</f>
        <v>NMTP RX Equity</v>
      </c>
      <c r="O451" s="3">
        <f t="shared" si="7"/>
        <v>207400</v>
      </c>
    </row>
    <row r="452" spans="1:15" x14ac:dyDescent="0.25">
      <c r="A452" s="76">
        <v>43053</v>
      </c>
      <c r="B452" s="77" t="s">
        <v>5131</v>
      </c>
      <c r="C452" s="77" t="s">
        <v>4848</v>
      </c>
      <c r="D452" s="77" t="s">
        <v>511</v>
      </c>
      <c r="E452" s="78">
        <v>2497</v>
      </c>
      <c r="F452" s="77" t="s">
        <v>4810</v>
      </c>
      <c r="G452" s="78">
        <v>600.69599100000005</v>
      </c>
      <c r="H452" s="78">
        <v>10.383627000000001</v>
      </c>
      <c r="I452" s="77" t="s">
        <v>4800</v>
      </c>
      <c r="L452" s="3">
        <f>VLOOKUP(C452,Securities!A:D,4,FALSE)</f>
        <v>1</v>
      </c>
      <c r="M452" s="3" t="str">
        <f>VLOOKUP(C452,Securities!A:B,2,FALSE)</f>
        <v>NVTK RX Equity</v>
      </c>
      <c r="O452" s="3">
        <f t="shared" si="7"/>
        <v>2497</v>
      </c>
    </row>
    <row r="453" spans="1:15" x14ac:dyDescent="0.25">
      <c r="A453" s="79">
        <v>43053</v>
      </c>
      <c r="B453" s="80" t="s">
        <v>5131</v>
      </c>
      <c r="C453" s="80" t="s">
        <v>4834</v>
      </c>
      <c r="D453" s="80" t="s">
        <v>51</v>
      </c>
      <c r="E453" s="81">
        <v>1615</v>
      </c>
      <c r="F453" s="80" t="s">
        <v>4825</v>
      </c>
      <c r="G453" s="81">
        <v>928.62</v>
      </c>
      <c r="H453" s="81">
        <v>16.052119999999999</v>
      </c>
      <c r="I453" s="80" t="s">
        <v>4800</v>
      </c>
      <c r="L453" s="3">
        <f>VLOOKUP(C453,Securities!A:D,4,FALSE)</f>
        <v>1</v>
      </c>
      <c r="M453" s="3" t="str">
        <f>VLOOKUP(C453,Securities!A:B,2,FALSE)</f>
        <v>QIWI US Equity</v>
      </c>
      <c r="O453" s="3">
        <f t="shared" si="7"/>
        <v>1615</v>
      </c>
    </row>
    <row r="454" spans="1:15" x14ac:dyDescent="0.25">
      <c r="A454" s="76">
        <v>43053</v>
      </c>
      <c r="B454" s="77" t="s">
        <v>5131</v>
      </c>
      <c r="C454" s="77" t="s">
        <v>4917</v>
      </c>
      <c r="D454" s="77" t="s">
        <v>742</v>
      </c>
      <c r="E454" s="78">
        <v>16770</v>
      </c>
      <c r="F454" s="77" t="s">
        <v>4810</v>
      </c>
      <c r="G454" s="78">
        <v>69.494899000000004</v>
      </c>
      <c r="H454" s="78">
        <v>1.2120059999999999</v>
      </c>
      <c r="I454" s="77" t="s">
        <v>4800</v>
      </c>
      <c r="L454" s="3">
        <f>VLOOKUP(C454,Securities!A:D,4,FALSE)</f>
        <v>1</v>
      </c>
      <c r="M454" s="3" t="str">
        <f>VLOOKUP(C454,Securities!A:B,2,FALSE)</f>
        <v>TRMK RX Equity</v>
      </c>
      <c r="O454" s="3">
        <f t="shared" si="7"/>
        <v>16770</v>
      </c>
    </row>
    <row r="455" spans="1:15" x14ac:dyDescent="0.25">
      <c r="A455" s="79">
        <v>43053</v>
      </c>
      <c r="B455" s="80" t="s">
        <v>5132</v>
      </c>
      <c r="C455" s="80" t="s">
        <v>4805</v>
      </c>
      <c r="D455" s="80" t="s">
        <v>31</v>
      </c>
      <c r="E455" s="81">
        <v>67000</v>
      </c>
      <c r="F455" s="80" t="s">
        <v>4806</v>
      </c>
      <c r="G455" s="81">
        <v>175.702686</v>
      </c>
      <c r="H455" s="81">
        <v>175.702686</v>
      </c>
      <c r="I455" s="80" t="s">
        <v>4800</v>
      </c>
      <c r="L455" s="3">
        <f>VLOOKUP(C455,Securities!A:D,4,FALSE)</f>
        <v>5</v>
      </c>
      <c r="M455" s="3" t="str">
        <f>VLOOKUP(C455,Securities!A:B,2,FALSE)</f>
        <v>TT343269 Corp</v>
      </c>
      <c r="O455" s="3">
        <f t="shared" si="7"/>
        <v>67000</v>
      </c>
    </row>
    <row r="456" spans="1:15" x14ac:dyDescent="0.25">
      <c r="A456" s="76">
        <v>43053</v>
      </c>
      <c r="B456" s="77" t="s">
        <v>5132</v>
      </c>
      <c r="C456" s="77" t="s">
        <v>4839</v>
      </c>
      <c r="D456" s="77" t="s">
        <v>4840</v>
      </c>
      <c r="E456" s="78">
        <v>100000</v>
      </c>
      <c r="F456" s="77" t="s">
        <v>4838</v>
      </c>
      <c r="G456" s="78">
        <v>100</v>
      </c>
      <c r="H456" s="78">
        <v>100</v>
      </c>
      <c r="I456" s="77" t="s">
        <v>4800</v>
      </c>
      <c r="L456" s="3">
        <f>VLOOKUP(C456,Securities!A:D,4,FALSE)</f>
        <v>5</v>
      </c>
      <c r="M456" s="3" t="str">
        <f>VLOOKUP(C456,Securities!A:B,2,FALSE)</f>
        <v>XS1513271418 Corp</v>
      </c>
      <c r="O456" s="3">
        <f t="shared" si="7"/>
        <v>100000</v>
      </c>
    </row>
    <row r="457" spans="1:15" x14ac:dyDescent="0.25">
      <c r="A457" s="79">
        <v>43053</v>
      </c>
      <c r="B457" s="80" t="s">
        <v>5132</v>
      </c>
      <c r="C457" s="80" t="s">
        <v>4811</v>
      </c>
      <c r="D457" s="80" t="s">
        <v>4659</v>
      </c>
      <c r="E457" s="81">
        <v>13610</v>
      </c>
      <c r="F457" s="80" t="s">
        <v>4799</v>
      </c>
      <c r="G457" s="81">
        <v>126.010606</v>
      </c>
      <c r="H457" s="81">
        <v>2.2042820000000001</v>
      </c>
      <c r="I457" s="80" t="s">
        <v>4800</v>
      </c>
      <c r="L457" s="3">
        <f>VLOOKUP(C457,Securities!A:D,4,FALSE)</f>
        <v>1</v>
      </c>
      <c r="M457" s="3" t="str">
        <f>VLOOKUP(C457,Securities!A:B,2,FALSE)</f>
        <v>HGM LN Equity</v>
      </c>
      <c r="O457" s="3">
        <f t="shared" si="7"/>
        <v>13610</v>
      </c>
    </row>
    <row r="458" spans="1:15" x14ac:dyDescent="0.25">
      <c r="A458" s="76">
        <v>43053</v>
      </c>
      <c r="B458" s="77" t="s">
        <v>5132</v>
      </c>
      <c r="C458" s="77" t="s">
        <v>4815</v>
      </c>
      <c r="D458" s="77" t="s">
        <v>4676</v>
      </c>
      <c r="E458" s="78">
        <v>583</v>
      </c>
      <c r="F458" s="77" t="s">
        <v>4799</v>
      </c>
      <c r="G458" s="78">
        <v>2568.7556249999998</v>
      </c>
      <c r="H458" s="78">
        <v>42.862743999999999</v>
      </c>
      <c r="I458" s="77" t="s">
        <v>4800</v>
      </c>
      <c r="L458" s="3">
        <f>VLOOKUP(C458,Securities!A:D,4,FALSE)</f>
        <v>1</v>
      </c>
      <c r="M458" s="3" t="str">
        <f>VLOOKUP(C458,Securities!A:B,2,FALSE)</f>
        <v>LXFT US Equity</v>
      </c>
      <c r="O458" s="3">
        <f t="shared" si="7"/>
        <v>583</v>
      </c>
    </row>
    <row r="459" spans="1:15" x14ac:dyDescent="0.25">
      <c r="A459" s="79">
        <v>43053</v>
      </c>
      <c r="B459" s="80" t="s">
        <v>5133</v>
      </c>
      <c r="C459" s="80" t="s">
        <v>5134</v>
      </c>
      <c r="D459" s="80" t="s">
        <v>5135</v>
      </c>
      <c r="E459" s="81">
        <v>430000</v>
      </c>
      <c r="F459" s="80" t="s">
        <v>4806</v>
      </c>
      <c r="G459" s="81">
        <v>0</v>
      </c>
      <c r="H459" s="81">
        <v>0</v>
      </c>
      <c r="I459" s="80" t="s">
        <v>4800</v>
      </c>
      <c r="L459" s="3" t="e">
        <f>VLOOKUP(C459,Securities!A:D,4,FALSE)</f>
        <v>#N/A</v>
      </c>
      <c r="M459" s="3" t="e">
        <f>VLOOKUP(C459,Securities!A:B,2,FALSE)</f>
        <v>#N/A</v>
      </c>
      <c r="O459" s="3">
        <f t="shared" si="7"/>
        <v>430000</v>
      </c>
    </row>
    <row r="460" spans="1:15" x14ac:dyDescent="0.25">
      <c r="A460" s="76">
        <v>43053</v>
      </c>
      <c r="B460" s="77" t="s">
        <v>5133</v>
      </c>
      <c r="C460" s="77" t="s">
        <v>5136</v>
      </c>
      <c r="D460" s="77" t="s">
        <v>5137</v>
      </c>
      <c r="E460" s="78">
        <v>250000</v>
      </c>
      <c r="F460" s="77" t="s">
        <v>4806</v>
      </c>
      <c r="G460" s="78">
        <v>0</v>
      </c>
      <c r="H460" s="78">
        <v>0</v>
      </c>
      <c r="I460" s="77" t="s">
        <v>4800</v>
      </c>
      <c r="L460" s="3" t="e">
        <f>VLOOKUP(C460,Securities!A:D,4,FALSE)</f>
        <v>#N/A</v>
      </c>
      <c r="M460" s="3" t="e">
        <f>VLOOKUP(C460,Securities!A:B,2,FALSE)</f>
        <v>#N/A</v>
      </c>
      <c r="O460" s="3">
        <f t="shared" si="7"/>
        <v>250000</v>
      </c>
    </row>
    <row r="461" spans="1:15" x14ac:dyDescent="0.25">
      <c r="A461" s="79">
        <v>43053</v>
      </c>
      <c r="B461" s="80" t="s">
        <v>5133</v>
      </c>
      <c r="C461" s="80" t="s">
        <v>5138</v>
      </c>
      <c r="D461" s="80" t="s">
        <v>5139</v>
      </c>
      <c r="E461" s="81">
        <v>400000</v>
      </c>
      <c r="F461" s="80" t="s">
        <v>4806</v>
      </c>
      <c r="G461" s="81">
        <v>0</v>
      </c>
      <c r="H461" s="81">
        <v>0</v>
      </c>
      <c r="I461" s="80" t="s">
        <v>4800</v>
      </c>
      <c r="L461" s="3" t="e">
        <f>VLOOKUP(C461,Securities!A:D,4,FALSE)</f>
        <v>#N/A</v>
      </c>
      <c r="M461" s="3" t="e">
        <f>VLOOKUP(C461,Securities!A:B,2,FALSE)</f>
        <v>#N/A</v>
      </c>
      <c r="O461" s="3">
        <f t="shared" si="7"/>
        <v>400000</v>
      </c>
    </row>
    <row r="462" spans="1:15" x14ac:dyDescent="0.25">
      <c r="A462" s="76">
        <v>43053</v>
      </c>
      <c r="B462" s="77" t="s">
        <v>5133</v>
      </c>
      <c r="C462" s="77" t="s">
        <v>5140</v>
      </c>
      <c r="D462" s="77" t="s">
        <v>138</v>
      </c>
      <c r="E462" s="78">
        <v>32040</v>
      </c>
      <c r="F462" s="77" t="s">
        <v>4810</v>
      </c>
      <c r="G462" s="78">
        <v>0</v>
      </c>
      <c r="H462" s="78">
        <v>0</v>
      </c>
      <c r="I462" s="77" t="s">
        <v>4800</v>
      </c>
      <c r="L462" s="3">
        <f>VLOOKUP(C462,Securities!A:D,4,FALSE)</f>
        <v>1</v>
      </c>
      <c r="M462" s="3" t="str">
        <f>VLOOKUP(C462,Securities!A:B,2,FALSE)</f>
        <v>BISVP RX Equity</v>
      </c>
      <c r="O462" s="3">
        <f t="shared" si="7"/>
        <v>32040</v>
      </c>
    </row>
    <row r="463" spans="1:15" x14ac:dyDescent="0.25">
      <c r="A463" s="79">
        <v>43053</v>
      </c>
      <c r="B463" s="80" t="s">
        <v>5133</v>
      </c>
      <c r="C463" s="80" t="s">
        <v>4901</v>
      </c>
      <c r="D463" s="80" t="s">
        <v>4902</v>
      </c>
      <c r="E463" s="81">
        <v>4975</v>
      </c>
      <c r="F463" s="80" t="s">
        <v>4804</v>
      </c>
      <c r="G463" s="81">
        <v>2342.7626930000001</v>
      </c>
      <c r="H463" s="81">
        <v>40.284317000000001</v>
      </c>
      <c r="I463" s="80" t="s">
        <v>4800</v>
      </c>
      <c r="L463" s="3">
        <f>VLOOKUP(C463,Securities!A:D,4,FALSE)</f>
        <v>1</v>
      </c>
      <c r="M463" s="3" t="str">
        <f>VLOOKUP(C463,Securities!A:B,2,FALSE)</f>
        <v>FIVE LI Equity</v>
      </c>
      <c r="O463" s="3">
        <f t="shared" si="7"/>
        <v>4975</v>
      </c>
    </row>
    <row r="464" spans="1:15" x14ac:dyDescent="0.25">
      <c r="A464" s="76">
        <v>43053</v>
      </c>
      <c r="B464" s="77" t="s">
        <v>5133</v>
      </c>
      <c r="C464" s="77" t="s">
        <v>5141</v>
      </c>
      <c r="D464" s="77" t="s">
        <v>5142</v>
      </c>
      <c r="E464" s="78">
        <v>475000</v>
      </c>
      <c r="F464" s="77" t="s">
        <v>4806</v>
      </c>
      <c r="G464" s="78">
        <v>0</v>
      </c>
      <c r="H464" s="78">
        <v>0</v>
      </c>
      <c r="I464" s="77" t="s">
        <v>4800</v>
      </c>
      <c r="L464" s="3">
        <f>VLOOKUP(C464,Securities!A:D,4,FALSE)</f>
        <v>5</v>
      </c>
      <c r="M464" s="3" t="str">
        <f>VLOOKUP(C464,Securities!A:B,2,FALSE)</f>
        <v>XS1040726587 Corp</v>
      </c>
      <c r="O464" s="3">
        <f t="shared" si="7"/>
        <v>475000</v>
      </c>
    </row>
    <row r="465" spans="1:15" x14ac:dyDescent="0.25">
      <c r="A465" s="79">
        <v>43053</v>
      </c>
      <c r="B465" s="80" t="s">
        <v>5133</v>
      </c>
      <c r="C465" s="80" t="s">
        <v>4809</v>
      </c>
      <c r="D465" s="80" t="s">
        <v>30</v>
      </c>
      <c r="E465" s="81">
        <v>39500</v>
      </c>
      <c r="F465" s="80" t="s">
        <v>4810</v>
      </c>
      <c r="G465" s="81">
        <v>157.56831399999999</v>
      </c>
      <c r="H465" s="81">
        <v>2.5564</v>
      </c>
      <c r="I465" s="80" t="s">
        <v>4800</v>
      </c>
      <c r="L465" s="3">
        <f>VLOOKUP(C465,Securities!A:D,4,FALSE)</f>
        <v>1</v>
      </c>
      <c r="M465" s="3" t="str">
        <f>VLOOKUP(C465,Securities!A:B,2,FALSE)</f>
        <v>GAZP RX Equity</v>
      </c>
      <c r="O465" s="3">
        <f t="shared" si="7"/>
        <v>39500</v>
      </c>
    </row>
    <row r="466" spans="1:15" x14ac:dyDescent="0.25">
      <c r="A466" s="76">
        <v>43053</v>
      </c>
      <c r="B466" s="77" t="s">
        <v>5133</v>
      </c>
      <c r="C466" s="77" t="s">
        <v>5143</v>
      </c>
      <c r="D466" s="77" t="s">
        <v>5144</v>
      </c>
      <c r="E466" s="78">
        <v>250000</v>
      </c>
      <c r="F466" s="77" t="s">
        <v>4806</v>
      </c>
      <c r="G466" s="78">
        <v>0</v>
      </c>
      <c r="H466" s="78">
        <v>0</v>
      </c>
      <c r="I466" s="77" t="s">
        <v>4800</v>
      </c>
      <c r="L466" s="3" t="e">
        <f>VLOOKUP(C466,Securities!A:D,4,FALSE)</f>
        <v>#N/A</v>
      </c>
      <c r="M466" s="3" t="e">
        <f>VLOOKUP(C466,Securities!A:B,2,FALSE)</f>
        <v>#N/A</v>
      </c>
      <c r="O466" s="3">
        <f t="shared" si="7"/>
        <v>250000</v>
      </c>
    </row>
    <row r="467" spans="1:15" x14ac:dyDescent="0.25">
      <c r="A467" s="79">
        <v>43053</v>
      </c>
      <c r="B467" s="80" t="s">
        <v>5133</v>
      </c>
      <c r="C467" s="80" t="s">
        <v>5145</v>
      </c>
      <c r="D467" s="80" t="s">
        <v>5146</v>
      </c>
      <c r="E467" s="81">
        <v>1000000</v>
      </c>
      <c r="F467" s="80" t="s">
        <v>4806</v>
      </c>
      <c r="G467" s="81">
        <v>0</v>
      </c>
      <c r="H467" s="81">
        <v>0</v>
      </c>
      <c r="I467" s="80" t="s">
        <v>4800</v>
      </c>
      <c r="L467" s="3">
        <f>VLOOKUP(C467,Securities!A:D,4,FALSE)</f>
        <v>5</v>
      </c>
      <c r="M467" s="3" t="str">
        <f>VLOOKUP(C467,Securities!A:B,2,FALSE)</f>
        <v>US364760AK48 Corp</v>
      </c>
      <c r="O467" s="3">
        <f t="shared" si="7"/>
        <v>1000000</v>
      </c>
    </row>
    <row r="468" spans="1:15" x14ac:dyDescent="0.25">
      <c r="A468" s="76">
        <v>43053</v>
      </c>
      <c r="B468" s="77" t="s">
        <v>5133</v>
      </c>
      <c r="C468" s="77" t="s">
        <v>5045</v>
      </c>
      <c r="D468" s="77" t="s">
        <v>5046</v>
      </c>
      <c r="E468" s="78">
        <v>560000</v>
      </c>
      <c r="F468" s="77" t="s">
        <v>4806</v>
      </c>
      <c r="G468" s="78">
        <v>0</v>
      </c>
      <c r="H468" s="78">
        <v>0</v>
      </c>
      <c r="I468" s="77" t="s">
        <v>4800</v>
      </c>
      <c r="L468" s="3">
        <f>VLOOKUP(C468,Securities!A:D,4,FALSE)</f>
        <v>5</v>
      </c>
      <c r="M468" s="3" t="str">
        <f>VLOOKUP(C468,Securities!A:B,2,FALSE)</f>
        <v>XS1069383856 Corp</v>
      </c>
      <c r="O468" s="3">
        <f t="shared" si="7"/>
        <v>560000</v>
      </c>
    </row>
    <row r="469" spans="1:15" x14ac:dyDescent="0.25">
      <c r="A469" s="79">
        <v>43053</v>
      </c>
      <c r="B469" s="80" t="s">
        <v>5133</v>
      </c>
      <c r="C469" s="80" t="s">
        <v>4963</v>
      </c>
      <c r="D469" s="80" t="s">
        <v>4964</v>
      </c>
      <c r="E469" s="81">
        <v>300000</v>
      </c>
      <c r="F469" s="80" t="s">
        <v>4806</v>
      </c>
      <c r="G469" s="81">
        <v>96.75</v>
      </c>
      <c r="H469" s="81">
        <v>96.75</v>
      </c>
      <c r="I469" s="80" t="s">
        <v>4800</v>
      </c>
      <c r="L469" s="3">
        <f>VLOOKUP(C469,Securities!A:D,4,FALSE)</f>
        <v>5</v>
      </c>
      <c r="M469" s="3" t="str">
        <f>VLOOKUP(C469,Securities!A:B,2,FALSE)</f>
        <v>XS1439838548 Corp</v>
      </c>
      <c r="O469" s="3">
        <f t="shared" si="7"/>
        <v>300000</v>
      </c>
    </row>
    <row r="470" spans="1:15" x14ac:dyDescent="0.25">
      <c r="A470" s="76">
        <v>43053</v>
      </c>
      <c r="B470" s="77" t="s">
        <v>5133</v>
      </c>
      <c r="C470" s="77" t="s">
        <v>4811</v>
      </c>
      <c r="D470" s="77" t="s">
        <v>4659</v>
      </c>
      <c r="E470" s="78">
        <v>216994</v>
      </c>
      <c r="F470" s="77" t="s">
        <v>4799</v>
      </c>
      <c r="G470" s="78">
        <v>88.138864999999996</v>
      </c>
      <c r="H470" s="78">
        <v>1.5692440000000001</v>
      </c>
      <c r="I470" s="77" t="s">
        <v>4800</v>
      </c>
      <c r="L470" s="3">
        <f>VLOOKUP(C470,Securities!A:D,4,FALSE)</f>
        <v>1</v>
      </c>
      <c r="M470" s="3" t="str">
        <f>VLOOKUP(C470,Securities!A:B,2,FALSE)</f>
        <v>HGM LN Equity</v>
      </c>
      <c r="O470" s="3">
        <f t="shared" si="7"/>
        <v>216994</v>
      </c>
    </row>
    <row r="471" spans="1:15" x14ac:dyDescent="0.25">
      <c r="A471" s="79">
        <v>43053</v>
      </c>
      <c r="B471" s="80" t="s">
        <v>5133</v>
      </c>
      <c r="C471" s="80" t="s">
        <v>5147</v>
      </c>
      <c r="D471" s="80" t="s">
        <v>5148</v>
      </c>
      <c r="E471" s="81">
        <v>5900</v>
      </c>
      <c r="F471" s="80" t="s">
        <v>4825</v>
      </c>
      <c r="G471" s="81">
        <v>2871.1767030000001</v>
      </c>
      <c r="H471" s="81">
        <v>50.892499999999998</v>
      </c>
      <c r="I471" s="80" t="s">
        <v>4800</v>
      </c>
      <c r="L471" s="3">
        <f>VLOOKUP(C471,Securities!A:D,4,FALSE)</f>
        <v>1</v>
      </c>
      <c r="M471" s="3" t="str">
        <f>VLOOKUP(C471,Securities!A:B,2,FALSE)</f>
        <v>LKOD LI Equity</v>
      </c>
      <c r="O471" s="3">
        <f t="shared" si="7"/>
        <v>5900</v>
      </c>
    </row>
    <row r="472" spans="1:15" x14ac:dyDescent="0.25">
      <c r="A472" s="76">
        <v>43053</v>
      </c>
      <c r="B472" s="77" t="s">
        <v>5133</v>
      </c>
      <c r="C472" s="77" t="s">
        <v>5149</v>
      </c>
      <c r="D472" s="77" t="s">
        <v>5150</v>
      </c>
      <c r="E472" s="78">
        <v>600000</v>
      </c>
      <c r="F472" s="77" t="s">
        <v>4806</v>
      </c>
      <c r="G472" s="78">
        <v>0</v>
      </c>
      <c r="H472" s="78">
        <v>0</v>
      </c>
      <c r="I472" s="77" t="s">
        <v>4800</v>
      </c>
      <c r="L472" s="3">
        <f>VLOOKUP(C472,Securities!A:D,4,FALSE)</f>
        <v>5</v>
      </c>
      <c r="M472" s="3" t="str">
        <f>VLOOKUP(C472,Securities!A:B,2,FALSE)</f>
        <v>XS0918297382 Corp</v>
      </c>
      <c r="O472" s="3">
        <f t="shared" si="7"/>
        <v>600000</v>
      </c>
    </row>
    <row r="473" spans="1:15" x14ac:dyDescent="0.25">
      <c r="A473" s="79">
        <v>43053</v>
      </c>
      <c r="B473" s="80" t="s">
        <v>5133</v>
      </c>
      <c r="C473" s="80" t="s">
        <v>4863</v>
      </c>
      <c r="D473" s="80" t="s">
        <v>4864</v>
      </c>
      <c r="E473" s="81">
        <v>700000</v>
      </c>
      <c r="F473" s="80" t="s">
        <v>4806</v>
      </c>
      <c r="G473" s="81">
        <v>105.31</v>
      </c>
      <c r="H473" s="81">
        <v>105.31</v>
      </c>
      <c r="I473" s="80" t="s">
        <v>4800</v>
      </c>
      <c r="L473" s="3">
        <f>VLOOKUP(C473,Securities!A:D,4,FALSE)</f>
        <v>5</v>
      </c>
      <c r="M473" s="3" t="str">
        <f>VLOOKUP(C473,Securities!A:B,2,FALSE)</f>
        <v>USN54468AF52 Corp</v>
      </c>
      <c r="O473" s="3">
        <f t="shared" si="7"/>
        <v>700000</v>
      </c>
    </row>
    <row r="474" spans="1:15" x14ac:dyDescent="0.25">
      <c r="A474" s="76">
        <v>43053</v>
      </c>
      <c r="B474" s="77" t="s">
        <v>5133</v>
      </c>
      <c r="C474" s="77" t="s">
        <v>5151</v>
      </c>
      <c r="D474" s="77" t="s">
        <v>5152</v>
      </c>
      <c r="E474" s="78">
        <v>7007</v>
      </c>
      <c r="F474" s="77" t="s">
        <v>4825</v>
      </c>
      <c r="G474" s="78">
        <v>0</v>
      </c>
      <c r="H474" s="78">
        <v>0</v>
      </c>
      <c r="I474" s="77" t="s">
        <v>4800</v>
      </c>
      <c r="L474" s="3">
        <f>VLOOKUP(C474,Securities!A:D,4,FALSE)</f>
        <v>1</v>
      </c>
      <c r="M474" s="3" t="str">
        <f>VLOOKUP(C474,Securities!A:B,2,FALSE)</f>
        <v>MNOD LI Equity</v>
      </c>
      <c r="O474" s="3">
        <f t="shared" si="7"/>
        <v>7007</v>
      </c>
    </row>
    <row r="475" spans="1:15" x14ac:dyDescent="0.25">
      <c r="A475" s="79">
        <v>43053</v>
      </c>
      <c r="B475" s="80" t="s">
        <v>5133</v>
      </c>
      <c r="C475" s="80" t="s">
        <v>5153</v>
      </c>
      <c r="D475" s="80" t="s">
        <v>5154</v>
      </c>
      <c r="E475" s="81">
        <v>300000</v>
      </c>
      <c r="F475" s="80" t="s">
        <v>4806</v>
      </c>
      <c r="G475" s="81">
        <v>0</v>
      </c>
      <c r="H475" s="81">
        <v>0</v>
      </c>
      <c r="I475" s="80" t="s">
        <v>4800</v>
      </c>
      <c r="L475" s="3">
        <f>VLOOKUP(C475,Securities!A:D,4,FALSE)</f>
        <v>5</v>
      </c>
      <c r="M475" s="3" t="str">
        <f>VLOOKUP(C475,Securities!A:B,2,FALSE)</f>
        <v>XS0864383723 CBBT Corp</v>
      </c>
      <c r="O475" s="3">
        <f t="shared" si="7"/>
        <v>300000</v>
      </c>
    </row>
    <row r="476" spans="1:15" x14ac:dyDescent="0.25">
      <c r="A476" s="76">
        <v>43053</v>
      </c>
      <c r="B476" s="77" t="s">
        <v>5133</v>
      </c>
      <c r="C476" s="77" t="s">
        <v>4922</v>
      </c>
      <c r="D476" s="77" t="s">
        <v>4923</v>
      </c>
      <c r="E476" s="78">
        <v>3050</v>
      </c>
      <c r="F476" s="77" t="s">
        <v>4804</v>
      </c>
      <c r="G476" s="78">
        <v>0</v>
      </c>
      <c r="H476" s="78">
        <v>0</v>
      </c>
      <c r="I476" s="77" t="s">
        <v>4800</v>
      </c>
      <c r="L476" s="3">
        <f>VLOOKUP(C476,Securities!A:D,4,FALSE)</f>
        <v>1</v>
      </c>
      <c r="M476" s="3" t="str">
        <f>VLOOKUP(C476,Securities!A:B,2,FALSE)</f>
        <v>NVTK LI Equity</v>
      </c>
      <c r="O476" s="3">
        <f t="shared" si="7"/>
        <v>3050</v>
      </c>
    </row>
    <row r="477" spans="1:15" x14ac:dyDescent="0.25">
      <c r="A477" s="79">
        <v>43053</v>
      </c>
      <c r="B477" s="80" t="s">
        <v>5133</v>
      </c>
      <c r="C477" s="80" t="s">
        <v>4849</v>
      </c>
      <c r="D477" s="80" t="s">
        <v>4850</v>
      </c>
      <c r="E477" s="81">
        <v>632202</v>
      </c>
      <c r="F477" s="80" t="s">
        <v>4825</v>
      </c>
      <c r="G477" s="81">
        <v>279.692522</v>
      </c>
      <c r="H477" s="81">
        <v>4.8830619999999998</v>
      </c>
      <c r="I477" s="80" t="s">
        <v>4800</v>
      </c>
      <c r="L477" s="3">
        <f>VLOOKUP(C477,Securities!A:D,4,FALSE)</f>
        <v>1</v>
      </c>
      <c r="M477" s="3" t="str">
        <f>VLOOKUP(C477,Securities!A:B,2,FALSE)</f>
        <v>OGZD LI Equity</v>
      </c>
      <c r="O477" s="3">
        <f t="shared" si="7"/>
        <v>632202</v>
      </c>
    </row>
    <row r="478" spans="1:15" x14ac:dyDescent="0.25">
      <c r="A478" s="76">
        <v>43053</v>
      </c>
      <c r="B478" s="77" t="s">
        <v>5133</v>
      </c>
      <c r="C478" s="77" t="s">
        <v>5155</v>
      </c>
      <c r="D478" s="77" t="s">
        <v>5156</v>
      </c>
      <c r="E478" s="78">
        <v>750000</v>
      </c>
      <c r="F478" s="77" t="s">
        <v>4806</v>
      </c>
      <c r="G478" s="78">
        <v>0</v>
      </c>
      <c r="H478" s="78">
        <v>0</v>
      </c>
      <c r="I478" s="77" t="s">
        <v>4800</v>
      </c>
      <c r="L478" s="3">
        <f>VLOOKUP(C478,Securities!A:D,4,FALSE)</f>
        <v>5</v>
      </c>
      <c r="M478" s="3" t="str">
        <f>VLOOKUP(C478,Securities!A:B,2,FALSE)</f>
        <v>US71647NAL38 Corp</v>
      </c>
      <c r="O478" s="3">
        <f t="shared" si="7"/>
        <v>750000</v>
      </c>
    </row>
    <row r="479" spans="1:15" x14ac:dyDescent="0.25">
      <c r="A479" s="79">
        <v>43053</v>
      </c>
      <c r="B479" s="80" t="s">
        <v>5133</v>
      </c>
      <c r="C479" s="80" t="s">
        <v>5157</v>
      </c>
      <c r="D479" s="80" t="s">
        <v>5158</v>
      </c>
      <c r="E479" s="81">
        <v>1000000</v>
      </c>
      <c r="F479" s="80" t="s">
        <v>4806</v>
      </c>
      <c r="G479" s="81">
        <v>0</v>
      </c>
      <c r="H479" s="81">
        <v>0</v>
      </c>
      <c r="I479" s="80" t="s">
        <v>4800</v>
      </c>
      <c r="L479" s="3">
        <f>VLOOKUP(C479,Securities!A:D,4,FALSE)</f>
        <v>5</v>
      </c>
      <c r="M479" s="3" t="str">
        <f>VLOOKUP(C479,Securities!A:B,2,FALSE)</f>
        <v>EJ644860 Corp</v>
      </c>
      <c r="O479" s="3">
        <f t="shared" si="7"/>
        <v>1000000</v>
      </c>
    </row>
    <row r="480" spans="1:15" x14ac:dyDescent="0.25">
      <c r="A480" s="76">
        <v>43053</v>
      </c>
      <c r="B480" s="77" t="s">
        <v>5133</v>
      </c>
      <c r="C480" s="77" t="s">
        <v>4821</v>
      </c>
      <c r="D480" s="77" t="s">
        <v>42</v>
      </c>
      <c r="E480" s="78">
        <v>13838</v>
      </c>
      <c r="F480" s="77" t="s">
        <v>4799</v>
      </c>
      <c r="G480" s="78">
        <v>475.13307700000001</v>
      </c>
      <c r="H480" s="78">
        <v>7.7721460000000002</v>
      </c>
      <c r="I480" s="77" t="s">
        <v>4800</v>
      </c>
      <c r="L480" s="3">
        <f>VLOOKUP(C480,Securities!A:D,4,FALSE)</f>
        <v>1</v>
      </c>
      <c r="M480" s="3" t="str">
        <f>VLOOKUP(C480,Securities!A:B,2,FALSE)</f>
        <v>POLY LN Equity</v>
      </c>
      <c r="O480" s="3">
        <f t="shared" si="7"/>
        <v>13838</v>
      </c>
    </row>
    <row r="481" spans="1:15" x14ac:dyDescent="0.25">
      <c r="A481" s="79">
        <v>43053</v>
      </c>
      <c r="B481" s="80" t="s">
        <v>5133</v>
      </c>
      <c r="C481" s="80" t="s">
        <v>5159</v>
      </c>
      <c r="D481" s="80" t="s">
        <v>673</v>
      </c>
      <c r="E481" s="81">
        <v>241900</v>
      </c>
      <c r="F481" s="80" t="s">
        <v>4810</v>
      </c>
      <c r="G481" s="81">
        <v>153.69416200000001</v>
      </c>
      <c r="H481" s="81">
        <v>2.7080000000000002</v>
      </c>
      <c r="I481" s="80" t="s">
        <v>4800</v>
      </c>
      <c r="L481" s="3">
        <f>VLOOKUP(C481,Securities!A:D,4,FALSE)</f>
        <v>1</v>
      </c>
      <c r="M481" s="3" t="str">
        <f>VLOOKUP(C481,Securities!A:B,2,FALSE)</f>
        <v>SBER RX Equity</v>
      </c>
      <c r="O481" s="3">
        <f t="shared" si="7"/>
        <v>241900</v>
      </c>
    </row>
    <row r="482" spans="1:15" x14ac:dyDescent="0.25">
      <c r="A482" s="76">
        <v>43053</v>
      </c>
      <c r="B482" s="77" t="s">
        <v>5133</v>
      </c>
      <c r="C482" s="77" t="s">
        <v>4851</v>
      </c>
      <c r="D482" s="77" t="s">
        <v>4744</v>
      </c>
      <c r="E482" s="78">
        <v>1000000</v>
      </c>
      <c r="F482" s="77" t="s">
        <v>4806</v>
      </c>
      <c r="G482" s="78">
        <v>0</v>
      </c>
      <c r="H482" s="78">
        <v>0</v>
      </c>
      <c r="I482" s="77" t="s">
        <v>4800</v>
      </c>
      <c r="L482" s="3">
        <f>VLOOKUP(C482,Securities!A:D,4,FALSE)</f>
        <v>5</v>
      </c>
      <c r="M482" s="3" t="str">
        <f>VLOOKUP(C482,Securities!A:B,2,FALSE)</f>
        <v>XS1032750165 Corp</v>
      </c>
      <c r="O482" s="3">
        <f t="shared" si="7"/>
        <v>1000000</v>
      </c>
    </row>
    <row r="483" spans="1:15" x14ac:dyDescent="0.25">
      <c r="A483" s="79">
        <v>43053</v>
      </c>
      <c r="B483" s="80" t="s">
        <v>5133</v>
      </c>
      <c r="C483" s="80" t="s">
        <v>4925</v>
      </c>
      <c r="D483" s="80" t="s">
        <v>4926</v>
      </c>
      <c r="E483" s="81">
        <v>4007</v>
      </c>
      <c r="F483" s="80" t="s">
        <v>4825</v>
      </c>
      <c r="G483" s="81">
        <v>989.82504600000004</v>
      </c>
      <c r="H483" s="81">
        <v>17.192999</v>
      </c>
      <c r="I483" s="80" t="s">
        <v>4800</v>
      </c>
      <c r="L483" s="3">
        <f>VLOOKUP(C483,Securities!A:D,4,FALSE)</f>
        <v>1</v>
      </c>
      <c r="M483" s="3" t="str">
        <f>VLOOKUP(C483,Securities!A:B,2,FALSE)</f>
        <v>GAZ LI Equity</v>
      </c>
      <c r="O483" s="3">
        <f t="shared" si="7"/>
        <v>4007</v>
      </c>
    </row>
    <row r="484" spans="1:15" x14ac:dyDescent="0.25">
      <c r="A484" s="76">
        <v>43053</v>
      </c>
      <c r="B484" s="77" t="s">
        <v>5133</v>
      </c>
      <c r="C484" s="77" t="s">
        <v>5160</v>
      </c>
      <c r="D484" s="77" t="s">
        <v>5161</v>
      </c>
      <c r="E484" s="78">
        <v>14500</v>
      </c>
      <c r="F484" s="77" t="s">
        <v>4825</v>
      </c>
      <c r="G484" s="78">
        <v>0</v>
      </c>
      <c r="H484" s="78">
        <v>0</v>
      </c>
      <c r="I484" s="77" t="s">
        <v>4800</v>
      </c>
      <c r="L484" s="3">
        <f>VLOOKUP(C484,Securities!A:D,4,FALSE)</f>
        <v>1</v>
      </c>
      <c r="M484" s="3" t="str">
        <f>VLOOKUP(C484,Securities!A:B,2,FALSE)</f>
        <v>SBNCD PO Equity</v>
      </c>
      <c r="O484" s="3">
        <f t="shared" si="7"/>
        <v>14500</v>
      </c>
    </row>
    <row r="485" spans="1:15" x14ac:dyDescent="0.25">
      <c r="A485" s="79">
        <v>43053</v>
      </c>
      <c r="B485" s="80" t="s">
        <v>5133</v>
      </c>
      <c r="C485" s="80" t="s">
        <v>5162</v>
      </c>
      <c r="D485" s="80" t="s">
        <v>5163</v>
      </c>
      <c r="E485" s="81">
        <v>23930</v>
      </c>
      <c r="F485" s="80" t="s">
        <v>4804</v>
      </c>
      <c r="G485" s="81">
        <v>265.67125399999998</v>
      </c>
      <c r="H485" s="81">
        <v>4.7</v>
      </c>
      <c r="I485" s="80" t="s">
        <v>4800</v>
      </c>
      <c r="L485" s="3">
        <f>VLOOKUP(C485,Securities!A:D,4,FALSE)</f>
        <v>1</v>
      </c>
      <c r="M485" s="3" t="str">
        <f>VLOOKUP(C485,Securities!A:B,2,FALSE)</f>
        <v>SSA LI Equity</v>
      </c>
      <c r="O485" s="3">
        <f t="shared" si="7"/>
        <v>23930</v>
      </c>
    </row>
    <row r="486" spans="1:15" x14ac:dyDescent="0.25">
      <c r="A486" s="76">
        <v>43053</v>
      </c>
      <c r="B486" s="77" t="s">
        <v>5133</v>
      </c>
      <c r="C486" s="77" t="s">
        <v>5164</v>
      </c>
      <c r="D486" s="77" t="s">
        <v>5165</v>
      </c>
      <c r="E486" s="78">
        <v>300000</v>
      </c>
      <c r="F486" s="77" t="s">
        <v>4806</v>
      </c>
      <c r="G486" s="78">
        <v>0</v>
      </c>
      <c r="H486" s="78">
        <v>0</v>
      </c>
      <c r="I486" s="77" t="s">
        <v>4800</v>
      </c>
      <c r="L486" s="3" t="e">
        <f>VLOOKUP(C486,Securities!A:D,4,FALSE)</f>
        <v>#N/A</v>
      </c>
      <c r="M486" s="3" t="e">
        <f>VLOOKUP(C486,Securities!A:B,2,FALSE)</f>
        <v>#N/A</v>
      </c>
      <c r="O486" s="3">
        <f t="shared" si="7"/>
        <v>300000</v>
      </c>
    </row>
    <row r="487" spans="1:15" x14ac:dyDescent="0.25">
      <c r="A487" s="79">
        <v>43053</v>
      </c>
      <c r="B487" s="80" t="s">
        <v>5133</v>
      </c>
      <c r="C487" s="80" t="s">
        <v>4952</v>
      </c>
      <c r="D487" s="80" t="s">
        <v>4953</v>
      </c>
      <c r="E487" s="81">
        <v>830000</v>
      </c>
      <c r="F487" s="80" t="s">
        <v>4806</v>
      </c>
      <c r="G487" s="81">
        <v>106.5</v>
      </c>
      <c r="H487" s="81">
        <v>106.5</v>
      </c>
      <c r="I487" s="80" t="s">
        <v>4800</v>
      </c>
      <c r="L487" s="3">
        <f>VLOOKUP(C487,Securities!A:D,4,FALSE)</f>
        <v>5</v>
      </c>
      <c r="M487" s="3" t="str">
        <f>VLOOKUP(C487,Securities!A:B,2,FALSE)</f>
        <v>USG9328DAJ93 Corp</v>
      </c>
      <c r="O487" s="3">
        <f t="shared" si="7"/>
        <v>830000</v>
      </c>
    </row>
    <row r="488" spans="1:15" x14ac:dyDescent="0.25">
      <c r="A488" s="76">
        <v>43053</v>
      </c>
      <c r="B488" s="77" t="s">
        <v>5166</v>
      </c>
      <c r="C488" s="77" t="s">
        <v>4839</v>
      </c>
      <c r="D488" s="77" t="s">
        <v>4840</v>
      </c>
      <c r="E488" s="78">
        <v>200000</v>
      </c>
      <c r="F488" s="77" t="s">
        <v>4838</v>
      </c>
      <c r="G488" s="78">
        <v>100</v>
      </c>
      <c r="H488" s="78">
        <v>100</v>
      </c>
      <c r="I488" s="77" t="s">
        <v>4800</v>
      </c>
      <c r="L488" s="3">
        <f>VLOOKUP(C488,Securities!A:D,4,FALSE)</f>
        <v>5</v>
      </c>
      <c r="M488" s="3" t="str">
        <f>VLOOKUP(C488,Securities!A:B,2,FALSE)</f>
        <v>XS1513271418 Corp</v>
      </c>
      <c r="O488" s="3">
        <f t="shared" si="7"/>
        <v>200000</v>
      </c>
    </row>
    <row r="489" spans="1:15" x14ac:dyDescent="0.25">
      <c r="A489" s="79">
        <v>43053</v>
      </c>
      <c r="B489" s="80" t="s">
        <v>5166</v>
      </c>
      <c r="C489" s="80" t="s">
        <v>4843</v>
      </c>
      <c r="D489" s="80" t="s">
        <v>4844</v>
      </c>
      <c r="E489" s="81">
        <v>200000</v>
      </c>
      <c r="F489" s="80" t="s">
        <v>4806</v>
      </c>
      <c r="G489" s="81">
        <v>102.75</v>
      </c>
      <c r="H489" s="81">
        <v>102.75</v>
      </c>
      <c r="I489" s="80" t="s">
        <v>4800</v>
      </c>
      <c r="L489" s="3">
        <f>VLOOKUP(C489,Securities!A:D,4,FALSE)</f>
        <v>5</v>
      </c>
      <c r="M489" s="3" t="str">
        <f>VLOOKUP(C489,Securities!A:B,2,FALSE)</f>
        <v>XS0940730228 Corp</v>
      </c>
      <c r="O489" s="3">
        <f t="shared" si="7"/>
        <v>200000</v>
      </c>
    </row>
    <row r="490" spans="1:15" x14ac:dyDescent="0.25">
      <c r="A490" s="76">
        <v>43053</v>
      </c>
      <c r="B490" s="77" t="s">
        <v>5167</v>
      </c>
      <c r="C490" s="77" t="s">
        <v>4847</v>
      </c>
      <c r="D490" s="77" t="s">
        <v>369</v>
      </c>
      <c r="E490" s="78">
        <v>3786</v>
      </c>
      <c r="F490" s="77" t="s">
        <v>4810</v>
      </c>
      <c r="G490" s="78">
        <v>2936.6014260000002</v>
      </c>
      <c r="H490" s="78">
        <v>49.580047</v>
      </c>
      <c r="I490" s="77" t="s">
        <v>4800</v>
      </c>
      <c r="L490" s="3">
        <f>VLOOKUP(C490,Securities!A:D,4,FALSE)</f>
        <v>1</v>
      </c>
      <c r="M490" s="3" t="str">
        <f>VLOOKUP(C490,Securities!A:B,2,FALSE)</f>
        <v>LKOH RX Equity</v>
      </c>
      <c r="O490" s="3">
        <f t="shared" si="7"/>
        <v>3786</v>
      </c>
    </row>
    <row r="491" spans="1:15" x14ac:dyDescent="0.25">
      <c r="A491" s="79">
        <v>43053</v>
      </c>
      <c r="B491" s="80" t="s">
        <v>5167</v>
      </c>
      <c r="C491" s="80" t="s">
        <v>5147</v>
      </c>
      <c r="D491" s="80" t="s">
        <v>5148</v>
      </c>
      <c r="E491" s="81">
        <v>20490</v>
      </c>
      <c r="F491" s="80" t="s">
        <v>4825</v>
      </c>
      <c r="G491" s="81">
        <v>2733.1291900000001</v>
      </c>
      <c r="H491" s="81">
        <v>48.744858000000001</v>
      </c>
      <c r="I491" s="80" t="s">
        <v>4800</v>
      </c>
      <c r="L491" s="3">
        <f>VLOOKUP(C491,Securities!A:D,4,FALSE)</f>
        <v>1</v>
      </c>
      <c r="M491" s="3" t="str">
        <f>VLOOKUP(C491,Securities!A:B,2,FALSE)</f>
        <v>LKOD LI Equity</v>
      </c>
      <c r="O491" s="3">
        <f t="shared" si="7"/>
        <v>20490</v>
      </c>
    </row>
    <row r="492" spans="1:15" x14ac:dyDescent="0.25">
      <c r="A492" s="76">
        <v>43053</v>
      </c>
      <c r="B492" s="77" t="s">
        <v>5167</v>
      </c>
      <c r="C492" s="77" t="s">
        <v>4956</v>
      </c>
      <c r="D492" s="77" t="s">
        <v>4957</v>
      </c>
      <c r="E492" s="78">
        <v>7040</v>
      </c>
      <c r="F492" s="77" t="s">
        <v>4804</v>
      </c>
      <c r="G492" s="78">
        <v>845.81453599999998</v>
      </c>
      <c r="H492" s="78">
        <v>14.274699999999999</v>
      </c>
      <c r="I492" s="77" t="s">
        <v>4823</v>
      </c>
      <c r="L492" s="3">
        <f>VLOOKUP(C492,Securities!A:D,4,FALSE)</f>
        <v>1</v>
      </c>
      <c r="M492" s="3" t="str">
        <f>VLOOKUP(C492,Securities!A:B,2,FALSE)</f>
        <v>PHOR LI Equity</v>
      </c>
      <c r="O492" s="3">
        <f t="shared" si="7"/>
        <v>7040</v>
      </c>
    </row>
    <row r="493" spans="1:15" x14ac:dyDescent="0.25">
      <c r="A493" s="79">
        <v>43053</v>
      </c>
      <c r="B493" s="80" t="s">
        <v>5167</v>
      </c>
      <c r="C493" s="80" t="s">
        <v>5168</v>
      </c>
      <c r="D493" s="80" t="s">
        <v>5169</v>
      </c>
      <c r="E493" s="81">
        <v>53270</v>
      </c>
      <c r="F493" s="80" t="s">
        <v>4804</v>
      </c>
      <c r="G493" s="81">
        <v>676.50244099999998</v>
      </c>
      <c r="H493" s="81">
        <v>11.929029999999999</v>
      </c>
      <c r="I493" s="80" t="s">
        <v>4800</v>
      </c>
      <c r="L493" s="3">
        <f>VLOOKUP(C493,Securities!A:D,4,FALSE)</f>
        <v>1</v>
      </c>
      <c r="M493" s="3" t="str">
        <f>VLOOKUP(C493,Securities!A:B,2,FALSE)</f>
        <v>TCS LI Equity</v>
      </c>
      <c r="O493" s="3">
        <f t="shared" si="7"/>
        <v>53270</v>
      </c>
    </row>
    <row r="494" spans="1:15" x14ac:dyDescent="0.25">
      <c r="A494" s="76">
        <v>43053</v>
      </c>
      <c r="B494" s="77" t="s">
        <v>5167</v>
      </c>
      <c r="C494" s="77" t="s">
        <v>4852</v>
      </c>
      <c r="D494" s="77" t="s">
        <v>4853</v>
      </c>
      <c r="E494" s="78">
        <v>930000</v>
      </c>
      <c r="F494" s="77" t="s">
        <v>4806</v>
      </c>
      <c r="G494" s="78">
        <v>106.25</v>
      </c>
      <c r="H494" s="78">
        <v>106.25</v>
      </c>
      <c r="I494" s="77" t="s">
        <v>4800</v>
      </c>
      <c r="L494" s="3">
        <f>VLOOKUP(C494,Securities!A:D,4,FALSE)</f>
        <v>5</v>
      </c>
      <c r="M494" s="3" t="str">
        <f>VLOOKUP(C494,Securities!A:B,2,FALSE)</f>
        <v>XS1631338495 Corp</v>
      </c>
      <c r="O494" s="3">
        <f t="shared" si="7"/>
        <v>930000</v>
      </c>
    </row>
    <row r="495" spans="1:15" x14ac:dyDescent="0.25">
      <c r="A495" s="79">
        <v>43053</v>
      </c>
      <c r="B495" s="80" t="s">
        <v>5170</v>
      </c>
      <c r="C495" s="80" t="s">
        <v>4935</v>
      </c>
      <c r="D495" s="80" t="s">
        <v>4936</v>
      </c>
      <c r="E495" s="81">
        <v>5640</v>
      </c>
      <c r="F495" s="80" t="s">
        <v>4799</v>
      </c>
      <c r="G495" s="81">
        <v>1143.990591</v>
      </c>
      <c r="H495" s="81">
        <v>19.611108999999999</v>
      </c>
      <c r="I495" s="80" t="s">
        <v>4800</v>
      </c>
      <c r="L495" s="3">
        <f>VLOOKUP(C495,Securities!A:D,4,FALSE)</f>
        <v>1</v>
      </c>
      <c r="M495" s="3" t="str">
        <f>VLOOKUP(C495,Securities!A:B,2,FALSE)</f>
        <v>AD NA Equity</v>
      </c>
      <c r="O495" s="3">
        <f t="shared" si="7"/>
        <v>5640</v>
      </c>
    </row>
    <row r="496" spans="1:15" x14ac:dyDescent="0.25">
      <c r="A496" s="76">
        <v>43053</v>
      </c>
      <c r="B496" s="77" t="s">
        <v>5170</v>
      </c>
      <c r="C496" s="77" t="s">
        <v>4920</v>
      </c>
      <c r="D496" s="77" t="s">
        <v>4921</v>
      </c>
      <c r="E496" s="78">
        <v>6200</v>
      </c>
      <c r="F496" s="77" t="s">
        <v>4898</v>
      </c>
      <c r="G496" s="78">
        <v>652.92390699999999</v>
      </c>
      <c r="H496" s="78">
        <v>11.299837999999999</v>
      </c>
      <c r="I496" s="77" t="s">
        <v>4800</v>
      </c>
      <c r="L496" s="3">
        <f>VLOOKUP(C496,Securities!A:D,4,FALSE)</f>
        <v>1</v>
      </c>
      <c r="M496" s="3" t="str">
        <f>VLOOKUP(C496,Securities!A:B,2,FALSE)</f>
        <v>AMLP US Equity</v>
      </c>
      <c r="O496" s="3">
        <f t="shared" si="7"/>
        <v>6200</v>
      </c>
    </row>
    <row r="497" spans="1:15" x14ac:dyDescent="0.25">
      <c r="A497" s="79">
        <v>43053</v>
      </c>
      <c r="B497" s="80" t="s">
        <v>5170</v>
      </c>
      <c r="C497" s="80" t="s">
        <v>5171</v>
      </c>
      <c r="D497" s="80" t="s">
        <v>5172</v>
      </c>
      <c r="E497" s="81">
        <v>100000</v>
      </c>
      <c r="F497" s="80" t="s">
        <v>4838</v>
      </c>
      <c r="G497" s="81">
        <v>97</v>
      </c>
      <c r="H497" s="81">
        <v>97</v>
      </c>
      <c r="I497" s="80" t="s">
        <v>4800</v>
      </c>
      <c r="L497" s="3">
        <f>VLOOKUP(C497,Securities!A:D,4,FALSE)</f>
        <v>5</v>
      </c>
      <c r="M497" s="3" t="str">
        <f>VLOOKUP(C497,Securities!A:B,2,FALSE)</f>
        <v>CH0367864680 Corp</v>
      </c>
      <c r="O497" s="3">
        <f t="shared" si="7"/>
        <v>100000</v>
      </c>
    </row>
    <row r="498" spans="1:15" x14ac:dyDescent="0.25">
      <c r="A498" s="76">
        <v>43053</v>
      </c>
      <c r="B498" s="77" t="s">
        <v>5170</v>
      </c>
      <c r="C498" s="77" t="s">
        <v>5035</v>
      </c>
      <c r="D498" s="77" t="s">
        <v>5036</v>
      </c>
      <c r="E498" s="78">
        <v>470000</v>
      </c>
      <c r="F498" s="77" t="s">
        <v>4806</v>
      </c>
      <c r="G498" s="78">
        <v>101.074468</v>
      </c>
      <c r="H498" s="78">
        <v>101.074468</v>
      </c>
      <c r="I498" s="77" t="s">
        <v>4800</v>
      </c>
      <c r="L498" s="3">
        <f>VLOOKUP(C498,Securities!A:D,4,FALSE)</f>
        <v>5</v>
      </c>
      <c r="M498" s="3" t="str">
        <f>VLOOKUP(C498,Securities!A:B,2,FALSE)</f>
        <v>XS0579851949 Corp</v>
      </c>
      <c r="O498" s="3">
        <f t="shared" si="7"/>
        <v>470000</v>
      </c>
    </row>
    <row r="499" spans="1:15" x14ac:dyDescent="0.25">
      <c r="A499" s="79">
        <v>43053</v>
      </c>
      <c r="B499" s="80" t="s">
        <v>5170</v>
      </c>
      <c r="C499" s="80" t="s">
        <v>4805</v>
      </c>
      <c r="D499" s="80" t="s">
        <v>31</v>
      </c>
      <c r="E499" s="81">
        <v>300000</v>
      </c>
      <c r="F499" s="80" t="s">
        <v>4806</v>
      </c>
      <c r="G499" s="81">
        <v>172.1</v>
      </c>
      <c r="H499" s="81">
        <v>172.1</v>
      </c>
      <c r="I499" s="80" t="s">
        <v>4800</v>
      </c>
      <c r="L499" s="3">
        <f>VLOOKUP(C499,Securities!A:D,4,FALSE)</f>
        <v>5</v>
      </c>
      <c r="M499" s="3" t="str">
        <f>VLOOKUP(C499,Securities!A:B,2,FALSE)</f>
        <v>TT343269 Corp</v>
      </c>
      <c r="O499" s="3">
        <f t="shared" si="7"/>
        <v>300000</v>
      </c>
    </row>
    <row r="500" spans="1:15" x14ac:dyDescent="0.25">
      <c r="A500" s="76">
        <v>43053</v>
      </c>
      <c r="B500" s="77" t="s">
        <v>5170</v>
      </c>
      <c r="C500" s="77" t="s">
        <v>4941</v>
      </c>
      <c r="D500" s="77" t="s">
        <v>4942</v>
      </c>
      <c r="E500" s="78">
        <v>100000</v>
      </c>
      <c r="F500" s="77" t="s">
        <v>4838</v>
      </c>
      <c r="G500" s="78">
        <v>100</v>
      </c>
      <c r="H500" s="78">
        <v>100</v>
      </c>
      <c r="I500" s="77" t="s">
        <v>4800</v>
      </c>
      <c r="L500" s="3">
        <f>VLOOKUP(C500,Securities!A:D,4,FALSE)</f>
        <v>5</v>
      </c>
      <c r="M500" s="3" t="str">
        <f>VLOOKUP(C500,Securities!A:B,2,FALSE)</f>
        <v>XS1605089066 Corp</v>
      </c>
      <c r="O500" s="3">
        <f t="shared" si="7"/>
        <v>100000</v>
      </c>
    </row>
    <row r="501" spans="1:15" x14ac:dyDescent="0.25">
      <c r="A501" s="79">
        <v>43053</v>
      </c>
      <c r="B501" s="80" t="s">
        <v>5170</v>
      </c>
      <c r="C501" s="80" t="s">
        <v>5173</v>
      </c>
      <c r="D501" s="80" t="s">
        <v>5174</v>
      </c>
      <c r="E501" s="81">
        <v>100000</v>
      </c>
      <c r="F501" s="80" t="s">
        <v>4838</v>
      </c>
      <c r="G501" s="81">
        <v>100</v>
      </c>
      <c r="H501" s="81">
        <v>100</v>
      </c>
      <c r="I501" s="80" t="s">
        <v>4800</v>
      </c>
      <c r="L501" s="3">
        <f>VLOOKUP(C501,Securities!A:D,4,FALSE)</f>
        <v>5</v>
      </c>
      <c r="M501" s="3" t="str">
        <f>VLOOKUP(C501,Securities!A:B,2,FALSE)</f>
        <v>XS1581926083 Corp</v>
      </c>
      <c r="O501" s="3">
        <f t="shared" si="7"/>
        <v>100000</v>
      </c>
    </row>
    <row r="502" spans="1:15" x14ac:dyDescent="0.25">
      <c r="A502" s="76">
        <v>43053</v>
      </c>
      <c r="B502" s="77" t="s">
        <v>5170</v>
      </c>
      <c r="C502" s="77" t="s">
        <v>5022</v>
      </c>
      <c r="D502" s="77" t="s">
        <v>5023</v>
      </c>
      <c r="E502" s="78">
        <v>152000</v>
      </c>
      <c r="F502" s="77" t="s">
        <v>4806</v>
      </c>
      <c r="G502" s="78">
        <v>135</v>
      </c>
      <c r="H502" s="78">
        <v>135</v>
      </c>
      <c r="I502" s="77" t="s">
        <v>4800</v>
      </c>
      <c r="L502" s="3">
        <f>VLOOKUP(C502,Securities!A:D,4,FALSE)</f>
        <v>5</v>
      </c>
      <c r="M502" s="3" t="str">
        <f>VLOOKUP(C502,Securities!A:B,2,FALSE)</f>
        <v>XS0191754729 Corp</v>
      </c>
      <c r="O502" s="3">
        <f t="shared" si="7"/>
        <v>152000</v>
      </c>
    </row>
    <row r="503" spans="1:15" x14ac:dyDescent="0.25">
      <c r="A503" s="79">
        <v>43053</v>
      </c>
      <c r="B503" s="80" t="s">
        <v>5170</v>
      </c>
      <c r="C503" s="80" t="s">
        <v>4996</v>
      </c>
      <c r="D503" s="80" t="s">
        <v>4997</v>
      </c>
      <c r="E503" s="81">
        <v>297000</v>
      </c>
      <c r="F503" s="80" t="s">
        <v>4806</v>
      </c>
      <c r="G503" s="81">
        <v>100.85</v>
      </c>
      <c r="H503" s="81">
        <v>100.85</v>
      </c>
      <c r="I503" s="80" t="s">
        <v>4800</v>
      </c>
      <c r="L503" s="3">
        <f>VLOOKUP(C503,Securities!A:D,4,FALSE)</f>
        <v>5</v>
      </c>
      <c r="M503" s="3" t="str">
        <f>VLOOKUP(C503,Securities!A:B,2,FALSE)</f>
        <v>XS1577961516 Corp</v>
      </c>
      <c r="O503" s="3">
        <f t="shared" si="7"/>
        <v>297000</v>
      </c>
    </row>
    <row r="504" spans="1:15" x14ac:dyDescent="0.25">
      <c r="A504" s="76">
        <v>43053</v>
      </c>
      <c r="B504" s="77" t="s">
        <v>5170</v>
      </c>
      <c r="C504" s="77" t="s">
        <v>4963</v>
      </c>
      <c r="D504" s="77" t="s">
        <v>4964</v>
      </c>
      <c r="E504" s="78">
        <v>480000</v>
      </c>
      <c r="F504" s="77" t="s">
        <v>4806</v>
      </c>
      <c r="G504" s="78">
        <v>97.833332999999996</v>
      </c>
      <c r="H504" s="78">
        <v>97.833332999999996</v>
      </c>
      <c r="I504" s="77" t="s">
        <v>4800</v>
      </c>
      <c r="L504" s="3">
        <f>VLOOKUP(C504,Securities!A:D,4,FALSE)</f>
        <v>5</v>
      </c>
      <c r="M504" s="3" t="str">
        <f>VLOOKUP(C504,Securities!A:B,2,FALSE)</f>
        <v>XS1439838548 Corp</v>
      </c>
      <c r="O504" s="3">
        <f t="shared" si="7"/>
        <v>480000</v>
      </c>
    </row>
    <row r="505" spans="1:15" x14ac:dyDescent="0.25">
      <c r="A505" s="79">
        <v>43053</v>
      </c>
      <c r="B505" s="80" t="s">
        <v>5170</v>
      </c>
      <c r="C505" s="80" t="s">
        <v>5175</v>
      </c>
      <c r="D505" s="80" t="s">
        <v>5176</v>
      </c>
      <c r="E505" s="81">
        <v>6900</v>
      </c>
      <c r="F505" s="80" t="s">
        <v>4908</v>
      </c>
      <c r="G505" s="81">
        <v>1957.388019</v>
      </c>
      <c r="H505" s="81">
        <v>33.822946000000002</v>
      </c>
      <c r="I505" s="80" t="s">
        <v>4800</v>
      </c>
      <c r="L505" s="3">
        <f>VLOOKUP(C505,Securities!A:D,4,FALSE)</f>
        <v>1</v>
      </c>
      <c r="M505" s="3" t="str">
        <f>VLOOKUP(C505,Securities!A:B,2,FALSE)</f>
        <v>HENPEA2 LX Equity</v>
      </c>
      <c r="O505" s="3">
        <f t="shared" si="7"/>
        <v>6900</v>
      </c>
    </row>
    <row r="506" spans="1:15" x14ac:dyDescent="0.25">
      <c r="A506" s="76">
        <v>43053</v>
      </c>
      <c r="B506" s="77" t="s">
        <v>5170</v>
      </c>
      <c r="C506" s="77" t="s">
        <v>4943</v>
      </c>
      <c r="D506" s="77" t="s">
        <v>4944</v>
      </c>
      <c r="E506" s="78">
        <v>947</v>
      </c>
      <c r="F506" s="77" t="s">
        <v>4898</v>
      </c>
      <c r="G506" s="78">
        <v>7382.95237</v>
      </c>
      <c r="H506" s="78">
        <v>115.552177</v>
      </c>
      <c r="I506" s="77" t="s">
        <v>4800</v>
      </c>
      <c r="L506" s="3">
        <f>VLOOKUP(C506,Securities!A:D,4,FALSE)</f>
        <v>1</v>
      </c>
      <c r="M506" s="3" t="str">
        <f>VLOOKUP(C506,Securities!A:B,2,FALSE)</f>
        <v>IHYG LN Equity</v>
      </c>
      <c r="O506" s="3">
        <f t="shared" si="7"/>
        <v>947</v>
      </c>
    </row>
    <row r="507" spans="1:15" x14ac:dyDescent="0.25">
      <c r="A507" s="79">
        <v>43053</v>
      </c>
      <c r="B507" s="80" t="s">
        <v>5170</v>
      </c>
      <c r="C507" s="80" t="s">
        <v>4861</v>
      </c>
      <c r="D507" s="80" t="s">
        <v>4862</v>
      </c>
      <c r="E507" s="81">
        <v>200000</v>
      </c>
      <c r="F507" s="80" t="s">
        <v>4806</v>
      </c>
      <c r="G507" s="81">
        <v>104.25</v>
      </c>
      <c r="H507" s="81">
        <v>104.25</v>
      </c>
      <c r="I507" s="80" t="s">
        <v>4800</v>
      </c>
      <c r="L507" s="3">
        <f>VLOOKUP(C507,Securities!A:D,4,FALSE)</f>
        <v>5</v>
      </c>
      <c r="M507" s="3" t="str">
        <f>VLOOKUP(C507,Securities!A:B,2,FALSE)</f>
        <v>USA29866AA70 Corp</v>
      </c>
      <c r="O507" s="3">
        <f t="shared" si="7"/>
        <v>200000</v>
      </c>
    </row>
    <row r="508" spans="1:15" x14ac:dyDescent="0.25">
      <c r="A508" s="76">
        <v>43053</v>
      </c>
      <c r="B508" s="77" t="s">
        <v>5170</v>
      </c>
      <c r="C508" s="77" t="s">
        <v>4863</v>
      </c>
      <c r="D508" s="77" t="s">
        <v>4864</v>
      </c>
      <c r="E508" s="78">
        <v>200000</v>
      </c>
      <c r="F508" s="77" t="s">
        <v>4806</v>
      </c>
      <c r="G508" s="78">
        <v>104.1</v>
      </c>
      <c r="H508" s="78">
        <v>104.1</v>
      </c>
      <c r="I508" s="77" t="s">
        <v>4800</v>
      </c>
      <c r="L508" s="3">
        <f>VLOOKUP(C508,Securities!A:D,4,FALSE)</f>
        <v>5</v>
      </c>
      <c r="M508" s="3" t="str">
        <f>VLOOKUP(C508,Securities!A:B,2,FALSE)</f>
        <v>USN54468AF52 Corp</v>
      </c>
      <c r="O508" s="3">
        <f t="shared" si="7"/>
        <v>200000</v>
      </c>
    </row>
    <row r="509" spans="1:15" x14ac:dyDescent="0.25">
      <c r="A509" s="79">
        <v>43053</v>
      </c>
      <c r="B509" s="80" t="s">
        <v>5170</v>
      </c>
      <c r="C509" s="80" t="s">
        <v>5069</v>
      </c>
      <c r="D509" s="80" t="s">
        <v>5070</v>
      </c>
      <c r="E509" s="81">
        <v>50000</v>
      </c>
      <c r="F509" s="80" t="s">
        <v>4806</v>
      </c>
      <c r="G509" s="81">
        <v>98.25</v>
      </c>
      <c r="H509" s="81">
        <v>98.25</v>
      </c>
      <c r="I509" s="80" t="s">
        <v>4800</v>
      </c>
      <c r="L509" s="3">
        <f>VLOOKUP(C509,Securities!A:D,4,FALSE)</f>
        <v>5</v>
      </c>
      <c r="M509" s="3" t="str">
        <f>VLOOKUP(C509,Securities!A:B,2,FALSE)</f>
        <v>US65504LAM90 Corp</v>
      </c>
      <c r="O509" s="3">
        <f t="shared" si="7"/>
        <v>50000</v>
      </c>
    </row>
    <row r="510" spans="1:15" x14ac:dyDescent="0.25">
      <c r="A510" s="76">
        <v>43053</v>
      </c>
      <c r="B510" s="77" t="s">
        <v>5170</v>
      </c>
      <c r="C510" s="77" t="s">
        <v>4819</v>
      </c>
      <c r="D510" s="77" t="s">
        <v>4820</v>
      </c>
      <c r="E510" s="78">
        <v>200000</v>
      </c>
      <c r="F510" s="77" t="s">
        <v>4806</v>
      </c>
      <c r="G510" s="78">
        <v>107</v>
      </c>
      <c r="H510" s="78">
        <v>107</v>
      </c>
      <c r="I510" s="77" t="s">
        <v>4800</v>
      </c>
      <c r="L510" s="3">
        <f>VLOOKUP(C510,Securities!A:D,4,FALSE)</f>
        <v>5</v>
      </c>
      <c r="M510" s="3" t="str">
        <f>VLOOKUP(C510,Securities!A:B,2,FALSE)</f>
        <v>XS0776121062 Corp</v>
      </c>
      <c r="O510" s="3">
        <f t="shared" si="7"/>
        <v>200000</v>
      </c>
    </row>
    <row r="511" spans="1:15" x14ac:dyDescent="0.25">
      <c r="A511" s="79">
        <v>43053</v>
      </c>
      <c r="B511" s="80" t="s">
        <v>5170</v>
      </c>
      <c r="C511" s="80" t="s">
        <v>5177</v>
      </c>
      <c r="D511" s="80" t="s">
        <v>5178</v>
      </c>
      <c r="E511" s="81">
        <v>86103</v>
      </c>
      <c r="F511" s="80" t="s">
        <v>4949</v>
      </c>
      <c r="G511" s="81">
        <v>76.060682999999997</v>
      </c>
      <c r="H511" s="81">
        <v>1.1623000000000001</v>
      </c>
      <c r="I511" s="80" t="s">
        <v>4800</v>
      </c>
      <c r="L511" s="3">
        <f>VLOOKUP(C511,Securities!A:D,4,FALSE)</f>
        <v>1</v>
      </c>
      <c r="M511" s="3" t="str">
        <f>VLOOKUP(C511,Securities!A:B,2,FALSE)</f>
        <v>OMEAUSA ID Equity</v>
      </c>
      <c r="O511" s="3">
        <f t="shared" si="7"/>
        <v>86103</v>
      </c>
    </row>
    <row r="512" spans="1:15" x14ac:dyDescent="0.25">
      <c r="A512" s="76">
        <v>43053</v>
      </c>
      <c r="B512" s="77" t="s">
        <v>5170</v>
      </c>
      <c r="C512" s="77" t="s">
        <v>4967</v>
      </c>
      <c r="D512" s="77" t="s">
        <v>4968</v>
      </c>
      <c r="E512" s="78">
        <v>200000</v>
      </c>
      <c r="F512" s="77" t="s">
        <v>4806</v>
      </c>
      <c r="G512" s="78">
        <v>114.5</v>
      </c>
      <c r="H512" s="78">
        <v>114.5</v>
      </c>
      <c r="I512" s="77" t="s">
        <v>4800</v>
      </c>
      <c r="L512" s="3">
        <f>VLOOKUP(C512,Securities!A:D,4,FALSE)</f>
        <v>5</v>
      </c>
      <c r="M512" s="3" t="str">
        <f>VLOOKUP(C512,Securities!A:B,2,FALSE)</f>
        <v>XS0979891925 Corp</v>
      </c>
      <c r="O512" s="3">
        <f t="shared" si="7"/>
        <v>200000</v>
      </c>
    </row>
    <row r="513" spans="1:15" x14ac:dyDescent="0.25">
      <c r="A513" s="79">
        <v>43053</v>
      </c>
      <c r="B513" s="80" t="s">
        <v>5170</v>
      </c>
      <c r="C513" s="80" t="s">
        <v>4927</v>
      </c>
      <c r="D513" s="80" t="s">
        <v>4928</v>
      </c>
      <c r="E513" s="81">
        <v>7550</v>
      </c>
      <c r="F513" s="80" t="s">
        <v>4898</v>
      </c>
      <c r="G513" s="81">
        <v>898.95874000000003</v>
      </c>
      <c r="H513" s="81">
        <v>15.516007999999999</v>
      </c>
      <c r="I513" s="80" t="s">
        <v>4800</v>
      </c>
      <c r="L513" s="3">
        <f>VLOOKUP(C513,Securities!A:D,4,FALSE)</f>
        <v>1</v>
      </c>
      <c r="M513" s="3" t="str">
        <f>VLOOKUP(C513,Securities!A:B,2,FALSE)</f>
        <v>SX7EEX GY Equity</v>
      </c>
      <c r="O513" s="3">
        <f t="shared" si="7"/>
        <v>7550</v>
      </c>
    </row>
    <row r="514" spans="1:15" x14ac:dyDescent="0.25">
      <c r="A514" s="76">
        <v>43053</v>
      </c>
      <c r="B514" s="77" t="s">
        <v>5170</v>
      </c>
      <c r="C514" s="77" t="s">
        <v>5277</v>
      </c>
      <c r="D514" s="77" t="s">
        <v>5278</v>
      </c>
      <c r="E514" s="78">
        <v>5823</v>
      </c>
      <c r="F514" s="77" t="s">
        <v>4908</v>
      </c>
      <c r="G514" s="78">
        <v>652.75786000000005</v>
      </c>
      <c r="H514" s="78">
        <v>11.029612999999999</v>
      </c>
      <c r="I514" s="77" t="s">
        <v>4823</v>
      </c>
      <c r="L514" s="3">
        <f>VLOOKUP(C514,Securities!A:D,4,FALSE)</f>
        <v>1</v>
      </c>
      <c r="M514" s="3" t="str">
        <f>VLOOKUP(C514,Securities!A:B,2,FALSE)</f>
        <v>TDNESG1 LN Equity</v>
      </c>
      <c r="O514" s="3">
        <f t="shared" ref="O514:O516" si="8">SUMIFS(E:E,C:C,C514,B:B,B514)</f>
        <v>5823</v>
      </c>
    </row>
    <row r="515" spans="1:15" x14ac:dyDescent="0.25">
      <c r="A515" s="79">
        <v>43053</v>
      </c>
      <c r="B515" s="80" t="s">
        <v>5170</v>
      </c>
      <c r="C515" s="80" t="s">
        <v>4952</v>
      </c>
      <c r="D515" s="80" t="s">
        <v>4953</v>
      </c>
      <c r="E515" s="81">
        <v>200000</v>
      </c>
      <c r="F515" s="80" t="s">
        <v>4806</v>
      </c>
      <c r="G515" s="81">
        <v>106.4</v>
      </c>
      <c r="H515" s="81">
        <v>106.4</v>
      </c>
      <c r="I515" s="80" t="s">
        <v>4800</v>
      </c>
      <c r="L515" s="3">
        <f>VLOOKUP(C515,Securities!A:D,4,FALSE)</f>
        <v>5</v>
      </c>
      <c r="M515" s="3" t="str">
        <f>VLOOKUP(C515,Securities!A:B,2,FALSE)</f>
        <v>USG9328DAJ93 Corp</v>
      </c>
      <c r="O515" s="3">
        <f t="shared" si="8"/>
        <v>200000</v>
      </c>
    </row>
    <row r="516" spans="1:15" x14ac:dyDescent="0.25">
      <c r="A516" s="76">
        <v>43053</v>
      </c>
      <c r="B516" s="77" t="s">
        <v>5179</v>
      </c>
      <c r="C516" s="77" t="s">
        <v>5180</v>
      </c>
      <c r="D516" s="77" t="s">
        <v>5181</v>
      </c>
      <c r="E516" s="78">
        <v>300000</v>
      </c>
      <c r="F516" s="77" t="s">
        <v>4806</v>
      </c>
      <c r="G516" s="78">
        <v>103.625</v>
      </c>
      <c r="H516" s="78">
        <v>103.625</v>
      </c>
      <c r="I516" s="77" t="s">
        <v>4800</v>
      </c>
      <c r="L516" s="3">
        <f>VLOOKUP(C516,Securities!A:D,4,FALSE)</f>
        <v>5</v>
      </c>
      <c r="M516" s="3" t="str">
        <f>VLOOKUP(C516,Securities!A:B,2,FALSE)</f>
        <v>XS0583616239 Corp</v>
      </c>
      <c r="O516" s="3">
        <f t="shared" si="8"/>
        <v>300000</v>
      </c>
    </row>
    <row r="517" spans="1:15" x14ac:dyDescent="0.25">
      <c r="A517" s="79">
        <v>43053</v>
      </c>
      <c r="B517" s="80" t="s">
        <v>5179</v>
      </c>
      <c r="C517" s="80" t="s">
        <v>5182</v>
      </c>
      <c r="D517" s="80" t="s">
        <v>5183</v>
      </c>
      <c r="E517" s="81">
        <v>109000</v>
      </c>
      <c r="F517" s="80" t="s">
        <v>4838</v>
      </c>
      <c r="G517" s="81">
        <v>100</v>
      </c>
      <c r="H517" s="81">
        <v>100</v>
      </c>
      <c r="I517" s="80" t="s">
        <v>4800</v>
      </c>
      <c r="L517" s="3">
        <f>VLOOKUP(C517,Securities!A:D,4,FALSE)</f>
        <v>5</v>
      </c>
      <c r="M517" s="3" t="str">
        <f>VLOOKUP(C517,Securities!A:B,2,FALSE)</f>
        <v>XS1468264822 Corp</v>
      </c>
      <c r="O517" s="2">
        <f>SUMIFS(E:E,C:C,C517,B:B,B517)</f>
        <v>109000</v>
      </c>
    </row>
    <row r="518" spans="1:15" x14ac:dyDescent="0.25">
      <c r="A518" s="76">
        <v>43053</v>
      </c>
      <c r="B518" s="77" t="s">
        <v>5179</v>
      </c>
      <c r="C518" s="77" t="s">
        <v>4906</v>
      </c>
      <c r="D518" s="77" t="s">
        <v>4907</v>
      </c>
      <c r="E518" s="78">
        <v>10900</v>
      </c>
      <c r="F518" s="77" t="s">
        <v>4908</v>
      </c>
      <c r="G518" s="78">
        <v>869.49706200000003</v>
      </c>
      <c r="H518" s="78">
        <v>13.39</v>
      </c>
      <c r="I518" s="77" t="s">
        <v>4800</v>
      </c>
      <c r="L518" s="3">
        <f>VLOOKUP(C518,Securities!A:D,4,FALSE)</f>
        <v>1</v>
      </c>
      <c r="M518" s="3" t="str">
        <f>VLOOKUP(C518,Securities!A:B,2,FALSE)</f>
        <v>HHPA2AH LX Equity</v>
      </c>
      <c r="O518" s="3">
        <f t="shared" ref="O518:O581" si="9">SUMIFS(E:E,C:C,C518,B:B,B518)</f>
        <v>10900</v>
      </c>
    </row>
    <row r="519" spans="1:15" x14ac:dyDescent="0.25">
      <c r="A519" s="79">
        <v>43053</v>
      </c>
      <c r="B519" s="80" t="s">
        <v>5179</v>
      </c>
      <c r="C519" s="80" t="s">
        <v>4863</v>
      </c>
      <c r="D519" s="80" t="s">
        <v>4864</v>
      </c>
      <c r="E519" s="81">
        <v>275000</v>
      </c>
      <c r="F519" s="80" t="s">
        <v>4806</v>
      </c>
      <c r="G519" s="81">
        <v>106.25</v>
      </c>
      <c r="H519" s="81">
        <v>106.25</v>
      </c>
      <c r="I519" s="80" t="s">
        <v>4800</v>
      </c>
      <c r="L519" s="3">
        <f>VLOOKUP(C519,Securities!A:D,4,FALSE)</f>
        <v>5</v>
      </c>
      <c r="M519" s="3" t="str">
        <f>VLOOKUP(C519,Securities!A:B,2,FALSE)</f>
        <v>USN54468AF52 Corp</v>
      </c>
      <c r="O519" s="3">
        <f t="shared" si="9"/>
        <v>275000</v>
      </c>
    </row>
    <row r="520" spans="1:15" x14ac:dyDescent="0.25">
      <c r="A520" s="76">
        <v>43053</v>
      </c>
      <c r="B520" s="77" t="s">
        <v>5179</v>
      </c>
      <c r="C520" s="77" t="s">
        <v>4982</v>
      </c>
      <c r="D520" s="77" t="s">
        <v>4983</v>
      </c>
      <c r="E520" s="78">
        <v>890</v>
      </c>
      <c r="F520" s="77" t="s">
        <v>4814</v>
      </c>
      <c r="G520" s="78">
        <v>101.3</v>
      </c>
      <c r="H520" s="78">
        <v>101.3</v>
      </c>
      <c r="I520" s="77" t="s">
        <v>4800</v>
      </c>
      <c r="L520" s="3">
        <f>VLOOKUP(C520,Securities!A:D,4,FALSE)</f>
        <v>5</v>
      </c>
      <c r="M520" s="3" t="str">
        <f>VLOOKUP(C520,Securities!A:B,2,FALSE)</f>
        <v>RU000A0JXVY3 Corp</v>
      </c>
      <c r="O520" s="3">
        <f t="shared" si="9"/>
        <v>890</v>
      </c>
    </row>
    <row r="521" spans="1:15" x14ac:dyDescent="0.25">
      <c r="A521" s="79">
        <v>43053</v>
      </c>
      <c r="B521" s="80" t="s">
        <v>5179</v>
      </c>
      <c r="C521" s="80" t="s">
        <v>5184</v>
      </c>
      <c r="D521" s="80" t="s">
        <v>5185</v>
      </c>
      <c r="E521" s="81">
        <v>118000</v>
      </c>
      <c r="F521" s="80" t="s">
        <v>4806</v>
      </c>
      <c r="G521" s="81">
        <v>104.7</v>
      </c>
      <c r="H521" s="81">
        <v>104.7</v>
      </c>
      <c r="I521" s="80" t="s">
        <v>4800</v>
      </c>
      <c r="L521" s="3">
        <f>VLOOKUP(C521,Securities!A:D,4,FALSE)</f>
        <v>5</v>
      </c>
      <c r="M521" s="3" t="str">
        <f>VLOOKUP(C521,Securities!A:B,2,FALSE)</f>
        <v>US71647NAR08 Corp</v>
      </c>
      <c r="O521" s="3">
        <f t="shared" si="9"/>
        <v>118000</v>
      </c>
    </row>
    <row r="522" spans="1:15" x14ac:dyDescent="0.25">
      <c r="A522" s="76">
        <v>43053</v>
      </c>
      <c r="B522" s="77" t="s">
        <v>5179</v>
      </c>
      <c r="C522" s="77" t="s">
        <v>5128</v>
      </c>
      <c r="D522" s="77" t="s">
        <v>4683</v>
      </c>
      <c r="E522" s="78">
        <v>5250</v>
      </c>
      <c r="F522" s="77" t="s">
        <v>4814</v>
      </c>
      <c r="G522" s="78">
        <v>101</v>
      </c>
      <c r="H522" s="78">
        <v>101</v>
      </c>
      <c r="I522" s="77" t="s">
        <v>4800</v>
      </c>
      <c r="L522" s="3">
        <f>VLOOKUP(C522,Securities!A:D,4,FALSE)</f>
        <v>5</v>
      </c>
      <c r="M522" s="3" t="str">
        <f>VLOOKUP(C522,Securities!A:B,2,FALSE)</f>
        <v>RU000A0JXQ93 Corp</v>
      </c>
      <c r="O522" s="3">
        <f t="shared" si="9"/>
        <v>5250</v>
      </c>
    </row>
    <row r="523" spans="1:15" x14ac:dyDescent="0.25">
      <c r="A523" s="79">
        <v>43053</v>
      </c>
      <c r="B523" s="80" t="s">
        <v>5179</v>
      </c>
      <c r="C523" s="80" t="s">
        <v>5186</v>
      </c>
      <c r="D523" s="80" t="s">
        <v>5187</v>
      </c>
      <c r="E523" s="81">
        <v>9922</v>
      </c>
      <c r="F523" s="80" t="s">
        <v>4799</v>
      </c>
      <c r="G523" s="81">
        <v>1603.7593910000001</v>
      </c>
      <c r="H523" s="81">
        <v>26.948096</v>
      </c>
      <c r="I523" s="80" t="s">
        <v>4800</v>
      </c>
      <c r="L523" s="3">
        <f>VLOOKUP(C523,Securities!A:D,4,FALSE)</f>
        <v>1</v>
      </c>
      <c r="M523" s="3" t="str">
        <f>VLOOKUP(C523,Securities!A:B,2,FALSE)</f>
        <v>RDSA NA Equity</v>
      </c>
      <c r="O523" s="3">
        <f t="shared" si="9"/>
        <v>9922</v>
      </c>
    </row>
    <row r="524" spans="1:15" x14ac:dyDescent="0.25">
      <c r="A524" s="76">
        <v>43053</v>
      </c>
      <c r="B524" s="77" t="s">
        <v>5179</v>
      </c>
      <c r="C524" s="77" t="s">
        <v>4932</v>
      </c>
      <c r="D524" s="77" t="s">
        <v>4933</v>
      </c>
      <c r="E524" s="78">
        <v>20845</v>
      </c>
      <c r="F524" s="77" t="s">
        <v>4814</v>
      </c>
      <c r="G524" s="78">
        <v>100</v>
      </c>
      <c r="H524" s="78">
        <v>100</v>
      </c>
      <c r="I524" s="77" t="s">
        <v>4800</v>
      </c>
      <c r="L524" s="3">
        <f>VLOOKUP(C524,Securities!A:D,4,FALSE)</f>
        <v>5</v>
      </c>
      <c r="M524" s="3" t="str">
        <f>VLOOKUP(C524,Securities!A:B,2,FALSE)</f>
        <v>RU000A0ZYBS1 Corp</v>
      </c>
      <c r="O524" s="3">
        <f t="shared" si="9"/>
        <v>20845</v>
      </c>
    </row>
    <row r="525" spans="1:15" x14ac:dyDescent="0.25">
      <c r="A525" s="79">
        <v>43053</v>
      </c>
      <c r="B525" s="80" t="s">
        <v>5179</v>
      </c>
      <c r="C525" s="80" t="s">
        <v>4916</v>
      </c>
      <c r="D525" s="80" t="s">
        <v>712</v>
      </c>
      <c r="E525" s="81">
        <v>213100</v>
      </c>
      <c r="F525" s="80" t="s">
        <v>4810</v>
      </c>
      <c r="G525" s="81">
        <v>33.805399999999999</v>
      </c>
      <c r="H525" s="81">
        <v>0.51422199999999996</v>
      </c>
      <c r="I525" s="80" t="s">
        <v>4800</v>
      </c>
      <c r="L525" s="3">
        <f>VLOOKUP(C525,Securities!A:D,4,FALSE)</f>
        <v>1</v>
      </c>
      <c r="M525" s="3" t="str">
        <f>VLOOKUP(C525,Securities!A:B,2,FALSE)</f>
        <v>SNGSP RX Equity</v>
      </c>
      <c r="O525" s="3">
        <f t="shared" si="9"/>
        <v>213100</v>
      </c>
    </row>
    <row r="526" spans="1:15" x14ac:dyDescent="0.25">
      <c r="A526" s="76">
        <v>43053</v>
      </c>
      <c r="B526" s="77" t="s">
        <v>5179</v>
      </c>
      <c r="C526" s="77" t="s">
        <v>4986</v>
      </c>
      <c r="D526" s="77" t="s">
        <v>4987</v>
      </c>
      <c r="E526" s="78">
        <v>200000</v>
      </c>
      <c r="F526" s="77" t="s">
        <v>4806</v>
      </c>
      <c r="G526" s="78">
        <v>102</v>
      </c>
      <c r="H526" s="78">
        <v>102</v>
      </c>
      <c r="I526" s="77" t="s">
        <v>4800</v>
      </c>
      <c r="L526" s="3">
        <f>VLOOKUP(C526,Securities!A:D,4,FALSE)</f>
        <v>5</v>
      </c>
      <c r="M526" s="3" t="str">
        <f>VLOOKUP(C526,Securities!A:B,2,FALSE)</f>
        <v>USG9328DAM23 Corp</v>
      </c>
      <c r="O526" s="3">
        <f t="shared" si="9"/>
        <v>200000</v>
      </c>
    </row>
    <row r="527" spans="1:15" x14ac:dyDescent="0.25">
      <c r="A527" s="79">
        <v>43053</v>
      </c>
      <c r="B527" s="80" t="s">
        <v>5188</v>
      </c>
      <c r="C527" s="80" t="s">
        <v>4939</v>
      </c>
      <c r="D527" s="80" t="s">
        <v>4940</v>
      </c>
      <c r="E527" s="81">
        <v>100000</v>
      </c>
      <c r="F527" s="80" t="s">
        <v>4838</v>
      </c>
      <c r="G527" s="81">
        <v>100</v>
      </c>
      <c r="H527" s="81">
        <v>100</v>
      </c>
      <c r="I527" s="80" t="s">
        <v>4800</v>
      </c>
      <c r="L527" s="3">
        <f>VLOOKUP(C527,Securities!A:D,4,FALSE)</f>
        <v>5</v>
      </c>
      <c r="M527" s="3" t="str">
        <f>VLOOKUP(C527,Securities!A:B,2,FALSE)</f>
        <v>CH0384861404 Corp</v>
      </c>
      <c r="O527" s="3">
        <f t="shared" si="9"/>
        <v>100000</v>
      </c>
    </row>
    <row r="528" spans="1:15" x14ac:dyDescent="0.25">
      <c r="A528" s="76">
        <v>43053</v>
      </c>
      <c r="B528" s="77" t="s">
        <v>5188</v>
      </c>
      <c r="C528" s="77" t="s">
        <v>4805</v>
      </c>
      <c r="D528" s="77" t="s">
        <v>31</v>
      </c>
      <c r="E528" s="78">
        <v>100000</v>
      </c>
      <c r="F528" s="77" t="s">
        <v>4806</v>
      </c>
      <c r="G528" s="78">
        <v>175.01</v>
      </c>
      <c r="H528" s="78">
        <v>175.01</v>
      </c>
      <c r="I528" s="77" t="s">
        <v>4800</v>
      </c>
      <c r="L528" s="3">
        <f>VLOOKUP(C528,Securities!A:D,4,FALSE)</f>
        <v>5</v>
      </c>
      <c r="M528" s="3" t="str">
        <f>VLOOKUP(C528,Securities!A:B,2,FALSE)</f>
        <v>TT343269 Corp</v>
      </c>
      <c r="O528" s="3">
        <f t="shared" si="9"/>
        <v>100000</v>
      </c>
    </row>
    <row r="529" spans="1:15" x14ac:dyDescent="0.25">
      <c r="A529" s="79">
        <v>43053</v>
      </c>
      <c r="B529" s="80" t="s">
        <v>5188</v>
      </c>
      <c r="C529" s="80" t="s">
        <v>5189</v>
      </c>
      <c r="D529" s="80" t="s">
        <v>4741</v>
      </c>
      <c r="E529" s="81">
        <v>200000</v>
      </c>
      <c r="F529" s="80" t="s">
        <v>4806</v>
      </c>
      <c r="G529" s="81">
        <v>110.61</v>
      </c>
      <c r="H529" s="81">
        <v>110.61</v>
      </c>
      <c r="I529" s="80" t="s">
        <v>4800</v>
      </c>
      <c r="L529" s="3">
        <f>VLOOKUP(C529,Securities!A:D,4,FALSE)</f>
        <v>5</v>
      </c>
      <c r="M529" s="3" t="str">
        <f>VLOOKUP(C529,Securities!A:B,2,FALSE)</f>
        <v>XS0290580595 Corp</v>
      </c>
      <c r="O529" s="3">
        <f t="shared" si="9"/>
        <v>200000</v>
      </c>
    </row>
    <row r="530" spans="1:15" x14ac:dyDescent="0.25">
      <c r="A530" s="76">
        <v>43053</v>
      </c>
      <c r="B530" s="77" t="s">
        <v>5188</v>
      </c>
      <c r="C530" s="77" t="s">
        <v>4851</v>
      </c>
      <c r="D530" s="77" t="s">
        <v>4744</v>
      </c>
      <c r="E530" s="78">
        <v>200000</v>
      </c>
      <c r="F530" s="77" t="s">
        <v>4806</v>
      </c>
      <c r="G530" s="78">
        <v>101.375</v>
      </c>
      <c r="H530" s="78">
        <v>101.375</v>
      </c>
      <c r="I530" s="77" t="s">
        <v>4800</v>
      </c>
      <c r="L530" s="3">
        <f>VLOOKUP(C530,Securities!A:D,4,FALSE)</f>
        <v>5</v>
      </c>
      <c r="M530" s="3" t="str">
        <f>VLOOKUP(C530,Securities!A:B,2,FALSE)</f>
        <v>XS1032750165 Corp</v>
      </c>
      <c r="O530" s="3">
        <f t="shared" si="9"/>
        <v>200000</v>
      </c>
    </row>
    <row r="531" spans="1:15" x14ac:dyDescent="0.25">
      <c r="A531" s="79">
        <v>43053</v>
      </c>
      <c r="B531" s="80" t="s">
        <v>5190</v>
      </c>
      <c r="C531" s="80" t="s">
        <v>4809</v>
      </c>
      <c r="D531" s="80" t="s">
        <v>30</v>
      </c>
      <c r="E531" s="81">
        <v>21900</v>
      </c>
      <c r="F531" s="80" t="s">
        <v>4810</v>
      </c>
      <c r="G531" s="81">
        <v>118.57944000000001</v>
      </c>
      <c r="H531" s="81">
        <v>2.095494</v>
      </c>
      <c r="I531" s="80" t="s">
        <v>4800</v>
      </c>
      <c r="L531" s="3">
        <f>VLOOKUP(C531,Securities!A:D,4,FALSE)</f>
        <v>1</v>
      </c>
      <c r="M531" s="3" t="str">
        <f>VLOOKUP(C531,Securities!A:B,2,FALSE)</f>
        <v>GAZP RX Equity</v>
      </c>
      <c r="O531" s="3">
        <f t="shared" si="9"/>
        <v>21900</v>
      </c>
    </row>
    <row r="532" spans="1:15" x14ac:dyDescent="0.25">
      <c r="A532" s="76">
        <v>43053</v>
      </c>
      <c r="B532" s="77" t="s">
        <v>5190</v>
      </c>
      <c r="C532" s="77" t="s">
        <v>4811</v>
      </c>
      <c r="D532" s="77" t="s">
        <v>4659</v>
      </c>
      <c r="E532" s="78">
        <v>24600</v>
      </c>
      <c r="F532" s="77" t="s">
        <v>4799</v>
      </c>
      <c r="G532" s="78">
        <v>105.61499999999999</v>
      </c>
      <c r="H532" s="78">
        <v>1.783148</v>
      </c>
      <c r="I532" s="77" t="s">
        <v>4800</v>
      </c>
      <c r="L532" s="3">
        <f>VLOOKUP(C532,Securities!A:D,4,FALSE)</f>
        <v>1</v>
      </c>
      <c r="M532" s="3" t="str">
        <f>VLOOKUP(C532,Securities!A:B,2,FALSE)</f>
        <v>HGM LN Equity</v>
      </c>
      <c r="O532" s="3">
        <f t="shared" si="9"/>
        <v>24600</v>
      </c>
    </row>
    <row r="533" spans="1:15" x14ac:dyDescent="0.25">
      <c r="A533" s="79">
        <v>43053</v>
      </c>
      <c r="B533" s="80" t="s">
        <v>5190</v>
      </c>
      <c r="C533" s="80" t="s">
        <v>4812</v>
      </c>
      <c r="D533" s="80" t="s">
        <v>4675</v>
      </c>
      <c r="E533" s="81">
        <v>2500</v>
      </c>
      <c r="F533" s="80" t="s">
        <v>4804</v>
      </c>
      <c r="G533" s="81">
        <v>583.51405599999998</v>
      </c>
      <c r="H533" s="81">
        <v>10.142143000000001</v>
      </c>
      <c r="I533" s="80" t="s">
        <v>4800</v>
      </c>
      <c r="L533" s="3">
        <f>VLOOKUP(C533,Securities!A:D,4,FALSE)</f>
        <v>1</v>
      </c>
      <c r="M533" s="3" t="str">
        <f>VLOOKUP(C533,Securities!A:B,2,FALSE)</f>
        <v>KMG LI Equity</v>
      </c>
      <c r="O533" s="3">
        <f t="shared" si="9"/>
        <v>2500</v>
      </c>
    </row>
    <row r="534" spans="1:15" x14ac:dyDescent="0.25">
      <c r="A534" s="76">
        <v>43053</v>
      </c>
      <c r="B534" s="77" t="s">
        <v>5190</v>
      </c>
      <c r="C534" s="77" t="s">
        <v>5147</v>
      </c>
      <c r="D534" s="77" t="s">
        <v>5148</v>
      </c>
      <c r="E534" s="78">
        <v>473</v>
      </c>
      <c r="F534" s="77" t="s">
        <v>4825</v>
      </c>
      <c r="G534" s="78">
        <v>3049.3689639999998</v>
      </c>
      <c r="H534" s="78">
        <v>53.001531999999997</v>
      </c>
      <c r="I534" s="77" t="s">
        <v>4800</v>
      </c>
      <c r="L534" s="3">
        <f>VLOOKUP(C534,Securities!A:D,4,FALSE)</f>
        <v>1</v>
      </c>
      <c r="M534" s="3" t="str">
        <f>VLOOKUP(C534,Securities!A:B,2,FALSE)</f>
        <v>LKOD LI Equity</v>
      </c>
      <c r="O534" s="3">
        <f t="shared" si="9"/>
        <v>473</v>
      </c>
    </row>
    <row r="535" spans="1:15" x14ac:dyDescent="0.25">
      <c r="A535" s="79">
        <v>43053</v>
      </c>
      <c r="B535" s="80" t="s">
        <v>5190</v>
      </c>
      <c r="C535" s="80" t="s">
        <v>4815</v>
      </c>
      <c r="D535" s="80" t="s">
        <v>4676</v>
      </c>
      <c r="E535" s="81">
        <v>1000</v>
      </c>
      <c r="F535" s="80" t="s">
        <v>4799</v>
      </c>
      <c r="G535" s="81">
        <v>2568.5538499999998</v>
      </c>
      <c r="H535" s="81">
        <v>42.859375999999997</v>
      </c>
      <c r="I535" s="80" t="s">
        <v>4800</v>
      </c>
      <c r="L535" s="3">
        <f>VLOOKUP(C535,Securities!A:D,4,FALSE)</f>
        <v>1</v>
      </c>
      <c r="M535" s="3" t="str">
        <f>VLOOKUP(C535,Securities!A:B,2,FALSE)</f>
        <v>LXFT US Equity</v>
      </c>
      <c r="O535" s="3">
        <f t="shared" si="9"/>
        <v>1000</v>
      </c>
    </row>
    <row r="536" spans="1:15" x14ac:dyDescent="0.25">
      <c r="A536" s="76">
        <v>43053</v>
      </c>
      <c r="B536" s="77" t="s">
        <v>5190</v>
      </c>
      <c r="C536" s="77" t="s">
        <v>4816</v>
      </c>
      <c r="D536" s="77" t="s">
        <v>4817</v>
      </c>
      <c r="E536" s="78">
        <v>2300</v>
      </c>
      <c r="F536" s="77" t="s">
        <v>4799</v>
      </c>
      <c r="G536" s="78">
        <v>1251.370373</v>
      </c>
      <c r="H536" s="78">
        <v>21.162607000000001</v>
      </c>
      <c r="I536" s="77" t="s">
        <v>4800</v>
      </c>
      <c r="L536" s="3">
        <f>VLOOKUP(C536,Securities!A:D,4,FALSE)</f>
        <v>1</v>
      </c>
      <c r="M536" s="3" t="str">
        <f>VLOOKUP(C536,Securities!A:B,2,FALSE)</f>
        <v>M US Equity</v>
      </c>
      <c r="O536" s="3">
        <f t="shared" si="9"/>
        <v>2300</v>
      </c>
    </row>
    <row r="537" spans="1:15" x14ac:dyDescent="0.25">
      <c r="A537" s="79">
        <v>43053</v>
      </c>
      <c r="B537" s="80" t="s">
        <v>5190</v>
      </c>
      <c r="C537" s="80" t="s">
        <v>4848</v>
      </c>
      <c r="D537" s="80" t="s">
        <v>511</v>
      </c>
      <c r="E537" s="81">
        <v>4200</v>
      </c>
      <c r="F537" s="80" t="s">
        <v>4810</v>
      </c>
      <c r="G537" s="81">
        <v>618.48809500000004</v>
      </c>
      <c r="H537" s="81">
        <v>10.929707000000001</v>
      </c>
      <c r="I537" s="80" t="s">
        <v>4800</v>
      </c>
      <c r="L537" s="3">
        <f>VLOOKUP(C537,Securities!A:D,4,FALSE)</f>
        <v>1</v>
      </c>
      <c r="M537" s="3" t="str">
        <f>VLOOKUP(C537,Securities!A:B,2,FALSE)</f>
        <v>NVTK RX Equity</v>
      </c>
      <c r="O537" s="3">
        <f t="shared" si="9"/>
        <v>4200</v>
      </c>
    </row>
    <row r="538" spans="1:15" x14ac:dyDescent="0.25">
      <c r="A538" s="76">
        <v>43053</v>
      </c>
      <c r="B538" s="77" t="s">
        <v>5190</v>
      </c>
      <c r="C538" s="77" t="s">
        <v>4821</v>
      </c>
      <c r="D538" s="77" t="s">
        <v>42</v>
      </c>
      <c r="E538" s="78">
        <v>3800</v>
      </c>
      <c r="F538" s="77" t="s">
        <v>4799</v>
      </c>
      <c r="G538" s="78">
        <v>683.29109200000005</v>
      </c>
      <c r="H538" s="78">
        <v>11.468714</v>
      </c>
      <c r="I538" s="77" t="s">
        <v>4800</v>
      </c>
      <c r="L538" s="3">
        <f>VLOOKUP(C538,Securities!A:D,4,FALSE)</f>
        <v>1</v>
      </c>
      <c r="M538" s="3" t="str">
        <f>VLOOKUP(C538,Securities!A:B,2,FALSE)</f>
        <v>POLY LN Equity</v>
      </c>
      <c r="O538" s="3">
        <f t="shared" si="9"/>
        <v>3800</v>
      </c>
    </row>
    <row r="539" spans="1:15" x14ac:dyDescent="0.25">
      <c r="A539" s="79">
        <v>43053</v>
      </c>
      <c r="B539" s="80" t="s">
        <v>5190</v>
      </c>
      <c r="C539" s="80" t="s">
        <v>4834</v>
      </c>
      <c r="D539" s="80" t="s">
        <v>51</v>
      </c>
      <c r="E539" s="81">
        <v>2800</v>
      </c>
      <c r="F539" s="80" t="s">
        <v>4825</v>
      </c>
      <c r="G539" s="81">
        <v>1032.752596</v>
      </c>
      <c r="H539" s="81">
        <v>17.465441999999999</v>
      </c>
      <c r="I539" s="80" t="s">
        <v>4800</v>
      </c>
      <c r="L539" s="3">
        <f>VLOOKUP(C539,Securities!A:D,4,FALSE)</f>
        <v>1</v>
      </c>
      <c r="M539" s="3" t="str">
        <f>VLOOKUP(C539,Securities!A:B,2,FALSE)</f>
        <v>QIWI US Equity</v>
      </c>
      <c r="O539" s="3">
        <f t="shared" si="9"/>
        <v>2800</v>
      </c>
    </row>
    <row r="540" spans="1:15" x14ac:dyDescent="0.25">
      <c r="A540" s="76">
        <v>43053</v>
      </c>
      <c r="B540" s="77" t="s">
        <v>5190</v>
      </c>
      <c r="C540" s="77" t="s">
        <v>4824</v>
      </c>
      <c r="D540" s="77" t="s">
        <v>4674</v>
      </c>
      <c r="E540" s="78">
        <v>12760</v>
      </c>
      <c r="F540" s="77" t="s">
        <v>4825</v>
      </c>
      <c r="G540" s="78">
        <v>232.56039899999999</v>
      </c>
      <c r="H540" s="78">
        <v>4.0388320000000002</v>
      </c>
      <c r="I540" s="77" t="s">
        <v>4800</v>
      </c>
      <c r="L540" s="3">
        <f>VLOOKUP(C540,Securities!A:D,4,FALSE)</f>
        <v>1</v>
      </c>
      <c r="M540" s="3" t="str">
        <f>VLOOKUP(C540,Securities!A:B,2,FALSE)</f>
        <v>VEON US Equity</v>
      </c>
      <c r="O540" s="3">
        <f t="shared" si="9"/>
        <v>12760</v>
      </c>
    </row>
    <row r="541" spans="1:15" x14ac:dyDescent="0.25">
      <c r="A541" s="79">
        <v>43053</v>
      </c>
      <c r="B541" s="80" t="s">
        <v>5191</v>
      </c>
      <c r="C541" s="80" t="s">
        <v>4973</v>
      </c>
      <c r="D541" s="80" t="s">
        <v>23</v>
      </c>
      <c r="E541" s="81">
        <v>16000</v>
      </c>
      <c r="F541" s="80" t="s">
        <v>4974</v>
      </c>
      <c r="G541" s="81">
        <v>100.51</v>
      </c>
      <c r="H541" s="81">
        <v>100.51</v>
      </c>
      <c r="I541" s="80" t="s">
        <v>4800</v>
      </c>
      <c r="L541" s="3">
        <f>VLOOKUP(C541,Securities!A:D,4,FALSE)</f>
        <v>5</v>
      </c>
      <c r="M541" s="3" t="str">
        <f>VLOOKUP(C541,Securities!A:B,2,FALSE)</f>
        <v>RU000A0JV7K7 Corp</v>
      </c>
      <c r="O541" s="3">
        <f t="shared" si="9"/>
        <v>16000</v>
      </c>
    </row>
    <row r="542" spans="1:15" x14ac:dyDescent="0.25">
      <c r="A542" s="76">
        <v>43053</v>
      </c>
      <c r="B542" s="77" t="s">
        <v>5191</v>
      </c>
      <c r="C542" s="77" t="s">
        <v>5192</v>
      </c>
      <c r="D542" s="77" t="s">
        <v>25</v>
      </c>
      <c r="E542" s="78">
        <v>16450</v>
      </c>
      <c r="F542" s="77" t="s">
        <v>4974</v>
      </c>
      <c r="G542" s="78">
        <v>99.57</v>
      </c>
      <c r="H542" s="78">
        <v>99.57</v>
      </c>
      <c r="I542" s="77" t="s">
        <v>4800</v>
      </c>
      <c r="L542" s="3">
        <f>VLOOKUP(C542,Securities!A:D,4,FALSE)</f>
        <v>5</v>
      </c>
      <c r="M542" s="3" t="str">
        <f>VLOOKUP(C542,Securities!A:B,2,FALSE)</f>
        <v>EJ545131 Corp</v>
      </c>
      <c r="O542" s="3">
        <f t="shared" si="9"/>
        <v>16450</v>
      </c>
    </row>
    <row r="543" spans="1:15" x14ac:dyDescent="0.25">
      <c r="A543" s="79">
        <v>43053</v>
      </c>
      <c r="B543" s="80" t="s">
        <v>5191</v>
      </c>
      <c r="C543" s="80" t="s">
        <v>4895</v>
      </c>
      <c r="D543" s="80" t="s">
        <v>144</v>
      </c>
      <c r="E543" s="81">
        <v>8333</v>
      </c>
      <c r="F543" s="80" t="s">
        <v>4810</v>
      </c>
      <c r="G543" s="81">
        <v>1198.730769</v>
      </c>
      <c r="H543" s="81">
        <v>21.120923999999999</v>
      </c>
      <c r="I543" s="80" t="s">
        <v>4800</v>
      </c>
      <c r="L543" s="3">
        <f>VLOOKUP(C543,Securities!A:D,4,FALSE)</f>
        <v>1</v>
      </c>
      <c r="M543" s="3" t="str">
        <f>VLOOKUP(C543,Securities!A:B,2,FALSE)</f>
        <v>BANEP RX Equity</v>
      </c>
      <c r="O543" s="3">
        <f t="shared" si="9"/>
        <v>8333</v>
      </c>
    </row>
    <row r="544" spans="1:15" x14ac:dyDescent="0.25">
      <c r="A544" s="76">
        <v>43053</v>
      </c>
      <c r="B544" s="77" t="s">
        <v>5191</v>
      </c>
      <c r="C544" s="77" t="s">
        <v>5193</v>
      </c>
      <c r="D544" s="77" t="s">
        <v>1036</v>
      </c>
      <c r="E544" s="78">
        <v>15000000</v>
      </c>
      <c r="F544" s="77" t="s">
        <v>4806</v>
      </c>
      <c r="G544" s="78">
        <v>100.05</v>
      </c>
      <c r="H544" s="78">
        <v>100.05</v>
      </c>
      <c r="I544" s="77" t="s">
        <v>4800</v>
      </c>
      <c r="L544" s="3">
        <f>VLOOKUP(C544,Securities!A:D,4,FALSE)</f>
        <v>5</v>
      </c>
      <c r="M544" s="3" t="str">
        <f>VLOOKUP(C544,Securities!A:B,2,FALSE)</f>
        <v>XS0564087541 Corp</v>
      </c>
      <c r="O544" s="3">
        <f t="shared" si="9"/>
        <v>15000000</v>
      </c>
    </row>
    <row r="545" spans="1:15" x14ac:dyDescent="0.25">
      <c r="A545" s="79">
        <v>43053</v>
      </c>
      <c r="B545" s="80" t="s">
        <v>5191</v>
      </c>
      <c r="C545" s="80" t="s">
        <v>4812</v>
      </c>
      <c r="D545" s="80" t="s">
        <v>4675</v>
      </c>
      <c r="E545" s="81">
        <v>3740</v>
      </c>
      <c r="F545" s="80" t="s">
        <v>4804</v>
      </c>
      <c r="G545" s="81">
        <v>561.094877</v>
      </c>
      <c r="H545" s="81">
        <v>9.6621710000000007</v>
      </c>
      <c r="I545" s="80" t="s">
        <v>4800</v>
      </c>
      <c r="L545" s="3">
        <f>VLOOKUP(C545,Securities!A:D,4,FALSE)</f>
        <v>1</v>
      </c>
      <c r="M545" s="3" t="str">
        <f>VLOOKUP(C545,Securities!A:B,2,FALSE)</f>
        <v>KMG LI Equity</v>
      </c>
      <c r="O545" s="3">
        <f t="shared" si="9"/>
        <v>3740</v>
      </c>
    </row>
    <row r="546" spans="1:15" x14ac:dyDescent="0.25">
      <c r="A546" s="76">
        <v>43053</v>
      </c>
      <c r="B546" s="77" t="s">
        <v>5191</v>
      </c>
      <c r="C546" s="77" t="s">
        <v>4932</v>
      </c>
      <c r="D546" s="77" t="s">
        <v>4933</v>
      </c>
      <c r="E546" s="78">
        <v>50000</v>
      </c>
      <c r="F546" s="77" t="s">
        <v>4814</v>
      </c>
      <c r="G546" s="78">
        <v>100</v>
      </c>
      <c r="H546" s="78">
        <v>100</v>
      </c>
      <c r="I546" s="77" t="s">
        <v>4800</v>
      </c>
      <c r="L546" s="3">
        <f>VLOOKUP(C546,Securities!A:D,4,FALSE)</f>
        <v>5</v>
      </c>
      <c r="M546" s="3" t="str">
        <f>VLOOKUP(C546,Securities!A:B,2,FALSE)</f>
        <v>RU000A0ZYBS1 Corp</v>
      </c>
      <c r="O546" s="3">
        <f t="shared" si="9"/>
        <v>50000</v>
      </c>
    </row>
    <row r="547" spans="1:15" x14ac:dyDescent="0.25">
      <c r="A547" s="79">
        <v>43053</v>
      </c>
      <c r="B547" s="80" t="s">
        <v>5191</v>
      </c>
      <c r="C547" s="80" t="s">
        <v>4890</v>
      </c>
      <c r="D547" s="80" t="s">
        <v>886</v>
      </c>
      <c r="E547" s="81">
        <v>1500000</v>
      </c>
      <c r="F547" s="80" t="s">
        <v>4810</v>
      </c>
      <c r="G547" s="81">
        <v>2.4266000000000001</v>
      </c>
      <c r="H547" s="81">
        <v>4.2141999999999999E-2</v>
      </c>
      <c r="I547" s="80" t="s">
        <v>4800</v>
      </c>
      <c r="L547" s="3">
        <f>VLOOKUP(C547,Securities!A:D,4,FALSE)</f>
        <v>1</v>
      </c>
      <c r="M547" s="3" t="str">
        <f>VLOOKUP(C547,Securities!A:B,2,FALSE)</f>
        <v>UPRO RX Equity</v>
      </c>
      <c r="O547" s="3">
        <f t="shared" si="9"/>
        <v>1500000</v>
      </c>
    </row>
    <row r="548" spans="1:15" x14ac:dyDescent="0.25">
      <c r="A548" s="76">
        <v>43053</v>
      </c>
      <c r="B548" s="77" t="s">
        <v>5194</v>
      </c>
      <c r="C548" s="77" t="s">
        <v>4973</v>
      </c>
      <c r="D548" s="77" t="s">
        <v>23</v>
      </c>
      <c r="E548" s="78">
        <v>43615</v>
      </c>
      <c r="F548" s="77" t="s">
        <v>4974</v>
      </c>
      <c r="G548" s="78">
        <v>101.094302</v>
      </c>
      <c r="H548" s="78">
        <v>101.094302</v>
      </c>
      <c r="I548" s="77" t="s">
        <v>4800</v>
      </c>
      <c r="L548" s="3">
        <f>VLOOKUP(C548,Securities!A:D,4,FALSE)</f>
        <v>5</v>
      </c>
      <c r="M548" s="3" t="str">
        <f>VLOOKUP(C548,Securities!A:B,2,FALSE)</f>
        <v>RU000A0JV7K7 Corp</v>
      </c>
      <c r="O548" s="3">
        <f t="shared" si="9"/>
        <v>43615</v>
      </c>
    </row>
    <row r="549" spans="1:15" x14ac:dyDescent="0.25">
      <c r="A549" s="79">
        <v>43053</v>
      </c>
      <c r="B549" s="80" t="s">
        <v>5194</v>
      </c>
      <c r="C549" s="80" t="s">
        <v>4975</v>
      </c>
      <c r="D549" s="80" t="s">
        <v>939</v>
      </c>
      <c r="E549" s="81">
        <v>25000</v>
      </c>
      <c r="F549" s="80" t="s">
        <v>4974</v>
      </c>
      <c r="G549" s="81">
        <v>101.599999</v>
      </c>
      <c r="H549" s="81">
        <v>101.599999</v>
      </c>
      <c r="I549" s="80" t="s">
        <v>4800</v>
      </c>
      <c r="L549" s="3">
        <f>VLOOKUP(C549,Securities!A:D,4,FALSE)</f>
        <v>5</v>
      </c>
      <c r="M549" s="3" t="str">
        <f>VLOOKUP(C549,Securities!A:B,2,FALSE)</f>
        <v>RU000A0JX0J2 Corp</v>
      </c>
      <c r="O549" s="3">
        <f t="shared" si="9"/>
        <v>25000</v>
      </c>
    </row>
    <row r="550" spans="1:15" x14ac:dyDescent="0.25">
      <c r="A550" s="76">
        <v>43053</v>
      </c>
      <c r="B550" s="77" t="s">
        <v>5194</v>
      </c>
      <c r="C550" s="77" t="s">
        <v>5192</v>
      </c>
      <c r="D550" s="77" t="s">
        <v>25</v>
      </c>
      <c r="E550" s="78">
        <v>25000</v>
      </c>
      <c r="F550" s="77" t="s">
        <v>4974</v>
      </c>
      <c r="G550" s="78">
        <v>97.789000000000001</v>
      </c>
      <c r="H550" s="78">
        <v>97.789000000000001</v>
      </c>
      <c r="I550" s="77" t="s">
        <v>4800</v>
      </c>
      <c r="L550" s="3">
        <f>VLOOKUP(C550,Securities!A:D,4,FALSE)</f>
        <v>5</v>
      </c>
      <c r="M550" s="3" t="str">
        <f>VLOOKUP(C550,Securities!A:B,2,FALSE)</f>
        <v>EJ545131 Corp</v>
      </c>
      <c r="O550" s="3">
        <f t="shared" si="9"/>
        <v>25000</v>
      </c>
    </row>
    <row r="551" spans="1:15" x14ac:dyDescent="0.25">
      <c r="A551" s="79">
        <v>43053</v>
      </c>
      <c r="B551" s="80" t="s">
        <v>5194</v>
      </c>
      <c r="C551" s="80" t="s">
        <v>5066</v>
      </c>
      <c r="D551" s="80" t="s">
        <v>26</v>
      </c>
      <c r="E551" s="81">
        <v>44500</v>
      </c>
      <c r="F551" s="80" t="s">
        <v>4974</v>
      </c>
      <c r="G551" s="81">
        <v>98.867943999999994</v>
      </c>
      <c r="H551" s="81">
        <v>98.867943999999994</v>
      </c>
      <c r="I551" s="80" t="s">
        <v>4800</v>
      </c>
      <c r="L551" s="3">
        <f>VLOOKUP(C551,Securities!A:D,4,FALSE)</f>
        <v>5</v>
      </c>
      <c r="M551" s="3" t="str">
        <f>VLOOKUP(C551,Securities!A:B,2,FALSE)</f>
        <v>RU000A0JRCJ6 Corp</v>
      </c>
      <c r="O551" s="3">
        <f t="shared" si="9"/>
        <v>44500</v>
      </c>
    </row>
    <row r="552" spans="1:15" x14ac:dyDescent="0.25">
      <c r="A552" s="76">
        <v>43053</v>
      </c>
      <c r="B552" s="77" t="s">
        <v>5194</v>
      </c>
      <c r="C552" s="77" t="s">
        <v>5195</v>
      </c>
      <c r="D552" s="77" t="s">
        <v>964</v>
      </c>
      <c r="E552" s="78">
        <v>25000</v>
      </c>
      <c r="F552" s="77" t="s">
        <v>4974</v>
      </c>
      <c r="G552" s="78">
        <v>97.098495</v>
      </c>
      <c r="H552" s="78">
        <v>97.098495</v>
      </c>
      <c r="I552" s="77" t="s">
        <v>4800</v>
      </c>
      <c r="L552" s="3">
        <f>VLOOKUP(C552,Securities!A:D,4,FALSE)</f>
        <v>5</v>
      </c>
      <c r="M552" s="3" t="str">
        <f>VLOOKUP(C552,Securities!A:B,2,FALSE)</f>
        <v>RU000A0JU9V1 Corp</v>
      </c>
      <c r="O552" s="3">
        <f t="shared" si="9"/>
        <v>25000</v>
      </c>
    </row>
    <row r="553" spans="1:15" x14ac:dyDescent="0.25">
      <c r="A553" s="79">
        <v>43053</v>
      </c>
      <c r="B553" s="80" t="s">
        <v>5194</v>
      </c>
      <c r="C553" s="80" t="s">
        <v>5072</v>
      </c>
      <c r="D553" s="80" t="s">
        <v>974</v>
      </c>
      <c r="E553" s="81">
        <v>25000</v>
      </c>
      <c r="F553" s="80" t="s">
        <v>4974</v>
      </c>
      <c r="G553" s="81">
        <v>99.539175</v>
      </c>
      <c r="H553" s="81">
        <v>99.539175</v>
      </c>
      <c r="I553" s="80" t="s">
        <v>4800</v>
      </c>
      <c r="L553" s="3">
        <f>VLOOKUP(C553,Securities!A:D,4,FALSE)</f>
        <v>5</v>
      </c>
      <c r="M553" s="3" t="str">
        <f>VLOOKUP(C553,Securities!A:B,2,FALSE)</f>
        <v>RU000A0JXFM1 Corp</v>
      </c>
      <c r="O553" s="3">
        <f t="shared" si="9"/>
        <v>25000</v>
      </c>
    </row>
    <row r="554" spans="1:15" x14ac:dyDescent="0.25">
      <c r="A554" s="76">
        <v>43053</v>
      </c>
      <c r="B554" s="77" t="s">
        <v>5194</v>
      </c>
      <c r="C554" s="77" t="s">
        <v>5011</v>
      </c>
      <c r="D554" s="77" t="s">
        <v>24</v>
      </c>
      <c r="E554" s="78">
        <v>25000</v>
      </c>
      <c r="F554" s="77" t="s">
        <v>4974</v>
      </c>
      <c r="G554" s="78">
        <v>103.45830100000001</v>
      </c>
      <c r="H554" s="78">
        <v>103.45830100000001</v>
      </c>
      <c r="I554" s="77" t="s">
        <v>4800</v>
      </c>
      <c r="L554" s="3">
        <f>VLOOKUP(C554,Securities!A:D,4,FALSE)</f>
        <v>5</v>
      </c>
      <c r="M554" s="3" t="str">
        <f>VLOOKUP(C554,Securities!A:B,2,FALSE)</f>
        <v>RU000A0JV7J9 Corp</v>
      </c>
      <c r="O554" s="3">
        <f t="shared" si="9"/>
        <v>25000</v>
      </c>
    </row>
    <row r="555" spans="1:15" x14ac:dyDescent="0.25">
      <c r="A555" s="79">
        <v>43053</v>
      </c>
      <c r="B555" s="80" t="s">
        <v>5194</v>
      </c>
      <c r="C555" s="80" t="s">
        <v>5196</v>
      </c>
      <c r="D555" s="80" t="s">
        <v>987</v>
      </c>
      <c r="E555" s="81">
        <v>25000</v>
      </c>
      <c r="F555" s="80" t="s">
        <v>4974</v>
      </c>
      <c r="G555" s="81">
        <v>102.94</v>
      </c>
      <c r="H555" s="81">
        <v>102.94</v>
      </c>
      <c r="I555" s="80" t="s">
        <v>4800</v>
      </c>
      <c r="L555" s="3">
        <f>VLOOKUP(C555,Securities!A:D,4,FALSE)</f>
        <v>5</v>
      </c>
      <c r="M555" s="3" t="str">
        <f>VLOOKUP(C555,Securities!A:B,2,FALSE)</f>
        <v>RU000A0JX0H6 Corp</v>
      </c>
      <c r="O555" s="3">
        <f t="shared" si="9"/>
        <v>25000</v>
      </c>
    </row>
    <row r="556" spans="1:15" x14ac:dyDescent="0.25">
      <c r="A556" s="76">
        <v>43053</v>
      </c>
      <c r="B556" s="77" t="s">
        <v>5194</v>
      </c>
      <c r="C556" s="77" t="s">
        <v>5197</v>
      </c>
      <c r="D556" s="77" t="s">
        <v>1004</v>
      </c>
      <c r="E556" s="78">
        <v>25000</v>
      </c>
      <c r="F556" s="77" t="s">
        <v>4974</v>
      </c>
      <c r="G556" s="78">
        <v>96.8</v>
      </c>
      <c r="H556" s="78">
        <v>96.8</v>
      </c>
      <c r="I556" s="77" t="s">
        <v>4800</v>
      </c>
      <c r="L556" s="3">
        <f>VLOOKUP(C556,Securities!A:D,4,FALSE)</f>
        <v>5</v>
      </c>
      <c r="M556" s="3" t="str">
        <f>VLOOKUP(C556,Securities!A:B,2,FALSE)</f>
        <v>RU000A0JP2S9 Corp</v>
      </c>
      <c r="O556" s="3">
        <f t="shared" si="9"/>
        <v>25000</v>
      </c>
    </row>
    <row r="557" spans="1:15" x14ac:dyDescent="0.25">
      <c r="A557" s="79">
        <v>43053</v>
      </c>
      <c r="B557" s="80" t="s">
        <v>5194</v>
      </c>
      <c r="C557" s="80" t="s">
        <v>4798</v>
      </c>
      <c r="D557" s="80" t="s">
        <v>45</v>
      </c>
      <c r="E557" s="81">
        <v>80900</v>
      </c>
      <c r="F557" s="80" t="s">
        <v>4799</v>
      </c>
      <c r="G557" s="81">
        <v>0</v>
      </c>
      <c r="H557" s="81">
        <v>0</v>
      </c>
      <c r="I557" s="80" t="s">
        <v>4800</v>
      </c>
      <c r="L557" s="3">
        <f>VLOOKUP(C557,Securities!A:D,4,FALSE)</f>
        <v>1</v>
      </c>
      <c r="M557" s="3" t="str">
        <f>VLOOKUP(C557,Securities!A:B,2,FALSE)</f>
        <v>RUAL RX Equity</v>
      </c>
      <c r="O557" s="3">
        <f t="shared" si="9"/>
        <v>80900</v>
      </c>
    </row>
    <row r="558" spans="1:15" x14ac:dyDescent="0.25">
      <c r="A558" s="76">
        <v>43053</v>
      </c>
      <c r="B558" s="77" t="s">
        <v>5194</v>
      </c>
      <c r="C558" s="77" t="s">
        <v>4803</v>
      </c>
      <c r="D558" s="77" t="s">
        <v>39</v>
      </c>
      <c r="E558" s="78">
        <v>15710</v>
      </c>
      <c r="F558" s="77" t="s">
        <v>4804</v>
      </c>
      <c r="G558" s="78">
        <v>666.05161299999997</v>
      </c>
      <c r="H558" s="78">
        <v>11.767526999999999</v>
      </c>
      <c r="I558" s="77" t="s">
        <v>4800</v>
      </c>
      <c r="L558" s="3">
        <f>VLOOKUP(C558,Securities!A:D,4,FALSE)</f>
        <v>1</v>
      </c>
      <c r="M558" s="3" t="str">
        <f>VLOOKUP(C558,Securities!A:B,2,FALSE)</f>
        <v>AGRO LI Equity</v>
      </c>
      <c r="O558" s="3">
        <f t="shared" si="9"/>
        <v>15710</v>
      </c>
    </row>
    <row r="559" spans="1:15" x14ac:dyDescent="0.25">
      <c r="A559" s="79">
        <v>43053</v>
      </c>
      <c r="B559" s="80" t="s">
        <v>5194</v>
      </c>
      <c r="C559" s="80" t="s">
        <v>5198</v>
      </c>
      <c r="D559" s="80" t="s">
        <v>27</v>
      </c>
      <c r="E559" s="81">
        <v>25000</v>
      </c>
      <c r="F559" s="80" t="s">
        <v>4814</v>
      </c>
      <c r="G559" s="81">
        <v>100.56</v>
      </c>
      <c r="H559" s="81">
        <v>100.56</v>
      </c>
      <c r="I559" s="80" t="s">
        <v>4800</v>
      </c>
      <c r="L559" s="3">
        <f>VLOOKUP(C559,Securities!A:D,4,FALSE)</f>
        <v>5</v>
      </c>
      <c r="M559" s="3" t="str">
        <f>VLOOKUP(C559,Securities!A:B,2,FALSE)</f>
        <v>RU000A0JX5W4 Corp</v>
      </c>
      <c r="O559" s="3">
        <f t="shared" si="9"/>
        <v>25000</v>
      </c>
    </row>
    <row r="560" spans="1:15" x14ac:dyDescent="0.25">
      <c r="A560" s="76">
        <v>43053</v>
      </c>
      <c r="B560" s="77" t="s">
        <v>5194</v>
      </c>
      <c r="C560" s="77" t="s">
        <v>4827</v>
      </c>
      <c r="D560" s="77" t="s">
        <v>4828</v>
      </c>
      <c r="E560" s="78">
        <v>-179</v>
      </c>
      <c r="F560" s="77" t="s">
        <v>4829</v>
      </c>
      <c r="G560" s="78">
        <v>34846.635058</v>
      </c>
      <c r="H560" s="78">
        <v>600.67092500000001</v>
      </c>
      <c r="I560" s="77" t="s">
        <v>4800</v>
      </c>
      <c r="L560" s="3">
        <f>VLOOKUP(C560,Securities!A:D,4,FALSE)</f>
        <v>15</v>
      </c>
      <c r="M560" s="3" t="str">
        <f>VLOOKUP(C560,Securities!A:B,2,FALSE)</f>
        <v>B5Z7 Comdty</v>
      </c>
      <c r="O560" s="3">
        <f t="shared" si="9"/>
        <v>-179</v>
      </c>
    </row>
    <row r="561" spans="1:15" x14ac:dyDescent="0.25">
      <c r="A561" s="79">
        <v>43053</v>
      </c>
      <c r="B561" s="80" t="s">
        <v>5194</v>
      </c>
      <c r="C561" s="80" t="s">
        <v>4869</v>
      </c>
      <c r="D561" s="80" t="s">
        <v>4870</v>
      </c>
      <c r="E561" s="81">
        <v>150000</v>
      </c>
      <c r="F561" s="80" t="s">
        <v>4838</v>
      </c>
      <c r="G561" s="81">
        <v>100</v>
      </c>
      <c r="H561" s="81">
        <v>100</v>
      </c>
      <c r="I561" s="80" t="s">
        <v>4800</v>
      </c>
      <c r="L561" s="3">
        <f>VLOOKUP(C561,Securities!A:D,4,FALSE)</f>
        <v>5</v>
      </c>
      <c r="M561" s="3" t="str">
        <f>VLOOKUP(C561,Securities!A:B,2,FALSE)</f>
        <v>CH0384862550 Corp</v>
      </c>
      <c r="O561" s="3">
        <f t="shared" si="9"/>
        <v>150000</v>
      </c>
    </row>
    <row r="562" spans="1:15" x14ac:dyDescent="0.25">
      <c r="A562" s="76">
        <v>43053</v>
      </c>
      <c r="B562" s="77" t="s">
        <v>5194</v>
      </c>
      <c r="C562" s="77" t="s">
        <v>4805</v>
      </c>
      <c r="D562" s="77" t="s">
        <v>31</v>
      </c>
      <c r="E562" s="78">
        <v>1150000</v>
      </c>
      <c r="F562" s="77" t="s">
        <v>4806</v>
      </c>
      <c r="G562" s="78">
        <v>175.07652100000001</v>
      </c>
      <c r="H562" s="78">
        <v>175.07652100000001</v>
      </c>
      <c r="I562" s="77" t="s">
        <v>4800</v>
      </c>
      <c r="L562" s="3">
        <f>VLOOKUP(C562,Securities!A:D,4,FALSE)</f>
        <v>5</v>
      </c>
      <c r="M562" s="3" t="str">
        <f>VLOOKUP(C562,Securities!A:B,2,FALSE)</f>
        <v>TT343269 Corp</v>
      </c>
      <c r="O562" s="3">
        <f t="shared" si="9"/>
        <v>1150000</v>
      </c>
    </row>
    <row r="563" spans="1:15" x14ac:dyDescent="0.25">
      <c r="A563" s="79">
        <v>43053</v>
      </c>
      <c r="B563" s="80" t="s">
        <v>5194</v>
      </c>
      <c r="C563" s="80" t="s">
        <v>4845</v>
      </c>
      <c r="D563" s="80" t="s">
        <v>4846</v>
      </c>
      <c r="E563" s="81">
        <v>330000</v>
      </c>
      <c r="F563" s="80" t="s">
        <v>4806</v>
      </c>
      <c r="G563" s="81">
        <v>111.4</v>
      </c>
      <c r="H563" s="81">
        <v>111.4</v>
      </c>
      <c r="I563" s="80" t="s">
        <v>4800</v>
      </c>
      <c r="L563" s="3">
        <f>VLOOKUP(C563,Securities!A:D,4,FALSE)</f>
        <v>5</v>
      </c>
      <c r="M563" s="3" t="str">
        <f>VLOOKUP(C563,Securities!A:B,2,FALSE)</f>
        <v>XS1319822752 Corp</v>
      </c>
      <c r="O563" s="3">
        <f t="shared" si="9"/>
        <v>330000</v>
      </c>
    </row>
    <row r="564" spans="1:15" x14ac:dyDescent="0.25">
      <c r="A564" s="76">
        <v>43053</v>
      </c>
      <c r="B564" s="77" t="s">
        <v>5194</v>
      </c>
      <c r="C564" s="77" t="s">
        <v>4809</v>
      </c>
      <c r="D564" s="77" t="s">
        <v>30</v>
      </c>
      <c r="E564" s="78">
        <v>40000</v>
      </c>
      <c r="F564" s="77" t="s">
        <v>4810</v>
      </c>
      <c r="G564" s="78">
        <v>122.49743100000001</v>
      </c>
      <c r="H564" s="78">
        <v>2.1114959999999998</v>
      </c>
      <c r="I564" s="77" t="s">
        <v>4800</v>
      </c>
      <c r="L564" s="3">
        <f>VLOOKUP(C564,Securities!A:D,4,FALSE)</f>
        <v>1</v>
      </c>
      <c r="M564" s="3" t="str">
        <f>VLOOKUP(C564,Securities!A:B,2,FALSE)</f>
        <v>GAZP RX Equity</v>
      </c>
      <c r="O564" s="3">
        <f t="shared" si="9"/>
        <v>40000</v>
      </c>
    </row>
    <row r="565" spans="1:15" x14ac:dyDescent="0.25">
      <c r="A565" s="79">
        <v>43053</v>
      </c>
      <c r="B565" s="80" t="s">
        <v>5194</v>
      </c>
      <c r="C565" s="80" t="s">
        <v>4811</v>
      </c>
      <c r="D565" s="80" t="s">
        <v>4659</v>
      </c>
      <c r="E565" s="81">
        <v>120659</v>
      </c>
      <c r="F565" s="80" t="s">
        <v>4799</v>
      </c>
      <c r="G565" s="81">
        <v>111.166567</v>
      </c>
      <c r="H565" s="81">
        <v>1.979806</v>
      </c>
      <c r="I565" s="80" t="s">
        <v>4800</v>
      </c>
      <c r="L565" s="3">
        <f>VLOOKUP(C565,Securities!A:D,4,FALSE)</f>
        <v>1</v>
      </c>
      <c r="M565" s="3" t="str">
        <f>VLOOKUP(C565,Securities!A:B,2,FALSE)</f>
        <v>HGM LN Equity</v>
      </c>
      <c r="O565" s="3">
        <f t="shared" si="9"/>
        <v>120659</v>
      </c>
    </row>
    <row r="566" spans="1:15" x14ac:dyDescent="0.25">
      <c r="A566" s="76">
        <v>43053</v>
      </c>
      <c r="B566" s="77" t="s">
        <v>5194</v>
      </c>
      <c r="C566" s="77" t="s">
        <v>4909</v>
      </c>
      <c r="D566" s="77" t="s">
        <v>286</v>
      </c>
      <c r="E566" s="78">
        <v>100000</v>
      </c>
      <c r="F566" s="77" t="s">
        <v>4810</v>
      </c>
      <c r="G566" s="78">
        <v>50.327125000000002</v>
      </c>
      <c r="H566" s="78">
        <v>0.876112</v>
      </c>
      <c r="I566" s="77" t="s">
        <v>4800</v>
      </c>
      <c r="L566" s="3">
        <f>VLOOKUP(C566,Securities!A:D,4,FALSE)</f>
        <v>1</v>
      </c>
      <c r="M566" s="3" t="str">
        <f>VLOOKUP(C566,Securities!A:B,2,FALSE)</f>
        <v>KMAZ RX Equity</v>
      </c>
      <c r="O566" s="3">
        <f t="shared" si="9"/>
        <v>100000</v>
      </c>
    </row>
    <row r="567" spans="1:15" x14ac:dyDescent="0.25">
      <c r="A567" s="79">
        <v>43053</v>
      </c>
      <c r="B567" s="80" t="s">
        <v>5194</v>
      </c>
      <c r="C567" s="80" t="s">
        <v>4812</v>
      </c>
      <c r="D567" s="80" t="s">
        <v>4675</v>
      </c>
      <c r="E567" s="81">
        <v>27550</v>
      </c>
      <c r="F567" s="80" t="s">
        <v>4804</v>
      </c>
      <c r="G567" s="81">
        <v>577.66019200000005</v>
      </c>
      <c r="H567" s="81">
        <v>10.068502000000001</v>
      </c>
      <c r="I567" s="80" t="s">
        <v>4800</v>
      </c>
      <c r="L567" s="3">
        <f>VLOOKUP(C567,Securities!A:D,4,FALSE)</f>
        <v>1</v>
      </c>
      <c r="M567" s="3" t="str">
        <f>VLOOKUP(C567,Securities!A:B,2,FALSE)</f>
        <v>KMG LI Equity</v>
      </c>
      <c r="O567" s="3">
        <f t="shared" si="9"/>
        <v>27550</v>
      </c>
    </row>
    <row r="568" spans="1:15" x14ac:dyDescent="0.25">
      <c r="A568" s="76">
        <v>43053</v>
      </c>
      <c r="B568" s="77" t="s">
        <v>5194</v>
      </c>
      <c r="C568" s="77" t="s">
        <v>4847</v>
      </c>
      <c r="D568" s="77" t="s">
        <v>369</v>
      </c>
      <c r="E568" s="78">
        <v>1700</v>
      </c>
      <c r="F568" s="77" t="s">
        <v>4810</v>
      </c>
      <c r="G568" s="78">
        <v>2996.027024</v>
      </c>
      <c r="H568" s="78">
        <v>51.052055000000003</v>
      </c>
      <c r="I568" s="77" t="s">
        <v>4800</v>
      </c>
      <c r="L568" s="3">
        <f>VLOOKUP(C568,Securities!A:D,4,FALSE)</f>
        <v>1</v>
      </c>
      <c r="M568" s="3" t="str">
        <f>VLOOKUP(C568,Securities!A:B,2,FALSE)</f>
        <v>LKOH RX Equity</v>
      </c>
      <c r="O568" s="3">
        <f t="shared" si="9"/>
        <v>1700</v>
      </c>
    </row>
    <row r="569" spans="1:15" x14ac:dyDescent="0.25">
      <c r="A569" s="79">
        <v>43053</v>
      </c>
      <c r="B569" s="80" t="s">
        <v>5194</v>
      </c>
      <c r="C569" s="80" t="s">
        <v>4910</v>
      </c>
      <c r="D569" s="80" t="s">
        <v>366</v>
      </c>
      <c r="E569" s="81">
        <v>15222</v>
      </c>
      <c r="F569" s="80" t="s">
        <v>4810</v>
      </c>
      <c r="G569" s="81">
        <v>863.82288700000004</v>
      </c>
      <c r="H569" s="81">
        <v>15.261945000000001</v>
      </c>
      <c r="I569" s="80" t="s">
        <v>4800</v>
      </c>
      <c r="L569" s="3">
        <f>VLOOKUP(C569,Securities!A:D,4,FALSE)</f>
        <v>1</v>
      </c>
      <c r="M569" s="3" t="str">
        <f>VLOOKUP(C569,Securities!A:B,2,FALSE)</f>
        <v>LSRG RX Equity</v>
      </c>
      <c r="O569" s="3">
        <f t="shared" si="9"/>
        <v>15222</v>
      </c>
    </row>
    <row r="570" spans="1:15" x14ac:dyDescent="0.25">
      <c r="A570" s="76">
        <v>43053</v>
      </c>
      <c r="B570" s="77" t="s">
        <v>5194</v>
      </c>
      <c r="C570" s="77" t="s">
        <v>4815</v>
      </c>
      <c r="D570" s="77" t="s">
        <v>4676</v>
      </c>
      <c r="E570" s="78">
        <v>2000</v>
      </c>
      <c r="F570" s="77" t="s">
        <v>4799</v>
      </c>
      <c r="G570" s="78">
        <v>2568.5538499999998</v>
      </c>
      <c r="H570" s="78">
        <v>42.859375999999997</v>
      </c>
      <c r="I570" s="77" t="s">
        <v>4800</v>
      </c>
      <c r="L570" s="3">
        <f>VLOOKUP(C570,Securities!A:D,4,FALSE)</f>
        <v>1</v>
      </c>
      <c r="M570" s="3" t="str">
        <f>VLOOKUP(C570,Securities!A:B,2,FALSE)</f>
        <v>LXFT US Equity</v>
      </c>
      <c r="O570" s="3">
        <f t="shared" si="9"/>
        <v>2000</v>
      </c>
    </row>
    <row r="571" spans="1:15" x14ac:dyDescent="0.25">
      <c r="A571" s="79">
        <v>43053</v>
      </c>
      <c r="B571" s="80" t="s">
        <v>5194</v>
      </c>
      <c r="C571" s="80" t="s">
        <v>4867</v>
      </c>
      <c r="D571" s="80" t="s">
        <v>473</v>
      </c>
      <c r="E571" s="81">
        <v>48000</v>
      </c>
      <c r="F571" s="80" t="s">
        <v>4810</v>
      </c>
      <c r="G571" s="81">
        <v>104.841641</v>
      </c>
      <c r="H571" s="81">
        <v>1.840773</v>
      </c>
      <c r="I571" s="80" t="s">
        <v>4800</v>
      </c>
      <c r="L571" s="3">
        <f>VLOOKUP(C571,Securities!A:D,4,FALSE)</f>
        <v>1</v>
      </c>
      <c r="M571" s="3" t="str">
        <f>VLOOKUP(C571,Securities!A:B,2,FALSE)</f>
        <v>MOEX RX Equity</v>
      </c>
      <c r="O571" s="3">
        <f t="shared" si="9"/>
        <v>48000</v>
      </c>
    </row>
    <row r="572" spans="1:15" x14ac:dyDescent="0.25">
      <c r="A572" s="76">
        <v>43053</v>
      </c>
      <c r="B572" s="77" t="s">
        <v>5194</v>
      </c>
      <c r="C572" s="77" t="s">
        <v>4816</v>
      </c>
      <c r="D572" s="77" t="s">
        <v>4817</v>
      </c>
      <c r="E572" s="78">
        <v>4100</v>
      </c>
      <c r="F572" s="77" t="s">
        <v>4799</v>
      </c>
      <c r="G572" s="78">
        <v>1216.0680480000001</v>
      </c>
      <c r="H572" s="78">
        <v>20.597498000000002</v>
      </c>
      <c r="I572" s="77" t="s">
        <v>4800</v>
      </c>
      <c r="L572" s="3">
        <f>VLOOKUP(C572,Securities!A:D,4,FALSE)</f>
        <v>1</v>
      </c>
      <c r="M572" s="3" t="str">
        <f>VLOOKUP(C572,Securities!A:B,2,FALSE)</f>
        <v>M US Equity</v>
      </c>
      <c r="O572" s="3">
        <f t="shared" si="9"/>
        <v>4100</v>
      </c>
    </row>
    <row r="573" spans="1:15" x14ac:dyDescent="0.25">
      <c r="A573" s="79">
        <v>43053</v>
      </c>
      <c r="B573" s="80" t="s">
        <v>5194</v>
      </c>
      <c r="C573" s="80" t="s">
        <v>4818</v>
      </c>
      <c r="D573" s="80" t="s">
        <v>494</v>
      </c>
      <c r="E573" s="81">
        <v>43800</v>
      </c>
      <c r="F573" s="80" t="s">
        <v>4810</v>
      </c>
      <c r="G573" s="81">
        <v>23.729700000000001</v>
      </c>
      <c r="H573" s="81">
        <v>0.42000300000000002</v>
      </c>
      <c r="I573" s="80" t="s">
        <v>4800</v>
      </c>
      <c r="L573" s="3">
        <f>VLOOKUP(C573,Securities!A:D,4,FALSE)</f>
        <v>1</v>
      </c>
      <c r="M573" s="3" t="str">
        <f>VLOOKUP(C573,Securities!A:B,2,FALSE)</f>
        <v>NKNCP RX Equity</v>
      </c>
      <c r="O573" s="3">
        <f t="shared" si="9"/>
        <v>43800</v>
      </c>
    </row>
    <row r="574" spans="1:15" x14ac:dyDescent="0.25">
      <c r="A574" s="76">
        <v>43053</v>
      </c>
      <c r="B574" s="77" t="s">
        <v>5194</v>
      </c>
      <c r="C574" s="77" t="s">
        <v>4912</v>
      </c>
      <c r="D574" s="77" t="s">
        <v>28</v>
      </c>
      <c r="E574" s="78">
        <v>800000</v>
      </c>
      <c r="F574" s="77" t="s">
        <v>4810</v>
      </c>
      <c r="G574" s="78">
        <v>6.0270809999999999</v>
      </c>
      <c r="H574" s="78">
        <v>0.106312</v>
      </c>
      <c r="I574" s="77" t="s">
        <v>4800</v>
      </c>
      <c r="L574" s="3">
        <f>VLOOKUP(C574,Securities!A:D,4,FALSE)</f>
        <v>1</v>
      </c>
      <c r="M574" s="3" t="str">
        <f>VLOOKUP(C574,Securities!A:B,2,FALSE)</f>
        <v>NMTP RX Equity</v>
      </c>
      <c r="O574" s="3">
        <f t="shared" si="9"/>
        <v>800000</v>
      </c>
    </row>
    <row r="575" spans="1:15" x14ac:dyDescent="0.25">
      <c r="A575" s="79">
        <v>43053</v>
      </c>
      <c r="B575" s="80" t="s">
        <v>5194</v>
      </c>
      <c r="C575" s="80" t="s">
        <v>4848</v>
      </c>
      <c r="D575" s="80" t="s">
        <v>511</v>
      </c>
      <c r="E575" s="81">
        <v>16300</v>
      </c>
      <c r="F575" s="80" t="s">
        <v>4810</v>
      </c>
      <c r="G575" s="81">
        <v>614.44234500000005</v>
      </c>
      <c r="H575" s="81">
        <v>10.590362000000001</v>
      </c>
      <c r="I575" s="80" t="s">
        <v>4800</v>
      </c>
      <c r="L575" s="3">
        <f>VLOOKUP(C575,Securities!A:D,4,FALSE)</f>
        <v>1</v>
      </c>
      <c r="M575" s="3" t="str">
        <f>VLOOKUP(C575,Securities!A:B,2,FALSE)</f>
        <v>NVTK RX Equity</v>
      </c>
      <c r="O575" s="3">
        <f t="shared" si="9"/>
        <v>16300</v>
      </c>
    </row>
    <row r="576" spans="1:15" x14ac:dyDescent="0.25">
      <c r="A576" s="76">
        <v>43053</v>
      </c>
      <c r="B576" s="77" t="s">
        <v>5194</v>
      </c>
      <c r="C576" s="77" t="s">
        <v>4821</v>
      </c>
      <c r="D576" s="77" t="s">
        <v>42</v>
      </c>
      <c r="E576" s="78">
        <v>15815</v>
      </c>
      <c r="F576" s="77" t="s">
        <v>4799</v>
      </c>
      <c r="G576" s="78">
        <v>674.20044399999995</v>
      </c>
      <c r="H576" s="78">
        <v>11.601982</v>
      </c>
      <c r="I576" s="77" t="s">
        <v>4800</v>
      </c>
      <c r="L576" s="3">
        <f>VLOOKUP(C576,Securities!A:D,4,FALSE)</f>
        <v>1</v>
      </c>
      <c r="M576" s="3" t="str">
        <f>VLOOKUP(C576,Securities!A:B,2,FALSE)</f>
        <v>POLY LN Equity</v>
      </c>
      <c r="O576" s="3">
        <f t="shared" si="9"/>
        <v>15815</v>
      </c>
    </row>
    <row r="577" spans="1:15" x14ac:dyDescent="0.25">
      <c r="A577" s="79">
        <v>43053</v>
      </c>
      <c r="B577" s="80" t="s">
        <v>5194</v>
      </c>
      <c r="C577" s="80" t="s">
        <v>4834</v>
      </c>
      <c r="D577" s="80" t="s">
        <v>51</v>
      </c>
      <c r="E577" s="81">
        <v>4843</v>
      </c>
      <c r="F577" s="80" t="s">
        <v>4825</v>
      </c>
      <c r="G577" s="81">
        <v>1039.28</v>
      </c>
      <c r="H577" s="81">
        <v>17.603100000000001</v>
      </c>
      <c r="I577" s="80" t="s">
        <v>4800</v>
      </c>
      <c r="L577" s="3">
        <f>VLOOKUP(C577,Securities!A:D,4,FALSE)</f>
        <v>1</v>
      </c>
      <c r="M577" s="3" t="str">
        <f>VLOOKUP(C577,Securities!A:B,2,FALSE)</f>
        <v>QIWI US Equity</v>
      </c>
      <c r="O577" s="3">
        <f t="shared" si="9"/>
        <v>4843</v>
      </c>
    </row>
    <row r="578" spans="1:15" x14ac:dyDescent="0.25">
      <c r="A578" s="76">
        <v>43053</v>
      </c>
      <c r="B578" s="77" t="s">
        <v>5194</v>
      </c>
      <c r="C578" s="77" t="s">
        <v>5129</v>
      </c>
      <c r="D578" s="77" t="s">
        <v>4646</v>
      </c>
      <c r="E578" s="78">
        <v>50000</v>
      </c>
      <c r="F578" s="77" t="s">
        <v>4814</v>
      </c>
      <c r="G578" s="78">
        <v>100</v>
      </c>
      <c r="H578" s="78">
        <v>100</v>
      </c>
      <c r="I578" s="77" t="s">
        <v>4800</v>
      </c>
      <c r="L578" s="3">
        <f>VLOOKUP(C578,Securities!A:D,4,FALSE)</f>
        <v>5</v>
      </c>
      <c r="M578" s="3" t="str">
        <f>VLOOKUP(C578,Securities!A:B,2,FALSE)</f>
        <v>RU000A0JXMQ8 Corp</v>
      </c>
      <c r="O578" s="3">
        <f t="shared" si="9"/>
        <v>50000</v>
      </c>
    </row>
    <row r="579" spans="1:15" x14ac:dyDescent="0.25">
      <c r="A579" s="79">
        <v>43053</v>
      </c>
      <c r="B579" s="80" t="s">
        <v>5194</v>
      </c>
      <c r="C579" s="80" t="s">
        <v>4851</v>
      </c>
      <c r="D579" s="80" t="s">
        <v>4744</v>
      </c>
      <c r="E579" s="81">
        <v>300000</v>
      </c>
      <c r="F579" s="80" t="s">
        <v>4806</v>
      </c>
      <c r="G579" s="81">
        <v>101.13</v>
      </c>
      <c r="H579" s="81">
        <v>101.13</v>
      </c>
      <c r="I579" s="80" t="s">
        <v>4800</v>
      </c>
      <c r="L579" s="3">
        <f>VLOOKUP(C579,Securities!A:D,4,FALSE)</f>
        <v>5</v>
      </c>
      <c r="M579" s="3" t="str">
        <f>VLOOKUP(C579,Securities!A:B,2,FALSE)</f>
        <v>XS1032750165 Corp</v>
      </c>
      <c r="O579" s="3">
        <f t="shared" si="9"/>
        <v>300000</v>
      </c>
    </row>
    <row r="580" spans="1:15" x14ac:dyDescent="0.25">
      <c r="A580" s="76">
        <v>43053</v>
      </c>
      <c r="B580" s="77" t="s">
        <v>5194</v>
      </c>
      <c r="C580" s="77" t="s">
        <v>4830</v>
      </c>
      <c r="D580" s="77" t="s">
        <v>4831</v>
      </c>
      <c r="E580" s="78">
        <v>-106</v>
      </c>
      <c r="F580" s="77" t="s">
        <v>4832</v>
      </c>
      <c r="G580" s="78">
        <v>58391.803467999998</v>
      </c>
      <c r="H580" s="78">
        <v>1012.424076</v>
      </c>
      <c r="I580" s="77" t="s">
        <v>4800</v>
      </c>
      <c r="L580" s="3">
        <f>VLOOKUP(C580,Securities!A:D,4,FALSE)</f>
        <v>15</v>
      </c>
      <c r="M580" s="3" t="str">
        <f>VLOOKUP(C580,Securities!A:B,2,FALSE)</f>
        <v>URZ7 Curncy</v>
      </c>
      <c r="O580" s="3">
        <f t="shared" si="9"/>
        <v>-106</v>
      </c>
    </row>
    <row r="581" spans="1:15" x14ac:dyDescent="0.25">
      <c r="A581" s="79">
        <v>43053</v>
      </c>
      <c r="B581" s="80" t="s">
        <v>5194</v>
      </c>
      <c r="C581" s="80" t="s">
        <v>5113</v>
      </c>
      <c r="D581" s="80" t="s">
        <v>4667</v>
      </c>
      <c r="E581" s="81">
        <v>8500</v>
      </c>
      <c r="F581" s="80" t="s">
        <v>4814</v>
      </c>
      <c r="G581" s="81">
        <v>100</v>
      </c>
      <c r="H581" s="81">
        <v>100</v>
      </c>
      <c r="I581" s="80" t="s">
        <v>4800</v>
      </c>
      <c r="L581" s="3">
        <f>VLOOKUP(C581,Securities!A:D,4,FALSE)</f>
        <v>5</v>
      </c>
      <c r="M581" s="3" t="str">
        <f>VLOOKUP(C581,Securities!A:B,2,FALSE)</f>
        <v>RU000A0JXQ85 Corp</v>
      </c>
      <c r="O581" s="3">
        <f t="shared" si="9"/>
        <v>8500</v>
      </c>
    </row>
    <row r="582" spans="1:15" x14ac:dyDescent="0.25">
      <c r="A582" s="76">
        <v>43053</v>
      </c>
      <c r="B582" s="77" t="s">
        <v>5194</v>
      </c>
      <c r="C582" s="77" t="s">
        <v>4917</v>
      </c>
      <c r="D582" s="77" t="s">
        <v>742</v>
      </c>
      <c r="E582" s="78">
        <v>109110</v>
      </c>
      <c r="F582" s="77" t="s">
        <v>4810</v>
      </c>
      <c r="G582" s="78">
        <v>68.994929999999997</v>
      </c>
      <c r="H582" s="78">
        <v>1.1964159999999999</v>
      </c>
      <c r="I582" s="77" t="s">
        <v>4800</v>
      </c>
      <c r="L582" s="3">
        <f>VLOOKUP(C582,Securities!A:D,4,FALSE)</f>
        <v>1</v>
      </c>
      <c r="M582" s="3" t="str">
        <f>VLOOKUP(C582,Securities!A:B,2,FALSE)</f>
        <v>TRMK RX Equity</v>
      </c>
      <c r="O582" s="3">
        <f t="shared" ref="O582:O645" si="10">SUMIFS(E:E,C:C,C582,B:B,B582)</f>
        <v>109110</v>
      </c>
    </row>
    <row r="583" spans="1:15" x14ac:dyDescent="0.25">
      <c r="A583" s="79">
        <v>43053</v>
      </c>
      <c r="B583" s="80" t="s">
        <v>5194</v>
      </c>
      <c r="C583" s="80" t="s">
        <v>4824</v>
      </c>
      <c r="D583" s="80" t="s">
        <v>4674</v>
      </c>
      <c r="E583" s="81">
        <v>60250</v>
      </c>
      <c r="F583" s="80" t="s">
        <v>4825</v>
      </c>
      <c r="G583" s="81">
        <v>225.093729</v>
      </c>
      <c r="H583" s="81">
        <v>3.9541140000000001</v>
      </c>
      <c r="I583" s="80" t="s">
        <v>4800</v>
      </c>
      <c r="L583" s="3">
        <f>VLOOKUP(C583,Securities!A:D,4,FALSE)</f>
        <v>1</v>
      </c>
      <c r="M583" s="3" t="str">
        <f>VLOOKUP(C583,Securities!A:B,2,FALSE)</f>
        <v>VEON US Equity</v>
      </c>
      <c r="O583" s="3">
        <f t="shared" si="10"/>
        <v>60250</v>
      </c>
    </row>
    <row r="584" spans="1:15" x14ac:dyDescent="0.25">
      <c r="A584" s="76">
        <v>43053</v>
      </c>
      <c r="B584" s="77" t="s">
        <v>5199</v>
      </c>
      <c r="C584" s="77" t="s">
        <v>4935</v>
      </c>
      <c r="D584" s="77" t="s">
        <v>4936</v>
      </c>
      <c r="E584" s="78">
        <v>2717</v>
      </c>
      <c r="F584" s="77" t="s">
        <v>4799</v>
      </c>
      <c r="G584" s="78">
        <v>1059.4439339999999</v>
      </c>
      <c r="H584" s="78">
        <v>18.385399</v>
      </c>
      <c r="I584" s="77" t="s">
        <v>4800</v>
      </c>
      <c r="L584" s="3">
        <f>VLOOKUP(C584,Securities!A:D,4,FALSE)</f>
        <v>1</v>
      </c>
      <c r="M584" s="3" t="str">
        <f>VLOOKUP(C584,Securities!A:B,2,FALSE)</f>
        <v>AD NA Equity</v>
      </c>
      <c r="O584" s="3">
        <f t="shared" si="10"/>
        <v>2717</v>
      </c>
    </row>
    <row r="585" spans="1:15" x14ac:dyDescent="0.25">
      <c r="A585" s="79">
        <v>43053</v>
      </c>
      <c r="B585" s="80" t="s">
        <v>5199</v>
      </c>
      <c r="C585" s="80" t="s">
        <v>4866</v>
      </c>
      <c r="D585" s="80" t="s">
        <v>99</v>
      </c>
      <c r="E585" s="81">
        <v>60300</v>
      </c>
      <c r="F585" s="80" t="s">
        <v>4810</v>
      </c>
      <c r="G585" s="81">
        <v>94.924263999999994</v>
      </c>
      <c r="H585" s="81">
        <v>1.662633</v>
      </c>
      <c r="I585" s="80" t="s">
        <v>4800</v>
      </c>
      <c r="L585" s="3">
        <f>VLOOKUP(C585,Securities!A:D,4,FALSE)</f>
        <v>1</v>
      </c>
      <c r="M585" s="3" t="str">
        <f>VLOOKUP(C585,Securities!A:B,2,FALSE)</f>
        <v>ALRS RX Equity</v>
      </c>
      <c r="O585" s="3">
        <f t="shared" si="10"/>
        <v>60300</v>
      </c>
    </row>
    <row r="586" spans="1:15" x14ac:dyDescent="0.25">
      <c r="A586" s="76">
        <v>43053</v>
      </c>
      <c r="B586" s="77" t="s">
        <v>5199</v>
      </c>
      <c r="C586" s="77" t="s">
        <v>5035</v>
      </c>
      <c r="D586" s="77" t="s">
        <v>5036</v>
      </c>
      <c r="E586" s="78">
        <v>200000</v>
      </c>
      <c r="F586" s="77" t="s">
        <v>4806</v>
      </c>
      <c r="G586" s="78">
        <v>102.25</v>
      </c>
      <c r="H586" s="78">
        <v>102.25</v>
      </c>
      <c r="I586" s="77" t="s">
        <v>4800</v>
      </c>
      <c r="L586" s="3">
        <f>VLOOKUP(C586,Securities!A:D,4,FALSE)</f>
        <v>5</v>
      </c>
      <c r="M586" s="3" t="str">
        <f>VLOOKUP(C586,Securities!A:B,2,FALSE)</f>
        <v>XS0579851949 Corp</v>
      </c>
      <c r="O586" s="3">
        <f t="shared" si="10"/>
        <v>200000</v>
      </c>
    </row>
    <row r="587" spans="1:15" x14ac:dyDescent="0.25">
      <c r="A587" s="79">
        <v>43053</v>
      </c>
      <c r="B587" s="80" t="s">
        <v>5199</v>
      </c>
      <c r="C587" s="80" t="s">
        <v>4805</v>
      </c>
      <c r="D587" s="80" t="s">
        <v>31</v>
      </c>
      <c r="E587" s="81">
        <v>200000</v>
      </c>
      <c r="F587" s="80" t="s">
        <v>4806</v>
      </c>
      <c r="G587" s="81">
        <v>176</v>
      </c>
      <c r="H587" s="81">
        <v>176</v>
      </c>
      <c r="I587" s="80" t="s">
        <v>4800</v>
      </c>
      <c r="L587" s="3">
        <f>VLOOKUP(C587,Securities!A:D,4,FALSE)</f>
        <v>5</v>
      </c>
      <c r="M587" s="3" t="str">
        <f>VLOOKUP(C587,Securities!A:B,2,FALSE)</f>
        <v>TT343269 Corp</v>
      </c>
      <c r="O587" s="3">
        <f t="shared" si="10"/>
        <v>200000</v>
      </c>
    </row>
    <row r="588" spans="1:15" x14ac:dyDescent="0.25">
      <c r="A588" s="76">
        <v>43053</v>
      </c>
      <c r="B588" s="77" t="s">
        <v>5199</v>
      </c>
      <c r="C588" s="77" t="s">
        <v>4882</v>
      </c>
      <c r="D588" s="77" t="s">
        <v>4883</v>
      </c>
      <c r="E588" s="78">
        <v>200000</v>
      </c>
      <c r="F588" s="77" t="s">
        <v>4806</v>
      </c>
      <c r="G588" s="78">
        <v>107.88</v>
      </c>
      <c r="H588" s="78">
        <v>107.88</v>
      </c>
      <c r="I588" s="77" t="s">
        <v>4800</v>
      </c>
      <c r="L588" s="3">
        <f>VLOOKUP(C588,Securities!A:D,4,FALSE)</f>
        <v>5</v>
      </c>
      <c r="M588" s="3" t="str">
        <f>VLOOKUP(C588,Securities!A:B,2,FALSE)</f>
        <v>XS1405775377 Corp</v>
      </c>
      <c r="O588" s="3">
        <f t="shared" si="10"/>
        <v>200000</v>
      </c>
    </row>
    <row r="589" spans="1:15" x14ac:dyDescent="0.25">
      <c r="A589" s="79">
        <v>43053</v>
      </c>
      <c r="B589" s="80" t="s">
        <v>5199</v>
      </c>
      <c r="C589" s="80" t="s">
        <v>4899</v>
      </c>
      <c r="D589" s="80" t="s">
        <v>4900</v>
      </c>
      <c r="E589" s="81">
        <v>18900</v>
      </c>
      <c r="F589" s="80" t="s">
        <v>4799</v>
      </c>
      <c r="G589" s="81">
        <v>208.43879799999999</v>
      </c>
      <c r="H589" s="81">
        <v>3.4704799999999998</v>
      </c>
      <c r="I589" s="80" t="s">
        <v>4800</v>
      </c>
      <c r="L589" s="3">
        <f>VLOOKUP(C589,Securities!A:D,4,FALSE)</f>
        <v>1</v>
      </c>
      <c r="M589" s="3" t="str">
        <f>VLOOKUP(C589,Securities!A:B,2,FALSE)</f>
        <v>EVR LN Equity</v>
      </c>
      <c r="O589" s="3">
        <f t="shared" si="10"/>
        <v>18900</v>
      </c>
    </row>
    <row r="590" spans="1:15" x14ac:dyDescent="0.25">
      <c r="A590" s="76">
        <v>43053</v>
      </c>
      <c r="B590" s="77" t="s">
        <v>5199</v>
      </c>
      <c r="C590" s="77" t="s">
        <v>4901</v>
      </c>
      <c r="D590" s="77" t="s">
        <v>4902</v>
      </c>
      <c r="E590" s="78">
        <v>1400</v>
      </c>
      <c r="F590" s="77" t="s">
        <v>4804</v>
      </c>
      <c r="G590" s="78">
        <v>2032.241792</v>
      </c>
      <c r="H590" s="78">
        <v>35.71</v>
      </c>
      <c r="I590" s="77" t="s">
        <v>4800</v>
      </c>
      <c r="L590" s="3">
        <f>VLOOKUP(C590,Securities!A:D,4,FALSE)</f>
        <v>1</v>
      </c>
      <c r="M590" s="3" t="str">
        <f>VLOOKUP(C590,Securities!A:B,2,FALSE)</f>
        <v>FIVE LI Equity</v>
      </c>
      <c r="O590" s="3">
        <f t="shared" si="10"/>
        <v>1400</v>
      </c>
    </row>
    <row r="591" spans="1:15" x14ac:dyDescent="0.25">
      <c r="A591" s="79">
        <v>43053</v>
      </c>
      <c r="B591" s="80" t="s">
        <v>5199</v>
      </c>
      <c r="C591" s="80" t="s">
        <v>4903</v>
      </c>
      <c r="D591" s="80" t="s">
        <v>4904</v>
      </c>
      <c r="E591" s="81">
        <v>400000</v>
      </c>
      <c r="F591" s="80" t="s">
        <v>4806</v>
      </c>
      <c r="G591" s="81">
        <v>105.875</v>
      </c>
      <c r="H591" s="81">
        <v>105.875</v>
      </c>
      <c r="I591" s="80" t="s">
        <v>4800</v>
      </c>
      <c r="L591" s="3">
        <f>VLOOKUP(C591,Securities!A:D,4,FALSE)</f>
        <v>5</v>
      </c>
      <c r="M591" s="3" t="str">
        <f>VLOOKUP(C591,Securities!A:B,2,FALSE)</f>
        <v>XS1319813769 Corp</v>
      </c>
      <c r="O591" s="3">
        <f t="shared" si="10"/>
        <v>400000</v>
      </c>
    </row>
    <row r="592" spans="1:15" x14ac:dyDescent="0.25">
      <c r="A592" s="76">
        <v>43053</v>
      </c>
      <c r="B592" s="77" t="s">
        <v>5199</v>
      </c>
      <c r="C592" s="77" t="s">
        <v>4996</v>
      </c>
      <c r="D592" s="77" t="s">
        <v>4997</v>
      </c>
      <c r="E592" s="78">
        <v>250000</v>
      </c>
      <c r="F592" s="77" t="s">
        <v>4806</v>
      </c>
      <c r="G592" s="78">
        <v>101.5</v>
      </c>
      <c r="H592" s="78">
        <v>101.5</v>
      </c>
      <c r="I592" s="77" t="s">
        <v>4800</v>
      </c>
      <c r="L592" s="3">
        <f>VLOOKUP(C592,Securities!A:D,4,FALSE)</f>
        <v>5</v>
      </c>
      <c r="M592" s="3" t="str">
        <f>VLOOKUP(C592,Securities!A:B,2,FALSE)</f>
        <v>XS1577961516 Corp</v>
      </c>
      <c r="O592" s="3">
        <f t="shared" si="10"/>
        <v>250000</v>
      </c>
    </row>
    <row r="593" spans="1:15" x14ac:dyDescent="0.25">
      <c r="A593" s="79">
        <v>43053</v>
      </c>
      <c r="B593" s="80" t="s">
        <v>5199</v>
      </c>
      <c r="C593" s="80" t="s">
        <v>5086</v>
      </c>
      <c r="D593" s="80" t="s">
        <v>5087</v>
      </c>
      <c r="E593" s="81">
        <v>200000</v>
      </c>
      <c r="F593" s="80" t="s">
        <v>4806</v>
      </c>
      <c r="G593" s="81">
        <v>109.1</v>
      </c>
      <c r="H593" s="81">
        <v>109.1</v>
      </c>
      <c r="I593" s="80" t="s">
        <v>4800</v>
      </c>
      <c r="L593" s="3">
        <f>VLOOKUP(C593,Securities!A:D,4,FALSE)</f>
        <v>5</v>
      </c>
      <c r="M593" s="3" t="str">
        <f>VLOOKUP(C593,Securities!A:B,2,FALSE)</f>
        <v>EJ951547 Corp</v>
      </c>
      <c r="O593" s="3">
        <f t="shared" si="10"/>
        <v>200000</v>
      </c>
    </row>
    <row r="594" spans="1:15" x14ac:dyDescent="0.25">
      <c r="A594" s="76">
        <v>43053</v>
      </c>
      <c r="B594" s="77" t="s">
        <v>5199</v>
      </c>
      <c r="C594" s="77" t="s">
        <v>4847</v>
      </c>
      <c r="D594" s="77" t="s">
        <v>369</v>
      </c>
      <c r="E594" s="78">
        <v>2170</v>
      </c>
      <c r="F594" s="77" t="s">
        <v>4810</v>
      </c>
      <c r="G594" s="78">
        <v>2933.301152</v>
      </c>
      <c r="H594" s="78">
        <v>48.622467999999998</v>
      </c>
      <c r="I594" s="77" t="s">
        <v>4800</v>
      </c>
      <c r="L594" s="3">
        <f>VLOOKUP(C594,Securities!A:D,4,FALSE)</f>
        <v>1</v>
      </c>
      <c r="M594" s="3" t="str">
        <f>VLOOKUP(C594,Securities!A:B,2,FALSE)</f>
        <v>LKOH RX Equity</v>
      </c>
      <c r="O594" s="3">
        <f t="shared" si="10"/>
        <v>2170</v>
      </c>
    </row>
    <row r="595" spans="1:15" x14ac:dyDescent="0.25">
      <c r="A595" s="79">
        <v>43053</v>
      </c>
      <c r="B595" s="80" t="s">
        <v>5199</v>
      </c>
      <c r="C595" s="80" t="s">
        <v>4910</v>
      </c>
      <c r="D595" s="80" t="s">
        <v>366</v>
      </c>
      <c r="E595" s="81">
        <v>6389</v>
      </c>
      <c r="F595" s="80" t="s">
        <v>4810</v>
      </c>
      <c r="G595" s="81">
        <v>901.07687299999998</v>
      </c>
      <c r="H595" s="81">
        <v>15.540341</v>
      </c>
      <c r="I595" s="80" t="s">
        <v>4800</v>
      </c>
      <c r="L595" s="3">
        <f>VLOOKUP(C595,Securities!A:D,4,FALSE)</f>
        <v>1</v>
      </c>
      <c r="M595" s="3" t="str">
        <f>VLOOKUP(C595,Securities!A:B,2,FALSE)</f>
        <v>LSRG RX Equity</v>
      </c>
      <c r="O595" s="3">
        <f t="shared" si="10"/>
        <v>6389</v>
      </c>
    </row>
    <row r="596" spans="1:15" x14ac:dyDescent="0.25">
      <c r="A596" s="76">
        <v>43053</v>
      </c>
      <c r="B596" s="77" t="s">
        <v>5199</v>
      </c>
      <c r="C596" s="77" t="s">
        <v>4911</v>
      </c>
      <c r="D596" s="77" t="s">
        <v>405</v>
      </c>
      <c r="E596" s="78">
        <v>138200</v>
      </c>
      <c r="F596" s="77" t="s">
        <v>4810</v>
      </c>
      <c r="G596" s="78">
        <v>41.702921000000003</v>
      </c>
      <c r="H596" s="78">
        <v>0.72370400000000001</v>
      </c>
      <c r="I596" s="77" t="s">
        <v>4800</v>
      </c>
      <c r="L596" s="3">
        <f>VLOOKUP(C596,Securities!A:D,4,FALSE)</f>
        <v>1</v>
      </c>
      <c r="M596" s="3" t="str">
        <f>VLOOKUP(C596,Securities!A:B,2,FALSE)</f>
        <v>MAGN RX Equity</v>
      </c>
      <c r="O596" s="3">
        <f t="shared" si="10"/>
        <v>138200</v>
      </c>
    </row>
    <row r="597" spans="1:15" x14ac:dyDescent="0.25">
      <c r="A597" s="79">
        <v>43053</v>
      </c>
      <c r="B597" s="80" t="s">
        <v>5199</v>
      </c>
      <c r="C597" s="80" t="s">
        <v>5200</v>
      </c>
      <c r="D597" s="80" t="s">
        <v>5201</v>
      </c>
      <c r="E597" s="81">
        <v>798</v>
      </c>
      <c r="F597" s="80" t="s">
        <v>4799</v>
      </c>
      <c r="G597" s="81">
        <v>3606.6986980000001</v>
      </c>
      <c r="H597" s="81">
        <v>62.59</v>
      </c>
      <c r="I597" s="80" t="s">
        <v>4800</v>
      </c>
      <c r="L597" s="3">
        <f>VLOOKUP(C597,Securities!A:D,4,FALSE)</f>
        <v>1</v>
      </c>
      <c r="M597" s="3" t="str">
        <f>VLOOKUP(C597,Securities!A:B,2,FALSE)</f>
        <v>MO US Equity</v>
      </c>
      <c r="O597" s="3">
        <f t="shared" si="10"/>
        <v>798</v>
      </c>
    </row>
    <row r="598" spans="1:15" x14ac:dyDescent="0.25">
      <c r="A598" s="76">
        <v>43053</v>
      </c>
      <c r="B598" s="77" t="s">
        <v>5199</v>
      </c>
      <c r="C598" s="77" t="s">
        <v>4863</v>
      </c>
      <c r="D598" s="77" t="s">
        <v>4864</v>
      </c>
      <c r="E598" s="78">
        <v>200000</v>
      </c>
      <c r="F598" s="77" t="s">
        <v>4806</v>
      </c>
      <c r="G598" s="78">
        <v>103.75</v>
      </c>
      <c r="H598" s="78">
        <v>103.75</v>
      </c>
      <c r="I598" s="77" t="s">
        <v>4800</v>
      </c>
      <c r="L598" s="3">
        <f>VLOOKUP(C598,Securities!A:D,4,FALSE)</f>
        <v>5</v>
      </c>
      <c r="M598" s="3" t="str">
        <f>VLOOKUP(C598,Securities!A:B,2,FALSE)</f>
        <v>USN54468AF52 Corp</v>
      </c>
      <c r="O598" s="3">
        <f t="shared" si="10"/>
        <v>200000</v>
      </c>
    </row>
    <row r="599" spans="1:15" x14ac:dyDescent="0.25">
      <c r="A599" s="79">
        <v>43053</v>
      </c>
      <c r="B599" s="80" t="s">
        <v>5199</v>
      </c>
      <c r="C599" s="80" t="s">
        <v>4998</v>
      </c>
      <c r="D599" s="80" t="s">
        <v>4999</v>
      </c>
      <c r="E599" s="81">
        <v>200000</v>
      </c>
      <c r="F599" s="80" t="s">
        <v>4806</v>
      </c>
      <c r="G599" s="81">
        <v>103.8</v>
      </c>
      <c r="H599" s="81">
        <v>103.8</v>
      </c>
      <c r="I599" s="80" t="s">
        <v>4800</v>
      </c>
      <c r="L599" s="3">
        <f>VLOOKUP(C599,Securities!A:D,4,FALSE)</f>
        <v>5</v>
      </c>
      <c r="M599" s="3" t="str">
        <f>VLOOKUP(C599,Securities!A:B,2,FALSE)</f>
        <v>XS1503116912 Corp</v>
      </c>
      <c r="O599" s="3">
        <f t="shared" si="10"/>
        <v>200000</v>
      </c>
    </row>
    <row r="600" spans="1:15" x14ac:dyDescent="0.25">
      <c r="A600" s="76">
        <v>43053</v>
      </c>
      <c r="B600" s="77" t="s">
        <v>5199</v>
      </c>
      <c r="C600" s="77" t="s">
        <v>4912</v>
      </c>
      <c r="D600" s="77" t="s">
        <v>28</v>
      </c>
      <c r="E600" s="78">
        <v>808900</v>
      </c>
      <c r="F600" s="77" t="s">
        <v>4810</v>
      </c>
      <c r="G600" s="78">
        <v>7.0985529999999999</v>
      </c>
      <c r="H600" s="78">
        <v>0.12330000000000001</v>
      </c>
      <c r="I600" s="77" t="s">
        <v>4800</v>
      </c>
      <c r="L600" s="3">
        <f>VLOOKUP(C600,Securities!A:D,4,FALSE)</f>
        <v>1</v>
      </c>
      <c r="M600" s="3" t="str">
        <f>VLOOKUP(C600,Securities!A:B,2,FALSE)</f>
        <v>NMTP RX Equity</v>
      </c>
      <c r="O600" s="3">
        <f t="shared" si="10"/>
        <v>808900</v>
      </c>
    </row>
    <row r="601" spans="1:15" x14ac:dyDescent="0.25">
      <c r="A601" s="79">
        <v>43053</v>
      </c>
      <c r="B601" s="80" t="s">
        <v>5199</v>
      </c>
      <c r="C601" s="80" t="s">
        <v>4848</v>
      </c>
      <c r="D601" s="80" t="s">
        <v>511</v>
      </c>
      <c r="E601" s="81">
        <v>9100</v>
      </c>
      <c r="F601" s="80" t="s">
        <v>4810</v>
      </c>
      <c r="G601" s="81">
        <v>619.802008</v>
      </c>
      <c r="H601" s="81">
        <v>10.890992000000001</v>
      </c>
      <c r="I601" s="80" t="s">
        <v>4800</v>
      </c>
      <c r="L601" s="3">
        <f>VLOOKUP(C601,Securities!A:D,4,FALSE)</f>
        <v>1</v>
      </c>
      <c r="M601" s="3" t="str">
        <f>VLOOKUP(C601,Securities!A:B,2,FALSE)</f>
        <v>NVTK RX Equity</v>
      </c>
      <c r="O601" s="3">
        <f t="shared" si="10"/>
        <v>9100</v>
      </c>
    </row>
    <row r="602" spans="1:15" x14ac:dyDescent="0.25">
      <c r="A602" s="76">
        <v>43053</v>
      </c>
      <c r="B602" s="77" t="s">
        <v>5199</v>
      </c>
      <c r="C602" s="77" t="s">
        <v>5177</v>
      </c>
      <c r="D602" s="77" t="s">
        <v>5178</v>
      </c>
      <c r="E602" s="78">
        <v>78456</v>
      </c>
      <c r="F602" s="77" t="s">
        <v>4949</v>
      </c>
      <c r="G602" s="78">
        <v>74.021017000000001</v>
      </c>
      <c r="H602" s="78">
        <v>1.276</v>
      </c>
      <c r="I602" s="77" t="s">
        <v>4800</v>
      </c>
      <c r="L602" s="3">
        <f>VLOOKUP(C602,Securities!A:D,4,FALSE)</f>
        <v>1</v>
      </c>
      <c r="M602" s="3" t="str">
        <f>VLOOKUP(C602,Securities!A:B,2,FALSE)</f>
        <v>OMEAUSA ID Equity</v>
      </c>
      <c r="O602" s="3">
        <f t="shared" si="10"/>
        <v>78456</v>
      </c>
    </row>
    <row r="603" spans="1:15" x14ac:dyDescent="0.25">
      <c r="A603" s="79">
        <v>43053</v>
      </c>
      <c r="B603" s="80" t="s">
        <v>5199</v>
      </c>
      <c r="C603" s="80" t="s">
        <v>4956</v>
      </c>
      <c r="D603" s="80" t="s">
        <v>4957</v>
      </c>
      <c r="E603" s="81">
        <v>7450</v>
      </c>
      <c r="F603" s="80" t="s">
        <v>4804</v>
      </c>
      <c r="G603" s="81">
        <v>781.88077299999998</v>
      </c>
      <c r="H603" s="81">
        <v>13.571020000000001</v>
      </c>
      <c r="I603" s="80" t="s">
        <v>4800</v>
      </c>
      <c r="L603" s="3">
        <f>VLOOKUP(C603,Securities!A:D,4,FALSE)</f>
        <v>1</v>
      </c>
      <c r="M603" s="3" t="str">
        <f>VLOOKUP(C603,Securities!A:B,2,FALSE)</f>
        <v>PHOR LI Equity</v>
      </c>
      <c r="O603" s="3">
        <f t="shared" si="10"/>
        <v>7450</v>
      </c>
    </row>
    <row r="604" spans="1:15" x14ac:dyDescent="0.25">
      <c r="A604" s="76">
        <v>43053</v>
      </c>
      <c r="B604" s="77" t="s">
        <v>5199</v>
      </c>
      <c r="C604" s="77" t="s">
        <v>4892</v>
      </c>
      <c r="D604" s="77" t="s">
        <v>568</v>
      </c>
      <c r="E604" s="78">
        <v>918</v>
      </c>
      <c r="F604" s="77" t="s">
        <v>4810</v>
      </c>
      <c r="G604" s="78">
        <v>4586.5055519999996</v>
      </c>
      <c r="H604" s="78">
        <v>79.512711999999993</v>
      </c>
      <c r="I604" s="77" t="s">
        <v>4800</v>
      </c>
      <c r="L604" s="3">
        <f>VLOOKUP(C604,Securities!A:D,4,FALSE)</f>
        <v>1</v>
      </c>
      <c r="M604" s="3" t="str">
        <f>VLOOKUP(C604,Securities!A:B,2,FALSE)</f>
        <v>PLZL RX Equity</v>
      </c>
      <c r="O604" s="3">
        <f t="shared" si="10"/>
        <v>918</v>
      </c>
    </row>
    <row r="605" spans="1:15" x14ac:dyDescent="0.25">
      <c r="A605" s="79">
        <v>43053</v>
      </c>
      <c r="B605" s="80" t="s">
        <v>5199</v>
      </c>
      <c r="C605" s="80" t="s">
        <v>4967</v>
      </c>
      <c r="D605" s="80" t="s">
        <v>4968</v>
      </c>
      <c r="E605" s="81">
        <v>200000</v>
      </c>
      <c r="F605" s="80" t="s">
        <v>4806</v>
      </c>
      <c r="G605" s="81">
        <v>116</v>
      </c>
      <c r="H605" s="81">
        <v>116</v>
      </c>
      <c r="I605" s="80" t="s">
        <v>4800</v>
      </c>
      <c r="L605" s="3">
        <f>VLOOKUP(C605,Securities!A:D,4,FALSE)</f>
        <v>5</v>
      </c>
      <c r="M605" s="3" t="str">
        <f>VLOOKUP(C605,Securities!A:B,2,FALSE)</f>
        <v>XS0979891925 Corp</v>
      </c>
      <c r="O605" s="3">
        <f t="shared" si="10"/>
        <v>200000</v>
      </c>
    </row>
    <row r="606" spans="1:15" x14ac:dyDescent="0.25">
      <c r="A606" s="76">
        <v>43053</v>
      </c>
      <c r="B606" s="77" t="s">
        <v>5199</v>
      </c>
      <c r="C606" s="77" t="s">
        <v>4851</v>
      </c>
      <c r="D606" s="77" t="s">
        <v>4744</v>
      </c>
      <c r="E606" s="78">
        <v>400000</v>
      </c>
      <c r="F606" s="77" t="s">
        <v>4806</v>
      </c>
      <c r="G606" s="78">
        <v>103</v>
      </c>
      <c r="H606" s="78">
        <v>103</v>
      </c>
      <c r="I606" s="77" t="s">
        <v>4800</v>
      </c>
      <c r="L606" s="3">
        <f>VLOOKUP(C606,Securities!A:D,4,FALSE)</f>
        <v>5</v>
      </c>
      <c r="M606" s="3" t="str">
        <f>VLOOKUP(C606,Securities!A:B,2,FALSE)</f>
        <v>XS1032750165 Corp</v>
      </c>
      <c r="O606" s="3">
        <f t="shared" si="10"/>
        <v>400000</v>
      </c>
    </row>
    <row r="607" spans="1:15" x14ac:dyDescent="0.25">
      <c r="A607" s="79">
        <v>43053</v>
      </c>
      <c r="B607" s="80" t="s">
        <v>5199</v>
      </c>
      <c r="C607" s="80" t="s">
        <v>5004</v>
      </c>
      <c r="D607" s="80" t="s">
        <v>5005</v>
      </c>
      <c r="E607" s="81">
        <v>200000</v>
      </c>
      <c r="F607" s="80" t="s">
        <v>4806</v>
      </c>
      <c r="G607" s="81">
        <v>103.875</v>
      </c>
      <c r="H607" s="81">
        <v>103.875</v>
      </c>
      <c r="I607" s="80" t="s">
        <v>4800</v>
      </c>
      <c r="L607" s="3">
        <f>VLOOKUP(C607,Securities!A:D,4,FALSE)</f>
        <v>5</v>
      </c>
      <c r="M607" s="3" t="str">
        <f>VLOOKUP(C607,Securities!A:B,2,FALSE)</f>
        <v>XS1433454243 Corp</v>
      </c>
      <c r="O607" s="3">
        <f t="shared" si="10"/>
        <v>200000</v>
      </c>
    </row>
    <row r="608" spans="1:15" x14ac:dyDescent="0.25">
      <c r="A608" s="76">
        <v>43053</v>
      </c>
      <c r="B608" s="77" t="s">
        <v>5199</v>
      </c>
      <c r="C608" s="77" t="s">
        <v>5055</v>
      </c>
      <c r="D608" s="77" t="s">
        <v>5056</v>
      </c>
      <c r="E608" s="78">
        <v>200000</v>
      </c>
      <c r="F608" s="77" t="s">
        <v>4806</v>
      </c>
      <c r="G608" s="78">
        <v>100.25</v>
      </c>
      <c r="H608" s="78">
        <v>100.25</v>
      </c>
      <c r="I608" s="77" t="s">
        <v>4800</v>
      </c>
      <c r="L608" s="3">
        <f>VLOOKUP(C608,Securities!A:D,4,FALSE)</f>
        <v>5</v>
      </c>
      <c r="M608" s="3" t="str">
        <f>VLOOKUP(C608,Securities!A:B,2,FALSE)</f>
        <v>XS1693971043 Corp</v>
      </c>
      <c r="O608" s="3">
        <f t="shared" si="10"/>
        <v>200000</v>
      </c>
    </row>
    <row r="609" spans="1:15" x14ac:dyDescent="0.25">
      <c r="A609" s="79">
        <v>43053</v>
      </c>
      <c r="B609" s="80" t="s">
        <v>5199</v>
      </c>
      <c r="C609" s="80" t="s">
        <v>5057</v>
      </c>
      <c r="D609" s="80" t="s">
        <v>5058</v>
      </c>
      <c r="E609" s="81">
        <v>200000</v>
      </c>
      <c r="F609" s="80" t="s">
        <v>4806</v>
      </c>
      <c r="G609" s="81">
        <v>99.5</v>
      </c>
      <c r="H609" s="81">
        <v>99.5</v>
      </c>
      <c r="I609" s="80" t="s">
        <v>4800</v>
      </c>
      <c r="L609" s="3">
        <f>VLOOKUP(C609,Securities!A:D,4,FALSE)</f>
        <v>5</v>
      </c>
      <c r="M609" s="3" t="str">
        <f>VLOOKUP(C609,Securities!A:B,2,FALSE)</f>
        <v>USG79456AK84 Corp</v>
      </c>
      <c r="O609" s="3">
        <f t="shared" si="10"/>
        <v>200000</v>
      </c>
    </row>
    <row r="610" spans="1:15" x14ac:dyDescent="0.25">
      <c r="A610" s="76">
        <v>43053</v>
      </c>
      <c r="B610" s="77" t="s">
        <v>5199</v>
      </c>
      <c r="C610" s="77" t="s">
        <v>5277</v>
      </c>
      <c r="D610" s="77" t="s">
        <v>5278</v>
      </c>
      <c r="E610" s="78">
        <v>8207</v>
      </c>
      <c r="F610" s="77" t="s">
        <v>4908</v>
      </c>
      <c r="G610" s="78">
        <v>656.97202200000004</v>
      </c>
      <c r="H610" s="78">
        <v>11.082374</v>
      </c>
      <c r="I610" s="77" t="s">
        <v>4823</v>
      </c>
      <c r="L610" s="3">
        <f>VLOOKUP(C610,Securities!A:D,4,FALSE)</f>
        <v>1</v>
      </c>
      <c r="M610" s="3" t="str">
        <f>VLOOKUP(C610,Securities!A:B,2,FALSE)</f>
        <v>TDNESG1 LN Equity</v>
      </c>
      <c r="O610" s="3">
        <f t="shared" si="10"/>
        <v>8207</v>
      </c>
    </row>
    <row r="611" spans="1:15" x14ac:dyDescent="0.25">
      <c r="A611" s="79">
        <v>43053</v>
      </c>
      <c r="B611" s="80" t="s">
        <v>5199</v>
      </c>
      <c r="C611" s="80" t="s">
        <v>4917</v>
      </c>
      <c r="D611" s="80" t="s">
        <v>742</v>
      </c>
      <c r="E611" s="81">
        <v>71150</v>
      </c>
      <c r="F611" s="80" t="s">
        <v>4810</v>
      </c>
      <c r="G611" s="81">
        <v>79.723965000000007</v>
      </c>
      <c r="H611" s="81">
        <v>1.3979220000000001</v>
      </c>
      <c r="I611" s="80" t="s">
        <v>4800</v>
      </c>
      <c r="L611" s="3">
        <f>VLOOKUP(C611,Securities!A:D,4,FALSE)</f>
        <v>1</v>
      </c>
      <c r="M611" s="3" t="str">
        <f>VLOOKUP(C611,Securities!A:B,2,FALSE)</f>
        <v>TRMK RX Equity</v>
      </c>
      <c r="O611" s="3">
        <f t="shared" si="10"/>
        <v>71150</v>
      </c>
    </row>
    <row r="612" spans="1:15" x14ac:dyDescent="0.25">
      <c r="A612" s="76">
        <v>43053</v>
      </c>
      <c r="B612" s="77" t="s">
        <v>5199</v>
      </c>
      <c r="C612" s="77" t="s">
        <v>5006</v>
      </c>
      <c r="D612" s="77" t="s">
        <v>5007</v>
      </c>
      <c r="E612" s="78">
        <v>200000</v>
      </c>
      <c r="F612" s="77" t="s">
        <v>4806</v>
      </c>
      <c r="G612" s="78">
        <v>110.375</v>
      </c>
      <c r="H612" s="78">
        <v>110.375</v>
      </c>
      <c r="I612" s="77" t="s">
        <v>4800</v>
      </c>
      <c r="L612" s="3">
        <f>VLOOKUP(C612,Securities!A:D,4,FALSE)</f>
        <v>5</v>
      </c>
      <c r="M612" s="3" t="str">
        <f>VLOOKUP(C612,Securities!A:B,2,FALSE)</f>
        <v>XS1400710726 Corp</v>
      </c>
      <c r="O612" s="3">
        <f t="shared" si="10"/>
        <v>200000</v>
      </c>
    </row>
    <row r="613" spans="1:15" x14ac:dyDescent="0.25">
      <c r="A613" s="79">
        <v>43053</v>
      </c>
      <c r="B613" s="80" t="s">
        <v>5199</v>
      </c>
      <c r="C613" s="80" t="s">
        <v>5028</v>
      </c>
      <c r="D613" s="80" t="s">
        <v>5029</v>
      </c>
      <c r="E613" s="81">
        <v>200000</v>
      </c>
      <c r="F613" s="80" t="s">
        <v>4806</v>
      </c>
      <c r="G613" s="81">
        <v>110</v>
      </c>
      <c r="H613" s="81">
        <v>110</v>
      </c>
      <c r="I613" s="80" t="s">
        <v>4800</v>
      </c>
      <c r="L613" s="3">
        <f>VLOOKUP(C613,Securities!A:D,4,FALSE)</f>
        <v>5</v>
      </c>
      <c r="M613" s="3" t="str">
        <f>VLOOKUP(C613,Securities!A:B,2,FALSE)</f>
        <v>EJ394063 Corp</v>
      </c>
      <c r="O613" s="3">
        <f t="shared" si="10"/>
        <v>200000</v>
      </c>
    </row>
    <row r="614" spans="1:15" x14ac:dyDescent="0.25">
      <c r="A614" s="76">
        <v>43053</v>
      </c>
      <c r="B614" s="77" t="s">
        <v>5202</v>
      </c>
      <c r="C614" s="77" t="s">
        <v>5203</v>
      </c>
      <c r="D614" s="77" t="s">
        <v>5204</v>
      </c>
      <c r="E614" s="78">
        <v>200000</v>
      </c>
      <c r="F614" s="77" t="s">
        <v>4806</v>
      </c>
      <c r="G614" s="78">
        <v>74.900000000000006</v>
      </c>
      <c r="H614" s="78">
        <v>74.900000000000006</v>
      </c>
      <c r="I614" s="77" t="s">
        <v>4800</v>
      </c>
      <c r="L614" s="3">
        <f>VLOOKUP(C614,Securities!A:D,4,FALSE)</f>
        <v>5</v>
      </c>
      <c r="M614" s="3" t="str">
        <f>VLOOKUP(C614,Securities!A:B,2,FALSE)</f>
        <v>EI178316 Corp</v>
      </c>
      <c r="O614" s="3">
        <f t="shared" si="10"/>
        <v>200000</v>
      </c>
    </row>
    <row r="615" spans="1:15" x14ac:dyDescent="0.25">
      <c r="A615" s="79">
        <v>43053</v>
      </c>
      <c r="B615" s="80" t="s">
        <v>5202</v>
      </c>
      <c r="C615" s="80" t="s">
        <v>4815</v>
      </c>
      <c r="D615" s="80" t="s">
        <v>4676</v>
      </c>
      <c r="E615" s="81">
        <v>1135</v>
      </c>
      <c r="F615" s="80" t="s">
        <v>4799</v>
      </c>
      <c r="G615" s="81">
        <v>2568.755365</v>
      </c>
      <c r="H615" s="81">
        <v>42.862740000000002</v>
      </c>
      <c r="I615" s="80" t="s">
        <v>4800</v>
      </c>
      <c r="L615" s="3">
        <f>VLOOKUP(C615,Securities!A:D,4,FALSE)</f>
        <v>1</v>
      </c>
      <c r="M615" s="3" t="str">
        <f>VLOOKUP(C615,Securities!A:B,2,FALSE)</f>
        <v>LXFT US Equity</v>
      </c>
      <c r="O615" s="3">
        <f t="shared" si="10"/>
        <v>1135</v>
      </c>
    </row>
    <row r="616" spans="1:15" x14ac:dyDescent="0.25">
      <c r="A616" s="76">
        <v>43053</v>
      </c>
      <c r="B616" s="77" t="s">
        <v>5202</v>
      </c>
      <c r="C616" s="77" t="s">
        <v>4819</v>
      </c>
      <c r="D616" s="77" t="s">
        <v>4820</v>
      </c>
      <c r="E616" s="78">
        <v>230000</v>
      </c>
      <c r="F616" s="77" t="s">
        <v>4806</v>
      </c>
      <c r="G616" s="78">
        <v>50</v>
      </c>
      <c r="H616" s="78">
        <v>50</v>
      </c>
      <c r="I616" s="77" t="s">
        <v>4800</v>
      </c>
      <c r="L616" s="3">
        <f>VLOOKUP(C616,Securities!A:D,4,FALSE)</f>
        <v>5</v>
      </c>
      <c r="M616" s="3" t="str">
        <f>VLOOKUP(C616,Securities!A:B,2,FALSE)</f>
        <v>XS0776121062 Corp</v>
      </c>
      <c r="O616" s="3">
        <f t="shared" si="10"/>
        <v>230000</v>
      </c>
    </row>
    <row r="617" spans="1:15" x14ac:dyDescent="0.25">
      <c r="A617" s="79">
        <v>43053</v>
      </c>
      <c r="B617" s="80" t="s">
        <v>5205</v>
      </c>
      <c r="C617" s="80" t="s">
        <v>4803</v>
      </c>
      <c r="D617" s="80" t="s">
        <v>39</v>
      </c>
      <c r="E617" s="81">
        <v>3950</v>
      </c>
      <c r="F617" s="80" t="s">
        <v>4804</v>
      </c>
      <c r="G617" s="81">
        <v>704.26439900000003</v>
      </c>
      <c r="H617" s="81">
        <v>12.6</v>
      </c>
      <c r="I617" s="80" t="s">
        <v>4800</v>
      </c>
      <c r="L617" s="3">
        <f>VLOOKUP(C617,Securities!A:D,4,FALSE)</f>
        <v>1</v>
      </c>
      <c r="M617" s="3" t="str">
        <f>VLOOKUP(C617,Securities!A:B,2,FALSE)</f>
        <v>AGRO LI Equity</v>
      </c>
      <c r="O617" s="3">
        <f t="shared" si="10"/>
        <v>3950</v>
      </c>
    </row>
    <row r="618" spans="1:15" x14ac:dyDescent="0.25">
      <c r="A618" s="76">
        <v>43053</v>
      </c>
      <c r="B618" s="77" t="s">
        <v>5205</v>
      </c>
      <c r="C618" s="77" t="s">
        <v>4805</v>
      </c>
      <c r="D618" s="77" t="s">
        <v>31</v>
      </c>
      <c r="E618" s="78">
        <v>442000</v>
      </c>
      <c r="F618" s="77" t="s">
        <v>4806</v>
      </c>
      <c r="G618" s="78">
        <v>175.07475099999999</v>
      </c>
      <c r="H618" s="78">
        <v>175.07475099999999</v>
      </c>
      <c r="I618" s="77" t="s">
        <v>4800</v>
      </c>
      <c r="L618" s="3">
        <f>VLOOKUP(C618,Securities!A:D,4,FALSE)</f>
        <v>5</v>
      </c>
      <c r="M618" s="3" t="str">
        <f>VLOOKUP(C618,Securities!A:B,2,FALSE)</f>
        <v>TT343269 Corp</v>
      </c>
      <c r="O618" s="3">
        <f t="shared" si="10"/>
        <v>442000</v>
      </c>
    </row>
    <row r="619" spans="1:15" x14ac:dyDescent="0.25">
      <c r="A619" s="79">
        <v>43053</v>
      </c>
      <c r="B619" s="80" t="s">
        <v>5205</v>
      </c>
      <c r="C619" s="80" t="s">
        <v>4845</v>
      </c>
      <c r="D619" s="80" t="s">
        <v>4846</v>
      </c>
      <c r="E619" s="81">
        <v>200000</v>
      </c>
      <c r="F619" s="80" t="s">
        <v>4806</v>
      </c>
      <c r="G619" s="81">
        <v>111.53</v>
      </c>
      <c r="H619" s="81">
        <v>111.53</v>
      </c>
      <c r="I619" s="80" t="s">
        <v>4800</v>
      </c>
      <c r="L619" s="3">
        <f>VLOOKUP(C619,Securities!A:D,4,FALSE)</f>
        <v>5</v>
      </c>
      <c r="M619" s="3" t="str">
        <f>VLOOKUP(C619,Securities!A:B,2,FALSE)</f>
        <v>XS1319822752 Corp</v>
      </c>
      <c r="O619" s="3">
        <f t="shared" si="10"/>
        <v>200000</v>
      </c>
    </row>
    <row r="620" spans="1:15" x14ac:dyDescent="0.25">
      <c r="A620" s="76">
        <v>43053</v>
      </c>
      <c r="B620" s="77" t="s">
        <v>5205</v>
      </c>
      <c r="C620" s="77" t="s">
        <v>5189</v>
      </c>
      <c r="D620" s="77" t="s">
        <v>4741</v>
      </c>
      <c r="E620" s="78">
        <v>200000</v>
      </c>
      <c r="F620" s="77" t="s">
        <v>4806</v>
      </c>
      <c r="G620" s="78">
        <v>110.61</v>
      </c>
      <c r="H620" s="78">
        <v>110.61</v>
      </c>
      <c r="I620" s="77" t="s">
        <v>4800</v>
      </c>
      <c r="L620" s="3">
        <f>VLOOKUP(C620,Securities!A:D,4,FALSE)</f>
        <v>5</v>
      </c>
      <c r="M620" s="3" t="str">
        <f>VLOOKUP(C620,Securities!A:B,2,FALSE)</f>
        <v>XS0290580595 Corp</v>
      </c>
      <c r="O620" s="3">
        <f t="shared" si="10"/>
        <v>200000</v>
      </c>
    </row>
    <row r="621" spans="1:15" x14ac:dyDescent="0.25">
      <c r="A621" s="79">
        <v>43053</v>
      </c>
      <c r="B621" s="80" t="s">
        <v>5205</v>
      </c>
      <c r="C621" s="80" t="s">
        <v>4963</v>
      </c>
      <c r="D621" s="80" t="s">
        <v>4964</v>
      </c>
      <c r="E621" s="81">
        <v>200000</v>
      </c>
      <c r="F621" s="80" t="s">
        <v>4806</v>
      </c>
      <c r="G621" s="81">
        <v>97.95</v>
      </c>
      <c r="H621" s="81">
        <v>97.95</v>
      </c>
      <c r="I621" s="80" t="s">
        <v>4800</v>
      </c>
      <c r="L621" s="3">
        <f>VLOOKUP(C621,Securities!A:D,4,FALSE)</f>
        <v>5</v>
      </c>
      <c r="M621" s="3" t="str">
        <f>VLOOKUP(C621,Securities!A:B,2,FALSE)</f>
        <v>XS1439838548 Corp</v>
      </c>
      <c r="O621" s="3">
        <f t="shared" si="10"/>
        <v>200000</v>
      </c>
    </row>
    <row r="622" spans="1:15" x14ac:dyDescent="0.25">
      <c r="A622" s="76">
        <v>43053</v>
      </c>
      <c r="B622" s="77" t="s">
        <v>5205</v>
      </c>
      <c r="C622" s="77" t="s">
        <v>4811</v>
      </c>
      <c r="D622" s="77" t="s">
        <v>4659</v>
      </c>
      <c r="E622" s="78">
        <v>90438</v>
      </c>
      <c r="F622" s="77" t="s">
        <v>4799</v>
      </c>
      <c r="G622" s="78">
        <v>112.03840599999999</v>
      </c>
      <c r="H622" s="78">
        <v>1.9599899999999999</v>
      </c>
      <c r="I622" s="77" t="s">
        <v>4800</v>
      </c>
      <c r="L622" s="3">
        <f>VLOOKUP(C622,Securities!A:D,4,FALSE)</f>
        <v>1</v>
      </c>
      <c r="M622" s="3" t="str">
        <f>VLOOKUP(C622,Securities!A:B,2,FALSE)</f>
        <v>HGM LN Equity</v>
      </c>
      <c r="O622" s="3">
        <f t="shared" si="10"/>
        <v>90438</v>
      </c>
    </row>
    <row r="623" spans="1:15" x14ac:dyDescent="0.25">
      <c r="A623" s="79">
        <v>43053</v>
      </c>
      <c r="B623" s="80" t="s">
        <v>5205</v>
      </c>
      <c r="C623" s="80" t="s">
        <v>4812</v>
      </c>
      <c r="D623" s="80" t="s">
        <v>4675</v>
      </c>
      <c r="E623" s="81">
        <v>6250</v>
      </c>
      <c r="F623" s="80" t="s">
        <v>4804</v>
      </c>
      <c r="G623" s="81">
        <v>570.711187</v>
      </c>
      <c r="H623" s="81">
        <v>9.9023000000000003</v>
      </c>
      <c r="I623" s="80" t="s">
        <v>4800</v>
      </c>
      <c r="L623" s="3">
        <f>VLOOKUP(C623,Securities!A:D,4,FALSE)</f>
        <v>1</v>
      </c>
      <c r="M623" s="3" t="str">
        <f>VLOOKUP(C623,Securities!A:B,2,FALSE)</f>
        <v>KMG LI Equity</v>
      </c>
      <c r="O623" s="3">
        <f t="shared" si="10"/>
        <v>6250</v>
      </c>
    </row>
    <row r="624" spans="1:15" x14ac:dyDescent="0.25">
      <c r="A624" s="76">
        <v>43053</v>
      </c>
      <c r="B624" s="77" t="s">
        <v>5205</v>
      </c>
      <c r="C624" s="77" t="s">
        <v>4815</v>
      </c>
      <c r="D624" s="77" t="s">
        <v>4676</v>
      </c>
      <c r="E624" s="78">
        <v>2271</v>
      </c>
      <c r="F624" s="77" t="s">
        <v>4799</v>
      </c>
      <c r="G624" s="78">
        <v>2875.6352379999998</v>
      </c>
      <c r="H624" s="78">
        <v>48.934041999999998</v>
      </c>
      <c r="I624" s="77" t="s">
        <v>4800</v>
      </c>
      <c r="L624" s="3">
        <f>VLOOKUP(C624,Securities!A:D,4,FALSE)</f>
        <v>1</v>
      </c>
      <c r="M624" s="3" t="str">
        <f>VLOOKUP(C624,Securities!A:B,2,FALSE)</f>
        <v>LXFT US Equity</v>
      </c>
      <c r="O624" s="3">
        <f t="shared" si="10"/>
        <v>2271</v>
      </c>
    </row>
    <row r="625" spans="1:15" x14ac:dyDescent="0.25">
      <c r="A625" s="79">
        <v>43053</v>
      </c>
      <c r="B625" s="80" t="s">
        <v>5205</v>
      </c>
      <c r="C625" s="80" t="s">
        <v>4998</v>
      </c>
      <c r="D625" s="80" t="s">
        <v>4999</v>
      </c>
      <c r="E625" s="81">
        <v>200000</v>
      </c>
      <c r="F625" s="80" t="s">
        <v>4806</v>
      </c>
      <c r="G625" s="81">
        <v>103.7</v>
      </c>
      <c r="H625" s="81">
        <v>103.7</v>
      </c>
      <c r="I625" s="80" t="s">
        <v>4800</v>
      </c>
      <c r="L625" s="3">
        <f>VLOOKUP(C625,Securities!A:D,4,FALSE)</f>
        <v>5</v>
      </c>
      <c r="M625" s="3" t="str">
        <f>VLOOKUP(C625,Securities!A:B,2,FALSE)</f>
        <v>XS1503116912 Corp</v>
      </c>
      <c r="O625" s="3">
        <f t="shared" si="10"/>
        <v>200000</v>
      </c>
    </row>
    <row r="626" spans="1:15" x14ac:dyDescent="0.25">
      <c r="A626" s="76">
        <v>43053</v>
      </c>
      <c r="B626" s="77" t="s">
        <v>5205</v>
      </c>
      <c r="C626" s="77" t="s">
        <v>4816</v>
      </c>
      <c r="D626" s="77" t="s">
        <v>4817</v>
      </c>
      <c r="E626" s="78">
        <v>2850</v>
      </c>
      <c r="F626" s="77" t="s">
        <v>4799</v>
      </c>
      <c r="G626" s="78">
        <v>1248.5330449999999</v>
      </c>
      <c r="H626" s="78">
        <v>21.85</v>
      </c>
      <c r="I626" s="77" t="s">
        <v>4800</v>
      </c>
      <c r="L626" s="3">
        <f>VLOOKUP(C626,Securities!A:D,4,FALSE)</f>
        <v>1</v>
      </c>
      <c r="M626" s="3" t="str">
        <f>VLOOKUP(C626,Securities!A:B,2,FALSE)</f>
        <v>M US Equity</v>
      </c>
      <c r="O626" s="3">
        <f t="shared" si="10"/>
        <v>2850</v>
      </c>
    </row>
    <row r="627" spans="1:15" x14ac:dyDescent="0.25">
      <c r="A627" s="79">
        <v>43053</v>
      </c>
      <c r="B627" s="80" t="s">
        <v>5205</v>
      </c>
      <c r="C627" s="80" t="s">
        <v>4819</v>
      </c>
      <c r="D627" s="80" t="s">
        <v>4820</v>
      </c>
      <c r="E627" s="81">
        <v>200000</v>
      </c>
      <c r="F627" s="80" t="s">
        <v>4806</v>
      </c>
      <c r="G627" s="81">
        <v>95.515000000000001</v>
      </c>
      <c r="H627" s="81">
        <v>95.515000000000001</v>
      </c>
      <c r="I627" s="80" t="s">
        <v>4800</v>
      </c>
      <c r="L627" s="3">
        <f>VLOOKUP(C627,Securities!A:D,4,FALSE)</f>
        <v>5</v>
      </c>
      <c r="M627" s="3" t="str">
        <f>VLOOKUP(C627,Securities!A:B,2,FALSE)</f>
        <v>XS0776121062 Corp</v>
      </c>
      <c r="O627" s="3">
        <f t="shared" si="10"/>
        <v>200000</v>
      </c>
    </row>
    <row r="628" spans="1:15" x14ac:dyDescent="0.25">
      <c r="A628" s="76">
        <v>43053</v>
      </c>
      <c r="B628" s="77" t="s">
        <v>5205</v>
      </c>
      <c r="C628" s="77" t="s">
        <v>4848</v>
      </c>
      <c r="D628" s="77" t="s">
        <v>511</v>
      </c>
      <c r="E628" s="78">
        <v>5750</v>
      </c>
      <c r="F628" s="77" t="s">
        <v>4810</v>
      </c>
      <c r="G628" s="78">
        <v>617.12320799999998</v>
      </c>
      <c r="H628" s="78">
        <v>10.900309</v>
      </c>
      <c r="I628" s="77" t="s">
        <v>4800</v>
      </c>
      <c r="L628" s="3">
        <f>VLOOKUP(C628,Securities!A:D,4,FALSE)</f>
        <v>1</v>
      </c>
      <c r="M628" s="3" t="str">
        <f>VLOOKUP(C628,Securities!A:B,2,FALSE)</f>
        <v>NVTK RX Equity</v>
      </c>
      <c r="O628" s="3">
        <f t="shared" si="10"/>
        <v>5750</v>
      </c>
    </row>
    <row r="629" spans="1:15" x14ac:dyDescent="0.25">
      <c r="A629" s="79">
        <v>43053</v>
      </c>
      <c r="B629" s="80" t="s">
        <v>5205</v>
      </c>
      <c r="C629" s="80" t="s">
        <v>4849</v>
      </c>
      <c r="D629" s="80" t="s">
        <v>4850</v>
      </c>
      <c r="E629" s="81">
        <v>28900</v>
      </c>
      <c r="F629" s="80" t="s">
        <v>4825</v>
      </c>
      <c r="G629" s="81">
        <v>246.97550799999999</v>
      </c>
      <c r="H629" s="81">
        <v>4.3234839999999997</v>
      </c>
      <c r="I629" s="80" t="s">
        <v>4800</v>
      </c>
      <c r="L629" s="3">
        <f>VLOOKUP(C629,Securities!A:D,4,FALSE)</f>
        <v>1</v>
      </c>
      <c r="M629" s="3" t="str">
        <f>VLOOKUP(C629,Securities!A:B,2,FALSE)</f>
        <v>OGZD LI Equity</v>
      </c>
      <c r="O629" s="3">
        <f t="shared" si="10"/>
        <v>28900</v>
      </c>
    </row>
    <row r="630" spans="1:15" x14ac:dyDescent="0.25">
      <c r="A630" s="76">
        <v>43053</v>
      </c>
      <c r="B630" s="77" t="s">
        <v>5205</v>
      </c>
      <c r="C630" s="77" t="s">
        <v>4821</v>
      </c>
      <c r="D630" s="77" t="s">
        <v>42</v>
      </c>
      <c r="E630" s="78">
        <v>5150</v>
      </c>
      <c r="F630" s="77" t="s">
        <v>4799</v>
      </c>
      <c r="G630" s="78">
        <v>701.56622900000002</v>
      </c>
      <c r="H630" s="78">
        <v>12.150689</v>
      </c>
      <c r="I630" s="77" t="s">
        <v>4800</v>
      </c>
      <c r="L630" s="3">
        <f>VLOOKUP(C630,Securities!A:D,4,FALSE)</f>
        <v>1</v>
      </c>
      <c r="M630" s="3" t="str">
        <f>VLOOKUP(C630,Securities!A:B,2,FALSE)</f>
        <v>POLY LN Equity</v>
      </c>
      <c r="O630" s="3">
        <f t="shared" si="10"/>
        <v>5150</v>
      </c>
    </row>
    <row r="631" spans="1:15" x14ac:dyDescent="0.25">
      <c r="A631" s="79">
        <v>43053</v>
      </c>
      <c r="B631" s="80" t="s">
        <v>5205</v>
      </c>
      <c r="C631" s="80" t="s">
        <v>4834</v>
      </c>
      <c r="D631" s="80" t="s">
        <v>51</v>
      </c>
      <c r="E631" s="81">
        <v>3850</v>
      </c>
      <c r="F631" s="80" t="s">
        <v>4825</v>
      </c>
      <c r="G631" s="81">
        <v>938.94508199999996</v>
      </c>
      <c r="H631" s="81">
        <v>16.230599999999999</v>
      </c>
      <c r="I631" s="80" t="s">
        <v>4800</v>
      </c>
      <c r="L631" s="3">
        <f>VLOOKUP(C631,Securities!A:D,4,FALSE)</f>
        <v>1</v>
      </c>
      <c r="M631" s="3" t="str">
        <f>VLOOKUP(C631,Securities!A:B,2,FALSE)</f>
        <v>QIWI US Equity</v>
      </c>
      <c r="O631" s="3">
        <f t="shared" si="10"/>
        <v>3850</v>
      </c>
    </row>
    <row r="632" spans="1:15" x14ac:dyDescent="0.25">
      <c r="A632" s="76">
        <v>43053</v>
      </c>
      <c r="B632" s="77" t="s">
        <v>5205</v>
      </c>
      <c r="C632" s="77" t="s">
        <v>4851</v>
      </c>
      <c r="D632" s="77" t="s">
        <v>4744</v>
      </c>
      <c r="E632" s="78">
        <v>200000</v>
      </c>
      <c r="F632" s="77" t="s">
        <v>4806</v>
      </c>
      <c r="G632" s="78">
        <v>102.625</v>
      </c>
      <c r="H632" s="78">
        <v>102.625</v>
      </c>
      <c r="I632" s="77" t="s">
        <v>4800</v>
      </c>
      <c r="L632" s="3">
        <f>VLOOKUP(C632,Securities!A:D,4,FALSE)</f>
        <v>5</v>
      </c>
      <c r="M632" s="3" t="str">
        <f>VLOOKUP(C632,Securities!A:B,2,FALSE)</f>
        <v>XS1032750165 Corp</v>
      </c>
      <c r="O632" s="3">
        <f t="shared" si="10"/>
        <v>200000</v>
      </c>
    </row>
    <row r="633" spans="1:15" x14ac:dyDescent="0.25">
      <c r="A633" s="79">
        <v>43053</v>
      </c>
      <c r="B633" s="80" t="s">
        <v>5205</v>
      </c>
      <c r="C633" s="80" t="s">
        <v>5004</v>
      </c>
      <c r="D633" s="80" t="s">
        <v>5005</v>
      </c>
      <c r="E633" s="81">
        <v>200000</v>
      </c>
      <c r="F633" s="80" t="s">
        <v>4806</v>
      </c>
      <c r="G633" s="81">
        <v>104.15</v>
      </c>
      <c r="H633" s="81">
        <v>104.15</v>
      </c>
      <c r="I633" s="80" t="s">
        <v>4800</v>
      </c>
      <c r="L633" s="3">
        <f>VLOOKUP(C633,Securities!A:D,4,FALSE)</f>
        <v>5</v>
      </c>
      <c r="M633" s="3" t="str">
        <f>VLOOKUP(C633,Securities!A:B,2,FALSE)</f>
        <v>XS1433454243 Corp</v>
      </c>
      <c r="O633" s="3">
        <f t="shared" si="10"/>
        <v>200000</v>
      </c>
    </row>
    <row r="634" spans="1:15" x14ac:dyDescent="0.25">
      <c r="A634" s="76">
        <v>43053</v>
      </c>
      <c r="B634" s="77" t="s">
        <v>5205</v>
      </c>
      <c r="C634" s="77" t="s">
        <v>4824</v>
      </c>
      <c r="D634" s="77" t="s">
        <v>4674</v>
      </c>
      <c r="E634" s="78">
        <v>14205</v>
      </c>
      <c r="F634" s="77" t="s">
        <v>4825</v>
      </c>
      <c r="G634" s="78">
        <v>0</v>
      </c>
      <c r="H634" s="78">
        <v>0</v>
      </c>
      <c r="I634" s="77" t="s">
        <v>4800</v>
      </c>
      <c r="L634" s="3">
        <f>VLOOKUP(C634,Securities!A:D,4,FALSE)</f>
        <v>1</v>
      </c>
      <c r="M634" s="3" t="str">
        <f>VLOOKUP(C634,Securities!A:B,2,FALSE)</f>
        <v>VEON US Equity</v>
      </c>
      <c r="O634" s="3">
        <f t="shared" si="10"/>
        <v>14205</v>
      </c>
    </row>
    <row r="635" spans="1:15" x14ac:dyDescent="0.25">
      <c r="A635" s="79">
        <v>43053</v>
      </c>
      <c r="B635" s="80" t="s">
        <v>5206</v>
      </c>
      <c r="C635" s="80" t="s">
        <v>4805</v>
      </c>
      <c r="D635" s="80" t="s">
        <v>31</v>
      </c>
      <c r="E635" s="81">
        <v>327000</v>
      </c>
      <c r="F635" s="80" t="s">
        <v>4806</v>
      </c>
      <c r="G635" s="81">
        <v>174.66720100000001</v>
      </c>
      <c r="H635" s="81">
        <v>174.66720100000001</v>
      </c>
      <c r="I635" s="80" t="s">
        <v>4800</v>
      </c>
      <c r="L635" s="3">
        <f>VLOOKUP(C635,Securities!A:D,4,FALSE)</f>
        <v>5</v>
      </c>
      <c r="M635" s="3" t="str">
        <f>VLOOKUP(C635,Securities!A:B,2,FALSE)</f>
        <v>TT343269 Corp</v>
      </c>
      <c r="O635" s="3">
        <f t="shared" si="10"/>
        <v>327000</v>
      </c>
    </row>
    <row r="636" spans="1:15" x14ac:dyDescent="0.25">
      <c r="A636" s="76">
        <v>43053</v>
      </c>
      <c r="B636" s="77" t="s">
        <v>5206</v>
      </c>
      <c r="C636" s="77" t="s">
        <v>5207</v>
      </c>
      <c r="D636" s="77" t="s">
        <v>5208</v>
      </c>
      <c r="E636" s="78">
        <v>3</v>
      </c>
      <c r="F636" s="77" t="s">
        <v>4974</v>
      </c>
      <c r="G636" s="78">
        <v>102.033333</v>
      </c>
      <c r="H636" s="78">
        <v>102.033333</v>
      </c>
      <c r="I636" s="77" t="s">
        <v>4800</v>
      </c>
      <c r="L636" s="3">
        <f>VLOOKUP(C636,Securities!A:D,4,FALSE)</f>
        <v>5</v>
      </c>
      <c r="M636" s="3" t="str">
        <f>VLOOKUP(C636,Securities!A:B,2,FALSE)</f>
        <v>RU000A0JXU14 Corp</v>
      </c>
      <c r="O636" s="3">
        <f t="shared" si="10"/>
        <v>3</v>
      </c>
    </row>
    <row r="637" spans="1:15" x14ac:dyDescent="0.25">
      <c r="A637" s="79">
        <v>43053</v>
      </c>
      <c r="B637" s="80" t="s">
        <v>5206</v>
      </c>
      <c r="C637" s="80" t="s">
        <v>5022</v>
      </c>
      <c r="D637" s="80" t="s">
        <v>5023</v>
      </c>
      <c r="E637" s="81">
        <v>235000</v>
      </c>
      <c r="F637" s="80" t="s">
        <v>4806</v>
      </c>
      <c r="G637" s="81">
        <v>135</v>
      </c>
      <c r="H637" s="81">
        <v>135</v>
      </c>
      <c r="I637" s="80" t="s">
        <v>4800</v>
      </c>
      <c r="L637" s="3">
        <f>VLOOKUP(C637,Securities!A:D,4,FALSE)</f>
        <v>5</v>
      </c>
      <c r="M637" s="3" t="str">
        <f>VLOOKUP(C637,Securities!A:B,2,FALSE)</f>
        <v>XS0191754729 Corp</v>
      </c>
      <c r="O637" s="3">
        <f t="shared" si="10"/>
        <v>235000</v>
      </c>
    </row>
    <row r="638" spans="1:15" x14ac:dyDescent="0.25">
      <c r="A638" s="76">
        <v>43053</v>
      </c>
      <c r="B638" s="77" t="s">
        <v>5206</v>
      </c>
      <c r="C638" s="77" t="s">
        <v>4903</v>
      </c>
      <c r="D638" s="77" t="s">
        <v>4904</v>
      </c>
      <c r="E638" s="78">
        <v>300000</v>
      </c>
      <c r="F638" s="77" t="s">
        <v>4806</v>
      </c>
      <c r="G638" s="78">
        <v>105.5</v>
      </c>
      <c r="H638" s="78">
        <v>105.5</v>
      </c>
      <c r="I638" s="77" t="s">
        <v>4800</v>
      </c>
      <c r="L638" s="3">
        <f>VLOOKUP(C638,Securities!A:D,4,FALSE)</f>
        <v>5</v>
      </c>
      <c r="M638" s="3" t="str">
        <f>VLOOKUP(C638,Securities!A:B,2,FALSE)</f>
        <v>XS1319813769 Corp</v>
      </c>
      <c r="O638" s="3">
        <f t="shared" si="10"/>
        <v>300000</v>
      </c>
    </row>
    <row r="639" spans="1:15" x14ac:dyDescent="0.25">
      <c r="A639" s="79">
        <v>43053</v>
      </c>
      <c r="B639" s="80" t="s">
        <v>5206</v>
      </c>
      <c r="C639" s="80" t="s">
        <v>4963</v>
      </c>
      <c r="D639" s="80" t="s">
        <v>4964</v>
      </c>
      <c r="E639" s="81">
        <v>440000</v>
      </c>
      <c r="F639" s="80" t="s">
        <v>4806</v>
      </c>
      <c r="G639" s="81">
        <v>97</v>
      </c>
      <c r="H639" s="81">
        <v>97</v>
      </c>
      <c r="I639" s="80" t="s">
        <v>4823</v>
      </c>
      <c r="L639" s="3">
        <f>VLOOKUP(C639,Securities!A:D,4,FALSE)</f>
        <v>5</v>
      </c>
      <c r="M639" s="3" t="str">
        <f>VLOOKUP(C639,Securities!A:B,2,FALSE)</f>
        <v>XS1439838548 Corp</v>
      </c>
      <c r="O639" s="3">
        <f t="shared" si="10"/>
        <v>440000</v>
      </c>
    </row>
    <row r="640" spans="1:15" x14ac:dyDescent="0.25">
      <c r="A640" s="76">
        <v>43053</v>
      </c>
      <c r="B640" s="77" t="s">
        <v>5206</v>
      </c>
      <c r="C640" s="77" t="s">
        <v>4863</v>
      </c>
      <c r="D640" s="77" t="s">
        <v>4864</v>
      </c>
      <c r="E640" s="78">
        <v>200000</v>
      </c>
      <c r="F640" s="77" t="s">
        <v>4806</v>
      </c>
      <c r="G640" s="78">
        <v>105.5</v>
      </c>
      <c r="H640" s="78">
        <v>105.5</v>
      </c>
      <c r="I640" s="77" t="s">
        <v>4800</v>
      </c>
      <c r="L640" s="3">
        <f>VLOOKUP(C640,Securities!A:D,4,FALSE)</f>
        <v>5</v>
      </c>
      <c r="M640" s="3" t="str">
        <f>VLOOKUP(C640,Securities!A:B,2,FALSE)</f>
        <v>USN54468AF52 Corp</v>
      </c>
      <c r="O640" s="3">
        <f t="shared" si="10"/>
        <v>200000</v>
      </c>
    </row>
    <row r="641" spans="1:15" x14ac:dyDescent="0.25">
      <c r="A641" s="79">
        <v>43053</v>
      </c>
      <c r="B641" s="80" t="s">
        <v>5206</v>
      </c>
      <c r="C641" s="80" t="s">
        <v>4967</v>
      </c>
      <c r="D641" s="80" t="s">
        <v>4968</v>
      </c>
      <c r="E641" s="81">
        <v>450000</v>
      </c>
      <c r="F641" s="80" t="s">
        <v>4806</v>
      </c>
      <c r="G641" s="81">
        <v>114.1</v>
      </c>
      <c r="H641" s="81">
        <v>114.1</v>
      </c>
      <c r="I641" s="80" t="s">
        <v>4800</v>
      </c>
      <c r="L641" s="3">
        <f>VLOOKUP(C641,Securities!A:D,4,FALSE)</f>
        <v>5</v>
      </c>
      <c r="M641" s="3" t="str">
        <f>VLOOKUP(C641,Securities!A:B,2,FALSE)</f>
        <v>XS0979891925 Corp</v>
      </c>
      <c r="O641" s="3">
        <f t="shared" si="10"/>
        <v>450000</v>
      </c>
    </row>
    <row r="642" spans="1:15" x14ac:dyDescent="0.25">
      <c r="A642" s="76">
        <v>43053</v>
      </c>
      <c r="B642" s="77" t="s">
        <v>5206</v>
      </c>
      <c r="C642" s="77" t="s">
        <v>5209</v>
      </c>
      <c r="D642" s="77" t="s">
        <v>5210</v>
      </c>
      <c r="E642" s="78">
        <v>400000</v>
      </c>
      <c r="F642" s="77" t="s">
        <v>4806</v>
      </c>
      <c r="G642" s="78">
        <v>103.1</v>
      </c>
      <c r="H642" s="78">
        <v>103.1</v>
      </c>
      <c r="I642" s="77" t="s">
        <v>4800</v>
      </c>
      <c r="L642" s="3">
        <f>VLOOKUP(C642,Securities!A:D,4,FALSE)</f>
        <v>5</v>
      </c>
      <c r="M642" s="3" t="str">
        <f>VLOOKUP(C642,Securities!A:B,2,FALSE)</f>
        <v>XS0848530977 Corp</v>
      </c>
      <c r="O642" s="3">
        <f t="shared" si="10"/>
        <v>400000</v>
      </c>
    </row>
    <row r="643" spans="1:15" x14ac:dyDescent="0.25">
      <c r="A643" s="79">
        <v>43053</v>
      </c>
      <c r="B643" s="80" t="s">
        <v>5206</v>
      </c>
      <c r="C643" s="80" t="s">
        <v>4932</v>
      </c>
      <c r="D643" s="80" t="s">
        <v>4933</v>
      </c>
      <c r="E643" s="81">
        <v>10000</v>
      </c>
      <c r="F643" s="80" t="s">
        <v>4814</v>
      </c>
      <c r="G643" s="81">
        <v>100</v>
      </c>
      <c r="H643" s="81">
        <v>100</v>
      </c>
      <c r="I643" s="80" t="s">
        <v>4800</v>
      </c>
      <c r="L643" s="3">
        <f>VLOOKUP(C643,Securities!A:D,4,FALSE)</f>
        <v>5</v>
      </c>
      <c r="M643" s="3" t="str">
        <f>VLOOKUP(C643,Securities!A:B,2,FALSE)</f>
        <v>RU000A0ZYBS1 Corp</v>
      </c>
      <c r="O643" s="3">
        <f t="shared" si="10"/>
        <v>10000</v>
      </c>
    </row>
    <row r="644" spans="1:15" x14ac:dyDescent="0.25">
      <c r="A644" s="76">
        <v>43053</v>
      </c>
      <c r="B644" s="77" t="s">
        <v>5211</v>
      </c>
      <c r="C644" s="77" t="s">
        <v>4863</v>
      </c>
      <c r="D644" s="77" t="s">
        <v>4864</v>
      </c>
      <c r="E644" s="78">
        <v>300000</v>
      </c>
      <c r="F644" s="77" t="s">
        <v>4806</v>
      </c>
      <c r="G644" s="78">
        <v>105.5</v>
      </c>
      <c r="H644" s="78">
        <v>105.5</v>
      </c>
      <c r="I644" s="77" t="s">
        <v>4800</v>
      </c>
      <c r="L644" s="3">
        <f>VLOOKUP(C644,Securities!A:D,4,FALSE)</f>
        <v>5</v>
      </c>
      <c r="M644" s="3" t="str">
        <f>VLOOKUP(C644,Securities!A:B,2,FALSE)</f>
        <v>USN54468AF52 Corp</v>
      </c>
      <c r="O644" s="3">
        <f t="shared" si="10"/>
        <v>300000</v>
      </c>
    </row>
    <row r="645" spans="1:15" x14ac:dyDescent="0.25">
      <c r="A645" s="79">
        <v>43053</v>
      </c>
      <c r="B645" s="80" t="s">
        <v>5211</v>
      </c>
      <c r="C645" s="80" t="s">
        <v>5212</v>
      </c>
      <c r="D645" s="80" t="s">
        <v>5213</v>
      </c>
      <c r="E645" s="81">
        <v>200000</v>
      </c>
      <c r="F645" s="80" t="s">
        <v>4806</v>
      </c>
      <c r="G645" s="81">
        <v>102.75</v>
      </c>
      <c r="H645" s="81">
        <v>102.75</v>
      </c>
      <c r="I645" s="80" t="s">
        <v>4800</v>
      </c>
      <c r="L645" s="3">
        <f>VLOOKUP(C645,Securities!A:D,4,FALSE)</f>
        <v>5</v>
      </c>
      <c r="M645" s="3" t="str">
        <f>VLOOKUP(C645,Securities!A:B,2,FALSE)</f>
        <v>XS1533921299 Corp</v>
      </c>
      <c r="O645" s="3">
        <f t="shared" si="10"/>
        <v>200000</v>
      </c>
    </row>
    <row r="646" spans="1:15" x14ac:dyDescent="0.25">
      <c r="A646" s="76">
        <v>43053</v>
      </c>
      <c r="B646" s="77" t="s">
        <v>5211</v>
      </c>
      <c r="C646" s="77" t="s">
        <v>4854</v>
      </c>
      <c r="D646" s="77" t="s">
        <v>4855</v>
      </c>
      <c r="E646" s="78">
        <v>200000</v>
      </c>
      <c r="F646" s="77" t="s">
        <v>4806</v>
      </c>
      <c r="G646" s="78">
        <v>105.8</v>
      </c>
      <c r="H646" s="78">
        <v>105.8</v>
      </c>
      <c r="I646" s="77" t="s">
        <v>4800</v>
      </c>
      <c r="L646" s="3">
        <f>VLOOKUP(C646,Securities!A:D,4,FALSE)</f>
        <v>5</v>
      </c>
      <c r="M646" s="3" t="str">
        <f>VLOOKUP(C646,Securities!A:B,2,FALSE)</f>
        <v>XS0911599701 Corp</v>
      </c>
      <c r="O646" s="3">
        <f t="shared" ref="O646:O709" si="11">SUMIFS(E:E,C:C,C646,B:B,B646)</f>
        <v>200000</v>
      </c>
    </row>
    <row r="647" spans="1:15" x14ac:dyDescent="0.25">
      <c r="A647" s="79">
        <v>43053</v>
      </c>
      <c r="B647" s="80" t="s">
        <v>5211</v>
      </c>
      <c r="C647" s="80" t="s">
        <v>4986</v>
      </c>
      <c r="D647" s="80" t="s">
        <v>4987</v>
      </c>
      <c r="E647" s="81">
        <v>320000</v>
      </c>
      <c r="F647" s="80" t="s">
        <v>4806</v>
      </c>
      <c r="G647" s="81">
        <v>102</v>
      </c>
      <c r="H647" s="81">
        <v>102</v>
      </c>
      <c r="I647" s="80" t="s">
        <v>4800</v>
      </c>
      <c r="L647" s="3">
        <f>VLOOKUP(C647,Securities!A:D,4,FALSE)</f>
        <v>5</v>
      </c>
      <c r="M647" s="3" t="str">
        <f>VLOOKUP(C647,Securities!A:B,2,FALSE)</f>
        <v>USG9328DAM23 Corp</v>
      </c>
      <c r="O647" s="3">
        <f t="shared" si="11"/>
        <v>320000</v>
      </c>
    </row>
    <row r="648" spans="1:15" x14ac:dyDescent="0.25">
      <c r="A648" s="76">
        <v>43053</v>
      </c>
      <c r="B648" s="77" t="s">
        <v>5214</v>
      </c>
      <c r="C648" s="77" t="s">
        <v>4827</v>
      </c>
      <c r="D648" s="77" t="s">
        <v>4828</v>
      </c>
      <c r="E648" s="78">
        <v>-1088</v>
      </c>
      <c r="F648" s="77" t="s">
        <v>4829</v>
      </c>
      <c r="G648" s="78">
        <v>34608.457325000003</v>
      </c>
      <c r="H648" s="78">
        <v>597.11516500000005</v>
      </c>
      <c r="I648" s="77" t="s">
        <v>4800</v>
      </c>
      <c r="L648" s="3">
        <f>VLOOKUP(C648,Securities!A:D,4,FALSE)</f>
        <v>15</v>
      </c>
      <c r="M648" s="3" t="str">
        <f>VLOOKUP(C648,Securities!A:B,2,FALSE)</f>
        <v>B5Z7 Comdty</v>
      </c>
      <c r="O648" s="3">
        <f t="shared" si="11"/>
        <v>-1088</v>
      </c>
    </row>
    <row r="649" spans="1:15" x14ac:dyDescent="0.25">
      <c r="A649" s="79">
        <v>43053</v>
      </c>
      <c r="B649" s="80" t="s">
        <v>5214</v>
      </c>
      <c r="C649" s="80" t="s">
        <v>5215</v>
      </c>
      <c r="D649" s="80" t="s">
        <v>5216</v>
      </c>
      <c r="E649" s="81">
        <v>200000</v>
      </c>
      <c r="F649" s="80" t="s">
        <v>4838</v>
      </c>
      <c r="G649" s="81">
        <v>100</v>
      </c>
      <c r="H649" s="81">
        <v>100</v>
      </c>
      <c r="I649" s="80" t="s">
        <v>4800</v>
      </c>
      <c r="L649" s="3">
        <f>VLOOKUP(C649,Securities!A:D,4,FALSE)</f>
        <v>5</v>
      </c>
      <c r="M649" s="3" t="str">
        <f>VLOOKUP(C649,Securities!A:B,2,FALSE)</f>
        <v>CH0361710632 Corp</v>
      </c>
      <c r="O649" s="3">
        <f t="shared" si="11"/>
        <v>200000</v>
      </c>
    </row>
    <row r="650" spans="1:15" x14ac:dyDescent="0.25">
      <c r="A650" s="76">
        <v>43053</v>
      </c>
      <c r="B650" s="77" t="s">
        <v>5214</v>
      </c>
      <c r="C650" s="77" t="s">
        <v>4841</v>
      </c>
      <c r="D650" s="77" t="s">
        <v>4842</v>
      </c>
      <c r="E650" s="78">
        <v>200000</v>
      </c>
      <c r="F650" s="77" t="s">
        <v>4838</v>
      </c>
      <c r="G650" s="78">
        <v>100</v>
      </c>
      <c r="H650" s="78">
        <v>100</v>
      </c>
      <c r="I650" s="77" t="s">
        <v>4800</v>
      </c>
      <c r="L650" s="3">
        <f>VLOOKUP(C650,Securities!A:D,4,FALSE)</f>
        <v>5</v>
      </c>
      <c r="M650" s="3" t="str">
        <f>VLOOKUP(C650,Securities!A:B,2,FALSE)</f>
        <v>XS1605088928 Corp</v>
      </c>
      <c r="O650" s="3">
        <f t="shared" si="11"/>
        <v>200000</v>
      </c>
    </row>
    <row r="651" spans="1:15" x14ac:dyDescent="0.25">
      <c r="A651" s="79">
        <v>43053</v>
      </c>
      <c r="B651" s="80" t="s">
        <v>5214</v>
      </c>
      <c r="C651" s="80" t="s">
        <v>4830</v>
      </c>
      <c r="D651" s="80" t="s">
        <v>4831</v>
      </c>
      <c r="E651" s="81">
        <v>-615</v>
      </c>
      <c r="F651" s="80" t="s">
        <v>4832</v>
      </c>
      <c r="G651" s="81">
        <v>58664.396746999999</v>
      </c>
      <c r="H651" s="81">
        <v>1019.39286</v>
      </c>
      <c r="I651" s="80" t="s">
        <v>4800</v>
      </c>
      <c r="L651" s="3">
        <f>VLOOKUP(C651,Securities!A:D,4,FALSE)</f>
        <v>15</v>
      </c>
      <c r="M651" s="3" t="str">
        <f>VLOOKUP(C651,Securities!A:B,2,FALSE)</f>
        <v>URZ7 Curncy</v>
      </c>
      <c r="O651" s="3">
        <f t="shared" si="11"/>
        <v>-615</v>
      </c>
    </row>
    <row r="652" spans="1:15" x14ac:dyDescent="0.25">
      <c r="A652" s="76">
        <v>43053</v>
      </c>
      <c r="B652" s="77" t="s">
        <v>5217</v>
      </c>
      <c r="C652" s="77" t="s">
        <v>4876</v>
      </c>
      <c r="D652" s="77" t="s">
        <v>45</v>
      </c>
      <c r="E652" s="78">
        <v>250000</v>
      </c>
      <c r="F652" s="77" t="s">
        <v>4799</v>
      </c>
      <c r="G652" s="78">
        <v>0</v>
      </c>
      <c r="H652" s="78">
        <v>0</v>
      </c>
      <c r="I652" s="77" t="s">
        <v>4800</v>
      </c>
      <c r="L652" s="3" t="e">
        <f>VLOOKUP(C652,Securities!A:D,4,FALSE)</f>
        <v>#N/A</v>
      </c>
      <c r="M652" s="3" t="e">
        <f>VLOOKUP(C652,Securities!A:B,2,FALSE)</f>
        <v>#N/A</v>
      </c>
      <c r="O652" s="3">
        <f t="shared" si="11"/>
        <v>250000</v>
      </c>
    </row>
    <row r="653" spans="1:15" x14ac:dyDescent="0.25">
      <c r="A653" s="79">
        <v>43053</v>
      </c>
      <c r="B653" s="80" t="s">
        <v>5217</v>
      </c>
      <c r="C653" s="80" t="s">
        <v>5203</v>
      </c>
      <c r="D653" s="80" t="s">
        <v>5204</v>
      </c>
      <c r="E653" s="81">
        <v>344000</v>
      </c>
      <c r="F653" s="80" t="s">
        <v>4806</v>
      </c>
      <c r="G653" s="81">
        <v>74</v>
      </c>
      <c r="H653" s="81">
        <v>74</v>
      </c>
      <c r="I653" s="80" t="s">
        <v>4800</v>
      </c>
      <c r="L653" s="3">
        <f>VLOOKUP(C653,Securities!A:D,4,FALSE)</f>
        <v>5</v>
      </c>
      <c r="M653" s="3" t="str">
        <f>VLOOKUP(C653,Securities!A:B,2,FALSE)</f>
        <v>EI178316 Corp</v>
      </c>
      <c r="O653" s="3">
        <f t="shared" si="11"/>
        <v>344000</v>
      </c>
    </row>
    <row r="654" spans="1:15" x14ac:dyDescent="0.25">
      <c r="A654" s="76">
        <v>43053</v>
      </c>
      <c r="B654" s="77" t="s">
        <v>5217</v>
      </c>
      <c r="C654" s="77" t="s">
        <v>4930</v>
      </c>
      <c r="D654" s="77" t="s">
        <v>4931</v>
      </c>
      <c r="E654" s="78">
        <v>1000000</v>
      </c>
      <c r="F654" s="77" t="s">
        <v>4806</v>
      </c>
      <c r="G654" s="78">
        <v>102.75</v>
      </c>
      <c r="H654" s="78">
        <v>102.75</v>
      </c>
      <c r="I654" s="77" t="s">
        <v>4800</v>
      </c>
      <c r="L654" s="3">
        <f>VLOOKUP(C654,Securities!A:D,4,FALSE)</f>
        <v>5</v>
      </c>
      <c r="M654" s="3" t="str">
        <f>VLOOKUP(C654,Securities!A:B,2,FALSE)</f>
        <v>EJ634925 Corp</v>
      </c>
      <c r="O654" s="3">
        <f t="shared" si="11"/>
        <v>1000000</v>
      </c>
    </row>
    <row r="655" spans="1:15" x14ac:dyDescent="0.25">
      <c r="A655" s="79">
        <v>43053</v>
      </c>
      <c r="B655" s="80" t="s">
        <v>5217</v>
      </c>
      <c r="C655" s="80" t="s">
        <v>5096</v>
      </c>
      <c r="D655" s="80" t="s">
        <v>5097</v>
      </c>
      <c r="E655" s="81">
        <v>360000</v>
      </c>
      <c r="F655" s="80" t="s">
        <v>4806</v>
      </c>
      <c r="G655" s="81">
        <v>94.03</v>
      </c>
      <c r="H655" s="81">
        <v>94.03</v>
      </c>
      <c r="I655" s="80" t="s">
        <v>4800</v>
      </c>
      <c r="L655" s="3">
        <f>VLOOKUP(C655,Securities!A:D,4,FALSE)</f>
        <v>5</v>
      </c>
      <c r="M655" s="3" t="str">
        <f>VLOOKUP(C655,Securities!A:B,2,FALSE)</f>
        <v>EJ606056 Corp</v>
      </c>
      <c r="O655" s="3">
        <f t="shared" si="11"/>
        <v>360000</v>
      </c>
    </row>
    <row r="656" spans="1:15" x14ac:dyDescent="0.25">
      <c r="A656" s="76">
        <v>43053</v>
      </c>
      <c r="B656" s="77" t="s">
        <v>5217</v>
      </c>
      <c r="C656" s="77" t="s">
        <v>4819</v>
      </c>
      <c r="D656" s="77" t="s">
        <v>4820</v>
      </c>
      <c r="E656" s="78">
        <v>400000</v>
      </c>
      <c r="F656" s="77" t="s">
        <v>4806</v>
      </c>
      <c r="G656" s="78">
        <v>25</v>
      </c>
      <c r="H656" s="78">
        <v>25</v>
      </c>
      <c r="I656" s="77" t="s">
        <v>4800</v>
      </c>
      <c r="L656" s="3">
        <f>VLOOKUP(C656,Securities!A:D,4,FALSE)</f>
        <v>5</v>
      </c>
      <c r="M656" s="3" t="str">
        <f>VLOOKUP(C656,Securities!A:B,2,FALSE)</f>
        <v>XS0776121062 Corp</v>
      </c>
      <c r="O656" s="3">
        <f t="shared" si="11"/>
        <v>400000</v>
      </c>
    </row>
    <row r="657" spans="1:15" x14ac:dyDescent="0.25">
      <c r="A657" s="79">
        <v>43053</v>
      </c>
      <c r="B657" s="80" t="s">
        <v>5217</v>
      </c>
      <c r="C657" s="80" t="s">
        <v>5218</v>
      </c>
      <c r="D657" s="80" t="s">
        <v>5219</v>
      </c>
      <c r="E657" s="81">
        <v>495259</v>
      </c>
      <c r="F657" s="80" t="s">
        <v>4806</v>
      </c>
      <c r="G657" s="81">
        <v>23.78</v>
      </c>
      <c r="H657" s="81">
        <v>23.78</v>
      </c>
      <c r="I657" s="80" t="s">
        <v>4800</v>
      </c>
      <c r="L657" s="3">
        <f>VLOOKUP(C657,Securities!A:D,4,FALSE)</f>
        <v>5</v>
      </c>
      <c r="M657" s="3" t="str">
        <f>VLOOKUP(C657,Securities!A:B,2,FALSE)</f>
        <v>XS1117280625 Corp</v>
      </c>
      <c r="O657" s="3">
        <f t="shared" si="11"/>
        <v>495259</v>
      </c>
    </row>
    <row r="658" spans="1:15" x14ac:dyDescent="0.25">
      <c r="A658" s="76">
        <v>43053</v>
      </c>
      <c r="B658" s="77" t="s">
        <v>5217</v>
      </c>
      <c r="C658" s="77" t="s">
        <v>4851</v>
      </c>
      <c r="D658" s="77" t="s">
        <v>4744</v>
      </c>
      <c r="E658" s="78">
        <v>1400000</v>
      </c>
      <c r="F658" s="77" t="s">
        <v>4806</v>
      </c>
      <c r="G658" s="78">
        <v>102.25</v>
      </c>
      <c r="H658" s="78">
        <v>102.25</v>
      </c>
      <c r="I658" s="77" t="s">
        <v>4800</v>
      </c>
      <c r="L658" s="3">
        <f>VLOOKUP(C658,Securities!A:D,4,FALSE)</f>
        <v>5</v>
      </c>
      <c r="M658" s="3" t="str">
        <f>VLOOKUP(C658,Securities!A:B,2,FALSE)</f>
        <v>XS1032750165 Corp</v>
      </c>
      <c r="O658" s="3">
        <f t="shared" si="11"/>
        <v>1400000</v>
      </c>
    </row>
    <row r="659" spans="1:15" x14ac:dyDescent="0.25">
      <c r="A659" s="79">
        <v>43053</v>
      </c>
      <c r="B659" s="80" t="s">
        <v>5220</v>
      </c>
      <c r="C659" s="80" t="s">
        <v>5221</v>
      </c>
      <c r="D659" s="80" t="s">
        <v>5222</v>
      </c>
      <c r="E659" s="81">
        <v>1557</v>
      </c>
      <c r="F659" s="80" t="s">
        <v>4898</v>
      </c>
      <c r="G659" s="81">
        <v>0</v>
      </c>
      <c r="H659" s="81">
        <v>0</v>
      </c>
      <c r="I659" s="80" t="s">
        <v>4800</v>
      </c>
      <c r="L659" s="3">
        <f>VLOOKUP(C659,Securities!A:D,4,FALSE)</f>
        <v>1</v>
      </c>
      <c r="M659" s="3" t="str">
        <f>VLOOKUP(C659,Securities!A:B,2,FALSE)</f>
        <v>AUUSI SW Equity</v>
      </c>
      <c r="O659" s="3">
        <f t="shared" si="11"/>
        <v>1557</v>
      </c>
    </row>
    <row r="660" spans="1:15" x14ac:dyDescent="0.25">
      <c r="A660" s="76">
        <v>43053</v>
      </c>
      <c r="B660" s="77" t="s">
        <v>5220</v>
      </c>
      <c r="C660" s="77" t="s">
        <v>5223</v>
      </c>
      <c r="D660" s="77" t="s">
        <v>5224</v>
      </c>
      <c r="E660" s="78">
        <v>920</v>
      </c>
      <c r="F660" s="77" t="s">
        <v>4799</v>
      </c>
      <c r="G660" s="78">
        <v>0</v>
      </c>
      <c r="H660" s="78">
        <v>0</v>
      </c>
      <c r="I660" s="77" t="s">
        <v>4800</v>
      </c>
      <c r="L660" s="3">
        <f>VLOOKUP(C660,Securities!A:D,4,FALSE)</f>
        <v>1</v>
      </c>
      <c r="M660" s="3" t="str">
        <f>VLOOKUP(C660,Securities!A:B,2,FALSE)</f>
        <v>CMCSA US Equity</v>
      </c>
      <c r="O660" s="3">
        <f t="shared" si="11"/>
        <v>920</v>
      </c>
    </row>
    <row r="661" spans="1:15" x14ac:dyDescent="0.25">
      <c r="A661" s="79">
        <v>43053</v>
      </c>
      <c r="B661" s="80" t="s">
        <v>5220</v>
      </c>
      <c r="C661" s="80" t="s">
        <v>5225</v>
      </c>
      <c r="D661" s="80" t="s">
        <v>5226</v>
      </c>
      <c r="E661" s="81">
        <v>725</v>
      </c>
      <c r="F661" s="80" t="s">
        <v>4898</v>
      </c>
      <c r="G661" s="81">
        <v>0</v>
      </c>
      <c r="H661" s="81">
        <v>0</v>
      </c>
      <c r="I661" s="80" t="s">
        <v>4800</v>
      </c>
      <c r="L661" s="3">
        <f>VLOOKUP(C661,Securities!A:D,4,FALSE)</f>
        <v>1</v>
      </c>
      <c r="M661" s="3" t="str">
        <f>VLOOKUP(C661,Securities!A:B,2,FALSE)</f>
        <v>CSX5 LN Equity</v>
      </c>
      <c r="O661" s="3">
        <f t="shared" si="11"/>
        <v>725</v>
      </c>
    </row>
    <row r="662" spans="1:15" x14ac:dyDescent="0.25">
      <c r="A662" s="76">
        <v>43053</v>
      </c>
      <c r="B662" s="77" t="s">
        <v>5220</v>
      </c>
      <c r="C662" s="77" t="s">
        <v>5171</v>
      </c>
      <c r="D662" s="77" t="s">
        <v>5172</v>
      </c>
      <c r="E662" s="78">
        <v>70000</v>
      </c>
      <c r="F662" s="77" t="s">
        <v>4838</v>
      </c>
      <c r="G662" s="78">
        <v>100</v>
      </c>
      <c r="H662" s="78">
        <v>100</v>
      </c>
      <c r="I662" s="77" t="s">
        <v>4800</v>
      </c>
      <c r="L662" s="3">
        <f>VLOOKUP(C662,Securities!A:D,4,FALSE)</f>
        <v>5</v>
      </c>
      <c r="M662" s="3" t="str">
        <f>VLOOKUP(C662,Securities!A:B,2,FALSE)</f>
        <v>CH0367864680 Corp</v>
      </c>
      <c r="O662" s="3">
        <f t="shared" si="11"/>
        <v>70000</v>
      </c>
    </row>
    <row r="663" spans="1:15" x14ac:dyDescent="0.25">
      <c r="A663" s="79">
        <v>43053</v>
      </c>
      <c r="B663" s="80" t="s">
        <v>5220</v>
      </c>
      <c r="C663" s="80" t="s">
        <v>5033</v>
      </c>
      <c r="D663" s="80" t="s">
        <v>5034</v>
      </c>
      <c r="E663" s="81">
        <v>3540</v>
      </c>
      <c r="F663" s="80" t="s">
        <v>4898</v>
      </c>
      <c r="G663" s="81">
        <v>0</v>
      </c>
      <c r="H663" s="81">
        <v>0</v>
      </c>
      <c r="I663" s="80" t="s">
        <v>4800</v>
      </c>
      <c r="L663" s="3">
        <f>VLOOKUP(C663,Securities!A:D,4,FALSE)</f>
        <v>1</v>
      </c>
      <c r="M663" s="3" t="str">
        <f>VLOOKUP(C663,Securities!A:B,2,FALSE)</f>
        <v>EMB US Equity</v>
      </c>
      <c r="O663" s="3">
        <f t="shared" si="11"/>
        <v>3540</v>
      </c>
    </row>
    <row r="664" spans="1:15" x14ac:dyDescent="0.25">
      <c r="A664" s="76">
        <v>43053</v>
      </c>
      <c r="B664" s="77" t="s">
        <v>5220</v>
      </c>
      <c r="C664" s="77" t="s">
        <v>5173</v>
      </c>
      <c r="D664" s="77" t="s">
        <v>5174</v>
      </c>
      <c r="E664" s="78">
        <v>50000</v>
      </c>
      <c r="F664" s="77" t="s">
        <v>4838</v>
      </c>
      <c r="G664" s="78">
        <v>100</v>
      </c>
      <c r="H664" s="78">
        <v>100</v>
      </c>
      <c r="I664" s="77" t="s">
        <v>4800</v>
      </c>
      <c r="L664" s="3">
        <f>VLOOKUP(C664,Securities!A:D,4,FALSE)</f>
        <v>5</v>
      </c>
      <c r="M664" s="3" t="str">
        <f>VLOOKUP(C664,Securities!A:B,2,FALSE)</f>
        <v>XS1581926083 Corp</v>
      </c>
      <c r="O664" s="3">
        <f t="shared" si="11"/>
        <v>50000</v>
      </c>
    </row>
    <row r="665" spans="1:15" x14ac:dyDescent="0.25">
      <c r="A665" s="79">
        <v>43053</v>
      </c>
      <c r="B665" s="80" t="s">
        <v>5220</v>
      </c>
      <c r="C665" s="80" t="s">
        <v>4882</v>
      </c>
      <c r="D665" s="80" t="s">
        <v>4883</v>
      </c>
      <c r="E665" s="81">
        <v>200000</v>
      </c>
      <c r="F665" s="80" t="s">
        <v>4806</v>
      </c>
      <c r="G665" s="81">
        <v>107.5</v>
      </c>
      <c r="H665" s="81">
        <v>107.5</v>
      </c>
      <c r="I665" s="80" t="s">
        <v>4800</v>
      </c>
      <c r="L665" s="3">
        <f>VLOOKUP(C665,Securities!A:D,4,FALSE)</f>
        <v>5</v>
      </c>
      <c r="M665" s="3" t="str">
        <f>VLOOKUP(C665,Securities!A:B,2,FALSE)</f>
        <v>XS1405775377 Corp</v>
      </c>
      <c r="O665" s="3">
        <f t="shared" si="11"/>
        <v>200000</v>
      </c>
    </row>
    <row r="666" spans="1:15" x14ac:dyDescent="0.25">
      <c r="A666" s="76">
        <v>43053</v>
      </c>
      <c r="B666" s="77" t="s">
        <v>5220</v>
      </c>
      <c r="C666" s="77" t="s">
        <v>5043</v>
      </c>
      <c r="D666" s="77" t="s">
        <v>5044</v>
      </c>
      <c r="E666" s="78">
        <v>200000</v>
      </c>
      <c r="F666" s="77" t="s">
        <v>4806</v>
      </c>
      <c r="G666" s="78">
        <v>101.88</v>
      </c>
      <c r="H666" s="78">
        <v>101.88</v>
      </c>
      <c r="I666" s="77" t="s">
        <v>4800</v>
      </c>
      <c r="L666" s="3">
        <f>VLOOKUP(C666,Securities!A:D,4,FALSE)</f>
        <v>5</v>
      </c>
      <c r="M666" s="3" t="str">
        <f>VLOOKUP(C666,Securities!A:B,2,FALSE)</f>
        <v>XS0547082973 Corp</v>
      </c>
      <c r="O666" s="3">
        <f t="shared" si="11"/>
        <v>200000</v>
      </c>
    </row>
    <row r="667" spans="1:15" x14ac:dyDescent="0.25">
      <c r="A667" s="79">
        <v>43053</v>
      </c>
      <c r="B667" s="80" t="s">
        <v>5220</v>
      </c>
      <c r="C667" s="80" t="s">
        <v>4863</v>
      </c>
      <c r="D667" s="80" t="s">
        <v>4864</v>
      </c>
      <c r="E667" s="81">
        <v>200000</v>
      </c>
      <c r="F667" s="80" t="s">
        <v>4806</v>
      </c>
      <c r="G667" s="81">
        <v>105.25</v>
      </c>
      <c r="H667" s="81">
        <v>105.25</v>
      </c>
      <c r="I667" s="80" t="s">
        <v>4800</v>
      </c>
      <c r="L667" s="3">
        <f>VLOOKUP(C667,Securities!A:D,4,FALSE)</f>
        <v>5</v>
      </c>
      <c r="M667" s="3" t="str">
        <f>VLOOKUP(C667,Securities!A:B,2,FALSE)</f>
        <v>USN54468AF52 Corp</v>
      </c>
      <c r="O667" s="3">
        <f t="shared" si="11"/>
        <v>200000</v>
      </c>
    </row>
    <row r="668" spans="1:15" x14ac:dyDescent="0.25">
      <c r="A668" s="76">
        <v>43053</v>
      </c>
      <c r="B668" s="77" t="s">
        <v>5220</v>
      </c>
      <c r="C668" s="77" t="s">
        <v>5000</v>
      </c>
      <c r="D668" s="77" t="s">
        <v>5001</v>
      </c>
      <c r="E668" s="78">
        <v>100000</v>
      </c>
      <c r="F668" s="77" t="s">
        <v>4806</v>
      </c>
      <c r="G668" s="78">
        <v>112</v>
      </c>
      <c r="H668" s="78">
        <v>112</v>
      </c>
      <c r="I668" s="77" t="s">
        <v>4800</v>
      </c>
      <c r="L668" s="3">
        <f>VLOOKUP(C668,Securities!A:D,4,FALSE)</f>
        <v>5</v>
      </c>
      <c r="M668" s="3" t="str">
        <f>VLOOKUP(C668,Securities!A:B,2,FALSE)</f>
        <v>US71647NAP42 Corp</v>
      </c>
      <c r="O668" s="3">
        <f t="shared" si="11"/>
        <v>100000</v>
      </c>
    </row>
    <row r="669" spans="1:15" x14ac:dyDescent="0.25">
      <c r="A669" s="79">
        <v>43053</v>
      </c>
      <c r="B669" s="80" t="s">
        <v>5220</v>
      </c>
      <c r="C669" s="80" t="s">
        <v>4967</v>
      </c>
      <c r="D669" s="80" t="s">
        <v>4968</v>
      </c>
      <c r="E669" s="81">
        <v>200000</v>
      </c>
      <c r="F669" s="80" t="s">
        <v>4806</v>
      </c>
      <c r="G669" s="81">
        <v>114.8</v>
      </c>
      <c r="H669" s="81">
        <v>114.8</v>
      </c>
      <c r="I669" s="80" t="s">
        <v>4800</v>
      </c>
      <c r="L669" s="3">
        <f>VLOOKUP(C669,Securities!A:D,4,FALSE)</f>
        <v>5</v>
      </c>
      <c r="M669" s="3" t="str">
        <f>VLOOKUP(C669,Securities!A:B,2,FALSE)</f>
        <v>XS0979891925 Corp</v>
      </c>
      <c r="O669" s="3">
        <f t="shared" si="11"/>
        <v>200000</v>
      </c>
    </row>
    <row r="670" spans="1:15" x14ac:dyDescent="0.25">
      <c r="A670" s="76">
        <v>43053</v>
      </c>
      <c r="B670" s="77" t="s">
        <v>5220</v>
      </c>
      <c r="C670" s="77" t="s">
        <v>4851</v>
      </c>
      <c r="D670" s="77" t="s">
        <v>4744</v>
      </c>
      <c r="E670" s="78">
        <v>200000</v>
      </c>
      <c r="F670" s="77" t="s">
        <v>4806</v>
      </c>
      <c r="G670" s="78">
        <v>102.35</v>
      </c>
      <c r="H670" s="78">
        <v>102.35</v>
      </c>
      <c r="I670" s="77" t="s">
        <v>4800</v>
      </c>
      <c r="L670" s="3">
        <f>VLOOKUP(C670,Securities!A:D,4,FALSE)</f>
        <v>5</v>
      </c>
      <c r="M670" s="3" t="str">
        <f>VLOOKUP(C670,Securities!A:B,2,FALSE)</f>
        <v>XS1032750165 Corp</v>
      </c>
      <c r="O670" s="3">
        <f t="shared" si="11"/>
        <v>200000</v>
      </c>
    </row>
    <row r="671" spans="1:15" x14ac:dyDescent="0.25">
      <c r="A671" s="79">
        <v>43053</v>
      </c>
      <c r="B671" s="80" t="s">
        <v>5220</v>
      </c>
      <c r="C671" s="80" t="s">
        <v>5055</v>
      </c>
      <c r="D671" s="80" t="s">
        <v>5056</v>
      </c>
      <c r="E671" s="81">
        <v>200000</v>
      </c>
      <c r="F671" s="80" t="s">
        <v>4806</v>
      </c>
      <c r="G671" s="81">
        <v>100.15</v>
      </c>
      <c r="H671" s="81">
        <v>100.15</v>
      </c>
      <c r="I671" s="80" t="s">
        <v>4800</v>
      </c>
      <c r="L671" s="3">
        <f>VLOOKUP(C671,Securities!A:D,4,FALSE)</f>
        <v>5</v>
      </c>
      <c r="M671" s="3" t="str">
        <f>VLOOKUP(C671,Securities!A:B,2,FALSE)</f>
        <v>XS1693971043 Corp</v>
      </c>
      <c r="O671" s="3">
        <f t="shared" si="11"/>
        <v>200000</v>
      </c>
    </row>
    <row r="672" spans="1:15" x14ac:dyDescent="0.25">
      <c r="A672" s="76">
        <v>43053</v>
      </c>
      <c r="B672" s="77" t="s">
        <v>5220</v>
      </c>
      <c r="C672" s="77" t="s">
        <v>4986</v>
      </c>
      <c r="D672" s="77" t="s">
        <v>4987</v>
      </c>
      <c r="E672" s="78">
        <v>200000</v>
      </c>
      <c r="F672" s="77" t="s">
        <v>4806</v>
      </c>
      <c r="G672" s="78">
        <v>103.3</v>
      </c>
      <c r="H672" s="78">
        <v>103.3</v>
      </c>
      <c r="I672" s="77" t="s">
        <v>4800</v>
      </c>
      <c r="L672" s="3">
        <f>VLOOKUP(C672,Securities!A:D,4,FALSE)</f>
        <v>5</v>
      </c>
      <c r="M672" s="3" t="str">
        <f>VLOOKUP(C672,Securities!A:B,2,FALSE)</f>
        <v>USG9328DAM23 Corp</v>
      </c>
      <c r="O672" s="3">
        <f t="shared" si="11"/>
        <v>200000</v>
      </c>
    </row>
    <row r="673" spans="1:15" x14ac:dyDescent="0.25">
      <c r="A673" s="79">
        <v>43053</v>
      </c>
      <c r="B673" s="80" t="s">
        <v>5220</v>
      </c>
      <c r="C673" s="80" t="s">
        <v>5227</v>
      </c>
      <c r="D673" s="80" t="s">
        <v>5228</v>
      </c>
      <c r="E673" s="81">
        <v>295</v>
      </c>
      <c r="F673" s="80" t="s">
        <v>4799</v>
      </c>
      <c r="G673" s="81">
        <v>0</v>
      </c>
      <c r="H673" s="81">
        <v>0</v>
      </c>
      <c r="I673" s="80" t="s">
        <v>4800</v>
      </c>
      <c r="L673" s="3">
        <f>VLOOKUP(C673,Securities!A:D,4,FALSE)</f>
        <v>1</v>
      </c>
      <c r="M673" s="3" t="str">
        <f>VLOOKUP(C673,Securities!A:B,2,FALSE)</f>
        <v>VFC US Equity</v>
      </c>
      <c r="O673" s="3">
        <f t="shared" si="11"/>
        <v>295</v>
      </c>
    </row>
    <row r="674" spans="1:15" x14ac:dyDescent="0.25">
      <c r="A674" s="76">
        <v>43053</v>
      </c>
      <c r="B674" s="77" t="s">
        <v>5220</v>
      </c>
      <c r="C674" s="77" t="s">
        <v>5028</v>
      </c>
      <c r="D674" s="77" t="s">
        <v>5029</v>
      </c>
      <c r="E674" s="78">
        <v>200000</v>
      </c>
      <c r="F674" s="77" t="s">
        <v>4806</v>
      </c>
      <c r="G674" s="78">
        <v>109.12</v>
      </c>
      <c r="H674" s="78">
        <v>109.12</v>
      </c>
      <c r="I674" s="77" t="s">
        <v>4800</v>
      </c>
      <c r="L674" s="3">
        <f>VLOOKUP(C674,Securities!A:D,4,FALSE)</f>
        <v>5</v>
      </c>
      <c r="M674" s="3" t="str">
        <f>VLOOKUP(C674,Securities!A:B,2,FALSE)</f>
        <v>EJ394063 Corp</v>
      </c>
      <c r="O674" s="3">
        <f t="shared" si="11"/>
        <v>200000</v>
      </c>
    </row>
    <row r="675" spans="1:15" x14ac:dyDescent="0.25">
      <c r="A675" s="79">
        <v>43053</v>
      </c>
      <c r="B675" s="80" t="s">
        <v>5220</v>
      </c>
      <c r="C675" s="80" t="s">
        <v>5229</v>
      </c>
      <c r="D675" s="80" t="s">
        <v>5230</v>
      </c>
      <c r="E675" s="81">
        <v>120000</v>
      </c>
      <c r="F675" s="80" t="s">
        <v>4806</v>
      </c>
      <c r="G675" s="81">
        <v>0</v>
      </c>
      <c r="H675" s="81">
        <v>0</v>
      </c>
      <c r="I675" s="80" t="s">
        <v>4800</v>
      </c>
      <c r="L675" s="3">
        <f>VLOOKUP(C675,Securities!A:D,4,FALSE)</f>
        <v>5</v>
      </c>
      <c r="M675" s="3" t="str">
        <f>VLOOKUP(C675,Securities!A:B,2,FALSE)</f>
        <v>US961214CF89 Corp</v>
      </c>
      <c r="O675" s="3">
        <f t="shared" si="11"/>
        <v>120000</v>
      </c>
    </row>
    <row r="676" spans="1:15" x14ac:dyDescent="0.25">
      <c r="A676" s="76">
        <v>43053</v>
      </c>
      <c r="B676" s="77" t="s">
        <v>5231</v>
      </c>
      <c r="C676" s="77" t="s">
        <v>5232</v>
      </c>
      <c r="D676" s="77" t="s">
        <v>5233</v>
      </c>
      <c r="E676" s="78">
        <v>100000</v>
      </c>
      <c r="F676" s="77" t="s">
        <v>4806</v>
      </c>
      <c r="G676" s="78">
        <v>113.75</v>
      </c>
      <c r="H676" s="78">
        <v>113.75</v>
      </c>
      <c r="I676" s="77" t="s">
        <v>4800</v>
      </c>
      <c r="L676" s="3">
        <f>VLOOKUP(C676,Securities!A:D,4,FALSE)</f>
        <v>5</v>
      </c>
      <c r="M676" s="3" t="str">
        <f>VLOOKUP(C676,Securities!A:B,2,FALSE)</f>
        <v>XS1041815116 Corp</v>
      </c>
      <c r="O676" s="3">
        <f t="shared" si="11"/>
        <v>100000</v>
      </c>
    </row>
    <row r="677" spans="1:15" x14ac:dyDescent="0.25">
      <c r="A677" s="79">
        <v>43053</v>
      </c>
      <c r="B677" s="80" t="s">
        <v>5231</v>
      </c>
      <c r="C677" s="80" t="s">
        <v>5059</v>
      </c>
      <c r="D677" s="80" t="s">
        <v>5060</v>
      </c>
      <c r="E677" s="81">
        <v>162000</v>
      </c>
      <c r="F677" s="80" t="s">
        <v>4806</v>
      </c>
      <c r="G677" s="81">
        <v>106.25</v>
      </c>
      <c r="H677" s="81">
        <v>106.25</v>
      </c>
      <c r="I677" s="80" t="s">
        <v>4800</v>
      </c>
      <c r="L677" s="3">
        <f>VLOOKUP(C677,Securities!A:D,4,FALSE)</f>
        <v>5</v>
      </c>
      <c r="M677" s="3" t="str">
        <f>VLOOKUP(C677,Securities!A:B,2,FALSE)</f>
        <v>XS0893212398 Corp</v>
      </c>
      <c r="O677" s="3">
        <f t="shared" si="11"/>
        <v>162000</v>
      </c>
    </row>
    <row r="678" spans="1:15" x14ac:dyDescent="0.25">
      <c r="A678" s="76">
        <v>43053</v>
      </c>
      <c r="B678" s="77" t="s">
        <v>5234</v>
      </c>
      <c r="C678" s="77" t="s">
        <v>4955</v>
      </c>
      <c r="D678" s="77" t="s">
        <v>126</v>
      </c>
      <c r="E678" s="78">
        <v>113540</v>
      </c>
      <c r="F678" s="77" t="s">
        <v>4810</v>
      </c>
      <c r="G678" s="78">
        <v>179.90698599999999</v>
      </c>
      <c r="H678" s="78">
        <v>3.0899260000000002</v>
      </c>
      <c r="I678" s="77" t="s">
        <v>4800</v>
      </c>
      <c r="L678" s="3">
        <f>VLOOKUP(C678,Securities!A:D,4,FALSE)</f>
        <v>1</v>
      </c>
      <c r="M678" s="3" t="str">
        <f>VLOOKUP(C678,Securities!A:B,2,FALSE)</f>
        <v>AFLT RX Equity</v>
      </c>
      <c r="O678" s="3">
        <f t="shared" si="11"/>
        <v>113540</v>
      </c>
    </row>
    <row r="679" spans="1:15" x14ac:dyDescent="0.25">
      <c r="A679" s="79">
        <v>43053</v>
      </c>
      <c r="B679" s="80" t="s">
        <v>5234</v>
      </c>
      <c r="C679" s="80" t="s">
        <v>4866</v>
      </c>
      <c r="D679" s="80" t="s">
        <v>99</v>
      </c>
      <c r="E679" s="81">
        <v>285700</v>
      </c>
      <c r="F679" s="80" t="s">
        <v>4810</v>
      </c>
      <c r="G679" s="81">
        <v>90.257435999999998</v>
      </c>
      <c r="H679" s="81">
        <v>1.5742799999999999</v>
      </c>
      <c r="I679" s="80" t="s">
        <v>4800</v>
      </c>
      <c r="L679" s="3">
        <f>VLOOKUP(C679,Securities!A:D,4,FALSE)</f>
        <v>1</v>
      </c>
      <c r="M679" s="3" t="str">
        <f>VLOOKUP(C679,Securities!A:B,2,FALSE)</f>
        <v>ALRS RX Equity</v>
      </c>
      <c r="O679" s="3">
        <f t="shared" si="11"/>
        <v>285700</v>
      </c>
    </row>
    <row r="680" spans="1:15" x14ac:dyDescent="0.25">
      <c r="A680" s="76">
        <v>43053</v>
      </c>
      <c r="B680" s="77" t="s">
        <v>5234</v>
      </c>
      <c r="C680" s="77" t="s">
        <v>5235</v>
      </c>
      <c r="D680" s="77" t="s">
        <v>5236</v>
      </c>
      <c r="E680" s="78">
        <v>5290</v>
      </c>
      <c r="F680" s="77" t="s">
        <v>4908</v>
      </c>
      <c r="G680" s="78">
        <v>2204.7203500000001</v>
      </c>
      <c r="H680" s="78">
        <v>39.01</v>
      </c>
      <c r="I680" s="77" t="s">
        <v>4800</v>
      </c>
      <c r="L680" s="3">
        <f>VLOOKUP(C680,Securities!A:D,4,FALSE)</f>
        <v>1</v>
      </c>
      <c r="M680" s="3" t="str">
        <f>VLOOKUP(C680,Securities!A:B,2,FALSE)</f>
        <v>COMGEMK ID Equity</v>
      </c>
      <c r="O680" s="3">
        <f t="shared" si="11"/>
        <v>5290</v>
      </c>
    </row>
    <row r="681" spans="1:15" x14ac:dyDescent="0.25">
      <c r="A681" s="79">
        <v>43053</v>
      </c>
      <c r="B681" s="80" t="s">
        <v>5234</v>
      </c>
      <c r="C681" s="80" t="s">
        <v>5035</v>
      </c>
      <c r="D681" s="80" t="s">
        <v>5036</v>
      </c>
      <c r="E681" s="81">
        <v>725000</v>
      </c>
      <c r="F681" s="80" t="s">
        <v>4806</v>
      </c>
      <c r="G681" s="81">
        <v>102.13</v>
      </c>
      <c r="H681" s="81">
        <v>102.13</v>
      </c>
      <c r="I681" s="80" t="s">
        <v>4800</v>
      </c>
      <c r="L681" s="3">
        <f>VLOOKUP(C681,Securities!A:D,4,FALSE)</f>
        <v>5</v>
      </c>
      <c r="M681" s="3" t="str">
        <f>VLOOKUP(C681,Securities!A:B,2,FALSE)</f>
        <v>XS0579851949 Corp</v>
      </c>
      <c r="O681" s="3">
        <f t="shared" si="11"/>
        <v>725000</v>
      </c>
    </row>
    <row r="682" spans="1:15" x14ac:dyDescent="0.25">
      <c r="A682" s="76">
        <v>43053</v>
      </c>
      <c r="B682" s="77" t="s">
        <v>5234</v>
      </c>
      <c r="C682" s="77" t="s">
        <v>4805</v>
      </c>
      <c r="D682" s="77" t="s">
        <v>31</v>
      </c>
      <c r="E682" s="78">
        <v>225000</v>
      </c>
      <c r="F682" s="77" t="s">
        <v>4806</v>
      </c>
      <c r="G682" s="78">
        <v>175.25</v>
      </c>
      <c r="H682" s="78">
        <v>175.25</v>
      </c>
      <c r="I682" s="77" t="s">
        <v>4800</v>
      </c>
      <c r="L682" s="3">
        <f>VLOOKUP(C682,Securities!A:D,4,FALSE)</f>
        <v>5</v>
      </c>
      <c r="M682" s="3" t="str">
        <f>VLOOKUP(C682,Securities!A:B,2,FALSE)</f>
        <v>TT343269 Corp</v>
      </c>
      <c r="O682" s="3">
        <f t="shared" si="11"/>
        <v>225000</v>
      </c>
    </row>
    <row r="683" spans="1:15" x14ac:dyDescent="0.25">
      <c r="A683" s="79">
        <v>43053</v>
      </c>
      <c r="B683" s="80" t="s">
        <v>5234</v>
      </c>
      <c r="C683" s="80" t="s">
        <v>5207</v>
      </c>
      <c r="D683" s="80" t="s">
        <v>5208</v>
      </c>
      <c r="E683" s="81">
        <v>1</v>
      </c>
      <c r="F683" s="80" t="s">
        <v>4974</v>
      </c>
      <c r="G683" s="81">
        <v>100</v>
      </c>
      <c r="H683" s="81">
        <v>100</v>
      </c>
      <c r="I683" s="80" t="s">
        <v>4800</v>
      </c>
      <c r="L683" s="3">
        <f>VLOOKUP(C683,Securities!A:D,4,FALSE)</f>
        <v>5</v>
      </c>
      <c r="M683" s="3" t="str">
        <f>VLOOKUP(C683,Securities!A:B,2,FALSE)</f>
        <v>RU000A0JXU14 Corp</v>
      </c>
      <c r="O683" s="3">
        <f t="shared" si="11"/>
        <v>1</v>
      </c>
    </row>
    <row r="684" spans="1:15" x14ac:dyDescent="0.25">
      <c r="A684" s="76">
        <v>43053</v>
      </c>
      <c r="B684" s="77" t="s">
        <v>5234</v>
      </c>
      <c r="C684" s="77" t="s">
        <v>4882</v>
      </c>
      <c r="D684" s="77" t="s">
        <v>4883</v>
      </c>
      <c r="E684" s="78">
        <v>725000</v>
      </c>
      <c r="F684" s="77" t="s">
        <v>4806</v>
      </c>
      <c r="G684" s="78">
        <v>107</v>
      </c>
      <c r="H684" s="78">
        <v>107</v>
      </c>
      <c r="I684" s="77" t="s">
        <v>4800</v>
      </c>
      <c r="L684" s="3">
        <f>VLOOKUP(C684,Securities!A:D,4,FALSE)</f>
        <v>5</v>
      </c>
      <c r="M684" s="3" t="str">
        <f>VLOOKUP(C684,Securities!A:B,2,FALSE)</f>
        <v>XS1405775377 Corp</v>
      </c>
      <c r="O684" s="3">
        <f t="shared" si="11"/>
        <v>725000</v>
      </c>
    </row>
    <row r="685" spans="1:15" x14ac:dyDescent="0.25">
      <c r="A685" s="79">
        <v>43053</v>
      </c>
      <c r="B685" s="80" t="s">
        <v>5234</v>
      </c>
      <c r="C685" s="80" t="s">
        <v>4899</v>
      </c>
      <c r="D685" s="80" t="s">
        <v>4900</v>
      </c>
      <c r="E685" s="81">
        <v>45000</v>
      </c>
      <c r="F685" s="80" t="s">
        <v>4799</v>
      </c>
      <c r="G685" s="81">
        <v>202.697777</v>
      </c>
      <c r="H685" s="81">
        <v>3.3896510000000002</v>
      </c>
      <c r="I685" s="80" t="s">
        <v>4800</v>
      </c>
      <c r="L685" s="3">
        <f>VLOOKUP(C685,Securities!A:D,4,FALSE)</f>
        <v>1</v>
      </c>
      <c r="M685" s="3" t="str">
        <f>VLOOKUP(C685,Securities!A:B,2,FALSE)</f>
        <v>EVR LN Equity</v>
      </c>
      <c r="O685" s="3">
        <f t="shared" si="11"/>
        <v>45000</v>
      </c>
    </row>
    <row r="686" spans="1:15" x14ac:dyDescent="0.25">
      <c r="A686" s="76">
        <v>43053</v>
      </c>
      <c r="B686" s="77" t="s">
        <v>5234</v>
      </c>
      <c r="C686" s="77" t="s">
        <v>4901</v>
      </c>
      <c r="D686" s="77" t="s">
        <v>4902</v>
      </c>
      <c r="E686" s="78">
        <v>7895</v>
      </c>
      <c r="F686" s="77" t="s">
        <v>4804</v>
      </c>
      <c r="G686" s="78">
        <v>2140.8176939999998</v>
      </c>
      <c r="H686" s="78">
        <v>37.853594999999999</v>
      </c>
      <c r="I686" s="77" t="s">
        <v>4800</v>
      </c>
      <c r="L686" s="3">
        <f>VLOOKUP(C686,Securities!A:D,4,FALSE)</f>
        <v>1</v>
      </c>
      <c r="M686" s="3" t="str">
        <f>VLOOKUP(C686,Securities!A:B,2,FALSE)</f>
        <v>FIVE LI Equity</v>
      </c>
      <c r="O686" s="3">
        <f t="shared" si="11"/>
        <v>7895</v>
      </c>
    </row>
    <row r="687" spans="1:15" x14ac:dyDescent="0.25">
      <c r="A687" s="79">
        <v>43053</v>
      </c>
      <c r="B687" s="80" t="s">
        <v>5234</v>
      </c>
      <c r="C687" s="80" t="s">
        <v>5237</v>
      </c>
      <c r="D687" s="80" t="s">
        <v>5238</v>
      </c>
      <c r="E687" s="81">
        <v>82450</v>
      </c>
      <c r="F687" s="80" t="s">
        <v>4804</v>
      </c>
      <c r="G687" s="81">
        <v>213.731514</v>
      </c>
      <c r="H687" s="81">
        <v>3.618538</v>
      </c>
      <c r="I687" s="80" t="s">
        <v>4800</v>
      </c>
      <c r="L687" s="3">
        <f>VLOOKUP(C687,Securities!A:D,4,FALSE)</f>
        <v>1</v>
      </c>
      <c r="M687" s="3" t="str">
        <f>VLOOKUP(C687,Securities!A:B,2,FALSE)</f>
        <v>GLPR LI Equity</v>
      </c>
      <c r="O687" s="3">
        <f t="shared" si="11"/>
        <v>82450</v>
      </c>
    </row>
    <row r="688" spans="1:15" x14ac:dyDescent="0.25">
      <c r="A688" s="76">
        <v>43053</v>
      </c>
      <c r="B688" s="77" t="s">
        <v>5234</v>
      </c>
      <c r="C688" s="77" t="s">
        <v>4903</v>
      </c>
      <c r="D688" s="77" t="s">
        <v>4904</v>
      </c>
      <c r="E688" s="78">
        <v>577000</v>
      </c>
      <c r="F688" s="77" t="s">
        <v>4806</v>
      </c>
      <c r="G688" s="78">
        <v>106.400086</v>
      </c>
      <c r="H688" s="78">
        <v>106.400086</v>
      </c>
      <c r="I688" s="77" t="s">
        <v>4800</v>
      </c>
      <c r="L688" s="3">
        <f>VLOOKUP(C688,Securities!A:D,4,FALSE)</f>
        <v>5</v>
      </c>
      <c r="M688" s="3" t="str">
        <f>VLOOKUP(C688,Securities!A:B,2,FALSE)</f>
        <v>XS1319813769 Corp</v>
      </c>
      <c r="O688" s="3">
        <f t="shared" si="11"/>
        <v>577000</v>
      </c>
    </row>
    <row r="689" spans="1:15" x14ac:dyDescent="0.25">
      <c r="A689" s="79">
        <v>43053</v>
      </c>
      <c r="B689" s="80" t="s">
        <v>5234</v>
      </c>
      <c r="C689" s="80" t="s">
        <v>4996</v>
      </c>
      <c r="D689" s="80" t="s">
        <v>4997</v>
      </c>
      <c r="E689" s="81">
        <v>325000</v>
      </c>
      <c r="F689" s="80" t="s">
        <v>4806</v>
      </c>
      <c r="G689" s="81">
        <v>101.5</v>
      </c>
      <c r="H689" s="81">
        <v>101.5</v>
      </c>
      <c r="I689" s="80" t="s">
        <v>4800</v>
      </c>
      <c r="L689" s="3">
        <f>VLOOKUP(C689,Securities!A:D,4,FALSE)</f>
        <v>5</v>
      </c>
      <c r="M689" s="3" t="str">
        <f>VLOOKUP(C689,Securities!A:B,2,FALSE)</f>
        <v>XS1577961516 Corp</v>
      </c>
      <c r="O689" s="3">
        <f t="shared" si="11"/>
        <v>325000</v>
      </c>
    </row>
    <row r="690" spans="1:15" x14ac:dyDescent="0.25">
      <c r="A690" s="76">
        <v>43053</v>
      </c>
      <c r="B690" s="77" t="s">
        <v>5234</v>
      </c>
      <c r="C690" s="77" t="s">
        <v>4963</v>
      </c>
      <c r="D690" s="77" t="s">
        <v>4964</v>
      </c>
      <c r="E690" s="78">
        <v>725000</v>
      </c>
      <c r="F690" s="77" t="s">
        <v>4806</v>
      </c>
      <c r="G690" s="78">
        <v>99.25</v>
      </c>
      <c r="H690" s="78">
        <v>99.25</v>
      </c>
      <c r="I690" s="77" t="s">
        <v>4800</v>
      </c>
      <c r="L690" s="3">
        <f>VLOOKUP(C690,Securities!A:D,4,FALSE)</f>
        <v>5</v>
      </c>
      <c r="M690" s="3" t="str">
        <f>VLOOKUP(C690,Securities!A:B,2,FALSE)</f>
        <v>XS1439838548 Corp</v>
      </c>
      <c r="O690" s="3">
        <f t="shared" si="11"/>
        <v>725000</v>
      </c>
    </row>
    <row r="691" spans="1:15" x14ac:dyDescent="0.25">
      <c r="A691" s="79">
        <v>43053</v>
      </c>
      <c r="B691" s="80" t="s">
        <v>5234</v>
      </c>
      <c r="C691" s="80" t="s">
        <v>5175</v>
      </c>
      <c r="D691" s="80" t="s">
        <v>5176</v>
      </c>
      <c r="E691" s="81">
        <v>6900</v>
      </c>
      <c r="F691" s="80" t="s">
        <v>4908</v>
      </c>
      <c r="G691" s="81">
        <v>1831.5342410000001</v>
      </c>
      <c r="H691" s="81">
        <v>32.4069</v>
      </c>
      <c r="I691" s="80" t="s">
        <v>4800</v>
      </c>
      <c r="L691" s="3">
        <f>VLOOKUP(C691,Securities!A:D,4,FALSE)</f>
        <v>1</v>
      </c>
      <c r="M691" s="3" t="str">
        <f>VLOOKUP(C691,Securities!A:B,2,FALSE)</f>
        <v>HENPEA2 LX Equity</v>
      </c>
      <c r="O691" s="3">
        <f t="shared" si="11"/>
        <v>6900</v>
      </c>
    </row>
    <row r="692" spans="1:15" x14ac:dyDescent="0.25">
      <c r="A692" s="76">
        <v>43053</v>
      </c>
      <c r="B692" s="77" t="s">
        <v>5234</v>
      </c>
      <c r="C692" s="77" t="s">
        <v>4910</v>
      </c>
      <c r="D692" s="77" t="s">
        <v>366</v>
      </c>
      <c r="E692" s="78">
        <v>18415</v>
      </c>
      <c r="F692" s="77" t="s">
        <v>4810</v>
      </c>
      <c r="G692" s="78">
        <v>912.65305599999999</v>
      </c>
      <c r="H692" s="78">
        <v>16.212586999999999</v>
      </c>
      <c r="I692" s="77" t="s">
        <v>4800</v>
      </c>
      <c r="L692" s="3">
        <f>VLOOKUP(C692,Securities!A:D,4,FALSE)</f>
        <v>1</v>
      </c>
      <c r="M692" s="3" t="str">
        <f>VLOOKUP(C692,Securities!A:B,2,FALSE)</f>
        <v>LSRG RX Equity</v>
      </c>
      <c r="O692" s="3">
        <f t="shared" si="11"/>
        <v>18415</v>
      </c>
    </row>
    <row r="693" spans="1:15" x14ac:dyDescent="0.25">
      <c r="A693" s="79">
        <v>43053</v>
      </c>
      <c r="B693" s="80" t="s">
        <v>5234</v>
      </c>
      <c r="C693" s="80" t="s">
        <v>5147</v>
      </c>
      <c r="D693" s="80" t="s">
        <v>5148</v>
      </c>
      <c r="E693" s="81">
        <v>4193</v>
      </c>
      <c r="F693" s="80" t="s">
        <v>4825</v>
      </c>
      <c r="G693" s="81">
        <v>2896.7984550000001</v>
      </c>
      <c r="H693" s="81">
        <v>47.692011000000001</v>
      </c>
      <c r="I693" s="80" t="s">
        <v>4800</v>
      </c>
      <c r="L693" s="3">
        <f>VLOOKUP(C693,Securities!A:D,4,FALSE)</f>
        <v>1</v>
      </c>
      <c r="M693" s="3" t="str">
        <f>VLOOKUP(C693,Securities!A:B,2,FALSE)</f>
        <v>LKOD LI Equity</v>
      </c>
      <c r="O693" s="3">
        <f t="shared" si="11"/>
        <v>4193</v>
      </c>
    </row>
    <row r="694" spans="1:15" x14ac:dyDescent="0.25">
      <c r="A694" s="76">
        <v>43053</v>
      </c>
      <c r="B694" s="77" t="s">
        <v>5234</v>
      </c>
      <c r="C694" s="77" t="s">
        <v>4911</v>
      </c>
      <c r="D694" s="77" t="s">
        <v>405</v>
      </c>
      <c r="E694" s="78">
        <v>226000</v>
      </c>
      <c r="F694" s="77" t="s">
        <v>4810</v>
      </c>
      <c r="G694" s="78">
        <v>43.182614000000001</v>
      </c>
      <c r="H694" s="78">
        <v>0.75407599999999997</v>
      </c>
      <c r="I694" s="77" t="s">
        <v>4800</v>
      </c>
      <c r="L694" s="3">
        <f>VLOOKUP(C694,Securities!A:D,4,FALSE)</f>
        <v>1</v>
      </c>
      <c r="M694" s="3" t="str">
        <f>VLOOKUP(C694,Securities!A:B,2,FALSE)</f>
        <v>MAGN RX Equity</v>
      </c>
      <c r="O694" s="3">
        <f t="shared" si="11"/>
        <v>226000</v>
      </c>
    </row>
    <row r="695" spans="1:15" x14ac:dyDescent="0.25">
      <c r="A695" s="79">
        <v>43053</v>
      </c>
      <c r="B695" s="80" t="s">
        <v>5234</v>
      </c>
      <c r="C695" s="80" t="s">
        <v>4998</v>
      </c>
      <c r="D695" s="80" t="s">
        <v>4999</v>
      </c>
      <c r="E695" s="81">
        <v>500000</v>
      </c>
      <c r="F695" s="80" t="s">
        <v>4806</v>
      </c>
      <c r="G695" s="81">
        <v>104.05</v>
      </c>
      <c r="H695" s="81">
        <v>104.05</v>
      </c>
      <c r="I695" s="80" t="s">
        <v>4800</v>
      </c>
      <c r="L695" s="3">
        <f>VLOOKUP(C695,Securities!A:D,4,FALSE)</f>
        <v>5</v>
      </c>
      <c r="M695" s="3" t="str">
        <f>VLOOKUP(C695,Securities!A:B,2,FALSE)</f>
        <v>XS1503116912 Corp</v>
      </c>
      <c r="O695" s="3">
        <f t="shared" si="11"/>
        <v>500000</v>
      </c>
    </row>
    <row r="696" spans="1:15" x14ac:dyDescent="0.25">
      <c r="A696" s="76">
        <v>43053</v>
      </c>
      <c r="B696" s="77" t="s">
        <v>5234</v>
      </c>
      <c r="C696" s="77" t="s">
        <v>4912</v>
      </c>
      <c r="D696" s="77" t="s">
        <v>28</v>
      </c>
      <c r="E696" s="78">
        <v>2151000</v>
      </c>
      <c r="F696" s="77" t="s">
        <v>4810</v>
      </c>
      <c r="G696" s="78">
        <v>7.857666</v>
      </c>
      <c r="H696" s="78">
        <v>0.13893800000000001</v>
      </c>
      <c r="I696" s="77" t="s">
        <v>4800</v>
      </c>
      <c r="L696" s="3">
        <f>VLOOKUP(C696,Securities!A:D,4,FALSE)</f>
        <v>1</v>
      </c>
      <c r="M696" s="3" t="str">
        <f>VLOOKUP(C696,Securities!A:B,2,FALSE)</f>
        <v>NMTP RX Equity</v>
      </c>
      <c r="O696" s="3">
        <f t="shared" si="11"/>
        <v>2151000</v>
      </c>
    </row>
    <row r="697" spans="1:15" x14ac:dyDescent="0.25">
      <c r="A697" s="79">
        <v>43053</v>
      </c>
      <c r="B697" s="80" t="s">
        <v>5234</v>
      </c>
      <c r="C697" s="80" t="s">
        <v>4848</v>
      </c>
      <c r="D697" s="80" t="s">
        <v>511</v>
      </c>
      <c r="E697" s="81">
        <v>24450</v>
      </c>
      <c r="F697" s="80" t="s">
        <v>4810</v>
      </c>
      <c r="G697" s="81">
        <v>688.70308899999998</v>
      </c>
      <c r="H697" s="81">
        <v>12.177536999999999</v>
      </c>
      <c r="I697" s="80" t="s">
        <v>4800</v>
      </c>
      <c r="L697" s="3">
        <f>VLOOKUP(C697,Securities!A:D,4,FALSE)</f>
        <v>1</v>
      </c>
      <c r="M697" s="3" t="str">
        <f>VLOOKUP(C697,Securities!A:B,2,FALSE)</f>
        <v>NVTK RX Equity</v>
      </c>
      <c r="O697" s="3">
        <f t="shared" si="11"/>
        <v>24450</v>
      </c>
    </row>
    <row r="698" spans="1:15" x14ac:dyDescent="0.25">
      <c r="A698" s="76">
        <v>43053</v>
      </c>
      <c r="B698" s="77" t="s">
        <v>5234</v>
      </c>
      <c r="C698" s="77" t="s">
        <v>5000</v>
      </c>
      <c r="D698" s="77" t="s">
        <v>5001</v>
      </c>
      <c r="E698" s="78">
        <v>725000</v>
      </c>
      <c r="F698" s="77" t="s">
        <v>4806</v>
      </c>
      <c r="G698" s="78">
        <v>112.25</v>
      </c>
      <c r="H698" s="78">
        <v>112.25</v>
      </c>
      <c r="I698" s="77" t="s">
        <v>4800</v>
      </c>
      <c r="L698" s="3">
        <f>VLOOKUP(C698,Securities!A:D,4,FALSE)</f>
        <v>5</v>
      </c>
      <c r="M698" s="3" t="str">
        <f>VLOOKUP(C698,Securities!A:B,2,FALSE)</f>
        <v>US71647NAP42 Corp</v>
      </c>
      <c r="O698" s="3">
        <f t="shared" si="11"/>
        <v>725000</v>
      </c>
    </row>
    <row r="699" spans="1:15" x14ac:dyDescent="0.25">
      <c r="A699" s="79">
        <v>43053</v>
      </c>
      <c r="B699" s="80" t="s">
        <v>5234</v>
      </c>
      <c r="C699" s="80" t="s">
        <v>4956</v>
      </c>
      <c r="D699" s="80" t="s">
        <v>4957</v>
      </c>
      <c r="E699" s="81">
        <v>14200</v>
      </c>
      <c r="F699" s="80" t="s">
        <v>4804</v>
      </c>
      <c r="G699" s="81">
        <v>815.38324699999998</v>
      </c>
      <c r="H699" s="81">
        <v>14.0373</v>
      </c>
      <c r="I699" s="80" t="s">
        <v>4800</v>
      </c>
      <c r="L699" s="3">
        <f>VLOOKUP(C699,Securities!A:D,4,FALSE)</f>
        <v>1</v>
      </c>
      <c r="M699" s="3" t="str">
        <f>VLOOKUP(C699,Securities!A:B,2,FALSE)</f>
        <v>PHOR LI Equity</v>
      </c>
      <c r="O699" s="3">
        <f t="shared" si="11"/>
        <v>14200</v>
      </c>
    </row>
    <row r="700" spans="1:15" x14ac:dyDescent="0.25">
      <c r="A700" s="76">
        <v>43053</v>
      </c>
      <c r="B700" s="77" t="s">
        <v>5234</v>
      </c>
      <c r="C700" s="77" t="s">
        <v>4892</v>
      </c>
      <c r="D700" s="77" t="s">
        <v>568</v>
      </c>
      <c r="E700" s="78">
        <v>5015</v>
      </c>
      <c r="F700" s="77" t="s">
        <v>4810</v>
      </c>
      <c r="G700" s="78">
        <v>3924.6400359999998</v>
      </c>
      <c r="H700" s="78">
        <v>66.423063999999997</v>
      </c>
      <c r="I700" s="77" t="s">
        <v>4800</v>
      </c>
      <c r="L700" s="3">
        <f>VLOOKUP(C700,Securities!A:D,4,FALSE)</f>
        <v>1</v>
      </c>
      <c r="M700" s="3" t="str">
        <f>VLOOKUP(C700,Securities!A:B,2,FALSE)</f>
        <v>PLZL RX Equity</v>
      </c>
      <c r="O700" s="3">
        <f t="shared" si="11"/>
        <v>5015</v>
      </c>
    </row>
    <row r="701" spans="1:15" x14ac:dyDescent="0.25">
      <c r="A701" s="79">
        <v>43053</v>
      </c>
      <c r="B701" s="80" t="s">
        <v>5234</v>
      </c>
      <c r="C701" s="80" t="s">
        <v>4967</v>
      </c>
      <c r="D701" s="80" t="s">
        <v>4968</v>
      </c>
      <c r="E701" s="81">
        <v>725000</v>
      </c>
      <c r="F701" s="80" t="s">
        <v>4806</v>
      </c>
      <c r="G701" s="81">
        <v>116.25</v>
      </c>
      <c r="H701" s="81">
        <v>116.25</v>
      </c>
      <c r="I701" s="80" t="s">
        <v>4800</v>
      </c>
      <c r="L701" s="3">
        <f>VLOOKUP(C701,Securities!A:D,4,FALSE)</f>
        <v>5</v>
      </c>
      <c r="M701" s="3" t="str">
        <f>VLOOKUP(C701,Securities!A:B,2,FALSE)</f>
        <v>XS0979891925 Corp</v>
      </c>
      <c r="O701" s="3">
        <f t="shared" si="11"/>
        <v>725000</v>
      </c>
    </row>
    <row r="702" spans="1:15" x14ac:dyDescent="0.25">
      <c r="A702" s="76">
        <v>43053</v>
      </c>
      <c r="B702" s="77" t="s">
        <v>5234</v>
      </c>
      <c r="C702" s="77" t="s">
        <v>4851</v>
      </c>
      <c r="D702" s="77" t="s">
        <v>4744</v>
      </c>
      <c r="E702" s="78">
        <v>725000</v>
      </c>
      <c r="F702" s="77" t="s">
        <v>4806</v>
      </c>
      <c r="G702" s="78">
        <v>103.5</v>
      </c>
      <c r="H702" s="78">
        <v>103.5</v>
      </c>
      <c r="I702" s="77" t="s">
        <v>4800</v>
      </c>
      <c r="L702" s="3">
        <f>VLOOKUP(C702,Securities!A:D,4,FALSE)</f>
        <v>5</v>
      </c>
      <c r="M702" s="3" t="str">
        <f>VLOOKUP(C702,Securities!A:B,2,FALSE)</f>
        <v>XS1032750165 Corp</v>
      </c>
      <c r="O702" s="3">
        <f t="shared" si="11"/>
        <v>725000</v>
      </c>
    </row>
    <row r="703" spans="1:15" x14ac:dyDescent="0.25">
      <c r="A703" s="79">
        <v>43053</v>
      </c>
      <c r="B703" s="80" t="s">
        <v>5234</v>
      </c>
      <c r="C703" s="80" t="s">
        <v>5004</v>
      </c>
      <c r="D703" s="80" t="s">
        <v>5005</v>
      </c>
      <c r="E703" s="81">
        <v>725000</v>
      </c>
      <c r="F703" s="80" t="s">
        <v>4806</v>
      </c>
      <c r="G703" s="81">
        <v>104</v>
      </c>
      <c r="H703" s="81">
        <v>104</v>
      </c>
      <c r="I703" s="80" t="s">
        <v>4800</v>
      </c>
      <c r="L703" s="3">
        <f>VLOOKUP(C703,Securities!A:D,4,FALSE)</f>
        <v>5</v>
      </c>
      <c r="M703" s="3" t="str">
        <f>VLOOKUP(C703,Securities!A:B,2,FALSE)</f>
        <v>XS1433454243 Corp</v>
      </c>
      <c r="O703" s="3">
        <f t="shared" si="11"/>
        <v>725000</v>
      </c>
    </row>
    <row r="704" spans="1:15" x14ac:dyDescent="0.25">
      <c r="A704" s="76">
        <v>43053</v>
      </c>
      <c r="B704" s="77" t="s">
        <v>5234</v>
      </c>
      <c r="C704" s="77" t="s">
        <v>4917</v>
      </c>
      <c r="D704" s="77" t="s">
        <v>742</v>
      </c>
      <c r="E704" s="78">
        <v>214600</v>
      </c>
      <c r="F704" s="77" t="s">
        <v>4810</v>
      </c>
      <c r="G704" s="78">
        <v>79.488758000000004</v>
      </c>
      <c r="H704" s="78">
        <v>1.407346</v>
      </c>
      <c r="I704" s="77" t="s">
        <v>4800</v>
      </c>
      <c r="L704" s="3">
        <f>VLOOKUP(C704,Securities!A:D,4,FALSE)</f>
        <v>1</v>
      </c>
      <c r="M704" s="3" t="str">
        <f>VLOOKUP(C704,Securities!A:B,2,FALSE)</f>
        <v>TRMK RX Equity</v>
      </c>
      <c r="O704" s="3">
        <f t="shared" si="11"/>
        <v>214600</v>
      </c>
    </row>
    <row r="705" spans="1:15" x14ac:dyDescent="0.25">
      <c r="A705" s="79">
        <v>43053</v>
      </c>
      <c r="B705" s="80" t="s">
        <v>5234</v>
      </c>
      <c r="C705" s="80" t="s">
        <v>5028</v>
      </c>
      <c r="D705" s="80" t="s">
        <v>5029</v>
      </c>
      <c r="E705" s="81">
        <v>725000</v>
      </c>
      <c r="F705" s="80" t="s">
        <v>4806</v>
      </c>
      <c r="G705" s="81">
        <v>109.75</v>
      </c>
      <c r="H705" s="81">
        <v>109.75</v>
      </c>
      <c r="I705" s="80" t="s">
        <v>4800</v>
      </c>
      <c r="L705" s="3">
        <f>VLOOKUP(C705,Securities!A:D,4,FALSE)</f>
        <v>5</v>
      </c>
      <c r="M705" s="3" t="str">
        <f>VLOOKUP(C705,Securities!A:B,2,FALSE)</f>
        <v>EJ394063 Corp</v>
      </c>
      <c r="O705" s="3">
        <f t="shared" si="11"/>
        <v>725000</v>
      </c>
    </row>
    <row r="706" spans="1:15" x14ac:dyDescent="0.25">
      <c r="A706" s="76">
        <v>43053</v>
      </c>
      <c r="B706" s="77" t="s">
        <v>5239</v>
      </c>
      <c r="C706" s="77" t="s">
        <v>4866</v>
      </c>
      <c r="D706" s="77" t="s">
        <v>99</v>
      </c>
      <c r="E706" s="78">
        <v>16000</v>
      </c>
      <c r="F706" s="77" t="s">
        <v>4810</v>
      </c>
      <c r="G706" s="78">
        <v>81.105500000000006</v>
      </c>
      <c r="H706" s="78">
        <v>1.406423</v>
      </c>
      <c r="I706" s="77" t="s">
        <v>4800</v>
      </c>
      <c r="L706" s="3">
        <f>VLOOKUP(C706,Securities!A:D,4,FALSE)</f>
        <v>1</v>
      </c>
      <c r="M706" s="3" t="str">
        <f>VLOOKUP(C706,Securities!A:B,2,FALSE)</f>
        <v>ALRS RX Equity</v>
      </c>
      <c r="O706" s="3">
        <f t="shared" si="11"/>
        <v>16000</v>
      </c>
    </row>
    <row r="707" spans="1:15" x14ac:dyDescent="0.25">
      <c r="A707" s="79">
        <v>43053</v>
      </c>
      <c r="B707" s="80" t="s">
        <v>5239</v>
      </c>
      <c r="C707" s="80" t="s">
        <v>5240</v>
      </c>
      <c r="D707" s="80" t="s">
        <v>5241</v>
      </c>
      <c r="E707" s="81">
        <v>23000</v>
      </c>
      <c r="F707" s="80" t="s">
        <v>4806</v>
      </c>
      <c r="G707" s="81">
        <v>106.75</v>
      </c>
      <c r="H707" s="81">
        <v>106.75</v>
      </c>
      <c r="I707" s="80" t="s">
        <v>4800</v>
      </c>
      <c r="L707" s="3">
        <f>VLOOKUP(C707,Securities!A:D,4,FALSE)</f>
        <v>5</v>
      </c>
      <c r="M707" s="3" t="str">
        <f>VLOOKUP(C707,Securities!A:B,2,FALSE)</f>
        <v>USU05485AA20 Corp</v>
      </c>
      <c r="O707" s="3">
        <f t="shared" si="11"/>
        <v>23000</v>
      </c>
    </row>
    <row r="708" spans="1:15" x14ac:dyDescent="0.25">
      <c r="A708" s="76">
        <v>43053</v>
      </c>
      <c r="B708" s="77" t="s">
        <v>5239</v>
      </c>
      <c r="C708" s="77" t="s">
        <v>4805</v>
      </c>
      <c r="D708" s="77" t="s">
        <v>31</v>
      </c>
      <c r="E708" s="78">
        <v>125000</v>
      </c>
      <c r="F708" s="77" t="s">
        <v>4806</v>
      </c>
      <c r="G708" s="78">
        <v>172.5</v>
      </c>
      <c r="H708" s="78">
        <v>172.5</v>
      </c>
      <c r="I708" s="77" t="s">
        <v>4800</v>
      </c>
      <c r="L708" s="3">
        <f>VLOOKUP(C708,Securities!A:D,4,FALSE)</f>
        <v>5</v>
      </c>
      <c r="M708" s="3" t="str">
        <f>VLOOKUP(C708,Securities!A:B,2,FALSE)</f>
        <v>TT343269 Corp</v>
      </c>
      <c r="O708" s="3">
        <f t="shared" si="11"/>
        <v>125000</v>
      </c>
    </row>
    <row r="709" spans="1:15" x14ac:dyDescent="0.25">
      <c r="A709" s="79">
        <v>43053</v>
      </c>
      <c r="B709" s="80" t="s">
        <v>5239</v>
      </c>
      <c r="C709" s="80" t="s">
        <v>4845</v>
      </c>
      <c r="D709" s="80" t="s">
        <v>4846</v>
      </c>
      <c r="E709" s="81">
        <v>225000</v>
      </c>
      <c r="F709" s="80" t="s">
        <v>4806</v>
      </c>
      <c r="G709" s="81">
        <v>112.75</v>
      </c>
      <c r="H709" s="81">
        <v>112.75</v>
      </c>
      <c r="I709" s="80" t="s">
        <v>4800</v>
      </c>
      <c r="L709" s="3">
        <f>VLOOKUP(C709,Securities!A:D,4,FALSE)</f>
        <v>5</v>
      </c>
      <c r="M709" s="3" t="str">
        <f>VLOOKUP(C709,Securities!A:B,2,FALSE)</f>
        <v>XS1319822752 Corp</v>
      </c>
      <c r="O709" s="3">
        <f t="shared" si="11"/>
        <v>225000</v>
      </c>
    </row>
    <row r="710" spans="1:15" x14ac:dyDescent="0.25">
      <c r="A710" s="76">
        <v>43053</v>
      </c>
      <c r="B710" s="77" t="s">
        <v>5239</v>
      </c>
      <c r="C710" s="77" t="s">
        <v>5037</v>
      </c>
      <c r="D710" s="77" t="s">
        <v>5038</v>
      </c>
      <c r="E710" s="78">
        <v>230000</v>
      </c>
      <c r="F710" s="77" t="s">
        <v>4806</v>
      </c>
      <c r="G710" s="78">
        <v>100.5</v>
      </c>
      <c r="H710" s="78">
        <v>100.5</v>
      </c>
      <c r="I710" s="77" t="s">
        <v>4800</v>
      </c>
      <c r="L710" s="3">
        <f>VLOOKUP(C710,Securities!A:D,4,FALSE)</f>
        <v>5</v>
      </c>
      <c r="M710" s="3" t="str">
        <f>VLOOKUP(C710,Securities!A:B,2,FALSE)</f>
        <v>XS1533915721 Corp</v>
      </c>
      <c r="O710" s="3">
        <f t="shared" ref="O710:O773" si="12">SUMIFS(E:E,C:C,C710,B:B,B710)</f>
        <v>230000</v>
      </c>
    </row>
    <row r="711" spans="1:15" x14ac:dyDescent="0.25">
      <c r="A711" s="79">
        <v>43053</v>
      </c>
      <c r="B711" s="80" t="s">
        <v>5239</v>
      </c>
      <c r="C711" s="80" t="s">
        <v>4807</v>
      </c>
      <c r="D711" s="80" t="s">
        <v>4808</v>
      </c>
      <c r="E711" s="81">
        <v>200000</v>
      </c>
      <c r="F711" s="80" t="s">
        <v>4806</v>
      </c>
      <c r="G711" s="81">
        <v>104</v>
      </c>
      <c r="H711" s="81">
        <v>104</v>
      </c>
      <c r="I711" s="80" t="s">
        <v>4800</v>
      </c>
      <c r="L711" s="3">
        <f>VLOOKUP(C711,Securities!A:D,4,FALSE)</f>
        <v>5</v>
      </c>
      <c r="M711" s="3" t="str">
        <f>VLOOKUP(C711,Securities!A:B,2,FALSE)</f>
        <v>XS0975320879 Corp</v>
      </c>
      <c r="O711" s="3">
        <f t="shared" si="12"/>
        <v>200000</v>
      </c>
    </row>
    <row r="712" spans="1:15" x14ac:dyDescent="0.25">
      <c r="A712" s="76">
        <v>43053</v>
      </c>
      <c r="B712" s="77" t="s">
        <v>5239</v>
      </c>
      <c r="C712" s="77" t="s">
        <v>4809</v>
      </c>
      <c r="D712" s="77" t="s">
        <v>30</v>
      </c>
      <c r="E712" s="78">
        <v>175470</v>
      </c>
      <c r="F712" s="77" t="s">
        <v>4810</v>
      </c>
      <c r="G712" s="78">
        <v>131.15631099999999</v>
      </c>
      <c r="H712" s="78">
        <v>3.5725530000000001</v>
      </c>
      <c r="I712" s="77" t="s">
        <v>4800</v>
      </c>
      <c r="L712" s="3">
        <f>VLOOKUP(C712,Securities!A:D,4,FALSE)</f>
        <v>1</v>
      </c>
      <c r="M712" s="3" t="str">
        <f>VLOOKUP(C712,Securities!A:B,2,FALSE)</f>
        <v>GAZP RX Equity</v>
      </c>
      <c r="O712" s="3">
        <f t="shared" si="12"/>
        <v>175470</v>
      </c>
    </row>
    <row r="713" spans="1:15" x14ac:dyDescent="0.25">
      <c r="A713" s="79">
        <v>43053</v>
      </c>
      <c r="B713" s="80" t="s">
        <v>5239</v>
      </c>
      <c r="C713" s="80" t="s">
        <v>4905</v>
      </c>
      <c r="D713" s="80" t="s">
        <v>220</v>
      </c>
      <c r="E713" s="81">
        <v>535</v>
      </c>
      <c r="F713" s="80" t="s">
        <v>4810</v>
      </c>
      <c r="G713" s="81">
        <v>9345</v>
      </c>
      <c r="H713" s="81">
        <v>147.35494299999999</v>
      </c>
      <c r="I713" s="80" t="s">
        <v>4800</v>
      </c>
      <c r="L713" s="3">
        <f>VLOOKUP(C713,Securities!A:D,4,FALSE)</f>
        <v>1</v>
      </c>
      <c r="M713" s="3" t="str">
        <f>VLOOKUP(C713,Securities!A:B,2,FALSE)</f>
        <v>GMKN RX Equity</v>
      </c>
      <c r="O713" s="3">
        <f t="shared" si="12"/>
        <v>535</v>
      </c>
    </row>
    <row r="714" spans="1:15" x14ac:dyDescent="0.25">
      <c r="A714" s="76">
        <v>43053</v>
      </c>
      <c r="B714" s="77" t="s">
        <v>5239</v>
      </c>
      <c r="C714" s="77" t="s">
        <v>4811</v>
      </c>
      <c r="D714" s="77" t="s">
        <v>4659</v>
      </c>
      <c r="E714" s="78">
        <v>45894</v>
      </c>
      <c r="F714" s="77" t="s">
        <v>4799</v>
      </c>
      <c r="G714" s="78">
        <v>116.159802</v>
      </c>
      <c r="H714" s="78">
        <v>1.8451439999999999</v>
      </c>
      <c r="I714" s="77" t="s">
        <v>4800</v>
      </c>
      <c r="L714" s="3">
        <f>VLOOKUP(C714,Securities!A:D,4,FALSE)</f>
        <v>1</v>
      </c>
      <c r="M714" s="3" t="str">
        <f>VLOOKUP(C714,Securities!A:B,2,FALSE)</f>
        <v>HGM LN Equity</v>
      </c>
      <c r="O714" s="3">
        <f t="shared" si="12"/>
        <v>45894</v>
      </c>
    </row>
    <row r="715" spans="1:15" x14ac:dyDescent="0.25">
      <c r="A715" s="79">
        <v>43053</v>
      </c>
      <c r="B715" s="80" t="s">
        <v>5239</v>
      </c>
      <c r="C715" s="80" t="s">
        <v>5242</v>
      </c>
      <c r="D715" s="80" t="s">
        <v>4698</v>
      </c>
      <c r="E715" s="81">
        <v>200000</v>
      </c>
      <c r="F715" s="80" t="s">
        <v>4806</v>
      </c>
      <c r="G715" s="81">
        <v>91.5</v>
      </c>
      <c r="H715" s="81">
        <v>91.5</v>
      </c>
      <c r="I715" s="80" t="s">
        <v>4800</v>
      </c>
      <c r="L715" s="3">
        <f>VLOOKUP(C715,Securities!A:D,4,FALSE)</f>
        <v>5</v>
      </c>
      <c r="M715" s="3" t="str">
        <f>VLOOKUP(C715,Securities!A:B,2,FALSE)</f>
        <v>XS1255387976 Corp</v>
      </c>
      <c r="O715" s="3">
        <f t="shared" si="12"/>
        <v>200000</v>
      </c>
    </row>
    <row r="716" spans="1:15" x14ac:dyDescent="0.25">
      <c r="A716" s="76">
        <v>43053</v>
      </c>
      <c r="B716" s="77" t="s">
        <v>5239</v>
      </c>
      <c r="C716" s="77" t="s">
        <v>4888</v>
      </c>
      <c r="D716" s="77" t="s">
        <v>29</v>
      </c>
      <c r="E716" s="78">
        <v>3200</v>
      </c>
      <c r="F716" s="77" t="s">
        <v>4810</v>
      </c>
      <c r="G716" s="78">
        <v>697.32090000000005</v>
      </c>
      <c r="H716" s="78">
        <v>10.335855</v>
      </c>
      <c r="I716" s="77" t="s">
        <v>4800</v>
      </c>
      <c r="L716" s="3">
        <f>VLOOKUP(C716,Securities!A:D,4,FALSE)</f>
        <v>1</v>
      </c>
      <c r="M716" s="3" t="str">
        <f>VLOOKUP(C716,Securities!A:B,2,FALSE)</f>
        <v>MFON RX Equity</v>
      </c>
      <c r="O716" s="3">
        <f t="shared" si="12"/>
        <v>3200</v>
      </c>
    </row>
    <row r="717" spans="1:15" x14ac:dyDescent="0.25">
      <c r="A717" s="79">
        <v>43053</v>
      </c>
      <c r="B717" s="80" t="s">
        <v>5239</v>
      </c>
      <c r="C717" s="80" t="s">
        <v>4848</v>
      </c>
      <c r="D717" s="80" t="s">
        <v>511</v>
      </c>
      <c r="E717" s="81">
        <v>2570</v>
      </c>
      <c r="F717" s="80" t="s">
        <v>4810</v>
      </c>
      <c r="G717" s="81">
        <v>617.33214299999997</v>
      </c>
      <c r="H717" s="81">
        <v>10.904</v>
      </c>
      <c r="I717" s="80" t="s">
        <v>4800</v>
      </c>
      <c r="L717" s="3">
        <f>VLOOKUP(C717,Securities!A:D,4,FALSE)</f>
        <v>1</v>
      </c>
      <c r="M717" s="3" t="str">
        <f>VLOOKUP(C717,Securities!A:B,2,FALSE)</f>
        <v>NVTK RX Equity</v>
      </c>
      <c r="O717" s="3">
        <f t="shared" si="12"/>
        <v>2570</v>
      </c>
    </row>
    <row r="718" spans="1:15" x14ac:dyDescent="0.25">
      <c r="A718" s="76">
        <v>43053</v>
      </c>
      <c r="B718" s="77" t="s">
        <v>5239</v>
      </c>
      <c r="C718" s="77" t="s">
        <v>5024</v>
      </c>
      <c r="D718" s="77" t="s">
        <v>5025</v>
      </c>
      <c r="E718" s="78">
        <v>250000</v>
      </c>
      <c r="F718" s="77" t="s">
        <v>4806</v>
      </c>
      <c r="G718" s="78">
        <v>99.25</v>
      </c>
      <c r="H718" s="78">
        <v>99.25</v>
      </c>
      <c r="I718" s="77" t="s">
        <v>4800</v>
      </c>
      <c r="L718" s="3">
        <f>VLOOKUP(C718,Securities!A:D,4,FALSE)</f>
        <v>5</v>
      </c>
      <c r="M718" s="3" t="str">
        <f>VLOOKUP(C718,Securities!A:B,2,FALSE)</f>
        <v>XS1405766384 Corp</v>
      </c>
      <c r="O718" s="3">
        <f t="shared" si="12"/>
        <v>250000</v>
      </c>
    </row>
    <row r="719" spans="1:15" x14ac:dyDescent="0.25">
      <c r="A719" s="79">
        <v>43053</v>
      </c>
      <c r="B719" s="80" t="s">
        <v>5239</v>
      </c>
      <c r="C719" s="80" t="s">
        <v>5212</v>
      </c>
      <c r="D719" s="80" t="s">
        <v>5213</v>
      </c>
      <c r="E719" s="81">
        <v>285000</v>
      </c>
      <c r="F719" s="80" t="s">
        <v>4806</v>
      </c>
      <c r="G719" s="81">
        <v>100.875</v>
      </c>
      <c r="H719" s="81">
        <v>100.875</v>
      </c>
      <c r="I719" s="80" t="s">
        <v>4800</v>
      </c>
      <c r="L719" s="3">
        <f>VLOOKUP(C719,Securities!A:D,4,FALSE)</f>
        <v>5</v>
      </c>
      <c r="M719" s="3" t="str">
        <f>VLOOKUP(C719,Securities!A:B,2,FALSE)</f>
        <v>XS1533921299 Corp</v>
      </c>
      <c r="O719" s="3">
        <f t="shared" si="12"/>
        <v>285000</v>
      </c>
    </row>
    <row r="720" spans="1:15" x14ac:dyDescent="0.25">
      <c r="A720" s="76">
        <v>43053</v>
      </c>
      <c r="B720" s="77" t="s">
        <v>5239</v>
      </c>
      <c r="C720" s="77" t="s">
        <v>5243</v>
      </c>
      <c r="D720" s="77" t="s">
        <v>5244</v>
      </c>
      <c r="E720" s="78">
        <v>304000</v>
      </c>
      <c r="F720" s="77" t="s">
        <v>4806</v>
      </c>
      <c r="G720" s="78">
        <v>100.7</v>
      </c>
      <c r="H720" s="78">
        <v>100.7</v>
      </c>
      <c r="I720" s="77" t="s">
        <v>4800</v>
      </c>
      <c r="L720" s="3">
        <f>VLOOKUP(C720,Securities!A:D,4,FALSE)</f>
        <v>5</v>
      </c>
      <c r="M720" s="3" t="str">
        <f>VLOOKUP(C720,Securities!A:B,2,FALSE)</f>
        <v>XS1577964965 Corp</v>
      </c>
      <c r="O720" s="3">
        <f t="shared" si="12"/>
        <v>304000</v>
      </c>
    </row>
    <row r="721" spans="1:15" x14ac:dyDescent="0.25">
      <c r="A721" s="79">
        <v>43053</v>
      </c>
      <c r="B721" s="80" t="s">
        <v>5239</v>
      </c>
      <c r="C721" s="80" t="s">
        <v>4967</v>
      </c>
      <c r="D721" s="80" t="s">
        <v>4968</v>
      </c>
      <c r="E721" s="81">
        <v>225000</v>
      </c>
      <c r="F721" s="80" t="s">
        <v>4806</v>
      </c>
      <c r="G721" s="81">
        <v>110</v>
      </c>
      <c r="H721" s="81">
        <v>110</v>
      </c>
      <c r="I721" s="80" t="s">
        <v>4800</v>
      </c>
      <c r="L721" s="3">
        <f>VLOOKUP(C721,Securities!A:D,4,FALSE)</f>
        <v>5</v>
      </c>
      <c r="M721" s="3" t="str">
        <f>VLOOKUP(C721,Securities!A:B,2,FALSE)</f>
        <v>XS0979891925 Corp</v>
      </c>
      <c r="O721" s="3">
        <f t="shared" si="12"/>
        <v>225000</v>
      </c>
    </row>
    <row r="722" spans="1:15" x14ac:dyDescent="0.25">
      <c r="A722" s="76">
        <v>43053</v>
      </c>
      <c r="B722" s="77" t="s">
        <v>5239</v>
      </c>
      <c r="C722" s="77" t="s">
        <v>5026</v>
      </c>
      <c r="D722" s="77" t="s">
        <v>5027</v>
      </c>
      <c r="E722" s="78">
        <v>221000</v>
      </c>
      <c r="F722" s="77" t="s">
        <v>4806</v>
      </c>
      <c r="G722" s="78">
        <v>102.9</v>
      </c>
      <c r="H722" s="78">
        <v>102.9</v>
      </c>
      <c r="I722" s="77" t="s">
        <v>4800</v>
      </c>
      <c r="L722" s="3">
        <f>VLOOKUP(C722,Securities!A:D,4,FALSE)</f>
        <v>5</v>
      </c>
      <c r="M722" s="3" t="str">
        <f>VLOOKUP(C722,Securities!A:B,2,FALSE)</f>
        <v>XS0935311240 Corp</v>
      </c>
      <c r="O722" s="3">
        <f t="shared" si="12"/>
        <v>221000</v>
      </c>
    </row>
    <row r="723" spans="1:15" x14ac:dyDescent="0.25">
      <c r="A723" s="79">
        <v>43053</v>
      </c>
      <c r="B723" s="80" t="s">
        <v>5239</v>
      </c>
      <c r="C723" s="80" t="s">
        <v>4851</v>
      </c>
      <c r="D723" s="80" t="s">
        <v>4744</v>
      </c>
      <c r="E723" s="81">
        <v>250000</v>
      </c>
      <c r="F723" s="80" t="s">
        <v>4806</v>
      </c>
      <c r="G723" s="81">
        <v>102.875</v>
      </c>
      <c r="H723" s="81">
        <v>102.875</v>
      </c>
      <c r="I723" s="80" t="s">
        <v>4800</v>
      </c>
      <c r="L723" s="3">
        <f>VLOOKUP(C723,Securities!A:D,4,FALSE)</f>
        <v>5</v>
      </c>
      <c r="M723" s="3" t="str">
        <f>VLOOKUP(C723,Securities!A:B,2,FALSE)</f>
        <v>XS1032750165 Corp</v>
      </c>
      <c r="O723" s="3">
        <f t="shared" si="12"/>
        <v>250000</v>
      </c>
    </row>
    <row r="724" spans="1:15" x14ac:dyDescent="0.25">
      <c r="A724" s="76">
        <v>43053</v>
      </c>
      <c r="B724" s="77" t="s">
        <v>5239</v>
      </c>
      <c r="C724" s="77" t="s">
        <v>5004</v>
      </c>
      <c r="D724" s="77" t="s">
        <v>5005</v>
      </c>
      <c r="E724" s="78">
        <v>200000</v>
      </c>
      <c r="F724" s="77" t="s">
        <v>4806</v>
      </c>
      <c r="G724" s="78">
        <v>104.5</v>
      </c>
      <c r="H724" s="78">
        <v>104.5</v>
      </c>
      <c r="I724" s="77" t="s">
        <v>4800</v>
      </c>
      <c r="L724" s="3">
        <f>VLOOKUP(C724,Securities!A:D,4,FALSE)</f>
        <v>5</v>
      </c>
      <c r="M724" s="3" t="str">
        <f>VLOOKUP(C724,Securities!A:B,2,FALSE)</f>
        <v>XS1433454243 Corp</v>
      </c>
      <c r="O724" s="3">
        <f t="shared" si="12"/>
        <v>200000</v>
      </c>
    </row>
    <row r="725" spans="1:15" x14ac:dyDescent="0.25">
      <c r="A725" s="79">
        <v>43053</v>
      </c>
      <c r="B725" s="80" t="s">
        <v>5239</v>
      </c>
      <c r="C725" s="80" t="s">
        <v>4916</v>
      </c>
      <c r="D725" s="80" t="s">
        <v>712</v>
      </c>
      <c r="E725" s="81">
        <v>631900</v>
      </c>
      <c r="F725" s="80" t="s">
        <v>4810</v>
      </c>
      <c r="G725" s="81">
        <v>40.385978000000001</v>
      </c>
      <c r="H725" s="81">
        <v>0.633602</v>
      </c>
      <c r="I725" s="80" t="s">
        <v>4800</v>
      </c>
      <c r="L725" s="3">
        <f>VLOOKUP(C725,Securities!A:D,4,FALSE)</f>
        <v>1</v>
      </c>
      <c r="M725" s="3" t="str">
        <f>VLOOKUP(C725,Securities!A:B,2,FALSE)</f>
        <v>SNGSP RX Equity</v>
      </c>
      <c r="O725" s="3">
        <f t="shared" si="12"/>
        <v>631900</v>
      </c>
    </row>
    <row r="726" spans="1:15" x14ac:dyDescent="0.25">
      <c r="A726" s="76">
        <v>43053</v>
      </c>
      <c r="B726" s="77" t="s">
        <v>5239</v>
      </c>
      <c r="C726" s="77" t="s">
        <v>5028</v>
      </c>
      <c r="D726" s="77" t="s">
        <v>5029</v>
      </c>
      <c r="E726" s="78">
        <v>200000</v>
      </c>
      <c r="F726" s="77" t="s">
        <v>4806</v>
      </c>
      <c r="G726" s="78">
        <v>109.875</v>
      </c>
      <c r="H726" s="78">
        <v>109.875</v>
      </c>
      <c r="I726" s="77" t="s">
        <v>4800</v>
      </c>
      <c r="L726" s="3">
        <f>VLOOKUP(C726,Securities!A:D,4,FALSE)</f>
        <v>5</v>
      </c>
      <c r="M726" s="3" t="str">
        <f>VLOOKUP(C726,Securities!A:B,2,FALSE)</f>
        <v>EJ394063 Corp</v>
      </c>
      <c r="O726" s="3">
        <f t="shared" si="12"/>
        <v>200000</v>
      </c>
    </row>
    <row r="727" spans="1:15" x14ac:dyDescent="0.25">
      <c r="A727" s="79">
        <v>43053</v>
      </c>
      <c r="B727" s="80" t="s">
        <v>5245</v>
      </c>
      <c r="C727" s="80" t="s">
        <v>4798</v>
      </c>
      <c r="D727" s="80" t="s">
        <v>45</v>
      </c>
      <c r="E727" s="81">
        <v>335000</v>
      </c>
      <c r="F727" s="80" t="s">
        <v>4799</v>
      </c>
      <c r="G727" s="81">
        <v>0</v>
      </c>
      <c r="H727" s="81">
        <v>0</v>
      </c>
      <c r="I727" s="80" t="s">
        <v>4800</v>
      </c>
      <c r="L727" s="3">
        <f>VLOOKUP(C727,Securities!A:D,4,FALSE)</f>
        <v>1</v>
      </c>
      <c r="M727" s="3" t="str">
        <f>VLOOKUP(C727,Securities!A:B,2,FALSE)</f>
        <v>RUAL RX Equity</v>
      </c>
      <c r="O727" s="3">
        <f t="shared" si="12"/>
        <v>335000</v>
      </c>
    </row>
    <row r="728" spans="1:15" x14ac:dyDescent="0.25">
      <c r="A728" s="76">
        <v>43053</v>
      </c>
      <c r="B728" s="77" t="s">
        <v>5245</v>
      </c>
      <c r="C728" s="77" t="s">
        <v>4935</v>
      </c>
      <c r="D728" s="77" t="s">
        <v>4936</v>
      </c>
      <c r="E728" s="78">
        <v>2900</v>
      </c>
      <c r="F728" s="77" t="s">
        <v>4799</v>
      </c>
      <c r="G728" s="78">
        <v>1145.895417</v>
      </c>
      <c r="H728" s="78">
        <v>19.051200000000001</v>
      </c>
      <c r="I728" s="77" t="s">
        <v>4800</v>
      </c>
      <c r="L728" s="3">
        <f>VLOOKUP(C728,Securities!A:D,4,FALSE)</f>
        <v>1</v>
      </c>
      <c r="M728" s="3" t="str">
        <f>VLOOKUP(C728,Securities!A:B,2,FALSE)</f>
        <v>AD NA Equity</v>
      </c>
      <c r="O728" s="3">
        <f t="shared" si="12"/>
        <v>2900</v>
      </c>
    </row>
    <row r="729" spans="1:15" x14ac:dyDescent="0.25">
      <c r="A729" s="79">
        <v>43053</v>
      </c>
      <c r="B729" s="80" t="s">
        <v>5245</v>
      </c>
      <c r="C729" s="80" t="s">
        <v>5246</v>
      </c>
      <c r="D729" s="80" t="s">
        <v>5247</v>
      </c>
      <c r="E729" s="81">
        <v>200000</v>
      </c>
      <c r="F729" s="80" t="s">
        <v>4806</v>
      </c>
      <c r="G729" s="81">
        <v>83.2</v>
      </c>
      <c r="H729" s="81">
        <v>83.2</v>
      </c>
      <c r="I729" s="80" t="s">
        <v>4800</v>
      </c>
      <c r="L729" s="3">
        <f>VLOOKUP(C729,Securities!A:D,4,FALSE)</f>
        <v>5</v>
      </c>
      <c r="M729" s="3" t="str">
        <f>VLOOKUP(C729,Securities!A:B,2,FALSE)</f>
        <v>XS0925043100 Corp</v>
      </c>
      <c r="O729" s="3">
        <f t="shared" si="12"/>
        <v>200000</v>
      </c>
    </row>
    <row r="730" spans="1:15" x14ac:dyDescent="0.25">
      <c r="A730" s="76">
        <v>43053</v>
      </c>
      <c r="B730" s="77" t="s">
        <v>5245</v>
      </c>
      <c r="C730" s="77" t="s">
        <v>5248</v>
      </c>
      <c r="D730" s="77" t="s">
        <v>5249</v>
      </c>
      <c r="E730" s="78">
        <v>200000</v>
      </c>
      <c r="F730" s="77" t="s">
        <v>4806</v>
      </c>
      <c r="G730" s="78">
        <v>102.9</v>
      </c>
      <c r="H730" s="78">
        <v>102.9</v>
      </c>
      <c r="I730" s="77" t="s">
        <v>4800</v>
      </c>
      <c r="L730" s="3">
        <f>VLOOKUP(C730,Securities!A:D,4,FALSE)</f>
        <v>5</v>
      </c>
      <c r="M730" s="3" t="str">
        <f>VLOOKUP(C730,Securities!A:B,2,FALSE)</f>
        <v>XS0555493203 Corp</v>
      </c>
      <c r="O730" s="3">
        <f t="shared" si="12"/>
        <v>200000</v>
      </c>
    </row>
    <row r="731" spans="1:15" x14ac:dyDescent="0.25">
      <c r="A731" s="79">
        <v>43053</v>
      </c>
      <c r="B731" s="80" t="s">
        <v>5245</v>
      </c>
      <c r="C731" s="80" t="s">
        <v>5250</v>
      </c>
      <c r="D731" s="80" t="s">
        <v>5251</v>
      </c>
      <c r="E731" s="81">
        <v>2200</v>
      </c>
      <c r="F731" s="80" t="s">
        <v>4799</v>
      </c>
      <c r="G731" s="81">
        <v>1295.3353910000001</v>
      </c>
      <c r="H731" s="81">
        <v>22.83</v>
      </c>
      <c r="I731" s="80" t="s">
        <v>4800</v>
      </c>
      <c r="L731" s="3">
        <f>VLOOKUP(C731,Securities!A:D,4,FALSE)</f>
        <v>1</v>
      </c>
      <c r="M731" s="3" t="str">
        <f>VLOOKUP(C731,Securities!A:B,2,FALSE)</f>
        <v>BAC US Equity</v>
      </c>
      <c r="O731" s="3">
        <f t="shared" si="12"/>
        <v>2200</v>
      </c>
    </row>
    <row r="732" spans="1:15" x14ac:dyDescent="0.25">
      <c r="A732" s="76">
        <v>43053</v>
      </c>
      <c r="B732" s="77" t="s">
        <v>5245</v>
      </c>
      <c r="C732" s="77" t="s">
        <v>5252</v>
      </c>
      <c r="D732" s="77" t="s">
        <v>5253</v>
      </c>
      <c r="E732" s="78">
        <v>200000</v>
      </c>
      <c r="F732" s="77" t="s">
        <v>4806</v>
      </c>
      <c r="G732" s="78">
        <v>99.75</v>
      </c>
      <c r="H732" s="78">
        <v>99.75</v>
      </c>
      <c r="I732" s="77" t="s">
        <v>4800</v>
      </c>
      <c r="L732" s="3">
        <f>VLOOKUP(C732,Securities!A:D,4,FALSE)</f>
        <v>5</v>
      </c>
      <c r="M732" s="3" t="str">
        <f>VLOOKUP(C732,Securities!A:B,2,FALSE)</f>
        <v>XS1071551474 Corp</v>
      </c>
      <c r="O732" s="3">
        <f t="shared" si="12"/>
        <v>200000</v>
      </c>
    </row>
    <row r="733" spans="1:15" x14ac:dyDescent="0.25">
      <c r="A733" s="79">
        <v>43053</v>
      </c>
      <c r="B733" s="80" t="s">
        <v>5245</v>
      </c>
      <c r="C733" s="80" t="s">
        <v>4930</v>
      </c>
      <c r="D733" s="80" t="s">
        <v>4931</v>
      </c>
      <c r="E733" s="81">
        <v>200000</v>
      </c>
      <c r="F733" s="80" t="s">
        <v>4806</v>
      </c>
      <c r="G733" s="81">
        <v>89.6</v>
      </c>
      <c r="H733" s="81">
        <v>89.6</v>
      </c>
      <c r="I733" s="80" t="s">
        <v>4800</v>
      </c>
      <c r="L733" s="3">
        <f>VLOOKUP(C733,Securities!A:D,4,FALSE)</f>
        <v>5</v>
      </c>
      <c r="M733" s="3" t="str">
        <f>VLOOKUP(C733,Securities!A:B,2,FALSE)</f>
        <v>EJ634925 Corp</v>
      </c>
      <c r="O733" s="3">
        <f t="shared" si="12"/>
        <v>200000</v>
      </c>
    </row>
    <row r="734" spans="1:15" x14ac:dyDescent="0.25">
      <c r="A734" s="76">
        <v>43053</v>
      </c>
      <c r="B734" s="77" t="s">
        <v>5245</v>
      </c>
      <c r="C734" s="77" t="s">
        <v>4882</v>
      </c>
      <c r="D734" s="77" t="s">
        <v>4883</v>
      </c>
      <c r="E734" s="78">
        <v>200000</v>
      </c>
      <c r="F734" s="77" t="s">
        <v>4806</v>
      </c>
      <c r="G734" s="78">
        <v>107.35</v>
      </c>
      <c r="H734" s="78">
        <v>107.35</v>
      </c>
      <c r="I734" s="77" t="s">
        <v>4800</v>
      </c>
      <c r="L734" s="3">
        <f>VLOOKUP(C734,Securities!A:D,4,FALSE)</f>
        <v>5</v>
      </c>
      <c r="M734" s="3" t="str">
        <f>VLOOKUP(C734,Securities!A:B,2,FALSE)</f>
        <v>XS1405775377 Corp</v>
      </c>
      <c r="O734" s="3">
        <f t="shared" si="12"/>
        <v>200000</v>
      </c>
    </row>
    <row r="735" spans="1:15" x14ac:dyDescent="0.25">
      <c r="A735" s="79">
        <v>43053</v>
      </c>
      <c r="B735" s="80" t="s">
        <v>5245</v>
      </c>
      <c r="C735" s="80" t="s">
        <v>5043</v>
      </c>
      <c r="D735" s="80" t="s">
        <v>5044</v>
      </c>
      <c r="E735" s="81">
        <v>200000</v>
      </c>
      <c r="F735" s="80" t="s">
        <v>4806</v>
      </c>
      <c r="G735" s="81">
        <v>101.1</v>
      </c>
      <c r="H735" s="81">
        <v>101.1</v>
      </c>
      <c r="I735" s="80" t="s">
        <v>4800</v>
      </c>
      <c r="L735" s="3">
        <f>VLOOKUP(C735,Securities!A:D,4,FALSE)</f>
        <v>5</v>
      </c>
      <c r="M735" s="3" t="str">
        <f>VLOOKUP(C735,Securities!A:B,2,FALSE)</f>
        <v>XS0547082973 Corp</v>
      </c>
      <c r="O735" s="3">
        <f t="shared" si="12"/>
        <v>200000</v>
      </c>
    </row>
    <row r="736" spans="1:15" x14ac:dyDescent="0.25">
      <c r="A736" s="76">
        <v>43053</v>
      </c>
      <c r="B736" s="77" t="s">
        <v>5245</v>
      </c>
      <c r="C736" s="77" t="s">
        <v>5254</v>
      </c>
      <c r="D736" s="77" t="s">
        <v>5255</v>
      </c>
      <c r="E736" s="78">
        <v>820</v>
      </c>
      <c r="F736" s="77" t="s">
        <v>4898</v>
      </c>
      <c r="G736" s="78">
        <v>7690.9131719999996</v>
      </c>
      <c r="H736" s="78">
        <v>121.379268</v>
      </c>
      <c r="I736" s="77" t="s">
        <v>4800</v>
      </c>
      <c r="L736" s="3">
        <f>VLOOKUP(C736,Securities!A:D,4,FALSE)</f>
        <v>1</v>
      </c>
      <c r="M736" s="3" t="str">
        <f>VLOOKUP(C736,Securities!A:B,2,FALSE)</f>
        <v>GLD US Equity</v>
      </c>
      <c r="O736" s="3">
        <f t="shared" si="12"/>
        <v>820</v>
      </c>
    </row>
    <row r="737" spans="1:15" x14ac:dyDescent="0.25">
      <c r="A737" s="79">
        <v>43053</v>
      </c>
      <c r="B737" s="80" t="s">
        <v>5245</v>
      </c>
      <c r="C737" s="80" t="s">
        <v>4963</v>
      </c>
      <c r="D737" s="80" t="s">
        <v>4964</v>
      </c>
      <c r="E737" s="81">
        <v>200000</v>
      </c>
      <c r="F737" s="80" t="s">
        <v>4806</v>
      </c>
      <c r="G737" s="81">
        <v>98.53</v>
      </c>
      <c r="H737" s="81">
        <v>98.53</v>
      </c>
      <c r="I737" s="80" t="s">
        <v>4800</v>
      </c>
      <c r="L737" s="3">
        <f>VLOOKUP(C737,Securities!A:D,4,FALSE)</f>
        <v>5</v>
      </c>
      <c r="M737" s="3" t="str">
        <f>VLOOKUP(C737,Securities!A:B,2,FALSE)</f>
        <v>XS1439838548 Corp</v>
      </c>
      <c r="O737" s="3">
        <f t="shared" si="12"/>
        <v>200000</v>
      </c>
    </row>
    <row r="738" spans="1:15" x14ac:dyDescent="0.25">
      <c r="A738" s="76">
        <v>43053</v>
      </c>
      <c r="B738" s="77" t="s">
        <v>5245</v>
      </c>
      <c r="C738" s="77" t="s">
        <v>5256</v>
      </c>
      <c r="D738" s="77" t="s">
        <v>5257</v>
      </c>
      <c r="E738" s="78">
        <v>1600</v>
      </c>
      <c r="F738" s="77" t="s">
        <v>4898</v>
      </c>
      <c r="G738" s="78">
        <v>3669.4850929999998</v>
      </c>
      <c r="H738" s="78">
        <v>62.265900000000002</v>
      </c>
      <c r="I738" s="77" t="s">
        <v>4800</v>
      </c>
      <c r="L738" s="3">
        <f>VLOOKUP(C738,Securities!A:D,4,FALSE)</f>
        <v>1</v>
      </c>
      <c r="M738" s="3" t="str">
        <f>VLOOKUP(C738,Securities!A:B,2,FALSE)</f>
        <v>HEDJ US Equity</v>
      </c>
      <c r="O738" s="3">
        <f t="shared" si="12"/>
        <v>1600</v>
      </c>
    </row>
    <row r="739" spans="1:15" x14ac:dyDescent="0.25">
      <c r="A739" s="79">
        <v>43053</v>
      </c>
      <c r="B739" s="80" t="s">
        <v>5245</v>
      </c>
      <c r="C739" s="80" t="s">
        <v>4812</v>
      </c>
      <c r="D739" s="80" t="s">
        <v>4675</v>
      </c>
      <c r="E739" s="81">
        <v>5400</v>
      </c>
      <c r="F739" s="80" t="s">
        <v>4804</v>
      </c>
      <c r="G739" s="81">
        <v>487.94542200000001</v>
      </c>
      <c r="H739" s="81">
        <v>7.9848109999999997</v>
      </c>
      <c r="I739" s="80" t="s">
        <v>4800</v>
      </c>
      <c r="L739" s="3">
        <f>VLOOKUP(C739,Securities!A:D,4,FALSE)</f>
        <v>1</v>
      </c>
      <c r="M739" s="3" t="str">
        <f>VLOOKUP(C739,Securities!A:B,2,FALSE)</f>
        <v>KMG LI Equity</v>
      </c>
      <c r="O739" s="3">
        <f t="shared" si="12"/>
        <v>5400</v>
      </c>
    </row>
    <row r="740" spans="1:15" x14ac:dyDescent="0.25">
      <c r="A740" s="76">
        <v>43053</v>
      </c>
      <c r="B740" s="77" t="s">
        <v>5245</v>
      </c>
      <c r="C740" s="77" t="s">
        <v>4863</v>
      </c>
      <c r="D740" s="77" t="s">
        <v>4864</v>
      </c>
      <c r="E740" s="78">
        <v>200000</v>
      </c>
      <c r="F740" s="77" t="s">
        <v>4806</v>
      </c>
      <c r="G740" s="78">
        <v>102.5</v>
      </c>
      <c r="H740" s="78">
        <v>102.5</v>
      </c>
      <c r="I740" s="77" t="s">
        <v>4800</v>
      </c>
      <c r="L740" s="3">
        <f>VLOOKUP(C740,Securities!A:D,4,FALSE)</f>
        <v>5</v>
      </c>
      <c r="M740" s="3" t="str">
        <f>VLOOKUP(C740,Securities!A:B,2,FALSE)</f>
        <v>USN54468AF52 Corp</v>
      </c>
      <c r="O740" s="3">
        <f t="shared" si="12"/>
        <v>200000</v>
      </c>
    </row>
    <row r="741" spans="1:15" x14ac:dyDescent="0.25">
      <c r="A741" s="79">
        <v>43053</v>
      </c>
      <c r="B741" s="80" t="s">
        <v>5245</v>
      </c>
      <c r="C741" s="80" t="s">
        <v>4816</v>
      </c>
      <c r="D741" s="80" t="s">
        <v>4817</v>
      </c>
      <c r="E741" s="81">
        <v>2950</v>
      </c>
      <c r="F741" s="80" t="s">
        <v>4799</v>
      </c>
      <c r="G741" s="81">
        <v>1199.684681</v>
      </c>
      <c r="H741" s="81">
        <v>20.32</v>
      </c>
      <c r="I741" s="80" t="s">
        <v>4800</v>
      </c>
      <c r="L741" s="3">
        <f>VLOOKUP(C741,Securities!A:D,4,FALSE)</f>
        <v>1</v>
      </c>
      <c r="M741" s="3" t="str">
        <f>VLOOKUP(C741,Securities!A:B,2,FALSE)</f>
        <v>M US Equity</v>
      </c>
      <c r="O741" s="3">
        <f t="shared" si="12"/>
        <v>2950</v>
      </c>
    </row>
    <row r="742" spans="1:15" x14ac:dyDescent="0.25">
      <c r="A742" s="76">
        <v>43053</v>
      </c>
      <c r="B742" s="77" t="s">
        <v>5245</v>
      </c>
      <c r="C742" s="77" t="s">
        <v>5069</v>
      </c>
      <c r="D742" s="77" t="s">
        <v>5070</v>
      </c>
      <c r="E742" s="78">
        <v>150000</v>
      </c>
      <c r="F742" s="77" t="s">
        <v>4806</v>
      </c>
      <c r="G742" s="78">
        <v>98.28</v>
      </c>
      <c r="H742" s="78">
        <v>98.28</v>
      </c>
      <c r="I742" s="77" t="s">
        <v>4800</v>
      </c>
      <c r="L742" s="3">
        <f>VLOOKUP(C742,Securities!A:D,4,FALSE)</f>
        <v>5</v>
      </c>
      <c r="M742" s="3" t="str">
        <f>VLOOKUP(C742,Securities!A:B,2,FALSE)</f>
        <v>US65504LAM90 Corp</v>
      </c>
      <c r="O742" s="3">
        <f t="shared" si="12"/>
        <v>150000</v>
      </c>
    </row>
    <row r="743" spans="1:15" x14ac:dyDescent="0.25">
      <c r="A743" s="79">
        <v>43053</v>
      </c>
      <c r="B743" s="80" t="s">
        <v>5245</v>
      </c>
      <c r="C743" s="80" t="s">
        <v>5258</v>
      </c>
      <c r="D743" s="80" t="s">
        <v>5259</v>
      </c>
      <c r="E743" s="81">
        <v>200000</v>
      </c>
      <c r="F743" s="80" t="s">
        <v>4806</v>
      </c>
      <c r="G743" s="81">
        <v>96.25</v>
      </c>
      <c r="H743" s="81">
        <v>96.25</v>
      </c>
      <c r="I743" s="80" t="s">
        <v>4800</v>
      </c>
      <c r="L743" s="3">
        <f>VLOOKUP(C743,Securities!A:D,4,FALSE)</f>
        <v>5</v>
      </c>
      <c r="M743" s="3" t="str">
        <f>VLOOKUP(C743,Securities!A:B,2,FALSE)</f>
        <v>US71647NAF69 Corp</v>
      </c>
      <c r="O743" s="3">
        <f t="shared" si="12"/>
        <v>200000</v>
      </c>
    </row>
    <row r="744" spans="1:15" x14ac:dyDescent="0.25">
      <c r="A744" s="76">
        <v>43053</v>
      </c>
      <c r="B744" s="77" t="s">
        <v>5245</v>
      </c>
      <c r="C744" s="77" t="s">
        <v>4892</v>
      </c>
      <c r="D744" s="77" t="s">
        <v>568</v>
      </c>
      <c r="E744" s="78">
        <v>665</v>
      </c>
      <c r="F744" s="77" t="s">
        <v>4810</v>
      </c>
      <c r="G744" s="78">
        <v>4799.8796990000001</v>
      </c>
      <c r="H744" s="78">
        <v>82.940157999999997</v>
      </c>
      <c r="I744" s="77" t="s">
        <v>4800</v>
      </c>
      <c r="L744" s="3">
        <f>VLOOKUP(C744,Securities!A:D,4,FALSE)</f>
        <v>1</v>
      </c>
      <c r="M744" s="3" t="str">
        <f>VLOOKUP(C744,Securities!A:B,2,FALSE)</f>
        <v>PLZL RX Equity</v>
      </c>
      <c r="O744" s="3">
        <f t="shared" si="12"/>
        <v>665</v>
      </c>
    </row>
    <row r="745" spans="1:15" x14ac:dyDescent="0.25">
      <c r="A745" s="79">
        <v>43053</v>
      </c>
      <c r="B745" s="80" t="s">
        <v>5245</v>
      </c>
      <c r="C745" s="80" t="s">
        <v>4821</v>
      </c>
      <c r="D745" s="80" t="s">
        <v>42</v>
      </c>
      <c r="E745" s="81">
        <v>383</v>
      </c>
      <c r="F745" s="80" t="s">
        <v>4799</v>
      </c>
      <c r="G745" s="81">
        <v>597.5</v>
      </c>
      <c r="H745" s="81">
        <v>9.7775780000000001</v>
      </c>
      <c r="I745" s="80" t="s">
        <v>4800</v>
      </c>
      <c r="L745" s="3">
        <f>VLOOKUP(C745,Securities!A:D,4,FALSE)</f>
        <v>1</v>
      </c>
      <c r="M745" s="3" t="str">
        <f>VLOOKUP(C745,Securities!A:B,2,FALSE)</f>
        <v>POLY LN Equity</v>
      </c>
      <c r="O745" s="3">
        <f t="shared" si="12"/>
        <v>383</v>
      </c>
    </row>
    <row r="746" spans="1:15" x14ac:dyDescent="0.25">
      <c r="A746" s="76">
        <v>43053</v>
      </c>
      <c r="B746" s="77" t="s">
        <v>5245</v>
      </c>
      <c r="C746" s="77" t="s">
        <v>5260</v>
      </c>
      <c r="D746" s="77" t="s">
        <v>5261</v>
      </c>
      <c r="E746" s="78">
        <v>100000</v>
      </c>
      <c r="F746" s="77" t="s">
        <v>4806</v>
      </c>
      <c r="G746" s="78">
        <v>97.25</v>
      </c>
      <c r="H746" s="78">
        <v>97.25</v>
      </c>
      <c r="I746" s="77" t="s">
        <v>4800</v>
      </c>
      <c r="L746" s="3">
        <f>VLOOKUP(C746,Securities!A:D,4,FALSE)</f>
        <v>5</v>
      </c>
      <c r="M746" s="3" t="str">
        <f>VLOOKUP(C746,Securities!A:B,2,FALSE)</f>
        <v>XS1085735899 Corp</v>
      </c>
      <c r="O746" s="3">
        <f t="shared" si="12"/>
        <v>100000</v>
      </c>
    </row>
    <row r="747" spans="1:15" x14ac:dyDescent="0.25">
      <c r="A747" s="79">
        <v>43053</v>
      </c>
      <c r="B747" s="80" t="s">
        <v>5245</v>
      </c>
      <c r="C747" s="80" t="s">
        <v>5262</v>
      </c>
      <c r="D747" s="80" t="s">
        <v>5263</v>
      </c>
      <c r="E747" s="81">
        <v>200000</v>
      </c>
      <c r="F747" s="80" t="s">
        <v>4806</v>
      </c>
      <c r="G747" s="81">
        <v>100.7</v>
      </c>
      <c r="H747" s="81">
        <v>100.7</v>
      </c>
      <c r="I747" s="80" t="s">
        <v>4800</v>
      </c>
      <c r="L747" s="3">
        <f>VLOOKUP(C747,Securities!A:D,4,FALSE)</f>
        <v>5</v>
      </c>
      <c r="M747" s="3" t="str">
        <f>VLOOKUP(C747,Securities!A:B,2,FALSE)</f>
        <v>USU77583AA79 Corp</v>
      </c>
      <c r="O747" s="3">
        <f t="shared" si="12"/>
        <v>200000</v>
      </c>
    </row>
    <row r="748" spans="1:15" x14ac:dyDescent="0.25">
      <c r="A748" s="76">
        <v>43053</v>
      </c>
      <c r="B748" s="77" t="s">
        <v>5245</v>
      </c>
      <c r="C748" s="77" t="s">
        <v>4967</v>
      </c>
      <c r="D748" s="77" t="s">
        <v>4968</v>
      </c>
      <c r="E748" s="78">
        <v>200000</v>
      </c>
      <c r="F748" s="77" t="s">
        <v>4806</v>
      </c>
      <c r="G748" s="78">
        <v>115</v>
      </c>
      <c r="H748" s="78">
        <v>115</v>
      </c>
      <c r="I748" s="77" t="s">
        <v>4800</v>
      </c>
      <c r="L748" s="3">
        <f>VLOOKUP(C748,Securities!A:D,4,FALSE)</f>
        <v>5</v>
      </c>
      <c r="M748" s="3" t="str">
        <f>VLOOKUP(C748,Securities!A:B,2,FALSE)</f>
        <v>XS0979891925 Corp</v>
      </c>
      <c r="O748" s="3">
        <f t="shared" si="12"/>
        <v>200000</v>
      </c>
    </row>
    <row r="749" spans="1:15" x14ac:dyDescent="0.25">
      <c r="A749" s="79">
        <v>43053</v>
      </c>
      <c r="B749" s="80" t="s">
        <v>5245</v>
      </c>
      <c r="C749" s="80" t="s">
        <v>5055</v>
      </c>
      <c r="D749" s="80" t="s">
        <v>5056</v>
      </c>
      <c r="E749" s="81">
        <v>200000</v>
      </c>
      <c r="F749" s="80" t="s">
        <v>4806</v>
      </c>
      <c r="G749" s="81">
        <v>100.25</v>
      </c>
      <c r="H749" s="81">
        <v>100.25</v>
      </c>
      <c r="I749" s="80" t="s">
        <v>4800</v>
      </c>
      <c r="L749" s="3">
        <f>VLOOKUP(C749,Securities!A:D,4,FALSE)</f>
        <v>5</v>
      </c>
      <c r="M749" s="3" t="str">
        <f>VLOOKUP(C749,Securities!A:B,2,FALSE)</f>
        <v>XS1693971043 Corp</v>
      </c>
      <c r="O749" s="3">
        <f t="shared" si="12"/>
        <v>200000</v>
      </c>
    </row>
    <row r="750" spans="1:15" x14ac:dyDescent="0.25">
      <c r="A750" s="76">
        <v>43053</v>
      </c>
      <c r="B750" s="77" t="s">
        <v>5245</v>
      </c>
      <c r="C750" s="77" t="s">
        <v>5264</v>
      </c>
      <c r="D750" s="77" t="s">
        <v>5265</v>
      </c>
      <c r="E750" s="78">
        <v>1270</v>
      </c>
      <c r="F750" s="77" t="s">
        <v>4898</v>
      </c>
      <c r="G750" s="78">
        <v>2343.7025229999999</v>
      </c>
      <c r="H750" s="78">
        <v>39.319448000000001</v>
      </c>
      <c r="I750" s="77" t="s">
        <v>4800</v>
      </c>
      <c r="L750" s="3">
        <f>VLOOKUP(C750,Securities!A:D,4,FALSE)</f>
        <v>1</v>
      </c>
      <c r="M750" s="3" t="str">
        <f>VLOOKUP(C750,Securities!A:B,2,FALSE)</f>
        <v>TBT US Equity</v>
      </c>
      <c r="O750" s="3">
        <f t="shared" si="12"/>
        <v>1270</v>
      </c>
    </row>
    <row r="751" spans="1:15" x14ac:dyDescent="0.25">
      <c r="A751" s="79">
        <v>43053</v>
      </c>
      <c r="B751" s="80" t="s">
        <v>5245</v>
      </c>
      <c r="C751" s="80" t="s">
        <v>5266</v>
      </c>
      <c r="D751" s="80" t="s">
        <v>5267</v>
      </c>
      <c r="E751" s="81">
        <v>200000</v>
      </c>
      <c r="F751" s="80" t="s">
        <v>4806</v>
      </c>
      <c r="G751" s="81">
        <v>100.35</v>
      </c>
      <c r="H751" s="81">
        <v>100.35</v>
      </c>
      <c r="I751" s="80" t="s">
        <v>4800</v>
      </c>
      <c r="L751" s="3">
        <f>VLOOKUP(C751,Securities!A:D,4,FALSE)</f>
        <v>5</v>
      </c>
      <c r="M751" s="3" t="str">
        <f>VLOOKUP(C751,Securities!A:B,2,FALSE)</f>
        <v>XS0849020556 Corp</v>
      </c>
      <c r="O751" s="3">
        <f t="shared" si="12"/>
        <v>200000</v>
      </c>
    </row>
    <row r="752" spans="1:15" x14ac:dyDescent="0.25">
      <c r="A752" s="76">
        <v>43053</v>
      </c>
      <c r="B752" s="77" t="s">
        <v>5245</v>
      </c>
      <c r="C752" s="77" t="s">
        <v>5268</v>
      </c>
      <c r="D752" s="77" t="s">
        <v>5269</v>
      </c>
      <c r="E752" s="78">
        <v>200000</v>
      </c>
      <c r="F752" s="77" t="s">
        <v>4806</v>
      </c>
      <c r="G752" s="78">
        <v>104.3</v>
      </c>
      <c r="H752" s="78">
        <v>104.3</v>
      </c>
      <c r="I752" s="77" t="s">
        <v>4800</v>
      </c>
      <c r="L752" s="3">
        <f>VLOOKUP(C752,Securities!A:D,4,FALSE)</f>
        <v>5</v>
      </c>
      <c r="M752" s="3" t="str">
        <f>VLOOKUP(C752,Securities!A:B,2,FALSE)</f>
        <v>XS0524610812 Corp</v>
      </c>
      <c r="O752" s="3">
        <f t="shared" si="12"/>
        <v>200000</v>
      </c>
    </row>
    <row r="753" spans="1:15" x14ac:dyDescent="0.25">
      <c r="A753" s="79">
        <v>43053</v>
      </c>
      <c r="B753" s="80" t="s">
        <v>5270</v>
      </c>
      <c r="C753" s="80" t="s">
        <v>4801</v>
      </c>
      <c r="D753" s="80" t="s">
        <v>4802</v>
      </c>
      <c r="E753" s="81">
        <v>500</v>
      </c>
      <c r="F753" s="80" t="s">
        <v>4799</v>
      </c>
      <c r="G753" s="81">
        <v>11172.352626</v>
      </c>
      <c r="H753" s="81">
        <v>193.15479999999999</v>
      </c>
      <c r="I753" s="80" t="s">
        <v>4800</v>
      </c>
      <c r="L753" s="3">
        <f>VLOOKUP(C753,Securities!A:D,4,FALSE)</f>
        <v>1</v>
      </c>
      <c r="M753" s="3" t="str">
        <f>VLOOKUP(C753,Securities!A:B,2,FALSE)</f>
        <v>AGN US Equity</v>
      </c>
      <c r="O753" s="3">
        <f t="shared" si="12"/>
        <v>500</v>
      </c>
    </row>
    <row r="754" spans="1:15" x14ac:dyDescent="0.25">
      <c r="A754" s="76">
        <v>43053</v>
      </c>
      <c r="B754" s="77" t="s">
        <v>5270</v>
      </c>
      <c r="C754" s="77" t="s">
        <v>4920</v>
      </c>
      <c r="D754" s="77" t="s">
        <v>4921</v>
      </c>
      <c r="E754" s="78">
        <v>10700</v>
      </c>
      <c r="F754" s="77" t="s">
        <v>4898</v>
      </c>
      <c r="G754" s="78">
        <v>647.07473400000003</v>
      </c>
      <c r="H754" s="78">
        <v>10.94</v>
      </c>
      <c r="I754" s="77" t="s">
        <v>4800</v>
      </c>
      <c r="L754" s="3">
        <f>VLOOKUP(C754,Securities!A:D,4,FALSE)</f>
        <v>1</v>
      </c>
      <c r="M754" s="3" t="str">
        <f>VLOOKUP(C754,Securities!A:B,2,FALSE)</f>
        <v>AMLP US Equity</v>
      </c>
      <c r="O754" s="3">
        <f t="shared" si="12"/>
        <v>10700</v>
      </c>
    </row>
    <row r="755" spans="1:15" x14ac:dyDescent="0.25">
      <c r="A755" s="79">
        <v>43053</v>
      </c>
      <c r="B755" s="80" t="s">
        <v>5270</v>
      </c>
      <c r="C755" s="80" t="s">
        <v>4896</v>
      </c>
      <c r="D755" s="80" t="s">
        <v>4897</v>
      </c>
      <c r="E755" s="81">
        <v>1855</v>
      </c>
      <c r="F755" s="80" t="s">
        <v>4898</v>
      </c>
      <c r="G755" s="81">
        <v>1559.9662350000001</v>
      </c>
      <c r="H755" s="81">
        <v>26.85</v>
      </c>
      <c r="I755" s="80" t="s">
        <v>4800</v>
      </c>
      <c r="L755" s="3">
        <f>VLOOKUP(C755,Securities!A:D,4,FALSE)</f>
        <v>1</v>
      </c>
      <c r="M755" s="3" t="str">
        <f>VLOOKUP(C755,Securities!A:B,2,FALSE)</f>
        <v>CNCR US Equity</v>
      </c>
      <c r="O755" s="3">
        <f t="shared" si="12"/>
        <v>1855</v>
      </c>
    </row>
    <row r="756" spans="1:15" x14ac:dyDescent="0.25">
      <c r="A756" s="76">
        <v>43053</v>
      </c>
      <c r="B756" s="77" t="s">
        <v>5270</v>
      </c>
      <c r="C756" s="77" t="s">
        <v>5271</v>
      </c>
      <c r="D756" s="77" t="s">
        <v>5272</v>
      </c>
      <c r="E756" s="78">
        <v>1200</v>
      </c>
      <c r="F756" s="77" t="s">
        <v>4898</v>
      </c>
      <c r="G756" s="78">
        <v>6147.9130990000003</v>
      </c>
      <c r="H756" s="78">
        <v>84.004638</v>
      </c>
      <c r="I756" s="77" t="s">
        <v>4800</v>
      </c>
      <c r="L756" s="3">
        <f>VLOOKUP(C756,Securities!A:D,4,FALSE)</f>
        <v>1</v>
      </c>
      <c r="M756" s="3" t="str">
        <f>VLOOKUP(C756,Securities!A:B,2,FALSE)</f>
        <v>CSSMI SW Equity</v>
      </c>
      <c r="O756" s="3">
        <f t="shared" si="12"/>
        <v>1200</v>
      </c>
    </row>
    <row r="757" spans="1:15" x14ac:dyDescent="0.25">
      <c r="A757" s="79">
        <v>43053</v>
      </c>
      <c r="B757" s="80" t="s">
        <v>5270</v>
      </c>
      <c r="C757" s="80" t="s">
        <v>5035</v>
      </c>
      <c r="D757" s="80" t="s">
        <v>5036</v>
      </c>
      <c r="E757" s="81">
        <v>200000</v>
      </c>
      <c r="F757" s="80" t="s">
        <v>4806</v>
      </c>
      <c r="G757" s="81">
        <v>101.3</v>
      </c>
      <c r="H757" s="81">
        <v>101.3</v>
      </c>
      <c r="I757" s="80" t="s">
        <v>4800</v>
      </c>
      <c r="L757" s="3">
        <f>VLOOKUP(C757,Securities!A:D,4,FALSE)</f>
        <v>5</v>
      </c>
      <c r="M757" s="3" t="str">
        <f>VLOOKUP(C757,Securities!A:B,2,FALSE)</f>
        <v>XS0579851949 Corp</v>
      </c>
      <c r="O757" s="3">
        <f t="shared" si="12"/>
        <v>200000</v>
      </c>
    </row>
    <row r="758" spans="1:15" x14ac:dyDescent="0.25">
      <c r="A758" s="76">
        <v>43053</v>
      </c>
      <c r="B758" s="77" t="s">
        <v>5270</v>
      </c>
      <c r="C758" s="77" t="s">
        <v>5067</v>
      </c>
      <c r="D758" s="77" t="s">
        <v>5068</v>
      </c>
      <c r="E758" s="78">
        <v>50000</v>
      </c>
      <c r="F758" s="77" t="s">
        <v>4838</v>
      </c>
      <c r="G758" s="78">
        <v>100</v>
      </c>
      <c r="H758" s="78">
        <v>100</v>
      </c>
      <c r="I758" s="77" t="s">
        <v>4800</v>
      </c>
      <c r="L758" s="3">
        <f>VLOOKUP(C758,Securities!A:D,4,FALSE)</f>
        <v>5</v>
      </c>
      <c r="M758" s="3" t="str">
        <f>VLOOKUP(C758,Securities!A:B,2,FALSE)</f>
        <v>XS1581931083 Corp</v>
      </c>
      <c r="O758" s="3">
        <f t="shared" si="12"/>
        <v>50000</v>
      </c>
    </row>
    <row r="759" spans="1:15" x14ac:dyDescent="0.25">
      <c r="A759" s="79">
        <v>43053</v>
      </c>
      <c r="B759" s="80" t="s">
        <v>5270</v>
      </c>
      <c r="C759" s="80" t="s">
        <v>5173</v>
      </c>
      <c r="D759" s="80" t="s">
        <v>5174</v>
      </c>
      <c r="E759" s="81">
        <v>100000</v>
      </c>
      <c r="F759" s="80" t="s">
        <v>4838</v>
      </c>
      <c r="G759" s="81">
        <v>100</v>
      </c>
      <c r="H759" s="81">
        <v>100</v>
      </c>
      <c r="I759" s="80" t="s">
        <v>4800</v>
      </c>
      <c r="L759" s="3">
        <f>VLOOKUP(C759,Securities!A:D,4,FALSE)</f>
        <v>5</v>
      </c>
      <c r="M759" s="3" t="str">
        <f>VLOOKUP(C759,Securities!A:B,2,FALSE)</f>
        <v>XS1581926083 Corp</v>
      </c>
      <c r="O759" s="3">
        <f t="shared" si="12"/>
        <v>100000</v>
      </c>
    </row>
    <row r="760" spans="1:15" x14ac:dyDescent="0.25">
      <c r="A760" s="76">
        <v>43053</v>
      </c>
      <c r="B760" s="77" t="s">
        <v>5270</v>
      </c>
      <c r="C760" s="77" t="s">
        <v>5045</v>
      </c>
      <c r="D760" s="77" t="s">
        <v>5046</v>
      </c>
      <c r="E760" s="78">
        <v>200000</v>
      </c>
      <c r="F760" s="77" t="s">
        <v>4806</v>
      </c>
      <c r="G760" s="78">
        <v>100</v>
      </c>
      <c r="H760" s="78">
        <v>100</v>
      </c>
      <c r="I760" s="77" t="s">
        <v>4800</v>
      </c>
      <c r="L760" s="3">
        <f>VLOOKUP(C760,Securities!A:D,4,FALSE)</f>
        <v>5</v>
      </c>
      <c r="M760" s="3" t="str">
        <f>VLOOKUP(C760,Securities!A:B,2,FALSE)</f>
        <v>XS1069383856 Corp</v>
      </c>
      <c r="O760" s="3">
        <f t="shared" si="12"/>
        <v>200000</v>
      </c>
    </row>
    <row r="761" spans="1:15" x14ac:dyDescent="0.25">
      <c r="A761" s="79">
        <v>43053</v>
      </c>
      <c r="B761" s="80" t="s">
        <v>5270</v>
      </c>
      <c r="C761" s="80" t="s">
        <v>4811</v>
      </c>
      <c r="D761" s="80" t="s">
        <v>4659</v>
      </c>
      <c r="E761" s="81">
        <v>28000</v>
      </c>
      <c r="F761" s="80" t="s">
        <v>4799</v>
      </c>
      <c r="G761" s="81">
        <v>101.464185</v>
      </c>
      <c r="H761" s="81">
        <v>1.7815799999999999</v>
      </c>
      <c r="I761" s="80" t="s">
        <v>4800</v>
      </c>
      <c r="L761" s="3">
        <f>VLOOKUP(C761,Securities!A:D,4,FALSE)</f>
        <v>1</v>
      </c>
      <c r="M761" s="3" t="str">
        <f>VLOOKUP(C761,Securities!A:B,2,FALSE)</f>
        <v>HGM LN Equity</v>
      </c>
      <c r="O761" s="3">
        <f t="shared" si="12"/>
        <v>28000</v>
      </c>
    </row>
    <row r="762" spans="1:15" x14ac:dyDescent="0.25">
      <c r="A762" s="76">
        <v>43053</v>
      </c>
      <c r="B762" s="77" t="s">
        <v>5270</v>
      </c>
      <c r="C762" s="77" t="s">
        <v>5093</v>
      </c>
      <c r="D762" s="77" t="s">
        <v>447</v>
      </c>
      <c r="E762" s="78">
        <v>281</v>
      </c>
      <c r="F762" s="77" t="s">
        <v>4810</v>
      </c>
      <c r="G762" s="78">
        <v>10240.863142</v>
      </c>
      <c r="H762" s="78">
        <v>164.65839299999999</v>
      </c>
      <c r="I762" s="77" t="s">
        <v>4800</v>
      </c>
      <c r="L762" s="3">
        <f>VLOOKUP(C762,Securities!A:D,4,FALSE)</f>
        <v>1</v>
      </c>
      <c r="M762" s="3" t="str">
        <f>VLOOKUP(C762,Securities!A:B,2,FALSE)</f>
        <v>MGNT RX Equity</v>
      </c>
      <c r="O762" s="3">
        <f t="shared" si="12"/>
        <v>281</v>
      </c>
    </row>
    <row r="763" spans="1:15" x14ac:dyDescent="0.25">
      <c r="A763" s="79">
        <v>43053</v>
      </c>
      <c r="B763" s="80" t="s">
        <v>5270</v>
      </c>
      <c r="C763" s="80" t="s">
        <v>5273</v>
      </c>
      <c r="D763" s="80" t="s">
        <v>5274</v>
      </c>
      <c r="E763" s="81">
        <v>950</v>
      </c>
      <c r="F763" s="80" t="s">
        <v>4799</v>
      </c>
      <c r="G763" s="81">
        <v>6765.1630059999998</v>
      </c>
      <c r="H763" s="81">
        <v>104.98</v>
      </c>
      <c r="I763" s="80" t="s">
        <v>4800</v>
      </c>
      <c r="L763" s="3">
        <f>VLOOKUP(C763,Securities!A:D,4,FALSE)</f>
        <v>1</v>
      </c>
      <c r="M763" s="3" t="str">
        <f>VLOOKUP(C763,Securities!A:B,2,FALSE)</f>
        <v>MON US Equity</v>
      </c>
      <c r="O763" s="3">
        <f t="shared" si="12"/>
        <v>950</v>
      </c>
    </row>
    <row r="764" spans="1:15" x14ac:dyDescent="0.25">
      <c r="A764" s="76">
        <v>43053</v>
      </c>
      <c r="B764" s="77" t="s">
        <v>5270</v>
      </c>
      <c r="C764" s="77" t="s">
        <v>5200</v>
      </c>
      <c r="D764" s="77" t="s">
        <v>5201</v>
      </c>
      <c r="E764" s="78">
        <v>780</v>
      </c>
      <c r="F764" s="77" t="s">
        <v>4799</v>
      </c>
      <c r="G764" s="78">
        <v>3750.54</v>
      </c>
      <c r="H764" s="78">
        <v>64.060436999999993</v>
      </c>
      <c r="I764" s="77" t="s">
        <v>4800</v>
      </c>
      <c r="L764" s="3">
        <f>VLOOKUP(C764,Securities!A:D,4,FALSE)</f>
        <v>1</v>
      </c>
      <c r="M764" s="3" t="str">
        <f>VLOOKUP(C764,Securities!A:B,2,FALSE)</f>
        <v>MO US Equity</v>
      </c>
      <c r="O764" s="3">
        <f t="shared" si="12"/>
        <v>780</v>
      </c>
    </row>
    <row r="765" spans="1:15" x14ac:dyDescent="0.25">
      <c r="A765" s="79">
        <v>43053</v>
      </c>
      <c r="B765" s="80" t="s">
        <v>5270</v>
      </c>
      <c r="C765" s="80" t="s">
        <v>5047</v>
      </c>
      <c r="D765" s="80" t="s">
        <v>5048</v>
      </c>
      <c r="E765" s="81">
        <v>200000</v>
      </c>
      <c r="F765" s="80" t="s">
        <v>4806</v>
      </c>
      <c r="G765" s="81">
        <v>98</v>
      </c>
      <c r="H765" s="81">
        <v>98</v>
      </c>
      <c r="I765" s="80" t="s">
        <v>4800</v>
      </c>
      <c r="L765" s="3">
        <f>VLOOKUP(C765,Securities!A:D,4,FALSE)</f>
        <v>5</v>
      </c>
      <c r="M765" s="3" t="str">
        <f>VLOOKUP(C765,Securities!A:B,2,FALSE)</f>
        <v>XS1128996425 Corp</v>
      </c>
      <c r="O765" s="3">
        <f t="shared" si="12"/>
        <v>200000</v>
      </c>
    </row>
    <row r="766" spans="1:15" x14ac:dyDescent="0.25">
      <c r="A766" s="76">
        <v>43053</v>
      </c>
      <c r="B766" s="77" t="s">
        <v>5270</v>
      </c>
      <c r="C766" s="77" t="s">
        <v>4819</v>
      </c>
      <c r="D766" s="77" t="s">
        <v>4820</v>
      </c>
      <c r="E766" s="78">
        <v>200000</v>
      </c>
      <c r="F766" s="77" t="s">
        <v>4806</v>
      </c>
      <c r="G766" s="78">
        <v>95.515000000000001</v>
      </c>
      <c r="H766" s="78">
        <v>95.515000000000001</v>
      </c>
      <c r="I766" s="77" t="s">
        <v>4800</v>
      </c>
      <c r="L766" s="3">
        <f>VLOOKUP(C766,Securities!A:D,4,FALSE)</f>
        <v>5</v>
      </c>
      <c r="M766" s="3" t="str">
        <f>VLOOKUP(C766,Securities!A:B,2,FALSE)</f>
        <v>XS0776121062 Corp</v>
      </c>
      <c r="O766" s="3">
        <f t="shared" si="12"/>
        <v>200000</v>
      </c>
    </row>
    <row r="767" spans="1:15" x14ac:dyDescent="0.25">
      <c r="A767" s="79">
        <v>43053</v>
      </c>
      <c r="B767" s="80" t="s">
        <v>5270</v>
      </c>
      <c r="C767" s="80" t="s">
        <v>5177</v>
      </c>
      <c r="D767" s="80" t="s">
        <v>5178</v>
      </c>
      <c r="E767" s="81">
        <v>76371</v>
      </c>
      <c r="F767" s="80" t="s">
        <v>4949</v>
      </c>
      <c r="G767" s="81">
        <v>76.729753000000002</v>
      </c>
      <c r="H767" s="81">
        <v>1.3131999999999999</v>
      </c>
      <c r="I767" s="80" t="s">
        <v>4800</v>
      </c>
      <c r="L767" s="3">
        <f>VLOOKUP(C767,Securities!A:D,4,FALSE)</f>
        <v>1</v>
      </c>
      <c r="M767" s="3" t="str">
        <f>VLOOKUP(C767,Securities!A:B,2,FALSE)</f>
        <v>OMEAUSA ID Equity</v>
      </c>
      <c r="O767" s="3">
        <f t="shared" si="12"/>
        <v>76371</v>
      </c>
    </row>
    <row r="768" spans="1:15" x14ac:dyDescent="0.25">
      <c r="A768" s="76">
        <v>43053</v>
      </c>
      <c r="B768" s="77" t="s">
        <v>5270</v>
      </c>
      <c r="C768" s="77" t="s">
        <v>4821</v>
      </c>
      <c r="D768" s="77" t="s">
        <v>42</v>
      </c>
      <c r="E768" s="78">
        <v>4233</v>
      </c>
      <c r="F768" s="77" t="s">
        <v>4799</v>
      </c>
      <c r="G768" s="78">
        <v>598.11366399999997</v>
      </c>
      <c r="H768" s="78">
        <v>9.7876200000000004</v>
      </c>
      <c r="I768" s="77" t="s">
        <v>4800</v>
      </c>
      <c r="L768" s="3">
        <f>VLOOKUP(C768,Securities!A:D,4,FALSE)</f>
        <v>1</v>
      </c>
      <c r="M768" s="3" t="str">
        <f>VLOOKUP(C768,Securities!A:B,2,FALSE)</f>
        <v>POLY LN Equity</v>
      </c>
      <c r="O768" s="3">
        <f t="shared" si="12"/>
        <v>4233</v>
      </c>
    </row>
    <row r="769" spans="1:15" x14ac:dyDescent="0.25">
      <c r="A769" s="79">
        <v>43053</v>
      </c>
      <c r="B769" s="80" t="s">
        <v>5270</v>
      </c>
      <c r="C769" s="80" t="s">
        <v>5275</v>
      </c>
      <c r="D769" s="80" t="s">
        <v>5276</v>
      </c>
      <c r="E769" s="81">
        <v>200000</v>
      </c>
      <c r="F769" s="80" t="s">
        <v>4806</v>
      </c>
      <c r="G769" s="81">
        <v>96.15</v>
      </c>
      <c r="H769" s="81">
        <v>96.15</v>
      </c>
      <c r="I769" s="80" t="s">
        <v>4800</v>
      </c>
      <c r="L769" s="3">
        <f>VLOOKUP(C769,Securities!A:D,4,FALSE)</f>
        <v>5</v>
      </c>
      <c r="M769" s="3" t="str">
        <f>VLOOKUP(C769,Securities!A:B,2,FALSE)</f>
        <v>XS1485745704 Corp</v>
      </c>
      <c r="O769" s="3">
        <f t="shared" si="12"/>
        <v>200000</v>
      </c>
    </row>
    <row r="770" spans="1:15" x14ac:dyDescent="0.25">
      <c r="A770" s="76">
        <v>43053</v>
      </c>
      <c r="B770" s="77" t="s">
        <v>5270</v>
      </c>
      <c r="C770" s="77" t="s">
        <v>4932</v>
      </c>
      <c r="D770" s="77" t="s">
        <v>4933</v>
      </c>
      <c r="E770" s="78">
        <v>17000</v>
      </c>
      <c r="F770" s="77" t="s">
        <v>4814</v>
      </c>
      <c r="G770" s="78">
        <v>100</v>
      </c>
      <c r="H770" s="78">
        <v>100</v>
      </c>
      <c r="I770" s="77" t="s">
        <v>4800</v>
      </c>
      <c r="L770" s="3">
        <f>VLOOKUP(C770,Securities!A:D,4,FALSE)</f>
        <v>5</v>
      </c>
      <c r="M770" s="3" t="str">
        <f>VLOOKUP(C770,Securities!A:B,2,FALSE)</f>
        <v>RU000A0ZYBS1 Corp</v>
      </c>
      <c r="O770" s="3">
        <f t="shared" si="12"/>
        <v>17000</v>
      </c>
    </row>
    <row r="771" spans="1:15" x14ac:dyDescent="0.25">
      <c r="A771" s="79">
        <v>43053</v>
      </c>
      <c r="B771" s="80" t="s">
        <v>5270</v>
      </c>
      <c r="C771" s="80" t="s">
        <v>5264</v>
      </c>
      <c r="D771" s="80" t="s">
        <v>5265</v>
      </c>
      <c r="E771" s="81">
        <v>1450</v>
      </c>
      <c r="F771" s="80" t="s">
        <v>4898</v>
      </c>
      <c r="G771" s="81">
        <v>2019.53</v>
      </c>
      <c r="H771" s="81">
        <v>34.494225</v>
      </c>
      <c r="I771" s="80" t="s">
        <v>4800</v>
      </c>
      <c r="L771" s="3">
        <f>VLOOKUP(C771,Securities!A:D,4,FALSE)</f>
        <v>1</v>
      </c>
      <c r="M771" s="3" t="str">
        <f>VLOOKUP(C771,Securities!A:B,2,FALSE)</f>
        <v>TBT US Equity</v>
      </c>
      <c r="O771" s="3">
        <f t="shared" si="12"/>
        <v>1450</v>
      </c>
    </row>
    <row r="772" spans="1:15" x14ac:dyDescent="0.25">
      <c r="A772" s="76">
        <v>43053</v>
      </c>
      <c r="B772" s="77" t="s">
        <v>5270</v>
      </c>
      <c r="C772" s="77" t="s">
        <v>5277</v>
      </c>
      <c r="D772" s="77" t="s">
        <v>5278</v>
      </c>
      <c r="E772" s="78">
        <v>5157</v>
      </c>
      <c r="F772" s="77" t="s">
        <v>4908</v>
      </c>
      <c r="G772" s="78">
        <v>659.28042900000003</v>
      </c>
      <c r="H772" s="78">
        <v>11.283329</v>
      </c>
      <c r="I772" s="77" t="s">
        <v>4800</v>
      </c>
      <c r="L772" s="3">
        <f>VLOOKUP(C772,Securities!A:D,4,FALSE)</f>
        <v>1</v>
      </c>
      <c r="M772" s="3" t="str">
        <f>VLOOKUP(C772,Securities!A:B,2,FALSE)</f>
        <v>TDNESG1 LN Equity</v>
      </c>
      <c r="O772" s="3">
        <f t="shared" si="12"/>
        <v>5157</v>
      </c>
    </row>
    <row r="773" spans="1:15" x14ac:dyDescent="0.25">
      <c r="A773" s="79">
        <v>43053</v>
      </c>
      <c r="B773" s="80" t="s">
        <v>5270</v>
      </c>
      <c r="C773" s="80" t="s">
        <v>5279</v>
      </c>
      <c r="D773" s="80" t="s">
        <v>5280</v>
      </c>
      <c r="E773" s="81">
        <v>237400</v>
      </c>
      <c r="F773" s="80" t="s">
        <v>4799</v>
      </c>
      <c r="G773" s="81">
        <v>69.685377000000003</v>
      </c>
      <c r="H773" s="81">
        <v>1.2863340000000001</v>
      </c>
      <c r="I773" s="80" t="s">
        <v>4800</v>
      </c>
      <c r="L773" s="3">
        <f>VLOOKUP(C773,Securities!A:D,4,FALSE)</f>
        <v>1</v>
      </c>
      <c r="M773" s="3" t="str">
        <f>VLOOKUP(C773,Securities!A:B,2,FALSE)</f>
        <v>TUNG LN Equity</v>
      </c>
      <c r="O773" s="3">
        <f t="shared" si="12"/>
        <v>237400</v>
      </c>
    </row>
    <row r="774" spans="1:15" x14ac:dyDescent="0.25">
      <c r="A774" s="76">
        <v>43053</v>
      </c>
      <c r="B774" s="77" t="s">
        <v>5270</v>
      </c>
      <c r="C774" s="77" t="s">
        <v>4986</v>
      </c>
      <c r="D774" s="77" t="s">
        <v>4987</v>
      </c>
      <c r="E774" s="78">
        <v>200000</v>
      </c>
      <c r="F774" s="77" t="s">
        <v>4806</v>
      </c>
      <c r="G774" s="78">
        <v>102</v>
      </c>
      <c r="H774" s="78">
        <v>102</v>
      </c>
      <c r="I774" s="77" t="s">
        <v>4800</v>
      </c>
      <c r="L774" s="3">
        <f>VLOOKUP(C774,Securities!A:D,4,FALSE)</f>
        <v>5</v>
      </c>
      <c r="M774" s="3" t="str">
        <f>VLOOKUP(C774,Securities!A:B,2,FALSE)</f>
        <v>USG9328DAM23 Corp</v>
      </c>
      <c r="O774" s="3">
        <f t="shared" ref="O774:O837" si="13">SUMIFS(E:E,C:C,C774,B:B,B774)</f>
        <v>200000</v>
      </c>
    </row>
    <row r="775" spans="1:15" x14ac:dyDescent="0.25">
      <c r="A775" s="79">
        <v>43053</v>
      </c>
      <c r="B775" s="80" t="s">
        <v>5270</v>
      </c>
      <c r="C775" s="80" t="s">
        <v>4824</v>
      </c>
      <c r="D775" s="80" t="s">
        <v>4674</v>
      </c>
      <c r="E775" s="81">
        <v>25700</v>
      </c>
      <c r="F775" s="80" t="s">
        <v>4825</v>
      </c>
      <c r="G775" s="81">
        <v>0</v>
      </c>
      <c r="H775" s="81">
        <v>0</v>
      </c>
      <c r="I775" s="80" t="s">
        <v>4800</v>
      </c>
      <c r="L775" s="3">
        <f>VLOOKUP(C775,Securities!A:D,4,FALSE)</f>
        <v>1</v>
      </c>
      <c r="M775" s="3" t="str">
        <f>VLOOKUP(C775,Securities!A:B,2,FALSE)</f>
        <v>VEON US Equity</v>
      </c>
      <c r="O775" s="3">
        <f t="shared" si="13"/>
        <v>25700</v>
      </c>
    </row>
    <row r="776" spans="1:15" x14ac:dyDescent="0.25">
      <c r="A776" s="76">
        <v>43053</v>
      </c>
      <c r="B776" s="77" t="s">
        <v>5281</v>
      </c>
      <c r="C776" s="77" t="s">
        <v>4805</v>
      </c>
      <c r="D776" s="77" t="s">
        <v>31</v>
      </c>
      <c r="E776" s="78">
        <v>194000</v>
      </c>
      <c r="F776" s="77" t="s">
        <v>4806</v>
      </c>
      <c r="G776" s="78">
        <v>172.84149400000001</v>
      </c>
      <c r="H776" s="78">
        <v>172.84149400000001</v>
      </c>
      <c r="I776" s="77" t="s">
        <v>4800</v>
      </c>
      <c r="L776" s="3">
        <f>VLOOKUP(C776,Securities!A:D,4,FALSE)</f>
        <v>5</v>
      </c>
      <c r="M776" s="3" t="str">
        <f>VLOOKUP(C776,Securities!A:B,2,FALSE)</f>
        <v>TT343269 Corp</v>
      </c>
      <c r="O776" s="3">
        <f t="shared" si="13"/>
        <v>194000</v>
      </c>
    </row>
    <row r="777" spans="1:15" x14ac:dyDescent="0.25">
      <c r="A777" s="79">
        <v>43053</v>
      </c>
      <c r="B777" s="80" t="s">
        <v>5281</v>
      </c>
      <c r="C777" s="80" t="s">
        <v>4845</v>
      </c>
      <c r="D777" s="80" t="s">
        <v>4846</v>
      </c>
      <c r="E777" s="81">
        <v>200000</v>
      </c>
      <c r="F777" s="80" t="s">
        <v>4806</v>
      </c>
      <c r="G777" s="81">
        <v>110.6</v>
      </c>
      <c r="H777" s="81">
        <v>110.6</v>
      </c>
      <c r="I777" s="80" t="s">
        <v>4800</v>
      </c>
      <c r="L777" s="3">
        <f>VLOOKUP(C777,Securities!A:D,4,FALSE)</f>
        <v>5</v>
      </c>
      <c r="M777" s="3" t="str">
        <f>VLOOKUP(C777,Securities!A:B,2,FALSE)</f>
        <v>XS1319822752 Corp</v>
      </c>
      <c r="O777" s="3">
        <f t="shared" si="13"/>
        <v>200000</v>
      </c>
    </row>
    <row r="778" spans="1:15" x14ac:dyDescent="0.25">
      <c r="A778" s="76">
        <v>43053</v>
      </c>
      <c r="B778" s="77" t="s">
        <v>5281</v>
      </c>
      <c r="C778" s="77" t="s">
        <v>5282</v>
      </c>
      <c r="D778" s="77" t="s">
        <v>5283</v>
      </c>
      <c r="E778" s="78">
        <v>200000</v>
      </c>
      <c r="F778" s="77" t="s">
        <v>4806</v>
      </c>
      <c r="G778" s="78">
        <v>103.1</v>
      </c>
      <c r="H778" s="78">
        <v>103.1</v>
      </c>
      <c r="I778" s="77" t="s">
        <v>4800</v>
      </c>
      <c r="L778" s="3">
        <f>VLOOKUP(C778,Securities!A:D,4,FALSE)</f>
        <v>5</v>
      </c>
      <c r="M778" s="3" t="str">
        <f>VLOOKUP(C778,Securities!A:B,2,FALSE)</f>
        <v>XS0848137708 Corp</v>
      </c>
      <c r="O778" s="3">
        <f t="shared" si="13"/>
        <v>200000</v>
      </c>
    </row>
    <row r="779" spans="1:15" x14ac:dyDescent="0.25">
      <c r="A779" s="79">
        <v>43053</v>
      </c>
      <c r="B779" s="80" t="s">
        <v>5281</v>
      </c>
      <c r="C779" s="80" t="s">
        <v>4809</v>
      </c>
      <c r="D779" s="80" t="s">
        <v>30</v>
      </c>
      <c r="E779" s="81">
        <v>200</v>
      </c>
      <c r="F779" s="80" t="s">
        <v>4810</v>
      </c>
      <c r="G779" s="81">
        <v>136.574601</v>
      </c>
      <c r="H779" s="81">
        <v>2.1488999999999998</v>
      </c>
      <c r="I779" s="80" t="s">
        <v>4800</v>
      </c>
      <c r="L779" s="3">
        <f>VLOOKUP(C779,Securities!A:D,4,FALSE)</f>
        <v>1</v>
      </c>
      <c r="M779" s="3" t="str">
        <f>VLOOKUP(C779,Securities!A:B,2,FALSE)</f>
        <v>GAZP RX Equity</v>
      </c>
      <c r="O779" s="3">
        <f t="shared" si="13"/>
        <v>200</v>
      </c>
    </row>
    <row r="780" spans="1:15" x14ac:dyDescent="0.25">
      <c r="A780" s="76">
        <v>43053</v>
      </c>
      <c r="B780" s="77" t="s">
        <v>5281</v>
      </c>
      <c r="C780" s="77" t="s">
        <v>4863</v>
      </c>
      <c r="D780" s="77" t="s">
        <v>4864</v>
      </c>
      <c r="E780" s="78">
        <v>230000</v>
      </c>
      <c r="F780" s="77" t="s">
        <v>4806</v>
      </c>
      <c r="G780" s="78">
        <v>103.155</v>
      </c>
      <c r="H780" s="78">
        <v>103.155</v>
      </c>
      <c r="I780" s="77" t="s">
        <v>4800</v>
      </c>
      <c r="L780" s="3">
        <f>VLOOKUP(C780,Securities!A:D,4,FALSE)</f>
        <v>5</v>
      </c>
      <c r="M780" s="3" t="str">
        <f>VLOOKUP(C780,Securities!A:B,2,FALSE)</f>
        <v>USN54468AF52 Corp</v>
      </c>
      <c r="O780" s="3">
        <f t="shared" si="13"/>
        <v>230000</v>
      </c>
    </row>
    <row r="781" spans="1:15" x14ac:dyDescent="0.25">
      <c r="A781" s="79">
        <v>43053</v>
      </c>
      <c r="B781" s="80" t="s">
        <v>5281</v>
      </c>
      <c r="C781" s="80" t="s">
        <v>5284</v>
      </c>
      <c r="D781" s="80" t="s">
        <v>5285</v>
      </c>
      <c r="E781" s="81">
        <v>200000</v>
      </c>
      <c r="F781" s="80" t="s">
        <v>4806</v>
      </c>
      <c r="G781" s="81">
        <v>96.03</v>
      </c>
      <c r="H781" s="81">
        <v>96.03</v>
      </c>
      <c r="I781" s="80" t="s">
        <v>4800</v>
      </c>
      <c r="L781" s="3">
        <f>VLOOKUP(C781,Securities!A:D,4,FALSE)</f>
        <v>5</v>
      </c>
      <c r="M781" s="3" t="str">
        <f>VLOOKUP(C781,Securities!A:B,2,FALSE)</f>
        <v>XS0923472814 Corp</v>
      </c>
      <c r="O781" s="3">
        <f t="shared" si="13"/>
        <v>200000</v>
      </c>
    </row>
    <row r="782" spans="1:15" x14ac:dyDescent="0.25">
      <c r="A782" s="76">
        <v>43053</v>
      </c>
      <c r="B782" s="77" t="s">
        <v>5281</v>
      </c>
      <c r="C782" s="77" t="s">
        <v>5000</v>
      </c>
      <c r="D782" s="77" t="s">
        <v>5001</v>
      </c>
      <c r="E782" s="78">
        <v>205000</v>
      </c>
      <c r="F782" s="77" t="s">
        <v>4806</v>
      </c>
      <c r="G782" s="78">
        <v>111.25</v>
      </c>
      <c r="H782" s="78">
        <v>111.25</v>
      </c>
      <c r="I782" s="77" t="s">
        <v>4800</v>
      </c>
      <c r="L782" s="3">
        <f>VLOOKUP(C782,Securities!A:D,4,FALSE)</f>
        <v>5</v>
      </c>
      <c r="M782" s="3" t="str">
        <f>VLOOKUP(C782,Securities!A:B,2,FALSE)</f>
        <v>US71647NAP42 Corp</v>
      </c>
      <c r="O782" s="3">
        <f t="shared" si="13"/>
        <v>205000</v>
      </c>
    </row>
    <row r="783" spans="1:15" x14ac:dyDescent="0.25">
      <c r="A783" s="79">
        <v>43053</v>
      </c>
      <c r="B783" s="80" t="s">
        <v>5281</v>
      </c>
      <c r="C783" s="80" t="s">
        <v>4967</v>
      </c>
      <c r="D783" s="80" t="s">
        <v>4968</v>
      </c>
      <c r="E783" s="81">
        <v>200000</v>
      </c>
      <c r="F783" s="80" t="s">
        <v>4806</v>
      </c>
      <c r="G783" s="81">
        <v>113.08</v>
      </c>
      <c r="H783" s="81">
        <v>113.08</v>
      </c>
      <c r="I783" s="80" t="s">
        <v>4800</v>
      </c>
      <c r="L783" s="3">
        <f>VLOOKUP(C783,Securities!A:D,4,FALSE)</f>
        <v>5</v>
      </c>
      <c r="M783" s="3" t="str">
        <f>VLOOKUP(C783,Securities!A:B,2,FALSE)</f>
        <v>XS0979891925 Corp</v>
      </c>
      <c r="O783" s="3">
        <f t="shared" si="13"/>
        <v>200000</v>
      </c>
    </row>
    <row r="784" spans="1:15" x14ac:dyDescent="0.25">
      <c r="A784" s="76">
        <v>43053</v>
      </c>
      <c r="B784" s="77" t="s">
        <v>5286</v>
      </c>
      <c r="C784" s="77" t="s">
        <v>4930</v>
      </c>
      <c r="D784" s="77" t="s">
        <v>4931</v>
      </c>
      <c r="E784" s="78">
        <v>500000</v>
      </c>
      <c r="F784" s="77" t="s">
        <v>4806</v>
      </c>
      <c r="G784" s="78">
        <v>102</v>
      </c>
      <c r="H784" s="78">
        <v>102</v>
      </c>
      <c r="I784" s="77" t="s">
        <v>4800</v>
      </c>
      <c r="L784" s="3">
        <f>VLOOKUP(C784,Securities!A:D,4,FALSE)</f>
        <v>5</v>
      </c>
      <c r="M784" s="3" t="str">
        <f>VLOOKUP(C784,Securities!A:B,2,FALSE)</f>
        <v>EJ634925 Corp</v>
      </c>
      <c r="O784" s="3">
        <f t="shared" si="13"/>
        <v>500000</v>
      </c>
    </row>
    <row r="785" spans="1:15" x14ac:dyDescent="0.25">
      <c r="A785" s="79">
        <v>43053</v>
      </c>
      <c r="B785" s="80" t="s">
        <v>5286</v>
      </c>
      <c r="C785" s="80" t="s">
        <v>4805</v>
      </c>
      <c r="D785" s="80" t="s">
        <v>31</v>
      </c>
      <c r="E785" s="81">
        <v>1047000</v>
      </c>
      <c r="F785" s="80" t="s">
        <v>4806</v>
      </c>
      <c r="G785" s="81">
        <v>173.112043</v>
      </c>
      <c r="H785" s="81">
        <v>173.112043</v>
      </c>
      <c r="I785" s="80" t="s">
        <v>4800</v>
      </c>
      <c r="L785" s="3">
        <f>VLOOKUP(C785,Securities!A:D,4,FALSE)</f>
        <v>5</v>
      </c>
      <c r="M785" s="3" t="str">
        <f>VLOOKUP(C785,Securities!A:B,2,FALSE)</f>
        <v>TT343269 Corp</v>
      </c>
      <c r="O785" s="3">
        <f t="shared" si="13"/>
        <v>1047000</v>
      </c>
    </row>
    <row r="786" spans="1:15" x14ac:dyDescent="0.25">
      <c r="A786" s="76">
        <v>43053</v>
      </c>
      <c r="B786" s="77" t="s">
        <v>5286</v>
      </c>
      <c r="C786" s="77" t="s">
        <v>4978</v>
      </c>
      <c r="D786" s="77" t="s">
        <v>4979</v>
      </c>
      <c r="E786" s="78">
        <v>453000</v>
      </c>
      <c r="F786" s="77" t="s">
        <v>4806</v>
      </c>
      <c r="G786" s="78">
        <v>102.54</v>
      </c>
      <c r="H786" s="78">
        <v>102.54</v>
      </c>
      <c r="I786" s="77" t="s">
        <v>4800</v>
      </c>
      <c r="L786" s="3">
        <f>VLOOKUP(C786,Securities!A:D,4,FALSE)</f>
        <v>5</v>
      </c>
      <c r="M786" s="3" t="str">
        <f>VLOOKUP(C786,Securities!A:B,2,FALSE)</f>
        <v>XS0808638612 Corp</v>
      </c>
      <c r="O786" s="3">
        <f t="shared" si="13"/>
        <v>453000</v>
      </c>
    </row>
    <row r="787" spans="1:15" x14ac:dyDescent="0.25">
      <c r="A787" s="79">
        <v>43053</v>
      </c>
      <c r="B787" s="80" t="s">
        <v>5286</v>
      </c>
      <c r="C787" s="80" t="s">
        <v>4807</v>
      </c>
      <c r="D787" s="80" t="s">
        <v>4808</v>
      </c>
      <c r="E787" s="81">
        <v>1000000</v>
      </c>
      <c r="F787" s="80" t="s">
        <v>4806</v>
      </c>
      <c r="G787" s="81">
        <v>103.5</v>
      </c>
      <c r="H787" s="81">
        <v>103.5</v>
      </c>
      <c r="I787" s="80" t="s">
        <v>4800</v>
      </c>
      <c r="L787" s="3">
        <f>VLOOKUP(C787,Securities!A:D,4,FALSE)</f>
        <v>5</v>
      </c>
      <c r="M787" s="3" t="str">
        <f>VLOOKUP(C787,Securities!A:B,2,FALSE)</f>
        <v>XS0975320879 Corp</v>
      </c>
      <c r="O787" s="3">
        <f t="shared" si="13"/>
        <v>1000000</v>
      </c>
    </row>
    <row r="788" spans="1:15" x14ac:dyDescent="0.25">
      <c r="A788" s="76">
        <v>43053</v>
      </c>
      <c r="B788" s="77" t="s">
        <v>5286</v>
      </c>
      <c r="C788" s="77" t="s">
        <v>4903</v>
      </c>
      <c r="D788" s="77" t="s">
        <v>4904</v>
      </c>
      <c r="E788" s="78">
        <v>300000</v>
      </c>
      <c r="F788" s="77" t="s">
        <v>4806</v>
      </c>
      <c r="G788" s="78">
        <v>106.15</v>
      </c>
      <c r="H788" s="78">
        <v>106.15</v>
      </c>
      <c r="I788" s="77" t="s">
        <v>4800</v>
      </c>
      <c r="L788" s="3">
        <f>VLOOKUP(C788,Securities!A:D,4,FALSE)</f>
        <v>5</v>
      </c>
      <c r="M788" s="3" t="str">
        <f>VLOOKUP(C788,Securities!A:B,2,FALSE)</f>
        <v>XS1319813769 Corp</v>
      </c>
      <c r="O788" s="3">
        <f t="shared" si="13"/>
        <v>300000</v>
      </c>
    </row>
    <row r="789" spans="1:15" x14ac:dyDescent="0.25">
      <c r="A789" s="79">
        <v>43053</v>
      </c>
      <c r="B789" s="80" t="s">
        <v>5286</v>
      </c>
      <c r="C789" s="80" t="s">
        <v>4819</v>
      </c>
      <c r="D789" s="80" t="s">
        <v>4820</v>
      </c>
      <c r="E789" s="81">
        <v>405000</v>
      </c>
      <c r="F789" s="80" t="s">
        <v>4806</v>
      </c>
      <c r="G789" s="81">
        <v>95.380864000000003</v>
      </c>
      <c r="H789" s="81">
        <v>95.380864000000003</v>
      </c>
      <c r="I789" s="80" t="s">
        <v>4800</v>
      </c>
      <c r="L789" s="3">
        <f>VLOOKUP(C789,Securities!A:D,4,FALSE)</f>
        <v>5</v>
      </c>
      <c r="M789" s="3" t="str">
        <f>VLOOKUP(C789,Securities!A:B,2,FALSE)</f>
        <v>XS0776121062 Corp</v>
      </c>
      <c r="O789" s="3">
        <f t="shared" si="13"/>
        <v>405000</v>
      </c>
    </row>
    <row r="790" spans="1:15" x14ac:dyDescent="0.25">
      <c r="A790" s="76">
        <v>43053</v>
      </c>
      <c r="B790" s="77" t="s">
        <v>5286</v>
      </c>
      <c r="C790" s="77" t="s">
        <v>5024</v>
      </c>
      <c r="D790" s="77" t="s">
        <v>5025</v>
      </c>
      <c r="E790" s="78">
        <v>580000</v>
      </c>
      <c r="F790" s="77" t="s">
        <v>4806</v>
      </c>
      <c r="G790" s="78">
        <v>99.25</v>
      </c>
      <c r="H790" s="78">
        <v>99.25</v>
      </c>
      <c r="I790" s="77" t="s">
        <v>4800</v>
      </c>
      <c r="L790" s="3">
        <f>VLOOKUP(C790,Securities!A:D,4,FALSE)</f>
        <v>5</v>
      </c>
      <c r="M790" s="3" t="str">
        <f>VLOOKUP(C790,Securities!A:B,2,FALSE)</f>
        <v>XS1405766384 Corp</v>
      </c>
      <c r="O790" s="3">
        <f t="shared" si="13"/>
        <v>580000</v>
      </c>
    </row>
    <row r="791" spans="1:15" x14ac:dyDescent="0.25">
      <c r="A791" s="79">
        <v>43053</v>
      </c>
      <c r="B791" s="80" t="s">
        <v>5286</v>
      </c>
      <c r="C791" s="80" t="s">
        <v>5212</v>
      </c>
      <c r="D791" s="80" t="s">
        <v>5213</v>
      </c>
      <c r="E791" s="81">
        <v>340000</v>
      </c>
      <c r="F791" s="80" t="s">
        <v>4806</v>
      </c>
      <c r="G791" s="81">
        <v>100.25</v>
      </c>
      <c r="H791" s="81">
        <v>100.25</v>
      </c>
      <c r="I791" s="80" t="s">
        <v>4800</v>
      </c>
      <c r="L791" s="3">
        <f>VLOOKUP(C791,Securities!A:D,4,FALSE)</f>
        <v>5</v>
      </c>
      <c r="M791" s="3" t="str">
        <f>VLOOKUP(C791,Securities!A:B,2,FALSE)</f>
        <v>XS1533921299 Corp</v>
      </c>
      <c r="O791" s="3">
        <f t="shared" si="13"/>
        <v>340000</v>
      </c>
    </row>
    <row r="792" spans="1:15" x14ac:dyDescent="0.25">
      <c r="A792" s="76">
        <v>43053</v>
      </c>
      <c r="B792" s="77" t="s">
        <v>5286</v>
      </c>
      <c r="C792" s="77" t="s">
        <v>4967</v>
      </c>
      <c r="D792" s="77" t="s">
        <v>4968</v>
      </c>
      <c r="E792" s="78">
        <v>507000</v>
      </c>
      <c r="F792" s="77" t="s">
        <v>4806</v>
      </c>
      <c r="G792" s="78">
        <v>114.5</v>
      </c>
      <c r="H792" s="78">
        <v>114.5</v>
      </c>
      <c r="I792" s="77" t="s">
        <v>4800</v>
      </c>
      <c r="L792" s="3">
        <f>VLOOKUP(C792,Securities!A:D,4,FALSE)</f>
        <v>5</v>
      </c>
      <c r="M792" s="3" t="str">
        <f>VLOOKUP(C792,Securities!A:B,2,FALSE)</f>
        <v>XS0979891925 Corp</v>
      </c>
      <c r="O792" s="3">
        <f t="shared" si="13"/>
        <v>507000</v>
      </c>
    </row>
    <row r="793" spans="1:15" x14ac:dyDescent="0.25">
      <c r="A793" s="79">
        <v>43053</v>
      </c>
      <c r="B793" s="80" t="s">
        <v>5286</v>
      </c>
      <c r="C793" s="80" t="s">
        <v>4851</v>
      </c>
      <c r="D793" s="80" t="s">
        <v>4744</v>
      </c>
      <c r="E793" s="81">
        <v>1000000</v>
      </c>
      <c r="F793" s="80" t="s">
        <v>4806</v>
      </c>
      <c r="G793" s="81">
        <v>100.5</v>
      </c>
      <c r="H793" s="81">
        <v>100.5</v>
      </c>
      <c r="I793" s="80" t="s">
        <v>4800</v>
      </c>
      <c r="L793" s="3">
        <f>VLOOKUP(C793,Securities!A:D,4,FALSE)</f>
        <v>5</v>
      </c>
      <c r="M793" s="3" t="str">
        <f>VLOOKUP(C793,Securities!A:B,2,FALSE)</f>
        <v>XS1032750165 Corp</v>
      </c>
      <c r="O793" s="3">
        <f t="shared" si="13"/>
        <v>1000000</v>
      </c>
    </row>
    <row r="794" spans="1:15" x14ac:dyDescent="0.25">
      <c r="A794" s="76">
        <v>43053</v>
      </c>
      <c r="B794" s="77" t="s">
        <v>5287</v>
      </c>
      <c r="C794" s="77" t="s">
        <v>4852</v>
      </c>
      <c r="D794" s="77" t="s">
        <v>4853</v>
      </c>
      <c r="E794" s="78">
        <v>414000</v>
      </c>
      <c r="F794" s="77" t="s">
        <v>4806</v>
      </c>
      <c r="G794" s="78">
        <v>100</v>
      </c>
      <c r="H794" s="78">
        <v>100</v>
      </c>
      <c r="I794" s="77" t="s">
        <v>4800</v>
      </c>
      <c r="L794" s="3">
        <f>VLOOKUP(C794,Securities!A:D,4,FALSE)</f>
        <v>5</v>
      </c>
      <c r="M794" s="3" t="str">
        <f>VLOOKUP(C794,Securities!A:B,2,FALSE)</f>
        <v>XS1631338495 Corp</v>
      </c>
      <c r="O794" s="3">
        <f t="shared" si="13"/>
        <v>414000</v>
      </c>
    </row>
    <row r="795" spans="1:15" x14ac:dyDescent="0.25">
      <c r="A795" s="79">
        <v>43053</v>
      </c>
      <c r="B795" s="80" t="s">
        <v>5288</v>
      </c>
      <c r="C795" s="80" t="s">
        <v>5289</v>
      </c>
      <c r="D795" s="80" t="s">
        <v>5290</v>
      </c>
      <c r="E795" s="81">
        <v>200000</v>
      </c>
      <c r="F795" s="80" t="s">
        <v>4806</v>
      </c>
      <c r="G795" s="81">
        <v>103.5</v>
      </c>
      <c r="H795" s="81">
        <v>103.5</v>
      </c>
      <c r="I795" s="80" t="s">
        <v>4800</v>
      </c>
      <c r="L795" s="3">
        <f>VLOOKUP(C795,Securities!A:D,4,FALSE)</f>
        <v>5</v>
      </c>
      <c r="M795" s="3" t="str">
        <f>VLOOKUP(C795,Securities!A:B,2,FALSE)</f>
        <v>USP2253TJE03 Corp</v>
      </c>
      <c r="O795" s="3">
        <f t="shared" si="13"/>
        <v>200000</v>
      </c>
    </row>
    <row r="796" spans="1:15" x14ac:dyDescent="0.25">
      <c r="A796" s="76">
        <v>43053</v>
      </c>
      <c r="B796" s="77" t="s">
        <v>5288</v>
      </c>
      <c r="C796" s="77" t="s">
        <v>5035</v>
      </c>
      <c r="D796" s="77" t="s">
        <v>5036</v>
      </c>
      <c r="E796" s="78">
        <v>200000</v>
      </c>
      <c r="F796" s="77" t="s">
        <v>4806</v>
      </c>
      <c r="G796" s="78">
        <v>100.25</v>
      </c>
      <c r="H796" s="78">
        <v>100.25</v>
      </c>
      <c r="I796" s="77" t="s">
        <v>4800</v>
      </c>
      <c r="L796" s="3">
        <f>VLOOKUP(C796,Securities!A:D,4,FALSE)</f>
        <v>5</v>
      </c>
      <c r="M796" s="3" t="str">
        <f>VLOOKUP(C796,Securities!A:B,2,FALSE)</f>
        <v>XS0579851949 Corp</v>
      </c>
      <c r="O796" s="3">
        <f t="shared" si="13"/>
        <v>200000</v>
      </c>
    </row>
    <row r="797" spans="1:15" x14ac:dyDescent="0.25">
      <c r="A797" s="79">
        <v>43053</v>
      </c>
      <c r="B797" s="80" t="s">
        <v>5288</v>
      </c>
      <c r="C797" s="80" t="s">
        <v>4861</v>
      </c>
      <c r="D797" s="80" t="s">
        <v>4862</v>
      </c>
      <c r="E797" s="81">
        <v>200000</v>
      </c>
      <c r="F797" s="80" t="s">
        <v>4806</v>
      </c>
      <c r="G797" s="81">
        <v>106.1</v>
      </c>
      <c r="H797" s="81">
        <v>106.1</v>
      </c>
      <c r="I797" s="80" t="s">
        <v>4800</v>
      </c>
      <c r="L797" s="3">
        <f>VLOOKUP(C797,Securities!A:D,4,FALSE)</f>
        <v>5</v>
      </c>
      <c r="M797" s="3" t="str">
        <f>VLOOKUP(C797,Securities!A:B,2,FALSE)</f>
        <v>USA29866AA70 Corp</v>
      </c>
      <c r="O797" s="3">
        <f t="shared" si="13"/>
        <v>200000</v>
      </c>
    </row>
    <row r="798" spans="1:15" x14ac:dyDescent="0.25">
      <c r="A798" s="76">
        <v>43053</v>
      </c>
      <c r="B798" s="77" t="s">
        <v>5288</v>
      </c>
      <c r="C798" s="77" t="s">
        <v>5069</v>
      </c>
      <c r="D798" s="77" t="s">
        <v>5070</v>
      </c>
      <c r="E798" s="78">
        <v>200000</v>
      </c>
      <c r="F798" s="77" t="s">
        <v>4806</v>
      </c>
      <c r="G798" s="78">
        <v>100</v>
      </c>
      <c r="H798" s="78">
        <v>100</v>
      </c>
      <c r="I798" s="77" t="s">
        <v>4800</v>
      </c>
      <c r="L798" s="3">
        <f>VLOOKUP(C798,Securities!A:D,4,FALSE)</f>
        <v>5</v>
      </c>
      <c r="M798" s="3" t="str">
        <f>VLOOKUP(C798,Securities!A:B,2,FALSE)</f>
        <v>US65504LAM90 Corp</v>
      </c>
      <c r="O798" s="3">
        <f t="shared" si="13"/>
        <v>200000</v>
      </c>
    </row>
    <row r="799" spans="1:15" x14ac:dyDescent="0.25">
      <c r="A799" s="79">
        <v>43053</v>
      </c>
      <c r="B799" s="80" t="s">
        <v>5288</v>
      </c>
      <c r="C799" s="80" t="s">
        <v>5291</v>
      </c>
      <c r="D799" s="80" t="s">
        <v>5292</v>
      </c>
      <c r="E799" s="81">
        <v>100000</v>
      </c>
      <c r="F799" s="80" t="s">
        <v>4806</v>
      </c>
      <c r="G799" s="81">
        <v>103.875</v>
      </c>
      <c r="H799" s="81">
        <v>103.875</v>
      </c>
      <c r="I799" s="80" t="s">
        <v>4800</v>
      </c>
      <c r="L799" s="3">
        <f>VLOOKUP(C799,Securities!A:D,4,FALSE)</f>
        <v>5</v>
      </c>
      <c r="M799" s="3" t="str">
        <f>VLOOKUP(C799,Securities!A:B,2,FALSE)</f>
        <v>US71647NAM11 Corp</v>
      </c>
      <c r="O799" s="3">
        <f t="shared" si="13"/>
        <v>100000</v>
      </c>
    </row>
    <row r="800" spans="1:15" x14ac:dyDescent="0.25">
      <c r="A800" s="76">
        <v>43053</v>
      </c>
      <c r="B800" s="77" t="s">
        <v>5288</v>
      </c>
      <c r="C800" s="77" t="s">
        <v>5026</v>
      </c>
      <c r="D800" s="77" t="s">
        <v>5027</v>
      </c>
      <c r="E800" s="78">
        <v>200000</v>
      </c>
      <c r="F800" s="77" t="s">
        <v>4806</v>
      </c>
      <c r="G800" s="78">
        <v>100.375</v>
      </c>
      <c r="H800" s="78">
        <v>100.375</v>
      </c>
      <c r="I800" s="77" t="s">
        <v>4800</v>
      </c>
      <c r="L800" s="3">
        <f>VLOOKUP(C800,Securities!A:D,4,FALSE)</f>
        <v>5</v>
      </c>
      <c r="M800" s="3" t="str">
        <f>VLOOKUP(C800,Securities!A:B,2,FALSE)</f>
        <v>XS0935311240 Corp</v>
      </c>
      <c r="O800" s="3">
        <f t="shared" si="13"/>
        <v>200000</v>
      </c>
    </row>
    <row r="801" spans="1:15" x14ac:dyDescent="0.25">
      <c r="A801" s="79">
        <v>43053</v>
      </c>
      <c r="B801" s="80" t="s">
        <v>5288</v>
      </c>
      <c r="C801" s="80" t="s">
        <v>4851</v>
      </c>
      <c r="D801" s="80" t="s">
        <v>4744</v>
      </c>
      <c r="E801" s="81">
        <v>200000</v>
      </c>
      <c r="F801" s="80" t="s">
        <v>4806</v>
      </c>
      <c r="G801" s="81">
        <v>99.5</v>
      </c>
      <c r="H801" s="81">
        <v>99.5</v>
      </c>
      <c r="I801" s="80" t="s">
        <v>4800</v>
      </c>
      <c r="L801" s="3">
        <f>VLOOKUP(C801,Securities!A:D,4,FALSE)</f>
        <v>5</v>
      </c>
      <c r="M801" s="3" t="str">
        <f>VLOOKUP(C801,Securities!A:B,2,FALSE)</f>
        <v>XS1032750165 Corp</v>
      </c>
      <c r="O801" s="3">
        <f t="shared" si="13"/>
        <v>200000</v>
      </c>
    </row>
    <row r="802" spans="1:15" x14ac:dyDescent="0.25">
      <c r="A802" s="76">
        <v>43053</v>
      </c>
      <c r="B802" s="77" t="s">
        <v>5288</v>
      </c>
      <c r="C802" s="77" t="s">
        <v>4986</v>
      </c>
      <c r="D802" s="77" t="s">
        <v>4987</v>
      </c>
      <c r="E802" s="78">
        <v>200000</v>
      </c>
      <c r="F802" s="77" t="s">
        <v>4806</v>
      </c>
      <c r="G802" s="78">
        <v>103.8</v>
      </c>
      <c r="H802" s="78">
        <v>103.8</v>
      </c>
      <c r="I802" s="77" t="s">
        <v>4800</v>
      </c>
      <c r="L802" s="3">
        <f>VLOOKUP(C802,Securities!A:D,4,FALSE)</f>
        <v>5</v>
      </c>
      <c r="M802" s="3" t="str">
        <f>VLOOKUP(C802,Securities!A:B,2,FALSE)</f>
        <v>USG9328DAM23 Corp</v>
      </c>
      <c r="O802" s="3">
        <f t="shared" si="13"/>
        <v>200000</v>
      </c>
    </row>
    <row r="803" spans="1:15" x14ac:dyDescent="0.25">
      <c r="A803" s="79">
        <v>43053</v>
      </c>
      <c r="B803" s="80" t="s">
        <v>5288</v>
      </c>
      <c r="C803" s="80" t="s">
        <v>5006</v>
      </c>
      <c r="D803" s="80" t="s">
        <v>5007</v>
      </c>
      <c r="E803" s="81">
        <v>200000</v>
      </c>
      <c r="F803" s="80" t="s">
        <v>4806</v>
      </c>
      <c r="G803" s="81">
        <v>109</v>
      </c>
      <c r="H803" s="81">
        <v>109</v>
      </c>
      <c r="I803" s="80" t="s">
        <v>4800</v>
      </c>
      <c r="L803" s="3">
        <f>VLOOKUP(C803,Securities!A:D,4,FALSE)</f>
        <v>5</v>
      </c>
      <c r="M803" s="3" t="str">
        <f>VLOOKUP(C803,Securities!A:B,2,FALSE)</f>
        <v>XS1400710726 Corp</v>
      </c>
      <c r="O803" s="3">
        <f t="shared" si="13"/>
        <v>200000</v>
      </c>
    </row>
    <row r="804" spans="1:15" x14ac:dyDescent="0.25">
      <c r="A804" s="76">
        <v>43053</v>
      </c>
      <c r="B804" s="77" t="s">
        <v>5293</v>
      </c>
      <c r="C804" s="77" t="s">
        <v>4935</v>
      </c>
      <c r="D804" s="77" t="s">
        <v>4936</v>
      </c>
      <c r="E804" s="78">
        <v>3320</v>
      </c>
      <c r="F804" s="77" t="s">
        <v>4799</v>
      </c>
      <c r="G804" s="78">
        <v>1029.017611</v>
      </c>
      <c r="H804" s="78">
        <v>17.96921</v>
      </c>
      <c r="I804" s="77" t="s">
        <v>4800</v>
      </c>
      <c r="L804" s="3">
        <f>VLOOKUP(C804,Securities!A:D,4,FALSE)</f>
        <v>1</v>
      </c>
      <c r="M804" s="3" t="str">
        <f>VLOOKUP(C804,Securities!A:B,2,FALSE)</f>
        <v>AD NA Equity</v>
      </c>
      <c r="O804" s="3">
        <f t="shared" si="13"/>
        <v>3320</v>
      </c>
    </row>
    <row r="805" spans="1:15" x14ac:dyDescent="0.25">
      <c r="A805" s="79">
        <v>43053</v>
      </c>
      <c r="B805" s="80" t="s">
        <v>5293</v>
      </c>
      <c r="C805" s="80" t="s">
        <v>5294</v>
      </c>
      <c r="D805" s="80" t="s">
        <v>5295</v>
      </c>
      <c r="E805" s="81">
        <v>100000</v>
      </c>
      <c r="F805" s="80" t="s">
        <v>4838</v>
      </c>
      <c r="G805" s="81">
        <v>100</v>
      </c>
      <c r="H805" s="81">
        <v>100</v>
      </c>
      <c r="I805" s="80" t="s">
        <v>4800</v>
      </c>
      <c r="L805" s="3">
        <f>VLOOKUP(C805,Securities!A:D,4,FALSE)</f>
        <v>5</v>
      </c>
      <c r="M805" s="3" t="str">
        <f>VLOOKUP(C805,Securities!A:B,2,FALSE)</f>
        <v>CH0355509487 Corp</v>
      </c>
      <c r="O805" s="3">
        <f t="shared" si="13"/>
        <v>100000</v>
      </c>
    </row>
    <row r="806" spans="1:15" x14ac:dyDescent="0.25">
      <c r="A806" s="76">
        <v>43053</v>
      </c>
      <c r="B806" s="77" t="s">
        <v>5293</v>
      </c>
      <c r="C806" s="77" t="s">
        <v>5296</v>
      </c>
      <c r="D806" s="77" t="s">
        <v>5297</v>
      </c>
      <c r="E806" s="78">
        <v>75000</v>
      </c>
      <c r="F806" s="77" t="s">
        <v>4838</v>
      </c>
      <c r="G806" s="78">
        <v>100</v>
      </c>
      <c r="H806" s="78">
        <v>100</v>
      </c>
      <c r="I806" s="77" t="s">
        <v>4800</v>
      </c>
      <c r="L806" s="3">
        <f>VLOOKUP(C806,Securities!A:D,4,FALSE)</f>
        <v>5</v>
      </c>
      <c r="M806" s="3" t="str">
        <f>VLOOKUP(C806,Securities!A:B,2,FALSE)</f>
        <v>CH0384862568 Corp</v>
      </c>
      <c r="O806" s="3">
        <f t="shared" si="13"/>
        <v>75000</v>
      </c>
    </row>
    <row r="807" spans="1:15" x14ac:dyDescent="0.25">
      <c r="A807" s="79">
        <v>43053</v>
      </c>
      <c r="B807" s="80" t="s">
        <v>5293</v>
      </c>
      <c r="C807" s="80" t="s">
        <v>4805</v>
      </c>
      <c r="D807" s="80" t="s">
        <v>31</v>
      </c>
      <c r="E807" s="81">
        <v>449000</v>
      </c>
      <c r="F807" s="80" t="s">
        <v>4806</v>
      </c>
      <c r="G807" s="81">
        <v>175.5</v>
      </c>
      <c r="H807" s="81">
        <v>175.5</v>
      </c>
      <c r="I807" s="80" t="s">
        <v>4800</v>
      </c>
      <c r="L807" s="3">
        <f>VLOOKUP(C807,Securities!A:D,4,FALSE)</f>
        <v>5</v>
      </c>
      <c r="M807" s="3" t="str">
        <f>VLOOKUP(C807,Securities!A:B,2,FALSE)</f>
        <v>TT343269 Corp</v>
      </c>
      <c r="O807" s="3">
        <f t="shared" si="13"/>
        <v>449000</v>
      </c>
    </row>
    <row r="808" spans="1:15" x14ac:dyDescent="0.25">
      <c r="A808" s="76">
        <v>43053</v>
      </c>
      <c r="B808" s="77" t="s">
        <v>5293</v>
      </c>
      <c r="C808" s="77" t="s">
        <v>5207</v>
      </c>
      <c r="D808" s="77" t="s">
        <v>5208</v>
      </c>
      <c r="E808" s="78">
        <v>1</v>
      </c>
      <c r="F808" s="77" t="s">
        <v>4974</v>
      </c>
      <c r="G808" s="78">
        <v>100.744</v>
      </c>
      <c r="H808" s="78">
        <v>100.744</v>
      </c>
      <c r="I808" s="77" t="s">
        <v>4800</v>
      </c>
      <c r="L808" s="3">
        <f>VLOOKUP(C808,Securities!A:D,4,FALSE)</f>
        <v>5</v>
      </c>
      <c r="M808" s="3" t="str">
        <f>VLOOKUP(C808,Securities!A:B,2,FALSE)</f>
        <v>RU000A0JXU14 Corp</v>
      </c>
      <c r="O808" s="3">
        <f t="shared" si="13"/>
        <v>1</v>
      </c>
    </row>
    <row r="809" spans="1:15" x14ac:dyDescent="0.25">
      <c r="A809" s="79">
        <v>43053</v>
      </c>
      <c r="B809" s="80" t="s">
        <v>5293</v>
      </c>
      <c r="C809" s="80" t="s">
        <v>4839</v>
      </c>
      <c r="D809" s="80" t="s">
        <v>4840</v>
      </c>
      <c r="E809" s="81">
        <v>100000</v>
      </c>
      <c r="F809" s="80" t="s">
        <v>4838</v>
      </c>
      <c r="G809" s="81">
        <v>97.3</v>
      </c>
      <c r="H809" s="81">
        <v>97.3</v>
      </c>
      <c r="I809" s="80" t="s">
        <v>4800</v>
      </c>
      <c r="L809" s="3">
        <f>VLOOKUP(C809,Securities!A:D,4,FALSE)</f>
        <v>5</v>
      </c>
      <c r="M809" s="3" t="str">
        <f>VLOOKUP(C809,Securities!A:B,2,FALSE)</f>
        <v>XS1513271418 Corp</v>
      </c>
      <c r="O809" s="3">
        <f t="shared" si="13"/>
        <v>100000</v>
      </c>
    </row>
    <row r="810" spans="1:15" x14ac:dyDescent="0.25">
      <c r="A810" s="76">
        <v>43053</v>
      </c>
      <c r="B810" s="77" t="s">
        <v>5293</v>
      </c>
      <c r="C810" s="77" t="s">
        <v>4941</v>
      </c>
      <c r="D810" s="77" t="s">
        <v>4942</v>
      </c>
      <c r="E810" s="78">
        <v>150000</v>
      </c>
      <c r="F810" s="77" t="s">
        <v>4838</v>
      </c>
      <c r="G810" s="78">
        <v>98.5</v>
      </c>
      <c r="H810" s="78">
        <v>98.5</v>
      </c>
      <c r="I810" s="77" t="s">
        <v>4800</v>
      </c>
      <c r="L810" s="3">
        <f>VLOOKUP(C810,Securities!A:D,4,FALSE)</f>
        <v>5</v>
      </c>
      <c r="M810" s="3" t="str">
        <f>VLOOKUP(C810,Securities!A:B,2,FALSE)</f>
        <v>XS1605089066 Corp</v>
      </c>
      <c r="O810" s="3">
        <f t="shared" si="13"/>
        <v>150000</v>
      </c>
    </row>
    <row r="811" spans="1:15" x14ac:dyDescent="0.25">
      <c r="A811" s="79">
        <v>43053</v>
      </c>
      <c r="B811" s="80" t="s">
        <v>5293</v>
      </c>
      <c r="C811" s="80" t="s">
        <v>4903</v>
      </c>
      <c r="D811" s="80" t="s">
        <v>4904</v>
      </c>
      <c r="E811" s="81">
        <v>200000</v>
      </c>
      <c r="F811" s="80" t="s">
        <v>4806</v>
      </c>
      <c r="G811" s="81">
        <v>105.35</v>
      </c>
      <c r="H811" s="81">
        <v>105.35</v>
      </c>
      <c r="I811" s="80" t="s">
        <v>4800</v>
      </c>
      <c r="L811" s="3">
        <f>VLOOKUP(C811,Securities!A:D,4,FALSE)</f>
        <v>5</v>
      </c>
      <c r="M811" s="3" t="str">
        <f>VLOOKUP(C811,Securities!A:B,2,FALSE)</f>
        <v>XS1319813769 Corp</v>
      </c>
      <c r="O811" s="3">
        <f t="shared" si="13"/>
        <v>200000</v>
      </c>
    </row>
    <row r="812" spans="1:15" x14ac:dyDescent="0.25">
      <c r="A812" s="76">
        <v>43053</v>
      </c>
      <c r="B812" s="77" t="s">
        <v>5293</v>
      </c>
      <c r="C812" s="77" t="s">
        <v>4963</v>
      </c>
      <c r="D812" s="77" t="s">
        <v>4964</v>
      </c>
      <c r="E812" s="78">
        <v>200000</v>
      </c>
      <c r="F812" s="77" t="s">
        <v>4806</v>
      </c>
      <c r="G812" s="78">
        <v>96.3</v>
      </c>
      <c r="H812" s="78">
        <v>96.3</v>
      </c>
      <c r="I812" s="77" t="s">
        <v>4800</v>
      </c>
      <c r="L812" s="3">
        <f>VLOOKUP(C812,Securities!A:D,4,FALSE)</f>
        <v>5</v>
      </c>
      <c r="M812" s="3" t="str">
        <f>VLOOKUP(C812,Securities!A:B,2,FALSE)</f>
        <v>XS1439838548 Corp</v>
      </c>
      <c r="O812" s="3">
        <f t="shared" si="13"/>
        <v>200000</v>
      </c>
    </row>
    <row r="813" spans="1:15" x14ac:dyDescent="0.25">
      <c r="A813" s="79">
        <v>43053</v>
      </c>
      <c r="B813" s="80" t="s">
        <v>5293</v>
      </c>
      <c r="C813" s="80" t="s">
        <v>4811</v>
      </c>
      <c r="D813" s="80" t="s">
        <v>4659</v>
      </c>
      <c r="E813" s="81">
        <v>42000</v>
      </c>
      <c r="F813" s="80" t="s">
        <v>4799</v>
      </c>
      <c r="G813" s="81">
        <v>99.542604999999995</v>
      </c>
      <c r="H813" s="81">
        <v>1.7435259999999999</v>
      </c>
      <c r="I813" s="80" t="s">
        <v>4800</v>
      </c>
      <c r="L813" s="3">
        <f>VLOOKUP(C813,Securities!A:D,4,FALSE)</f>
        <v>1</v>
      </c>
      <c r="M813" s="3" t="str">
        <f>VLOOKUP(C813,Securities!A:B,2,FALSE)</f>
        <v>HGM LN Equity</v>
      </c>
      <c r="O813" s="3">
        <f t="shared" si="13"/>
        <v>42000</v>
      </c>
    </row>
    <row r="814" spans="1:15" x14ac:dyDescent="0.25">
      <c r="A814" s="76">
        <v>43053</v>
      </c>
      <c r="B814" s="77" t="s">
        <v>5293</v>
      </c>
      <c r="C814" s="77" t="s">
        <v>4861</v>
      </c>
      <c r="D814" s="77" t="s">
        <v>4862</v>
      </c>
      <c r="E814" s="78">
        <v>200000</v>
      </c>
      <c r="F814" s="77" t="s">
        <v>4806</v>
      </c>
      <c r="G814" s="78">
        <v>104.25</v>
      </c>
      <c r="H814" s="78">
        <v>104.25</v>
      </c>
      <c r="I814" s="77" t="s">
        <v>4800</v>
      </c>
      <c r="L814" s="3">
        <f>VLOOKUP(C814,Securities!A:D,4,FALSE)</f>
        <v>5</v>
      </c>
      <c r="M814" s="3" t="str">
        <f>VLOOKUP(C814,Securities!A:B,2,FALSE)</f>
        <v>USA29866AA70 Corp</v>
      </c>
      <c r="O814" s="3">
        <f t="shared" si="13"/>
        <v>200000</v>
      </c>
    </row>
    <row r="815" spans="1:15" x14ac:dyDescent="0.25">
      <c r="A815" s="79">
        <v>43053</v>
      </c>
      <c r="B815" s="80" t="s">
        <v>5293</v>
      </c>
      <c r="C815" s="80" t="s">
        <v>5298</v>
      </c>
      <c r="D815" s="80" t="s">
        <v>5299</v>
      </c>
      <c r="E815" s="81">
        <v>200000</v>
      </c>
      <c r="F815" s="80" t="s">
        <v>4806</v>
      </c>
      <c r="G815" s="81">
        <v>97.7</v>
      </c>
      <c r="H815" s="81">
        <v>97.7</v>
      </c>
      <c r="I815" s="80" t="s">
        <v>4800</v>
      </c>
      <c r="L815" s="3">
        <f>VLOOKUP(C815,Securities!A:D,4,FALSE)</f>
        <v>5</v>
      </c>
      <c r="M815" s="3" t="str">
        <f>VLOOKUP(C815,Securities!A:B,2,FALSE)</f>
        <v>XS0934609016 Corp</v>
      </c>
      <c r="O815" s="3">
        <f t="shared" si="13"/>
        <v>200000</v>
      </c>
    </row>
    <row r="816" spans="1:15" x14ac:dyDescent="0.25">
      <c r="A816" s="76">
        <v>43053</v>
      </c>
      <c r="B816" s="77" t="s">
        <v>5293</v>
      </c>
      <c r="C816" s="77" t="s">
        <v>4812</v>
      </c>
      <c r="D816" s="77" t="s">
        <v>4675</v>
      </c>
      <c r="E816" s="78">
        <v>10100</v>
      </c>
      <c r="F816" s="77" t="s">
        <v>4804</v>
      </c>
      <c r="G816" s="78">
        <v>566.42926</v>
      </c>
      <c r="H816" s="78">
        <v>9.8833660000000005</v>
      </c>
      <c r="I816" s="77" t="s">
        <v>4800</v>
      </c>
      <c r="L816" s="3">
        <f>VLOOKUP(C816,Securities!A:D,4,FALSE)</f>
        <v>1</v>
      </c>
      <c r="M816" s="3" t="str">
        <f>VLOOKUP(C816,Securities!A:B,2,FALSE)</f>
        <v>KMG LI Equity</v>
      </c>
      <c r="O816" s="3">
        <f t="shared" si="13"/>
        <v>10100</v>
      </c>
    </row>
    <row r="817" spans="1:15" x14ac:dyDescent="0.25">
      <c r="A817" s="79">
        <v>43053</v>
      </c>
      <c r="B817" s="80" t="s">
        <v>5293</v>
      </c>
      <c r="C817" s="80" t="s">
        <v>4863</v>
      </c>
      <c r="D817" s="80" t="s">
        <v>4864</v>
      </c>
      <c r="E817" s="81">
        <v>200000</v>
      </c>
      <c r="F817" s="80" t="s">
        <v>4806</v>
      </c>
      <c r="G817" s="81">
        <v>103.5</v>
      </c>
      <c r="H817" s="81">
        <v>103.5</v>
      </c>
      <c r="I817" s="80" t="s">
        <v>4800</v>
      </c>
      <c r="L817" s="3">
        <f>VLOOKUP(C817,Securities!A:D,4,FALSE)</f>
        <v>5</v>
      </c>
      <c r="M817" s="3" t="str">
        <f>VLOOKUP(C817,Securities!A:B,2,FALSE)</f>
        <v>USN54468AF52 Corp</v>
      </c>
      <c r="O817" s="3">
        <f t="shared" si="13"/>
        <v>200000</v>
      </c>
    </row>
    <row r="818" spans="1:15" x14ac:dyDescent="0.25">
      <c r="A818" s="76">
        <v>43053</v>
      </c>
      <c r="B818" s="77" t="s">
        <v>5293</v>
      </c>
      <c r="C818" s="77" t="s">
        <v>5047</v>
      </c>
      <c r="D818" s="77" t="s">
        <v>5048</v>
      </c>
      <c r="E818" s="78">
        <v>200000</v>
      </c>
      <c r="F818" s="77" t="s">
        <v>4806</v>
      </c>
      <c r="G818" s="78">
        <v>98</v>
      </c>
      <c r="H818" s="78">
        <v>98</v>
      </c>
      <c r="I818" s="77" t="s">
        <v>4800</v>
      </c>
      <c r="L818" s="3">
        <f>VLOOKUP(C818,Securities!A:D,4,FALSE)</f>
        <v>5</v>
      </c>
      <c r="M818" s="3" t="str">
        <f>VLOOKUP(C818,Securities!A:B,2,FALSE)</f>
        <v>XS1128996425 Corp</v>
      </c>
      <c r="O818" s="3">
        <f t="shared" si="13"/>
        <v>200000</v>
      </c>
    </row>
    <row r="819" spans="1:15" x14ac:dyDescent="0.25">
      <c r="A819" s="79">
        <v>43053</v>
      </c>
      <c r="B819" s="80" t="s">
        <v>5293</v>
      </c>
      <c r="C819" s="80" t="s">
        <v>4819</v>
      </c>
      <c r="D819" s="80" t="s">
        <v>4820</v>
      </c>
      <c r="E819" s="81">
        <v>400000</v>
      </c>
      <c r="F819" s="80" t="s">
        <v>4806</v>
      </c>
      <c r="G819" s="81">
        <v>101.921666</v>
      </c>
      <c r="H819" s="81">
        <v>101.921666</v>
      </c>
      <c r="I819" s="80" t="s">
        <v>4800</v>
      </c>
      <c r="L819" s="3">
        <f>VLOOKUP(C819,Securities!A:D,4,FALSE)</f>
        <v>5</v>
      </c>
      <c r="M819" s="3" t="str">
        <f>VLOOKUP(C819,Securities!A:B,2,FALSE)</f>
        <v>XS0776121062 Corp</v>
      </c>
      <c r="O819" s="3">
        <f t="shared" si="13"/>
        <v>400000</v>
      </c>
    </row>
    <row r="820" spans="1:15" x14ac:dyDescent="0.25">
      <c r="A820" s="76">
        <v>43053</v>
      </c>
      <c r="B820" s="77" t="s">
        <v>5293</v>
      </c>
      <c r="C820" s="77" t="s">
        <v>4922</v>
      </c>
      <c r="D820" s="77" t="s">
        <v>4923</v>
      </c>
      <c r="E820" s="78">
        <v>462</v>
      </c>
      <c r="F820" s="77" t="s">
        <v>4804</v>
      </c>
      <c r="G820" s="78">
        <v>6207.8753370000004</v>
      </c>
      <c r="H820" s="78">
        <v>107.9</v>
      </c>
      <c r="I820" s="77" t="s">
        <v>4800</v>
      </c>
      <c r="L820" s="3">
        <f>VLOOKUP(C820,Securities!A:D,4,FALSE)</f>
        <v>1</v>
      </c>
      <c r="M820" s="3" t="str">
        <f>VLOOKUP(C820,Securities!A:B,2,FALSE)</f>
        <v>NVTK LI Equity</v>
      </c>
      <c r="O820" s="3">
        <f t="shared" si="13"/>
        <v>462</v>
      </c>
    </row>
    <row r="821" spans="1:15" x14ac:dyDescent="0.25">
      <c r="A821" s="79">
        <v>43053</v>
      </c>
      <c r="B821" s="80" t="s">
        <v>5293</v>
      </c>
      <c r="C821" s="80" t="s">
        <v>5051</v>
      </c>
      <c r="D821" s="80" t="s">
        <v>5052</v>
      </c>
      <c r="E821" s="81">
        <v>100000</v>
      </c>
      <c r="F821" s="80" t="s">
        <v>4806</v>
      </c>
      <c r="G821" s="81">
        <v>103.3</v>
      </c>
      <c r="H821" s="81">
        <v>103.3</v>
      </c>
      <c r="I821" s="80" t="s">
        <v>4800</v>
      </c>
      <c r="L821" s="3">
        <f>VLOOKUP(C821,Securities!A:D,4,FALSE)</f>
        <v>5</v>
      </c>
      <c r="M821" s="3" t="str">
        <f>VLOOKUP(C821,Securities!A:B,2,FALSE)</f>
        <v>XS0982711714 Corp</v>
      </c>
      <c r="O821" s="3">
        <f t="shared" si="13"/>
        <v>100000</v>
      </c>
    </row>
    <row r="822" spans="1:15" x14ac:dyDescent="0.25">
      <c r="A822" s="76">
        <v>43053</v>
      </c>
      <c r="B822" s="77" t="s">
        <v>5293</v>
      </c>
      <c r="C822" s="77" t="s">
        <v>4821</v>
      </c>
      <c r="D822" s="77" t="s">
        <v>42</v>
      </c>
      <c r="E822" s="78">
        <v>4350</v>
      </c>
      <c r="F822" s="77" t="s">
        <v>4799</v>
      </c>
      <c r="G822" s="78">
        <v>683.22031600000003</v>
      </c>
      <c r="H822" s="78">
        <v>11.467525999999999</v>
      </c>
      <c r="I822" s="77" t="s">
        <v>4800</v>
      </c>
      <c r="L822" s="3">
        <f>VLOOKUP(C822,Securities!A:D,4,FALSE)</f>
        <v>1</v>
      </c>
      <c r="M822" s="3" t="str">
        <f>VLOOKUP(C822,Securities!A:B,2,FALSE)</f>
        <v>POLY LN Equity</v>
      </c>
      <c r="O822" s="3">
        <f t="shared" si="13"/>
        <v>4350</v>
      </c>
    </row>
    <row r="823" spans="1:15" x14ac:dyDescent="0.25">
      <c r="A823" s="79">
        <v>43053</v>
      </c>
      <c r="B823" s="80" t="s">
        <v>5293</v>
      </c>
      <c r="C823" s="80" t="s">
        <v>5300</v>
      </c>
      <c r="D823" s="80" t="s">
        <v>5301</v>
      </c>
      <c r="E823" s="81">
        <v>200000</v>
      </c>
      <c r="F823" s="80" t="s">
        <v>4806</v>
      </c>
      <c r="G823" s="81">
        <v>0</v>
      </c>
      <c r="H823" s="81">
        <v>0</v>
      </c>
      <c r="I823" s="80" t="s">
        <v>4800</v>
      </c>
      <c r="L823" s="3">
        <f>VLOOKUP(C823,Securities!A:D,4,FALSE)</f>
        <v>5</v>
      </c>
      <c r="M823" s="3" t="str">
        <f>VLOOKUP(C823,Securities!A:B,2,FALSE)</f>
        <v>CH0205819441 Corp</v>
      </c>
      <c r="O823" s="3">
        <f t="shared" si="13"/>
        <v>200000</v>
      </c>
    </row>
    <row r="824" spans="1:15" x14ac:dyDescent="0.25">
      <c r="A824" s="76">
        <v>43053</v>
      </c>
      <c r="B824" s="77" t="s">
        <v>5293</v>
      </c>
      <c r="C824" s="77" t="s">
        <v>4927</v>
      </c>
      <c r="D824" s="77" t="s">
        <v>4928</v>
      </c>
      <c r="E824" s="78">
        <v>4190</v>
      </c>
      <c r="F824" s="77" t="s">
        <v>4898</v>
      </c>
      <c r="G824" s="78">
        <v>904.57418500000006</v>
      </c>
      <c r="H824" s="78">
        <v>15.690056999999999</v>
      </c>
      <c r="I824" s="77" t="s">
        <v>4800</v>
      </c>
      <c r="L824" s="3">
        <f>VLOOKUP(C824,Securities!A:D,4,FALSE)</f>
        <v>1</v>
      </c>
      <c r="M824" s="3" t="str">
        <f>VLOOKUP(C824,Securities!A:B,2,FALSE)</f>
        <v>SX7EEX GY Equity</v>
      </c>
      <c r="O824" s="3">
        <f t="shared" si="13"/>
        <v>4190</v>
      </c>
    </row>
    <row r="825" spans="1:15" x14ac:dyDescent="0.25">
      <c r="A825" s="79">
        <v>43053</v>
      </c>
      <c r="B825" s="80" t="s">
        <v>5293</v>
      </c>
      <c r="C825" s="80" t="s">
        <v>5302</v>
      </c>
      <c r="D825" s="80" t="s">
        <v>5303</v>
      </c>
      <c r="E825" s="81">
        <v>50000</v>
      </c>
      <c r="F825" s="80" t="s">
        <v>4806</v>
      </c>
      <c r="G825" s="81">
        <v>97.75</v>
      </c>
      <c r="H825" s="81">
        <v>97.75</v>
      </c>
      <c r="I825" s="80" t="s">
        <v>4800</v>
      </c>
      <c r="L825" s="3">
        <f>VLOOKUP(C825,Securities!A:D,4,FALSE)</f>
        <v>5</v>
      </c>
      <c r="M825" s="3" t="str">
        <f>VLOOKUP(C825,Securities!A:B,2,FALSE)</f>
        <v>USU8810LAA18 Corp</v>
      </c>
      <c r="O825" s="3">
        <f t="shared" si="13"/>
        <v>50000</v>
      </c>
    </row>
    <row r="826" spans="1:15" x14ac:dyDescent="0.25">
      <c r="A826" s="76">
        <v>43053</v>
      </c>
      <c r="B826" s="77" t="s">
        <v>5293</v>
      </c>
      <c r="C826" s="77" t="s">
        <v>4824</v>
      </c>
      <c r="D826" s="77" t="s">
        <v>4674</v>
      </c>
      <c r="E826" s="78">
        <v>12500</v>
      </c>
      <c r="F826" s="77" t="s">
        <v>4825</v>
      </c>
      <c r="G826" s="78">
        <v>228.344402</v>
      </c>
      <c r="H826" s="78">
        <v>4</v>
      </c>
      <c r="I826" s="77" t="s">
        <v>4800</v>
      </c>
      <c r="L826" s="3">
        <f>VLOOKUP(C826,Securities!A:D,4,FALSE)</f>
        <v>1</v>
      </c>
      <c r="M826" s="3" t="str">
        <f>VLOOKUP(C826,Securities!A:B,2,FALSE)</f>
        <v>VEON US Equity</v>
      </c>
      <c r="O826" s="3">
        <f t="shared" si="13"/>
        <v>12500</v>
      </c>
    </row>
    <row r="827" spans="1:15" x14ac:dyDescent="0.25">
      <c r="A827" s="79">
        <v>43053</v>
      </c>
      <c r="B827" s="80" t="s">
        <v>5304</v>
      </c>
      <c r="C827" s="80" t="s">
        <v>5305</v>
      </c>
      <c r="D827" s="80" t="s">
        <v>1364</v>
      </c>
      <c r="E827" s="81">
        <v>5000</v>
      </c>
      <c r="F827" s="80" t="s">
        <v>4814</v>
      </c>
      <c r="G827" s="81">
        <v>99.4</v>
      </c>
      <c r="H827" s="81">
        <v>99.4</v>
      </c>
      <c r="I827" s="80" t="s">
        <v>4800</v>
      </c>
      <c r="L827" s="3">
        <f>VLOOKUP(C827,Securities!A:D,4,FALSE)</f>
        <v>5</v>
      </c>
      <c r="M827" s="3" t="str">
        <f>VLOOKUP(C827,Securities!A:B,2,FALSE)</f>
        <v>RU000A0JTM28 Corp</v>
      </c>
      <c r="O827" s="3">
        <f t="shared" si="13"/>
        <v>5000</v>
      </c>
    </row>
    <row r="828" spans="1:15" x14ac:dyDescent="0.25">
      <c r="A828" s="76">
        <v>43053</v>
      </c>
      <c r="B828" s="77" t="s">
        <v>5304</v>
      </c>
      <c r="C828" s="77" t="s">
        <v>4805</v>
      </c>
      <c r="D828" s="77" t="s">
        <v>31</v>
      </c>
      <c r="E828" s="78">
        <v>63000</v>
      </c>
      <c r="F828" s="77" t="s">
        <v>4806</v>
      </c>
      <c r="G828" s="78">
        <v>175.5</v>
      </c>
      <c r="H828" s="78">
        <v>175.5</v>
      </c>
      <c r="I828" s="77" t="s">
        <v>4800</v>
      </c>
      <c r="L828" s="3">
        <f>VLOOKUP(C828,Securities!A:D,4,FALSE)</f>
        <v>5</v>
      </c>
      <c r="M828" s="3" t="str">
        <f>VLOOKUP(C828,Securities!A:B,2,FALSE)</f>
        <v>TT343269 Corp</v>
      </c>
      <c r="O828" s="3">
        <f t="shared" si="13"/>
        <v>63000</v>
      </c>
    </row>
    <row r="829" spans="1:15" x14ac:dyDescent="0.25">
      <c r="A829" s="79">
        <v>43053</v>
      </c>
      <c r="B829" s="80" t="s">
        <v>5304</v>
      </c>
      <c r="C829" s="80" t="s">
        <v>5306</v>
      </c>
      <c r="D829" s="80" t="s">
        <v>2057</v>
      </c>
      <c r="E829" s="81">
        <v>4640</v>
      </c>
      <c r="F829" s="80" t="s">
        <v>4814</v>
      </c>
      <c r="G829" s="81">
        <v>105.63</v>
      </c>
      <c r="H829" s="81">
        <v>105.63</v>
      </c>
      <c r="I829" s="80" t="s">
        <v>4800</v>
      </c>
      <c r="L829" s="3">
        <f>VLOOKUP(C829,Securities!A:D,4,FALSE)</f>
        <v>5</v>
      </c>
      <c r="M829" s="3" t="str">
        <f>VLOOKUP(C829,Securities!A:B,2,FALSE)</f>
        <v>RU000A0JVKK9 Corp</v>
      </c>
      <c r="O829" s="3">
        <f t="shared" si="13"/>
        <v>4640</v>
      </c>
    </row>
    <row r="830" spans="1:15" x14ac:dyDescent="0.25">
      <c r="A830" s="76">
        <v>43053</v>
      </c>
      <c r="B830" s="77" t="s">
        <v>5304</v>
      </c>
      <c r="C830" s="77" t="s">
        <v>5307</v>
      </c>
      <c r="D830" s="77" t="s">
        <v>1841</v>
      </c>
      <c r="E830" s="78">
        <v>9900</v>
      </c>
      <c r="F830" s="77" t="s">
        <v>4814</v>
      </c>
      <c r="G830" s="78">
        <v>99.55</v>
      </c>
      <c r="H830" s="78">
        <v>99.55</v>
      </c>
      <c r="I830" s="77" t="s">
        <v>4800</v>
      </c>
      <c r="L830" s="3">
        <f>VLOOKUP(C830,Securities!A:D,4,FALSE)</f>
        <v>5</v>
      </c>
      <c r="M830" s="3" t="str">
        <f>VLOOKUP(C830,Securities!A:B,2,FALSE)</f>
        <v>RU000A0JU609 Corp</v>
      </c>
      <c r="O830" s="3">
        <f t="shared" si="13"/>
        <v>9900</v>
      </c>
    </row>
    <row r="831" spans="1:15" x14ac:dyDescent="0.25">
      <c r="A831" s="79">
        <v>43053</v>
      </c>
      <c r="B831" s="80" t="s">
        <v>5304</v>
      </c>
      <c r="C831" s="80" t="s">
        <v>5045</v>
      </c>
      <c r="D831" s="80" t="s">
        <v>5046</v>
      </c>
      <c r="E831" s="81">
        <v>200000</v>
      </c>
      <c r="F831" s="80" t="s">
        <v>4806</v>
      </c>
      <c r="G831" s="81">
        <v>98.45</v>
      </c>
      <c r="H831" s="81">
        <v>98.45</v>
      </c>
      <c r="I831" s="80" t="s">
        <v>4800</v>
      </c>
      <c r="L831" s="3">
        <f>VLOOKUP(C831,Securities!A:D,4,FALSE)</f>
        <v>5</v>
      </c>
      <c r="M831" s="3" t="str">
        <f>VLOOKUP(C831,Securities!A:B,2,FALSE)</f>
        <v>XS1069383856 Corp</v>
      </c>
      <c r="O831" s="3">
        <f t="shared" si="13"/>
        <v>200000</v>
      </c>
    </row>
    <row r="832" spans="1:15" x14ac:dyDescent="0.25">
      <c r="A832" s="76">
        <v>43053</v>
      </c>
      <c r="B832" s="77" t="s">
        <v>5304</v>
      </c>
      <c r="C832" s="77" t="s">
        <v>5024</v>
      </c>
      <c r="D832" s="77" t="s">
        <v>5025</v>
      </c>
      <c r="E832" s="78">
        <v>200000</v>
      </c>
      <c r="F832" s="77" t="s">
        <v>4806</v>
      </c>
      <c r="G832" s="78">
        <v>99.3</v>
      </c>
      <c r="H832" s="78">
        <v>99.3</v>
      </c>
      <c r="I832" s="77" t="s">
        <v>4800</v>
      </c>
      <c r="L832" s="3">
        <f>VLOOKUP(C832,Securities!A:D,4,FALSE)</f>
        <v>5</v>
      </c>
      <c r="M832" s="3" t="str">
        <f>VLOOKUP(C832,Securities!A:B,2,FALSE)</f>
        <v>XS1405766384 Corp</v>
      </c>
      <c r="O832" s="3">
        <f t="shared" si="13"/>
        <v>200000</v>
      </c>
    </row>
    <row r="833" spans="1:15" x14ac:dyDescent="0.25">
      <c r="A833" s="79">
        <v>43053</v>
      </c>
      <c r="B833" s="80" t="s">
        <v>5304</v>
      </c>
      <c r="C833" s="80" t="s">
        <v>4851</v>
      </c>
      <c r="D833" s="80" t="s">
        <v>4744</v>
      </c>
      <c r="E833" s="81">
        <v>200000</v>
      </c>
      <c r="F833" s="80" t="s">
        <v>4806</v>
      </c>
      <c r="G833" s="81">
        <v>99.75</v>
      </c>
      <c r="H833" s="81">
        <v>99.75</v>
      </c>
      <c r="I833" s="80" t="s">
        <v>4800</v>
      </c>
      <c r="L833" s="3">
        <f>VLOOKUP(C833,Securities!A:D,4,FALSE)</f>
        <v>5</v>
      </c>
      <c r="M833" s="3" t="str">
        <f>VLOOKUP(C833,Securities!A:B,2,FALSE)</f>
        <v>XS1032750165 Corp</v>
      </c>
      <c r="O833" s="3">
        <f t="shared" si="13"/>
        <v>200000</v>
      </c>
    </row>
    <row r="834" spans="1:15" x14ac:dyDescent="0.25">
      <c r="A834" s="76">
        <v>43053</v>
      </c>
      <c r="B834" s="77" t="s">
        <v>5304</v>
      </c>
      <c r="C834" s="77" t="s">
        <v>5308</v>
      </c>
      <c r="D834" s="77" t="s">
        <v>1610</v>
      </c>
      <c r="E834" s="78">
        <v>5000</v>
      </c>
      <c r="F834" s="77" t="s">
        <v>4814</v>
      </c>
      <c r="G834" s="78">
        <v>101.5</v>
      </c>
      <c r="H834" s="78">
        <v>101.5</v>
      </c>
      <c r="I834" s="77" t="s">
        <v>4800</v>
      </c>
      <c r="L834" s="3">
        <f>VLOOKUP(C834,Securities!A:D,4,FALSE)</f>
        <v>5</v>
      </c>
      <c r="M834" s="3" t="str">
        <f>VLOOKUP(C834,Securities!A:B,2,FALSE)</f>
        <v>RU000A0JWNJ3 Corp</v>
      </c>
      <c r="O834" s="3">
        <f t="shared" si="13"/>
        <v>5000</v>
      </c>
    </row>
    <row r="835" spans="1:15" x14ac:dyDescent="0.25">
      <c r="A835" s="79">
        <v>43053</v>
      </c>
      <c r="B835" s="80" t="s">
        <v>5309</v>
      </c>
      <c r="C835" s="80" t="s">
        <v>4805</v>
      </c>
      <c r="D835" s="80" t="s">
        <v>31</v>
      </c>
      <c r="E835" s="81">
        <v>120000</v>
      </c>
      <c r="F835" s="80" t="s">
        <v>4806</v>
      </c>
      <c r="G835" s="81">
        <v>172.125</v>
      </c>
      <c r="H835" s="81">
        <v>172.125</v>
      </c>
      <c r="I835" s="80" t="s">
        <v>4800</v>
      </c>
      <c r="L835" s="3">
        <f>VLOOKUP(C835,Securities!A:D,4,FALSE)</f>
        <v>5</v>
      </c>
      <c r="M835" s="3" t="str">
        <f>VLOOKUP(C835,Securities!A:B,2,FALSE)</f>
        <v>TT343269 Corp</v>
      </c>
      <c r="O835" s="3">
        <f t="shared" si="13"/>
        <v>120000</v>
      </c>
    </row>
    <row r="836" spans="1:15" x14ac:dyDescent="0.25">
      <c r="A836" s="76">
        <v>43053</v>
      </c>
      <c r="B836" s="77" t="s">
        <v>5309</v>
      </c>
      <c r="C836" s="77" t="s">
        <v>5310</v>
      </c>
      <c r="D836" s="77" t="s">
        <v>5311</v>
      </c>
      <c r="E836" s="78">
        <v>2170</v>
      </c>
      <c r="F836" s="77" t="s">
        <v>4898</v>
      </c>
      <c r="G836" s="78">
        <v>1321.873947</v>
      </c>
      <c r="H836" s="78">
        <v>22.98</v>
      </c>
      <c r="I836" s="77" t="s">
        <v>4800</v>
      </c>
      <c r="L836" s="3">
        <f>VLOOKUP(C836,Securities!A:D,4,FALSE)</f>
        <v>1</v>
      </c>
      <c r="M836" s="3" t="str">
        <f>VLOOKUP(C836,Securities!A:B,2,FALSE)</f>
        <v>GDX US Equity</v>
      </c>
      <c r="O836" s="3">
        <f t="shared" si="13"/>
        <v>2170</v>
      </c>
    </row>
    <row r="837" spans="1:15" x14ac:dyDescent="0.25">
      <c r="A837" s="79">
        <v>43053</v>
      </c>
      <c r="B837" s="80" t="s">
        <v>5309</v>
      </c>
      <c r="C837" s="80" t="s">
        <v>4811</v>
      </c>
      <c r="D837" s="80" t="s">
        <v>4659</v>
      </c>
      <c r="E837" s="81">
        <v>19250</v>
      </c>
      <c r="F837" s="80" t="s">
        <v>4799</v>
      </c>
      <c r="G837" s="81">
        <v>119.307678</v>
      </c>
      <c r="H837" s="81">
        <v>2.0052449999999999</v>
      </c>
      <c r="I837" s="80" t="s">
        <v>4800</v>
      </c>
      <c r="L837" s="3">
        <f>VLOOKUP(C837,Securities!A:D,4,FALSE)</f>
        <v>1</v>
      </c>
      <c r="M837" s="3" t="str">
        <f>VLOOKUP(C837,Securities!A:B,2,FALSE)</f>
        <v>HGM LN Equity</v>
      </c>
      <c r="O837" s="3">
        <f t="shared" si="13"/>
        <v>19250</v>
      </c>
    </row>
    <row r="838" spans="1:15" x14ac:dyDescent="0.25">
      <c r="A838" s="76">
        <v>43053</v>
      </c>
      <c r="B838" s="77" t="s">
        <v>5309</v>
      </c>
      <c r="C838" s="77" t="s">
        <v>5147</v>
      </c>
      <c r="D838" s="77" t="s">
        <v>5148</v>
      </c>
      <c r="E838" s="78">
        <v>935</v>
      </c>
      <c r="F838" s="77" t="s">
        <v>4825</v>
      </c>
      <c r="G838" s="78">
        <v>3060.2129679999998</v>
      </c>
      <c r="H838" s="78">
        <v>53.2</v>
      </c>
      <c r="I838" s="77" t="s">
        <v>4800</v>
      </c>
      <c r="L838" s="3">
        <f>VLOOKUP(C838,Securities!A:D,4,FALSE)</f>
        <v>1</v>
      </c>
      <c r="M838" s="3" t="str">
        <f>VLOOKUP(C838,Securities!A:B,2,FALSE)</f>
        <v>LKOD LI Equity</v>
      </c>
      <c r="O838" s="3">
        <f t="shared" ref="O838:O901" si="14">SUMIFS(E:E,C:C,C838,B:B,B838)</f>
        <v>935</v>
      </c>
    </row>
    <row r="839" spans="1:15" x14ac:dyDescent="0.25">
      <c r="A839" s="79">
        <v>43053</v>
      </c>
      <c r="B839" s="80" t="s">
        <v>5309</v>
      </c>
      <c r="C839" s="80" t="s">
        <v>4815</v>
      </c>
      <c r="D839" s="80" t="s">
        <v>4676</v>
      </c>
      <c r="E839" s="81">
        <v>650</v>
      </c>
      <c r="F839" s="80" t="s">
        <v>4799</v>
      </c>
      <c r="G839" s="81">
        <v>2734.183638</v>
      </c>
      <c r="H839" s="81">
        <v>45.623106999999997</v>
      </c>
      <c r="I839" s="80" t="s">
        <v>4800</v>
      </c>
      <c r="L839" s="3">
        <f>VLOOKUP(C839,Securities!A:D,4,FALSE)</f>
        <v>1</v>
      </c>
      <c r="M839" s="3" t="str">
        <f>VLOOKUP(C839,Securities!A:B,2,FALSE)</f>
        <v>LXFT US Equity</v>
      </c>
      <c r="O839" s="3">
        <f t="shared" si="14"/>
        <v>650</v>
      </c>
    </row>
    <row r="840" spans="1:15" x14ac:dyDescent="0.25">
      <c r="A840" s="76">
        <v>43053</v>
      </c>
      <c r="B840" s="77" t="s">
        <v>5309</v>
      </c>
      <c r="C840" s="77" t="s">
        <v>4848</v>
      </c>
      <c r="D840" s="77" t="s">
        <v>511</v>
      </c>
      <c r="E840" s="78">
        <v>5390</v>
      </c>
      <c r="F840" s="77" t="s">
        <v>4810</v>
      </c>
      <c r="G840" s="78">
        <v>611.61616800000002</v>
      </c>
      <c r="H840" s="78">
        <v>10.205543</v>
      </c>
      <c r="I840" s="77" t="s">
        <v>4800</v>
      </c>
      <c r="L840" s="3">
        <f>VLOOKUP(C840,Securities!A:D,4,FALSE)</f>
        <v>1</v>
      </c>
      <c r="M840" s="3" t="str">
        <f>VLOOKUP(C840,Securities!A:B,2,FALSE)</f>
        <v>NVTK RX Equity</v>
      </c>
      <c r="O840" s="3">
        <f t="shared" si="14"/>
        <v>5390</v>
      </c>
    </row>
    <row r="841" spans="1:15" x14ac:dyDescent="0.25">
      <c r="A841" s="79">
        <v>43053</v>
      </c>
      <c r="B841" s="80" t="s">
        <v>5309</v>
      </c>
      <c r="C841" s="80" t="s">
        <v>4821</v>
      </c>
      <c r="D841" s="80" t="s">
        <v>42</v>
      </c>
      <c r="E841" s="81">
        <v>3430</v>
      </c>
      <c r="F841" s="80" t="s">
        <v>4799</v>
      </c>
      <c r="G841" s="81">
        <v>667.03140199999996</v>
      </c>
      <c r="H841" s="81">
        <v>11.211026</v>
      </c>
      <c r="I841" s="80" t="s">
        <v>4800</v>
      </c>
      <c r="L841" s="3">
        <f>VLOOKUP(C841,Securities!A:D,4,FALSE)</f>
        <v>1</v>
      </c>
      <c r="M841" s="3" t="str">
        <f>VLOOKUP(C841,Securities!A:B,2,FALSE)</f>
        <v>POLY LN Equity</v>
      </c>
      <c r="O841" s="3">
        <f t="shared" si="14"/>
        <v>3430</v>
      </c>
    </row>
    <row r="842" spans="1:15" x14ac:dyDescent="0.25">
      <c r="A842" s="76">
        <v>43053</v>
      </c>
      <c r="B842" s="77" t="s">
        <v>5309</v>
      </c>
      <c r="C842" s="77" t="s">
        <v>4967</v>
      </c>
      <c r="D842" s="77" t="s">
        <v>4968</v>
      </c>
      <c r="E842" s="78">
        <v>200000</v>
      </c>
      <c r="F842" s="77" t="s">
        <v>4806</v>
      </c>
      <c r="G842" s="78">
        <v>113</v>
      </c>
      <c r="H842" s="78">
        <v>113</v>
      </c>
      <c r="I842" s="77" t="s">
        <v>4800</v>
      </c>
      <c r="L842" s="3">
        <f>VLOOKUP(C842,Securities!A:D,4,FALSE)</f>
        <v>5</v>
      </c>
      <c r="M842" s="3" t="str">
        <f>VLOOKUP(C842,Securities!A:B,2,FALSE)</f>
        <v>XS0979891925 Corp</v>
      </c>
      <c r="O842" s="3">
        <f t="shared" si="14"/>
        <v>200000</v>
      </c>
    </row>
    <row r="843" spans="1:15" x14ac:dyDescent="0.25">
      <c r="A843" s="79">
        <v>43053</v>
      </c>
      <c r="B843" s="80" t="s">
        <v>5309</v>
      </c>
      <c r="C843" s="80" t="s">
        <v>5055</v>
      </c>
      <c r="D843" s="80" t="s">
        <v>5056</v>
      </c>
      <c r="E843" s="81">
        <v>200000</v>
      </c>
      <c r="F843" s="80" t="s">
        <v>4806</v>
      </c>
      <c r="G843" s="81">
        <v>100.25</v>
      </c>
      <c r="H843" s="81">
        <v>100.25</v>
      </c>
      <c r="I843" s="80" t="s">
        <v>4800</v>
      </c>
      <c r="L843" s="3">
        <f>VLOOKUP(C843,Securities!A:D,4,FALSE)</f>
        <v>5</v>
      </c>
      <c r="M843" s="3" t="str">
        <f>VLOOKUP(C843,Securities!A:B,2,FALSE)</f>
        <v>XS1693971043 Corp</v>
      </c>
      <c r="O843" s="3">
        <f t="shared" si="14"/>
        <v>200000</v>
      </c>
    </row>
    <row r="844" spans="1:15" x14ac:dyDescent="0.25">
      <c r="A844" s="76">
        <v>43053</v>
      </c>
      <c r="B844" s="77" t="s">
        <v>5309</v>
      </c>
      <c r="C844" s="77" t="s">
        <v>4824</v>
      </c>
      <c r="D844" s="77" t="s">
        <v>4674</v>
      </c>
      <c r="E844" s="78">
        <v>9543</v>
      </c>
      <c r="F844" s="77" t="s">
        <v>4825</v>
      </c>
      <c r="G844" s="78">
        <v>0</v>
      </c>
      <c r="H844" s="78">
        <v>0</v>
      </c>
      <c r="I844" s="77" t="s">
        <v>4800</v>
      </c>
      <c r="L844" s="3">
        <f>VLOOKUP(C844,Securities!A:D,4,FALSE)</f>
        <v>1</v>
      </c>
      <c r="M844" s="3" t="str">
        <f>VLOOKUP(C844,Securities!A:B,2,FALSE)</f>
        <v>VEON US Equity</v>
      </c>
      <c r="O844" s="3">
        <f t="shared" si="14"/>
        <v>9543</v>
      </c>
    </row>
    <row r="845" spans="1:15" x14ac:dyDescent="0.25">
      <c r="A845" s="79">
        <v>43053</v>
      </c>
      <c r="B845" s="80" t="s">
        <v>5309</v>
      </c>
      <c r="C845" s="80" t="s">
        <v>5028</v>
      </c>
      <c r="D845" s="80" t="s">
        <v>5029</v>
      </c>
      <c r="E845" s="81">
        <v>225000</v>
      </c>
      <c r="F845" s="80" t="s">
        <v>4806</v>
      </c>
      <c r="G845" s="81">
        <v>108.43</v>
      </c>
      <c r="H845" s="81">
        <v>108.43</v>
      </c>
      <c r="I845" s="80" t="s">
        <v>4800</v>
      </c>
      <c r="L845" s="3">
        <f>VLOOKUP(C845,Securities!A:D,4,FALSE)</f>
        <v>5</v>
      </c>
      <c r="M845" s="3" t="str">
        <f>VLOOKUP(C845,Securities!A:B,2,FALSE)</f>
        <v>EJ394063 Corp</v>
      </c>
      <c r="O845" s="3">
        <f t="shared" si="14"/>
        <v>225000</v>
      </c>
    </row>
    <row r="846" spans="1:15" x14ac:dyDescent="0.25">
      <c r="A846" s="76">
        <v>43053</v>
      </c>
      <c r="B846" s="77" t="s">
        <v>5312</v>
      </c>
      <c r="C846" s="77" t="s">
        <v>4973</v>
      </c>
      <c r="D846" s="77" t="s">
        <v>23</v>
      </c>
      <c r="E846" s="78">
        <v>12065</v>
      </c>
      <c r="F846" s="77" t="s">
        <v>4974</v>
      </c>
      <c r="G846" s="78">
        <v>101.12</v>
      </c>
      <c r="H846" s="78">
        <v>101.12</v>
      </c>
      <c r="I846" s="77" t="s">
        <v>4800</v>
      </c>
      <c r="L846" s="3">
        <f>VLOOKUP(C846,Securities!A:D,4,FALSE)</f>
        <v>5</v>
      </c>
      <c r="M846" s="3" t="str">
        <f>VLOOKUP(C846,Securities!A:B,2,FALSE)</f>
        <v>RU000A0JV7K7 Corp</v>
      </c>
      <c r="O846" s="3">
        <f t="shared" si="14"/>
        <v>12065</v>
      </c>
    </row>
    <row r="847" spans="1:15" x14ac:dyDescent="0.25">
      <c r="A847" s="79">
        <v>43053</v>
      </c>
      <c r="B847" s="80" t="s">
        <v>5312</v>
      </c>
      <c r="C847" s="80" t="s">
        <v>5192</v>
      </c>
      <c r="D847" s="80" t="s">
        <v>25</v>
      </c>
      <c r="E847" s="81">
        <v>12600</v>
      </c>
      <c r="F847" s="80" t="s">
        <v>4974</v>
      </c>
      <c r="G847" s="81">
        <v>97.81</v>
      </c>
      <c r="H847" s="81">
        <v>97.81</v>
      </c>
      <c r="I847" s="80" t="s">
        <v>4800</v>
      </c>
      <c r="L847" s="3">
        <f>VLOOKUP(C847,Securities!A:D,4,FALSE)</f>
        <v>5</v>
      </c>
      <c r="M847" s="3" t="str">
        <f>VLOOKUP(C847,Securities!A:B,2,FALSE)</f>
        <v>EJ545131 Corp</v>
      </c>
      <c r="O847" s="3">
        <f t="shared" si="14"/>
        <v>12600</v>
      </c>
    </row>
    <row r="848" spans="1:15" x14ac:dyDescent="0.25">
      <c r="A848" s="76">
        <v>43053</v>
      </c>
      <c r="B848" s="77" t="s">
        <v>5312</v>
      </c>
      <c r="C848" s="77" t="s">
        <v>5313</v>
      </c>
      <c r="D848" s="77" t="s">
        <v>5314</v>
      </c>
      <c r="E848" s="78">
        <v>10800</v>
      </c>
      <c r="F848" s="77" t="s">
        <v>4799</v>
      </c>
      <c r="G848" s="78">
        <v>348.26299999999998</v>
      </c>
      <c r="H848" s="78">
        <v>6.0088330000000001</v>
      </c>
      <c r="I848" s="77" t="s">
        <v>4800</v>
      </c>
      <c r="L848" s="3">
        <f>VLOOKUP(C848,Securities!A:D,4,FALSE)</f>
        <v>1</v>
      </c>
      <c r="M848" s="3" t="str">
        <f>VLOOKUP(C848,Securities!A:B,2,FALSE)</f>
        <v>BP/ LN Equity</v>
      </c>
      <c r="O848" s="3">
        <f t="shared" si="14"/>
        <v>10800</v>
      </c>
    </row>
    <row r="849" spans="1:15" x14ac:dyDescent="0.25">
      <c r="A849" s="79">
        <v>43053</v>
      </c>
      <c r="B849" s="80" t="s">
        <v>5312</v>
      </c>
      <c r="C849" s="80" t="s">
        <v>5186</v>
      </c>
      <c r="D849" s="80" t="s">
        <v>5187</v>
      </c>
      <c r="E849" s="81">
        <v>2323</v>
      </c>
      <c r="F849" s="80" t="s">
        <v>4799</v>
      </c>
      <c r="G849" s="81">
        <v>1570.986999</v>
      </c>
      <c r="H849" s="81">
        <v>27.105377000000001</v>
      </c>
      <c r="I849" s="80" t="s">
        <v>4800</v>
      </c>
      <c r="L849" s="3">
        <f>VLOOKUP(C849,Securities!A:D,4,FALSE)</f>
        <v>1</v>
      </c>
      <c r="M849" s="3" t="str">
        <f>VLOOKUP(C849,Securities!A:B,2,FALSE)</f>
        <v>RDSA NA Equity</v>
      </c>
      <c r="O849" s="3">
        <f t="shared" si="14"/>
        <v>2323</v>
      </c>
    </row>
    <row r="850" spans="1:15" x14ac:dyDescent="0.25">
      <c r="A850" s="76">
        <v>43053</v>
      </c>
      <c r="B850" s="77" t="s">
        <v>5312</v>
      </c>
      <c r="C850" s="77" t="s">
        <v>5315</v>
      </c>
      <c r="D850" s="77" t="s">
        <v>3491</v>
      </c>
      <c r="E850" s="78">
        <v>8261</v>
      </c>
      <c r="F850" s="77" t="s">
        <v>4814</v>
      </c>
      <c r="G850" s="78">
        <v>120.485304</v>
      </c>
      <c r="H850" s="78">
        <v>120.485304</v>
      </c>
      <c r="I850" s="77" t="s">
        <v>4800</v>
      </c>
      <c r="L850" s="3">
        <f>VLOOKUP(C850,Securities!A:D,4,FALSE)</f>
        <v>5</v>
      </c>
      <c r="M850" s="3" t="str">
        <f>VLOOKUP(C850,Securities!A:B,2,FALSE)</f>
        <v>RU000A0JWV63 Corp</v>
      </c>
      <c r="O850" s="3">
        <f t="shared" si="14"/>
        <v>8261</v>
      </c>
    </row>
    <row r="851" spans="1:15" x14ac:dyDescent="0.25">
      <c r="A851" s="79">
        <v>43053</v>
      </c>
      <c r="B851" s="80" t="s">
        <v>5312</v>
      </c>
      <c r="C851" s="80" t="s">
        <v>5159</v>
      </c>
      <c r="D851" s="80" t="s">
        <v>673</v>
      </c>
      <c r="E851" s="81">
        <v>17850</v>
      </c>
      <c r="F851" s="80" t="s">
        <v>4810</v>
      </c>
      <c r="G851" s="81">
        <v>140</v>
      </c>
      <c r="H851" s="81">
        <v>2.4371679999999998</v>
      </c>
      <c r="I851" s="80" t="s">
        <v>4800</v>
      </c>
      <c r="L851" s="3">
        <f>VLOOKUP(C851,Securities!A:D,4,FALSE)</f>
        <v>1</v>
      </c>
      <c r="M851" s="3" t="str">
        <f>VLOOKUP(C851,Securities!A:B,2,FALSE)</f>
        <v>SBER RX Equity</v>
      </c>
      <c r="O851" s="3">
        <f t="shared" si="14"/>
        <v>17850</v>
      </c>
    </row>
    <row r="852" spans="1:15" x14ac:dyDescent="0.25">
      <c r="A852" s="76">
        <v>43053</v>
      </c>
      <c r="B852" s="77" t="s">
        <v>5312</v>
      </c>
      <c r="C852" s="77" t="s">
        <v>5316</v>
      </c>
      <c r="D852" s="77" t="s">
        <v>4109</v>
      </c>
      <c r="E852" s="78">
        <v>9700</v>
      </c>
      <c r="F852" s="77" t="s">
        <v>4814</v>
      </c>
      <c r="G852" s="78">
        <v>102.33</v>
      </c>
      <c r="H852" s="78">
        <v>102.33</v>
      </c>
      <c r="I852" s="77" t="s">
        <v>4800</v>
      </c>
      <c r="L852" s="3">
        <f>VLOOKUP(C852,Securities!A:D,4,FALSE)</f>
        <v>5</v>
      </c>
      <c r="M852" s="3" t="str">
        <f>VLOOKUP(C852,Securities!A:B,2,FALSE)</f>
        <v>RU000A0JXFC2 Corp</v>
      </c>
      <c r="O852" s="3">
        <f t="shared" si="14"/>
        <v>9700</v>
      </c>
    </row>
    <row r="853" spans="1:15" x14ac:dyDescent="0.25">
      <c r="A853" s="79">
        <v>43053</v>
      </c>
      <c r="B853" s="80" t="s">
        <v>5312</v>
      </c>
      <c r="C853" s="80" t="s">
        <v>4852</v>
      </c>
      <c r="D853" s="80" t="s">
        <v>4853</v>
      </c>
      <c r="E853" s="81">
        <v>200000</v>
      </c>
      <c r="F853" s="80" t="s">
        <v>4806</v>
      </c>
      <c r="G853" s="81">
        <v>101</v>
      </c>
      <c r="H853" s="81">
        <v>101</v>
      </c>
      <c r="I853" s="80" t="s">
        <v>4800</v>
      </c>
      <c r="L853" s="3">
        <f>VLOOKUP(C853,Securities!A:D,4,FALSE)</f>
        <v>5</v>
      </c>
      <c r="M853" s="3" t="str">
        <f>VLOOKUP(C853,Securities!A:B,2,FALSE)</f>
        <v>XS1631338495 Corp</v>
      </c>
      <c r="O853" s="3">
        <f t="shared" si="14"/>
        <v>200000</v>
      </c>
    </row>
    <row r="854" spans="1:15" x14ac:dyDescent="0.25">
      <c r="A854" s="76">
        <v>43053</v>
      </c>
      <c r="B854" s="77" t="s">
        <v>5312</v>
      </c>
      <c r="C854" s="77" t="s">
        <v>5317</v>
      </c>
      <c r="D854" s="77" t="s">
        <v>5318</v>
      </c>
      <c r="E854" s="78">
        <v>447000</v>
      </c>
      <c r="F854" s="77" t="s">
        <v>4806</v>
      </c>
      <c r="G854" s="78">
        <v>110.184563</v>
      </c>
      <c r="H854" s="78">
        <v>110.184563</v>
      </c>
      <c r="I854" s="77" t="s">
        <v>4800</v>
      </c>
      <c r="L854" s="3">
        <f>VLOOKUP(C854,Securities!A:D,4,FALSE)</f>
        <v>5</v>
      </c>
      <c r="M854" s="3" t="str">
        <f>VLOOKUP(C854,Securities!A:B,2,FALSE)</f>
        <v>XS0810596832 Corp</v>
      </c>
      <c r="O854" s="3">
        <f t="shared" si="14"/>
        <v>447000</v>
      </c>
    </row>
    <row r="855" spans="1:15" x14ac:dyDescent="0.25">
      <c r="A855" s="79">
        <v>43053</v>
      </c>
      <c r="B855" s="80" t="s">
        <v>5319</v>
      </c>
      <c r="C855" s="80" t="s">
        <v>4805</v>
      </c>
      <c r="D855" s="80" t="s">
        <v>31</v>
      </c>
      <c r="E855" s="81">
        <v>43000</v>
      </c>
      <c r="F855" s="80" t="s">
        <v>4806</v>
      </c>
      <c r="G855" s="81">
        <v>176.375</v>
      </c>
      <c r="H855" s="81">
        <v>176.375</v>
      </c>
      <c r="I855" s="80" t="s">
        <v>4800</v>
      </c>
      <c r="L855" s="3">
        <f>VLOOKUP(C855,Securities!A:D,4,FALSE)</f>
        <v>5</v>
      </c>
      <c r="M855" s="3" t="str">
        <f>VLOOKUP(C855,Securities!A:B,2,FALSE)</f>
        <v>TT343269 Corp</v>
      </c>
      <c r="O855" s="3">
        <f t="shared" si="14"/>
        <v>43000</v>
      </c>
    </row>
    <row r="856" spans="1:15" x14ac:dyDescent="0.25">
      <c r="A856" s="76">
        <v>43053</v>
      </c>
      <c r="B856" s="77" t="s">
        <v>5319</v>
      </c>
      <c r="C856" s="77" t="s">
        <v>4839</v>
      </c>
      <c r="D856" s="77" t="s">
        <v>4840</v>
      </c>
      <c r="E856" s="78">
        <v>100000</v>
      </c>
      <c r="F856" s="77" t="s">
        <v>4838</v>
      </c>
      <c r="G856" s="78">
        <v>100</v>
      </c>
      <c r="H856" s="78">
        <v>100</v>
      </c>
      <c r="I856" s="77" t="s">
        <v>4800</v>
      </c>
      <c r="L856" s="3">
        <f>VLOOKUP(C856,Securities!A:D,4,FALSE)</f>
        <v>5</v>
      </c>
      <c r="M856" s="3" t="str">
        <f>VLOOKUP(C856,Securities!A:B,2,FALSE)</f>
        <v>XS1513271418 Corp</v>
      </c>
      <c r="O856" s="3">
        <f t="shared" si="14"/>
        <v>100000</v>
      </c>
    </row>
    <row r="857" spans="1:15" x14ac:dyDescent="0.25">
      <c r="A857" s="79">
        <v>43053</v>
      </c>
      <c r="B857" s="80" t="s">
        <v>5319</v>
      </c>
      <c r="C857" s="80" t="s">
        <v>4811</v>
      </c>
      <c r="D857" s="80" t="s">
        <v>4659</v>
      </c>
      <c r="E857" s="81">
        <v>12910</v>
      </c>
      <c r="F857" s="80" t="s">
        <v>4799</v>
      </c>
      <c r="G857" s="81">
        <v>133.617276</v>
      </c>
      <c r="H857" s="81">
        <v>2.2999109999999998</v>
      </c>
      <c r="I857" s="80" t="s">
        <v>4800</v>
      </c>
      <c r="L857" s="3">
        <f>VLOOKUP(C857,Securities!A:D,4,FALSE)</f>
        <v>1</v>
      </c>
      <c r="M857" s="3" t="str">
        <f>VLOOKUP(C857,Securities!A:B,2,FALSE)</f>
        <v>HGM LN Equity</v>
      </c>
      <c r="O857" s="3">
        <f t="shared" si="14"/>
        <v>12910</v>
      </c>
    </row>
    <row r="858" spans="1:15" x14ac:dyDescent="0.25">
      <c r="A858" s="76">
        <v>43053</v>
      </c>
      <c r="B858" s="77" t="s">
        <v>5319</v>
      </c>
      <c r="C858" s="77" t="s">
        <v>4815</v>
      </c>
      <c r="D858" s="77" t="s">
        <v>4676</v>
      </c>
      <c r="E858" s="78">
        <v>583</v>
      </c>
      <c r="F858" s="77" t="s">
        <v>4799</v>
      </c>
      <c r="G858" s="78">
        <v>2568.7556249999998</v>
      </c>
      <c r="H858" s="78">
        <v>42.862743999999999</v>
      </c>
      <c r="I858" s="77" t="s">
        <v>4800</v>
      </c>
      <c r="L858" s="3">
        <f>VLOOKUP(C858,Securities!A:D,4,FALSE)</f>
        <v>1</v>
      </c>
      <c r="M858" s="3" t="str">
        <f>VLOOKUP(C858,Securities!A:B,2,FALSE)</f>
        <v>LXFT US Equity</v>
      </c>
      <c r="O858" s="3">
        <f t="shared" si="14"/>
        <v>583</v>
      </c>
    </row>
    <row r="859" spans="1:15" x14ac:dyDescent="0.25">
      <c r="A859" s="79">
        <v>43053</v>
      </c>
      <c r="B859" s="80" t="s">
        <v>5320</v>
      </c>
      <c r="C859" s="80" t="s">
        <v>4939</v>
      </c>
      <c r="D859" s="80" t="s">
        <v>4940</v>
      </c>
      <c r="E859" s="81">
        <v>100000</v>
      </c>
      <c r="F859" s="80" t="s">
        <v>4838</v>
      </c>
      <c r="G859" s="81">
        <v>100</v>
      </c>
      <c r="H859" s="81">
        <v>100</v>
      </c>
      <c r="I859" s="80" t="s">
        <v>4800</v>
      </c>
      <c r="L859" s="3">
        <f>VLOOKUP(C859,Securities!A:D,4,FALSE)</f>
        <v>5</v>
      </c>
      <c r="M859" s="3" t="str">
        <f>VLOOKUP(C859,Securities!A:B,2,FALSE)</f>
        <v>CH0384861404 Corp</v>
      </c>
      <c r="O859" s="3">
        <f t="shared" si="14"/>
        <v>100000</v>
      </c>
    </row>
    <row r="860" spans="1:15" x14ac:dyDescent="0.25">
      <c r="A860" s="76">
        <v>43053</v>
      </c>
      <c r="B860" s="77" t="s">
        <v>5320</v>
      </c>
      <c r="C860" s="77" t="s">
        <v>4857</v>
      </c>
      <c r="D860" s="77" t="s">
        <v>4858</v>
      </c>
      <c r="E860" s="78">
        <v>340000</v>
      </c>
      <c r="F860" s="77" t="s">
        <v>4806</v>
      </c>
      <c r="G860" s="78">
        <v>88</v>
      </c>
      <c r="H860" s="78">
        <v>88</v>
      </c>
      <c r="I860" s="77" t="s">
        <v>4800</v>
      </c>
      <c r="L860" s="3">
        <f>VLOOKUP(C860,Securities!A:D,4,FALSE)</f>
        <v>5</v>
      </c>
      <c r="M860" s="3" t="str">
        <f>VLOOKUP(C860,Securities!A:B,2,FALSE)</f>
        <v>US29358QAC33 Corp</v>
      </c>
      <c r="O860" s="3">
        <f t="shared" si="14"/>
        <v>340000</v>
      </c>
    </row>
    <row r="861" spans="1:15" x14ac:dyDescent="0.25">
      <c r="A861" s="79">
        <v>43053</v>
      </c>
      <c r="B861" s="80" t="s">
        <v>5320</v>
      </c>
      <c r="C861" s="80" t="s">
        <v>5173</v>
      </c>
      <c r="D861" s="80" t="s">
        <v>5174</v>
      </c>
      <c r="E861" s="81">
        <v>150000</v>
      </c>
      <c r="F861" s="80" t="s">
        <v>4838</v>
      </c>
      <c r="G861" s="81">
        <v>100</v>
      </c>
      <c r="H861" s="81">
        <v>100</v>
      </c>
      <c r="I861" s="80" t="s">
        <v>4800</v>
      </c>
      <c r="L861" s="3">
        <f>VLOOKUP(C861,Securities!A:D,4,FALSE)</f>
        <v>5</v>
      </c>
      <c r="M861" s="3" t="str">
        <f>VLOOKUP(C861,Securities!A:B,2,FALSE)</f>
        <v>XS1581926083 Corp</v>
      </c>
      <c r="O861" s="3">
        <f t="shared" si="14"/>
        <v>150000</v>
      </c>
    </row>
    <row r="862" spans="1:15" x14ac:dyDescent="0.25">
      <c r="A862" s="76">
        <v>43053</v>
      </c>
      <c r="B862" s="77" t="s">
        <v>5320</v>
      </c>
      <c r="C862" s="77" t="s">
        <v>5321</v>
      </c>
      <c r="D862" s="77" t="s">
        <v>5322</v>
      </c>
      <c r="E862" s="78">
        <v>178000</v>
      </c>
      <c r="F862" s="77" t="s">
        <v>4806</v>
      </c>
      <c r="G862" s="78">
        <v>108</v>
      </c>
      <c r="H862" s="78">
        <v>108</v>
      </c>
      <c r="I862" s="77" t="s">
        <v>4800</v>
      </c>
      <c r="L862" s="3">
        <f>VLOOKUP(C862,Securities!A:D,4,FALSE)</f>
        <v>5</v>
      </c>
      <c r="M862" s="3" t="str">
        <f>VLOOKUP(C862,Securities!A:B,2,FALSE)</f>
        <v>US35906AAH14 Corp</v>
      </c>
      <c r="O862" s="3">
        <f t="shared" si="14"/>
        <v>178000</v>
      </c>
    </row>
    <row r="863" spans="1:15" x14ac:dyDescent="0.25">
      <c r="A863" s="79">
        <v>43053</v>
      </c>
      <c r="B863" s="80" t="s">
        <v>5320</v>
      </c>
      <c r="C863" s="80" t="s">
        <v>5323</v>
      </c>
      <c r="D863" s="80" t="s">
        <v>5324</v>
      </c>
      <c r="E863" s="81">
        <v>315000</v>
      </c>
      <c r="F863" s="80" t="s">
        <v>4806</v>
      </c>
      <c r="G863" s="81">
        <v>95.5</v>
      </c>
      <c r="H863" s="81">
        <v>95.5</v>
      </c>
      <c r="I863" s="80" t="s">
        <v>4800</v>
      </c>
      <c r="L863" s="3">
        <f>VLOOKUP(C863,Securities!A:D,4,FALSE)</f>
        <v>5</v>
      </c>
      <c r="M863" s="3" t="str">
        <f>VLOOKUP(C863,Securities!A:B,2,FALSE)</f>
        <v>US35906AAP30 Corp</v>
      </c>
      <c r="O863" s="3">
        <f t="shared" si="14"/>
        <v>315000</v>
      </c>
    </row>
    <row r="864" spans="1:15" x14ac:dyDescent="0.25">
      <c r="A864" s="76">
        <v>43053</v>
      </c>
      <c r="B864" s="77" t="s">
        <v>5320</v>
      </c>
      <c r="C864" s="77" t="s">
        <v>4963</v>
      </c>
      <c r="D864" s="77" t="s">
        <v>4964</v>
      </c>
      <c r="E864" s="78">
        <v>300000</v>
      </c>
      <c r="F864" s="77" t="s">
        <v>4806</v>
      </c>
      <c r="G864" s="78">
        <v>96.8</v>
      </c>
      <c r="H864" s="78">
        <v>96.8</v>
      </c>
      <c r="I864" s="77" t="s">
        <v>4800</v>
      </c>
      <c r="L864" s="3">
        <f>VLOOKUP(C864,Securities!A:D,4,FALSE)</f>
        <v>5</v>
      </c>
      <c r="M864" s="3" t="str">
        <f>VLOOKUP(C864,Securities!A:B,2,FALSE)</f>
        <v>XS1439838548 Corp</v>
      </c>
      <c r="O864" s="3">
        <f t="shared" si="14"/>
        <v>300000</v>
      </c>
    </row>
    <row r="865" spans="1:15" x14ac:dyDescent="0.25">
      <c r="A865" s="79">
        <v>43053</v>
      </c>
      <c r="B865" s="80" t="s">
        <v>5320</v>
      </c>
      <c r="C865" s="80" t="s">
        <v>4943</v>
      </c>
      <c r="D865" s="80" t="s">
        <v>4944</v>
      </c>
      <c r="E865" s="81">
        <v>1866</v>
      </c>
      <c r="F865" s="80" t="s">
        <v>4898</v>
      </c>
      <c r="G865" s="81">
        <v>7284.2503790000001</v>
      </c>
      <c r="H865" s="81">
        <v>126.061734</v>
      </c>
      <c r="I865" s="80" t="s">
        <v>4800</v>
      </c>
      <c r="L865" s="3">
        <f>VLOOKUP(C865,Securities!A:D,4,FALSE)</f>
        <v>1</v>
      </c>
      <c r="M865" s="3" t="str">
        <f>VLOOKUP(C865,Securities!A:B,2,FALSE)</f>
        <v>IHYG LN Equity</v>
      </c>
      <c r="O865" s="3">
        <f t="shared" si="14"/>
        <v>1866</v>
      </c>
    </row>
    <row r="866" spans="1:15" x14ac:dyDescent="0.25">
      <c r="A866" s="76">
        <v>43053</v>
      </c>
      <c r="B866" s="77" t="s">
        <v>5320</v>
      </c>
      <c r="C866" s="77" t="s">
        <v>4863</v>
      </c>
      <c r="D866" s="77" t="s">
        <v>4864</v>
      </c>
      <c r="E866" s="78">
        <v>200000</v>
      </c>
      <c r="F866" s="77" t="s">
        <v>4806</v>
      </c>
      <c r="G866" s="78">
        <v>104.5</v>
      </c>
      <c r="H866" s="78">
        <v>104.5</v>
      </c>
      <c r="I866" s="77" t="s">
        <v>4800</v>
      </c>
      <c r="L866" s="3">
        <f>VLOOKUP(C866,Securities!A:D,4,FALSE)</f>
        <v>5</v>
      </c>
      <c r="M866" s="3" t="str">
        <f>VLOOKUP(C866,Securities!A:B,2,FALSE)</f>
        <v>USN54468AF52 Corp</v>
      </c>
      <c r="O866" s="3">
        <f t="shared" si="14"/>
        <v>200000</v>
      </c>
    </row>
    <row r="867" spans="1:15" x14ac:dyDescent="0.25">
      <c r="A867" s="79">
        <v>43053</v>
      </c>
      <c r="B867" s="80" t="s">
        <v>5320</v>
      </c>
      <c r="C867" s="80" t="s">
        <v>4998</v>
      </c>
      <c r="D867" s="80" t="s">
        <v>4999</v>
      </c>
      <c r="E867" s="81">
        <v>200000</v>
      </c>
      <c r="F867" s="80" t="s">
        <v>4806</v>
      </c>
      <c r="G867" s="81">
        <v>103.8</v>
      </c>
      <c r="H867" s="81">
        <v>103.8</v>
      </c>
      <c r="I867" s="80" t="s">
        <v>4800</v>
      </c>
      <c r="L867" s="3">
        <f>VLOOKUP(C867,Securities!A:D,4,FALSE)</f>
        <v>5</v>
      </c>
      <c r="M867" s="3" t="str">
        <f>VLOOKUP(C867,Securities!A:B,2,FALSE)</f>
        <v>XS1503116912 Corp</v>
      </c>
      <c r="O867" s="3">
        <f t="shared" si="14"/>
        <v>200000</v>
      </c>
    </row>
    <row r="868" spans="1:15" x14ac:dyDescent="0.25">
      <c r="A868" s="76">
        <v>43053</v>
      </c>
      <c r="B868" s="77" t="s">
        <v>5320</v>
      </c>
      <c r="C868" s="77" t="s">
        <v>4947</v>
      </c>
      <c r="D868" s="77" t="s">
        <v>4948</v>
      </c>
      <c r="E868" s="78">
        <v>177494</v>
      </c>
      <c r="F868" s="77" t="s">
        <v>4949</v>
      </c>
      <c r="G868" s="78">
        <v>96.81223</v>
      </c>
      <c r="H868" s="78">
        <v>1.667127</v>
      </c>
      <c r="I868" s="77" t="s">
        <v>4800</v>
      </c>
      <c r="L868" s="3">
        <f>VLOOKUP(C868,Securities!A:D,4,FALSE)</f>
        <v>1</v>
      </c>
      <c r="M868" s="3" t="str">
        <f>VLOOKUP(C868,Securities!A:B,2,FALSE)</f>
        <v>OMEAEHA ID Equity</v>
      </c>
      <c r="O868" s="3">
        <f t="shared" si="14"/>
        <v>177494</v>
      </c>
    </row>
    <row r="869" spans="1:15" x14ac:dyDescent="0.25">
      <c r="A869" s="79">
        <v>43053</v>
      </c>
      <c r="B869" s="80" t="s">
        <v>5320</v>
      </c>
      <c r="C869" s="80" t="s">
        <v>5258</v>
      </c>
      <c r="D869" s="80" t="s">
        <v>5259</v>
      </c>
      <c r="E869" s="81">
        <v>420000</v>
      </c>
      <c r="F869" s="80" t="s">
        <v>4806</v>
      </c>
      <c r="G869" s="81">
        <v>94.5</v>
      </c>
      <c r="H869" s="81">
        <v>94.5</v>
      </c>
      <c r="I869" s="80" t="s">
        <v>4800</v>
      </c>
      <c r="L869" s="3">
        <f>VLOOKUP(C869,Securities!A:D,4,FALSE)</f>
        <v>5</v>
      </c>
      <c r="M869" s="3" t="str">
        <f>VLOOKUP(C869,Securities!A:B,2,FALSE)</f>
        <v>US71647NAF69 Corp</v>
      </c>
      <c r="O869" s="3">
        <f t="shared" si="14"/>
        <v>420000</v>
      </c>
    </row>
    <row r="870" spans="1:15" x14ac:dyDescent="0.25">
      <c r="A870" s="76">
        <v>43053</v>
      </c>
      <c r="B870" s="77" t="s">
        <v>5320</v>
      </c>
      <c r="C870" s="77" t="s">
        <v>5051</v>
      </c>
      <c r="D870" s="77" t="s">
        <v>5052</v>
      </c>
      <c r="E870" s="78">
        <v>100000</v>
      </c>
      <c r="F870" s="77" t="s">
        <v>4806</v>
      </c>
      <c r="G870" s="78">
        <v>108.3</v>
      </c>
      <c r="H870" s="78">
        <v>108.3</v>
      </c>
      <c r="I870" s="77" t="s">
        <v>4800</v>
      </c>
      <c r="L870" s="3">
        <f>VLOOKUP(C870,Securities!A:D,4,FALSE)</f>
        <v>5</v>
      </c>
      <c r="M870" s="3" t="str">
        <f>VLOOKUP(C870,Securities!A:B,2,FALSE)</f>
        <v>XS0982711714 Corp</v>
      </c>
      <c r="O870" s="3">
        <f t="shared" si="14"/>
        <v>100000</v>
      </c>
    </row>
    <row r="871" spans="1:15" x14ac:dyDescent="0.25">
      <c r="A871" s="79">
        <v>43053</v>
      </c>
      <c r="B871" s="80" t="s">
        <v>5320</v>
      </c>
      <c r="C871" s="80" t="s">
        <v>5325</v>
      </c>
      <c r="D871" s="80" t="s">
        <v>5326</v>
      </c>
      <c r="E871" s="81">
        <v>290000</v>
      </c>
      <c r="F871" s="80" t="s">
        <v>4806</v>
      </c>
      <c r="G871" s="81">
        <v>68</v>
      </c>
      <c r="H871" s="81">
        <v>68</v>
      </c>
      <c r="I871" s="80" t="s">
        <v>4800</v>
      </c>
      <c r="L871" s="3">
        <f>VLOOKUP(C871,Securities!A:D,4,FALSE)</f>
        <v>5</v>
      </c>
      <c r="M871" s="3" t="str">
        <f>VLOOKUP(C871,Securities!A:B,2,FALSE)</f>
        <v>USP84050AB29 Corp</v>
      </c>
      <c r="O871" s="3">
        <f t="shared" si="14"/>
        <v>290000</v>
      </c>
    </row>
    <row r="872" spans="1:15" x14ac:dyDescent="0.25">
      <c r="A872" s="76">
        <v>43053</v>
      </c>
      <c r="B872" s="77" t="s">
        <v>5320</v>
      </c>
      <c r="C872" s="77" t="s">
        <v>5026</v>
      </c>
      <c r="D872" s="77" t="s">
        <v>5027</v>
      </c>
      <c r="E872" s="78">
        <v>683000</v>
      </c>
      <c r="F872" s="77" t="s">
        <v>4806</v>
      </c>
      <c r="G872" s="78">
        <v>101.6</v>
      </c>
      <c r="H872" s="78">
        <v>101.6</v>
      </c>
      <c r="I872" s="77" t="s">
        <v>4800</v>
      </c>
      <c r="L872" s="3">
        <f>VLOOKUP(C872,Securities!A:D,4,FALSE)</f>
        <v>5</v>
      </c>
      <c r="M872" s="3" t="str">
        <f>VLOOKUP(C872,Securities!A:B,2,FALSE)</f>
        <v>XS0935311240 Corp</v>
      </c>
      <c r="O872" s="3">
        <f t="shared" si="14"/>
        <v>683000</v>
      </c>
    </row>
    <row r="873" spans="1:15" x14ac:dyDescent="0.25">
      <c r="A873" s="79">
        <v>43053</v>
      </c>
      <c r="B873" s="80" t="s">
        <v>5320</v>
      </c>
      <c r="C873" s="80" t="s">
        <v>4932</v>
      </c>
      <c r="D873" s="80" t="s">
        <v>4933</v>
      </c>
      <c r="E873" s="81">
        <v>40000</v>
      </c>
      <c r="F873" s="80" t="s">
        <v>4814</v>
      </c>
      <c r="G873" s="81">
        <v>100</v>
      </c>
      <c r="H873" s="81">
        <v>100</v>
      </c>
      <c r="I873" s="80" t="s">
        <v>4800</v>
      </c>
      <c r="L873" s="3">
        <f>VLOOKUP(C873,Securities!A:D,4,FALSE)</f>
        <v>5</v>
      </c>
      <c r="M873" s="3" t="str">
        <f>VLOOKUP(C873,Securities!A:B,2,FALSE)</f>
        <v>RU000A0ZYBS1 Corp</v>
      </c>
      <c r="O873" s="3">
        <f t="shared" si="14"/>
        <v>40000</v>
      </c>
    </row>
    <row r="874" spans="1:15" x14ac:dyDescent="0.25">
      <c r="A874" s="76">
        <v>43053</v>
      </c>
      <c r="B874" s="77" t="s">
        <v>5320</v>
      </c>
      <c r="C874" s="77" t="s">
        <v>5057</v>
      </c>
      <c r="D874" s="77" t="s">
        <v>5058</v>
      </c>
      <c r="E874" s="78">
        <v>200000</v>
      </c>
      <c r="F874" s="77" t="s">
        <v>4806</v>
      </c>
      <c r="G874" s="78">
        <v>100.25</v>
      </c>
      <c r="H874" s="78">
        <v>100.25</v>
      </c>
      <c r="I874" s="77" t="s">
        <v>4800</v>
      </c>
      <c r="L874" s="3">
        <f>VLOOKUP(C874,Securities!A:D,4,FALSE)</f>
        <v>5</v>
      </c>
      <c r="M874" s="3" t="str">
        <f>VLOOKUP(C874,Securities!A:B,2,FALSE)</f>
        <v>USG79456AK84 Corp</v>
      </c>
      <c r="O874" s="3">
        <f t="shared" si="14"/>
        <v>200000</v>
      </c>
    </row>
    <row r="875" spans="1:15" x14ac:dyDescent="0.25">
      <c r="A875" s="79">
        <v>43053</v>
      </c>
      <c r="B875" s="80" t="s">
        <v>5320</v>
      </c>
      <c r="C875" s="80" t="s">
        <v>4927</v>
      </c>
      <c r="D875" s="80" t="s">
        <v>4928</v>
      </c>
      <c r="E875" s="81">
        <v>3818</v>
      </c>
      <c r="F875" s="80" t="s">
        <v>4898</v>
      </c>
      <c r="G875" s="81">
        <v>894.03597400000001</v>
      </c>
      <c r="H875" s="81">
        <v>15.472246999999999</v>
      </c>
      <c r="I875" s="80" t="s">
        <v>4800</v>
      </c>
      <c r="L875" s="3">
        <f>VLOOKUP(C875,Securities!A:D,4,FALSE)</f>
        <v>1</v>
      </c>
      <c r="M875" s="3" t="str">
        <f>VLOOKUP(C875,Securities!A:B,2,FALSE)</f>
        <v>SX7EEX GY Equity</v>
      </c>
      <c r="O875" s="3">
        <f t="shared" si="14"/>
        <v>3818</v>
      </c>
    </row>
    <row r="876" spans="1:15" x14ac:dyDescent="0.25">
      <c r="A876" s="76">
        <v>43053</v>
      </c>
      <c r="B876" s="77" t="s">
        <v>5320</v>
      </c>
      <c r="C876" s="77" t="s">
        <v>5302</v>
      </c>
      <c r="D876" s="77" t="s">
        <v>5303</v>
      </c>
      <c r="E876" s="78">
        <v>200000</v>
      </c>
      <c r="F876" s="77" t="s">
        <v>4806</v>
      </c>
      <c r="G876" s="78">
        <v>97.78</v>
      </c>
      <c r="H876" s="78">
        <v>97.78</v>
      </c>
      <c r="I876" s="77" t="s">
        <v>4800</v>
      </c>
      <c r="L876" s="3">
        <f>VLOOKUP(C876,Securities!A:D,4,FALSE)</f>
        <v>5</v>
      </c>
      <c r="M876" s="3" t="str">
        <f>VLOOKUP(C876,Securities!A:B,2,FALSE)</f>
        <v>USU8810LAA18 Corp</v>
      </c>
      <c r="O876" s="3">
        <f t="shared" si="14"/>
        <v>200000</v>
      </c>
    </row>
    <row r="877" spans="1:15" x14ac:dyDescent="0.25">
      <c r="A877" s="79">
        <v>43053</v>
      </c>
      <c r="B877" s="80" t="s">
        <v>5320</v>
      </c>
      <c r="C877" s="80" t="s">
        <v>4986</v>
      </c>
      <c r="D877" s="80" t="s">
        <v>4987</v>
      </c>
      <c r="E877" s="81">
        <v>200000</v>
      </c>
      <c r="F877" s="80" t="s">
        <v>4806</v>
      </c>
      <c r="G877" s="81">
        <v>104.6</v>
      </c>
      <c r="H877" s="81">
        <v>104.6</v>
      </c>
      <c r="I877" s="80" t="s">
        <v>4800</v>
      </c>
      <c r="L877" s="3">
        <f>VLOOKUP(C877,Securities!A:D,4,FALSE)</f>
        <v>5</v>
      </c>
      <c r="M877" s="3" t="str">
        <f>VLOOKUP(C877,Securities!A:B,2,FALSE)</f>
        <v>USG9328DAM23 Corp</v>
      </c>
      <c r="O877" s="3">
        <f t="shared" si="14"/>
        <v>200000</v>
      </c>
    </row>
    <row r="878" spans="1:15" x14ac:dyDescent="0.25">
      <c r="A878" s="76">
        <v>43053</v>
      </c>
      <c r="B878" s="77" t="s">
        <v>5327</v>
      </c>
      <c r="C878" s="77" t="s">
        <v>5328</v>
      </c>
      <c r="D878" s="77" t="s">
        <v>5329</v>
      </c>
      <c r="E878" s="78">
        <v>144000</v>
      </c>
      <c r="F878" s="77" t="s">
        <v>4806</v>
      </c>
      <c r="G878" s="78">
        <v>105.375</v>
      </c>
      <c r="H878" s="78">
        <v>105.375</v>
      </c>
      <c r="I878" s="77" t="s">
        <v>4800</v>
      </c>
      <c r="L878" s="3">
        <f>VLOOKUP(C878,Securities!A:D,4,FALSE)</f>
        <v>5</v>
      </c>
      <c r="M878" s="3" t="str">
        <f>VLOOKUP(C878,Securities!A:B,2,FALSE)</f>
        <v>US03512TAC53 Corp</v>
      </c>
      <c r="O878" s="3">
        <f t="shared" si="14"/>
        <v>144000</v>
      </c>
    </row>
    <row r="879" spans="1:15" x14ac:dyDescent="0.25">
      <c r="A879" s="79">
        <v>43053</v>
      </c>
      <c r="B879" s="80" t="s">
        <v>5327</v>
      </c>
      <c r="C879" s="80" t="s">
        <v>5057</v>
      </c>
      <c r="D879" s="80" t="s">
        <v>5058</v>
      </c>
      <c r="E879" s="81">
        <v>138000</v>
      </c>
      <c r="F879" s="80" t="s">
        <v>4806</v>
      </c>
      <c r="G879" s="81">
        <v>100.4</v>
      </c>
      <c r="H879" s="81">
        <v>100.4</v>
      </c>
      <c r="I879" s="80" t="s">
        <v>4800</v>
      </c>
      <c r="L879" s="3">
        <f>VLOOKUP(C879,Securities!A:D,4,FALSE)</f>
        <v>5</v>
      </c>
      <c r="M879" s="3" t="str">
        <f>VLOOKUP(C879,Securities!A:B,2,FALSE)</f>
        <v>USG79456AK84 Corp</v>
      </c>
      <c r="O879" s="3">
        <f t="shared" si="14"/>
        <v>138000</v>
      </c>
    </row>
    <row r="880" spans="1:15" x14ac:dyDescent="0.25">
      <c r="A880" s="76">
        <v>43053</v>
      </c>
      <c r="B880" s="77" t="s">
        <v>5330</v>
      </c>
      <c r="C880" s="77" t="s">
        <v>4973</v>
      </c>
      <c r="D880" s="77" t="s">
        <v>23</v>
      </c>
      <c r="E880" s="78">
        <v>65274</v>
      </c>
      <c r="F880" s="77" t="s">
        <v>4974</v>
      </c>
      <c r="G880" s="78">
        <v>101.274463</v>
      </c>
      <c r="H880" s="78">
        <v>101.274463</v>
      </c>
      <c r="I880" s="77" t="s">
        <v>4800</v>
      </c>
      <c r="L880" s="3">
        <f>VLOOKUP(C880,Securities!A:D,4,FALSE)</f>
        <v>5</v>
      </c>
      <c r="M880" s="3" t="str">
        <f>VLOOKUP(C880,Securities!A:B,2,FALSE)</f>
        <v>RU000A0JV7K7 Corp</v>
      </c>
      <c r="O880" s="3">
        <f t="shared" si="14"/>
        <v>65274</v>
      </c>
    </row>
    <row r="881" spans="1:15" x14ac:dyDescent="0.25">
      <c r="A881" s="79">
        <v>43053</v>
      </c>
      <c r="B881" s="80" t="s">
        <v>5330</v>
      </c>
      <c r="C881" s="80" t="s">
        <v>4975</v>
      </c>
      <c r="D881" s="80" t="s">
        <v>939</v>
      </c>
      <c r="E881" s="81">
        <v>74392</v>
      </c>
      <c r="F881" s="80" t="s">
        <v>4974</v>
      </c>
      <c r="G881" s="81">
        <v>102.043622</v>
      </c>
      <c r="H881" s="81">
        <v>102.043622</v>
      </c>
      <c r="I881" s="80" t="s">
        <v>4800</v>
      </c>
      <c r="L881" s="3">
        <f>VLOOKUP(C881,Securities!A:D,4,FALSE)</f>
        <v>5</v>
      </c>
      <c r="M881" s="3" t="str">
        <f>VLOOKUP(C881,Securities!A:B,2,FALSE)</f>
        <v>RU000A0JX0J2 Corp</v>
      </c>
      <c r="O881" s="3">
        <f t="shared" si="14"/>
        <v>74392</v>
      </c>
    </row>
    <row r="882" spans="1:15" x14ac:dyDescent="0.25">
      <c r="A882" s="76">
        <v>43053</v>
      </c>
      <c r="B882" s="77" t="s">
        <v>5330</v>
      </c>
      <c r="C882" s="77" t="s">
        <v>5192</v>
      </c>
      <c r="D882" s="77" t="s">
        <v>25</v>
      </c>
      <c r="E882" s="78">
        <v>60650</v>
      </c>
      <c r="F882" s="77" t="s">
        <v>4974</v>
      </c>
      <c r="G882" s="78">
        <v>97.99</v>
      </c>
      <c r="H882" s="78">
        <v>97.99</v>
      </c>
      <c r="I882" s="77" t="s">
        <v>4800</v>
      </c>
      <c r="L882" s="3">
        <f>VLOOKUP(C882,Securities!A:D,4,FALSE)</f>
        <v>5</v>
      </c>
      <c r="M882" s="3" t="str">
        <f>VLOOKUP(C882,Securities!A:B,2,FALSE)</f>
        <v>EJ545131 Corp</v>
      </c>
      <c r="O882" s="3">
        <f t="shared" si="14"/>
        <v>60650</v>
      </c>
    </row>
    <row r="883" spans="1:15" x14ac:dyDescent="0.25">
      <c r="A883" s="79">
        <v>43053</v>
      </c>
      <c r="B883" s="80" t="s">
        <v>5330</v>
      </c>
      <c r="C883" s="80" t="s">
        <v>5331</v>
      </c>
      <c r="D883" s="80" t="s">
        <v>960</v>
      </c>
      <c r="E883" s="81">
        <v>61350</v>
      </c>
      <c r="F883" s="80" t="s">
        <v>4974</v>
      </c>
      <c r="G883" s="81">
        <v>95.74</v>
      </c>
      <c r="H883" s="81">
        <v>95.74</v>
      </c>
      <c r="I883" s="80" t="s">
        <v>4800</v>
      </c>
      <c r="L883" s="3">
        <f>VLOOKUP(C883,Securities!A:D,4,FALSE)</f>
        <v>5</v>
      </c>
      <c r="M883" s="3" t="str">
        <f>VLOOKUP(C883,Securities!A:B,2,FALSE)</f>
        <v>RU000A0JTYA5 Corp</v>
      </c>
      <c r="O883" s="3">
        <f t="shared" si="14"/>
        <v>61350</v>
      </c>
    </row>
    <row r="884" spans="1:15" x14ac:dyDescent="0.25">
      <c r="A884" s="76">
        <v>43053</v>
      </c>
      <c r="B884" s="77" t="s">
        <v>5330</v>
      </c>
      <c r="C884" s="77" t="s">
        <v>5332</v>
      </c>
      <c r="D884" s="77" t="s">
        <v>968</v>
      </c>
      <c r="E884" s="78">
        <v>55800</v>
      </c>
      <c r="F884" s="77" t="s">
        <v>4974</v>
      </c>
      <c r="G884" s="78">
        <v>104.49</v>
      </c>
      <c r="H884" s="78">
        <v>104.49</v>
      </c>
      <c r="I884" s="77" t="s">
        <v>4800</v>
      </c>
      <c r="L884" s="3">
        <f>VLOOKUP(C884,Securities!A:D,4,FALSE)</f>
        <v>5</v>
      </c>
      <c r="M884" s="3" t="str">
        <f>VLOOKUP(C884,Securities!A:B,2,FALSE)</f>
        <v>RU000A0JVW48 Corp</v>
      </c>
      <c r="O884" s="3">
        <f t="shared" si="14"/>
        <v>55800</v>
      </c>
    </row>
    <row r="885" spans="1:15" x14ac:dyDescent="0.25">
      <c r="A885" s="79">
        <v>43053</v>
      </c>
      <c r="B885" s="80" t="s">
        <v>5330</v>
      </c>
      <c r="C885" s="80" t="s">
        <v>4805</v>
      </c>
      <c r="D885" s="80" t="s">
        <v>31</v>
      </c>
      <c r="E885" s="81">
        <v>846000</v>
      </c>
      <c r="F885" s="80" t="s">
        <v>4806</v>
      </c>
      <c r="G885" s="81">
        <v>176.494799</v>
      </c>
      <c r="H885" s="81">
        <v>176.494799</v>
      </c>
      <c r="I885" s="80" t="s">
        <v>4800</v>
      </c>
      <c r="L885" s="3">
        <f>VLOOKUP(C885,Securities!A:D,4,FALSE)</f>
        <v>5</v>
      </c>
      <c r="M885" s="3" t="str">
        <f>VLOOKUP(C885,Securities!A:B,2,FALSE)</f>
        <v>TT343269 Corp</v>
      </c>
      <c r="O885" s="3">
        <f t="shared" si="14"/>
        <v>846000</v>
      </c>
    </row>
    <row r="886" spans="1:15" x14ac:dyDescent="0.25">
      <c r="A886" s="76">
        <v>43053</v>
      </c>
      <c r="B886" s="77" t="s">
        <v>5333</v>
      </c>
      <c r="C886" s="77" t="s">
        <v>4805</v>
      </c>
      <c r="D886" s="77" t="s">
        <v>31</v>
      </c>
      <c r="E886" s="78">
        <v>100000</v>
      </c>
      <c r="F886" s="77" t="s">
        <v>4806</v>
      </c>
      <c r="G886" s="78">
        <v>175.01</v>
      </c>
      <c r="H886" s="78">
        <v>175.01</v>
      </c>
      <c r="I886" s="77" t="s">
        <v>4800</v>
      </c>
      <c r="L886" s="3">
        <f>VLOOKUP(C886,Securities!A:D,4,FALSE)</f>
        <v>5</v>
      </c>
      <c r="M886" s="3" t="str">
        <f>VLOOKUP(C886,Securities!A:B,2,FALSE)</f>
        <v>TT343269 Corp</v>
      </c>
      <c r="O886" s="3">
        <f t="shared" si="14"/>
        <v>100000</v>
      </c>
    </row>
    <row r="887" spans="1:15" x14ac:dyDescent="0.25">
      <c r="A887" s="79">
        <v>43053</v>
      </c>
      <c r="B887" s="80" t="s">
        <v>5333</v>
      </c>
      <c r="C887" s="80" t="s">
        <v>4845</v>
      </c>
      <c r="D887" s="80" t="s">
        <v>4846</v>
      </c>
      <c r="E887" s="81">
        <v>300000</v>
      </c>
      <c r="F887" s="80" t="s">
        <v>4806</v>
      </c>
      <c r="G887" s="81">
        <v>111.75</v>
      </c>
      <c r="H887" s="81">
        <v>111.75</v>
      </c>
      <c r="I887" s="80" t="s">
        <v>4800</v>
      </c>
      <c r="L887" s="3">
        <f>VLOOKUP(C887,Securities!A:D,4,FALSE)</f>
        <v>5</v>
      </c>
      <c r="M887" s="3" t="str">
        <f>VLOOKUP(C887,Securities!A:B,2,FALSE)</f>
        <v>XS1319822752 Corp</v>
      </c>
      <c r="O887" s="3">
        <f t="shared" si="14"/>
        <v>300000</v>
      </c>
    </row>
    <row r="888" spans="1:15" x14ac:dyDescent="0.25">
      <c r="A888" s="76">
        <v>43053</v>
      </c>
      <c r="B888" s="77" t="s">
        <v>5333</v>
      </c>
      <c r="C888" s="77" t="s">
        <v>4819</v>
      </c>
      <c r="D888" s="77" t="s">
        <v>4820</v>
      </c>
      <c r="E888" s="78">
        <v>200000</v>
      </c>
      <c r="F888" s="77" t="s">
        <v>4806</v>
      </c>
      <c r="G888" s="78">
        <v>103.25</v>
      </c>
      <c r="H888" s="78">
        <v>103.25</v>
      </c>
      <c r="I888" s="77" t="s">
        <v>4800</v>
      </c>
      <c r="L888" s="3">
        <f>VLOOKUP(C888,Securities!A:D,4,FALSE)</f>
        <v>5</v>
      </c>
      <c r="M888" s="3" t="str">
        <f>VLOOKUP(C888,Securities!A:B,2,FALSE)</f>
        <v>XS0776121062 Corp</v>
      </c>
      <c r="O888" s="3">
        <f t="shared" si="14"/>
        <v>200000</v>
      </c>
    </row>
    <row r="889" spans="1:15" x14ac:dyDescent="0.25">
      <c r="A889" s="79">
        <v>43053</v>
      </c>
      <c r="B889" s="80" t="s">
        <v>5333</v>
      </c>
      <c r="C889" s="80" t="s">
        <v>4851</v>
      </c>
      <c r="D889" s="80" t="s">
        <v>4744</v>
      </c>
      <c r="E889" s="81">
        <v>200000</v>
      </c>
      <c r="F889" s="80" t="s">
        <v>4806</v>
      </c>
      <c r="G889" s="81">
        <v>101.625</v>
      </c>
      <c r="H889" s="81">
        <v>101.625</v>
      </c>
      <c r="I889" s="80" t="s">
        <v>4800</v>
      </c>
      <c r="L889" s="3">
        <f>VLOOKUP(C889,Securities!A:D,4,FALSE)</f>
        <v>5</v>
      </c>
      <c r="M889" s="3" t="str">
        <f>VLOOKUP(C889,Securities!A:B,2,FALSE)</f>
        <v>XS1032750165 Corp</v>
      </c>
      <c r="O889" s="3">
        <f t="shared" si="14"/>
        <v>200000</v>
      </c>
    </row>
    <row r="890" spans="1:15" x14ac:dyDescent="0.25">
      <c r="A890" s="76">
        <v>43053</v>
      </c>
      <c r="B890" s="77" t="s">
        <v>5334</v>
      </c>
      <c r="C890" s="77" t="s">
        <v>5335</v>
      </c>
      <c r="D890" s="77" t="s">
        <v>5336</v>
      </c>
      <c r="E890" s="78">
        <v>300000</v>
      </c>
      <c r="F890" s="77" t="s">
        <v>4806</v>
      </c>
      <c r="G890" s="78">
        <v>103.76</v>
      </c>
      <c r="H890" s="78">
        <v>103.76</v>
      </c>
      <c r="I890" s="77" t="s">
        <v>4800</v>
      </c>
      <c r="L890" s="3">
        <f>VLOOKUP(C890,Securities!A:D,4,FALSE)</f>
        <v>5</v>
      </c>
      <c r="M890" s="3" t="str">
        <f>VLOOKUP(C890,Securities!A:B,2,FALSE)</f>
        <v>XS0910932788 Corp</v>
      </c>
      <c r="O890" s="3">
        <f t="shared" si="14"/>
        <v>300000</v>
      </c>
    </row>
    <row r="891" spans="1:15" x14ac:dyDescent="0.25">
      <c r="A891" s="79">
        <v>43053</v>
      </c>
      <c r="B891" s="80" t="s">
        <v>5334</v>
      </c>
      <c r="C891" s="80" t="s">
        <v>5031</v>
      </c>
      <c r="D891" s="80" t="s">
        <v>5032</v>
      </c>
      <c r="E891" s="81">
        <v>290000</v>
      </c>
      <c r="F891" s="80" t="s">
        <v>4806</v>
      </c>
      <c r="G891" s="81">
        <v>103.48</v>
      </c>
      <c r="H891" s="81">
        <v>103.48</v>
      </c>
      <c r="I891" s="80" t="s">
        <v>4800</v>
      </c>
      <c r="L891" s="3">
        <f>VLOOKUP(C891,Securities!A:D,4,FALSE)</f>
        <v>5</v>
      </c>
      <c r="M891" s="3" t="str">
        <f>VLOOKUP(C891,Securities!A:B,2,FALSE)</f>
        <v>USG25343AA52 Corp</v>
      </c>
      <c r="O891" s="3">
        <f t="shared" si="14"/>
        <v>290000</v>
      </c>
    </row>
    <row r="892" spans="1:15" x14ac:dyDescent="0.25">
      <c r="A892" s="76">
        <v>43053</v>
      </c>
      <c r="B892" s="77" t="s">
        <v>5334</v>
      </c>
      <c r="C892" s="77" t="s">
        <v>5337</v>
      </c>
      <c r="D892" s="77" t="s">
        <v>5338</v>
      </c>
      <c r="E892" s="78">
        <v>300000</v>
      </c>
      <c r="F892" s="77" t="s">
        <v>4806</v>
      </c>
      <c r="G892" s="78">
        <v>107</v>
      </c>
      <c r="H892" s="78">
        <v>107</v>
      </c>
      <c r="I892" s="77" t="s">
        <v>4800</v>
      </c>
      <c r="L892" s="3">
        <f>VLOOKUP(C892,Securities!A:D,4,FALSE)</f>
        <v>5</v>
      </c>
      <c r="M892" s="3" t="str">
        <f>VLOOKUP(C892,Securities!A:B,2,FALSE)</f>
        <v>USP22854AG14 Corp</v>
      </c>
      <c r="O892" s="3">
        <f t="shared" si="14"/>
        <v>300000</v>
      </c>
    </row>
    <row r="893" spans="1:15" x14ac:dyDescent="0.25">
      <c r="A893" s="79">
        <v>43053</v>
      </c>
      <c r="B893" s="80" t="s">
        <v>5334</v>
      </c>
      <c r="C893" s="80" t="s">
        <v>4805</v>
      </c>
      <c r="D893" s="80" t="s">
        <v>31</v>
      </c>
      <c r="E893" s="81">
        <v>250000</v>
      </c>
      <c r="F893" s="80" t="s">
        <v>4806</v>
      </c>
      <c r="G893" s="81">
        <v>176.5</v>
      </c>
      <c r="H893" s="81">
        <v>176.5</v>
      </c>
      <c r="I893" s="80" t="s">
        <v>4800</v>
      </c>
      <c r="L893" s="3">
        <f>VLOOKUP(C893,Securities!A:D,4,FALSE)</f>
        <v>5</v>
      </c>
      <c r="M893" s="3" t="str">
        <f>VLOOKUP(C893,Securities!A:B,2,FALSE)</f>
        <v>TT343269 Corp</v>
      </c>
      <c r="O893" s="3">
        <f t="shared" si="14"/>
        <v>250000</v>
      </c>
    </row>
    <row r="894" spans="1:15" x14ac:dyDescent="0.25">
      <c r="A894" s="76">
        <v>43053</v>
      </c>
      <c r="B894" s="77" t="s">
        <v>5334</v>
      </c>
      <c r="C894" s="77" t="s">
        <v>4903</v>
      </c>
      <c r="D894" s="77" t="s">
        <v>4904</v>
      </c>
      <c r="E894" s="78">
        <v>400000</v>
      </c>
      <c r="F894" s="77" t="s">
        <v>4806</v>
      </c>
      <c r="G894" s="78">
        <v>106.625</v>
      </c>
      <c r="H894" s="78">
        <v>106.625</v>
      </c>
      <c r="I894" s="77" t="s">
        <v>4800</v>
      </c>
      <c r="L894" s="3">
        <f>VLOOKUP(C894,Securities!A:D,4,FALSE)</f>
        <v>5</v>
      </c>
      <c r="M894" s="3" t="str">
        <f>VLOOKUP(C894,Securities!A:B,2,FALSE)</f>
        <v>XS1319813769 Corp</v>
      </c>
      <c r="O894" s="3">
        <f t="shared" si="14"/>
        <v>400000</v>
      </c>
    </row>
    <row r="895" spans="1:15" x14ac:dyDescent="0.25">
      <c r="A895" s="79">
        <v>43053</v>
      </c>
      <c r="B895" s="80" t="s">
        <v>5334</v>
      </c>
      <c r="C895" s="80" t="s">
        <v>5339</v>
      </c>
      <c r="D895" s="80" t="s">
        <v>5340</v>
      </c>
      <c r="E895" s="81">
        <v>400000</v>
      </c>
      <c r="F895" s="80" t="s">
        <v>4806</v>
      </c>
      <c r="G895" s="81">
        <v>106.87</v>
      </c>
      <c r="H895" s="81">
        <v>106.87</v>
      </c>
      <c r="I895" s="80" t="s">
        <v>4800</v>
      </c>
      <c r="L895" s="3">
        <f>VLOOKUP(C895,Securities!A:D,4,FALSE)</f>
        <v>5</v>
      </c>
      <c r="M895" s="3" t="str">
        <f>VLOOKUP(C895,Securities!A:B,2,FALSE)</f>
        <v>XS1449458915 Corp</v>
      </c>
      <c r="O895" s="3">
        <f t="shared" si="14"/>
        <v>400000</v>
      </c>
    </row>
    <row r="896" spans="1:15" x14ac:dyDescent="0.25">
      <c r="A896" s="76">
        <v>43053</v>
      </c>
      <c r="B896" s="77" t="s">
        <v>5334</v>
      </c>
      <c r="C896" s="77" t="s">
        <v>5086</v>
      </c>
      <c r="D896" s="77" t="s">
        <v>5087</v>
      </c>
      <c r="E896" s="78">
        <v>400000</v>
      </c>
      <c r="F896" s="77" t="s">
        <v>4806</v>
      </c>
      <c r="G896" s="78">
        <v>110.36</v>
      </c>
      <c r="H896" s="78">
        <v>110.36</v>
      </c>
      <c r="I896" s="77" t="s">
        <v>4800</v>
      </c>
      <c r="L896" s="3">
        <f>VLOOKUP(C896,Securities!A:D,4,FALSE)</f>
        <v>5</v>
      </c>
      <c r="M896" s="3" t="str">
        <f>VLOOKUP(C896,Securities!A:B,2,FALSE)</f>
        <v>EJ951547 Corp</v>
      </c>
      <c r="O896" s="3">
        <f t="shared" si="14"/>
        <v>400000</v>
      </c>
    </row>
    <row r="897" spans="1:15" x14ac:dyDescent="0.25">
      <c r="A897" s="79">
        <v>43053</v>
      </c>
      <c r="B897" s="80" t="s">
        <v>5334</v>
      </c>
      <c r="C897" s="80" t="s">
        <v>4963</v>
      </c>
      <c r="D897" s="80" t="s">
        <v>4964</v>
      </c>
      <c r="E897" s="81">
        <v>290000</v>
      </c>
      <c r="F897" s="80" t="s">
        <v>4806</v>
      </c>
      <c r="G897" s="81">
        <v>99.87</v>
      </c>
      <c r="H897" s="81">
        <v>99.87</v>
      </c>
      <c r="I897" s="80" t="s">
        <v>4800</v>
      </c>
      <c r="L897" s="3">
        <f>VLOOKUP(C897,Securities!A:D,4,FALSE)</f>
        <v>5</v>
      </c>
      <c r="M897" s="3" t="str">
        <f>VLOOKUP(C897,Securities!A:B,2,FALSE)</f>
        <v>XS1439838548 Corp</v>
      </c>
      <c r="O897" s="3">
        <f t="shared" si="14"/>
        <v>290000</v>
      </c>
    </row>
    <row r="898" spans="1:15" x14ac:dyDescent="0.25">
      <c r="A898" s="76">
        <v>43053</v>
      </c>
      <c r="B898" s="77" t="s">
        <v>5334</v>
      </c>
      <c r="C898" s="77" t="s">
        <v>4863</v>
      </c>
      <c r="D898" s="77" t="s">
        <v>4864</v>
      </c>
      <c r="E898" s="78">
        <v>300000</v>
      </c>
      <c r="F898" s="77" t="s">
        <v>4806</v>
      </c>
      <c r="G898" s="78">
        <v>104.84</v>
      </c>
      <c r="H898" s="78">
        <v>104.84</v>
      </c>
      <c r="I898" s="77" t="s">
        <v>4800</v>
      </c>
      <c r="L898" s="3">
        <f>VLOOKUP(C898,Securities!A:D,4,FALSE)</f>
        <v>5</v>
      </c>
      <c r="M898" s="3" t="str">
        <f>VLOOKUP(C898,Securities!A:B,2,FALSE)</f>
        <v>USN54468AF52 Corp</v>
      </c>
      <c r="O898" s="3">
        <f t="shared" si="14"/>
        <v>300000</v>
      </c>
    </row>
    <row r="899" spans="1:15" x14ac:dyDescent="0.25">
      <c r="A899" s="79">
        <v>43053</v>
      </c>
      <c r="B899" s="80" t="s">
        <v>5334</v>
      </c>
      <c r="C899" s="80" t="s">
        <v>4998</v>
      </c>
      <c r="D899" s="80" t="s">
        <v>4999</v>
      </c>
      <c r="E899" s="81">
        <v>290000</v>
      </c>
      <c r="F899" s="80" t="s">
        <v>4806</v>
      </c>
      <c r="G899" s="81">
        <v>104.4</v>
      </c>
      <c r="H899" s="81">
        <v>104.4</v>
      </c>
      <c r="I899" s="80" t="s">
        <v>4800</v>
      </c>
      <c r="L899" s="3">
        <f>VLOOKUP(C899,Securities!A:D,4,FALSE)</f>
        <v>5</v>
      </c>
      <c r="M899" s="3" t="str">
        <f>VLOOKUP(C899,Securities!A:B,2,FALSE)</f>
        <v>XS1503116912 Corp</v>
      </c>
      <c r="O899" s="3">
        <f t="shared" si="14"/>
        <v>290000</v>
      </c>
    </row>
    <row r="900" spans="1:15" x14ac:dyDescent="0.25">
      <c r="A900" s="76">
        <v>43053</v>
      </c>
      <c r="B900" s="77" t="s">
        <v>5334</v>
      </c>
      <c r="C900" s="77" t="s">
        <v>5341</v>
      </c>
      <c r="D900" s="77" t="s">
        <v>5342</v>
      </c>
      <c r="E900" s="78">
        <v>290000</v>
      </c>
      <c r="F900" s="77" t="s">
        <v>4806</v>
      </c>
      <c r="G900" s="78">
        <v>109.5</v>
      </c>
      <c r="H900" s="78">
        <v>109.5</v>
      </c>
      <c r="I900" s="77" t="s">
        <v>4800</v>
      </c>
      <c r="L900" s="3">
        <f>VLOOKUP(C900,Securities!A:D,4,FALSE)</f>
        <v>5</v>
      </c>
      <c r="M900" s="3" t="str">
        <f>VLOOKUP(C900,Securities!A:B,2,FALSE)</f>
        <v>US71656MBN83 Corp</v>
      </c>
      <c r="O900" s="3">
        <f t="shared" si="14"/>
        <v>290000</v>
      </c>
    </row>
    <row r="901" spans="1:15" x14ac:dyDescent="0.25">
      <c r="A901" s="79">
        <v>43053</v>
      </c>
      <c r="B901" s="80" t="s">
        <v>5334</v>
      </c>
      <c r="C901" s="80" t="s">
        <v>5291</v>
      </c>
      <c r="D901" s="80" t="s">
        <v>5292</v>
      </c>
      <c r="E901" s="81">
        <v>343000</v>
      </c>
      <c r="F901" s="80" t="s">
        <v>4806</v>
      </c>
      <c r="G901" s="81">
        <v>107.891025</v>
      </c>
      <c r="H901" s="81">
        <v>107.891025</v>
      </c>
      <c r="I901" s="80" t="s">
        <v>4800</v>
      </c>
      <c r="L901" s="3">
        <f>VLOOKUP(C901,Securities!A:D,4,FALSE)</f>
        <v>5</v>
      </c>
      <c r="M901" s="3" t="str">
        <f>VLOOKUP(C901,Securities!A:B,2,FALSE)</f>
        <v>US71647NAM11 Corp</v>
      </c>
      <c r="O901" s="3">
        <f t="shared" si="14"/>
        <v>351000</v>
      </c>
    </row>
    <row r="902" spans="1:15" x14ac:dyDescent="0.25">
      <c r="A902" s="76">
        <v>43053</v>
      </c>
      <c r="B902" s="77" t="s">
        <v>5334</v>
      </c>
      <c r="C902" s="77" t="s">
        <v>5291</v>
      </c>
      <c r="D902" s="77" t="s">
        <v>5292</v>
      </c>
      <c r="E902" s="78">
        <v>8000</v>
      </c>
      <c r="F902" s="77" t="s">
        <v>4806</v>
      </c>
      <c r="G902" s="78">
        <v>107.891025</v>
      </c>
      <c r="H902" s="78">
        <v>107.891025</v>
      </c>
      <c r="I902" s="77" t="s">
        <v>4823</v>
      </c>
      <c r="L902" s="3">
        <f>VLOOKUP(C902,Securities!A:D,4,FALSE)</f>
        <v>5</v>
      </c>
      <c r="M902" s="3" t="str">
        <f>VLOOKUP(C902,Securities!A:B,2,FALSE)</f>
        <v>US71647NAM11 Corp</v>
      </c>
      <c r="O902" s="3">
        <f t="shared" ref="O902:O965" si="15">SUMIFS(E:E,C:C,C902,B:B,B902)</f>
        <v>351000</v>
      </c>
    </row>
    <row r="903" spans="1:15" x14ac:dyDescent="0.25">
      <c r="A903" s="79">
        <v>43053</v>
      </c>
      <c r="B903" s="80" t="s">
        <v>5334</v>
      </c>
      <c r="C903" s="80" t="s">
        <v>4851</v>
      </c>
      <c r="D903" s="80" t="s">
        <v>4744</v>
      </c>
      <c r="E903" s="81">
        <v>400000</v>
      </c>
      <c r="F903" s="80" t="s">
        <v>4806</v>
      </c>
      <c r="G903" s="81">
        <v>102.92</v>
      </c>
      <c r="H903" s="81">
        <v>102.92</v>
      </c>
      <c r="I903" s="80" t="s">
        <v>4800</v>
      </c>
      <c r="L903" s="3">
        <f>VLOOKUP(C903,Securities!A:D,4,FALSE)</f>
        <v>5</v>
      </c>
      <c r="M903" s="3" t="str">
        <f>VLOOKUP(C903,Securities!A:B,2,FALSE)</f>
        <v>XS1032750165 Corp</v>
      </c>
      <c r="O903" s="3">
        <f t="shared" si="15"/>
        <v>400000</v>
      </c>
    </row>
    <row r="904" spans="1:15" x14ac:dyDescent="0.25">
      <c r="A904" s="76">
        <v>43053</v>
      </c>
      <c r="B904" s="77" t="s">
        <v>5334</v>
      </c>
      <c r="C904" s="77" t="s">
        <v>5004</v>
      </c>
      <c r="D904" s="77" t="s">
        <v>5005</v>
      </c>
      <c r="E904" s="78">
        <v>400000</v>
      </c>
      <c r="F904" s="77" t="s">
        <v>4806</v>
      </c>
      <c r="G904" s="78">
        <v>104.34</v>
      </c>
      <c r="H904" s="78">
        <v>104.34</v>
      </c>
      <c r="I904" s="77" t="s">
        <v>4800</v>
      </c>
      <c r="L904" s="3">
        <f>VLOOKUP(C904,Securities!A:D,4,FALSE)</f>
        <v>5</v>
      </c>
      <c r="M904" s="3" t="str">
        <f>VLOOKUP(C904,Securities!A:B,2,FALSE)</f>
        <v>XS1433454243 Corp</v>
      </c>
      <c r="O904" s="3">
        <f t="shared" si="15"/>
        <v>400000</v>
      </c>
    </row>
    <row r="905" spans="1:15" x14ac:dyDescent="0.25">
      <c r="A905" s="79">
        <v>43053</v>
      </c>
      <c r="B905" s="80" t="s">
        <v>5334</v>
      </c>
      <c r="C905" s="80" t="s">
        <v>5055</v>
      </c>
      <c r="D905" s="80" t="s">
        <v>5056</v>
      </c>
      <c r="E905" s="81">
        <v>400000</v>
      </c>
      <c r="F905" s="80" t="s">
        <v>4806</v>
      </c>
      <c r="G905" s="81">
        <v>100.25</v>
      </c>
      <c r="H905" s="81">
        <v>100.25</v>
      </c>
      <c r="I905" s="80" t="s">
        <v>4800</v>
      </c>
      <c r="L905" s="3">
        <f>VLOOKUP(C905,Securities!A:D,4,FALSE)</f>
        <v>5</v>
      </c>
      <c r="M905" s="3" t="str">
        <f>VLOOKUP(C905,Securities!A:B,2,FALSE)</f>
        <v>XS1693971043 Corp</v>
      </c>
      <c r="O905" s="3">
        <f t="shared" si="15"/>
        <v>400000</v>
      </c>
    </row>
    <row r="906" spans="1:15" x14ac:dyDescent="0.25">
      <c r="A906" s="76">
        <v>43053</v>
      </c>
      <c r="B906" s="77" t="s">
        <v>5334</v>
      </c>
      <c r="C906" s="77" t="s">
        <v>5302</v>
      </c>
      <c r="D906" s="77" t="s">
        <v>5303</v>
      </c>
      <c r="E906" s="78">
        <v>290000</v>
      </c>
      <c r="F906" s="77" t="s">
        <v>4806</v>
      </c>
      <c r="G906" s="78">
        <v>97.7</v>
      </c>
      <c r="H906" s="78">
        <v>97.7</v>
      </c>
      <c r="I906" s="77" t="s">
        <v>4800</v>
      </c>
      <c r="L906" s="3">
        <f>VLOOKUP(C906,Securities!A:D,4,FALSE)</f>
        <v>5</v>
      </c>
      <c r="M906" s="3" t="str">
        <f>VLOOKUP(C906,Securities!A:B,2,FALSE)</f>
        <v>USU8810LAA18 Corp</v>
      </c>
      <c r="O906" s="3">
        <f t="shared" si="15"/>
        <v>290000</v>
      </c>
    </row>
    <row r="907" spans="1:15" x14ac:dyDescent="0.25">
      <c r="A907" s="79">
        <v>43053</v>
      </c>
      <c r="B907" s="80" t="s">
        <v>5334</v>
      </c>
      <c r="C907" s="80" t="s">
        <v>4986</v>
      </c>
      <c r="D907" s="80" t="s">
        <v>4987</v>
      </c>
      <c r="E907" s="81">
        <v>290000</v>
      </c>
      <c r="F907" s="80" t="s">
        <v>4806</v>
      </c>
      <c r="G907" s="81">
        <v>105.5</v>
      </c>
      <c r="H907" s="81">
        <v>105.5</v>
      </c>
      <c r="I907" s="80" t="s">
        <v>4800</v>
      </c>
      <c r="L907" s="3">
        <f>VLOOKUP(C907,Securities!A:D,4,FALSE)</f>
        <v>5</v>
      </c>
      <c r="M907" s="3" t="str">
        <f>VLOOKUP(C907,Securities!A:B,2,FALSE)</f>
        <v>USG9328DAM23 Corp</v>
      </c>
      <c r="O907" s="3">
        <f t="shared" si="15"/>
        <v>290000</v>
      </c>
    </row>
    <row r="908" spans="1:15" x14ac:dyDescent="0.25">
      <c r="A908" s="76">
        <v>43053</v>
      </c>
      <c r="B908" s="77" t="s">
        <v>5343</v>
      </c>
      <c r="C908" s="77" t="s">
        <v>4803</v>
      </c>
      <c r="D908" s="77" t="s">
        <v>39</v>
      </c>
      <c r="E908" s="78">
        <v>8710</v>
      </c>
      <c r="F908" s="77" t="s">
        <v>4804</v>
      </c>
      <c r="G908" s="78">
        <v>646.38228200000003</v>
      </c>
      <c r="H908" s="78">
        <v>11.452353</v>
      </c>
      <c r="I908" s="77" t="s">
        <v>4800</v>
      </c>
      <c r="L908" s="3">
        <f>VLOOKUP(C908,Securities!A:D,4,FALSE)</f>
        <v>1</v>
      </c>
      <c r="M908" s="3" t="str">
        <f>VLOOKUP(C908,Securities!A:B,2,FALSE)</f>
        <v>AGRO LI Equity</v>
      </c>
      <c r="O908" s="3">
        <f t="shared" si="15"/>
        <v>8710</v>
      </c>
    </row>
    <row r="909" spans="1:15" x14ac:dyDescent="0.25">
      <c r="A909" s="79">
        <v>43053</v>
      </c>
      <c r="B909" s="80" t="s">
        <v>5343</v>
      </c>
      <c r="C909" s="80" t="s">
        <v>4805</v>
      </c>
      <c r="D909" s="80" t="s">
        <v>31</v>
      </c>
      <c r="E909" s="81">
        <v>560000</v>
      </c>
      <c r="F909" s="80" t="s">
        <v>4806</v>
      </c>
      <c r="G909" s="81">
        <v>175.642732</v>
      </c>
      <c r="H909" s="81">
        <v>175.642732</v>
      </c>
      <c r="I909" s="80" t="s">
        <v>4800</v>
      </c>
      <c r="L909" s="3">
        <f>VLOOKUP(C909,Securities!A:D,4,FALSE)</f>
        <v>5</v>
      </c>
      <c r="M909" s="3" t="str">
        <f>VLOOKUP(C909,Securities!A:B,2,FALSE)</f>
        <v>TT343269 Corp</v>
      </c>
      <c r="O909" s="3">
        <f t="shared" si="15"/>
        <v>560000</v>
      </c>
    </row>
    <row r="910" spans="1:15" x14ac:dyDescent="0.25">
      <c r="A910" s="76">
        <v>43053</v>
      </c>
      <c r="B910" s="77" t="s">
        <v>5343</v>
      </c>
      <c r="C910" s="77" t="s">
        <v>4845</v>
      </c>
      <c r="D910" s="77" t="s">
        <v>4846</v>
      </c>
      <c r="E910" s="78">
        <v>470000</v>
      </c>
      <c r="F910" s="77" t="s">
        <v>4806</v>
      </c>
      <c r="G910" s="78">
        <v>111.4</v>
      </c>
      <c r="H910" s="78">
        <v>111.4</v>
      </c>
      <c r="I910" s="77" t="s">
        <v>4800</v>
      </c>
      <c r="L910" s="3">
        <f>VLOOKUP(C910,Securities!A:D,4,FALSE)</f>
        <v>5</v>
      </c>
      <c r="M910" s="3" t="str">
        <f>VLOOKUP(C910,Securities!A:B,2,FALSE)</f>
        <v>XS1319822752 Corp</v>
      </c>
      <c r="O910" s="3">
        <f t="shared" si="15"/>
        <v>470000</v>
      </c>
    </row>
    <row r="911" spans="1:15" x14ac:dyDescent="0.25">
      <c r="A911" s="79">
        <v>43053</v>
      </c>
      <c r="B911" s="80" t="s">
        <v>5343</v>
      </c>
      <c r="C911" s="80" t="s">
        <v>5043</v>
      </c>
      <c r="D911" s="80" t="s">
        <v>5044</v>
      </c>
      <c r="E911" s="81">
        <v>625000</v>
      </c>
      <c r="F911" s="80" t="s">
        <v>4806</v>
      </c>
      <c r="G911" s="81">
        <v>99.28</v>
      </c>
      <c r="H911" s="81">
        <v>99.28</v>
      </c>
      <c r="I911" s="80" t="s">
        <v>4800</v>
      </c>
      <c r="L911" s="3">
        <f>VLOOKUP(C911,Securities!A:D,4,FALSE)</f>
        <v>5</v>
      </c>
      <c r="M911" s="3" t="str">
        <f>VLOOKUP(C911,Securities!A:B,2,FALSE)</f>
        <v>XS0547082973 Corp</v>
      </c>
      <c r="O911" s="3">
        <f t="shared" si="15"/>
        <v>625000</v>
      </c>
    </row>
    <row r="912" spans="1:15" x14ac:dyDescent="0.25">
      <c r="A912" s="76">
        <v>43053</v>
      </c>
      <c r="B912" s="77" t="s">
        <v>5343</v>
      </c>
      <c r="C912" s="77" t="s">
        <v>4811</v>
      </c>
      <c r="D912" s="77" t="s">
        <v>4659</v>
      </c>
      <c r="E912" s="78">
        <v>51650</v>
      </c>
      <c r="F912" s="77" t="s">
        <v>4799</v>
      </c>
      <c r="G912" s="78">
        <v>111.268771</v>
      </c>
      <c r="H912" s="78">
        <v>1.9698690000000001</v>
      </c>
      <c r="I912" s="77" t="s">
        <v>4800</v>
      </c>
      <c r="L912" s="3">
        <f>VLOOKUP(C912,Securities!A:D,4,FALSE)</f>
        <v>1</v>
      </c>
      <c r="M912" s="3" t="str">
        <f>VLOOKUP(C912,Securities!A:B,2,FALSE)</f>
        <v>HGM LN Equity</v>
      </c>
      <c r="O912" s="3">
        <f t="shared" si="15"/>
        <v>51650</v>
      </c>
    </row>
    <row r="913" spans="1:15" x14ac:dyDescent="0.25">
      <c r="A913" s="79">
        <v>43053</v>
      </c>
      <c r="B913" s="80" t="s">
        <v>5343</v>
      </c>
      <c r="C913" s="80" t="s">
        <v>4861</v>
      </c>
      <c r="D913" s="80" t="s">
        <v>4862</v>
      </c>
      <c r="E913" s="81">
        <v>625000</v>
      </c>
      <c r="F913" s="80" t="s">
        <v>4806</v>
      </c>
      <c r="G913" s="81">
        <v>106.53</v>
      </c>
      <c r="H913" s="81">
        <v>106.53</v>
      </c>
      <c r="I913" s="80" t="s">
        <v>4800</v>
      </c>
      <c r="L913" s="3">
        <f>VLOOKUP(C913,Securities!A:D,4,FALSE)</f>
        <v>5</v>
      </c>
      <c r="M913" s="3" t="str">
        <f>VLOOKUP(C913,Securities!A:B,2,FALSE)</f>
        <v>USA29866AA70 Corp</v>
      </c>
      <c r="O913" s="3">
        <f t="shared" si="15"/>
        <v>625000</v>
      </c>
    </row>
    <row r="914" spans="1:15" x14ac:dyDescent="0.25">
      <c r="A914" s="76">
        <v>43053</v>
      </c>
      <c r="B914" s="77" t="s">
        <v>5343</v>
      </c>
      <c r="C914" s="77" t="s">
        <v>4812</v>
      </c>
      <c r="D914" s="77" t="s">
        <v>4675</v>
      </c>
      <c r="E914" s="78">
        <v>20000</v>
      </c>
      <c r="F914" s="77" t="s">
        <v>4804</v>
      </c>
      <c r="G914" s="78">
        <v>585.31064400000002</v>
      </c>
      <c r="H914" s="78">
        <v>10.080625</v>
      </c>
      <c r="I914" s="77" t="s">
        <v>4800</v>
      </c>
      <c r="L914" s="3">
        <f>VLOOKUP(C914,Securities!A:D,4,FALSE)</f>
        <v>1</v>
      </c>
      <c r="M914" s="3" t="str">
        <f>VLOOKUP(C914,Securities!A:B,2,FALSE)</f>
        <v>KMG LI Equity</v>
      </c>
      <c r="O914" s="3">
        <f t="shared" si="15"/>
        <v>20000</v>
      </c>
    </row>
    <row r="915" spans="1:15" x14ac:dyDescent="0.25">
      <c r="A915" s="79">
        <v>43053</v>
      </c>
      <c r="B915" s="80" t="s">
        <v>5343</v>
      </c>
      <c r="C915" s="80" t="s">
        <v>4847</v>
      </c>
      <c r="D915" s="80" t="s">
        <v>369</v>
      </c>
      <c r="E915" s="81">
        <v>1650</v>
      </c>
      <c r="F915" s="80" t="s">
        <v>4810</v>
      </c>
      <c r="G915" s="81">
        <v>3024.9403029999999</v>
      </c>
      <c r="H915" s="81">
        <v>52.494269000000003</v>
      </c>
      <c r="I915" s="80" t="s">
        <v>4800</v>
      </c>
      <c r="L915" s="3">
        <f>VLOOKUP(C915,Securities!A:D,4,FALSE)</f>
        <v>1</v>
      </c>
      <c r="M915" s="3" t="str">
        <f>VLOOKUP(C915,Securities!A:B,2,FALSE)</f>
        <v>LKOH RX Equity</v>
      </c>
      <c r="O915" s="3">
        <f t="shared" si="15"/>
        <v>1650</v>
      </c>
    </row>
    <row r="916" spans="1:15" x14ac:dyDescent="0.25">
      <c r="A916" s="76">
        <v>43053</v>
      </c>
      <c r="B916" s="77" t="s">
        <v>5343</v>
      </c>
      <c r="C916" s="77" t="s">
        <v>4816</v>
      </c>
      <c r="D916" s="77" t="s">
        <v>4817</v>
      </c>
      <c r="E916" s="78">
        <v>4725</v>
      </c>
      <c r="F916" s="77" t="s">
        <v>4799</v>
      </c>
      <c r="G916" s="78">
        <v>1251.202039</v>
      </c>
      <c r="H916" s="78">
        <v>21.159759999999999</v>
      </c>
      <c r="I916" s="77" t="s">
        <v>4800</v>
      </c>
      <c r="L916" s="3">
        <f>VLOOKUP(C916,Securities!A:D,4,FALSE)</f>
        <v>1</v>
      </c>
      <c r="M916" s="3" t="str">
        <f>VLOOKUP(C916,Securities!A:B,2,FALSE)</f>
        <v>M US Equity</v>
      </c>
      <c r="O916" s="3">
        <f t="shared" si="15"/>
        <v>4725</v>
      </c>
    </row>
    <row r="917" spans="1:15" x14ac:dyDescent="0.25">
      <c r="A917" s="79">
        <v>43053</v>
      </c>
      <c r="B917" s="80" t="s">
        <v>5343</v>
      </c>
      <c r="C917" s="80" t="s">
        <v>4848</v>
      </c>
      <c r="D917" s="80" t="s">
        <v>511</v>
      </c>
      <c r="E917" s="81">
        <v>13800</v>
      </c>
      <c r="F917" s="80" t="s">
        <v>4810</v>
      </c>
      <c r="G917" s="81">
        <v>619.65960600000005</v>
      </c>
      <c r="H917" s="81">
        <v>10.878447</v>
      </c>
      <c r="I917" s="80" t="s">
        <v>4800</v>
      </c>
      <c r="L917" s="3">
        <f>VLOOKUP(C917,Securities!A:D,4,FALSE)</f>
        <v>1</v>
      </c>
      <c r="M917" s="3" t="str">
        <f>VLOOKUP(C917,Securities!A:B,2,FALSE)</f>
        <v>NVTK RX Equity</v>
      </c>
      <c r="O917" s="3">
        <f t="shared" si="15"/>
        <v>13800</v>
      </c>
    </row>
    <row r="918" spans="1:15" x14ac:dyDescent="0.25">
      <c r="A918" s="76">
        <v>43053</v>
      </c>
      <c r="B918" s="77" t="s">
        <v>5343</v>
      </c>
      <c r="C918" s="77" t="s">
        <v>4849</v>
      </c>
      <c r="D918" s="77" t="s">
        <v>4850</v>
      </c>
      <c r="E918" s="78">
        <v>34790</v>
      </c>
      <c r="F918" s="77" t="s">
        <v>4825</v>
      </c>
      <c r="G918" s="78">
        <v>261.61720300000002</v>
      </c>
      <c r="H918" s="78">
        <v>4.3098130000000001</v>
      </c>
      <c r="I918" s="77" t="s">
        <v>4800</v>
      </c>
      <c r="L918" s="3">
        <f>VLOOKUP(C918,Securities!A:D,4,FALSE)</f>
        <v>1</v>
      </c>
      <c r="M918" s="3" t="str">
        <f>VLOOKUP(C918,Securities!A:B,2,FALSE)</f>
        <v>OGZD LI Equity</v>
      </c>
      <c r="O918" s="3">
        <f t="shared" si="15"/>
        <v>34790</v>
      </c>
    </row>
    <row r="919" spans="1:15" x14ac:dyDescent="0.25">
      <c r="A919" s="79">
        <v>43053</v>
      </c>
      <c r="B919" s="80" t="s">
        <v>5343</v>
      </c>
      <c r="C919" s="80" t="s">
        <v>4821</v>
      </c>
      <c r="D919" s="80" t="s">
        <v>42</v>
      </c>
      <c r="E919" s="81">
        <v>13835</v>
      </c>
      <c r="F919" s="80" t="s">
        <v>4799</v>
      </c>
      <c r="G919" s="81">
        <v>663.71491000000003</v>
      </c>
      <c r="H919" s="81">
        <v>11.087331000000001</v>
      </c>
      <c r="I919" s="80" t="s">
        <v>4800</v>
      </c>
      <c r="L919" s="3">
        <f>VLOOKUP(C919,Securities!A:D,4,FALSE)</f>
        <v>1</v>
      </c>
      <c r="M919" s="3" t="str">
        <f>VLOOKUP(C919,Securities!A:B,2,FALSE)</f>
        <v>POLY LN Equity</v>
      </c>
      <c r="O919" s="3">
        <f t="shared" si="15"/>
        <v>13835</v>
      </c>
    </row>
    <row r="920" spans="1:15" x14ac:dyDescent="0.25">
      <c r="A920" s="76">
        <v>43053</v>
      </c>
      <c r="B920" s="77" t="s">
        <v>5343</v>
      </c>
      <c r="C920" s="77" t="s">
        <v>4834</v>
      </c>
      <c r="D920" s="77" t="s">
        <v>51</v>
      </c>
      <c r="E920" s="78">
        <v>5715</v>
      </c>
      <c r="F920" s="77" t="s">
        <v>4825</v>
      </c>
      <c r="G920" s="78">
        <v>1034.6777279999999</v>
      </c>
      <c r="H920" s="78">
        <v>17.498000000000001</v>
      </c>
      <c r="I920" s="77" t="s">
        <v>4800</v>
      </c>
      <c r="L920" s="3">
        <f>VLOOKUP(C920,Securities!A:D,4,FALSE)</f>
        <v>1</v>
      </c>
      <c r="M920" s="3" t="str">
        <f>VLOOKUP(C920,Securities!A:B,2,FALSE)</f>
        <v>QIWI US Equity</v>
      </c>
      <c r="O920" s="3">
        <f t="shared" si="15"/>
        <v>5715</v>
      </c>
    </row>
    <row r="921" spans="1:15" x14ac:dyDescent="0.25">
      <c r="A921" s="79">
        <v>43053</v>
      </c>
      <c r="B921" s="80" t="s">
        <v>5343</v>
      </c>
      <c r="C921" s="80" t="s">
        <v>4851</v>
      </c>
      <c r="D921" s="80" t="s">
        <v>4744</v>
      </c>
      <c r="E921" s="81">
        <v>900000</v>
      </c>
      <c r="F921" s="80" t="s">
        <v>4806</v>
      </c>
      <c r="G921" s="81">
        <v>101.5</v>
      </c>
      <c r="H921" s="81">
        <v>101.5</v>
      </c>
      <c r="I921" s="80" t="s">
        <v>4800</v>
      </c>
      <c r="L921" s="3">
        <f>VLOOKUP(C921,Securities!A:D,4,FALSE)</f>
        <v>5</v>
      </c>
      <c r="M921" s="3" t="str">
        <f>VLOOKUP(C921,Securities!A:B,2,FALSE)</f>
        <v>XS1032750165 Corp</v>
      </c>
      <c r="O921" s="3">
        <f t="shared" si="15"/>
        <v>900000</v>
      </c>
    </row>
    <row r="922" spans="1:15" x14ac:dyDescent="0.25">
      <c r="A922" s="76">
        <v>43053</v>
      </c>
      <c r="B922" s="77" t="s">
        <v>5343</v>
      </c>
      <c r="C922" s="77" t="s">
        <v>4824</v>
      </c>
      <c r="D922" s="77" t="s">
        <v>4674</v>
      </c>
      <c r="E922" s="78">
        <v>22222</v>
      </c>
      <c r="F922" s="77" t="s">
        <v>4825</v>
      </c>
      <c r="G922" s="78">
        <v>0</v>
      </c>
      <c r="H922" s="78">
        <v>0</v>
      </c>
      <c r="I922" s="77" t="s">
        <v>4800</v>
      </c>
      <c r="L922" s="3">
        <f>VLOOKUP(C922,Securities!A:D,4,FALSE)</f>
        <v>1</v>
      </c>
      <c r="M922" s="3" t="str">
        <f>VLOOKUP(C922,Securities!A:B,2,FALSE)</f>
        <v>VEON US Equity</v>
      </c>
      <c r="O922" s="3">
        <f t="shared" si="15"/>
        <v>22222</v>
      </c>
    </row>
    <row r="923" spans="1:15" x14ac:dyDescent="0.25">
      <c r="A923" s="79">
        <v>43053</v>
      </c>
      <c r="B923" s="80" t="s">
        <v>5344</v>
      </c>
      <c r="C923" s="80" t="s">
        <v>4973</v>
      </c>
      <c r="D923" s="80" t="s">
        <v>23</v>
      </c>
      <c r="E923" s="81">
        <v>3495</v>
      </c>
      <c r="F923" s="80" t="s">
        <v>4974</v>
      </c>
      <c r="G923" s="81">
        <v>101.33</v>
      </c>
      <c r="H923" s="81">
        <v>101.33</v>
      </c>
      <c r="I923" s="80" t="s">
        <v>4800</v>
      </c>
      <c r="L923" s="3">
        <f>VLOOKUP(C923,Securities!A:D,4,FALSE)</f>
        <v>5</v>
      </c>
      <c r="M923" s="3" t="str">
        <f>VLOOKUP(C923,Securities!A:B,2,FALSE)</f>
        <v>RU000A0JV7K7 Corp</v>
      </c>
      <c r="O923" s="3">
        <f t="shared" si="15"/>
        <v>3495</v>
      </c>
    </row>
    <row r="924" spans="1:15" x14ac:dyDescent="0.25">
      <c r="A924" s="76">
        <v>43053</v>
      </c>
      <c r="B924" s="77" t="s">
        <v>5344</v>
      </c>
      <c r="C924" s="77" t="s">
        <v>5192</v>
      </c>
      <c r="D924" s="77" t="s">
        <v>25</v>
      </c>
      <c r="E924" s="78">
        <v>9880</v>
      </c>
      <c r="F924" s="77" t="s">
        <v>4974</v>
      </c>
      <c r="G924" s="78">
        <v>98.86</v>
      </c>
      <c r="H924" s="78">
        <v>98.86</v>
      </c>
      <c r="I924" s="77" t="s">
        <v>4800</v>
      </c>
      <c r="L924" s="3">
        <f>VLOOKUP(C924,Securities!A:D,4,FALSE)</f>
        <v>5</v>
      </c>
      <c r="M924" s="3" t="str">
        <f>VLOOKUP(C924,Securities!A:B,2,FALSE)</f>
        <v>EJ545131 Corp</v>
      </c>
      <c r="O924" s="3">
        <f t="shared" si="15"/>
        <v>9880</v>
      </c>
    </row>
    <row r="925" spans="1:15" x14ac:dyDescent="0.25">
      <c r="A925" s="79">
        <v>43053</v>
      </c>
      <c r="B925" s="80" t="s">
        <v>5344</v>
      </c>
      <c r="C925" s="80" t="s">
        <v>5066</v>
      </c>
      <c r="D925" s="80" t="s">
        <v>26</v>
      </c>
      <c r="E925" s="81">
        <v>9850</v>
      </c>
      <c r="F925" s="80" t="s">
        <v>4974</v>
      </c>
      <c r="G925" s="81">
        <v>99.7</v>
      </c>
      <c r="H925" s="81">
        <v>99.7</v>
      </c>
      <c r="I925" s="80" t="s">
        <v>4800</v>
      </c>
      <c r="L925" s="3">
        <f>VLOOKUP(C925,Securities!A:D,4,FALSE)</f>
        <v>5</v>
      </c>
      <c r="M925" s="3" t="str">
        <f>VLOOKUP(C925,Securities!A:B,2,FALSE)</f>
        <v>RU000A0JRCJ6 Corp</v>
      </c>
      <c r="O925" s="3">
        <f t="shared" si="15"/>
        <v>9850</v>
      </c>
    </row>
    <row r="926" spans="1:15" x14ac:dyDescent="0.25">
      <c r="A926" s="76">
        <v>43053</v>
      </c>
      <c r="B926" s="77" t="s">
        <v>5344</v>
      </c>
      <c r="C926" s="77" t="s">
        <v>5345</v>
      </c>
      <c r="D926" s="77" t="s">
        <v>5346</v>
      </c>
      <c r="E926" s="78">
        <v>100000</v>
      </c>
      <c r="F926" s="77" t="s">
        <v>4838</v>
      </c>
      <c r="G926" s="78">
        <v>100</v>
      </c>
      <c r="H926" s="78">
        <v>100</v>
      </c>
      <c r="I926" s="77" t="s">
        <v>4800</v>
      </c>
      <c r="L926" s="3">
        <f>VLOOKUP(C926,Securities!A:D,4,FALSE)</f>
        <v>5</v>
      </c>
      <c r="M926" s="3" t="str">
        <f>VLOOKUP(C926,Securities!A:B,2,FALSE)</f>
        <v>CH0355508588 Corp</v>
      </c>
      <c r="O926" s="3">
        <f t="shared" si="15"/>
        <v>100000</v>
      </c>
    </row>
    <row r="927" spans="1:15" x14ac:dyDescent="0.25">
      <c r="A927" s="79">
        <v>43053</v>
      </c>
      <c r="B927" s="80" t="s">
        <v>5344</v>
      </c>
      <c r="C927" s="80" t="s">
        <v>4805</v>
      </c>
      <c r="D927" s="80" t="s">
        <v>31</v>
      </c>
      <c r="E927" s="81">
        <v>32000</v>
      </c>
      <c r="F927" s="80" t="s">
        <v>4806</v>
      </c>
      <c r="G927" s="81">
        <v>175</v>
      </c>
      <c r="H927" s="81">
        <v>175</v>
      </c>
      <c r="I927" s="80" t="s">
        <v>4800</v>
      </c>
      <c r="L927" s="3">
        <f>VLOOKUP(C927,Securities!A:D,4,FALSE)</f>
        <v>5</v>
      </c>
      <c r="M927" s="3" t="str">
        <f>VLOOKUP(C927,Securities!A:B,2,FALSE)</f>
        <v>TT343269 Corp</v>
      </c>
      <c r="O927" s="3">
        <f t="shared" si="15"/>
        <v>32000</v>
      </c>
    </row>
    <row r="928" spans="1:15" x14ac:dyDescent="0.25">
      <c r="A928" s="76">
        <v>43053</v>
      </c>
      <c r="B928" s="77" t="s">
        <v>5344</v>
      </c>
      <c r="C928" s="77" t="s">
        <v>4932</v>
      </c>
      <c r="D928" s="77" t="s">
        <v>4933</v>
      </c>
      <c r="E928" s="78">
        <v>10800</v>
      </c>
      <c r="F928" s="77" t="s">
        <v>4814</v>
      </c>
      <c r="G928" s="78">
        <v>100</v>
      </c>
      <c r="H928" s="78">
        <v>100</v>
      </c>
      <c r="I928" s="77" t="s">
        <v>4800</v>
      </c>
      <c r="L928" s="3">
        <f>VLOOKUP(C928,Securities!A:D,4,FALSE)</f>
        <v>5</v>
      </c>
      <c r="M928" s="3" t="str">
        <f>VLOOKUP(C928,Securities!A:B,2,FALSE)</f>
        <v>RU000A0ZYBS1 Corp</v>
      </c>
      <c r="O928" s="3">
        <f t="shared" si="15"/>
        <v>10800</v>
      </c>
    </row>
    <row r="929" spans="1:15" x14ac:dyDescent="0.25">
      <c r="A929" s="79">
        <v>43053</v>
      </c>
      <c r="B929" s="80" t="s">
        <v>5344</v>
      </c>
      <c r="C929" s="80" t="s">
        <v>5347</v>
      </c>
      <c r="D929" s="80" t="s">
        <v>5348</v>
      </c>
      <c r="E929" s="81">
        <v>60000</v>
      </c>
      <c r="F929" s="80" t="s">
        <v>4838</v>
      </c>
      <c r="G929" s="81">
        <v>100</v>
      </c>
      <c r="H929" s="81">
        <v>100</v>
      </c>
      <c r="I929" s="80" t="s">
        <v>4800</v>
      </c>
      <c r="L929" s="3">
        <f>VLOOKUP(C929,Securities!A:D,4,FALSE)</f>
        <v>5</v>
      </c>
      <c r="M929" s="3" t="str">
        <f>VLOOKUP(C929,Securities!A:B,2,FALSE)</f>
        <v>XS1337079997 Corp</v>
      </c>
      <c r="O929" s="3">
        <f t="shared" si="15"/>
        <v>60000</v>
      </c>
    </row>
    <row r="930" spans="1:15" x14ac:dyDescent="0.25">
      <c r="A930" s="76">
        <v>43053</v>
      </c>
      <c r="B930" s="77" t="s">
        <v>5344</v>
      </c>
      <c r="C930" s="77" t="s">
        <v>5059</v>
      </c>
      <c r="D930" s="77" t="s">
        <v>5060</v>
      </c>
      <c r="E930" s="78">
        <v>287000</v>
      </c>
      <c r="F930" s="77" t="s">
        <v>4806</v>
      </c>
      <c r="G930" s="78">
        <v>101.5</v>
      </c>
      <c r="H930" s="78">
        <v>101.5</v>
      </c>
      <c r="I930" s="77" t="s">
        <v>4800</v>
      </c>
      <c r="L930" s="3">
        <f>VLOOKUP(C930,Securities!A:D,4,FALSE)</f>
        <v>5</v>
      </c>
      <c r="M930" s="3" t="str">
        <f>VLOOKUP(C930,Securities!A:B,2,FALSE)</f>
        <v>XS0893212398 Corp</v>
      </c>
      <c r="O930" s="3">
        <f t="shared" si="15"/>
        <v>287000</v>
      </c>
    </row>
    <row r="931" spans="1:15" x14ac:dyDescent="0.25">
      <c r="A931" s="79">
        <v>43053</v>
      </c>
      <c r="B931" s="80" t="s">
        <v>5349</v>
      </c>
      <c r="C931" s="80" t="s">
        <v>4803</v>
      </c>
      <c r="D931" s="80" t="s">
        <v>39</v>
      </c>
      <c r="E931" s="81">
        <v>2800</v>
      </c>
      <c r="F931" s="80" t="s">
        <v>4804</v>
      </c>
      <c r="G931" s="81">
        <v>711.71101699999997</v>
      </c>
      <c r="H931" s="81">
        <v>12.610739000000001</v>
      </c>
      <c r="I931" s="80" t="s">
        <v>4800</v>
      </c>
      <c r="L931" s="3">
        <f>VLOOKUP(C931,Securities!A:D,4,FALSE)</f>
        <v>1</v>
      </c>
      <c r="M931" s="3" t="str">
        <f>VLOOKUP(C931,Securities!A:B,2,FALSE)</f>
        <v>AGRO LI Equity</v>
      </c>
      <c r="O931" s="3">
        <f t="shared" si="15"/>
        <v>2800</v>
      </c>
    </row>
    <row r="932" spans="1:15" x14ac:dyDescent="0.25">
      <c r="A932" s="76">
        <v>43053</v>
      </c>
      <c r="B932" s="77" t="s">
        <v>5349</v>
      </c>
      <c r="C932" s="77" t="s">
        <v>4869</v>
      </c>
      <c r="D932" s="77" t="s">
        <v>4870</v>
      </c>
      <c r="E932" s="78">
        <v>100000</v>
      </c>
      <c r="F932" s="77" t="s">
        <v>4838</v>
      </c>
      <c r="G932" s="78">
        <v>100</v>
      </c>
      <c r="H932" s="78">
        <v>100</v>
      </c>
      <c r="I932" s="77" t="s">
        <v>4800</v>
      </c>
      <c r="L932" s="3">
        <f>VLOOKUP(C932,Securities!A:D,4,FALSE)</f>
        <v>5</v>
      </c>
      <c r="M932" s="3" t="str">
        <f>VLOOKUP(C932,Securities!A:B,2,FALSE)</f>
        <v>CH0384862550 Corp</v>
      </c>
      <c r="O932" s="3">
        <f t="shared" si="15"/>
        <v>100000</v>
      </c>
    </row>
    <row r="933" spans="1:15" x14ac:dyDescent="0.25">
      <c r="A933" s="79">
        <v>43053</v>
      </c>
      <c r="B933" s="80" t="s">
        <v>5349</v>
      </c>
      <c r="C933" s="80" t="s">
        <v>4805</v>
      </c>
      <c r="D933" s="80" t="s">
        <v>31</v>
      </c>
      <c r="E933" s="81">
        <v>177000</v>
      </c>
      <c r="F933" s="80" t="s">
        <v>4806</v>
      </c>
      <c r="G933" s="81">
        <v>175.27652499999999</v>
      </c>
      <c r="H933" s="81">
        <v>175.27652499999999</v>
      </c>
      <c r="I933" s="80" t="s">
        <v>4800</v>
      </c>
      <c r="L933" s="3">
        <f>VLOOKUP(C933,Securities!A:D,4,FALSE)</f>
        <v>5</v>
      </c>
      <c r="M933" s="3" t="str">
        <f>VLOOKUP(C933,Securities!A:B,2,FALSE)</f>
        <v>TT343269 Corp</v>
      </c>
      <c r="O933" s="3">
        <f t="shared" si="15"/>
        <v>177000</v>
      </c>
    </row>
    <row r="934" spans="1:15" x14ac:dyDescent="0.25">
      <c r="A934" s="76">
        <v>43053</v>
      </c>
      <c r="B934" s="77" t="s">
        <v>5349</v>
      </c>
      <c r="C934" s="77" t="s">
        <v>4970</v>
      </c>
      <c r="D934" s="77" t="s">
        <v>4971</v>
      </c>
      <c r="E934" s="78">
        <v>970</v>
      </c>
      <c r="F934" s="77" t="s">
        <v>4799</v>
      </c>
      <c r="G934" s="78">
        <v>4179.4667220000001</v>
      </c>
      <c r="H934" s="78">
        <v>70.826922999999994</v>
      </c>
      <c r="I934" s="77" t="s">
        <v>4800</v>
      </c>
      <c r="L934" s="3">
        <f>VLOOKUP(C934,Securities!A:D,4,FALSE)</f>
        <v>1</v>
      </c>
      <c r="M934" s="3" t="str">
        <f>VLOOKUP(C934,Securities!A:B,2,FALSE)</f>
        <v>GILD US Equity</v>
      </c>
      <c r="O934" s="3">
        <f t="shared" si="15"/>
        <v>970</v>
      </c>
    </row>
    <row r="935" spans="1:15" x14ac:dyDescent="0.25">
      <c r="A935" s="79">
        <v>43053</v>
      </c>
      <c r="B935" s="80" t="s">
        <v>5349</v>
      </c>
      <c r="C935" s="80" t="s">
        <v>4811</v>
      </c>
      <c r="D935" s="80" t="s">
        <v>4659</v>
      </c>
      <c r="E935" s="81">
        <v>21430</v>
      </c>
      <c r="F935" s="80" t="s">
        <v>4799</v>
      </c>
      <c r="G935" s="81">
        <v>119.277784</v>
      </c>
      <c r="H935" s="81">
        <v>2.0965240000000001</v>
      </c>
      <c r="I935" s="80" t="s">
        <v>4800</v>
      </c>
      <c r="L935" s="3">
        <f>VLOOKUP(C935,Securities!A:D,4,FALSE)</f>
        <v>1</v>
      </c>
      <c r="M935" s="3" t="str">
        <f>VLOOKUP(C935,Securities!A:B,2,FALSE)</f>
        <v>HGM LN Equity</v>
      </c>
      <c r="O935" s="3">
        <f t="shared" si="15"/>
        <v>21430</v>
      </c>
    </row>
    <row r="936" spans="1:15" x14ac:dyDescent="0.25">
      <c r="A936" s="76">
        <v>43053</v>
      </c>
      <c r="B936" s="77" t="s">
        <v>5349</v>
      </c>
      <c r="C936" s="77" t="s">
        <v>4812</v>
      </c>
      <c r="D936" s="77" t="s">
        <v>4675</v>
      </c>
      <c r="E936" s="78">
        <v>5000</v>
      </c>
      <c r="F936" s="77" t="s">
        <v>4804</v>
      </c>
      <c r="G936" s="78">
        <v>578.21267</v>
      </c>
      <c r="H936" s="78">
        <v>10.050000000000001</v>
      </c>
      <c r="I936" s="77" t="s">
        <v>4800</v>
      </c>
      <c r="L936" s="3">
        <f>VLOOKUP(C936,Securities!A:D,4,FALSE)</f>
        <v>1</v>
      </c>
      <c r="M936" s="3" t="str">
        <f>VLOOKUP(C936,Securities!A:B,2,FALSE)</f>
        <v>KMG LI Equity</v>
      </c>
      <c r="O936" s="3">
        <f t="shared" si="15"/>
        <v>5000</v>
      </c>
    </row>
    <row r="937" spans="1:15" x14ac:dyDescent="0.25">
      <c r="A937" s="79">
        <v>43053</v>
      </c>
      <c r="B937" s="80" t="s">
        <v>5349</v>
      </c>
      <c r="C937" s="80" t="s">
        <v>4815</v>
      </c>
      <c r="D937" s="80" t="s">
        <v>4676</v>
      </c>
      <c r="E937" s="81">
        <v>1167</v>
      </c>
      <c r="F937" s="80" t="s">
        <v>4799</v>
      </c>
      <c r="G937" s="81">
        <v>2568.7554839999998</v>
      </c>
      <c r="H937" s="81">
        <v>42.862741999999997</v>
      </c>
      <c r="I937" s="80" t="s">
        <v>4800</v>
      </c>
      <c r="L937" s="3">
        <f>VLOOKUP(C937,Securities!A:D,4,FALSE)</f>
        <v>1</v>
      </c>
      <c r="M937" s="3" t="str">
        <f>VLOOKUP(C937,Securities!A:B,2,FALSE)</f>
        <v>LXFT US Equity</v>
      </c>
      <c r="O937" s="3">
        <f t="shared" si="15"/>
        <v>1167</v>
      </c>
    </row>
    <row r="938" spans="1:15" x14ac:dyDescent="0.25">
      <c r="A938" s="76">
        <v>43053</v>
      </c>
      <c r="B938" s="77" t="s">
        <v>5349</v>
      </c>
      <c r="C938" s="77" t="s">
        <v>4819</v>
      </c>
      <c r="D938" s="77" t="s">
        <v>4820</v>
      </c>
      <c r="E938" s="78">
        <v>200000</v>
      </c>
      <c r="F938" s="77" t="s">
        <v>4806</v>
      </c>
      <c r="G938" s="78">
        <v>103</v>
      </c>
      <c r="H938" s="78">
        <v>103</v>
      </c>
      <c r="I938" s="77" t="s">
        <v>4800</v>
      </c>
      <c r="L938" s="3">
        <f>VLOOKUP(C938,Securities!A:D,4,FALSE)</f>
        <v>5</v>
      </c>
      <c r="M938" s="3" t="str">
        <f>VLOOKUP(C938,Securities!A:B,2,FALSE)</f>
        <v>XS0776121062 Corp</v>
      </c>
      <c r="O938" s="3">
        <f t="shared" si="15"/>
        <v>200000</v>
      </c>
    </row>
    <row r="939" spans="1:15" x14ac:dyDescent="0.25">
      <c r="A939" s="79">
        <v>43053</v>
      </c>
      <c r="B939" s="80" t="s">
        <v>5349</v>
      </c>
      <c r="C939" s="80" t="s">
        <v>4821</v>
      </c>
      <c r="D939" s="80" t="s">
        <v>42</v>
      </c>
      <c r="E939" s="81">
        <v>3537</v>
      </c>
      <c r="F939" s="80" t="s">
        <v>4799</v>
      </c>
      <c r="G939" s="81">
        <v>601.57940699999995</v>
      </c>
      <c r="H939" s="81">
        <v>9.8839769999999998</v>
      </c>
      <c r="I939" s="80" t="s">
        <v>4800</v>
      </c>
      <c r="L939" s="3">
        <f>VLOOKUP(C939,Securities!A:D,4,FALSE)</f>
        <v>1</v>
      </c>
      <c r="M939" s="3" t="str">
        <f>VLOOKUP(C939,Securities!A:B,2,FALSE)</f>
        <v>POLY LN Equity</v>
      </c>
      <c r="O939" s="3">
        <f t="shared" si="15"/>
        <v>3537</v>
      </c>
    </row>
    <row r="940" spans="1:15" x14ac:dyDescent="0.25">
      <c r="A940" s="76">
        <v>43053</v>
      </c>
      <c r="B940" s="77" t="s">
        <v>5349</v>
      </c>
      <c r="C940" s="77" t="s">
        <v>4852</v>
      </c>
      <c r="D940" s="77" t="s">
        <v>4853</v>
      </c>
      <c r="E940" s="78">
        <v>265000</v>
      </c>
      <c r="F940" s="77" t="s">
        <v>4806</v>
      </c>
      <c r="G940" s="78">
        <v>100</v>
      </c>
      <c r="H940" s="78">
        <v>100</v>
      </c>
      <c r="I940" s="77" t="s">
        <v>4800</v>
      </c>
      <c r="L940" s="3">
        <f>VLOOKUP(C940,Securities!A:D,4,FALSE)</f>
        <v>5</v>
      </c>
      <c r="M940" s="3" t="str">
        <f>VLOOKUP(C940,Securities!A:B,2,FALSE)</f>
        <v>XS1631338495 Corp</v>
      </c>
      <c r="O940" s="3">
        <f t="shared" si="15"/>
        <v>265000</v>
      </c>
    </row>
    <row r="941" spans="1:15" x14ac:dyDescent="0.25">
      <c r="A941" s="79">
        <v>43053</v>
      </c>
      <c r="B941" s="80" t="s">
        <v>5349</v>
      </c>
      <c r="C941" s="80" t="s">
        <v>4824</v>
      </c>
      <c r="D941" s="80" t="s">
        <v>4674</v>
      </c>
      <c r="E941" s="81">
        <v>4500</v>
      </c>
      <c r="F941" s="80" t="s">
        <v>4825</v>
      </c>
      <c r="G941" s="81">
        <v>0</v>
      </c>
      <c r="H941" s="81">
        <v>0</v>
      </c>
      <c r="I941" s="80" t="s">
        <v>4800</v>
      </c>
      <c r="L941" s="3">
        <f>VLOOKUP(C941,Securities!A:D,4,FALSE)</f>
        <v>1</v>
      </c>
      <c r="M941" s="3" t="str">
        <f>VLOOKUP(C941,Securities!A:B,2,FALSE)</f>
        <v>VEON US Equity</v>
      </c>
      <c r="O941" s="3">
        <f t="shared" si="15"/>
        <v>4500</v>
      </c>
    </row>
    <row r="942" spans="1:15" x14ac:dyDescent="0.25">
      <c r="A942" s="76">
        <v>43053</v>
      </c>
      <c r="B942" s="77" t="s">
        <v>5350</v>
      </c>
      <c r="C942" s="77" t="s">
        <v>4866</v>
      </c>
      <c r="D942" s="77" t="s">
        <v>99</v>
      </c>
      <c r="E942" s="78">
        <v>14585</v>
      </c>
      <c r="F942" s="77" t="s">
        <v>4810</v>
      </c>
      <c r="G942" s="78">
        <v>78.401415</v>
      </c>
      <c r="H942" s="78">
        <v>1.355246</v>
      </c>
      <c r="I942" s="77" t="s">
        <v>4800</v>
      </c>
      <c r="L942" s="3">
        <f>VLOOKUP(C942,Securities!A:D,4,FALSE)</f>
        <v>1</v>
      </c>
      <c r="M942" s="3" t="str">
        <f>VLOOKUP(C942,Securities!A:B,2,FALSE)</f>
        <v>ALRS RX Equity</v>
      </c>
      <c r="O942" s="3">
        <f t="shared" si="15"/>
        <v>14585</v>
      </c>
    </row>
    <row r="943" spans="1:15" x14ac:dyDescent="0.25">
      <c r="A943" s="79">
        <v>43053</v>
      </c>
      <c r="B943" s="80" t="s">
        <v>5350</v>
      </c>
      <c r="C943" s="80" t="s">
        <v>4827</v>
      </c>
      <c r="D943" s="80" t="s">
        <v>4828</v>
      </c>
      <c r="E943" s="81">
        <v>-2423</v>
      </c>
      <c r="F943" s="80" t="s">
        <v>4829</v>
      </c>
      <c r="G943" s="81">
        <v>34840.439984999997</v>
      </c>
      <c r="H943" s="81">
        <v>600.28505500000006</v>
      </c>
      <c r="I943" s="80" t="s">
        <v>4800</v>
      </c>
      <c r="L943" s="3">
        <f>VLOOKUP(C943,Securities!A:D,4,FALSE)</f>
        <v>15</v>
      </c>
      <c r="M943" s="3" t="str">
        <f>VLOOKUP(C943,Securities!A:B,2,FALSE)</f>
        <v>B5Z7 Comdty</v>
      </c>
      <c r="O943" s="3">
        <f t="shared" si="15"/>
        <v>-2423</v>
      </c>
    </row>
    <row r="944" spans="1:15" x14ac:dyDescent="0.25">
      <c r="A944" s="76">
        <v>43053</v>
      </c>
      <c r="B944" s="77" t="s">
        <v>5350</v>
      </c>
      <c r="C944" s="77" t="s">
        <v>4910</v>
      </c>
      <c r="D944" s="77" t="s">
        <v>366</v>
      </c>
      <c r="E944" s="78">
        <v>1644</v>
      </c>
      <c r="F944" s="77" t="s">
        <v>4810</v>
      </c>
      <c r="G944" s="78">
        <v>888</v>
      </c>
      <c r="H944" s="78">
        <v>15.547280000000001</v>
      </c>
      <c r="I944" s="77" t="s">
        <v>4800</v>
      </c>
      <c r="L944" s="3">
        <f>VLOOKUP(C944,Securities!A:D,4,FALSE)</f>
        <v>1</v>
      </c>
      <c r="M944" s="3" t="str">
        <f>VLOOKUP(C944,Securities!A:B,2,FALSE)</f>
        <v>LSRG RX Equity</v>
      </c>
      <c r="O944" s="3">
        <f t="shared" si="15"/>
        <v>1644</v>
      </c>
    </row>
    <row r="945" spans="1:15" x14ac:dyDescent="0.25">
      <c r="A945" s="79">
        <v>43053</v>
      </c>
      <c r="B945" s="80" t="s">
        <v>5350</v>
      </c>
      <c r="C945" s="80" t="s">
        <v>4982</v>
      </c>
      <c r="D945" s="80" t="s">
        <v>4983</v>
      </c>
      <c r="E945" s="81">
        <v>3000</v>
      </c>
      <c r="F945" s="80" t="s">
        <v>4814</v>
      </c>
      <c r="G945" s="81">
        <v>100</v>
      </c>
      <c r="H945" s="81">
        <v>100</v>
      </c>
      <c r="I945" s="80" t="s">
        <v>4800</v>
      </c>
      <c r="L945" s="3">
        <f>VLOOKUP(C945,Securities!A:D,4,FALSE)</f>
        <v>5</v>
      </c>
      <c r="M945" s="3" t="str">
        <f>VLOOKUP(C945,Securities!A:B,2,FALSE)</f>
        <v>RU000A0JXVY3 Corp</v>
      </c>
      <c r="O945" s="3">
        <f t="shared" si="15"/>
        <v>3000</v>
      </c>
    </row>
    <row r="946" spans="1:15" x14ac:dyDescent="0.25">
      <c r="A946" s="76">
        <v>43053</v>
      </c>
      <c r="B946" s="77" t="s">
        <v>5350</v>
      </c>
      <c r="C946" s="77" t="s">
        <v>4830</v>
      </c>
      <c r="D946" s="77" t="s">
        <v>4831</v>
      </c>
      <c r="E946" s="78">
        <v>-1383</v>
      </c>
      <c r="F946" s="77" t="s">
        <v>4832</v>
      </c>
      <c r="G946" s="78">
        <v>58457.405188999997</v>
      </c>
      <c r="H946" s="78">
        <v>1014.634802</v>
      </c>
      <c r="I946" s="77" t="s">
        <v>4800</v>
      </c>
      <c r="L946" s="3">
        <f>VLOOKUP(C946,Securities!A:D,4,FALSE)</f>
        <v>15</v>
      </c>
      <c r="M946" s="3" t="str">
        <f>VLOOKUP(C946,Securities!A:B,2,FALSE)</f>
        <v>URZ7 Curncy</v>
      </c>
      <c r="O946" s="3">
        <f t="shared" si="15"/>
        <v>-1383</v>
      </c>
    </row>
    <row r="947" spans="1:15" x14ac:dyDescent="0.25">
      <c r="A947" s="79">
        <v>43053</v>
      </c>
      <c r="B947" s="80" t="s">
        <v>5351</v>
      </c>
      <c r="C947" s="80" t="s">
        <v>4896</v>
      </c>
      <c r="D947" s="80" t="s">
        <v>4897</v>
      </c>
      <c r="E947" s="81">
        <v>1870</v>
      </c>
      <c r="F947" s="80" t="s">
        <v>4898</v>
      </c>
      <c r="G947" s="81">
        <v>1541.4473579999999</v>
      </c>
      <c r="H947" s="81">
        <v>26.75</v>
      </c>
      <c r="I947" s="80" t="s">
        <v>4800</v>
      </c>
      <c r="L947" s="3">
        <f>VLOOKUP(C947,Securities!A:D,4,FALSE)</f>
        <v>1</v>
      </c>
      <c r="M947" s="3" t="str">
        <f>VLOOKUP(C947,Securities!A:B,2,FALSE)</f>
        <v>CNCR US Equity</v>
      </c>
      <c r="O947" s="3">
        <f t="shared" si="15"/>
        <v>1870</v>
      </c>
    </row>
    <row r="948" spans="1:15" x14ac:dyDescent="0.25">
      <c r="A948" s="76">
        <v>43053</v>
      </c>
      <c r="B948" s="77" t="s">
        <v>5351</v>
      </c>
      <c r="C948" s="77" t="s">
        <v>5352</v>
      </c>
      <c r="D948" s="77" t="s">
        <v>5353</v>
      </c>
      <c r="E948" s="78">
        <v>300000</v>
      </c>
      <c r="F948" s="77" t="s">
        <v>4806</v>
      </c>
      <c r="G948" s="78">
        <v>98.1</v>
      </c>
      <c r="H948" s="78">
        <v>98.1</v>
      </c>
      <c r="I948" s="77" t="s">
        <v>4800</v>
      </c>
      <c r="L948" s="3">
        <f>VLOOKUP(C948,Securities!A:D,4,FALSE)</f>
        <v>5</v>
      </c>
      <c r="M948" s="3" t="str">
        <f>VLOOKUP(C948,Securities!A:B,2,FALSE)</f>
        <v>US25152RYE79 Corp</v>
      </c>
      <c r="O948" s="3">
        <f t="shared" si="15"/>
        <v>300000</v>
      </c>
    </row>
    <row r="949" spans="1:15" x14ac:dyDescent="0.25">
      <c r="A949" s="79">
        <v>43053</v>
      </c>
      <c r="B949" s="80" t="s">
        <v>5351</v>
      </c>
      <c r="C949" s="80" t="s">
        <v>5252</v>
      </c>
      <c r="D949" s="80" t="s">
        <v>5253</v>
      </c>
      <c r="E949" s="81">
        <v>200000</v>
      </c>
      <c r="F949" s="80" t="s">
        <v>4806</v>
      </c>
      <c r="G949" s="81">
        <v>84.3</v>
      </c>
      <c r="H949" s="81">
        <v>84.3</v>
      </c>
      <c r="I949" s="80" t="s">
        <v>4800</v>
      </c>
      <c r="L949" s="3">
        <f>VLOOKUP(C949,Securities!A:D,4,FALSE)</f>
        <v>5</v>
      </c>
      <c r="M949" s="3" t="str">
        <f>VLOOKUP(C949,Securities!A:B,2,FALSE)</f>
        <v>XS1071551474 Corp</v>
      </c>
      <c r="O949" s="3">
        <f t="shared" si="15"/>
        <v>200000</v>
      </c>
    </row>
    <row r="950" spans="1:15" x14ac:dyDescent="0.25">
      <c r="A950" s="76">
        <v>43053</v>
      </c>
      <c r="B950" s="77" t="s">
        <v>5351</v>
      </c>
      <c r="C950" s="77" t="s">
        <v>5354</v>
      </c>
      <c r="D950" s="77" t="s">
        <v>5355</v>
      </c>
      <c r="E950" s="78">
        <v>3600</v>
      </c>
      <c r="F950" s="77" t="s">
        <v>4898</v>
      </c>
      <c r="G950" s="78">
        <v>2286.7681320000002</v>
      </c>
      <c r="H950" s="78">
        <v>36.42</v>
      </c>
      <c r="I950" s="77" t="s">
        <v>4800</v>
      </c>
      <c r="L950" s="3">
        <f>VLOOKUP(C950,Securities!A:D,4,FALSE)</f>
        <v>1</v>
      </c>
      <c r="M950" s="3" t="str">
        <f>VLOOKUP(C950,Securities!A:B,2,FALSE)</f>
        <v>EEM US Equity</v>
      </c>
      <c r="O950" s="3">
        <f t="shared" si="15"/>
        <v>3600</v>
      </c>
    </row>
    <row r="951" spans="1:15" x14ac:dyDescent="0.25">
      <c r="A951" s="79">
        <v>43053</v>
      </c>
      <c r="B951" s="80" t="s">
        <v>5351</v>
      </c>
      <c r="C951" s="80" t="s">
        <v>5356</v>
      </c>
      <c r="D951" s="80" t="s">
        <v>5357</v>
      </c>
      <c r="E951" s="81">
        <v>100000</v>
      </c>
      <c r="F951" s="80" t="s">
        <v>4838</v>
      </c>
      <c r="G951" s="81">
        <v>100</v>
      </c>
      <c r="H951" s="81">
        <v>100</v>
      </c>
      <c r="I951" s="80" t="s">
        <v>4800</v>
      </c>
      <c r="L951" s="3">
        <f>VLOOKUP(C951,Securities!A:D,4,FALSE)</f>
        <v>5</v>
      </c>
      <c r="M951" s="3" t="str">
        <f>VLOOKUP(C951,Securities!A:B,2,FALSE)</f>
        <v>CH0374210356 Corp</v>
      </c>
      <c r="O951" s="3">
        <f t="shared" si="15"/>
        <v>100000</v>
      </c>
    </row>
    <row r="952" spans="1:15" x14ac:dyDescent="0.25">
      <c r="A952" s="76">
        <v>43053</v>
      </c>
      <c r="B952" s="77" t="s">
        <v>5351</v>
      </c>
      <c r="C952" s="77" t="s">
        <v>5035</v>
      </c>
      <c r="D952" s="77" t="s">
        <v>5036</v>
      </c>
      <c r="E952" s="78">
        <v>400000</v>
      </c>
      <c r="F952" s="77" t="s">
        <v>4806</v>
      </c>
      <c r="G952" s="78">
        <v>100.3</v>
      </c>
      <c r="H952" s="78">
        <v>100.3</v>
      </c>
      <c r="I952" s="77" t="s">
        <v>4800</v>
      </c>
      <c r="L952" s="3">
        <f>VLOOKUP(C952,Securities!A:D,4,FALSE)</f>
        <v>5</v>
      </c>
      <c r="M952" s="3" t="str">
        <f>VLOOKUP(C952,Securities!A:B,2,FALSE)</f>
        <v>XS0579851949 Corp</v>
      </c>
      <c r="O952" s="3">
        <f t="shared" si="15"/>
        <v>400000</v>
      </c>
    </row>
    <row r="953" spans="1:15" x14ac:dyDescent="0.25">
      <c r="A953" s="79">
        <v>43053</v>
      </c>
      <c r="B953" s="80" t="s">
        <v>5351</v>
      </c>
      <c r="C953" s="80" t="s">
        <v>5358</v>
      </c>
      <c r="D953" s="80" t="s">
        <v>5359</v>
      </c>
      <c r="E953" s="81">
        <v>13500</v>
      </c>
      <c r="F953" s="80" t="s">
        <v>4898</v>
      </c>
      <c r="G953" s="81">
        <v>0</v>
      </c>
      <c r="H953" s="81">
        <v>0</v>
      </c>
      <c r="I953" s="80" t="s">
        <v>4800</v>
      </c>
      <c r="L953" s="3">
        <f>VLOOKUP(C953,Securities!A:D,4,FALSE)</f>
        <v>1</v>
      </c>
      <c r="M953" s="3" t="str">
        <f>VLOOKUP(C953,Securities!A:B,2,FALSE)</f>
        <v>EUFN US Equity</v>
      </c>
      <c r="O953" s="3">
        <f t="shared" si="15"/>
        <v>13500</v>
      </c>
    </row>
    <row r="954" spans="1:15" x14ac:dyDescent="0.25">
      <c r="A954" s="76">
        <v>43053</v>
      </c>
      <c r="B954" s="77" t="s">
        <v>5351</v>
      </c>
      <c r="C954" s="77" t="s">
        <v>4839</v>
      </c>
      <c r="D954" s="77" t="s">
        <v>4840</v>
      </c>
      <c r="E954" s="78">
        <v>200000</v>
      </c>
      <c r="F954" s="77" t="s">
        <v>4838</v>
      </c>
      <c r="G954" s="78">
        <v>100</v>
      </c>
      <c r="H954" s="78">
        <v>100</v>
      </c>
      <c r="I954" s="77" t="s">
        <v>4800</v>
      </c>
      <c r="L954" s="3">
        <f>VLOOKUP(C954,Securities!A:D,4,FALSE)</f>
        <v>5</v>
      </c>
      <c r="M954" s="3" t="str">
        <f>VLOOKUP(C954,Securities!A:B,2,FALSE)</f>
        <v>XS1513271418 Corp</v>
      </c>
      <c r="O954" s="3">
        <f t="shared" si="15"/>
        <v>200000</v>
      </c>
    </row>
    <row r="955" spans="1:15" x14ac:dyDescent="0.25">
      <c r="A955" s="79">
        <v>43053</v>
      </c>
      <c r="B955" s="80" t="s">
        <v>5351</v>
      </c>
      <c r="C955" s="80" t="s">
        <v>5067</v>
      </c>
      <c r="D955" s="80" t="s">
        <v>5068</v>
      </c>
      <c r="E955" s="81">
        <v>100000</v>
      </c>
      <c r="F955" s="80" t="s">
        <v>4838</v>
      </c>
      <c r="G955" s="81">
        <v>100</v>
      </c>
      <c r="H955" s="81">
        <v>100</v>
      </c>
      <c r="I955" s="80" t="s">
        <v>4800</v>
      </c>
      <c r="L955" s="3">
        <f>VLOOKUP(C955,Securities!A:D,4,FALSE)</f>
        <v>5</v>
      </c>
      <c r="M955" s="3" t="str">
        <f>VLOOKUP(C955,Securities!A:B,2,FALSE)</f>
        <v>XS1581931083 Corp</v>
      </c>
      <c r="O955" s="3">
        <f t="shared" si="15"/>
        <v>100000</v>
      </c>
    </row>
    <row r="956" spans="1:15" x14ac:dyDescent="0.25">
      <c r="A956" s="76">
        <v>43053</v>
      </c>
      <c r="B956" s="77" t="s">
        <v>5351</v>
      </c>
      <c r="C956" s="77" t="s">
        <v>5310</v>
      </c>
      <c r="D956" s="77" t="s">
        <v>5311</v>
      </c>
      <c r="E956" s="78">
        <v>4685</v>
      </c>
      <c r="F956" s="77" t="s">
        <v>4898</v>
      </c>
      <c r="G956" s="78">
        <v>1243.915084</v>
      </c>
      <c r="H956" s="78">
        <v>21.35</v>
      </c>
      <c r="I956" s="77" t="s">
        <v>4800</v>
      </c>
      <c r="L956" s="3">
        <f>VLOOKUP(C956,Securities!A:D,4,FALSE)</f>
        <v>1</v>
      </c>
      <c r="M956" s="3" t="str">
        <f>VLOOKUP(C956,Securities!A:B,2,FALSE)</f>
        <v>GDX US Equity</v>
      </c>
      <c r="O956" s="3">
        <f t="shared" si="15"/>
        <v>4685</v>
      </c>
    </row>
    <row r="957" spans="1:15" x14ac:dyDescent="0.25">
      <c r="A957" s="79">
        <v>43053</v>
      </c>
      <c r="B957" s="80" t="s">
        <v>5351</v>
      </c>
      <c r="C957" s="80" t="s">
        <v>5254</v>
      </c>
      <c r="D957" s="80" t="s">
        <v>5255</v>
      </c>
      <c r="E957" s="81">
        <v>850</v>
      </c>
      <c r="F957" s="80" t="s">
        <v>4898</v>
      </c>
      <c r="G957" s="81">
        <v>7919.5824560000001</v>
      </c>
      <c r="H957" s="81">
        <v>118.86</v>
      </c>
      <c r="I957" s="80" t="s">
        <v>4800</v>
      </c>
      <c r="L957" s="3">
        <f>VLOOKUP(C957,Securities!A:D,4,FALSE)</f>
        <v>1</v>
      </c>
      <c r="M957" s="3" t="str">
        <f>VLOOKUP(C957,Securities!A:B,2,FALSE)</f>
        <v>GLD US Equity</v>
      </c>
      <c r="O957" s="3">
        <f t="shared" si="15"/>
        <v>850</v>
      </c>
    </row>
    <row r="958" spans="1:15" x14ac:dyDescent="0.25">
      <c r="A958" s="76">
        <v>43053</v>
      </c>
      <c r="B958" s="77" t="s">
        <v>5351</v>
      </c>
      <c r="C958" s="77" t="s">
        <v>4963</v>
      </c>
      <c r="D958" s="77" t="s">
        <v>4964</v>
      </c>
      <c r="E958" s="78">
        <v>200000</v>
      </c>
      <c r="F958" s="77" t="s">
        <v>4806</v>
      </c>
      <c r="G958" s="78">
        <v>98</v>
      </c>
      <c r="H958" s="78">
        <v>98</v>
      </c>
      <c r="I958" s="77" t="s">
        <v>4800</v>
      </c>
      <c r="L958" s="3">
        <f>VLOOKUP(C958,Securities!A:D,4,FALSE)</f>
        <v>5</v>
      </c>
      <c r="M958" s="3" t="str">
        <f>VLOOKUP(C958,Securities!A:B,2,FALSE)</f>
        <v>XS1439838548 Corp</v>
      </c>
      <c r="O958" s="3">
        <f t="shared" si="15"/>
        <v>200000</v>
      </c>
    </row>
    <row r="959" spans="1:15" x14ac:dyDescent="0.25">
      <c r="A959" s="79">
        <v>43053</v>
      </c>
      <c r="B959" s="80" t="s">
        <v>5351</v>
      </c>
      <c r="C959" s="80" t="s">
        <v>5256</v>
      </c>
      <c r="D959" s="80" t="s">
        <v>5257</v>
      </c>
      <c r="E959" s="81">
        <v>3700</v>
      </c>
      <c r="F959" s="80" t="s">
        <v>4898</v>
      </c>
      <c r="G959" s="81">
        <v>0</v>
      </c>
      <c r="H959" s="81">
        <v>0</v>
      </c>
      <c r="I959" s="80" t="s">
        <v>4800</v>
      </c>
      <c r="L959" s="3">
        <f>VLOOKUP(C959,Securities!A:D,4,FALSE)</f>
        <v>1</v>
      </c>
      <c r="M959" s="3" t="str">
        <f>VLOOKUP(C959,Securities!A:B,2,FALSE)</f>
        <v>HEDJ US Equity</v>
      </c>
      <c r="O959" s="3">
        <f t="shared" si="15"/>
        <v>3700</v>
      </c>
    </row>
    <row r="960" spans="1:15" x14ac:dyDescent="0.25">
      <c r="A960" s="76">
        <v>43053</v>
      </c>
      <c r="B960" s="77" t="s">
        <v>5351</v>
      </c>
      <c r="C960" s="77" t="s">
        <v>5360</v>
      </c>
      <c r="D960" s="77" t="s">
        <v>5361</v>
      </c>
      <c r="E960" s="78">
        <v>2500</v>
      </c>
      <c r="F960" s="77" t="s">
        <v>4898</v>
      </c>
      <c r="G960" s="78">
        <v>5948.93343</v>
      </c>
      <c r="H960" s="78">
        <v>86.4756</v>
      </c>
      <c r="I960" s="77" t="s">
        <v>4800</v>
      </c>
      <c r="L960" s="3">
        <f>VLOOKUP(C960,Securities!A:D,4,FALSE)</f>
        <v>1</v>
      </c>
      <c r="M960" s="3" t="str">
        <f>VLOOKUP(C960,Securities!A:B,2,FALSE)</f>
        <v>HYG US Equity</v>
      </c>
      <c r="O960" s="3">
        <f t="shared" si="15"/>
        <v>2500</v>
      </c>
    </row>
    <row r="961" spans="1:15" x14ac:dyDescent="0.25">
      <c r="A961" s="79">
        <v>43053</v>
      </c>
      <c r="B961" s="80" t="s">
        <v>5351</v>
      </c>
      <c r="C961" s="80" t="s">
        <v>5362</v>
      </c>
      <c r="D961" s="80" t="s">
        <v>5363</v>
      </c>
      <c r="E961" s="81">
        <v>990</v>
      </c>
      <c r="F961" s="80" t="s">
        <v>4898</v>
      </c>
      <c r="G961" s="81">
        <v>0</v>
      </c>
      <c r="H961" s="81">
        <v>0</v>
      </c>
      <c r="I961" s="80" t="s">
        <v>4800</v>
      </c>
      <c r="L961" s="3">
        <f>VLOOKUP(C961,Securities!A:D,4,FALSE)</f>
        <v>1</v>
      </c>
      <c r="M961" s="3" t="str">
        <f>VLOOKUP(C961,Securities!A:B,2,FALSE)</f>
        <v>IXJ US Equity</v>
      </c>
      <c r="O961" s="3">
        <f t="shared" si="15"/>
        <v>990</v>
      </c>
    </row>
    <row r="962" spans="1:15" x14ac:dyDescent="0.25">
      <c r="A962" s="76">
        <v>43053</v>
      </c>
      <c r="B962" s="77" t="s">
        <v>5351</v>
      </c>
      <c r="C962" s="77" t="s">
        <v>4861</v>
      </c>
      <c r="D962" s="77" t="s">
        <v>4862</v>
      </c>
      <c r="E962" s="78">
        <v>200000</v>
      </c>
      <c r="F962" s="77" t="s">
        <v>4806</v>
      </c>
      <c r="G962" s="78">
        <v>104.25</v>
      </c>
      <c r="H962" s="78">
        <v>104.25</v>
      </c>
      <c r="I962" s="77" t="s">
        <v>4800</v>
      </c>
      <c r="L962" s="3">
        <f>VLOOKUP(C962,Securities!A:D,4,FALSE)</f>
        <v>5</v>
      </c>
      <c r="M962" s="3" t="str">
        <f>VLOOKUP(C962,Securities!A:B,2,FALSE)</f>
        <v>USA29866AA70 Corp</v>
      </c>
      <c r="O962" s="3">
        <f t="shared" si="15"/>
        <v>200000</v>
      </c>
    </row>
    <row r="963" spans="1:15" x14ac:dyDescent="0.25">
      <c r="A963" s="79">
        <v>43053</v>
      </c>
      <c r="B963" s="80" t="s">
        <v>5351</v>
      </c>
      <c r="C963" s="80" t="s">
        <v>5364</v>
      </c>
      <c r="D963" s="80" t="s">
        <v>5365</v>
      </c>
      <c r="E963" s="81">
        <v>2152</v>
      </c>
      <c r="F963" s="80" t="s">
        <v>4799</v>
      </c>
      <c r="G963" s="81">
        <v>0</v>
      </c>
      <c r="H963" s="81">
        <v>0</v>
      </c>
      <c r="I963" s="80" t="s">
        <v>4800</v>
      </c>
      <c r="L963" s="3">
        <f>VLOOKUP(C963,Securities!A:D,4,FALSE)</f>
        <v>1</v>
      </c>
      <c r="M963" s="3" t="str">
        <f>VLOOKUP(C963,Securities!A:B,2,FALSE)</f>
        <v>KMI US Equity</v>
      </c>
      <c r="O963" s="3">
        <f t="shared" si="15"/>
        <v>2152</v>
      </c>
    </row>
    <row r="964" spans="1:15" x14ac:dyDescent="0.25">
      <c r="A964" s="76">
        <v>43053</v>
      </c>
      <c r="B964" s="77" t="s">
        <v>5351</v>
      </c>
      <c r="C964" s="77" t="s">
        <v>4863</v>
      </c>
      <c r="D964" s="77" t="s">
        <v>4864</v>
      </c>
      <c r="E964" s="78">
        <v>200000</v>
      </c>
      <c r="F964" s="77" t="s">
        <v>4806</v>
      </c>
      <c r="G964" s="78">
        <v>102.75</v>
      </c>
      <c r="H964" s="78">
        <v>102.75</v>
      </c>
      <c r="I964" s="77" t="s">
        <v>4800</v>
      </c>
      <c r="L964" s="3">
        <f>VLOOKUP(C964,Securities!A:D,4,FALSE)</f>
        <v>5</v>
      </c>
      <c r="M964" s="3" t="str">
        <f>VLOOKUP(C964,Securities!A:B,2,FALSE)</f>
        <v>USN54468AF52 Corp</v>
      </c>
      <c r="O964" s="3">
        <f t="shared" si="15"/>
        <v>200000</v>
      </c>
    </row>
    <row r="965" spans="1:15" x14ac:dyDescent="0.25">
      <c r="A965" s="79">
        <v>43053</v>
      </c>
      <c r="B965" s="80" t="s">
        <v>5351</v>
      </c>
      <c r="C965" s="80" t="s">
        <v>4816</v>
      </c>
      <c r="D965" s="80" t="s">
        <v>4817</v>
      </c>
      <c r="E965" s="81">
        <v>3500</v>
      </c>
      <c r="F965" s="80" t="s">
        <v>4799</v>
      </c>
      <c r="G965" s="81">
        <v>1222.42797</v>
      </c>
      <c r="H965" s="81">
        <v>20.88</v>
      </c>
      <c r="I965" s="80" t="s">
        <v>4800</v>
      </c>
      <c r="L965" s="3">
        <f>VLOOKUP(C965,Securities!A:D,4,FALSE)</f>
        <v>1</v>
      </c>
      <c r="M965" s="3" t="str">
        <f>VLOOKUP(C965,Securities!A:B,2,FALSE)</f>
        <v>M US Equity</v>
      </c>
      <c r="O965" s="3">
        <f t="shared" si="15"/>
        <v>3500</v>
      </c>
    </row>
    <row r="966" spans="1:15" x14ac:dyDescent="0.25">
      <c r="A966" s="76">
        <v>43053</v>
      </c>
      <c r="B966" s="77" t="s">
        <v>5351</v>
      </c>
      <c r="C966" s="77" t="s">
        <v>5069</v>
      </c>
      <c r="D966" s="77" t="s">
        <v>5070</v>
      </c>
      <c r="E966" s="78">
        <v>150000</v>
      </c>
      <c r="F966" s="77" t="s">
        <v>4806</v>
      </c>
      <c r="G966" s="78">
        <v>98.25</v>
      </c>
      <c r="H966" s="78">
        <v>98.25</v>
      </c>
      <c r="I966" s="77" t="s">
        <v>4800</v>
      </c>
      <c r="L966" s="3">
        <f>VLOOKUP(C966,Securities!A:D,4,FALSE)</f>
        <v>5</v>
      </c>
      <c r="M966" s="3" t="str">
        <f>VLOOKUP(C966,Securities!A:B,2,FALSE)</f>
        <v>US65504LAM90 Corp</v>
      </c>
      <c r="O966" s="3">
        <f t="shared" ref="O966:O1029" si="16">SUMIFS(E:E,C:C,C966,B:B,B966)</f>
        <v>150000</v>
      </c>
    </row>
    <row r="967" spans="1:15" x14ac:dyDescent="0.25">
      <c r="A967" s="79">
        <v>43053</v>
      </c>
      <c r="B967" s="80" t="s">
        <v>5351</v>
      </c>
      <c r="C967" s="80" t="s">
        <v>5057</v>
      </c>
      <c r="D967" s="80" t="s">
        <v>5058</v>
      </c>
      <c r="E967" s="81">
        <v>100000</v>
      </c>
      <c r="F967" s="80" t="s">
        <v>4806</v>
      </c>
      <c r="G967" s="81">
        <v>99.5</v>
      </c>
      <c r="H967" s="81">
        <v>99.5</v>
      </c>
      <c r="I967" s="80" t="s">
        <v>4800</v>
      </c>
      <c r="L967" s="3">
        <f>VLOOKUP(C967,Securities!A:D,4,FALSE)</f>
        <v>5</v>
      </c>
      <c r="M967" s="3" t="str">
        <f>VLOOKUP(C967,Securities!A:B,2,FALSE)</f>
        <v>USG79456AK84 Corp</v>
      </c>
      <c r="O967" s="3">
        <f t="shared" si="16"/>
        <v>100000</v>
      </c>
    </row>
    <row r="968" spans="1:15" x14ac:dyDescent="0.25">
      <c r="A968" s="76">
        <v>43053</v>
      </c>
      <c r="B968" s="77" t="s">
        <v>5351</v>
      </c>
      <c r="C968" s="77" t="s">
        <v>5302</v>
      </c>
      <c r="D968" s="77" t="s">
        <v>5303</v>
      </c>
      <c r="E968" s="78">
        <v>100000</v>
      </c>
      <c r="F968" s="77" t="s">
        <v>4806</v>
      </c>
      <c r="G968" s="78">
        <v>97.5</v>
      </c>
      <c r="H968" s="78">
        <v>97.5</v>
      </c>
      <c r="I968" s="77" t="s">
        <v>4800</v>
      </c>
      <c r="L968" s="3">
        <f>VLOOKUP(C968,Securities!A:D,4,FALSE)</f>
        <v>5</v>
      </c>
      <c r="M968" s="3" t="str">
        <f>VLOOKUP(C968,Securities!A:B,2,FALSE)</f>
        <v>USU8810LAA18 Corp</v>
      </c>
      <c r="O968" s="3">
        <f t="shared" si="16"/>
        <v>100000</v>
      </c>
    </row>
    <row r="969" spans="1:15" x14ac:dyDescent="0.25">
      <c r="A969" s="79">
        <v>43053</v>
      </c>
      <c r="B969" s="80" t="s">
        <v>5351</v>
      </c>
      <c r="C969" s="80" t="s">
        <v>4986</v>
      </c>
      <c r="D969" s="80" t="s">
        <v>4987</v>
      </c>
      <c r="E969" s="81">
        <v>200000</v>
      </c>
      <c r="F969" s="80" t="s">
        <v>4806</v>
      </c>
      <c r="G969" s="81">
        <v>100.55</v>
      </c>
      <c r="H969" s="81">
        <v>100.55</v>
      </c>
      <c r="I969" s="80" t="s">
        <v>4800</v>
      </c>
      <c r="L969" s="3">
        <f>VLOOKUP(C969,Securities!A:D,4,FALSE)</f>
        <v>5</v>
      </c>
      <c r="M969" s="3" t="str">
        <f>VLOOKUP(C969,Securities!A:B,2,FALSE)</f>
        <v>USG9328DAM23 Corp</v>
      </c>
      <c r="O969" s="3">
        <f t="shared" si="16"/>
        <v>200000</v>
      </c>
    </row>
    <row r="970" spans="1:15" x14ac:dyDescent="0.25">
      <c r="A970" s="76">
        <v>43053</v>
      </c>
      <c r="B970" s="77" t="s">
        <v>5351</v>
      </c>
      <c r="C970" s="77" t="s">
        <v>5366</v>
      </c>
      <c r="D970" s="77" t="s">
        <v>5367</v>
      </c>
      <c r="E970" s="78">
        <v>8750</v>
      </c>
      <c r="F970" s="77" t="s">
        <v>4825</v>
      </c>
      <c r="G970" s="78">
        <v>0</v>
      </c>
      <c r="H970" s="78">
        <v>0</v>
      </c>
      <c r="I970" s="77" t="s">
        <v>4800</v>
      </c>
      <c r="L970" s="3">
        <f>VLOOKUP(C970,Securities!A:D,4,FALSE)</f>
        <v>1</v>
      </c>
      <c r="M970" s="3" t="str">
        <f>VLOOKUP(C970,Securities!A:B,2,FALSE)</f>
        <v>VIPS US Equity</v>
      </c>
      <c r="O970" s="3">
        <f t="shared" si="16"/>
        <v>8750</v>
      </c>
    </row>
    <row r="971" spans="1:15" x14ac:dyDescent="0.25">
      <c r="A971" s="79">
        <v>43053</v>
      </c>
      <c r="B971" s="80" t="s">
        <v>5351</v>
      </c>
      <c r="C971" s="80" t="s">
        <v>5368</v>
      </c>
      <c r="D971" s="80" t="s">
        <v>5369</v>
      </c>
      <c r="E971" s="81">
        <v>1822</v>
      </c>
      <c r="F971" s="80" t="s">
        <v>4799</v>
      </c>
      <c r="G971" s="81">
        <v>0</v>
      </c>
      <c r="H971" s="81">
        <v>0</v>
      </c>
      <c r="I971" s="80" t="s">
        <v>4800</v>
      </c>
      <c r="L971" s="3">
        <f>VLOOKUP(C971,Securities!A:D,4,FALSE)</f>
        <v>1</v>
      </c>
      <c r="M971" s="3" t="str">
        <f>VLOOKUP(C971,Securities!A:B,2,FALSE)</f>
        <v>WPZ US Equity</v>
      </c>
      <c r="O971" s="3">
        <f t="shared" si="16"/>
        <v>1822</v>
      </c>
    </row>
    <row r="972" spans="1:15" x14ac:dyDescent="0.25">
      <c r="A972" s="76">
        <v>43053</v>
      </c>
      <c r="B972" s="77" t="s">
        <v>5351</v>
      </c>
      <c r="C972" s="77" t="s">
        <v>5370</v>
      </c>
      <c r="D972" s="77" t="s">
        <v>5371</v>
      </c>
      <c r="E972" s="78">
        <v>3900</v>
      </c>
      <c r="F972" s="77" t="s">
        <v>4898</v>
      </c>
      <c r="G972" s="78">
        <v>4277.7881159999997</v>
      </c>
      <c r="H972" s="78">
        <v>68.48</v>
      </c>
      <c r="I972" s="77" t="s">
        <v>4800</v>
      </c>
      <c r="L972" s="3">
        <f>VLOOKUP(C972,Securities!A:D,4,FALSE)</f>
        <v>1</v>
      </c>
      <c r="M972" s="3" t="str">
        <f>VLOOKUP(C972,Securities!A:B,2,FALSE)</f>
        <v>XLE US Equity</v>
      </c>
      <c r="O972" s="3">
        <f t="shared" si="16"/>
        <v>3900</v>
      </c>
    </row>
    <row r="973" spans="1:15" x14ac:dyDescent="0.25">
      <c r="A973" s="79">
        <v>43053</v>
      </c>
      <c r="B973" s="80" t="s">
        <v>5372</v>
      </c>
      <c r="C973" s="80" t="s">
        <v>4798</v>
      </c>
      <c r="D973" s="80" t="s">
        <v>45</v>
      </c>
      <c r="E973" s="81">
        <v>678550</v>
      </c>
      <c r="F973" s="80" t="s">
        <v>4799</v>
      </c>
      <c r="G973" s="81">
        <v>0</v>
      </c>
      <c r="H973" s="81">
        <v>0</v>
      </c>
      <c r="I973" s="80" t="s">
        <v>4800</v>
      </c>
      <c r="L973" s="3">
        <f>VLOOKUP(C973,Securities!A:D,4,FALSE)</f>
        <v>1</v>
      </c>
      <c r="M973" s="3" t="str">
        <f>VLOOKUP(C973,Securities!A:B,2,FALSE)</f>
        <v>RUAL RX Equity</v>
      </c>
      <c r="O973" s="3">
        <f t="shared" si="16"/>
        <v>678550</v>
      </c>
    </row>
    <row r="974" spans="1:15" x14ac:dyDescent="0.25">
      <c r="A974" s="76">
        <v>43053</v>
      </c>
      <c r="B974" s="77" t="s">
        <v>5372</v>
      </c>
      <c r="C974" s="77" t="s">
        <v>4803</v>
      </c>
      <c r="D974" s="77" t="s">
        <v>39</v>
      </c>
      <c r="E974" s="78">
        <v>8710</v>
      </c>
      <c r="F974" s="77" t="s">
        <v>4804</v>
      </c>
      <c r="G974" s="78">
        <v>645.11488099999997</v>
      </c>
      <c r="H974" s="78">
        <v>11.429677999999999</v>
      </c>
      <c r="I974" s="77" t="s">
        <v>4800</v>
      </c>
      <c r="L974" s="3">
        <f>VLOOKUP(C974,Securities!A:D,4,FALSE)</f>
        <v>1</v>
      </c>
      <c r="M974" s="3" t="str">
        <f>VLOOKUP(C974,Securities!A:B,2,FALSE)</f>
        <v>AGRO LI Equity</v>
      </c>
      <c r="O974" s="3">
        <f t="shared" si="16"/>
        <v>8710</v>
      </c>
    </row>
    <row r="975" spans="1:15" x14ac:dyDescent="0.25">
      <c r="A975" s="79">
        <v>43053</v>
      </c>
      <c r="B975" s="80" t="s">
        <v>5372</v>
      </c>
      <c r="C975" s="80" t="s">
        <v>4866</v>
      </c>
      <c r="D975" s="80" t="s">
        <v>99</v>
      </c>
      <c r="E975" s="81">
        <v>71000</v>
      </c>
      <c r="F975" s="80" t="s">
        <v>4810</v>
      </c>
      <c r="G975" s="81">
        <v>81.449012999999994</v>
      </c>
      <c r="H975" s="81">
        <v>1.402569</v>
      </c>
      <c r="I975" s="80" t="s">
        <v>4800</v>
      </c>
      <c r="L975" s="3">
        <f>VLOOKUP(C975,Securities!A:D,4,FALSE)</f>
        <v>1</v>
      </c>
      <c r="M975" s="3" t="str">
        <f>VLOOKUP(C975,Securities!A:B,2,FALSE)</f>
        <v>ALRS RX Equity</v>
      </c>
      <c r="O975" s="3">
        <f t="shared" si="16"/>
        <v>71000</v>
      </c>
    </row>
    <row r="976" spans="1:15" x14ac:dyDescent="0.25">
      <c r="A976" s="76">
        <v>43053</v>
      </c>
      <c r="B976" s="77" t="s">
        <v>5372</v>
      </c>
      <c r="C976" s="77" t="s">
        <v>4877</v>
      </c>
      <c r="D976" s="77" t="s">
        <v>4878</v>
      </c>
      <c r="E976" s="78">
        <v>11883</v>
      </c>
      <c r="F976" s="77" t="s">
        <v>4879</v>
      </c>
      <c r="G976" s="78">
        <v>0</v>
      </c>
      <c r="H976" s="78">
        <v>0</v>
      </c>
      <c r="I976" s="77" t="s">
        <v>4800</v>
      </c>
      <c r="L976" s="3">
        <f>VLOOKUP(C976,Securities!A:D,4,FALSE)</f>
        <v>1</v>
      </c>
      <c r="M976" s="3" t="str">
        <f>VLOOKUP(C976,Securities!A:B,2,FALSE)</f>
        <v>COMRLES RX Equity</v>
      </c>
      <c r="O976" s="3">
        <f t="shared" si="16"/>
        <v>11883</v>
      </c>
    </row>
    <row r="977" spans="1:15" x14ac:dyDescent="0.25">
      <c r="A977" s="79">
        <v>43053</v>
      </c>
      <c r="B977" s="80" t="s">
        <v>5372</v>
      </c>
      <c r="C977" s="80" t="s">
        <v>4880</v>
      </c>
      <c r="D977" s="80" t="s">
        <v>4881</v>
      </c>
      <c r="E977" s="81">
        <v>49357</v>
      </c>
      <c r="F977" s="80" t="s">
        <v>4804</v>
      </c>
      <c r="G977" s="81">
        <v>126.419597</v>
      </c>
      <c r="H977" s="81">
        <v>2</v>
      </c>
      <c r="I977" s="80" t="s">
        <v>4800</v>
      </c>
      <c r="L977" s="3">
        <f>VLOOKUP(C977,Securities!A:D,4,FALSE)</f>
        <v>1</v>
      </c>
      <c r="M977" s="3" t="str">
        <f>VLOOKUP(C977,Securities!A:B,2,FALSE)</f>
        <v>ETLN LI Equity</v>
      </c>
      <c r="O977" s="3">
        <f t="shared" si="16"/>
        <v>49357</v>
      </c>
    </row>
    <row r="978" spans="1:15" x14ac:dyDescent="0.25">
      <c r="A978" s="76">
        <v>43053</v>
      </c>
      <c r="B978" s="77" t="s">
        <v>5372</v>
      </c>
      <c r="C978" s="77" t="s">
        <v>4805</v>
      </c>
      <c r="D978" s="77" t="s">
        <v>31</v>
      </c>
      <c r="E978" s="78">
        <v>405000</v>
      </c>
      <c r="F978" s="77" t="s">
        <v>4806</v>
      </c>
      <c r="G978" s="78">
        <v>175.26159799999999</v>
      </c>
      <c r="H978" s="78">
        <v>175.26159799999999</v>
      </c>
      <c r="I978" s="77" t="s">
        <v>4800</v>
      </c>
      <c r="L978" s="3">
        <f>VLOOKUP(C978,Securities!A:D,4,FALSE)</f>
        <v>5</v>
      </c>
      <c r="M978" s="3" t="str">
        <f>VLOOKUP(C978,Securities!A:B,2,FALSE)</f>
        <v>TT343269 Corp</v>
      </c>
      <c r="O978" s="3">
        <f t="shared" si="16"/>
        <v>405000</v>
      </c>
    </row>
    <row r="979" spans="1:15" x14ac:dyDescent="0.25">
      <c r="A979" s="79">
        <v>43053</v>
      </c>
      <c r="B979" s="80" t="s">
        <v>5372</v>
      </c>
      <c r="C979" s="80" t="s">
        <v>4882</v>
      </c>
      <c r="D979" s="80" t="s">
        <v>4883</v>
      </c>
      <c r="E979" s="81">
        <v>200000</v>
      </c>
      <c r="F979" s="80" t="s">
        <v>4806</v>
      </c>
      <c r="G979" s="81">
        <v>106.85</v>
      </c>
      <c r="H979" s="81">
        <v>106.85</v>
      </c>
      <c r="I979" s="80" t="s">
        <v>4800</v>
      </c>
      <c r="L979" s="3">
        <f>VLOOKUP(C979,Securities!A:D,4,FALSE)</f>
        <v>5</v>
      </c>
      <c r="M979" s="3" t="str">
        <f>VLOOKUP(C979,Securities!A:B,2,FALSE)</f>
        <v>XS1405775377 Corp</v>
      </c>
      <c r="O979" s="3">
        <f t="shared" si="16"/>
        <v>200000</v>
      </c>
    </row>
    <row r="980" spans="1:15" x14ac:dyDescent="0.25">
      <c r="A980" s="76">
        <v>43053</v>
      </c>
      <c r="B980" s="77" t="s">
        <v>5372</v>
      </c>
      <c r="C980" s="77" t="s">
        <v>4809</v>
      </c>
      <c r="D980" s="77" t="s">
        <v>30</v>
      </c>
      <c r="E980" s="78">
        <v>203500</v>
      </c>
      <c r="F980" s="77" t="s">
        <v>4810</v>
      </c>
      <c r="G980" s="78">
        <v>120.103025</v>
      </c>
      <c r="H980" s="78">
        <v>2.119164</v>
      </c>
      <c r="I980" s="77" t="s">
        <v>4800</v>
      </c>
      <c r="L980" s="3">
        <f>VLOOKUP(C980,Securities!A:D,4,FALSE)</f>
        <v>1</v>
      </c>
      <c r="M980" s="3" t="str">
        <f>VLOOKUP(C980,Securities!A:B,2,FALSE)</f>
        <v>GAZP RX Equity</v>
      </c>
      <c r="O980" s="3">
        <f t="shared" si="16"/>
        <v>203500</v>
      </c>
    </row>
    <row r="981" spans="1:15" x14ac:dyDescent="0.25">
      <c r="A981" s="79">
        <v>43053</v>
      </c>
      <c r="B981" s="80" t="s">
        <v>5372</v>
      </c>
      <c r="C981" s="80" t="s">
        <v>4811</v>
      </c>
      <c r="D981" s="80" t="s">
        <v>4659</v>
      </c>
      <c r="E981" s="81">
        <v>309104</v>
      </c>
      <c r="F981" s="80" t="s">
        <v>4799</v>
      </c>
      <c r="G981" s="81">
        <v>98.955323000000007</v>
      </c>
      <c r="H981" s="81">
        <v>1.6547240000000001</v>
      </c>
      <c r="I981" s="80" t="s">
        <v>4800</v>
      </c>
      <c r="L981" s="3">
        <f>VLOOKUP(C981,Securities!A:D,4,FALSE)</f>
        <v>1</v>
      </c>
      <c r="M981" s="3" t="str">
        <f>VLOOKUP(C981,Securities!A:B,2,FALSE)</f>
        <v>HGM LN Equity</v>
      </c>
      <c r="O981" s="3">
        <f t="shared" si="16"/>
        <v>309104</v>
      </c>
    </row>
    <row r="982" spans="1:15" x14ac:dyDescent="0.25">
      <c r="A982" s="76">
        <v>43053</v>
      </c>
      <c r="B982" s="77" t="s">
        <v>5372</v>
      </c>
      <c r="C982" s="77" t="s">
        <v>5088</v>
      </c>
      <c r="D982" s="77" t="s">
        <v>5089</v>
      </c>
      <c r="E982" s="78">
        <v>7200</v>
      </c>
      <c r="F982" s="77" t="s">
        <v>4804</v>
      </c>
      <c r="G982" s="78">
        <v>442.11587700000001</v>
      </c>
      <c r="H982" s="78">
        <v>7.61</v>
      </c>
      <c r="I982" s="77" t="s">
        <v>4800</v>
      </c>
      <c r="L982" s="3">
        <f>VLOOKUP(C982,Securities!A:D,4,FALSE)</f>
        <v>1</v>
      </c>
      <c r="M982" s="3" t="str">
        <f>VLOOKUP(C982,Securities!A:B,2,FALSE)</f>
        <v>HMSG LI Equity</v>
      </c>
      <c r="O982" s="3">
        <f t="shared" si="16"/>
        <v>7200</v>
      </c>
    </row>
    <row r="983" spans="1:15" x14ac:dyDescent="0.25">
      <c r="A983" s="79">
        <v>43053</v>
      </c>
      <c r="B983" s="80" t="s">
        <v>5372</v>
      </c>
      <c r="C983" s="80" t="s">
        <v>5090</v>
      </c>
      <c r="D983" s="80" t="s">
        <v>5091</v>
      </c>
      <c r="E983" s="81">
        <v>11400</v>
      </c>
      <c r="F983" s="80" t="s">
        <v>4804</v>
      </c>
      <c r="G983" s="81">
        <v>259.974583</v>
      </c>
      <c r="H983" s="81">
        <v>3.7503359999999999</v>
      </c>
      <c r="I983" s="80" t="s">
        <v>4800</v>
      </c>
      <c r="L983" s="3">
        <f>VLOOKUP(C983,Securities!A:D,4,FALSE)</f>
        <v>1</v>
      </c>
      <c r="M983" s="3" t="str">
        <f>VLOOKUP(C983,Securities!A:B,2,FALSE)</f>
        <v>KCEL LI Equity</v>
      </c>
      <c r="O983" s="3">
        <f t="shared" si="16"/>
        <v>11400</v>
      </c>
    </row>
    <row r="984" spans="1:15" x14ac:dyDescent="0.25">
      <c r="A984" s="76">
        <v>43053</v>
      </c>
      <c r="B984" s="77" t="s">
        <v>5372</v>
      </c>
      <c r="C984" s="77" t="s">
        <v>4909</v>
      </c>
      <c r="D984" s="77" t="s">
        <v>286</v>
      </c>
      <c r="E984" s="78">
        <v>82800</v>
      </c>
      <c r="F984" s="77" t="s">
        <v>4810</v>
      </c>
      <c r="G984" s="78">
        <v>0</v>
      </c>
      <c r="H984" s="78">
        <v>0</v>
      </c>
      <c r="I984" s="77" t="s">
        <v>4800</v>
      </c>
      <c r="L984" s="3">
        <f>VLOOKUP(C984,Securities!A:D,4,FALSE)</f>
        <v>1</v>
      </c>
      <c r="M984" s="3" t="str">
        <f>VLOOKUP(C984,Securities!A:B,2,FALSE)</f>
        <v>KMAZ RX Equity</v>
      </c>
      <c r="O984" s="3">
        <f t="shared" si="16"/>
        <v>82800</v>
      </c>
    </row>
    <row r="985" spans="1:15" x14ac:dyDescent="0.25">
      <c r="A985" s="79">
        <v>43053</v>
      </c>
      <c r="B985" s="80" t="s">
        <v>5372</v>
      </c>
      <c r="C985" s="80" t="s">
        <v>4812</v>
      </c>
      <c r="D985" s="80" t="s">
        <v>4675</v>
      </c>
      <c r="E985" s="81">
        <v>18615</v>
      </c>
      <c r="F985" s="80" t="s">
        <v>4804</v>
      </c>
      <c r="G985" s="81">
        <v>578.21267</v>
      </c>
      <c r="H985" s="81">
        <v>10.050000000000001</v>
      </c>
      <c r="I985" s="80" t="s">
        <v>4800</v>
      </c>
      <c r="L985" s="3">
        <f>VLOOKUP(C985,Securities!A:D,4,FALSE)</f>
        <v>1</v>
      </c>
      <c r="M985" s="3" t="str">
        <f>VLOOKUP(C985,Securities!A:B,2,FALSE)</f>
        <v>KMG LI Equity</v>
      </c>
      <c r="O985" s="3">
        <f t="shared" si="16"/>
        <v>18615</v>
      </c>
    </row>
    <row r="986" spans="1:15" x14ac:dyDescent="0.25">
      <c r="A986" s="76">
        <v>43053</v>
      </c>
      <c r="B986" s="77" t="s">
        <v>5372</v>
      </c>
      <c r="C986" s="77" t="s">
        <v>4847</v>
      </c>
      <c r="D986" s="77" t="s">
        <v>369</v>
      </c>
      <c r="E986" s="78">
        <v>12550</v>
      </c>
      <c r="F986" s="77" t="s">
        <v>4810</v>
      </c>
      <c r="G986" s="78">
        <v>0</v>
      </c>
      <c r="H986" s="78">
        <v>0</v>
      </c>
      <c r="I986" s="77" t="s">
        <v>4800</v>
      </c>
      <c r="L986" s="3">
        <f>VLOOKUP(C986,Securities!A:D,4,FALSE)</f>
        <v>1</v>
      </c>
      <c r="M986" s="3" t="str">
        <f>VLOOKUP(C986,Securities!A:B,2,FALSE)</f>
        <v>LKOH RX Equity</v>
      </c>
      <c r="O986" s="3">
        <f t="shared" si="16"/>
        <v>12550</v>
      </c>
    </row>
    <row r="987" spans="1:15" x14ac:dyDescent="0.25">
      <c r="A987" s="79">
        <v>43053</v>
      </c>
      <c r="B987" s="80" t="s">
        <v>5372</v>
      </c>
      <c r="C987" s="80" t="s">
        <v>4910</v>
      </c>
      <c r="D987" s="80" t="s">
        <v>366</v>
      </c>
      <c r="E987" s="81">
        <v>1505</v>
      </c>
      <c r="F987" s="80" t="s">
        <v>4810</v>
      </c>
      <c r="G987" s="81">
        <v>815</v>
      </c>
      <c r="H987" s="81">
        <v>14.107521</v>
      </c>
      <c r="I987" s="80" t="s">
        <v>4800</v>
      </c>
      <c r="L987" s="3">
        <f>VLOOKUP(C987,Securities!A:D,4,FALSE)</f>
        <v>1</v>
      </c>
      <c r="M987" s="3" t="str">
        <f>VLOOKUP(C987,Securities!A:B,2,FALSE)</f>
        <v>LSRG RX Equity</v>
      </c>
      <c r="O987" s="3">
        <f t="shared" si="16"/>
        <v>1505</v>
      </c>
    </row>
    <row r="988" spans="1:15" x14ac:dyDescent="0.25">
      <c r="A988" s="76">
        <v>43053</v>
      </c>
      <c r="B988" s="77" t="s">
        <v>5372</v>
      </c>
      <c r="C988" s="77" t="s">
        <v>5093</v>
      </c>
      <c r="D988" s="77" t="s">
        <v>447</v>
      </c>
      <c r="E988" s="78">
        <v>405</v>
      </c>
      <c r="F988" s="77" t="s">
        <v>4810</v>
      </c>
      <c r="G988" s="78">
        <v>7384.7235060000003</v>
      </c>
      <c r="H988" s="78">
        <v>126.386685</v>
      </c>
      <c r="I988" s="77" t="s">
        <v>4800</v>
      </c>
      <c r="L988" s="3">
        <f>VLOOKUP(C988,Securities!A:D,4,FALSE)</f>
        <v>1</v>
      </c>
      <c r="M988" s="3" t="str">
        <f>VLOOKUP(C988,Securities!A:B,2,FALSE)</f>
        <v>MGNT RX Equity</v>
      </c>
      <c r="O988" s="3">
        <f t="shared" si="16"/>
        <v>405</v>
      </c>
    </row>
    <row r="989" spans="1:15" x14ac:dyDescent="0.25">
      <c r="A989" s="79">
        <v>43053</v>
      </c>
      <c r="B989" s="80" t="s">
        <v>5372</v>
      </c>
      <c r="C989" s="80" t="s">
        <v>4889</v>
      </c>
      <c r="D989" s="80" t="s">
        <v>438</v>
      </c>
      <c r="E989" s="81">
        <v>55040</v>
      </c>
      <c r="F989" s="80" t="s">
        <v>4810</v>
      </c>
      <c r="G989" s="81">
        <v>0</v>
      </c>
      <c r="H989" s="81">
        <v>0</v>
      </c>
      <c r="I989" s="80" t="s">
        <v>4800</v>
      </c>
      <c r="L989" s="3">
        <f>VLOOKUP(C989,Securities!A:D,4,FALSE)</f>
        <v>1</v>
      </c>
      <c r="M989" s="3" t="str">
        <f>VLOOKUP(C989,Securities!A:B,2,FALSE)</f>
        <v>MTSS RX Equity</v>
      </c>
      <c r="O989" s="3">
        <f t="shared" si="16"/>
        <v>55040</v>
      </c>
    </row>
    <row r="990" spans="1:15" x14ac:dyDescent="0.25">
      <c r="A990" s="76">
        <v>43053</v>
      </c>
      <c r="B990" s="77" t="s">
        <v>5372</v>
      </c>
      <c r="C990" s="77" t="s">
        <v>4912</v>
      </c>
      <c r="D990" s="77" t="s">
        <v>28</v>
      </c>
      <c r="E990" s="78">
        <v>2122569</v>
      </c>
      <c r="F990" s="77" t="s">
        <v>4810</v>
      </c>
      <c r="G990" s="78">
        <v>0</v>
      </c>
      <c r="H990" s="78">
        <v>0</v>
      </c>
      <c r="I990" s="77" t="s">
        <v>4800</v>
      </c>
      <c r="L990" s="3">
        <f>VLOOKUP(C990,Securities!A:D,4,FALSE)</f>
        <v>1</v>
      </c>
      <c r="M990" s="3" t="str">
        <f>VLOOKUP(C990,Securities!A:B,2,FALSE)</f>
        <v>NMTP RX Equity</v>
      </c>
      <c r="O990" s="3">
        <f t="shared" si="16"/>
        <v>2122569</v>
      </c>
    </row>
    <row r="991" spans="1:15" x14ac:dyDescent="0.25">
      <c r="A991" s="79">
        <v>43053</v>
      </c>
      <c r="B991" s="80" t="s">
        <v>5372</v>
      </c>
      <c r="C991" s="80" t="s">
        <v>4819</v>
      </c>
      <c r="D991" s="80" t="s">
        <v>4820</v>
      </c>
      <c r="E991" s="81">
        <v>400000</v>
      </c>
      <c r="F991" s="80" t="s">
        <v>4806</v>
      </c>
      <c r="G991" s="81">
        <v>101.163</v>
      </c>
      <c r="H991" s="81">
        <v>101.163</v>
      </c>
      <c r="I991" s="80" t="s">
        <v>4800</v>
      </c>
      <c r="L991" s="3">
        <f>VLOOKUP(C991,Securities!A:D,4,FALSE)</f>
        <v>5</v>
      </c>
      <c r="M991" s="3" t="str">
        <f>VLOOKUP(C991,Securities!A:B,2,FALSE)</f>
        <v>XS0776121062 Corp</v>
      </c>
      <c r="O991" s="3">
        <f t="shared" si="16"/>
        <v>400000</v>
      </c>
    </row>
    <row r="992" spans="1:15" x14ac:dyDescent="0.25">
      <c r="A992" s="76">
        <v>43053</v>
      </c>
      <c r="B992" s="77" t="s">
        <v>5372</v>
      </c>
      <c r="C992" s="77" t="s">
        <v>4848</v>
      </c>
      <c r="D992" s="77" t="s">
        <v>511</v>
      </c>
      <c r="E992" s="78">
        <v>20660</v>
      </c>
      <c r="F992" s="77" t="s">
        <v>4810</v>
      </c>
      <c r="G992" s="78">
        <v>612.52978900000005</v>
      </c>
      <c r="H992" s="78">
        <v>10.694143</v>
      </c>
      <c r="I992" s="77" t="s">
        <v>4800</v>
      </c>
      <c r="L992" s="3">
        <f>VLOOKUP(C992,Securities!A:D,4,FALSE)</f>
        <v>1</v>
      </c>
      <c r="M992" s="3" t="str">
        <f>VLOOKUP(C992,Securities!A:B,2,FALSE)</f>
        <v>NVTK RX Equity</v>
      </c>
      <c r="O992" s="3">
        <f t="shared" si="16"/>
        <v>20660</v>
      </c>
    </row>
    <row r="993" spans="1:15" x14ac:dyDescent="0.25">
      <c r="A993" s="79">
        <v>43053</v>
      </c>
      <c r="B993" s="80" t="s">
        <v>5372</v>
      </c>
      <c r="C993" s="80" t="s">
        <v>4821</v>
      </c>
      <c r="D993" s="80" t="s">
        <v>42</v>
      </c>
      <c r="E993" s="81">
        <v>25240</v>
      </c>
      <c r="F993" s="80" t="s">
        <v>4799</v>
      </c>
      <c r="G993" s="81">
        <v>451.95406100000002</v>
      </c>
      <c r="H993" s="81">
        <v>7.0072890000000001</v>
      </c>
      <c r="I993" s="80" t="s">
        <v>4800</v>
      </c>
      <c r="L993" s="3">
        <f>VLOOKUP(C993,Securities!A:D,4,FALSE)</f>
        <v>1</v>
      </c>
      <c r="M993" s="3" t="str">
        <f>VLOOKUP(C993,Securities!A:B,2,FALSE)</f>
        <v>POLY LN Equity</v>
      </c>
      <c r="O993" s="3">
        <f t="shared" si="16"/>
        <v>25240</v>
      </c>
    </row>
    <row r="994" spans="1:15" x14ac:dyDescent="0.25">
      <c r="A994" s="76">
        <v>43053</v>
      </c>
      <c r="B994" s="77" t="s">
        <v>5372</v>
      </c>
      <c r="C994" s="77" t="s">
        <v>4822</v>
      </c>
      <c r="D994" s="77" t="s">
        <v>613</v>
      </c>
      <c r="E994" s="78">
        <v>44000</v>
      </c>
      <c r="F994" s="77" t="s">
        <v>4810</v>
      </c>
      <c r="G994" s="78">
        <v>68.520799999999994</v>
      </c>
      <c r="H994" s="78">
        <v>1.1890970000000001</v>
      </c>
      <c r="I994" s="77" t="s">
        <v>4800</v>
      </c>
      <c r="L994" s="3">
        <f>VLOOKUP(C994,Securities!A:D,4,FALSE)</f>
        <v>1</v>
      </c>
      <c r="M994" s="3" t="str">
        <f>VLOOKUP(C994,Securities!A:B,2,FALSE)</f>
        <v>RTKM RX Equity</v>
      </c>
      <c r="O994" s="3">
        <f t="shared" si="16"/>
        <v>44000</v>
      </c>
    </row>
    <row r="995" spans="1:15" x14ac:dyDescent="0.25">
      <c r="A995" s="79">
        <v>43053</v>
      </c>
      <c r="B995" s="80" t="s">
        <v>5372</v>
      </c>
      <c r="C995" s="80" t="s">
        <v>4851</v>
      </c>
      <c r="D995" s="80" t="s">
        <v>4744</v>
      </c>
      <c r="E995" s="81">
        <v>400000</v>
      </c>
      <c r="F995" s="80" t="s">
        <v>4806</v>
      </c>
      <c r="G995" s="81">
        <v>101.21</v>
      </c>
      <c r="H995" s="81">
        <v>101.21</v>
      </c>
      <c r="I995" s="80" t="s">
        <v>4800</v>
      </c>
      <c r="L995" s="3">
        <f>VLOOKUP(C995,Securities!A:D,4,FALSE)</f>
        <v>5</v>
      </c>
      <c r="M995" s="3" t="str">
        <f>VLOOKUP(C995,Securities!A:B,2,FALSE)</f>
        <v>XS1032750165 Corp</v>
      </c>
      <c r="O995" s="3">
        <f t="shared" si="16"/>
        <v>400000</v>
      </c>
    </row>
    <row r="996" spans="1:15" x14ac:dyDescent="0.25">
      <c r="A996" s="76">
        <v>43053</v>
      </c>
      <c r="B996" s="77" t="s">
        <v>5372</v>
      </c>
      <c r="C996" s="77" t="s">
        <v>4915</v>
      </c>
      <c r="D996" s="77" t="s">
        <v>226</v>
      </c>
      <c r="E996" s="78">
        <v>60000</v>
      </c>
      <c r="F996" s="77" t="s">
        <v>4810</v>
      </c>
      <c r="G996" s="78">
        <v>0</v>
      </c>
      <c r="H996" s="78">
        <v>0</v>
      </c>
      <c r="I996" s="77" t="s">
        <v>4800</v>
      </c>
      <c r="L996" s="3">
        <f>VLOOKUP(C996,Securities!A:D,4,FALSE)</f>
        <v>1</v>
      </c>
      <c r="M996" s="3" t="str">
        <f>VLOOKUP(C996,Securities!A:B,2,FALSE)</f>
        <v>SIBN RX Equity</v>
      </c>
      <c r="O996" s="3">
        <f t="shared" si="16"/>
        <v>60000</v>
      </c>
    </row>
    <row r="997" spans="1:15" x14ac:dyDescent="0.25">
      <c r="A997" s="79">
        <v>43053</v>
      </c>
      <c r="B997" s="80" t="s">
        <v>5372</v>
      </c>
      <c r="C997" s="80" t="s">
        <v>4917</v>
      </c>
      <c r="D997" s="80" t="s">
        <v>742</v>
      </c>
      <c r="E997" s="81">
        <v>180000</v>
      </c>
      <c r="F997" s="80" t="s">
        <v>4810</v>
      </c>
      <c r="G997" s="81">
        <v>0</v>
      </c>
      <c r="H997" s="81">
        <v>0</v>
      </c>
      <c r="I997" s="80" t="s">
        <v>4800</v>
      </c>
      <c r="L997" s="3">
        <f>VLOOKUP(C997,Securities!A:D,4,FALSE)</f>
        <v>1</v>
      </c>
      <c r="M997" s="3" t="str">
        <f>VLOOKUP(C997,Securities!A:B,2,FALSE)</f>
        <v>TRMK RX Equity</v>
      </c>
      <c r="O997" s="3">
        <f t="shared" si="16"/>
        <v>180000</v>
      </c>
    </row>
    <row r="998" spans="1:15" x14ac:dyDescent="0.25">
      <c r="A998" s="76">
        <v>43053</v>
      </c>
      <c r="B998" s="77" t="s">
        <v>5372</v>
      </c>
      <c r="C998" s="77" t="s">
        <v>4890</v>
      </c>
      <c r="D998" s="77" t="s">
        <v>886</v>
      </c>
      <c r="E998" s="78">
        <v>4450000</v>
      </c>
      <c r="F998" s="77" t="s">
        <v>4810</v>
      </c>
      <c r="G998" s="78">
        <v>2.4500000000000002</v>
      </c>
      <c r="H998" s="78">
        <v>4.2409000000000002E-2</v>
      </c>
      <c r="I998" s="77" t="s">
        <v>4800</v>
      </c>
      <c r="L998" s="3">
        <f>VLOOKUP(C998,Securities!A:D,4,FALSE)</f>
        <v>1</v>
      </c>
      <c r="M998" s="3" t="str">
        <f>VLOOKUP(C998,Securities!A:B,2,FALSE)</f>
        <v>UPRO RX Equity</v>
      </c>
      <c r="O998" s="3">
        <f t="shared" si="16"/>
        <v>4450000</v>
      </c>
    </row>
    <row r="999" spans="1:15" x14ac:dyDescent="0.25">
      <c r="A999" s="79">
        <v>43053</v>
      </c>
      <c r="B999" s="80" t="s">
        <v>5372</v>
      </c>
      <c r="C999" s="80" t="s">
        <v>4824</v>
      </c>
      <c r="D999" s="80" t="s">
        <v>4674</v>
      </c>
      <c r="E999" s="81">
        <v>60000</v>
      </c>
      <c r="F999" s="80" t="s">
        <v>4825</v>
      </c>
      <c r="G999" s="81">
        <v>0</v>
      </c>
      <c r="H999" s="81">
        <v>0</v>
      </c>
      <c r="I999" s="80" t="s">
        <v>4800</v>
      </c>
      <c r="L999" s="3">
        <f>VLOOKUP(C999,Securities!A:D,4,FALSE)</f>
        <v>1</v>
      </c>
      <c r="M999" s="3" t="str">
        <f>VLOOKUP(C999,Securities!A:B,2,FALSE)</f>
        <v>VEON US Equity</v>
      </c>
      <c r="O999" s="3">
        <f t="shared" si="16"/>
        <v>60000</v>
      </c>
    </row>
    <row r="1000" spans="1:15" x14ac:dyDescent="0.25">
      <c r="A1000" s="76">
        <v>43053</v>
      </c>
      <c r="B1000" s="77" t="s">
        <v>5372</v>
      </c>
      <c r="C1000" s="77" t="s">
        <v>5120</v>
      </c>
      <c r="D1000" s="77" t="s">
        <v>48</v>
      </c>
      <c r="E1000" s="78">
        <v>4545</v>
      </c>
      <c r="F1000" s="77" t="s">
        <v>4799</v>
      </c>
      <c r="G1000" s="78">
        <v>0</v>
      </c>
      <c r="H1000" s="78">
        <v>0</v>
      </c>
      <c r="I1000" s="77" t="s">
        <v>4800</v>
      </c>
      <c r="L1000" s="3">
        <f>VLOOKUP(C1000,Securities!A:D,4,FALSE)</f>
        <v>1</v>
      </c>
      <c r="M1000" s="3" t="str">
        <f>VLOOKUP(C1000,Securities!A:B,2,FALSE)</f>
        <v>YNDX US Equity</v>
      </c>
      <c r="O1000" s="3">
        <f t="shared" si="16"/>
        <v>4545</v>
      </c>
    </row>
    <row r="1001" spans="1:15" x14ac:dyDescent="0.25">
      <c r="A1001" s="79">
        <v>43053</v>
      </c>
      <c r="B1001" s="80" t="s">
        <v>5373</v>
      </c>
      <c r="C1001" s="80" t="s">
        <v>5012</v>
      </c>
      <c r="D1001" s="80" t="s">
        <v>5013</v>
      </c>
      <c r="E1001" s="81">
        <v>7025</v>
      </c>
      <c r="F1001" s="80" t="s">
        <v>4799</v>
      </c>
      <c r="G1001" s="81">
        <v>5519.5107040000003</v>
      </c>
      <c r="H1001" s="81">
        <v>111.258211</v>
      </c>
      <c r="I1001" s="80" t="s">
        <v>4800</v>
      </c>
      <c r="L1001" s="3">
        <f>VLOOKUP(C1001,Securities!A:D,4,FALSE)</f>
        <v>1</v>
      </c>
      <c r="M1001" s="3" t="str">
        <f>VLOOKUP(C1001,Securities!A:B,2,FALSE)</f>
        <v>AAPL US Equity</v>
      </c>
      <c r="O1001" s="3">
        <f t="shared" si="16"/>
        <v>7025</v>
      </c>
    </row>
    <row r="1002" spans="1:15" x14ac:dyDescent="0.25">
      <c r="A1002" s="76">
        <v>43053</v>
      </c>
      <c r="B1002" s="77" t="s">
        <v>5373</v>
      </c>
      <c r="C1002" s="77" t="s">
        <v>4801</v>
      </c>
      <c r="D1002" s="77" t="s">
        <v>4802</v>
      </c>
      <c r="E1002" s="78">
        <v>350</v>
      </c>
      <c r="F1002" s="77" t="s">
        <v>4799</v>
      </c>
      <c r="G1002" s="78">
        <v>0</v>
      </c>
      <c r="H1002" s="78">
        <v>0</v>
      </c>
      <c r="I1002" s="77" t="s">
        <v>4800</v>
      </c>
      <c r="L1002" s="3">
        <f>VLOOKUP(C1002,Securities!A:D,4,FALSE)</f>
        <v>1</v>
      </c>
      <c r="M1002" s="3" t="str">
        <f>VLOOKUP(C1002,Securities!A:B,2,FALSE)</f>
        <v>AGN US Equity</v>
      </c>
      <c r="O1002" s="3">
        <f t="shared" si="16"/>
        <v>350</v>
      </c>
    </row>
    <row r="1003" spans="1:15" x14ac:dyDescent="0.25">
      <c r="A1003" s="79">
        <v>43053</v>
      </c>
      <c r="B1003" s="80" t="s">
        <v>5373</v>
      </c>
      <c r="C1003" s="80" t="s">
        <v>5374</v>
      </c>
      <c r="D1003" s="80" t="s">
        <v>5375</v>
      </c>
      <c r="E1003" s="81">
        <v>53</v>
      </c>
      <c r="F1003" s="80" t="s">
        <v>4799</v>
      </c>
      <c r="G1003" s="81">
        <v>0</v>
      </c>
      <c r="H1003" s="81">
        <v>0</v>
      </c>
      <c r="I1003" s="80" t="s">
        <v>4800</v>
      </c>
      <c r="L1003" s="3">
        <f>VLOOKUP(C1003,Securities!A:D,4,FALSE)</f>
        <v>1</v>
      </c>
      <c r="M1003" s="3" t="str">
        <f>VLOOKUP(C1003,Securities!A:B,2,FALSE)</f>
        <v>AVGO US Equity</v>
      </c>
      <c r="O1003" s="3">
        <f t="shared" si="16"/>
        <v>53</v>
      </c>
    </row>
    <row r="1004" spans="1:15" x14ac:dyDescent="0.25">
      <c r="A1004" s="76">
        <v>43053</v>
      </c>
      <c r="B1004" s="77" t="s">
        <v>5373</v>
      </c>
      <c r="C1004" s="77" t="s">
        <v>5376</v>
      </c>
      <c r="D1004" s="77" t="s">
        <v>5377</v>
      </c>
      <c r="E1004" s="78">
        <v>320</v>
      </c>
      <c r="F1004" s="77" t="s">
        <v>4799</v>
      </c>
      <c r="G1004" s="78">
        <v>10825.565409999999</v>
      </c>
      <c r="H1004" s="78">
        <v>310.995453</v>
      </c>
      <c r="I1004" s="77" t="s">
        <v>4800</v>
      </c>
      <c r="L1004" s="3">
        <f>VLOOKUP(C1004,Securities!A:D,4,FALSE)</f>
        <v>1</v>
      </c>
      <c r="M1004" s="3" t="str">
        <f>VLOOKUP(C1004,Securities!A:B,2,FALSE)</f>
        <v>BLK US Equity</v>
      </c>
      <c r="O1004" s="3">
        <f t="shared" si="16"/>
        <v>320</v>
      </c>
    </row>
    <row r="1005" spans="1:15" x14ac:dyDescent="0.25">
      <c r="A1005" s="79">
        <v>43053</v>
      </c>
      <c r="B1005" s="80" t="s">
        <v>5373</v>
      </c>
      <c r="C1005" s="80" t="s">
        <v>5378</v>
      </c>
      <c r="D1005" s="80" t="s">
        <v>5379</v>
      </c>
      <c r="E1005" s="81">
        <v>1200</v>
      </c>
      <c r="F1005" s="80" t="s">
        <v>4799</v>
      </c>
      <c r="G1005" s="81">
        <v>0</v>
      </c>
      <c r="H1005" s="81">
        <v>0</v>
      </c>
      <c r="I1005" s="80" t="s">
        <v>4800</v>
      </c>
      <c r="L1005" s="3">
        <f>VLOOKUP(C1005,Securities!A:D,4,FALSE)</f>
        <v>1</v>
      </c>
      <c r="M1005" s="3" t="str">
        <f>VLOOKUP(C1005,Securities!A:B,2,FALSE)</f>
        <v>CELG US Equity</v>
      </c>
      <c r="O1005" s="3">
        <f t="shared" si="16"/>
        <v>1200</v>
      </c>
    </row>
    <row r="1006" spans="1:15" x14ac:dyDescent="0.25">
      <c r="A1006" s="76">
        <v>43053</v>
      </c>
      <c r="B1006" s="77" t="s">
        <v>5373</v>
      </c>
      <c r="C1006" s="77" t="s">
        <v>5380</v>
      </c>
      <c r="D1006" s="77" t="s">
        <v>5381</v>
      </c>
      <c r="E1006" s="78">
        <v>600000</v>
      </c>
      <c r="F1006" s="77" t="s">
        <v>4806</v>
      </c>
      <c r="G1006" s="78">
        <v>0</v>
      </c>
      <c r="H1006" s="78">
        <v>0</v>
      </c>
      <c r="I1006" s="77" t="s">
        <v>4800</v>
      </c>
      <c r="L1006" s="3">
        <f>VLOOKUP(C1006,Securities!A:D,4,FALSE)</f>
        <v>5</v>
      </c>
      <c r="M1006" s="3" t="str">
        <f>VLOOKUP(C1006,Securities!A:B,2,FALSE)</f>
        <v>US172967HM62 Corp</v>
      </c>
      <c r="O1006" s="3">
        <f t="shared" si="16"/>
        <v>600000</v>
      </c>
    </row>
    <row r="1007" spans="1:15" x14ac:dyDescent="0.25">
      <c r="A1007" s="79">
        <v>43053</v>
      </c>
      <c r="B1007" s="80" t="s">
        <v>5373</v>
      </c>
      <c r="C1007" s="80" t="s">
        <v>5382</v>
      </c>
      <c r="D1007" s="80" t="s">
        <v>5383</v>
      </c>
      <c r="E1007" s="81">
        <v>8775</v>
      </c>
      <c r="F1007" s="80" t="s">
        <v>4799</v>
      </c>
      <c r="G1007" s="81">
        <v>2405.3531549999998</v>
      </c>
      <c r="H1007" s="81">
        <v>51.582546999999998</v>
      </c>
      <c r="I1007" s="80" t="s">
        <v>4800</v>
      </c>
      <c r="L1007" s="3">
        <f>VLOOKUP(C1007,Securities!A:D,4,FALSE)</f>
        <v>1</v>
      </c>
      <c r="M1007" s="3" t="str">
        <f>VLOOKUP(C1007,Securities!A:B,2,FALSE)</f>
        <v>C US Equity</v>
      </c>
      <c r="O1007" s="3">
        <f t="shared" si="16"/>
        <v>8775</v>
      </c>
    </row>
    <row r="1008" spans="1:15" x14ac:dyDescent="0.25">
      <c r="A1008" s="76">
        <v>43053</v>
      </c>
      <c r="B1008" s="77" t="s">
        <v>5373</v>
      </c>
      <c r="C1008" s="77" t="s">
        <v>5384</v>
      </c>
      <c r="D1008" s="77" t="s">
        <v>5385</v>
      </c>
      <c r="E1008" s="78">
        <v>2000</v>
      </c>
      <c r="F1008" s="77" t="s">
        <v>4799</v>
      </c>
      <c r="G1008" s="78">
        <v>1729.3441929999999</v>
      </c>
      <c r="H1008" s="78">
        <v>49.680599999999998</v>
      </c>
      <c r="I1008" s="77" t="s">
        <v>4800</v>
      </c>
      <c r="L1008" s="3">
        <f>VLOOKUP(C1008,Securities!A:D,4,FALSE)</f>
        <v>1</v>
      </c>
      <c r="M1008" s="3" t="str">
        <f>VLOOKUP(C1008,Securities!A:B,2,FALSE)</f>
        <v>DO US Equity</v>
      </c>
      <c r="O1008" s="3">
        <f t="shared" si="16"/>
        <v>2000</v>
      </c>
    </row>
    <row r="1009" spans="1:15" x14ac:dyDescent="0.25">
      <c r="A1009" s="79">
        <v>43053</v>
      </c>
      <c r="B1009" s="80" t="s">
        <v>5373</v>
      </c>
      <c r="C1009" s="80" t="s">
        <v>5386</v>
      </c>
      <c r="D1009" s="80" t="s">
        <v>5387</v>
      </c>
      <c r="E1009" s="81">
        <v>250000</v>
      </c>
      <c r="F1009" s="80" t="s">
        <v>4806</v>
      </c>
      <c r="G1009" s="81">
        <v>0</v>
      </c>
      <c r="H1009" s="81">
        <v>0</v>
      </c>
      <c r="I1009" s="80" t="s">
        <v>4800</v>
      </c>
      <c r="L1009" s="3">
        <f>VLOOKUP(C1009,Securities!A:D,4,FALSE)</f>
        <v>5</v>
      </c>
      <c r="M1009" s="3" t="str">
        <f>VLOOKUP(C1009,Securities!A:B,2,FALSE)</f>
        <v>XS0328781728 Corp</v>
      </c>
      <c r="O1009" s="3">
        <f t="shared" si="16"/>
        <v>250000</v>
      </c>
    </row>
    <row r="1010" spans="1:15" x14ac:dyDescent="0.25">
      <c r="A1010" s="76">
        <v>43053</v>
      </c>
      <c r="B1010" s="77" t="s">
        <v>5373</v>
      </c>
      <c r="C1010" s="77" t="s">
        <v>5388</v>
      </c>
      <c r="D1010" s="77" t="s">
        <v>5389</v>
      </c>
      <c r="E1010" s="78">
        <v>2000</v>
      </c>
      <c r="F1010" s="77" t="s">
        <v>4799</v>
      </c>
      <c r="G1010" s="78">
        <v>3520.274727</v>
      </c>
      <c r="H1010" s="78">
        <v>77.907200000000003</v>
      </c>
      <c r="I1010" s="77" t="s">
        <v>4800</v>
      </c>
      <c r="L1010" s="3">
        <f>VLOOKUP(C1010,Securities!A:D,4,FALSE)</f>
        <v>1</v>
      </c>
      <c r="M1010" s="3" t="str">
        <f>VLOOKUP(C1010,Securities!A:B,2,FALSE)</f>
        <v>ESRX US Equity</v>
      </c>
      <c r="O1010" s="3">
        <f t="shared" si="16"/>
        <v>2000</v>
      </c>
    </row>
    <row r="1011" spans="1:15" x14ac:dyDescent="0.25">
      <c r="A1011" s="79">
        <v>43053</v>
      </c>
      <c r="B1011" s="80" t="s">
        <v>5373</v>
      </c>
      <c r="C1011" s="80" t="s">
        <v>5390</v>
      </c>
      <c r="D1011" s="80" t="s">
        <v>5391</v>
      </c>
      <c r="E1011" s="81">
        <v>1850</v>
      </c>
      <c r="F1011" s="80" t="s">
        <v>4799</v>
      </c>
      <c r="G1011" s="81">
        <v>1875.1740460000001</v>
      </c>
      <c r="H1011" s="81">
        <v>53.87</v>
      </c>
      <c r="I1011" s="80" t="s">
        <v>4800</v>
      </c>
      <c r="L1011" s="3">
        <f>VLOOKUP(C1011,Securities!A:D,4,FALSE)</f>
        <v>1</v>
      </c>
      <c r="M1011" s="3" t="str">
        <f>VLOOKUP(C1011,Securities!A:B,2,FALSE)</f>
        <v>ESV US Equity</v>
      </c>
      <c r="O1011" s="3">
        <f t="shared" si="16"/>
        <v>1850</v>
      </c>
    </row>
    <row r="1012" spans="1:15" x14ac:dyDescent="0.25">
      <c r="A1012" s="76">
        <v>43053</v>
      </c>
      <c r="B1012" s="77" t="s">
        <v>5373</v>
      </c>
      <c r="C1012" s="77" t="s">
        <v>5392</v>
      </c>
      <c r="D1012" s="77" t="s">
        <v>5393</v>
      </c>
      <c r="E1012" s="78">
        <v>600000</v>
      </c>
      <c r="F1012" s="77" t="s">
        <v>4806</v>
      </c>
      <c r="G1012" s="78">
        <v>0</v>
      </c>
      <c r="H1012" s="78">
        <v>0</v>
      </c>
      <c r="I1012" s="77" t="s">
        <v>4800</v>
      </c>
      <c r="L1012" s="3">
        <f>VLOOKUP(C1012,Securities!A:D,4,FALSE)</f>
        <v>5</v>
      </c>
      <c r="M1012" s="3" t="str">
        <f>VLOOKUP(C1012,Securities!A:B,2,FALSE)</f>
        <v>US345397WP47 Corp</v>
      </c>
      <c r="O1012" s="3">
        <f t="shared" si="16"/>
        <v>600000</v>
      </c>
    </row>
    <row r="1013" spans="1:15" x14ac:dyDescent="0.25">
      <c r="A1013" s="79">
        <v>43053</v>
      </c>
      <c r="B1013" s="80" t="s">
        <v>5373</v>
      </c>
      <c r="C1013" s="80" t="s">
        <v>5394</v>
      </c>
      <c r="D1013" s="80" t="s">
        <v>5395</v>
      </c>
      <c r="E1013" s="81">
        <v>2150</v>
      </c>
      <c r="F1013" s="80" t="s">
        <v>4799</v>
      </c>
      <c r="G1013" s="81">
        <v>3716.7919790000001</v>
      </c>
      <c r="H1013" s="81">
        <v>106.776</v>
      </c>
      <c r="I1013" s="80" t="s">
        <v>4800</v>
      </c>
      <c r="L1013" s="3">
        <f>VLOOKUP(C1013,Securities!A:D,4,FALSE)</f>
        <v>1</v>
      </c>
      <c r="M1013" s="3" t="str">
        <f>VLOOKUP(C1013,Securities!A:B,2,FALSE)</f>
        <v>FOSL US Equity</v>
      </c>
      <c r="O1013" s="3">
        <f t="shared" si="16"/>
        <v>2150</v>
      </c>
    </row>
    <row r="1014" spans="1:15" x14ac:dyDescent="0.25">
      <c r="A1014" s="76">
        <v>43053</v>
      </c>
      <c r="B1014" s="77" t="s">
        <v>5373</v>
      </c>
      <c r="C1014" s="77" t="s">
        <v>5396</v>
      </c>
      <c r="D1014" s="77" t="s">
        <v>5397</v>
      </c>
      <c r="E1014" s="78">
        <v>20500</v>
      </c>
      <c r="F1014" s="77" t="s">
        <v>4799</v>
      </c>
      <c r="G1014" s="78">
        <v>641.55257300000005</v>
      </c>
      <c r="H1014" s="78">
        <v>14.1982</v>
      </c>
      <c r="I1014" s="77" t="s">
        <v>4800</v>
      </c>
      <c r="L1014" s="3">
        <f>VLOOKUP(C1014,Securities!A:D,4,FALSE)</f>
        <v>1</v>
      </c>
      <c r="M1014" s="3" t="str">
        <f>VLOOKUP(C1014,Securities!A:B,2,FALSE)</f>
        <v>F US Equity</v>
      </c>
      <c r="O1014" s="3">
        <f t="shared" si="16"/>
        <v>20500</v>
      </c>
    </row>
    <row r="1015" spans="1:15" x14ac:dyDescent="0.25">
      <c r="A1015" s="79">
        <v>43053</v>
      </c>
      <c r="B1015" s="80" t="s">
        <v>5373</v>
      </c>
      <c r="C1015" s="80" t="s">
        <v>5398</v>
      </c>
      <c r="D1015" s="80" t="s">
        <v>5399</v>
      </c>
      <c r="E1015" s="81">
        <v>7620</v>
      </c>
      <c r="F1015" s="80" t="s">
        <v>4799</v>
      </c>
      <c r="G1015" s="81">
        <v>1344.4783709999999</v>
      </c>
      <c r="H1015" s="81">
        <v>33.561697000000002</v>
      </c>
      <c r="I1015" s="80" t="s">
        <v>4800</v>
      </c>
      <c r="L1015" s="3">
        <f>VLOOKUP(C1015,Securities!A:D,4,FALSE)</f>
        <v>1</v>
      </c>
      <c r="M1015" s="3" t="str">
        <f>VLOOKUP(C1015,Securities!A:B,2,FALSE)</f>
        <v>GM US Equity</v>
      </c>
      <c r="O1015" s="3">
        <f t="shared" si="16"/>
        <v>7620</v>
      </c>
    </row>
    <row r="1016" spans="1:15" x14ac:dyDescent="0.25">
      <c r="A1016" s="76">
        <v>43053</v>
      </c>
      <c r="B1016" s="77" t="s">
        <v>5373</v>
      </c>
      <c r="C1016" s="77" t="s">
        <v>5400</v>
      </c>
      <c r="D1016" s="77" t="s">
        <v>5401</v>
      </c>
      <c r="E1016" s="78">
        <v>5850</v>
      </c>
      <c r="F1016" s="77" t="s">
        <v>4799</v>
      </c>
      <c r="G1016" s="78">
        <v>2391.8453909999998</v>
      </c>
      <c r="H1016" s="78">
        <v>51.702871999999999</v>
      </c>
      <c r="I1016" s="77" t="s">
        <v>4800</v>
      </c>
      <c r="L1016" s="3">
        <f>VLOOKUP(C1016,Securities!A:D,4,FALSE)</f>
        <v>1</v>
      </c>
      <c r="M1016" s="3" t="str">
        <f>VLOOKUP(C1016,Securities!A:B,2,FALSE)</f>
        <v>HAL US Equity</v>
      </c>
      <c r="O1016" s="3">
        <f t="shared" si="16"/>
        <v>5850</v>
      </c>
    </row>
    <row r="1017" spans="1:15" x14ac:dyDescent="0.25">
      <c r="A1017" s="79">
        <v>43053</v>
      </c>
      <c r="B1017" s="80" t="s">
        <v>5373</v>
      </c>
      <c r="C1017" s="80" t="s">
        <v>5402</v>
      </c>
      <c r="D1017" s="80" t="s">
        <v>5403</v>
      </c>
      <c r="E1017" s="81">
        <v>500000</v>
      </c>
      <c r="F1017" s="80" t="s">
        <v>4806</v>
      </c>
      <c r="G1017" s="81">
        <v>0</v>
      </c>
      <c r="H1017" s="81">
        <v>0</v>
      </c>
      <c r="I1017" s="80" t="s">
        <v>4800</v>
      </c>
      <c r="L1017" s="3">
        <f>VLOOKUP(C1017,Securities!A:D,4,FALSE)</f>
        <v>5</v>
      </c>
      <c r="M1017" s="3" t="str">
        <f>VLOOKUP(C1017,Securities!A:B,2,FALSE)</f>
        <v>XS1575061707 Corp</v>
      </c>
      <c r="O1017" s="3">
        <f t="shared" si="16"/>
        <v>500000</v>
      </c>
    </row>
    <row r="1018" spans="1:15" x14ac:dyDescent="0.25">
      <c r="A1018" s="76">
        <v>43053</v>
      </c>
      <c r="B1018" s="77" t="s">
        <v>5373</v>
      </c>
      <c r="C1018" s="77" t="s">
        <v>5404</v>
      </c>
      <c r="D1018" s="77" t="s">
        <v>5405</v>
      </c>
      <c r="E1018" s="78">
        <v>1775</v>
      </c>
      <c r="F1018" s="77" t="s">
        <v>4799</v>
      </c>
      <c r="G1018" s="78">
        <v>0</v>
      </c>
      <c r="H1018" s="78">
        <v>0</v>
      </c>
      <c r="I1018" s="77" t="s">
        <v>4800</v>
      </c>
      <c r="L1018" s="3">
        <f>VLOOKUP(C1018,Securities!A:D,4,FALSE)</f>
        <v>1</v>
      </c>
      <c r="M1018" s="3" t="str">
        <f>VLOOKUP(C1018,Securities!A:B,2,FALSE)</f>
        <v>MYL US Equity</v>
      </c>
      <c r="O1018" s="3">
        <f t="shared" si="16"/>
        <v>1775</v>
      </c>
    </row>
    <row r="1019" spans="1:15" x14ac:dyDescent="0.25">
      <c r="A1019" s="79">
        <v>43053</v>
      </c>
      <c r="B1019" s="80" t="s">
        <v>5373</v>
      </c>
      <c r="C1019" s="80" t="s">
        <v>5406</v>
      </c>
      <c r="D1019" s="80" t="s">
        <v>5407</v>
      </c>
      <c r="E1019" s="81">
        <v>1000</v>
      </c>
      <c r="F1019" s="80" t="s">
        <v>4799</v>
      </c>
      <c r="G1019" s="81">
        <v>3405.2814100000001</v>
      </c>
      <c r="H1019" s="81">
        <v>94.265000000000001</v>
      </c>
      <c r="I1019" s="80" t="s">
        <v>4800</v>
      </c>
      <c r="L1019" s="3">
        <f>VLOOKUP(C1019,Securities!A:D,4,FALSE)</f>
        <v>1</v>
      </c>
      <c r="M1019" s="3" t="str">
        <f>VLOOKUP(C1019,Securities!A:B,2,FALSE)</f>
        <v>NSC US Equity</v>
      </c>
      <c r="O1019" s="3">
        <f t="shared" si="16"/>
        <v>1000</v>
      </c>
    </row>
    <row r="1020" spans="1:15" x14ac:dyDescent="0.25">
      <c r="A1020" s="76">
        <v>43053</v>
      </c>
      <c r="B1020" s="77" t="s">
        <v>5373</v>
      </c>
      <c r="C1020" s="77" t="s">
        <v>5408</v>
      </c>
      <c r="D1020" s="77" t="s">
        <v>5409</v>
      </c>
      <c r="E1020" s="78">
        <v>2350</v>
      </c>
      <c r="F1020" s="77" t="s">
        <v>4799</v>
      </c>
      <c r="G1020" s="78">
        <v>1908.6259090000001</v>
      </c>
      <c r="H1020" s="78">
        <v>42.239800000000002</v>
      </c>
      <c r="I1020" s="77" t="s">
        <v>4800</v>
      </c>
      <c r="L1020" s="3">
        <f>VLOOKUP(C1020,Securities!A:D,4,FALSE)</f>
        <v>1</v>
      </c>
      <c r="M1020" s="3" t="str">
        <f>VLOOKUP(C1020,Securities!A:B,2,FALSE)</f>
        <v>NTAP US Equity</v>
      </c>
      <c r="O1020" s="3">
        <f t="shared" si="16"/>
        <v>2350</v>
      </c>
    </row>
    <row r="1021" spans="1:15" x14ac:dyDescent="0.25">
      <c r="A1021" s="79">
        <v>43053</v>
      </c>
      <c r="B1021" s="80" t="s">
        <v>5373</v>
      </c>
      <c r="C1021" s="80" t="s">
        <v>5410</v>
      </c>
      <c r="D1021" s="80" t="s">
        <v>5411</v>
      </c>
      <c r="E1021" s="81">
        <v>2500</v>
      </c>
      <c r="F1021" s="80" t="s">
        <v>4799</v>
      </c>
      <c r="G1021" s="81">
        <v>1427.31</v>
      </c>
      <c r="H1021" s="81">
        <v>40.004764000000002</v>
      </c>
      <c r="I1021" s="80" t="s">
        <v>4800</v>
      </c>
      <c r="L1021" s="3">
        <f>VLOOKUP(C1021,Securities!A:D,4,FALSE)</f>
        <v>1</v>
      </c>
      <c r="M1021" s="3" t="str">
        <f>VLOOKUP(C1021,Securities!A:B,2,FALSE)</f>
        <v>ORCL US Equity</v>
      </c>
      <c r="O1021" s="3">
        <f t="shared" si="16"/>
        <v>2500</v>
      </c>
    </row>
    <row r="1022" spans="1:15" x14ac:dyDescent="0.25">
      <c r="A1022" s="76">
        <v>43053</v>
      </c>
      <c r="B1022" s="77" t="s">
        <v>5373</v>
      </c>
      <c r="C1022" s="77" t="s">
        <v>5412</v>
      </c>
      <c r="D1022" s="77" t="s">
        <v>5413</v>
      </c>
      <c r="E1022" s="78">
        <v>2465</v>
      </c>
      <c r="F1022" s="77" t="s">
        <v>4799</v>
      </c>
      <c r="G1022" s="78">
        <v>3809.1365049999999</v>
      </c>
      <c r="H1022" s="78">
        <v>84.3</v>
      </c>
      <c r="I1022" s="77" t="s">
        <v>4800</v>
      </c>
      <c r="L1022" s="3">
        <f>VLOOKUP(C1022,Securities!A:D,4,FALSE)</f>
        <v>1</v>
      </c>
      <c r="M1022" s="3" t="str">
        <f>VLOOKUP(C1022,Securities!A:B,2,FALSE)</f>
        <v>PRU US Equity</v>
      </c>
      <c r="O1022" s="3">
        <f t="shared" si="16"/>
        <v>2465</v>
      </c>
    </row>
    <row r="1023" spans="1:15" x14ac:dyDescent="0.25">
      <c r="A1023" s="79">
        <v>43053</v>
      </c>
      <c r="B1023" s="80" t="s">
        <v>5373</v>
      </c>
      <c r="C1023" s="80" t="s">
        <v>5414</v>
      </c>
      <c r="D1023" s="80" t="s">
        <v>5415</v>
      </c>
      <c r="E1023" s="81">
        <v>4400</v>
      </c>
      <c r="F1023" s="80" t="s">
        <v>4799</v>
      </c>
      <c r="G1023" s="81">
        <v>0</v>
      </c>
      <c r="H1023" s="81">
        <v>0</v>
      </c>
      <c r="I1023" s="80" t="s">
        <v>4800</v>
      </c>
      <c r="L1023" s="3">
        <f>VLOOKUP(C1023,Securities!A:D,4,FALSE)</f>
        <v>1</v>
      </c>
      <c r="M1023" s="3" t="str">
        <f>VLOOKUP(C1023,Securities!A:B,2,FALSE)</f>
        <v>TRIP US Equity</v>
      </c>
      <c r="O1023" s="3">
        <f t="shared" si="16"/>
        <v>4400</v>
      </c>
    </row>
    <row r="1024" spans="1:15" x14ac:dyDescent="0.25">
      <c r="A1024" s="76">
        <v>43053</v>
      </c>
      <c r="B1024" s="77" t="s">
        <v>5373</v>
      </c>
      <c r="C1024" s="77" t="s">
        <v>5416</v>
      </c>
      <c r="D1024" s="77" t="s">
        <v>5417</v>
      </c>
      <c r="E1024" s="78">
        <v>300000</v>
      </c>
      <c r="F1024" s="77" t="s">
        <v>4806</v>
      </c>
      <c r="G1024" s="78">
        <v>0</v>
      </c>
      <c r="H1024" s="78">
        <v>0</v>
      </c>
      <c r="I1024" s="77" t="s">
        <v>4800</v>
      </c>
      <c r="L1024" s="3">
        <f>VLOOKUP(C1024,Securities!A:D,4,FALSE)</f>
        <v>5</v>
      </c>
      <c r="M1024" s="3" t="str">
        <f>VLOOKUP(C1024,Securities!A:B,2,FALSE)</f>
        <v>US887317AT21 Corp</v>
      </c>
      <c r="O1024" s="3">
        <f t="shared" si="16"/>
        <v>300000</v>
      </c>
    </row>
    <row r="1025" spans="1:15" x14ac:dyDescent="0.25">
      <c r="A1025" s="79">
        <v>43053</v>
      </c>
      <c r="B1025" s="80" t="s">
        <v>5373</v>
      </c>
      <c r="C1025" s="80" t="s">
        <v>5418</v>
      </c>
      <c r="D1025" s="80" t="s">
        <v>5419</v>
      </c>
      <c r="E1025" s="81">
        <v>1000000</v>
      </c>
      <c r="F1025" s="80" t="s">
        <v>4806</v>
      </c>
      <c r="G1025" s="81">
        <v>0</v>
      </c>
      <c r="H1025" s="81">
        <v>0</v>
      </c>
      <c r="I1025" s="80" t="s">
        <v>4800</v>
      </c>
      <c r="L1025" s="3">
        <f>VLOOKUP(C1025,Securities!A:D,4,FALSE)</f>
        <v>5</v>
      </c>
      <c r="M1025" s="3" t="str">
        <f>VLOOKUP(C1025,Securities!A:B,2,FALSE)</f>
        <v>XS0365923977 Corp</v>
      </c>
      <c r="O1025" s="3">
        <f t="shared" si="16"/>
        <v>1000000</v>
      </c>
    </row>
    <row r="1026" spans="1:15" x14ac:dyDescent="0.25">
      <c r="A1026" s="76">
        <v>43053</v>
      </c>
      <c r="B1026" s="77" t="s">
        <v>5373</v>
      </c>
      <c r="C1026" s="77" t="s">
        <v>5420</v>
      </c>
      <c r="D1026" s="77" t="s">
        <v>5421</v>
      </c>
      <c r="E1026" s="78">
        <v>292</v>
      </c>
      <c r="F1026" s="77" t="s">
        <v>4799</v>
      </c>
      <c r="G1026" s="78">
        <v>0</v>
      </c>
      <c r="H1026" s="78">
        <v>0</v>
      </c>
      <c r="I1026" s="77" t="s">
        <v>4800</v>
      </c>
      <c r="L1026" s="3">
        <f>VLOOKUP(C1026,Securities!A:D,4,FALSE)</f>
        <v>1</v>
      </c>
      <c r="M1026" s="3" t="str">
        <f>VLOOKUP(C1026,Securities!A:B,2,FALSE)</f>
        <v>WDC US Equity</v>
      </c>
      <c r="O1026" s="3">
        <f t="shared" si="16"/>
        <v>292</v>
      </c>
    </row>
    <row r="1027" spans="1:15" x14ac:dyDescent="0.25">
      <c r="A1027" s="79">
        <v>43053</v>
      </c>
      <c r="B1027" s="80" t="s">
        <v>5422</v>
      </c>
      <c r="C1027" s="80" t="s">
        <v>5423</v>
      </c>
      <c r="D1027" s="80" t="s">
        <v>5424</v>
      </c>
      <c r="E1027" s="81">
        <v>1170</v>
      </c>
      <c r="F1027" s="80" t="s">
        <v>4799</v>
      </c>
      <c r="G1027" s="81">
        <v>0</v>
      </c>
      <c r="H1027" s="81">
        <v>0</v>
      </c>
      <c r="I1027" s="80" t="s">
        <v>4800</v>
      </c>
      <c r="L1027" s="3">
        <f>VLOOKUP(C1027,Securities!A:D,4,FALSE)</f>
        <v>1</v>
      </c>
      <c r="M1027" s="3" t="str">
        <f>VLOOKUP(C1027,Securities!A:B,2,FALSE)</f>
        <v>ABBV US Equity</v>
      </c>
      <c r="O1027" s="3">
        <f t="shared" si="16"/>
        <v>1170</v>
      </c>
    </row>
    <row r="1028" spans="1:15" x14ac:dyDescent="0.25">
      <c r="A1028" s="76">
        <v>43053</v>
      </c>
      <c r="B1028" s="77" t="s">
        <v>5422</v>
      </c>
      <c r="C1028" s="77" t="s">
        <v>4935</v>
      </c>
      <c r="D1028" s="77" t="s">
        <v>4936</v>
      </c>
      <c r="E1028" s="78">
        <v>899</v>
      </c>
      <c r="F1028" s="77" t="s">
        <v>4799</v>
      </c>
      <c r="G1028" s="78">
        <v>1135.237423</v>
      </c>
      <c r="H1028" s="78">
        <v>18.874003999999999</v>
      </c>
      <c r="I1028" s="77" t="s">
        <v>4800</v>
      </c>
      <c r="L1028" s="3">
        <f>VLOOKUP(C1028,Securities!A:D,4,FALSE)</f>
        <v>1</v>
      </c>
      <c r="M1028" s="3" t="str">
        <f>VLOOKUP(C1028,Securities!A:B,2,FALSE)</f>
        <v>AD NA Equity</v>
      </c>
      <c r="O1028" s="3">
        <f t="shared" si="16"/>
        <v>899</v>
      </c>
    </row>
    <row r="1029" spans="1:15" x14ac:dyDescent="0.25">
      <c r="A1029" s="79">
        <v>43053</v>
      </c>
      <c r="B1029" s="80" t="s">
        <v>5422</v>
      </c>
      <c r="C1029" s="80" t="s">
        <v>4866</v>
      </c>
      <c r="D1029" s="80" t="s">
        <v>99</v>
      </c>
      <c r="E1029" s="81">
        <v>28300</v>
      </c>
      <c r="F1029" s="80" t="s">
        <v>4810</v>
      </c>
      <c r="G1029" s="81">
        <v>79.343744999999998</v>
      </c>
      <c r="H1029" s="81">
        <v>1.345629</v>
      </c>
      <c r="I1029" s="80" t="s">
        <v>4800</v>
      </c>
      <c r="L1029" s="3">
        <f>VLOOKUP(C1029,Securities!A:D,4,FALSE)</f>
        <v>1</v>
      </c>
      <c r="M1029" s="3" t="str">
        <f>VLOOKUP(C1029,Securities!A:B,2,FALSE)</f>
        <v>ALRS RX Equity</v>
      </c>
      <c r="O1029" s="3">
        <f t="shared" si="16"/>
        <v>28300</v>
      </c>
    </row>
    <row r="1030" spans="1:15" x14ac:dyDescent="0.25">
      <c r="A1030" s="76">
        <v>43053</v>
      </c>
      <c r="B1030" s="77" t="s">
        <v>5422</v>
      </c>
      <c r="C1030" s="77" t="s">
        <v>5425</v>
      </c>
      <c r="D1030" s="77" t="s">
        <v>5426</v>
      </c>
      <c r="E1030" s="78">
        <v>161</v>
      </c>
      <c r="F1030" s="77" t="s">
        <v>4799</v>
      </c>
      <c r="G1030" s="78">
        <v>0</v>
      </c>
      <c r="H1030" s="78">
        <v>0</v>
      </c>
      <c r="I1030" s="77" t="s">
        <v>4800</v>
      </c>
      <c r="L1030" s="3">
        <f>VLOOKUP(C1030,Securities!A:D,4,FALSE)</f>
        <v>1</v>
      </c>
      <c r="M1030" s="3" t="str">
        <f>VLOOKUP(C1030,Securities!A:B,2,FALSE)</f>
        <v>BIIB US Equity</v>
      </c>
      <c r="O1030" s="3">
        <f t="shared" ref="O1030:O1093" si="17">SUMIFS(E:E,C:C,C1030,B:B,B1030)</f>
        <v>161</v>
      </c>
    </row>
    <row r="1031" spans="1:15" x14ac:dyDescent="0.25">
      <c r="A1031" s="79">
        <v>43053</v>
      </c>
      <c r="B1031" s="80" t="s">
        <v>5422</v>
      </c>
      <c r="C1031" s="80" t="s">
        <v>5427</v>
      </c>
      <c r="D1031" s="80" t="s">
        <v>5428</v>
      </c>
      <c r="E1031" s="81">
        <v>80</v>
      </c>
      <c r="F1031" s="80" t="s">
        <v>4799</v>
      </c>
      <c r="G1031" s="81">
        <v>0</v>
      </c>
      <c r="H1031" s="81">
        <v>0</v>
      </c>
      <c r="I1031" s="80" t="s">
        <v>4800</v>
      </c>
      <c r="L1031" s="3">
        <f>VLOOKUP(C1031,Securities!A:D,4,FALSE)</f>
        <v>1</v>
      </c>
      <c r="M1031" s="3" t="str">
        <f>VLOOKUP(C1031,Securities!A:B,2,FALSE)</f>
        <v>BIVV US Equity</v>
      </c>
      <c r="O1031" s="3">
        <f t="shared" si="17"/>
        <v>80</v>
      </c>
    </row>
    <row r="1032" spans="1:15" x14ac:dyDescent="0.25">
      <c r="A1032" s="76">
        <v>43053</v>
      </c>
      <c r="B1032" s="77" t="s">
        <v>5422</v>
      </c>
      <c r="C1032" s="77" t="s">
        <v>5429</v>
      </c>
      <c r="D1032" s="77" t="s">
        <v>5430</v>
      </c>
      <c r="E1032" s="78">
        <v>3858</v>
      </c>
      <c r="F1032" s="77" t="s">
        <v>4799</v>
      </c>
      <c r="G1032" s="78">
        <v>693.91799400000002</v>
      </c>
      <c r="H1032" s="78">
        <v>11.779310000000001</v>
      </c>
      <c r="I1032" s="77" t="s">
        <v>4800</v>
      </c>
      <c r="L1032" s="3">
        <f>VLOOKUP(C1032,Securities!A:D,4,FALSE)</f>
        <v>1</v>
      </c>
      <c r="M1032" s="3" t="str">
        <f>VLOOKUP(C1032,Securities!A:B,2,FALSE)</f>
        <v>ENDP US Equity</v>
      </c>
      <c r="O1032" s="3">
        <f t="shared" si="17"/>
        <v>3858</v>
      </c>
    </row>
    <row r="1033" spans="1:15" x14ac:dyDescent="0.25">
      <c r="A1033" s="79">
        <v>43053</v>
      </c>
      <c r="B1033" s="80" t="s">
        <v>5422</v>
      </c>
      <c r="C1033" s="80" t="s">
        <v>5207</v>
      </c>
      <c r="D1033" s="80" t="s">
        <v>5208</v>
      </c>
      <c r="E1033" s="81">
        <v>2</v>
      </c>
      <c r="F1033" s="80" t="s">
        <v>4974</v>
      </c>
      <c r="G1033" s="81">
        <v>102.625</v>
      </c>
      <c r="H1033" s="81">
        <v>102.625</v>
      </c>
      <c r="I1033" s="80" t="s">
        <v>4800</v>
      </c>
      <c r="L1033" s="3">
        <f>VLOOKUP(C1033,Securities!A:D,4,FALSE)</f>
        <v>5</v>
      </c>
      <c r="M1033" s="3" t="str">
        <f>VLOOKUP(C1033,Securities!A:B,2,FALSE)</f>
        <v>RU000A0JXU14 Corp</v>
      </c>
      <c r="O1033" s="3">
        <f t="shared" si="17"/>
        <v>2</v>
      </c>
    </row>
    <row r="1034" spans="1:15" x14ac:dyDescent="0.25">
      <c r="A1034" s="76">
        <v>43053</v>
      </c>
      <c r="B1034" s="77" t="s">
        <v>5422</v>
      </c>
      <c r="C1034" s="77" t="s">
        <v>4882</v>
      </c>
      <c r="D1034" s="77" t="s">
        <v>4883</v>
      </c>
      <c r="E1034" s="78">
        <v>650000</v>
      </c>
      <c r="F1034" s="77" t="s">
        <v>4806</v>
      </c>
      <c r="G1034" s="78">
        <v>107.32692299999999</v>
      </c>
      <c r="H1034" s="78">
        <v>107.32692299999999</v>
      </c>
      <c r="I1034" s="77" t="s">
        <v>4800</v>
      </c>
      <c r="L1034" s="3">
        <f>VLOOKUP(C1034,Securities!A:D,4,FALSE)</f>
        <v>5</v>
      </c>
      <c r="M1034" s="3" t="str">
        <f>VLOOKUP(C1034,Securities!A:B,2,FALSE)</f>
        <v>XS1405775377 Corp</v>
      </c>
      <c r="O1034" s="3">
        <f t="shared" si="17"/>
        <v>650000</v>
      </c>
    </row>
    <row r="1035" spans="1:15" x14ac:dyDescent="0.25">
      <c r="A1035" s="79">
        <v>43053</v>
      </c>
      <c r="B1035" s="80" t="s">
        <v>5422</v>
      </c>
      <c r="C1035" s="80" t="s">
        <v>5037</v>
      </c>
      <c r="D1035" s="80" t="s">
        <v>5038</v>
      </c>
      <c r="E1035" s="81">
        <v>200000</v>
      </c>
      <c r="F1035" s="80" t="s">
        <v>4806</v>
      </c>
      <c r="G1035" s="81">
        <v>0</v>
      </c>
      <c r="H1035" s="81">
        <v>0</v>
      </c>
      <c r="I1035" s="80" t="s">
        <v>4800</v>
      </c>
      <c r="L1035" s="3">
        <f>VLOOKUP(C1035,Securities!A:D,4,FALSE)</f>
        <v>5</v>
      </c>
      <c r="M1035" s="3" t="str">
        <f>VLOOKUP(C1035,Securities!A:B,2,FALSE)</f>
        <v>XS1533915721 Corp</v>
      </c>
      <c r="O1035" s="3">
        <f t="shared" si="17"/>
        <v>200000</v>
      </c>
    </row>
    <row r="1036" spans="1:15" x14ac:dyDescent="0.25">
      <c r="A1036" s="76">
        <v>43053</v>
      </c>
      <c r="B1036" s="77" t="s">
        <v>5422</v>
      </c>
      <c r="C1036" s="77" t="s">
        <v>5431</v>
      </c>
      <c r="D1036" s="77" t="s">
        <v>5432</v>
      </c>
      <c r="E1036" s="78">
        <v>500000</v>
      </c>
      <c r="F1036" s="77" t="s">
        <v>4806</v>
      </c>
      <c r="G1036" s="78">
        <v>0</v>
      </c>
      <c r="H1036" s="78">
        <v>0</v>
      </c>
      <c r="I1036" s="77" t="s">
        <v>4800</v>
      </c>
      <c r="L1036" s="3">
        <f>VLOOKUP(C1036,Securities!A:D,4,FALSE)</f>
        <v>5</v>
      </c>
      <c r="M1036" s="3" t="str">
        <f>VLOOKUP(C1036,Securities!A:B,2,FALSE)</f>
        <v>US345397WY53 Corp</v>
      </c>
      <c r="O1036" s="3">
        <f t="shared" si="17"/>
        <v>500000</v>
      </c>
    </row>
    <row r="1037" spans="1:15" x14ac:dyDescent="0.25">
      <c r="A1037" s="79">
        <v>43053</v>
      </c>
      <c r="B1037" s="80" t="s">
        <v>5422</v>
      </c>
      <c r="C1037" s="80" t="s">
        <v>4809</v>
      </c>
      <c r="D1037" s="80" t="s">
        <v>30</v>
      </c>
      <c r="E1037" s="81">
        <v>38900</v>
      </c>
      <c r="F1037" s="80" t="s">
        <v>4810</v>
      </c>
      <c r="G1037" s="81">
        <v>0</v>
      </c>
      <c r="H1037" s="81">
        <v>0</v>
      </c>
      <c r="I1037" s="80" t="s">
        <v>4800</v>
      </c>
      <c r="L1037" s="3">
        <f>VLOOKUP(C1037,Securities!A:D,4,FALSE)</f>
        <v>1</v>
      </c>
      <c r="M1037" s="3" t="str">
        <f>VLOOKUP(C1037,Securities!A:B,2,FALSE)</f>
        <v>GAZP RX Equity</v>
      </c>
      <c r="O1037" s="3">
        <f t="shared" si="17"/>
        <v>38900</v>
      </c>
    </row>
    <row r="1038" spans="1:15" x14ac:dyDescent="0.25">
      <c r="A1038" s="76">
        <v>43053</v>
      </c>
      <c r="B1038" s="77" t="s">
        <v>5422</v>
      </c>
      <c r="C1038" s="77" t="s">
        <v>5022</v>
      </c>
      <c r="D1038" s="77" t="s">
        <v>5023</v>
      </c>
      <c r="E1038" s="78">
        <v>522000</v>
      </c>
      <c r="F1038" s="77" t="s">
        <v>4806</v>
      </c>
      <c r="G1038" s="78">
        <v>137</v>
      </c>
      <c r="H1038" s="78">
        <v>137</v>
      </c>
      <c r="I1038" s="77" t="s">
        <v>4800</v>
      </c>
      <c r="L1038" s="3">
        <f>VLOOKUP(C1038,Securities!A:D,4,FALSE)</f>
        <v>5</v>
      </c>
      <c r="M1038" s="3" t="str">
        <f>VLOOKUP(C1038,Securities!A:B,2,FALSE)</f>
        <v>XS0191754729 Corp</v>
      </c>
      <c r="O1038" s="3">
        <f t="shared" si="17"/>
        <v>522000</v>
      </c>
    </row>
    <row r="1039" spans="1:15" x14ac:dyDescent="0.25">
      <c r="A1039" s="79">
        <v>43053</v>
      </c>
      <c r="B1039" s="80" t="s">
        <v>5422</v>
      </c>
      <c r="C1039" s="80" t="s">
        <v>5433</v>
      </c>
      <c r="D1039" s="80" t="s">
        <v>5434</v>
      </c>
      <c r="E1039" s="81">
        <v>4490</v>
      </c>
      <c r="F1039" s="80" t="s">
        <v>4799</v>
      </c>
      <c r="G1039" s="81">
        <v>0</v>
      </c>
      <c r="H1039" s="81">
        <v>0</v>
      </c>
      <c r="I1039" s="80" t="s">
        <v>4800</v>
      </c>
      <c r="L1039" s="3">
        <f>VLOOKUP(C1039,Securities!A:D,4,FALSE)</f>
        <v>1</v>
      </c>
      <c r="M1039" s="3" t="str">
        <f>VLOOKUP(C1039,Securities!A:B,2,FALSE)</f>
        <v>GE US Equity</v>
      </c>
      <c r="O1039" s="3">
        <f t="shared" si="17"/>
        <v>4490</v>
      </c>
    </row>
    <row r="1040" spans="1:15" x14ac:dyDescent="0.25">
      <c r="A1040" s="76">
        <v>43053</v>
      </c>
      <c r="B1040" s="77" t="s">
        <v>5422</v>
      </c>
      <c r="C1040" s="77" t="s">
        <v>4905</v>
      </c>
      <c r="D1040" s="77" t="s">
        <v>220</v>
      </c>
      <c r="E1040" s="78">
        <v>3345</v>
      </c>
      <c r="F1040" s="77" t="s">
        <v>4810</v>
      </c>
      <c r="G1040" s="78">
        <v>9389.7900000000009</v>
      </c>
      <c r="H1040" s="78">
        <v>161.99711099999999</v>
      </c>
      <c r="I1040" s="77" t="s">
        <v>4800</v>
      </c>
      <c r="L1040" s="3">
        <f>VLOOKUP(C1040,Securities!A:D,4,FALSE)</f>
        <v>1</v>
      </c>
      <c r="M1040" s="3" t="str">
        <f>VLOOKUP(C1040,Securities!A:B,2,FALSE)</f>
        <v>GMKN RX Equity</v>
      </c>
      <c r="O1040" s="3">
        <f t="shared" si="17"/>
        <v>3345</v>
      </c>
    </row>
    <row r="1041" spans="1:15" x14ac:dyDescent="0.25">
      <c r="A1041" s="79">
        <v>43053</v>
      </c>
      <c r="B1041" s="80" t="s">
        <v>5422</v>
      </c>
      <c r="C1041" s="80" t="s">
        <v>5400</v>
      </c>
      <c r="D1041" s="80" t="s">
        <v>5401</v>
      </c>
      <c r="E1041" s="81">
        <v>1225</v>
      </c>
      <c r="F1041" s="80" t="s">
        <v>4799</v>
      </c>
      <c r="G1041" s="81">
        <v>0</v>
      </c>
      <c r="H1041" s="81">
        <v>0</v>
      </c>
      <c r="I1041" s="80" t="s">
        <v>4800</v>
      </c>
      <c r="L1041" s="3">
        <f>VLOOKUP(C1041,Securities!A:D,4,FALSE)</f>
        <v>1</v>
      </c>
      <c r="M1041" s="3" t="str">
        <f>VLOOKUP(C1041,Securities!A:B,2,FALSE)</f>
        <v>HAL US Equity</v>
      </c>
      <c r="O1041" s="3">
        <f t="shared" si="17"/>
        <v>1225</v>
      </c>
    </row>
    <row r="1042" spans="1:15" x14ac:dyDescent="0.25">
      <c r="A1042" s="76">
        <v>43053</v>
      </c>
      <c r="B1042" s="77" t="s">
        <v>5422</v>
      </c>
      <c r="C1042" s="77" t="s">
        <v>5435</v>
      </c>
      <c r="D1042" s="77" t="s">
        <v>5436</v>
      </c>
      <c r="E1042" s="78">
        <v>400000</v>
      </c>
      <c r="F1042" s="77" t="s">
        <v>4806</v>
      </c>
      <c r="G1042" s="78">
        <v>0</v>
      </c>
      <c r="H1042" s="78">
        <v>0</v>
      </c>
      <c r="I1042" s="77" t="s">
        <v>4800</v>
      </c>
      <c r="L1042" s="3">
        <f>VLOOKUP(C1042,Securities!A:D,4,FALSE)</f>
        <v>5</v>
      </c>
      <c r="M1042" s="3" t="str">
        <f>VLOOKUP(C1042,Securities!A:B,2,FALSE)</f>
        <v>XS1514045886 Corp</v>
      </c>
      <c r="O1042" s="3">
        <f t="shared" si="17"/>
        <v>400000</v>
      </c>
    </row>
    <row r="1043" spans="1:15" x14ac:dyDescent="0.25">
      <c r="A1043" s="79">
        <v>43053</v>
      </c>
      <c r="B1043" s="80" t="s">
        <v>5422</v>
      </c>
      <c r="C1043" s="80" t="s">
        <v>5147</v>
      </c>
      <c r="D1043" s="80" t="s">
        <v>5148</v>
      </c>
      <c r="E1043" s="81">
        <v>1237</v>
      </c>
      <c r="F1043" s="80" t="s">
        <v>4825</v>
      </c>
      <c r="G1043" s="81">
        <v>0</v>
      </c>
      <c r="H1043" s="81">
        <v>0</v>
      </c>
      <c r="I1043" s="80" t="s">
        <v>4800</v>
      </c>
      <c r="L1043" s="3">
        <f>VLOOKUP(C1043,Securities!A:D,4,FALSE)</f>
        <v>1</v>
      </c>
      <c r="M1043" s="3" t="str">
        <f>VLOOKUP(C1043,Securities!A:B,2,FALSE)</f>
        <v>LKOD LI Equity</v>
      </c>
      <c r="O1043" s="3">
        <f t="shared" si="17"/>
        <v>1237</v>
      </c>
    </row>
    <row r="1044" spans="1:15" x14ac:dyDescent="0.25">
      <c r="A1044" s="76">
        <v>43053</v>
      </c>
      <c r="B1044" s="77" t="s">
        <v>5422</v>
      </c>
      <c r="C1044" s="77" t="s">
        <v>5437</v>
      </c>
      <c r="D1044" s="77" t="s">
        <v>5438</v>
      </c>
      <c r="E1044" s="78">
        <v>2444</v>
      </c>
      <c r="F1044" s="77" t="s">
        <v>4799</v>
      </c>
      <c r="G1044" s="78">
        <v>0</v>
      </c>
      <c r="H1044" s="78">
        <v>0</v>
      </c>
      <c r="I1044" s="77" t="s">
        <v>4800</v>
      </c>
      <c r="L1044" s="3">
        <f>VLOOKUP(C1044,Securities!A:D,4,FALSE)</f>
        <v>1</v>
      </c>
      <c r="M1044" s="3" t="str">
        <f>VLOOKUP(C1044,Securities!A:B,2,FALSE)</f>
        <v>MRK US Equity</v>
      </c>
      <c r="O1044" s="3">
        <f t="shared" si="17"/>
        <v>2444</v>
      </c>
    </row>
    <row r="1045" spans="1:15" x14ac:dyDescent="0.25">
      <c r="A1045" s="79">
        <v>43053</v>
      </c>
      <c r="B1045" s="80" t="s">
        <v>5422</v>
      </c>
      <c r="C1045" s="80" t="s">
        <v>5439</v>
      </c>
      <c r="D1045" s="80" t="s">
        <v>5440</v>
      </c>
      <c r="E1045" s="81">
        <v>200000</v>
      </c>
      <c r="F1045" s="80" t="s">
        <v>4806</v>
      </c>
      <c r="G1045" s="81">
        <v>0</v>
      </c>
      <c r="H1045" s="81">
        <v>0</v>
      </c>
      <c r="I1045" s="80" t="s">
        <v>4800</v>
      </c>
      <c r="L1045" s="3">
        <f>VLOOKUP(C1045,Securities!A:D,4,FALSE)</f>
        <v>5</v>
      </c>
      <c r="M1045" s="3" t="str">
        <f>VLOOKUP(C1045,Securities!A:B,2,FALSE)</f>
        <v>XS0921331509 Corp</v>
      </c>
      <c r="O1045" s="3">
        <f t="shared" si="17"/>
        <v>200000</v>
      </c>
    </row>
    <row r="1046" spans="1:15" x14ac:dyDescent="0.25">
      <c r="A1046" s="76">
        <v>43053</v>
      </c>
      <c r="B1046" s="77" t="s">
        <v>5422</v>
      </c>
      <c r="C1046" s="77" t="s">
        <v>5441</v>
      </c>
      <c r="D1046" s="77" t="s">
        <v>5442</v>
      </c>
      <c r="E1046" s="78">
        <v>3947</v>
      </c>
      <c r="F1046" s="77" t="s">
        <v>4799</v>
      </c>
      <c r="G1046" s="78">
        <v>0</v>
      </c>
      <c r="H1046" s="78">
        <v>0</v>
      </c>
      <c r="I1046" s="77" t="s">
        <v>4800</v>
      </c>
      <c r="L1046" s="3">
        <f>VLOOKUP(C1046,Securities!A:D,4,FALSE)</f>
        <v>1</v>
      </c>
      <c r="M1046" s="3" t="str">
        <f>VLOOKUP(C1046,Securities!A:B,2,FALSE)</f>
        <v>PFE US Equity</v>
      </c>
      <c r="O1046" s="3">
        <f t="shared" si="17"/>
        <v>3947</v>
      </c>
    </row>
    <row r="1047" spans="1:15" x14ac:dyDescent="0.25">
      <c r="A1047" s="79">
        <v>43053</v>
      </c>
      <c r="B1047" s="80" t="s">
        <v>5422</v>
      </c>
      <c r="C1047" s="80" t="s">
        <v>5024</v>
      </c>
      <c r="D1047" s="80" t="s">
        <v>5025</v>
      </c>
      <c r="E1047" s="81">
        <v>200000</v>
      </c>
      <c r="F1047" s="80" t="s">
        <v>4806</v>
      </c>
      <c r="G1047" s="81">
        <v>0</v>
      </c>
      <c r="H1047" s="81">
        <v>0</v>
      </c>
      <c r="I1047" s="80" t="s">
        <v>4800</v>
      </c>
      <c r="L1047" s="3">
        <f>VLOOKUP(C1047,Securities!A:D,4,FALSE)</f>
        <v>5</v>
      </c>
      <c r="M1047" s="3" t="str">
        <f>VLOOKUP(C1047,Securities!A:B,2,FALSE)</f>
        <v>XS1405766384 Corp</v>
      </c>
      <c r="O1047" s="3">
        <f t="shared" si="17"/>
        <v>200000</v>
      </c>
    </row>
    <row r="1048" spans="1:15" x14ac:dyDescent="0.25">
      <c r="A1048" s="76">
        <v>43053</v>
      </c>
      <c r="B1048" s="77" t="s">
        <v>5422</v>
      </c>
      <c r="C1048" s="77" t="s">
        <v>4913</v>
      </c>
      <c r="D1048" s="77" t="s">
        <v>4914</v>
      </c>
      <c r="E1048" s="78">
        <v>400000</v>
      </c>
      <c r="F1048" s="77" t="s">
        <v>4806</v>
      </c>
      <c r="G1048" s="78">
        <v>102.1</v>
      </c>
      <c r="H1048" s="78">
        <v>102.1</v>
      </c>
      <c r="I1048" s="77" t="s">
        <v>4800</v>
      </c>
      <c r="L1048" s="3">
        <f>VLOOKUP(C1048,Securities!A:D,4,FALSE)</f>
        <v>5</v>
      </c>
      <c r="M1048" s="3" t="str">
        <f>VLOOKUP(C1048,Securities!A:B,2,FALSE)</f>
        <v>XS1533922933 Corp</v>
      </c>
      <c r="O1048" s="3">
        <f t="shared" si="17"/>
        <v>400000</v>
      </c>
    </row>
    <row r="1049" spans="1:15" x14ac:dyDescent="0.25">
      <c r="A1049" s="79">
        <v>43053</v>
      </c>
      <c r="B1049" s="80" t="s">
        <v>5422</v>
      </c>
      <c r="C1049" s="80" t="s">
        <v>5186</v>
      </c>
      <c r="D1049" s="80" t="s">
        <v>5187</v>
      </c>
      <c r="E1049" s="81">
        <v>4033</v>
      </c>
      <c r="F1049" s="80" t="s">
        <v>4799</v>
      </c>
      <c r="G1049" s="81">
        <v>1471.631185</v>
      </c>
      <c r="H1049" s="81">
        <v>26.162099999999999</v>
      </c>
      <c r="I1049" s="80" t="s">
        <v>4800</v>
      </c>
      <c r="L1049" s="3">
        <f>VLOOKUP(C1049,Securities!A:D,4,FALSE)</f>
        <v>1</v>
      </c>
      <c r="M1049" s="3" t="str">
        <f>VLOOKUP(C1049,Securities!A:B,2,FALSE)</f>
        <v>RDSA NA Equity</v>
      </c>
      <c r="O1049" s="3">
        <f t="shared" si="17"/>
        <v>4033</v>
      </c>
    </row>
    <row r="1050" spans="1:15" x14ac:dyDescent="0.25">
      <c r="A1050" s="76">
        <v>43053</v>
      </c>
      <c r="B1050" s="77" t="s">
        <v>5422</v>
      </c>
      <c r="C1050" s="77" t="s">
        <v>5443</v>
      </c>
      <c r="D1050" s="77" t="s">
        <v>5444</v>
      </c>
      <c r="E1050" s="78">
        <v>23750</v>
      </c>
      <c r="F1050" s="77" t="s">
        <v>4814</v>
      </c>
      <c r="G1050" s="78">
        <v>100.85</v>
      </c>
      <c r="H1050" s="78">
        <v>100.85</v>
      </c>
      <c r="I1050" s="77" t="s">
        <v>4800</v>
      </c>
      <c r="L1050" s="3">
        <f>VLOOKUP(C1050,Securities!A:D,4,FALSE)</f>
        <v>5</v>
      </c>
      <c r="M1050" s="3" t="str">
        <f>VLOOKUP(C1050,Securities!A:B,2,FALSE)</f>
        <v>RU000A0JXQK2 Corp</v>
      </c>
      <c r="O1050" s="3">
        <f t="shared" si="17"/>
        <v>23750</v>
      </c>
    </row>
    <row r="1051" spans="1:15" x14ac:dyDescent="0.25">
      <c r="A1051" s="79">
        <v>43053</v>
      </c>
      <c r="B1051" s="80" t="s">
        <v>5422</v>
      </c>
      <c r="C1051" s="80" t="s">
        <v>5212</v>
      </c>
      <c r="D1051" s="80" t="s">
        <v>5213</v>
      </c>
      <c r="E1051" s="81">
        <v>400000</v>
      </c>
      <c r="F1051" s="80" t="s">
        <v>4806</v>
      </c>
      <c r="G1051" s="81">
        <v>100.3</v>
      </c>
      <c r="H1051" s="81">
        <v>100.3</v>
      </c>
      <c r="I1051" s="80" t="s">
        <v>4800</v>
      </c>
      <c r="L1051" s="3">
        <f>VLOOKUP(C1051,Securities!A:D,4,FALSE)</f>
        <v>5</v>
      </c>
      <c r="M1051" s="3" t="str">
        <f>VLOOKUP(C1051,Securities!A:B,2,FALSE)</f>
        <v>XS1533921299 Corp</v>
      </c>
      <c r="O1051" s="3">
        <f t="shared" si="17"/>
        <v>400000</v>
      </c>
    </row>
    <row r="1052" spans="1:15" x14ac:dyDescent="0.25">
      <c r="A1052" s="76">
        <v>43053</v>
      </c>
      <c r="B1052" s="77" t="s">
        <v>5422</v>
      </c>
      <c r="C1052" s="77" t="s">
        <v>5159</v>
      </c>
      <c r="D1052" s="77" t="s">
        <v>673</v>
      </c>
      <c r="E1052" s="78">
        <v>10880</v>
      </c>
      <c r="F1052" s="77" t="s">
        <v>4810</v>
      </c>
      <c r="G1052" s="78">
        <v>0</v>
      </c>
      <c r="H1052" s="78">
        <v>0</v>
      </c>
      <c r="I1052" s="77" t="s">
        <v>4800</v>
      </c>
      <c r="L1052" s="3">
        <f>VLOOKUP(C1052,Securities!A:D,4,FALSE)</f>
        <v>1</v>
      </c>
      <c r="M1052" s="3" t="str">
        <f>VLOOKUP(C1052,Securities!A:B,2,FALSE)</f>
        <v>SBER RX Equity</v>
      </c>
      <c r="O1052" s="3">
        <f t="shared" si="17"/>
        <v>10880</v>
      </c>
    </row>
    <row r="1053" spans="1:15" x14ac:dyDescent="0.25">
      <c r="A1053" s="79">
        <v>43053</v>
      </c>
      <c r="B1053" s="80" t="s">
        <v>5422</v>
      </c>
      <c r="C1053" s="80" t="s">
        <v>5026</v>
      </c>
      <c r="D1053" s="80" t="s">
        <v>5027</v>
      </c>
      <c r="E1053" s="81">
        <v>500000</v>
      </c>
      <c r="F1053" s="80" t="s">
        <v>4806</v>
      </c>
      <c r="G1053" s="81">
        <v>0</v>
      </c>
      <c r="H1053" s="81">
        <v>0</v>
      </c>
      <c r="I1053" s="80" t="s">
        <v>4800</v>
      </c>
      <c r="L1053" s="3">
        <f>VLOOKUP(C1053,Securities!A:D,4,FALSE)</f>
        <v>5</v>
      </c>
      <c r="M1053" s="3" t="str">
        <f>VLOOKUP(C1053,Securities!A:B,2,FALSE)</f>
        <v>XS0935311240 Corp</v>
      </c>
      <c r="O1053" s="3">
        <f t="shared" si="17"/>
        <v>500000</v>
      </c>
    </row>
    <row r="1054" spans="1:15" x14ac:dyDescent="0.25">
      <c r="A1054" s="76">
        <v>43053</v>
      </c>
      <c r="B1054" s="77" t="s">
        <v>5422</v>
      </c>
      <c r="C1054" s="77" t="s">
        <v>5006</v>
      </c>
      <c r="D1054" s="77" t="s">
        <v>5007</v>
      </c>
      <c r="E1054" s="78">
        <v>200000</v>
      </c>
      <c r="F1054" s="77" t="s">
        <v>4806</v>
      </c>
      <c r="G1054" s="78">
        <v>0</v>
      </c>
      <c r="H1054" s="78">
        <v>0</v>
      </c>
      <c r="I1054" s="77" t="s">
        <v>4800</v>
      </c>
      <c r="L1054" s="3">
        <f>VLOOKUP(C1054,Securities!A:D,4,FALSE)</f>
        <v>5</v>
      </c>
      <c r="M1054" s="3" t="str">
        <f>VLOOKUP(C1054,Securities!A:B,2,FALSE)</f>
        <v>XS1400710726 Corp</v>
      </c>
      <c r="O1054" s="3">
        <f t="shared" si="17"/>
        <v>200000</v>
      </c>
    </row>
    <row r="1055" spans="1:15" x14ac:dyDescent="0.25">
      <c r="A1055" s="79">
        <v>43053</v>
      </c>
      <c r="B1055" s="80" t="s">
        <v>5422</v>
      </c>
      <c r="C1055" s="80" t="s">
        <v>5445</v>
      </c>
      <c r="D1055" s="80" t="s">
        <v>159</v>
      </c>
      <c r="E1055" s="81">
        <v>24820000</v>
      </c>
      <c r="F1055" s="80" t="s">
        <v>4810</v>
      </c>
      <c r="G1055" s="81">
        <v>0</v>
      </c>
      <c r="H1055" s="81">
        <v>0</v>
      </c>
      <c r="I1055" s="80" t="s">
        <v>4800</v>
      </c>
      <c r="L1055" s="3">
        <f>VLOOKUP(C1055,Securities!A:D,4,FALSE)</f>
        <v>1</v>
      </c>
      <c r="M1055" s="3" t="str">
        <f>VLOOKUP(C1055,Securities!A:B,2,FALSE)</f>
        <v>VTBR RX Equity</v>
      </c>
      <c r="O1055" s="3">
        <f t="shared" si="17"/>
        <v>24820000</v>
      </c>
    </row>
    <row r="1056" spans="1:15" x14ac:dyDescent="0.25">
      <c r="A1056" s="76">
        <v>43053</v>
      </c>
      <c r="B1056" s="77" t="s">
        <v>5446</v>
      </c>
      <c r="C1056" s="77" t="s">
        <v>5447</v>
      </c>
      <c r="D1056" s="77" t="s">
        <v>5448</v>
      </c>
      <c r="E1056" s="78">
        <v>200000</v>
      </c>
      <c r="F1056" s="77" t="s">
        <v>4838</v>
      </c>
      <c r="G1056" s="78">
        <v>0</v>
      </c>
      <c r="H1056" s="78">
        <v>0</v>
      </c>
      <c r="I1056" s="77" t="s">
        <v>4800</v>
      </c>
      <c r="L1056" s="3">
        <f>VLOOKUP(C1056,Securities!A:D,4,FALSE)</f>
        <v>5</v>
      </c>
      <c r="M1056" s="3" t="str">
        <f>VLOOKUP(C1056,Securities!A:B,2,FALSE)</f>
        <v>XS1140509628 Corp</v>
      </c>
      <c r="O1056" s="3">
        <f t="shared" si="17"/>
        <v>200000</v>
      </c>
    </row>
    <row r="1057" spans="1:15" x14ac:dyDescent="0.25">
      <c r="A1057" s="79">
        <v>43053</v>
      </c>
      <c r="B1057" s="80" t="s">
        <v>5446</v>
      </c>
      <c r="C1057" s="80" t="s">
        <v>4839</v>
      </c>
      <c r="D1057" s="80" t="s">
        <v>4840</v>
      </c>
      <c r="E1057" s="81">
        <v>100000</v>
      </c>
      <c r="F1057" s="80" t="s">
        <v>4838</v>
      </c>
      <c r="G1057" s="81">
        <v>100</v>
      </c>
      <c r="H1057" s="81">
        <v>100</v>
      </c>
      <c r="I1057" s="80" t="s">
        <v>4800</v>
      </c>
      <c r="L1057" s="3">
        <f>VLOOKUP(C1057,Securities!A:D,4,FALSE)</f>
        <v>5</v>
      </c>
      <c r="M1057" s="3" t="str">
        <f>VLOOKUP(C1057,Securities!A:B,2,FALSE)</f>
        <v>XS1513271418 Corp</v>
      </c>
      <c r="O1057" s="3">
        <f t="shared" si="17"/>
        <v>100000</v>
      </c>
    </row>
    <row r="1058" spans="1:15" x14ac:dyDescent="0.25">
      <c r="A1058" s="76">
        <v>43053</v>
      </c>
      <c r="B1058" s="77" t="s">
        <v>5446</v>
      </c>
      <c r="C1058" s="77" t="s">
        <v>4811</v>
      </c>
      <c r="D1058" s="77" t="s">
        <v>4659</v>
      </c>
      <c r="E1058" s="78">
        <v>31545</v>
      </c>
      <c r="F1058" s="77" t="s">
        <v>4799</v>
      </c>
      <c r="G1058" s="78">
        <v>107.71549</v>
      </c>
      <c r="H1058" s="78">
        <v>1.8138129999999999</v>
      </c>
      <c r="I1058" s="77" t="s">
        <v>4800</v>
      </c>
      <c r="L1058" s="3">
        <f>VLOOKUP(C1058,Securities!A:D,4,FALSE)</f>
        <v>1</v>
      </c>
      <c r="M1058" s="3" t="str">
        <f>VLOOKUP(C1058,Securities!A:B,2,FALSE)</f>
        <v>HGM LN Equity</v>
      </c>
      <c r="O1058" s="3">
        <f t="shared" si="17"/>
        <v>31545</v>
      </c>
    </row>
    <row r="1059" spans="1:15" x14ac:dyDescent="0.25">
      <c r="A1059" s="79">
        <v>43053</v>
      </c>
      <c r="B1059" s="80" t="s">
        <v>5446</v>
      </c>
      <c r="C1059" s="80" t="s">
        <v>4819</v>
      </c>
      <c r="D1059" s="80" t="s">
        <v>4820</v>
      </c>
      <c r="E1059" s="81">
        <v>200000</v>
      </c>
      <c r="F1059" s="80" t="s">
        <v>4806</v>
      </c>
      <c r="G1059" s="81">
        <v>101.45</v>
      </c>
      <c r="H1059" s="81">
        <v>101.45</v>
      </c>
      <c r="I1059" s="80" t="s">
        <v>4800</v>
      </c>
      <c r="L1059" s="3">
        <f>VLOOKUP(C1059,Securities!A:D,4,FALSE)</f>
        <v>5</v>
      </c>
      <c r="M1059" s="3" t="str">
        <f>VLOOKUP(C1059,Securities!A:B,2,FALSE)</f>
        <v>XS0776121062 Corp</v>
      </c>
      <c r="O1059" s="3">
        <f t="shared" si="17"/>
        <v>200000</v>
      </c>
    </row>
    <row r="1060" spans="1:15" x14ac:dyDescent="0.25">
      <c r="A1060" s="76">
        <v>43053</v>
      </c>
      <c r="B1060" s="77" t="s">
        <v>5449</v>
      </c>
      <c r="C1060" s="77" t="s">
        <v>4973</v>
      </c>
      <c r="D1060" s="77" t="s">
        <v>23</v>
      </c>
      <c r="E1060" s="78">
        <v>8845</v>
      </c>
      <c r="F1060" s="77" t="s">
        <v>4974</v>
      </c>
      <c r="G1060" s="78">
        <v>101.2</v>
      </c>
      <c r="H1060" s="78">
        <v>101.2</v>
      </c>
      <c r="I1060" s="77" t="s">
        <v>4800</v>
      </c>
      <c r="L1060" s="3">
        <f>VLOOKUP(C1060,Securities!A:D,4,FALSE)</f>
        <v>5</v>
      </c>
      <c r="M1060" s="3" t="str">
        <f>VLOOKUP(C1060,Securities!A:B,2,FALSE)</f>
        <v>RU000A0JV7K7 Corp</v>
      </c>
      <c r="O1060" s="3">
        <f t="shared" si="17"/>
        <v>8845</v>
      </c>
    </row>
    <row r="1061" spans="1:15" x14ac:dyDescent="0.25">
      <c r="A1061" s="79">
        <v>43053</v>
      </c>
      <c r="B1061" s="80" t="s">
        <v>5449</v>
      </c>
      <c r="C1061" s="80" t="s">
        <v>4975</v>
      </c>
      <c r="D1061" s="80" t="s">
        <v>939</v>
      </c>
      <c r="E1061" s="81">
        <v>8570</v>
      </c>
      <c r="F1061" s="80" t="s">
        <v>4974</v>
      </c>
      <c r="G1061" s="81">
        <v>102.46</v>
      </c>
      <c r="H1061" s="81">
        <v>102.46</v>
      </c>
      <c r="I1061" s="80" t="s">
        <v>4800</v>
      </c>
      <c r="L1061" s="3">
        <f>VLOOKUP(C1061,Securities!A:D,4,FALSE)</f>
        <v>5</v>
      </c>
      <c r="M1061" s="3" t="str">
        <f>VLOOKUP(C1061,Securities!A:B,2,FALSE)</f>
        <v>RU000A0JX0J2 Corp</v>
      </c>
      <c r="O1061" s="3">
        <f t="shared" si="17"/>
        <v>8570</v>
      </c>
    </row>
    <row r="1062" spans="1:15" x14ac:dyDescent="0.25">
      <c r="A1062" s="76">
        <v>43053</v>
      </c>
      <c r="B1062" s="77" t="s">
        <v>5449</v>
      </c>
      <c r="C1062" s="77" t="s">
        <v>5450</v>
      </c>
      <c r="D1062" s="77" t="s">
        <v>5451</v>
      </c>
      <c r="E1062" s="78">
        <v>50000</v>
      </c>
      <c r="F1062" s="77" t="s">
        <v>4838</v>
      </c>
      <c r="G1062" s="78">
        <v>0</v>
      </c>
      <c r="H1062" s="78">
        <v>0</v>
      </c>
      <c r="I1062" s="77" t="s">
        <v>4800</v>
      </c>
      <c r="L1062" s="3">
        <f>VLOOKUP(C1062,Securities!A:D,4,FALSE)</f>
        <v>5</v>
      </c>
      <c r="M1062" s="3" t="str">
        <f>VLOOKUP(C1062,Securities!A:B,2,FALSE)</f>
        <v>XS1193838890 Corp</v>
      </c>
      <c r="O1062" s="3">
        <f t="shared" si="17"/>
        <v>50000</v>
      </c>
    </row>
    <row r="1063" spans="1:15" x14ac:dyDescent="0.25">
      <c r="A1063" s="79">
        <v>43053</v>
      </c>
      <c r="B1063" s="80" t="s">
        <v>5449</v>
      </c>
      <c r="C1063" s="80" t="s">
        <v>5452</v>
      </c>
      <c r="D1063" s="80" t="s">
        <v>5453</v>
      </c>
      <c r="E1063" s="81">
        <v>1</v>
      </c>
      <c r="F1063" s="80" t="s">
        <v>4974</v>
      </c>
      <c r="G1063" s="81">
        <v>100.2</v>
      </c>
      <c r="H1063" s="81">
        <v>100.2</v>
      </c>
      <c r="I1063" s="80" t="s">
        <v>4800</v>
      </c>
      <c r="L1063" s="3">
        <f>VLOOKUP(C1063,Securities!A:D,4,FALSE)</f>
        <v>5</v>
      </c>
      <c r="M1063" s="3" t="str">
        <f>VLOOKUP(C1063,Securities!A:B,2,FALSE)</f>
        <v>RU000A0JXTS9 Corp</v>
      </c>
      <c r="O1063" s="3">
        <f t="shared" si="17"/>
        <v>1</v>
      </c>
    </row>
    <row r="1064" spans="1:15" x14ac:dyDescent="0.25">
      <c r="A1064" s="76">
        <v>43053</v>
      </c>
      <c r="B1064" s="77" t="s">
        <v>5449</v>
      </c>
      <c r="C1064" s="77" t="s">
        <v>4882</v>
      </c>
      <c r="D1064" s="77" t="s">
        <v>4883</v>
      </c>
      <c r="E1064" s="78">
        <v>200000</v>
      </c>
      <c r="F1064" s="77" t="s">
        <v>4806</v>
      </c>
      <c r="G1064" s="78">
        <v>107.63</v>
      </c>
      <c r="H1064" s="78">
        <v>107.63</v>
      </c>
      <c r="I1064" s="77" t="s">
        <v>4800</v>
      </c>
      <c r="L1064" s="3">
        <f>VLOOKUP(C1064,Securities!A:D,4,FALSE)</f>
        <v>5</v>
      </c>
      <c r="M1064" s="3" t="str">
        <f>VLOOKUP(C1064,Securities!A:B,2,FALSE)</f>
        <v>XS1405775377 Corp</v>
      </c>
      <c r="O1064" s="3">
        <f t="shared" si="17"/>
        <v>200000</v>
      </c>
    </row>
    <row r="1065" spans="1:15" x14ac:dyDescent="0.25">
      <c r="A1065" s="79">
        <v>43053</v>
      </c>
      <c r="B1065" s="80" t="s">
        <v>5449</v>
      </c>
      <c r="C1065" s="80" t="s">
        <v>5454</v>
      </c>
      <c r="D1065" s="80" t="s">
        <v>5455</v>
      </c>
      <c r="E1065" s="81">
        <v>200000</v>
      </c>
      <c r="F1065" s="80" t="s">
        <v>4806</v>
      </c>
      <c r="G1065" s="81">
        <v>104.21</v>
      </c>
      <c r="H1065" s="81">
        <v>104.21</v>
      </c>
      <c r="I1065" s="80" t="s">
        <v>4800</v>
      </c>
      <c r="L1065" s="3">
        <f>VLOOKUP(C1065,Securities!A:D,4,FALSE)</f>
        <v>5</v>
      </c>
      <c r="M1065" s="3" t="str">
        <f>VLOOKUP(C1065,Securities!A:B,2,FALSE)</f>
        <v>US31562QAF46 Corp</v>
      </c>
      <c r="O1065" s="3">
        <f t="shared" si="17"/>
        <v>200000</v>
      </c>
    </row>
    <row r="1066" spans="1:15" x14ac:dyDescent="0.25">
      <c r="A1066" s="76">
        <v>43053</v>
      </c>
      <c r="B1066" s="77" t="s">
        <v>5449</v>
      </c>
      <c r="C1066" s="77" t="s">
        <v>4903</v>
      </c>
      <c r="D1066" s="77" t="s">
        <v>4904</v>
      </c>
      <c r="E1066" s="78">
        <v>200000</v>
      </c>
      <c r="F1066" s="77" t="s">
        <v>4806</v>
      </c>
      <c r="G1066" s="78">
        <v>106</v>
      </c>
      <c r="H1066" s="78">
        <v>106</v>
      </c>
      <c r="I1066" s="77" t="s">
        <v>4800</v>
      </c>
      <c r="L1066" s="3">
        <f>VLOOKUP(C1066,Securities!A:D,4,FALSE)</f>
        <v>5</v>
      </c>
      <c r="M1066" s="3" t="str">
        <f>VLOOKUP(C1066,Securities!A:B,2,FALSE)</f>
        <v>XS1319813769 Corp</v>
      </c>
      <c r="O1066" s="3">
        <f t="shared" si="17"/>
        <v>200000</v>
      </c>
    </row>
    <row r="1067" spans="1:15" x14ac:dyDescent="0.25">
      <c r="A1067" s="79">
        <v>43053</v>
      </c>
      <c r="B1067" s="80" t="s">
        <v>5449</v>
      </c>
      <c r="C1067" s="80" t="s">
        <v>5456</v>
      </c>
      <c r="D1067" s="80" t="s">
        <v>5457</v>
      </c>
      <c r="E1067" s="81">
        <v>197000</v>
      </c>
      <c r="F1067" s="80" t="s">
        <v>4806</v>
      </c>
      <c r="G1067" s="81">
        <v>102</v>
      </c>
      <c r="H1067" s="81">
        <v>102</v>
      </c>
      <c r="I1067" s="80" t="s">
        <v>4800</v>
      </c>
      <c r="L1067" s="3">
        <f>VLOOKUP(C1067,Securities!A:D,4,FALSE)</f>
        <v>5</v>
      </c>
      <c r="M1067" s="3" t="str">
        <f>VLOOKUP(C1067,Securities!A:B,2,FALSE)</f>
        <v>US382550BG56 Corp</v>
      </c>
      <c r="O1067" s="3">
        <f t="shared" si="17"/>
        <v>197000</v>
      </c>
    </row>
    <row r="1068" spans="1:15" x14ac:dyDescent="0.25">
      <c r="A1068" s="76">
        <v>43053</v>
      </c>
      <c r="B1068" s="77" t="s">
        <v>5449</v>
      </c>
      <c r="C1068" s="77" t="s">
        <v>5458</v>
      </c>
      <c r="D1068" s="77" t="s">
        <v>5459</v>
      </c>
      <c r="E1068" s="78">
        <v>200000</v>
      </c>
      <c r="F1068" s="77" t="s">
        <v>4806</v>
      </c>
      <c r="G1068" s="78">
        <v>109.93</v>
      </c>
      <c r="H1068" s="78">
        <v>109.93</v>
      </c>
      <c r="I1068" s="77" t="s">
        <v>4800</v>
      </c>
      <c r="L1068" s="3">
        <f>VLOOKUP(C1068,Securities!A:D,4,FALSE)</f>
        <v>5</v>
      </c>
      <c r="M1068" s="3" t="str">
        <f>VLOOKUP(C1068,Securities!A:B,2,FALSE)</f>
        <v>US496902AN77 Corp</v>
      </c>
      <c r="O1068" s="3">
        <f t="shared" si="17"/>
        <v>200000</v>
      </c>
    </row>
    <row r="1069" spans="1:15" x14ac:dyDescent="0.25">
      <c r="A1069" s="79">
        <v>43053</v>
      </c>
      <c r="B1069" s="80" t="s">
        <v>5449</v>
      </c>
      <c r="C1069" s="80" t="s">
        <v>4863</v>
      </c>
      <c r="D1069" s="80" t="s">
        <v>4864</v>
      </c>
      <c r="E1069" s="81">
        <v>200000</v>
      </c>
      <c r="F1069" s="80" t="s">
        <v>4806</v>
      </c>
      <c r="G1069" s="81">
        <v>102.5</v>
      </c>
      <c r="H1069" s="81">
        <v>102.5</v>
      </c>
      <c r="I1069" s="80" t="s">
        <v>4800</v>
      </c>
      <c r="L1069" s="3">
        <f>VLOOKUP(C1069,Securities!A:D,4,FALSE)</f>
        <v>5</v>
      </c>
      <c r="M1069" s="3" t="str">
        <f>VLOOKUP(C1069,Securities!A:B,2,FALSE)</f>
        <v>USN54468AF52 Corp</v>
      </c>
      <c r="O1069" s="3">
        <f t="shared" si="17"/>
        <v>200000</v>
      </c>
    </row>
    <row r="1070" spans="1:15" x14ac:dyDescent="0.25">
      <c r="A1070" s="76">
        <v>43053</v>
      </c>
      <c r="B1070" s="77" t="s">
        <v>5449</v>
      </c>
      <c r="C1070" s="77" t="s">
        <v>4913</v>
      </c>
      <c r="D1070" s="77" t="s">
        <v>4914</v>
      </c>
      <c r="E1070" s="78">
        <v>200000</v>
      </c>
      <c r="F1070" s="77" t="s">
        <v>4806</v>
      </c>
      <c r="G1070" s="78">
        <v>103.75</v>
      </c>
      <c r="H1070" s="78">
        <v>103.75</v>
      </c>
      <c r="I1070" s="77" t="s">
        <v>4800</v>
      </c>
      <c r="L1070" s="3">
        <f>VLOOKUP(C1070,Securities!A:D,4,FALSE)</f>
        <v>5</v>
      </c>
      <c r="M1070" s="3" t="str">
        <f>VLOOKUP(C1070,Securities!A:B,2,FALSE)</f>
        <v>XS1533922933 Corp</v>
      </c>
      <c r="O1070" s="3">
        <f t="shared" si="17"/>
        <v>200000</v>
      </c>
    </row>
    <row r="1071" spans="1:15" x14ac:dyDescent="0.25">
      <c r="A1071" s="79">
        <v>43053</v>
      </c>
      <c r="B1071" s="80" t="s">
        <v>5449</v>
      </c>
      <c r="C1071" s="80" t="s">
        <v>5004</v>
      </c>
      <c r="D1071" s="80" t="s">
        <v>5005</v>
      </c>
      <c r="E1071" s="81">
        <v>200000</v>
      </c>
      <c r="F1071" s="80" t="s">
        <v>4806</v>
      </c>
      <c r="G1071" s="81">
        <v>104</v>
      </c>
      <c r="H1071" s="81">
        <v>104</v>
      </c>
      <c r="I1071" s="80" t="s">
        <v>4800</v>
      </c>
      <c r="L1071" s="3">
        <f>VLOOKUP(C1071,Securities!A:D,4,FALSE)</f>
        <v>5</v>
      </c>
      <c r="M1071" s="3" t="str">
        <f>VLOOKUP(C1071,Securities!A:B,2,FALSE)</f>
        <v>XS1433454243 Corp</v>
      </c>
      <c r="O1071" s="3">
        <f t="shared" si="17"/>
        <v>200000</v>
      </c>
    </row>
    <row r="1072" spans="1:15" x14ac:dyDescent="0.25">
      <c r="A1072" s="76">
        <v>43053</v>
      </c>
      <c r="B1072" s="77" t="s">
        <v>5449</v>
      </c>
      <c r="C1072" s="77" t="s">
        <v>5460</v>
      </c>
      <c r="D1072" s="77" t="s">
        <v>5461</v>
      </c>
      <c r="E1072" s="78">
        <v>200000</v>
      </c>
      <c r="F1072" s="77" t="s">
        <v>4806</v>
      </c>
      <c r="G1072" s="78">
        <v>106.9</v>
      </c>
      <c r="H1072" s="78">
        <v>106.9</v>
      </c>
      <c r="I1072" s="77" t="s">
        <v>4800</v>
      </c>
      <c r="L1072" s="3">
        <f>VLOOKUP(C1072,Securities!A:D,4,FALSE)</f>
        <v>5</v>
      </c>
      <c r="M1072" s="3" t="str">
        <f>VLOOKUP(C1072,Securities!A:B,2,FALSE)</f>
        <v>US900123CF53 Corp</v>
      </c>
      <c r="O1072" s="3">
        <f t="shared" si="17"/>
        <v>200000</v>
      </c>
    </row>
    <row r="1073" spans="1:15" x14ac:dyDescent="0.25">
      <c r="A1073" s="79">
        <v>43053</v>
      </c>
      <c r="B1073" s="80" t="s">
        <v>5449</v>
      </c>
      <c r="C1073" s="80" t="s">
        <v>4986</v>
      </c>
      <c r="D1073" s="80" t="s">
        <v>4987</v>
      </c>
      <c r="E1073" s="81">
        <v>200000</v>
      </c>
      <c r="F1073" s="80" t="s">
        <v>4806</v>
      </c>
      <c r="G1073" s="81">
        <v>100.625</v>
      </c>
      <c r="H1073" s="81">
        <v>100.625</v>
      </c>
      <c r="I1073" s="80" t="s">
        <v>4800</v>
      </c>
      <c r="L1073" s="3">
        <f>VLOOKUP(C1073,Securities!A:D,4,FALSE)</f>
        <v>5</v>
      </c>
      <c r="M1073" s="3" t="str">
        <f>VLOOKUP(C1073,Securities!A:B,2,FALSE)</f>
        <v>USG9328DAM23 Corp</v>
      </c>
      <c r="O1073" s="3">
        <f t="shared" si="17"/>
        <v>200000</v>
      </c>
    </row>
    <row r="1074" spans="1:15" x14ac:dyDescent="0.25">
      <c r="A1074" s="76">
        <v>43053</v>
      </c>
      <c r="B1074" s="77" t="s">
        <v>5449</v>
      </c>
      <c r="C1074" s="77" t="s">
        <v>5028</v>
      </c>
      <c r="D1074" s="77" t="s">
        <v>5029</v>
      </c>
      <c r="E1074" s="78">
        <v>200000</v>
      </c>
      <c r="F1074" s="77" t="s">
        <v>4806</v>
      </c>
      <c r="G1074" s="78">
        <v>108.875</v>
      </c>
      <c r="H1074" s="78">
        <v>108.875</v>
      </c>
      <c r="I1074" s="77" t="s">
        <v>4800</v>
      </c>
      <c r="L1074" s="3">
        <f>VLOOKUP(C1074,Securities!A:D,4,FALSE)</f>
        <v>5</v>
      </c>
      <c r="M1074" s="3" t="str">
        <f>VLOOKUP(C1074,Securities!A:B,2,FALSE)</f>
        <v>EJ394063 Corp</v>
      </c>
      <c r="O1074" s="3">
        <f t="shared" si="17"/>
        <v>200000</v>
      </c>
    </row>
    <row r="1075" spans="1:15" x14ac:dyDescent="0.25">
      <c r="A1075" s="79">
        <v>43053</v>
      </c>
      <c r="B1075" s="80" t="s">
        <v>5462</v>
      </c>
      <c r="C1075" s="80" t="s">
        <v>5463</v>
      </c>
      <c r="D1075" s="80" t="s">
        <v>4782</v>
      </c>
      <c r="E1075" s="81">
        <v>250000</v>
      </c>
      <c r="F1075" s="80" t="s">
        <v>4806</v>
      </c>
      <c r="G1075" s="81">
        <v>89.15</v>
      </c>
      <c r="H1075" s="81">
        <v>89.15</v>
      </c>
      <c r="I1075" s="80" t="s">
        <v>4800</v>
      </c>
      <c r="L1075" s="3">
        <f>VLOOKUP(C1075,Securities!A:D,4,FALSE)</f>
        <v>5</v>
      </c>
      <c r="M1075" s="3" t="str">
        <f>VLOOKUP(C1075,Securities!A:B,2,FALSE)</f>
        <v>XS0783242877 Corp</v>
      </c>
      <c r="O1075" s="3">
        <f t="shared" si="17"/>
        <v>250000</v>
      </c>
    </row>
    <row r="1076" spans="1:15" x14ac:dyDescent="0.25">
      <c r="A1076" s="76">
        <v>43053</v>
      </c>
      <c r="B1076" s="77" t="s">
        <v>5462</v>
      </c>
      <c r="C1076" s="77" t="s">
        <v>5296</v>
      </c>
      <c r="D1076" s="77" t="s">
        <v>5297</v>
      </c>
      <c r="E1076" s="78">
        <v>75000</v>
      </c>
      <c r="F1076" s="77" t="s">
        <v>4838</v>
      </c>
      <c r="G1076" s="78">
        <v>100</v>
      </c>
      <c r="H1076" s="78">
        <v>100</v>
      </c>
      <c r="I1076" s="77" t="s">
        <v>4800</v>
      </c>
      <c r="L1076" s="3">
        <f>VLOOKUP(C1076,Securities!A:D,4,FALSE)</f>
        <v>5</v>
      </c>
      <c r="M1076" s="3" t="str">
        <f>VLOOKUP(C1076,Securities!A:B,2,FALSE)</f>
        <v>CH0384862568 Corp</v>
      </c>
      <c r="O1076" s="3">
        <f t="shared" si="17"/>
        <v>75000</v>
      </c>
    </row>
    <row r="1077" spans="1:15" x14ac:dyDescent="0.25">
      <c r="A1077" s="79">
        <v>43053</v>
      </c>
      <c r="B1077" s="80" t="s">
        <v>5462</v>
      </c>
      <c r="C1077" s="80" t="s">
        <v>4805</v>
      </c>
      <c r="D1077" s="80" t="s">
        <v>31</v>
      </c>
      <c r="E1077" s="81">
        <v>100000</v>
      </c>
      <c r="F1077" s="80" t="s">
        <v>4806</v>
      </c>
      <c r="G1077" s="81">
        <v>175</v>
      </c>
      <c r="H1077" s="81">
        <v>175</v>
      </c>
      <c r="I1077" s="80" t="s">
        <v>4800</v>
      </c>
      <c r="L1077" s="3">
        <f>VLOOKUP(C1077,Securities!A:D,4,FALSE)</f>
        <v>5</v>
      </c>
      <c r="M1077" s="3" t="str">
        <f>VLOOKUP(C1077,Securities!A:B,2,FALSE)</f>
        <v>TT343269 Corp</v>
      </c>
      <c r="O1077" s="3">
        <f t="shared" si="17"/>
        <v>100000</v>
      </c>
    </row>
    <row r="1078" spans="1:15" x14ac:dyDescent="0.25">
      <c r="A1078" s="76">
        <v>43053</v>
      </c>
      <c r="B1078" s="77" t="s">
        <v>5462</v>
      </c>
      <c r="C1078" s="77" t="s">
        <v>5189</v>
      </c>
      <c r="D1078" s="77" t="s">
        <v>4741</v>
      </c>
      <c r="E1078" s="78">
        <v>200000</v>
      </c>
      <c r="F1078" s="77" t="s">
        <v>4806</v>
      </c>
      <c r="G1078" s="78">
        <v>110.61</v>
      </c>
      <c r="H1078" s="78">
        <v>110.61</v>
      </c>
      <c r="I1078" s="77" t="s">
        <v>4800</v>
      </c>
      <c r="L1078" s="3">
        <f>VLOOKUP(C1078,Securities!A:D,4,FALSE)</f>
        <v>5</v>
      </c>
      <c r="M1078" s="3" t="str">
        <f>VLOOKUP(C1078,Securities!A:B,2,FALSE)</f>
        <v>XS0290580595 Corp</v>
      </c>
      <c r="O1078" s="3">
        <f t="shared" si="17"/>
        <v>200000</v>
      </c>
    </row>
    <row r="1079" spans="1:15" x14ac:dyDescent="0.25">
      <c r="A1079" s="79">
        <v>43053</v>
      </c>
      <c r="B1079" s="80" t="s">
        <v>5462</v>
      </c>
      <c r="C1079" s="80" t="s">
        <v>4811</v>
      </c>
      <c r="D1079" s="80" t="s">
        <v>4659</v>
      </c>
      <c r="E1079" s="81">
        <v>32200</v>
      </c>
      <c r="F1079" s="80" t="s">
        <v>4799</v>
      </c>
      <c r="G1079" s="81">
        <v>104.39838899999999</v>
      </c>
      <c r="H1079" s="81">
        <v>1.762607</v>
      </c>
      <c r="I1079" s="80" t="s">
        <v>4800</v>
      </c>
      <c r="L1079" s="3">
        <f>VLOOKUP(C1079,Securities!A:D,4,FALSE)</f>
        <v>1</v>
      </c>
      <c r="M1079" s="3" t="str">
        <f>VLOOKUP(C1079,Securities!A:B,2,FALSE)</f>
        <v>HGM LN Equity</v>
      </c>
      <c r="O1079" s="3">
        <f t="shared" si="17"/>
        <v>32200</v>
      </c>
    </row>
    <row r="1080" spans="1:15" x14ac:dyDescent="0.25">
      <c r="A1080" s="76">
        <v>43053</v>
      </c>
      <c r="B1080" s="77" t="s">
        <v>5462</v>
      </c>
      <c r="C1080" s="77" t="s">
        <v>4812</v>
      </c>
      <c r="D1080" s="77" t="s">
        <v>4675</v>
      </c>
      <c r="E1080" s="78">
        <v>6500</v>
      </c>
      <c r="F1080" s="77" t="s">
        <v>4804</v>
      </c>
      <c r="G1080" s="78">
        <v>554.87689599999999</v>
      </c>
      <c r="H1080" s="78">
        <v>9.7200000000000006</v>
      </c>
      <c r="I1080" s="77" t="s">
        <v>4800</v>
      </c>
      <c r="L1080" s="3">
        <f>VLOOKUP(C1080,Securities!A:D,4,FALSE)</f>
        <v>1</v>
      </c>
      <c r="M1080" s="3" t="str">
        <f>VLOOKUP(C1080,Securities!A:B,2,FALSE)</f>
        <v>KMG LI Equity</v>
      </c>
      <c r="O1080" s="3">
        <f t="shared" si="17"/>
        <v>6500</v>
      </c>
    </row>
    <row r="1081" spans="1:15" x14ac:dyDescent="0.25">
      <c r="A1081" s="79">
        <v>43053</v>
      </c>
      <c r="B1081" s="80" t="s">
        <v>5462</v>
      </c>
      <c r="C1081" s="80" t="s">
        <v>4819</v>
      </c>
      <c r="D1081" s="80" t="s">
        <v>4820</v>
      </c>
      <c r="E1081" s="81">
        <v>200000</v>
      </c>
      <c r="F1081" s="80" t="s">
        <v>4806</v>
      </c>
      <c r="G1081" s="81">
        <v>95.515000000000001</v>
      </c>
      <c r="H1081" s="81">
        <v>95.515000000000001</v>
      </c>
      <c r="I1081" s="80" t="s">
        <v>4800</v>
      </c>
      <c r="L1081" s="3">
        <f>VLOOKUP(C1081,Securities!A:D,4,FALSE)</f>
        <v>5</v>
      </c>
      <c r="M1081" s="3" t="str">
        <f>VLOOKUP(C1081,Securities!A:B,2,FALSE)</f>
        <v>XS0776121062 Corp</v>
      </c>
      <c r="O1081" s="3">
        <f t="shared" si="17"/>
        <v>200000</v>
      </c>
    </row>
    <row r="1082" spans="1:15" x14ac:dyDescent="0.25">
      <c r="A1082" s="76">
        <v>43053</v>
      </c>
      <c r="B1082" s="77" t="s">
        <v>5462</v>
      </c>
      <c r="C1082" s="77" t="s">
        <v>4821</v>
      </c>
      <c r="D1082" s="77" t="s">
        <v>42</v>
      </c>
      <c r="E1082" s="78">
        <v>4957</v>
      </c>
      <c r="F1082" s="77" t="s">
        <v>4799</v>
      </c>
      <c r="G1082" s="78">
        <v>680.44383900000003</v>
      </c>
      <c r="H1082" s="78">
        <v>11.420923999999999</v>
      </c>
      <c r="I1082" s="77" t="s">
        <v>4800</v>
      </c>
      <c r="L1082" s="3">
        <f>VLOOKUP(C1082,Securities!A:D,4,FALSE)</f>
        <v>1</v>
      </c>
      <c r="M1082" s="3" t="str">
        <f>VLOOKUP(C1082,Securities!A:B,2,FALSE)</f>
        <v>POLY LN Equity</v>
      </c>
      <c r="O1082" s="3">
        <f t="shared" si="17"/>
        <v>4957</v>
      </c>
    </row>
    <row r="1083" spans="1:15" x14ac:dyDescent="0.25">
      <c r="A1083" s="79">
        <v>43053</v>
      </c>
      <c r="B1083" s="80" t="s">
        <v>5462</v>
      </c>
      <c r="C1083" s="80" t="s">
        <v>4834</v>
      </c>
      <c r="D1083" s="80" t="s">
        <v>51</v>
      </c>
      <c r="E1083" s="81">
        <v>2960</v>
      </c>
      <c r="F1083" s="80" t="s">
        <v>4825</v>
      </c>
      <c r="G1083" s="81">
        <v>972.632338</v>
      </c>
      <c r="H1083" s="81">
        <v>16.894601000000002</v>
      </c>
      <c r="I1083" s="80" t="s">
        <v>4800</v>
      </c>
      <c r="L1083" s="3">
        <f>VLOOKUP(C1083,Securities!A:D,4,FALSE)</f>
        <v>1</v>
      </c>
      <c r="M1083" s="3" t="str">
        <f>VLOOKUP(C1083,Securities!A:B,2,FALSE)</f>
        <v>QIWI US Equity</v>
      </c>
      <c r="O1083" s="3">
        <f t="shared" si="17"/>
        <v>2960</v>
      </c>
    </row>
    <row r="1084" spans="1:15" x14ac:dyDescent="0.25">
      <c r="A1084" s="76">
        <v>43053</v>
      </c>
      <c r="B1084" s="77" t="s">
        <v>5462</v>
      </c>
      <c r="C1084" s="77" t="s">
        <v>4851</v>
      </c>
      <c r="D1084" s="77" t="s">
        <v>4744</v>
      </c>
      <c r="E1084" s="78">
        <v>200000</v>
      </c>
      <c r="F1084" s="77" t="s">
        <v>4806</v>
      </c>
      <c r="G1084" s="78">
        <v>101.375</v>
      </c>
      <c r="H1084" s="78">
        <v>101.375</v>
      </c>
      <c r="I1084" s="77" t="s">
        <v>4800</v>
      </c>
      <c r="L1084" s="3">
        <f>VLOOKUP(C1084,Securities!A:D,4,FALSE)</f>
        <v>5</v>
      </c>
      <c r="M1084" s="3" t="str">
        <f>VLOOKUP(C1084,Securities!A:B,2,FALSE)</f>
        <v>XS1032750165 Corp</v>
      </c>
      <c r="O1084" s="3">
        <f t="shared" si="17"/>
        <v>200000</v>
      </c>
    </row>
    <row r="1085" spans="1:15" x14ac:dyDescent="0.25">
      <c r="A1085" s="79">
        <v>43053</v>
      </c>
      <c r="B1085" s="80" t="s">
        <v>5462</v>
      </c>
      <c r="C1085" s="80" t="s">
        <v>5162</v>
      </c>
      <c r="D1085" s="80" t="s">
        <v>5163</v>
      </c>
      <c r="E1085" s="81">
        <v>38985</v>
      </c>
      <c r="F1085" s="80" t="s">
        <v>4804</v>
      </c>
      <c r="G1085" s="81">
        <v>237.29379</v>
      </c>
      <c r="H1085" s="81">
        <v>4.0124269999999997</v>
      </c>
      <c r="I1085" s="80" t="s">
        <v>4800</v>
      </c>
      <c r="L1085" s="3">
        <f>VLOOKUP(C1085,Securities!A:D,4,FALSE)</f>
        <v>1</v>
      </c>
      <c r="M1085" s="3" t="str">
        <f>VLOOKUP(C1085,Securities!A:B,2,FALSE)</f>
        <v>SSA LI Equity</v>
      </c>
      <c r="O1085" s="3">
        <f t="shared" si="17"/>
        <v>38985</v>
      </c>
    </row>
    <row r="1086" spans="1:15" x14ac:dyDescent="0.25">
      <c r="A1086" s="76">
        <v>43053</v>
      </c>
      <c r="B1086" s="77" t="s">
        <v>5462</v>
      </c>
      <c r="C1086" s="77" t="s">
        <v>4824</v>
      </c>
      <c r="D1086" s="77" t="s">
        <v>4674</v>
      </c>
      <c r="E1086" s="78">
        <v>15625</v>
      </c>
      <c r="F1086" s="77" t="s">
        <v>4825</v>
      </c>
      <c r="G1086" s="78">
        <v>228.344402</v>
      </c>
      <c r="H1086" s="78">
        <v>4</v>
      </c>
      <c r="I1086" s="77" t="s">
        <v>4800</v>
      </c>
      <c r="L1086" s="3">
        <f>VLOOKUP(C1086,Securities!A:D,4,FALSE)</f>
        <v>1</v>
      </c>
      <c r="M1086" s="3" t="str">
        <f>VLOOKUP(C1086,Securities!A:B,2,FALSE)</f>
        <v>VEON US Equity</v>
      </c>
      <c r="O1086" s="3">
        <f t="shared" si="17"/>
        <v>15625</v>
      </c>
    </row>
    <row r="1087" spans="1:15" x14ac:dyDescent="0.25">
      <c r="A1087" s="79">
        <v>43053</v>
      </c>
      <c r="B1087" s="80" t="s">
        <v>5464</v>
      </c>
      <c r="C1087" s="80" t="s">
        <v>4973</v>
      </c>
      <c r="D1087" s="80" t="s">
        <v>23</v>
      </c>
      <c r="E1087" s="81">
        <v>26120</v>
      </c>
      <c r="F1087" s="80" t="s">
        <v>4974</v>
      </c>
      <c r="G1087" s="81">
        <v>100.838047</v>
      </c>
      <c r="H1087" s="81">
        <v>100.838047</v>
      </c>
      <c r="I1087" s="80" t="s">
        <v>4800</v>
      </c>
      <c r="L1087" s="3">
        <f>VLOOKUP(C1087,Securities!A:D,4,FALSE)</f>
        <v>5</v>
      </c>
      <c r="M1087" s="3" t="str">
        <f>VLOOKUP(C1087,Securities!A:B,2,FALSE)</f>
        <v>RU000A0JV7K7 Corp</v>
      </c>
      <c r="O1087" s="3">
        <f t="shared" si="17"/>
        <v>26120</v>
      </c>
    </row>
    <row r="1088" spans="1:15" x14ac:dyDescent="0.25">
      <c r="A1088" s="76">
        <v>43053</v>
      </c>
      <c r="B1088" s="77" t="s">
        <v>5464</v>
      </c>
      <c r="C1088" s="77" t="s">
        <v>4805</v>
      </c>
      <c r="D1088" s="77" t="s">
        <v>31</v>
      </c>
      <c r="E1088" s="78">
        <v>200000</v>
      </c>
      <c r="F1088" s="77" t="s">
        <v>4806</v>
      </c>
      <c r="G1088" s="78">
        <v>174</v>
      </c>
      <c r="H1088" s="78">
        <v>174</v>
      </c>
      <c r="I1088" s="77" t="s">
        <v>4800</v>
      </c>
      <c r="L1088" s="3">
        <f>VLOOKUP(C1088,Securities!A:D,4,FALSE)</f>
        <v>5</v>
      </c>
      <c r="M1088" s="3" t="str">
        <f>VLOOKUP(C1088,Securities!A:B,2,FALSE)</f>
        <v>TT343269 Corp</v>
      </c>
      <c r="O1088" s="3">
        <f t="shared" si="17"/>
        <v>200000</v>
      </c>
    </row>
    <row r="1089" spans="1:15" x14ac:dyDescent="0.25">
      <c r="A1089" s="79">
        <v>43053</v>
      </c>
      <c r="B1089" s="80" t="s">
        <v>5464</v>
      </c>
      <c r="C1089" s="80" t="s">
        <v>4809</v>
      </c>
      <c r="D1089" s="80" t="s">
        <v>30</v>
      </c>
      <c r="E1089" s="81">
        <v>25000</v>
      </c>
      <c r="F1089" s="80" t="s">
        <v>4810</v>
      </c>
      <c r="G1089" s="81">
        <v>119.81348300000001</v>
      </c>
      <c r="H1089" s="81">
        <v>1.9722280000000001</v>
      </c>
      <c r="I1089" s="80" t="s">
        <v>4800</v>
      </c>
      <c r="L1089" s="3">
        <f>VLOOKUP(C1089,Securities!A:D,4,FALSE)</f>
        <v>1</v>
      </c>
      <c r="M1089" s="3" t="str">
        <f>VLOOKUP(C1089,Securities!A:B,2,FALSE)</f>
        <v>GAZP RX Equity</v>
      </c>
      <c r="O1089" s="3">
        <f t="shared" si="17"/>
        <v>25000</v>
      </c>
    </row>
    <row r="1090" spans="1:15" x14ac:dyDescent="0.25">
      <c r="A1090" s="76">
        <v>43053</v>
      </c>
      <c r="B1090" s="77" t="s">
        <v>5464</v>
      </c>
      <c r="C1090" s="77" t="s">
        <v>4811</v>
      </c>
      <c r="D1090" s="77" t="s">
        <v>4659</v>
      </c>
      <c r="E1090" s="78">
        <v>26385</v>
      </c>
      <c r="F1090" s="77" t="s">
        <v>4799</v>
      </c>
      <c r="G1090" s="78">
        <v>113.686043</v>
      </c>
      <c r="H1090" s="78">
        <v>1.9056550000000001</v>
      </c>
      <c r="I1090" s="77" t="s">
        <v>4800</v>
      </c>
      <c r="L1090" s="3">
        <f>VLOOKUP(C1090,Securities!A:D,4,FALSE)</f>
        <v>1</v>
      </c>
      <c r="M1090" s="3" t="str">
        <f>VLOOKUP(C1090,Securities!A:B,2,FALSE)</f>
        <v>HGM LN Equity</v>
      </c>
      <c r="O1090" s="3">
        <f t="shared" si="17"/>
        <v>26385</v>
      </c>
    </row>
    <row r="1091" spans="1:15" x14ac:dyDescent="0.25">
      <c r="A1091" s="79">
        <v>43053</v>
      </c>
      <c r="B1091" s="80" t="s">
        <v>5464</v>
      </c>
      <c r="C1091" s="80" t="s">
        <v>4847</v>
      </c>
      <c r="D1091" s="80" t="s">
        <v>369</v>
      </c>
      <c r="E1091" s="81">
        <v>842</v>
      </c>
      <c r="F1091" s="80" t="s">
        <v>4810</v>
      </c>
      <c r="G1091" s="81">
        <v>2967.9821969999998</v>
      </c>
      <c r="H1091" s="81">
        <v>51.466797999999997</v>
      </c>
      <c r="I1091" s="80" t="s">
        <v>4800</v>
      </c>
      <c r="L1091" s="3">
        <f>VLOOKUP(C1091,Securities!A:D,4,FALSE)</f>
        <v>1</v>
      </c>
      <c r="M1091" s="3" t="str">
        <f>VLOOKUP(C1091,Securities!A:B,2,FALSE)</f>
        <v>LKOH RX Equity</v>
      </c>
      <c r="O1091" s="3">
        <f t="shared" si="17"/>
        <v>842</v>
      </c>
    </row>
    <row r="1092" spans="1:15" x14ac:dyDescent="0.25">
      <c r="A1092" s="76">
        <v>43053</v>
      </c>
      <c r="B1092" s="77" t="s">
        <v>5464</v>
      </c>
      <c r="C1092" s="77" t="s">
        <v>4910</v>
      </c>
      <c r="D1092" s="77" t="s">
        <v>366</v>
      </c>
      <c r="E1092" s="78">
        <v>3075</v>
      </c>
      <c r="F1092" s="77" t="s">
        <v>4810</v>
      </c>
      <c r="G1092" s="78">
        <v>813</v>
      </c>
      <c r="H1092" s="78">
        <v>14.097963999999999</v>
      </c>
      <c r="I1092" s="77" t="s">
        <v>4800</v>
      </c>
      <c r="L1092" s="3">
        <f>VLOOKUP(C1092,Securities!A:D,4,FALSE)</f>
        <v>1</v>
      </c>
      <c r="M1092" s="3" t="str">
        <f>VLOOKUP(C1092,Securities!A:B,2,FALSE)</f>
        <v>LSRG RX Equity</v>
      </c>
      <c r="O1092" s="3">
        <f t="shared" si="17"/>
        <v>3075</v>
      </c>
    </row>
    <row r="1093" spans="1:15" x14ac:dyDescent="0.25">
      <c r="A1093" s="79">
        <v>43053</v>
      </c>
      <c r="B1093" s="80" t="s">
        <v>5464</v>
      </c>
      <c r="C1093" s="80" t="s">
        <v>4815</v>
      </c>
      <c r="D1093" s="80" t="s">
        <v>4676</v>
      </c>
      <c r="E1093" s="81">
        <v>1150</v>
      </c>
      <c r="F1093" s="80" t="s">
        <v>4799</v>
      </c>
      <c r="G1093" s="81">
        <v>2568.553852</v>
      </c>
      <c r="H1093" s="81">
        <v>42.859375999999997</v>
      </c>
      <c r="I1093" s="80" t="s">
        <v>4800</v>
      </c>
      <c r="L1093" s="3">
        <f>VLOOKUP(C1093,Securities!A:D,4,FALSE)</f>
        <v>1</v>
      </c>
      <c r="M1093" s="3" t="str">
        <f>VLOOKUP(C1093,Securities!A:B,2,FALSE)</f>
        <v>LXFT US Equity</v>
      </c>
      <c r="O1093" s="3">
        <f t="shared" si="17"/>
        <v>1150</v>
      </c>
    </row>
    <row r="1094" spans="1:15" x14ac:dyDescent="0.25">
      <c r="A1094" s="76">
        <v>43053</v>
      </c>
      <c r="B1094" s="77" t="s">
        <v>5464</v>
      </c>
      <c r="C1094" s="77" t="s">
        <v>4848</v>
      </c>
      <c r="D1094" s="77" t="s">
        <v>511</v>
      </c>
      <c r="E1094" s="78">
        <v>4850</v>
      </c>
      <c r="F1094" s="77" t="s">
        <v>4810</v>
      </c>
      <c r="G1094" s="78">
        <v>617.91750100000002</v>
      </c>
      <c r="H1094" s="78">
        <v>10.171431</v>
      </c>
      <c r="I1094" s="77" t="s">
        <v>4800</v>
      </c>
      <c r="L1094" s="3">
        <f>VLOOKUP(C1094,Securities!A:D,4,FALSE)</f>
        <v>1</v>
      </c>
      <c r="M1094" s="3" t="str">
        <f>VLOOKUP(C1094,Securities!A:B,2,FALSE)</f>
        <v>NVTK RX Equity</v>
      </c>
      <c r="O1094" s="3">
        <f t="shared" ref="O1094:O1157" si="18">SUMIFS(E:E,C:C,C1094,B:B,B1094)</f>
        <v>4850</v>
      </c>
    </row>
    <row r="1095" spans="1:15" x14ac:dyDescent="0.25">
      <c r="A1095" s="79">
        <v>43053</v>
      </c>
      <c r="B1095" s="80" t="s">
        <v>5464</v>
      </c>
      <c r="C1095" s="80" t="s">
        <v>4821</v>
      </c>
      <c r="D1095" s="80" t="s">
        <v>42</v>
      </c>
      <c r="E1095" s="81">
        <v>4330</v>
      </c>
      <c r="F1095" s="80" t="s">
        <v>4799</v>
      </c>
      <c r="G1095" s="81">
        <v>692.65935300000001</v>
      </c>
      <c r="H1095" s="81">
        <v>11.753435</v>
      </c>
      <c r="I1095" s="80" t="s">
        <v>4800</v>
      </c>
      <c r="L1095" s="3">
        <f>VLOOKUP(C1095,Securities!A:D,4,FALSE)</f>
        <v>1</v>
      </c>
      <c r="M1095" s="3" t="str">
        <f>VLOOKUP(C1095,Securities!A:B,2,FALSE)</f>
        <v>POLY LN Equity</v>
      </c>
      <c r="O1095" s="3">
        <f t="shared" si="18"/>
        <v>4330</v>
      </c>
    </row>
    <row r="1096" spans="1:15" x14ac:dyDescent="0.25">
      <c r="A1096" s="76">
        <v>43053</v>
      </c>
      <c r="B1096" s="77" t="s">
        <v>5464</v>
      </c>
      <c r="C1096" s="77" t="s">
        <v>4916</v>
      </c>
      <c r="D1096" s="77" t="s">
        <v>712</v>
      </c>
      <c r="E1096" s="78">
        <v>101000</v>
      </c>
      <c r="F1096" s="77" t="s">
        <v>4810</v>
      </c>
      <c r="G1096" s="78">
        <v>29.645810999999998</v>
      </c>
      <c r="H1096" s="78">
        <v>0.49357600000000001</v>
      </c>
      <c r="I1096" s="77" t="s">
        <v>4800</v>
      </c>
      <c r="L1096" s="3">
        <f>VLOOKUP(C1096,Securities!A:D,4,FALSE)</f>
        <v>1</v>
      </c>
      <c r="M1096" s="3" t="str">
        <f>VLOOKUP(C1096,Securities!A:B,2,FALSE)</f>
        <v>SNGSP RX Equity</v>
      </c>
      <c r="O1096" s="3">
        <f t="shared" si="18"/>
        <v>101000</v>
      </c>
    </row>
    <row r="1097" spans="1:15" x14ac:dyDescent="0.25">
      <c r="A1097" s="79">
        <v>43053</v>
      </c>
      <c r="B1097" s="80" t="s">
        <v>5464</v>
      </c>
      <c r="C1097" s="80" t="s">
        <v>4917</v>
      </c>
      <c r="D1097" s="80" t="s">
        <v>742</v>
      </c>
      <c r="E1097" s="81">
        <v>39200</v>
      </c>
      <c r="F1097" s="80" t="s">
        <v>4810</v>
      </c>
      <c r="G1097" s="81">
        <v>76.577600000000004</v>
      </c>
      <c r="H1097" s="81">
        <v>1.283736</v>
      </c>
      <c r="I1097" s="80" t="s">
        <v>4800</v>
      </c>
      <c r="L1097" s="3">
        <f>VLOOKUP(C1097,Securities!A:D,4,FALSE)</f>
        <v>1</v>
      </c>
      <c r="M1097" s="3" t="str">
        <f>VLOOKUP(C1097,Securities!A:B,2,FALSE)</f>
        <v>TRMK RX Equity</v>
      </c>
      <c r="O1097" s="3">
        <f t="shared" si="18"/>
        <v>39200</v>
      </c>
    </row>
    <row r="1098" spans="1:15" x14ac:dyDescent="0.25">
      <c r="A1098" s="76">
        <v>43053</v>
      </c>
      <c r="B1098" s="77" t="s">
        <v>5464</v>
      </c>
      <c r="C1098" s="77" t="s">
        <v>4890</v>
      </c>
      <c r="D1098" s="77" t="s">
        <v>886</v>
      </c>
      <c r="E1098" s="78">
        <v>1046000</v>
      </c>
      <c r="F1098" s="77" t="s">
        <v>4810</v>
      </c>
      <c r="G1098" s="78">
        <v>2.39</v>
      </c>
      <c r="H1098" s="78">
        <v>4.1444000000000002E-2</v>
      </c>
      <c r="I1098" s="77" t="s">
        <v>4800</v>
      </c>
      <c r="L1098" s="3">
        <f>VLOOKUP(C1098,Securities!A:D,4,FALSE)</f>
        <v>1</v>
      </c>
      <c r="M1098" s="3" t="str">
        <f>VLOOKUP(C1098,Securities!A:B,2,FALSE)</f>
        <v>UPRO RX Equity</v>
      </c>
      <c r="O1098" s="3">
        <f t="shared" si="18"/>
        <v>1046000</v>
      </c>
    </row>
    <row r="1099" spans="1:15" x14ac:dyDescent="0.25">
      <c r="A1099" s="79">
        <v>43053</v>
      </c>
      <c r="B1099" s="80" t="s">
        <v>5465</v>
      </c>
      <c r="C1099" s="80" t="s">
        <v>4973</v>
      </c>
      <c r="D1099" s="80" t="s">
        <v>23</v>
      </c>
      <c r="E1099" s="81">
        <v>4880</v>
      </c>
      <c r="F1099" s="80" t="s">
        <v>4974</v>
      </c>
      <c r="G1099" s="81">
        <v>100.95</v>
      </c>
      <c r="H1099" s="81">
        <v>100.95</v>
      </c>
      <c r="I1099" s="80" t="s">
        <v>4800</v>
      </c>
      <c r="L1099" s="3">
        <f>VLOOKUP(C1099,Securities!A:D,4,FALSE)</f>
        <v>5</v>
      </c>
      <c r="M1099" s="3" t="str">
        <f>VLOOKUP(C1099,Securities!A:B,2,FALSE)</f>
        <v>RU000A0JV7K7 Corp</v>
      </c>
      <c r="O1099" s="3">
        <f t="shared" si="18"/>
        <v>4880</v>
      </c>
    </row>
    <row r="1100" spans="1:15" x14ac:dyDescent="0.25">
      <c r="A1100" s="76">
        <v>43053</v>
      </c>
      <c r="B1100" s="77" t="s">
        <v>5465</v>
      </c>
      <c r="C1100" s="77" t="s">
        <v>4975</v>
      </c>
      <c r="D1100" s="77" t="s">
        <v>939</v>
      </c>
      <c r="E1100" s="78">
        <v>4720</v>
      </c>
      <c r="F1100" s="77" t="s">
        <v>4974</v>
      </c>
      <c r="G1100" s="78">
        <v>102.59</v>
      </c>
      <c r="H1100" s="78">
        <v>102.59</v>
      </c>
      <c r="I1100" s="77" t="s">
        <v>4800</v>
      </c>
      <c r="L1100" s="3">
        <f>VLOOKUP(C1100,Securities!A:D,4,FALSE)</f>
        <v>5</v>
      </c>
      <c r="M1100" s="3" t="str">
        <f>VLOOKUP(C1100,Securities!A:B,2,FALSE)</f>
        <v>RU000A0JX0J2 Corp</v>
      </c>
      <c r="O1100" s="3">
        <f t="shared" si="18"/>
        <v>4720</v>
      </c>
    </row>
    <row r="1101" spans="1:15" x14ac:dyDescent="0.25">
      <c r="A1101" s="79">
        <v>43053</v>
      </c>
      <c r="B1101" s="80" t="s">
        <v>5465</v>
      </c>
      <c r="C1101" s="80" t="s">
        <v>5011</v>
      </c>
      <c r="D1101" s="80" t="s">
        <v>24</v>
      </c>
      <c r="E1101" s="81">
        <v>4770</v>
      </c>
      <c r="F1101" s="80" t="s">
        <v>4974</v>
      </c>
      <c r="G1101" s="81">
        <v>104.38</v>
      </c>
      <c r="H1101" s="81">
        <v>104.38</v>
      </c>
      <c r="I1101" s="80" t="s">
        <v>4800</v>
      </c>
      <c r="L1101" s="3">
        <f>VLOOKUP(C1101,Securities!A:D,4,FALSE)</f>
        <v>5</v>
      </c>
      <c r="M1101" s="3" t="str">
        <f>VLOOKUP(C1101,Securities!A:B,2,FALSE)</f>
        <v>RU000A0JV7J9 Corp</v>
      </c>
      <c r="O1101" s="3">
        <f t="shared" si="18"/>
        <v>4770</v>
      </c>
    </row>
    <row r="1102" spans="1:15" x14ac:dyDescent="0.25">
      <c r="A1102" s="76">
        <v>43053</v>
      </c>
      <c r="B1102" s="77" t="s">
        <v>5465</v>
      </c>
      <c r="C1102" s="77" t="s">
        <v>5196</v>
      </c>
      <c r="D1102" s="77" t="s">
        <v>987</v>
      </c>
      <c r="E1102" s="78">
        <v>4720</v>
      </c>
      <c r="F1102" s="77" t="s">
        <v>4974</v>
      </c>
      <c r="G1102" s="78">
        <v>103.49</v>
      </c>
      <c r="H1102" s="78">
        <v>103.49</v>
      </c>
      <c r="I1102" s="77" t="s">
        <v>4800</v>
      </c>
      <c r="L1102" s="3">
        <f>VLOOKUP(C1102,Securities!A:D,4,FALSE)</f>
        <v>5</v>
      </c>
      <c r="M1102" s="3" t="str">
        <f>VLOOKUP(C1102,Securities!A:B,2,FALSE)</f>
        <v>RU000A0JX0H6 Corp</v>
      </c>
      <c r="O1102" s="3">
        <f t="shared" si="18"/>
        <v>4720</v>
      </c>
    </row>
    <row r="1103" spans="1:15" x14ac:dyDescent="0.25">
      <c r="A1103" s="79">
        <v>43053</v>
      </c>
      <c r="B1103" s="80" t="s">
        <v>5466</v>
      </c>
      <c r="C1103" s="80" t="s">
        <v>4955</v>
      </c>
      <c r="D1103" s="80" t="s">
        <v>126</v>
      </c>
      <c r="E1103" s="81">
        <v>23300</v>
      </c>
      <c r="F1103" s="80" t="s">
        <v>4810</v>
      </c>
      <c r="G1103" s="81">
        <v>182.07961399999999</v>
      </c>
      <c r="H1103" s="81">
        <v>3.1521129999999999</v>
      </c>
      <c r="I1103" s="80" t="s">
        <v>4800</v>
      </c>
      <c r="L1103" s="3">
        <f>VLOOKUP(C1103,Securities!A:D,4,FALSE)</f>
        <v>1</v>
      </c>
      <c r="M1103" s="3" t="str">
        <f>VLOOKUP(C1103,Securities!A:B,2,FALSE)</f>
        <v>AFLT RX Equity</v>
      </c>
      <c r="O1103" s="3">
        <f t="shared" si="18"/>
        <v>23300</v>
      </c>
    </row>
    <row r="1104" spans="1:15" x14ac:dyDescent="0.25">
      <c r="A1104" s="76">
        <v>43053</v>
      </c>
      <c r="B1104" s="77" t="s">
        <v>5466</v>
      </c>
      <c r="C1104" s="77" t="s">
        <v>4866</v>
      </c>
      <c r="D1104" s="77" t="s">
        <v>99</v>
      </c>
      <c r="E1104" s="78">
        <v>118700</v>
      </c>
      <c r="F1104" s="77" t="s">
        <v>4810</v>
      </c>
      <c r="G1104" s="78">
        <v>87.455325999999999</v>
      </c>
      <c r="H1104" s="78">
        <v>1.4726539999999999</v>
      </c>
      <c r="I1104" s="77" t="s">
        <v>4800</v>
      </c>
      <c r="L1104" s="3">
        <f>VLOOKUP(C1104,Securities!A:D,4,FALSE)</f>
        <v>1</v>
      </c>
      <c r="M1104" s="3" t="str">
        <f>VLOOKUP(C1104,Securities!A:B,2,FALSE)</f>
        <v>ALRS RX Equity</v>
      </c>
      <c r="O1104" s="3">
        <f t="shared" si="18"/>
        <v>118700</v>
      </c>
    </row>
    <row r="1105" spans="1:15" x14ac:dyDescent="0.25">
      <c r="A1105" s="79">
        <v>43053</v>
      </c>
      <c r="B1105" s="80" t="s">
        <v>5466</v>
      </c>
      <c r="C1105" s="80" t="s">
        <v>4805</v>
      </c>
      <c r="D1105" s="80" t="s">
        <v>31</v>
      </c>
      <c r="E1105" s="81">
        <v>431000</v>
      </c>
      <c r="F1105" s="80" t="s">
        <v>4806</v>
      </c>
      <c r="G1105" s="81">
        <v>0</v>
      </c>
      <c r="H1105" s="81">
        <v>0</v>
      </c>
      <c r="I1105" s="80" t="s">
        <v>4800</v>
      </c>
      <c r="L1105" s="3">
        <f>VLOOKUP(C1105,Securities!A:D,4,FALSE)</f>
        <v>5</v>
      </c>
      <c r="M1105" s="3" t="str">
        <f>VLOOKUP(C1105,Securities!A:B,2,FALSE)</f>
        <v>TT343269 Corp</v>
      </c>
      <c r="O1105" s="3">
        <f t="shared" si="18"/>
        <v>431000</v>
      </c>
    </row>
    <row r="1106" spans="1:15" x14ac:dyDescent="0.25">
      <c r="A1106" s="76">
        <v>43053</v>
      </c>
      <c r="B1106" s="77" t="s">
        <v>5466</v>
      </c>
      <c r="C1106" s="77" t="s">
        <v>4809</v>
      </c>
      <c r="D1106" s="77" t="s">
        <v>30</v>
      </c>
      <c r="E1106" s="78">
        <v>21830</v>
      </c>
      <c r="F1106" s="77" t="s">
        <v>4810</v>
      </c>
      <c r="G1106" s="78">
        <v>137.29769899999999</v>
      </c>
      <c r="H1106" s="78">
        <v>2.4094159999999998</v>
      </c>
      <c r="I1106" s="77" t="s">
        <v>4800</v>
      </c>
      <c r="L1106" s="3">
        <f>VLOOKUP(C1106,Securities!A:D,4,FALSE)</f>
        <v>1</v>
      </c>
      <c r="M1106" s="3" t="str">
        <f>VLOOKUP(C1106,Securities!A:B,2,FALSE)</f>
        <v>GAZP RX Equity</v>
      </c>
      <c r="O1106" s="3">
        <f t="shared" si="18"/>
        <v>21830</v>
      </c>
    </row>
    <row r="1107" spans="1:15" x14ac:dyDescent="0.25">
      <c r="A1107" s="79">
        <v>43053</v>
      </c>
      <c r="B1107" s="80" t="s">
        <v>5466</v>
      </c>
      <c r="C1107" s="80" t="s">
        <v>4847</v>
      </c>
      <c r="D1107" s="80" t="s">
        <v>369</v>
      </c>
      <c r="E1107" s="81">
        <v>1710</v>
      </c>
      <c r="F1107" s="80" t="s">
        <v>4810</v>
      </c>
      <c r="G1107" s="81">
        <v>2916.469122</v>
      </c>
      <c r="H1107" s="81">
        <v>48.108531999999997</v>
      </c>
      <c r="I1107" s="80" t="s">
        <v>4800</v>
      </c>
      <c r="L1107" s="3">
        <f>VLOOKUP(C1107,Securities!A:D,4,FALSE)</f>
        <v>1</v>
      </c>
      <c r="M1107" s="3" t="str">
        <f>VLOOKUP(C1107,Securities!A:B,2,FALSE)</f>
        <v>LKOH RX Equity</v>
      </c>
      <c r="O1107" s="3">
        <f t="shared" si="18"/>
        <v>1710</v>
      </c>
    </row>
    <row r="1108" spans="1:15" x14ac:dyDescent="0.25">
      <c r="A1108" s="76">
        <v>43053</v>
      </c>
      <c r="B1108" s="77" t="s">
        <v>5466</v>
      </c>
      <c r="C1108" s="77" t="s">
        <v>4867</v>
      </c>
      <c r="D1108" s="77" t="s">
        <v>473</v>
      </c>
      <c r="E1108" s="78">
        <v>56630</v>
      </c>
      <c r="F1108" s="77" t="s">
        <v>4810</v>
      </c>
      <c r="G1108" s="78">
        <v>114.71579699999999</v>
      </c>
      <c r="H1108" s="78">
        <v>1.9931840000000001</v>
      </c>
      <c r="I1108" s="77" t="s">
        <v>4800</v>
      </c>
      <c r="L1108" s="3">
        <f>VLOOKUP(C1108,Securities!A:D,4,FALSE)</f>
        <v>1</v>
      </c>
      <c r="M1108" s="3" t="str">
        <f>VLOOKUP(C1108,Securities!A:B,2,FALSE)</f>
        <v>MOEX RX Equity</v>
      </c>
      <c r="O1108" s="3">
        <f t="shared" si="18"/>
        <v>56630</v>
      </c>
    </row>
    <row r="1109" spans="1:15" x14ac:dyDescent="0.25">
      <c r="A1109" s="79">
        <v>43053</v>
      </c>
      <c r="B1109" s="80" t="s">
        <v>5466</v>
      </c>
      <c r="C1109" s="80" t="s">
        <v>4889</v>
      </c>
      <c r="D1109" s="80" t="s">
        <v>438</v>
      </c>
      <c r="E1109" s="81">
        <v>42200</v>
      </c>
      <c r="F1109" s="80" t="s">
        <v>4810</v>
      </c>
      <c r="G1109" s="81">
        <v>236.71187</v>
      </c>
      <c r="H1109" s="81">
        <v>3.9732599999999998</v>
      </c>
      <c r="I1109" s="80" t="s">
        <v>4800</v>
      </c>
      <c r="L1109" s="3">
        <f>VLOOKUP(C1109,Securities!A:D,4,FALSE)</f>
        <v>1</v>
      </c>
      <c r="M1109" s="3" t="str">
        <f>VLOOKUP(C1109,Securities!A:B,2,FALSE)</f>
        <v>MTSS RX Equity</v>
      </c>
      <c r="O1109" s="3">
        <f t="shared" si="18"/>
        <v>42200</v>
      </c>
    </row>
    <row r="1110" spans="1:15" x14ac:dyDescent="0.25">
      <c r="A1110" s="76">
        <v>43053</v>
      </c>
      <c r="B1110" s="77" t="s">
        <v>5466</v>
      </c>
      <c r="C1110" s="77" t="s">
        <v>4818</v>
      </c>
      <c r="D1110" s="77" t="s">
        <v>494</v>
      </c>
      <c r="E1110" s="78">
        <v>128000</v>
      </c>
      <c r="F1110" s="77" t="s">
        <v>4810</v>
      </c>
      <c r="G1110" s="78">
        <v>34.422600000000003</v>
      </c>
      <c r="H1110" s="78">
        <v>0.59250499999999995</v>
      </c>
      <c r="I1110" s="77" t="s">
        <v>4800</v>
      </c>
      <c r="L1110" s="3">
        <f>VLOOKUP(C1110,Securities!A:D,4,FALSE)</f>
        <v>1</v>
      </c>
      <c r="M1110" s="3" t="str">
        <f>VLOOKUP(C1110,Securities!A:B,2,FALSE)</f>
        <v>NKNCP RX Equity</v>
      </c>
      <c r="O1110" s="3">
        <f t="shared" si="18"/>
        <v>128000</v>
      </c>
    </row>
    <row r="1111" spans="1:15" x14ac:dyDescent="0.25">
      <c r="A1111" s="79">
        <v>43053</v>
      </c>
      <c r="B1111" s="80" t="s">
        <v>5466</v>
      </c>
      <c r="C1111" s="80" t="s">
        <v>4982</v>
      </c>
      <c r="D1111" s="80" t="s">
        <v>4983</v>
      </c>
      <c r="E1111" s="81">
        <v>10000</v>
      </c>
      <c r="F1111" s="80" t="s">
        <v>4814</v>
      </c>
      <c r="G1111" s="81">
        <v>100.3</v>
      </c>
      <c r="H1111" s="81">
        <v>100.3</v>
      </c>
      <c r="I1111" s="80" t="s">
        <v>4800</v>
      </c>
      <c r="L1111" s="3">
        <f>VLOOKUP(C1111,Securities!A:D,4,FALSE)</f>
        <v>5</v>
      </c>
      <c r="M1111" s="3" t="str">
        <f>VLOOKUP(C1111,Securities!A:B,2,FALSE)</f>
        <v>RU000A0JXVY3 Corp</v>
      </c>
      <c r="O1111" s="3">
        <f t="shared" si="18"/>
        <v>10000</v>
      </c>
    </row>
    <row r="1112" spans="1:15" x14ac:dyDescent="0.25">
      <c r="A1112" s="76">
        <v>43053</v>
      </c>
      <c r="B1112" s="77" t="s">
        <v>5466</v>
      </c>
      <c r="C1112" s="77" t="s">
        <v>4924</v>
      </c>
      <c r="D1112" s="77" t="s">
        <v>829</v>
      </c>
      <c r="E1112" s="78">
        <v>1850</v>
      </c>
      <c r="F1112" s="77" t="s">
        <v>4810</v>
      </c>
      <c r="G1112" s="78">
        <v>2292.7815999999998</v>
      </c>
      <c r="H1112" s="78">
        <v>39.692017</v>
      </c>
      <c r="I1112" s="77" t="s">
        <v>4800</v>
      </c>
      <c r="L1112" s="3">
        <f>VLOOKUP(C1112,Securities!A:D,4,FALSE)</f>
        <v>1</v>
      </c>
      <c r="M1112" s="3" t="str">
        <f>VLOOKUP(C1112,Securities!A:B,2,FALSE)</f>
        <v>PHOR RX Equity</v>
      </c>
      <c r="O1112" s="3">
        <f t="shared" si="18"/>
        <v>1850</v>
      </c>
    </row>
    <row r="1113" spans="1:15" x14ac:dyDescent="0.25">
      <c r="A1113" s="79">
        <v>43053</v>
      </c>
      <c r="B1113" s="80" t="s">
        <v>5466</v>
      </c>
      <c r="C1113" s="80" t="s">
        <v>4892</v>
      </c>
      <c r="D1113" s="80" t="s">
        <v>568</v>
      </c>
      <c r="E1113" s="81">
        <v>2007</v>
      </c>
      <c r="F1113" s="80" t="s">
        <v>4810</v>
      </c>
      <c r="G1113" s="81">
        <v>3929.19</v>
      </c>
      <c r="H1113" s="81">
        <v>66.500071000000005</v>
      </c>
      <c r="I1113" s="80" t="s">
        <v>4800</v>
      </c>
      <c r="L1113" s="3">
        <f>VLOOKUP(C1113,Securities!A:D,4,FALSE)</f>
        <v>1</v>
      </c>
      <c r="M1113" s="3" t="str">
        <f>VLOOKUP(C1113,Securities!A:B,2,FALSE)</f>
        <v>PLZL RX Equity</v>
      </c>
      <c r="O1113" s="3">
        <f t="shared" si="18"/>
        <v>2007</v>
      </c>
    </row>
    <row r="1114" spans="1:15" x14ac:dyDescent="0.25">
      <c r="A1114" s="76">
        <v>43053</v>
      </c>
      <c r="B1114" s="77" t="s">
        <v>5466</v>
      </c>
      <c r="C1114" s="77" t="s">
        <v>4915</v>
      </c>
      <c r="D1114" s="77" t="s">
        <v>226</v>
      </c>
      <c r="E1114" s="78">
        <v>20720</v>
      </c>
      <c r="F1114" s="77" t="s">
        <v>4810</v>
      </c>
      <c r="G1114" s="78">
        <v>200.98391599999999</v>
      </c>
      <c r="H1114" s="78">
        <v>3.5290170000000001</v>
      </c>
      <c r="I1114" s="77" t="s">
        <v>4800</v>
      </c>
      <c r="L1114" s="3">
        <f>VLOOKUP(C1114,Securities!A:D,4,FALSE)</f>
        <v>1</v>
      </c>
      <c r="M1114" s="3" t="str">
        <f>VLOOKUP(C1114,Securities!A:B,2,FALSE)</f>
        <v>SIBN RX Equity</v>
      </c>
      <c r="O1114" s="3">
        <f t="shared" si="18"/>
        <v>20720</v>
      </c>
    </row>
    <row r="1115" spans="1:15" x14ac:dyDescent="0.25">
      <c r="A1115" s="79">
        <v>43053</v>
      </c>
      <c r="B1115" s="80" t="s">
        <v>5466</v>
      </c>
      <c r="C1115" s="80" t="s">
        <v>5467</v>
      </c>
      <c r="D1115" s="80" t="s">
        <v>787</v>
      </c>
      <c r="E1115" s="81">
        <v>25770</v>
      </c>
      <c r="F1115" s="80" t="s">
        <v>4810</v>
      </c>
      <c r="G1115" s="81">
        <v>388.48</v>
      </c>
      <c r="H1115" s="81">
        <v>6.5242940000000003</v>
      </c>
      <c r="I1115" s="80" t="s">
        <v>4800</v>
      </c>
      <c r="L1115" s="3">
        <f>VLOOKUP(C1115,Securities!A:D,4,FALSE)</f>
        <v>1</v>
      </c>
      <c r="M1115" s="3" t="str">
        <f>VLOOKUP(C1115,Securities!A:B,2,FALSE)</f>
        <v>TATN RX Equity</v>
      </c>
      <c r="O1115" s="3">
        <f t="shared" si="18"/>
        <v>25770</v>
      </c>
    </row>
    <row r="1116" spans="1:15" x14ac:dyDescent="0.25">
      <c r="A1116" s="76">
        <v>43053</v>
      </c>
      <c r="B1116" s="77" t="s">
        <v>5468</v>
      </c>
      <c r="C1116" s="77" t="s">
        <v>4975</v>
      </c>
      <c r="D1116" s="77" t="s">
        <v>939</v>
      </c>
      <c r="E1116" s="78">
        <v>32360</v>
      </c>
      <c r="F1116" s="77" t="s">
        <v>4974</v>
      </c>
      <c r="G1116" s="78">
        <v>101.47381</v>
      </c>
      <c r="H1116" s="78">
        <v>101.47381</v>
      </c>
      <c r="I1116" s="77" t="s">
        <v>4800</v>
      </c>
      <c r="L1116" s="3">
        <f>VLOOKUP(C1116,Securities!A:D,4,FALSE)</f>
        <v>5</v>
      </c>
      <c r="M1116" s="3" t="str">
        <f>VLOOKUP(C1116,Securities!A:B,2,FALSE)</f>
        <v>RU000A0JX0J2 Corp</v>
      </c>
      <c r="O1116" s="3">
        <f t="shared" si="18"/>
        <v>32360</v>
      </c>
    </row>
    <row r="1117" spans="1:15" x14ac:dyDescent="0.25">
      <c r="A1117" s="79">
        <v>43053</v>
      </c>
      <c r="B1117" s="80" t="s">
        <v>5468</v>
      </c>
      <c r="C1117" s="80" t="s">
        <v>4805</v>
      </c>
      <c r="D1117" s="80" t="s">
        <v>31</v>
      </c>
      <c r="E1117" s="81">
        <v>917000</v>
      </c>
      <c r="F1117" s="80" t="s">
        <v>4806</v>
      </c>
      <c r="G1117" s="81">
        <v>175.875</v>
      </c>
      <c r="H1117" s="81">
        <v>175.875</v>
      </c>
      <c r="I1117" s="80" t="s">
        <v>4823</v>
      </c>
      <c r="L1117" s="3">
        <f>VLOOKUP(C1117,Securities!A:D,4,FALSE)</f>
        <v>5</v>
      </c>
      <c r="M1117" s="3" t="str">
        <f>VLOOKUP(C1117,Securities!A:B,2,FALSE)</f>
        <v>TT343269 Corp</v>
      </c>
      <c r="O1117" s="3">
        <f t="shared" si="18"/>
        <v>917000</v>
      </c>
    </row>
    <row r="1118" spans="1:15" x14ac:dyDescent="0.25">
      <c r="A1118" s="76">
        <v>43053</v>
      </c>
      <c r="B1118" s="77" t="s">
        <v>5468</v>
      </c>
      <c r="C1118" s="77" t="s">
        <v>5207</v>
      </c>
      <c r="D1118" s="77" t="s">
        <v>5208</v>
      </c>
      <c r="E1118" s="78">
        <v>8</v>
      </c>
      <c r="F1118" s="77" t="s">
        <v>4974</v>
      </c>
      <c r="G1118" s="78">
        <v>102.125</v>
      </c>
      <c r="H1118" s="78">
        <v>102.125</v>
      </c>
      <c r="I1118" s="77" t="s">
        <v>4823</v>
      </c>
      <c r="L1118" s="3">
        <f>VLOOKUP(C1118,Securities!A:D,4,FALSE)</f>
        <v>5</v>
      </c>
      <c r="M1118" s="3" t="str">
        <f>VLOOKUP(C1118,Securities!A:B,2,FALSE)</f>
        <v>RU000A0JXU14 Corp</v>
      </c>
      <c r="O1118" s="3">
        <f t="shared" si="18"/>
        <v>8</v>
      </c>
    </row>
    <row r="1119" spans="1:15" x14ac:dyDescent="0.25">
      <c r="A1119" s="79">
        <v>43053</v>
      </c>
      <c r="B1119" s="80" t="s">
        <v>5468</v>
      </c>
      <c r="C1119" s="80" t="s">
        <v>5037</v>
      </c>
      <c r="D1119" s="80" t="s">
        <v>5038</v>
      </c>
      <c r="E1119" s="81">
        <v>220000</v>
      </c>
      <c r="F1119" s="80" t="s">
        <v>4806</v>
      </c>
      <c r="G1119" s="81">
        <v>100.875</v>
      </c>
      <c r="H1119" s="81">
        <v>100.875</v>
      </c>
      <c r="I1119" s="80" t="s">
        <v>4823</v>
      </c>
      <c r="L1119" s="3">
        <f>VLOOKUP(C1119,Securities!A:D,4,FALSE)</f>
        <v>5</v>
      </c>
      <c r="M1119" s="3" t="str">
        <f>VLOOKUP(C1119,Securities!A:B,2,FALSE)</f>
        <v>XS1533915721 Corp</v>
      </c>
      <c r="O1119" s="3">
        <f t="shared" si="18"/>
        <v>220000</v>
      </c>
    </row>
    <row r="1120" spans="1:15" x14ac:dyDescent="0.25">
      <c r="A1120" s="76">
        <v>43053</v>
      </c>
      <c r="B1120" s="77" t="s">
        <v>5468</v>
      </c>
      <c r="C1120" s="77" t="s">
        <v>4807</v>
      </c>
      <c r="D1120" s="77" t="s">
        <v>4808</v>
      </c>
      <c r="E1120" s="78">
        <v>200000</v>
      </c>
      <c r="F1120" s="77" t="s">
        <v>4806</v>
      </c>
      <c r="G1120" s="78">
        <v>103.875</v>
      </c>
      <c r="H1120" s="78">
        <v>103.875</v>
      </c>
      <c r="I1120" s="77" t="s">
        <v>4800</v>
      </c>
      <c r="L1120" s="3">
        <f>VLOOKUP(C1120,Securities!A:D,4,FALSE)</f>
        <v>5</v>
      </c>
      <c r="M1120" s="3" t="str">
        <f>VLOOKUP(C1120,Securities!A:B,2,FALSE)</f>
        <v>XS0975320879 Corp</v>
      </c>
      <c r="O1120" s="3">
        <f t="shared" si="18"/>
        <v>200000</v>
      </c>
    </row>
    <row r="1121" spans="1:15" x14ac:dyDescent="0.25">
      <c r="A1121" s="79">
        <v>43053</v>
      </c>
      <c r="B1121" s="80" t="s">
        <v>5468</v>
      </c>
      <c r="C1121" s="80" t="s">
        <v>4963</v>
      </c>
      <c r="D1121" s="80" t="s">
        <v>4964</v>
      </c>
      <c r="E1121" s="81">
        <v>220000</v>
      </c>
      <c r="F1121" s="80" t="s">
        <v>4806</v>
      </c>
      <c r="G1121" s="81">
        <v>97</v>
      </c>
      <c r="H1121" s="81">
        <v>97</v>
      </c>
      <c r="I1121" s="80" t="s">
        <v>4823</v>
      </c>
      <c r="L1121" s="3">
        <f>VLOOKUP(C1121,Securities!A:D,4,FALSE)</f>
        <v>5</v>
      </c>
      <c r="M1121" s="3" t="str">
        <f>VLOOKUP(C1121,Securities!A:B,2,FALSE)</f>
        <v>XS1439838548 Corp</v>
      </c>
      <c r="O1121" s="3">
        <f t="shared" si="18"/>
        <v>220000</v>
      </c>
    </row>
    <row r="1122" spans="1:15" x14ac:dyDescent="0.25">
      <c r="A1122" s="76">
        <v>43053</v>
      </c>
      <c r="B1122" s="77" t="s">
        <v>5468</v>
      </c>
      <c r="C1122" s="77" t="s">
        <v>4819</v>
      </c>
      <c r="D1122" s="77" t="s">
        <v>4820</v>
      </c>
      <c r="E1122" s="78">
        <v>400000</v>
      </c>
      <c r="F1122" s="77" t="s">
        <v>4806</v>
      </c>
      <c r="G1122" s="78">
        <v>105.5</v>
      </c>
      <c r="H1122" s="78">
        <v>105.5</v>
      </c>
      <c r="I1122" s="77" t="s">
        <v>4800</v>
      </c>
      <c r="L1122" s="3">
        <f>VLOOKUP(C1122,Securities!A:D,4,FALSE)</f>
        <v>5</v>
      </c>
      <c r="M1122" s="3" t="str">
        <f>VLOOKUP(C1122,Securities!A:B,2,FALSE)</f>
        <v>XS0776121062 Corp</v>
      </c>
      <c r="O1122" s="3">
        <f t="shared" si="18"/>
        <v>400000</v>
      </c>
    </row>
    <row r="1123" spans="1:15" x14ac:dyDescent="0.25">
      <c r="A1123" s="79">
        <v>43053</v>
      </c>
      <c r="B1123" s="80" t="s">
        <v>5468</v>
      </c>
      <c r="C1123" s="80" t="s">
        <v>4967</v>
      </c>
      <c r="D1123" s="80" t="s">
        <v>4968</v>
      </c>
      <c r="E1123" s="81">
        <v>200000</v>
      </c>
      <c r="F1123" s="80" t="s">
        <v>4806</v>
      </c>
      <c r="G1123" s="81">
        <v>116.5</v>
      </c>
      <c r="H1123" s="81">
        <v>116.5</v>
      </c>
      <c r="I1123" s="80" t="s">
        <v>4800</v>
      </c>
      <c r="L1123" s="3">
        <f>VLOOKUP(C1123,Securities!A:D,4,FALSE)</f>
        <v>5</v>
      </c>
      <c r="M1123" s="3" t="str">
        <f>VLOOKUP(C1123,Securities!A:B,2,FALSE)</f>
        <v>XS0979891925 Corp</v>
      </c>
      <c r="O1123" s="3">
        <f t="shared" si="18"/>
        <v>200000</v>
      </c>
    </row>
    <row r="1124" spans="1:15" x14ac:dyDescent="0.25">
      <c r="A1124" s="76">
        <v>43053</v>
      </c>
      <c r="B1124" s="77" t="s">
        <v>5468</v>
      </c>
      <c r="C1124" s="77" t="s">
        <v>4932</v>
      </c>
      <c r="D1124" s="77" t="s">
        <v>4933</v>
      </c>
      <c r="E1124" s="78">
        <v>30000</v>
      </c>
      <c r="F1124" s="77" t="s">
        <v>4814</v>
      </c>
      <c r="G1124" s="78">
        <v>100</v>
      </c>
      <c r="H1124" s="78">
        <v>100</v>
      </c>
      <c r="I1124" s="77" t="s">
        <v>4800</v>
      </c>
      <c r="L1124" s="3">
        <f>VLOOKUP(C1124,Securities!A:D,4,FALSE)</f>
        <v>5</v>
      </c>
      <c r="M1124" s="3" t="str">
        <f>VLOOKUP(C1124,Securities!A:B,2,FALSE)</f>
        <v>RU000A0ZYBS1 Corp</v>
      </c>
      <c r="O1124" s="3">
        <f t="shared" si="18"/>
        <v>30000</v>
      </c>
    </row>
    <row r="1125" spans="1:15" x14ac:dyDescent="0.25">
      <c r="A1125" s="79">
        <v>43053</v>
      </c>
      <c r="B1125" s="80" t="s">
        <v>5469</v>
      </c>
      <c r="C1125" s="80" t="s">
        <v>4827</v>
      </c>
      <c r="D1125" s="80" t="s">
        <v>4828</v>
      </c>
      <c r="E1125" s="81">
        <v>-1764</v>
      </c>
      <c r="F1125" s="80" t="s">
        <v>4829</v>
      </c>
      <c r="G1125" s="81">
        <v>34901.384999000002</v>
      </c>
      <c r="H1125" s="81">
        <v>601.32590700000003</v>
      </c>
      <c r="I1125" s="80" t="s">
        <v>4800</v>
      </c>
      <c r="L1125" s="3">
        <f>VLOOKUP(C1125,Securities!A:D,4,FALSE)</f>
        <v>15</v>
      </c>
      <c r="M1125" s="3" t="str">
        <f>VLOOKUP(C1125,Securities!A:B,2,FALSE)</f>
        <v>B5Z7 Comdty</v>
      </c>
      <c r="O1125" s="3">
        <f t="shared" si="18"/>
        <v>-1764</v>
      </c>
    </row>
    <row r="1126" spans="1:15" x14ac:dyDescent="0.25">
      <c r="A1126" s="76">
        <v>43053</v>
      </c>
      <c r="B1126" s="77" t="s">
        <v>5469</v>
      </c>
      <c r="C1126" s="77" t="s">
        <v>4836</v>
      </c>
      <c r="D1126" s="77" t="s">
        <v>4837</v>
      </c>
      <c r="E1126" s="78">
        <v>150000</v>
      </c>
      <c r="F1126" s="77" t="s">
        <v>4838</v>
      </c>
      <c r="G1126" s="78">
        <v>100</v>
      </c>
      <c r="H1126" s="78">
        <v>100</v>
      </c>
      <c r="I1126" s="77" t="s">
        <v>4800</v>
      </c>
      <c r="L1126" s="3">
        <f>VLOOKUP(C1126,Securities!A:D,4,FALSE)</f>
        <v>5</v>
      </c>
      <c r="M1126" s="3" t="str">
        <f>VLOOKUP(C1126,Securities!A:B,2,FALSE)</f>
        <v>CH0384861396 Corp</v>
      </c>
      <c r="O1126" s="3">
        <f t="shared" si="18"/>
        <v>150000</v>
      </c>
    </row>
    <row r="1127" spans="1:15" x14ac:dyDescent="0.25">
      <c r="A1127" s="79">
        <v>43053</v>
      </c>
      <c r="B1127" s="80" t="s">
        <v>5469</v>
      </c>
      <c r="C1127" s="80" t="s">
        <v>4869</v>
      </c>
      <c r="D1127" s="80" t="s">
        <v>4870</v>
      </c>
      <c r="E1127" s="81">
        <v>150000</v>
      </c>
      <c r="F1127" s="80" t="s">
        <v>4838</v>
      </c>
      <c r="G1127" s="81">
        <v>100</v>
      </c>
      <c r="H1127" s="81">
        <v>100</v>
      </c>
      <c r="I1127" s="80" t="s">
        <v>4800</v>
      </c>
      <c r="L1127" s="3">
        <f>VLOOKUP(C1127,Securities!A:D,4,FALSE)</f>
        <v>5</v>
      </c>
      <c r="M1127" s="3" t="str">
        <f>VLOOKUP(C1127,Securities!A:B,2,FALSE)</f>
        <v>CH0384862550 Corp</v>
      </c>
      <c r="O1127" s="3">
        <f t="shared" si="18"/>
        <v>150000</v>
      </c>
    </row>
    <row r="1128" spans="1:15" x14ac:dyDescent="0.25">
      <c r="A1128" s="76">
        <v>43053</v>
      </c>
      <c r="B1128" s="77" t="s">
        <v>5469</v>
      </c>
      <c r="C1128" s="77" t="s">
        <v>4805</v>
      </c>
      <c r="D1128" s="77" t="s">
        <v>31</v>
      </c>
      <c r="E1128" s="78">
        <v>106000</v>
      </c>
      <c r="F1128" s="77" t="s">
        <v>4806</v>
      </c>
      <c r="G1128" s="78">
        <v>175.181603</v>
      </c>
      <c r="H1128" s="78">
        <v>175.181603</v>
      </c>
      <c r="I1128" s="77" t="s">
        <v>4800</v>
      </c>
      <c r="L1128" s="3">
        <f>VLOOKUP(C1128,Securities!A:D,4,FALSE)</f>
        <v>5</v>
      </c>
      <c r="M1128" s="3" t="str">
        <f>VLOOKUP(C1128,Securities!A:B,2,FALSE)</f>
        <v>TT343269 Corp</v>
      </c>
      <c r="O1128" s="3">
        <f t="shared" si="18"/>
        <v>106000</v>
      </c>
    </row>
    <row r="1129" spans="1:15" x14ac:dyDescent="0.25">
      <c r="A1129" s="79">
        <v>43053</v>
      </c>
      <c r="B1129" s="80" t="s">
        <v>5469</v>
      </c>
      <c r="C1129" s="80" t="s">
        <v>4839</v>
      </c>
      <c r="D1129" s="80" t="s">
        <v>4840</v>
      </c>
      <c r="E1129" s="81">
        <v>300000</v>
      </c>
      <c r="F1129" s="80" t="s">
        <v>4838</v>
      </c>
      <c r="G1129" s="81">
        <v>100</v>
      </c>
      <c r="H1129" s="81">
        <v>100</v>
      </c>
      <c r="I1129" s="80" t="s">
        <v>4800</v>
      </c>
      <c r="L1129" s="3">
        <f>VLOOKUP(C1129,Securities!A:D,4,FALSE)</f>
        <v>5</v>
      </c>
      <c r="M1129" s="3" t="str">
        <f>VLOOKUP(C1129,Securities!A:B,2,FALSE)</f>
        <v>XS1513271418 Corp</v>
      </c>
      <c r="O1129" s="3">
        <f t="shared" si="18"/>
        <v>300000</v>
      </c>
    </row>
    <row r="1130" spans="1:15" x14ac:dyDescent="0.25">
      <c r="A1130" s="76">
        <v>43053</v>
      </c>
      <c r="B1130" s="77" t="s">
        <v>5469</v>
      </c>
      <c r="C1130" s="77" t="s">
        <v>4841</v>
      </c>
      <c r="D1130" s="77" t="s">
        <v>4842</v>
      </c>
      <c r="E1130" s="78">
        <v>150000</v>
      </c>
      <c r="F1130" s="77" t="s">
        <v>4838</v>
      </c>
      <c r="G1130" s="78">
        <v>100</v>
      </c>
      <c r="H1130" s="78">
        <v>100</v>
      </c>
      <c r="I1130" s="77" t="s">
        <v>4800</v>
      </c>
      <c r="L1130" s="3">
        <f>VLOOKUP(C1130,Securities!A:D,4,FALSE)</f>
        <v>5</v>
      </c>
      <c r="M1130" s="3" t="str">
        <f>VLOOKUP(C1130,Securities!A:B,2,FALSE)</f>
        <v>XS1605088928 Corp</v>
      </c>
      <c r="O1130" s="3">
        <f t="shared" si="18"/>
        <v>150000</v>
      </c>
    </row>
    <row r="1131" spans="1:15" x14ac:dyDescent="0.25">
      <c r="A1131" s="79">
        <v>43053</v>
      </c>
      <c r="B1131" s="80" t="s">
        <v>5469</v>
      </c>
      <c r="C1131" s="80" t="s">
        <v>4811</v>
      </c>
      <c r="D1131" s="80" t="s">
        <v>4659</v>
      </c>
      <c r="E1131" s="81">
        <v>18955</v>
      </c>
      <c r="F1131" s="80" t="s">
        <v>4799</v>
      </c>
      <c r="G1131" s="81">
        <v>99.093981999999997</v>
      </c>
      <c r="H1131" s="81">
        <v>1.735668</v>
      </c>
      <c r="I1131" s="80" t="s">
        <v>4800</v>
      </c>
      <c r="L1131" s="3">
        <f>VLOOKUP(C1131,Securities!A:D,4,FALSE)</f>
        <v>1</v>
      </c>
      <c r="M1131" s="3" t="str">
        <f>VLOOKUP(C1131,Securities!A:B,2,FALSE)</f>
        <v>HGM LN Equity</v>
      </c>
      <c r="O1131" s="3">
        <f t="shared" si="18"/>
        <v>18955</v>
      </c>
    </row>
    <row r="1132" spans="1:15" x14ac:dyDescent="0.25">
      <c r="A1132" s="76">
        <v>43053</v>
      </c>
      <c r="B1132" s="77" t="s">
        <v>5469</v>
      </c>
      <c r="C1132" s="77" t="s">
        <v>4815</v>
      </c>
      <c r="D1132" s="77" t="s">
        <v>4676</v>
      </c>
      <c r="E1132" s="78">
        <v>1167</v>
      </c>
      <c r="F1132" s="77" t="s">
        <v>4799</v>
      </c>
      <c r="G1132" s="78">
        <v>2568.7554839999998</v>
      </c>
      <c r="H1132" s="78">
        <v>42.862741999999997</v>
      </c>
      <c r="I1132" s="77" t="s">
        <v>4800</v>
      </c>
      <c r="L1132" s="3">
        <f>VLOOKUP(C1132,Securities!A:D,4,FALSE)</f>
        <v>1</v>
      </c>
      <c r="M1132" s="3" t="str">
        <f>VLOOKUP(C1132,Securities!A:B,2,FALSE)</f>
        <v>LXFT US Equity</v>
      </c>
      <c r="O1132" s="3">
        <f t="shared" si="18"/>
        <v>1167</v>
      </c>
    </row>
    <row r="1133" spans="1:15" x14ac:dyDescent="0.25">
      <c r="A1133" s="79">
        <v>43053</v>
      </c>
      <c r="B1133" s="80" t="s">
        <v>5469</v>
      </c>
      <c r="C1133" s="80" t="s">
        <v>4816</v>
      </c>
      <c r="D1133" s="80" t="s">
        <v>4817</v>
      </c>
      <c r="E1133" s="81">
        <v>2365</v>
      </c>
      <c r="F1133" s="80" t="s">
        <v>4799</v>
      </c>
      <c r="G1133" s="81">
        <v>1250.985156</v>
      </c>
      <c r="H1133" s="81">
        <v>21.156092999999998</v>
      </c>
      <c r="I1133" s="80" t="s">
        <v>4800</v>
      </c>
      <c r="L1133" s="3">
        <f>VLOOKUP(C1133,Securities!A:D,4,FALSE)</f>
        <v>1</v>
      </c>
      <c r="M1133" s="3" t="str">
        <f>VLOOKUP(C1133,Securities!A:B,2,FALSE)</f>
        <v>M US Equity</v>
      </c>
      <c r="O1133" s="3">
        <f t="shared" si="18"/>
        <v>2365</v>
      </c>
    </row>
    <row r="1134" spans="1:15" x14ac:dyDescent="0.25">
      <c r="A1134" s="76">
        <v>43053</v>
      </c>
      <c r="B1134" s="77" t="s">
        <v>5469</v>
      </c>
      <c r="C1134" s="77" t="s">
        <v>4819</v>
      </c>
      <c r="D1134" s="77" t="s">
        <v>4820</v>
      </c>
      <c r="E1134" s="78">
        <v>200000</v>
      </c>
      <c r="F1134" s="77" t="s">
        <v>4806</v>
      </c>
      <c r="G1134" s="78">
        <v>101.5</v>
      </c>
      <c r="H1134" s="78">
        <v>101.5</v>
      </c>
      <c r="I1134" s="77" t="s">
        <v>4800</v>
      </c>
      <c r="L1134" s="3">
        <f>VLOOKUP(C1134,Securities!A:D,4,FALSE)</f>
        <v>5</v>
      </c>
      <c r="M1134" s="3" t="str">
        <f>VLOOKUP(C1134,Securities!A:B,2,FALSE)</f>
        <v>XS0776121062 Corp</v>
      </c>
      <c r="O1134" s="3">
        <f t="shared" si="18"/>
        <v>200000</v>
      </c>
    </row>
    <row r="1135" spans="1:15" x14ac:dyDescent="0.25">
      <c r="A1135" s="79">
        <v>43053</v>
      </c>
      <c r="B1135" s="80" t="s">
        <v>5469</v>
      </c>
      <c r="C1135" s="80" t="s">
        <v>4834</v>
      </c>
      <c r="D1135" s="80" t="s">
        <v>51</v>
      </c>
      <c r="E1135" s="81">
        <v>2860</v>
      </c>
      <c r="F1135" s="80" t="s">
        <v>4825</v>
      </c>
      <c r="G1135" s="81">
        <v>1024.301236</v>
      </c>
      <c r="H1135" s="81">
        <v>17.322517000000001</v>
      </c>
      <c r="I1135" s="80" t="s">
        <v>4800</v>
      </c>
      <c r="L1135" s="3">
        <f>VLOOKUP(C1135,Securities!A:D,4,FALSE)</f>
        <v>1</v>
      </c>
      <c r="M1135" s="3" t="str">
        <f>VLOOKUP(C1135,Securities!A:B,2,FALSE)</f>
        <v>QIWI US Equity</v>
      </c>
      <c r="O1135" s="3">
        <f t="shared" si="18"/>
        <v>2860</v>
      </c>
    </row>
    <row r="1136" spans="1:15" x14ac:dyDescent="0.25">
      <c r="A1136" s="76">
        <v>43053</v>
      </c>
      <c r="B1136" s="77" t="s">
        <v>5469</v>
      </c>
      <c r="C1136" s="77" t="s">
        <v>4830</v>
      </c>
      <c r="D1136" s="77" t="s">
        <v>4831</v>
      </c>
      <c r="E1136" s="78">
        <v>-1045</v>
      </c>
      <c r="F1136" s="77" t="s">
        <v>4832</v>
      </c>
      <c r="G1136" s="78">
        <v>58484.721531000003</v>
      </c>
      <c r="H1136" s="78">
        <v>1011.361304</v>
      </c>
      <c r="I1136" s="77" t="s">
        <v>4800</v>
      </c>
      <c r="L1136" s="3">
        <f>VLOOKUP(C1136,Securities!A:D,4,FALSE)</f>
        <v>15</v>
      </c>
      <c r="M1136" s="3" t="str">
        <f>VLOOKUP(C1136,Securities!A:B,2,FALSE)</f>
        <v>URZ7 Curncy</v>
      </c>
      <c r="O1136" s="3">
        <f t="shared" si="18"/>
        <v>-1045</v>
      </c>
    </row>
    <row r="1137" spans="1:15" x14ac:dyDescent="0.25">
      <c r="A1137" s="79">
        <v>43053</v>
      </c>
      <c r="B1137" s="80" t="s">
        <v>5469</v>
      </c>
      <c r="C1137" s="80" t="s">
        <v>4824</v>
      </c>
      <c r="D1137" s="80" t="s">
        <v>4674</v>
      </c>
      <c r="E1137" s="81">
        <v>18678</v>
      </c>
      <c r="F1137" s="80" t="s">
        <v>4825</v>
      </c>
      <c r="G1137" s="81">
        <v>0</v>
      </c>
      <c r="H1137" s="81">
        <v>0</v>
      </c>
      <c r="I1137" s="80" t="s">
        <v>4800</v>
      </c>
      <c r="L1137" s="3">
        <f>VLOOKUP(C1137,Securities!A:D,4,FALSE)</f>
        <v>1</v>
      </c>
      <c r="M1137" s="3" t="str">
        <f>VLOOKUP(C1137,Securities!A:B,2,FALSE)</f>
        <v>VEON US Equity</v>
      </c>
      <c r="O1137" s="3">
        <f t="shared" si="18"/>
        <v>18678</v>
      </c>
    </row>
    <row r="1138" spans="1:15" x14ac:dyDescent="0.25">
      <c r="A1138" s="76">
        <v>43053</v>
      </c>
      <c r="B1138" s="77" t="s">
        <v>5470</v>
      </c>
      <c r="C1138" s="77" t="s">
        <v>4805</v>
      </c>
      <c r="D1138" s="77" t="s">
        <v>31</v>
      </c>
      <c r="E1138" s="78">
        <v>225000</v>
      </c>
      <c r="F1138" s="77" t="s">
        <v>4806</v>
      </c>
      <c r="G1138" s="78">
        <v>175.75</v>
      </c>
      <c r="H1138" s="78">
        <v>175.75</v>
      </c>
      <c r="I1138" s="77" t="s">
        <v>4800</v>
      </c>
      <c r="L1138" s="3">
        <f>VLOOKUP(C1138,Securities!A:D,4,FALSE)</f>
        <v>5</v>
      </c>
      <c r="M1138" s="3" t="str">
        <f>VLOOKUP(C1138,Securities!A:B,2,FALSE)</f>
        <v>TT343269 Corp</v>
      </c>
      <c r="O1138" s="3">
        <f t="shared" si="18"/>
        <v>225000</v>
      </c>
    </row>
    <row r="1139" spans="1:15" x14ac:dyDescent="0.25">
      <c r="A1139" s="79">
        <v>43053</v>
      </c>
      <c r="B1139" s="80" t="s">
        <v>5471</v>
      </c>
      <c r="C1139" s="80" t="s">
        <v>4935</v>
      </c>
      <c r="D1139" s="80" t="s">
        <v>4936</v>
      </c>
      <c r="E1139" s="81">
        <v>3250</v>
      </c>
      <c r="F1139" s="80" t="s">
        <v>4799</v>
      </c>
      <c r="G1139" s="81">
        <v>1070.2346809999999</v>
      </c>
      <c r="H1139" s="81">
        <v>18.420784000000001</v>
      </c>
      <c r="I1139" s="80" t="s">
        <v>4800</v>
      </c>
      <c r="L1139" s="3">
        <f>VLOOKUP(C1139,Securities!A:D,4,FALSE)</f>
        <v>1</v>
      </c>
      <c r="M1139" s="3" t="str">
        <f>VLOOKUP(C1139,Securities!A:B,2,FALSE)</f>
        <v>AD NA Equity</v>
      </c>
      <c r="O1139" s="3">
        <f t="shared" si="18"/>
        <v>3250</v>
      </c>
    </row>
    <row r="1140" spans="1:15" x14ac:dyDescent="0.25">
      <c r="A1140" s="76">
        <v>43053</v>
      </c>
      <c r="B1140" s="77" t="s">
        <v>5471</v>
      </c>
      <c r="C1140" s="77" t="s">
        <v>4920</v>
      </c>
      <c r="D1140" s="77" t="s">
        <v>4921</v>
      </c>
      <c r="E1140" s="78">
        <v>5750</v>
      </c>
      <c r="F1140" s="77" t="s">
        <v>4898</v>
      </c>
      <c r="G1140" s="78">
        <v>655.27314100000001</v>
      </c>
      <c r="H1140" s="78">
        <v>11.31</v>
      </c>
      <c r="I1140" s="77" t="s">
        <v>4800</v>
      </c>
      <c r="L1140" s="3">
        <f>VLOOKUP(C1140,Securities!A:D,4,FALSE)</f>
        <v>1</v>
      </c>
      <c r="M1140" s="3" t="str">
        <f>VLOOKUP(C1140,Securities!A:B,2,FALSE)</f>
        <v>AMLP US Equity</v>
      </c>
      <c r="O1140" s="3">
        <f t="shared" si="18"/>
        <v>5750</v>
      </c>
    </row>
    <row r="1141" spans="1:15" x14ac:dyDescent="0.25">
      <c r="A1141" s="79">
        <v>43053</v>
      </c>
      <c r="B1141" s="80" t="s">
        <v>5471</v>
      </c>
      <c r="C1141" s="80" t="s">
        <v>5235</v>
      </c>
      <c r="D1141" s="80" t="s">
        <v>5236</v>
      </c>
      <c r="E1141" s="81">
        <v>2700</v>
      </c>
      <c r="F1141" s="80" t="s">
        <v>4908</v>
      </c>
      <c r="G1141" s="81">
        <v>2046.148236</v>
      </c>
      <c r="H1141" s="81">
        <v>36.51</v>
      </c>
      <c r="I1141" s="80" t="s">
        <v>4800</v>
      </c>
      <c r="L1141" s="3">
        <f>VLOOKUP(C1141,Securities!A:D,4,FALSE)</f>
        <v>1</v>
      </c>
      <c r="M1141" s="3" t="str">
        <f>VLOOKUP(C1141,Securities!A:B,2,FALSE)</f>
        <v>COMGEMK ID Equity</v>
      </c>
      <c r="O1141" s="3">
        <f t="shared" si="18"/>
        <v>2700</v>
      </c>
    </row>
    <row r="1142" spans="1:15" x14ac:dyDescent="0.25">
      <c r="A1142" s="76">
        <v>43053</v>
      </c>
      <c r="B1142" s="77" t="s">
        <v>5471</v>
      </c>
      <c r="C1142" s="77" t="s">
        <v>4877</v>
      </c>
      <c r="D1142" s="77" t="s">
        <v>4878</v>
      </c>
      <c r="E1142" s="78">
        <v>103740</v>
      </c>
      <c r="F1142" s="77" t="s">
        <v>4879</v>
      </c>
      <c r="G1142" s="78">
        <v>0</v>
      </c>
      <c r="H1142" s="78">
        <v>0</v>
      </c>
      <c r="I1142" s="77" t="s">
        <v>4800</v>
      </c>
      <c r="L1142" s="3">
        <f>VLOOKUP(C1142,Securities!A:D,4,FALSE)</f>
        <v>1</v>
      </c>
      <c r="M1142" s="3" t="str">
        <f>VLOOKUP(C1142,Securities!A:B,2,FALSE)</f>
        <v>COMRLES RX Equity</v>
      </c>
      <c r="O1142" s="3">
        <f t="shared" si="18"/>
        <v>103740</v>
      </c>
    </row>
    <row r="1143" spans="1:15" x14ac:dyDescent="0.25">
      <c r="A1143" s="79">
        <v>43053</v>
      </c>
      <c r="B1143" s="80" t="s">
        <v>5471</v>
      </c>
      <c r="C1143" s="80" t="s">
        <v>5352</v>
      </c>
      <c r="D1143" s="80" t="s">
        <v>5353</v>
      </c>
      <c r="E1143" s="81">
        <v>200000</v>
      </c>
      <c r="F1143" s="80" t="s">
        <v>4806</v>
      </c>
      <c r="G1143" s="81">
        <v>98.1</v>
      </c>
      <c r="H1143" s="81">
        <v>98.1</v>
      </c>
      <c r="I1143" s="80" t="s">
        <v>4800</v>
      </c>
      <c r="L1143" s="3">
        <f>VLOOKUP(C1143,Securities!A:D,4,FALSE)</f>
        <v>5</v>
      </c>
      <c r="M1143" s="3" t="str">
        <f>VLOOKUP(C1143,Securities!A:B,2,FALSE)</f>
        <v>US25152RYE79 Corp</v>
      </c>
      <c r="O1143" s="3">
        <f t="shared" si="18"/>
        <v>200000</v>
      </c>
    </row>
    <row r="1144" spans="1:15" x14ac:dyDescent="0.25">
      <c r="A1144" s="76">
        <v>43053</v>
      </c>
      <c r="B1144" s="77" t="s">
        <v>5471</v>
      </c>
      <c r="C1144" s="77" t="s">
        <v>4937</v>
      </c>
      <c r="D1144" s="77" t="s">
        <v>4938</v>
      </c>
      <c r="E1144" s="78">
        <v>100000</v>
      </c>
      <c r="F1144" s="77" t="s">
        <v>4806</v>
      </c>
      <c r="G1144" s="78">
        <v>90.7</v>
      </c>
      <c r="H1144" s="78">
        <v>90.7</v>
      </c>
      <c r="I1144" s="77" t="s">
        <v>4800</v>
      </c>
      <c r="L1144" s="3">
        <f>VLOOKUP(C1144,Securities!A:D,4,FALSE)</f>
        <v>5</v>
      </c>
      <c r="M1144" s="3" t="str">
        <f>VLOOKUP(C1144,Securities!A:B,2,FALSE)</f>
        <v>DE000DB7XHP3 Corp</v>
      </c>
      <c r="O1144" s="3">
        <f t="shared" si="18"/>
        <v>100000</v>
      </c>
    </row>
    <row r="1145" spans="1:15" x14ac:dyDescent="0.25">
      <c r="A1145" s="79">
        <v>43053</v>
      </c>
      <c r="B1145" s="80" t="s">
        <v>5471</v>
      </c>
      <c r="C1145" s="80" t="s">
        <v>5294</v>
      </c>
      <c r="D1145" s="80" t="s">
        <v>5295</v>
      </c>
      <c r="E1145" s="81">
        <v>100000</v>
      </c>
      <c r="F1145" s="80" t="s">
        <v>4838</v>
      </c>
      <c r="G1145" s="81">
        <v>100</v>
      </c>
      <c r="H1145" s="81">
        <v>100</v>
      </c>
      <c r="I1145" s="80" t="s">
        <v>4800</v>
      </c>
      <c r="L1145" s="3">
        <f>VLOOKUP(C1145,Securities!A:D,4,FALSE)</f>
        <v>5</v>
      </c>
      <c r="M1145" s="3" t="str">
        <f>VLOOKUP(C1145,Securities!A:B,2,FALSE)</f>
        <v>CH0355509487 Corp</v>
      </c>
      <c r="O1145" s="3">
        <f t="shared" si="18"/>
        <v>100000</v>
      </c>
    </row>
    <row r="1146" spans="1:15" x14ac:dyDescent="0.25">
      <c r="A1146" s="76">
        <v>43053</v>
      </c>
      <c r="B1146" s="77" t="s">
        <v>5471</v>
      </c>
      <c r="C1146" s="77" t="s">
        <v>5356</v>
      </c>
      <c r="D1146" s="77" t="s">
        <v>5357</v>
      </c>
      <c r="E1146" s="78">
        <v>50000</v>
      </c>
      <c r="F1146" s="77" t="s">
        <v>4838</v>
      </c>
      <c r="G1146" s="78">
        <v>100</v>
      </c>
      <c r="H1146" s="78">
        <v>100</v>
      </c>
      <c r="I1146" s="77" t="s">
        <v>4800</v>
      </c>
      <c r="L1146" s="3">
        <f>VLOOKUP(C1146,Securities!A:D,4,FALSE)</f>
        <v>5</v>
      </c>
      <c r="M1146" s="3" t="str">
        <f>VLOOKUP(C1146,Securities!A:B,2,FALSE)</f>
        <v>CH0374210356 Corp</v>
      </c>
      <c r="O1146" s="3">
        <f t="shared" si="18"/>
        <v>50000</v>
      </c>
    </row>
    <row r="1147" spans="1:15" x14ac:dyDescent="0.25">
      <c r="A1147" s="79">
        <v>43053</v>
      </c>
      <c r="B1147" s="80" t="s">
        <v>5471</v>
      </c>
      <c r="C1147" s="80" t="s">
        <v>5472</v>
      </c>
      <c r="D1147" s="80" t="s">
        <v>5473</v>
      </c>
      <c r="E1147" s="81">
        <v>150000</v>
      </c>
      <c r="F1147" s="80" t="s">
        <v>4838</v>
      </c>
      <c r="G1147" s="81">
        <v>100</v>
      </c>
      <c r="H1147" s="81">
        <v>100</v>
      </c>
      <c r="I1147" s="80" t="s">
        <v>4800</v>
      </c>
      <c r="L1147" s="3">
        <f>VLOOKUP(C1147,Securities!A:D,4,FALSE)</f>
        <v>5</v>
      </c>
      <c r="M1147" s="3" t="str">
        <f>VLOOKUP(C1147,Securities!A:B,2,FALSE)</f>
        <v>CH0361710855 Corp</v>
      </c>
      <c r="O1147" s="3">
        <f t="shared" si="18"/>
        <v>150000</v>
      </c>
    </row>
    <row r="1148" spans="1:15" x14ac:dyDescent="0.25">
      <c r="A1148" s="76">
        <v>43053</v>
      </c>
      <c r="B1148" s="77" t="s">
        <v>5471</v>
      </c>
      <c r="C1148" s="77" t="s">
        <v>5035</v>
      </c>
      <c r="D1148" s="77" t="s">
        <v>5036</v>
      </c>
      <c r="E1148" s="78">
        <v>200000</v>
      </c>
      <c r="F1148" s="77" t="s">
        <v>4806</v>
      </c>
      <c r="G1148" s="78">
        <v>100.65</v>
      </c>
      <c r="H1148" s="78">
        <v>100.65</v>
      </c>
      <c r="I1148" s="77" t="s">
        <v>4800</v>
      </c>
      <c r="L1148" s="3">
        <f>VLOOKUP(C1148,Securities!A:D,4,FALSE)</f>
        <v>5</v>
      </c>
      <c r="M1148" s="3" t="str">
        <f>VLOOKUP(C1148,Securities!A:B,2,FALSE)</f>
        <v>XS0579851949 Corp</v>
      </c>
      <c r="O1148" s="3">
        <f t="shared" si="18"/>
        <v>200000</v>
      </c>
    </row>
    <row r="1149" spans="1:15" x14ac:dyDescent="0.25">
      <c r="A1149" s="79">
        <v>43053</v>
      </c>
      <c r="B1149" s="80" t="s">
        <v>5471</v>
      </c>
      <c r="C1149" s="80" t="s">
        <v>4805</v>
      </c>
      <c r="D1149" s="80" t="s">
        <v>31</v>
      </c>
      <c r="E1149" s="81">
        <v>84000</v>
      </c>
      <c r="F1149" s="80" t="s">
        <v>4806</v>
      </c>
      <c r="G1149" s="81">
        <v>175.75</v>
      </c>
      <c r="H1149" s="81">
        <v>175.75</v>
      </c>
      <c r="I1149" s="80" t="s">
        <v>4800</v>
      </c>
      <c r="L1149" s="3">
        <f>VLOOKUP(C1149,Securities!A:D,4,FALSE)</f>
        <v>5</v>
      </c>
      <c r="M1149" s="3" t="str">
        <f>VLOOKUP(C1149,Securities!A:B,2,FALSE)</f>
        <v>TT343269 Corp</v>
      </c>
      <c r="O1149" s="3">
        <f t="shared" si="18"/>
        <v>84000</v>
      </c>
    </row>
    <row r="1150" spans="1:15" x14ac:dyDescent="0.25">
      <c r="A1150" s="76">
        <v>43053</v>
      </c>
      <c r="B1150" s="77" t="s">
        <v>5471</v>
      </c>
      <c r="C1150" s="77" t="s">
        <v>5067</v>
      </c>
      <c r="D1150" s="77" t="s">
        <v>5068</v>
      </c>
      <c r="E1150" s="78">
        <v>50000</v>
      </c>
      <c r="F1150" s="77" t="s">
        <v>4838</v>
      </c>
      <c r="G1150" s="78">
        <v>100</v>
      </c>
      <c r="H1150" s="78">
        <v>100</v>
      </c>
      <c r="I1150" s="77" t="s">
        <v>4800</v>
      </c>
      <c r="L1150" s="3">
        <f>VLOOKUP(C1150,Securities!A:D,4,FALSE)</f>
        <v>5</v>
      </c>
      <c r="M1150" s="3" t="str">
        <f>VLOOKUP(C1150,Securities!A:B,2,FALSE)</f>
        <v>XS1581931083 Corp</v>
      </c>
      <c r="O1150" s="3">
        <f t="shared" si="18"/>
        <v>50000</v>
      </c>
    </row>
    <row r="1151" spans="1:15" x14ac:dyDescent="0.25">
      <c r="A1151" s="79">
        <v>43053</v>
      </c>
      <c r="B1151" s="80" t="s">
        <v>5471</v>
      </c>
      <c r="C1151" s="80" t="s">
        <v>5173</v>
      </c>
      <c r="D1151" s="80" t="s">
        <v>5174</v>
      </c>
      <c r="E1151" s="81">
        <v>145000</v>
      </c>
      <c r="F1151" s="80" t="s">
        <v>4838</v>
      </c>
      <c r="G1151" s="81">
        <v>100</v>
      </c>
      <c r="H1151" s="81">
        <v>100</v>
      </c>
      <c r="I1151" s="80" t="s">
        <v>4800</v>
      </c>
      <c r="L1151" s="3">
        <f>VLOOKUP(C1151,Securities!A:D,4,FALSE)</f>
        <v>5</v>
      </c>
      <c r="M1151" s="3" t="str">
        <f>VLOOKUP(C1151,Securities!A:B,2,FALSE)</f>
        <v>XS1581926083 Corp</v>
      </c>
      <c r="O1151" s="3">
        <f t="shared" si="18"/>
        <v>145000</v>
      </c>
    </row>
    <row r="1152" spans="1:15" x14ac:dyDescent="0.25">
      <c r="A1152" s="76">
        <v>43053</v>
      </c>
      <c r="B1152" s="77" t="s">
        <v>5471</v>
      </c>
      <c r="C1152" s="77" t="s">
        <v>5043</v>
      </c>
      <c r="D1152" s="77" t="s">
        <v>5044</v>
      </c>
      <c r="E1152" s="78">
        <v>200000</v>
      </c>
      <c r="F1152" s="77" t="s">
        <v>4806</v>
      </c>
      <c r="G1152" s="78">
        <v>94</v>
      </c>
      <c r="H1152" s="78">
        <v>94</v>
      </c>
      <c r="I1152" s="77" t="s">
        <v>4800</v>
      </c>
      <c r="L1152" s="3">
        <f>VLOOKUP(C1152,Securities!A:D,4,FALSE)</f>
        <v>5</v>
      </c>
      <c r="M1152" s="3" t="str">
        <f>VLOOKUP(C1152,Securities!A:B,2,FALSE)</f>
        <v>XS0547082973 Corp</v>
      </c>
      <c r="O1152" s="3">
        <f t="shared" si="18"/>
        <v>200000</v>
      </c>
    </row>
    <row r="1153" spans="1:15" x14ac:dyDescent="0.25">
      <c r="A1153" s="79">
        <v>43053</v>
      </c>
      <c r="B1153" s="80" t="s">
        <v>5471</v>
      </c>
      <c r="C1153" s="80" t="s">
        <v>4970</v>
      </c>
      <c r="D1153" s="80" t="s">
        <v>4971</v>
      </c>
      <c r="E1153" s="81">
        <v>940</v>
      </c>
      <c r="F1153" s="80" t="s">
        <v>4799</v>
      </c>
      <c r="G1153" s="81">
        <v>5512.6079570000002</v>
      </c>
      <c r="H1153" s="81">
        <v>83.48</v>
      </c>
      <c r="I1153" s="80" t="s">
        <v>4800</v>
      </c>
      <c r="L1153" s="3">
        <f>VLOOKUP(C1153,Securities!A:D,4,FALSE)</f>
        <v>1</v>
      </c>
      <c r="M1153" s="3" t="str">
        <f>VLOOKUP(C1153,Securities!A:B,2,FALSE)</f>
        <v>GILD US Equity</v>
      </c>
      <c r="O1153" s="3">
        <f t="shared" si="18"/>
        <v>940</v>
      </c>
    </row>
    <row r="1154" spans="1:15" x14ac:dyDescent="0.25">
      <c r="A1154" s="76">
        <v>43053</v>
      </c>
      <c r="B1154" s="77" t="s">
        <v>5471</v>
      </c>
      <c r="C1154" s="77" t="s">
        <v>4903</v>
      </c>
      <c r="D1154" s="77" t="s">
        <v>4904</v>
      </c>
      <c r="E1154" s="78">
        <v>200000</v>
      </c>
      <c r="F1154" s="77" t="s">
        <v>4806</v>
      </c>
      <c r="G1154" s="78">
        <v>107.5</v>
      </c>
      <c r="H1154" s="78">
        <v>107.5</v>
      </c>
      <c r="I1154" s="77" t="s">
        <v>4800</v>
      </c>
      <c r="L1154" s="3">
        <f>VLOOKUP(C1154,Securities!A:D,4,FALSE)</f>
        <v>5</v>
      </c>
      <c r="M1154" s="3" t="str">
        <f>VLOOKUP(C1154,Securities!A:B,2,FALSE)</f>
        <v>XS1319813769 Corp</v>
      </c>
      <c r="O1154" s="3">
        <f t="shared" si="18"/>
        <v>200000</v>
      </c>
    </row>
    <row r="1155" spans="1:15" x14ac:dyDescent="0.25">
      <c r="A1155" s="79">
        <v>43053</v>
      </c>
      <c r="B1155" s="80" t="s">
        <v>5471</v>
      </c>
      <c r="C1155" s="80" t="s">
        <v>5175</v>
      </c>
      <c r="D1155" s="80" t="s">
        <v>5176</v>
      </c>
      <c r="E1155" s="81">
        <v>4000</v>
      </c>
      <c r="F1155" s="80" t="s">
        <v>4908</v>
      </c>
      <c r="G1155" s="81">
        <v>1905.299608</v>
      </c>
      <c r="H1155" s="81">
        <v>29.319092000000001</v>
      </c>
      <c r="I1155" s="80" t="s">
        <v>4800</v>
      </c>
      <c r="L1155" s="3">
        <f>VLOOKUP(C1155,Securities!A:D,4,FALSE)</f>
        <v>1</v>
      </c>
      <c r="M1155" s="3" t="str">
        <f>VLOOKUP(C1155,Securities!A:B,2,FALSE)</f>
        <v>HENPEA2 LX Equity</v>
      </c>
      <c r="O1155" s="3">
        <f t="shared" si="18"/>
        <v>4000</v>
      </c>
    </row>
    <row r="1156" spans="1:15" x14ac:dyDescent="0.25">
      <c r="A1156" s="76">
        <v>43053</v>
      </c>
      <c r="B1156" s="77" t="s">
        <v>5471</v>
      </c>
      <c r="C1156" s="77" t="s">
        <v>5360</v>
      </c>
      <c r="D1156" s="77" t="s">
        <v>5361</v>
      </c>
      <c r="E1156" s="78">
        <v>2000</v>
      </c>
      <c r="F1156" s="77" t="s">
        <v>4898</v>
      </c>
      <c r="G1156" s="78">
        <v>5886.6079900000004</v>
      </c>
      <c r="H1156" s="78">
        <v>85.399000000000001</v>
      </c>
      <c r="I1156" s="77" t="s">
        <v>4800</v>
      </c>
      <c r="L1156" s="3">
        <f>VLOOKUP(C1156,Securities!A:D,4,FALSE)</f>
        <v>1</v>
      </c>
      <c r="M1156" s="3" t="str">
        <f>VLOOKUP(C1156,Securities!A:B,2,FALSE)</f>
        <v>HYG US Equity</v>
      </c>
      <c r="O1156" s="3">
        <f t="shared" si="18"/>
        <v>2000</v>
      </c>
    </row>
    <row r="1157" spans="1:15" x14ac:dyDescent="0.25">
      <c r="A1157" s="79">
        <v>43053</v>
      </c>
      <c r="B1157" s="80" t="s">
        <v>5471</v>
      </c>
      <c r="C1157" s="80" t="s">
        <v>4945</v>
      </c>
      <c r="D1157" s="80" t="s">
        <v>4946</v>
      </c>
      <c r="E1157" s="81">
        <v>200000</v>
      </c>
      <c r="F1157" s="80" t="s">
        <v>4806</v>
      </c>
      <c r="G1157" s="81">
        <v>95.25</v>
      </c>
      <c r="H1157" s="81">
        <v>95.25</v>
      </c>
      <c r="I1157" s="80" t="s">
        <v>4800</v>
      </c>
      <c r="L1157" s="3">
        <f>VLOOKUP(C1157,Securities!A:D,4,FALSE)</f>
        <v>5</v>
      </c>
      <c r="M1157" s="3" t="str">
        <f>VLOOKUP(C1157,Securities!A:B,2,FALSE)</f>
        <v>US456837AE31 Corp</v>
      </c>
      <c r="O1157" s="3">
        <f t="shared" si="18"/>
        <v>200000</v>
      </c>
    </row>
    <row r="1158" spans="1:15" x14ac:dyDescent="0.25">
      <c r="A1158" s="76">
        <v>43053</v>
      </c>
      <c r="B1158" s="77" t="s">
        <v>5471</v>
      </c>
      <c r="C1158" s="77" t="s">
        <v>5200</v>
      </c>
      <c r="D1158" s="77" t="s">
        <v>5201</v>
      </c>
      <c r="E1158" s="78">
        <v>746</v>
      </c>
      <c r="F1158" s="77" t="s">
        <v>4799</v>
      </c>
      <c r="G1158" s="78">
        <v>3799.638367</v>
      </c>
      <c r="H1158" s="78">
        <v>64.13</v>
      </c>
      <c r="I1158" s="77" t="s">
        <v>4800</v>
      </c>
      <c r="L1158" s="3">
        <f>VLOOKUP(C1158,Securities!A:D,4,FALSE)</f>
        <v>1</v>
      </c>
      <c r="M1158" s="3" t="str">
        <f>VLOOKUP(C1158,Securities!A:B,2,FALSE)</f>
        <v>MO US Equity</v>
      </c>
      <c r="O1158" s="3">
        <f t="shared" ref="O1158:O1221" si="19">SUMIFS(E:E,C:C,C1158,B:B,B1158)</f>
        <v>746</v>
      </c>
    </row>
    <row r="1159" spans="1:15" x14ac:dyDescent="0.25">
      <c r="A1159" s="79">
        <v>43053</v>
      </c>
      <c r="B1159" s="80" t="s">
        <v>5471</v>
      </c>
      <c r="C1159" s="80" t="s">
        <v>5069</v>
      </c>
      <c r="D1159" s="80" t="s">
        <v>5070</v>
      </c>
      <c r="E1159" s="81">
        <v>100000</v>
      </c>
      <c r="F1159" s="80" t="s">
        <v>4806</v>
      </c>
      <c r="G1159" s="81">
        <v>99.25</v>
      </c>
      <c r="H1159" s="81">
        <v>99.25</v>
      </c>
      <c r="I1159" s="80" t="s">
        <v>4800</v>
      </c>
      <c r="L1159" s="3">
        <f>VLOOKUP(C1159,Securities!A:D,4,FALSE)</f>
        <v>5</v>
      </c>
      <c r="M1159" s="3" t="str">
        <f>VLOOKUP(C1159,Securities!A:B,2,FALSE)</f>
        <v>US65504LAM90 Corp</v>
      </c>
      <c r="O1159" s="3">
        <f t="shared" si="19"/>
        <v>100000</v>
      </c>
    </row>
    <row r="1160" spans="1:15" x14ac:dyDescent="0.25">
      <c r="A1160" s="76">
        <v>43053</v>
      </c>
      <c r="B1160" s="77" t="s">
        <v>5471</v>
      </c>
      <c r="C1160" s="77" t="s">
        <v>5177</v>
      </c>
      <c r="D1160" s="77" t="s">
        <v>5178</v>
      </c>
      <c r="E1160" s="78">
        <v>85000</v>
      </c>
      <c r="F1160" s="77" t="s">
        <v>4949</v>
      </c>
      <c r="G1160" s="78">
        <v>72.382328999999999</v>
      </c>
      <c r="H1160" s="78">
        <v>1.137516</v>
      </c>
      <c r="I1160" s="77" t="s">
        <v>4800</v>
      </c>
      <c r="L1160" s="3">
        <f>VLOOKUP(C1160,Securities!A:D,4,FALSE)</f>
        <v>1</v>
      </c>
      <c r="M1160" s="3" t="str">
        <f>VLOOKUP(C1160,Securities!A:B,2,FALSE)</f>
        <v>OMEAUSA ID Equity</v>
      </c>
      <c r="O1160" s="3">
        <f t="shared" si="19"/>
        <v>85000</v>
      </c>
    </row>
    <row r="1161" spans="1:15" x14ac:dyDescent="0.25">
      <c r="A1161" s="79">
        <v>43053</v>
      </c>
      <c r="B1161" s="80" t="s">
        <v>5471</v>
      </c>
      <c r="C1161" s="80" t="s">
        <v>5000</v>
      </c>
      <c r="D1161" s="80" t="s">
        <v>5001</v>
      </c>
      <c r="E1161" s="81">
        <v>130000</v>
      </c>
      <c r="F1161" s="80" t="s">
        <v>4806</v>
      </c>
      <c r="G1161" s="81">
        <v>111.8</v>
      </c>
      <c r="H1161" s="81">
        <v>111.8</v>
      </c>
      <c r="I1161" s="80" t="s">
        <v>4800</v>
      </c>
      <c r="L1161" s="3">
        <f>VLOOKUP(C1161,Securities!A:D,4,FALSE)</f>
        <v>5</v>
      </c>
      <c r="M1161" s="3" t="str">
        <f>VLOOKUP(C1161,Securities!A:B,2,FALSE)</f>
        <v>US71647NAP42 Corp</v>
      </c>
      <c r="O1161" s="3">
        <f t="shared" si="19"/>
        <v>130000</v>
      </c>
    </row>
    <row r="1162" spans="1:15" x14ac:dyDescent="0.25">
      <c r="A1162" s="76">
        <v>43053</v>
      </c>
      <c r="B1162" s="77" t="s">
        <v>5471</v>
      </c>
      <c r="C1162" s="77" t="s">
        <v>5024</v>
      </c>
      <c r="D1162" s="77" t="s">
        <v>5025</v>
      </c>
      <c r="E1162" s="78">
        <v>200000</v>
      </c>
      <c r="F1162" s="77" t="s">
        <v>4806</v>
      </c>
      <c r="G1162" s="78">
        <v>100</v>
      </c>
      <c r="H1162" s="78">
        <v>100</v>
      </c>
      <c r="I1162" s="77" t="s">
        <v>4800</v>
      </c>
      <c r="L1162" s="3">
        <f>VLOOKUP(C1162,Securities!A:D,4,FALSE)</f>
        <v>5</v>
      </c>
      <c r="M1162" s="3" t="str">
        <f>VLOOKUP(C1162,Securities!A:B,2,FALSE)</f>
        <v>XS1405766384 Corp</v>
      </c>
      <c r="O1162" s="3">
        <f t="shared" si="19"/>
        <v>200000</v>
      </c>
    </row>
    <row r="1163" spans="1:15" x14ac:dyDescent="0.25">
      <c r="A1163" s="79">
        <v>43053</v>
      </c>
      <c r="B1163" s="80" t="s">
        <v>5471</v>
      </c>
      <c r="C1163" s="80" t="s">
        <v>4927</v>
      </c>
      <c r="D1163" s="80" t="s">
        <v>4928</v>
      </c>
      <c r="E1163" s="81">
        <v>8700</v>
      </c>
      <c r="F1163" s="80" t="s">
        <v>4898</v>
      </c>
      <c r="G1163" s="81">
        <v>0</v>
      </c>
      <c r="H1163" s="81">
        <v>0</v>
      </c>
      <c r="I1163" s="80" t="s">
        <v>4800</v>
      </c>
      <c r="L1163" s="3">
        <f>VLOOKUP(C1163,Securities!A:D,4,FALSE)</f>
        <v>1</v>
      </c>
      <c r="M1163" s="3" t="str">
        <f>VLOOKUP(C1163,Securities!A:B,2,FALSE)</f>
        <v>SX7EEX GY Equity</v>
      </c>
      <c r="O1163" s="3">
        <f t="shared" si="19"/>
        <v>8700</v>
      </c>
    </row>
    <row r="1164" spans="1:15" x14ac:dyDescent="0.25">
      <c r="A1164" s="76">
        <v>43053</v>
      </c>
      <c r="B1164" s="77" t="s">
        <v>5471</v>
      </c>
      <c r="C1164" s="77" t="s">
        <v>5474</v>
      </c>
      <c r="D1164" s="77" t="s">
        <v>5475</v>
      </c>
      <c r="E1164" s="78">
        <v>5900</v>
      </c>
      <c r="F1164" s="77" t="s">
        <v>4898</v>
      </c>
      <c r="G1164" s="78">
        <v>1247.029828</v>
      </c>
      <c r="H1164" s="78">
        <v>22.657274000000001</v>
      </c>
      <c r="I1164" s="77" t="s">
        <v>4800</v>
      </c>
      <c r="L1164" s="3">
        <f>VLOOKUP(C1164,Securities!A:D,4,FALSE)</f>
        <v>1</v>
      </c>
      <c r="M1164" s="3" t="str">
        <f>VLOOKUP(C1164,Securities!A:B,2,FALSE)</f>
        <v>SX7PEX GY Equity</v>
      </c>
      <c r="O1164" s="3">
        <f t="shared" si="19"/>
        <v>5900</v>
      </c>
    </row>
    <row r="1165" spans="1:15" x14ac:dyDescent="0.25">
      <c r="A1165" s="79">
        <v>43053</v>
      </c>
      <c r="B1165" s="80" t="s">
        <v>5471</v>
      </c>
      <c r="C1165" s="80" t="s">
        <v>5277</v>
      </c>
      <c r="D1165" s="80" t="s">
        <v>5278</v>
      </c>
      <c r="E1165" s="81">
        <v>6196</v>
      </c>
      <c r="F1165" s="80" t="s">
        <v>4908</v>
      </c>
      <c r="G1165" s="81">
        <v>652.75777700000003</v>
      </c>
      <c r="H1165" s="81">
        <v>11.029610999999999</v>
      </c>
      <c r="I1165" s="80" t="s">
        <v>4823</v>
      </c>
      <c r="L1165" s="3">
        <f>VLOOKUP(C1165,Securities!A:D,4,FALSE)</f>
        <v>1</v>
      </c>
      <c r="M1165" s="3" t="str">
        <f>VLOOKUP(C1165,Securities!A:B,2,FALSE)</f>
        <v>TDNESG1 LN Equity</v>
      </c>
      <c r="O1165" s="3">
        <f t="shared" si="19"/>
        <v>6196</v>
      </c>
    </row>
    <row r="1166" spans="1:15" x14ac:dyDescent="0.25">
      <c r="A1166" s="76">
        <v>43053</v>
      </c>
      <c r="B1166" s="77" t="s">
        <v>5471</v>
      </c>
      <c r="C1166" s="77" t="s">
        <v>5302</v>
      </c>
      <c r="D1166" s="77" t="s">
        <v>5303</v>
      </c>
      <c r="E1166" s="78">
        <v>65000</v>
      </c>
      <c r="F1166" s="77" t="s">
        <v>4806</v>
      </c>
      <c r="G1166" s="78">
        <v>97.65</v>
      </c>
      <c r="H1166" s="78">
        <v>97.65</v>
      </c>
      <c r="I1166" s="77" t="s">
        <v>4800</v>
      </c>
      <c r="L1166" s="3">
        <f>VLOOKUP(C1166,Securities!A:D,4,FALSE)</f>
        <v>5</v>
      </c>
      <c r="M1166" s="3" t="str">
        <f>VLOOKUP(C1166,Securities!A:B,2,FALSE)</f>
        <v>USU8810LAA18 Corp</v>
      </c>
      <c r="O1166" s="3">
        <f t="shared" si="19"/>
        <v>65000</v>
      </c>
    </row>
    <row r="1167" spans="1:15" x14ac:dyDescent="0.25">
      <c r="A1167" s="79">
        <v>43053</v>
      </c>
      <c r="B1167" s="80" t="s">
        <v>5471</v>
      </c>
      <c r="C1167" s="80" t="s">
        <v>4986</v>
      </c>
      <c r="D1167" s="80" t="s">
        <v>4987</v>
      </c>
      <c r="E1167" s="81">
        <v>200000</v>
      </c>
      <c r="F1167" s="80" t="s">
        <v>4806</v>
      </c>
      <c r="G1167" s="81">
        <v>103.3</v>
      </c>
      <c r="H1167" s="81">
        <v>103.3</v>
      </c>
      <c r="I1167" s="80" t="s">
        <v>4800</v>
      </c>
      <c r="L1167" s="3">
        <f>VLOOKUP(C1167,Securities!A:D,4,FALSE)</f>
        <v>5</v>
      </c>
      <c r="M1167" s="3" t="str">
        <f>VLOOKUP(C1167,Securities!A:B,2,FALSE)</f>
        <v>USG9328DAM23 Corp</v>
      </c>
      <c r="O1167" s="3">
        <f t="shared" si="19"/>
        <v>200000</v>
      </c>
    </row>
    <row r="1168" spans="1:15" x14ac:dyDescent="0.25">
      <c r="A1168" s="76">
        <v>43053</v>
      </c>
      <c r="B1168" s="77" t="s">
        <v>5471</v>
      </c>
      <c r="C1168" s="77" t="s">
        <v>5366</v>
      </c>
      <c r="D1168" s="77" t="s">
        <v>5367</v>
      </c>
      <c r="E1168" s="78">
        <v>6752</v>
      </c>
      <c r="F1168" s="77" t="s">
        <v>4825</v>
      </c>
      <c r="G1168" s="78">
        <v>688.99304800000004</v>
      </c>
      <c r="H1168" s="78">
        <v>11.15</v>
      </c>
      <c r="I1168" s="77" t="s">
        <v>4800</v>
      </c>
      <c r="L1168" s="3">
        <f>VLOOKUP(C1168,Securities!A:D,4,FALSE)</f>
        <v>1</v>
      </c>
      <c r="M1168" s="3" t="str">
        <f>VLOOKUP(C1168,Securities!A:B,2,FALSE)</f>
        <v>VIPS US Equity</v>
      </c>
      <c r="O1168" s="3">
        <f t="shared" si="19"/>
        <v>6752</v>
      </c>
    </row>
    <row r="1169" spans="1:15" x14ac:dyDescent="0.25">
      <c r="A1169" s="79">
        <v>43053</v>
      </c>
      <c r="B1169" s="80" t="s">
        <v>5471</v>
      </c>
      <c r="C1169" s="80" t="s">
        <v>5476</v>
      </c>
      <c r="D1169" s="80" t="s">
        <v>5477</v>
      </c>
      <c r="E1169" s="81">
        <v>100000</v>
      </c>
      <c r="F1169" s="80" t="s">
        <v>4806</v>
      </c>
      <c r="G1169" s="81">
        <v>109</v>
      </c>
      <c r="H1169" s="81">
        <v>109</v>
      </c>
      <c r="I1169" s="80" t="s">
        <v>4800</v>
      </c>
      <c r="L1169" s="3">
        <f>VLOOKUP(C1169,Securities!A:D,4,FALSE)</f>
        <v>5</v>
      </c>
      <c r="M1169" s="3" t="str">
        <f>VLOOKUP(C1169,Securities!A:B,2,FALSE)</f>
        <v>USP989MJBG51 Corp</v>
      </c>
      <c r="O1169" s="3">
        <f t="shared" si="19"/>
        <v>100000</v>
      </c>
    </row>
    <row r="1170" spans="1:15" x14ac:dyDescent="0.25">
      <c r="A1170" s="76">
        <v>43053</v>
      </c>
      <c r="B1170" s="77" t="s">
        <v>5478</v>
      </c>
      <c r="C1170" s="77" t="s">
        <v>5011</v>
      </c>
      <c r="D1170" s="77" t="s">
        <v>24</v>
      </c>
      <c r="E1170" s="78">
        <v>3070</v>
      </c>
      <c r="F1170" s="77" t="s">
        <v>4974</v>
      </c>
      <c r="G1170" s="78">
        <v>104.57</v>
      </c>
      <c r="H1170" s="78">
        <v>104.57</v>
      </c>
      <c r="I1170" s="77" t="s">
        <v>4800</v>
      </c>
      <c r="L1170" s="3">
        <f>VLOOKUP(C1170,Securities!A:D,4,FALSE)</f>
        <v>5</v>
      </c>
      <c r="M1170" s="3" t="str">
        <f>VLOOKUP(C1170,Securities!A:B,2,FALSE)</f>
        <v>RU000A0JV7J9 Corp</v>
      </c>
      <c r="O1170" s="3">
        <f t="shared" si="19"/>
        <v>3070</v>
      </c>
    </row>
    <row r="1171" spans="1:15" x14ac:dyDescent="0.25">
      <c r="A1171" s="79">
        <v>43053</v>
      </c>
      <c r="B1171" s="80" t="s">
        <v>5478</v>
      </c>
      <c r="C1171" s="80" t="s">
        <v>5196</v>
      </c>
      <c r="D1171" s="80" t="s">
        <v>987</v>
      </c>
      <c r="E1171" s="81">
        <v>10445</v>
      </c>
      <c r="F1171" s="80" t="s">
        <v>4974</v>
      </c>
      <c r="G1171" s="81">
        <v>102.747428</v>
      </c>
      <c r="H1171" s="81">
        <v>102.747428</v>
      </c>
      <c r="I1171" s="80" t="s">
        <v>4800</v>
      </c>
      <c r="L1171" s="3">
        <f>VLOOKUP(C1171,Securities!A:D,4,FALSE)</f>
        <v>5</v>
      </c>
      <c r="M1171" s="3" t="str">
        <f>VLOOKUP(C1171,Securities!A:B,2,FALSE)</f>
        <v>RU000A0JX0H6 Corp</v>
      </c>
      <c r="O1171" s="3">
        <f t="shared" si="19"/>
        <v>10445</v>
      </c>
    </row>
    <row r="1172" spans="1:15" x14ac:dyDescent="0.25">
      <c r="A1172" s="76">
        <v>43053</v>
      </c>
      <c r="B1172" s="77" t="s">
        <v>5478</v>
      </c>
      <c r="C1172" s="77" t="s">
        <v>5083</v>
      </c>
      <c r="D1172" s="77" t="s">
        <v>1835</v>
      </c>
      <c r="E1172" s="78">
        <v>4584</v>
      </c>
      <c r="F1172" s="77" t="s">
        <v>4814</v>
      </c>
      <c r="G1172" s="78">
        <v>106.73</v>
      </c>
      <c r="H1172" s="78">
        <v>106.73</v>
      </c>
      <c r="I1172" s="77" t="s">
        <v>4800</v>
      </c>
      <c r="L1172" s="3">
        <f>VLOOKUP(C1172,Securities!A:D,4,FALSE)</f>
        <v>5</v>
      </c>
      <c r="M1172" s="3" t="str">
        <f>VLOOKUP(C1172,Securities!A:B,2,FALSE)</f>
        <v>AM281135 Corp</v>
      </c>
      <c r="O1172" s="3">
        <f t="shared" si="19"/>
        <v>4584</v>
      </c>
    </row>
    <row r="1173" spans="1:15" x14ac:dyDescent="0.25">
      <c r="A1173" s="79">
        <v>43053</v>
      </c>
      <c r="B1173" s="80" t="s">
        <v>5478</v>
      </c>
      <c r="C1173" s="80" t="s">
        <v>5479</v>
      </c>
      <c r="D1173" s="80" t="s">
        <v>2603</v>
      </c>
      <c r="E1173" s="81">
        <v>4690</v>
      </c>
      <c r="F1173" s="80" t="s">
        <v>4814</v>
      </c>
      <c r="G1173" s="81">
        <v>101.53</v>
      </c>
      <c r="H1173" s="81">
        <v>101.53</v>
      </c>
      <c r="I1173" s="80" t="s">
        <v>4800</v>
      </c>
      <c r="L1173" s="3">
        <f>VLOOKUP(C1173,Securities!A:D,4,FALSE)</f>
        <v>5</v>
      </c>
      <c r="M1173" s="3" t="str">
        <f>VLOOKUP(C1173,Securities!A:B,2,FALSE)</f>
        <v>RU000A0JX3A5 Corp</v>
      </c>
      <c r="O1173" s="3">
        <f t="shared" si="19"/>
        <v>4690</v>
      </c>
    </row>
    <row r="1174" spans="1:15" x14ac:dyDescent="0.25">
      <c r="A1174" s="76">
        <v>43053</v>
      </c>
      <c r="B1174" s="77" t="s">
        <v>5478</v>
      </c>
      <c r="C1174" s="77" t="s">
        <v>4932</v>
      </c>
      <c r="D1174" s="77" t="s">
        <v>4933</v>
      </c>
      <c r="E1174" s="78">
        <v>15000</v>
      </c>
      <c r="F1174" s="77" t="s">
        <v>4814</v>
      </c>
      <c r="G1174" s="78">
        <v>100</v>
      </c>
      <c r="H1174" s="78">
        <v>100</v>
      </c>
      <c r="I1174" s="77" t="s">
        <v>4800</v>
      </c>
      <c r="L1174" s="3">
        <f>VLOOKUP(C1174,Securities!A:D,4,FALSE)</f>
        <v>5</v>
      </c>
      <c r="M1174" s="3" t="str">
        <f>VLOOKUP(C1174,Securities!A:B,2,FALSE)</f>
        <v>RU000A0ZYBS1 Corp</v>
      </c>
      <c r="O1174" s="3">
        <f t="shared" si="19"/>
        <v>15000</v>
      </c>
    </row>
    <row r="1175" spans="1:15" x14ac:dyDescent="0.25">
      <c r="A1175" s="79">
        <v>43053</v>
      </c>
      <c r="B1175" s="80" t="s">
        <v>5480</v>
      </c>
      <c r="C1175" s="80" t="s">
        <v>4798</v>
      </c>
      <c r="D1175" s="80" t="s">
        <v>45</v>
      </c>
      <c r="E1175" s="81">
        <v>65500</v>
      </c>
      <c r="F1175" s="80" t="s">
        <v>4799</v>
      </c>
      <c r="G1175" s="81">
        <v>0</v>
      </c>
      <c r="H1175" s="81">
        <v>0</v>
      </c>
      <c r="I1175" s="80" t="s">
        <v>4800</v>
      </c>
      <c r="L1175" s="3">
        <f>VLOOKUP(C1175,Securities!A:D,4,FALSE)</f>
        <v>1</v>
      </c>
      <c r="M1175" s="3" t="str">
        <f>VLOOKUP(C1175,Securities!A:B,2,FALSE)</f>
        <v>RUAL RX Equity</v>
      </c>
      <c r="O1175" s="3">
        <f t="shared" si="19"/>
        <v>65500</v>
      </c>
    </row>
    <row r="1176" spans="1:15" x14ac:dyDescent="0.25">
      <c r="A1176" s="76">
        <v>43053</v>
      </c>
      <c r="B1176" s="77" t="s">
        <v>5480</v>
      </c>
      <c r="C1176" s="77" t="s">
        <v>5481</v>
      </c>
      <c r="D1176" s="77" t="s">
        <v>4532</v>
      </c>
      <c r="E1176" s="78">
        <v>1915</v>
      </c>
      <c r="F1176" s="77" t="s">
        <v>4814</v>
      </c>
      <c r="G1176" s="78">
        <v>101.15</v>
      </c>
      <c r="H1176" s="78">
        <v>101.15</v>
      </c>
      <c r="I1176" s="77" t="s">
        <v>4800</v>
      </c>
      <c r="L1176" s="3">
        <f>VLOOKUP(C1176,Securities!A:D,4,FALSE)</f>
        <v>5</v>
      </c>
      <c r="M1176" s="3" t="str">
        <f>VLOOKUP(C1176,Securities!A:B,2,FALSE)</f>
        <v>RU000A0JX3X7 Corp</v>
      </c>
      <c r="O1176" s="3">
        <f t="shared" si="19"/>
        <v>1915</v>
      </c>
    </row>
    <row r="1177" spans="1:15" x14ac:dyDescent="0.25">
      <c r="A1177" s="79">
        <v>43053</v>
      </c>
      <c r="B1177" s="80" t="s">
        <v>5480</v>
      </c>
      <c r="C1177" s="80" t="s">
        <v>5479</v>
      </c>
      <c r="D1177" s="80" t="s">
        <v>2603</v>
      </c>
      <c r="E1177" s="81">
        <v>1910</v>
      </c>
      <c r="F1177" s="80" t="s">
        <v>4814</v>
      </c>
      <c r="G1177" s="81">
        <v>101.3</v>
      </c>
      <c r="H1177" s="81">
        <v>101.3</v>
      </c>
      <c r="I1177" s="80" t="s">
        <v>4800</v>
      </c>
      <c r="L1177" s="3">
        <f>VLOOKUP(C1177,Securities!A:D,4,FALSE)</f>
        <v>5</v>
      </c>
      <c r="M1177" s="3" t="str">
        <f>VLOOKUP(C1177,Securities!A:B,2,FALSE)</f>
        <v>RU000A0JX3A5 Corp</v>
      </c>
      <c r="O1177" s="3">
        <f t="shared" si="19"/>
        <v>1910</v>
      </c>
    </row>
    <row r="1178" spans="1:15" x14ac:dyDescent="0.25">
      <c r="A1178" s="76">
        <v>43053</v>
      </c>
      <c r="B1178" s="77" t="s">
        <v>5480</v>
      </c>
      <c r="C1178" s="77" t="s">
        <v>4847</v>
      </c>
      <c r="D1178" s="77" t="s">
        <v>369</v>
      </c>
      <c r="E1178" s="78">
        <v>645</v>
      </c>
      <c r="F1178" s="77" t="s">
        <v>4810</v>
      </c>
      <c r="G1178" s="78">
        <v>3091.3837050000002</v>
      </c>
      <c r="H1178" s="78">
        <v>53.360070999999998</v>
      </c>
      <c r="I1178" s="77" t="s">
        <v>4800</v>
      </c>
      <c r="L1178" s="3">
        <f>VLOOKUP(C1178,Securities!A:D,4,FALSE)</f>
        <v>1</v>
      </c>
      <c r="M1178" s="3" t="str">
        <f>VLOOKUP(C1178,Securities!A:B,2,FALSE)</f>
        <v>LKOH RX Equity</v>
      </c>
      <c r="O1178" s="3">
        <f t="shared" si="19"/>
        <v>645</v>
      </c>
    </row>
    <row r="1179" spans="1:15" x14ac:dyDescent="0.25">
      <c r="A1179" s="79">
        <v>43053</v>
      </c>
      <c r="B1179" s="80" t="s">
        <v>5480</v>
      </c>
      <c r="C1179" s="80" t="s">
        <v>5482</v>
      </c>
      <c r="D1179" s="80" t="s">
        <v>2705</v>
      </c>
      <c r="E1179" s="81">
        <v>500</v>
      </c>
      <c r="F1179" s="80" t="s">
        <v>4814</v>
      </c>
      <c r="G1179" s="81">
        <v>100.99</v>
      </c>
      <c r="H1179" s="81">
        <v>100.99</v>
      </c>
      <c r="I1179" s="80" t="s">
        <v>4800</v>
      </c>
      <c r="L1179" s="3">
        <f>VLOOKUP(C1179,Securities!A:D,4,FALSE)</f>
        <v>5</v>
      </c>
      <c r="M1179" s="3" t="str">
        <f>VLOOKUP(C1179,Securities!A:B,2,FALSE)</f>
        <v>RU000A0JWN89 Corp</v>
      </c>
      <c r="O1179" s="3">
        <f t="shared" si="19"/>
        <v>500</v>
      </c>
    </row>
    <row r="1180" spans="1:15" x14ac:dyDescent="0.25">
      <c r="A1180" s="76">
        <v>43053</v>
      </c>
      <c r="B1180" s="77" t="s">
        <v>5480</v>
      </c>
      <c r="C1180" s="77" t="s">
        <v>4818</v>
      </c>
      <c r="D1180" s="77" t="s">
        <v>494</v>
      </c>
      <c r="E1180" s="78">
        <v>57000</v>
      </c>
      <c r="F1180" s="77" t="s">
        <v>4810</v>
      </c>
      <c r="G1180" s="78">
        <v>35</v>
      </c>
      <c r="H1180" s="78">
        <v>0.60514500000000004</v>
      </c>
      <c r="I1180" s="77" t="s">
        <v>4800</v>
      </c>
      <c r="L1180" s="3">
        <f>VLOOKUP(C1180,Securities!A:D,4,FALSE)</f>
        <v>1</v>
      </c>
      <c r="M1180" s="3" t="str">
        <f>VLOOKUP(C1180,Securities!A:B,2,FALSE)</f>
        <v>NKNCP RX Equity</v>
      </c>
      <c r="O1180" s="3">
        <f t="shared" si="19"/>
        <v>57000</v>
      </c>
    </row>
    <row r="1181" spans="1:15" x14ac:dyDescent="0.25">
      <c r="A1181" s="79">
        <v>43053</v>
      </c>
      <c r="B1181" s="80" t="s">
        <v>5480</v>
      </c>
      <c r="C1181" s="80" t="s">
        <v>4982</v>
      </c>
      <c r="D1181" s="80" t="s">
        <v>4983</v>
      </c>
      <c r="E1181" s="81">
        <v>5000</v>
      </c>
      <c r="F1181" s="80" t="s">
        <v>4814</v>
      </c>
      <c r="G1181" s="81">
        <v>100</v>
      </c>
      <c r="H1181" s="81">
        <v>100</v>
      </c>
      <c r="I1181" s="80" t="s">
        <v>4800</v>
      </c>
      <c r="L1181" s="3">
        <f>VLOOKUP(C1181,Securities!A:D,4,FALSE)</f>
        <v>5</v>
      </c>
      <c r="M1181" s="3" t="str">
        <f>VLOOKUP(C1181,Securities!A:B,2,FALSE)</f>
        <v>RU000A0JXVY3 Corp</v>
      </c>
      <c r="O1181" s="3">
        <f t="shared" si="19"/>
        <v>5000</v>
      </c>
    </row>
    <row r="1182" spans="1:15" x14ac:dyDescent="0.25">
      <c r="A1182" s="76">
        <v>43053</v>
      </c>
      <c r="B1182" s="77" t="s">
        <v>5480</v>
      </c>
      <c r="C1182" s="77" t="s">
        <v>4821</v>
      </c>
      <c r="D1182" s="77" t="s">
        <v>42</v>
      </c>
      <c r="E1182" s="78">
        <v>2534</v>
      </c>
      <c r="F1182" s="77" t="s">
        <v>4799</v>
      </c>
      <c r="G1182" s="78">
        <v>709.978701</v>
      </c>
      <c r="H1182" s="78">
        <v>12.028746</v>
      </c>
      <c r="I1182" s="77" t="s">
        <v>4800</v>
      </c>
      <c r="L1182" s="3">
        <f>VLOOKUP(C1182,Securities!A:D,4,FALSE)</f>
        <v>1</v>
      </c>
      <c r="M1182" s="3" t="str">
        <f>VLOOKUP(C1182,Securities!A:B,2,FALSE)</f>
        <v>POLY LN Equity</v>
      </c>
      <c r="O1182" s="3">
        <f t="shared" si="19"/>
        <v>2534</v>
      </c>
    </row>
    <row r="1183" spans="1:15" x14ac:dyDescent="0.25">
      <c r="A1183" s="79">
        <v>43053</v>
      </c>
      <c r="B1183" s="80" t="s">
        <v>5480</v>
      </c>
      <c r="C1183" s="80" t="s">
        <v>5159</v>
      </c>
      <c r="D1183" s="80" t="s">
        <v>673</v>
      </c>
      <c r="E1183" s="81">
        <v>12100</v>
      </c>
      <c r="F1183" s="80" t="s">
        <v>4810</v>
      </c>
      <c r="G1183" s="81">
        <v>165.02</v>
      </c>
      <c r="H1183" s="81">
        <v>2.8806989999999999</v>
      </c>
      <c r="I1183" s="80" t="s">
        <v>4800</v>
      </c>
      <c r="L1183" s="3">
        <f>VLOOKUP(C1183,Securities!A:D,4,FALSE)</f>
        <v>1</v>
      </c>
      <c r="M1183" s="3" t="str">
        <f>VLOOKUP(C1183,Securities!A:B,2,FALSE)</f>
        <v>SBER RX Equity</v>
      </c>
      <c r="O1183" s="3">
        <f t="shared" si="19"/>
        <v>12100</v>
      </c>
    </row>
    <row r="1184" spans="1:15" x14ac:dyDescent="0.25">
      <c r="A1184" s="76">
        <v>43053</v>
      </c>
      <c r="B1184" s="77" t="s">
        <v>5480</v>
      </c>
      <c r="C1184" s="77" t="s">
        <v>4932</v>
      </c>
      <c r="D1184" s="77" t="s">
        <v>4933</v>
      </c>
      <c r="E1184" s="78">
        <v>5000</v>
      </c>
      <c r="F1184" s="77" t="s">
        <v>4814</v>
      </c>
      <c r="G1184" s="78">
        <v>100</v>
      </c>
      <c r="H1184" s="78">
        <v>100</v>
      </c>
      <c r="I1184" s="77" t="s">
        <v>4800</v>
      </c>
      <c r="L1184" s="3">
        <f>VLOOKUP(C1184,Securities!A:D,4,FALSE)</f>
        <v>5</v>
      </c>
      <c r="M1184" s="3" t="str">
        <f>VLOOKUP(C1184,Securities!A:B,2,FALSE)</f>
        <v>RU000A0ZYBS1 Corp</v>
      </c>
      <c r="O1184" s="3">
        <f t="shared" si="19"/>
        <v>5000</v>
      </c>
    </row>
    <row r="1185" spans="1:15" x14ac:dyDescent="0.25">
      <c r="A1185" s="79">
        <v>43053</v>
      </c>
      <c r="B1185" s="80" t="s">
        <v>5480</v>
      </c>
      <c r="C1185" s="80" t="s">
        <v>5110</v>
      </c>
      <c r="D1185" s="80" t="s">
        <v>3989</v>
      </c>
      <c r="E1185" s="81">
        <v>5000</v>
      </c>
      <c r="F1185" s="80" t="s">
        <v>4814</v>
      </c>
      <c r="G1185" s="81">
        <v>100</v>
      </c>
      <c r="H1185" s="81">
        <v>100</v>
      </c>
      <c r="I1185" s="80" t="s">
        <v>4800</v>
      </c>
      <c r="L1185" s="3">
        <f>VLOOKUP(C1185,Securities!A:D,4,FALSE)</f>
        <v>5</v>
      </c>
      <c r="M1185" s="3" t="str">
        <f>VLOOKUP(C1185,Securities!A:B,2,FALSE)</f>
        <v>QZ914276 Corp</v>
      </c>
      <c r="O1185" s="3">
        <f t="shared" si="19"/>
        <v>5000</v>
      </c>
    </row>
    <row r="1186" spans="1:15" x14ac:dyDescent="0.25">
      <c r="A1186" s="76">
        <v>43053</v>
      </c>
      <c r="B1186" s="77" t="s">
        <v>5480</v>
      </c>
      <c r="C1186" s="77" t="s">
        <v>4824</v>
      </c>
      <c r="D1186" s="77" t="s">
        <v>4674</v>
      </c>
      <c r="E1186" s="78">
        <v>5500</v>
      </c>
      <c r="F1186" s="77" t="s">
        <v>4825</v>
      </c>
      <c r="G1186" s="78">
        <v>0</v>
      </c>
      <c r="H1186" s="78">
        <v>0</v>
      </c>
      <c r="I1186" s="77" t="s">
        <v>4800</v>
      </c>
      <c r="L1186" s="3">
        <f>VLOOKUP(C1186,Securities!A:D,4,FALSE)</f>
        <v>1</v>
      </c>
      <c r="M1186" s="3" t="str">
        <f>VLOOKUP(C1186,Securities!A:B,2,FALSE)</f>
        <v>VEON US Equity</v>
      </c>
      <c r="O1186" s="3">
        <f t="shared" si="19"/>
        <v>5500</v>
      </c>
    </row>
    <row r="1187" spans="1:15" x14ac:dyDescent="0.25">
      <c r="A1187" s="79">
        <v>43053</v>
      </c>
      <c r="B1187" s="80" t="s">
        <v>5483</v>
      </c>
      <c r="C1187" s="80" t="s">
        <v>4935</v>
      </c>
      <c r="D1187" s="80" t="s">
        <v>4936</v>
      </c>
      <c r="E1187" s="81">
        <v>3050</v>
      </c>
      <c r="F1187" s="80" t="s">
        <v>4799</v>
      </c>
      <c r="G1187" s="81">
        <v>1106.4498329999999</v>
      </c>
      <c r="H1187" s="81">
        <v>18.440829999999998</v>
      </c>
      <c r="I1187" s="80" t="s">
        <v>4800</v>
      </c>
      <c r="L1187" s="3">
        <f>VLOOKUP(C1187,Securities!A:D,4,FALSE)</f>
        <v>1</v>
      </c>
      <c r="M1187" s="3" t="str">
        <f>VLOOKUP(C1187,Securities!A:B,2,FALSE)</f>
        <v>AD NA Equity</v>
      </c>
      <c r="O1187" s="3">
        <f t="shared" si="19"/>
        <v>3050</v>
      </c>
    </row>
    <row r="1188" spans="1:15" x14ac:dyDescent="0.25">
      <c r="A1188" s="76">
        <v>43053</v>
      </c>
      <c r="B1188" s="77" t="s">
        <v>5483</v>
      </c>
      <c r="C1188" s="77" t="s">
        <v>4920</v>
      </c>
      <c r="D1188" s="77" t="s">
        <v>4921</v>
      </c>
      <c r="E1188" s="78">
        <v>8875</v>
      </c>
      <c r="F1188" s="77" t="s">
        <v>4898</v>
      </c>
      <c r="G1188" s="78">
        <v>645.09699999999998</v>
      </c>
      <c r="H1188" s="78">
        <v>11.265000000000001</v>
      </c>
      <c r="I1188" s="77" t="s">
        <v>4800</v>
      </c>
      <c r="L1188" s="3">
        <f>VLOOKUP(C1188,Securities!A:D,4,FALSE)</f>
        <v>1</v>
      </c>
      <c r="M1188" s="3" t="str">
        <f>VLOOKUP(C1188,Securities!A:B,2,FALSE)</f>
        <v>AMLP US Equity</v>
      </c>
      <c r="O1188" s="3">
        <f t="shared" si="19"/>
        <v>8875</v>
      </c>
    </row>
    <row r="1189" spans="1:15" x14ac:dyDescent="0.25">
      <c r="A1189" s="79">
        <v>43053</v>
      </c>
      <c r="B1189" s="80" t="s">
        <v>5483</v>
      </c>
      <c r="C1189" s="80" t="s">
        <v>5484</v>
      </c>
      <c r="D1189" s="80" t="s">
        <v>5485</v>
      </c>
      <c r="E1189" s="81">
        <v>980</v>
      </c>
      <c r="F1189" s="80" t="s">
        <v>4799</v>
      </c>
      <c r="G1189" s="81">
        <v>3443.2223039999999</v>
      </c>
      <c r="H1189" s="81">
        <v>59.277087000000002</v>
      </c>
      <c r="I1189" s="80" t="s">
        <v>4800</v>
      </c>
      <c r="L1189" s="3">
        <f>VLOOKUP(C1189,Securities!A:D,4,FALSE)</f>
        <v>1</v>
      </c>
      <c r="M1189" s="3" t="str">
        <f>VLOOKUP(C1189,Securities!A:B,2,FALSE)</f>
        <v>CCAP GR Equity</v>
      </c>
      <c r="O1189" s="3">
        <f t="shared" si="19"/>
        <v>980</v>
      </c>
    </row>
    <row r="1190" spans="1:15" x14ac:dyDescent="0.25">
      <c r="A1190" s="76">
        <v>43053</v>
      </c>
      <c r="B1190" s="77" t="s">
        <v>5483</v>
      </c>
      <c r="C1190" s="77" t="s">
        <v>4961</v>
      </c>
      <c r="D1190" s="77" t="s">
        <v>4962</v>
      </c>
      <c r="E1190" s="78">
        <v>200000</v>
      </c>
      <c r="F1190" s="77" t="s">
        <v>4806</v>
      </c>
      <c r="G1190" s="78">
        <v>97.25</v>
      </c>
      <c r="H1190" s="78">
        <v>97.25</v>
      </c>
      <c r="I1190" s="77" t="s">
        <v>4800</v>
      </c>
      <c r="L1190" s="3">
        <f>VLOOKUP(C1190,Securities!A:D,4,FALSE)</f>
        <v>5</v>
      </c>
      <c r="M1190" s="3" t="str">
        <f>VLOOKUP(C1190,Securities!A:B,2,FALSE)</f>
        <v>XS1601094755 Corp</v>
      </c>
      <c r="O1190" s="3">
        <f t="shared" si="19"/>
        <v>200000</v>
      </c>
    </row>
    <row r="1191" spans="1:15" x14ac:dyDescent="0.25">
      <c r="A1191" s="79">
        <v>43053</v>
      </c>
      <c r="B1191" s="80" t="s">
        <v>5483</v>
      </c>
      <c r="C1191" s="80" t="s">
        <v>4939</v>
      </c>
      <c r="D1191" s="80" t="s">
        <v>4940</v>
      </c>
      <c r="E1191" s="81">
        <v>150000</v>
      </c>
      <c r="F1191" s="80" t="s">
        <v>4838</v>
      </c>
      <c r="G1191" s="81">
        <v>100</v>
      </c>
      <c r="H1191" s="81">
        <v>100</v>
      </c>
      <c r="I1191" s="80" t="s">
        <v>4800</v>
      </c>
      <c r="L1191" s="3">
        <f>VLOOKUP(C1191,Securities!A:D,4,FALSE)</f>
        <v>5</v>
      </c>
      <c r="M1191" s="3" t="str">
        <f>VLOOKUP(C1191,Securities!A:B,2,FALSE)</f>
        <v>CH0384861404 Corp</v>
      </c>
      <c r="O1191" s="3">
        <f t="shared" si="19"/>
        <v>150000</v>
      </c>
    </row>
    <row r="1192" spans="1:15" x14ac:dyDescent="0.25">
      <c r="A1192" s="76">
        <v>43053</v>
      </c>
      <c r="B1192" s="77" t="s">
        <v>5483</v>
      </c>
      <c r="C1192" s="77" t="s">
        <v>5171</v>
      </c>
      <c r="D1192" s="77" t="s">
        <v>5172</v>
      </c>
      <c r="E1192" s="78">
        <v>150000</v>
      </c>
      <c r="F1192" s="77" t="s">
        <v>4838</v>
      </c>
      <c r="G1192" s="78">
        <v>100</v>
      </c>
      <c r="H1192" s="78">
        <v>100</v>
      </c>
      <c r="I1192" s="77" t="s">
        <v>4800</v>
      </c>
      <c r="L1192" s="3">
        <f>VLOOKUP(C1192,Securities!A:D,4,FALSE)</f>
        <v>5</v>
      </c>
      <c r="M1192" s="3" t="str">
        <f>VLOOKUP(C1192,Securities!A:B,2,FALSE)</f>
        <v>CH0367864680 Corp</v>
      </c>
      <c r="O1192" s="3">
        <f t="shared" si="19"/>
        <v>150000</v>
      </c>
    </row>
    <row r="1193" spans="1:15" x14ac:dyDescent="0.25">
      <c r="A1193" s="79">
        <v>43053</v>
      </c>
      <c r="B1193" s="80" t="s">
        <v>5483</v>
      </c>
      <c r="C1193" s="80" t="s">
        <v>5182</v>
      </c>
      <c r="D1193" s="80" t="s">
        <v>5183</v>
      </c>
      <c r="E1193" s="81">
        <v>150000</v>
      </c>
      <c r="F1193" s="80" t="s">
        <v>4838</v>
      </c>
      <c r="G1193" s="81">
        <v>100</v>
      </c>
      <c r="H1193" s="81">
        <v>100</v>
      </c>
      <c r="I1193" s="80" t="s">
        <v>4800</v>
      </c>
      <c r="L1193" s="3">
        <f>VLOOKUP(C1193,Securities!A:D,4,FALSE)</f>
        <v>5</v>
      </c>
      <c r="M1193" s="3" t="str">
        <f>VLOOKUP(C1193,Securities!A:B,2,FALSE)</f>
        <v>XS1468264822 Corp</v>
      </c>
      <c r="O1193" s="3">
        <f t="shared" si="19"/>
        <v>150000</v>
      </c>
    </row>
    <row r="1194" spans="1:15" x14ac:dyDescent="0.25">
      <c r="A1194" s="76">
        <v>43053</v>
      </c>
      <c r="B1194" s="77" t="s">
        <v>5483</v>
      </c>
      <c r="C1194" s="77" t="s">
        <v>4841</v>
      </c>
      <c r="D1194" s="77" t="s">
        <v>4842</v>
      </c>
      <c r="E1194" s="78">
        <v>100000</v>
      </c>
      <c r="F1194" s="77" t="s">
        <v>4838</v>
      </c>
      <c r="G1194" s="78">
        <v>99</v>
      </c>
      <c r="H1194" s="78">
        <v>99</v>
      </c>
      <c r="I1194" s="77" t="s">
        <v>4800</v>
      </c>
      <c r="L1194" s="3">
        <f>VLOOKUP(C1194,Securities!A:D,4,FALSE)</f>
        <v>5</v>
      </c>
      <c r="M1194" s="3" t="str">
        <f>VLOOKUP(C1194,Securities!A:B,2,FALSE)</f>
        <v>XS1605088928 Corp</v>
      </c>
      <c r="O1194" s="3">
        <f t="shared" si="19"/>
        <v>100000</v>
      </c>
    </row>
    <row r="1195" spans="1:15" x14ac:dyDescent="0.25">
      <c r="A1195" s="79">
        <v>43053</v>
      </c>
      <c r="B1195" s="80" t="s">
        <v>5483</v>
      </c>
      <c r="C1195" s="80" t="s">
        <v>5486</v>
      </c>
      <c r="D1195" s="80" t="s">
        <v>5487</v>
      </c>
      <c r="E1195" s="81">
        <v>3007</v>
      </c>
      <c r="F1195" s="80" t="s">
        <v>4949</v>
      </c>
      <c r="G1195" s="81">
        <v>956.744685</v>
      </c>
      <c r="H1195" s="81">
        <v>16.685700000000001</v>
      </c>
      <c r="I1195" s="80" t="s">
        <v>4800</v>
      </c>
      <c r="L1195" s="3">
        <f>VLOOKUP(C1195,Securities!A:D,4,FALSE)</f>
        <v>1</v>
      </c>
      <c r="M1195" s="3" t="str">
        <f>VLOOKUP(C1195,Securities!A:B,2,FALSE)</f>
        <v>GAMSCOU ID Equity</v>
      </c>
      <c r="O1195" s="3">
        <f t="shared" si="19"/>
        <v>3007</v>
      </c>
    </row>
    <row r="1196" spans="1:15" x14ac:dyDescent="0.25">
      <c r="A1196" s="76">
        <v>43053</v>
      </c>
      <c r="B1196" s="77" t="s">
        <v>5483</v>
      </c>
      <c r="C1196" s="77" t="s">
        <v>4861</v>
      </c>
      <c r="D1196" s="77" t="s">
        <v>4862</v>
      </c>
      <c r="E1196" s="78">
        <v>200000</v>
      </c>
      <c r="F1196" s="77" t="s">
        <v>4806</v>
      </c>
      <c r="G1196" s="78">
        <v>104.25</v>
      </c>
      <c r="H1196" s="78">
        <v>104.25</v>
      </c>
      <c r="I1196" s="77" t="s">
        <v>4800</v>
      </c>
      <c r="L1196" s="3">
        <f>VLOOKUP(C1196,Securities!A:D,4,FALSE)</f>
        <v>5</v>
      </c>
      <c r="M1196" s="3" t="str">
        <f>VLOOKUP(C1196,Securities!A:B,2,FALSE)</f>
        <v>USA29866AA70 Corp</v>
      </c>
      <c r="O1196" s="3">
        <f t="shared" si="19"/>
        <v>200000</v>
      </c>
    </row>
    <row r="1197" spans="1:15" x14ac:dyDescent="0.25">
      <c r="A1197" s="79">
        <v>43053</v>
      </c>
      <c r="B1197" s="80" t="s">
        <v>5483</v>
      </c>
      <c r="C1197" s="80" t="s">
        <v>4819</v>
      </c>
      <c r="D1197" s="80" t="s">
        <v>4820</v>
      </c>
      <c r="E1197" s="81">
        <v>200000</v>
      </c>
      <c r="F1197" s="80" t="s">
        <v>4806</v>
      </c>
      <c r="G1197" s="81">
        <v>107</v>
      </c>
      <c r="H1197" s="81">
        <v>107</v>
      </c>
      <c r="I1197" s="80" t="s">
        <v>4800</v>
      </c>
      <c r="L1197" s="3">
        <f>VLOOKUP(C1197,Securities!A:D,4,FALSE)</f>
        <v>5</v>
      </c>
      <c r="M1197" s="3" t="str">
        <f>VLOOKUP(C1197,Securities!A:B,2,FALSE)</f>
        <v>XS0776121062 Corp</v>
      </c>
      <c r="O1197" s="3">
        <f t="shared" si="19"/>
        <v>200000</v>
      </c>
    </row>
    <row r="1198" spans="1:15" x14ac:dyDescent="0.25">
      <c r="A1198" s="76">
        <v>43053</v>
      </c>
      <c r="B1198" s="77" t="s">
        <v>5483</v>
      </c>
      <c r="C1198" s="77" t="s">
        <v>4947</v>
      </c>
      <c r="D1198" s="77" t="s">
        <v>4948</v>
      </c>
      <c r="E1198" s="78">
        <v>76330</v>
      </c>
      <c r="F1198" s="77" t="s">
        <v>4949</v>
      </c>
      <c r="G1198" s="78">
        <v>82.786389</v>
      </c>
      <c r="H1198" s="78">
        <v>1.4590909999999999</v>
      </c>
      <c r="I1198" s="77" t="s">
        <v>4800</v>
      </c>
      <c r="L1198" s="3">
        <f>VLOOKUP(C1198,Securities!A:D,4,FALSE)</f>
        <v>1</v>
      </c>
      <c r="M1198" s="3" t="str">
        <f>VLOOKUP(C1198,Securities!A:B,2,FALSE)</f>
        <v>OMEAEHA ID Equity</v>
      </c>
      <c r="O1198" s="3">
        <f t="shared" si="19"/>
        <v>76330</v>
      </c>
    </row>
    <row r="1199" spans="1:15" x14ac:dyDescent="0.25">
      <c r="A1199" s="79">
        <v>43053</v>
      </c>
      <c r="B1199" s="80" t="s">
        <v>5483</v>
      </c>
      <c r="C1199" s="80" t="s">
        <v>4927</v>
      </c>
      <c r="D1199" s="80" t="s">
        <v>4928</v>
      </c>
      <c r="E1199" s="81">
        <v>7600</v>
      </c>
      <c r="F1199" s="80" t="s">
        <v>4898</v>
      </c>
      <c r="G1199" s="81">
        <v>892.48650999999995</v>
      </c>
      <c r="H1199" s="81">
        <v>15.404298000000001</v>
      </c>
      <c r="I1199" s="80" t="s">
        <v>4800</v>
      </c>
      <c r="L1199" s="3">
        <f>VLOOKUP(C1199,Securities!A:D,4,FALSE)</f>
        <v>1</v>
      </c>
      <c r="M1199" s="3" t="str">
        <f>VLOOKUP(C1199,Securities!A:B,2,FALSE)</f>
        <v>SX7EEX GY Equity</v>
      </c>
      <c r="O1199" s="3">
        <f t="shared" si="19"/>
        <v>7600</v>
      </c>
    </row>
    <row r="1200" spans="1:15" x14ac:dyDescent="0.25">
      <c r="A1200" s="76">
        <v>43053</v>
      </c>
      <c r="B1200" s="77" t="s">
        <v>5483</v>
      </c>
      <c r="C1200" s="77" t="s">
        <v>5302</v>
      </c>
      <c r="D1200" s="77" t="s">
        <v>5303</v>
      </c>
      <c r="E1200" s="78">
        <v>75000</v>
      </c>
      <c r="F1200" s="77" t="s">
        <v>4806</v>
      </c>
      <c r="G1200" s="78">
        <v>97.65</v>
      </c>
      <c r="H1200" s="78">
        <v>97.65</v>
      </c>
      <c r="I1200" s="77" t="s">
        <v>4800</v>
      </c>
      <c r="L1200" s="3">
        <f>VLOOKUP(C1200,Securities!A:D,4,FALSE)</f>
        <v>5</v>
      </c>
      <c r="M1200" s="3" t="str">
        <f>VLOOKUP(C1200,Securities!A:B,2,FALSE)</f>
        <v>USU8810LAA18 Corp</v>
      </c>
      <c r="O1200" s="3">
        <f t="shared" si="19"/>
        <v>75000</v>
      </c>
    </row>
    <row r="1201" spans="1:15" x14ac:dyDescent="0.25">
      <c r="A1201" s="79">
        <v>43053</v>
      </c>
      <c r="B1201" s="80" t="s">
        <v>5483</v>
      </c>
      <c r="C1201" s="80" t="s">
        <v>4952</v>
      </c>
      <c r="D1201" s="80" t="s">
        <v>4953</v>
      </c>
      <c r="E1201" s="81">
        <v>200000</v>
      </c>
      <c r="F1201" s="80" t="s">
        <v>4806</v>
      </c>
      <c r="G1201" s="81">
        <v>103.9</v>
      </c>
      <c r="H1201" s="81">
        <v>103.9</v>
      </c>
      <c r="I1201" s="80" t="s">
        <v>4800</v>
      </c>
      <c r="L1201" s="3">
        <f>VLOOKUP(C1201,Securities!A:D,4,FALSE)</f>
        <v>5</v>
      </c>
      <c r="M1201" s="3" t="str">
        <f>VLOOKUP(C1201,Securities!A:B,2,FALSE)</f>
        <v>USG9328DAJ93 Corp</v>
      </c>
      <c r="O1201" s="3">
        <f t="shared" si="19"/>
        <v>200000</v>
      </c>
    </row>
    <row r="1202" spans="1:15" x14ac:dyDescent="0.25">
      <c r="A1202" s="76">
        <v>43053</v>
      </c>
      <c r="B1202" s="77" t="s">
        <v>5488</v>
      </c>
      <c r="C1202" s="77" t="s">
        <v>4798</v>
      </c>
      <c r="D1202" s="77" t="s">
        <v>45</v>
      </c>
      <c r="E1202" s="78">
        <v>295600</v>
      </c>
      <c r="F1202" s="77" t="s">
        <v>4799</v>
      </c>
      <c r="G1202" s="78">
        <v>40.440615999999999</v>
      </c>
      <c r="H1202" s="78">
        <v>0.69988600000000001</v>
      </c>
      <c r="I1202" s="77" t="s">
        <v>4800</v>
      </c>
      <c r="L1202" s="3">
        <f>VLOOKUP(C1202,Securities!A:D,4,FALSE)</f>
        <v>1</v>
      </c>
      <c r="M1202" s="3" t="str">
        <f>VLOOKUP(C1202,Securities!A:B,2,FALSE)</f>
        <v>RUAL RX Equity</v>
      </c>
      <c r="O1202" s="3">
        <f t="shared" si="19"/>
        <v>295600</v>
      </c>
    </row>
    <row r="1203" spans="1:15" x14ac:dyDescent="0.25">
      <c r="A1203" s="79">
        <v>43053</v>
      </c>
      <c r="B1203" s="80" t="s">
        <v>5488</v>
      </c>
      <c r="C1203" s="80" t="s">
        <v>4801</v>
      </c>
      <c r="D1203" s="80" t="s">
        <v>4802</v>
      </c>
      <c r="E1203" s="81">
        <v>694</v>
      </c>
      <c r="F1203" s="80" t="s">
        <v>4799</v>
      </c>
      <c r="G1203" s="81">
        <v>10436.604348999999</v>
      </c>
      <c r="H1203" s="81">
        <v>179.45969700000001</v>
      </c>
      <c r="I1203" s="80" t="s">
        <v>4800</v>
      </c>
      <c r="L1203" s="3">
        <f>VLOOKUP(C1203,Securities!A:D,4,FALSE)</f>
        <v>1</v>
      </c>
      <c r="M1203" s="3" t="str">
        <f>VLOOKUP(C1203,Securities!A:B,2,FALSE)</f>
        <v>AGN US Equity</v>
      </c>
      <c r="O1203" s="3">
        <f t="shared" si="19"/>
        <v>694</v>
      </c>
    </row>
    <row r="1204" spans="1:15" x14ac:dyDescent="0.25">
      <c r="A1204" s="76">
        <v>43053</v>
      </c>
      <c r="B1204" s="77" t="s">
        <v>5488</v>
      </c>
      <c r="C1204" s="77" t="s">
        <v>4803</v>
      </c>
      <c r="D1204" s="77" t="s">
        <v>39</v>
      </c>
      <c r="E1204" s="78">
        <v>9520</v>
      </c>
      <c r="F1204" s="77" t="s">
        <v>4804</v>
      </c>
      <c r="G1204" s="78">
        <v>598.34985300000005</v>
      </c>
      <c r="H1204" s="78">
        <v>10.5</v>
      </c>
      <c r="I1204" s="77" t="s">
        <v>4800</v>
      </c>
      <c r="L1204" s="3">
        <f>VLOOKUP(C1204,Securities!A:D,4,FALSE)</f>
        <v>1</v>
      </c>
      <c r="M1204" s="3" t="str">
        <f>VLOOKUP(C1204,Securities!A:B,2,FALSE)</f>
        <v>AGRO LI Equity</v>
      </c>
      <c r="O1204" s="3">
        <f t="shared" si="19"/>
        <v>9520</v>
      </c>
    </row>
    <row r="1205" spans="1:15" x14ac:dyDescent="0.25">
      <c r="A1205" s="79">
        <v>43053</v>
      </c>
      <c r="B1205" s="80" t="s">
        <v>5488</v>
      </c>
      <c r="C1205" s="80" t="s">
        <v>4866</v>
      </c>
      <c r="D1205" s="80" t="s">
        <v>99</v>
      </c>
      <c r="E1205" s="81">
        <v>65850</v>
      </c>
      <c r="F1205" s="80" t="s">
        <v>4810</v>
      </c>
      <c r="G1205" s="81">
        <v>82.892289000000005</v>
      </c>
      <c r="H1205" s="81">
        <v>1.4464459999999999</v>
      </c>
      <c r="I1205" s="80" t="s">
        <v>4800</v>
      </c>
      <c r="L1205" s="3">
        <f>VLOOKUP(C1205,Securities!A:D,4,FALSE)</f>
        <v>1</v>
      </c>
      <c r="M1205" s="3" t="str">
        <f>VLOOKUP(C1205,Securities!A:B,2,FALSE)</f>
        <v>ALRS RX Equity</v>
      </c>
      <c r="O1205" s="3">
        <f t="shared" si="19"/>
        <v>65850</v>
      </c>
    </row>
    <row r="1206" spans="1:15" x14ac:dyDescent="0.25">
      <c r="A1206" s="76">
        <v>43053</v>
      </c>
      <c r="B1206" s="77" t="s">
        <v>5488</v>
      </c>
      <c r="C1206" s="77" t="s">
        <v>4920</v>
      </c>
      <c r="D1206" s="77" t="s">
        <v>4921</v>
      </c>
      <c r="E1206" s="78">
        <v>11520</v>
      </c>
      <c r="F1206" s="77" t="s">
        <v>4898</v>
      </c>
      <c r="G1206" s="78">
        <v>627.633782</v>
      </c>
      <c r="H1206" s="78">
        <v>10.792299999999999</v>
      </c>
      <c r="I1206" s="77" t="s">
        <v>4800</v>
      </c>
      <c r="L1206" s="3">
        <f>VLOOKUP(C1206,Securities!A:D,4,FALSE)</f>
        <v>1</v>
      </c>
      <c r="M1206" s="3" t="str">
        <f>VLOOKUP(C1206,Securities!A:B,2,FALSE)</f>
        <v>AMLP US Equity</v>
      </c>
      <c r="O1206" s="3">
        <f t="shared" si="19"/>
        <v>11520</v>
      </c>
    </row>
    <row r="1207" spans="1:15" x14ac:dyDescent="0.25">
      <c r="A1207" s="79">
        <v>43053</v>
      </c>
      <c r="B1207" s="80" t="s">
        <v>5488</v>
      </c>
      <c r="C1207" s="80" t="s">
        <v>4896</v>
      </c>
      <c r="D1207" s="80" t="s">
        <v>4897</v>
      </c>
      <c r="E1207" s="81">
        <v>4900</v>
      </c>
      <c r="F1207" s="80" t="s">
        <v>4898</v>
      </c>
      <c r="G1207" s="81">
        <v>1481.842132</v>
      </c>
      <c r="H1207" s="81">
        <v>25.480599999999999</v>
      </c>
      <c r="I1207" s="80" t="s">
        <v>4800</v>
      </c>
      <c r="L1207" s="3">
        <f>VLOOKUP(C1207,Securities!A:D,4,FALSE)</f>
        <v>1</v>
      </c>
      <c r="M1207" s="3" t="str">
        <f>VLOOKUP(C1207,Securities!A:B,2,FALSE)</f>
        <v>CNCR US Equity</v>
      </c>
      <c r="O1207" s="3">
        <f t="shared" si="19"/>
        <v>4900</v>
      </c>
    </row>
    <row r="1208" spans="1:15" x14ac:dyDescent="0.25">
      <c r="A1208" s="76">
        <v>43053</v>
      </c>
      <c r="B1208" s="77" t="s">
        <v>5488</v>
      </c>
      <c r="C1208" s="77" t="s">
        <v>4869</v>
      </c>
      <c r="D1208" s="77" t="s">
        <v>4870</v>
      </c>
      <c r="E1208" s="78">
        <v>125000</v>
      </c>
      <c r="F1208" s="77" t="s">
        <v>4838</v>
      </c>
      <c r="G1208" s="78">
        <v>100</v>
      </c>
      <c r="H1208" s="78">
        <v>100</v>
      </c>
      <c r="I1208" s="77" t="s">
        <v>4800</v>
      </c>
      <c r="L1208" s="3">
        <f>VLOOKUP(C1208,Securities!A:D,4,FALSE)</f>
        <v>5</v>
      </c>
      <c r="M1208" s="3" t="str">
        <f>VLOOKUP(C1208,Securities!A:B,2,FALSE)</f>
        <v>CH0384862550 Corp</v>
      </c>
      <c r="O1208" s="3">
        <f t="shared" si="19"/>
        <v>125000</v>
      </c>
    </row>
    <row r="1209" spans="1:15" x14ac:dyDescent="0.25">
      <c r="A1209" s="79">
        <v>43053</v>
      </c>
      <c r="B1209" s="80" t="s">
        <v>5488</v>
      </c>
      <c r="C1209" s="80" t="s">
        <v>4805</v>
      </c>
      <c r="D1209" s="80" t="s">
        <v>31</v>
      </c>
      <c r="E1209" s="81">
        <v>286000</v>
      </c>
      <c r="F1209" s="80" t="s">
        <v>4806</v>
      </c>
      <c r="G1209" s="81">
        <v>174.90658199999999</v>
      </c>
      <c r="H1209" s="81">
        <v>174.90658199999999</v>
      </c>
      <c r="I1209" s="80" t="s">
        <v>4800</v>
      </c>
      <c r="L1209" s="3">
        <f>VLOOKUP(C1209,Securities!A:D,4,FALSE)</f>
        <v>5</v>
      </c>
      <c r="M1209" s="3" t="str">
        <f>VLOOKUP(C1209,Securities!A:B,2,FALSE)</f>
        <v>TT343269 Corp</v>
      </c>
      <c r="O1209" s="3">
        <f t="shared" si="19"/>
        <v>286000</v>
      </c>
    </row>
    <row r="1210" spans="1:15" x14ac:dyDescent="0.25">
      <c r="A1210" s="76">
        <v>43053</v>
      </c>
      <c r="B1210" s="77" t="s">
        <v>5488</v>
      </c>
      <c r="C1210" s="77" t="s">
        <v>4809</v>
      </c>
      <c r="D1210" s="77" t="s">
        <v>30</v>
      </c>
      <c r="E1210" s="78">
        <v>58750</v>
      </c>
      <c r="F1210" s="77" t="s">
        <v>4810</v>
      </c>
      <c r="G1210" s="78">
        <v>120.10302</v>
      </c>
      <c r="H1210" s="78">
        <v>2.119164</v>
      </c>
      <c r="I1210" s="77" t="s">
        <v>4800</v>
      </c>
      <c r="L1210" s="3">
        <f>VLOOKUP(C1210,Securities!A:D,4,FALSE)</f>
        <v>1</v>
      </c>
      <c r="M1210" s="3" t="str">
        <f>VLOOKUP(C1210,Securities!A:B,2,FALSE)</f>
        <v>GAZP RX Equity</v>
      </c>
      <c r="O1210" s="3">
        <f t="shared" si="19"/>
        <v>58750</v>
      </c>
    </row>
    <row r="1211" spans="1:15" x14ac:dyDescent="0.25">
      <c r="A1211" s="79">
        <v>43053</v>
      </c>
      <c r="B1211" s="80" t="s">
        <v>5488</v>
      </c>
      <c r="C1211" s="80" t="s">
        <v>4970</v>
      </c>
      <c r="D1211" s="80" t="s">
        <v>4971</v>
      </c>
      <c r="E1211" s="81">
        <v>2800</v>
      </c>
      <c r="F1211" s="80" t="s">
        <v>4799</v>
      </c>
      <c r="G1211" s="81">
        <v>4246.2547009999998</v>
      </c>
      <c r="H1211" s="81">
        <v>70.523213999999996</v>
      </c>
      <c r="I1211" s="80" t="s">
        <v>4800</v>
      </c>
      <c r="L1211" s="3">
        <f>VLOOKUP(C1211,Securities!A:D,4,FALSE)</f>
        <v>1</v>
      </c>
      <c r="M1211" s="3" t="str">
        <f>VLOOKUP(C1211,Securities!A:B,2,FALSE)</f>
        <v>GILD US Equity</v>
      </c>
      <c r="O1211" s="3">
        <f t="shared" si="19"/>
        <v>2800</v>
      </c>
    </row>
    <row r="1212" spans="1:15" x14ac:dyDescent="0.25">
      <c r="A1212" s="76">
        <v>43053</v>
      </c>
      <c r="B1212" s="77" t="s">
        <v>5488</v>
      </c>
      <c r="C1212" s="77" t="s">
        <v>4963</v>
      </c>
      <c r="D1212" s="77" t="s">
        <v>4964</v>
      </c>
      <c r="E1212" s="78">
        <v>200000</v>
      </c>
      <c r="F1212" s="77" t="s">
        <v>4806</v>
      </c>
      <c r="G1212" s="78">
        <v>97.83</v>
      </c>
      <c r="H1212" s="78">
        <v>97.83</v>
      </c>
      <c r="I1212" s="77" t="s">
        <v>4800</v>
      </c>
      <c r="L1212" s="3">
        <f>VLOOKUP(C1212,Securities!A:D,4,FALSE)</f>
        <v>5</v>
      </c>
      <c r="M1212" s="3" t="str">
        <f>VLOOKUP(C1212,Securities!A:B,2,FALSE)</f>
        <v>XS1439838548 Corp</v>
      </c>
      <c r="O1212" s="3">
        <f t="shared" si="19"/>
        <v>200000</v>
      </c>
    </row>
    <row r="1213" spans="1:15" x14ac:dyDescent="0.25">
      <c r="A1213" s="79">
        <v>43053</v>
      </c>
      <c r="B1213" s="80" t="s">
        <v>5488</v>
      </c>
      <c r="C1213" s="80" t="s">
        <v>4811</v>
      </c>
      <c r="D1213" s="80" t="s">
        <v>4659</v>
      </c>
      <c r="E1213" s="81">
        <v>123044</v>
      </c>
      <c r="F1213" s="80" t="s">
        <v>4799</v>
      </c>
      <c r="G1213" s="81">
        <v>116.934348</v>
      </c>
      <c r="H1213" s="81">
        <v>2.0577100000000002</v>
      </c>
      <c r="I1213" s="80" t="s">
        <v>4800</v>
      </c>
      <c r="L1213" s="3">
        <f>VLOOKUP(C1213,Securities!A:D,4,FALSE)</f>
        <v>1</v>
      </c>
      <c r="M1213" s="3" t="str">
        <f>VLOOKUP(C1213,Securities!A:B,2,FALSE)</f>
        <v>HGM LN Equity</v>
      </c>
      <c r="O1213" s="3">
        <f t="shared" si="19"/>
        <v>123044</v>
      </c>
    </row>
    <row r="1214" spans="1:15" x14ac:dyDescent="0.25">
      <c r="A1214" s="76">
        <v>43053</v>
      </c>
      <c r="B1214" s="77" t="s">
        <v>5488</v>
      </c>
      <c r="C1214" s="77" t="s">
        <v>4812</v>
      </c>
      <c r="D1214" s="77" t="s">
        <v>4675</v>
      </c>
      <c r="E1214" s="78">
        <v>11127</v>
      </c>
      <c r="F1214" s="77" t="s">
        <v>4804</v>
      </c>
      <c r="G1214" s="78">
        <v>583.79081799999994</v>
      </c>
      <c r="H1214" s="78">
        <v>10.18468</v>
      </c>
      <c r="I1214" s="77" t="s">
        <v>4800</v>
      </c>
      <c r="L1214" s="3">
        <f>VLOOKUP(C1214,Securities!A:D,4,FALSE)</f>
        <v>1</v>
      </c>
      <c r="M1214" s="3" t="str">
        <f>VLOOKUP(C1214,Securities!A:B,2,FALSE)</f>
        <v>KMG LI Equity</v>
      </c>
      <c r="O1214" s="3">
        <f t="shared" si="19"/>
        <v>11127</v>
      </c>
    </row>
    <row r="1215" spans="1:15" x14ac:dyDescent="0.25">
      <c r="A1215" s="79">
        <v>43053</v>
      </c>
      <c r="B1215" s="80" t="s">
        <v>5488</v>
      </c>
      <c r="C1215" s="80" t="s">
        <v>4815</v>
      </c>
      <c r="D1215" s="80" t="s">
        <v>4676</v>
      </c>
      <c r="E1215" s="81">
        <v>2915</v>
      </c>
      <c r="F1215" s="80" t="s">
        <v>4799</v>
      </c>
      <c r="G1215" s="81">
        <v>2568.7552139999998</v>
      </c>
      <c r="H1215" s="81">
        <v>42.862737000000003</v>
      </c>
      <c r="I1215" s="80" t="s">
        <v>4800</v>
      </c>
      <c r="L1215" s="3">
        <f>VLOOKUP(C1215,Securities!A:D,4,FALSE)</f>
        <v>1</v>
      </c>
      <c r="M1215" s="3" t="str">
        <f>VLOOKUP(C1215,Securities!A:B,2,FALSE)</f>
        <v>LXFT US Equity</v>
      </c>
      <c r="O1215" s="3">
        <f t="shared" si="19"/>
        <v>2915</v>
      </c>
    </row>
    <row r="1216" spans="1:15" x14ac:dyDescent="0.25">
      <c r="A1216" s="76">
        <v>43053</v>
      </c>
      <c r="B1216" s="77" t="s">
        <v>5488</v>
      </c>
      <c r="C1216" s="77" t="s">
        <v>5200</v>
      </c>
      <c r="D1216" s="77" t="s">
        <v>5201</v>
      </c>
      <c r="E1216" s="78">
        <v>1950</v>
      </c>
      <c r="F1216" s="77" t="s">
        <v>4799</v>
      </c>
      <c r="G1216" s="78">
        <v>3721.9648080000002</v>
      </c>
      <c r="H1216" s="78">
        <v>64</v>
      </c>
      <c r="I1216" s="77" t="s">
        <v>4800</v>
      </c>
      <c r="L1216" s="3">
        <f>VLOOKUP(C1216,Securities!A:D,4,FALSE)</f>
        <v>1</v>
      </c>
      <c r="M1216" s="3" t="str">
        <f>VLOOKUP(C1216,Securities!A:B,2,FALSE)</f>
        <v>MO US Equity</v>
      </c>
      <c r="O1216" s="3">
        <f t="shared" si="19"/>
        <v>1950</v>
      </c>
    </row>
    <row r="1217" spans="1:15" x14ac:dyDescent="0.25">
      <c r="A1217" s="79">
        <v>43053</v>
      </c>
      <c r="B1217" s="80" t="s">
        <v>5488</v>
      </c>
      <c r="C1217" s="80" t="s">
        <v>4816</v>
      </c>
      <c r="D1217" s="80" t="s">
        <v>4817</v>
      </c>
      <c r="E1217" s="81">
        <v>2400</v>
      </c>
      <c r="F1217" s="80" t="s">
        <v>4799</v>
      </c>
      <c r="G1217" s="81">
        <v>1213.4157319999999</v>
      </c>
      <c r="H1217" s="81">
        <v>21</v>
      </c>
      <c r="I1217" s="80" t="s">
        <v>4800</v>
      </c>
      <c r="L1217" s="3">
        <f>VLOOKUP(C1217,Securities!A:D,4,FALSE)</f>
        <v>1</v>
      </c>
      <c r="M1217" s="3" t="str">
        <f>VLOOKUP(C1217,Securities!A:B,2,FALSE)</f>
        <v>M US Equity</v>
      </c>
      <c r="O1217" s="3">
        <f t="shared" si="19"/>
        <v>2400</v>
      </c>
    </row>
    <row r="1218" spans="1:15" x14ac:dyDescent="0.25">
      <c r="A1218" s="76">
        <v>43053</v>
      </c>
      <c r="B1218" s="77" t="s">
        <v>5488</v>
      </c>
      <c r="C1218" s="77" t="s">
        <v>4818</v>
      </c>
      <c r="D1218" s="77" t="s">
        <v>494</v>
      </c>
      <c r="E1218" s="78">
        <v>123100</v>
      </c>
      <c r="F1218" s="77" t="s">
        <v>4810</v>
      </c>
      <c r="G1218" s="78">
        <v>34.781551</v>
      </c>
      <c r="H1218" s="78">
        <v>0.59868299999999997</v>
      </c>
      <c r="I1218" s="77" t="s">
        <v>4800</v>
      </c>
      <c r="L1218" s="3">
        <f>VLOOKUP(C1218,Securities!A:D,4,FALSE)</f>
        <v>1</v>
      </c>
      <c r="M1218" s="3" t="str">
        <f>VLOOKUP(C1218,Securities!A:B,2,FALSE)</f>
        <v>NKNCP RX Equity</v>
      </c>
      <c r="O1218" s="3">
        <f t="shared" si="19"/>
        <v>123100</v>
      </c>
    </row>
    <row r="1219" spans="1:15" x14ac:dyDescent="0.25">
      <c r="A1219" s="79">
        <v>43053</v>
      </c>
      <c r="B1219" s="80" t="s">
        <v>5488</v>
      </c>
      <c r="C1219" s="80" t="s">
        <v>4819</v>
      </c>
      <c r="D1219" s="80" t="s">
        <v>4820</v>
      </c>
      <c r="E1219" s="81">
        <v>270000</v>
      </c>
      <c r="F1219" s="80" t="s">
        <v>4806</v>
      </c>
      <c r="G1219" s="81">
        <v>103</v>
      </c>
      <c r="H1219" s="81">
        <v>103</v>
      </c>
      <c r="I1219" s="80" t="s">
        <v>4800</v>
      </c>
      <c r="L1219" s="3">
        <f>VLOOKUP(C1219,Securities!A:D,4,FALSE)</f>
        <v>5</v>
      </c>
      <c r="M1219" s="3" t="str">
        <f>VLOOKUP(C1219,Securities!A:B,2,FALSE)</f>
        <v>XS0776121062 Corp</v>
      </c>
      <c r="O1219" s="3">
        <f t="shared" si="19"/>
        <v>270000</v>
      </c>
    </row>
    <row r="1220" spans="1:15" x14ac:dyDescent="0.25">
      <c r="A1220" s="76">
        <v>43053</v>
      </c>
      <c r="B1220" s="77" t="s">
        <v>5488</v>
      </c>
      <c r="C1220" s="77" t="s">
        <v>4848</v>
      </c>
      <c r="D1220" s="77" t="s">
        <v>511</v>
      </c>
      <c r="E1220" s="78">
        <v>11300</v>
      </c>
      <c r="F1220" s="77" t="s">
        <v>4810</v>
      </c>
      <c r="G1220" s="78">
        <v>623.64053999999999</v>
      </c>
      <c r="H1220" s="78">
        <v>11.003861000000001</v>
      </c>
      <c r="I1220" s="77" t="s">
        <v>4800</v>
      </c>
      <c r="L1220" s="3">
        <f>VLOOKUP(C1220,Securities!A:D,4,FALSE)</f>
        <v>1</v>
      </c>
      <c r="M1220" s="3" t="str">
        <f>VLOOKUP(C1220,Securities!A:B,2,FALSE)</f>
        <v>NVTK RX Equity</v>
      </c>
      <c r="O1220" s="3">
        <f t="shared" si="19"/>
        <v>11300</v>
      </c>
    </row>
    <row r="1221" spans="1:15" x14ac:dyDescent="0.25">
      <c r="A1221" s="79">
        <v>43053</v>
      </c>
      <c r="B1221" s="80" t="s">
        <v>5488</v>
      </c>
      <c r="C1221" s="80" t="s">
        <v>4821</v>
      </c>
      <c r="D1221" s="80" t="s">
        <v>42</v>
      </c>
      <c r="E1221" s="81">
        <v>11540</v>
      </c>
      <c r="F1221" s="80" t="s">
        <v>4799</v>
      </c>
      <c r="G1221" s="81">
        <v>668.10409600000003</v>
      </c>
      <c r="H1221" s="81">
        <v>10.735200000000001</v>
      </c>
      <c r="I1221" s="80" t="s">
        <v>4800</v>
      </c>
      <c r="L1221" s="3">
        <f>VLOOKUP(C1221,Securities!A:D,4,FALSE)</f>
        <v>1</v>
      </c>
      <c r="M1221" s="3" t="str">
        <f>VLOOKUP(C1221,Securities!A:B,2,FALSE)</f>
        <v>POLY LN Equity</v>
      </c>
      <c r="O1221" s="3">
        <f t="shared" si="19"/>
        <v>11540</v>
      </c>
    </row>
    <row r="1222" spans="1:15" x14ac:dyDescent="0.25">
      <c r="A1222" s="76">
        <v>43053</v>
      </c>
      <c r="B1222" s="77" t="s">
        <v>5488</v>
      </c>
      <c r="C1222" s="77" t="s">
        <v>4834</v>
      </c>
      <c r="D1222" s="77" t="s">
        <v>51</v>
      </c>
      <c r="E1222" s="78">
        <v>3050</v>
      </c>
      <c r="F1222" s="77" t="s">
        <v>4825</v>
      </c>
      <c r="G1222" s="78">
        <v>936.06356400000004</v>
      </c>
      <c r="H1222" s="78">
        <v>16.2</v>
      </c>
      <c r="I1222" s="77" t="s">
        <v>4800</v>
      </c>
      <c r="L1222" s="3">
        <f>VLOOKUP(C1222,Securities!A:D,4,FALSE)</f>
        <v>1</v>
      </c>
      <c r="M1222" s="3" t="str">
        <f>VLOOKUP(C1222,Securities!A:B,2,FALSE)</f>
        <v>QIWI US Equity</v>
      </c>
      <c r="O1222" s="3">
        <f t="shared" ref="O1222:O1285" si="20">SUMIFS(E:E,C:C,C1222,B:B,B1222)</f>
        <v>3050</v>
      </c>
    </row>
    <row r="1223" spans="1:15" x14ac:dyDescent="0.25">
      <c r="A1223" s="79">
        <v>43053</v>
      </c>
      <c r="B1223" s="80" t="s">
        <v>5488</v>
      </c>
      <c r="C1223" s="80" t="s">
        <v>4851</v>
      </c>
      <c r="D1223" s="80" t="s">
        <v>4744</v>
      </c>
      <c r="E1223" s="81">
        <v>200000</v>
      </c>
      <c r="F1223" s="80" t="s">
        <v>4806</v>
      </c>
      <c r="G1223" s="81">
        <v>101.13</v>
      </c>
      <c r="H1223" s="81">
        <v>101.13</v>
      </c>
      <c r="I1223" s="80" t="s">
        <v>4800</v>
      </c>
      <c r="L1223" s="3">
        <f>VLOOKUP(C1223,Securities!A:D,4,FALSE)</f>
        <v>5</v>
      </c>
      <c r="M1223" s="3" t="str">
        <f>VLOOKUP(C1223,Securities!A:B,2,FALSE)</f>
        <v>XS1032750165 Corp</v>
      </c>
      <c r="O1223" s="3">
        <f t="shared" si="20"/>
        <v>200000</v>
      </c>
    </row>
    <row r="1224" spans="1:15" x14ac:dyDescent="0.25">
      <c r="A1224" s="76">
        <v>43053</v>
      </c>
      <c r="B1224" s="77" t="s">
        <v>5488</v>
      </c>
      <c r="C1224" s="77" t="s">
        <v>4927</v>
      </c>
      <c r="D1224" s="77" t="s">
        <v>4928</v>
      </c>
      <c r="E1224" s="78">
        <v>7600</v>
      </c>
      <c r="F1224" s="77" t="s">
        <v>4898</v>
      </c>
      <c r="G1224" s="78">
        <v>892.46028200000001</v>
      </c>
      <c r="H1224" s="78">
        <v>15.34605</v>
      </c>
      <c r="I1224" s="77" t="s">
        <v>4800</v>
      </c>
      <c r="L1224" s="3">
        <f>VLOOKUP(C1224,Securities!A:D,4,FALSE)</f>
        <v>1</v>
      </c>
      <c r="M1224" s="3" t="str">
        <f>VLOOKUP(C1224,Securities!A:B,2,FALSE)</f>
        <v>SX7EEX GY Equity</v>
      </c>
      <c r="O1224" s="3">
        <f t="shared" si="20"/>
        <v>7600</v>
      </c>
    </row>
    <row r="1225" spans="1:15" x14ac:dyDescent="0.25">
      <c r="A1225" s="79">
        <v>43053</v>
      </c>
      <c r="B1225" s="80" t="s">
        <v>5488</v>
      </c>
      <c r="C1225" s="80" t="s">
        <v>5489</v>
      </c>
      <c r="D1225" s="80" t="s">
        <v>5490</v>
      </c>
      <c r="E1225" s="81">
        <v>3150</v>
      </c>
      <c r="F1225" s="80" t="s">
        <v>4825</v>
      </c>
      <c r="G1225" s="81">
        <v>915.86308199999996</v>
      </c>
      <c r="H1225" s="81">
        <v>15.8504</v>
      </c>
      <c r="I1225" s="80" t="s">
        <v>4800</v>
      </c>
      <c r="L1225" s="3">
        <f>VLOOKUP(C1225,Securities!A:D,4,FALSE)</f>
        <v>1</v>
      </c>
      <c r="M1225" s="3" t="str">
        <f>VLOOKUP(C1225,Securities!A:B,2,FALSE)</f>
        <v>TEVA US Equity</v>
      </c>
      <c r="O1225" s="3">
        <f t="shared" si="20"/>
        <v>3150</v>
      </c>
    </row>
    <row r="1226" spans="1:15" x14ac:dyDescent="0.25">
      <c r="A1226" s="76">
        <v>43053</v>
      </c>
      <c r="B1226" s="77" t="s">
        <v>5488</v>
      </c>
      <c r="C1226" s="77" t="s">
        <v>4824</v>
      </c>
      <c r="D1226" s="77" t="s">
        <v>4674</v>
      </c>
      <c r="E1226" s="78">
        <v>38500</v>
      </c>
      <c r="F1226" s="77" t="s">
        <v>4825</v>
      </c>
      <c r="G1226" s="78">
        <v>0</v>
      </c>
      <c r="H1226" s="78">
        <v>0</v>
      </c>
      <c r="I1226" s="77" t="s">
        <v>4800</v>
      </c>
      <c r="L1226" s="3">
        <f>VLOOKUP(C1226,Securities!A:D,4,FALSE)</f>
        <v>1</v>
      </c>
      <c r="M1226" s="3" t="str">
        <f>VLOOKUP(C1226,Securities!A:B,2,FALSE)</f>
        <v>VEON US Equity</v>
      </c>
      <c r="O1226" s="3">
        <f t="shared" si="20"/>
        <v>38500</v>
      </c>
    </row>
    <row r="1227" spans="1:15" x14ac:dyDescent="0.25">
      <c r="A1227" s="79">
        <v>43053</v>
      </c>
      <c r="B1227" s="80" t="s">
        <v>5491</v>
      </c>
      <c r="C1227" s="80" t="s">
        <v>4805</v>
      </c>
      <c r="D1227" s="80" t="s">
        <v>31</v>
      </c>
      <c r="E1227" s="81">
        <v>200000</v>
      </c>
      <c r="F1227" s="80" t="s">
        <v>4806</v>
      </c>
      <c r="G1227" s="81">
        <v>174.52496199999999</v>
      </c>
      <c r="H1227" s="81">
        <v>174.52496199999999</v>
      </c>
      <c r="I1227" s="80" t="s">
        <v>4800</v>
      </c>
      <c r="L1227" s="3">
        <f>VLOOKUP(C1227,Securities!A:D,4,FALSE)</f>
        <v>5</v>
      </c>
      <c r="M1227" s="3" t="str">
        <f>VLOOKUP(C1227,Securities!A:B,2,FALSE)</f>
        <v>TT343269 Corp</v>
      </c>
      <c r="O1227" s="3">
        <f t="shared" si="20"/>
        <v>200000</v>
      </c>
    </row>
    <row r="1228" spans="1:15" x14ac:dyDescent="0.25">
      <c r="A1228" s="76">
        <v>43053</v>
      </c>
      <c r="B1228" s="77" t="s">
        <v>5491</v>
      </c>
      <c r="C1228" s="77" t="s">
        <v>4839</v>
      </c>
      <c r="D1228" s="77" t="s">
        <v>4840</v>
      </c>
      <c r="E1228" s="78">
        <v>100000</v>
      </c>
      <c r="F1228" s="77" t="s">
        <v>4838</v>
      </c>
      <c r="G1228" s="78">
        <v>100</v>
      </c>
      <c r="H1228" s="78">
        <v>100</v>
      </c>
      <c r="I1228" s="77" t="s">
        <v>4800</v>
      </c>
      <c r="L1228" s="3">
        <f>VLOOKUP(C1228,Securities!A:D,4,FALSE)</f>
        <v>5</v>
      </c>
      <c r="M1228" s="3" t="str">
        <f>VLOOKUP(C1228,Securities!A:B,2,FALSE)</f>
        <v>XS1513271418 Corp</v>
      </c>
      <c r="O1228" s="3">
        <f t="shared" si="20"/>
        <v>100000</v>
      </c>
    </row>
    <row r="1229" spans="1:15" x14ac:dyDescent="0.25">
      <c r="A1229" s="79">
        <v>43053</v>
      </c>
      <c r="B1229" s="80" t="s">
        <v>5491</v>
      </c>
      <c r="C1229" s="80" t="s">
        <v>5189</v>
      </c>
      <c r="D1229" s="80" t="s">
        <v>4741</v>
      </c>
      <c r="E1229" s="81">
        <v>200000</v>
      </c>
      <c r="F1229" s="80" t="s">
        <v>4806</v>
      </c>
      <c r="G1229" s="81">
        <v>110.61</v>
      </c>
      <c r="H1229" s="81">
        <v>110.61</v>
      </c>
      <c r="I1229" s="80" t="s">
        <v>4800</v>
      </c>
      <c r="L1229" s="3">
        <f>VLOOKUP(C1229,Securities!A:D,4,FALSE)</f>
        <v>5</v>
      </c>
      <c r="M1229" s="3" t="str">
        <f>VLOOKUP(C1229,Securities!A:B,2,FALSE)</f>
        <v>XS0290580595 Corp</v>
      </c>
      <c r="O1229" s="3">
        <f t="shared" si="20"/>
        <v>200000</v>
      </c>
    </row>
    <row r="1230" spans="1:15" x14ac:dyDescent="0.25">
      <c r="A1230" s="76">
        <v>43053</v>
      </c>
      <c r="B1230" s="77" t="s">
        <v>5491</v>
      </c>
      <c r="C1230" s="77" t="s">
        <v>4811</v>
      </c>
      <c r="D1230" s="77" t="s">
        <v>4659</v>
      </c>
      <c r="E1230" s="78">
        <v>35800</v>
      </c>
      <c r="F1230" s="77" t="s">
        <v>4799</v>
      </c>
      <c r="G1230" s="78">
        <v>103.13939999999999</v>
      </c>
      <c r="H1230" s="78">
        <v>1.791504</v>
      </c>
      <c r="I1230" s="77" t="s">
        <v>4800</v>
      </c>
      <c r="L1230" s="3">
        <f>VLOOKUP(C1230,Securities!A:D,4,FALSE)</f>
        <v>1</v>
      </c>
      <c r="M1230" s="3" t="str">
        <f>VLOOKUP(C1230,Securities!A:B,2,FALSE)</f>
        <v>HGM LN Equity</v>
      </c>
      <c r="O1230" s="3">
        <f t="shared" si="20"/>
        <v>35800</v>
      </c>
    </row>
    <row r="1231" spans="1:15" x14ac:dyDescent="0.25">
      <c r="A1231" s="79">
        <v>43053</v>
      </c>
      <c r="B1231" s="80" t="s">
        <v>5491</v>
      </c>
      <c r="C1231" s="80" t="s">
        <v>4819</v>
      </c>
      <c r="D1231" s="80" t="s">
        <v>4820</v>
      </c>
      <c r="E1231" s="81">
        <v>200000</v>
      </c>
      <c r="F1231" s="80" t="s">
        <v>4806</v>
      </c>
      <c r="G1231" s="81">
        <v>95.515000000000001</v>
      </c>
      <c r="H1231" s="81">
        <v>95.515000000000001</v>
      </c>
      <c r="I1231" s="80" t="s">
        <v>4800</v>
      </c>
      <c r="L1231" s="3">
        <f>VLOOKUP(C1231,Securities!A:D,4,FALSE)</f>
        <v>5</v>
      </c>
      <c r="M1231" s="3" t="str">
        <f>VLOOKUP(C1231,Securities!A:B,2,FALSE)</f>
        <v>XS0776121062 Corp</v>
      </c>
      <c r="O1231" s="3">
        <f t="shared" si="20"/>
        <v>200000</v>
      </c>
    </row>
    <row r="1232" spans="1:15" x14ac:dyDescent="0.25">
      <c r="A1232" s="76">
        <v>43053</v>
      </c>
      <c r="B1232" s="77" t="s">
        <v>5491</v>
      </c>
      <c r="C1232" s="77" t="s">
        <v>4922</v>
      </c>
      <c r="D1232" s="77" t="s">
        <v>4923</v>
      </c>
      <c r="E1232" s="78">
        <v>231</v>
      </c>
      <c r="F1232" s="77" t="s">
        <v>4804</v>
      </c>
      <c r="G1232" s="78">
        <v>6207.8753370000004</v>
      </c>
      <c r="H1232" s="78">
        <v>107.9</v>
      </c>
      <c r="I1232" s="77" t="s">
        <v>4800</v>
      </c>
      <c r="L1232" s="3">
        <f>VLOOKUP(C1232,Securities!A:D,4,FALSE)</f>
        <v>1</v>
      </c>
      <c r="M1232" s="3" t="str">
        <f>VLOOKUP(C1232,Securities!A:B,2,FALSE)</f>
        <v>NVTK LI Equity</v>
      </c>
      <c r="O1232" s="3">
        <f t="shared" si="20"/>
        <v>231</v>
      </c>
    </row>
    <row r="1233" spans="1:15" x14ac:dyDescent="0.25">
      <c r="A1233" s="79">
        <v>43053</v>
      </c>
      <c r="B1233" s="80" t="s">
        <v>5491</v>
      </c>
      <c r="C1233" s="80" t="s">
        <v>4851</v>
      </c>
      <c r="D1233" s="80" t="s">
        <v>4744</v>
      </c>
      <c r="E1233" s="81">
        <v>200000</v>
      </c>
      <c r="F1233" s="80" t="s">
        <v>4806</v>
      </c>
      <c r="G1233" s="81">
        <v>101.375</v>
      </c>
      <c r="H1233" s="81">
        <v>101.375</v>
      </c>
      <c r="I1233" s="80" t="s">
        <v>4800</v>
      </c>
      <c r="L1233" s="3">
        <f>VLOOKUP(C1233,Securities!A:D,4,FALSE)</f>
        <v>5</v>
      </c>
      <c r="M1233" s="3" t="str">
        <f>VLOOKUP(C1233,Securities!A:B,2,FALSE)</f>
        <v>XS1032750165 Corp</v>
      </c>
      <c r="O1233" s="3">
        <f t="shared" si="20"/>
        <v>200000</v>
      </c>
    </row>
    <row r="1234" spans="1:15" x14ac:dyDescent="0.25">
      <c r="A1234" s="76">
        <v>43053</v>
      </c>
      <c r="B1234" s="77" t="s">
        <v>5491</v>
      </c>
      <c r="C1234" s="77" t="s">
        <v>4890</v>
      </c>
      <c r="D1234" s="77" t="s">
        <v>886</v>
      </c>
      <c r="E1234" s="78">
        <v>578000</v>
      </c>
      <c r="F1234" s="77" t="s">
        <v>4810</v>
      </c>
      <c r="G1234" s="78">
        <v>2.4649999999999999</v>
      </c>
      <c r="H1234" s="78">
        <v>4.2844E-2</v>
      </c>
      <c r="I1234" s="77" t="s">
        <v>4800</v>
      </c>
      <c r="L1234" s="3">
        <f>VLOOKUP(C1234,Securities!A:D,4,FALSE)</f>
        <v>1</v>
      </c>
      <c r="M1234" s="3" t="str">
        <f>VLOOKUP(C1234,Securities!A:B,2,FALSE)</f>
        <v>UPRO RX Equity</v>
      </c>
      <c r="O1234" s="3">
        <f t="shared" si="20"/>
        <v>578000</v>
      </c>
    </row>
    <row r="1235" spans="1:15" x14ac:dyDescent="0.25">
      <c r="A1235" s="79">
        <v>43053</v>
      </c>
      <c r="B1235" s="80" t="s">
        <v>5492</v>
      </c>
      <c r="C1235" s="80" t="s">
        <v>5493</v>
      </c>
      <c r="D1235" s="80" t="s">
        <v>948</v>
      </c>
      <c r="E1235" s="81">
        <v>9960</v>
      </c>
      <c r="F1235" s="80" t="s">
        <v>4974</v>
      </c>
      <c r="G1235" s="81">
        <v>0</v>
      </c>
      <c r="H1235" s="81">
        <v>0</v>
      </c>
      <c r="I1235" s="80" t="s">
        <v>4800</v>
      </c>
      <c r="L1235" s="3">
        <f>VLOOKUP(C1235,Securities!A:D,4,FALSE)</f>
        <v>5</v>
      </c>
      <c r="M1235" s="3" t="str">
        <f>VLOOKUP(C1235,Securities!A:B,2,FALSE)</f>
        <v>RU000A0JS3W6 Corp</v>
      </c>
      <c r="O1235" s="3">
        <f t="shared" si="20"/>
        <v>9960</v>
      </c>
    </row>
    <row r="1236" spans="1:15" x14ac:dyDescent="0.25">
      <c r="A1236" s="76">
        <v>43053</v>
      </c>
      <c r="B1236" s="77" t="s">
        <v>5492</v>
      </c>
      <c r="C1236" s="77" t="s">
        <v>5331</v>
      </c>
      <c r="D1236" s="77" t="s">
        <v>960</v>
      </c>
      <c r="E1236" s="78">
        <v>10390</v>
      </c>
      <c r="F1236" s="77" t="s">
        <v>4974</v>
      </c>
      <c r="G1236" s="78">
        <v>0</v>
      </c>
      <c r="H1236" s="78">
        <v>0</v>
      </c>
      <c r="I1236" s="77" t="s">
        <v>4800</v>
      </c>
      <c r="L1236" s="3">
        <f>VLOOKUP(C1236,Securities!A:D,4,FALSE)</f>
        <v>5</v>
      </c>
      <c r="M1236" s="3" t="str">
        <f>VLOOKUP(C1236,Securities!A:B,2,FALSE)</f>
        <v>RU000A0JTYA5 Corp</v>
      </c>
      <c r="O1236" s="3">
        <f t="shared" si="20"/>
        <v>10390</v>
      </c>
    </row>
    <row r="1237" spans="1:15" x14ac:dyDescent="0.25">
      <c r="A1237" s="79">
        <v>43053</v>
      </c>
      <c r="B1237" s="80" t="s">
        <v>5492</v>
      </c>
      <c r="C1237" s="80" t="s">
        <v>5494</v>
      </c>
      <c r="D1237" s="80" t="s">
        <v>1002</v>
      </c>
      <c r="E1237" s="81">
        <v>11430</v>
      </c>
      <c r="F1237" s="80" t="s">
        <v>4974</v>
      </c>
      <c r="G1237" s="81">
        <v>0</v>
      </c>
      <c r="H1237" s="81">
        <v>0</v>
      </c>
      <c r="I1237" s="80" t="s">
        <v>4800</v>
      </c>
      <c r="L1237" s="3">
        <f>VLOOKUP(C1237,Securities!A:D,4,FALSE)</f>
        <v>5</v>
      </c>
      <c r="M1237" s="3" t="str">
        <f>VLOOKUP(C1237,Securities!A:B,2,FALSE)</f>
        <v>RU000A0GN9A7 Corp</v>
      </c>
      <c r="O1237" s="3">
        <f t="shared" si="20"/>
        <v>11430</v>
      </c>
    </row>
    <row r="1238" spans="1:15" x14ac:dyDescent="0.25">
      <c r="A1238" s="76">
        <v>43053</v>
      </c>
      <c r="B1238" s="77" t="s">
        <v>5492</v>
      </c>
      <c r="C1238" s="77" t="s">
        <v>5495</v>
      </c>
      <c r="D1238" s="77" t="s">
        <v>1006</v>
      </c>
      <c r="E1238" s="78">
        <v>11325</v>
      </c>
      <c r="F1238" s="77" t="s">
        <v>4974</v>
      </c>
      <c r="G1238" s="78">
        <v>0</v>
      </c>
      <c r="H1238" s="78">
        <v>0</v>
      </c>
      <c r="I1238" s="77" t="s">
        <v>4800</v>
      </c>
      <c r="L1238" s="3">
        <f>VLOOKUP(C1238,Securities!A:D,4,FALSE)</f>
        <v>5</v>
      </c>
      <c r="M1238" s="3" t="str">
        <f>VLOOKUP(C1238,Securities!A:B,2,FALSE)</f>
        <v>RU000A0JPLH5 Corp</v>
      </c>
      <c r="O1238" s="3">
        <f t="shared" si="20"/>
        <v>11325</v>
      </c>
    </row>
    <row r="1239" spans="1:15" x14ac:dyDescent="0.25">
      <c r="A1239" s="79">
        <v>43053</v>
      </c>
      <c r="B1239" s="80" t="s">
        <v>5492</v>
      </c>
      <c r="C1239" s="80" t="s">
        <v>4809</v>
      </c>
      <c r="D1239" s="80" t="s">
        <v>30</v>
      </c>
      <c r="E1239" s="81">
        <v>19100</v>
      </c>
      <c r="F1239" s="80" t="s">
        <v>4810</v>
      </c>
      <c r="G1239" s="81">
        <v>130.9</v>
      </c>
      <c r="H1239" s="81">
        <v>2.2711489999999999</v>
      </c>
      <c r="I1239" s="80" t="s">
        <v>4800</v>
      </c>
      <c r="L1239" s="3">
        <f>VLOOKUP(C1239,Securities!A:D,4,FALSE)</f>
        <v>1</v>
      </c>
      <c r="M1239" s="3" t="str">
        <f>VLOOKUP(C1239,Securities!A:B,2,FALSE)</f>
        <v>GAZP RX Equity</v>
      </c>
      <c r="O1239" s="3">
        <f t="shared" si="20"/>
        <v>19100</v>
      </c>
    </row>
    <row r="1240" spans="1:15" x14ac:dyDescent="0.25">
      <c r="A1240" s="76">
        <v>43053</v>
      </c>
      <c r="B1240" s="77" t="s">
        <v>5492</v>
      </c>
      <c r="C1240" s="77" t="s">
        <v>5496</v>
      </c>
      <c r="D1240" s="77" t="s">
        <v>1763</v>
      </c>
      <c r="E1240" s="78">
        <v>2500</v>
      </c>
      <c r="F1240" s="77" t="s">
        <v>4814</v>
      </c>
      <c r="G1240" s="78">
        <v>0</v>
      </c>
      <c r="H1240" s="78">
        <v>0</v>
      </c>
      <c r="I1240" s="77" t="s">
        <v>4800</v>
      </c>
      <c r="L1240" s="3">
        <f>VLOOKUP(C1240,Securities!A:D,4,FALSE)</f>
        <v>5</v>
      </c>
      <c r="M1240" s="3" t="str">
        <f>VLOOKUP(C1240,Securities!A:B,2,FALSE)</f>
        <v>AM562901 Corp</v>
      </c>
      <c r="O1240" s="3">
        <f t="shared" si="20"/>
        <v>2500</v>
      </c>
    </row>
    <row r="1241" spans="1:15" x14ac:dyDescent="0.25">
      <c r="A1241" s="79">
        <v>43053</v>
      </c>
      <c r="B1241" s="80" t="s">
        <v>5492</v>
      </c>
      <c r="C1241" s="80" t="s">
        <v>5083</v>
      </c>
      <c r="D1241" s="80" t="s">
        <v>1835</v>
      </c>
      <c r="E1241" s="81">
        <v>7500</v>
      </c>
      <c r="F1241" s="80" t="s">
        <v>4814</v>
      </c>
      <c r="G1241" s="81">
        <v>0</v>
      </c>
      <c r="H1241" s="81">
        <v>0</v>
      </c>
      <c r="I1241" s="80" t="s">
        <v>4800</v>
      </c>
      <c r="L1241" s="3">
        <f>VLOOKUP(C1241,Securities!A:D,4,FALSE)</f>
        <v>5</v>
      </c>
      <c r="M1241" s="3" t="str">
        <f>VLOOKUP(C1241,Securities!A:B,2,FALSE)</f>
        <v>AM281135 Corp</v>
      </c>
      <c r="O1241" s="3">
        <f t="shared" si="20"/>
        <v>7500</v>
      </c>
    </row>
    <row r="1242" spans="1:15" x14ac:dyDescent="0.25">
      <c r="A1242" s="76">
        <v>43053</v>
      </c>
      <c r="B1242" s="77" t="s">
        <v>5492</v>
      </c>
      <c r="C1242" s="77" t="s">
        <v>4812</v>
      </c>
      <c r="D1242" s="77" t="s">
        <v>4675</v>
      </c>
      <c r="E1242" s="78">
        <v>2500</v>
      </c>
      <c r="F1242" s="77" t="s">
        <v>4804</v>
      </c>
      <c r="G1242" s="78">
        <v>583.51405599999998</v>
      </c>
      <c r="H1242" s="78">
        <v>10.142143000000001</v>
      </c>
      <c r="I1242" s="77" t="s">
        <v>4800</v>
      </c>
      <c r="L1242" s="3">
        <f>VLOOKUP(C1242,Securities!A:D,4,FALSE)</f>
        <v>1</v>
      </c>
      <c r="M1242" s="3" t="str">
        <f>VLOOKUP(C1242,Securities!A:B,2,FALSE)</f>
        <v>KMG LI Equity</v>
      </c>
      <c r="O1242" s="3">
        <f t="shared" si="20"/>
        <v>2500</v>
      </c>
    </row>
    <row r="1243" spans="1:15" x14ac:dyDescent="0.25">
      <c r="A1243" s="79">
        <v>43053</v>
      </c>
      <c r="B1243" s="80" t="s">
        <v>5492</v>
      </c>
      <c r="C1243" s="80" t="s">
        <v>5147</v>
      </c>
      <c r="D1243" s="80" t="s">
        <v>5148</v>
      </c>
      <c r="E1243" s="81">
        <v>473</v>
      </c>
      <c r="F1243" s="80" t="s">
        <v>4825</v>
      </c>
      <c r="G1243" s="81">
        <v>3049.3689639999998</v>
      </c>
      <c r="H1243" s="81">
        <v>53.001531999999997</v>
      </c>
      <c r="I1243" s="80" t="s">
        <v>4800</v>
      </c>
      <c r="L1243" s="3">
        <f>VLOOKUP(C1243,Securities!A:D,4,FALSE)</f>
        <v>1</v>
      </c>
      <c r="M1243" s="3" t="str">
        <f>VLOOKUP(C1243,Securities!A:B,2,FALSE)</f>
        <v>LKOD LI Equity</v>
      </c>
      <c r="O1243" s="3">
        <f t="shared" si="20"/>
        <v>473</v>
      </c>
    </row>
    <row r="1244" spans="1:15" x14ac:dyDescent="0.25">
      <c r="A1244" s="76">
        <v>43053</v>
      </c>
      <c r="B1244" s="77" t="s">
        <v>5492</v>
      </c>
      <c r="C1244" s="77" t="s">
        <v>4818</v>
      </c>
      <c r="D1244" s="77" t="s">
        <v>494</v>
      </c>
      <c r="E1244" s="78">
        <v>71420</v>
      </c>
      <c r="F1244" s="77" t="s">
        <v>4810</v>
      </c>
      <c r="G1244" s="78">
        <v>0</v>
      </c>
      <c r="H1244" s="78">
        <v>0</v>
      </c>
      <c r="I1244" s="77" t="s">
        <v>4800</v>
      </c>
      <c r="L1244" s="3">
        <f>VLOOKUP(C1244,Securities!A:D,4,FALSE)</f>
        <v>1</v>
      </c>
      <c r="M1244" s="3" t="str">
        <f>VLOOKUP(C1244,Securities!A:B,2,FALSE)</f>
        <v>NKNCP RX Equity</v>
      </c>
      <c r="O1244" s="3">
        <f t="shared" si="20"/>
        <v>71420</v>
      </c>
    </row>
    <row r="1245" spans="1:15" x14ac:dyDescent="0.25">
      <c r="A1245" s="79">
        <v>43053</v>
      </c>
      <c r="B1245" s="80" t="s">
        <v>5492</v>
      </c>
      <c r="C1245" s="80" t="s">
        <v>4821</v>
      </c>
      <c r="D1245" s="80" t="s">
        <v>42</v>
      </c>
      <c r="E1245" s="81">
        <v>4400</v>
      </c>
      <c r="F1245" s="80" t="s">
        <v>4799</v>
      </c>
      <c r="G1245" s="81">
        <v>683.29109000000005</v>
      </c>
      <c r="H1245" s="81">
        <v>11.468714</v>
      </c>
      <c r="I1245" s="80" t="s">
        <v>4800</v>
      </c>
      <c r="L1245" s="3">
        <f>VLOOKUP(C1245,Securities!A:D,4,FALSE)</f>
        <v>1</v>
      </c>
      <c r="M1245" s="3" t="str">
        <f>VLOOKUP(C1245,Securities!A:B,2,FALSE)</f>
        <v>POLY LN Equity</v>
      </c>
      <c r="O1245" s="3">
        <f t="shared" si="20"/>
        <v>4400</v>
      </c>
    </row>
    <row r="1246" spans="1:15" x14ac:dyDescent="0.25">
      <c r="A1246" s="76">
        <v>43053</v>
      </c>
      <c r="B1246" s="77" t="s">
        <v>5492</v>
      </c>
      <c r="C1246" s="77" t="s">
        <v>4917</v>
      </c>
      <c r="D1246" s="77" t="s">
        <v>742</v>
      </c>
      <c r="E1246" s="78">
        <v>8860</v>
      </c>
      <c r="F1246" s="77" t="s">
        <v>4810</v>
      </c>
      <c r="G1246" s="78">
        <v>67.826432999999994</v>
      </c>
      <c r="H1246" s="78">
        <v>1.167422</v>
      </c>
      <c r="I1246" s="77" t="s">
        <v>4800</v>
      </c>
      <c r="L1246" s="3">
        <f>VLOOKUP(C1246,Securities!A:D,4,FALSE)</f>
        <v>1</v>
      </c>
      <c r="M1246" s="3" t="str">
        <f>VLOOKUP(C1246,Securities!A:B,2,FALSE)</f>
        <v>TRMK RX Equity</v>
      </c>
      <c r="O1246" s="3">
        <f t="shared" si="20"/>
        <v>8860</v>
      </c>
    </row>
    <row r="1247" spans="1:15" x14ac:dyDescent="0.25">
      <c r="A1247" s="79">
        <v>43053</v>
      </c>
      <c r="B1247" s="80" t="s">
        <v>5492</v>
      </c>
      <c r="C1247" s="80" t="s">
        <v>4890</v>
      </c>
      <c r="D1247" s="80" t="s">
        <v>886</v>
      </c>
      <c r="E1247" s="81">
        <v>590000</v>
      </c>
      <c r="F1247" s="80" t="s">
        <v>4810</v>
      </c>
      <c r="G1247" s="81">
        <v>2.400118</v>
      </c>
      <c r="H1247" s="81">
        <v>4.1317E-2</v>
      </c>
      <c r="I1247" s="80" t="s">
        <v>4800</v>
      </c>
      <c r="L1247" s="3">
        <f>VLOOKUP(C1247,Securities!A:D,4,FALSE)</f>
        <v>1</v>
      </c>
      <c r="M1247" s="3" t="str">
        <f>VLOOKUP(C1247,Securities!A:B,2,FALSE)</f>
        <v>UPRO RX Equity</v>
      </c>
      <c r="O1247" s="3">
        <f t="shared" si="20"/>
        <v>590000</v>
      </c>
    </row>
    <row r="1248" spans="1:15" x14ac:dyDescent="0.25">
      <c r="A1248" s="76">
        <v>43053</v>
      </c>
      <c r="B1248" s="77" t="s">
        <v>5497</v>
      </c>
      <c r="C1248" s="77" t="s">
        <v>5035</v>
      </c>
      <c r="D1248" s="77" t="s">
        <v>5036</v>
      </c>
      <c r="E1248" s="78">
        <v>200000</v>
      </c>
      <c r="F1248" s="77" t="s">
        <v>4806</v>
      </c>
      <c r="G1248" s="78">
        <v>100.6</v>
      </c>
      <c r="H1248" s="78">
        <v>100.6</v>
      </c>
      <c r="I1248" s="77" t="s">
        <v>4800</v>
      </c>
      <c r="L1248" s="3">
        <f>VLOOKUP(C1248,Securities!A:D,4,FALSE)</f>
        <v>5</v>
      </c>
      <c r="M1248" s="3" t="str">
        <f>VLOOKUP(C1248,Securities!A:B,2,FALSE)</f>
        <v>XS0579851949 Corp</v>
      </c>
      <c r="O1248" s="3">
        <f t="shared" si="20"/>
        <v>200000</v>
      </c>
    </row>
    <row r="1249" spans="1:15" x14ac:dyDescent="0.25">
      <c r="A1249" s="79">
        <v>43053</v>
      </c>
      <c r="B1249" s="80" t="s">
        <v>5497</v>
      </c>
      <c r="C1249" s="80" t="s">
        <v>5182</v>
      </c>
      <c r="D1249" s="80" t="s">
        <v>5183</v>
      </c>
      <c r="E1249" s="81">
        <v>50000</v>
      </c>
      <c r="F1249" s="80" t="s">
        <v>4838</v>
      </c>
      <c r="G1249" s="81">
        <v>100</v>
      </c>
      <c r="H1249" s="81">
        <v>100</v>
      </c>
      <c r="I1249" s="80" t="s">
        <v>4800</v>
      </c>
      <c r="L1249" s="3">
        <f>VLOOKUP(C1249,Securities!A:D,4,FALSE)</f>
        <v>5</v>
      </c>
      <c r="M1249" s="3" t="str">
        <f>VLOOKUP(C1249,Securities!A:B,2,FALSE)</f>
        <v>XS1468264822 Corp</v>
      </c>
      <c r="O1249" s="3">
        <f t="shared" si="20"/>
        <v>50000</v>
      </c>
    </row>
    <row r="1250" spans="1:15" x14ac:dyDescent="0.25">
      <c r="A1250" s="76">
        <v>43053</v>
      </c>
      <c r="B1250" s="77" t="s">
        <v>5497</v>
      </c>
      <c r="C1250" s="77" t="s">
        <v>5173</v>
      </c>
      <c r="D1250" s="77" t="s">
        <v>5174</v>
      </c>
      <c r="E1250" s="78">
        <v>100000</v>
      </c>
      <c r="F1250" s="77" t="s">
        <v>4838</v>
      </c>
      <c r="G1250" s="78">
        <v>100</v>
      </c>
      <c r="H1250" s="78">
        <v>100</v>
      </c>
      <c r="I1250" s="77" t="s">
        <v>4800</v>
      </c>
      <c r="L1250" s="3">
        <f>VLOOKUP(C1250,Securities!A:D,4,FALSE)</f>
        <v>5</v>
      </c>
      <c r="M1250" s="3" t="str">
        <f>VLOOKUP(C1250,Securities!A:B,2,FALSE)</f>
        <v>XS1581926083 Corp</v>
      </c>
      <c r="O1250" s="3">
        <f t="shared" si="20"/>
        <v>100000</v>
      </c>
    </row>
    <row r="1251" spans="1:15" x14ac:dyDescent="0.25">
      <c r="A1251" s="79">
        <v>43053</v>
      </c>
      <c r="B1251" s="80" t="s">
        <v>5497</v>
      </c>
      <c r="C1251" s="80" t="s">
        <v>5043</v>
      </c>
      <c r="D1251" s="80" t="s">
        <v>5044</v>
      </c>
      <c r="E1251" s="81">
        <v>200000</v>
      </c>
      <c r="F1251" s="80" t="s">
        <v>4806</v>
      </c>
      <c r="G1251" s="81">
        <v>99.53</v>
      </c>
      <c r="H1251" s="81">
        <v>99.53</v>
      </c>
      <c r="I1251" s="80" t="s">
        <v>4800</v>
      </c>
      <c r="L1251" s="3">
        <f>VLOOKUP(C1251,Securities!A:D,4,FALSE)</f>
        <v>5</v>
      </c>
      <c r="M1251" s="3" t="str">
        <f>VLOOKUP(C1251,Securities!A:B,2,FALSE)</f>
        <v>XS0547082973 Corp</v>
      </c>
      <c r="O1251" s="3">
        <f t="shared" si="20"/>
        <v>200000</v>
      </c>
    </row>
    <row r="1252" spans="1:15" x14ac:dyDescent="0.25">
      <c r="A1252" s="76">
        <v>43053</v>
      </c>
      <c r="B1252" s="77" t="s">
        <v>5497</v>
      </c>
      <c r="C1252" s="77" t="s">
        <v>5045</v>
      </c>
      <c r="D1252" s="77" t="s">
        <v>5046</v>
      </c>
      <c r="E1252" s="78">
        <v>200000</v>
      </c>
      <c r="F1252" s="77" t="s">
        <v>4806</v>
      </c>
      <c r="G1252" s="78">
        <v>98.5</v>
      </c>
      <c r="H1252" s="78">
        <v>98.5</v>
      </c>
      <c r="I1252" s="77" t="s">
        <v>4800</v>
      </c>
      <c r="L1252" s="3">
        <f>VLOOKUP(C1252,Securities!A:D,4,FALSE)</f>
        <v>5</v>
      </c>
      <c r="M1252" s="3" t="str">
        <f>VLOOKUP(C1252,Securities!A:B,2,FALSE)</f>
        <v>XS1069383856 Corp</v>
      </c>
      <c r="O1252" s="3">
        <f t="shared" si="20"/>
        <v>200000</v>
      </c>
    </row>
    <row r="1253" spans="1:15" x14ac:dyDescent="0.25">
      <c r="A1253" s="79">
        <v>43053</v>
      </c>
      <c r="B1253" s="80" t="s">
        <v>5497</v>
      </c>
      <c r="C1253" s="80" t="s">
        <v>4945</v>
      </c>
      <c r="D1253" s="80" t="s">
        <v>4946</v>
      </c>
      <c r="E1253" s="81">
        <v>200000</v>
      </c>
      <c r="F1253" s="80" t="s">
        <v>4806</v>
      </c>
      <c r="G1253" s="81">
        <v>100.5</v>
      </c>
      <c r="H1253" s="81">
        <v>100.5</v>
      </c>
      <c r="I1253" s="80" t="s">
        <v>4800</v>
      </c>
      <c r="L1253" s="3">
        <f>VLOOKUP(C1253,Securities!A:D,4,FALSE)</f>
        <v>5</v>
      </c>
      <c r="M1253" s="3" t="str">
        <f>VLOOKUP(C1253,Securities!A:B,2,FALSE)</f>
        <v>US456837AE31 Corp</v>
      </c>
      <c r="O1253" s="3">
        <f t="shared" si="20"/>
        <v>200000</v>
      </c>
    </row>
    <row r="1254" spans="1:15" x14ac:dyDescent="0.25">
      <c r="A1254" s="76">
        <v>43053</v>
      </c>
      <c r="B1254" s="77" t="s">
        <v>5497</v>
      </c>
      <c r="C1254" s="77" t="s">
        <v>4861</v>
      </c>
      <c r="D1254" s="77" t="s">
        <v>4862</v>
      </c>
      <c r="E1254" s="78">
        <v>200000</v>
      </c>
      <c r="F1254" s="77" t="s">
        <v>4806</v>
      </c>
      <c r="G1254" s="78">
        <v>104.25</v>
      </c>
      <c r="H1254" s="78">
        <v>104.25</v>
      </c>
      <c r="I1254" s="77" t="s">
        <v>4800</v>
      </c>
      <c r="L1254" s="3">
        <f>VLOOKUP(C1254,Securities!A:D,4,FALSE)</f>
        <v>5</v>
      </c>
      <c r="M1254" s="3" t="str">
        <f>VLOOKUP(C1254,Securities!A:B,2,FALSE)</f>
        <v>USA29866AA70 Corp</v>
      </c>
      <c r="O1254" s="3">
        <f t="shared" si="20"/>
        <v>200000</v>
      </c>
    </row>
    <row r="1255" spans="1:15" x14ac:dyDescent="0.25">
      <c r="A1255" s="79">
        <v>43053</v>
      </c>
      <c r="B1255" s="80" t="s">
        <v>5497</v>
      </c>
      <c r="C1255" s="80" t="s">
        <v>4986</v>
      </c>
      <c r="D1255" s="80" t="s">
        <v>4987</v>
      </c>
      <c r="E1255" s="81">
        <v>200000</v>
      </c>
      <c r="F1255" s="80" t="s">
        <v>4806</v>
      </c>
      <c r="G1255" s="81">
        <v>102</v>
      </c>
      <c r="H1255" s="81">
        <v>102</v>
      </c>
      <c r="I1255" s="80" t="s">
        <v>4800</v>
      </c>
      <c r="L1255" s="3">
        <f>VLOOKUP(C1255,Securities!A:D,4,FALSE)</f>
        <v>5</v>
      </c>
      <c r="M1255" s="3" t="str">
        <f>VLOOKUP(C1255,Securities!A:B,2,FALSE)</f>
        <v>USG9328DAM23 Corp</v>
      </c>
      <c r="O1255" s="3">
        <f t="shared" si="20"/>
        <v>200000</v>
      </c>
    </row>
    <row r="1256" spans="1:15" x14ac:dyDescent="0.25">
      <c r="A1256" s="76">
        <v>43053</v>
      </c>
      <c r="B1256" s="77" t="s">
        <v>5498</v>
      </c>
      <c r="C1256" s="77" t="s">
        <v>5294</v>
      </c>
      <c r="D1256" s="77" t="s">
        <v>5295</v>
      </c>
      <c r="E1256" s="78">
        <v>50000</v>
      </c>
      <c r="F1256" s="77" t="s">
        <v>4838</v>
      </c>
      <c r="G1256" s="78">
        <v>100</v>
      </c>
      <c r="H1256" s="78">
        <v>100</v>
      </c>
      <c r="I1256" s="77" t="s">
        <v>4800</v>
      </c>
      <c r="L1256" s="3">
        <f>VLOOKUP(C1256,Securities!A:D,4,FALSE)</f>
        <v>5</v>
      </c>
      <c r="M1256" s="3" t="str">
        <f>VLOOKUP(C1256,Securities!A:B,2,FALSE)</f>
        <v>CH0355509487 Corp</v>
      </c>
      <c r="O1256" s="3">
        <f t="shared" si="20"/>
        <v>50000</v>
      </c>
    </row>
    <row r="1257" spans="1:15" x14ac:dyDescent="0.25">
      <c r="A1257" s="79">
        <v>43053</v>
      </c>
      <c r="B1257" s="80" t="s">
        <v>5498</v>
      </c>
      <c r="C1257" s="80" t="s">
        <v>5452</v>
      </c>
      <c r="D1257" s="80" t="s">
        <v>5453</v>
      </c>
      <c r="E1257" s="81">
        <v>1</v>
      </c>
      <c r="F1257" s="80" t="s">
        <v>4974</v>
      </c>
      <c r="G1257" s="81">
        <v>101.997</v>
      </c>
      <c r="H1257" s="81">
        <v>101.997</v>
      </c>
      <c r="I1257" s="80" t="s">
        <v>4800</v>
      </c>
      <c r="L1257" s="3">
        <f>VLOOKUP(C1257,Securities!A:D,4,FALSE)</f>
        <v>5</v>
      </c>
      <c r="M1257" s="3" t="str">
        <f>VLOOKUP(C1257,Securities!A:B,2,FALSE)</f>
        <v>RU000A0JXTS9 Corp</v>
      </c>
      <c r="O1257" s="3">
        <f t="shared" si="20"/>
        <v>1</v>
      </c>
    </row>
    <row r="1258" spans="1:15" x14ac:dyDescent="0.25">
      <c r="A1258" s="76">
        <v>43053</v>
      </c>
      <c r="B1258" s="77" t="s">
        <v>5498</v>
      </c>
      <c r="C1258" s="77" t="s">
        <v>4805</v>
      </c>
      <c r="D1258" s="77" t="s">
        <v>31</v>
      </c>
      <c r="E1258" s="78">
        <v>206000</v>
      </c>
      <c r="F1258" s="77" t="s">
        <v>4806</v>
      </c>
      <c r="G1258" s="78">
        <v>176.350728</v>
      </c>
      <c r="H1258" s="78">
        <v>176.350728</v>
      </c>
      <c r="I1258" s="77" t="s">
        <v>4800</v>
      </c>
      <c r="L1258" s="3">
        <f>VLOOKUP(C1258,Securities!A:D,4,FALSE)</f>
        <v>5</v>
      </c>
      <c r="M1258" s="3" t="str">
        <f>VLOOKUP(C1258,Securities!A:B,2,FALSE)</f>
        <v>TT343269 Corp</v>
      </c>
      <c r="O1258" s="3">
        <f t="shared" si="20"/>
        <v>206000</v>
      </c>
    </row>
    <row r="1259" spans="1:15" x14ac:dyDescent="0.25">
      <c r="A1259" s="79">
        <v>43053</v>
      </c>
      <c r="B1259" s="80" t="s">
        <v>5498</v>
      </c>
      <c r="C1259" s="80" t="s">
        <v>4811</v>
      </c>
      <c r="D1259" s="80" t="s">
        <v>4659</v>
      </c>
      <c r="E1259" s="81">
        <v>27800</v>
      </c>
      <c r="F1259" s="80" t="s">
        <v>4799</v>
      </c>
      <c r="G1259" s="81">
        <v>109.254231</v>
      </c>
      <c r="H1259" s="81">
        <v>1.8022</v>
      </c>
      <c r="I1259" s="80" t="s">
        <v>4800</v>
      </c>
      <c r="L1259" s="3">
        <f>VLOOKUP(C1259,Securities!A:D,4,FALSE)</f>
        <v>1</v>
      </c>
      <c r="M1259" s="3" t="str">
        <f>VLOOKUP(C1259,Securities!A:B,2,FALSE)</f>
        <v>HGM LN Equity</v>
      </c>
      <c r="O1259" s="3">
        <f t="shared" si="20"/>
        <v>27800</v>
      </c>
    </row>
    <row r="1260" spans="1:15" x14ac:dyDescent="0.25">
      <c r="A1260" s="76">
        <v>43053</v>
      </c>
      <c r="B1260" s="77" t="s">
        <v>5498</v>
      </c>
      <c r="C1260" s="77" t="s">
        <v>4812</v>
      </c>
      <c r="D1260" s="77" t="s">
        <v>4675</v>
      </c>
      <c r="E1260" s="78">
        <v>2500</v>
      </c>
      <c r="F1260" s="77" t="s">
        <v>4804</v>
      </c>
      <c r="G1260" s="78">
        <v>578.21267</v>
      </c>
      <c r="H1260" s="78">
        <v>10.050000000000001</v>
      </c>
      <c r="I1260" s="77" t="s">
        <v>4800</v>
      </c>
      <c r="L1260" s="3">
        <f>VLOOKUP(C1260,Securities!A:D,4,FALSE)</f>
        <v>1</v>
      </c>
      <c r="M1260" s="3" t="str">
        <f>VLOOKUP(C1260,Securities!A:B,2,FALSE)</f>
        <v>KMG LI Equity</v>
      </c>
      <c r="O1260" s="3">
        <f t="shared" si="20"/>
        <v>2500</v>
      </c>
    </row>
    <row r="1261" spans="1:15" x14ac:dyDescent="0.25">
      <c r="A1261" s="79">
        <v>43053</v>
      </c>
      <c r="B1261" s="80" t="s">
        <v>5498</v>
      </c>
      <c r="C1261" s="80" t="s">
        <v>5147</v>
      </c>
      <c r="D1261" s="80" t="s">
        <v>5148</v>
      </c>
      <c r="E1261" s="81">
        <v>474</v>
      </c>
      <c r="F1261" s="80" t="s">
        <v>4825</v>
      </c>
      <c r="G1261" s="81">
        <v>3021.6646209999999</v>
      </c>
      <c r="H1261" s="81">
        <v>52.52</v>
      </c>
      <c r="I1261" s="80" t="s">
        <v>4800</v>
      </c>
      <c r="L1261" s="3">
        <f>VLOOKUP(C1261,Securities!A:D,4,FALSE)</f>
        <v>1</v>
      </c>
      <c r="M1261" s="3" t="str">
        <f>VLOOKUP(C1261,Securities!A:B,2,FALSE)</f>
        <v>LKOD LI Equity</v>
      </c>
      <c r="O1261" s="3">
        <f t="shared" si="20"/>
        <v>474</v>
      </c>
    </row>
    <row r="1262" spans="1:15" x14ac:dyDescent="0.25">
      <c r="A1262" s="76">
        <v>43053</v>
      </c>
      <c r="B1262" s="77" t="s">
        <v>5498</v>
      </c>
      <c r="C1262" s="77" t="s">
        <v>4922</v>
      </c>
      <c r="D1262" s="77" t="s">
        <v>4923</v>
      </c>
      <c r="E1262" s="78">
        <v>232</v>
      </c>
      <c r="F1262" s="77" t="s">
        <v>4804</v>
      </c>
      <c r="G1262" s="78">
        <v>6207.8753370000004</v>
      </c>
      <c r="H1262" s="78">
        <v>107.9</v>
      </c>
      <c r="I1262" s="77" t="s">
        <v>4800</v>
      </c>
      <c r="L1262" s="3">
        <f>VLOOKUP(C1262,Securities!A:D,4,FALSE)</f>
        <v>1</v>
      </c>
      <c r="M1262" s="3" t="str">
        <f>VLOOKUP(C1262,Securities!A:B,2,FALSE)</f>
        <v>NVTK LI Equity</v>
      </c>
      <c r="O1262" s="3">
        <f t="shared" si="20"/>
        <v>232</v>
      </c>
    </row>
    <row r="1263" spans="1:15" x14ac:dyDescent="0.25">
      <c r="A1263" s="79">
        <v>43053</v>
      </c>
      <c r="B1263" s="80" t="s">
        <v>5498</v>
      </c>
      <c r="C1263" s="80" t="s">
        <v>4849</v>
      </c>
      <c r="D1263" s="80" t="s">
        <v>4850</v>
      </c>
      <c r="E1263" s="81">
        <v>12700</v>
      </c>
      <c r="F1263" s="80" t="s">
        <v>4825</v>
      </c>
      <c r="G1263" s="81">
        <v>236.313355</v>
      </c>
      <c r="H1263" s="81">
        <v>3.9411109999999998</v>
      </c>
      <c r="I1263" s="80" t="s">
        <v>4800</v>
      </c>
      <c r="L1263" s="3">
        <f>VLOOKUP(C1263,Securities!A:D,4,FALSE)</f>
        <v>1</v>
      </c>
      <c r="M1263" s="3" t="str">
        <f>VLOOKUP(C1263,Securities!A:B,2,FALSE)</f>
        <v>OGZD LI Equity</v>
      </c>
      <c r="O1263" s="3">
        <f t="shared" si="20"/>
        <v>12700</v>
      </c>
    </row>
    <row r="1264" spans="1:15" x14ac:dyDescent="0.25">
      <c r="A1264" s="76">
        <v>43053</v>
      </c>
      <c r="B1264" s="77" t="s">
        <v>5498</v>
      </c>
      <c r="C1264" s="77" t="s">
        <v>5024</v>
      </c>
      <c r="D1264" s="77" t="s">
        <v>5025</v>
      </c>
      <c r="E1264" s="78">
        <v>200000</v>
      </c>
      <c r="F1264" s="77" t="s">
        <v>4806</v>
      </c>
      <c r="G1264" s="78">
        <v>100.875</v>
      </c>
      <c r="H1264" s="78">
        <v>100.875</v>
      </c>
      <c r="I1264" s="77" t="s">
        <v>4800</v>
      </c>
      <c r="L1264" s="3">
        <f>VLOOKUP(C1264,Securities!A:D,4,FALSE)</f>
        <v>5</v>
      </c>
      <c r="M1264" s="3" t="str">
        <f>VLOOKUP(C1264,Securities!A:B,2,FALSE)</f>
        <v>XS1405766384 Corp</v>
      </c>
      <c r="O1264" s="3">
        <f t="shared" si="20"/>
        <v>200000</v>
      </c>
    </row>
    <row r="1265" spans="1:15" x14ac:dyDescent="0.25">
      <c r="A1265" s="79">
        <v>43053</v>
      </c>
      <c r="B1265" s="80" t="s">
        <v>5498</v>
      </c>
      <c r="C1265" s="80" t="s">
        <v>4821</v>
      </c>
      <c r="D1265" s="80" t="s">
        <v>42</v>
      </c>
      <c r="E1265" s="81">
        <v>4346</v>
      </c>
      <c r="F1265" s="80" t="s">
        <v>4799</v>
      </c>
      <c r="G1265" s="81">
        <v>678.43047899999999</v>
      </c>
      <c r="H1265" s="81">
        <v>11.521414999999999</v>
      </c>
      <c r="I1265" s="80" t="s">
        <v>4800</v>
      </c>
      <c r="L1265" s="3">
        <f>VLOOKUP(C1265,Securities!A:D,4,FALSE)</f>
        <v>1</v>
      </c>
      <c r="M1265" s="3" t="str">
        <f>VLOOKUP(C1265,Securities!A:B,2,FALSE)</f>
        <v>POLY LN Equity</v>
      </c>
      <c r="O1265" s="3">
        <f t="shared" si="20"/>
        <v>4346</v>
      </c>
    </row>
    <row r="1266" spans="1:15" x14ac:dyDescent="0.25">
      <c r="A1266" s="76">
        <v>43053</v>
      </c>
      <c r="B1266" s="77" t="s">
        <v>5498</v>
      </c>
      <c r="C1266" s="77" t="s">
        <v>4967</v>
      </c>
      <c r="D1266" s="77" t="s">
        <v>4968</v>
      </c>
      <c r="E1266" s="78">
        <v>200000</v>
      </c>
      <c r="F1266" s="77" t="s">
        <v>4806</v>
      </c>
      <c r="G1266" s="78">
        <v>113.875</v>
      </c>
      <c r="H1266" s="78">
        <v>113.875</v>
      </c>
      <c r="I1266" s="77" t="s">
        <v>4800</v>
      </c>
      <c r="L1266" s="3">
        <f>VLOOKUP(C1266,Securities!A:D,4,FALSE)</f>
        <v>5</v>
      </c>
      <c r="M1266" s="3" t="str">
        <f>VLOOKUP(C1266,Securities!A:B,2,FALSE)</f>
        <v>XS0979891925 Corp</v>
      </c>
      <c r="O1266" s="3">
        <f t="shared" si="20"/>
        <v>200000</v>
      </c>
    </row>
    <row r="1267" spans="1:15" x14ac:dyDescent="0.25">
      <c r="A1267" s="79">
        <v>43053</v>
      </c>
      <c r="B1267" s="80" t="s">
        <v>5498</v>
      </c>
      <c r="C1267" s="80" t="s">
        <v>5317</v>
      </c>
      <c r="D1267" s="80" t="s">
        <v>5318</v>
      </c>
      <c r="E1267" s="81">
        <v>200000</v>
      </c>
      <c r="F1267" s="80" t="s">
        <v>4806</v>
      </c>
      <c r="G1267" s="81">
        <v>0</v>
      </c>
      <c r="H1267" s="81">
        <v>0</v>
      </c>
      <c r="I1267" s="80" t="s">
        <v>4800</v>
      </c>
      <c r="L1267" s="3">
        <f>VLOOKUP(C1267,Securities!A:D,4,FALSE)</f>
        <v>5</v>
      </c>
      <c r="M1267" s="3" t="str">
        <f>VLOOKUP(C1267,Securities!A:B,2,FALSE)</f>
        <v>XS0810596832 Corp</v>
      </c>
      <c r="O1267" s="3">
        <f t="shared" si="20"/>
        <v>200000</v>
      </c>
    </row>
    <row r="1268" spans="1:15" x14ac:dyDescent="0.25">
      <c r="A1268" s="76">
        <v>43053</v>
      </c>
      <c r="B1268" s="77" t="s">
        <v>5499</v>
      </c>
      <c r="C1268" s="77" t="s">
        <v>4920</v>
      </c>
      <c r="D1268" s="77" t="s">
        <v>4921</v>
      </c>
      <c r="E1268" s="78">
        <v>3383</v>
      </c>
      <c r="F1268" s="77" t="s">
        <v>4898</v>
      </c>
      <c r="G1268" s="78">
        <v>621.89657199999999</v>
      </c>
      <c r="H1268" s="78">
        <v>10.706313</v>
      </c>
      <c r="I1268" s="77" t="s">
        <v>4800</v>
      </c>
      <c r="L1268" s="3">
        <f>VLOOKUP(C1268,Securities!A:D,4,FALSE)</f>
        <v>1</v>
      </c>
      <c r="M1268" s="3" t="str">
        <f>VLOOKUP(C1268,Securities!A:B,2,FALSE)</f>
        <v>AMLP US Equity</v>
      </c>
      <c r="O1268" s="3">
        <f t="shared" si="20"/>
        <v>3383</v>
      </c>
    </row>
    <row r="1269" spans="1:15" x14ac:dyDescent="0.25">
      <c r="A1269" s="79">
        <v>43053</v>
      </c>
      <c r="B1269" s="80" t="s">
        <v>5499</v>
      </c>
      <c r="C1269" s="80" t="s">
        <v>4895</v>
      </c>
      <c r="D1269" s="80" t="s">
        <v>144</v>
      </c>
      <c r="E1269" s="81">
        <v>1190</v>
      </c>
      <c r="F1269" s="80" t="s">
        <v>4810</v>
      </c>
      <c r="G1269" s="81">
        <v>1277.5889999999999</v>
      </c>
      <c r="H1269" s="81">
        <v>21.874013999999999</v>
      </c>
      <c r="I1269" s="80" t="s">
        <v>4800</v>
      </c>
      <c r="L1269" s="3">
        <f>VLOOKUP(C1269,Securities!A:D,4,FALSE)</f>
        <v>1</v>
      </c>
      <c r="M1269" s="3" t="str">
        <f>VLOOKUP(C1269,Securities!A:B,2,FALSE)</f>
        <v>BANEP RX Equity</v>
      </c>
      <c r="O1269" s="3">
        <f t="shared" si="20"/>
        <v>1190</v>
      </c>
    </row>
    <row r="1270" spans="1:15" x14ac:dyDescent="0.25">
      <c r="A1270" s="76">
        <v>43053</v>
      </c>
      <c r="B1270" s="77" t="s">
        <v>5499</v>
      </c>
      <c r="C1270" s="77" t="s">
        <v>4805</v>
      </c>
      <c r="D1270" s="77" t="s">
        <v>31</v>
      </c>
      <c r="E1270" s="78">
        <v>170000</v>
      </c>
      <c r="F1270" s="77" t="s">
        <v>4806</v>
      </c>
      <c r="G1270" s="78">
        <v>173.37117599999999</v>
      </c>
      <c r="H1270" s="78">
        <v>173.37117599999999</v>
      </c>
      <c r="I1270" s="77" t="s">
        <v>4800</v>
      </c>
      <c r="L1270" s="3">
        <f>VLOOKUP(C1270,Securities!A:D,4,FALSE)</f>
        <v>5</v>
      </c>
      <c r="M1270" s="3" t="str">
        <f>VLOOKUP(C1270,Securities!A:B,2,FALSE)</f>
        <v>TT343269 Corp</v>
      </c>
      <c r="O1270" s="3">
        <f t="shared" si="20"/>
        <v>170000</v>
      </c>
    </row>
    <row r="1271" spans="1:15" x14ac:dyDescent="0.25">
      <c r="A1271" s="79">
        <v>43053</v>
      </c>
      <c r="B1271" s="80" t="s">
        <v>5499</v>
      </c>
      <c r="C1271" s="80" t="s">
        <v>4899</v>
      </c>
      <c r="D1271" s="80" t="s">
        <v>4900</v>
      </c>
      <c r="E1271" s="81">
        <v>3226</v>
      </c>
      <c r="F1271" s="80" t="s">
        <v>4799</v>
      </c>
      <c r="G1271" s="81">
        <v>205.08962099999999</v>
      </c>
      <c r="H1271" s="81">
        <v>3.4075229999999999</v>
      </c>
      <c r="I1271" s="80" t="s">
        <v>4800</v>
      </c>
      <c r="L1271" s="3">
        <f>VLOOKUP(C1271,Securities!A:D,4,FALSE)</f>
        <v>1</v>
      </c>
      <c r="M1271" s="3" t="str">
        <f>VLOOKUP(C1271,Securities!A:B,2,FALSE)</f>
        <v>EVR LN Equity</v>
      </c>
      <c r="O1271" s="3">
        <f t="shared" si="20"/>
        <v>3226</v>
      </c>
    </row>
    <row r="1272" spans="1:15" x14ac:dyDescent="0.25">
      <c r="A1272" s="76">
        <v>43053</v>
      </c>
      <c r="B1272" s="77" t="s">
        <v>5499</v>
      </c>
      <c r="C1272" s="77" t="s">
        <v>4901</v>
      </c>
      <c r="D1272" s="77" t="s">
        <v>4902</v>
      </c>
      <c r="E1272" s="78">
        <v>949</v>
      </c>
      <c r="F1272" s="77" t="s">
        <v>4804</v>
      </c>
      <c r="G1272" s="78">
        <v>1918.4263100000001</v>
      </c>
      <c r="H1272" s="78">
        <v>33.1</v>
      </c>
      <c r="I1272" s="77" t="s">
        <v>4800</v>
      </c>
      <c r="L1272" s="3">
        <f>VLOOKUP(C1272,Securities!A:D,4,FALSE)</f>
        <v>1</v>
      </c>
      <c r="M1272" s="3" t="str">
        <f>VLOOKUP(C1272,Securities!A:B,2,FALSE)</f>
        <v>FIVE LI Equity</v>
      </c>
      <c r="O1272" s="3">
        <f t="shared" si="20"/>
        <v>949</v>
      </c>
    </row>
    <row r="1273" spans="1:15" x14ac:dyDescent="0.25">
      <c r="A1273" s="79">
        <v>43053</v>
      </c>
      <c r="B1273" s="80" t="s">
        <v>5499</v>
      </c>
      <c r="C1273" s="80" t="s">
        <v>4910</v>
      </c>
      <c r="D1273" s="80" t="s">
        <v>366</v>
      </c>
      <c r="E1273" s="81">
        <v>2170</v>
      </c>
      <c r="F1273" s="80" t="s">
        <v>4810</v>
      </c>
      <c r="G1273" s="81">
        <v>924.95419800000002</v>
      </c>
      <c r="H1273" s="81">
        <v>15.647273999999999</v>
      </c>
      <c r="I1273" s="80" t="s">
        <v>4800</v>
      </c>
      <c r="L1273" s="3">
        <f>VLOOKUP(C1273,Securities!A:D,4,FALSE)</f>
        <v>1</v>
      </c>
      <c r="M1273" s="3" t="str">
        <f>VLOOKUP(C1273,Securities!A:B,2,FALSE)</f>
        <v>LSRG RX Equity</v>
      </c>
      <c r="O1273" s="3">
        <f t="shared" si="20"/>
        <v>2170</v>
      </c>
    </row>
    <row r="1274" spans="1:15" x14ac:dyDescent="0.25">
      <c r="A1274" s="76">
        <v>43053</v>
      </c>
      <c r="B1274" s="77" t="s">
        <v>5499</v>
      </c>
      <c r="C1274" s="77" t="s">
        <v>4815</v>
      </c>
      <c r="D1274" s="77" t="s">
        <v>4676</v>
      </c>
      <c r="E1274" s="78">
        <v>420</v>
      </c>
      <c r="F1274" s="77" t="s">
        <v>4799</v>
      </c>
      <c r="G1274" s="78">
        <v>3593.7659659999999</v>
      </c>
      <c r="H1274" s="78">
        <v>60</v>
      </c>
      <c r="I1274" s="77" t="s">
        <v>4800</v>
      </c>
      <c r="L1274" s="3">
        <f>VLOOKUP(C1274,Securities!A:D,4,FALSE)</f>
        <v>1</v>
      </c>
      <c r="M1274" s="3" t="str">
        <f>VLOOKUP(C1274,Securities!A:B,2,FALSE)</f>
        <v>LXFT US Equity</v>
      </c>
      <c r="O1274" s="3">
        <f t="shared" si="20"/>
        <v>420</v>
      </c>
    </row>
    <row r="1275" spans="1:15" x14ac:dyDescent="0.25">
      <c r="A1275" s="79">
        <v>43053</v>
      </c>
      <c r="B1275" s="80" t="s">
        <v>5499</v>
      </c>
      <c r="C1275" s="80" t="s">
        <v>4911</v>
      </c>
      <c r="D1275" s="80" t="s">
        <v>405</v>
      </c>
      <c r="E1275" s="81">
        <v>52000</v>
      </c>
      <c r="F1275" s="80" t="s">
        <v>4810</v>
      </c>
      <c r="G1275" s="81">
        <v>42.715609999999998</v>
      </c>
      <c r="H1275" s="81">
        <v>0.74592000000000003</v>
      </c>
      <c r="I1275" s="80" t="s">
        <v>4800</v>
      </c>
      <c r="L1275" s="3">
        <f>VLOOKUP(C1275,Securities!A:D,4,FALSE)</f>
        <v>1</v>
      </c>
      <c r="M1275" s="3" t="str">
        <f>VLOOKUP(C1275,Securities!A:B,2,FALSE)</f>
        <v>MAGN RX Equity</v>
      </c>
      <c r="O1275" s="3">
        <f t="shared" si="20"/>
        <v>52000</v>
      </c>
    </row>
    <row r="1276" spans="1:15" x14ac:dyDescent="0.25">
      <c r="A1276" s="76">
        <v>43053</v>
      </c>
      <c r="B1276" s="77" t="s">
        <v>5499</v>
      </c>
      <c r="C1276" s="77" t="s">
        <v>4848</v>
      </c>
      <c r="D1276" s="77" t="s">
        <v>511</v>
      </c>
      <c r="E1276" s="78">
        <v>440</v>
      </c>
      <c r="F1276" s="77" t="s">
        <v>4810</v>
      </c>
      <c r="G1276" s="78">
        <v>610.4</v>
      </c>
      <c r="H1276" s="78">
        <v>10.141674</v>
      </c>
      <c r="I1276" s="77" t="s">
        <v>4800</v>
      </c>
      <c r="L1276" s="3">
        <f>VLOOKUP(C1276,Securities!A:D,4,FALSE)</f>
        <v>1</v>
      </c>
      <c r="M1276" s="3" t="str">
        <f>VLOOKUP(C1276,Securities!A:B,2,FALSE)</f>
        <v>NVTK RX Equity</v>
      </c>
      <c r="O1276" s="3">
        <f t="shared" si="20"/>
        <v>440</v>
      </c>
    </row>
    <row r="1277" spans="1:15" x14ac:dyDescent="0.25">
      <c r="A1277" s="79">
        <v>43053</v>
      </c>
      <c r="B1277" s="80" t="s">
        <v>5499</v>
      </c>
      <c r="C1277" s="80" t="s">
        <v>4924</v>
      </c>
      <c r="D1277" s="80" t="s">
        <v>829</v>
      </c>
      <c r="E1277" s="81">
        <v>680</v>
      </c>
      <c r="F1277" s="80" t="s">
        <v>4810</v>
      </c>
      <c r="G1277" s="81">
        <v>2314.91</v>
      </c>
      <c r="H1277" s="81">
        <v>39.855001000000001</v>
      </c>
      <c r="I1277" s="80" t="s">
        <v>4800</v>
      </c>
      <c r="L1277" s="3">
        <f>VLOOKUP(C1277,Securities!A:D,4,FALSE)</f>
        <v>1</v>
      </c>
      <c r="M1277" s="3" t="str">
        <f>VLOOKUP(C1277,Securities!A:B,2,FALSE)</f>
        <v>PHOR RX Equity</v>
      </c>
      <c r="O1277" s="3">
        <f t="shared" si="20"/>
        <v>680</v>
      </c>
    </row>
    <row r="1278" spans="1:15" x14ac:dyDescent="0.25">
      <c r="A1278" s="76">
        <v>43053</v>
      </c>
      <c r="B1278" s="77" t="s">
        <v>5499</v>
      </c>
      <c r="C1278" s="77" t="s">
        <v>4892</v>
      </c>
      <c r="D1278" s="77" t="s">
        <v>568</v>
      </c>
      <c r="E1278" s="78">
        <v>62</v>
      </c>
      <c r="F1278" s="77" t="s">
        <v>4810</v>
      </c>
      <c r="G1278" s="78">
        <v>4313.7580639999996</v>
      </c>
      <c r="H1278" s="78">
        <v>71.672229999999999</v>
      </c>
      <c r="I1278" s="77" t="s">
        <v>4800</v>
      </c>
      <c r="L1278" s="3">
        <f>VLOOKUP(C1278,Securities!A:D,4,FALSE)</f>
        <v>1</v>
      </c>
      <c r="M1278" s="3" t="str">
        <f>VLOOKUP(C1278,Securities!A:B,2,FALSE)</f>
        <v>PLZL RX Equity</v>
      </c>
      <c r="O1278" s="3">
        <f t="shared" si="20"/>
        <v>62</v>
      </c>
    </row>
    <row r="1279" spans="1:15" x14ac:dyDescent="0.25">
      <c r="A1279" s="79">
        <v>43053</v>
      </c>
      <c r="B1279" s="80" t="s">
        <v>5499</v>
      </c>
      <c r="C1279" s="80" t="s">
        <v>4927</v>
      </c>
      <c r="D1279" s="80" t="s">
        <v>4928</v>
      </c>
      <c r="E1279" s="81">
        <v>1960</v>
      </c>
      <c r="F1279" s="80" t="s">
        <v>4898</v>
      </c>
      <c r="G1279" s="81">
        <v>890.07</v>
      </c>
      <c r="H1279" s="81">
        <v>15.324026</v>
      </c>
      <c r="I1279" s="80" t="s">
        <v>4800</v>
      </c>
      <c r="L1279" s="3">
        <f>VLOOKUP(C1279,Securities!A:D,4,FALSE)</f>
        <v>1</v>
      </c>
      <c r="M1279" s="3" t="str">
        <f>VLOOKUP(C1279,Securities!A:B,2,FALSE)</f>
        <v>SX7EEX GY Equity</v>
      </c>
      <c r="O1279" s="3">
        <f t="shared" si="20"/>
        <v>1960</v>
      </c>
    </row>
    <row r="1280" spans="1:15" x14ac:dyDescent="0.25">
      <c r="A1280" s="76">
        <v>43053</v>
      </c>
      <c r="B1280" s="77" t="s">
        <v>5499</v>
      </c>
      <c r="C1280" s="77" t="s">
        <v>4824</v>
      </c>
      <c r="D1280" s="77" t="s">
        <v>4674</v>
      </c>
      <c r="E1280" s="78">
        <v>6250</v>
      </c>
      <c r="F1280" s="77" t="s">
        <v>4825</v>
      </c>
      <c r="G1280" s="78">
        <v>0</v>
      </c>
      <c r="H1280" s="78">
        <v>0</v>
      </c>
      <c r="I1280" s="77" t="s">
        <v>4800</v>
      </c>
      <c r="L1280" s="3">
        <f>VLOOKUP(C1280,Securities!A:D,4,FALSE)</f>
        <v>1</v>
      </c>
      <c r="M1280" s="3" t="str">
        <f>VLOOKUP(C1280,Securities!A:B,2,FALSE)</f>
        <v>VEON US Equity</v>
      </c>
      <c r="O1280" s="3">
        <f t="shared" si="20"/>
        <v>6250</v>
      </c>
    </row>
    <row r="1281" spans="1:15" x14ac:dyDescent="0.25">
      <c r="A1281" s="79">
        <v>43053</v>
      </c>
      <c r="B1281" s="80" t="s">
        <v>5500</v>
      </c>
      <c r="C1281" s="80" t="s">
        <v>5180</v>
      </c>
      <c r="D1281" s="80" t="s">
        <v>5181</v>
      </c>
      <c r="E1281" s="81">
        <v>200000</v>
      </c>
      <c r="F1281" s="80" t="s">
        <v>4806</v>
      </c>
      <c r="G1281" s="81">
        <v>103.45</v>
      </c>
      <c r="H1281" s="81">
        <v>103.45</v>
      </c>
      <c r="I1281" s="80" t="s">
        <v>4800</v>
      </c>
      <c r="L1281" s="3">
        <f>VLOOKUP(C1281,Securities!A:D,4,FALSE)</f>
        <v>5</v>
      </c>
      <c r="M1281" s="3" t="str">
        <f>VLOOKUP(C1281,Securities!A:B,2,FALSE)</f>
        <v>XS0583616239 Corp</v>
      </c>
      <c r="O1281" s="3">
        <f t="shared" si="20"/>
        <v>200000</v>
      </c>
    </row>
    <row r="1282" spans="1:15" x14ac:dyDescent="0.25">
      <c r="A1282" s="76">
        <v>43053</v>
      </c>
      <c r="B1282" s="77" t="s">
        <v>5500</v>
      </c>
      <c r="C1282" s="77" t="s">
        <v>4930</v>
      </c>
      <c r="D1282" s="77" t="s">
        <v>4931</v>
      </c>
      <c r="E1282" s="78">
        <v>200000</v>
      </c>
      <c r="F1282" s="77" t="s">
        <v>4806</v>
      </c>
      <c r="G1282" s="78">
        <v>102.65</v>
      </c>
      <c r="H1282" s="78">
        <v>102.65</v>
      </c>
      <c r="I1282" s="77" t="s">
        <v>4800</v>
      </c>
      <c r="L1282" s="3">
        <f>VLOOKUP(C1282,Securities!A:D,4,FALSE)</f>
        <v>5</v>
      </c>
      <c r="M1282" s="3" t="str">
        <f>VLOOKUP(C1282,Securities!A:B,2,FALSE)</f>
        <v>EJ634925 Corp</v>
      </c>
      <c r="O1282" s="3">
        <f t="shared" si="20"/>
        <v>200000</v>
      </c>
    </row>
    <row r="1283" spans="1:15" x14ac:dyDescent="0.25">
      <c r="A1283" s="79">
        <v>43053</v>
      </c>
      <c r="B1283" s="80" t="s">
        <v>5500</v>
      </c>
      <c r="C1283" s="80" t="s">
        <v>4805</v>
      </c>
      <c r="D1283" s="80" t="s">
        <v>31</v>
      </c>
      <c r="E1283" s="81">
        <v>175000</v>
      </c>
      <c r="F1283" s="80" t="s">
        <v>4806</v>
      </c>
      <c r="G1283" s="81">
        <v>175.75</v>
      </c>
      <c r="H1283" s="81">
        <v>175.75</v>
      </c>
      <c r="I1283" s="80" t="s">
        <v>4800</v>
      </c>
      <c r="L1283" s="3">
        <f>VLOOKUP(C1283,Securities!A:D,4,FALSE)</f>
        <v>5</v>
      </c>
      <c r="M1283" s="3" t="str">
        <f>VLOOKUP(C1283,Securities!A:B,2,FALSE)</f>
        <v>TT343269 Corp</v>
      </c>
      <c r="O1283" s="3">
        <f t="shared" si="20"/>
        <v>175000</v>
      </c>
    </row>
    <row r="1284" spans="1:15" x14ac:dyDescent="0.25">
      <c r="A1284" s="76">
        <v>43053</v>
      </c>
      <c r="B1284" s="77" t="s">
        <v>5500</v>
      </c>
      <c r="C1284" s="77" t="s">
        <v>4882</v>
      </c>
      <c r="D1284" s="77" t="s">
        <v>4883</v>
      </c>
      <c r="E1284" s="78">
        <v>200000</v>
      </c>
      <c r="F1284" s="77" t="s">
        <v>4806</v>
      </c>
      <c r="G1284" s="78">
        <v>108.5</v>
      </c>
      <c r="H1284" s="78">
        <v>108.5</v>
      </c>
      <c r="I1284" s="77" t="s">
        <v>4800</v>
      </c>
      <c r="L1284" s="3">
        <f>VLOOKUP(C1284,Securities!A:D,4,FALSE)</f>
        <v>5</v>
      </c>
      <c r="M1284" s="3" t="str">
        <f>VLOOKUP(C1284,Securities!A:B,2,FALSE)</f>
        <v>XS1405775377 Corp</v>
      </c>
      <c r="O1284" s="3">
        <f t="shared" si="20"/>
        <v>200000</v>
      </c>
    </row>
    <row r="1285" spans="1:15" x14ac:dyDescent="0.25">
      <c r="A1285" s="79">
        <v>43053</v>
      </c>
      <c r="B1285" s="80" t="s">
        <v>5500</v>
      </c>
      <c r="C1285" s="80" t="s">
        <v>5339</v>
      </c>
      <c r="D1285" s="80" t="s">
        <v>5340</v>
      </c>
      <c r="E1285" s="81">
        <v>200000</v>
      </c>
      <c r="F1285" s="80" t="s">
        <v>4806</v>
      </c>
      <c r="G1285" s="81">
        <v>105.1</v>
      </c>
      <c r="H1285" s="81">
        <v>105.1</v>
      </c>
      <c r="I1285" s="80" t="s">
        <v>4800</v>
      </c>
      <c r="L1285" s="3">
        <f>VLOOKUP(C1285,Securities!A:D,4,FALSE)</f>
        <v>5</v>
      </c>
      <c r="M1285" s="3" t="str">
        <f>VLOOKUP(C1285,Securities!A:B,2,FALSE)</f>
        <v>XS1449458915 Corp</v>
      </c>
      <c r="O1285" s="3">
        <f t="shared" si="20"/>
        <v>200000</v>
      </c>
    </row>
    <row r="1286" spans="1:15" x14ac:dyDescent="0.25">
      <c r="A1286" s="76">
        <v>43053</v>
      </c>
      <c r="B1286" s="77" t="s">
        <v>5500</v>
      </c>
      <c r="C1286" s="77" t="s">
        <v>5086</v>
      </c>
      <c r="D1286" s="77" t="s">
        <v>5087</v>
      </c>
      <c r="E1286" s="78">
        <v>200000</v>
      </c>
      <c r="F1286" s="77" t="s">
        <v>4806</v>
      </c>
      <c r="G1286" s="78">
        <v>108.5</v>
      </c>
      <c r="H1286" s="78">
        <v>108.5</v>
      </c>
      <c r="I1286" s="77" t="s">
        <v>4800</v>
      </c>
      <c r="L1286" s="3">
        <f>VLOOKUP(C1286,Securities!A:D,4,FALSE)</f>
        <v>5</v>
      </c>
      <c r="M1286" s="3" t="str">
        <f>VLOOKUP(C1286,Securities!A:B,2,FALSE)</f>
        <v>EJ951547 Corp</v>
      </c>
      <c r="O1286" s="3">
        <f t="shared" ref="O1286:O1349" si="21">SUMIFS(E:E,C:C,C1286,B:B,B1286)</f>
        <v>200000</v>
      </c>
    </row>
    <row r="1287" spans="1:15" x14ac:dyDescent="0.25">
      <c r="A1287" s="79">
        <v>43053</v>
      </c>
      <c r="B1287" s="80" t="s">
        <v>5500</v>
      </c>
      <c r="C1287" s="80" t="s">
        <v>4819</v>
      </c>
      <c r="D1287" s="80" t="s">
        <v>4820</v>
      </c>
      <c r="E1287" s="81">
        <v>200000</v>
      </c>
      <c r="F1287" s="80" t="s">
        <v>4806</v>
      </c>
      <c r="G1287" s="81">
        <v>100.5</v>
      </c>
      <c r="H1287" s="81">
        <v>100.5</v>
      </c>
      <c r="I1287" s="80" t="s">
        <v>4800</v>
      </c>
      <c r="L1287" s="3">
        <f>VLOOKUP(C1287,Securities!A:D,4,FALSE)</f>
        <v>5</v>
      </c>
      <c r="M1287" s="3" t="str">
        <f>VLOOKUP(C1287,Securities!A:B,2,FALSE)</f>
        <v>XS0776121062 Corp</v>
      </c>
      <c r="O1287" s="3">
        <f t="shared" si="21"/>
        <v>200000</v>
      </c>
    </row>
    <row r="1288" spans="1:15" x14ac:dyDescent="0.25">
      <c r="A1288" s="76">
        <v>43053</v>
      </c>
      <c r="B1288" s="77" t="s">
        <v>5500</v>
      </c>
      <c r="C1288" s="77" t="s">
        <v>5024</v>
      </c>
      <c r="D1288" s="77" t="s">
        <v>5025</v>
      </c>
      <c r="E1288" s="78">
        <v>200000</v>
      </c>
      <c r="F1288" s="77" t="s">
        <v>4806</v>
      </c>
      <c r="G1288" s="78">
        <v>100.85</v>
      </c>
      <c r="H1288" s="78">
        <v>100.85</v>
      </c>
      <c r="I1288" s="77" t="s">
        <v>4800</v>
      </c>
      <c r="L1288" s="3">
        <f>VLOOKUP(C1288,Securities!A:D,4,FALSE)</f>
        <v>5</v>
      </c>
      <c r="M1288" s="3" t="str">
        <f>VLOOKUP(C1288,Securities!A:B,2,FALSE)</f>
        <v>XS1405766384 Corp</v>
      </c>
      <c r="O1288" s="3">
        <f t="shared" si="21"/>
        <v>200000</v>
      </c>
    </row>
    <row r="1289" spans="1:15" x14ac:dyDescent="0.25">
      <c r="A1289" s="79">
        <v>43053</v>
      </c>
      <c r="B1289" s="80" t="s">
        <v>5500</v>
      </c>
      <c r="C1289" s="80" t="s">
        <v>4967</v>
      </c>
      <c r="D1289" s="80" t="s">
        <v>4968</v>
      </c>
      <c r="E1289" s="81">
        <v>200000</v>
      </c>
      <c r="F1289" s="80" t="s">
        <v>4806</v>
      </c>
      <c r="G1289" s="81">
        <v>113.35</v>
      </c>
      <c r="H1289" s="81">
        <v>113.35</v>
      </c>
      <c r="I1289" s="80" t="s">
        <v>4800</v>
      </c>
      <c r="L1289" s="3">
        <f>VLOOKUP(C1289,Securities!A:D,4,FALSE)</f>
        <v>5</v>
      </c>
      <c r="M1289" s="3" t="str">
        <f>VLOOKUP(C1289,Securities!A:B,2,FALSE)</f>
        <v>XS0979891925 Corp</v>
      </c>
      <c r="O1289" s="3">
        <f t="shared" si="21"/>
        <v>200000</v>
      </c>
    </row>
    <row r="1290" spans="1:15" x14ac:dyDescent="0.25">
      <c r="A1290" s="76">
        <v>43053</v>
      </c>
      <c r="B1290" s="77" t="s">
        <v>5500</v>
      </c>
      <c r="C1290" s="77" t="s">
        <v>5209</v>
      </c>
      <c r="D1290" s="77" t="s">
        <v>5210</v>
      </c>
      <c r="E1290" s="78">
        <v>200000</v>
      </c>
      <c r="F1290" s="77" t="s">
        <v>4806</v>
      </c>
      <c r="G1290" s="78">
        <v>0</v>
      </c>
      <c r="H1290" s="78">
        <v>0</v>
      </c>
      <c r="I1290" s="77" t="s">
        <v>4800</v>
      </c>
      <c r="L1290" s="3">
        <f>VLOOKUP(C1290,Securities!A:D,4,FALSE)</f>
        <v>5</v>
      </c>
      <c r="M1290" s="3" t="str">
        <f>VLOOKUP(C1290,Securities!A:B,2,FALSE)</f>
        <v>XS0848530977 Corp</v>
      </c>
      <c r="O1290" s="3">
        <f t="shared" si="21"/>
        <v>200000</v>
      </c>
    </row>
    <row r="1291" spans="1:15" x14ac:dyDescent="0.25">
      <c r="A1291" s="79">
        <v>43053</v>
      </c>
      <c r="B1291" s="80" t="s">
        <v>5500</v>
      </c>
      <c r="C1291" s="80" t="s">
        <v>4851</v>
      </c>
      <c r="D1291" s="80" t="s">
        <v>4744</v>
      </c>
      <c r="E1291" s="81">
        <v>200000</v>
      </c>
      <c r="F1291" s="80" t="s">
        <v>4806</v>
      </c>
      <c r="G1291" s="81">
        <v>103.75</v>
      </c>
      <c r="H1291" s="81">
        <v>103.75</v>
      </c>
      <c r="I1291" s="80" t="s">
        <v>4800</v>
      </c>
      <c r="L1291" s="3">
        <f>VLOOKUP(C1291,Securities!A:D,4,FALSE)</f>
        <v>5</v>
      </c>
      <c r="M1291" s="3" t="str">
        <f>VLOOKUP(C1291,Securities!A:B,2,FALSE)</f>
        <v>XS1032750165 Corp</v>
      </c>
      <c r="O1291" s="3">
        <f t="shared" si="21"/>
        <v>200000</v>
      </c>
    </row>
    <row r="1292" spans="1:15" x14ac:dyDescent="0.25">
      <c r="A1292" s="76">
        <v>43053</v>
      </c>
      <c r="B1292" s="77" t="s">
        <v>5500</v>
      </c>
      <c r="C1292" s="77" t="s">
        <v>4871</v>
      </c>
      <c r="D1292" s="77" t="s">
        <v>4872</v>
      </c>
      <c r="E1292" s="78">
        <v>200000</v>
      </c>
      <c r="F1292" s="77" t="s">
        <v>4806</v>
      </c>
      <c r="G1292" s="78">
        <v>107.875</v>
      </c>
      <c r="H1292" s="78">
        <v>107.875</v>
      </c>
      <c r="I1292" s="77" t="s">
        <v>4800</v>
      </c>
      <c r="L1292" s="3">
        <f>VLOOKUP(C1292,Securities!A:D,4,FALSE)</f>
        <v>5</v>
      </c>
      <c r="M1292" s="3" t="str">
        <f>VLOOKUP(C1292,Securities!A:B,2,FALSE)</f>
        <v>XS0800817073 Corp</v>
      </c>
      <c r="O1292" s="3">
        <f t="shared" si="21"/>
        <v>200000</v>
      </c>
    </row>
    <row r="1293" spans="1:15" x14ac:dyDescent="0.25">
      <c r="A1293" s="79">
        <v>43053</v>
      </c>
      <c r="B1293" s="80" t="s">
        <v>5500</v>
      </c>
      <c r="C1293" s="80" t="s">
        <v>5028</v>
      </c>
      <c r="D1293" s="80" t="s">
        <v>5029</v>
      </c>
      <c r="E1293" s="81">
        <v>200000</v>
      </c>
      <c r="F1293" s="80" t="s">
        <v>4806</v>
      </c>
      <c r="G1293" s="81">
        <v>109.75</v>
      </c>
      <c r="H1293" s="81">
        <v>109.75</v>
      </c>
      <c r="I1293" s="80" t="s">
        <v>4800</v>
      </c>
      <c r="L1293" s="3">
        <f>VLOOKUP(C1293,Securities!A:D,4,FALSE)</f>
        <v>5</v>
      </c>
      <c r="M1293" s="3" t="str">
        <f>VLOOKUP(C1293,Securities!A:B,2,FALSE)</f>
        <v>EJ394063 Corp</v>
      </c>
      <c r="O1293" s="3">
        <f t="shared" si="21"/>
        <v>200000</v>
      </c>
    </row>
    <row r="1294" spans="1:15" x14ac:dyDescent="0.25">
      <c r="A1294" s="76">
        <v>43053</v>
      </c>
      <c r="B1294" s="77" t="s">
        <v>5501</v>
      </c>
      <c r="C1294" s="77" t="s">
        <v>4839</v>
      </c>
      <c r="D1294" s="77" t="s">
        <v>4840</v>
      </c>
      <c r="E1294" s="78">
        <v>600000</v>
      </c>
      <c r="F1294" s="77" t="s">
        <v>4838</v>
      </c>
      <c r="G1294" s="78">
        <v>100</v>
      </c>
      <c r="H1294" s="78">
        <v>100</v>
      </c>
      <c r="I1294" s="77" t="s">
        <v>4800</v>
      </c>
      <c r="L1294" s="3">
        <f>VLOOKUP(C1294,Securities!A:D,4,FALSE)</f>
        <v>5</v>
      </c>
      <c r="M1294" s="3" t="str">
        <f>VLOOKUP(C1294,Securities!A:B,2,FALSE)</f>
        <v>XS1513271418 Corp</v>
      </c>
      <c r="O1294" s="3">
        <f t="shared" si="21"/>
        <v>600000</v>
      </c>
    </row>
    <row r="1295" spans="1:15" x14ac:dyDescent="0.25">
      <c r="A1295" s="79">
        <v>43053</v>
      </c>
      <c r="B1295" s="80" t="s">
        <v>5502</v>
      </c>
      <c r="C1295" s="80" t="s">
        <v>4955</v>
      </c>
      <c r="D1295" s="80" t="s">
        <v>126</v>
      </c>
      <c r="E1295" s="81">
        <v>5080</v>
      </c>
      <c r="F1295" s="80" t="s">
        <v>4810</v>
      </c>
      <c r="G1295" s="81">
        <v>196.77010000000001</v>
      </c>
      <c r="H1295" s="81">
        <v>3.441878</v>
      </c>
      <c r="I1295" s="80" t="s">
        <v>4800</v>
      </c>
      <c r="L1295" s="3">
        <f>VLOOKUP(C1295,Securities!A:D,4,FALSE)</f>
        <v>1</v>
      </c>
      <c r="M1295" s="3" t="str">
        <f>VLOOKUP(C1295,Securities!A:B,2,FALSE)</f>
        <v>AFLT RX Equity</v>
      </c>
      <c r="O1295" s="3">
        <f t="shared" si="21"/>
        <v>5080</v>
      </c>
    </row>
    <row r="1296" spans="1:15" x14ac:dyDescent="0.25">
      <c r="A1296" s="76">
        <v>43053</v>
      </c>
      <c r="B1296" s="77" t="s">
        <v>5502</v>
      </c>
      <c r="C1296" s="77" t="s">
        <v>5503</v>
      </c>
      <c r="D1296" s="77" t="s">
        <v>679</v>
      </c>
      <c r="E1296" s="78">
        <v>1098</v>
      </c>
      <c r="F1296" s="77" t="s">
        <v>4810</v>
      </c>
      <c r="G1296" s="78">
        <v>909.44769499999995</v>
      </c>
      <c r="H1296" s="78">
        <v>15.907945</v>
      </c>
      <c r="I1296" s="77" t="s">
        <v>4800</v>
      </c>
      <c r="L1296" s="3">
        <f>VLOOKUP(C1296,Securities!A:D,4,FALSE)</f>
        <v>1</v>
      </c>
      <c r="M1296" s="3" t="str">
        <f>VLOOKUP(C1296,Securities!A:B,2,FALSE)</f>
        <v>CHMF RX Equity</v>
      </c>
      <c r="O1296" s="3">
        <f t="shared" si="21"/>
        <v>1098</v>
      </c>
    </row>
    <row r="1297" spans="1:15" x14ac:dyDescent="0.25">
      <c r="A1297" s="79">
        <v>43053</v>
      </c>
      <c r="B1297" s="80" t="s">
        <v>5502</v>
      </c>
      <c r="C1297" s="80" t="s">
        <v>4899</v>
      </c>
      <c r="D1297" s="80" t="s">
        <v>4900</v>
      </c>
      <c r="E1297" s="81">
        <v>4230</v>
      </c>
      <c r="F1297" s="80" t="s">
        <v>4799</v>
      </c>
      <c r="G1297" s="81">
        <v>235.7</v>
      </c>
      <c r="H1297" s="81">
        <v>4.1228340000000001</v>
      </c>
      <c r="I1297" s="80" t="s">
        <v>4800</v>
      </c>
      <c r="L1297" s="3">
        <f>VLOOKUP(C1297,Securities!A:D,4,FALSE)</f>
        <v>1</v>
      </c>
      <c r="M1297" s="3" t="str">
        <f>VLOOKUP(C1297,Securities!A:B,2,FALSE)</f>
        <v>EVR LN Equity</v>
      </c>
      <c r="O1297" s="3">
        <f t="shared" si="21"/>
        <v>4230</v>
      </c>
    </row>
    <row r="1298" spans="1:15" x14ac:dyDescent="0.25">
      <c r="A1298" s="76">
        <v>43053</v>
      </c>
      <c r="B1298" s="77" t="s">
        <v>5502</v>
      </c>
      <c r="C1298" s="77" t="s">
        <v>4901</v>
      </c>
      <c r="D1298" s="77" t="s">
        <v>4902</v>
      </c>
      <c r="E1298" s="78">
        <v>410</v>
      </c>
      <c r="F1298" s="77" t="s">
        <v>4804</v>
      </c>
      <c r="G1298" s="78">
        <v>2440.35</v>
      </c>
      <c r="H1298" s="78">
        <v>42.686297000000003</v>
      </c>
      <c r="I1298" s="77" t="s">
        <v>4800</v>
      </c>
      <c r="L1298" s="3">
        <f>VLOOKUP(C1298,Securities!A:D,4,FALSE)</f>
        <v>1</v>
      </c>
      <c r="M1298" s="3" t="str">
        <f>VLOOKUP(C1298,Securities!A:B,2,FALSE)</f>
        <v>FIVE LI Equity</v>
      </c>
      <c r="O1298" s="3">
        <f t="shared" si="21"/>
        <v>410</v>
      </c>
    </row>
    <row r="1299" spans="1:15" x14ac:dyDescent="0.25">
      <c r="A1299" s="79">
        <v>43053</v>
      </c>
      <c r="B1299" s="80" t="s">
        <v>5502</v>
      </c>
      <c r="C1299" s="80" t="s">
        <v>4911</v>
      </c>
      <c r="D1299" s="80" t="s">
        <v>405</v>
      </c>
      <c r="E1299" s="81">
        <v>22331</v>
      </c>
      <c r="F1299" s="80" t="s">
        <v>4810</v>
      </c>
      <c r="G1299" s="81">
        <v>42.7896</v>
      </c>
      <c r="H1299" s="81">
        <v>0.74846999999999997</v>
      </c>
      <c r="I1299" s="80" t="s">
        <v>4800</v>
      </c>
      <c r="L1299" s="3">
        <f>VLOOKUP(C1299,Securities!A:D,4,FALSE)</f>
        <v>1</v>
      </c>
      <c r="M1299" s="3" t="str">
        <f>VLOOKUP(C1299,Securities!A:B,2,FALSE)</f>
        <v>MAGN RX Equity</v>
      </c>
      <c r="O1299" s="3">
        <f t="shared" si="21"/>
        <v>22331</v>
      </c>
    </row>
    <row r="1300" spans="1:15" x14ac:dyDescent="0.25">
      <c r="A1300" s="76">
        <v>43053</v>
      </c>
      <c r="B1300" s="77" t="s">
        <v>5502</v>
      </c>
      <c r="C1300" s="77" t="s">
        <v>4867</v>
      </c>
      <c r="D1300" s="77" t="s">
        <v>473</v>
      </c>
      <c r="E1300" s="78">
        <v>8930</v>
      </c>
      <c r="F1300" s="77" t="s">
        <v>4810</v>
      </c>
      <c r="G1300" s="78">
        <v>111.99409900000001</v>
      </c>
      <c r="H1300" s="78">
        <v>1.9589859999999999</v>
      </c>
      <c r="I1300" s="77" t="s">
        <v>4800</v>
      </c>
      <c r="L1300" s="3">
        <f>VLOOKUP(C1300,Securities!A:D,4,FALSE)</f>
        <v>1</v>
      </c>
      <c r="M1300" s="3" t="str">
        <f>VLOOKUP(C1300,Securities!A:B,2,FALSE)</f>
        <v>MOEX RX Equity</v>
      </c>
      <c r="O1300" s="3">
        <f t="shared" si="21"/>
        <v>8930</v>
      </c>
    </row>
    <row r="1301" spans="1:15" x14ac:dyDescent="0.25">
      <c r="A1301" s="79">
        <v>43053</v>
      </c>
      <c r="B1301" s="80" t="s">
        <v>5502</v>
      </c>
      <c r="C1301" s="80" t="s">
        <v>4848</v>
      </c>
      <c r="D1301" s="80" t="s">
        <v>511</v>
      </c>
      <c r="E1301" s="81">
        <v>1663</v>
      </c>
      <c r="F1301" s="80" t="s">
        <v>4810</v>
      </c>
      <c r="G1301" s="81">
        <v>600.627702</v>
      </c>
      <c r="H1301" s="81">
        <v>10.506104000000001</v>
      </c>
      <c r="I1301" s="80" t="s">
        <v>4800</v>
      </c>
      <c r="L1301" s="3">
        <f>VLOOKUP(C1301,Securities!A:D,4,FALSE)</f>
        <v>1</v>
      </c>
      <c r="M1301" s="3" t="str">
        <f>VLOOKUP(C1301,Securities!A:B,2,FALSE)</f>
        <v>NVTK RX Equity</v>
      </c>
      <c r="O1301" s="3">
        <f t="shared" si="21"/>
        <v>1663</v>
      </c>
    </row>
    <row r="1302" spans="1:15" x14ac:dyDescent="0.25">
      <c r="A1302" s="76">
        <v>43053</v>
      </c>
      <c r="B1302" s="77" t="s">
        <v>5502</v>
      </c>
      <c r="C1302" s="77" t="s">
        <v>4892</v>
      </c>
      <c r="D1302" s="77" t="s">
        <v>568</v>
      </c>
      <c r="E1302" s="78">
        <v>210</v>
      </c>
      <c r="F1302" s="77" t="s">
        <v>4810</v>
      </c>
      <c r="G1302" s="78">
        <v>4730</v>
      </c>
      <c r="H1302" s="78">
        <v>82.736568000000005</v>
      </c>
      <c r="I1302" s="77" t="s">
        <v>4800</v>
      </c>
      <c r="L1302" s="3">
        <f>VLOOKUP(C1302,Securities!A:D,4,FALSE)</f>
        <v>1</v>
      </c>
      <c r="M1302" s="3" t="str">
        <f>VLOOKUP(C1302,Securities!A:B,2,FALSE)</f>
        <v>PLZL RX Equity</v>
      </c>
      <c r="O1302" s="3">
        <f t="shared" si="21"/>
        <v>210</v>
      </c>
    </row>
    <row r="1303" spans="1:15" x14ac:dyDescent="0.25">
      <c r="A1303" s="79">
        <v>43053</v>
      </c>
      <c r="B1303" s="80" t="s">
        <v>5502</v>
      </c>
      <c r="C1303" s="80" t="s">
        <v>4917</v>
      </c>
      <c r="D1303" s="80" t="s">
        <v>742</v>
      </c>
      <c r="E1303" s="81">
        <v>14880</v>
      </c>
      <c r="F1303" s="80" t="s">
        <v>4810</v>
      </c>
      <c r="G1303" s="81">
        <v>67.196200000000005</v>
      </c>
      <c r="H1303" s="81">
        <v>1.175387</v>
      </c>
      <c r="I1303" s="80" t="s">
        <v>4800</v>
      </c>
      <c r="L1303" s="3">
        <f>VLOOKUP(C1303,Securities!A:D,4,FALSE)</f>
        <v>1</v>
      </c>
      <c r="M1303" s="3" t="str">
        <f>VLOOKUP(C1303,Securities!A:B,2,FALSE)</f>
        <v>TRMK RX Equity</v>
      </c>
      <c r="O1303" s="3">
        <f t="shared" si="21"/>
        <v>14880</v>
      </c>
    </row>
    <row r="1304" spans="1:15" x14ac:dyDescent="0.25">
      <c r="A1304" s="76">
        <v>43053</v>
      </c>
      <c r="B1304" s="77" t="s">
        <v>5504</v>
      </c>
      <c r="C1304" s="77" t="s">
        <v>4975</v>
      </c>
      <c r="D1304" s="77" t="s">
        <v>939</v>
      </c>
      <c r="E1304" s="78">
        <v>6750</v>
      </c>
      <c r="F1304" s="77" t="s">
        <v>4974</v>
      </c>
      <c r="G1304" s="78">
        <v>102.78</v>
      </c>
      <c r="H1304" s="78">
        <v>102.78</v>
      </c>
      <c r="I1304" s="77" t="s">
        <v>4800</v>
      </c>
      <c r="L1304" s="3">
        <f>VLOOKUP(C1304,Securities!A:D,4,FALSE)</f>
        <v>5</v>
      </c>
      <c r="M1304" s="3" t="str">
        <f>VLOOKUP(C1304,Securities!A:B,2,FALSE)</f>
        <v>RU000A0JX0J2 Corp</v>
      </c>
      <c r="O1304" s="3">
        <f t="shared" si="21"/>
        <v>6750</v>
      </c>
    </row>
    <row r="1305" spans="1:15" x14ac:dyDescent="0.25">
      <c r="A1305" s="79">
        <v>43053</v>
      </c>
      <c r="B1305" s="80" t="s">
        <v>5504</v>
      </c>
      <c r="C1305" s="80" t="s">
        <v>5195</v>
      </c>
      <c r="D1305" s="80" t="s">
        <v>964</v>
      </c>
      <c r="E1305" s="81">
        <v>5000</v>
      </c>
      <c r="F1305" s="80" t="s">
        <v>4974</v>
      </c>
      <c r="G1305" s="81">
        <v>98.15</v>
      </c>
      <c r="H1305" s="81">
        <v>98.15</v>
      </c>
      <c r="I1305" s="80" t="s">
        <v>4800</v>
      </c>
      <c r="L1305" s="3">
        <f>VLOOKUP(C1305,Securities!A:D,4,FALSE)</f>
        <v>5</v>
      </c>
      <c r="M1305" s="3" t="str">
        <f>VLOOKUP(C1305,Securities!A:B,2,FALSE)</f>
        <v>RU000A0JU9V1 Corp</v>
      </c>
      <c r="O1305" s="3">
        <f t="shared" si="21"/>
        <v>5000</v>
      </c>
    </row>
    <row r="1306" spans="1:15" x14ac:dyDescent="0.25">
      <c r="A1306" s="76">
        <v>43053</v>
      </c>
      <c r="B1306" s="77" t="s">
        <v>5504</v>
      </c>
      <c r="C1306" s="77" t="s">
        <v>5009</v>
      </c>
      <c r="D1306" s="77" t="s">
        <v>5010</v>
      </c>
      <c r="E1306" s="78">
        <v>5000</v>
      </c>
      <c r="F1306" s="77" t="s">
        <v>4974</v>
      </c>
      <c r="G1306" s="78">
        <v>96.55</v>
      </c>
      <c r="H1306" s="78">
        <v>96.55</v>
      </c>
      <c r="I1306" s="77" t="s">
        <v>4800</v>
      </c>
      <c r="L1306" s="3">
        <f>VLOOKUP(C1306,Securities!A:D,4,FALSE)</f>
        <v>5</v>
      </c>
      <c r="M1306" s="3" t="str">
        <f>VLOOKUP(C1306,Securities!A:B,2,FALSE)</f>
        <v>RU000A0JXQF2 Corp</v>
      </c>
      <c r="O1306" s="3">
        <f t="shared" si="21"/>
        <v>5000</v>
      </c>
    </row>
    <row r="1307" spans="1:15" x14ac:dyDescent="0.25">
      <c r="A1307" s="79">
        <v>43053</v>
      </c>
      <c r="B1307" s="80" t="s">
        <v>5504</v>
      </c>
      <c r="C1307" s="80" t="s">
        <v>5011</v>
      </c>
      <c r="D1307" s="80" t="s">
        <v>24</v>
      </c>
      <c r="E1307" s="81">
        <v>10000</v>
      </c>
      <c r="F1307" s="80" t="s">
        <v>4974</v>
      </c>
      <c r="G1307" s="81">
        <v>104.54900000000001</v>
      </c>
      <c r="H1307" s="81">
        <v>104.54900000000001</v>
      </c>
      <c r="I1307" s="80" t="s">
        <v>4800</v>
      </c>
      <c r="L1307" s="3">
        <f>VLOOKUP(C1307,Securities!A:D,4,FALSE)</f>
        <v>5</v>
      </c>
      <c r="M1307" s="3" t="str">
        <f>VLOOKUP(C1307,Securities!A:B,2,FALSE)</f>
        <v>RU000A0JV7J9 Corp</v>
      </c>
      <c r="O1307" s="3">
        <f t="shared" si="21"/>
        <v>10000</v>
      </c>
    </row>
    <row r="1308" spans="1:15" x14ac:dyDescent="0.25">
      <c r="A1308" s="76">
        <v>43053</v>
      </c>
      <c r="B1308" s="77" t="s">
        <v>5504</v>
      </c>
      <c r="C1308" s="77" t="s">
        <v>5077</v>
      </c>
      <c r="D1308" s="77" t="s">
        <v>2054</v>
      </c>
      <c r="E1308" s="78">
        <v>5000</v>
      </c>
      <c r="F1308" s="77" t="s">
        <v>4814</v>
      </c>
      <c r="G1308" s="78">
        <v>110.87</v>
      </c>
      <c r="H1308" s="78">
        <v>110.87</v>
      </c>
      <c r="I1308" s="77" t="s">
        <v>4800</v>
      </c>
      <c r="L1308" s="3">
        <f>VLOOKUP(C1308,Securities!A:D,4,FALSE)</f>
        <v>5</v>
      </c>
      <c r="M1308" s="3" t="str">
        <f>VLOOKUP(C1308,Securities!A:B,2,FALSE)</f>
        <v>JK549945 Corp</v>
      </c>
      <c r="O1308" s="3">
        <f t="shared" si="21"/>
        <v>5000</v>
      </c>
    </row>
    <row r="1309" spans="1:15" x14ac:dyDescent="0.25">
      <c r="A1309" s="79">
        <v>43053</v>
      </c>
      <c r="B1309" s="80" t="s">
        <v>5504</v>
      </c>
      <c r="C1309" s="80" t="s">
        <v>5496</v>
      </c>
      <c r="D1309" s="80" t="s">
        <v>1763</v>
      </c>
      <c r="E1309" s="81">
        <v>5000</v>
      </c>
      <c r="F1309" s="80" t="s">
        <v>4814</v>
      </c>
      <c r="G1309" s="81">
        <v>103</v>
      </c>
      <c r="H1309" s="81">
        <v>103</v>
      </c>
      <c r="I1309" s="80" t="s">
        <v>4800</v>
      </c>
      <c r="L1309" s="3">
        <f>VLOOKUP(C1309,Securities!A:D,4,FALSE)</f>
        <v>5</v>
      </c>
      <c r="M1309" s="3" t="str">
        <f>VLOOKUP(C1309,Securities!A:B,2,FALSE)</f>
        <v>AM562901 Corp</v>
      </c>
      <c r="O1309" s="3">
        <f t="shared" si="21"/>
        <v>5000</v>
      </c>
    </row>
    <row r="1310" spans="1:15" x14ac:dyDescent="0.25">
      <c r="A1310" s="76">
        <v>43053</v>
      </c>
      <c r="B1310" s="77" t="s">
        <v>5504</v>
      </c>
      <c r="C1310" s="77" t="s">
        <v>5505</v>
      </c>
      <c r="D1310" s="77" t="s">
        <v>5506</v>
      </c>
      <c r="E1310" s="78">
        <v>5000</v>
      </c>
      <c r="F1310" s="77" t="s">
        <v>4814</v>
      </c>
      <c r="G1310" s="78">
        <v>100.5</v>
      </c>
      <c r="H1310" s="78">
        <v>100.5</v>
      </c>
      <c r="I1310" s="77" t="s">
        <v>4800</v>
      </c>
      <c r="L1310" s="3">
        <f>VLOOKUP(C1310,Securities!A:D,4,FALSE)</f>
        <v>5</v>
      </c>
      <c r="M1310" s="3" t="str">
        <f>VLOOKUP(C1310,Securities!A:B,2,FALSE)</f>
        <v>RU000A0JXTF6 Corp</v>
      </c>
      <c r="O1310" s="3">
        <f t="shared" si="21"/>
        <v>5000</v>
      </c>
    </row>
    <row r="1311" spans="1:15" x14ac:dyDescent="0.25">
      <c r="A1311" s="79">
        <v>43053</v>
      </c>
      <c r="B1311" s="80" t="s">
        <v>5504</v>
      </c>
      <c r="C1311" s="80" t="s">
        <v>5507</v>
      </c>
      <c r="D1311" s="80" t="s">
        <v>5508</v>
      </c>
      <c r="E1311" s="81">
        <v>5000</v>
      </c>
      <c r="F1311" s="80" t="s">
        <v>4814</v>
      </c>
      <c r="G1311" s="81">
        <v>102.69</v>
      </c>
      <c r="H1311" s="81">
        <v>102.69</v>
      </c>
      <c r="I1311" s="80" t="s">
        <v>4800</v>
      </c>
      <c r="L1311" s="3">
        <f>VLOOKUP(C1311,Securities!A:D,4,FALSE)</f>
        <v>5</v>
      </c>
      <c r="M1311" s="3" t="str">
        <f>VLOOKUP(C1311,Securities!A:B,2,FALSE)</f>
        <v>RU000A0JXPG2 Corp</v>
      </c>
      <c r="O1311" s="3">
        <f t="shared" si="21"/>
        <v>5000</v>
      </c>
    </row>
    <row r="1312" spans="1:15" x14ac:dyDescent="0.25">
      <c r="A1312" s="76">
        <v>43053</v>
      </c>
      <c r="B1312" s="77" t="s">
        <v>5504</v>
      </c>
      <c r="C1312" s="77" t="s">
        <v>4813</v>
      </c>
      <c r="D1312" s="77" t="s">
        <v>2573</v>
      </c>
      <c r="E1312" s="78">
        <v>5840</v>
      </c>
      <c r="F1312" s="77" t="s">
        <v>4814</v>
      </c>
      <c r="G1312" s="78">
        <v>104.835616</v>
      </c>
      <c r="H1312" s="78">
        <v>104.835616</v>
      </c>
      <c r="I1312" s="77" t="s">
        <v>4800</v>
      </c>
      <c r="L1312" s="3">
        <f>VLOOKUP(C1312,Securities!A:D,4,FALSE)</f>
        <v>5</v>
      </c>
      <c r="M1312" s="3" t="str">
        <f>VLOOKUP(C1312,Securities!A:B,2,FALSE)</f>
        <v>QZ580267 Corp</v>
      </c>
      <c r="O1312" s="3">
        <f t="shared" si="21"/>
        <v>5840</v>
      </c>
    </row>
    <row r="1313" spans="1:15" x14ac:dyDescent="0.25">
      <c r="A1313" s="79">
        <v>43053</v>
      </c>
      <c r="B1313" s="80" t="s">
        <v>5504</v>
      </c>
      <c r="C1313" s="80" t="s">
        <v>4982</v>
      </c>
      <c r="D1313" s="80" t="s">
        <v>4983</v>
      </c>
      <c r="E1313" s="81">
        <v>4993</v>
      </c>
      <c r="F1313" s="80" t="s">
        <v>4814</v>
      </c>
      <c r="G1313" s="81">
        <v>100.3</v>
      </c>
      <c r="H1313" s="81">
        <v>100.3</v>
      </c>
      <c r="I1313" s="80" t="s">
        <v>4800</v>
      </c>
      <c r="L1313" s="3">
        <f>VLOOKUP(C1313,Securities!A:D,4,FALSE)</f>
        <v>5</v>
      </c>
      <c r="M1313" s="3" t="str">
        <f>VLOOKUP(C1313,Securities!A:B,2,FALSE)</f>
        <v>RU000A0JXVY3 Corp</v>
      </c>
      <c r="O1313" s="3">
        <f t="shared" si="21"/>
        <v>4993</v>
      </c>
    </row>
    <row r="1314" spans="1:15" x14ac:dyDescent="0.25">
      <c r="A1314" s="76">
        <v>43053</v>
      </c>
      <c r="B1314" s="77" t="s">
        <v>5504</v>
      </c>
      <c r="C1314" s="77" t="s">
        <v>5128</v>
      </c>
      <c r="D1314" s="77" t="s">
        <v>4683</v>
      </c>
      <c r="E1314" s="78">
        <v>5000</v>
      </c>
      <c r="F1314" s="77" t="s">
        <v>4814</v>
      </c>
      <c r="G1314" s="78">
        <v>101.00332</v>
      </c>
      <c r="H1314" s="78">
        <v>101.00332</v>
      </c>
      <c r="I1314" s="77" t="s">
        <v>4800</v>
      </c>
      <c r="L1314" s="3">
        <f>VLOOKUP(C1314,Securities!A:D,4,FALSE)</f>
        <v>5</v>
      </c>
      <c r="M1314" s="3" t="str">
        <f>VLOOKUP(C1314,Securities!A:B,2,FALSE)</f>
        <v>RU000A0JXQ93 Corp</v>
      </c>
      <c r="O1314" s="3">
        <f t="shared" si="21"/>
        <v>5000</v>
      </c>
    </row>
    <row r="1315" spans="1:15" x14ac:dyDescent="0.25">
      <c r="A1315" s="79">
        <v>43053</v>
      </c>
      <c r="B1315" s="80" t="s">
        <v>5504</v>
      </c>
      <c r="C1315" s="80" t="s">
        <v>5443</v>
      </c>
      <c r="D1315" s="80" t="s">
        <v>5444</v>
      </c>
      <c r="E1315" s="81">
        <v>5000</v>
      </c>
      <c r="F1315" s="80" t="s">
        <v>4814</v>
      </c>
      <c r="G1315" s="81">
        <v>100.72</v>
      </c>
      <c r="H1315" s="81">
        <v>100.72</v>
      </c>
      <c r="I1315" s="80" t="s">
        <v>4800</v>
      </c>
      <c r="L1315" s="3">
        <f>VLOOKUP(C1315,Securities!A:D,4,FALSE)</f>
        <v>5</v>
      </c>
      <c r="M1315" s="3" t="str">
        <f>VLOOKUP(C1315,Securities!A:B,2,FALSE)</f>
        <v>RU000A0JXQK2 Corp</v>
      </c>
      <c r="O1315" s="3">
        <f t="shared" si="21"/>
        <v>5000</v>
      </c>
    </row>
    <row r="1316" spans="1:15" x14ac:dyDescent="0.25">
      <c r="A1316" s="76">
        <v>43053</v>
      </c>
      <c r="B1316" s="77" t="s">
        <v>5504</v>
      </c>
      <c r="C1316" s="77" t="s">
        <v>5129</v>
      </c>
      <c r="D1316" s="77" t="s">
        <v>4646</v>
      </c>
      <c r="E1316" s="78">
        <v>5000</v>
      </c>
      <c r="F1316" s="77" t="s">
        <v>4814</v>
      </c>
      <c r="G1316" s="78">
        <v>102.7402</v>
      </c>
      <c r="H1316" s="78">
        <v>102.7402</v>
      </c>
      <c r="I1316" s="77" t="s">
        <v>4800</v>
      </c>
      <c r="L1316" s="3">
        <f>VLOOKUP(C1316,Securities!A:D,4,FALSE)</f>
        <v>5</v>
      </c>
      <c r="M1316" s="3" t="str">
        <f>VLOOKUP(C1316,Securities!A:B,2,FALSE)</f>
        <v>RU000A0JXMQ8 Corp</v>
      </c>
      <c r="O1316" s="3">
        <f t="shared" si="21"/>
        <v>5000</v>
      </c>
    </row>
    <row r="1317" spans="1:15" x14ac:dyDescent="0.25">
      <c r="A1317" s="79">
        <v>43053</v>
      </c>
      <c r="B1317" s="80" t="s">
        <v>5504</v>
      </c>
      <c r="C1317" s="80" t="s">
        <v>5509</v>
      </c>
      <c r="D1317" s="80" t="s">
        <v>3965</v>
      </c>
      <c r="E1317" s="81">
        <v>5000</v>
      </c>
      <c r="F1317" s="80" t="s">
        <v>4814</v>
      </c>
      <c r="G1317" s="81">
        <v>103</v>
      </c>
      <c r="H1317" s="81">
        <v>103</v>
      </c>
      <c r="I1317" s="80" t="s">
        <v>4800</v>
      </c>
      <c r="L1317" s="3">
        <f>VLOOKUP(C1317,Securities!A:D,4,FALSE)</f>
        <v>5</v>
      </c>
      <c r="M1317" s="3" t="str">
        <f>VLOOKUP(C1317,Securities!A:B,2,FALSE)</f>
        <v>RU000A0JS3M7 Corp</v>
      </c>
      <c r="O1317" s="3">
        <f t="shared" si="21"/>
        <v>5000</v>
      </c>
    </row>
    <row r="1318" spans="1:15" x14ac:dyDescent="0.25">
      <c r="A1318" s="76">
        <v>43053</v>
      </c>
      <c r="B1318" s="77" t="s">
        <v>5504</v>
      </c>
      <c r="C1318" s="77" t="s">
        <v>5510</v>
      </c>
      <c r="D1318" s="77" t="s">
        <v>1589</v>
      </c>
      <c r="E1318" s="78">
        <v>5000</v>
      </c>
      <c r="F1318" s="77" t="s">
        <v>4814</v>
      </c>
      <c r="G1318" s="78">
        <v>99.748486</v>
      </c>
      <c r="H1318" s="78">
        <v>99.748486</v>
      </c>
      <c r="I1318" s="77" t="s">
        <v>4800</v>
      </c>
      <c r="L1318" s="3">
        <f>VLOOKUP(C1318,Securities!A:D,4,FALSE)</f>
        <v>5</v>
      </c>
      <c r="M1318" s="3" t="str">
        <f>VLOOKUP(C1318,Securities!A:B,2,FALSE)</f>
        <v>RU000A0JUD83 Corp</v>
      </c>
      <c r="O1318" s="3">
        <f t="shared" si="21"/>
        <v>5000</v>
      </c>
    </row>
    <row r="1319" spans="1:15" x14ac:dyDescent="0.25">
      <c r="A1319" s="79">
        <v>43053</v>
      </c>
      <c r="B1319" s="80" t="s">
        <v>5511</v>
      </c>
      <c r="C1319" s="80" t="s">
        <v>4955</v>
      </c>
      <c r="D1319" s="80" t="s">
        <v>126</v>
      </c>
      <c r="E1319" s="81">
        <v>9100</v>
      </c>
      <c r="F1319" s="80" t="s">
        <v>4810</v>
      </c>
      <c r="G1319" s="81">
        <v>184.528021</v>
      </c>
      <c r="H1319" s="81">
        <v>3.204434</v>
      </c>
      <c r="I1319" s="80" t="s">
        <v>4800</v>
      </c>
      <c r="L1319" s="3">
        <f>VLOOKUP(C1319,Securities!A:D,4,FALSE)</f>
        <v>1</v>
      </c>
      <c r="M1319" s="3" t="str">
        <f>VLOOKUP(C1319,Securities!A:B,2,FALSE)</f>
        <v>AFLT RX Equity</v>
      </c>
      <c r="O1319" s="3">
        <f t="shared" si="21"/>
        <v>9100</v>
      </c>
    </row>
    <row r="1320" spans="1:15" x14ac:dyDescent="0.25">
      <c r="A1320" s="76">
        <v>43053</v>
      </c>
      <c r="B1320" s="77" t="s">
        <v>5511</v>
      </c>
      <c r="C1320" s="77" t="s">
        <v>4895</v>
      </c>
      <c r="D1320" s="77" t="s">
        <v>144</v>
      </c>
      <c r="E1320" s="78">
        <v>1125</v>
      </c>
      <c r="F1320" s="77" t="s">
        <v>4810</v>
      </c>
      <c r="G1320" s="78">
        <v>1329.5551109999999</v>
      </c>
      <c r="H1320" s="78">
        <v>22.484832000000001</v>
      </c>
      <c r="I1320" s="77" t="s">
        <v>4800</v>
      </c>
      <c r="L1320" s="3">
        <f>VLOOKUP(C1320,Securities!A:D,4,FALSE)</f>
        <v>1</v>
      </c>
      <c r="M1320" s="3" t="str">
        <f>VLOOKUP(C1320,Securities!A:B,2,FALSE)</f>
        <v>BANEP RX Equity</v>
      </c>
      <c r="O1320" s="3">
        <f t="shared" si="21"/>
        <v>1125</v>
      </c>
    </row>
    <row r="1321" spans="1:15" x14ac:dyDescent="0.25">
      <c r="A1321" s="79">
        <v>43053</v>
      </c>
      <c r="B1321" s="80" t="s">
        <v>5511</v>
      </c>
      <c r="C1321" s="80" t="s">
        <v>4847</v>
      </c>
      <c r="D1321" s="80" t="s">
        <v>369</v>
      </c>
      <c r="E1321" s="81">
        <v>512</v>
      </c>
      <c r="F1321" s="80" t="s">
        <v>4810</v>
      </c>
      <c r="G1321" s="81">
        <v>2930.9248040000002</v>
      </c>
      <c r="H1321" s="81">
        <v>48.583078</v>
      </c>
      <c r="I1321" s="80" t="s">
        <v>4800</v>
      </c>
      <c r="L1321" s="3">
        <f>VLOOKUP(C1321,Securities!A:D,4,FALSE)</f>
        <v>1</v>
      </c>
      <c r="M1321" s="3" t="str">
        <f>VLOOKUP(C1321,Securities!A:B,2,FALSE)</f>
        <v>LKOH RX Equity</v>
      </c>
      <c r="O1321" s="3">
        <f t="shared" si="21"/>
        <v>512</v>
      </c>
    </row>
    <row r="1322" spans="1:15" x14ac:dyDescent="0.25">
      <c r="A1322" s="76">
        <v>43053</v>
      </c>
      <c r="B1322" s="77" t="s">
        <v>5511</v>
      </c>
      <c r="C1322" s="77" t="s">
        <v>4867</v>
      </c>
      <c r="D1322" s="77" t="s">
        <v>473</v>
      </c>
      <c r="E1322" s="78">
        <v>13550</v>
      </c>
      <c r="F1322" s="77" t="s">
        <v>4810</v>
      </c>
      <c r="G1322" s="78">
        <v>110.689121</v>
      </c>
      <c r="H1322" s="78">
        <v>1.8347850000000001</v>
      </c>
      <c r="I1322" s="77" t="s">
        <v>4800</v>
      </c>
      <c r="L1322" s="3">
        <f>VLOOKUP(C1322,Securities!A:D,4,FALSE)</f>
        <v>1</v>
      </c>
      <c r="M1322" s="3" t="str">
        <f>VLOOKUP(C1322,Securities!A:B,2,FALSE)</f>
        <v>MOEX RX Equity</v>
      </c>
      <c r="O1322" s="3">
        <f t="shared" si="21"/>
        <v>13550</v>
      </c>
    </row>
    <row r="1323" spans="1:15" x14ac:dyDescent="0.25">
      <c r="A1323" s="79">
        <v>43053</v>
      </c>
      <c r="B1323" s="80" t="s">
        <v>5511</v>
      </c>
      <c r="C1323" s="80" t="s">
        <v>5512</v>
      </c>
      <c r="D1323" s="80" t="s">
        <v>500</v>
      </c>
      <c r="E1323" s="81">
        <v>10800</v>
      </c>
      <c r="F1323" s="80" t="s">
        <v>4810</v>
      </c>
      <c r="G1323" s="81">
        <v>134.04</v>
      </c>
      <c r="H1323" s="81">
        <v>2.2344240000000002</v>
      </c>
      <c r="I1323" s="80" t="s">
        <v>4800</v>
      </c>
      <c r="L1323" s="3">
        <f>VLOOKUP(C1323,Securities!A:D,4,FALSE)</f>
        <v>1</v>
      </c>
      <c r="M1323" s="3" t="str">
        <f>VLOOKUP(C1323,Securities!A:B,2,FALSE)</f>
        <v>NLMK RX Equity</v>
      </c>
      <c r="O1323" s="3">
        <f t="shared" si="21"/>
        <v>10800</v>
      </c>
    </row>
    <row r="1324" spans="1:15" x14ac:dyDescent="0.25">
      <c r="A1324" s="76">
        <v>43053</v>
      </c>
      <c r="B1324" s="77" t="s">
        <v>5511</v>
      </c>
      <c r="C1324" s="77" t="s">
        <v>4848</v>
      </c>
      <c r="D1324" s="77" t="s">
        <v>511</v>
      </c>
      <c r="E1324" s="78">
        <v>2450</v>
      </c>
      <c r="F1324" s="77" t="s">
        <v>4810</v>
      </c>
      <c r="G1324" s="78">
        <v>612.66326500000002</v>
      </c>
      <c r="H1324" s="78">
        <v>10.155519999999999</v>
      </c>
      <c r="I1324" s="77" t="s">
        <v>4800</v>
      </c>
      <c r="L1324" s="3">
        <f>VLOOKUP(C1324,Securities!A:D,4,FALSE)</f>
        <v>1</v>
      </c>
      <c r="M1324" s="3" t="str">
        <f>VLOOKUP(C1324,Securities!A:B,2,FALSE)</f>
        <v>NVTK RX Equity</v>
      </c>
      <c r="O1324" s="3">
        <f t="shared" si="21"/>
        <v>2450</v>
      </c>
    </row>
    <row r="1325" spans="1:15" x14ac:dyDescent="0.25">
      <c r="A1325" s="79">
        <v>43053</v>
      </c>
      <c r="B1325" s="80" t="s">
        <v>5511</v>
      </c>
      <c r="C1325" s="80" t="s">
        <v>4924</v>
      </c>
      <c r="D1325" s="80" t="s">
        <v>829</v>
      </c>
      <c r="E1325" s="81">
        <v>825</v>
      </c>
      <c r="F1325" s="80" t="s">
        <v>4810</v>
      </c>
      <c r="G1325" s="81">
        <v>2274.7478780000001</v>
      </c>
      <c r="H1325" s="81">
        <v>39.502299999999998</v>
      </c>
      <c r="I1325" s="80" t="s">
        <v>4800</v>
      </c>
      <c r="L1325" s="3">
        <f>VLOOKUP(C1325,Securities!A:D,4,FALSE)</f>
        <v>1</v>
      </c>
      <c r="M1325" s="3" t="str">
        <f>VLOOKUP(C1325,Securities!A:B,2,FALSE)</f>
        <v>PHOR RX Equity</v>
      </c>
      <c r="O1325" s="3">
        <f t="shared" si="21"/>
        <v>825</v>
      </c>
    </row>
    <row r="1326" spans="1:15" x14ac:dyDescent="0.25">
      <c r="A1326" s="76">
        <v>43053</v>
      </c>
      <c r="B1326" s="77" t="s">
        <v>5511</v>
      </c>
      <c r="C1326" s="77" t="s">
        <v>4917</v>
      </c>
      <c r="D1326" s="77" t="s">
        <v>742</v>
      </c>
      <c r="E1326" s="78">
        <v>18950</v>
      </c>
      <c r="F1326" s="77" t="s">
        <v>4810</v>
      </c>
      <c r="G1326" s="78">
        <v>79.236744000000002</v>
      </c>
      <c r="H1326" s="78">
        <v>1.3134300000000001</v>
      </c>
      <c r="I1326" s="77" t="s">
        <v>4800</v>
      </c>
      <c r="L1326" s="3">
        <f>VLOOKUP(C1326,Securities!A:D,4,FALSE)</f>
        <v>1</v>
      </c>
      <c r="M1326" s="3" t="str">
        <f>VLOOKUP(C1326,Securities!A:B,2,FALSE)</f>
        <v>TRMK RX Equity</v>
      </c>
      <c r="O1326" s="3">
        <f t="shared" si="21"/>
        <v>18950</v>
      </c>
    </row>
    <row r="1327" spans="1:15" x14ac:dyDescent="0.25">
      <c r="A1327" s="79">
        <v>43053</v>
      </c>
      <c r="B1327" s="80" t="s">
        <v>5513</v>
      </c>
      <c r="C1327" s="80" t="s">
        <v>4798</v>
      </c>
      <c r="D1327" s="80" t="s">
        <v>45</v>
      </c>
      <c r="E1327" s="81">
        <v>80000</v>
      </c>
      <c r="F1327" s="80" t="s">
        <v>4799</v>
      </c>
      <c r="G1327" s="81">
        <v>37.520000000000003</v>
      </c>
      <c r="H1327" s="81">
        <v>0.65511799999999998</v>
      </c>
      <c r="I1327" s="80" t="s">
        <v>4800</v>
      </c>
      <c r="L1327" s="3">
        <f>VLOOKUP(C1327,Securities!A:D,4,FALSE)</f>
        <v>1</v>
      </c>
      <c r="M1327" s="3" t="str">
        <f>VLOOKUP(C1327,Securities!A:B,2,FALSE)</f>
        <v>RUAL RX Equity</v>
      </c>
      <c r="O1327" s="3">
        <f t="shared" si="21"/>
        <v>80000</v>
      </c>
    </row>
    <row r="1328" spans="1:15" x14ac:dyDescent="0.25">
      <c r="A1328" s="76">
        <v>43053</v>
      </c>
      <c r="B1328" s="77" t="s">
        <v>5513</v>
      </c>
      <c r="C1328" s="77" t="s">
        <v>4801</v>
      </c>
      <c r="D1328" s="77" t="s">
        <v>4802</v>
      </c>
      <c r="E1328" s="78">
        <v>270</v>
      </c>
      <c r="F1328" s="77" t="s">
        <v>4799</v>
      </c>
      <c r="G1328" s="78">
        <v>10675.072512000001</v>
      </c>
      <c r="H1328" s="78">
        <v>185.74840699999999</v>
      </c>
      <c r="I1328" s="77" t="s">
        <v>4800</v>
      </c>
      <c r="L1328" s="3">
        <f>VLOOKUP(C1328,Securities!A:D,4,FALSE)</f>
        <v>1</v>
      </c>
      <c r="M1328" s="3" t="str">
        <f>VLOOKUP(C1328,Securities!A:B,2,FALSE)</f>
        <v>AGN US Equity</v>
      </c>
      <c r="O1328" s="3">
        <f t="shared" si="21"/>
        <v>270</v>
      </c>
    </row>
    <row r="1329" spans="1:15" x14ac:dyDescent="0.25">
      <c r="A1329" s="79">
        <v>43053</v>
      </c>
      <c r="B1329" s="80" t="s">
        <v>5513</v>
      </c>
      <c r="C1329" s="80" t="s">
        <v>4866</v>
      </c>
      <c r="D1329" s="80" t="s">
        <v>99</v>
      </c>
      <c r="E1329" s="81">
        <v>40000</v>
      </c>
      <c r="F1329" s="80" t="s">
        <v>4810</v>
      </c>
      <c r="G1329" s="81">
        <v>91.025899999999993</v>
      </c>
      <c r="H1329" s="81">
        <v>1.6103419999999999</v>
      </c>
      <c r="I1329" s="80" t="s">
        <v>4800</v>
      </c>
      <c r="L1329" s="3">
        <f>VLOOKUP(C1329,Securities!A:D,4,FALSE)</f>
        <v>1</v>
      </c>
      <c r="M1329" s="3" t="str">
        <f>VLOOKUP(C1329,Securities!A:B,2,FALSE)</f>
        <v>ALRS RX Equity</v>
      </c>
      <c r="O1329" s="3">
        <f t="shared" si="21"/>
        <v>40000</v>
      </c>
    </row>
    <row r="1330" spans="1:15" x14ac:dyDescent="0.25">
      <c r="A1330" s="76">
        <v>43053</v>
      </c>
      <c r="B1330" s="77" t="s">
        <v>5513</v>
      </c>
      <c r="C1330" s="77" t="s">
        <v>4920</v>
      </c>
      <c r="D1330" s="77" t="s">
        <v>4921</v>
      </c>
      <c r="E1330" s="78">
        <v>4420</v>
      </c>
      <c r="F1330" s="77" t="s">
        <v>4898</v>
      </c>
      <c r="G1330" s="78">
        <v>647.59419000000003</v>
      </c>
      <c r="H1330" s="78">
        <v>11.226018</v>
      </c>
      <c r="I1330" s="77" t="s">
        <v>4800</v>
      </c>
      <c r="L1330" s="3">
        <f>VLOOKUP(C1330,Securities!A:D,4,FALSE)</f>
        <v>1</v>
      </c>
      <c r="M1330" s="3" t="str">
        <f>VLOOKUP(C1330,Securities!A:B,2,FALSE)</f>
        <v>AMLP US Equity</v>
      </c>
      <c r="O1330" s="3">
        <f t="shared" si="21"/>
        <v>4420</v>
      </c>
    </row>
    <row r="1331" spans="1:15" x14ac:dyDescent="0.25">
      <c r="A1331" s="79">
        <v>43053</v>
      </c>
      <c r="B1331" s="80" t="s">
        <v>5513</v>
      </c>
      <c r="C1331" s="80" t="s">
        <v>5472</v>
      </c>
      <c r="D1331" s="80" t="s">
        <v>5473</v>
      </c>
      <c r="E1331" s="81">
        <v>170000</v>
      </c>
      <c r="F1331" s="80" t="s">
        <v>4838</v>
      </c>
      <c r="G1331" s="81">
        <v>100</v>
      </c>
      <c r="H1331" s="81">
        <v>100</v>
      </c>
      <c r="I1331" s="80" t="s">
        <v>4800</v>
      </c>
      <c r="L1331" s="3">
        <f>VLOOKUP(C1331,Securities!A:D,4,FALSE)</f>
        <v>5</v>
      </c>
      <c r="M1331" s="3" t="str">
        <f>VLOOKUP(C1331,Securities!A:B,2,FALSE)</f>
        <v>CH0361710855 Corp</v>
      </c>
      <c r="O1331" s="3">
        <f t="shared" si="21"/>
        <v>170000</v>
      </c>
    </row>
    <row r="1332" spans="1:15" x14ac:dyDescent="0.25">
      <c r="A1332" s="76">
        <v>43053</v>
      </c>
      <c r="B1332" s="77" t="s">
        <v>5513</v>
      </c>
      <c r="C1332" s="77" t="s">
        <v>4939</v>
      </c>
      <c r="D1332" s="77" t="s">
        <v>4940</v>
      </c>
      <c r="E1332" s="78">
        <v>100000</v>
      </c>
      <c r="F1332" s="77" t="s">
        <v>4838</v>
      </c>
      <c r="G1332" s="78">
        <v>100</v>
      </c>
      <c r="H1332" s="78">
        <v>100</v>
      </c>
      <c r="I1332" s="77" t="s">
        <v>4800</v>
      </c>
      <c r="L1332" s="3">
        <f>VLOOKUP(C1332,Securities!A:D,4,FALSE)</f>
        <v>5</v>
      </c>
      <c r="M1332" s="3" t="str">
        <f>VLOOKUP(C1332,Securities!A:B,2,FALSE)</f>
        <v>CH0384861404 Corp</v>
      </c>
      <c r="O1332" s="3">
        <f t="shared" si="21"/>
        <v>100000</v>
      </c>
    </row>
    <row r="1333" spans="1:15" x14ac:dyDescent="0.25">
      <c r="A1333" s="79">
        <v>43053</v>
      </c>
      <c r="B1333" s="80" t="s">
        <v>5513</v>
      </c>
      <c r="C1333" s="80" t="s">
        <v>4869</v>
      </c>
      <c r="D1333" s="80" t="s">
        <v>4870</v>
      </c>
      <c r="E1333" s="81">
        <v>50000</v>
      </c>
      <c r="F1333" s="80" t="s">
        <v>4838</v>
      </c>
      <c r="G1333" s="81">
        <v>100</v>
      </c>
      <c r="H1333" s="81">
        <v>100</v>
      </c>
      <c r="I1333" s="80" t="s">
        <v>4800</v>
      </c>
      <c r="L1333" s="3">
        <f>VLOOKUP(C1333,Securities!A:D,4,FALSE)</f>
        <v>5</v>
      </c>
      <c r="M1333" s="3" t="str">
        <f>VLOOKUP(C1333,Securities!A:B,2,FALSE)</f>
        <v>CH0384862550 Corp</v>
      </c>
      <c r="O1333" s="3">
        <f t="shared" si="21"/>
        <v>50000</v>
      </c>
    </row>
    <row r="1334" spans="1:15" x14ac:dyDescent="0.25">
      <c r="A1334" s="76">
        <v>43053</v>
      </c>
      <c r="B1334" s="77" t="s">
        <v>5513</v>
      </c>
      <c r="C1334" s="77" t="s">
        <v>4805</v>
      </c>
      <c r="D1334" s="77" t="s">
        <v>31</v>
      </c>
      <c r="E1334" s="78">
        <v>300000</v>
      </c>
      <c r="F1334" s="77" t="s">
        <v>4806</v>
      </c>
      <c r="G1334" s="78">
        <v>175</v>
      </c>
      <c r="H1334" s="78">
        <v>175</v>
      </c>
      <c r="I1334" s="77" t="s">
        <v>4800</v>
      </c>
      <c r="L1334" s="3">
        <f>VLOOKUP(C1334,Securities!A:D,4,FALSE)</f>
        <v>5</v>
      </c>
      <c r="M1334" s="3" t="str">
        <f>VLOOKUP(C1334,Securities!A:B,2,FALSE)</f>
        <v>TT343269 Corp</v>
      </c>
      <c r="O1334" s="3">
        <f t="shared" si="21"/>
        <v>300000</v>
      </c>
    </row>
    <row r="1335" spans="1:15" x14ac:dyDescent="0.25">
      <c r="A1335" s="79">
        <v>43053</v>
      </c>
      <c r="B1335" s="80" t="s">
        <v>5513</v>
      </c>
      <c r="C1335" s="80" t="s">
        <v>4841</v>
      </c>
      <c r="D1335" s="80" t="s">
        <v>4842</v>
      </c>
      <c r="E1335" s="81">
        <v>50000</v>
      </c>
      <c r="F1335" s="80" t="s">
        <v>4838</v>
      </c>
      <c r="G1335" s="81">
        <v>98</v>
      </c>
      <c r="H1335" s="81">
        <v>98</v>
      </c>
      <c r="I1335" s="80" t="s">
        <v>4800</v>
      </c>
      <c r="L1335" s="3">
        <f>VLOOKUP(C1335,Securities!A:D,4,FALSE)</f>
        <v>5</v>
      </c>
      <c r="M1335" s="3" t="str">
        <f>VLOOKUP(C1335,Securities!A:B,2,FALSE)</f>
        <v>XS1605088928 Corp</v>
      </c>
      <c r="O1335" s="3">
        <f t="shared" si="21"/>
        <v>50000</v>
      </c>
    </row>
    <row r="1336" spans="1:15" x14ac:dyDescent="0.25">
      <c r="A1336" s="76">
        <v>43053</v>
      </c>
      <c r="B1336" s="77" t="s">
        <v>5513</v>
      </c>
      <c r="C1336" s="77" t="s">
        <v>4809</v>
      </c>
      <c r="D1336" s="77" t="s">
        <v>30</v>
      </c>
      <c r="E1336" s="78">
        <v>26250</v>
      </c>
      <c r="F1336" s="77" t="s">
        <v>4810</v>
      </c>
      <c r="G1336" s="78">
        <v>119.88</v>
      </c>
      <c r="H1336" s="78">
        <v>2.0979640000000002</v>
      </c>
      <c r="I1336" s="77" t="s">
        <v>4800</v>
      </c>
      <c r="L1336" s="3">
        <f>VLOOKUP(C1336,Securities!A:D,4,FALSE)</f>
        <v>1</v>
      </c>
      <c r="M1336" s="3" t="str">
        <f>VLOOKUP(C1336,Securities!A:B,2,FALSE)</f>
        <v>GAZP RX Equity</v>
      </c>
      <c r="O1336" s="3">
        <f t="shared" si="21"/>
        <v>26250</v>
      </c>
    </row>
    <row r="1337" spans="1:15" x14ac:dyDescent="0.25">
      <c r="A1337" s="79">
        <v>43053</v>
      </c>
      <c r="B1337" s="80" t="s">
        <v>5513</v>
      </c>
      <c r="C1337" s="80" t="s">
        <v>4811</v>
      </c>
      <c r="D1337" s="80" t="s">
        <v>4659</v>
      </c>
      <c r="E1337" s="81">
        <v>92752</v>
      </c>
      <c r="F1337" s="80" t="s">
        <v>4799</v>
      </c>
      <c r="G1337" s="81">
        <v>107.159221</v>
      </c>
      <c r="H1337" s="81">
        <v>1.860725</v>
      </c>
      <c r="I1337" s="80" t="s">
        <v>4800</v>
      </c>
      <c r="L1337" s="3">
        <f>VLOOKUP(C1337,Securities!A:D,4,FALSE)</f>
        <v>1</v>
      </c>
      <c r="M1337" s="3" t="str">
        <f>VLOOKUP(C1337,Securities!A:B,2,FALSE)</f>
        <v>HGM LN Equity</v>
      </c>
      <c r="O1337" s="3">
        <f t="shared" si="21"/>
        <v>92752</v>
      </c>
    </row>
    <row r="1338" spans="1:15" x14ac:dyDescent="0.25">
      <c r="A1338" s="76">
        <v>43053</v>
      </c>
      <c r="B1338" s="77" t="s">
        <v>5513</v>
      </c>
      <c r="C1338" s="77" t="s">
        <v>4812</v>
      </c>
      <c r="D1338" s="77" t="s">
        <v>4675</v>
      </c>
      <c r="E1338" s="78">
        <v>5254</v>
      </c>
      <c r="F1338" s="77" t="s">
        <v>4804</v>
      </c>
      <c r="G1338" s="78">
        <v>524.81563700000004</v>
      </c>
      <c r="H1338" s="78">
        <v>9.3094020000000004</v>
      </c>
      <c r="I1338" s="77" t="s">
        <v>4800</v>
      </c>
      <c r="L1338" s="3">
        <f>VLOOKUP(C1338,Securities!A:D,4,FALSE)</f>
        <v>1</v>
      </c>
      <c r="M1338" s="3" t="str">
        <f>VLOOKUP(C1338,Securities!A:B,2,FALSE)</f>
        <v>KMG LI Equity</v>
      </c>
      <c r="O1338" s="3">
        <f t="shared" si="21"/>
        <v>5254</v>
      </c>
    </row>
    <row r="1339" spans="1:15" x14ac:dyDescent="0.25">
      <c r="A1339" s="79">
        <v>43053</v>
      </c>
      <c r="B1339" s="80" t="s">
        <v>5513</v>
      </c>
      <c r="C1339" s="80" t="s">
        <v>4847</v>
      </c>
      <c r="D1339" s="80" t="s">
        <v>369</v>
      </c>
      <c r="E1339" s="81">
        <v>660</v>
      </c>
      <c r="F1339" s="80" t="s">
        <v>4810</v>
      </c>
      <c r="G1339" s="81">
        <v>3018</v>
      </c>
      <c r="H1339" s="81">
        <v>52.456302999999998</v>
      </c>
      <c r="I1339" s="80" t="s">
        <v>4800</v>
      </c>
      <c r="L1339" s="3">
        <f>VLOOKUP(C1339,Securities!A:D,4,FALSE)</f>
        <v>1</v>
      </c>
      <c r="M1339" s="3" t="str">
        <f>VLOOKUP(C1339,Securities!A:B,2,FALSE)</f>
        <v>LKOH RX Equity</v>
      </c>
      <c r="O1339" s="3">
        <f t="shared" si="21"/>
        <v>660</v>
      </c>
    </row>
    <row r="1340" spans="1:15" x14ac:dyDescent="0.25">
      <c r="A1340" s="76">
        <v>43053</v>
      </c>
      <c r="B1340" s="77" t="s">
        <v>5513</v>
      </c>
      <c r="C1340" s="77" t="s">
        <v>4910</v>
      </c>
      <c r="D1340" s="77" t="s">
        <v>366</v>
      </c>
      <c r="E1340" s="78">
        <v>2460</v>
      </c>
      <c r="F1340" s="77" t="s">
        <v>4810</v>
      </c>
      <c r="G1340" s="78">
        <v>812.99800000000005</v>
      </c>
      <c r="H1340" s="78">
        <v>14.097929000000001</v>
      </c>
      <c r="I1340" s="77" t="s">
        <v>4800</v>
      </c>
      <c r="L1340" s="3">
        <f>VLOOKUP(C1340,Securities!A:D,4,FALSE)</f>
        <v>1</v>
      </c>
      <c r="M1340" s="3" t="str">
        <f>VLOOKUP(C1340,Securities!A:B,2,FALSE)</f>
        <v>LSRG RX Equity</v>
      </c>
      <c r="O1340" s="3">
        <f t="shared" si="21"/>
        <v>2460</v>
      </c>
    </row>
    <row r="1341" spans="1:15" x14ac:dyDescent="0.25">
      <c r="A1341" s="79">
        <v>43053</v>
      </c>
      <c r="B1341" s="80" t="s">
        <v>5513</v>
      </c>
      <c r="C1341" s="80" t="s">
        <v>5093</v>
      </c>
      <c r="D1341" s="80" t="s">
        <v>447</v>
      </c>
      <c r="E1341" s="81">
        <v>400</v>
      </c>
      <c r="F1341" s="80" t="s">
        <v>4810</v>
      </c>
      <c r="G1341" s="81">
        <v>7430</v>
      </c>
      <c r="H1341" s="81">
        <v>127.104799</v>
      </c>
      <c r="I1341" s="80" t="s">
        <v>4800</v>
      </c>
      <c r="L1341" s="3">
        <f>VLOOKUP(C1341,Securities!A:D,4,FALSE)</f>
        <v>1</v>
      </c>
      <c r="M1341" s="3" t="str">
        <f>VLOOKUP(C1341,Securities!A:B,2,FALSE)</f>
        <v>MGNT RX Equity</v>
      </c>
      <c r="O1341" s="3">
        <f t="shared" si="21"/>
        <v>400</v>
      </c>
    </row>
    <row r="1342" spans="1:15" x14ac:dyDescent="0.25">
      <c r="A1342" s="76">
        <v>43053</v>
      </c>
      <c r="B1342" s="77" t="s">
        <v>5513</v>
      </c>
      <c r="C1342" s="77" t="s">
        <v>4863</v>
      </c>
      <c r="D1342" s="77" t="s">
        <v>4864</v>
      </c>
      <c r="E1342" s="78">
        <v>200000</v>
      </c>
      <c r="F1342" s="77" t="s">
        <v>4806</v>
      </c>
      <c r="G1342" s="78">
        <v>103.78</v>
      </c>
      <c r="H1342" s="78">
        <v>103.78</v>
      </c>
      <c r="I1342" s="77" t="s">
        <v>4800</v>
      </c>
      <c r="L1342" s="3">
        <f>VLOOKUP(C1342,Securities!A:D,4,FALSE)</f>
        <v>5</v>
      </c>
      <c r="M1342" s="3" t="str">
        <f>VLOOKUP(C1342,Securities!A:B,2,FALSE)</f>
        <v>USN54468AF52 Corp</v>
      </c>
      <c r="O1342" s="3">
        <f t="shared" si="21"/>
        <v>200000</v>
      </c>
    </row>
    <row r="1343" spans="1:15" x14ac:dyDescent="0.25">
      <c r="A1343" s="79">
        <v>43053</v>
      </c>
      <c r="B1343" s="80" t="s">
        <v>5513</v>
      </c>
      <c r="C1343" s="80" t="s">
        <v>4848</v>
      </c>
      <c r="D1343" s="80" t="s">
        <v>511</v>
      </c>
      <c r="E1343" s="81">
        <v>5070</v>
      </c>
      <c r="F1343" s="80" t="s">
        <v>4810</v>
      </c>
      <c r="G1343" s="81">
        <v>607.79999999999995</v>
      </c>
      <c r="H1343" s="81">
        <v>10.636827</v>
      </c>
      <c r="I1343" s="80" t="s">
        <v>4800</v>
      </c>
      <c r="L1343" s="3">
        <f>VLOOKUP(C1343,Securities!A:D,4,FALSE)</f>
        <v>1</v>
      </c>
      <c r="M1343" s="3" t="str">
        <f>VLOOKUP(C1343,Securities!A:B,2,FALSE)</f>
        <v>NVTK RX Equity</v>
      </c>
      <c r="O1343" s="3">
        <f t="shared" si="21"/>
        <v>5070</v>
      </c>
    </row>
    <row r="1344" spans="1:15" x14ac:dyDescent="0.25">
      <c r="A1344" s="76">
        <v>43053</v>
      </c>
      <c r="B1344" s="77" t="s">
        <v>5513</v>
      </c>
      <c r="C1344" s="77" t="s">
        <v>4821</v>
      </c>
      <c r="D1344" s="77" t="s">
        <v>42</v>
      </c>
      <c r="E1344" s="78">
        <v>6991</v>
      </c>
      <c r="F1344" s="77" t="s">
        <v>4799</v>
      </c>
      <c r="G1344" s="78">
        <v>606.57796599999995</v>
      </c>
      <c r="H1344" s="78">
        <v>9.9061819999999994</v>
      </c>
      <c r="I1344" s="77" t="s">
        <v>4800</v>
      </c>
      <c r="L1344" s="3">
        <f>VLOOKUP(C1344,Securities!A:D,4,FALSE)</f>
        <v>1</v>
      </c>
      <c r="M1344" s="3" t="str">
        <f>VLOOKUP(C1344,Securities!A:B,2,FALSE)</f>
        <v>POLY LN Equity</v>
      </c>
      <c r="O1344" s="3">
        <f t="shared" si="21"/>
        <v>6991</v>
      </c>
    </row>
    <row r="1345" spans="1:15" x14ac:dyDescent="0.25">
      <c r="A1345" s="79">
        <v>43053</v>
      </c>
      <c r="B1345" s="80" t="s">
        <v>5513</v>
      </c>
      <c r="C1345" s="80" t="s">
        <v>4822</v>
      </c>
      <c r="D1345" s="80" t="s">
        <v>613</v>
      </c>
      <c r="E1345" s="81">
        <v>37800</v>
      </c>
      <c r="F1345" s="80" t="s">
        <v>4810</v>
      </c>
      <c r="G1345" s="81">
        <v>71.48</v>
      </c>
      <c r="H1345" s="81">
        <v>1.206358</v>
      </c>
      <c r="I1345" s="80" t="s">
        <v>4800</v>
      </c>
      <c r="L1345" s="3">
        <f>VLOOKUP(C1345,Securities!A:D,4,FALSE)</f>
        <v>1</v>
      </c>
      <c r="M1345" s="3" t="str">
        <f>VLOOKUP(C1345,Securities!A:B,2,FALSE)</f>
        <v>RTKM RX Equity</v>
      </c>
      <c r="O1345" s="3">
        <f t="shared" si="21"/>
        <v>37800</v>
      </c>
    </row>
    <row r="1346" spans="1:15" x14ac:dyDescent="0.25">
      <c r="A1346" s="76">
        <v>43053</v>
      </c>
      <c r="B1346" s="77" t="s">
        <v>5513</v>
      </c>
      <c r="C1346" s="77" t="s">
        <v>4851</v>
      </c>
      <c r="D1346" s="77" t="s">
        <v>4744</v>
      </c>
      <c r="E1346" s="78">
        <v>200000</v>
      </c>
      <c r="F1346" s="77" t="s">
        <v>4806</v>
      </c>
      <c r="G1346" s="78">
        <v>101.21</v>
      </c>
      <c r="H1346" s="78">
        <v>101.21</v>
      </c>
      <c r="I1346" s="77" t="s">
        <v>4800</v>
      </c>
      <c r="L1346" s="3">
        <f>VLOOKUP(C1346,Securities!A:D,4,FALSE)</f>
        <v>5</v>
      </c>
      <c r="M1346" s="3" t="str">
        <f>VLOOKUP(C1346,Securities!A:B,2,FALSE)</f>
        <v>XS1032750165 Corp</v>
      </c>
      <c r="O1346" s="3">
        <f t="shared" si="21"/>
        <v>200000</v>
      </c>
    </row>
    <row r="1347" spans="1:15" x14ac:dyDescent="0.25">
      <c r="A1347" s="79">
        <v>43053</v>
      </c>
      <c r="B1347" s="80" t="s">
        <v>5513</v>
      </c>
      <c r="C1347" s="80" t="s">
        <v>4927</v>
      </c>
      <c r="D1347" s="80" t="s">
        <v>4928</v>
      </c>
      <c r="E1347" s="81">
        <v>3735</v>
      </c>
      <c r="F1347" s="80" t="s">
        <v>4898</v>
      </c>
      <c r="G1347" s="81">
        <v>917.00319200000001</v>
      </c>
      <c r="H1347" s="81">
        <v>15.805794000000001</v>
      </c>
      <c r="I1347" s="80" t="s">
        <v>4800</v>
      </c>
      <c r="L1347" s="3">
        <f>VLOOKUP(C1347,Securities!A:D,4,FALSE)</f>
        <v>1</v>
      </c>
      <c r="M1347" s="3" t="str">
        <f>VLOOKUP(C1347,Securities!A:B,2,FALSE)</f>
        <v>SX7EEX GY Equity</v>
      </c>
      <c r="O1347" s="3">
        <f t="shared" si="21"/>
        <v>3735</v>
      </c>
    </row>
    <row r="1348" spans="1:15" x14ac:dyDescent="0.25">
      <c r="A1348" s="76">
        <v>43053</v>
      </c>
      <c r="B1348" s="77" t="s">
        <v>5513</v>
      </c>
      <c r="C1348" s="77" t="s">
        <v>4917</v>
      </c>
      <c r="D1348" s="77" t="s">
        <v>742</v>
      </c>
      <c r="E1348" s="78">
        <v>29400</v>
      </c>
      <c r="F1348" s="77" t="s">
        <v>4810</v>
      </c>
      <c r="G1348" s="78">
        <v>67.855146000000005</v>
      </c>
      <c r="H1348" s="78">
        <v>1.1766529999999999</v>
      </c>
      <c r="I1348" s="77" t="s">
        <v>4800</v>
      </c>
      <c r="L1348" s="3">
        <f>VLOOKUP(C1348,Securities!A:D,4,FALSE)</f>
        <v>1</v>
      </c>
      <c r="M1348" s="3" t="str">
        <f>VLOOKUP(C1348,Securities!A:B,2,FALSE)</f>
        <v>TRMK RX Equity</v>
      </c>
      <c r="O1348" s="3">
        <f t="shared" si="21"/>
        <v>29400</v>
      </c>
    </row>
    <row r="1349" spans="1:15" x14ac:dyDescent="0.25">
      <c r="A1349" s="79">
        <v>43053</v>
      </c>
      <c r="B1349" s="80" t="s">
        <v>5513</v>
      </c>
      <c r="C1349" s="80" t="s">
        <v>4890</v>
      </c>
      <c r="D1349" s="80" t="s">
        <v>886</v>
      </c>
      <c r="E1349" s="81">
        <v>847000</v>
      </c>
      <c r="F1349" s="80" t="s">
        <v>4810</v>
      </c>
      <c r="G1349" s="81">
        <v>2.405929</v>
      </c>
      <c r="H1349" s="81">
        <v>4.1769000000000001E-2</v>
      </c>
      <c r="I1349" s="80" t="s">
        <v>4800</v>
      </c>
      <c r="L1349" s="3">
        <f>VLOOKUP(C1349,Securities!A:D,4,FALSE)</f>
        <v>1</v>
      </c>
      <c r="M1349" s="3" t="str">
        <f>VLOOKUP(C1349,Securities!A:B,2,FALSE)</f>
        <v>UPRO RX Equity</v>
      </c>
      <c r="O1349" s="3">
        <f t="shared" si="21"/>
        <v>847000</v>
      </c>
    </row>
    <row r="1350" spans="1:15" x14ac:dyDescent="0.25">
      <c r="A1350" s="76">
        <v>43053</v>
      </c>
      <c r="B1350" s="77" t="s">
        <v>5513</v>
      </c>
      <c r="C1350" s="77" t="s">
        <v>4824</v>
      </c>
      <c r="D1350" s="77" t="s">
        <v>4674</v>
      </c>
      <c r="E1350" s="78">
        <v>14000</v>
      </c>
      <c r="F1350" s="77" t="s">
        <v>4825</v>
      </c>
      <c r="G1350" s="78">
        <v>0</v>
      </c>
      <c r="H1350" s="78">
        <v>0</v>
      </c>
      <c r="I1350" s="77" t="s">
        <v>4800</v>
      </c>
      <c r="L1350" s="3">
        <f>VLOOKUP(C1350,Securities!A:D,4,FALSE)</f>
        <v>1</v>
      </c>
      <c r="M1350" s="3" t="str">
        <f>VLOOKUP(C1350,Securities!A:B,2,FALSE)</f>
        <v>VEON US Equity</v>
      </c>
      <c r="O1350" s="3">
        <f t="shared" ref="O1350:O1413" si="22">SUMIFS(E:E,C:C,C1350,B:B,B1350)</f>
        <v>14000</v>
      </c>
    </row>
    <row r="1351" spans="1:15" x14ac:dyDescent="0.25">
      <c r="A1351" s="79">
        <v>43053</v>
      </c>
      <c r="B1351" s="80" t="s">
        <v>5514</v>
      </c>
      <c r="C1351" s="80" t="s">
        <v>5037</v>
      </c>
      <c r="D1351" s="80" t="s">
        <v>5038</v>
      </c>
      <c r="E1351" s="81">
        <v>800000</v>
      </c>
      <c r="F1351" s="80" t="s">
        <v>4806</v>
      </c>
      <c r="G1351" s="81">
        <v>100.5</v>
      </c>
      <c r="H1351" s="81">
        <v>100.5</v>
      </c>
      <c r="I1351" s="80" t="s">
        <v>4800</v>
      </c>
      <c r="L1351" s="3">
        <f>VLOOKUP(C1351,Securities!A:D,4,FALSE)</f>
        <v>5</v>
      </c>
      <c r="M1351" s="3" t="str">
        <f>VLOOKUP(C1351,Securities!A:B,2,FALSE)</f>
        <v>XS1533915721 Corp</v>
      </c>
      <c r="O1351" s="3">
        <f t="shared" si="22"/>
        <v>800000</v>
      </c>
    </row>
    <row r="1352" spans="1:15" x14ac:dyDescent="0.25">
      <c r="A1352" s="76">
        <v>43053</v>
      </c>
      <c r="B1352" s="77" t="s">
        <v>5514</v>
      </c>
      <c r="C1352" s="77" t="s">
        <v>5039</v>
      </c>
      <c r="D1352" s="77" t="s">
        <v>5040</v>
      </c>
      <c r="E1352" s="78">
        <v>350000</v>
      </c>
      <c r="F1352" s="77" t="s">
        <v>4806</v>
      </c>
      <c r="G1352" s="78">
        <v>96.38</v>
      </c>
      <c r="H1352" s="78">
        <v>96.38</v>
      </c>
      <c r="I1352" s="77" t="s">
        <v>4800</v>
      </c>
      <c r="L1352" s="3">
        <f>VLOOKUP(C1352,Securities!A:D,4,FALSE)</f>
        <v>5</v>
      </c>
      <c r="M1352" s="3" t="str">
        <f>VLOOKUP(C1352,Securities!A:B,2,FALSE)</f>
        <v>US35671DAZ87 Corp</v>
      </c>
      <c r="O1352" s="3">
        <f t="shared" si="22"/>
        <v>350000</v>
      </c>
    </row>
    <row r="1353" spans="1:15" x14ac:dyDescent="0.25">
      <c r="A1353" s="79">
        <v>43053</v>
      </c>
      <c r="B1353" s="80" t="s">
        <v>5514</v>
      </c>
      <c r="C1353" s="80" t="s">
        <v>4903</v>
      </c>
      <c r="D1353" s="80" t="s">
        <v>4904</v>
      </c>
      <c r="E1353" s="81">
        <v>550000</v>
      </c>
      <c r="F1353" s="80" t="s">
        <v>4806</v>
      </c>
      <c r="G1353" s="81">
        <v>107.05</v>
      </c>
      <c r="H1353" s="81">
        <v>107.05</v>
      </c>
      <c r="I1353" s="80" t="s">
        <v>4800</v>
      </c>
      <c r="L1353" s="3">
        <f>VLOOKUP(C1353,Securities!A:D,4,FALSE)</f>
        <v>5</v>
      </c>
      <c r="M1353" s="3" t="str">
        <f>VLOOKUP(C1353,Securities!A:B,2,FALSE)</f>
        <v>XS1319813769 Corp</v>
      </c>
      <c r="O1353" s="3">
        <f t="shared" si="22"/>
        <v>550000</v>
      </c>
    </row>
    <row r="1354" spans="1:15" x14ac:dyDescent="0.25">
      <c r="A1354" s="76">
        <v>43053</v>
      </c>
      <c r="B1354" s="77" t="s">
        <v>5514</v>
      </c>
      <c r="C1354" s="77" t="s">
        <v>5086</v>
      </c>
      <c r="D1354" s="77" t="s">
        <v>5087</v>
      </c>
      <c r="E1354" s="78">
        <v>800000</v>
      </c>
      <c r="F1354" s="77" t="s">
        <v>4806</v>
      </c>
      <c r="G1354" s="78">
        <v>108.65</v>
      </c>
      <c r="H1354" s="78">
        <v>108.65</v>
      </c>
      <c r="I1354" s="77" t="s">
        <v>4800</v>
      </c>
      <c r="L1354" s="3">
        <f>VLOOKUP(C1354,Securities!A:D,4,FALSE)</f>
        <v>5</v>
      </c>
      <c r="M1354" s="3" t="str">
        <f>VLOOKUP(C1354,Securities!A:B,2,FALSE)</f>
        <v>EJ951547 Corp</v>
      </c>
      <c r="O1354" s="3">
        <f t="shared" si="22"/>
        <v>800000</v>
      </c>
    </row>
    <row r="1355" spans="1:15" x14ac:dyDescent="0.25">
      <c r="A1355" s="79">
        <v>43053</v>
      </c>
      <c r="B1355" s="80" t="s">
        <v>5514</v>
      </c>
      <c r="C1355" s="80" t="s">
        <v>4963</v>
      </c>
      <c r="D1355" s="80" t="s">
        <v>4964</v>
      </c>
      <c r="E1355" s="81">
        <v>525000</v>
      </c>
      <c r="F1355" s="80" t="s">
        <v>4806</v>
      </c>
      <c r="G1355" s="81">
        <v>96.53</v>
      </c>
      <c r="H1355" s="81">
        <v>96.53</v>
      </c>
      <c r="I1355" s="80" t="s">
        <v>4800</v>
      </c>
      <c r="L1355" s="3">
        <f>VLOOKUP(C1355,Securities!A:D,4,FALSE)</f>
        <v>5</v>
      </c>
      <c r="M1355" s="3" t="str">
        <f>VLOOKUP(C1355,Securities!A:B,2,FALSE)</f>
        <v>XS1439838548 Corp</v>
      </c>
      <c r="O1355" s="3">
        <f t="shared" si="22"/>
        <v>525000</v>
      </c>
    </row>
    <row r="1356" spans="1:15" x14ac:dyDescent="0.25">
      <c r="A1356" s="76">
        <v>43053</v>
      </c>
      <c r="B1356" s="77" t="s">
        <v>5514</v>
      </c>
      <c r="C1356" s="77" t="s">
        <v>4863</v>
      </c>
      <c r="D1356" s="77" t="s">
        <v>4864</v>
      </c>
      <c r="E1356" s="78">
        <v>660000</v>
      </c>
      <c r="F1356" s="77" t="s">
        <v>4806</v>
      </c>
      <c r="G1356" s="78">
        <v>105.583333</v>
      </c>
      <c r="H1356" s="78">
        <v>105.583333</v>
      </c>
      <c r="I1356" s="77" t="s">
        <v>4800</v>
      </c>
      <c r="L1356" s="3">
        <f>VLOOKUP(C1356,Securities!A:D,4,FALSE)</f>
        <v>5</v>
      </c>
      <c r="M1356" s="3" t="str">
        <f>VLOOKUP(C1356,Securities!A:B,2,FALSE)</f>
        <v>USN54468AF52 Corp</v>
      </c>
      <c r="O1356" s="3">
        <f t="shared" si="22"/>
        <v>660000</v>
      </c>
    </row>
    <row r="1357" spans="1:15" x14ac:dyDescent="0.25">
      <c r="A1357" s="79">
        <v>43053</v>
      </c>
      <c r="B1357" s="80" t="s">
        <v>5514</v>
      </c>
      <c r="C1357" s="80" t="s">
        <v>4819</v>
      </c>
      <c r="D1357" s="80" t="s">
        <v>4820</v>
      </c>
      <c r="E1357" s="81">
        <v>919000</v>
      </c>
      <c r="F1357" s="80" t="s">
        <v>4806</v>
      </c>
      <c r="G1357" s="81">
        <v>0</v>
      </c>
      <c r="H1357" s="81">
        <v>0</v>
      </c>
      <c r="I1357" s="80" t="s">
        <v>4800</v>
      </c>
      <c r="L1357" s="3">
        <f>VLOOKUP(C1357,Securities!A:D,4,FALSE)</f>
        <v>5</v>
      </c>
      <c r="M1357" s="3" t="str">
        <f>VLOOKUP(C1357,Securities!A:B,2,FALSE)</f>
        <v>XS0776121062 Corp</v>
      </c>
      <c r="O1357" s="3">
        <f t="shared" si="22"/>
        <v>919000</v>
      </c>
    </row>
    <row r="1358" spans="1:15" x14ac:dyDescent="0.25">
      <c r="A1358" s="76">
        <v>43053</v>
      </c>
      <c r="B1358" s="77" t="s">
        <v>5514</v>
      </c>
      <c r="C1358" s="77" t="s">
        <v>5000</v>
      </c>
      <c r="D1358" s="77" t="s">
        <v>5001</v>
      </c>
      <c r="E1358" s="78">
        <v>500000</v>
      </c>
      <c r="F1358" s="77" t="s">
        <v>4806</v>
      </c>
      <c r="G1358" s="78">
        <v>112.4</v>
      </c>
      <c r="H1358" s="78">
        <v>112.4</v>
      </c>
      <c r="I1358" s="77" t="s">
        <v>4800</v>
      </c>
      <c r="L1358" s="3">
        <f>VLOOKUP(C1358,Securities!A:D,4,FALSE)</f>
        <v>5</v>
      </c>
      <c r="M1358" s="3" t="str">
        <f>VLOOKUP(C1358,Securities!A:B,2,FALSE)</f>
        <v>US71647NAP42 Corp</v>
      </c>
      <c r="O1358" s="3">
        <f t="shared" si="22"/>
        <v>500000</v>
      </c>
    </row>
    <row r="1359" spans="1:15" x14ac:dyDescent="0.25">
      <c r="A1359" s="79">
        <v>43053</v>
      </c>
      <c r="B1359" s="80" t="s">
        <v>5514</v>
      </c>
      <c r="C1359" s="80" t="s">
        <v>4913</v>
      </c>
      <c r="D1359" s="80" t="s">
        <v>4914</v>
      </c>
      <c r="E1359" s="81">
        <v>775000</v>
      </c>
      <c r="F1359" s="80" t="s">
        <v>4806</v>
      </c>
      <c r="G1359" s="81">
        <v>102.35</v>
      </c>
      <c r="H1359" s="81">
        <v>102.35</v>
      </c>
      <c r="I1359" s="80" t="s">
        <v>4800</v>
      </c>
      <c r="L1359" s="3">
        <f>VLOOKUP(C1359,Securities!A:D,4,FALSE)</f>
        <v>5</v>
      </c>
      <c r="M1359" s="3" t="str">
        <f>VLOOKUP(C1359,Securities!A:B,2,FALSE)</f>
        <v>XS1533922933 Corp</v>
      </c>
      <c r="O1359" s="3">
        <f t="shared" si="22"/>
        <v>775000</v>
      </c>
    </row>
    <row r="1360" spans="1:15" x14ac:dyDescent="0.25">
      <c r="A1360" s="76">
        <v>43053</v>
      </c>
      <c r="B1360" s="77" t="s">
        <v>5514</v>
      </c>
      <c r="C1360" s="77" t="s">
        <v>5212</v>
      </c>
      <c r="D1360" s="77" t="s">
        <v>5213</v>
      </c>
      <c r="E1360" s="78">
        <v>500000</v>
      </c>
      <c r="F1360" s="77" t="s">
        <v>4806</v>
      </c>
      <c r="G1360" s="78">
        <v>100.375</v>
      </c>
      <c r="H1360" s="78">
        <v>100.375</v>
      </c>
      <c r="I1360" s="77" t="s">
        <v>4800</v>
      </c>
      <c r="L1360" s="3">
        <f>VLOOKUP(C1360,Securities!A:D,4,FALSE)</f>
        <v>5</v>
      </c>
      <c r="M1360" s="3" t="str">
        <f>VLOOKUP(C1360,Securities!A:B,2,FALSE)</f>
        <v>XS1533921299 Corp</v>
      </c>
      <c r="O1360" s="3">
        <f t="shared" si="22"/>
        <v>500000</v>
      </c>
    </row>
    <row r="1361" spans="1:15" x14ac:dyDescent="0.25">
      <c r="A1361" s="79">
        <v>43053</v>
      </c>
      <c r="B1361" s="80" t="s">
        <v>5514</v>
      </c>
      <c r="C1361" s="80" t="s">
        <v>4967</v>
      </c>
      <c r="D1361" s="80" t="s">
        <v>4968</v>
      </c>
      <c r="E1361" s="81">
        <v>765000</v>
      </c>
      <c r="F1361" s="80" t="s">
        <v>4806</v>
      </c>
      <c r="G1361" s="81">
        <v>114.375</v>
      </c>
      <c r="H1361" s="81">
        <v>114.375</v>
      </c>
      <c r="I1361" s="80" t="s">
        <v>4800</v>
      </c>
      <c r="L1361" s="3">
        <f>VLOOKUP(C1361,Securities!A:D,4,FALSE)</f>
        <v>5</v>
      </c>
      <c r="M1361" s="3" t="str">
        <f>VLOOKUP(C1361,Securities!A:B,2,FALSE)</f>
        <v>XS0979891925 Corp</v>
      </c>
      <c r="O1361" s="3">
        <f t="shared" si="22"/>
        <v>765000</v>
      </c>
    </row>
    <row r="1362" spans="1:15" x14ac:dyDescent="0.25">
      <c r="A1362" s="76">
        <v>43053</v>
      </c>
      <c r="B1362" s="77" t="s">
        <v>5514</v>
      </c>
      <c r="C1362" s="77" t="s">
        <v>5209</v>
      </c>
      <c r="D1362" s="77" t="s">
        <v>5210</v>
      </c>
      <c r="E1362" s="78">
        <v>850000</v>
      </c>
      <c r="F1362" s="77" t="s">
        <v>4806</v>
      </c>
      <c r="G1362" s="78">
        <v>103.15</v>
      </c>
      <c r="H1362" s="78">
        <v>103.15</v>
      </c>
      <c r="I1362" s="77" t="s">
        <v>4800</v>
      </c>
      <c r="L1362" s="3">
        <f>VLOOKUP(C1362,Securities!A:D,4,FALSE)</f>
        <v>5</v>
      </c>
      <c r="M1362" s="3" t="str">
        <f>VLOOKUP(C1362,Securities!A:B,2,FALSE)</f>
        <v>XS0848530977 Corp</v>
      </c>
      <c r="O1362" s="3">
        <f t="shared" si="22"/>
        <v>850000</v>
      </c>
    </row>
    <row r="1363" spans="1:15" x14ac:dyDescent="0.25">
      <c r="A1363" s="79">
        <v>43053</v>
      </c>
      <c r="B1363" s="80" t="s">
        <v>5514</v>
      </c>
      <c r="C1363" s="80" t="s">
        <v>4851</v>
      </c>
      <c r="D1363" s="80" t="s">
        <v>4744</v>
      </c>
      <c r="E1363" s="81">
        <v>255000</v>
      </c>
      <c r="F1363" s="80" t="s">
        <v>4806</v>
      </c>
      <c r="G1363" s="81">
        <v>102.3</v>
      </c>
      <c r="H1363" s="81">
        <v>102.3</v>
      </c>
      <c r="I1363" s="80" t="s">
        <v>4800</v>
      </c>
      <c r="L1363" s="3">
        <f>VLOOKUP(C1363,Securities!A:D,4,FALSE)</f>
        <v>5</v>
      </c>
      <c r="M1363" s="3" t="str">
        <f>VLOOKUP(C1363,Securities!A:B,2,FALSE)</f>
        <v>XS1032750165 Corp</v>
      </c>
      <c r="O1363" s="3">
        <f t="shared" si="22"/>
        <v>255000</v>
      </c>
    </row>
    <row r="1364" spans="1:15" x14ac:dyDescent="0.25">
      <c r="A1364" s="76">
        <v>43053</v>
      </c>
      <c r="B1364" s="77" t="s">
        <v>5514</v>
      </c>
      <c r="C1364" s="77" t="s">
        <v>5004</v>
      </c>
      <c r="D1364" s="77" t="s">
        <v>5005</v>
      </c>
      <c r="E1364" s="78">
        <v>500000</v>
      </c>
      <c r="F1364" s="77" t="s">
        <v>4806</v>
      </c>
      <c r="G1364" s="78">
        <v>102.768</v>
      </c>
      <c r="H1364" s="78">
        <v>102.768</v>
      </c>
      <c r="I1364" s="77" t="s">
        <v>4800</v>
      </c>
      <c r="L1364" s="3">
        <f>VLOOKUP(C1364,Securities!A:D,4,FALSE)</f>
        <v>5</v>
      </c>
      <c r="M1364" s="3" t="str">
        <f>VLOOKUP(C1364,Securities!A:B,2,FALSE)</f>
        <v>XS1433454243 Corp</v>
      </c>
      <c r="O1364" s="3">
        <f t="shared" si="22"/>
        <v>500000</v>
      </c>
    </row>
    <row r="1365" spans="1:15" x14ac:dyDescent="0.25">
      <c r="A1365" s="79">
        <v>43053</v>
      </c>
      <c r="B1365" s="80" t="s">
        <v>5514</v>
      </c>
      <c r="C1365" s="80" t="s">
        <v>4986</v>
      </c>
      <c r="D1365" s="80" t="s">
        <v>4987</v>
      </c>
      <c r="E1365" s="81">
        <v>200000</v>
      </c>
      <c r="F1365" s="80" t="s">
        <v>4806</v>
      </c>
      <c r="G1365" s="81">
        <v>103.65</v>
      </c>
      <c r="H1365" s="81">
        <v>103.65</v>
      </c>
      <c r="I1365" s="80" t="s">
        <v>4800</v>
      </c>
      <c r="L1365" s="3">
        <f>VLOOKUP(C1365,Securities!A:D,4,FALSE)</f>
        <v>5</v>
      </c>
      <c r="M1365" s="3" t="str">
        <f>VLOOKUP(C1365,Securities!A:B,2,FALSE)</f>
        <v>USG9328DAM23 Corp</v>
      </c>
      <c r="O1365" s="3">
        <f t="shared" si="22"/>
        <v>200000</v>
      </c>
    </row>
    <row r="1366" spans="1:15" x14ac:dyDescent="0.25">
      <c r="A1366" s="76">
        <v>43053</v>
      </c>
      <c r="B1366" s="77" t="s">
        <v>5514</v>
      </c>
      <c r="C1366" s="77" t="s">
        <v>5028</v>
      </c>
      <c r="D1366" s="77" t="s">
        <v>5029</v>
      </c>
      <c r="E1366" s="78">
        <v>715000</v>
      </c>
      <c r="F1366" s="77" t="s">
        <v>4806</v>
      </c>
      <c r="G1366" s="78">
        <v>109</v>
      </c>
      <c r="H1366" s="78">
        <v>109</v>
      </c>
      <c r="I1366" s="77" t="s">
        <v>4800</v>
      </c>
      <c r="L1366" s="3">
        <f>VLOOKUP(C1366,Securities!A:D,4,FALSE)</f>
        <v>5</v>
      </c>
      <c r="M1366" s="3" t="str">
        <f>VLOOKUP(C1366,Securities!A:B,2,FALSE)</f>
        <v>EJ394063 Corp</v>
      </c>
      <c r="O1366" s="3">
        <f t="shared" si="22"/>
        <v>715000</v>
      </c>
    </row>
    <row r="1367" spans="1:15" x14ac:dyDescent="0.25">
      <c r="A1367" s="79">
        <v>43053</v>
      </c>
      <c r="B1367" s="80" t="s">
        <v>5515</v>
      </c>
      <c r="C1367" s="80" t="s">
        <v>4805</v>
      </c>
      <c r="D1367" s="80" t="s">
        <v>31</v>
      </c>
      <c r="E1367" s="81">
        <v>2630000</v>
      </c>
      <c r="F1367" s="80" t="s">
        <v>4806</v>
      </c>
      <c r="G1367" s="81">
        <v>178.25</v>
      </c>
      <c r="H1367" s="81">
        <v>178.25</v>
      </c>
      <c r="I1367" s="80" t="s">
        <v>4800</v>
      </c>
      <c r="L1367" s="3">
        <f>VLOOKUP(C1367,Securities!A:D,4,FALSE)</f>
        <v>5</v>
      </c>
      <c r="M1367" s="3" t="str">
        <f>VLOOKUP(C1367,Securities!A:B,2,FALSE)</f>
        <v>TT343269 Corp</v>
      </c>
      <c r="O1367" s="3">
        <f t="shared" si="22"/>
        <v>2630000</v>
      </c>
    </row>
    <row r="1368" spans="1:15" x14ac:dyDescent="0.25">
      <c r="A1368" s="76">
        <v>43053</v>
      </c>
      <c r="B1368" s="77" t="s">
        <v>5515</v>
      </c>
      <c r="C1368" s="77" t="s">
        <v>5207</v>
      </c>
      <c r="D1368" s="77" t="s">
        <v>5208</v>
      </c>
      <c r="E1368" s="78">
        <v>5</v>
      </c>
      <c r="F1368" s="77" t="s">
        <v>4974</v>
      </c>
      <c r="G1368" s="78">
        <v>100.24</v>
      </c>
      <c r="H1368" s="78">
        <v>100.24</v>
      </c>
      <c r="I1368" s="77" t="s">
        <v>4800</v>
      </c>
      <c r="L1368" s="3">
        <f>VLOOKUP(C1368,Securities!A:D,4,FALSE)</f>
        <v>5</v>
      </c>
      <c r="M1368" s="3" t="str">
        <f>VLOOKUP(C1368,Securities!A:B,2,FALSE)</f>
        <v>RU000A0JXU14 Corp</v>
      </c>
      <c r="O1368" s="3">
        <f t="shared" si="22"/>
        <v>5</v>
      </c>
    </row>
    <row r="1369" spans="1:15" x14ac:dyDescent="0.25">
      <c r="A1369" s="79">
        <v>43053</v>
      </c>
      <c r="B1369" s="80" t="s">
        <v>5516</v>
      </c>
      <c r="C1369" s="80" t="s">
        <v>4973</v>
      </c>
      <c r="D1369" s="80" t="s">
        <v>23</v>
      </c>
      <c r="E1369" s="81">
        <v>9490</v>
      </c>
      <c r="F1369" s="80" t="s">
        <v>4974</v>
      </c>
      <c r="G1369" s="81">
        <v>101.28</v>
      </c>
      <c r="H1369" s="81">
        <v>101.28</v>
      </c>
      <c r="I1369" s="80" t="s">
        <v>4800</v>
      </c>
      <c r="L1369" s="3">
        <f>VLOOKUP(C1369,Securities!A:D,4,FALSE)</f>
        <v>5</v>
      </c>
      <c r="M1369" s="3" t="str">
        <f>VLOOKUP(C1369,Securities!A:B,2,FALSE)</f>
        <v>RU000A0JV7K7 Corp</v>
      </c>
      <c r="O1369" s="3">
        <f t="shared" si="22"/>
        <v>9490</v>
      </c>
    </row>
    <row r="1370" spans="1:15" x14ac:dyDescent="0.25">
      <c r="A1370" s="76">
        <v>43053</v>
      </c>
      <c r="B1370" s="77" t="s">
        <v>5516</v>
      </c>
      <c r="C1370" s="77" t="s">
        <v>4935</v>
      </c>
      <c r="D1370" s="77" t="s">
        <v>4936</v>
      </c>
      <c r="E1370" s="78">
        <v>5000</v>
      </c>
      <c r="F1370" s="77" t="s">
        <v>4799</v>
      </c>
      <c r="G1370" s="78">
        <v>1125.415211</v>
      </c>
      <c r="H1370" s="78">
        <v>19.166799999999999</v>
      </c>
      <c r="I1370" s="77" t="s">
        <v>4800</v>
      </c>
      <c r="L1370" s="3">
        <f>VLOOKUP(C1370,Securities!A:D,4,FALSE)</f>
        <v>1</v>
      </c>
      <c r="M1370" s="3" t="str">
        <f>VLOOKUP(C1370,Securities!A:B,2,FALSE)</f>
        <v>AD NA Equity</v>
      </c>
      <c r="O1370" s="3">
        <f t="shared" si="22"/>
        <v>5000</v>
      </c>
    </row>
    <row r="1371" spans="1:15" x14ac:dyDescent="0.25">
      <c r="A1371" s="79">
        <v>43053</v>
      </c>
      <c r="B1371" s="80" t="s">
        <v>5516</v>
      </c>
      <c r="C1371" s="80" t="s">
        <v>4801</v>
      </c>
      <c r="D1371" s="80" t="s">
        <v>4802</v>
      </c>
      <c r="E1371" s="81">
        <v>500</v>
      </c>
      <c r="F1371" s="80" t="s">
        <v>4799</v>
      </c>
      <c r="G1371" s="81">
        <v>11037.755157</v>
      </c>
      <c r="H1371" s="81">
        <v>190.45500000000001</v>
      </c>
      <c r="I1371" s="80" t="s">
        <v>4800</v>
      </c>
      <c r="L1371" s="3">
        <f>VLOOKUP(C1371,Securities!A:D,4,FALSE)</f>
        <v>1</v>
      </c>
      <c r="M1371" s="3" t="str">
        <f>VLOOKUP(C1371,Securities!A:B,2,FALSE)</f>
        <v>AGN US Equity</v>
      </c>
      <c r="O1371" s="3">
        <f t="shared" si="22"/>
        <v>500</v>
      </c>
    </row>
    <row r="1372" spans="1:15" x14ac:dyDescent="0.25">
      <c r="A1372" s="76">
        <v>43053</v>
      </c>
      <c r="B1372" s="77" t="s">
        <v>5516</v>
      </c>
      <c r="C1372" s="77" t="s">
        <v>4961</v>
      </c>
      <c r="D1372" s="77" t="s">
        <v>4962</v>
      </c>
      <c r="E1372" s="78">
        <v>200000</v>
      </c>
      <c r="F1372" s="77" t="s">
        <v>4806</v>
      </c>
      <c r="G1372" s="78">
        <v>94.75</v>
      </c>
      <c r="H1372" s="78">
        <v>94.75</v>
      </c>
      <c r="I1372" s="77" t="s">
        <v>4800</v>
      </c>
      <c r="L1372" s="3">
        <f>VLOOKUP(C1372,Securities!A:D,4,FALSE)</f>
        <v>5</v>
      </c>
      <c r="M1372" s="3" t="str">
        <f>VLOOKUP(C1372,Securities!A:B,2,FALSE)</f>
        <v>XS1601094755 Corp</v>
      </c>
      <c r="O1372" s="3">
        <f t="shared" si="22"/>
        <v>200000</v>
      </c>
    </row>
    <row r="1373" spans="1:15" x14ac:dyDescent="0.25">
      <c r="A1373" s="79">
        <v>43053</v>
      </c>
      <c r="B1373" s="80" t="s">
        <v>5516</v>
      </c>
      <c r="C1373" s="80" t="s">
        <v>5294</v>
      </c>
      <c r="D1373" s="80" t="s">
        <v>5295</v>
      </c>
      <c r="E1373" s="81">
        <v>100000</v>
      </c>
      <c r="F1373" s="80" t="s">
        <v>4838</v>
      </c>
      <c r="G1373" s="81">
        <v>99</v>
      </c>
      <c r="H1373" s="81">
        <v>99</v>
      </c>
      <c r="I1373" s="80" t="s">
        <v>4800</v>
      </c>
      <c r="L1373" s="3">
        <f>VLOOKUP(C1373,Securities!A:D,4,FALSE)</f>
        <v>5</v>
      </c>
      <c r="M1373" s="3" t="str">
        <f>VLOOKUP(C1373,Securities!A:B,2,FALSE)</f>
        <v>CH0355509487 Corp</v>
      </c>
      <c r="O1373" s="3">
        <f t="shared" si="22"/>
        <v>100000</v>
      </c>
    </row>
    <row r="1374" spans="1:15" x14ac:dyDescent="0.25">
      <c r="A1374" s="76">
        <v>43053</v>
      </c>
      <c r="B1374" s="77" t="s">
        <v>5516</v>
      </c>
      <c r="C1374" s="77" t="s">
        <v>4841</v>
      </c>
      <c r="D1374" s="77" t="s">
        <v>4842</v>
      </c>
      <c r="E1374" s="78">
        <v>100000</v>
      </c>
      <c r="F1374" s="77" t="s">
        <v>4838</v>
      </c>
      <c r="G1374" s="78">
        <v>95</v>
      </c>
      <c r="H1374" s="78">
        <v>95</v>
      </c>
      <c r="I1374" s="77" t="s">
        <v>4800</v>
      </c>
      <c r="L1374" s="3">
        <f>VLOOKUP(C1374,Securities!A:D,4,FALSE)</f>
        <v>5</v>
      </c>
      <c r="M1374" s="3" t="str">
        <f>VLOOKUP(C1374,Securities!A:B,2,FALSE)</f>
        <v>XS1605088928 Corp</v>
      </c>
      <c r="O1374" s="3">
        <f t="shared" si="22"/>
        <v>100000</v>
      </c>
    </row>
    <row r="1375" spans="1:15" x14ac:dyDescent="0.25">
      <c r="A1375" s="79">
        <v>43053</v>
      </c>
      <c r="B1375" s="80" t="s">
        <v>5516</v>
      </c>
      <c r="C1375" s="80" t="s">
        <v>4807</v>
      </c>
      <c r="D1375" s="80" t="s">
        <v>4808</v>
      </c>
      <c r="E1375" s="81">
        <v>200000</v>
      </c>
      <c r="F1375" s="80" t="s">
        <v>4806</v>
      </c>
      <c r="G1375" s="81">
        <v>103.75</v>
      </c>
      <c r="H1375" s="81">
        <v>103.75</v>
      </c>
      <c r="I1375" s="80" t="s">
        <v>4800</v>
      </c>
      <c r="L1375" s="3">
        <f>VLOOKUP(C1375,Securities!A:D,4,FALSE)</f>
        <v>5</v>
      </c>
      <c r="M1375" s="3" t="str">
        <f>VLOOKUP(C1375,Securities!A:B,2,FALSE)</f>
        <v>XS0975320879 Corp</v>
      </c>
      <c r="O1375" s="3">
        <f t="shared" si="22"/>
        <v>200000</v>
      </c>
    </row>
    <row r="1376" spans="1:15" x14ac:dyDescent="0.25">
      <c r="A1376" s="76">
        <v>43053</v>
      </c>
      <c r="B1376" s="77" t="s">
        <v>5516</v>
      </c>
      <c r="C1376" s="77" t="s">
        <v>4963</v>
      </c>
      <c r="D1376" s="77" t="s">
        <v>4964</v>
      </c>
      <c r="E1376" s="78">
        <v>200000</v>
      </c>
      <c r="F1376" s="77" t="s">
        <v>4806</v>
      </c>
      <c r="G1376" s="78">
        <v>97.75</v>
      </c>
      <c r="H1376" s="78">
        <v>97.75</v>
      </c>
      <c r="I1376" s="77" t="s">
        <v>4800</v>
      </c>
      <c r="L1376" s="3">
        <f>VLOOKUP(C1376,Securities!A:D,4,FALSE)</f>
        <v>5</v>
      </c>
      <c r="M1376" s="3" t="str">
        <f>VLOOKUP(C1376,Securities!A:B,2,FALSE)</f>
        <v>XS1439838548 Corp</v>
      </c>
      <c r="O1376" s="3">
        <f t="shared" si="22"/>
        <v>200000</v>
      </c>
    </row>
    <row r="1377" spans="1:15" x14ac:dyDescent="0.25">
      <c r="A1377" s="79">
        <v>43053</v>
      </c>
      <c r="B1377" s="80" t="s">
        <v>5516</v>
      </c>
      <c r="C1377" s="80" t="s">
        <v>4815</v>
      </c>
      <c r="D1377" s="80" t="s">
        <v>4676</v>
      </c>
      <c r="E1377" s="81">
        <v>1077</v>
      </c>
      <c r="F1377" s="80" t="s">
        <v>4799</v>
      </c>
      <c r="G1377" s="81">
        <v>2668.8631099999998</v>
      </c>
      <c r="H1377" s="81">
        <v>46.4</v>
      </c>
      <c r="I1377" s="80" t="s">
        <v>4800</v>
      </c>
      <c r="L1377" s="3">
        <f>VLOOKUP(C1377,Securities!A:D,4,FALSE)</f>
        <v>1</v>
      </c>
      <c r="M1377" s="3" t="str">
        <f>VLOOKUP(C1377,Securities!A:B,2,FALSE)</f>
        <v>LXFT US Equity</v>
      </c>
      <c r="O1377" s="3">
        <f t="shared" si="22"/>
        <v>1077</v>
      </c>
    </row>
    <row r="1378" spans="1:15" x14ac:dyDescent="0.25">
      <c r="A1378" s="76">
        <v>43053</v>
      </c>
      <c r="B1378" s="77" t="s">
        <v>5516</v>
      </c>
      <c r="C1378" s="77" t="s">
        <v>5093</v>
      </c>
      <c r="D1378" s="77" t="s">
        <v>447</v>
      </c>
      <c r="E1378" s="78">
        <v>465</v>
      </c>
      <c r="F1378" s="77" t="s">
        <v>4810</v>
      </c>
      <c r="G1378" s="78">
        <v>7557.2047730000004</v>
      </c>
      <c r="H1378" s="78">
        <v>129.48326800000001</v>
      </c>
      <c r="I1378" s="77" t="s">
        <v>4800</v>
      </c>
      <c r="L1378" s="3">
        <f>VLOOKUP(C1378,Securities!A:D,4,FALSE)</f>
        <v>1</v>
      </c>
      <c r="M1378" s="3" t="str">
        <f>VLOOKUP(C1378,Securities!A:B,2,FALSE)</f>
        <v>MGNT RX Equity</v>
      </c>
      <c r="O1378" s="3">
        <f t="shared" si="22"/>
        <v>465</v>
      </c>
    </row>
    <row r="1379" spans="1:15" x14ac:dyDescent="0.25">
      <c r="A1379" s="79">
        <v>43053</v>
      </c>
      <c r="B1379" s="80" t="s">
        <v>5516</v>
      </c>
      <c r="C1379" s="80" t="s">
        <v>5200</v>
      </c>
      <c r="D1379" s="80" t="s">
        <v>5201</v>
      </c>
      <c r="E1379" s="81">
        <v>770</v>
      </c>
      <c r="F1379" s="80" t="s">
        <v>4799</v>
      </c>
      <c r="G1379" s="81">
        <v>3890.6425009999998</v>
      </c>
      <c r="H1379" s="81">
        <v>64.92</v>
      </c>
      <c r="I1379" s="80" t="s">
        <v>4800</v>
      </c>
      <c r="L1379" s="3">
        <f>VLOOKUP(C1379,Securities!A:D,4,FALSE)</f>
        <v>1</v>
      </c>
      <c r="M1379" s="3" t="str">
        <f>VLOOKUP(C1379,Securities!A:B,2,FALSE)</f>
        <v>MO US Equity</v>
      </c>
      <c r="O1379" s="3">
        <f t="shared" si="22"/>
        <v>770</v>
      </c>
    </row>
    <row r="1380" spans="1:15" x14ac:dyDescent="0.25">
      <c r="A1380" s="76">
        <v>43053</v>
      </c>
      <c r="B1380" s="77" t="s">
        <v>5516</v>
      </c>
      <c r="C1380" s="77" t="s">
        <v>4863</v>
      </c>
      <c r="D1380" s="77" t="s">
        <v>4864</v>
      </c>
      <c r="E1380" s="78">
        <v>200000</v>
      </c>
      <c r="F1380" s="77" t="s">
        <v>4806</v>
      </c>
      <c r="G1380" s="78">
        <v>106.74</v>
      </c>
      <c r="H1380" s="78">
        <v>106.74</v>
      </c>
      <c r="I1380" s="77" t="s">
        <v>4800</v>
      </c>
      <c r="L1380" s="3">
        <f>VLOOKUP(C1380,Securities!A:D,4,FALSE)</f>
        <v>5</v>
      </c>
      <c r="M1380" s="3" t="str">
        <f>VLOOKUP(C1380,Securities!A:B,2,FALSE)</f>
        <v>USN54468AF52 Corp</v>
      </c>
      <c r="O1380" s="3">
        <f t="shared" si="22"/>
        <v>200000</v>
      </c>
    </row>
    <row r="1381" spans="1:15" x14ac:dyDescent="0.25">
      <c r="A1381" s="79">
        <v>43053</v>
      </c>
      <c r="B1381" s="80" t="s">
        <v>5516</v>
      </c>
      <c r="C1381" s="80" t="s">
        <v>4816</v>
      </c>
      <c r="D1381" s="80" t="s">
        <v>4817</v>
      </c>
      <c r="E1381" s="81">
        <v>2400</v>
      </c>
      <c r="F1381" s="80" t="s">
        <v>4799</v>
      </c>
      <c r="G1381" s="81">
        <v>1200.9498289999999</v>
      </c>
      <c r="H1381" s="81">
        <v>20.7</v>
      </c>
      <c r="I1381" s="80" t="s">
        <v>4800</v>
      </c>
      <c r="L1381" s="3">
        <f>VLOOKUP(C1381,Securities!A:D,4,FALSE)</f>
        <v>1</v>
      </c>
      <c r="M1381" s="3" t="str">
        <f>VLOOKUP(C1381,Securities!A:B,2,FALSE)</f>
        <v>M US Equity</v>
      </c>
      <c r="O1381" s="3">
        <f t="shared" si="22"/>
        <v>2400</v>
      </c>
    </row>
    <row r="1382" spans="1:15" x14ac:dyDescent="0.25">
      <c r="A1382" s="76">
        <v>43053</v>
      </c>
      <c r="B1382" s="77" t="s">
        <v>5516</v>
      </c>
      <c r="C1382" s="77" t="s">
        <v>4819</v>
      </c>
      <c r="D1382" s="77" t="s">
        <v>4820</v>
      </c>
      <c r="E1382" s="78">
        <v>400000</v>
      </c>
      <c r="F1382" s="77" t="s">
        <v>4806</v>
      </c>
      <c r="G1382" s="78">
        <v>105.125</v>
      </c>
      <c r="H1382" s="78">
        <v>105.125</v>
      </c>
      <c r="I1382" s="77" t="s">
        <v>4800</v>
      </c>
      <c r="L1382" s="3">
        <f>VLOOKUP(C1382,Securities!A:D,4,FALSE)</f>
        <v>5</v>
      </c>
      <c r="M1382" s="3" t="str">
        <f>VLOOKUP(C1382,Securities!A:B,2,FALSE)</f>
        <v>XS0776121062 Corp</v>
      </c>
      <c r="O1382" s="3">
        <f t="shared" si="22"/>
        <v>400000</v>
      </c>
    </row>
    <row r="1383" spans="1:15" x14ac:dyDescent="0.25">
      <c r="A1383" s="79">
        <v>43053</v>
      </c>
      <c r="B1383" s="80" t="s">
        <v>5516</v>
      </c>
      <c r="C1383" s="80" t="s">
        <v>4848</v>
      </c>
      <c r="D1383" s="80" t="s">
        <v>511</v>
      </c>
      <c r="E1383" s="81">
        <v>12990</v>
      </c>
      <c r="F1383" s="80" t="s">
        <v>4810</v>
      </c>
      <c r="G1383" s="81">
        <v>654.84656600000005</v>
      </c>
      <c r="H1383" s="81">
        <v>11.610003000000001</v>
      </c>
      <c r="I1383" s="80" t="s">
        <v>4800</v>
      </c>
      <c r="L1383" s="3">
        <f>VLOOKUP(C1383,Securities!A:D,4,FALSE)</f>
        <v>1</v>
      </c>
      <c r="M1383" s="3" t="str">
        <f>VLOOKUP(C1383,Securities!A:B,2,FALSE)</f>
        <v>NVTK RX Equity</v>
      </c>
      <c r="O1383" s="3">
        <f t="shared" si="22"/>
        <v>12990</v>
      </c>
    </row>
    <row r="1384" spans="1:15" x14ac:dyDescent="0.25">
      <c r="A1384" s="76">
        <v>43053</v>
      </c>
      <c r="B1384" s="77" t="s">
        <v>5516</v>
      </c>
      <c r="C1384" s="77" t="s">
        <v>4922</v>
      </c>
      <c r="D1384" s="77" t="s">
        <v>4923</v>
      </c>
      <c r="E1384" s="78">
        <v>831</v>
      </c>
      <c r="F1384" s="77" t="s">
        <v>4804</v>
      </c>
      <c r="G1384" s="78">
        <v>6785.5419750000001</v>
      </c>
      <c r="H1384" s="78">
        <v>120.294825</v>
      </c>
      <c r="I1384" s="77" t="s">
        <v>4800</v>
      </c>
      <c r="L1384" s="3">
        <f>VLOOKUP(C1384,Securities!A:D,4,FALSE)</f>
        <v>1</v>
      </c>
      <c r="M1384" s="3" t="str">
        <f>VLOOKUP(C1384,Securities!A:B,2,FALSE)</f>
        <v>NVTK LI Equity</v>
      </c>
      <c r="O1384" s="3">
        <f t="shared" si="22"/>
        <v>831</v>
      </c>
    </row>
    <row r="1385" spans="1:15" x14ac:dyDescent="0.25">
      <c r="A1385" s="79">
        <v>43053</v>
      </c>
      <c r="B1385" s="80" t="s">
        <v>5516</v>
      </c>
      <c r="C1385" s="80" t="s">
        <v>4967</v>
      </c>
      <c r="D1385" s="80" t="s">
        <v>4968</v>
      </c>
      <c r="E1385" s="81">
        <v>200000</v>
      </c>
      <c r="F1385" s="80" t="s">
        <v>4806</v>
      </c>
      <c r="G1385" s="81">
        <v>115.55</v>
      </c>
      <c r="H1385" s="81">
        <v>115.55</v>
      </c>
      <c r="I1385" s="80" t="s">
        <v>4800</v>
      </c>
      <c r="L1385" s="3">
        <f>VLOOKUP(C1385,Securities!A:D,4,FALSE)</f>
        <v>5</v>
      </c>
      <c r="M1385" s="3" t="str">
        <f>VLOOKUP(C1385,Securities!A:B,2,FALSE)</f>
        <v>XS0979891925 Corp</v>
      </c>
      <c r="O1385" s="3">
        <f t="shared" si="22"/>
        <v>200000</v>
      </c>
    </row>
    <row r="1386" spans="1:15" x14ac:dyDescent="0.25">
      <c r="A1386" s="76">
        <v>43053</v>
      </c>
      <c r="B1386" s="77" t="s">
        <v>5516</v>
      </c>
      <c r="C1386" s="77" t="s">
        <v>4927</v>
      </c>
      <c r="D1386" s="77" t="s">
        <v>4928</v>
      </c>
      <c r="E1386" s="78">
        <v>7197</v>
      </c>
      <c r="F1386" s="77" t="s">
        <v>4898</v>
      </c>
      <c r="G1386" s="78">
        <v>913.21481100000005</v>
      </c>
      <c r="H1386" s="78">
        <v>15.742314</v>
      </c>
      <c r="I1386" s="77" t="s">
        <v>4800</v>
      </c>
      <c r="L1386" s="3">
        <f>VLOOKUP(C1386,Securities!A:D,4,FALSE)</f>
        <v>1</v>
      </c>
      <c r="M1386" s="3" t="str">
        <f>VLOOKUP(C1386,Securities!A:B,2,FALSE)</f>
        <v>SX7EEX GY Equity</v>
      </c>
      <c r="O1386" s="3">
        <f t="shared" si="22"/>
        <v>7197</v>
      </c>
    </row>
    <row r="1387" spans="1:15" x14ac:dyDescent="0.25">
      <c r="A1387" s="79">
        <v>43053</v>
      </c>
      <c r="B1387" s="80" t="s">
        <v>5516</v>
      </c>
      <c r="C1387" s="80" t="s">
        <v>4824</v>
      </c>
      <c r="D1387" s="80" t="s">
        <v>4674</v>
      </c>
      <c r="E1387" s="81">
        <v>17000</v>
      </c>
      <c r="F1387" s="80" t="s">
        <v>4825</v>
      </c>
      <c r="G1387" s="81">
        <v>224.596496</v>
      </c>
      <c r="H1387" s="81">
        <v>3.8994110000000002</v>
      </c>
      <c r="I1387" s="80" t="s">
        <v>4800</v>
      </c>
      <c r="L1387" s="3">
        <f>VLOOKUP(C1387,Securities!A:D,4,FALSE)</f>
        <v>1</v>
      </c>
      <c r="M1387" s="3" t="str">
        <f>VLOOKUP(C1387,Securities!A:B,2,FALSE)</f>
        <v>VEON US Equity</v>
      </c>
      <c r="O1387" s="3">
        <f t="shared" si="22"/>
        <v>17000</v>
      </c>
    </row>
    <row r="1388" spans="1:15" x14ac:dyDescent="0.25">
      <c r="A1388" s="76">
        <v>43053</v>
      </c>
      <c r="B1388" s="77" t="s">
        <v>5517</v>
      </c>
      <c r="C1388" s="77" t="s">
        <v>4805</v>
      </c>
      <c r="D1388" s="77" t="s">
        <v>31</v>
      </c>
      <c r="E1388" s="78">
        <v>100000</v>
      </c>
      <c r="F1388" s="77" t="s">
        <v>4806</v>
      </c>
      <c r="G1388" s="78">
        <v>176</v>
      </c>
      <c r="H1388" s="78">
        <v>176</v>
      </c>
      <c r="I1388" s="77" t="s">
        <v>4800</v>
      </c>
      <c r="L1388" s="3">
        <f>VLOOKUP(C1388,Securities!A:D,4,FALSE)</f>
        <v>5</v>
      </c>
      <c r="M1388" s="3" t="str">
        <f>VLOOKUP(C1388,Securities!A:B,2,FALSE)</f>
        <v>TT343269 Corp</v>
      </c>
      <c r="O1388" s="3">
        <f t="shared" si="22"/>
        <v>100000</v>
      </c>
    </row>
    <row r="1389" spans="1:15" x14ac:dyDescent="0.25">
      <c r="A1389" s="79">
        <v>43053</v>
      </c>
      <c r="B1389" s="80" t="s">
        <v>5517</v>
      </c>
      <c r="C1389" s="80" t="s">
        <v>4839</v>
      </c>
      <c r="D1389" s="80" t="s">
        <v>4840</v>
      </c>
      <c r="E1389" s="81">
        <v>200000</v>
      </c>
      <c r="F1389" s="80" t="s">
        <v>4838</v>
      </c>
      <c r="G1389" s="81">
        <v>100</v>
      </c>
      <c r="H1389" s="81">
        <v>100</v>
      </c>
      <c r="I1389" s="80" t="s">
        <v>4800</v>
      </c>
      <c r="L1389" s="3">
        <f>VLOOKUP(C1389,Securities!A:D,4,FALSE)</f>
        <v>5</v>
      </c>
      <c r="M1389" s="3" t="str">
        <f>VLOOKUP(C1389,Securities!A:B,2,FALSE)</f>
        <v>XS1513271418 Corp</v>
      </c>
      <c r="O1389" s="3">
        <f t="shared" si="22"/>
        <v>200000</v>
      </c>
    </row>
    <row r="1390" spans="1:15" x14ac:dyDescent="0.25">
      <c r="A1390" s="76">
        <v>43053</v>
      </c>
      <c r="B1390" s="77" t="s">
        <v>5517</v>
      </c>
      <c r="C1390" s="77" t="s">
        <v>4819</v>
      </c>
      <c r="D1390" s="77" t="s">
        <v>4820</v>
      </c>
      <c r="E1390" s="78">
        <v>225000</v>
      </c>
      <c r="F1390" s="77" t="s">
        <v>4806</v>
      </c>
      <c r="G1390" s="78">
        <v>103.25</v>
      </c>
      <c r="H1390" s="78">
        <v>103.25</v>
      </c>
      <c r="I1390" s="77" t="s">
        <v>4800</v>
      </c>
      <c r="L1390" s="3">
        <f>VLOOKUP(C1390,Securities!A:D,4,FALSE)</f>
        <v>5</v>
      </c>
      <c r="M1390" s="3" t="str">
        <f>VLOOKUP(C1390,Securities!A:B,2,FALSE)</f>
        <v>XS0776121062 Corp</v>
      </c>
      <c r="O1390" s="3">
        <f t="shared" si="22"/>
        <v>225000</v>
      </c>
    </row>
    <row r="1391" spans="1:15" x14ac:dyDescent="0.25">
      <c r="A1391" s="79">
        <v>43053</v>
      </c>
      <c r="B1391" s="80" t="s">
        <v>5518</v>
      </c>
      <c r="C1391" s="80" t="s">
        <v>4895</v>
      </c>
      <c r="D1391" s="80" t="s">
        <v>144</v>
      </c>
      <c r="E1391" s="81">
        <v>19347</v>
      </c>
      <c r="F1391" s="80" t="s">
        <v>4810</v>
      </c>
      <c r="G1391" s="81">
        <v>1515.954794</v>
      </c>
      <c r="H1391" s="81">
        <v>26.098049</v>
      </c>
      <c r="I1391" s="80" t="s">
        <v>4800</v>
      </c>
      <c r="L1391" s="3">
        <f>VLOOKUP(C1391,Securities!A:D,4,FALSE)</f>
        <v>1</v>
      </c>
      <c r="M1391" s="3" t="str">
        <f>VLOOKUP(C1391,Securities!A:B,2,FALSE)</f>
        <v>BANEP RX Equity</v>
      </c>
      <c r="O1391" s="3">
        <f t="shared" si="22"/>
        <v>19347</v>
      </c>
    </row>
    <row r="1392" spans="1:15" x14ac:dyDescent="0.25">
      <c r="A1392" s="76">
        <v>43053</v>
      </c>
      <c r="B1392" s="77" t="s">
        <v>5518</v>
      </c>
      <c r="C1392" s="77" t="s">
        <v>4939</v>
      </c>
      <c r="D1392" s="77" t="s">
        <v>4940</v>
      </c>
      <c r="E1392" s="78">
        <v>250000</v>
      </c>
      <c r="F1392" s="77" t="s">
        <v>4838</v>
      </c>
      <c r="G1392" s="78">
        <v>98.85</v>
      </c>
      <c r="H1392" s="78">
        <v>98.85</v>
      </c>
      <c r="I1392" s="77" t="s">
        <v>4800</v>
      </c>
      <c r="L1392" s="3">
        <f>VLOOKUP(C1392,Securities!A:D,4,FALSE)</f>
        <v>5</v>
      </c>
      <c r="M1392" s="3" t="str">
        <f>VLOOKUP(C1392,Securities!A:B,2,FALSE)</f>
        <v>CH0384861404 Corp</v>
      </c>
      <c r="O1392" s="3">
        <f t="shared" si="22"/>
        <v>250000</v>
      </c>
    </row>
    <row r="1393" spans="1:15" x14ac:dyDescent="0.25">
      <c r="A1393" s="79">
        <v>43053</v>
      </c>
      <c r="B1393" s="80" t="s">
        <v>5518</v>
      </c>
      <c r="C1393" s="80" t="s">
        <v>4836</v>
      </c>
      <c r="D1393" s="80" t="s">
        <v>4837</v>
      </c>
      <c r="E1393" s="81">
        <v>250000</v>
      </c>
      <c r="F1393" s="80" t="s">
        <v>4838</v>
      </c>
      <c r="G1393" s="81">
        <v>100</v>
      </c>
      <c r="H1393" s="81">
        <v>100</v>
      </c>
      <c r="I1393" s="80" t="s">
        <v>4800</v>
      </c>
      <c r="L1393" s="3">
        <f>VLOOKUP(C1393,Securities!A:D,4,FALSE)</f>
        <v>5</v>
      </c>
      <c r="M1393" s="3" t="str">
        <f>VLOOKUP(C1393,Securities!A:B,2,FALSE)</f>
        <v>CH0384861396 Corp</v>
      </c>
      <c r="O1393" s="3">
        <f t="shared" si="22"/>
        <v>250000</v>
      </c>
    </row>
    <row r="1394" spans="1:15" x14ac:dyDescent="0.25">
      <c r="A1394" s="76">
        <v>43053</v>
      </c>
      <c r="B1394" s="77" t="s">
        <v>5518</v>
      </c>
      <c r="C1394" s="77" t="s">
        <v>5067</v>
      </c>
      <c r="D1394" s="77" t="s">
        <v>5068</v>
      </c>
      <c r="E1394" s="78">
        <v>500000</v>
      </c>
      <c r="F1394" s="77" t="s">
        <v>4838</v>
      </c>
      <c r="G1394" s="78">
        <v>99.8</v>
      </c>
      <c r="H1394" s="78">
        <v>99.8</v>
      </c>
      <c r="I1394" s="77" t="s">
        <v>4800</v>
      </c>
      <c r="L1394" s="3">
        <f>VLOOKUP(C1394,Securities!A:D,4,FALSE)</f>
        <v>5</v>
      </c>
      <c r="M1394" s="3" t="str">
        <f>VLOOKUP(C1394,Securities!A:B,2,FALSE)</f>
        <v>XS1581931083 Corp</v>
      </c>
      <c r="O1394" s="3">
        <f t="shared" si="22"/>
        <v>500000</v>
      </c>
    </row>
    <row r="1395" spans="1:15" x14ac:dyDescent="0.25">
      <c r="A1395" s="79">
        <v>43053</v>
      </c>
      <c r="B1395" s="80" t="s">
        <v>5518</v>
      </c>
      <c r="C1395" s="80" t="s">
        <v>4941</v>
      </c>
      <c r="D1395" s="80" t="s">
        <v>4942</v>
      </c>
      <c r="E1395" s="81">
        <v>250000</v>
      </c>
      <c r="F1395" s="80" t="s">
        <v>4838</v>
      </c>
      <c r="G1395" s="81">
        <v>98.05</v>
      </c>
      <c r="H1395" s="81">
        <v>98.05</v>
      </c>
      <c r="I1395" s="80" t="s">
        <v>4800</v>
      </c>
      <c r="L1395" s="3">
        <f>VLOOKUP(C1395,Securities!A:D,4,FALSE)</f>
        <v>5</v>
      </c>
      <c r="M1395" s="3" t="str">
        <f>VLOOKUP(C1395,Securities!A:B,2,FALSE)</f>
        <v>XS1605089066 Corp</v>
      </c>
      <c r="O1395" s="3">
        <f t="shared" si="22"/>
        <v>250000</v>
      </c>
    </row>
    <row r="1396" spans="1:15" x14ac:dyDescent="0.25">
      <c r="A1396" s="76">
        <v>43053</v>
      </c>
      <c r="B1396" s="77" t="s">
        <v>5518</v>
      </c>
      <c r="C1396" s="77" t="s">
        <v>4982</v>
      </c>
      <c r="D1396" s="77" t="s">
        <v>4983</v>
      </c>
      <c r="E1396" s="78">
        <v>16300</v>
      </c>
      <c r="F1396" s="77" t="s">
        <v>4814</v>
      </c>
      <c r="G1396" s="78">
        <v>100.3</v>
      </c>
      <c r="H1396" s="78">
        <v>100.3</v>
      </c>
      <c r="I1396" s="77" t="s">
        <v>4800</v>
      </c>
      <c r="L1396" s="3">
        <f>VLOOKUP(C1396,Securities!A:D,4,FALSE)</f>
        <v>5</v>
      </c>
      <c r="M1396" s="3" t="str">
        <f>VLOOKUP(C1396,Securities!A:B,2,FALSE)</f>
        <v>RU000A0JXVY3 Corp</v>
      </c>
      <c r="O1396" s="3">
        <f t="shared" si="22"/>
        <v>16300</v>
      </c>
    </row>
    <row r="1397" spans="1:15" x14ac:dyDescent="0.25">
      <c r="A1397" s="79">
        <v>43053</v>
      </c>
      <c r="B1397" s="80" t="s">
        <v>5518</v>
      </c>
      <c r="C1397" s="80" t="s">
        <v>4932</v>
      </c>
      <c r="D1397" s="80" t="s">
        <v>4933</v>
      </c>
      <c r="E1397" s="81">
        <v>15000</v>
      </c>
      <c r="F1397" s="80" t="s">
        <v>4814</v>
      </c>
      <c r="G1397" s="81">
        <v>100</v>
      </c>
      <c r="H1397" s="81">
        <v>100</v>
      </c>
      <c r="I1397" s="80" t="s">
        <v>4800</v>
      </c>
      <c r="L1397" s="3">
        <f>VLOOKUP(C1397,Securities!A:D,4,FALSE)</f>
        <v>5</v>
      </c>
      <c r="M1397" s="3" t="str">
        <f>VLOOKUP(C1397,Securities!A:B,2,FALSE)</f>
        <v>RU000A0ZYBS1 Corp</v>
      </c>
      <c r="O1397" s="3">
        <f t="shared" si="22"/>
        <v>15000</v>
      </c>
    </row>
    <row r="1398" spans="1:15" x14ac:dyDescent="0.25">
      <c r="A1398" s="76">
        <v>43053</v>
      </c>
      <c r="B1398" s="77" t="s">
        <v>5519</v>
      </c>
      <c r="C1398" s="77" t="s">
        <v>4955</v>
      </c>
      <c r="D1398" s="77" t="s">
        <v>126</v>
      </c>
      <c r="E1398" s="78">
        <v>600</v>
      </c>
      <c r="F1398" s="77" t="s">
        <v>4810</v>
      </c>
      <c r="G1398" s="78">
        <v>0</v>
      </c>
      <c r="H1398" s="78">
        <v>0</v>
      </c>
      <c r="I1398" s="77" t="s">
        <v>4800</v>
      </c>
      <c r="L1398" s="3">
        <f>VLOOKUP(C1398,Securities!A:D,4,FALSE)</f>
        <v>1</v>
      </c>
      <c r="M1398" s="3" t="str">
        <f>VLOOKUP(C1398,Securities!A:B,2,FALSE)</f>
        <v>AFLT RX Equity</v>
      </c>
      <c r="O1398" s="3">
        <f t="shared" si="22"/>
        <v>600</v>
      </c>
    </row>
    <row r="1399" spans="1:15" x14ac:dyDescent="0.25">
      <c r="A1399" s="79">
        <v>43053</v>
      </c>
      <c r="B1399" s="80" t="s">
        <v>5519</v>
      </c>
      <c r="C1399" s="80" t="s">
        <v>4809</v>
      </c>
      <c r="D1399" s="80" t="s">
        <v>30</v>
      </c>
      <c r="E1399" s="81">
        <v>1430</v>
      </c>
      <c r="F1399" s="80" t="s">
        <v>4810</v>
      </c>
      <c r="G1399" s="81">
        <v>0</v>
      </c>
      <c r="H1399" s="81">
        <v>0</v>
      </c>
      <c r="I1399" s="80" t="s">
        <v>4800</v>
      </c>
      <c r="L1399" s="3">
        <f>VLOOKUP(C1399,Securities!A:D,4,FALSE)</f>
        <v>1</v>
      </c>
      <c r="M1399" s="3" t="str">
        <f>VLOOKUP(C1399,Securities!A:B,2,FALSE)</f>
        <v>GAZP RX Equity</v>
      </c>
      <c r="O1399" s="3">
        <f t="shared" si="22"/>
        <v>1430</v>
      </c>
    </row>
    <row r="1400" spans="1:15" x14ac:dyDescent="0.25">
      <c r="A1400" s="76">
        <v>43053</v>
      </c>
      <c r="B1400" s="77" t="s">
        <v>5519</v>
      </c>
      <c r="C1400" s="77" t="s">
        <v>5043</v>
      </c>
      <c r="D1400" s="77" t="s">
        <v>5044</v>
      </c>
      <c r="E1400" s="78">
        <v>200000</v>
      </c>
      <c r="F1400" s="77" t="s">
        <v>4806</v>
      </c>
      <c r="G1400" s="78">
        <v>99.5</v>
      </c>
      <c r="H1400" s="78">
        <v>99.5</v>
      </c>
      <c r="I1400" s="77" t="s">
        <v>4800</v>
      </c>
      <c r="L1400" s="3">
        <f>VLOOKUP(C1400,Securities!A:D,4,FALSE)</f>
        <v>5</v>
      </c>
      <c r="M1400" s="3" t="str">
        <f>VLOOKUP(C1400,Securities!A:B,2,FALSE)</f>
        <v>XS0547082973 Corp</v>
      </c>
      <c r="O1400" s="3">
        <f t="shared" si="22"/>
        <v>200000</v>
      </c>
    </row>
    <row r="1401" spans="1:15" x14ac:dyDescent="0.25">
      <c r="A1401" s="79">
        <v>43053</v>
      </c>
      <c r="B1401" s="80" t="s">
        <v>5519</v>
      </c>
      <c r="C1401" s="80" t="s">
        <v>4905</v>
      </c>
      <c r="D1401" s="80" t="s">
        <v>220</v>
      </c>
      <c r="E1401" s="81">
        <v>665</v>
      </c>
      <c r="F1401" s="80" t="s">
        <v>4810</v>
      </c>
      <c r="G1401" s="81">
        <v>8286.6165409999994</v>
      </c>
      <c r="H1401" s="81">
        <v>127.680943</v>
      </c>
      <c r="I1401" s="80" t="s">
        <v>4800</v>
      </c>
      <c r="L1401" s="3">
        <f>VLOOKUP(C1401,Securities!A:D,4,FALSE)</f>
        <v>1</v>
      </c>
      <c r="M1401" s="3" t="str">
        <f>VLOOKUP(C1401,Securities!A:B,2,FALSE)</f>
        <v>GMKN RX Equity</v>
      </c>
      <c r="O1401" s="3">
        <f t="shared" si="22"/>
        <v>665</v>
      </c>
    </row>
    <row r="1402" spans="1:15" x14ac:dyDescent="0.25">
      <c r="A1402" s="76">
        <v>43053</v>
      </c>
      <c r="B1402" s="77" t="s">
        <v>5519</v>
      </c>
      <c r="C1402" s="77" t="s">
        <v>5086</v>
      </c>
      <c r="D1402" s="77" t="s">
        <v>5087</v>
      </c>
      <c r="E1402" s="78">
        <v>200000</v>
      </c>
      <c r="F1402" s="77" t="s">
        <v>4806</v>
      </c>
      <c r="G1402" s="78">
        <v>97.75</v>
      </c>
      <c r="H1402" s="78">
        <v>97.75</v>
      </c>
      <c r="I1402" s="77" t="s">
        <v>4800</v>
      </c>
      <c r="L1402" s="3">
        <f>VLOOKUP(C1402,Securities!A:D,4,FALSE)</f>
        <v>5</v>
      </c>
      <c r="M1402" s="3" t="str">
        <f>VLOOKUP(C1402,Securities!A:B,2,FALSE)</f>
        <v>EJ951547 Corp</v>
      </c>
      <c r="O1402" s="3">
        <f t="shared" si="22"/>
        <v>200000</v>
      </c>
    </row>
    <row r="1403" spans="1:15" x14ac:dyDescent="0.25">
      <c r="A1403" s="79">
        <v>43053</v>
      </c>
      <c r="B1403" s="80" t="s">
        <v>5519</v>
      </c>
      <c r="C1403" s="80" t="s">
        <v>5520</v>
      </c>
      <c r="D1403" s="80" t="s">
        <v>5521</v>
      </c>
      <c r="E1403" s="81">
        <v>2381</v>
      </c>
      <c r="F1403" s="80" t="s">
        <v>4810</v>
      </c>
      <c r="G1403" s="81">
        <v>0</v>
      </c>
      <c r="H1403" s="81">
        <v>0</v>
      </c>
      <c r="I1403" s="80" t="s">
        <v>4800</v>
      </c>
      <c r="L1403" s="3">
        <f>VLOOKUP(C1403,Securities!A:D,4,FALSE)</f>
        <v>1</v>
      </c>
      <c r="M1403" s="3" t="str">
        <f>VLOOKUP(C1403,Securities!A:B,2,FALSE)</f>
        <v>IESK RX Equity</v>
      </c>
      <c r="O1403" s="3">
        <f t="shared" si="22"/>
        <v>2381</v>
      </c>
    </row>
    <row r="1404" spans="1:15" x14ac:dyDescent="0.25">
      <c r="A1404" s="76">
        <v>43053</v>
      </c>
      <c r="B1404" s="77" t="s">
        <v>5519</v>
      </c>
      <c r="C1404" s="77" t="s">
        <v>5522</v>
      </c>
      <c r="D1404" s="77" t="s">
        <v>280</v>
      </c>
      <c r="E1404" s="78">
        <v>2576</v>
      </c>
      <c r="F1404" s="77" t="s">
        <v>4810</v>
      </c>
      <c r="G1404" s="78">
        <v>0</v>
      </c>
      <c r="H1404" s="78">
        <v>0</v>
      </c>
      <c r="I1404" s="77" t="s">
        <v>4800</v>
      </c>
      <c r="L1404" s="3">
        <f>VLOOKUP(C1404,Securities!A:D,4,FALSE)</f>
        <v>1</v>
      </c>
      <c r="M1404" s="3" t="str">
        <f>VLOOKUP(C1404,Securities!A:B,2,FALSE)</f>
        <v>IRAO RX Equity</v>
      </c>
      <c r="O1404" s="3">
        <f t="shared" si="22"/>
        <v>2576</v>
      </c>
    </row>
    <row r="1405" spans="1:15" x14ac:dyDescent="0.25">
      <c r="A1405" s="79">
        <v>43053</v>
      </c>
      <c r="B1405" s="80" t="s">
        <v>5519</v>
      </c>
      <c r="C1405" s="80" t="s">
        <v>5523</v>
      </c>
      <c r="D1405" s="80" t="s">
        <v>280</v>
      </c>
      <c r="E1405" s="81">
        <v>16</v>
      </c>
      <c r="F1405" s="80" t="s">
        <v>4810</v>
      </c>
      <c r="G1405" s="81">
        <v>0</v>
      </c>
      <c r="H1405" s="81">
        <v>0</v>
      </c>
      <c r="I1405" s="80" t="s">
        <v>4800</v>
      </c>
      <c r="L1405" s="3" t="e">
        <f>VLOOKUP(C1405,Securities!A:D,4,FALSE)</f>
        <v>#N/A</v>
      </c>
      <c r="M1405" s="3" t="e">
        <f>VLOOKUP(C1405,Securities!A:B,2,FALSE)</f>
        <v>#N/A</v>
      </c>
      <c r="O1405" s="3">
        <f t="shared" si="22"/>
        <v>16</v>
      </c>
    </row>
    <row r="1406" spans="1:15" x14ac:dyDescent="0.25">
      <c r="A1406" s="76">
        <v>43053</v>
      </c>
      <c r="B1406" s="77" t="s">
        <v>5519</v>
      </c>
      <c r="C1406" s="77" t="s">
        <v>4847</v>
      </c>
      <c r="D1406" s="77" t="s">
        <v>369</v>
      </c>
      <c r="E1406" s="78">
        <v>25</v>
      </c>
      <c r="F1406" s="77" t="s">
        <v>4810</v>
      </c>
      <c r="G1406" s="78">
        <v>0</v>
      </c>
      <c r="H1406" s="78">
        <v>0</v>
      </c>
      <c r="I1406" s="77" t="s">
        <v>4800</v>
      </c>
      <c r="L1406" s="3">
        <f>VLOOKUP(C1406,Securities!A:D,4,FALSE)</f>
        <v>1</v>
      </c>
      <c r="M1406" s="3" t="str">
        <f>VLOOKUP(C1406,Securities!A:B,2,FALSE)</f>
        <v>LKOH RX Equity</v>
      </c>
      <c r="O1406" s="3">
        <f t="shared" si="22"/>
        <v>25</v>
      </c>
    </row>
    <row r="1407" spans="1:15" x14ac:dyDescent="0.25">
      <c r="A1407" s="79">
        <v>43053</v>
      </c>
      <c r="B1407" s="80" t="s">
        <v>5519</v>
      </c>
      <c r="C1407" s="80" t="s">
        <v>5524</v>
      </c>
      <c r="D1407" s="80" t="s">
        <v>36</v>
      </c>
      <c r="E1407" s="81">
        <v>450000</v>
      </c>
      <c r="F1407" s="80" t="s">
        <v>4810</v>
      </c>
      <c r="G1407" s="81">
        <v>2.15</v>
      </c>
      <c r="H1407" s="81">
        <v>3.8220999999999998E-2</v>
      </c>
      <c r="I1407" s="80" t="s">
        <v>4800</v>
      </c>
      <c r="L1407" s="3">
        <f>VLOOKUP(C1407,Securities!A:D,4,FALSE)</f>
        <v>1</v>
      </c>
      <c r="M1407" s="3" t="str">
        <f>VLOOKUP(C1407,Securities!A:B,2,FALSE)</f>
        <v>MSNG RX Equity</v>
      </c>
      <c r="O1407" s="3">
        <f t="shared" si="22"/>
        <v>450000</v>
      </c>
    </row>
    <row r="1408" spans="1:15" x14ac:dyDescent="0.25">
      <c r="A1408" s="76">
        <v>43053</v>
      </c>
      <c r="B1408" s="77" t="s">
        <v>5519</v>
      </c>
      <c r="C1408" s="77" t="s">
        <v>5525</v>
      </c>
      <c r="D1408" s="77" t="s">
        <v>517</v>
      </c>
      <c r="E1408" s="78">
        <v>37302404</v>
      </c>
      <c r="F1408" s="77" t="s">
        <v>4810</v>
      </c>
      <c r="G1408" s="78">
        <v>0</v>
      </c>
      <c r="H1408" s="78">
        <v>0</v>
      </c>
      <c r="I1408" s="77" t="s">
        <v>4800</v>
      </c>
      <c r="L1408" s="3">
        <f>VLOOKUP(C1408,Securities!A:D,4,FALSE)</f>
        <v>1</v>
      </c>
      <c r="M1408" s="3" t="str">
        <f>VLOOKUP(C1408,Securities!A:B,2,FALSE)</f>
        <v>OGKB RX Equity</v>
      </c>
      <c r="O1408" s="3">
        <f t="shared" si="22"/>
        <v>37302404</v>
      </c>
    </row>
    <row r="1409" spans="1:15" x14ac:dyDescent="0.25">
      <c r="A1409" s="79">
        <v>43053</v>
      </c>
      <c r="B1409" s="80" t="s">
        <v>5519</v>
      </c>
      <c r="C1409" s="80" t="s">
        <v>4893</v>
      </c>
      <c r="D1409" s="80" t="s">
        <v>604</v>
      </c>
      <c r="E1409" s="81">
        <v>600</v>
      </c>
      <c r="F1409" s="80" t="s">
        <v>4810</v>
      </c>
      <c r="G1409" s="81">
        <v>0</v>
      </c>
      <c r="H1409" s="81">
        <v>0</v>
      </c>
      <c r="I1409" s="80" t="s">
        <v>4800</v>
      </c>
      <c r="L1409" s="3">
        <f>VLOOKUP(C1409,Securities!A:D,4,FALSE)</f>
        <v>1</v>
      </c>
      <c r="M1409" s="3" t="str">
        <f>VLOOKUP(C1409,Securities!A:B,2,FALSE)</f>
        <v>ROSN RX Equity</v>
      </c>
      <c r="O1409" s="3">
        <f t="shared" si="22"/>
        <v>600</v>
      </c>
    </row>
    <row r="1410" spans="1:15" x14ac:dyDescent="0.25">
      <c r="A1410" s="76">
        <v>43053</v>
      </c>
      <c r="B1410" s="77" t="s">
        <v>5519</v>
      </c>
      <c r="C1410" s="77" t="s">
        <v>5526</v>
      </c>
      <c r="D1410" s="77" t="s">
        <v>607</v>
      </c>
      <c r="E1410" s="78">
        <v>2000</v>
      </c>
      <c r="F1410" s="77" t="s">
        <v>4810</v>
      </c>
      <c r="G1410" s="78">
        <v>0</v>
      </c>
      <c r="H1410" s="78">
        <v>0</v>
      </c>
      <c r="I1410" s="77" t="s">
        <v>4800</v>
      </c>
      <c r="L1410" s="3">
        <f>VLOOKUP(C1410,Securities!A:D,4,FALSE)</f>
        <v>1</v>
      </c>
      <c r="M1410" s="3" t="str">
        <f>VLOOKUP(C1410,Securities!A:B,2,FALSE)</f>
        <v>RSTI RX Equity</v>
      </c>
      <c r="O1410" s="3">
        <f t="shared" si="22"/>
        <v>2000</v>
      </c>
    </row>
    <row r="1411" spans="1:15" x14ac:dyDescent="0.25">
      <c r="A1411" s="79">
        <v>43053</v>
      </c>
      <c r="B1411" s="80" t="s">
        <v>5519</v>
      </c>
      <c r="C1411" s="80" t="s">
        <v>5527</v>
      </c>
      <c r="D1411" s="80" t="s">
        <v>610</v>
      </c>
      <c r="E1411" s="81">
        <v>10000</v>
      </c>
      <c r="F1411" s="80" t="s">
        <v>4810</v>
      </c>
      <c r="G1411" s="81">
        <v>0</v>
      </c>
      <c r="H1411" s="81">
        <v>0</v>
      </c>
      <c r="I1411" s="80" t="s">
        <v>4800</v>
      </c>
      <c r="L1411" s="3">
        <f>VLOOKUP(C1411,Securities!A:D,4,FALSE)</f>
        <v>1</v>
      </c>
      <c r="M1411" s="3" t="str">
        <f>VLOOKUP(C1411,Securities!A:B,2,FALSE)</f>
        <v>RSTIP RX Equity</v>
      </c>
      <c r="O1411" s="3">
        <f t="shared" si="22"/>
        <v>10000</v>
      </c>
    </row>
    <row r="1412" spans="1:15" x14ac:dyDescent="0.25">
      <c r="A1412" s="76">
        <v>43053</v>
      </c>
      <c r="B1412" s="77" t="s">
        <v>5519</v>
      </c>
      <c r="C1412" s="77" t="s">
        <v>4822</v>
      </c>
      <c r="D1412" s="77" t="s">
        <v>613</v>
      </c>
      <c r="E1412" s="78">
        <v>473</v>
      </c>
      <c r="F1412" s="77" t="s">
        <v>4810</v>
      </c>
      <c r="G1412" s="78">
        <v>0</v>
      </c>
      <c r="H1412" s="78">
        <v>0</v>
      </c>
      <c r="I1412" s="77" t="s">
        <v>4800</v>
      </c>
      <c r="L1412" s="3">
        <f>VLOOKUP(C1412,Securities!A:D,4,FALSE)</f>
        <v>1</v>
      </c>
      <c r="M1412" s="3" t="str">
        <f>VLOOKUP(C1412,Securities!A:B,2,FALSE)</f>
        <v>RTKM RX Equity</v>
      </c>
      <c r="O1412" s="3">
        <f t="shared" si="22"/>
        <v>473</v>
      </c>
    </row>
    <row r="1413" spans="1:15" x14ac:dyDescent="0.25">
      <c r="A1413" s="79">
        <v>43053</v>
      </c>
      <c r="B1413" s="80" t="s">
        <v>5519</v>
      </c>
      <c r="C1413" s="80" t="s">
        <v>4851</v>
      </c>
      <c r="D1413" s="80" t="s">
        <v>4744</v>
      </c>
      <c r="E1413" s="81">
        <v>200000</v>
      </c>
      <c r="F1413" s="80" t="s">
        <v>4806</v>
      </c>
      <c r="G1413" s="81">
        <v>99.375</v>
      </c>
      <c r="H1413" s="81">
        <v>99.375</v>
      </c>
      <c r="I1413" s="80" t="s">
        <v>4800</v>
      </c>
      <c r="L1413" s="3">
        <f>VLOOKUP(C1413,Securities!A:D,4,FALSE)</f>
        <v>5</v>
      </c>
      <c r="M1413" s="3" t="str">
        <f>VLOOKUP(C1413,Securities!A:B,2,FALSE)</f>
        <v>XS1032750165 Corp</v>
      </c>
      <c r="O1413" s="3">
        <f t="shared" si="22"/>
        <v>200000</v>
      </c>
    </row>
    <row r="1414" spans="1:15" x14ac:dyDescent="0.25">
      <c r="A1414" s="76">
        <v>43053</v>
      </c>
      <c r="B1414" s="77" t="s">
        <v>5519</v>
      </c>
      <c r="C1414" s="77" t="s">
        <v>5528</v>
      </c>
      <c r="D1414" s="77" t="s">
        <v>709</v>
      </c>
      <c r="E1414" s="78">
        <v>8000</v>
      </c>
      <c r="F1414" s="77" t="s">
        <v>4810</v>
      </c>
      <c r="G1414" s="78">
        <v>0</v>
      </c>
      <c r="H1414" s="78">
        <v>0</v>
      </c>
      <c r="I1414" s="77" t="s">
        <v>4800</v>
      </c>
      <c r="L1414" s="3">
        <f>VLOOKUP(C1414,Securities!A:D,4,FALSE)</f>
        <v>1</v>
      </c>
      <c r="M1414" s="3" t="str">
        <f>VLOOKUP(C1414,Securities!A:B,2,FALSE)</f>
        <v>SNGS RX Equity</v>
      </c>
      <c r="O1414" s="3">
        <f t="shared" ref="O1414:O1477" si="23">SUMIFS(E:E,C:C,C1414,B:B,B1414)</f>
        <v>8000</v>
      </c>
    </row>
    <row r="1415" spans="1:15" x14ac:dyDescent="0.25">
      <c r="A1415" s="79">
        <v>43053</v>
      </c>
      <c r="B1415" s="80" t="s">
        <v>5519</v>
      </c>
      <c r="C1415" s="80" t="s">
        <v>5529</v>
      </c>
      <c r="D1415" s="80" t="s">
        <v>5530</v>
      </c>
      <c r="E1415" s="81">
        <v>99</v>
      </c>
      <c r="F1415" s="80" t="s">
        <v>4810</v>
      </c>
      <c r="G1415" s="81">
        <v>0</v>
      </c>
      <c r="H1415" s="81">
        <v>0</v>
      </c>
      <c r="I1415" s="80" t="s">
        <v>4800</v>
      </c>
      <c r="L1415" s="3">
        <f>VLOOKUP(C1415,Securities!A:D,4,FALSE)</f>
        <v>1</v>
      </c>
      <c r="M1415" s="3" t="str">
        <f>VLOOKUP(C1415,Securities!A:B,2,FALSE)</f>
        <v>TGKJ RX Equity</v>
      </c>
      <c r="O1415" s="3">
        <f t="shared" si="23"/>
        <v>99</v>
      </c>
    </row>
    <row r="1416" spans="1:15" x14ac:dyDescent="0.25">
      <c r="A1416" s="76">
        <v>43053</v>
      </c>
      <c r="B1416" s="77" t="s">
        <v>5531</v>
      </c>
      <c r="C1416" s="77" t="s">
        <v>5203</v>
      </c>
      <c r="D1416" s="77" t="s">
        <v>5204</v>
      </c>
      <c r="E1416" s="78">
        <v>201000</v>
      </c>
      <c r="F1416" s="77" t="s">
        <v>4806</v>
      </c>
      <c r="G1416" s="78">
        <v>60.625</v>
      </c>
      <c r="H1416" s="78">
        <v>60.625</v>
      </c>
      <c r="I1416" s="77" t="s">
        <v>4800</v>
      </c>
      <c r="L1416" s="3">
        <f>VLOOKUP(C1416,Securities!A:D,4,FALSE)</f>
        <v>5</v>
      </c>
      <c r="M1416" s="3" t="str">
        <f>VLOOKUP(C1416,Securities!A:B,2,FALSE)</f>
        <v>EI178316 Corp</v>
      </c>
      <c r="O1416" s="3">
        <f t="shared" si="23"/>
        <v>201000</v>
      </c>
    </row>
    <row r="1417" spans="1:15" x14ac:dyDescent="0.25">
      <c r="A1417" s="79">
        <v>43053</v>
      </c>
      <c r="B1417" s="80" t="s">
        <v>5531</v>
      </c>
      <c r="C1417" s="80" t="s">
        <v>4805</v>
      </c>
      <c r="D1417" s="80" t="s">
        <v>31</v>
      </c>
      <c r="E1417" s="81">
        <v>368000</v>
      </c>
      <c r="F1417" s="80" t="s">
        <v>4806</v>
      </c>
      <c r="G1417" s="81">
        <v>176.35298900000001</v>
      </c>
      <c r="H1417" s="81">
        <v>176.35298900000001</v>
      </c>
      <c r="I1417" s="80" t="s">
        <v>4800</v>
      </c>
      <c r="L1417" s="3">
        <f>VLOOKUP(C1417,Securities!A:D,4,FALSE)</f>
        <v>5</v>
      </c>
      <c r="M1417" s="3" t="str">
        <f>VLOOKUP(C1417,Securities!A:B,2,FALSE)</f>
        <v>TT343269 Corp</v>
      </c>
      <c r="O1417" s="3">
        <f t="shared" si="23"/>
        <v>368000</v>
      </c>
    </row>
    <row r="1418" spans="1:15" x14ac:dyDescent="0.25">
      <c r="A1418" s="76">
        <v>43053</v>
      </c>
      <c r="B1418" s="77" t="s">
        <v>5531</v>
      </c>
      <c r="C1418" s="77" t="s">
        <v>5189</v>
      </c>
      <c r="D1418" s="77" t="s">
        <v>4741</v>
      </c>
      <c r="E1418" s="78">
        <v>236000</v>
      </c>
      <c r="F1418" s="77" t="s">
        <v>4806</v>
      </c>
      <c r="G1418" s="78">
        <v>0</v>
      </c>
      <c r="H1418" s="78">
        <v>0</v>
      </c>
      <c r="I1418" s="77" t="s">
        <v>4800</v>
      </c>
      <c r="L1418" s="3">
        <f>VLOOKUP(C1418,Securities!A:D,4,FALSE)</f>
        <v>5</v>
      </c>
      <c r="M1418" s="3" t="str">
        <f>VLOOKUP(C1418,Securities!A:B,2,FALSE)</f>
        <v>XS0290580595 Corp</v>
      </c>
      <c r="O1418" s="3">
        <f t="shared" si="23"/>
        <v>236000</v>
      </c>
    </row>
    <row r="1419" spans="1:15" x14ac:dyDescent="0.25">
      <c r="A1419" s="79">
        <v>43053</v>
      </c>
      <c r="B1419" s="80" t="s">
        <v>5531</v>
      </c>
      <c r="C1419" s="80" t="s">
        <v>5258</v>
      </c>
      <c r="D1419" s="80" t="s">
        <v>5259</v>
      </c>
      <c r="E1419" s="81">
        <v>200000</v>
      </c>
      <c r="F1419" s="80" t="s">
        <v>4806</v>
      </c>
      <c r="G1419" s="81">
        <v>95.75</v>
      </c>
      <c r="H1419" s="81">
        <v>95.75</v>
      </c>
      <c r="I1419" s="80" t="s">
        <v>4800</v>
      </c>
      <c r="L1419" s="3">
        <f>VLOOKUP(C1419,Securities!A:D,4,FALSE)</f>
        <v>5</v>
      </c>
      <c r="M1419" s="3" t="str">
        <f>VLOOKUP(C1419,Securities!A:B,2,FALSE)</f>
        <v>US71647NAF69 Corp</v>
      </c>
      <c r="O1419" s="3">
        <f t="shared" si="23"/>
        <v>200000</v>
      </c>
    </row>
    <row r="1420" spans="1:15" x14ac:dyDescent="0.25">
      <c r="A1420" s="76">
        <v>43053</v>
      </c>
      <c r="B1420" s="77" t="s">
        <v>5532</v>
      </c>
      <c r="C1420" s="77" t="s">
        <v>4798</v>
      </c>
      <c r="D1420" s="77" t="s">
        <v>45</v>
      </c>
      <c r="E1420" s="78">
        <v>60000</v>
      </c>
      <c r="F1420" s="77" t="s">
        <v>4799</v>
      </c>
      <c r="G1420" s="78">
        <v>0</v>
      </c>
      <c r="H1420" s="78">
        <v>0</v>
      </c>
      <c r="I1420" s="77" t="s">
        <v>4800</v>
      </c>
      <c r="L1420" s="3">
        <f>VLOOKUP(C1420,Securities!A:D,4,FALSE)</f>
        <v>1</v>
      </c>
      <c r="M1420" s="3" t="str">
        <f>VLOOKUP(C1420,Securities!A:B,2,FALSE)</f>
        <v>RUAL RX Equity</v>
      </c>
      <c r="O1420" s="3">
        <f t="shared" si="23"/>
        <v>60000</v>
      </c>
    </row>
    <row r="1421" spans="1:15" x14ac:dyDescent="0.25">
      <c r="A1421" s="79">
        <v>43053</v>
      </c>
      <c r="B1421" s="80" t="s">
        <v>5532</v>
      </c>
      <c r="C1421" s="80" t="s">
        <v>4803</v>
      </c>
      <c r="D1421" s="80" t="s">
        <v>39</v>
      </c>
      <c r="E1421" s="81">
        <v>4760</v>
      </c>
      <c r="F1421" s="80" t="s">
        <v>4804</v>
      </c>
      <c r="G1421" s="81">
        <v>598.34985300000005</v>
      </c>
      <c r="H1421" s="81">
        <v>10.5</v>
      </c>
      <c r="I1421" s="80" t="s">
        <v>4800</v>
      </c>
      <c r="L1421" s="3">
        <f>VLOOKUP(C1421,Securities!A:D,4,FALSE)</f>
        <v>1</v>
      </c>
      <c r="M1421" s="3" t="str">
        <f>VLOOKUP(C1421,Securities!A:B,2,FALSE)</f>
        <v>AGRO LI Equity</v>
      </c>
      <c r="O1421" s="3">
        <f t="shared" si="23"/>
        <v>4760</v>
      </c>
    </row>
    <row r="1422" spans="1:15" x14ac:dyDescent="0.25">
      <c r="A1422" s="76">
        <v>43053</v>
      </c>
      <c r="B1422" s="77" t="s">
        <v>5532</v>
      </c>
      <c r="C1422" s="77" t="s">
        <v>5533</v>
      </c>
      <c r="D1422" s="77" t="s">
        <v>5534</v>
      </c>
      <c r="E1422" s="78">
        <v>890</v>
      </c>
      <c r="F1422" s="77" t="s">
        <v>4898</v>
      </c>
      <c r="G1422" s="78">
        <v>3064.6372860000001</v>
      </c>
      <c r="H1422" s="78">
        <v>55.73</v>
      </c>
      <c r="I1422" s="77" t="s">
        <v>4800</v>
      </c>
      <c r="L1422" s="3">
        <f>VLOOKUP(C1422,Securities!A:D,4,FALSE)</f>
        <v>1</v>
      </c>
      <c r="M1422" s="3" t="str">
        <f>VLOOKUP(C1422,Securities!A:B,2,FALSE)</f>
        <v>ERX US Equity</v>
      </c>
      <c r="O1422" s="3">
        <f t="shared" si="23"/>
        <v>890</v>
      </c>
    </row>
    <row r="1423" spans="1:15" x14ac:dyDescent="0.25">
      <c r="A1423" s="79">
        <v>43053</v>
      </c>
      <c r="B1423" s="80" t="s">
        <v>5532</v>
      </c>
      <c r="C1423" s="80" t="s">
        <v>4805</v>
      </c>
      <c r="D1423" s="80" t="s">
        <v>31</v>
      </c>
      <c r="E1423" s="81">
        <v>183000</v>
      </c>
      <c r="F1423" s="80" t="s">
        <v>4806</v>
      </c>
      <c r="G1423" s="81">
        <v>175.01</v>
      </c>
      <c r="H1423" s="81">
        <v>175.01</v>
      </c>
      <c r="I1423" s="80" t="s">
        <v>4800</v>
      </c>
      <c r="L1423" s="3">
        <f>VLOOKUP(C1423,Securities!A:D,4,FALSE)</f>
        <v>5</v>
      </c>
      <c r="M1423" s="3" t="str">
        <f>VLOOKUP(C1423,Securities!A:B,2,FALSE)</f>
        <v>TT343269 Corp</v>
      </c>
      <c r="O1423" s="3">
        <f t="shared" si="23"/>
        <v>183000</v>
      </c>
    </row>
    <row r="1424" spans="1:15" x14ac:dyDescent="0.25">
      <c r="A1424" s="76">
        <v>43053</v>
      </c>
      <c r="B1424" s="77" t="s">
        <v>5532</v>
      </c>
      <c r="C1424" s="77" t="s">
        <v>4809</v>
      </c>
      <c r="D1424" s="77" t="s">
        <v>30</v>
      </c>
      <c r="E1424" s="78">
        <v>44470</v>
      </c>
      <c r="F1424" s="77" t="s">
        <v>4810</v>
      </c>
      <c r="G1424" s="78">
        <v>133.097522</v>
      </c>
      <c r="H1424" s="78">
        <v>2.4411589999999999</v>
      </c>
      <c r="I1424" s="77" t="s">
        <v>4800</v>
      </c>
      <c r="L1424" s="3">
        <f>VLOOKUP(C1424,Securities!A:D,4,FALSE)</f>
        <v>1</v>
      </c>
      <c r="M1424" s="3" t="str">
        <f>VLOOKUP(C1424,Securities!A:B,2,FALSE)</f>
        <v>GAZP RX Equity</v>
      </c>
      <c r="O1424" s="3">
        <f t="shared" si="23"/>
        <v>44470</v>
      </c>
    </row>
    <row r="1425" spans="1:15" x14ac:dyDescent="0.25">
      <c r="A1425" s="79">
        <v>43053</v>
      </c>
      <c r="B1425" s="80" t="s">
        <v>5532</v>
      </c>
      <c r="C1425" s="80" t="s">
        <v>4811</v>
      </c>
      <c r="D1425" s="80" t="s">
        <v>4659</v>
      </c>
      <c r="E1425" s="81">
        <v>45665</v>
      </c>
      <c r="F1425" s="80" t="s">
        <v>4799</v>
      </c>
      <c r="G1425" s="81">
        <v>94.390716999999995</v>
      </c>
      <c r="H1425" s="81">
        <v>1.604454</v>
      </c>
      <c r="I1425" s="80" t="s">
        <v>4800</v>
      </c>
      <c r="L1425" s="3">
        <f>VLOOKUP(C1425,Securities!A:D,4,FALSE)</f>
        <v>1</v>
      </c>
      <c r="M1425" s="3" t="str">
        <f>VLOOKUP(C1425,Securities!A:B,2,FALSE)</f>
        <v>HGM LN Equity</v>
      </c>
      <c r="O1425" s="3">
        <f t="shared" si="23"/>
        <v>45665</v>
      </c>
    </row>
    <row r="1426" spans="1:15" x14ac:dyDescent="0.25">
      <c r="A1426" s="76">
        <v>43053</v>
      </c>
      <c r="B1426" s="77" t="s">
        <v>5532</v>
      </c>
      <c r="C1426" s="77" t="s">
        <v>4812</v>
      </c>
      <c r="D1426" s="77" t="s">
        <v>4675</v>
      </c>
      <c r="E1426" s="78">
        <v>5920</v>
      </c>
      <c r="F1426" s="77" t="s">
        <v>4804</v>
      </c>
      <c r="G1426" s="78">
        <v>495.2</v>
      </c>
      <c r="H1426" s="78">
        <v>8.1436779999999995</v>
      </c>
      <c r="I1426" s="77" t="s">
        <v>4800</v>
      </c>
      <c r="L1426" s="3">
        <f>VLOOKUP(C1426,Securities!A:D,4,FALSE)</f>
        <v>1</v>
      </c>
      <c r="M1426" s="3" t="str">
        <f>VLOOKUP(C1426,Securities!A:B,2,FALSE)</f>
        <v>KMG LI Equity</v>
      </c>
      <c r="O1426" s="3">
        <f t="shared" si="23"/>
        <v>5920</v>
      </c>
    </row>
    <row r="1427" spans="1:15" x14ac:dyDescent="0.25">
      <c r="A1427" s="79">
        <v>43053</v>
      </c>
      <c r="B1427" s="80" t="s">
        <v>5532</v>
      </c>
      <c r="C1427" s="80" t="s">
        <v>4847</v>
      </c>
      <c r="D1427" s="80" t="s">
        <v>369</v>
      </c>
      <c r="E1427" s="81">
        <v>1000</v>
      </c>
      <c r="F1427" s="80" t="s">
        <v>4810</v>
      </c>
      <c r="G1427" s="81">
        <v>2978.942</v>
      </c>
      <c r="H1427" s="81">
        <v>51.565016999999997</v>
      </c>
      <c r="I1427" s="80" t="s">
        <v>4800</v>
      </c>
      <c r="L1427" s="3">
        <f>VLOOKUP(C1427,Securities!A:D,4,FALSE)</f>
        <v>1</v>
      </c>
      <c r="M1427" s="3" t="str">
        <f>VLOOKUP(C1427,Securities!A:B,2,FALSE)</f>
        <v>LKOH RX Equity</v>
      </c>
      <c r="O1427" s="3">
        <f t="shared" si="23"/>
        <v>1000</v>
      </c>
    </row>
    <row r="1428" spans="1:15" x14ac:dyDescent="0.25">
      <c r="A1428" s="76">
        <v>43053</v>
      </c>
      <c r="B1428" s="77" t="s">
        <v>5532</v>
      </c>
      <c r="C1428" s="77" t="s">
        <v>5535</v>
      </c>
      <c r="D1428" s="77" t="s">
        <v>5536</v>
      </c>
      <c r="E1428" s="78">
        <v>1542</v>
      </c>
      <c r="F1428" s="77" t="s">
        <v>4898</v>
      </c>
      <c r="G1428" s="78">
        <v>0</v>
      </c>
      <c r="H1428" s="78">
        <v>0</v>
      </c>
      <c r="I1428" s="77" t="s">
        <v>4800</v>
      </c>
      <c r="L1428" s="3">
        <f>VLOOKUP(C1428,Securities!A:D,4,FALSE)</f>
        <v>1</v>
      </c>
      <c r="M1428" s="3" t="str">
        <f>VLOOKUP(C1428,Securities!A:B,2,FALSE)</f>
        <v>LNIK LN Equity</v>
      </c>
      <c r="O1428" s="3">
        <f t="shared" si="23"/>
        <v>1542</v>
      </c>
    </row>
    <row r="1429" spans="1:15" x14ac:dyDescent="0.25">
      <c r="A1429" s="79">
        <v>43053</v>
      </c>
      <c r="B1429" s="80" t="s">
        <v>5532</v>
      </c>
      <c r="C1429" s="80" t="s">
        <v>4910</v>
      </c>
      <c r="D1429" s="80" t="s">
        <v>366</v>
      </c>
      <c r="E1429" s="81">
        <v>2700</v>
      </c>
      <c r="F1429" s="80" t="s">
        <v>4810</v>
      </c>
      <c r="G1429" s="81">
        <v>850</v>
      </c>
      <c r="H1429" s="81">
        <v>15.184184</v>
      </c>
      <c r="I1429" s="80" t="s">
        <v>4800</v>
      </c>
      <c r="L1429" s="3">
        <f>VLOOKUP(C1429,Securities!A:D,4,FALSE)</f>
        <v>1</v>
      </c>
      <c r="M1429" s="3" t="str">
        <f>VLOOKUP(C1429,Securities!A:B,2,FALSE)</f>
        <v>LSRG RX Equity</v>
      </c>
      <c r="O1429" s="3">
        <f t="shared" si="23"/>
        <v>2700</v>
      </c>
    </row>
    <row r="1430" spans="1:15" x14ac:dyDescent="0.25">
      <c r="A1430" s="76">
        <v>43053</v>
      </c>
      <c r="B1430" s="77" t="s">
        <v>5532</v>
      </c>
      <c r="C1430" s="77" t="s">
        <v>5537</v>
      </c>
      <c r="D1430" s="77" t="s">
        <v>5538</v>
      </c>
      <c r="E1430" s="78">
        <v>695</v>
      </c>
      <c r="F1430" s="77" t="s">
        <v>4898</v>
      </c>
      <c r="G1430" s="78">
        <v>0</v>
      </c>
      <c r="H1430" s="78">
        <v>0</v>
      </c>
      <c r="I1430" s="77" t="s">
        <v>4800</v>
      </c>
      <c r="L1430" s="3">
        <f>VLOOKUP(C1430,Securities!A:D,4,FALSE)</f>
        <v>1</v>
      </c>
      <c r="M1430" s="3" t="str">
        <f>VLOOKUP(C1430,Securities!A:B,2,FALSE)</f>
        <v>LWEA LN Equity</v>
      </c>
      <c r="O1430" s="3">
        <f t="shared" si="23"/>
        <v>695</v>
      </c>
    </row>
    <row r="1431" spans="1:15" x14ac:dyDescent="0.25">
      <c r="A1431" s="79">
        <v>43053</v>
      </c>
      <c r="B1431" s="80" t="s">
        <v>5532</v>
      </c>
      <c r="C1431" s="80" t="s">
        <v>4848</v>
      </c>
      <c r="D1431" s="80" t="s">
        <v>511</v>
      </c>
      <c r="E1431" s="81">
        <v>4530</v>
      </c>
      <c r="F1431" s="80" t="s">
        <v>4810</v>
      </c>
      <c r="G1431" s="81">
        <v>628.06280100000004</v>
      </c>
      <c r="H1431" s="81">
        <v>11.021409999999999</v>
      </c>
      <c r="I1431" s="80" t="s">
        <v>4800</v>
      </c>
      <c r="L1431" s="3">
        <f>VLOOKUP(C1431,Securities!A:D,4,FALSE)</f>
        <v>1</v>
      </c>
      <c r="M1431" s="3" t="str">
        <f>VLOOKUP(C1431,Securities!A:B,2,FALSE)</f>
        <v>NVTK RX Equity</v>
      </c>
      <c r="O1431" s="3">
        <f t="shared" si="23"/>
        <v>4530</v>
      </c>
    </row>
    <row r="1432" spans="1:15" x14ac:dyDescent="0.25">
      <c r="A1432" s="76">
        <v>43053</v>
      </c>
      <c r="B1432" s="77" t="s">
        <v>5532</v>
      </c>
      <c r="C1432" s="77" t="s">
        <v>4821</v>
      </c>
      <c r="D1432" s="77" t="s">
        <v>42</v>
      </c>
      <c r="E1432" s="78">
        <v>3251</v>
      </c>
      <c r="F1432" s="77" t="s">
        <v>4799</v>
      </c>
      <c r="G1432" s="78">
        <v>644.81854399999997</v>
      </c>
      <c r="H1432" s="78">
        <v>10.360569</v>
      </c>
      <c r="I1432" s="77" t="s">
        <v>4800</v>
      </c>
      <c r="L1432" s="3">
        <f>VLOOKUP(C1432,Securities!A:D,4,FALSE)</f>
        <v>1</v>
      </c>
      <c r="M1432" s="3" t="str">
        <f>VLOOKUP(C1432,Securities!A:B,2,FALSE)</f>
        <v>POLY LN Equity</v>
      </c>
      <c r="O1432" s="3">
        <f t="shared" si="23"/>
        <v>3251</v>
      </c>
    </row>
    <row r="1433" spans="1:15" x14ac:dyDescent="0.25">
      <c r="A1433" s="79">
        <v>43053</v>
      </c>
      <c r="B1433" s="80" t="s">
        <v>5532</v>
      </c>
      <c r="C1433" s="80" t="s">
        <v>4917</v>
      </c>
      <c r="D1433" s="80" t="s">
        <v>742</v>
      </c>
      <c r="E1433" s="81">
        <v>43300</v>
      </c>
      <c r="F1433" s="80" t="s">
        <v>4810</v>
      </c>
      <c r="G1433" s="81">
        <v>69.3</v>
      </c>
      <c r="H1433" s="81">
        <v>1.1995720000000001</v>
      </c>
      <c r="I1433" s="80" t="s">
        <v>4800</v>
      </c>
      <c r="L1433" s="3">
        <f>VLOOKUP(C1433,Securities!A:D,4,FALSE)</f>
        <v>1</v>
      </c>
      <c r="M1433" s="3" t="str">
        <f>VLOOKUP(C1433,Securities!A:B,2,FALSE)</f>
        <v>TRMK RX Equity</v>
      </c>
      <c r="O1433" s="3">
        <f t="shared" si="23"/>
        <v>43300</v>
      </c>
    </row>
    <row r="1434" spans="1:15" x14ac:dyDescent="0.25">
      <c r="A1434" s="76">
        <v>43053</v>
      </c>
      <c r="B1434" s="77" t="s">
        <v>5532</v>
      </c>
      <c r="C1434" s="77" t="s">
        <v>4890</v>
      </c>
      <c r="D1434" s="77" t="s">
        <v>886</v>
      </c>
      <c r="E1434" s="78">
        <v>1250000</v>
      </c>
      <c r="F1434" s="77" t="s">
        <v>4810</v>
      </c>
      <c r="G1434" s="78">
        <v>2.3997999999999999</v>
      </c>
      <c r="H1434" s="78">
        <v>4.1540000000000001E-2</v>
      </c>
      <c r="I1434" s="77" t="s">
        <v>4800</v>
      </c>
      <c r="L1434" s="3">
        <f>VLOOKUP(C1434,Securities!A:D,4,FALSE)</f>
        <v>1</v>
      </c>
      <c r="M1434" s="3" t="str">
        <f>VLOOKUP(C1434,Securities!A:B,2,FALSE)</f>
        <v>UPRO RX Equity</v>
      </c>
      <c r="O1434" s="3">
        <f t="shared" si="23"/>
        <v>1250000</v>
      </c>
    </row>
    <row r="1435" spans="1:15" x14ac:dyDescent="0.25">
      <c r="A1435" s="79">
        <v>43053</v>
      </c>
      <c r="B1435" s="80" t="s">
        <v>5532</v>
      </c>
      <c r="C1435" s="80" t="s">
        <v>4824</v>
      </c>
      <c r="D1435" s="80" t="s">
        <v>4674</v>
      </c>
      <c r="E1435" s="81">
        <v>12300</v>
      </c>
      <c r="F1435" s="80" t="s">
        <v>4825</v>
      </c>
      <c r="G1435" s="81">
        <v>0</v>
      </c>
      <c r="H1435" s="81">
        <v>0</v>
      </c>
      <c r="I1435" s="80" t="s">
        <v>4800</v>
      </c>
      <c r="L1435" s="3">
        <f>VLOOKUP(C1435,Securities!A:D,4,FALSE)</f>
        <v>1</v>
      </c>
      <c r="M1435" s="3" t="str">
        <f>VLOOKUP(C1435,Securities!A:B,2,FALSE)</f>
        <v>VEON US Equity</v>
      </c>
      <c r="O1435" s="3">
        <f t="shared" si="23"/>
        <v>12300</v>
      </c>
    </row>
    <row r="1436" spans="1:15" x14ac:dyDescent="0.25">
      <c r="A1436" s="76">
        <v>43053</v>
      </c>
      <c r="B1436" s="77" t="s">
        <v>5539</v>
      </c>
      <c r="C1436" s="77" t="s">
        <v>4801</v>
      </c>
      <c r="D1436" s="77" t="s">
        <v>4802</v>
      </c>
      <c r="E1436" s="78">
        <v>487</v>
      </c>
      <c r="F1436" s="77" t="s">
        <v>4799</v>
      </c>
      <c r="G1436" s="78">
        <v>10389.673993</v>
      </c>
      <c r="H1436" s="78">
        <v>179.529753</v>
      </c>
      <c r="I1436" s="77" t="s">
        <v>4800</v>
      </c>
      <c r="L1436" s="3">
        <f>VLOOKUP(C1436,Securities!A:D,4,FALSE)</f>
        <v>1</v>
      </c>
      <c r="M1436" s="3" t="str">
        <f>VLOOKUP(C1436,Securities!A:B,2,FALSE)</f>
        <v>AGN US Equity</v>
      </c>
      <c r="O1436" s="3">
        <f t="shared" si="23"/>
        <v>487</v>
      </c>
    </row>
    <row r="1437" spans="1:15" x14ac:dyDescent="0.25">
      <c r="A1437" s="79">
        <v>43053</v>
      </c>
      <c r="B1437" s="80" t="s">
        <v>5539</v>
      </c>
      <c r="C1437" s="80" t="s">
        <v>5180</v>
      </c>
      <c r="D1437" s="80" t="s">
        <v>5181</v>
      </c>
      <c r="E1437" s="81">
        <v>100000</v>
      </c>
      <c r="F1437" s="80" t="s">
        <v>4806</v>
      </c>
      <c r="G1437" s="81">
        <v>0</v>
      </c>
      <c r="H1437" s="81">
        <v>0</v>
      </c>
      <c r="I1437" s="80" t="s">
        <v>4800</v>
      </c>
      <c r="L1437" s="3">
        <f>VLOOKUP(C1437,Securities!A:D,4,FALSE)</f>
        <v>5</v>
      </c>
      <c r="M1437" s="3" t="str">
        <f>VLOOKUP(C1437,Securities!A:B,2,FALSE)</f>
        <v>XS0583616239 Corp</v>
      </c>
      <c r="O1437" s="3">
        <f t="shared" si="23"/>
        <v>100000</v>
      </c>
    </row>
    <row r="1438" spans="1:15" x14ac:dyDescent="0.25">
      <c r="A1438" s="76">
        <v>43053</v>
      </c>
      <c r="B1438" s="77" t="s">
        <v>5539</v>
      </c>
      <c r="C1438" s="77" t="s">
        <v>4805</v>
      </c>
      <c r="D1438" s="77" t="s">
        <v>31</v>
      </c>
      <c r="E1438" s="78">
        <v>119000</v>
      </c>
      <c r="F1438" s="77" t="s">
        <v>4806</v>
      </c>
      <c r="G1438" s="78">
        <v>175.5</v>
      </c>
      <c r="H1438" s="78">
        <v>175.5</v>
      </c>
      <c r="I1438" s="77" t="s">
        <v>4800</v>
      </c>
      <c r="L1438" s="3">
        <f>VLOOKUP(C1438,Securities!A:D,4,FALSE)</f>
        <v>5</v>
      </c>
      <c r="M1438" s="3" t="str">
        <f>VLOOKUP(C1438,Securities!A:B,2,FALSE)</f>
        <v>TT343269 Corp</v>
      </c>
      <c r="O1438" s="3">
        <f t="shared" si="23"/>
        <v>119000</v>
      </c>
    </row>
    <row r="1439" spans="1:15" x14ac:dyDescent="0.25">
      <c r="A1439" s="79">
        <v>43053</v>
      </c>
      <c r="B1439" s="80" t="s">
        <v>5539</v>
      </c>
      <c r="C1439" s="80" t="s">
        <v>5540</v>
      </c>
      <c r="D1439" s="80" t="s">
        <v>5541</v>
      </c>
      <c r="E1439" s="81">
        <v>250000</v>
      </c>
      <c r="F1439" s="80" t="s">
        <v>4806</v>
      </c>
      <c r="G1439" s="81">
        <v>102.45</v>
      </c>
      <c r="H1439" s="81">
        <v>102.45</v>
      </c>
      <c r="I1439" s="80" t="s">
        <v>4800</v>
      </c>
      <c r="L1439" s="3">
        <f>VLOOKUP(C1439,Securities!A:D,4,FALSE)</f>
        <v>5</v>
      </c>
      <c r="M1439" s="3" t="str">
        <f>VLOOKUP(C1439,Securities!A:B,2,FALSE)</f>
        <v>CH0246199050 Corp</v>
      </c>
      <c r="O1439" s="3">
        <f t="shared" si="23"/>
        <v>250000</v>
      </c>
    </row>
    <row r="1440" spans="1:15" x14ac:dyDescent="0.25">
      <c r="A1440" s="76">
        <v>43053</v>
      </c>
      <c r="B1440" s="77" t="s">
        <v>5539</v>
      </c>
      <c r="C1440" s="77" t="s">
        <v>5542</v>
      </c>
      <c r="D1440" s="77" t="s">
        <v>5543</v>
      </c>
      <c r="E1440" s="78">
        <v>1046</v>
      </c>
      <c r="F1440" s="77" t="s">
        <v>4799</v>
      </c>
      <c r="G1440" s="78">
        <v>4884.6723579999998</v>
      </c>
      <c r="H1440" s="78">
        <v>77.305965999999998</v>
      </c>
      <c r="I1440" s="77" t="s">
        <v>4800</v>
      </c>
      <c r="L1440" s="3">
        <f>VLOOKUP(C1440,Securities!A:D,4,FALSE)</f>
        <v>1</v>
      </c>
      <c r="M1440" s="3" t="str">
        <f>VLOOKUP(C1440,Securities!A:B,2,FALSE)</f>
        <v>NOVN VX Equity</v>
      </c>
      <c r="O1440" s="3">
        <f t="shared" si="23"/>
        <v>1046</v>
      </c>
    </row>
    <row r="1441" spans="1:15" x14ac:dyDescent="0.25">
      <c r="A1441" s="79">
        <v>43053</v>
      </c>
      <c r="B1441" s="80" t="s">
        <v>5539</v>
      </c>
      <c r="C1441" s="80" t="s">
        <v>5544</v>
      </c>
      <c r="D1441" s="80" t="s">
        <v>5545</v>
      </c>
      <c r="E1441" s="81">
        <v>204</v>
      </c>
      <c r="F1441" s="80" t="s">
        <v>4799</v>
      </c>
      <c r="G1441" s="81">
        <v>16068.053182</v>
      </c>
      <c r="H1441" s="81">
        <v>246.995994</v>
      </c>
      <c r="I1441" s="80" t="s">
        <v>4800</v>
      </c>
      <c r="L1441" s="3">
        <f>VLOOKUP(C1441,Securities!A:D,4,FALSE)</f>
        <v>1</v>
      </c>
      <c r="M1441" s="3" t="str">
        <f>VLOOKUP(C1441,Securities!A:B,2,FALSE)</f>
        <v>ROG EB Equity</v>
      </c>
      <c r="O1441" s="3">
        <f t="shared" si="23"/>
        <v>204</v>
      </c>
    </row>
    <row r="1442" spans="1:15" x14ac:dyDescent="0.25">
      <c r="A1442" s="76">
        <v>43053</v>
      </c>
      <c r="B1442" s="77" t="s">
        <v>5539</v>
      </c>
      <c r="C1442" s="77" t="s">
        <v>4851</v>
      </c>
      <c r="D1442" s="77" t="s">
        <v>4744</v>
      </c>
      <c r="E1442" s="78">
        <v>1000000</v>
      </c>
      <c r="F1442" s="77" t="s">
        <v>4806</v>
      </c>
      <c r="G1442" s="78">
        <v>101.221666</v>
      </c>
      <c r="H1442" s="78">
        <v>101.221666</v>
      </c>
      <c r="I1442" s="77" t="s">
        <v>4800</v>
      </c>
      <c r="L1442" s="3">
        <f>VLOOKUP(C1442,Securities!A:D,4,FALSE)</f>
        <v>5</v>
      </c>
      <c r="M1442" s="3" t="str">
        <f>VLOOKUP(C1442,Securities!A:B,2,FALSE)</f>
        <v>XS1032750165 Corp</v>
      </c>
      <c r="O1442" s="3">
        <f t="shared" si="23"/>
        <v>1000000</v>
      </c>
    </row>
    <row r="1443" spans="1:15" x14ac:dyDescent="0.25">
      <c r="A1443" s="79">
        <v>43053</v>
      </c>
      <c r="B1443" s="80" t="s">
        <v>5539</v>
      </c>
      <c r="C1443" s="80" t="s">
        <v>5546</v>
      </c>
      <c r="D1443" s="80" t="s">
        <v>5547</v>
      </c>
      <c r="E1443" s="81">
        <v>300000</v>
      </c>
      <c r="F1443" s="80" t="s">
        <v>4806</v>
      </c>
      <c r="G1443" s="81">
        <v>102.4</v>
      </c>
      <c r="H1443" s="81">
        <v>102.4</v>
      </c>
      <c r="I1443" s="80" t="s">
        <v>4800</v>
      </c>
      <c r="L1443" s="3">
        <f>VLOOKUP(C1443,Securities!A:D,4,FALSE)</f>
        <v>5</v>
      </c>
      <c r="M1443" s="3" t="str">
        <f>VLOOKUP(C1443,Securities!A:B,2,FALSE)</f>
        <v>CH0336352825 Corp</v>
      </c>
      <c r="O1443" s="3">
        <f t="shared" si="23"/>
        <v>300000</v>
      </c>
    </row>
    <row r="1444" spans="1:15" x14ac:dyDescent="0.25">
      <c r="A1444" s="76">
        <v>43053</v>
      </c>
      <c r="B1444" s="77" t="s">
        <v>5548</v>
      </c>
      <c r="C1444" s="77" t="s">
        <v>4866</v>
      </c>
      <c r="D1444" s="77" t="s">
        <v>99</v>
      </c>
      <c r="E1444" s="78">
        <v>76150</v>
      </c>
      <c r="F1444" s="77" t="s">
        <v>4810</v>
      </c>
      <c r="G1444" s="78">
        <v>86.781959999999998</v>
      </c>
      <c r="H1444" s="78">
        <v>1.4947490000000001</v>
      </c>
      <c r="I1444" s="77" t="s">
        <v>4800</v>
      </c>
      <c r="L1444" s="3">
        <f>VLOOKUP(C1444,Securities!A:D,4,FALSE)</f>
        <v>1</v>
      </c>
      <c r="M1444" s="3" t="str">
        <f>VLOOKUP(C1444,Securities!A:B,2,FALSE)</f>
        <v>ALRS RX Equity</v>
      </c>
      <c r="O1444" s="3">
        <f t="shared" si="23"/>
        <v>76150</v>
      </c>
    </row>
    <row r="1445" spans="1:15" x14ac:dyDescent="0.25">
      <c r="A1445" s="79">
        <v>43053</v>
      </c>
      <c r="B1445" s="80" t="s">
        <v>5548</v>
      </c>
      <c r="C1445" s="80" t="s">
        <v>4895</v>
      </c>
      <c r="D1445" s="80" t="s">
        <v>144</v>
      </c>
      <c r="E1445" s="81">
        <v>2450</v>
      </c>
      <c r="F1445" s="80" t="s">
        <v>4810</v>
      </c>
      <c r="G1445" s="81">
        <v>1221.4000000000001</v>
      </c>
      <c r="H1445" s="81">
        <v>20.672858000000002</v>
      </c>
      <c r="I1445" s="80" t="s">
        <v>4800</v>
      </c>
      <c r="L1445" s="3">
        <f>VLOOKUP(C1445,Securities!A:D,4,FALSE)</f>
        <v>1</v>
      </c>
      <c r="M1445" s="3" t="str">
        <f>VLOOKUP(C1445,Securities!A:B,2,FALSE)</f>
        <v>BANEP RX Equity</v>
      </c>
      <c r="O1445" s="3">
        <f t="shared" si="23"/>
        <v>2450</v>
      </c>
    </row>
    <row r="1446" spans="1:15" x14ac:dyDescent="0.25">
      <c r="A1446" s="76">
        <v>43053</v>
      </c>
      <c r="B1446" s="77" t="s">
        <v>5548</v>
      </c>
      <c r="C1446" s="77" t="s">
        <v>4901</v>
      </c>
      <c r="D1446" s="77" t="s">
        <v>4902</v>
      </c>
      <c r="E1446" s="78">
        <v>1810</v>
      </c>
      <c r="F1446" s="77" t="s">
        <v>4804</v>
      </c>
      <c r="G1446" s="78">
        <v>2019.057</v>
      </c>
      <c r="H1446" s="78">
        <v>33.844766999999997</v>
      </c>
      <c r="I1446" s="77" t="s">
        <v>4800</v>
      </c>
      <c r="L1446" s="3">
        <f>VLOOKUP(C1446,Securities!A:D,4,FALSE)</f>
        <v>1</v>
      </c>
      <c r="M1446" s="3" t="str">
        <f>VLOOKUP(C1446,Securities!A:B,2,FALSE)</f>
        <v>FIVE LI Equity</v>
      </c>
      <c r="O1446" s="3">
        <f t="shared" si="23"/>
        <v>1810</v>
      </c>
    </row>
    <row r="1447" spans="1:15" x14ac:dyDescent="0.25">
      <c r="A1447" s="79">
        <v>43053</v>
      </c>
      <c r="B1447" s="80" t="s">
        <v>5548</v>
      </c>
      <c r="C1447" s="80" t="s">
        <v>4811</v>
      </c>
      <c r="D1447" s="80" t="s">
        <v>4659</v>
      </c>
      <c r="E1447" s="81">
        <v>29800</v>
      </c>
      <c r="F1447" s="80" t="s">
        <v>4799</v>
      </c>
      <c r="G1447" s="81">
        <v>110.265</v>
      </c>
      <c r="H1447" s="81">
        <v>1.95807</v>
      </c>
      <c r="I1447" s="80" t="s">
        <v>4800</v>
      </c>
      <c r="L1447" s="3">
        <f>VLOOKUP(C1447,Securities!A:D,4,FALSE)</f>
        <v>1</v>
      </c>
      <c r="M1447" s="3" t="str">
        <f>VLOOKUP(C1447,Securities!A:B,2,FALSE)</f>
        <v>HGM LN Equity</v>
      </c>
      <c r="O1447" s="3">
        <f t="shared" si="23"/>
        <v>29800</v>
      </c>
    </row>
    <row r="1448" spans="1:15" x14ac:dyDescent="0.25">
      <c r="A1448" s="76">
        <v>43053</v>
      </c>
      <c r="B1448" s="77" t="s">
        <v>5548</v>
      </c>
      <c r="C1448" s="77" t="s">
        <v>4847</v>
      </c>
      <c r="D1448" s="77" t="s">
        <v>369</v>
      </c>
      <c r="E1448" s="78">
        <v>1000</v>
      </c>
      <c r="F1448" s="77" t="s">
        <v>4810</v>
      </c>
      <c r="G1448" s="78">
        <v>2978</v>
      </c>
      <c r="H1448" s="78">
        <v>51.859217000000001</v>
      </c>
      <c r="I1448" s="77" t="s">
        <v>4800</v>
      </c>
      <c r="L1448" s="3">
        <f>VLOOKUP(C1448,Securities!A:D,4,FALSE)</f>
        <v>1</v>
      </c>
      <c r="M1448" s="3" t="str">
        <f>VLOOKUP(C1448,Securities!A:B,2,FALSE)</f>
        <v>LKOH RX Equity</v>
      </c>
      <c r="O1448" s="3">
        <f t="shared" si="23"/>
        <v>1000</v>
      </c>
    </row>
    <row r="1449" spans="1:15" x14ac:dyDescent="0.25">
      <c r="A1449" s="79">
        <v>43053</v>
      </c>
      <c r="B1449" s="80" t="s">
        <v>5548</v>
      </c>
      <c r="C1449" s="80" t="s">
        <v>4911</v>
      </c>
      <c r="D1449" s="80" t="s">
        <v>405</v>
      </c>
      <c r="E1449" s="81">
        <v>138500</v>
      </c>
      <c r="F1449" s="80" t="s">
        <v>4810</v>
      </c>
      <c r="G1449" s="81">
        <v>42.011063999999998</v>
      </c>
      <c r="H1449" s="81">
        <v>0.72850000000000004</v>
      </c>
      <c r="I1449" s="80" t="s">
        <v>4800</v>
      </c>
      <c r="L1449" s="3">
        <f>VLOOKUP(C1449,Securities!A:D,4,FALSE)</f>
        <v>1</v>
      </c>
      <c r="M1449" s="3" t="str">
        <f>VLOOKUP(C1449,Securities!A:B,2,FALSE)</f>
        <v>MAGN RX Equity</v>
      </c>
      <c r="O1449" s="3">
        <f t="shared" si="23"/>
        <v>138500</v>
      </c>
    </row>
    <row r="1450" spans="1:15" x14ac:dyDescent="0.25">
      <c r="A1450" s="76">
        <v>43053</v>
      </c>
      <c r="B1450" s="77" t="s">
        <v>5548</v>
      </c>
      <c r="C1450" s="77" t="s">
        <v>4867</v>
      </c>
      <c r="D1450" s="77" t="s">
        <v>473</v>
      </c>
      <c r="E1450" s="78">
        <v>21340</v>
      </c>
      <c r="F1450" s="77" t="s">
        <v>4810</v>
      </c>
      <c r="G1450" s="78">
        <v>107.3</v>
      </c>
      <c r="H1450" s="78">
        <v>1.814311</v>
      </c>
      <c r="I1450" s="77" t="s">
        <v>4800</v>
      </c>
      <c r="L1450" s="3">
        <f>VLOOKUP(C1450,Securities!A:D,4,FALSE)</f>
        <v>1</v>
      </c>
      <c r="M1450" s="3" t="str">
        <f>VLOOKUP(C1450,Securities!A:B,2,FALSE)</f>
        <v>MOEX RX Equity</v>
      </c>
      <c r="O1450" s="3">
        <f t="shared" si="23"/>
        <v>21340</v>
      </c>
    </row>
    <row r="1451" spans="1:15" x14ac:dyDescent="0.25">
      <c r="A1451" s="79">
        <v>43053</v>
      </c>
      <c r="B1451" s="80" t="s">
        <v>5548</v>
      </c>
      <c r="C1451" s="80" t="s">
        <v>4912</v>
      </c>
      <c r="D1451" s="80" t="s">
        <v>28</v>
      </c>
      <c r="E1451" s="81">
        <v>256000</v>
      </c>
      <c r="F1451" s="80" t="s">
        <v>4810</v>
      </c>
      <c r="G1451" s="81">
        <v>7.8136999999999999</v>
      </c>
      <c r="H1451" s="81">
        <v>0.13816000000000001</v>
      </c>
      <c r="I1451" s="80" t="s">
        <v>4800</v>
      </c>
      <c r="L1451" s="3">
        <f>VLOOKUP(C1451,Securities!A:D,4,FALSE)</f>
        <v>1</v>
      </c>
      <c r="M1451" s="3" t="str">
        <f>VLOOKUP(C1451,Securities!A:B,2,FALSE)</f>
        <v>NMTP RX Equity</v>
      </c>
      <c r="O1451" s="3">
        <f t="shared" si="23"/>
        <v>256000</v>
      </c>
    </row>
    <row r="1452" spans="1:15" x14ac:dyDescent="0.25">
      <c r="A1452" s="76">
        <v>43053</v>
      </c>
      <c r="B1452" s="77" t="s">
        <v>5548</v>
      </c>
      <c r="C1452" s="77" t="s">
        <v>4848</v>
      </c>
      <c r="D1452" s="77" t="s">
        <v>511</v>
      </c>
      <c r="E1452" s="78">
        <v>5710</v>
      </c>
      <c r="F1452" s="77" t="s">
        <v>4810</v>
      </c>
      <c r="G1452" s="78">
        <v>628.60299999999995</v>
      </c>
      <c r="H1452" s="78">
        <v>10.537058</v>
      </c>
      <c r="I1452" s="77" t="s">
        <v>4800</v>
      </c>
      <c r="L1452" s="3">
        <f>VLOOKUP(C1452,Securities!A:D,4,FALSE)</f>
        <v>1</v>
      </c>
      <c r="M1452" s="3" t="str">
        <f>VLOOKUP(C1452,Securities!A:B,2,FALSE)</f>
        <v>NVTK RX Equity</v>
      </c>
      <c r="O1452" s="3">
        <f t="shared" si="23"/>
        <v>5710</v>
      </c>
    </row>
    <row r="1453" spans="1:15" x14ac:dyDescent="0.25">
      <c r="A1453" s="79">
        <v>43053</v>
      </c>
      <c r="B1453" s="80" t="s">
        <v>5548</v>
      </c>
      <c r="C1453" s="80" t="s">
        <v>4932</v>
      </c>
      <c r="D1453" s="80" t="s">
        <v>4933</v>
      </c>
      <c r="E1453" s="81">
        <v>25700</v>
      </c>
      <c r="F1453" s="80" t="s">
        <v>4814</v>
      </c>
      <c r="G1453" s="81">
        <v>100</v>
      </c>
      <c r="H1453" s="81">
        <v>100</v>
      </c>
      <c r="I1453" s="80" t="s">
        <v>4800</v>
      </c>
      <c r="L1453" s="3">
        <f>VLOOKUP(C1453,Securities!A:D,4,FALSE)</f>
        <v>5</v>
      </c>
      <c r="M1453" s="3" t="str">
        <f>VLOOKUP(C1453,Securities!A:B,2,FALSE)</f>
        <v>RU000A0ZYBS1 Corp</v>
      </c>
      <c r="O1453" s="3">
        <f t="shared" si="23"/>
        <v>25700</v>
      </c>
    </row>
    <row r="1454" spans="1:15" x14ac:dyDescent="0.25">
      <c r="A1454" s="76">
        <v>43053</v>
      </c>
      <c r="B1454" s="77" t="s">
        <v>5548</v>
      </c>
      <c r="C1454" s="77" t="s">
        <v>4917</v>
      </c>
      <c r="D1454" s="77" t="s">
        <v>742</v>
      </c>
      <c r="E1454" s="78">
        <v>81900</v>
      </c>
      <c r="F1454" s="77" t="s">
        <v>4810</v>
      </c>
      <c r="G1454" s="78">
        <v>78.064244000000002</v>
      </c>
      <c r="H1454" s="78">
        <v>1.3477030000000001</v>
      </c>
      <c r="I1454" s="77" t="s">
        <v>4800</v>
      </c>
      <c r="L1454" s="3">
        <f>VLOOKUP(C1454,Securities!A:D,4,FALSE)</f>
        <v>1</v>
      </c>
      <c r="M1454" s="3" t="str">
        <f>VLOOKUP(C1454,Securities!A:B,2,FALSE)</f>
        <v>TRMK RX Equity</v>
      </c>
      <c r="O1454" s="3">
        <f t="shared" si="23"/>
        <v>81900</v>
      </c>
    </row>
    <row r="1455" spans="1:15" x14ac:dyDescent="0.25">
      <c r="A1455" s="79">
        <v>43053</v>
      </c>
      <c r="B1455" s="80" t="s">
        <v>5548</v>
      </c>
      <c r="C1455" s="80" t="s">
        <v>4824</v>
      </c>
      <c r="D1455" s="80" t="s">
        <v>4674</v>
      </c>
      <c r="E1455" s="81">
        <v>14380</v>
      </c>
      <c r="F1455" s="80" t="s">
        <v>4825</v>
      </c>
      <c r="G1455" s="81">
        <v>0</v>
      </c>
      <c r="H1455" s="81">
        <v>0</v>
      </c>
      <c r="I1455" s="80" t="s">
        <v>4800</v>
      </c>
      <c r="L1455" s="3">
        <f>VLOOKUP(C1455,Securities!A:D,4,FALSE)</f>
        <v>1</v>
      </c>
      <c r="M1455" s="3" t="str">
        <f>VLOOKUP(C1455,Securities!A:B,2,FALSE)</f>
        <v>VEON US Equity</v>
      </c>
      <c r="O1455" s="3">
        <f t="shared" si="23"/>
        <v>14380</v>
      </c>
    </row>
    <row r="1456" spans="1:15" x14ac:dyDescent="0.25">
      <c r="A1456" s="76">
        <v>43053</v>
      </c>
      <c r="B1456" s="77" t="s">
        <v>5549</v>
      </c>
      <c r="C1456" s="77" t="s">
        <v>4975</v>
      </c>
      <c r="D1456" s="77" t="s">
        <v>939</v>
      </c>
      <c r="E1456" s="78">
        <v>4000</v>
      </c>
      <c r="F1456" s="77" t="s">
        <v>4974</v>
      </c>
      <c r="G1456" s="78">
        <v>101.49</v>
      </c>
      <c r="H1456" s="78">
        <v>101.49</v>
      </c>
      <c r="I1456" s="77" t="s">
        <v>4800</v>
      </c>
      <c r="L1456" s="3">
        <f>VLOOKUP(C1456,Securities!A:D,4,FALSE)</f>
        <v>5</v>
      </c>
      <c r="M1456" s="3" t="str">
        <f>VLOOKUP(C1456,Securities!A:B,2,FALSE)</f>
        <v>RU000A0JX0J2 Corp</v>
      </c>
      <c r="O1456" s="3">
        <f t="shared" si="23"/>
        <v>4000</v>
      </c>
    </row>
    <row r="1457" spans="1:15" x14ac:dyDescent="0.25">
      <c r="A1457" s="79">
        <v>43053</v>
      </c>
      <c r="B1457" s="80" t="s">
        <v>5549</v>
      </c>
      <c r="C1457" s="80" t="s">
        <v>5198</v>
      </c>
      <c r="D1457" s="80" t="s">
        <v>27</v>
      </c>
      <c r="E1457" s="81">
        <v>2230</v>
      </c>
      <c r="F1457" s="80" t="s">
        <v>4814</v>
      </c>
      <c r="G1457" s="81">
        <v>100.35</v>
      </c>
      <c r="H1457" s="81">
        <v>100.35</v>
      </c>
      <c r="I1457" s="80" t="s">
        <v>4800</v>
      </c>
      <c r="L1457" s="3">
        <f>VLOOKUP(C1457,Securities!A:D,4,FALSE)</f>
        <v>5</v>
      </c>
      <c r="M1457" s="3" t="str">
        <f>VLOOKUP(C1457,Securities!A:B,2,FALSE)</f>
        <v>RU000A0JX5W4 Corp</v>
      </c>
      <c r="O1457" s="3">
        <f t="shared" si="23"/>
        <v>2230</v>
      </c>
    </row>
    <row r="1458" spans="1:15" x14ac:dyDescent="0.25">
      <c r="A1458" s="76">
        <v>43053</v>
      </c>
      <c r="B1458" s="77" t="s">
        <v>5549</v>
      </c>
      <c r="C1458" s="77" t="s">
        <v>5550</v>
      </c>
      <c r="D1458" s="77" t="s">
        <v>1472</v>
      </c>
      <c r="E1458" s="78">
        <v>45830</v>
      </c>
      <c r="F1458" s="77" t="s">
        <v>4814</v>
      </c>
      <c r="G1458" s="78">
        <v>100.38</v>
      </c>
      <c r="H1458" s="78">
        <v>100.38</v>
      </c>
      <c r="I1458" s="77" t="s">
        <v>4800</v>
      </c>
      <c r="L1458" s="3">
        <f>VLOOKUP(C1458,Securities!A:D,4,FALSE)</f>
        <v>5</v>
      </c>
      <c r="M1458" s="3" t="str">
        <f>VLOOKUP(C1458,Securities!A:B,2,FALSE)</f>
        <v>RU000A0JXM48 Corp</v>
      </c>
      <c r="O1458" s="3">
        <f t="shared" si="23"/>
        <v>45830</v>
      </c>
    </row>
    <row r="1459" spans="1:15" x14ac:dyDescent="0.25">
      <c r="A1459" s="79">
        <v>43053</v>
      </c>
      <c r="B1459" s="80" t="s">
        <v>5549</v>
      </c>
      <c r="C1459" s="80" t="s">
        <v>5306</v>
      </c>
      <c r="D1459" s="80" t="s">
        <v>2057</v>
      </c>
      <c r="E1459" s="81">
        <v>22700</v>
      </c>
      <c r="F1459" s="80" t="s">
        <v>4814</v>
      </c>
      <c r="G1459" s="81">
        <v>104.872643</v>
      </c>
      <c r="H1459" s="81">
        <v>104.872643</v>
      </c>
      <c r="I1459" s="80" t="s">
        <v>4800</v>
      </c>
      <c r="L1459" s="3">
        <f>VLOOKUP(C1459,Securities!A:D,4,FALSE)</f>
        <v>5</v>
      </c>
      <c r="M1459" s="3" t="str">
        <f>VLOOKUP(C1459,Securities!A:B,2,FALSE)</f>
        <v>RU000A0JVKK9 Corp</v>
      </c>
      <c r="O1459" s="3">
        <f t="shared" si="23"/>
        <v>22700</v>
      </c>
    </row>
    <row r="1460" spans="1:15" x14ac:dyDescent="0.25">
      <c r="A1460" s="76">
        <v>43053</v>
      </c>
      <c r="B1460" s="77" t="s">
        <v>5549</v>
      </c>
      <c r="C1460" s="77" t="s">
        <v>4809</v>
      </c>
      <c r="D1460" s="77" t="s">
        <v>30</v>
      </c>
      <c r="E1460" s="78">
        <v>76700</v>
      </c>
      <c r="F1460" s="77" t="s">
        <v>4810</v>
      </c>
      <c r="G1460" s="78">
        <v>122.993174</v>
      </c>
      <c r="H1460" s="78">
        <v>2.064381</v>
      </c>
      <c r="I1460" s="77" t="s">
        <v>4800</v>
      </c>
      <c r="L1460" s="3">
        <f>VLOOKUP(C1460,Securities!A:D,4,FALSE)</f>
        <v>1</v>
      </c>
      <c r="M1460" s="3" t="str">
        <f>VLOOKUP(C1460,Securities!A:B,2,FALSE)</f>
        <v>GAZP RX Equity</v>
      </c>
      <c r="O1460" s="3">
        <f t="shared" si="23"/>
        <v>76700</v>
      </c>
    </row>
    <row r="1461" spans="1:15" x14ac:dyDescent="0.25">
      <c r="A1461" s="79">
        <v>43053</v>
      </c>
      <c r="B1461" s="80" t="s">
        <v>5549</v>
      </c>
      <c r="C1461" s="80" t="s">
        <v>5551</v>
      </c>
      <c r="D1461" s="80" t="s">
        <v>2474</v>
      </c>
      <c r="E1461" s="81">
        <v>33780</v>
      </c>
      <c r="F1461" s="80" t="s">
        <v>4814</v>
      </c>
      <c r="G1461" s="81">
        <v>97.55</v>
      </c>
      <c r="H1461" s="81">
        <v>97.55</v>
      </c>
      <c r="I1461" s="80" t="s">
        <v>4800</v>
      </c>
      <c r="L1461" s="3">
        <f>VLOOKUP(C1461,Securities!A:D,4,FALSE)</f>
        <v>5</v>
      </c>
      <c r="M1461" s="3" t="str">
        <f>VLOOKUP(C1461,Securities!A:B,2,FALSE)</f>
        <v>RU000A0JU1V8 Corp</v>
      </c>
      <c r="O1461" s="3">
        <f t="shared" si="23"/>
        <v>33780</v>
      </c>
    </row>
    <row r="1462" spans="1:15" x14ac:dyDescent="0.25">
      <c r="A1462" s="76">
        <v>43053</v>
      </c>
      <c r="B1462" s="77" t="s">
        <v>5549</v>
      </c>
      <c r="C1462" s="77" t="s">
        <v>5479</v>
      </c>
      <c r="D1462" s="77" t="s">
        <v>2603</v>
      </c>
      <c r="E1462" s="78">
        <v>33240</v>
      </c>
      <c r="F1462" s="77" t="s">
        <v>4814</v>
      </c>
      <c r="G1462" s="78">
        <v>100.58499</v>
      </c>
      <c r="H1462" s="78">
        <v>100.58499</v>
      </c>
      <c r="I1462" s="77" t="s">
        <v>4800</v>
      </c>
      <c r="L1462" s="3">
        <f>VLOOKUP(C1462,Securities!A:D,4,FALSE)</f>
        <v>5</v>
      </c>
      <c r="M1462" s="3" t="str">
        <f>VLOOKUP(C1462,Securities!A:B,2,FALSE)</f>
        <v>RU000A0JX3A5 Corp</v>
      </c>
      <c r="O1462" s="3">
        <f t="shared" si="23"/>
        <v>33240</v>
      </c>
    </row>
    <row r="1463" spans="1:15" x14ac:dyDescent="0.25">
      <c r="A1463" s="79">
        <v>43053</v>
      </c>
      <c r="B1463" s="80" t="s">
        <v>5549</v>
      </c>
      <c r="C1463" s="80" t="s">
        <v>5552</v>
      </c>
      <c r="D1463" s="80" t="s">
        <v>2582</v>
      </c>
      <c r="E1463" s="81">
        <v>35100</v>
      </c>
      <c r="F1463" s="80" t="s">
        <v>4814</v>
      </c>
      <c r="G1463" s="81">
        <v>101.74</v>
      </c>
      <c r="H1463" s="81">
        <v>101.74</v>
      </c>
      <c r="I1463" s="80" t="s">
        <v>4800</v>
      </c>
      <c r="L1463" s="3">
        <f>VLOOKUP(C1463,Securities!A:D,4,FALSE)</f>
        <v>5</v>
      </c>
      <c r="M1463" s="3" t="str">
        <f>VLOOKUP(C1463,Securities!A:B,2,FALSE)</f>
        <v>RU000A0JTFX6 Corp</v>
      </c>
      <c r="O1463" s="3">
        <f t="shared" si="23"/>
        <v>35100</v>
      </c>
    </row>
    <row r="1464" spans="1:15" x14ac:dyDescent="0.25">
      <c r="A1464" s="76">
        <v>43053</v>
      </c>
      <c r="B1464" s="77" t="s">
        <v>5549</v>
      </c>
      <c r="C1464" s="77" t="s">
        <v>5553</v>
      </c>
      <c r="D1464" s="77" t="s">
        <v>2678</v>
      </c>
      <c r="E1464" s="78">
        <v>25821</v>
      </c>
      <c r="F1464" s="77" t="s">
        <v>4814</v>
      </c>
      <c r="G1464" s="78">
        <v>100.4</v>
      </c>
      <c r="H1464" s="78">
        <v>100.4</v>
      </c>
      <c r="I1464" s="77" t="s">
        <v>4800</v>
      </c>
      <c r="L1464" s="3">
        <f>VLOOKUP(C1464,Securities!A:D,4,FALSE)</f>
        <v>5</v>
      </c>
      <c r="M1464" s="3" t="str">
        <f>VLOOKUP(C1464,Securities!A:B,2,FALSE)</f>
        <v>RU000A0JTF50 Corp</v>
      </c>
      <c r="O1464" s="3">
        <f t="shared" si="23"/>
        <v>25821</v>
      </c>
    </row>
    <row r="1465" spans="1:15" x14ac:dyDescent="0.25">
      <c r="A1465" s="79">
        <v>43053</v>
      </c>
      <c r="B1465" s="80" t="s">
        <v>5549</v>
      </c>
      <c r="C1465" s="80" t="s">
        <v>5554</v>
      </c>
      <c r="D1465" s="80" t="s">
        <v>2702</v>
      </c>
      <c r="E1465" s="81">
        <v>22200</v>
      </c>
      <c r="F1465" s="80" t="s">
        <v>4814</v>
      </c>
      <c r="G1465" s="81">
        <v>101.216036</v>
      </c>
      <c r="H1465" s="81">
        <v>101.216036</v>
      </c>
      <c r="I1465" s="80" t="s">
        <v>4800</v>
      </c>
      <c r="L1465" s="3">
        <f>VLOOKUP(C1465,Securities!A:D,4,FALSE)</f>
        <v>5</v>
      </c>
      <c r="M1465" s="3" t="str">
        <f>VLOOKUP(C1465,Securities!A:B,2,FALSE)</f>
        <v>RU000A0JWN63 Corp</v>
      </c>
      <c r="O1465" s="3">
        <f t="shared" si="23"/>
        <v>22200</v>
      </c>
    </row>
    <row r="1466" spans="1:15" x14ac:dyDescent="0.25">
      <c r="A1466" s="76">
        <v>43053</v>
      </c>
      <c r="B1466" s="77" t="s">
        <v>5549</v>
      </c>
      <c r="C1466" s="77" t="s">
        <v>5555</v>
      </c>
      <c r="D1466" s="77" t="s">
        <v>3089</v>
      </c>
      <c r="E1466" s="78">
        <v>50000</v>
      </c>
      <c r="F1466" s="77" t="s">
        <v>4814</v>
      </c>
      <c r="G1466" s="78">
        <v>100.9</v>
      </c>
      <c r="H1466" s="78">
        <v>100.9</v>
      </c>
      <c r="I1466" s="77" t="s">
        <v>4800</v>
      </c>
      <c r="L1466" s="3">
        <f>VLOOKUP(C1466,Securities!A:D,4,FALSE)</f>
        <v>5</v>
      </c>
      <c r="M1466" s="3" t="str">
        <f>VLOOKUP(C1466,Securities!A:B,2,FALSE)</f>
        <v>RU000A0JXLR8 Corp</v>
      </c>
      <c r="O1466" s="3">
        <f t="shared" si="23"/>
        <v>50000</v>
      </c>
    </row>
    <row r="1467" spans="1:15" x14ac:dyDescent="0.25">
      <c r="A1467" s="79">
        <v>43053</v>
      </c>
      <c r="B1467" s="80" t="s">
        <v>5549</v>
      </c>
      <c r="C1467" s="80" t="s">
        <v>5556</v>
      </c>
      <c r="D1467" s="80" t="s">
        <v>3146</v>
      </c>
      <c r="E1467" s="81">
        <v>5250</v>
      </c>
      <c r="F1467" s="80" t="s">
        <v>4814</v>
      </c>
      <c r="G1467" s="81">
        <v>102.8</v>
      </c>
      <c r="H1467" s="81">
        <v>102.8</v>
      </c>
      <c r="I1467" s="80" t="s">
        <v>4800</v>
      </c>
      <c r="L1467" s="3">
        <f>VLOOKUP(C1467,Securities!A:D,4,FALSE)</f>
        <v>5</v>
      </c>
      <c r="M1467" s="3" t="str">
        <f>VLOOKUP(C1467,Securities!A:B,2,FALSE)</f>
        <v>RU000A0JVPN2 Corp</v>
      </c>
      <c r="O1467" s="3">
        <f t="shared" si="23"/>
        <v>5250</v>
      </c>
    </row>
    <row r="1468" spans="1:15" x14ac:dyDescent="0.25">
      <c r="A1468" s="76">
        <v>43053</v>
      </c>
      <c r="B1468" s="77" t="s">
        <v>5549</v>
      </c>
      <c r="C1468" s="77" t="s">
        <v>5557</v>
      </c>
      <c r="D1468" s="77" t="s">
        <v>3155</v>
      </c>
      <c r="E1468" s="78">
        <v>30310</v>
      </c>
      <c r="F1468" s="77" t="s">
        <v>4814</v>
      </c>
      <c r="G1468" s="78">
        <v>100.90766000000001</v>
      </c>
      <c r="H1468" s="78">
        <v>100.90766000000001</v>
      </c>
      <c r="I1468" s="77" t="s">
        <v>4800</v>
      </c>
      <c r="L1468" s="3">
        <f>VLOOKUP(C1468,Securities!A:D,4,FALSE)</f>
        <v>5</v>
      </c>
      <c r="M1468" s="3" t="str">
        <f>VLOOKUP(C1468,Securities!A:B,2,FALSE)</f>
        <v>RU000A0JWP46 Corp</v>
      </c>
      <c r="O1468" s="3">
        <f t="shared" si="23"/>
        <v>30310</v>
      </c>
    </row>
    <row r="1469" spans="1:15" x14ac:dyDescent="0.25">
      <c r="A1469" s="79">
        <v>43053</v>
      </c>
      <c r="B1469" s="80" t="s">
        <v>5549</v>
      </c>
      <c r="C1469" s="80" t="s">
        <v>5128</v>
      </c>
      <c r="D1469" s="80" t="s">
        <v>4683</v>
      </c>
      <c r="E1469" s="81">
        <v>12495</v>
      </c>
      <c r="F1469" s="80" t="s">
        <v>4814</v>
      </c>
      <c r="G1469" s="81">
        <v>101.24</v>
      </c>
      <c r="H1469" s="81">
        <v>101.24</v>
      </c>
      <c r="I1469" s="80" t="s">
        <v>4800</v>
      </c>
      <c r="L1469" s="3">
        <f>VLOOKUP(C1469,Securities!A:D,4,FALSE)</f>
        <v>5</v>
      </c>
      <c r="M1469" s="3" t="str">
        <f>VLOOKUP(C1469,Securities!A:B,2,FALSE)</f>
        <v>RU000A0JXQ93 Corp</v>
      </c>
      <c r="O1469" s="3">
        <f t="shared" si="23"/>
        <v>12495</v>
      </c>
    </row>
    <row r="1470" spans="1:15" x14ac:dyDescent="0.25">
      <c r="A1470" s="76">
        <v>43053</v>
      </c>
      <c r="B1470" s="77" t="s">
        <v>5549</v>
      </c>
      <c r="C1470" s="77" t="s">
        <v>5558</v>
      </c>
      <c r="D1470" s="77" t="s">
        <v>3158</v>
      </c>
      <c r="E1470" s="78">
        <v>50000</v>
      </c>
      <c r="F1470" s="77" t="s">
        <v>4814</v>
      </c>
      <c r="G1470" s="78">
        <v>104.78</v>
      </c>
      <c r="H1470" s="78">
        <v>104.78</v>
      </c>
      <c r="I1470" s="77" t="s">
        <v>4800</v>
      </c>
      <c r="L1470" s="3">
        <f>VLOOKUP(C1470,Securities!A:D,4,FALSE)</f>
        <v>5</v>
      </c>
      <c r="M1470" s="3" t="str">
        <f>VLOOKUP(C1470,Securities!A:B,2,FALSE)</f>
        <v>RU000A0JXK40 Corp</v>
      </c>
      <c r="O1470" s="3">
        <f t="shared" si="23"/>
        <v>50000</v>
      </c>
    </row>
    <row r="1471" spans="1:15" x14ac:dyDescent="0.25">
      <c r="A1471" s="79">
        <v>43053</v>
      </c>
      <c r="B1471" s="80" t="s">
        <v>5549</v>
      </c>
      <c r="C1471" s="80" t="s">
        <v>5108</v>
      </c>
      <c r="D1471" s="80" t="s">
        <v>3602</v>
      </c>
      <c r="E1471" s="81">
        <v>28725</v>
      </c>
      <c r="F1471" s="80" t="s">
        <v>4814</v>
      </c>
      <c r="G1471" s="81">
        <v>101.610443</v>
      </c>
      <c r="H1471" s="81">
        <v>101.610443</v>
      </c>
      <c r="I1471" s="80" t="s">
        <v>4800</v>
      </c>
      <c r="L1471" s="3">
        <f>VLOOKUP(C1471,Securities!A:D,4,FALSE)</f>
        <v>5</v>
      </c>
      <c r="M1471" s="3" t="str">
        <f>VLOOKUP(C1471,Securities!A:B,2,FALSE)</f>
        <v>JK744712 Corp</v>
      </c>
      <c r="O1471" s="3">
        <f t="shared" si="23"/>
        <v>28725</v>
      </c>
    </row>
    <row r="1472" spans="1:15" x14ac:dyDescent="0.25">
      <c r="A1472" s="76">
        <v>43053</v>
      </c>
      <c r="B1472" s="77" t="s">
        <v>5549</v>
      </c>
      <c r="C1472" s="77" t="s">
        <v>4932</v>
      </c>
      <c r="D1472" s="77" t="s">
        <v>4933</v>
      </c>
      <c r="E1472" s="78">
        <v>2500</v>
      </c>
      <c r="F1472" s="77" t="s">
        <v>4814</v>
      </c>
      <c r="G1472" s="78">
        <v>100</v>
      </c>
      <c r="H1472" s="78">
        <v>100</v>
      </c>
      <c r="I1472" s="77" t="s">
        <v>4800</v>
      </c>
      <c r="L1472" s="3">
        <f>VLOOKUP(C1472,Securities!A:D,4,FALSE)</f>
        <v>5</v>
      </c>
      <c r="M1472" s="3" t="str">
        <f>VLOOKUP(C1472,Securities!A:B,2,FALSE)</f>
        <v>RU000A0ZYBS1 Corp</v>
      </c>
      <c r="O1472" s="3">
        <f t="shared" si="23"/>
        <v>2500</v>
      </c>
    </row>
    <row r="1473" spans="1:15" x14ac:dyDescent="0.25">
      <c r="A1473" s="79">
        <v>43053</v>
      </c>
      <c r="B1473" s="80" t="s">
        <v>5549</v>
      </c>
      <c r="C1473" s="80" t="s">
        <v>5559</v>
      </c>
      <c r="D1473" s="80" t="s">
        <v>4094</v>
      </c>
      <c r="E1473" s="81">
        <v>7900</v>
      </c>
      <c r="F1473" s="80" t="s">
        <v>4814</v>
      </c>
      <c r="G1473" s="81">
        <v>91.53</v>
      </c>
      <c r="H1473" s="81">
        <v>91.53</v>
      </c>
      <c r="I1473" s="80" t="s">
        <v>4800</v>
      </c>
      <c r="L1473" s="3">
        <f>VLOOKUP(C1473,Securities!A:D,4,FALSE)</f>
        <v>5</v>
      </c>
      <c r="M1473" s="3" t="str">
        <f>VLOOKUP(C1473,Securities!A:B,2,FALSE)</f>
        <v>RU000A0JWZY6 Corp</v>
      </c>
      <c r="O1473" s="3">
        <f t="shared" si="23"/>
        <v>7900</v>
      </c>
    </row>
    <row r="1474" spans="1:15" x14ac:dyDescent="0.25">
      <c r="A1474" s="76">
        <v>43053</v>
      </c>
      <c r="B1474" s="77" t="s">
        <v>5549</v>
      </c>
      <c r="C1474" s="77" t="s">
        <v>5113</v>
      </c>
      <c r="D1474" s="77" t="s">
        <v>4667</v>
      </c>
      <c r="E1474" s="78">
        <v>75000</v>
      </c>
      <c r="F1474" s="77" t="s">
        <v>4814</v>
      </c>
      <c r="G1474" s="78">
        <v>100</v>
      </c>
      <c r="H1474" s="78">
        <v>100</v>
      </c>
      <c r="I1474" s="77" t="s">
        <v>4800</v>
      </c>
      <c r="L1474" s="3">
        <f>VLOOKUP(C1474,Securities!A:D,4,FALSE)</f>
        <v>5</v>
      </c>
      <c r="M1474" s="3" t="str">
        <f>VLOOKUP(C1474,Securities!A:B,2,FALSE)</f>
        <v>RU000A0JXQ85 Corp</v>
      </c>
      <c r="O1474" s="3">
        <f t="shared" si="23"/>
        <v>75000</v>
      </c>
    </row>
    <row r="1475" spans="1:15" x14ac:dyDescent="0.25">
      <c r="A1475" s="79">
        <v>43053</v>
      </c>
      <c r="B1475" s="80" t="s">
        <v>5549</v>
      </c>
      <c r="C1475" s="80" t="s">
        <v>5117</v>
      </c>
      <c r="D1475" s="80" t="s">
        <v>1628</v>
      </c>
      <c r="E1475" s="81">
        <v>32350</v>
      </c>
      <c r="F1475" s="80" t="s">
        <v>4814</v>
      </c>
      <c r="G1475" s="81">
        <v>95.95</v>
      </c>
      <c r="H1475" s="81">
        <v>95.95</v>
      </c>
      <c r="I1475" s="80" t="s">
        <v>4800</v>
      </c>
      <c r="L1475" s="3">
        <f>VLOOKUP(C1475,Securities!A:D,4,FALSE)</f>
        <v>5</v>
      </c>
      <c r="M1475" s="3" t="str">
        <f>VLOOKUP(C1475,Securities!A:B,2,FALSE)</f>
        <v>EJ920101 Corp</v>
      </c>
      <c r="O1475" s="3">
        <f t="shared" si="23"/>
        <v>32350</v>
      </c>
    </row>
    <row r="1476" spans="1:15" x14ac:dyDescent="0.25">
      <c r="A1476" s="76">
        <v>43053</v>
      </c>
      <c r="B1476" s="77" t="s">
        <v>5549</v>
      </c>
      <c r="C1476" s="77" t="s">
        <v>5560</v>
      </c>
      <c r="D1476" s="77" t="s">
        <v>2129</v>
      </c>
      <c r="E1476" s="78">
        <v>20897</v>
      </c>
      <c r="F1476" s="77" t="s">
        <v>4814</v>
      </c>
      <c r="G1476" s="78">
        <v>100.304008</v>
      </c>
      <c r="H1476" s="78">
        <v>100.304008</v>
      </c>
      <c r="I1476" s="77" t="s">
        <v>4800</v>
      </c>
      <c r="L1476" s="3">
        <f>VLOOKUP(C1476,Securities!A:D,4,FALSE)</f>
        <v>5</v>
      </c>
      <c r="M1476" s="3" t="str">
        <f>VLOOKUP(C1476,Securities!A:B,2,FALSE)</f>
        <v>RU000A0JUGY0 Corp</v>
      </c>
      <c r="O1476" s="3">
        <f t="shared" si="23"/>
        <v>20897</v>
      </c>
    </row>
    <row r="1477" spans="1:15" x14ac:dyDescent="0.25">
      <c r="A1477" s="79">
        <v>43053</v>
      </c>
      <c r="B1477" s="80" t="s">
        <v>5561</v>
      </c>
      <c r="C1477" s="80" t="s">
        <v>4975</v>
      </c>
      <c r="D1477" s="80" t="s">
        <v>939</v>
      </c>
      <c r="E1477" s="81">
        <v>15438</v>
      </c>
      <c r="F1477" s="80" t="s">
        <v>4974</v>
      </c>
      <c r="G1477" s="81">
        <v>101.960488</v>
      </c>
      <c r="H1477" s="81">
        <v>101.960488</v>
      </c>
      <c r="I1477" s="80" t="s">
        <v>4800</v>
      </c>
      <c r="L1477" s="3">
        <f>VLOOKUP(C1477,Securities!A:D,4,FALSE)</f>
        <v>5</v>
      </c>
      <c r="M1477" s="3" t="str">
        <f>VLOOKUP(C1477,Securities!A:B,2,FALSE)</f>
        <v>RU000A0JX0J2 Corp</v>
      </c>
      <c r="O1477" s="3">
        <f t="shared" si="23"/>
        <v>15438</v>
      </c>
    </row>
    <row r="1478" spans="1:15" x14ac:dyDescent="0.25">
      <c r="A1478" s="76">
        <v>43053</v>
      </c>
      <c r="B1478" s="77" t="s">
        <v>5561</v>
      </c>
      <c r="C1478" s="77" t="s">
        <v>5463</v>
      </c>
      <c r="D1478" s="77" t="s">
        <v>4782</v>
      </c>
      <c r="E1478" s="78">
        <v>242000</v>
      </c>
      <c r="F1478" s="77" t="s">
        <v>4806</v>
      </c>
      <c r="G1478" s="78">
        <v>100.5</v>
      </c>
      <c r="H1478" s="78">
        <v>100.5</v>
      </c>
      <c r="I1478" s="77" t="s">
        <v>4800</v>
      </c>
      <c r="L1478" s="3">
        <f>VLOOKUP(C1478,Securities!A:D,4,FALSE)</f>
        <v>5</v>
      </c>
      <c r="M1478" s="3" t="str">
        <f>VLOOKUP(C1478,Securities!A:B,2,FALSE)</f>
        <v>XS0783242877 Corp</v>
      </c>
      <c r="O1478" s="3">
        <f t="shared" ref="O1478:O1541" si="24">SUMIFS(E:E,C:C,C1478,B:B,B1478)</f>
        <v>242000</v>
      </c>
    </row>
    <row r="1479" spans="1:15" x14ac:dyDescent="0.25">
      <c r="A1479" s="79">
        <v>43053</v>
      </c>
      <c r="B1479" s="80" t="s">
        <v>5561</v>
      </c>
      <c r="C1479" s="80" t="s">
        <v>5550</v>
      </c>
      <c r="D1479" s="80" t="s">
        <v>1472</v>
      </c>
      <c r="E1479" s="81">
        <v>55000</v>
      </c>
      <c r="F1479" s="80" t="s">
        <v>4814</v>
      </c>
      <c r="G1479" s="81">
        <v>100.292727</v>
      </c>
      <c r="H1479" s="81">
        <v>100.292727</v>
      </c>
      <c r="I1479" s="80" t="s">
        <v>4800</v>
      </c>
      <c r="L1479" s="3">
        <f>VLOOKUP(C1479,Securities!A:D,4,FALSE)</f>
        <v>5</v>
      </c>
      <c r="M1479" s="3" t="str">
        <f>VLOOKUP(C1479,Securities!A:B,2,FALSE)</f>
        <v>RU000A0JXM48 Corp</v>
      </c>
      <c r="O1479" s="3">
        <f t="shared" si="24"/>
        <v>55000</v>
      </c>
    </row>
    <row r="1480" spans="1:15" x14ac:dyDescent="0.25">
      <c r="A1480" s="76">
        <v>43053</v>
      </c>
      <c r="B1480" s="77" t="s">
        <v>5561</v>
      </c>
      <c r="C1480" s="77" t="s">
        <v>5562</v>
      </c>
      <c r="D1480" s="77" t="s">
        <v>1433</v>
      </c>
      <c r="E1480" s="78">
        <v>7868</v>
      </c>
      <c r="F1480" s="77" t="s">
        <v>4814</v>
      </c>
      <c r="G1480" s="78">
        <v>100.34637499999999</v>
      </c>
      <c r="H1480" s="78">
        <v>100.34637499999999</v>
      </c>
      <c r="I1480" s="77" t="s">
        <v>4800</v>
      </c>
      <c r="L1480" s="3">
        <f>VLOOKUP(C1480,Securities!A:D,4,FALSE)</f>
        <v>5</v>
      </c>
      <c r="M1480" s="3" t="str">
        <f>VLOOKUP(C1480,Securities!A:B,2,FALSE)</f>
        <v>RU000A0JU0N7 Corp</v>
      </c>
      <c r="O1480" s="3">
        <f t="shared" si="24"/>
        <v>7868</v>
      </c>
    </row>
    <row r="1481" spans="1:15" x14ac:dyDescent="0.25">
      <c r="A1481" s="79">
        <v>43053</v>
      </c>
      <c r="B1481" s="80" t="s">
        <v>5561</v>
      </c>
      <c r="C1481" s="80" t="s">
        <v>5563</v>
      </c>
      <c r="D1481" s="80" t="s">
        <v>4571</v>
      </c>
      <c r="E1481" s="81">
        <v>20000</v>
      </c>
      <c r="F1481" s="80" t="s">
        <v>4814</v>
      </c>
      <c r="G1481" s="81">
        <v>100.82</v>
      </c>
      <c r="H1481" s="81">
        <v>100.82</v>
      </c>
      <c r="I1481" s="80" t="s">
        <v>4800</v>
      </c>
      <c r="L1481" s="3">
        <f>VLOOKUP(C1481,Securities!A:D,4,FALSE)</f>
        <v>5</v>
      </c>
      <c r="M1481" s="3" t="str">
        <f>VLOOKUP(C1481,Securities!A:B,2,FALSE)</f>
        <v>RU000A0JXHE4 Corp</v>
      </c>
      <c r="O1481" s="3">
        <f t="shared" si="24"/>
        <v>20000</v>
      </c>
    </row>
    <row r="1482" spans="1:15" x14ac:dyDescent="0.25">
      <c r="A1482" s="76">
        <v>43053</v>
      </c>
      <c r="B1482" s="77" t="s">
        <v>5561</v>
      </c>
      <c r="C1482" s="77" t="s">
        <v>5306</v>
      </c>
      <c r="D1482" s="77" t="s">
        <v>2057</v>
      </c>
      <c r="E1482" s="78">
        <v>25305</v>
      </c>
      <c r="F1482" s="77" t="s">
        <v>4814</v>
      </c>
      <c r="G1482" s="78">
        <v>105.071488</v>
      </c>
      <c r="H1482" s="78">
        <v>105.071488</v>
      </c>
      <c r="I1482" s="77" t="s">
        <v>4800</v>
      </c>
      <c r="L1482" s="3">
        <f>VLOOKUP(C1482,Securities!A:D,4,FALSE)</f>
        <v>5</v>
      </c>
      <c r="M1482" s="3" t="str">
        <f>VLOOKUP(C1482,Securities!A:B,2,FALSE)</f>
        <v>RU000A0JVKK9 Corp</v>
      </c>
      <c r="O1482" s="3">
        <f t="shared" si="24"/>
        <v>25305</v>
      </c>
    </row>
    <row r="1483" spans="1:15" x14ac:dyDescent="0.25">
      <c r="A1483" s="79">
        <v>43053</v>
      </c>
      <c r="B1483" s="80" t="s">
        <v>5561</v>
      </c>
      <c r="C1483" s="80" t="s">
        <v>5551</v>
      </c>
      <c r="D1483" s="80" t="s">
        <v>2474</v>
      </c>
      <c r="E1483" s="81">
        <v>33780</v>
      </c>
      <c r="F1483" s="80" t="s">
        <v>4814</v>
      </c>
      <c r="G1483" s="81">
        <v>97.55</v>
      </c>
      <c r="H1483" s="81">
        <v>97.55</v>
      </c>
      <c r="I1483" s="80" t="s">
        <v>4800</v>
      </c>
      <c r="L1483" s="3">
        <f>VLOOKUP(C1483,Securities!A:D,4,FALSE)</f>
        <v>5</v>
      </c>
      <c r="M1483" s="3" t="str">
        <f>VLOOKUP(C1483,Securities!A:B,2,FALSE)</f>
        <v>RU000A0JU1V8 Corp</v>
      </c>
      <c r="O1483" s="3">
        <f t="shared" si="24"/>
        <v>33780</v>
      </c>
    </row>
    <row r="1484" spans="1:15" x14ac:dyDescent="0.25">
      <c r="A1484" s="76">
        <v>43053</v>
      </c>
      <c r="B1484" s="77" t="s">
        <v>5561</v>
      </c>
      <c r="C1484" s="77" t="s">
        <v>5479</v>
      </c>
      <c r="D1484" s="77" t="s">
        <v>2603</v>
      </c>
      <c r="E1484" s="78">
        <v>15840</v>
      </c>
      <c r="F1484" s="77" t="s">
        <v>4814</v>
      </c>
      <c r="G1484" s="78">
        <v>100.84084</v>
      </c>
      <c r="H1484" s="78">
        <v>100.84084</v>
      </c>
      <c r="I1484" s="77" t="s">
        <v>4800</v>
      </c>
      <c r="L1484" s="3">
        <f>VLOOKUP(C1484,Securities!A:D,4,FALSE)</f>
        <v>5</v>
      </c>
      <c r="M1484" s="3" t="str">
        <f>VLOOKUP(C1484,Securities!A:B,2,FALSE)</f>
        <v>RU000A0JX3A5 Corp</v>
      </c>
      <c r="O1484" s="3">
        <f t="shared" si="24"/>
        <v>15840</v>
      </c>
    </row>
    <row r="1485" spans="1:15" x14ac:dyDescent="0.25">
      <c r="A1485" s="79">
        <v>43053</v>
      </c>
      <c r="B1485" s="80" t="s">
        <v>5561</v>
      </c>
      <c r="C1485" s="80" t="s">
        <v>5552</v>
      </c>
      <c r="D1485" s="80" t="s">
        <v>2582</v>
      </c>
      <c r="E1485" s="81">
        <v>35100</v>
      </c>
      <c r="F1485" s="80" t="s">
        <v>4814</v>
      </c>
      <c r="G1485" s="81">
        <v>101.74</v>
      </c>
      <c r="H1485" s="81">
        <v>101.74</v>
      </c>
      <c r="I1485" s="80" t="s">
        <v>4800</v>
      </c>
      <c r="L1485" s="3">
        <f>VLOOKUP(C1485,Securities!A:D,4,FALSE)</f>
        <v>5</v>
      </c>
      <c r="M1485" s="3" t="str">
        <f>VLOOKUP(C1485,Securities!A:B,2,FALSE)</f>
        <v>RU000A0JTFX6 Corp</v>
      </c>
      <c r="O1485" s="3">
        <f t="shared" si="24"/>
        <v>35100</v>
      </c>
    </row>
    <row r="1486" spans="1:15" x14ac:dyDescent="0.25">
      <c r="A1486" s="76">
        <v>43053</v>
      </c>
      <c r="B1486" s="77" t="s">
        <v>5561</v>
      </c>
      <c r="C1486" s="77" t="s">
        <v>5553</v>
      </c>
      <c r="D1486" s="77" t="s">
        <v>2678</v>
      </c>
      <c r="E1486" s="78">
        <v>28157</v>
      </c>
      <c r="F1486" s="77" t="s">
        <v>4814</v>
      </c>
      <c r="G1486" s="78">
        <v>100.30127299999999</v>
      </c>
      <c r="H1486" s="78">
        <v>100.30127299999999</v>
      </c>
      <c r="I1486" s="77" t="s">
        <v>4800</v>
      </c>
      <c r="L1486" s="3">
        <f>VLOOKUP(C1486,Securities!A:D,4,FALSE)</f>
        <v>5</v>
      </c>
      <c r="M1486" s="3" t="str">
        <f>VLOOKUP(C1486,Securities!A:B,2,FALSE)</f>
        <v>RU000A0JTF50 Corp</v>
      </c>
      <c r="O1486" s="3">
        <f t="shared" si="24"/>
        <v>28157</v>
      </c>
    </row>
    <row r="1487" spans="1:15" x14ac:dyDescent="0.25">
      <c r="A1487" s="79">
        <v>43053</v>
      </c>
      <c r="B1487" s="80" t="s">
        <v>5561</v>
      </c>
      <c r="C1487" s="80" t="s">
        <v>5554</v>
      </c>
      <c r="D1487" s="80" t="s">
        <v>2702</v>
      </c>
      <c r="E1487" s="81">
        <v>22200</v>
      </c>
      <c r="F1487" s="80" t="s">
        <v>4814</v>
      </c>
      <c r="G1487" s="81">
        <v>101.222342</v>
      </c>
      <c r="H1487" s="81">
        <v>101.222342</v>
      </c>
      <c r="I1487" s="80" t="s">
        <v>4800</v>
      </c>
      <c r="L1487" s="3">
        <f>VLOOKUP(C1487,Securities!A:D,4,FALSE)</f>
        <v>5</v>
      </c>
      <c r="M1487" s="3" t="str">
        <f>VLOOKUP(C1487,Securities!A:B,2,FALSE)</f>
        <v>RU000A0JWN63 Corp</v>
      </c>
      <c r="O1487" s="3">
        <f t="shared" si="24"/>
        <v>22200</v>
      </c>
    </row>
    <row r="1488" spans="1:15" x14ac:dyDescent="0.25">
      <c r="A1488" s="76">
        <v>43053</v>
      </c>
      <c r="B1488" s="77" t="s">
        <v>5561</v>
      </c>
      <c r="C1488" s="77" t="s">
        <v>5098</v>
      </c>
      <c r="D1488" s="77" t="s">
        <v>2753</v>
      </c>
      <c r="E1488" s="78">
        <v>20000</v>
      </c>
      <c r="F1488" s="77" t="s">
        <v>4814</v>
      </c>
      <c r="G1488" s="78">
        <v>100.72</v>
      </c>
      <c r="H1488" s="78">
        <v>100.72</v>
      </c>
      <c r="I1488" s="77" t="s">
        <v>4800</v>
      </c>
      <c r="L1488" s="3">
        <f>VLOOKUP(C1488,Securities!A:D,4,FALSE)</f>
        <v>5</v>
      </c>
      <c r="M1488" s="3" t="str">
        <f>VLOOKUP(C1488,Securities!A:B,2,FALSE)</f>
        <v>RU000A0JXEV5 Corp</v>
      </c>
      <c r="O1488" s="3">
        <f t="shared" si="24"/>
        <v>20000</v>
      </c>
    </row>
    <row r="1489" spans="1:15" x14ac:dyDescent="0.25">
      <c r="A1489" s="79">
        <v>43053</v>
      </c>
      <c r="B1489" s="80" t="s">
        <v>5561</v>
      </c>
      <c r="C1489" s="80" t="s">
        <v>5555</v>
      </c>
      <c r="D1489" s="80" t="s">
        <v>3089</v>
      </c>
      <c r="E1489" s="81">
        <v>30000</v>
      </c>
      <c r="F1489" s="80" t="s">
        <v>4814</v>
      </c>
      <c r="G1489" s="81">
        <v>100.9</v>
      </c>
      <c r="H1489" s="81">
        <v>100.9</v>
      </c>
      <c r="I1489" s="80" t="s">
        <v>4800</v>
      </c>
      <c r="L1489" s="3">
        <f>VLOOKUP(C1489,Securities!A:D,4,FALSE)</f>
        <v>5</v>
      </c>
      <c r="M1489" s="3" t="str">
        <f>VLOOKUP(C1489,Securities!A:B,2,FALSE)</f>
        <v>RU000A0JXLR8 Corp</v>
      </c>
      <c r="O1489" s="3">
        <f t="shared" si="24"/>
        <v>30000</v>
      </c>
    </row>
    <row r="1490" spans="1:15" x14ac:dyDescent="0.25">
      <c r="A1490" s="76">
        <v>43053</v>
      </c>
      <c r="B1490" s="77" t="s">
        <v>5561</v>
      </c>
      <c r="C1490" s="77" t="s">
        <v>5557</v>
      </c>
      <c r="D1490" s="77" t="s">
        <v>3155</v>
      </c>
      <c r="E1490" s="78">
        <v>27240</v>
      </c>
      <c r="F1490" s="77" t="s">
        <v>4814</v>
      </c>
      <c r="G1490" s="78">
        <v>100.71693</v>
      </c>
      <c r="H1490" s="78">
        <v>100.71693</v>
      </c>
      <c r="I1490" s="77" t="s">
        <v>4800</v>
      </c>
      <c r="L1490" s="3">
        <f>VLOOKUP(C1490,Securities!A:D,4,FALSE)</f>
        <v>5</v>
      </c>
      <c r="M1490" s="3" t="str">
        <f>VLOOKUP(C1490,Securities!A:B,2,FALSE)</f>
        <v>RU000A0JWP46 Corp</v>
      </c>
      <c r="O1490" s="3">
        <f t="shared" si="24"/>
        <v>27240</v>
      </c>
    </row>
    <row r="1491" spans="1:15" x14ac:dyDescent="0.25">
      <c r="A1491" s="79">
        <v>43053</v>
      </c>
      <c r="B1491" s="80" t="s">
        <v>5561</v>
      </c>
      <c r="C1491" s="80" t="s">
        <v>5564</v>
      </c>
      <c r="D1491" s="80" t="s">
        <v>3260</v>
      </c>
      <c r="E1491" s="81">
        <v>2217</v>
      </c>
      <c r="F1491" s="80" t="s">
        <v>4814</v>
      </c>
      <c r="G1491" s="81">
        <v>100.6</v>
      </c>
      <c r="H1491" s="81">
        <v>100.6</v>
      </c>
      <c r="I1491" s="80" t="s">
        <v>4800</v>
      </c>
      <c r="L1491" s="3">
        <f>VLOOKUP(C1491,Securities!A:D,4,FALSE)</f>
        <v>5</v>
      </c>
      <c r="M1491" s="3" t="str">
        <f>VLOOKUP(C1491,Securities!A:B,2,FALSE)</f>
        <v>RU000A0JUVG6 Corp</v>
      </c>
      <c r="O1491" s="3">
        <f t="shared" si="24"/>
        <v>2217</v>
      </c>
    </row>
    <row r="1492" spans="1:15" x14ac:dyDescent="0.25">
      <c r="A1492" s="76">
        <v>43053</v>
      </c>
      <c r="B1492" s="77" t="s">
        <v>5561</v>
      </c>
      <c r="C1492" s="77" t="s">
        <v>5129</v>
      </c>
      <c r="D1492" s="77" t="s">
        <v>4646</v>
      </c>
      <c r="E1492" s="78">
        <v>19840</v>
      </c>
      <c r="F1492" s="77" t="s">
        <v>4814</v>
      </c>
      <c r="G1492" s="78">
        <v>100.55</v>
      </c>
      <c r="H1492" s="78">
        <v>100.55</v>
      </c>
      <c r="I1492" s="77" t="s">
        <v>4800</v>
      </c>
      <c r="L1492" s="3">
        <f>VLOOKUP(C1492,Securities!A:D,4,FALSE)</f>
        <v>5</v>
      </c>
      <c r="M1492" s="3" t="str">
        <f>VLOOKUP(C1492,Securities!A:B,2,FALSE)</f>
        <v>RU000A0JXMQ8 Corp</v>
      </c>
      <c r="O1492" s="3">
        <f t="shared" si="24"/>
        <v>19840</v>
      </c>
    </row>
    <row r="1493" spans="1:15" x14ac:dyDescent="0.25">
      <c r="A1493" s="79">
        <v>43053</v>
      </c>
      <c r="B1493" s="80" t="s">
        <v>5561</v>
      </c>
      <c r="C1493" s="80" t="s">
        <v>5108</v>
      </c>
      <c r="D1493" s="80" t="s">
        <v>3602</v>
      </c>
      <c r="E1493" s="81">
        <v>28725</v>
      </c>
      <c r="F1493" s="80" t="s">
        <v>4814</v>
      </c>
      <c r="G1493" s="81">
        <v>101.610443</v>
      </c>
      <c r="H1493" s="81">
        <v>101.610443</v>
      </c>
      <c r="I1493" s="80" t="s">
        <v>4800</v>
      </c>
      <c r="L1493" s="3">
        <f>VLOOKUP(C1493,Securities!A:D,4,FALSE)</f>
        <v>5</v>
      </c>
      <c r="M1493" s="3" t="str">
        <f>VLOOKUP(C1493,Securities!A:B,2,FALSE)</f>
        <v>JK744712 Corp</v>
      </c>
      <c r="O1493" s="3">
        <f t="shared" si="24"/>
        <v>28725</v>
      </c>
    </row>
    <row r="1494" spans="1:15" x14ac:dyDescent="0.25">
      <c r="A1494" s="76">
        <v>43053</v>
      </c>
      <c r="B1494" s="77" t="s">
        <v>5561</v>
      </c>
      <c r="C1494" s="77" t="s">
        <v>4932</v>
      </c>
      <c r="D1494" s="77" t="s">
        <v>4933</v>
      </c>
      <c r="E1494" s="78">
        <v>2500</v>
      </c>
      <c r="F1494" s="77" t="s">
        <v>4814</v>
      </c>
      <c r="G1494" s="78">
        <v>100</v>
      </c>
      <c r="H1494" s="78">
        <v>100</v>
      </c>
      <c r="I1494" s="77" t="s">
        <v>4800</v>
      </c>
      <c r="L1494" s="3">
        <f>VLOOKUP(C1494,Securities!A:D,4,FALSE)</f>
        <v>5</v>
      </c>
      <c r="M1494" s="3" t="str">
        <f>VLOOKUP(C1494,Securities!A:B,2,FALSE)</f>
        <v>RU000A0ZYBS1 Corp</v>
      </c>
      <c r="O1494" s="3">
        <f t="shared" si="24"/>
        <v>2500</v>
      </c>
    </row>
    <row r="1495" spans="1:15" x14ac:dyDescent="0.25">
      <c r="A1495" s="79">
        <v>43053</v>
      </c>
      <c r="B1495" s="80" t="s">
        <v>5561</v>
      </c>
      <c r="C1495" s="80" t="s">
        <v>5565</v>
      </c>
      <c r="D1495" s="80" t="s">
        <v>4061</v>
      </c>
      <c r="E1495" s="81">
        <v>2890</v>
      </c>
      <c r="F1495" s="80" t="s">
        <v>4814</v>
      </c>
      <c r="G1495" s="81">
        <v>99.27</v>
      </c>
      <c r="H1495" s="81">
        <v>99.27</v>
      </c>
      <c r="I1495" s="80" t="s">
        <v>4800</v>
      </c>
      <c r="L1495" s="3">
        <f>VLOOKUP(C1495,Securities!A:D,4,FALSE)</f>
        <v>5</v>
      </c>
      <c r="M1495" s="3" t="str">
        <f>VLOOKUP(C1495,Securities!A:B,2,FALSE)</f>
        <v>RU000A0JWTW3 Corp</v>
      </c>
      <c r="O1495" s="3">
        <f t="shared" si="24"/>
        <v>2890</v>
      </c>
    </row>
    <row r="1496" spans="1:15" x14ac:dyDescent="0.25">
      <c r="A1496" s="76">
        <v>43053</v>
      </c>
      <c r="B1496" s="77" t="s">
        <v>5561</v>
      </c>
      <c r="C1496" s="77" t="s">
        <v>5566</v>
      </c>
      <c r="D1496" s="77" t="s">
        <v>4172</v>
      </c>
      <c r="E1496" s="78">
        <v>2705</v>
      </c>
      <c r="F1496" s="77" t="s">
        <v>4814</v>
      </c>
      <c r="G1496" s="78">
        <v>105.476432</v>
      </c>
      <c r="H1496" s="78">
        <v>105.476432</v>
      </c>
      <c r="I1496" s="77" t="s">
        <v>4800</v>
      </c>
      <c r="L1496" s="3">
        <f>VLOOKUP(C1496,Securities!A:D,4,FALSE)</f>
        <v>5</v>
      </c>
      <c r="M1496" s="3" t="str">
        <f>VLOOKUP(C1496,Securities!A:B,2,FALSE)</f>
        <v>RU000A0JWCM0 Corp</v>
      </c>
      <c r="O1496" s="3">
        <f t="shared" si="24"/>
        <v>2705</v>
      </c>
    </row>
    <row r="1497" spans="1:15" x14ac:dyDescent="0.25">
      <c r="A1497" s="79">
        <v>43053</v>
      </c>
      <c r="B1497" s="80" t="s">
        <v>5561</v>
      </c>
      <c r="C1497" s="80" t="s">
        <v>5117</v>
      </c>
      <c r="D1497" s="80" t="s">
        <v>1628</v>
      </c>
      <c r="E1497" s="81">
        <v>32350</v>
      </c>
      <c r="F1497" s="80" t="s">
        <v>4814</v>
      </c>
      <c r="G1497" s="81">
        <v>95.95</v>
      </c>
      <c r="H1497" s="81">
        <v>95.95</v>
      </c>
      <c r="I1497" s="80" t="s">
        <v>4800</v>
      </c>
      <c r="L1497" s="3">
        <f>VLOOKUP(C1497,Securities!A:D,4,FALSE)</f>
        <v>5</v>
      </c>
      <c r="M1497" s="3" t="str">
        <f>VLOOKUP(C1497,Securities!A:B,2,FALSE)</f>
        <v>EJ920101 Corp</v>
      </c>
      <c r="O1497" s="3">
        <f t="shared" si="24"/>
        <v>32350</v>
      </c>
    </row>
    <row r="1498" spans="1:15" x14ac:dyDescent="0.25">
      <c r="A1498" s="76">
        <v>43053</v>
      </c>
      <c r="B1498" s="77" t="s">
        <v>5561</v>
      </c>
      <c r="C1498" s="77" t="s">
        <v>5560</v>
      </c>
      <c r="D1498" s="77" t="s">
        <v>2129</v>
      </c>
      <c r="E1498" s="78">
        <v>20782</v>
      </c>
      <c r="F1498" s="77" t="s">
        <v>4814</v>
      </c>
      <c r="G1498" s="78">
        <v>100.30358699999999</v>
      </c>
      <c r="H1498" s="78">
        <v>100.30358699999999</v>
      </c>
      <c r="I1498" s="77" t="s">
        <v>4800</v>
      </c>
      <c r="L1498" s="3">
        <f>VLOOKUP(C1498,Securities!A:D,4,FALSE)</f>
        <v>5</v>
      </c>
      <c r="M1498" s="3" t="str">
        <f>VLOOKUP(C1498,Securities!A:B,2,FALSE)</f>
        <v>RU000A0JUGY0 Corp</v>
      </c>
      <c r="O1498" s="3">
        <f t="shared" si="24"/>
        <v>20782</v>
      </c>
    </row>
    <row r="1499" spans="1:15" x14ac:dyDescent="0.25">
      <c r="A1499" s="79">
        <v>43053</v>
      </c>
      <c r="B1499" s="80" t="s">
        <v>5567</v>
      </c>
      <c r="C1499" s="80" t="s">
        <v>4935</v>
      </c>
      <c r="D1499" s="80" t="s">
        <v>4936</v>
      </c>
      <c r="E1499" s="81">
        <v>3008</v>
      </c>
      <c r="F1499" s="80" t="s">
        <v>4799</v>
      </c>
      <c r="G1499" s="81">
        <v>1104.5244190000001</v>
      </c>
      <c r="H1499" s="81">
        <v>18.408740000000002</v>
      </c>
      <c r="I1499" s="80" t="s">
        <v>4800</v>
      </c>
      <c r="L1499" s="3">
        <f>VLOOKUP(C1499,Securities!A:D,4,FALSE)</f>
        <v>1</v>
      </c>
      <c r="M1499" s="3" t="str">
        <f>VLOOKUP(C1499,Securities!A:B,2,FALSE)</f>
        <v>AD NA Equity</v>
      </c>
      <c r="O1499" s="3">
        <f t="shared" si="24"/>
        <v>3008</v>
      </c>
    </row>
    <row r="1500" spans="1:15" x14ac:dyDescent="0.25">
      <c r="A1500" s="76">
        <v>43053</v>
      </c>
      <c r="B1500" s="77" t="s">
        <v>5567</v>
      </c>
      <c r="C1500" s="77" t="s">
        <v>4848</v>
      </c>
      <c r="D1500" s="77" t="s">
        <v>511</v>
      </c>
      <c r="E1500" s="78">
        <v>12240</v>
      </c>
      <c r="F1500" s="77" t="s">
        <v>4810</v>
      </c>
      <c r="G1500" s="78">
        <v>619.08937700000001</v>
      </c>
      <c r="H1500" s="78">
        <v>10.586606</v>
      </c>
      <c r="I1500" s="77" t="s">
        <v>4800</v>
      </c>
      <c r="L1500" s="3">
        <f>VLOOKUP(C1500,Securities!A:D,4,FALSE)</f>
        <v>1</v>
      </c>
      <c r="M1500" s="3" t="str">
        <f>VLOOKUP(C1500,Securities!A:B,2,FALSE)</f>
        <v>NVTK RX Equity</v>
      </c>
      <c r="O1500" s="3">
        <f t="shared" si="24"/>
        <v>12240</v>
      </c>
    </row>
    <row r="1501" spans="1:15" x14ac:dyDescent="0.25">
      <c r="A1501" s="79">
        <v>43053</v>
      </c>
      <c r="B1501" s="80" t="s">
        <v>5567</v>
      </c>
      <c r="C1501" s="80" t="s">
        <v>5051</v>
      </c>
      <c r="D1501" s="80" t="s">
        <v>5052</v>
      </c>
      <c r="E1501" s="81">
        <v>115000</v>
      </c>
      <c r="F1501" s="80" t="s">
        <v>4806</v>
      </c>
      <c r="G1501" s="81">
        <v>103.5</v>
      </c>
      <c r="H1501" s="81">
        <v>103.5</v>
      </c>
      <c r="I1501" s="80" t="s">
        <v>4800</v>
      </c>
      <c r="L1501" s="3">
        <f>VLOOKUP(C1501,Securities!A:D,4,FALSE)</f>
        <v>5</v>
      </c>
      <c r="M1501" s="3" t="str">
        <f>VLOOKUP(C1501,Securities!A:B,2,FALSE)</f>
        <v>XS0982711714 Corp</v>
      </c>
      <c r="O1501" s="3">
        <f t="shared" si="24"/>
        <v>115000</v>
      </c>
    </row>
    <row r="1502" spans="1:15" x14ac:dyDescent="0.25">
      <c r="A1502" s="76">
        <v>43053</v>
      </c>
      <c r="B1502" s="77" t="s">
        <v>5567</v>
      </c>
      <c r="C1502" s="77" t="s">
        <v>4892</v>
      </c>
      <c r="D1502" s="77" t="s">
        <v>568</v>
      </c>
      <c r="E1502" s="78">
        <v>1517</v>
      </c>
      <c r="F1502" s="77" t="s">
        <v>4810</v>
      </c>
      <c r="G1502" s="78">
        <v>3927.7017329999999</v>
      </c>
      <c r="H1502" s="78">
        <v>66.521311999999995</v>
      </c>
      <c r="I1502" s="77" t="s">
        <v>4800</v>
      </c>
      <c r="L1502" s="3">
        <f>VLOOKUP(C1502,Securities!A:D,4,FALSE)</f>
        <v>1</v>
      </c>
      <c r="M1502" s="3" t="str">
        <f>VLOOKUP(C1502,Securities!A:B,2,FALSE)</f>
        <v>PLZL RX Equity</v>
      </c>
      <c r="O1502" s="3">
        <f t="shared" si="24"/>
        <v>1517</v>
      </c>
    </row>
    <row r="1503" spans="1:15" x14ac:dyDescent="0.25">
      <c r="A1503" s="79">
        <v>43053</v>
      </c>
      <c r="B1503" s="80" t="s">
        <v>5568</v>
      </c>
      <c r="C1503" s="80" t="s">
        <v>4922</v>
      </c>
      <c r="D1503" s="80" t="s">
        <v>4923</v>
      </c>
      <c r="E1503" s="81">
        <v>6100</v>
      </c>
      <c r="F1503" s="80" t="s">
        <v>4804</v>
      </c>
      <c r="G1503" s="81">
        <v>0</v>
      </c>
      <c r="H1503" s="81">
        <v>0</v>
      </c>
      <c r="I1503" s="80" t="s">
        <v>4800</v>
      </c>
      <c r="L1503" s="3">
        <f>VLOOKUP(C1503,Securities!A:D,4,FALSE)</f>
        <v>1</v>
      </c>
      <c r="M1503" s="3" t="str">
        <f>VLOOKUP(C1503,Securities!A:B,2,FALSE)</f>
        <v>NVTK LI Equity</v>
      </c>
      <c r="O1503" s="3">
        <f t="shared" si="24"/>
        <v>6100</v>
      </c>
    </row>
    <row r="1504" spans="1:15" x14ac:dyDescent="0.25">
      <c r="A1504" s="76">
        <v>43053</v>
      </c>
      <c r="B1504" s="77" t="s">
        <v>5568</v>
      </c>
      <c r="C1504" s="77" t="s">
        <v>4849</v>
      </c>
      <c r="D1504" s="77" t="s">
        <v>4850</v>
      </c>
      <c r="E1504" s="78">
        <v>45000</v>
      </c>
      <c r="F1504" s="77" t="s">
        <v>4825</v>
      </c>
      <c r="G1504" s="78">
        <v>0</v>
      </c>
      <c r="H1504" s="78">
        <v>0</v>
      </c>
      <c r="I1504" s="77" t="s">
        <v>4800</v>
      </c>
      <c r="L1504" s="3">
        <f>VLOOKUP(C1504,Securities!A:D,4,FALSE)</f>
        <v>1</v>
      </c>
      <c r="M1504" s="3" t="str">
        <f>VLOOKUP(C1504,Securities!A:B,2,FALSE)</f>
        <v>OGZD LI Equity</v>
      </c>
      <c r="O1504" s="3">
        <f t="shared" si="24"/>
        <v>45000</v>
      </c>
    </row>
    <row r="1505" spans="1:15" x14ac:dyDescent="0.25">
      <c r="A1505" s="79">
        <v>43053</v>
      </c>
      <c r="B1505" s="80" t="s">
        <v>5568</v>
      </c>
      <c r="C1505" s="80" t="s">
        <v>4924</v>
      </c>
      <c r="D1505" s="80" t="s">
        <v>829</v>
      </c>
      <c r="E1505" s="81">
        <v>11645</v>
      </c>
      <c r="F1505" s="80" t="s">
        <v>4810</v>
      </c>
      <c r="G1505" s="81">
        <v>2548.0094309999999</v>
      </c>
      <c r="H1505" s="81">
        <v>42.921762000000001</v>
      </c>
      <c r="I1505" s="80" t="s">
        <v>4800</v>
      </c>
      <c r="L1505" s="3">
        <f>VLOOKUP(C1505,Securities!A:D,4,FALSE)</f>
        <v>1</v>
      </c>
      <c r="M1505" s="3" t="str">
        <f>VLOOKUP(C1505,Securities!A:B,2,FALSE)</f>
        <v>PHOR RX Equity</v>
      </c>
      <c r="O1505" s="3">
        <f t="shared" si="24"/>
        <v>11645</v>
      </c>
    </row>
    <row r="1506" spans="1:15" x14ac:dyDescent="0.25">
      <c r="A1506" s="76">
        <v>43053</v>
      </c>
      <c r="B1506" s="77" t="s">
        <v>5568</v>
      </c>
      <c r="C1506" s="77" t="s">
        <v>4956</v>
      </c>
      <c r="D1506" s="77" t="s">
        <v>4957</v>
      </c>
      <c r="E1506" s="78">
        <v>233429</v>
      </c>
      <c r="F1506" s="77" t="s">
        <v>4804</v>
      </c>
      <c r="G1506" s="78">
        <v>726.38841200000002</v>
      </c>
      <c r="H1506" s="78">
        <v>12.720348</v>
      </c>
      <c r="I1506" s="77" t="s">
        <v>4800</v>
      </c>
      <c r="L1506" s="3">
        <f>VLOOKUP(C1506,Securities!A:D,4,FALSE)</f>
        <v>1</v>
      </c>
      <c r="M1506" s="3" t="str">
        <f>VLOOKUP(C1506,Securities!A:B,2,FALSE)</f>
        <v>PHOR LI Equity</v>
      </c>
      <c r="O1506" s="3">
        <f t="shared" si="24"/>
        <v>233429</v>
      </c>
    </row>
    <row r="1507" spans="1:15" x14ac:dyDescent="0.25">
      <c r="A1507" s="79">
        <v>43053</v>
      </c>
      <c r="B1507" s="80" t="s">
        <v>5568</v>
      </c>
      <c r="C1507" s="80" t="s">
        <v>5569</v>
      </c>
      <c r="D1507" s="80" t="s">
        <v>5570</v>
      </c>
      <c r="E1507" s="81">
        <v>50390</v>
      </c>
      <c r="F1507" s="80" t="s">
        <v>4825</v>
      </c>
      <c r="G1507" s="81">
        <v>0</v>
      </c>
      <c r="H1507" s="81">
        <v>0</v>
      </c>
      <c r="I1507" s="80" t="s">
        <v>4800</v>
      </c>
      <c r="L1507" s="3">
        <f>VLOOKUP(C1507,Securities!A:D,4,FALSE)</f>
        <v>1</v>
      </c>
      <c r="M1507" s="3" t="str">
        <f>VLOOKUP(C1507,Securities!A:B,2,FALSE)</f>
        <v>SGGD LI Equity</v>
      </c>
      <c r="O1507" s="3">
        <f t="shared" si="24"/>
        <v>50390</v>
      </c>
    </row>
    <row r="1508" spans="1:15" x14ac:dyDescent="0.25">
      <c r="A1508" s="76">
        <v>43053</v>
      </c>
      <c r="B1508" s="77" t="s">
        <v>5571</v>
      </c>
      <c r="C1508" s="77" t="s">
        <v>4798</v>
      </c>
      <c r="D1508" s="77" t="s">
        <v>45</v>
      </c>
      <c r="E1508" s="78">
        <v>65000</v>
      </c>
      <c r="F1508" s="77" t="s">
        <v>4799</v>
      </c>
      <c r="G1508" s="78">
        <v>0</v>
      </c>
      <c r="H1508" s="78">
        <v>0</v>
      </c>
      <c r="I1508" s="77" t="s">
        <v>4800</v>
      </c>
      <c r="L1508" s="3">
        <f>VLOOKUP(C1508,Securities!A:D,4,FALSE)</f>
        <v>1</v>
      </c>
      <c r="M1508" s="3" t="str">
        <f>VLOOKUP(C1508,Securities!A:B,2,FALSE)</f>
        <v>RUAL RX Equity</v>
      </c>
      <c r="O1508" s="3">
        <f t="shared" si="24"/>
        <v>65000</v>
      </c>
    </row>
    <row r="1509" spans="1:15" x14ac:dyDescent="0.25">
      <c r="A1509" s="79">
        <v>43053</v>
      </c>
      <c r="B1509" s="80" t="s">
        <v>5571</v>
      </c>
      <c r="C1509" s="80" t="s">
        <v>4803</v>
      </c>
      <c r="D1509" s="80" t="s">
        <v>39</v>
      </c>
      <c r="E1509" s="81">
        <v>3950</v>
      </c>
      <c r="F1509" s="80" t="s">
        <v>4804</v>
      </c>
      <c r="G1509" s="81">
        <v>708.28308500000003</v>
      </c>
      <c r="H1509" s="81">
        <v>12.55</v>
      </c>
      <c r="I1509" s="80" t="s">
        <v>4800</v>
      </c>
      <c r="L1509" s="3">
        <f>VLOOKUP(C1509,Securities!A:D,4,FALSE)</f>
        <v>1</v>
      </c>
      <c r="M1509" s="3" t="str">
        <f>VLOOKUP(C1509,Securities!A:B,2,FALSE)</f>
        <v>AGRO LI Equity</v>
      </c>
      <c r="O1509" s="3">
        <f t="shared" si="24"/>
        <v>3950</v>
      </c>
    </row>
    <row r="1510" spans="1:15" x14ac:dyDescent="0.25">
      <c r="A1510" s="76">
        <v>43053</v>
      </c>
      <c r="B1510" s="77" t="s">
        <v>5571</v>
      </c>
      <c r="C1510" s="77" t="s">
        <v>4866</v>
      </c>
      <c r="D1510" s="77" t="s">
        <v>99</v>
      </c>
      <c r="E1510" s="78">
        <v>36200</v>
      </c>
      <c r="F1510" s="77" t="s">
        <v>4810</v>
      </c>
      <c r="G1510" s="78">
        <v>0</v>
      </c>
      <c r="H1510" s="78">
        <v>0</v>
      </c>
      <c r="I1510" s="77" t="s">
        <v>4800</v>
      </c>
      <c r="L1510" s="3">
        <f>VLOOKUP(C1510,Securities!A:D,4,FALSE)</f>
        <v>1</v>
      </c>
      <c r="M1510" s="3" t="str">
        <f>VLOOKUP(C1510,Securities!A:B,2,FALSE)</f>
        <v>ALRS RX Equity</v>
      </c>
      <c r="O1510" s="3">
        <f t="shared" si="24"/>
        <v>36200</v>
      </c>
    </row>
    <row r="1511" spans="1:15" x14ac:dyDescent="0.25">
      <c r="A1511" s="79">
        <v>43053</v>
      </c>
      <c r="B1511" s="80" t="s">
        <v>5571</v>
      </c>
      <c r="C1511" s="80" t="s">
        <v>4882</v>
      </c>
      <c r="D1511" s="80" t="s">
        <v>4883</v>
      </c>
      <c r="E1511" s="81">
        <v>200000</v>
      </c>
      <c r="F1511" s="80" t="s">
        <v>4806</v>
      </c>
      <c r="G1511" s="81">
        <v>106.85</v>
      </c>
      <c r="H1511" s="81">
        <v>106.85</v>
      </c>
      <c r="I1511" s="80" t="s">
        <v>4800</v>
      </c>
      <c r="L1511" s="3">
        <f>VLOOKUP(C1511,Securities!A:D,4,FALSE)</f>
        <v>5</v>
      </c>
      <c r="M1511" s="3" t="str">
        <f>VLOOKUP(C1511,Securities!A:B,2,FALSE)</f>
        <v>XS1405775377 Corp</v>
      </c>
      <c r="O1511" s="3">
        <f t="shared" si="24"/>
        <v>200000</v>
      </c>
    </row>
    <row r="1512" spans="1:15" x14ac:dyDescent="0.25">
      <c r="A1512" s="76">
        <v>43053</v>
      </c>
      <c r="B1512" s="77" t="s">
        <v>5571</v>
      </c>
      <c r="C1512" s="77" t="s">
        <v>5076</v>
      </c>
      <c r="D1512" s="77" t="s">
        <v>2051</v>
      </c>
      <c r="E1512" s="78">
        <v>610</v>
      </c>
      <c r="F1512" s="77" t="s">
        <v>4814</v>
      </c>
      <c r="G1512" s="78">
        <v>0</v>
      </c>
      <c r="H1512" s="78">
        <v>0</v>
      </c>
      <c r="I1512" s="77" t="s">
        <v>4800</v>
      </c>
      <c r="L1512" s="3">
        <f>VLOOKUP(C1512,Securities!A:D,4,FALSE)</f>
        <v>5</v>
      </c>
      <c r="M1512" s="3" t="str">
        <f>VLOOKUP(C1512,Securities!A:B,2,FALSE)</f>
        <v>JK610487 Corp</v>
      </c>
      <c r="O1512" s="3">
        <f t="shared" si="24"/>
        <v>610</v>
      </c>
    </row>
    <row r="1513" spans="1:15" x14ac:dyDescent="0.25">
      <c r="A1513" s="79">
        <v>43053</v>
      </c>
      <c r="B1513" s="80" t="s">
        <v>5571</v>
      </c>
      <c r="C1513" s="80" t="s">
        <v>5077</v>
      </c>
      <c r="D1513" s="80" t="s">
        <v>2054</v>
      </c>
      <c r="E1513" s="81">
        <v>1772</v>
      </c>
      <c r="F1513" s="80" t="s">
        <v>4814</v>
      </c>
      <c r="G1513" s="81">
        <v>0</v>
      </c>
      <c r="H1513" s="81">
        <v>0</v>
      </c>
      <c r="I1513" s="80" t="s">
        <v>4800</v>
      </c>
      <c r="L1513" s="3">
        <f>VLOOKUP(C1513,Securities!A:D,4,FALSE)</f>
        <v>5</v>
      </c>
      <c r="M1513" s="3" t="str">
        <f>VLOOKUP(C1513,Securities!A:B,2,FALSE)</f>
        <v>JK549945 Corp</v>
      </c>
      <c r="O1513" s="3">
        <f t="shared" si="24"/>
        <v>1772</v>
      </c>
    </row>
    <row r="1514" spans="1:15" x14ac:dyDescent="0.25">
      <c r="A1514" s="76">
        <v>43053</v>
      </c>
      <c r="B1514" s="77" t="s">
        <v>5571</v>
      </c>
      <c r="C1514" s="77" t="s">
        <v>5572</v>
      </c>
      <c r="D1514" s="77" t="s">
        <v>5573</v>
      </c>
      <c r="E1514" s="78">
        <v>334</v>
      </c>
      <c r="F1514" s="77" t="s">
        <v>4814</v>
      </c>
      <c r="G1514" s="78">
        <v>0</v>
      </c>
      <c r="H1514" s="78">
        <v>0</v>
      </c>
      <c r="I1514" s="77" t="s">
        <v>4800</v>
      </c>
      <c r="L1514" s="3">
        <f>VLOOKUP(C1514,Securities!A:D,4,FALSE)</f>
        <v>5</v>
      </c>
      <c r="M1514" s="3" t="str">
        <f>VLOOKUP(C1514,Securities!A:B,2,FALSE)</f>
        <v>RU000A0JP039 Corp</v>
      </c>
      <c r="O1514" s="3">
        <f t="shared" si="24"/>
        <v>334</v>
      </c>
    </row>
    <row r="1515" spans="1:15" x14ac:dyDescent="0.25">
      <c r="A1515" s="79">
        <v>43053</v>
      </c>
      <c r="B1515" s="80" t="s">
        <v>5571</v>
      </c>
      <c r="C1515" s="80" t="s">
        <v>5574</v>
      </c>
      <c r="D1515" s="80" t="s">
        <v>5575</v>
      </c>
      <c r="E1515" s="81">
        <v>559</v>
      </c>
      <c r="F1515" s="80" t="s">
        <v>4814</v>
      </c>
      <c r="G1515" s="81">
        <v>0</v>
      </c>
      <c r="H1515" s="81">
        <v>0</v>
      </c>
      <c r="I1515" s="80" t="s">
        <v>4800</v>
      </c>
      <c r="L1515" s="3">
        <f>VLOOKUP(C1515,Securities!A:D,4,FALSE)</f>
        <v>5</v>
      </c>
      <c r="M1515" s="3" t="str">
        <f>VLOOKUP(C1515,Securities!A:B,2,FALSE)</f>
        <v>RU000A0JPB25 Corp</v>
      </c>
      <c r="O1515" s="3">
        <f t="shared" si="24"/>
        <v>559</v>
      </c>
    </row>
    <row r="1516" spans="1:15" x14ac:dyDescent="0.25">
      <c r="A1516" s="76">
        <v>43053</v>
      </c>
      <c r="B1516" s="77" t="s">
        <v>5571</v>
      </c>
      <c r="C1516" s="77" t="s">
        <v>4884</v>
      </c>
      <c r="D1516" s="77" t="s">
        <v>4885</v>
      </c>
      <c r="E1516" s="78">
        <v>1097</v>
      </c>
      <c r="F1516" s="77" t="s">
        <v>4814</v>
      </c>
      <c r="G1516" s="78">
        <v>0</v>
      </c>
      <c r="H1516" s="78">
        <v>0</v>
      </c>
      <c r="I1516" s="77" t="s">
        <v>4800</v>
      </c>
      <c r="L1516" s="3">
        <f>VLOOKUP(C1516,Securities!A:D,4,FALSE)</f>
        <v>5</v>
      </c>
      <c r="M1516" s="3" t="str">
        <f>VLOOKUP(C1516,Securities!A:B,2,FALSE)</f>
        <v>RU000A0JPP11 Corp</v>
      </c>
      <c r="O1516" s="3">
        <f t="shared" si="24"/>
        <v>1097</v>
      </c>
    </row>
    <row r="1517" spans="1:15" x14ac:dyDescent="0.25">
      <c r="A1517" s="79">
        <v>43053</v>
      </c>
      <c r="B1517" s="80" t="s">
        <v>5571</v>
      </c>
      <c r="C1517" s="80" t="s">
        <v>4809</v>
      </c>
      <c r="D1517" s="80" t="s">
        <v>30</v>
      </c>
      <c r="E1517" s="81">
        <v>30501</v>
      </c>
      <c r="F1517" s="80" t="s">
        <v>4810</v>
      </c>
      <c r="G1517" s="81">
        <v>119.5921</v>
      </c>
      <c r="H1517" s="81">
        <v>1.9685839999999999</v>
      </c>
      <c r="I1517" s="80" t="s">
        <v>4800</v>
      </c>
      <c r="L1517" s="3">
        <f>VLOOKUP(C1517,Securities!A:D,4,FALSE)</f>
        <v>1</v>
      </c>
      <c r="M1517" s="3" t="str">
        <f>VLOOKUP(C1517,Securities!A:B,2,FALSE)</f>
        <v>GAZP RX Equity</v>
      </c>
      <c r="O1517" s="3">
        <f t="shared" si="24"/>
        <v>30501</v>
      </c>
    </row>
    <row r="1518" spans="1:15" x14ac:dyDescent="0.25">
      <c r="A1518" s="76">
        <v>43053</v>
      </c>
      <c r="B1518" s="77" t="s">
        <v>5571</v>
      </c>
      <c r="C1518" s="77" t="s">
        <v>5496</v>
      </c>
      <c r="D1518" s="77" t="s">
        <v>1763</v>
      </c>
      <c r="E1518" s="78">
        <v>4000</v>
      </c>
      <c r="F1518" s="77" t="s">
        <v>4814</v>
      </c>
      <c r="G1518" s="78">
        <v>100</v>
      </c>
      <c r="H1518" s="78">
        <v>100</v>
      </c>
      <c r="I1518" s="77" t="s">
        <v>4800</v>
      </c>
      <c r="L1518" s="3">
        <f>VLOOKUP(C1518,Securities!A:D,4,FALSE)</f>
        <v>5</v>
      </c>
      <c r="M1518" s="3" t="str">
        <f>VLOOKUP(C1518,Securities!A:B,2,FALSE)</f>
        <v>AM562901 Corp</v>
      </c>
      <c r="O1518" s="3">
        <f t="shared" si="24"/>
        <v>4000</v>
      </c>
    </row>
    <row r="1519" spans="1:15" x14ac:dyDescent="0.25">
      <c r="A1519" s="79">
        <v>43053</v>
      </c>
      <c r="B1519" s="80" t="s">
        <v>5571</v>
      </c>
      <c r="C1519" s="80" t="s">
        <v>5576</v>
      </c>
      <c r="D1519" s="80" t="s">
        <v>1838</v>
      </c>
      <c r="E1519" s="81">
        <v>1446</v>
      </c>
      <c r="F1519" s="80" t="s">
        <v>4814</v>
      </c>
      <c r="G1519" s="81">
        <v>0</v>
      </c>
      <c r="H1519" s="81">
        <v>0</v>
      </c>
      <c r="I1519" s="80" t="s">
        <v>4800</v>
      </c>
      <c r="L1519" s="3">
        <f>VLOOKUP(C1519,Securities!A:D,4,FALSE)</f>
        <v>5</v>
      </c>
      <c r="M1519" s="3" t="str">
        <f>VLOOKUP(C1519,Securities!A:B,2,FALSE)</f>
        <v>RU000A0JU5S5 Corp</v>
      </c>
      <c r="O1519" s="3">
        <f t="shared" si="24"/>
        <v>1446</v>
      </c>
    </row>
    <row r="1520" spans="1:15" x14ac:dyDescent="0.25">
      <c r="A1520" s="76">
        <v>43053</v>
      </c>
      <c r="B1520" s="77" t="s">
        <v>5571</v>
      </c>
      <c r="C1520" s="77" t="s">
        <v>5577</v>
      </c>
      <c r="D1520" s="77" t="s">
        <v>1856</v>
      </c>
      <c r="E1520" s="78">
        <v>181</v>
      </c>
      <c r="F1520" s="77" t="s">
        <v>4814</v>
      </c>
      <c r="G1520" s="78">
        <v>0</v>
      </c>
      <c r="H1520" s="78">
        <v>0</v>
      </c>
      <c r="I1520" s="77" t="s">
        <v>4800</v>
      </c>
      <c r="L1520" s="3">
        <f>VLOOKUP(C1520,Securities!A:D,4,FALSE)</f>
        <v>5</v>
      </c>
      <c r="M1520" s="3" t="str">
        <f>VLOOKUP(C1520,Securities!A:B,2,FALSE)</f>
        <v>RU000A0JW1P8 Corp</v>
      </c>
      <c r="O1520" s="3">
        <f t="shared" si="24"/>
        <v>181</v>
      </c>
    </row>
    <row r="1521" spans="1:15" x14ac:dyDescent="0.25">
      <c r="A1521" s="79">
        <v>43053</v>
      </c>
      <c r="B1521" s="80" t="s">
        <v>5571</v>
      </c>
      <c r="C1521" s="80" t="s">
        <v>5339</v>
      </c>
      <c r="D1521" s="80" t="s">
        <v>5340</v>
      </c>
      <c r="E1521" s="81">
        <v>200000</v>
      </c>
      <c r="F1521" s="80" t="s">
        <v>4806</v>
      </c>
      <c r="G1521" s="81">
        <v>101.25</v>
      </c>
      <c r="H1521" s="81">
        <v>101.25</v>
      </c>
      <c r="I1521" s="80" t="s">
        <v>4800</v>
      </c>
      <c r="L1521" s="3">
        <f>VLOOKUP(C1521,Securities!A:D,4,FALSE)</f>
        <v>5</v>
      </c>
      <c r="M1521" s="3" t="str">
        <f>VLOOKUP(C1521,Securities!A:B,2,FALSE)</f>
        <v>XS1449458915 Corp</v>
      </c>
      <c r="O1521" s="3">
        <f t="shared" si="24"/>
        <v>200000</v>
      </c>
    </row>
    <row r="1522" spans="1:15" x14ac:dyDescent="0.25">
      <c r="A1522" s="76">
        <v>43053</v>
      </c>
      <c r="B1522" s="77" t="s">
        <v>5571</v>
      </c>
      <c r="C1522" s="77" t="s">
        <v>4963</v>
      </c>
      <c r="D1522" s="77" t="s">
        <v>4964</v>
      </c>
      <c r="E1522" s="78">
        <v>200000</v>
      </c>
      <c r="F1522" s="77" t="s">
        <v>4806</v>
      </c>
      <c r="G1522" s="78">
        <v>98.5</v>
      </c>
      <c r="H1522" s="78">
        <v>98.5</v>
      </c>
      <c r="I1522" s="77" t="s">
        <v>4800</v>
      </c>
      <c r="L1522" s="3">
        <f>VLOOKUP(C1522,Securities!A:D,4,FALSE)</f>
        <v>5</v>
      </c>
      <c r="M1522" s="3" t="str">
        <f>VLOOKUP(C1522,Securities!A:B,2,FALSE)</f>
        <v>XS1439838548 Corp</v>
      </c>
      <c r="O1522" s="3">
        <f t="shared" si="24"/>
        <v>200000</v>
      </c>
    </row>
    <row r="1523" spans="1:15" x14ac:dyDescent="0.25">
      <c r="A1523" s="79">
        <v>43053</v>
      </c>
      <c r="B1523" s="80" t="s">
        <v>5571</v>
      </c>
      <c r="C1523" s="80" t="s">
        <v>4811</v>
      </c>
      <c r="D1523" s="80" t="s">
        <v>4659</v>
      </c>
      <c r="E1523" s="81">
        <v>23240</v>
      </c>
      <c r="F1523" s="80" t="s">
        <v>4799</v>
      </c>
      <c r="G1523" s="81">
        <v>120.358385</v>
      </c>
      <c r="H1523" s="81">
        <v>2.1500509999999999</v>
      </c>
      <c r="I1523" s="80" t="s">
        <v>4800</v>
      </c>
      <c r="L1523" s="3">
        <f>VLOOKUP(C1523,Securities!A:D,4,FALSE)</f>
        <v>1</v>
      </c>
      <c r="M1523" s="3" t="str">
        <f>VLOOKUP(C1523,Securities!A:B,2,FALSE)</f>
        <v>HGM LN Equity</v>
      </c>
      <c r="O1523" s="3">
        <f t="shared" si="24"/>
        <v>23240</v>
      </c>
    </row>
    <row r="1524" spans="1:15" x14ac:dyDescent="0.25">
      <c r="A1524" s="76">
        <v>43053</v>
      </c>
      <c r="B1524" s="77" t="s">
        <v>5571</v>
      </c>
      <c r="C1524" s="77" t="s">
        <v>4812</v>
      </c>
      <c r="D1524" s="77" t="s">
        <v>4675</v>
      </c>
      <c r="E1524" s="78">
        <v>6100</v>
      </c>
      <c r="F1524" s="77" t="s">
        <v>4804</v>
      </c>
      <c r="G1524" s="78">
        <v>489.43169999999998</v>
      </c>
      <c r="H1524" s="78">
        <v>7.653181</v>
      </c>
      <c r="I1524" s="77" t="s">
        <v>4800</v>
      </c>
      <c r="L1524" s="3">
        <f>VLOOKUP(C1524,Securities!A:D,4,FALSE)</f>
        <v>1</v>
      </c>
      <c r="M1524" s="3" t="str">
        <f>VLOOKUP(C1524,Securities!A:B,2,FALSE)</f>
        <v>KMG LI Equity</v>
      </c>
      <c r="O1524" s="3">
        <f t="shared" si="24"/>
        <v>6100</v>
      </c>
    </row>
    <row r="1525" spans="1:15" x14ac:dyDescent="0.25">
      <c r="A1525" s="79">
        <v>43053</v>
      </c>
      <c r="B1525" s="80" t="s">
        <v>5571</v>
      </c>
      <c r="C1525" s="80" t="s">
        <v>5578</v>
      </c>
      <c r="D1525" s="80" t="s">
        <v>2594</v>
      </c>
      <c r="E1525" s="81">
        <v>1401</v>
      </c>
      <c r="F1525" s="80" t="s">
        <v>4814</v>
      </c>
      <c r="G1525" s="81">
        <v>0</v>
      </c>
      <c r="H1525" s="81">
        <v>0</v>
      </c>
      <c r="I1525" s="80" t="s">
        <v>4800</v>
      </c>
      <c r="L1525" s="3">
        <f>VLOOKUP(C1525,Securities!A:D,4,FALSE)</f>
        <v>5</v>
      </c>
      <c r="M1525" s="3" t="str">
        <f>VLOOKUP(C1525,Securities!A:B,2,FALSE)</f>
        <v>RU000A0JVP05 Corp</v>
      </c>
      <c r="O1525" s="3">
        <f t="shared" si="24"/>
        <v>1401</v>
      </c>
    </row>
    <row r="1526" spans="1:15" x14ac:dyDescent="0.25">
      <c r="A1526" s="76">
        <v>43053</v>
      </c>
      <c r="B1526" s="77" t="s">
        <v>5571</v>
      </c>
      <c r="C1526" s="77" t="s">
        <v>4815</v>
      </c>
      <c r="D1526" s="77" t="s">
        <v>4676</v>
      </c>
      <c r="E1526" s="78">
        <v>900</v>
      </c>
      <c r="F1526" s="77" t="s">
        <v>4799</v>
      </c>
      <c r="G1526" s="78">
        <v>3347.07</v>
      </c>
      <c r="H1526" s="78">
        <v>51.567005999999999</v>
      </c>
      <c r="I1526" s="77" t="s">
        <v>4800</v>
      </c>
      <c r="L1526" s="3">
        <f>VLOOKUP(C1526,Securities!A:D,4,FALSE)</f>
        <v>1</v>
      </c>
      <c r="M1526" s="3" t="str">
        <f>VLOOKUP(C1526,Securities!A:B,2,FALSE)</f>
        <v>LXFT US Equity</v>
      </c>
      <c r="O1526" s="3">
        <f t="shared" si="24"/>
        <v>900</v>
      </c>
    </row>
    <row r="1527" spans="1:15" x14ac:dyDescent="0.25">
      <c r="A1527" s="79">
        <v>43053</v>
      </c>
      <c r="B1527" s="80" t="s">
        <v>5571</v>
      </c>
      <c r="C1527" s="80" t="s">
        <v>5093</v>
      </c>
      <c r="D1527" s="80" t="s">
        <v>447</v>
      </c>
      <c r="E1527" s="81">
        <v>400</v>
      </c>
      <c r="F1527" s="80" t="s">
        <v>4810</v>
      </c>
      <c r="G1527" s="81">
        <v>7409.9975000000004</v>
      </c>
      <c r="H1527" s="81">
        <v>125.06747</v>
      </c>
      <c r="I1527" s="80" t="s">
        <v>4800</v>
      </c>
      <c r="L1527" s="3">
        <f>VLOOKUP(C1527,Securities!A:D,4,FALSE)</f>
        <v>1</v>
      </c>
      <c r="M1527" s="3" t="str">
        <f>VLOOKUP(C1527,Securities!A:B,2,FALSE)</f>
        <v>MGNT RX Equity</v>
      </c>
      <c r="O1527" s="3">
        <f t="shared" si="24"/>
        <v>400</v>
      </c>
    </row>
    <row r="1528" spans="1:15" x14ac:dyDescent="0.25">
      <c r="A1528" s="76">
        <v>43053</v>
      </c>
      <c r="B1528" s="77" t="s">
        <v>5571</v>
      </c>
      <c r="C1528" s="77" t="s">
        <v>5069</v>
      </c>
      <c r="D1528" s="77" t="s">
        <v>5070</v>
      </c>
      <c r="E1528" s="78">
        <v>100000</v>
      </c>
      <c r="F1528" s="77" t="s">
        <v>4806</v>
      </c>
      <c r="G1528" s="78">
        <v>99.75</v>
      </c>
      <c r="H1528" s="78">
        <v>99.75</v>
      </c>
      <c r="I1528" s="77" t="s">
        <v>4800</v>
      </c>
      <c r="L1528" s="3">
        <f>VLOOKUP(C1528,Securities!A:D,4,FALSE)</f>
        <v>5</v>
      </c>
      <c r="M1528" s="3" t="str">
        <f>VLOOKUP(C1528,Securities!A:B,2,FALSE)</f>
        <v>US65504LAM90 Corp</v>
      </c>
      <c r="O1528" s="3">
        <f t="shared" si="24"/>
        <v>100000</v>
      </c>
    </row>
    <row r="1529" spans="1:15" x14ac:dyDescent="0.25">
      <c r="A1529" s="79">
        <v>43053</v>
      </c>
      <c r="B1529" s="80" t="s">
        <v>5571</v>
      </c>
      <c r="C1529" s="80" t="s">
        <v>4818</v>
      </c>
      <c r="D1529" s="80" t="s">
        <v>494</v>
      </c>
      <c r="E1529" s="81">
        <v>66000</v>
      </c>
      <c r="F1529" s="80" t="s">
        <v>4810</v>
      </c>
      <c r="G1529" s="81">
        <v>34.506574999999998</v>
      </c>
      <c r="H1529" s="81">
        <v>0.59394999999999998</v>
      </c>
      <c r="I1529" s="80" t="s">
        <v>4800</v>
      </c>
      <c r="L1529" s="3">
        <f>VLOOKUP(C1529,Securities!A:D,4,FALSE)</f>
        <v>1</v>
      </c>
      <c r="M1529" s="3" t="str">
        <f>VLOOKUP(C1529,Securities!A:B,2,FALSE)</f>
        <v>NKNCP RX Equity</v>
      </c>
      <c r="O1529" s="3">
        <f t="shared" si="24"/>
        <v>66000</v>
      </c>
    </row>
    <row r="1530" spans="1:15" x14ac:dyDescent="0.25">
      <c r="A1530" s="76">
        <v>43053</v>
      </c>
      <c r="B1530" s="77" t="s">
        <v>5571</v>
      </c>
      <c r="C1530" s="77" t="s">
        <v>4912</v>
      </c>
      <c r="D1530" s="77" t="s">
        <v>28</v>
      </c>
      <c r="E1530" s="78">
        <v>511000</v>
      </c>
      <c r="F1530" s="77" t="s">
        <v>4810</v>
      </c>
      <c r="G1530" s="78">
        <v>4.8250000000000002</v>
      </c>
      <c r="H1530" s="78">
        <v>7.4137999999999996E-2</v>
      </c>
      <c r="I1530" s="77" t="s">
        <v>4800</v>
      </c>
      <c r="L1530" s="3">
        <f>VLOOKUP(C1530,Securities!A:D,4,FALSE)</f>
        <v>1</v>
      </c>
      <c r="M1530" s="3" t="str">
        <f>VLOOKUP(C1530,Securities!A:B,2,FALSE)</f>
        <v>NMTP RX Equity</v>
      </c>
      <c r="O1530" s="3">
        <f t="shared" si="24"/>
        <v>511000</v>
      </c>
    </row>
    <row r="1531" spans="1:15" x14ac:dyDescent="0.25">
      <c r="A1531" s="79">
        <v>43053</v>
      </c>
      <c r="B1531" s="80" t="s">
        <v>5571</v>
      </c>
      <c r="C1531" s="80" t="s">
        <v>4819</v>
      </c>
      <c r="D1531" s="80" t="s">
        <v>4820</v>
      </c>
      <c r="E1531" s="81">
        <v>200000</v>
      </c>
      <c r="F1531" s="80" t="s">
        <v>4806</v>
      </c>
      <c r="G1531" s="81">
        <v>95.515000000000001</v>
      </c>
      <c r="H1531" s="81">
        <v>95.515000000000001</v>
      </c>
      <c r="I1531" s="80" t="s">
        <v>4800</v>
      </c>
      <c r="L1531" s="3">
        <f>VLOOKUP(C1531,Securities!A:D,4,FALSE)</f>
        <v>5</v>
      </c>
      <c r="M1531" s="3" t="str">
        <f>VLOOKUP(C1531,Securities!A:B,2,FALSE)</f>
        <v>XS0776121062 Corp</v>
      </c>
      <c r="O1531" s="3">
        <f t="shared" si="24"/>
        <v>200000</v>
      </c>
    </row>
    <row r="1532" spans="1:15" x14ac:dyDescent="0.25">
      <c r="A1532" s="76">
        <v>43053</v>
      </c>
      <c r="B1532" s="77" t="s">
        <v>5571</v>
      </c>
      <c r="C1532" s="77" t="s">
        <v>5579</v>
      </c>
      <c r="D1532" s="77" t="s">
        <v>3008</v>
      </c>
      <c r="E1532" s="78">
        <v>727</v>
      </c>
      <c r="F1532" s="77" t="s">
        <v>4814</v>
      </c>
      <c r="G1532" s="78">
        <v>0</v>
      </c>
      <c r="H1532" s="78">
        <v>0</v>
      </c>
      <c r="I1532" s="77" t="s">
        <v>4800</v>
      </c>
      <c r="L1532" s="3">
        <f>VLOOKUP(C1532,Securities!A:D,4,FALSE)</f>
        <v>5</v>
      </c>
      <c r="M1532" s="3" t="str">
        <f>VLOOKUP(C1532,Securities!A:B,2,FALSE)</f>
        <v>RU000A0JWK74 Corp</v>
      </c>
      <c r="O1532" s="3">
        <f t="shared" si="24"/>
        <v>727</v>
      </c>
    </row>
    <row r="1533" spans="1:15" x14ac:dyDescent="0.25">
      <c r="A1533" s="79">
        <v>43053</v>
      </c>
      <c r="B1533" s="80" t="s">
        <v>5571</v>
      </c>
      <c r="C1533" s="80" t="s">
        <v>5580</v>
      </c>
      <c r="D1533" s="80" t="s">
        <v>3002</v>
      </c>
      <c r="E1533" s="81">
        <v>2460</v>
      </c>
      <c r="F1533" s="80" t="s">
        <v>4814</v>
      </c>
      <c r="G1533" s="81">
        <v>0</v>
      </c>
      <c r="H1533" s="81">
        <v>0</v>
      </c>
      <c r="I1533" s="80" t="s">
        <v>4800</v>
      </c>
      <c r="L1533" s="3">
        <f>VLOOKUP(C1533,Securities!A:D,4,FALSE)</f>
        <v>5</v>
      </c>
      <c r="M1533" s="3" t="str">
        <f>VLOOKUP(C1533,Securities!A:B,2,FALSE)</f>
        <v>RU000A0JVYN4 Corp</v>
      </c>
      <c r="O1533" s="3">
        <f t="shared" si="24"/>
        <v>2460</v>
      </c>
    </row>
    <row r="1534" spans="1:15" x14ac:dyDescent="0.25">
      <c r="A1534" s="76">
        <v>43053</v>
      </c>
      <c r="B1534" s="77" t="s">
        <v>5571</v>
      </c>
      <c r="C1534" s="77" t="s">
        <v>4821</v>
      </c>
      <c r="D1534" s="77" t="s">
        <v>42</v>
      </c>
      <c r="E1534" s="78">
        <v>8968</v>
      </c>
      <c r="F1534" s="77" t="s">
        <v>4799</v>
      </c>
      <c r="G1534" s="78">
        <v>622.45785000000001</v>
      </c>
      <c r="H1534" s="78">
        <v>10.035469000000001</v>
      </c>
      <c r="I1534" s="77" t="s">
        <v>4800</v>
      </c>
      <c r="L1534" s="3">
        <f>VLOOKUP(C1534,Securities!A:D,4,FALSE)</f>
        <v>1</v>
      </c>
      <c r="M1534" s="3" t="str">
        <f>VLOOKUP(C1534,Securities!A:B,2,FALSE)</f>
        <v>POLY LN Equity</v>
      </c>
      <c r="O1534" s="3">
        <f t="shared" si="24"/>
        <v>8968</v>
      </c>
    </row>
    <row r="1535" spans="1:15" x14ac:dyDescent="0.25">
      <c r="A1535" s="79">
        <v>43053</v>
      </c>
      <c r="B1535" s="80" t="s">
        <v>5571</v>
      </c>
      <c r="C1535" s="80" t="s">
        <v>5581</v>
      </c>
      <c r="D1535" s="80" t="s">
        <v>3341</v>
      </c>
      <c r="E1535" s="81">
        <v>282</v>
      </c>
      <c r="F1535" s="80" t="s">
        <v>4814</v>
      </c>
      <c r="G1535" s="81">
        <v>0</v>
      </c>
      <c r="H1535" s="81">
        <v>0</v>
      </c>
      <c r="I1535" s="80" t="s">
        <v>4800</v>
      </c>
      <c r="L1535" s="3">
        <f>VLOOKUP(C1535,Securities!A:D,4,FALSE)</f>
        <v>5</v>
      </c>
      <c r="M1535" s="3" t="str">
        <f>VLOOKUP(C1535,Securities!A:B,2,FALSE)</f>
        <v>RU000A0JTTV1 Corp</v>
      </c>
      <c r="O1535" s="3">
        <f t="shared" si="24"/>
        <v>282</v>
      </c>
    </row>
    <row r="1536" spans="1:15" x14ac:dyDescent="0.25">
      <c r="A1536" s="76">
        <v>43053</v>
      </c>
      <c r="B1536" s="77" t="s">
        <v>5571</v>
      </c>
      <c r="C1536" s="77" t="s">
        <v>5582</v>
      </c>
      <c r="D1536" s="77" t="s">
        <v>3455</v>
      </c>
      <c r="E1536" s="78">
        <v>422</v>
      </c>
      <c r="F1536" s="77" t="s">
        <v>4814</v>
      </c>
      <c r="G1536" s="78">
        <v>0</v>
      </c>
      <c r="H1536" s="78">
        <v>0</v>
      </c>
      <c r="I1536" s="77" t="s">
        <v>4800</v>
      </c>
      <c r="L1536" s="3">
        <f>VLOOKUP(C1536,Securities!A:D,4,FALSE)</f>
        <v>5</v>
      </c>
      <c r="M1536" s="3" t="str">
        <f>VLOOKUP(C1536,Securities!A:B,2,FALSE)</f>
        <v>RU000A0JWMJ5 Corp</v>
      </c>
      <c r="O1536" s="3">
        <f t="shared" si="24"/>
        <v>422</v>
      </c>
    </row>
    <row r="1537" spans="1:15" x14ac:dyDescent="0.25">
      <c r="A1537" s="79">
        <v>43053</v>
      </c>
      <c r="B1537" s="80" t="s">
        <v>5571</v>
      </c>
      <c r="C1537" s="80" t="s">
        <v>5583</v>
      </c>
      <c r="D1537" s="80" t="s">
        <v>5584</v>
      </c>
      <c r="E1537" s="81">
        <v>424</v>
      </c>
      <c r="F1537" s="80" t="s">
        <v>4814</v>
      </c>
      <c r="G1537" s="81">
        <v>100</v>
      </c>
      <c r="H1537" s="81">
        <v>100</v>
      </c>
      <c r="I1537" s="80" t="s">
        <v>4800</v>
      </c>
      <c r="L1537" s="3">
        <f>VLOOKUP(C1537,Securities!A:D,4,FALSE)</f>
        <v>5</v>
      </c>
      <c r="M1537" s="3" t="str">
        <f>VLOOKUP(C1537,Securities!A:B,2,FALSE)</f>
        <v>RU000A0JXUH0 Corp</v>
      </c>
      <c r="O1537" s="3">
        <f t="shared" si="24"/>
        <v>424</v>
      </c>
    </row>
    <row r="1538" spans="1:15" x14ac:dyDescent="0.25">
      <c r="A1538" s="76">
        <v>43053</v>
      </c>
      <c r="B1538" s="77" t="s">
        <v>5571</v>
      </c>
      <c r="C1538" s="77" t="s">
        <v>4822</v>
      </c>
      <c r="D1538" s="77" t="s">
        <v>613</v>
      </c>
      <c r="E1538" s="78">
        <v>42000</v>
      </c>
      <c r="F1538" s="77" t="s">
        <v>4810</v>
      </c>
      <c r="G1538" s="78">
        <v>71.438299999999998</v>
      </c>
      <c r="H1538" s="78">
        <v>1.205654</v>
      </c>
      <c r="I1538" s="77" t="s">
        <v>4800</v>
      </c>
      <c r="L1538" s="3">
        <f>VLOOKUP(C1538,Securities!A:D,4,FALSE)</f>
        <v>1</v>
      </c>
      <c r="M1538" s="3" t="str">
        <f>VLOOKUP(C1538,Securities!A:B,2,FALSE)</f>
        <v>RTKM RX Equity</v>
      </c>
      <c r="O1538" s="3">
        <f t="shared" si="24"/>
        <v>42000</v>
      </c>
    </row>
    <row r="1539" spans="1:15" x14ac:dyDescent="0.25">
      <c r="A1539" s="79">
        <v>43053</v>
      </c>
      <c r="B1539" s="80" t="s">
        <v>5571</v>
      </c>
      <c r="C1539" s="80" t="s">
        <v>5585</v>
      </c>
      <c r="D1539" s="80" t="s">
        <v>4079</v>
      </c>
      <c r="E1539" s="81">
        <v>930</v>
      </c>
      <c r="F1539" s="80" t="s">
        <v>4814</v>
      </c>
      <c r="G1539" s="81">
        <v>0</v>
      </c>
      <c r="H1539" s="81">
        <v>0</v>
      </c>
      <c r="I1539" s="80" t="s">
        <v>4800</v>
      </c>
      <c r="L1539" s="3">
        <f>VLOOKUP(C1539,Securities!A:D,4,FALSE)</f>
        <v>5</v>
      </c>
      <c r="M1539" s="3" t="str">
        <f>VLOOKUP(C1539,Securities!A:B,2,FALSE)</f>
        <v>RU000A0JWFE0 Corp</v>
      </c>
      <c r="O1539" s="3">
        <f t="shared" si="24"/>
        <v>930</v>
      </c>
    </row>
    <row r="1540" spans="1:15" x14ac:dyDescent="0.25">
      <c r="A1540" s="76">
        <v>43053</v>
      </c>
      <c r="B1540" s="77" t="s">
        <v>5571</v>
      </c>
      <c r="C1540" s="77" t="s">
        <v>5586</v>
      </c>
      <c r="D1540" s="77" t="s">
        <v>4082</v>
      </c>
      <c r="E1540" s="78">
        <v>1411</v>
      </c>
      <c r="F1540" s="77" t="s">
        <v>4814</v>
      </c>
      <c r="G1540" s="78">
        <v>0</v>
      </c>
      <c r="H1540" s="78">
        <v>0</v>
      </c>
      <c r="I1540" s="77" t="s">
        <v>4800</v>
      </c>
      <c r="L1540" s="3">
        <f>VLOOKUP(C1540,Securities!A:D,4,FALSE)</f>
        <v>5</v>
      </c>
      <c r="M1540" s="3" t="str">
        <f>VLOOKUP(C1540,Securities!A:B,2,FALSE)</f>
        <v>RU000A0JVUK8 Corp</v>
      </c>
      <c r="O1540" s="3">
        <f t="shared" si="24"/>
        <v>1411</v>
      </c>
    </row>
    <row r="1541" spans="1:15" x14ac:dyDescent="0.25">
      <c r="A1541" s="79">
        <v>43053</v>
      </c>
      <c r="B1541" s="80" t="s">
        <v>5571</v>
      </c>
      <c r="C1541" s="80" t="s">
        <v>5587</v>
      </c>
      <c r="D1541" s="80" t="s">
        <v>3956</v>
      </c>
      <c r="E1541" s="81">
        <v>1258</v>
      </c>
      <c r="F1541" s="80" t="s">
        <v>4814</v>
      </c>
      <c r="G1541" s="81">
        <v>0</v>
      </c>
      <c r="H1541" s="81">
        <v>0</v>
      </c>
      <c r="I1541" s="80" t="s">
        <v>4800</v>
      </c>
      <c r="L1541" s="3">
        <f>VLOOKUP(C1541,Securities!A:D,4,FALSE)</f>
        <v>5</v>
      </c>
      <c r="M1541" s="3" t="str">
        <f>VLOOKUP(C1541,Securities!A:B,2,FALSE)</f>
        <v>RU000A0JRKC4 Corp</v>
      </c>
      <c r="O1541" s="3">
        <f t="shared" si="24"/>
        <v>1258</v>
      </c>
    </row>
    <row r="1542" spans="1:15" x14ac:dyDescent="0.25">
      <c r="A1542" s="76">
        <v>43053</v>
      </c>
      <c r="B1542" s="77" t="s">
        <v>5571</v>
      </c>
      <c r="C1542" s="77" t="s">
        <v>5588</v>
      </c>
      <c r="D1542" s="77" t="s">
        <v>4229</v>
      </c>
      <c r="E1542" s="78">
        <v>1333</v>
      </c>
      <c r="F1542" s="77" t="s">
        <v>4814</v>
      </c>
      <c r="G1542" s="78">
        <v>0</v>
      </c>
      <c r="H1542" s="78">
        <v>0</v>
      </c>
      <c r="I1542" s="77" t="s">
        <v>4800</v>
      </c>
      <c r="L1542" s="3">
        <f>VLOOKUP(C1542,Securities!A:D,4,FALSE)</f>
        <v>5</v>
      </c>
      <c r="M1542" s="3" t="str">
        <f>VLOOKUP(C1542,Securities!A:B,2,FALSE)</f>
        <v>RU000A0JW8E7 Corp</v>
      </c>
      <c r="O1542" s="3">
        <f t="shared" ref="O1542:O1605" si="25">SUMIFS(E:E,C:C,C1542,B:B,B1542)</f>
        <v>1333</v>
      </c>
    </row>
    <row r="1543" spans="1:15" x14ac:dyDescent="0.25">
      <c r="A1543" s="79">
        <v>43053</v>
      </c>
      <c r="B1543" s="80" t="s">
        <v>5571</v>
      </c>
      <c r="C1543" s="80" t="s">
        <v>5589</v>
      </c>
      <c r="D1543" s="80" t="s">
        <v>4349</v>
      </c>
      <c r="E1543" s="81">
        <v>606</v>
      </c>
      <c r="F1543" s="80" t="s">
        <v>4814</v>
      </c>
      <c r="G1543" s="81">
        <v>0</v>
      </c>
      <c r="H1543" s="81">
        <v>0</v>
      </c>
      <c r="I1543" s="80" t="s">
        <v>4800</v>
      </c>
      <c r="L1543" s="3">
        <f>VLOOKUP(C1543,Securities!A:D,4,FALSE)</f>
        <v>5</v>
      </c>
      <c r="M1543" s="3" t="str">
        <f>VLOOKUP(C1543,Securities!A:B,2,FALSE)</f>
        <v>RU000A0JWEB9 Corp</v>
      </c>
      <c r="O1543" s="3">
        <f t="shared" si="25"/>
        <v>606</v>
      </c>
    </row>
    <row r="1544" spans="1:15" x14ac:dyDescent="0.25">
      <c r="A1544" s="76">
        <v>43053</v>
      </c>
      <c r="B1544" s="77" t="s">
        <v>5571</v>
      </c>
      <c r="C1544" s="77" t="s">
        <v>5115</v>
      </c>
      <c r="D1544" s="77" t="s">
        <v>1068</v>
      </c>
      <c r="E1544" s="78">
        <v>4400</v>
      </c>
      <c r="F1544" s="77" t="s">
        <v>4814</v>
      </c>
      <c r="G1544" s="78">
        <v>97.5</v>
      </c>
      <c r="H1544" s="78">
        <v>97.5</v>
      </c>
      <c r="I1544" s="77" t="s">
        <v>4800</v>
      </c>
      <c r="L1544" s="3">
        <f>VLOOKUP(C1544,Securities!A:D,4,FALSE)</f>
        <v>5</v>
      </c>
      <c r="M1544" s="3" t="str">
        <f>VLOOKUP(C1544,Securities!A:B,2,FALSE)</f>
        <v>EJ801440 Corp</v>
      </c>
      <c r="O1544" s="3">
        <f t="shared" si="25"/>
        <v>4400</v>
      </c>
    </row>
    <row r="1545" spans="1:15" x14ac:dyDescent="0.25">
      <c r="A1545" s="79">
        <v>43053</v>
      </c>
      <c r="B1545" s="80" t="s">
        <v>5571</v>
      </c>
      <c r="C1545" s="80" t="s">
        <v>4986</v>
      </c>
      <c r="D1545" s="80" t="s">
        <v>4987</v>
      </c>
      <c r="E1545" s="81">
        <v>200000</v>
      </c>
      <c r="F1545" s="80" t="s">
        <v>4806</v>
      </c>
      <c r="G1545" s="81">
        <v>102</v>
      </c>
      <c r="H1545" s="81">
        <v>102</v>
      </c>
      <c r="I1545" s="80" t="s">
        <v>4800</v>
      </c>
      <c r="L1545" s="3">
        <f>VLOOKUP(C1545,Securities!A:D,4,FALSE)</f>
        <v>5</v>
      </c>
      <c r="M1545" s="3" t="str">
        <f>VLOOKUP(C1545,Securities!A:B,2,FALSE)</f>
        <v>USG9328DAM23 Corp</v>
      </c>
      <c r="O1545" s="3">
        <f t="shared" si="25"/>
        <v>200000</v>
      </c>
    </row>
    <row r="1546" spans="1:15" x14ac:dyDescent="0.25">
      <c r="A1546" s="76">
        <v>43053</v>
      </c>
      <c r="B1546" s="77" t="s">
        <v>5571</v>
      </c>
      <c r="C1546" s="77" t="s">
        <v>4824</v>
      </c>
      <c r="D1546" s="77" t="s">
        <v>4674</v>
      </c>
      <c r="E1546" s="78">
        <v>21400</v>
      </c>
      <c r="F1546" s="77" t="s">
        <v>4825</v>
      </c>
      <c r="G1546" s="78">
        <v>0</v>
      </c>
      <c r="H1546" s="78">
        <v>0</v>
      </c>
      <c r="I1546" s="77" t="s">
        <v>4800</v>
      </c>
      <c r="L1546" s="3">
        <f>VLOOKUP(C1546,Securities!A:D,4,FALSE)</f>
        <v>1</v>
      </c>
      <c r="M1546" s="3" t="str">
        <f>VLOOKUP(C1546,Securities!A:B,2,FALSE)</f>
        <v>VEON US Equity</v>
      </c>
      <c r="O1546" s="3">
        <f t="shared" si="25"/>
        <v>21400</v>
      </c>
    </row>
    <row r="1547" spans="1:15" x14ac:dyDescent="0.25">
      <c r="A1547" s="79">
        <v>43053</v>
      </c>
      <c r="B1547" s="80" t="s">
        <v>5590</v>
      </c>
      <c r="C1547" s="80" t="s">
        <v>5591</v>
      </c>
      <c r="D1547" s="80" t="s">
        <v>5592</v>
      </c>
      <c r="E1547" s="81">
        <v>216000</v>
      </c>
      <c r="F1547" s="80" t="s">
        <v>4838</v>
      </c>
      <c r="G1547" s="81">
        <v>0</v>
      </c>
      <c r="H1547" s="81">
        <v>0</v>
      </c>
      <c r="I1547" s="80" t="s">
        <v>4800</v>
      </c>
      <c r="L1547" s="3">
        <f>VLOOKUP(C1547,Securities!A:D,4,FALSE)</f>
        <v>5</v>
      </c>
      <c r="M1547" s="3" t="str">
        <f>VLOOKUP(C1547,Securities!A:B,2,FALSE)</f>
        <v>XS1220249970 Corp</v>
      </c>
      <c r="O1547" s="3">
        <f t="shared" si="25"/>
        <v>216000</v>
      </c>
    </row>
    <row r="1548" spans="1:15" x14ac:dyDescent="0.25">
      <c r="A1548" s="76">
        <v>43053</v>
      </c>
      <c r="B1548" s="77" t="s">
        <v>5590</v>
      </c>
      <c r="C1548" s="77" t="s">
        <v>5356</v>
      </c>
      <c r="D1548" s="77" t="s">
        <v>5357</v>
      </c>
      <c r="E1548" s="78">
        <v>100000</v>
      </c>
      <c r="F1548" s="77" t="s">
        <v>4838</v>
      </c>
      <c r="G1548" s="78">
        <v>100</v>
      </c>
      <c r="H1548" s="78">
        <v>100</v>
      </c>
      <c r="I1548" s="77" t="s">
        <v>4800</v>
      </c>
      <c r="L1548" s="3">
        <f>VLOOKUP(C1548,Securities!A:D,4,FALSE)</f>
        <v>5</v>
      </c>
      <c r="M1548" s="3" t="str">
        <f>VLOOKUP(C1548,Securities!A:B,2,FALSE)</f>
        <v>CH0374210356 Corp</v>
      </c>
      <c r="O1548" s="3">
        <f t="shared" si="25"/>
        <v>100000</v>
      </c>
    </row>
    <row r="1549" spans="1:15" x14ac:dyDescent="0.25">
      <c r="A1549" s="79">
        <v>43053</v>
      </c>
      <c r="B1549" s="80" t="s">
        <v>5590</v>
      </c>
      <c r="C1549" s="80" t="s">
        <v>5215</v>
      </c>
      <c r="D1549" s="80" t="s">
        <v>5216</v>
      </c>
      <c r="E1549" s="81">
        <v>150000</v>
      </c>
      <c r="F1549" s="80" t="s">
        <v>4838</v>
      </c>
      <c r="G1549" s="81">
        <v>100</v>
      </c>
      <c r="H1549" s="81">
        <v>100</v>
      </c>
      <c r="I1549" s="80" t="s">
        <v>4800</v>
      </c>
      <c r="L1549" s="3">
        <f>VLOOKUP(C1549,Securities!A:D,4,FALSE)</f>
        <v>5</v>
      </c>
      <c r="M1549" s="3" t="str">
        <f>VLOOKUP(C1549,Securities!A:B,2,FALSE)</f>
        <v>CH0361710632 Corp</v>
      </c>
      <c r="O1549" s="3">
        <f t="shared" si="25"/>
        <v>150000</v>
      </c>
    </row>
    <row r="1550" spans="1:15" x14ac:dyDescent="0.25">
      <c r="A1550" s="76">
        <v>43053</v>
      </c>
      <c r="B1550" s="77" t="s">
        <v>5590</v>
      </c>
      <c r="C1550" s="77" t="s">
        <v>4836</v>
      </c>
      <c r="D1550" s="77" t="s">
        <v>4837</v>
      </c>
      <c r="E1550" s="78">
        <v>100000</v>
      </c>
      <c r="F1550" s="77" t="s">
        <v>4838</v>
      </c>
      <c r="G1550" s="78">
        <v>100</v>
      </c>
      <c r="H1550" s="78">
        <v>100</v>
      </c>
      <c r="I1550" s="77" t="s">
        <v>4800</v>
      </c>
      <c r="L1550" s="3">
        <f>VLOOKUP(C1550,Securities!A:D,4,FALSE)</f>
        <v>5</v>
      </c>
      <c r="M1550" s="3" t="str">
        <f>VLOOKUP(C1550,Securities!A:B,2,FALSE)</f>
        <v>CH0384861396 Corp</v>
      </c>
      <c r="O1550" s="3">
        <f t="shared" si="25"/>
        <v>100000</v>
      </c>
    </row>
    <row r="1551" spans="1:15" x14ac:dyDescent="0.25">
      <c r="A1551" s="79">
        <v>43053</v>
      </c>
      <c r="B1551" s="80" t="s">
        <v>5590</v>
      </c>
      <c r="C1551" s="80" t="s">
        <v>4805</v>
      </c>
      <c r="D1551" s="80" t="s">
        <v>31</v>
      </c>
      <c r="E1551" s="81">
        <v>100000</v>
      </c>
      <c r="F1551" s="80" t="s">
        <v>4806</v>
      </c>
      <c r="G1551" s="81">
        <v>176</v>
      </c>
      <c r="H1551" s="81">
        <v>176</v>
      </c>
      <c r="I1551" s="80" t="s">
        <v>4800</v>
      </c>
      <c r="L1551" s="3">
        <f>VLOOKUP(C1551,Securities!A:D,4,FALSE)</f>
        <v>5</v>
      </c>
      <c r="M1551" s="3" t="str">
        <f>VLOOKUP(C1551,Securities!A:B,2,FALSE)</f>
        <v>TT343269 Corp</v>
      </c>
      <c r="O1551" s="3">
        <f t="shared" si="25"/>
        <v>100000</v>
      </c>
    </row>
    <row r="1552" spans="1:15" x14ac:dyDescent="0.25">
      <c r="A1552" s="76">
        <v>43053</v>
      </c>
      <c r="B1552" s="77" t="s">
        <v>5590</v>
      </c>
      <c r="C1552" s="77" t="s">
        <v>5182</v>
      </c>
      <c r="D1552" s="77" t="s">
        <v>5183</v>
      </c>
      <c r="E1552" s="78">
        <v>164000</v>
      </c>
      <c r="F1552" s="77" t="s">
        <v>4838</v>
      </c>
      <c r="G1552" s="78">
        <v>100</v>
      </c>
      <c r="H1552" s="78">
        <v>100</v>
      </c>
      <c r="I1552" s="77" t="s">
        <v>4800</v>
      </c>
      <c r="L1552" s="3">
        <f>VLOOKUP(C1552,Securities!A:D,4,FALSE)</f>
        <v>5</v>
      </c>
      <c r="M1552" s="3" t="str">
        <f>VLOOKUP(C1552,Securities!A:B,2,FALSE)</f>
        <v>XS1468264822 Corp</v>
      </c>
      <c r="O1552" s="3">
        <f t="shared" si="25"/>
        <v>164000</v>
      </c>
    </row>
    <row r="1553" spans="1:15" x14ac:dyDescent="0.25">
      <c r="A1553" s="79">
        <v>43053</v>
      </c>
      <c r="B1553" s="80" t="s">
        <v>5590</v>
      </c>
      <c r="C1553" s="80" t="s">
        <v>5067</v>
      </c>
      <c r="D1553" s="80" t="s">
        <v>5068</v>
      </c>
      <c r="E1553" s="81">
        <v>100000</v>
      </c>
      <c r="F1553" s="80" t="s">
        <v>4838</v>
      </c>
      <c r="G1553" s="81">
        <v>100</v>
      </c>
      <c r="H1553" s="81">
        <v>100</v>
      </c>
      <c r="I1553" s="80" t="s">
        <v>4800</v>
      </c>
      <c r="L1553" s="3">
        <f>VLOOKUP(C1553,Securities!A:D,4,FALSE)</f>
        <v>5</v>
      </c>
      <c r="M1553" s="3" t="str">
        <f>VLOOKUP(C1553,Securities!A:B,2,FALSE)</f>
        <v>XS1581931083 Corp</v>
      </c>
      <c r="O1553" s="3">
        <f t="shared" si="25"/>
        <v>100000</v>
      </c>
    </row>
    <row r="1554" spans="1:15" x14ac:dyDescent="0.25">
      <c r="A1554" s="76">
        <v>43053</v>
      </c>
      <c r="B1554" s="77" t="s">
        <v>5590</v>
      </c>
      <c r="C1554" s="77" t="s">
        <v>5593</v>
      </c>
      <c r="D1554" s="77" t="s">
        <v>5594</v>
      </c>
      <c r="E1554" s="78">
        <v>250000</v>
      </c>
      <c r="F1554" s="77" t="s">
        <v>4838</v>
      </c>
      <c r="G1554" s="78">
        <v>100</v>
      </c>
      <c r="H1554" s="78">
        <v>100</v>
      </c>
      <c r="I1554" s="77" t="s">
        <v>4823</v>
      </c>
      <c r="L1554" s="3">
        <f>VLOOKUP(C1554,Securities!A:D,4,FALSE)</f>
        <v>5</v>
      </c>
      <c r="M1554" s="3" t="str">
        <f>VLOOKUP(C1554,Securities!A:B,2,FALSE)</f>
        <v>XS1631530257 Corp</v>
      </c>
      <c r="O1554" s="3">
        <f t="shared" si="25"/>
        <v>250000</v>
      </c>
    </row>
    <row r="1555" spans="1:15" x14ac:dyDescent="0.25">
      <c r="A1555" s="79">
        <v>43053</v>
      </c>
      <c r="B1555" s="80" t="s">
        <v>5590</v>
      </c>
      <c r="C1555" s="80" t="s">
        <v>5173</v>
      </c>
      <c r="D1555" s="80" t="s">
        <v>5174</v>
      </c>
      <c r="E1555" s="81">
        <v>50000</v>
      </c>
      <c r="F1555" s="80" t="s">
        <v>4838</v>
      </c>
      <c r="G1555" s="81">
        <v>100</v>
      </c>
      <c r="H1555" s="81">
        <v>100</v>
      </c>
      <c r="I1555" s="80" t="s">
        <v>4800</v>
      </c>
      <c r="L1555" s="3">
        <f>VLOOKUP(C1555,Securities!A:D,4,FALSE)</f>
        <v>5</v>
      </c>
      <c r="M1555" s="3" t="str">
        <f>VLOOKUP(C1555,Securities!A:B,2,FALSE)</f>
        <v>XS1581926083 Corp</v>
      </c>
      <c r="O1555" s="3">
        <f t="shared" si="25"/>
        <v>50000</v>
      </c>
    </row>
    <row r="1556" spans="1:15" x14ac:dyDescent="0.25">
      <c r="A1556" s="76">
        <v>43053</v>
      </c>
      <c r="B1556" s="77" t="s">
        <v>5590</v>
      </c>
      <c r="C1556" s="77" t="s">
        <v>5039</v>
      </c>
      <c r="D1556" s="77" t="s">
        <v>5040</v>
      </c>
      <c r="E1556" s="78">
        <v>65000</v>
      </c>
      <c r="F1556" s="77" t="s">
        <v>4806</v>
      </c>
      <c r="G1556" s="78">
        <v>92.25</v>
      </c>
      <c r="H1556" s="78">
        <v>92.25</v>
      </c>
      <c r="I1556" s="77" t="s">
        <v>4800</v>
      </c>
      <c r="L1556" s="3">
        <f>VLOOKUP(C1556,Securities!A:D,4,FALSE)</f>
        <v>5</v>
      </c>
      <c r="M1556" s="3" t="str">
        <f>VLOOKUP(C1556,Securities!A:B,2,FALSE)</f>
        <v>US35671DAZ87 Corp</v>
      </c>
      <c r="O1556" s="3">
        <f t="shared" si="25"/>
        <v>65000</v>
      </c>
    </row>
    <row r="1557" spans="1:15" x14ac:dyDescent="0.25">
      <c r="A1557" s="79">
        <v>43053</v>
      </c>
      <c r="B1557" s="80" t="s">
        <v>5590</v>
      </c>
      <c r="C1557" s="80" t="s">
        <v>5595</v>
      </c>
      <c r="D1557" s="80" t="s">
        <v>5596</v>
      </c>
      <c r="E1557" s="81">
        <v>115000</v>
      </c>
      <c r="F1557" s="80" t="s">
        <v>4838</v>
      </c>
      <c r="G1557" s="81">
        <v>100</v>
      </c>
      <c r="H1557" s="81">
        <v>100</v>
      </c>
      <c r="I1557" s="80" t="s">
        <v>4800</v>
      </c>
      <c r="L1557" s="3">
        <f>VLOOKUP(C1557,Securities!A:D,4,FALSE)</f>
        <v>5</v>
      </c>
      <c r="M1557" s="3" t="str">
        <f>VLOOKUP(C1557,Securities!A:B,2,FALSE)</f>
        <v>XS1542704421 Corp</v>
      </c>
      <c r="O1557" s="3">
        <f t="shared" si="25"/>
        <v>115000</v>
      </c>
    </row>
    <row r="1558" spans="1:15" x14ac:dyDescent="0.25">
      <c r="A1558" s="76">
        <v>43053</v>
      </c>
      <c r="B1558" s="77" t="s">
        <v>5590</v>
      </c>
      <c r="C1558" s="77" t="s">
        <v>5597</v>
      </c>
      <c r="D1558" s="77" t="s">
        <v>5598</v>
      </c>
      <c r="E1558" s="78">
        <v>100000</v>
      </c>
      <c r="F1558" s="77" t="s">
        <v>4806</v>
      </c>
      <c r="G1558" s="78">
        <v>98.75</v>
      </c>
      <c r="H1558" s="78">
        <v>98.75</v>
      </c>
      <c r="I1558" s="77" t="s">
        <v>4800</v>
      </c>
      <c r="L1558" s="3">
        <f>VLOOKUP(C1558,Securities!A:D,4,FALSE)</f>
        <v>5</v>
      </c>
      <c r="M1558" s="3" t="str">
        <f>VLOOKUP(C1558,Securities!A:B,2,FALSE)</f>
        <v>US71656MAF68 Corp</v>
      </c>
      <c r="O1558" s="3">
        <f t="shared" si="25"/>
        <v>100000</v>
      </c>
    </row>
    <row r="1559" spans="1:15" x14ac:dyDescent="0.25">
      <c r="A1559" s="79">
        <v>43053</v>
      </c>
      <c r="B1559" s="80" t="s">
        <v>5590</v>
      </c>
      <c r="C1559" s="80" t="s">
        <v>5024</v>
      </c>
      <c r="D1559" s="80" t="s">
        <v>5025</v>
      </c>
      <c r="E1559" s="81">
        <v>200000</v>
      </c>
      <c r="F1559" s="80" t="s">
        <v>4806</v>
      </c>
      <c r="G1559" s="81">
        <v>99.375</v>
      </c>
      <c r="H1559" s="81">
        <v>99.375</v>
      </c>
      <c r="I1559" s="80" t="s">
        <v>4800</v>
      </c>
      <c r="L1559" s="3">
        <f>VLOOKUP(C1559,Securities!A:D,4,FALSE)</f>
        <v>5</v>
      </c>
      <c r="M1559" s="3" t="str">
        <f>VLOOKUP(C1559,Securities!A:B,2,FALSE)</f>
        <v>XS1405766384 Corp</v>
      </c>
      <c r="O1559" s="3">
        <f t="shared" si="25"/>
        <v>200000</v>
      </c>
    </row>
    <row r="1560" spans="1:15" x14ac:dyDescent="0.25">
      <c r="A1560" s="76">
        <v>43053</v>
      </c>
      <c r="B1560" s="77" t="s">
        <v>5590</v>
      </c>
      <c r="C1560" s="77" t="s">
        <v>5599</v>
      </c>
      <c r="D1560" s="77" t="s">
        <v>5600</v>
      </c>
      <c r="E1560" s="78">
        <v>492000</v>
      </c>
      <c r="F1560" s="77" t="s">
        <v>4838</v>
      </c>
      <c r="G1560" s="78">
        <v>0</v>
      </c>
      <c r="H1560" s="78">
        <v>0</v>
      </c>
      <c r="I1560" s="77" t="s">
        <v>4800</v>
      </c>
      <c r="L1560" s="3">
        <f>VLOOKUP(C1560,Securities!A:D,4,FALSE)</f>
        <v>5</v>
      </c>
      <c r="M1560" s="3" t="str">
        <f>VLOOKUP(C1560,Securities!A:B,2,FALSE)</f>
        <v>XS1314820355 Corp</v>
      </c>
      <c r="O1560" s="3">
        <f t="shared" si="25"/>
        <v>492000</v>
      </c>
    </row>
    <row r="1561" spans="1:15" x14ac:dyDescent="0.25">
      <c r="A1561" s="79">
        <v>43053</v>
      </c>
      <c r="B1561" s="80" t="s">
        <v>5590</v>
      </c>
      <c r="C1561" s="80" t="s">
        <v>5302</v>
      </c>
      <c r="D1561" s="80" t="s">
        <v>5303</v>
      </c>
      <c r="E1561" s="81">
        <v>75000</v>
      </c>
      <c r="F1561" s="80" t="s">
        <v>4806</v>
      </c>
      <c r="G1561" s="81">
        <v>97.7</v>
      </c>
      <c r="H1561" s="81">
        <v>97.7</v>
      </c>
      <c r="I1561" s="80" t="s">
        <v>4800</v>
      </c>
      <c r="L1561" s="3">
        <f>VLOOKUP(C1561,Securities!A:D,4,FALSE)</f>
        <v>5</v>
      </c>
      <c r="M1561" s="3" t="str">
        <f>VLOOKUP(C1561,Securities!A:B,2,FALSE)</f>
        <v>USU8810LAA18 Corp</v>
      </c>
      <c r="O1561" s="3">
        <f t="shared" si="25"/>
        <v>75000</v>
      </c>
    </row>
    <row r="1562" spans="1:15" x14ac:dyDescent="0.25">
      <c r="A1562" s="76">
        <v>43053</v>
      </c>
      <c r="B1562" s="77" t="s">
        <v>5590</v>
      </c>
      <c r="C1562" s="77" t="s">
        <v>4986</v>
      </c>
      <c r="D1562" s="77" t="s">
        <v>4987</v>
      </c>
      <c r="E1562" s="78">
        <v>200000</v>
      </c>
      <c r="F1562" s="77" t="s">
        <v>4806</v>
      </c>
      <c r="G1562" s="78">
        <v>102</v>
      </c>
      <c r="H1562" s="78">
        <v>102</v>
      </c>
      <c r="I1562" s="77" t="s">
        <v>4800</v>
      </c>
      <c r="L1562" s="3">
        <f>VLOOKUP(C1562,Securities!A:D,4,FALSE)</f>
        <v>5</v>
      </c>
      <c r="M1562" s="3" t="str">
        <f>VLOOKUP(C1562,Securities!A:B,2,FALSE)</f>
        <v>USG9328DAM23 Corp</v>
      </c>
      <c r="O1562" s="3">
        <f t="shared" si="25"/>
        <v>200000</v>
      </c>
    </row>
    <row r="1563" spans="1:15" x14ac:dyDescent="0.25">
      <c r="A1563" s="79">
        <v>43053</v>
      </c>
      <c r="B1563" s="80" t="s">
        <v>5590</v>
      </c>
      <c r="C1563" s="80" t="s">
        <v>5317</v>
      </c>
      <c r="D1563" s="80" t="s">
        <v>5318</v>
      </c>
      <c r="E1563" s="81">
        <v>274000</v>
      </c>
      <c r="F1563" s="80" t="s">
        <v>4806</v>
      </c>
      <c r="G1563" s="81">
        <v>0</v>
      </c>
      <c r="H1563" s="81">
        <v>0</v>
      </c>
      <c r="I1563" s="80" t="s">
        <v>4800</v>
      </c>
      <c r="L1563" s="3">
        <f>VLOOKUP(C1563,Securities!A:D,4,FALSE)</f>
        <v>5</v>
      </c>
      <c r="M1563" s="3" t="str">
        <f>VLOOKUP(C1563,Securities!A:B,2,FALSE)</f>
        <v>XS0810596832 Corp</v>
      </c>
      <c r="O1563" s="3">
        <f t="shared" si="25"/>
        <v>274000</v>
      </c>
    </row>
    <row r="1564" spans="1:15" x14ac:dyDescent="0.25">
      <c r="A1564" s="76">
        <v>43053</v>
      </c>
      <c r="B1564" s="77" t="s">
        <v>5601</v>
      </c>
      <c r="C1564" s="77" t="s">
        <v>4975</v>
      </c>
      <c r="D1564" s="77" t="s">
        <v>939</v>
      </c>
      <c r="E1564" s="78">
        <v>5750</v>
      </c>
      <c r="F1564" s="77" t="s">
        <v>4974</v>
      </c>
      <c r="G1564" s="78">
        <v>101.37</v>
      </c>
      <c r="H1564" s="78">
        <v>101.37</v>
      </c>
      <c r="I1564" s="77" t="s">
        <v>4800</v>
      </c>
      <c r="L1564" s="3">
        <f>VLOOKUP(C1564,Securities!A:D,4,FALSE)</f>
        <v>5</v>
      </c>
      <c r="M1564" s="3" t="str">
        <f>VLOOKUP(C1564,Securities!A:B,2,FALSE)</f>
        <v>RU000A0JX0J2 Corp</v>
      </c>
      <c r="O1564" s="3">
        <f t="shared" si="25"/>
        <v>5750</v>
      </c>
    </row>
    <row r="1565" spans="1:15" x14ac:dyDescent="0.25">
      <c r="A1565" s="79">
        <v>43053</v>
      </c>
      <c r="B1565" s="80" t="s">
        <v>5601</v>
      </c>
      <c r="C1565" s="80" t="s">
        <v>5077</v>
      </c>
      <c r="D1565" s="80" t="s">
        <v>2054</v>
      </c>
      <c r="E1565" s="81">
        <v>8250</v>
      </c>
      <c r="F1565" s="80" t="s">
        <v>4814</v>
      </c>
      <c r="G1565" s="81">
        <v>108.48</v>
      </c>
      <c r="H1565" s="81">
        <v>108.48</v>
      </c>
      <c r="I1565" s="80" t="s">
        <v>4800</v>
      </c>
      <c r="L1565" s="3">
        <f>VLOOKUP(C1565,Securities!A:D,4,FALSE)</f>
        <v>5</v>
      </c>
      <c r="M1565" s="3" t="str">
        <f>VLOOKUP(C1565,Securities!A:B,2,FALSE)</f>
        <v>JK549945 Corp</v>
      </c>
      <c r="O1565" s="3">
        <f t="shared" si="25"/>
        <v>8250</v>
      </c>
    </row>
    <row r="1566" spans="1:15" x14ac:dyDescent="0.25">
      <c r="A1566" s="76">
        <v>43053</v>
      </c>
      <c r="B1566" s="77" t="s">
        <v>5601</v>
      </c>
      <c r="C1566" s="77" t="s">
        <v>5496</v>
      </c>
      <c r="D1566" s="77" t="s">
        <v>1763</v>
      </c>
      <c r="E1566" s="78">
        <v>5750</v>
      </c>
      <c r="F1566" s="77" t="s">
        <v>4814</v>
      </c>
      <c r="G1566" s="78">
        <v>100.68</v>
      </c>
      <c r="H1566" s="78">
        <v>100.68</v>
      </c>
      <c r="I1566" s="77" t="s">
        <v>4800</v>
      </c>
      <c r="L1566" s="3">
        <f>VLOOKUP(C1566,Securities!A:D,4,FALSE)</f>
        <v>5</v>
      </c>
      <c r="M1566" s="3" t="str">
        <f>VLOOKUP(C1566,Securities!A:B,2,FALSE)</f>
        <v>AM562901 Corp</v>
      </c>
      <c r="O1566" s="3">
        <f t="shared" si="25"/>
        <v>5750</v>
      </c>
    </row>
    <row r="1567" spans="1:15" x14ac:dyDescent="0.25">
      <c r="A1567" s="79">
        <v>43053</v>
      </c>
      <c r="B1567" s="80" t="s">
        <v>5601</v>
      </c>
      <c r="C1567" s="80" t="s">
        <v>5083</v>
      </c>
      <c r="D1567" s="80" t="s">
        <v>1835</v>
      </c>
      <c r="E1567" s="81">
        <v>5750</v>
      </c>
      <c r="F1567" s="80" t="s">
        <v>4814</v>
      </c>
      <c r="G1567" s="81">
        <v>102.32</v>
      </c>
      <c r="H1567" s="81">
        <v>102.32</v>
      </c>
      <c r="I1567" s="80" t="s">
        <v>4800</v>
      </c>
      <c r="L1567" s="3">
        <f>VLOOKUP(C1567,Securities!A:D,4,FALSE)</f>
        <v>5</v>
      </c>
      <c r="M1567" s="3" t="str">
        <f>VLOOKUP(C1567,Securities!A:B,2,FALSE)</f>
        <v>AM281135 Corp</v>
      </c>
      <c r="O1567" s="3">
        <f t="shared" si="25"/>
        <v>5750</v>
      </c>
    </row>
    <row r="1568" spans="1:15" x14ac:dyDescent="0.25">
      <c r="A1568" s="76">
        <v>43053</v>
      </c>
      <c r="B1568" s="77" t="s">
        <v>5601</v>
      </c>
      <c r="C1568" s="77" t="s">
        <v>5602</v>
      </c>
      <c r="D1568" s="77" t="s">
        <v>3512</v>
      </c>
      <c r="E1568" s="78">
        <v>8250</v>
      </c>
      <c r="F1568" s="77" t="s">
        <v>4814</v>
      </c>
      <c r="G1568" s="78">
        <v>101.75</v>
      </c>
      <c r="H1568" s="78">
        <v>101.75</v>
      </c>
      <c r="I1568" s="77" t="s">
        <v>4800</v>
      </c>
      <c r="L1568" s="3">
        <f>VLOOKUP(C1568,Securities!A:D,4,FALSE)</f>
        <v>5</v>
      </c>
      <c r="M1568" s="3" t="str">
        <f>VLOOKUP(C1568,Securities!A:B,2,FALSE)</f>
        <v>RU000A0JS6N8 Corp</v>
      </c>
      <c r="O1568" s="3">
        <f t="shared" si="25"/>
        <v>8250</v>
      </c>
    </row>
    <row r="1569" spans="1:15" x14ac:dyDescent="0.25">
      <c r="A1569" s="79">
        <v>43053</v>
      </c>
      <c r="B1569" s="80" t="s">
        <v>5601</v>
      </c>
      <c r="C1569" s="80" t="s">
        <v>5108</v>
      </c>
      <c r="D1569" s="80" t="s">
        <v>3602</v>
      </c>
      <c r="E1569" s="81">
        <v>5500</v>
      </c>
      <c r="F1569" s="80" t="s">
        <v>4814</v>
      </c>
      <c r="G1569" s="81">
        <v>104.53</v>
      </c>
      <c r="H1569" s="81">
        <v>104.53</v>
      </c>
      <c r="I1569" s="80" t="s">
        <v>4800</v>
      </c>
      <c r="L1569" s="3">
        <f>VLOOKUP(C1569,Securities!A:D,4,FALSE)</f>
        <v>5</v>
      </c>
      <c r="M1569" s="3" t="str">
        <f>VLOOKUP(C1569,Securities!A:B,2,FALSE)</f>
        <v>JK744712 Corp</v>
      </c>
      <c r="O1569" s="3">
        <f t="shared" si="25"/>
        <v>5500</v>
      </c>
    </row>
    <row r="1570" spans="1:15" x14ac:dyDescent="0.25">
      <c r="A1570" s="76">
        <v>43053</v>
      </c>
      <c r="B1570" s="77" t="s">
        <v>5601</v>
      </c>
      <c r="C1570" s="77" t="s">
        <v>4932</v>
      </c>
      <c r="D1570" s="77" t="s">
        <v>4933</v>
      </c>
      <c r="E1570" s="78">
        <v>22603</v>
      </c>
      <c r="F1570" s="77" t="s">
        <v>4814</v>
      </c>
      <c r="G1570" s="78">
        <v>100</v>
      </c>
      <c r="H1570" s="78">
        <v>100</v>
      </c>
      <c r="I1570" s="77" t="s">
        <v>4800</v>
      </c>
      <c r="L1570" s="3">
        <f>VLOOKUP(C1570,Securities!A:D,4,FALSE)</f>
        <v>5</v>
      </c>
      <c r="M1570" s="3" t="str">
        <f>VLOOKUP(C1570,Securities!A:B,2,FALSE)</f>
        <v>RU000A0ZYBS1 Corp</v>
      </c>
      <c r="O1570" s="3">
        <f t="shared" si="25"/>
        <v>22603</v>
      </c>
    </row>
    <row r="1571" spans="1:15" x14ac:dyDescent="0.25">
      <c r="A1571" s="79">
        <v>43053</v>
      </c>
      <c r="B1571" s="80" t="s">
        <v>5601</v>
      </c>
      <c r="C1571" s="80" t="s">
        <v>5559</v>
      </c>
      <c r="D1571" s="80" t="s">
        <v>4094</v>
      </c>
      <c r="E1571" s="81">
        <v>8500</v>
      </c>
      <c r="F1571" s="80" t="s">
        <v>4814</v>
      </c>
      <c r="G1571" s="81">
        <v>101.98</v>
      </c>
      <c r="H1571" s="81">
        <v>101.98</v>
      </c>
      <c r="I1571" s="80" t="s">
        <v>4800</v>
      </c>
      <c r="L1571" s="3">
        <f>VLOOKUP(C1571,Securities!A:D,4,FALSE)</f>
        <v>5</v>
      </c>
      <c r="M1571" s="3" t="str">
        <f>VLOOKUP(C1571,Securities!A:B,2,FALSE)</f>
        <v>RU000A0JWZY6 Corp</v>
      </c>
      <c r="O1571" s="3">
        <f t="shared" si="25"/>
        <v>8500</v>
      </c>
    </row>
    <row r="1572" spans="1:15" x14ac:dyDescent="0.25">
      <c r="A1572" s="76">
        <v>43053</v>
      </c>
      <c r="B1572" s="77" t="s">
        <v>5601</v>
      </c>
      <c r="C1572" s="77" t="s">
        <v>5603</v>
      </c>
      <c r="D1572" s="77" t="s">
        <v>3959</v>
      </c>
      <c r="E1572" s="78">
        <v>5500</v>
      </c>
      <c r="F1572" s="77" t="s">
        <v>4814</v>
      </c>
      <c r="G1572" s="78">
        <v>102.73</v>
      </c>
      <c r="H1572" s="78">
        <v>102.73</v>
      </c>
      <c r="I1572" s="77" t="s">
        <v>4800</v>
      </c>
      <c r="L1572" s="3">
        <f>VLOOKUP(C1572,Securities!A:D,4,FALSE)</f>
        <v>5</v>
      </c>
      <c r="M1572" s="3" t="str">
        <f>VLOOKUP(C1572,Securities!A:B,2,FALSE)</f>
        <v>RU000A0JRKD2 Corp</v>
      </c>
      <c r="O1572" s="3">
        <f t="shared" si="25"/>
        <v>5500</v>
      </c>
    </row>
    <row r="1573" spans="1:15" x14ac:dyDescent="0.25">
      <c r="A1573" s="79">
        <v>43053</v>
      </c>
      <c r="B1573" s="80" t="s">
        <v>5604</v>
      </c>
      <c r="C1573" s="80" t="s">
        <v>4805</v>
      </c>
      <c r="D1573" s="80" t="s">
        <v>31</v>
      </c>
      <c r="E1573" s="81">
        <v>400000</v>
      </c>
      <c r="F1573" s="80" t="s">
        <v>4806</v>
      </c>
      <c r="G1573" s="81">
        <v>172</v>
      </c>
      <c r="H1573" s="81">
        <v>172</v>
      </c>
      <c r="I1573" s="80" t="s">
        <v>4823</v>
      </c>
      <c r="L1573" s="3">
        <f>VLOOKUP(C1573,Securities!A:D,4,FALSE)</f>
        <v>5</v>
      </c>
      <c r="M1573" s="3" t="str">
        <f>VLOOKUP(C1573,Securities!A:B,2,FALSE)</f>
        <v>TT343269 Corp</v>
      </c>
      <c r="O1573" s="3">
        <f t="shared" si="25"/>
        <v>400000</v>
      </c>
    </row>
    <row r="1574" spans="1:15" x14ac:dyDescent="0.25">
      <c r="A1574" s="76">
        <v>43053</v>
      </c>
      <c r="B1574" s="77" t="s">
        <v>5604</v>
      </c>
      <c r="C1574" s="77" t="s">
        <v>5207</v>
      </c>
      <c r="D1574" s="77" t="s">
        <v>5208</v>
      </c>
      <c r="E1574" s="78">
        <v>1</v>
      </c>
      <c r="F1574" s="77" t="s">
        <v>4974</v>
      </c>
      <c r="G1574" s="78">
        <v>102.75</v>
      </c>
      <c r="H1574" s="78">
        <v>102.75</v>
      </c>
      <c r="I1574" s="77" t="s">
        <v>4823</v>
      </c>
      <c r="L1574" s="3">
        <f>VLOOKUP(C1574,Securities!A:D,4,FALSE)</f>
        <v>5</v>
      </c>
      <c r="M1574" s="3" t="str">
        <f>VLOOKUP(C1574,Securities!A:B,2,FALSE)</f>
        <v>RU000A0JXU14 Corp</v>
      </c>
      <c r="O1574" s="3">
        <f t="shared" si="25"/>
        <v>1</v>
      </c>
    </row>
    <row r="1575" spans="1:15" x14ac:dyDescent="0.25">
      <c r="A1575" s="79">
        <v>43053</v>
      </c>
      <c r="B1575" s="80" t="s">
        <v>5604</v>
      </c>
      <c r="C1575" s="80" t="s">
        <v>4882</v>
      </c>
      <c r="D1575" s="80" t="s">
        <v>4883</v>
      </c>
      <c r="E1575" s="81">
        <v>300000</v>
      </c>
      <c r="F1575" s="80" t="s">
        <v>4806</v>
      </c>
      <c r="G1575" s="81">
        <v>107.5</v>
      </c>
      <c r="H1575" s="81">
        <v>107.5</v>
      </c>
      <c r="I1575" s="80" t="s">
        <v>4823</v>
      </c>
      <c r="L1575" s="3">
        <f>VLOOKUP(C1575,Securities!A:D,4,FALSE)</f>
        <v>5</v>
      </c>
      <c r="M1575" s="3" t="str">
        <f>VLOOKUP(C1575,Securities!A:B,2,FALSE)</f>
        <v>XS1405775377 Corp</v>
      </c>
      <c r="O1575" s="3">
        <f t="shared" si="25"/>
        <v>300000</v>
      </c>
    </row>
    <row r="1576" spans="1:15" x14ac:dyDescent="0.25">
      <c r="A1576" s="76">
        <v>43053</v>
      </c>
      <c r="B1576" s="77" t="s">
        <v>5604</v>
      </c>
      <c r="C1576" s="77" t="s">
        <v>4903</v>
      </c>
      <c r="D1576" s="77" t="s">
        <v>4904</v>
      </c>
      <c r="E1576" s="78">
        <v>200000</v>
      </c>
      <c r="F1576" s="77" t="s">
        <v>4806</v>
      </c>
      <c r="G1576" s="78">
        <v>107</v>
      </c>
      <c r="H1576" s="78">
        <v>107</v>
      </c>
      <c r="I1576" s="77" t="s">
        <v>4823</v>
      </c>
      <c r="L1576" s="3">
        <f>VLOOKUP(C1576,Securities!A:D,4,FALSE)</f>
        <v>5</v>
      </c>
      <c r="M1576" s="3" t="str">
        <f>VLOOKUP(C1576,Securities!A:B,2,FALSE)</f>
        <v>XS1319813769 Corp</v>
      </c>
      <c r="O1576" s="3">
        <f t="shared" si="25"/>
        <v>200000</v>
      </c>
    </row>
    <row r="1577" spans="1:15" x14ac:dyDescent="0.25">
      <c r="A1577" s="79">
        <v>43053</v>
      </c>
      <c r="B1577" s="80" t="s">
        <v>5604</v>
      </c>
      <c r="C1577" s="80" t="s">
        <v>5339</v>
      </c>
      <c r="D1577" s="80" t="s">
        <v>5340</v>
      </c>
      <c r="E1577" s="81">
        <v>85000</v>
      </c>
      <c r="F1577" s="80" t="s">
        <v>4806</v>
      </c>
      <c r="G1577" s="81">
        <v>101.25</v>
      </c>
      <c r="H1577" s="81">
        <v>101.25</v>
      </c>
      <c r="I1577" s="80" t="s">
        <v>4800</v>
      </c>
      <c r="L1577" s="3">
        <f>VLOOKUP(C1577,Securities!A:D,4,FALSE)</f>
        <v>5</v>
      </c>
      <c r="M1577" s="3" t="str">
        <f>VLOOKUP(C1577,Securities!A:B,2,FALSE)</f>
        <v>XS1449458915 Corp</v>
      </c>
      <c r="O1577" s="3">
        <f t="shared" si="25"/>
        <v>350000</v>
      </c>
    </row>
    <row r="1578" spans="1:15" x14ac:dyDescent="0.25">
      <c r="A1578" s="76">
        <v>43053</v>
      </c>
      <c r="B1578" s="77" t="s">
        <v>5604</v>
      </c>
      <c r="C1578" s="77" t="s">
        <v>5339</v>
      </c>
      <c r="D1578" s="77" t="s">
        <v>5340</v>
      </c>
      <c r="E1578" s="78">
        <v>265000</v>
      </c>
      <c r="F1578" s="77" t="s">
        <v>4806</v>
      </c>
      <c r="G1578" s="78">
        <v>101.25</v>
      </c>
      <c r="H1578" s="78">
        <v>101.25</v>
      </c>
      <c r="I1578" s="77" t="s">
        <v>4823</v>
      </c>
      <c r="L1578" s="3">
        <f>VLOOKUP(C1578,Securities!A:D,4,FALSE)</f>
        <v>5</v>
      </c>
      <c r="M1578" s="3" t="str">
        <f>VLOOKUP(C1578,Securities!A:B,2,FALSE)</f>
        <v>XS1449458915 Corp</v>
      </c>
      <c r="O1578" s="3">
        <f t="shared" si="25"/>
        <v>350000</v>
      </c>
    </row>
    <row r="1579" spans="1:15" x14ac:dyDescent="0.25">
      <c r="A1579" s="79">
        <v>43053</v>
      </c>
      <c r="B1579" s="80" t="s">
        <v>5604</v>
      </c>
      <c r="C1579" s="80" t="s">
        <v>5086</v>
      </c>
      <c r="D1579" s="80" t="s">
        <v>5087</v>
      </c>
      <c r="E1579" s="81">
        <v>550000</v>
      </c>
      <c r="F1579" s="80" t="s">
        <v>4806</v>
      </c>
      <c r="G1579" s="81">
        <v>107.75</v>
      </c>
      <c r="H1579" s="81">
        <v>107.75</v>
      </c>
      <c r="I1579" s="80" t="s">
        <v>4823</v>
      </c>
      <c r="L1579" s="3">
        <f>VLOOKUP(C1579,Securities!A:D,4,FALSE)</f>
        <v>5</v>
      </c>
      <c r="M1579" s="3" t="str">
        <f>VLOOKUP(C1579,Securities!A:B,2,FALSE)</f>
        <v>EJ951547 Corp</v>
      </c>
      <c r="O1579" s="3">
        <f t="shared" si="25"/>
        <v>550000</v>
      </c>
    </row>
    <row r="1580" spans="1:15" x14ac:dyDescent="0.25">
      <c r="A1580" s="76">
        <v>43053</v>
      </c>
      <c r="B1580" s="77" t="s">
        <v>5604</v>
      </c>
      <c r="C1580" s="77" t="s">
        <v>5605</v>
      </c>
      <c r="D1580" s="77" t="s">
        <v>5606</v>
      </c>
      <c r="E1580" s="78">
        <v>25000</v>
      </c>
      <c r="F1580" s="77" t="s">
        <v>4806</v>
      </c>
      <c r="G1580" s="78">
        <v>0</v>
      </c>
      <c r="H1580" s="78">
        <v>0</v>
      </c>
      <c r="I1580" s="77" t="s">
        <v>4800</v>
      </c>
      <c r="L1580" s="3">
        <f>VLOOKUP(C1580,Securities!A:D,4,FALSE)</f>
        <v>5</v>
      </c>
      <c r="M1580" s="3" t="str">
        <f>VLOOKUP(C1580,Securities!A:B,2,FALSE)</f>
        <v>US457153AF18 Corp</v>
      </c>
      <c r="O1580" s="3">
        <f t="shared" si="25"/>
        <v>25000</v>
      </c>
    </row>
    <row r="1581" spans="1:15" x14ac:dyDescent="0.25">
      <c r="A1581" s="79">
        <v>43053</v>
      </c>
      <c r="B1581" s="80" t="s">
        <v>5604</v>
      </c>
      <c r="C1581" s="80" t="s">
        <v>4945</v>
      </c>
      <c r="D1581" s="80" t="s">
        <v>4946</v>
      </c>
      <c r="E1581" s="81">
        <v>400000</v>
      </c>
      <c r="F1581" s="80" t="s">
        <v>4806</v>
      </c>
      <c r="G1581" s="81">
        <v>100.5</v>
      </c>
      <c r="H1581" s="81">
        <v>100.5</v>
      </c>
      <c r="I1581" s="80" t="s">
        <v>4800</v>
      </c>
      <c r="L1581" s="3">
        <f>VLOOKUP(C1581,Securities!A:D,4,FALSE)</f>
        <v>5</v>
      </c>
      <c r="M1581" s="3" t="str">
        <f>VLOOKUP(C1581,Securities!A:B,2,FALSE)</f>
        <v>US456837AE31 Corp</v>
      </c>
      <c r="O1581" s="3">
        <f t="shared" si="25"/>
        <v>400000</v>
      </c>
    </row>
    <row r="1582" spans="1:15" x14ac:dyDescent="0.25">
      <c r="A1582" s="76">
        <v>43053</v>
      </c>
      <c r="B1582" s="77" t="s">
        <v>5604</v>
      </c>
      <c r="C1582" s="77" t="s">
        <v>5607</v>
      </c>
      <c r="D1582" s="77" t="s">
        <v>5608</v>
      </c>
      <c r="E1582" s="78">
        <v>300000</v>
      </c>
      <c r="F1582" s="77" t="s">
        <v>4806</v>
      </c>
      <c r="G1582" s="78">
        <v>100.25</v>
      </c>
      <c r="H1582" s="78">
        <v>100.25</v>
      </c>
      <c r="I1582" s="77" t="s">
        <v>4823</v>
      </c>
      <c r="L1582" s="3">
        <f>VLOOKUP(C1582,Securities!A:D,4,FALSE)</f>
        <v>5</v>
      </c>
      <c r="M1582" s="3" t="str">
        <f>VLOOKUP(C1582,Securities!A:B,2,FALSE)</f>
        <v>XS1603335610 Corp</v>
      </c>
      <c r="O1582" s="3">
        <f t="shared" si="25"/>
        <v>300000</v>
      </c>
    </row>
    <row r="1583" spans="1:15" x14ac:dyDescent="0.25">
      <c r="A1583" s="79">
        <v>43053</v>
      </c>
      <c r="B1583" s="80" t="s">
        <v>5604</v>
      </c>
      <c r="C1583" s="80" t="s">
        <v>5024</v>
      </c>
      <c r="D1583" s="80" t="s">
        <v>5025</v>
      </c>
      <c r="E1583" s="81">
        <v>500000</v>
      </c>
      <c r="F1583" s="80" t="s">
        <v>4806</v>
      </c>
      <c r="G1583" s="81">
        <v>99.375</v>
      </c>
      <c r="H1583" s="81">
        <v>99.375</v>
      </c>
      <c r="I1583" s="80" t="s">
        <v>4823</v>
      </c>
      <c r="L1583" s="3">
        <f>VLOOKUP(C1583,Securities!A:D,4,FALSE)</f>
        <v>5</v>
      </c>
      <c r="M1583" s="3" t="str">
        <f>VLOOKUP(C1583,Securities!A:B,2,FALSE)</f>
        <v>XS1405766384 Corp</v>
      </c>
      <c r="O1583" s="3">
        <f t="shared" si="25"/>
        <v>500000</v>
      </c>
    </row>
    <row r="1584" spans="1:15" x14ac:dyDescent="0.25">
      <c r="A1584" s="76">
        <v>43053</v>
      </c>
      <c r="B1584" s="77" t="s">
        <v>5604</v>
      </c>
      <c r="C1584" s="77" t="s">
        <v>5004</v>
      </c>
      <c r="D1584" s="77" t="s">
        <v>5005</v>
      </c>
      <c r="E1584" s="78">
        <v>300000</v>
      </c>
      <c r="F1584" s="77" t="s">
        <v>4806</v>
      </c>
      <c r="G1584" s="78">
        <v>104.25</v>
      </c>
      <c r="H1584" s="78">
        <v>104.25</v>
      </c>
      <c r="I1584" s="77" t="s">
        <v>4823</v>
      </c>
      <c r="L1584" s="3">
        <f>VLOOKUP(C1584,Securities!A:D,4,FALSE)</f>
        <v>5</v>
      </c>
      <c r="M1584" s="3" t="str">
        <f>VLOOKUP(C1584,Securities!A:B,2,FALSE)</f>
        <v>XS1433454243 Corp</v>
      </c>
      <c r="O1584" s="3">
        <f t="shared" si="25"/>
        <v>300000</v>
      </c>
    </row>
    <row r="1585" spans="1:15" x14ac:dyDescent="0.25">
      <c r="A1585" s="79">
        <v>43053</v>
      </c>
      <c r="B1585" s="80" t="s">
        <v>5604</v>
      </c>
      <c r="C1585" s="80" t="s">
        <v>5055</v>
      </c>
      <c r="D1585" s="80" t="s">
        <v>5056</v>
      </c>
      <c r="E1585" s="81">
        <v>409000</v>
      </c>
      <c r="F1585" s="80" t="s">
        <v>4806</v>
      </c>
      <c r="G1585" s="81">
        <v>100.1</v>
      </c>
      <c r="H1585" s="81">
        <v>100.1</v>
      </c>
      <c r="I1585" s="80" t="s">
        <v>4823</v>
      </c>
      <c r="L1585" s="3">
        <f>VLOOKUP(C1585,Securities!A:D,4,FALSE)</f>
        <v>5</v>
      </c>
      <c r="M1585" s="3" t="str">
        <f>VLOOKUP(C1585,Securities!A:B,2,FALSE)</f>
        <v>XS1693971043 Corp</v>
      </c>
      <c r="O1585" s="3">
        <f t="shared" si="25"/>
        <v>409000</v>
      </c>
    </row>
    <row r="1586" spans="1:15" x14ac:dyDescent="0.25">
      <c r="A1586" s="76">
        <v>43053</v>
      </c>
      <c r="B1586" s="77" t="s">
        <v>5604</v>
      </c>
      <c r="C1586" s="77" t="s">
        <v>4871</v>
      </c>
      <c r="D1586" s="77" t="s">
        <v>4872</v>
      </c>
      <c r="E1586" s="78">
        <v>500000</v>
      </c>
      <c r="F1586" s="77" t="s">
        <v>4806</v>
      </c>
      <c r="G1586" s="78">
        <v>107.25</v>
      </c>
      <c r="H1586" s="78">
        <v>107.25</v>
      </c>
      <c r="I1586" s="77" t="s">
        <v>4823</v>
      </c>
      <c r="L1586" s="3">
        <f>VLOOKUP(C1586,Securities!A:D,4,FALSE)</f>
        <v>5</v>
      </c>
      <c r="M1586" s="3" t="str">
        <f>VLOOKUP(C1586,Securities!A:B,2,FALSE)</f>
        <v>XS0800817073 Corp</v>
      </c>
      <c r="O1586" s="3">
        <f t="shared" si="25"/>
        <v>500000</v>
      </c>
    </row>
    <row r="1587" spans="1:15" x14ac:dyDescent="0.25">
      <c r="A1587" s="79">
        <v>43053</v>
      </c>
      <c r="B1587" s="80" t="s">
        <v>5604</v>
      </c>
      <c r="C1587" s="80" t="s">
        <v>5006</v>
      </c>
      <c r="D1587" s="80" t="s">
        <v>5007</v>
      </c>
      <c r="E1587" s="81">
        <v>290000</v>
      </c>
      <c r="F1587" s="80" t="s">
        <v>4806</v>
      </c>
      <c r="G1587" s="81">
        <v>111</v>
      </c>
      <c r="H1587" s="81">
        <v>111</v>
      </c>
      <c r="I1587" s="80" t="s">
        <v>4823</v>
      </c>
      <c r="L1587" s="3">
        <f>VLOOKUP(C1587,Securities!A:D,4,FALSE)</f>
        <v>5</v>
      </c>
      <c r="M1587" s="3" t="str">
        <f>VLOOKUP(C1587,Securities!A:B,2,FALSE)</f>
        <v>XS1400710726 Corp</v>
      </c>
      <c r="O1587" s="3">
        <f t="shared" si="25"/>
        <v>290000</v>
      </c>
    </row>
    <row r="1588" spans="1:15" x14ac:dyDescent="0.25">
      <c r="A1588" s="76">
        <v>43053</v>
      </c>
      <c r="B1588" s="77" t="s">
        <v>5609</v>
      </c>
      <c r="C1588" s="77" t="s">
        <v>4955</v>
      </c>
      <c r="D1588" s="77" t="s">
        <v>126</v>
      </c>
      <c r="E1588" s="78">
        <v>43200</v>
      </c>
      <c r="F1588" s="77" t="s">
        <v>4810</v>
      </c>
      <c r="G1588" s="78">
        <v>158.94</v>
      </c>
      <c r="H1588" s="78">
        <v>2.7201960000000001</v>
      </c>
      <c r="I1588" s="77" t="s">
        <v>4800</v>
      </c>
      <c r="L1588" s="3">
        <f>VLOOKUP(C1588,Securities!A:D,4,FALSE)</f>
        <v>1</v>
      </c>
      <c r="M1588" s="3" t="str">
        <f>VLOOKUP(C1588,Securities!A:B,2,FALSE)</f>
        <v>AFLT RX Equity</v>
      </c>
      <c r="O1588" s="3">
        <f t="shared" si="25"/>
        <v>43200</v>
      </c>
    </row>
    <row r="1589" spans="1:15" x14ac:dyDescent="0.25">
      <c r="A1589" s="79">
        <v>43053</v>
      </c>
      <c r="B1589" s="80" t="s">
        <v>5609</v>
      </c>
      <c r="C1589" s="80" t="s">
        <v>4895</v>
      </c>
      <c r="D1589" s="80" t="s">
        <v>144</v>
      </c>
      <c r="E1589" s="81">
        <v>1683</v>
      </c>
      <c r="F1589" s="80" t="s">
        <v>4810</v>
      </c>
      <c r="G1589" s="81">
        <v>1558.636178</v>
      </c>
      <c r="H1589" s="81">
        <v>26.434802999999999</v>
      </c>
      <c r="I1589" s="80" t="s">
        <v>4800</v>
      </c>
      <c r="L1589" s="3">
        <f>VLOOKUP(C1589,Securities!A:D,4,FALSE)</f>
        <v>1</v>
      </c>
      <c r="M1589" s="3" t="str">
        <f>VLOOKUP(C1589,Securities!A:B,2,FALSE)</f>
        <v>BANEP RX Equity</v>
      </c>
      <c r="O1589" s="3">
        <f t="shared" si="25"/>
        <v>4430</v>
      </c>
    </row>
    <row r="1590" spans="1:15" x14ac:dyDescent="0.25">
      <c r="A1590" s="76">
        <v>43053</v>
      </c>
      <c r="B1590" s="77" t="s">
        <v>5609</v>
      </c>
      <c r="C1590" s="77" t="s">
        <v>4895</v>
      </c>
      <c r="D1590" s="77" t="s">
        <v>144</v>
      </c>
      <c r="E1590" s="78">
        <v>2747</v>
      </c>
      <c r="F1590" s="77" t="s">
        <v>4810</v>
      </c>
      <c r="G1590" s="78">
        <v>1558.636178</v>
      </c>
      <c r="H1590" s="78">
        <v>26.434802999999999</v>
      </c>
      <c r="I1590" s="77" t="s">
        <v>4823</v>
      </c>
      <c r="L1590" s="3">
        <f>VLOOKUP(C1590,Securities!A:D,4,FALSE)</f>
        <v>1</v>
      </c>
      <c r="M1590" s="3" t="str">
        <f>VLOOKUP(C1590,Securities!A:B,2,FALSE)</f>
        <v>BANEP RX Equity</v>
      </c>
      <c r="O1590" s="3">
        <f t="shared" si="25"/>
        <v>4430</v>
      </c>
    </row>
    <row r="1591" spans="1:15" x14ac:dyDescent="0.25">
      <c r="A1591" s="79">
        <v>43053</v>
      </c>
      <c r="B1591" s="80" t="s">
        <v>5609</v>
      </c>
      <c r="C1591" s="80" t="s">
        <v>4809</v>
      </c>
      <c r="D1591" s="80" t="s">
        <v>30</v>
      </c>
      <c r="E1591" s="81">
        <v>125000</v>
      </c>
      <c r="F1591" s="80" t="s">
        <v>4810</v>
      </c>
      <c r="G1591" s="81">
        <v>129.72409999999999</v>
      </c>
      <c r="H1591" s="81">
        <v>2.2049989999999999</v>
      </c>
      <c r="I1591" s="80" t="s">
        <v>4823</v>
      </c>
      <c r="L1591" s="3">
        <f>VLOOKUP(C1591,Securities!A:D,4,FALSE)</f>
        <v>1</v>
      </c>
      <c r="M1591" s="3" t="str">
        <f>VLOOKUP(C1591,Securities!A:B,2,FALSE)</f>
        <v>GAZP RX Equity</v>
      </c>
      <c r="O1591" s="3">
        <f t="shared" si="25"/>
        <v>125000</v>
      </c>
    </row>
    <row r="1592" spans="1:15" x14ac:dyDescent="0.25">
      <c r="A1592" s="76">
        <v>43053</v>
      </c>
      <c r="B1592" s="77" t="s">
        <v>5609</v>
      </c>
      <c r="C1592" s="77" t="s">
        <v>4847</v>
      </c>
      <c r="D1592" s="77" t="s">
        <v>369</v>
      </c>
      <c r="E1592" s="78">
        <v>5850</v>
      </c>
      <c r="F1592" s="77" t="s">
        <v>4810</v>
      </c>
      <c r="G1592" s="78">
        <v>2988.6388999999999</v>
      </c>
      <c r="H1592" s="78">
        <v>51.295656999999999</v>
      </c>
      <c r="I1592" s="77" t="s">
        <v>4823</v>
      </c>
      <c r="L1592" s="3">
        <f>VLOOKUP(C1592,Securities!A:D,4,FALSE)</f>
        <v>1</v>
      </c>
      <c r="M1592" s="3" t="str">
        <f>VLOOKUP(C1592,Securities!A:B,2,FALSE)</f>
        <v>LKOH RX Equity</v>
      </c>
      <c r="O1592" s="3">
        <f t="shared" si="25"/>
        <v>5850</v>
      </c>
    </row>
    <row r="1593" spans="1:15" x14ac:dyDescent="0.25">
      <c r="A1593" s="79">
        <v>43053</v>
      </c>
      <c r="B1593" s="80" t="s">
        <v>5609</v>
      </c>
      <c r="C1593" s="80" t="s">
        <v>4888</v>
      </c>
      <c r="D1593" s="80" t="s">
        <v>29</v>
      </c>
      <c r="E1593" s="81">
        <v>26750</v>
      </c>
      <c r="F1593" s="80" t="s">
        <v>4810</v>
      </c>
      <c r="G1593" s="81">
        <v>605.17729999999995</v>
      </c>
      <c r="H1593" s="81">
        <v>10.286567</v>
      </c>
      <c r="I1593" s="80" t="s">
        <v>4800</v>
      </c>
      <c r="L1593" s="3">
        <f>VLOOKUP(C1593,Securities!A:D,4,FALSE)</f>
        <v>1</v>
      </c>
      <c r="M1593" s="3" t="str">
        <f>VLOOKUP(C1593,Securities!A:B,2,FALSE)</f>
        <v>MFON RX Equity</v>
      </c>
      <c r="O1593" s="3">
        <f t="shared" si="25"/>
        <v>26750</v>
      </c>
    </row>
    <row r="1594" spans="1:15" x14ac:dyDescent="0.25">
      <c r="A1594" s="76">
        <v>43053</v>
      </c>
      <c r="B1594" s="77" t="s">
        <v>5609</v>
      </c>
      <c r="C1594" s="77" t="s">
        <v>4867</v>
      </c>
      <c r="D1594" s="77" t="s">
        <v>473</v>
      </c>
      <c r="E1594" s="78">
        <v>147200</v>
      </c>
      <c r="F1594" s="77" t="s">
        <v>4810</v>
      </c>
      <c r="G1594" s="78">
        <v>113.224958</v>
      </c>
      <c r="H1594" s="78">
        <v>1.920944</v>
      </c>
      <c r="I1594" s="77" t="s">
        <v>4823</v>
      </c>
      <c r="L1594" s="3">
        <f>VLOOKUP(C1594,Securities!A:D,4,FALSE)</f>
        <v>1</v>
      </c>
      <c r="M1594" s="3" t="str">
        <f>VLOOKUP(C1594,Securities!A:B,2,FALSE)</f>
        <v>MOEX RX Equity</v>
      </c>
      <c r="O1594" s="3">
        <f t="shared" si="25"/>
        <v>147200</v>
      </c>
    </row>
    <row r="1595" spans="1:15" x14ac:dyDescent="0.25">
      <c r="A1595" s="79">
        <v>43053</v>
      </c>
      <c r="B1595" s="80" t="s">
        <v>5609</v>
      </c>
      <c r="C1595" s="80" t="s">
        <v>4889</v>
      </c>
      <c r="D1595" s="80" t="s">
        <v>438</v>
      </c>
      <c r="E1595" s="81">
        <v>126400</v>
      </c>
      <c r="F1595" s="80" t="s">
        <v>4810</v>
      </c>
      <c r="G1595" s="81">
        <v>259.504212</v>
      </c>
      <c r="H1595" s="81">
        <v>5.90883</v>
      </c>
      <c r="I1595" s="80" t="s">
        <v>4800</v>
      </c>
      <c r="L1595" s="3">
        <f>VLOOKUP(C1595,Securities!A:D,4,FALSE)</f>
        <v>1</v>
      </c>
      <c r="M1595" s="3" t="str">
        <f>VLOOKUP(C1595,Securities!A:B,2,FALSE)</f>
        <v>MTSS RX Equity</v>
      </c>
      <c r="O1595" s="3">
        <f t="shared" si="25"/>
        <v>126400</v>
      </c>
    </row>
    <row r="1596" spans="1:15" x14ac:dyDescent="0.25">
      <c r="A1596" s="76">
        <v>43053</v>
      </c>
      <c r="B1596" s="77" t="s">
        <v>5609</v>
      </c>
      <c r="C1596" s="77" t="s">
        <v>5512</v>
      </c>
      <c r="D1596" s="77" t="s">
        <v>500</v>
      </c>
      <c r="E1596" s="78">
        <v>149310</v>
      </c>
      <c r="F1596" s="77" t="s">
        <v>4810</v>
      </c>
      <c r="G1596" s="78">
        <v>108.494</v>
      </c>
      <c r="H1596" s="78">
        <v>1.8441380000000001</v>
      </c>
      <c r="I1596" s="77" t="s">
        <v>4800</v>
      </c>
      <c r="L1596" s="3">
        <f>VLOOKUP(C1596,Securities!A:D,4,FALSE)</f>
        <v>1</v>
      </c>
      <c r="M1596" s="3" t="str">
        <f>VLOOKUP(C1596,Securities!A:B,2,FALSE)</f>
        <v>NLMK RX Equity</v>
      </c>
      <c r="O1596" s="3">
        <f t="shared" si="25"/>
        <v>149310</v>
      </c>
    </row>
    <row r="1597" spans="1:15" x14ac:dyDescent="0.25">
      <c r="A1597" s="79">
        <v>43053</v>
      </c>
      <c r="B1597" s="80" t="s">
        <v>5609</v>
      </c>
      <c r="C1597" s="80" t="s">
        <v>4821</v>
      </c>
      <c r="D1597" s="80" t="s">
        <v>42</v>
      </c>
      <c r="E1597" s="81">
        <v>7740</v>
      </c>
      <c r="F1597" s="80" t="s">
        <v>4799</v>
      </c>
      <c r="G1597" s="81">
        <v>659.30970000000002</v>
      </c>
      <c r="H1597" s="81">
        <v>10.407989000000001</v>
      </c>
      <c r="I1597" s="80" t="s">
        <v>4800</v>
      </c>
      <c r="L1597" s="3">
        <f>VLOOKUP(C1597,Securities!A:D,4,FALSE)</f>
        <v>1</v>
      </c>
      <c r="M1597" s="3" t="str">
        <f>VLOOKUP(C1597,Securities!A:B,2,FALSE)</f>
        <v>POLY LN Equity</v>
      </c>
      <c r="O1597" s="3">
        <f t="shared" si="25"/>
        <v>7740</v>
      </c>
    </row>
    <row r="1598" spans="1:15" x14ac:dyDescent="0.25">
      <c r="A1598" s="76">
        <v>43053</v>
      </c>
      <c r="B1598" s="77" t="s">
        <v>5609</v>
      </c>
      <c r="C1598" s="77" t="s">
        <v>4916</v>
      </c>
      <c r="D1598" s="77" t="s">
        <v>712</v>
      </c>
      <c r="E1598" s="78">
        <v>816900</v>
      </c>
      <c r="F1598" s="77" t="s">
        <v>4810</v>
      </c>
      <c r="G1598" s="78">
        <v>30.395485999999998</v>
      </c>
      <c r="H1598" s="78">
        <v>0.48563400000000001</v>
      </c>
      <c r="I1598" s="77" t="s">
        <v>4800</v>
      </c>
      <c r="L1598" s="3">
        <f>VLOOKUP(C1598,Securities!A:D,4,FALSE)</f>
        <v>1</v>
      </c>
      <c r="M1598" s="3" t="str">
        <f>VLOOKUP(C1598,Securities!A:B,2,FALSE)</f>
        <v>SNGSP RX Equity</v>
      </c>
      <c r="O1598" s="3">
        <f t="shared" si="25"/>
        <v>816900</v>
      </c>
    </row>
    <row r="1599" spans="1:15" x14ac:dyDescent="0.25">
      <c r="A1599" s="79">
        <v>43053</v>
      </c>
      <c r="B1599" s="80" t="s">
        <v>5610</v>
      </c>
      <c r="C1599" s="80" t="s">
        <v>5035</v>
      </c>
      <c r="D1599" s="80" t="s">
        <v>5036</v>
      </c>
      <c r="E1599" s="81">
        <v>210000</v>
      </c>
      <c r="F1599" s="80" t="s">
        <v>4806</v>
      </c>
      <c r="G1599" s="81">
        <v>100.625</v>
      </c>
      <c r="H1599" s="81">
        <v>100.625</v>
      </c>
      <c r="I1599" s="80" t="s">
        <v>4800</v>
      </c>
      <c r="L1599" s="3">
        <f>VLOOKUP(C1599,Securities!A:D,4,FALSE)</f>
        <v>5</v>
      </c>
      <c r="M1599" s="3" t="str">
        <f>VLOOKUP(C1599,Securities!A:B,2,FALSE)</f>
        <v>XS0579851949 Corp</v>
      </c>
      <c r="O1599" s="3">
        <f t="shared" si="25"/>
        <v>210000</v>
      </c>
    </row>
    <row r="1600" spans="1:15" x14ac:dyDescent="0.25">
      <c r="A1600" s="76">
        <v>43053</v>
      </c>
      <c r="B1600" s="77" t="s">
        <v>5610</v>
      </c>
      <c r="C1600" s="77" t="s">
        <v>4805</v>
      </c>
      <c r="D1600" s="77" t="s">
        <v>31</v>
      </c>
      <c r="E1600" s="78">
        <v>1216000</v>
      </c>
      <c r="F1600" s="77" t="s">
        <v>4806</v>
      </c>
      <c r="G1600" s="78">
        <v>174.453453</v>
      </c>
      <c r="H1600" s="78">
        <v>174.453453</v>
      </c>
      <c r="I1600" s="77" t="s">
        <v>4800</v>
      </c>
      <c r="L1600" s="3">
        <f>VLOOKUP(C1600,Securities!A:D,4,FALSE)</f>
        <v>5</v>
      </c>
      <c r="M1600" s="3" t="str">
        <f>VLOOKUP(C1600,Securities!A:B,2,FALSE)</f>
        <v>TT343269 Corp</v>
      </c>
      <c r="O1600" s="3">
        <f t="shared" si="25"/>
        <v>1216000</v>
      </c>
    </row>
    <row r="1601" spans="1:15" x14ac:dyDescent="0.25">
      <c r="A1601" s="79">
        <v>43053</v>
      </c>
      <c r="B1601" s="80" t="s">
        <v>5610</v>
      </c>
      <c r="C1601" s="80" t="s">
        <v>5207</v>
      </c>
      <c r="D1601" s="80" t="s">
        <v>5208</v>
      </c>
      <c r="E1601" s="81">
        <v>5</v>
      </c>
      <c r="F1601" s="80" t="s">
        <v>4974</v>
      </c>
      <c r="G1601" s="81">
        <v>101.955</v>
      </c>
      <c r="H1601" s="81">
        <v>101.955</v>
      </c>
      <c r="I1601" s="80" t="s">
        <v>4800</v>
      </c>
      <c r="L1601" s="3">
        <f>VLOOKUP(C1601,Securities!A:D,4,FALSE)</f>
        <v>5</v>
      </c>
      <c r="M1601" s="3" t="str">
        <f>VLOOKUP(C1601,Securities!A:B,2,FALSE)</f>
        <v>RU000A0JXU14 Corp</v>
      </c>
      <c r="O1601" s="3">
        <f t="shared" si="25"/>
        <v>5</v>
      </c>
    </row>
    <row r="1602" spans="1:15" x14ac:dyDescent="0.25">
      <c r="A1602" s="76">
        <v>43053</v>
      </c>
      <c r="B1602" s="77" t="s">
        <v>5610</v>
      </c>
      <c r="C1602" s="77" t="s">
        <v>4903</v>
      </c>
      <c r="D1602" s="77" t="s">
        <v>4904</v>
      </c>
      <c r="E1602" s="78">
        <v>400000</v>
      </c>
      <c r="F1602" s="77" t="s">
        <v>4806</v>
      </c>
      <c r="G1602" s="78">
        <v>105.55</v>
      </c>
      <c r="H1602" s="78">
        <v>105.55</v>
      </c>
      <c r="I1602" s="77" t="s">
        <v>4800</v>
      </c>
      <c r="L1602" s="3">
        <f>VLOOKUP(C1602,Securities!A:D,4,FALSE)</f>
        <v>5</v>
      </c>
      <c r="M1602" s="3" t="str">
        <f>VLOOKUP(C1602,Securities!A:B,2,FALSE)</f>
        <v>XS1319813769 Corp</v>
      </c>
      <c r="O1602" s="3">
        <f t="shared" si="25"/>
        <v>400000</v>
      </c>
    </row>
    <row r="1603" spans="1:15" x14ac:dyDescent="0.25">
      <c r="A1603" s="79">
        <v>43053</v>
      </c>
      <c r="B1603" s="80" t="s">
        <v>5610</v>
      </c>
      <c r="C1603" s="80" t="s">
        <v>4996</v>
      </c>
      <c r="D1603" s="80" t="s">
        <v>4997</v>
      </c>
      <c r="E1603" s="81">
        <v>333000</v>
      </c>
      <c r="F1603" s="80" t="s">
        <v>4806</v>
      </c>
      <c r="G1603" s="81">
        <v>100.85</v>
      </c>
      <c r="H1603" s="81">
        <v>100.85</v>
      </c>
      <c r="I1603" s="80" t="s">
        <v>4800</v>
      </c>
      <c r="L1603" s="3">
        <f>VLOOKUP(C1603,Securities!A:D,4,FALSE)</f>
        <v>5</v>
      </c>
      <c r="M1603" s="3" t="str">
        <f>VLOOKUP(C1603,Securities!A:B,2,FALSE)</f>
        <v>XS1577961516 Corp</v>
      </c>
      <c r="O1603" s="3">
        <f t="shared" si="25"/>
        <v>333000</v>
      </c>
    </row>
    <row r="1604" spans="1:15" x14ac:dyDescent="0.25">
      <c r="A1604" s="76">
        <v>43053</v>
      </c>
      <c r="B1604" s="77" t="s">
        <v>5610</v>
      </c>
      <c r="C1604" s="77" t="s">
        <v>4963</v>
      </c>
      <c r="D1604" s="77" t="s">
        <v>4964</v>
      </c>
      <c r="E1604" s="78">
        <v>268000</v>
      </c>
      <c r="F1604" s="77" t="s">
        <v>4806</v>
      </c>
      <c r="G1604" s="78">
        <v>97.9</v>
      </c>
      <c r="H1604" s="78">
        <v>97.9</v>
      </c>
      <c r="I1604" s="77" t="s">
        <v>4800</v>
      </c>
      <c r="L1604" s="3">
        <f>VLOOKUP(C1604,Securities!A:D,4,FALSE)</f>
        <v>5</v>
      </c>
      <c r="M1604" s="3" t="str">
        <f>VLOOKUP(C1604,Securities!A:B,2,FALSE)</f>
        <v>XS1439838548 Corp</v>
      </c>
      <c r="O1604" s="3">
        <f t="shared" si="25"/>
        <v>268000</v>
      </c>
    </row>
    <row r="1605" spans="1:15" x14ac:dyDescent="0.25">
      <c r="A1605" s="79">
        <v>43053</v>
      </c>
      <c r="B1605" s="80" t="s">
        <v>5610</v>
      </c>
      <c r="C1605" s="80" t="s">
        <v>4863</v>
      </c>
      <c r="D1605" s="80" t="s">
        <v>4864</v>
      </c>
      <c r="E1605" s="81">
        <v>260000</v>
      </c>
      <c r="F1605" s="80" t="s">
        <v>4806</v>
      </c>
      <c r="G1605" s="81">
        <v>105.28</v>
      </c>
      <c r="H1605" s="81">
        <v>105.28</v>
      </c>
      <c r="I1605" s="80" t="s">
        <v>4800</v>
      </c>
      <c r="L1605" s="3">
        <f>VLOOKUP(C1605,Securities!A:D,4,FALSE)</f>
        <v>5</v>
      </c>
      <c r="M1605" s="3" t="str">
        <f>VLOOKUP(C1605,Securities!A:B,2,FALSE)</f>
        <v>USN54468AF52 Corp</v>
      </c>
      <c r="O1605" s="3">
        <f t="shared" si="25"/>
        <v>260000</v>
      </c>
    </row>
    <row r="1606" spans="1:15" x14ac:dyDescent="0.25">
      <c r="A1606" s="76">
        <v>43053</v>
      </c>
      <c r="B1606" s="77" t="s">
        <v>5610</v>
      </c>
      <c r="C1606" s="77" t="s">
        <v>4819</v>
      </c>
      <c r="D1606" s="77" t="s">
        <v>4820</v>
      </c>
      <c r="E1606" s="78">
        <v>200000</v>
      </c>
      <c r="F1606" s="77" t="s">
        <v>4806</v>
      </c>
      <c r="G1606" s="78">
        <v>107</v>
      </c>
      <c r="H1606" s="78">
        <v>107</v>
      </c>
      <c r="I1606" s="77" t="s">
        <v>4800</v>
      </c>
      <c r="L1606" s="3">
        <f>VLOOKUP(C1606,Securities!A:D,4,FALSE)</f>
        <v>5</v>
      </c>
      <c r="M1606" s="3" t="str">
        <f>VLOOKUP(C1606,Securities!A:B,2,FALSE)</f>
        <v>XS0776121062 Corp</v>
      </c>
      <c r="O1606" s="3">
        <f t="shared" ref="O1606:O1669" si="26">SUMIFS(E:E,C:C,C1606,B:B,B1606)</f>
        <v>200000</v>
      </c>
    </row>
    <row r="1607" spans="1:15" x14ac:dyDescent="0.25">
      <c r="A1607" s="79">
        <v>43053</v>
      </c>
      <c r="B1607" s="80" t="s">
        <v>5610</v>
      </c>
      <c r="C1607" s="80" t="s">
        <v>5597</v>
      </c>
      <c r="D1607" s="80" t="s">
        <v>5598</v>
      </c>
      <c r="E1607" s="81">
        <v>250000</v>
      </c>
      <c r="F1607" s="80" t="s">
        <v>4806</v>
      </c>
      <c r="G1607" s="81">
        <v>99</v>
      </c>
      <c r="H1607" s="81">
        <v>99</v>
      </c>
      <c r="I1607" s="80" t="s">
        <v>4800</v>
      </c>
      <c r="L1607" s="3">
        <f>VLOOKUP(C1607,Securities!A:D,4,FALSE)</f>
        <v>5</v>
      </c>
      <c r="M1607" s="3" t="str">
        <f>VLOOKUP(C1607,Securities!A:B,2,FALSE)</f>
        <v>US71656MAF68 Corp</v>
      </c>
      <c r="O1607" s="3">
        <f t="shared" si="26"/>
        <v>250000</v>
      </c>
    </row>
    <row r="1608" spans="1:15" x14ac:dyDescent="0.25">
      <c r="A1608" s="76">
        <v>43053</v>
      </c>
      <c r="B1608" s="77" t="s">
        <v>5610</v>
      </c>
      <c r="C1608" s="77" t="s">
        <v>4967</v>
      </c>
      <c r="D1608" s="77" t="s">
        <v>4968</v>
      </c>
      <c r="E1608" s="78">
        <v>868000</v>
      </c>
      <c r="F1608" s="77" t="s">
        <v>4806</v>
      </c>
      <c r="G1608" s="78">
        <v>113.00138200000001</v>
      </c>
      <c r="H1608" s="78">
        <v>113.00138200000001</v>
      </c>
      <c r="I1608" s="77" t="s">
        <v>4800</v>
      </c>
      <c r="L1608" s="3">
        <f>VLOOKUP(C1608,Securities!A:D,4,FALSE)</f>
        <v>5</v>
      </c>
      <c r="M1608" s="3" t="str">
        <f>VLOOKUP(C1608,Securities!A:B,2,FALSE)</f>
        <v>XS0979891925 Corp</v>
      </c>
      <c r="O1608" s="3">
        <f t="shared" si="26"/>
        <v>868000</v>
      </c>
    </row>
    <row r="1609" spans="1:15" x14ac:dyDescent="0.25">
      <c r="A1609" s="79">
        <v>43053</v>
      </c>
      <c r="B1609" s="80" t="s">
        <v>5610</v>
      </c>
      <c r="C1609" s="80" t="s">
        <v>5004</v>
      </c>
      <c r="D1609" s="80" t="s">
        <v>5005</v>
      </c>
      <c r="E1609" s="81">
        <v>260000</v>
      </c>
      <c r="F1609" s="80" t="s">
        <v>4806</v>
      </c>
      <c r="G1609" s="81">
        <v>104.25</v>
      </c>
      <c r="H1609" s="81">
        <v>104.25</v>
      </c>
      <c r="I1609" s="80" t="s">
        <v>4800</v>
      </c>
      <c r="L1609" s="3">
        <f>VLOOKUP(C1609,Securities!A:D,4,FALSE)</f>
        <v>5</v>
      </c>
      <c r="M1609" s="3" t="str">
        <f>VLOOKUP(C1609,Securities!A:B,2,FALSE)</f>
        <v>XS1433454243 Corp</v>
      </c>
      <c r="O1609" s="3">
        <f t="shared" si="26"/>
        <v>260000</v>
      </c>
    </row>
    <row r="1610" spans="1:15" x14ac:dyDescent="0.25">
      <c r="A1610" s="76">
        <v>43053</v>
      </c>
      <c r="B1610" s="77" t="s">
        <v>5610</v>
      </c>
      <c r="C1610" s="77" t="s">
        <v>4952</v>
      </c>
      <c r="D1610" s="77" t="s">
        <v>4953</v>
      </c>
      <c r="E1610" s="78">
        <v>200000</v>
      </c>
      <c r="F1610" s="77" t="s">
        <v>4806</v>
      </c>
      <c r="G1610" s="78">
        <v>106.45</v>
      </c>
      <c r="H1610" s="78">
        <v>106.45</v>
      </c>
      <c r="I1610" s="77" t="s">
        <v>4800</v>
      </c>
      <c r="L1610" s="3">
        <f>VLOOKUP(C1610,Securities!A:D,4,FALSE)</f>
        <v>5</v>
      </c>
      <c r="M1610" s="3" t="str">
        <f>VLOOKUP(C1610,Securities!A:B,2,FALSE)</f>
        <v>USG9328DAJ93 Corp</v>
      </c>
      <c r="O1610" s="3">
        <f t="shared" si="26"/>
        <v>200000</v>
      </c>
    </row>
    <row r="1611" spans="1:15" x14ac:dyDescent="0.25">
      <c r="A1611" s="79">
        <v>43053</v>
      </c>
      <c r="B1611" s="80" t="s">
        <v>5611</v>
      </c>
      <c r="C1611" s="80" t="s">
        <v>4899</v>
      </c>
      <c r="D1611" s="80" t="s">
        <v>4900</v>
      </c>
      <c r="E1611" s="81">
        <v>8030</v>
      </c>
      <c r="F1611" s="80" t="s">
        <v>4799</v>
      </c>
      <c r="G1611" s="81">
        <v>202.46720400000001</v>
      </c>
      <c r="H1611" s="81">
        <v>3.3857949999999999</v>
      </c>
      <c r="I1611" s="80" t="s">
        <v>4800</v>
      </c>
      <c r="L1611" s="3">
        <f>VLOOKUP(C1611,Securities!A:D,4,FALSE)</f>
        <v>1</v>
      </c>
      <c r="M1611" s="3" t="str">
        <f>VLOOKUP(C1611,Securities!A:B,2,FALSE)</f>
        <v>EVR LN Equity</v>
      </c>
      <c r="O1611" s="3">
        <f t="shared" si="26"/>
        <v>8030</v>
      </c>
    </row>
    <row r="1612" spans="1:15" x14ac:dyDescent="0.25">
      <c r="A1612" s="76">
        <v>43053</v>
      </c>
      <c r="B1612" s="77" t="s">
        <v>5611</v>
      </c>
      <c r="C1612" s="77" t="s">
        <v>4847</v>
      </c>
      <c r="D1612" s="77" t="s">
        <v>369</v>
      </c>
      <c r="E1612" s="78">
        <v>536</v>
      </c>
      <c r="F1612" s="77" t="s">
        <v>4810</v>
      </c>
      <c r="G1612" s="78">
        <v>3246.67</v>
      </c>
      <c r="H1612" s="78">
        <v>55.565500999999998</v>
      </c>
      <c r="I1612" s="77" t="s">
        <v>4800</v>
      </c>
      <c r="L1612" s="3">
        <f>VLOOKUP(C1612,Securities!A:D,4,FALSE)</f>
        <v>1</v>
      </c>
      <c r="M1612" s="3" t="str">
        <f>VLOOKUP(C1612,Securities!A:B,2,FALSE)</f>
        <v>LKOH RX Equity</v>
      </c>
      <c r="O1612" s="3">
        <f t="shared" si="26"/>
        <v>536</v>
      </c>
    </row>
    <row r="1613" spans="1:15" x14ac:dyDescent="0.25">
      <c r="A1613" s="79">
        <v>43053</v>
      </c>
      <c r="B1613" s="80" t="s">
        <v>5611</v>
      </c>
      <c r="C1613" s="80" t="s">
        <v>4815</v>
      </c>
      <c r="D1613" s="80" t="s">
        <v>4676</v>
      </c>
      <c r="E1613" s="81">
        <v>470</v>
      </c>
      <c r="F1613" s="80" t="s">
        <v>4799</v>
      </c>
      <c r="G1613" s="81">
        <v>3363.022884</v>
      </c>
      <c r="H1613" s="81">
        <v>53.047871999999998</v>
      </c>
      <c r="I1613" s="80" t="s">
        <v>4800</v>
      </c>
      <c r="L1613" s="3">
        <f>VLOOKUP(C1613,Securities!A:D,4,FALSE)</f>
        <v>1</v>
      </c>
      <c r="M1613" s="3" t="str">
        <f>VLOOKUP(C1613,Securities!A:B,2,FALSE)</f>
        <v>LXFT US Equity</v>
      </c>
      <c r="O1613" s="3">
        <f t="shared" si="26"/>
        <v>470</v>
      </c>
    </row>
    <row r="1614" spans="1:15" x14ac:dyDescent="0.25">
      <c r="A1614" s="76">
        <v>43053</v>
      </c>
      <c r="B1614" s="77" t="s">
        <v>5611</v>
      </c>
      <c r="C1614" s="77" t="s">
        <v>4911</v>
      </c>
      <c r="D1614" s="77" t="s">
        <v>405</v>
      </c>
      <c r="E1614" s="78">
        <v>42425</v>
      </c>
      <c r="F1614" s="77" t="s">
        <v>4810</v>
      </c>
      <c r="G1614" s="78">
        <v>42.510210999999998</v>
      </c>
      <c r="H1614" s="78">
        <v>0.74395100000000003</v>
      </c>
      <c r="I1614" s="77" t="s">
        <v>4800</v>
      </c>
      <c r="L1614" s="3">
        <f>VLOOKUP(C1614,Securities!A:D,4,FALSE)</f>
        <v>1</v>
      </c>
      <c r="M1614" s="3" t="str">
        <f>VLOOKUP(C1614,Securities!A:B,2,FALSE)</f>
        <v>MAGN RX Equity</v>
      </c>
      <c r="O1614" s="3">
        <f t="shared" si="26"/>
        <v>42425</v>
      </c>
    </row>
    <row r="1615" spans="1:15" x14ac:dyDescent="0.25">
      <c r="A1615" s="79">
        <v>43053</v>
      </c>
      <c r="B1615" s="80" t="s">
        <v>5611</v>
      </c>
      <c r="C1615" s="80" t="s">
        <v>4818</v>
      </c>
      <c r="D1615" s="80" t="s">
        <v>494</v>
      </c>
      <c r="E1615" s="81">
        <v>72500</v>
      </c>
      <c r="F1615" s="80" t="s">
        <v>4810</v>
      </c>
      <c r="G1615" s="81">
        <v>34.609499999999997</v>
      </c>
      <c r="H1615" s="81">
        <v>0.59709900000000005</v>
      </c>
      <c r="I1615" s="80" t="s">
        <v>4800</v>
      </c>
      <c r="L1615" s="3">
        <f>VLOOKUP(C1615,Securities!A:D,4,FALSE)</f>
        <v>1</v>
      </c>
      <c r="M1615" s="3" t="str">
        <f>VLOOKUP(C1615,Securities!A:B,2,FALSE)</f>
        <v>NKNCP RX Equity</v>
      </c>
      <c r="O1615" s="3">
        <f t="shared" si="26"/>
        <v>72500</v>
      </c>
    </row>
    <row r="1616" spans="1:15" x14ac:dyDescent="0.25">
      <c r="A1616" s="76">
        <v>43053</v>
      </c>
      <c r="B1616" s="77" t="s">
        <v>5611</v>
      </c>
      <c r="C1616" s="77" t="s">
        <v>4924</v>
      </c>
      <c r="D1616" s="77" t="s">
        <v>829</v>
      </c>
      <c r="E1616" s="78">
        <v>764</v>
      </c>
      <c r="F1616" s="77" t="s">
        <v>4810</v>
      </c>
      <c r="G1616" s="78">
        <v>2314</v>
      </c>
      <c r="H1616" s="78">
        <v>40.059344000000003</v>
      </c>
      <c r="I1616" s="77" t="s">
        <v>4800</v>
      </c>
      <c r="L1616" s="3">
        <f>VLOOKUP(C1616,Securities!A:D,4,FALSE)</f>
        <v>1</v>
      </c>
      <c r="M1616" s="3" t="str">
        <f>VLOOKUP(C1616,Securities!A:B,2,FALSE)</f>
        <v>PHOR RX Equity</v>
      </c>
      <c r="O1616" s="3">
        <f t="shared" si="26"/>
        <v>764</v>
      </c>
    </row>
    <row r="1617" spans="1:15" x14ac:dyDescent="0.25">
      <c r="A1617" s="79">
        <v>43053</v>
      </c>
      <c r="B1617" s="80" t="s">
        <v>5611</v>
      </c>
      <c r="C1617" s="80" t="s">
        <v>4892</v>
      </c>
      <c r="D1617" s="80" t="s">
        <v>568</v>
      </c>
      <c r="E1617" s="81">
        <v>445</v>
      </c>
      <c r="F1617" s="80" t="s">
        <v>4810</v>
      </c>
      <c r="G1617" s="81">
        <v>4314.8831010000004</v>
      </c>
      <c r="H1617" s="81">
        <v>72.156441999999998</v>
      </c>
      <c r="I1617" s="80" t="s">
        <v>4800</v>
      </c>
      <c r="L1617" s="3">
        <f>VLOOKUP(C1617,Securities!A:D,4,FALSE)</f>
        <v>1</v>
      </c>
      <c r="M1617" s="3" t="str">
        <f>VLOOKUP(C1617,Securities!A:B,2,FALSE)</f>
        <v>PLZL RX Equity</v>
      </c>
      <c r="O1617" s="3">
        <f t="shared" si="26"/>
        <v>445</v>
      </c>
    </row>
    <row r="1618" spans="1:15" x14ac:dyDescent="0.25">
      <c r="A1618" s="76">
        <v>43053</v>
      </c>
      <c r="B1618" s="77" t="s">
        <v>5611</v>
      </c>
      <c r="C1618" s="77" t="s">
        <v>4927</v>
      </c>
      <c r="D1618" s="77" t="s">
        <v>4928</v>
      </c>
      <c r="E1618" s="78">
        <v>1300</v>
      </c>
      <c r="F1618" s="77" t="s">
        <v>4898</v>
      </c>
      <c r="G1618" s="78">
        <v>889.07584399999996</v>
      </c>
      <c r="H1618" s="78">
        <v>15.287853</v>
      </c>
      <c r="I1618" s="77" t="s">
        <v>4800</v>
      </c>
      <c r="L1618" s="3">
        <f>VLOOKUP(C1618,Securities!A:D,4,FALSE)</f>
        <v>1</v>
      </c>
      <c r="M1618" s="3" t="str">
        <f>VLOOKUP(C1618,Securities!A:B,2,FALSE)</f>
        <v>SX7EEX GY Equity</v>
      </c>
      <c r="O1618" s="3">
        <f t="shared" si="26"/>
        <v>1300</v>
      </c>
    </row>
    <row r="1619" spans="1:15" x14ac:dyDescent="0.25">
      <c r="A1619" s="79">
        <v>43053</v>
      </c>
      <c r="B1619" s="80" t="s">
        <v>5611</v>
      </c>
      <c r="C1619" s="80" t="s">
        <v>4824</v>
      </c>
      <c r="D1619" s="80" t="s">
        <v>4674</v>
      </c>
      <c r="E1619" s="81">
        <v>7040</v>
      </c>
      <c r="F1619" s="80" t="s">
        <v>4825</v>
      </c>
      <c r="G1619" s="81">
        <v>0</v>
      </c>
      <c r="H1619" s="81">
        <v>0</v>
      </c>
      <c r="I1619" s="80" t="s">
        <v>4800</v>
      </c>
      <c r="L1619" s="3">
        <f>VLOOKUP(C1619,Securities!A:D,4,FALSE)</f>
        <v>1</v>
      </c>
      <c r="M1619" s="3" t="str">
        <f>VLOOKUP(C1619,Securities!A:B,2,FALSE)</f>
        <v>VEON US Equity</v>
      </c>
      <c r="O1619" s="3">
        <f t="shared" si="26"/>
        <v>7040</v>
      </c>
    </row>
    <row r="1620" spans="1:15" x14ac:dyDescent="0.25">
      <c r="A1620" s="76">
        <v>43053</v>
      </c>
      <c r="B1620" s="77" t="s">
        <v>5612</v>
      </c>
      <c r="C1620" s="77" t="s">
        <v>4805</v>
      </c>
      <c r="D1620" s="77" t="s">
        <v>31</v>
      </c>
      <c r="E1620" s="78">
        <v>121000</v>
      </c>
      <c r="F1620" s="77" t="s">
        <v>4806</v>
      </c>
      <c r="G1620" s="78">
        <v>172.75</v>
      </c>
      <c r="H1620" s="78">
        <v>172.75</v>
      </c>
      <c r="I1620" s="77" t="s">
        <v>4800</v>
      </c>
      <c r="L1620" s="3">
        <f>VLOOKUP(C1620,Securities!A:D,4,FALSE)</f>
        <v>5</v>
      </c>
      <c r="M1620" s="3" t="str">
        <f>VLOOKUP(C1620,Securities!A:B,2,FALSE)</f>
        <v>TT343269 Corp</v>
      </c>
      <c r="O1620" s="3">
        <f t="shared" si="26"/>
        <v>121000</v>
      </c>
    </row>
    <row r="1621" spans="1:15" x14ac:dyDescent="0.25">
      <c r="A1621" s="79">
        <v>43053</v>
      </c>
      <c r="B1621" s="80" t="s">
        <v>5612</v>
      </c>
      <c r="C1621" s="80" t="s">
        <v>5207</v>
      </c>
      <c r="D1621" s="80" t="s">
        <v>5208</v>
      </c>
      <c r="E1621" s="81">
        <v>1</v>
      </c>
      <c r="F1621" s="80" t="s">
        <v>4974</v>
      </c>
      <c r="G1621" s="81">
        <v>102.625</v>
      </c>
      <c r="H1621" s="81">
        <v>102.625</v>
      </c>
      <c r="I1621" s="80" t="s">
        <v>4800</v>
      </c>
      <c r="L1621" s="3">
        <f>VLOOKUP(C1621,Securities!A:D,4,FALSE)</f>
        <v>5</v>
      </c>
      <c r="M1621" s="3" t="str">
        <f>VLOOKUP(C1621,Securities!A:B,2,FALSE)</f>
        <v>RU000A0JXU14 Corp</v>
      </c>
      <c r="O1621" s="3">
        <f t="shared" si="26"/>
        <v>1</v>
      </c>
    </row>
    <row r="1622" spans="1:15" x14ac:dyDescent="0.25">
      <c r="A1622" s="76">
        <v>43053</v>
      </c>
      <c r="B1622" s="77" t="s">
        <v>5612</v>
      </c>
      <c r="C1622" s="77" t="s">
        <v>4996</v>
      </c>
      <c r="D1622" s="77" t="s">
        <v>4997</v>
      </c>
      <c r="E1622" s="78">
        <v>268000</v>
      </c>
      <c r="F1622" s="77" t="s">
        <v>4806</v>
      </c>
      <c r="G1622" s="78">
        <v>101.7</v>
      </c>
      <c r="H1622" s="78">
        <v>101.7</v>
      </c>
      <c r="I1622" s="77" t="s">
        <v>4800</v>
      </c>
      <c r="L1622" s="3">
        <f>VLOOKUP(C1622,Securities!A:D,4,FALSE)</f>
        <v>5</v>
      </c>
      <c r="M1622" s="3" t="str">
        <f>VLOOKUP(C1622,Securities!A:B,2,FALSE)</f>
        <v>XS1577961516 Corp</v>
      </c>
      <c r="O1622" s="3">
        <f t="shared" si="26"/>
        <v>268000</v>
      </c>
    </row>
    <row r="1623" spans="1:15" x14ac:dyDescent="0.25">
      <c r="A1623" s="79">
        <v>43053</v>
      </c>
      <c r="B1623" s="80" t="s">
        <v>5612</v>
      </c>
      <c r="C1623" s="80" t="s">
        <v>4963</v>
      </c>
      <c r="D1623" s="80" t="s">
        <v>4964</v>
      </c>
      <c r="E1623" s="81">
        <v>241000</v>
      </c>
      <c r="F1623" s="80" t="s">
        <v>4806</v>
      </c>
      <c r="G1623" s="81">
        <v>97.5</v>
      </c>
      <c r="H1623" s="81">
        <v>97.5</v>
      </c>
      <c r="I1623" s="80" t="s">
        <v>4800</v>
      </c>
      <c r="L1623" s="3">
        <f>VLOOKUP(C1623,Securities!A:D,4,FALSE)</f>
        <v>5</v>
      </c>
      <c r="M1623" s="3" t="str">
        <f>VLOOKUP(C1623,Securities!A:B,2,FALSE)</f>
        <v>XS1439838548 Corp</v>
      </c>
      <c r="O1623" s="3">
        <f t="shared" si="26"/>
        <v>241000</v>
      </c>
    </row>
    <row r="1624" spans="1:15" x14ac:dyDescent="0.25">
      <c r="A1624" s="76">
        <v>43053</v>
      </c>
      <c r="B1624" s="77" t="s">
        <v>5612</v>
      </c>
      <c r="C1624" s="77" t="s">
        <v>4888</v>
      </c>
      <c r="D1624" s="77" t="s">
        <v>29</v>
      </c>
      <c r="E1624" s="78">
        <v>1230</v>
      </c>
      <c r="F1624" s="77" t="s">
        <v>4810</v>
      </c>
      <c r="G1624" s="78">
        <v>870</v>
      </c>
      <c r="H1624" s="78">
        <v>13.291757</v>
      </c>
      <c r="I1624" s="77" t="s">
        <v>4800</v>
      </c>
      <c r="L1624" s="3">
        <f>VLOOKUP(C1624,Securities!A:D,4,FALSE)</f>
        <v>1</v>
      </c>
      <c r="M1624" s="3" t="str">
        <f>VLOOKUP(C1624,Securities!A:B,2,FALSE)</f>
        <v>MFON RX Equity</v>
      </c>
      <c r="O1624" s="3">
        <f t="shared" si="26"/>
        <v>1230</v>
      </c>
    </row>
    <row r="1625" spans="1:15" x14ac:dyDescent="0.25">
      <c r="A1625" s="79">
        <v>43053</v>
      </c>
      <c r="B1625" s="80" t="s">
        <v>5612</v>
      </c>
      <c r="C1625" s="80" t="s">
        <v>4863</v>
      </c>
      <c r="D1625" s="80" t="s">
        <v>4864</v>
      </c>
      <c r="E1625" s="81">
        <v>250000</v>
      </c>
      <c r="F1625" s="80" t="s">
        <v>4806</v>
      </c>
      <c r="G1625" s="81">
        <v>105.375</v>
      </c>
      <c r="H1625" s="81">
        <v>105.375</v>
      </c>
      <c r="I1625" s="80" t="s">
        <v>4800</v>
      </c>
      <c r="L1625" s="3">
        <f>VLOOKUP(C1625,Securities!A:D,4,FALSE)</f>
        <v>5</v>
      </c>
      <c r="M1625" s="3" t="str">
        <f>VLOOKUP(C1625,Securities!A:B,2,FALSE)</f>
        <v>USN54468AF52 Corp</v>
      </c>
      <c r="O1625" s="3">
        <f t="shared" si="26"/>
        <v>250000</v>
      </c>
    </row>
    <row r="1626" spans="1:15" x14ac:dyDescent="0.25">
      <c r="A1626" s="76">
        <v>43053</v>
      </c>
      <c r="B1626" s="77" t="s">
        <v>5612</v>
      </c>
      <c r="C1626" s="77" t="s">
        <v>4967</v>
      </c>
      <c r="D1626" s="77" t="s">
        <v>4968</v>
      </c>
      <c r="E1626" s="78">
        <v>340000</v>
      </c>
      <c r="F1626" s="77" t="s">
        <v>4806</v>
      </c>
      <c r="G1626" s="78">
        <v>115.75</v>
      </c>
      <c r="H1626" s="78">
        <v>115.75</v>
      </c>
      <c r="I1626" s="77" t="s">
        <v>4800</v>
      </c>
      <c r="L1626" s="3">
        <f>VLOOKUP(C1626,Securities!A:D,4,FALSE)</f>
        <v>5</v>
      </c>
      <c r="M1626" s="3" t="str">
        <f>VLOOKUP(C1626,Securities!A:B,2,FALSE)</f>
        <v>XS0979891925 Corp</v>
      </c>
      <c r="O1626" s="3">
        <f t="shared" si="26"/>
        <v>340000</v>
      </c>
    </row>
    <row r="1627" spans="1:15" x14ac:dyDescent="0.25">
      <c r="A1627" s="79">
        <v>43053</v>
      </c>
      <c r="B1627" s="80" t="s">
        <v>5612</v>
      </c>
      <c r="C1627" s="80" t="s">
        <v>4851</v>
      </c>
      <c r="D1627" s="80" t="s">
        <v>4744</v>
      </c>
      <c r="E1627" s="81">
        <v>600000</v>
      </c>
      <c r="F1627" s="80" t="s">
        <v>4806</v>
      </c>
      <c r="G1627" s="81">
        <v>100.7</v>
      </c>
      <c r="H1627" s="81">
        <v>100.7</v>
      </c>
      <c r="I1627" s="80" t="s">
        <v>4800</v>
      </c>
      <c r="L1627" s="3">
        <f>VLOOKUP(C1627,Securities!A:D,4,FALSE)</f>
        <v>5</v>
      </c>
      <c r="M1627" s="3" t="str">
        <f>VLOOKUP(C1627,Securities!A:B,2,FALSE)</f>
        <v>XS1032750165 Corp</v>
      </c>
      <c r="O1627" s="3">
        <f t="shared" si="26"/>
        <v>600000</v>
      </c>
    </row>
    <row r="1628" spans="1:15" x14ac:dyDescent="0.25">
      <c r="A1628" s="76">
        <v>43053</v>
      </c>
      <c r="B1628" s="77" t="s">
        <v>5612</v>
      </c>
      <c r="C1628" s="77" t="s">
        <v>4952</v>
      </c>
      <c r="D1628" s="77" t="s">
        <v>4953</v>
      </c>
      <c r="E1628" s="78">
        <v>200000</v>
      </c>
      <c r="F1628" s="77" t="s">
        <v>4806</v>
      </c>
      <c r="G1628" s="78">
        <v>106.45</v>
      </c>
      <c r="H1628" s="78">
        <v>106.45</v>
      </c>
      <c r="I1628" s="77" t="s">
        <v>4800</v>
      </c>
      <c r="L1628" s="3">
        <f>VLOOKUP(C1628,Securities!A:D,4,FALSE)</f>
        <v>5</v>
      </c>
      <c r="M1628" s="3" t="str">
        <f>VLOOKUP(C1628,Securities!A:B,2,FALSE)</f>
        <v>USG9328DAJ93 Corp</v>
      </c>
      <c r="O1628" s="3">
        <f t="shared" si="26"/>
        <v>200000</v>
      </c>
    </row>
    <row r="1629" spans="1:15" x14ac:dyDescent="0.25">
      <c r="A1629" s="79">
        <v>43053</v>
      </c>
      <c r="B1629" s="80" t="s">
        <v>5612</v>
      </c>
      <c r="C1629" s="80" t="s">
        <v>4824</v>
      </c>
      <c r="D1629" s="80" t="s">
        <v>4674</v>
      </c>
      <c r="E1629" s="81">
        <v>4720</v>
      </c>
      <c r="F1629" s="80" t="s">
        <v>4825</v>
      </c>
      <c r="G1629" s="81">
        <v>0</v>
      </c>
      <c r="H1629" s="81">
        <v>0</v>
      </c>
      <c r="I1629" s="80" t="s">
        <v>4800</v>
      </c>
      <c r="L1629" s="3">
        <f>VLOOKUP(C1629,Securities!A:D,4,FALSE)</f>
        <v>1</v>
      </c>
      <c r="M1629" s="3" t="str">
        <f>VLOOKUP(C1629,Securities!A:B,2,FALSE)</f>
        <v>VEON US Equity</v>
      </c>
      <c r="O1629" s="3">
        <f t="shared" si="26"/>
        <v>4720</v>
      </c>
    </row>
    <row r="1630" spans="1:15" x14ac:dyDescent="0.25">
      <c r="A1630" s="76">
        <v>43053</v>
      </c>
      <c r="B1630" s="77" t="s">
        <v>5613</v>
      </c>
      <c r="C1630" s="77" t="s">
        <v>4975</v>
      </c>
      <c r="D1630" s="77" t="s">
        <v>939</v>
      </c>
      <c r="E1630" s="78">
        <v>2825</v>
      </c>
      <c r="F1630" s="77" t="s">
        <v>4974</v>
      </c>
      <c r="G1630" s="78">
        <v>102.839</v>
      </c>
      <c r="H1630" s="78">
        <v>102.839</v>
      </c>
      <c r="I1630" s="77" t="s">
        <v>4800</v>
      </c>
      <c r="L1630" s="3">
        <f>VLOOKUP(C1630,Securities!A:D,4,FALSE)</f>
        <v>5</v>
      </c>
      <c r="M1630" s="3" t="str">
        <f>VLOOKUP(C1630,Securities!A:B,2,FALSE)</f>
        <v>RU000A0JX0J2 Corp</v>
      </c>
      <c r="O1630" s="3">
        <f t="shared" si="26"/>
        <v>2825</v>
      </c>
    </row>
    <row r="1631" spans="1:15" x14ac:dyDescent="0.25">
      <c r="A1631" s="79">
        <v>43053</v>
      </c>
      <c r="B1631" s="80" t="s">
        <v>5613</v>
      </c>
      <c r="C1631" s="80" t="s">
        <v>4935</v>
      </c>
      <c r="D1631" s="80" t="s">
        <v>4936</v>
      </c>
      <c r="E1631" s="81">
        <v>3000</v>
      </c>
      <c r="F1631" s="80" t="s">
        <v>4799</v>
      </c>
      <c r="G1631" s="81">
        <v>1058.4670840000001</v>
      </c>
      <c r="H1631" s="81">
        <v>18.262499999999999</v>
      </c>
      <c r="I1631" s="80" t="s">
        <v>4800</v>
      </c>
      <c r="L1631" s="3">
        <f>VLOOKUP(C1631,Securities!A:D,4,FALSE)</f>
        <v>1</v>
      </c>
      <c r="M1631" s="3" t="str">
        <f>VLOOKUP(C1631,Securities!A:B,2,FALSE)</f>
        <v>AD NA Equity</v>
      </c>
      <c r="O1631" s="3">
        <f t="shared" si="26"/>
        <v>3000</v>
      </c>
    </row>
    <row r="1632" spans="1:15" x14ac:dyDescent="0.25">
      <c r="A1632" s="76">
        <v>43053</v>
      </c>
      <c r="B1632" s="77" t="s">
        <v>5613</v>
      </c>
      <c r="C1632" s="77" t="s">
        <v>4805</v>
      </c>
      <c r="D1632" s="77" t="s">
        <v>31</v>
      </c>
      <c r="E1632" s="78">
        <v>140000</v>
      </c>
      <c r="F1632" s="77" t="s">
        <v>4806</v>
      </c>
      <c r="G1632" s="78">
        <v>176.5</v>
      </c>
      <c r="H1632" s="78">
        <v>176.5</v>
      </c>
      <c r="I1632" s="77" t="s">
        <v>4800</v>
      </c>
      <c r="L1632" s="3">
        <f>VLOOKUP(C1632,Securities!A:D,4,FALSE)</f>
        <v>5</v>
      </c>
      <c r="M1632" s="3" t="str">
        <f>VLOOKUP(C1632,Securities!A:B,2,FALSE)</f>
        <v>TT343269 Corp</v>
      </c>
      <c r="O1632" s="3">
        <f t="shared" si="26"/>
        <v>140000</v>
      </c>
    </row>
    <row r="1633" spans="1:15" x14ac:dyDescent="0.25">
      <c r="A1633" s="79">
        <v>43053</v>
      </c>
      <c r="B1633" s="80" t="s">
        <v>5613</v>
      </c>
      <c r="C1633" s="80" t="s">
        <v>5207</v>
      </c>
      <c r="D1633" s="80" t="s">
        <v>5208</v>
      </c>
      <c r="E1633" s="81">
        <v>3</v>
      </c>
      <c r="F1633" s="80" t="s">
        <v>4974</v>
      </c>
      <c r="G1633" s="81">
        <v>102.9</v>
      </c>
      <c r="H1633" s="81">
        <v>102.9</v>
      </c>
      <c r="I1633" s="80" t="s">
        <v>4800</v>
      </c>
      <c r="L1633" s="3">
        <f>VLOOKUP(C1633,Securities!A:D,4,FALSE)</f>
        <v>5</v>
      </c>
      <c r="M1633" s="3" t="str">
        <f>VLOOKUP(C1633,Securities!A:B,2,FALSE)</f>
        <v>RU000A0JXU14 Corp</v>
      </c>
      <c r="O1633" s="3">
        <f t="shared" si="26"/>
        <v>3</v>
      </c>
    </row>
    <row r="1634" spans="1:15" x14ac:dyDescent="0.25">
      <c r="A1634" s="76">
        <v>43053</v>
      </c>
      <c r="B1634" s="77" t="s">
        <v>5613</v>
      </c>
      <c r="C1634" s="77" t="s">
        <v>4809</v>
      </c>
      <c r="D1634" s="77" t="s">
        <v>30</v>
      </c>
      <c r="E1634" s="78">
        <v>48900</v>
      </c>
      <c r="F1634" s="77" t="s">
        <v>4810</v>
      </c>
      <c r="G1634" s="78">
        <v>119.186938</v>
      </c>
      <c r="H1634" s="78">
        <v>2.04426</v>
      </c>
      <c r="I1634" s="77" t="s">
        <v>4800</v>
      </c>
      <c r="L1634" s="3">
        <f>VLOOKUP(C1634,Securities!A:D,4,FALSE)</f>
        <v>1</v>
      </c>
      <c r="M1634" s="3" t="str">
        <f>VLOOKUP(C1634,Securities!A:B,2,FALSE)</f>
        <v>GAZP RX Equity</v>
      </c>
      <c r="O1634" s="3">
        <f t="shared" si="26"/>
        <v>48900</v>
      </c>
    </row>
    <row r="1635" spans="1:15" x14ac:dyDescent="0.25">
      <c r="A1635" s="79">
        <v>43053</v>
      </c>
      <c r="B1635" s="80" t="s">
        <v>5613</v>
      </c>
      <c r="C1635" s="80" t="s">
        <v>4811</v>
      </c>
      <c r="D1635" s="80" t="s">
        <v>4659</v>
      </c>
      <c r="E1635" s="81">
        <v>36840</v>
      </c>
      <c r="F1635" s="80" t="s">
        <v>4799</v>
      </c>
      <c r="G1635" s="81">
        <v>117.408524</v>
      </c>
      <c r="H1635" s="81">
        <v>2.0663299999999998</v>
      </c>
      <c r="I1635" s="80" t="s">
        <v>4800</v>
      </c>
      <c r="L1635" s="3">
        <f>VLOOKUP(C1635,Securities!A:D,4,FALSE)</f>
        <v>1</v>
      </c>
      <c r="M1635" s="3" t="str">
        <f>VLOOKUP(C1635,Securities!A:B,2,FALSE)</f>
        <v>HGM LN Equity</v>
      </c>
      <c r="O1635" s="3">
        <f t="shared" si="26"/>
        <v>36840</v>
      </c>
    </row>
    <row r="1636" spans="1:15" x14ac:dyDescent="0.25">
      <c r="A1636" s="76">
        <v>43053</v>
      </c>
      <c r="B1636" s="77" t="s">
        <v>5613</v>
      </c>
      <c r="C1636" s="77" t="s">
        <v>4861</v>
      </c>
      <c r="D1636" s="77" t="s">
        <v>4862</v>
      </c>
      <c r="E1636" s="78">
        <v>500000</v>
      </c>
      <c r="F1636" s="77" t="s">
        <v>4806</v>
      </c>
      <c r="G1636" s="78">
        <v>104.25</v>
      </c>
      <c r="H1636" s="78">
        <v>104.25</v>
      </c>
      <c r="I1636" s="77" t="s">
        <v>4800</v>
      </c>
      <c r="L1636" s="3">
        <f>VLOOKUP(C1636,Securities!A:D,4,FALSE)</f>
        <v>5</v>
      </c>
      <c r="M1636" s="3" t="str">
        <f>VLOOKUP(C1636,Securities!A:B,2,FALSE)</f>
        <v>USA29866AA70 Corp</v>
      </c>
      <c r="O1636" s="3">
        <f t="shared" si="26"/>
        <v>500000</v>
      </c>
    </row>
    <row r="1637" spans="1:15" x14ac:dyDescent="0.25">
      <c r="A1637" s="79">
        <v>43053</v>
      </c>
      <c r="B1637" s="80" t="s">
        <v>5613</v>
      </c>
      <c r="C1637" s="80" t="s">
        <v>4812</v>
      </c>
      <c r="D1637" s="80" t="s">
        <v>4675</v>
      </c>
      <c r="E1637" s="81">
        <v>5000</v>
      </c>
      <c r="F1637" s="80" t="s">
        <v>4804</v>
      </c>
      <c r="G1637" s="81">
        <v>558.93999899999994</v>
      </c>
      <c r="H1637" s="81">
        <v>10</v>
      </c>
      <c r="I1637" s="80" t="s">
        <v>4800</v>
      </c>
      <c r="L1637" s="3">
        <f>VLOOKUP(C1637,Securities!A:D,4,FALSE)</f>
        <v>1</v>
      </c>
      <c r="M1637" s="3" t="str">
        <f>VLOOKUP(C1637,Securities!A:B,2,FALSE)</f>
        <v>KMG LI Equity</v>
      </c>
      <c r="O1637" s="3">
        <f t="shared" si="26"/>
        <v>5000</v>
      </c>
    </row>
    <row r="1638" spans="1:15" x14ac:dyDescent="0.25">
      <c r="A1638" s="76">
        <v>43053</v>
      </c>
      <c r="B1638" s="77" t="s">
        <v>5613</v>
      </c>
      <c r="C1638" s="77" t="s">
        <v>4815</v>
      </c>
      <c r="D1638" s="77" t="s">
        <v>4676</v>
      </c>
      <c r="E1638" s="78">
        <v>1020</v>
      </c>
      <c r="F1638" s="77" t="s">
        <v>4799</v>
      </c>
      <c r="G1638" s="78">
        <v>2833.5297529999998</v>
      </c>
      <c r="H1638" s="78">
        <v>49.25</v>
      </c>
      <c r="I1638" s="77" t="s">
        <v>4800</v>
      </c>
      <c r="L1638" s="3">
        <f>VLOOKUP(C1638,Securities!A:D,4,FALSE)</f>
        <v>1</v>
      </c>
      <c r="M1638" s="3" t="str">
        <f>VLOOKUP(C1638,Securities!A:B,2,FALSE)</f>
        <v>LXFT US Equity</v>
      </c>
      <c r="O1638" s="3">
        <f t="shared" si="26"/>
        <v>1020</v>
      </c>
    </row>
    <row r="1639" spans="1:15" x14ac:dyDescent="0.25">
      <c r="A1639" s="79">
        <v>43053</v>
      </c>
      <c r="B1639" s="80" t="s">
        <v>5613</v>
      </c>
      <c r="C1639" s="80" t="s">
        <v>5093</v>
      </c>
      <c r="D1639" s="80" t="s">
        <v>447</v>
      </c>
      <c r="E1639" s="81">
        <v>450</v>
      </c>
      <c r="F1639" s="80" t="s">
        <v>4810</v>
      </c>
      <c r="G1639" s="81">
        <v>7739.8604439999999</v>
      </c>
      <c r="H1639" s="81">
        <v>133.55671100000001</v>
      </c>
      <c r="I1639" s="80" t="s">
        <v>4800</v>
      </c>
      <c r="L1639" s="3">
        <f>VLOOKUP(C1639,Securities!A:D,4,FALSE)</f>
        <v>1</v>
      </c>
      <c r="M1639" s="3" t="str">
        <f>VLOOKUP(C1639,Securities!A:B,2,FALSE)</f>
        <v>MGNT RX Equity</v>
      </c>
      <c r="O1639" s="3">
        <f t="shared" si="26"/>
        <v>450</v>
      </c>
    </row>
    <row r="1640" spans="1:15" x14ac:dyDescent="0.25">
      <c r="A1640" s="76">
        <v>43053</v>
      </c>
      <c r="B1640" s="77" t="s">
        <v>5613</v>
      </c>
      <c r="C1640" s="77" t="s">
        <v>4863</v>
      </c>
      <c r="D1640" s="77" t="s">
        <v>4864</v>
      </c>
      <c r="E1640" s="78">
        <v>515000</v>
      </c>
      <c r="F1640" s="77" t="s">
        <v>4806</v>
      </c>
      <c r="G1640" s="78">
        <v>105.75</v>
      </c>
      <c r="H1640" s="78">
        <v>105.75</v>
      </c>
      <c r="I1640" s="77" t="s">
        <v>4800</v>
      </c>
      <c r="L1640" s="3">
        <f>VLOOKUP(C1640,Securities!A:D,4,FALSE)</f>
        <v>5</v>
      </c>
      <c r="M1640" s="3" t="str">
        <f>VLOOKUP(C1640,Securities!A:B,2,FALSE)</f>
        <v>USN54468AF52 Corp</v>
      </c>
      <c r="O1640" s="3">
        <f t="shared" si="26"/>
        <v>515000</v>
      </c>
    </row>
    <row r="1641" spans="1:15" x14ac:dyDescent="0.25">
      <c r="A1641" s="79">
        <v>43053</v>
      </c>
      <c r="B1641" s="80" t="s">
        <v>5613</v>
      </c>
      <c r="C1641" s="80" t="s">
        <v>4816</v>
      </c>
      <c r="D1641" s="80" t="s">
        <v>4817</v>
      </c>
      <c r="E1641" s="81">
        <v>2120</v>
      </c>
      <c r="F1641" s="80" t="s">
        <v>4799</v>
      </c>
      <c r="G1641" s="81">
        <v>1086.018435</v>
      </c>
      <c r="H1641" s="81">
        <v>18.765999999999998</v>
      </c>
      <c r="I1641" s="80" t="s">
        <v>4800</v>
      </c>
      <c r="L1641" s="3">
        <f>VLOOKUP(C1641,Securities!A:D,4,FALSE)</f>
        <v>1</v>
      </c>
      <c r="M1641" s="3" t="str">
        <f>VLOOKUP(C1641,Securities!A:B,2,FALSE)</f>
        <v>M US Equity</v>
      </c>
      <c r="O1641" s="3">
        <f t="shared" si="26"/>
        <v>2120</v>
      </c>
    </row>
    <row r="1642" spans="1:15" x14ac:dyDescent="0.25">
      <c r="A1642" s="76">
        <v>43053</v>
      </c>
      <c r="B1642" s="77" t="s">
        <v>5613</v>
      </c>
      <c r="C1642" s="77" t="s">
        <v>4818</v>
      </c>
      <c r="D1642" s="77" t="s">
        <v>494</v>
      </c>
      <c r="E1642" s="78">
        <v>83000</v>
      </c>
      <c r="F1642" s="77" t="s">
        <v>4810</v>
      </c>
      <c r="G1642" s="78">
        <v>35.093834999999999</v>
      </c>
      <c r="H1642" s="78">
        <v>0.60405900000000001</v>
      </c>
      <c r="I1642" s="77" t="s">
        <v>4800</v>
      </c>
      <c r="L1642" s="3">
        <f>VLOOKUP(C1642,Securities!A:D,4,FALSE)</f>
        <v>1</v>
      </c>
      <c r="M1642" s="3" t="str">
        <f>VLOOKUP(C1642,Securities!A:B,2,FALSE)</f>
        <v>NKNCP RX Equity</v>
      </c>
      <c r="O1642" s="3">
        <f t="shared" si="26"/>
        <v>83000</v>
      </c>
    </row>
    <row r="1643" spans="1:15" x14ac:dyDescent="0.25">
      <c r="A1643" s="79">
        <v>43053</v>
      </c>
      <c r="B1643" s="80" t="s">
        <v>5613</v>
      </c>
      <c r="C1643" s="80" t="s">
        <v>5595</v>
      </c>
      <c r="D1643" s="80" t="s">
        <v>5596</v>
      </c>
      <c r="E1643" s="81">
        <v>500000</v>
      </c>
      <c r="F1643" s="80" t="s">
        <v>4838</v>
      </c>
      <c r="G1643" s="81">
        <v>100</v>
      </c>
      <c r="H1643" s="81">
        <v>100</v>
      </c>
      <c r="I1643" s="80" t="s">
        <v>4800</v>
      </c>
      <c r="L1643" s="3">
        <f>VLOOKUP(C1643,Securities!A:D,4,FALSE)</f>
        <v>5</v>
      </c>
      <c r="M1643" s="3" t="str">
        <f>VLOOKUP(C1643,Securities!A:B,2,FALSE)</f>
        <v>XS1542704421 Corp</v>
      </c>
      <c r="O1643" s="3">
        <f t="shared" si="26"/>
        <v>500000</v>
      </c>
    </row>
    <row r="1644" spans="1:15" x14ac:dyDescent="0.25">
      <c r="A1644" s="76">
        <v>43053</v>
      </c>
      <c r="B1644" s="77" t="s">
        <v>5613</v>
      </c>
      <c r="C1644" s="77" t="s">
        <v>4848</v>
      </c>
      <c r="D1644" s="77" t="s">
        <v>511</v>
      </c>
      <c r="E1644" s="78">
        <v>9560</v>
      </c>
      <c r="F1644" s="77" t="s">
        <v>4810</v>
      </c>
      <c r="G1644" s="78">
        <v>613.66839300000004</v>
      </c>
      <c r="H1644" s="78">
        <v>10.527193</v>
      </c>
      <c r="I1644" s="77" t="s">
        <v>4800</v>
      </c>
      <c r="L1644" s="3">
        <f>VLOOKUP(C1644,Securities!A:D,4,FALSE)</f>
        <v>1</v>
      </c>
      <c r="M1644" s="3" t="str">
        <f>VLOOKUP(C1644,Securities!A:B,2,FALSE)</f>
        <v>NVTK RX Equity</v>
      </c>
      <c r="O1644" s="3">
        <f t="shared" si="26"/>
        <v>9560</v>
      </c>
    </row>
    <row r="1645" spans="1:15" x14ac:dyDescent="0.25">
      <c r="A1645" s="79">
        <v>43053</v>
      </c>
      <c r="B1645" s="80" t="s">
        <v>5613</v>
      </c>
      <c r="C1645" s="80" t="s">
        <v>5614</v>
      </c>
      <c r="D1645" s="80" t="s">
        <v>5615</v>
      </c>
      <c r="E1645" s="81">
        <v>500000</v>
      </c>
      <c r="F1645" s="80" t="s">
        <v>4806</v>
      </c>
      <c r="G1645" s="81">
        <v>125.5</v>
      </c>
      <c r="H1645" s="81">
        <v>125.5</v>
      </c>
      <c r="I1645" s="80" t="s">
        <v>4800</v>
      </c>
      <c r="L1645" s="3">
        <f>VLOOKUP(C1645,Securities!A:D,4,FALSE)</f>
        <v>5</v>
      </c>
      <c r="M1645" s="3" t="str">
        <f>VLOOKUP(C1645,Securities!A:B,2,FALSE)</f>
        <v>XS0609017917 Corp</v>
      </c>
      <c r="O1645" s="3">
        <f t="shared" si="26"/>
        <v>500000</v>
      </c>
    </row>
    <row r="1646" spans="1:15" x14ac:dyDescent="0.25">
      <c r="A1646" s="76">
        <v>43053</v>
      </c>
      <c r="B1646" s="77" t="s">
        <v>5613</v>
      </c>
      <c r="C1646" s="77" t="s">
        <v>4927</v>
      </c>
      <c r="D1646" s="77" t="s">
        <v>4928</v>
      </c>
      <c r="E1646" s="78">
        <v>3480</v>
      </c>
      <c r="F1646" s="77" t="s">
        <v>4898</v>
      </c>
      <c r="G1646" s="78">
        <v>916.51838599999996</v>
      </c>
      <c r="H1646" s="78">
        <v>15.686958000000001</v>
      </c>
      <c r="I1646" s="77" t="s">
        <v>4800</v>
      </c>
      <c r="L1646" s="3">
        <f>VLOOKUP(C1646,Securities!A:D,4,FALSE)</f>
        <v>1</v>
      </c>
      <c r="M1646" s="3" t="str">
        <f>VLOOKUP(C1646,Securities!A:B,2,FALSE)</f>
        <v>SX7EEX GY Equity</v>
      </c>
      <c r="O1646" s="3">
        <f t="shared" si="26"/>
        <v>3480</v>
      </c>
    </row>
    <row r="1647" spans="1:15" x14ac:dyDescent="0.25">
      <c r="A1647" s="79">
        <v>43053</v>
      </c>
      <c r="B1647" s="80" t="s">
        <v>5613</v>
      </c>
      <c r="C1647" s="80" t="s">
        <v>4824</v>
      </c>
      <c r="D1647" s="80" t="s">
        <v>4674</v>
      </c>
      <c r="E1647" s="81">
        <v>7730</v>
      </c>
      <c r="F1647" s="80" t="s">
        <v>4825</v>
      </c>
      <c r="G1647" s="81">
        <v>223.49738199999999</v>
      </c>
      <c r="H1647" s="81">
        <v>3.879219</v>
      </c>
      <c r="I1647" s="80" t="s">
        <v>4800</v>
      </c>
      <c r="L1647" s="3">
        <f>VLOOKUP(C1647,Securities!A:D,4,FALSE)</f>
        <v>1</v>
      </c>
      <c r="M1647" s="3" t="str">
        <f>VLOOKUP(C1647,Securities!A:B,2,FALSE)</f>
        <v>VEON US Equity</v>
      </c>
      <c r="O1647" s="3">
        <f t="shared" si="26"/>
        <v>7730</v>
      </c>
    </row>
    <row r="1648" spans="1:15" x14ac:dyDescent="0.25">
      <c r="A1648" s="76">
        <v>43053</v>
      </c>
      <c r="B1648" s="77" t="s">
        <v>5616</v>
      </c>
      <c r="C1648" s="77" t="s">
        <v>5192</v>
      </c>
      <c r="D1648" s="77" t="s">
        <v>25</v>
      </c>
      <c r="E1648" s="78">
        <v>4000</v>
      </c>
      <c r="F1648" s="77" t="s">
        <v>4974</v>
      </c>
      <c r="G1648" s="78">
        <v>97.736999999999995</v>
      </c>
      <c r="H1648" s="78">
        <v>97.736999999999995</v>
      </c>
      <c r="I1648" s="77" t="s">
        <v>4800</v>
      </c>
      <c r="L1648" s="3">
        <f>VLOOKUP(C1648,Securities!A:D,4,FALSE)</f>
        <v>5</v>
      </c>
      <c r="M1648" s="3" t="str">
        <f>VLOOKUP(C1648,Securities!A:B,2,FALSE)</f>
        <v>EJ545131 Corp</v>
      </c>
      <c r="O1648" s="3">
        <f t="shared" si="26"/>
        <v>4000</v>
      </c>
    </row>
    <row r="1649" spans="1:15" x14ac:dyDescent="0.25">
      <c r="A1649" s="79">
        <v>43053</v>
      </c>
      <c r="B1649" s="80" t="s">
        <v>5616</v>
      </c>
      <c r="C1649" s="80" t="s">
        <v>5617</v>
      </c>
      <c r="D1649" s="80" t="s">
        <v>970</v>
      </c>
      <c r="E1649" s="81">
        <v>4000</v>
      </c>
      <c r="F1649" s="80" t="s">
        <v>4974</v>
      </c>
      <c r="G1649" s="81">
        <v>97.75</v>
      </c>
      <c r="H1649" s="81">
        <v>97.75</v>
      </c>
      <c r="I1649" s="80" t="s">
        <v>4800</v>
      </c>
      <c r="L1649" s="3">
        <f>VLOOKUP(C1649,Securities!A:D,4,FALSE)</f>
        <v>5</v>
      </c>
      <c r="M1649" s="3" t="str">
        <f>VLOOKUP(C1649,Securities!A:B,2,FALSE)</f>
        <v>RU000A0JWM07 Corp</v>
      </c>
      <c r="O1649" s="3">
        <f t="shared" si="26"/>
        <v>4000</v>
      </c>
    </row>
    <row r="1650" spans="1:15" x14ac:dyDescent="0.25">
      <c r="A1650" s="76">
        <v>43053</v>
      </c>
      <c r="B1650" s="77" t="s">
        <v>5616</v>
      </c>
      <c r="C1650" s="77" t="s">
        <v>5011</v>
      </c>
      <c r="D1650" s="77" t="s">
        <v>24</v>
      </c>
      <c r="E1650" s="78">
        <v>4000</v>
      </c>
      <c r="F1650" s="77" t="s">
        <v>4974</v>
      </c>
      <c r="G1650" s="78">
        <v>103.3797</v>
      </c>
      <c r="H1650" s="78">
        <v>103.3797</v>
      </c>
      <c r="I1650" s="77" t="s">
        <v>4800</v>
      </c>
      <c r="L1650" s="3">
        <f>VLOOKUP(C1650,Securities!A:D,4,FALSE)</f>
        <v>5</v>
      </c>
      <c r="M1650" s="3" t="str">
        <f>VLOOKUP(C1650,Securities!A:B,2,FALSE)</f>
        <v>RU000A0JV7J9 Corp</v>
      </c>
      <c r="O1650" s="3">
        <f t="shared" si="26"/>
        <v>4000</v>
      </c>
    </row>
    <row r="1651" spans="1:15" x14ac:dyDescent="0.25">
      <c r="A1651" s="79">
        <v>43053</v>
      </c>
      <c r="B1651" s="80" t="s">
        <v>5616</v>
      </c>
      <c r="C1651" s="80" t="s">
        <v>5035</v>
      </c>
      <c r="D1651" s="80" t="s">
        <v>5036</v>
      </c>
      <c r="E1651" s="81">
        <v>200000</v>
      </c>
      <c r="F1651" s="80" t="s">
        <v>4806</v>
      </c>
      <c r="G1651" s="81">
        <v>100</v>
      </c>
      <c r="H1651" s="81">
        <v>100</v>
      </c>
      <c r="I1651" s="80" t="s">
        <v>4800</v>
      </c>
      <c r="L1651" s="3">
        <f>VLOOKUP(C1651,Securities!A:D,4,FALSE)</f>
        <v>5</v>
      </c>
      <c r="M1651" s="3" t="str">
        <f>VLOOKUP(C1651,Securities!A:B,2,FALSE)</f>
        <v>XS0579851949 Corp</v>
      </c>
      <c r="O1651" s="3">
        <f t="shared" si="26"/>
        <v>200000</v>
      </c>
    </row>
    <row r="1652" spans="1:15" x14ac:dyDescent="0.25">
      <c r="A1652" s="76">
        <v>43053</v>
      </c>
      <c r="B1652" s="77" t="s">
        <v>5616</v>
      </c>
      <c r="C1652" s="77" t="s">
        <v>4805</v>
      </c>
      <c r="D1652" s="77" t="s">
        <v>31</v>
      </c>
      <c r="E1652" s="78">
        <v>115000</v>
      </c>
      <c r="F1652" s="77" t="s">
        <v>4806</v>
      </c>
      <c r="G1652" s="78">
        <v>176.125</v>
      </c>
      <c r="H1652" s="78">
        <v>176.125</v>
      </c>
      <c r="I1652" s="77" t="s">
        <v>4800</v>
      </c>
      <c r="L1652" s="3">
        <f>VLOOKUP(C1652,Securities!A:D,4,FALSE)</f>
        <v>5</v>
      </c>
      <c r="M1652" s="3" t="str">
        <f>VLOOKUP(C1652,Securities!A:B,2,FALSE)</f>
        <v>TT343269 Corp</v>
      </c>
      <c r="O1652" s="3">
        <f t="shared" si="26"/>
        <v>115000</v>
      </c>
    </row>
    <row r="1653" spans="1:15" x14ac:dyDescent="0.25">
      <c r="A1653" s="79">
        <v>43053</v>
      </c>
      <c r="B1653" s="80" t="s">
        <v>5616</v>
      </c>
      <c r="C1653" s="80" t="s">
        <v>4882</v>
      </c>
      <c r="D1653" s="80" t="s">
        <v>4883</v>
      </c>
      <c r="E1653" s="81">
        <v>200000</v>
      </c>
      <c r="F1653" s="80" t="s">
        <v>4806</v>
      </c>
      <c r="G1653" s="81">
        <v>107.15</v>
      </c>
      <c r="H1653" s="81">
        <v>107.15</v>
      </c>
      <c r="I1653" s="80" t="s">
        <v>4800</v>
      </c>
      <c r="L1653" s="3">
        <f>VLOOKUP(C1653,Securities!A:D,4,FALSE)</f>
        <v>5</v>
      </c>
      <c r="M1653" s="3" t="str">
        <f>VLOOKUP(C1653,Securities!A:B,2,FALSE)</f>
        <v>XS1405775377 Corp</v>
      </c>
      <c r="O1653" s="3">
        <f t="shared" si="26"/>
        <v>200000</v>
      </c>
    </row>
    <row r="1654" spans="1:15" x14ac:dyDescent="0.25">
      <c r="A1654" s="76">
        <v>43053</v>
      </c>
      <c r="B1654" s="77" t="s">
        <v>5616</v>
      </c>
      <c r="C1654" s="77" t="s">
        <v>5306</v>
      </c>
      <c r="D1654" s="77" t="s">
        <v>2057</v>
      </c>
      <c r="E1654" s="78">
        <v>3500</v>
      </c>
      <c r="F1654" s="77" t="s">
        <v>4814</v>
      </c>
      <c r="G1654" s="78">
        <v>105.54581399999999</v>
      </c>
      <c r="H1654" s="78">
        <v>105.54581399999999</v>
      </c>
      <c r="I1654" s="77" t="s">
        <v>4800</v>
      </c>
      <c r="L1654" s="3">
        <f>VLOOKUP(C1654,Securities!A:D,4,FALSE)</f>
        <v>5</v>
      </c>
      <c r="M1654" s="3" t="str">
        <f>VLOOKUP(C1654,Securities!A:B,2,FALSE)</f>
        <v>RU000A0JVKK9 Corp</v>
      </c>
      <c r="O1654" s="3">
        <f t="shared" si="26"/>
        <v>3500</v>
      </c>
    </row>
    <row r="1655" spans="1:15" x14ac:dyDescent="0.25">
      <c r="A1655" s="79">
        <v>43053</v>
      </c>
      <c r="B1655" s="80" t="s">
        <v>5616</v>
      </c>
      <c r="C1655" s="80" t="s">
        <v>4807</v>
      </c>
      <c r="D1655" s="80" t="s">
        <v>4808</v>
      </c>
      <c r="E1655" s="81">
        <v>200000</v>
      </c>
      <c r="F1655" s="80" t="s">
        <v>4806</v>
      </c>
      <c r="G1655" s="81">
        <v>103.5</v>
      </c>
      <c r="H1655" s="81">
        <v>103.5</v>
      </c>
      <c r="I1655" s="80" t="s">
        <v>4800</v>
      </c>
      <c r="L1655" s="3">
        <f>VLOOKUP(C1655,Securities!A:D,4,FALSE)</f>
        <v>5</v>
      </c>
      <c r="M1655" s="3" t="str">
        <f>VLOOKUP(C1655,Securities!A:B,2,FALSE)</f>
        <v>XS0975320879 Corp</v>
      </c>
      <c r="O1655" s="3">
        <f t="shared" si="26"/>
        <v>200000</v>
      </c>
    </row>
    <row r="1656" spans="1:15" x14ac:dyDescent="0.25">
      <c r="A1656" s="76">
        <v>43053</v>
      </c>
      <c r="B1656" s="77" t="s">
        <v>5616</v>
      </c>
      <c r="C1656" s="77" t="s">
        <v>5618</v>
      </c>
      <c r="D1656" s="77" t="s">
        <v>1892</v>
      </c>
      <c r="E1656" s="78">
        <v>3500</v>
      </c>
      <c r="F1656" s="77" t="s">
        <v>4814</v>
      </c>
      <c r="G1656" s="78">
        <v>98.5</v>
      </c>
      <c r="H1656" s="78">
        <v>98.5</v>
      </c>
      <c r="I1656" s="77" t="s">
        <v>4800</v>
      </c>
      <c r="L1656" s="3">
        <f>VLOOKUP(C1656,Securities!A:D,4,FALSE)</f>
        <v>5</v>
      </c>
      <c r="M1656" s="3" t="str">
        <f>VLOOKUP(C1656,Securities!A:B,2,FALSE)</f>
        <v>RU000A0JTNB6 Corp</v>
      </c>
      <c r="O1656" s="3">
        <f t="shared" si="26"/>
        <v>3500</v>
      </c>
    </row>
    <row r="1657" spans="1:15" x14ac:dyDescent="0.25">
      <c r="A1657" s="79">
        <v>43053</v>
      </c>
      <c r="B1657" s="80" t="s">
        <v>5616</v>
      </c>
      <c r="C1657" s="80" t="s">
        <v>5043</v>
      </c>
      <c r="D1657" s="80" t="s">
        <v>5044</v>
      </c>
      <c r="E1657" s="81">
        <v>200000</v>
      </c>
      <c r="F1657" s="80" t="s">
        <v>4806</v>
      </c>
      <c r="G1657" s="81">
        <v>98.894999999999996</v>
      </c>
      <c r="H1657" s="81">
        <v>98.894999999999996</v>
      </c>
      <c r="I1657" s="80" t="s">
        <v>4800</v>
      </c>
      <c r="L1657" s="3">
        <f>VLOOKUP(C1657,Securities!A:D,4,FALSE)</f>
        <v>5</v>
      </c>
      <c r="M1657" s="3" t="str">
        <f>VLOOKUP(C1657,Securities!A:B,2,FALSE)</f>
        <v>XS0547082973 Corp</v>
      </c>
      <c r="O1657" s="3">
        <f t="shared" si="26"/>
        <v>200000</v>
      </c>
    </row>
    <row r="1658" spans="1:15" x14ac:dyDescent="0.25">
      <c r="A1658" s="76">
        <v>43053</v>
      </c>
      <c r="B1658" s="77" t="s">
        <v>5616</v>
      </c>
      <c r="C1658" s="77" t="s">
        <v>4903</v>
      </c>
      <c r="D1658" s="77" t="s">
        <v>4904</v>
      </c>
      <c r="E1658" s="78">
        <v>200000</v>
      </c>
      <c r="F1658" s="77" t="s">
        <v>4806</v>
      </c>
      <c r="G1658" s="78">
        <v>105.8</v>
      </c>
      <c r="H1658" s="78">
        <v>105.8</v>
      </c>
      <c r="I1658" s="77" t="s">
        <v>4800</v>
      </c>
      <c r="L1658" s="3">
        <f>VLOOKUP(C1658,Securities!A:D,4,FALSE)</f>
        <v>5</v>
      </c>
      <c r="M1658" s="3" t="str">
        <f>VLOOKUP(C1658,Securities!A:B,2,FALSE)</f>
        <v>XS1319813769 Corp</v>
      </c>
      <c r="O1658" s="3">
        <f t="shared" si="26"/>
        <v>200000</v>
      </c>
    </row>
    <row r="1659" spans="1:15" x14ac:dyDescent="0.25">
      <c r="A1659" s="79">
        <v>43053</v>
      </c>
      <c r="B1659" s="80" t="s">
        <v>5616</v>
      </c>
      <c r="C1659" s="80" t="s">
        <v>5619</v>
      </c>
      <c r="D1659" s="80" t="s">
        <v>1826</v>
      </c>
      <c r="E1659" s="81">
        <v>3000</v>
      </c>
      <c r="F1659" s="80" t="s">
        <v>4814</v>
      </c>
      <c r="G1659" s="81">
        <v>104.1</v>
      </c>
      <c r="H1659" s="81">
        <v>104.1</v>
      </c>
      <c r="I1659" s="80" t="s">
        <v>4800</v>
      </c>
      <c r="L1659" s="3">
        <f>VLOOKUP(C1659,Securities!A:D,4,FALSE)</f>
        <v>5</v>
      </c>
      <c r="M1659" s="3" t="str">
        <f>VLOOKUP(C1659,Securities!A:B,2,FALSE)</f>
        <v>RU000A0JTKM9 Corp</v>
      </c>
      <c r="O1659" s="3">
        <f t="shared" si="26"/>
        <v>3000</v>
      </c>
    </row>
    <row r="1660" spans="1:15" x14ac:dyDescent="0.25">
      <c r="A1660" s="76">
        <v>43053</v>
      </c>
      <c r="B1660" s="77" t="s">
        <v>5616</v>
      </c>
      <c r="C1660" s="77" t="s">
        <v>4996</v>
      </c>
      <c r="D1660" s="77" t="s">
        <v>4997</v>
      </c>
      <c r="E1660" s="78">
        <v>200000</v>
      </c>
      <c r="F1660" s="77" t="s">
        <v>4806</v>
      </c>
      <c r="G1660" s="78">
        <v>101.15</v>
      </c>
      <c r="H1660" s="78">
        <v>101.15</v>
      </c>
      <c r="I1660" s="77" t="s">
        <v>4800</v>
      </c>
      <c r="L1660" s="3">
        <f>VLOOKUP(C1660,Securities!A:D,4,FALSE)</f>
        <v>5</v>
      </c>
      <c r="M1660" s="3" t="str">
        <f>VLOOKUP(C1660,Securities!A:B,2,FALSE)</f>
        <v>XS1577961516 Corp</v>
      </c>
      <c r="O1660" s="3">
        <f t="shared" si="26"/>
        <v>200000</v>
      </c>
    </row>
    <row r="1661" spans="1:15" x14ac:dyDescent="0.25">
      <c r="A1661" s="79">
        <v>43053</v>
      </c>
      <c r="B1661" s="80" t="s">
        <v>5616</v>
      </c>
      <c r="C1661" s="80" t="s">
        <v>5045</v>
      </c>
      <c r="D1661" s="80" t="s">
        <v>5046</v>
      </c>
      <c r="E1661" s="81">
        <v>231000</v>
      </c>
      <c r="F1661" s="80" t="s">
        <v>4806</v>
      </c>
      <c r="G1661" s="81">
        <v>99.875</v>
      </c>
      <c r="H1661" s="81">
        <v>99.875</v>
      </c>
      <c r="I1661" s="80" t="s">
        <v>4800</v>
      </c>
      <c r="L1661" s="3">
        <f>VLOOKUP(C1661,Securities!A:D,4,FALSE)</f>
        <v>5</v>
      </c>
      <c r="M1661" s="3" t="str">
        <f>VLOOKUP(C1661,Securities!A:B,2,FALSE)</f>
        <v>XS1069383856 Corp</v>
      </c>
      <c r="O1661" s="3">
        <f t="shared" si="26"/>
        <v>231000</v>
      </c>
    </row>
    <row r="1662" spans="1:15" x14ac:dyDescent="0.25">
      <c r="A1662" s="76">
        <v>43053</v>
      </c>
      <c r="B1662" s="77" t="s">
        <v>5616</v>
      </c>
      <c r="C1662" s="77" t="s">
        <v>4963</v>
      </c>
      <c r="D1662" s="77" t="s">
        <v>4964</v>
      </c>
      <c r="E1662" s="78">
        <v>200000</v>
      </c>
      <c r="F1662" s="77" t="s">
        <v>4806</v>
      </c>
      <c r="G1662" s="78">
        <v>97.655000000000001</v>
      </c>
      <c r="H1662" s="78">
        <v>97.655000000000001</v>
      </c>
      <c r="I1662" s="77" t="s">
        <v>4800</v>
      </c>
      <c r="L1662" s="3">
        <f>VLOOKUP(C1662,Securities!A:D,4,FALSE)</f>
        <v>5</v>
      </c>
      <c r="M1662" s="3" t="str">
        <f>VLOOKUP(C1662,Securities!A:B,2,FALSE)</f>
        <v>XS1439838548 Corp</v>
      </c>
      <c r="O1662" s="3">
        <f t="shared" si="26"/>
        <v>200000</v>
      </c>
    </row>
    <row r="1663" spans="1:15" x14ac:dyDescent="0.25">
      <c r="A1663" s="79">
        <v>43053</v>
      </c>
      <c r="B1663" s="80" t="s">
        <v>5616</v>
      </c>
      <c r="C1663" s="80" t="s">
        <v>4945</v>
      </c>
      <c r="D1663" s="80" t="s">
        <v>4946</v>
      </c>
      <c r="E1663" s="81">
        <v>200000</v>
      </c>
      <c r="F1663" s="80" t="s">
        <v>4806</v>
      </c>
      <c r="G1663" s="81">
        <v>100.405</v>
      </c>
      <c r="H1663" s="81">
        <v>100.405</v>
      </c>
      <c r="I1663" s="80" t="s">
        <v>4800</v>
      </c>
      <c r="L1663" s="3">
        <f>VLOOKUP(C1663,Securities!A:D,4,FALSE)</f>
        <v>5</v>
      </c>
      <c r="M1663" s="3" t="str">
        <f>VLOOKUP(C1663,Securities!A:B,2,FALSE)</f>
        <v>US456837AE31 Corp</v>
      </c>
      <c r="O1663" s="3">
        <f t="shared" si="26"/>
        <v>200000</v>
      </c>
    </row>
    <row r="1664" spans="1:15" x14ac:dyDescent="0.25">
      <c r="A1664" s="76">
        <v>43053</v>
      </c>
      <c r="B1664" s="77" t="s">
        <v>5616</v>
      </c>
      <c r="C1664" s="77" t="s">
        <v>4861</v>
      </c>
      <c r="D1664" s="77" t="s">
        <v>4862</v>
      </c>
      <c r="E1664" s="78">
        <v>200000</v>
      </c>
      <c r="F1664" s="77" t="s">
        <v>4806</v>
      </c>
      <c r="G1664" s="78">
        <v>104.25</v>
      </c>
      <c r="H1664" s="78">
        <v>104.25</v>
      </c>
      <c r="I1664" s="77" t="s">
        <v>4800</v>
      </c>
      <c r="L1664" s="3">
        <f>VLOOKUP(C1664,Securities!A:D,4,FALSE)</f>
        <v>5</v>
      </c>
      <c r="M1664" s="3" t="str">
        <f>VLOOKUP(C1664,Securities!A:B,2,FALSE)</f>
        <v>USA29866AA70 Corp</v>
      </c>
      <c r="O1664" s="3">
        <f t="shared" si="26"/>
        <v>200000</v>
      </c>
    </row>
    <row r="1665" spans="1:15" x14ac:dyDescent="0.25">
      <c r="A1665" s="79">
        <v>43053</v>
      </c>
      <c r="B1665" s="80" t="s">
        <v>5616</v>
      </c>
      <c r="C1665" s="80" t="s">
        <v>4998</v>
      </c>
      <c r="D1665" s="80" t="s">
        <v>4999</v>
      </c>
      <c r="E1665" s="81">
        <v>200000</v>
      </c>
      <c r="F1665" s="80" t="s">
        <v>4806</v>
      </c>
      <c r="G1665" s="81">
        <v>103.75</v>
      </c>
      <c r="H1665" s="81">
        <v>103.75</v>
      </c>
      <c r="I1665" s="80" t="s">
        <v>4800</v>
      </c>
      <c r="L1665" s="3">
        <f>VLOOKUP(C1665,Securities!A:D,4,FALSE)</f>
        <v>5</v>
      </c>
      <c r="M1665" s="3" t="str">
        <f>VLOOKUP(C1665,Securities!A:B,2,FALSE)</f>
        <v>XS1503116912 Corp</v>
      </c>
      <c r="O1665" s="3">
        <f t="shared" si="26"/>
        <v>200000</v>
      </c>
    </row>
    <row r="1666" spans="1:15" x14ac:dyDescent="0.25">
      <c r="A1666" s="76">
        <v>43053</v>
      </c>
      <c r="B1666" s="77" t="s">
        <v>5616</v>
      </c>
      <c r="C1666" s="77" t="s">
        <v>4819</v>
      </c>
      <c r="D1666" s="77" t="s">
        <v>4820</v>
      </c>
      <c r="E1666" s="78">
        <v>200000</v>
      </c>
      <c r="F1666" s="77" t="s">
        <v>4806</v>
      </c>
      <c r="G1666" s="78">
        <v>107</v>
      </c>
      <c r="H1666" s="78">
        <v>107</v>
      </c>
      <c r="I1666" s="77" t="s">
        <v>4800</v>
      </c>
      <c r="L1666" s="3">
        <f>VLOOKUP(C1666,Securities!A:D,4,FALSE)</f>
        <v>5</v>
      </c>
      <c r="M1666" s="3" t="str">
        <f>VLOOKUP(C1666,Securities!A:B,2,FALSE)</f>
        <v>XS0776121062 Corp</v>
      </c>
      <c r="O1666" s="3">
        <f t="shared" si="26"/>
        <v>200000</v>
      </c>
    </row>
    <row r="1667" spans="1:15" x14ac:dyDescent="0.25">
      <c r="A1667" s="79">
        <v>43053</v>
      </c>
      <c r="B1667" s="80" t="s">
        <v>5616</v>
      </c>
      <c r="C1667" s="80" t="s">
        <v>5049</v>
      </c>
      <c r="D1667" s="80" t="s">
        <v>5050</v>
      </c>
      <c r="E1667" s="81">
        <v>228000</v>
      </c>
      <c r="F1667" s="80" t="s">
        <v>4806</v>
      </c>
      <c r="G1667" s="81">
        <v>103</v>
      </c>
      <c r="H1667" s="81">
        <v>103</v>
      </c>
      <c r="I1667" s="80" t="s">
        <v>4800</v>
      </c>
      <c r="L1667" s="3">
        <f>VLOOKUP(C1667,Securities!A:D,4,FALSE)</f>
        <v>5</v>
      </c>
      <c r="M1667" s="3" t="str">
        <f>VLOOKUP(C1667,Securities!A:B,2,FALSE)</f>
        <v>US71654QCD25 Corp</v>
      </c>
      <c r="O1667" s="3">
        <f t="shared" si="26"/>
        <v>228000</v>
      </c>
    </row>
    <row r="1668" spans="1:15" x14ac:dyDescent="0.25">
      <c r="A1668" s="76">
        <v>43053</v>
      </c>
      <c r="B1668" s="77" t="s">
        <v>5616</v>
      </c>
      <c r="C1668" s="77" t="s">
        <v>5024</v>
      </c>
      <c r="D1668" s="77" t="s">
        <v>5025</v>
      </c>
      <c r="E1668" s="78">
        <v>200000</v>
      </c>
      <c r="F1668" s="77" t="s">
        <v>4806</v>
      </c>
      <c r="G1668" s="78">
        <v>100.85</v>
      </c>
      <c r="H1668" s="78">
        <v>100.85</v>
      </c>
      <c r="I1668" s="77" t="s">
        <v>4800</v>
      </c>
      <c r="L1668" s="3">
        <f>VLOOKUP(C1668,Securities!A:D,4,FALSE)</f>
        <v>5</v>
      </c>
      <c r="M1668" s="3" t="str">
        <f>VLOOKUP(C1668,Securities!A:B,2,FALSE)</f>
        <v>XS1405766384 Corp</v>
      </c>
      <c r="O1668" s="3">
        <f t="shared" si="26"/>
        <v>200000</v>
      </c>
    </row>
    <row r="1669" spans="1:15" x14ac:dyDescent="0.25">
      <c r="A1669" s="79">
        <v>43053</v>
      </c>
      <c r="B1669" s="80" t="s">
        <v>5616</v>
      </c>
      <c r="C1669" s="80" t="s">
        <v>5260</v>
      </c>
      <c r="D1669" s="80" t="s">
        <v>5261</v>
      </c>
      <c r="E1669" s="81">
        <v>200000</v>
      </c>
      <c r="F1669" s="80" t="s">
        <v>4806</v>
      </c>
      <c r="G1669" s="81">
        <v>99.875</v>
      </c>
      <c r="H1669" s="81">
        <v>99.875</v>
      </c>
      <c r="I1669" s="80" t="s">
        <v>4800</v>
      </c>
      <c r="L1669" s="3">
        <f>VLOOKUP(C1669,Securities!A:D,4,FALSE)</f>
        <v>5</v>
      </c>
      <c r="M1669" s="3" t="str">
        <f>VLOOKUP(C1669,Securities!A:B,2,FALSE)</f>
        <v>XS1085735899 Corp</v>
      </c>
      <c r="O1669" s="3">
        <f t="shared" si="26"/>
        <v>200000</v>
      </c>
    </row>
    <row r="1670" spans="1:15" x14ac:dyDescent="0.25">
      <c r="A1670" s="76">
        <v>43053</v>
      </c>
      <c r="B1670" s="77" t="s">
        <v>5616</v>
      </c>
      <c r="C1670" s="77" t="s">
        <v>4967</v>
      </c>
      <c r="D1670" s="77" t="s">
        <v>4968</v>
      </c>
      <c r="E1670" s="78">
        <v>200000</v>
      </c>
      <c r="F1670" s="77" t="s">
        <v>4806</v>
      </c>
      <c r="G1670" s="78">
        <v>113.35</v>
      </c>
      <c r="H1670" s="78">
        <v>113.35</v>
      </c>
      <c r="I1670" s="77" t="s">
        <v>4800</v>
      </c>
      <c r="L1670" s="3">
        <f>VLOOKUP(C1670,Securities!A:D,4,FALSE)</f>
        <v>5</v>
      </c>
      <c r="M1670" s="3" t="str">
        <f>VLOOKUP(C1670,Securities!A:B,2,FALSE)</f>
        <v>XS0979891925 Corp</v>
      </c>
      <c r="O1670" s="3">
        <f t="shared" ref="O1670:O1733" si="27">SUMIFS(E:E,C:C,C1670,B:B,B1670)</f>
        <v>200000</v>
      </c>
    </row>
    <row r="1671" spans="1:15" x14ac:dyDescent="0.25">
      <c r="A1671" s="79">
        <v>43053</v>
      </c>
      <c r="B1671" s="80" t="s">
        <v>5616</v>
      </c>
      <c r="C1671" s="80" t="s">
        <v>5587</v>
      </c>
      <c r="D1671" s="80" t="s">
        <v>3956</v>
      </c>
      <c r="E1671" s="81">
        <v>4250</v>
      </c>
      <c r="F1671" s="80" t="s">
        <v>4814</v>
      </c>
      <c r="G1671" s="81">
        <v>101.38302299999999</v>
      </c>
      <c r="H1671" s="81">
        <v>101.38302299999999</v>
      </c>
      <c r="I1671" s="80" t="s">
        <v>4800</v>
      </c>
      <c r="L1671" s="3">
        <f>VLOOKUP(C1671,Securities!A:D,4,FALSE)</f>
        <v>5</v>
      </c>
      <c r="M1671" s="3" t="str">
        <f>VLOOKUP(C1671,Securities!A:B,2,FALSE)</f>
        <v>RU000A0JRKC4 Corp</v>
      </c>
      <c r="O1671" s="3">
        <f t="shared" si="27"/>
        <v>4250</v>
      </c>
    </row>
    <row r="1672" spans="1:15" x14ac:dyDescent="0.25">
      <c r="A1672" s="76">
        <v>43053</v>
      </c>
      <c r="B1672" s="77" t="s">
        <v>5616</v>
      </c>
      <c r="C1672" s="77" t="s">
        <v>5620</v>
      </c>
      <c r="D1672" s="77" t="s">
        <v>1622</v>
      </c>
      <c r="E1672" s="78">
        <v>3500</v>
      </c>
      <c r="F1672" s="77" t="s">
        <v>4814</v>
      </c>
      <c r="G1672" s="78">
        <v>98.65</v>
      </c>
      <c r="H1672" s="78">
        <v>98.65</v>
      </c>
      <c r="I1672" s="77" t="s">
        <v>4800</v>
      </c>
      <c r="L1672" s="3">
        <f>VLOOKUP(C1672,Securities!A:D,4,FALSE)</f>
        <v>5</v>
      </c>
      <c r="M1672" s="3" t="str">
        <f>VLOOKUP(C1672,Securities!A:B,2,FALSE)</f>
        <v>RU000A0JTQU9 Corp</v>
      </c>
      <c r="O1672" s="3">
        <f t="shared" si="27"/>
        <v>3500</v>
      </c>
    </row>
    <row r="1673" spans="1:15" x14ac:dyDescent="0.25">
      <c r="A1673" s="79">
        <v>43053</v>
      </c>
      <c r="B1673" s="80" t="s">
        <v>5616</v>
      </c>
      <c r="C1673" s="80" t="s">
        <v>4986</v>
      </c>
      <c r="D1673" s="80" t="s">
        <v>4987</v>
      </c>
      <c r="E1673" s="81">
        <v>200000</v>
      </c>
      <c r="F1673" s="80" t="s">
        <v>4806</v>
      </c>
      <c r="G1673" s="81">
        <v>103.3</v>
      </c>
      <c r="H1673" s="81">
        <v>103.3</v>
      </c>
      <c r="I1673" s="80" t="s">
        <v>4800</v>
      </c>
      <c r="L1673" s="3">
        <f>VLOOKUP(C1673,Securities!A:D,4,FALSE)</f>
        <v>5</v>
      </c>
      <c r="M1673" s="3" t="str">
        <f>VLOOKUP(C1673,Securities!A:B,2,FALSE)</f>
        <v>USG9328DAM23 Corp</v>
      </c>
      <c r="O1673" s="3">
        <f t="shared" si="27"/>
        <v>200000</v>
      </c>
    </row>
    <row r="1674" spans="1:15" x14ac:dyDescent="0.25">
      <c r="A1674" s="76">
        <v>43053</v>
      </c>
      <c r="B1674" s="77" t="s">
        <v>5621</v>
      </c>
      <c r="C1674" s="77" t="s">
        <v>4973</v>
      </c>
      <c r="D1674" s="77" t="s">
        <v>23</v>
      </c>
      <c r="E1674" s="78">
        <v>1084</v>
      </c>
      <c r="F1674" s="77" t="s">
        <v>4974</v>
      </c>
      <c r="G1674" s="78">
        <v>100.51</v>
      </c>
      <c r="H1674" s="78">
        <v>100.51</v>
      </c>
      <c r="I1674" s="77" t="s">
        <v>4800</v>
      </c>
      <c r="L1674" s="3">
        <f>VLOOKUP(C1674,Securities!A:D,4,FALSE)</f>
        <v>5</v>
      </c>
      <c r="M1674" s="3" t="str">
        <f>VLOOKUP(C1674,Securities!A:B,2,FALSE)</f>
        <v>RU000A0JV7K7 Corp</v>
      </c>
      <c r="O1674" s="3">
        <f t="shared" si="27"/>
        <v>1084</v>
      </c>
    </row>
    <row r="1675" spans="1:15" x14ac:dyDescent="0.25">
      <c r="A1675" s="79">
        <v>43053</v>
      </c>
      <c r="B1675" s="80" t="s">
        <v>5621</v>
      </c>
      <c r="C1675" s="80" t="s">
        <v>4935</v>
      </c>
      <c r="D1675" s="80" t="s">
        <v>4936</v>
      </c>
      <c r="E1675" s="81">
        <v>3225</v>
      </c>
      <c r="F1675" s="80" t="s">
        <v>4799</v>
      </c>
      <c r="G1675" s="81">
        <v>1069.1800900000001</v>
      </c>
      <c r="H1675" s="81">
        <v>18.402632000000001</v>
      </c>
      <c r="I1675" s="80" t="s">
        <v>4800</v>
      </c>
      <c r="L1675" s="3">
        <f>VLOOKUP(C1675,Securities!A:D,4,FALSE)</f>
        <v>1</v>
      </c>
      <c r="M1675" s="3" t="str">
        <f>VLOOKUP(C1675,Securities!A:B,2,FALSE)</f>
        <v>AD NA Equity</v>
      </c>
      <c r="O1675" s="3">
        <f t="shared" si="27"/>
        <v>3225</v>
      </c>
    </row>
    <row r="1676" spans="1:15" x14ac:dyDescent="0.25">
      <c r="A1676" s="76">
        <v>43053</v>
      </c>
      <c r="B1676" s="77" t="s">
        <v>5621</v>
      </c>
      <c r="C1676" s="77" t="s">
        <v>4920</v>
      </c>
      <c r="D1676" s="77" t="s">
        <v>4921</v>
      </c>
      <c r="E1676" s="78">
        <v>8910</v>
      </c>
      <c r="F1676" s="77" t="s">
        <v>4898</v>
      </c>
      <c r="G1676" s="78">
        <v>654.77912300000003</v>
      </c>
      <c r="H1676" s="78">
        <v>11.27</v>
      </c>
      <c r="I1676" s="77" t="s">
        <v>4800</v>
      </c>
      <c r="L1676" s="3">
        <f>VLOOKUP(C1676,Securities!A:D,4,FALSE)</f>
        <v>1</v>
      </c>
      <c r="M1676" s="3" t="str">
        <f>VLOOKUP(C1676,Securities!A:B,2,FALSE)</f>
        <v>AMLP US Equity</v>
      </c>
      <c r="O1676" s="3">
        <f t="shared" si="27"/>
        <v>8910</v>
      </c>
    </row>
    <row r="1677" spans="1:15" x14ac:dyDescent="0.25">
      <c r="A1677" s="79">
        <v>43053</v>
      </c>
      <c r="B1677" s="80" t="s">
        <v>5621</v>
      </c>
      <c r="C1677" s="80" t="s">
        <v>4896</v>
      </c>
      <c r="D1677" s="80" t="s">
        <v>4897</v>
      </c>
      <c r="E1677" s="81">
        <v>3752</v>
      </c>
      <c r="F1677" s="80" t="s">
        <v>4898</v>
      </c>
      <c r="G1677" s="81">
        <v>1548.3115330000001</v>
      </c>
      <c r="H1677" s="81">
        <v>26.6494</v>
      </c>
      <c r="I1677" s="80" t="s">
        <v>4800</v>
      </c>
      <c r="L1677" s="3">
        <f>VLOOKUP(C1677,Securities!A:D,4,FALSE)</f>
        <v>1</v>
      </c>
      <c r="M1677" s="3" t="str">
        <f>VLOOKUP(C1677,Securities!A:B,2,FALSE)</f>
        <v>CNCR US Equity</v>
      </c>
      <c r="O1677" s="3">
        <f t="shared" si="27"/>
        <v>3752</v>
      </c>
    </row>
    <row r="1678" spans="1:15" x14ac:dyDescent="0.25">
      <c r="A1678" s="76">
        <v>43053</v>
      </c>
      <c r="B1678" s="77" t="s">
        <v>5621</v>
      </c>
      <c r="C1678" s="77" t="s">
        <v>4805</v>
      </c>
      <c r="D1678" s="77" t="s">
        <v>31</v>
      </c>
      <c r="E1678" s="78">
        <v>370000</v>
      </c>
      <c r="F1678" s="77" t="s">
        <v>4806</v>
      </c>
      <c r="G1678" s="78">
        <v>175.867459</v>
      </c>
      <c r="H1678" s="78">
        <v>175.867459</v>
      </c>
      <c r="I1678" s="77" t="s">
        <v>4800</v>
      </c>
      <c r="L1678" s="3">
        <f>VLOOKUP(C1678,Securities!A:D,4,FALSE)</f>
        <v>5</v>
      </c>
      <c r="M1678" s="3" t="str">
        <f>VLOOKUP(C1678,Securities!A:B,2,FALSE)</f>
        <v>TT343269 Corp</v>
      </c>
      <c r="O1678" s="3">
        <f t="shared" si="27"/>
        <v>370000</v>
      </c>
    </row>
    <row r="1679" spans="1:15" x14ac:dyDescent="0.25">
      <c r="A1679" s="79">
        <v>43053</v>
      </c>
      <c r="B1679" s="80" t="s">
        <v>5621</v>
      </c>
      <c r="C1679" s="80" t="s">
        <v>4899</v>
      </c>
      <c r="D1679" s="80" t="s">
        <v>4900</v>
      </c>
      <c r="E1679" s="81">
        <v>18980</v>
      </c>
      <c r="F1679" s="80" t="s">
        <v>4799</v>
      </c>
      <c r="G1679" s="81">
        <v>206.58922899999999</v>
      </c>
      <c r="H1679" s="81">
        <v>3.4244270000000001</v>
      </c>
      <c r="I1679" s="80" t="s">
        <v>4800</v>
      </c>
      <c r="L1679" s="3">
        <f>VLOOKUP(C1679,Securities!A:D,4,FALSE)</f>
        <v>1</v>
      </c>
      <c r="M1679" s="3" t="str">
        <f>VLOOKUP(C1679,Securities!A:B,2,FALSE)</f>
        <v>EVR LN Equity</v>
      </c>
      <c r="O1679" s="3">
        <f t="shared" si="27"/>
        <v>18980</v>
      </c>
    </row>
    <row r="1680" spans="1:15" x14ac:dyDescent="0.25">
      <c r="A1680" s="76">
        <v>43053</v>
      </c>
      <c r="B1680" s="77" t="s">
        <v>5621</v>
      </c>
      <c r="C1680" s="77" t="s">
        <v>4901</v>
      </c>
      <c r="D1680" s="77" t="s">
        <v>4902</v>
      </c>
      <c r="E1680" s="78">
        <v>1205</v>
      </c>
      <c r="F1680" s="77" t="s">
        <v>4804</v>
      </c>
      <c r="G1680" s="78">
        <v>2408.0125630000002</v>
      </c>
      <c r="H1680" s="78">
        <v>41.446497000000001</v>
      </c>
      <c r="I1680" s="77" t="s">
        <v>4800</v>
      </c>
      <c r="L1680" s="3">
        <f>VLOOKUP(C1680,Securities!A:D,4,FALSE)</f>
        <v>1</v>
      </c>
      <c r="M1680" s="3" t="str">
        <f>VLOOKUP(C1680,Securities!A:B,2,FALSE)</f>
        <v>FIVE LI Equity</v>
      </c>
      <c r="O1680" s="3">
        <f t="shared" si="27"/>
        <v>1205</v>
      </c>
    </row>
    <row r="1681" spans="1:15" x14ac:dyDescent="0.25">
      <c r="A1681" s="79">
        <v>43053</v>
      </c>
      <c r="B1681" s="80" t="s">
        <v>5621</v>
      </c>
      <c r="C1681" s="80" t="s">
        <v>5310</v>
      </c>
      <c r="D1681" s="80" t="s">
        <v>5311</v>
      </c>
      <c r="E1681" s="81">
        <v>6065</v>
      </c>
      <c r="F1681" s="80" t="s">
        <v>4898</v>
      </c>
      <c r="G1681" s="81">
        <v>1402.000239</v>
      </c>
      <c r="H1681" s="81">
        <v>23.810206000000001</v>
      </c>
      <c r="I1681" s="80" t="s">
        <v>4800</v>
      </c>
      <c r="L1681" s="3">
        <f>VLOOKUP(C1681,Securities!A:D,4,FALSE)</f>
        <v>1</v>
      </c>
      <c r="M1681" s="3" t="str">
        <f>VLOOKUP(C1681,Securities!A:B,2,FALSE)</f>
        <v>GDX US Equity</v>
      </c>
      <c r="O1681" s="3">
        <f t="shared" si="27"/>
        <v>6065</v>
      </c>
    </row>
    <row r="1682" spans="1:15" x14ac:dyDescent="0.25">
      <c r="A1682" s="76">
        <v>43053</v>
      </c>
      <c r="B1682" s="77" t="s">
        <v>5621</v>
      </c>
      <c r="C1682" s="77" t="s">
        <v>5043</v>
      </c>
      <c r="D1682" s="77" t="s">
        <v>5044</v>
      </c>
      <c r="E1682" s="78">
        <v>200000</v>
      </c>
      <c r="F1682" s="77" t="s">
        <v>4806</v>
      </c>
      <c r="G1682" s="78">
        <v>101</v>
      </c>
      <c r="H1682" s="78">
        <v>101</v>
      </c>
      <c r="I1682" s="77" t="s">
        <v>4800</v>
      </c>
      <c r="L1682" s="3">
        <f>VLOOKUP(C1682,Securities!A:D,4,FALSE)</f>
        <v>5</v>
      </c>
      <c r="M1682" s="3" t="str">
        <f>VLOOKUP(C1682,Securities!A:B,2,FALSE)</f>
        <v>XS0547082973 Corp</v>
      </c>
      <c r="O1682" s="3">
        <f t="shared" si="27"/>
        <v>200000</v>
      </c>
    </row>
    <row r="1683" spans="1:15" x14ac:dyDescent="0.25">
      <c r="A1683" s="79">
        <v>43053</v>
      </c>
      <c r="B1683" s="80" t="s">
        <v>5621</v>
      </c>
      <c r="C1683" s="80" t="s">
        <v>4970</v>
      </c>
      <c r="D1683" s="80" t="s">
        <v>4971</v>
      </c>
      <c r="E1683" s="81">
        <v>700</v>
      </c>
      <c r="F1683" s="80" t="s">
        <v>4799</v>
      </c>
      <c r="G1683" s="81">
        <v>4010.8362299999999</v>
      </c>
      <c r="H1683" s="81">
        <v>70.180000000000007</v>
      </c>
      <c r="I1683" s="80" t="s">
        <v>4800</v>
      </c>
      <c r="L1683" s="3">
        <f>VLOOKUP(C1683,Securities!A:D,4,FALSE)</f>
        <v>1</v>
      </c>
      <c r="M1683" s="3" t="str">
        <f>VLOOKUP(C1683,Securities!A:B,2,FALSE)</f>
        <v>GILD US Equity</v>
      </c>
      <c r="O1683" s="3">
        <f t="shared" si="27"/>
        <v>700</v>
      </c>
    </row>
    <row r="1684" spans="1:15" x14ac:dyDescent="0.25">
      <c r="A1684" s="76">
        <v>43053</v>
      </c>
      <c r="B1684" s="77" t="s">
        <v>5621</v>
      </c>
      <c r="C1684" s="77" t="s">
        <v>4903</v>
      </c>
      <c r="D1684" s="77" t="s">
        <v>4904</v>
      </c>
      <c r="E1684" s="78">
        <v>200000</v>
      </c>
      <c r="F1684" s="77" t="s">
        <v>4806</v>
      </c>
      <c r="G1684" s="78">
        <v>105.75</v>
      </c>
      <c r="H1684" s="78">
        <v>105.75</v>
      </c>
      <c r="I1684" s="77" t="s">
        <v>4800</v>
      </c>
      <c r="L1684" s="3">
        <f>VLOOKUP(C1684,Securities!A:D,4,FALSE)</f>
        <v>5</v>
      </c>
      <c r="M1684" s="3" t="str">
        <f>VLOOKUP(C1684,Securities!A:B,2,FALSE)</f>
        <v>XS1319813769 Corp</v>
      </c>
      <c r="O1684" s="3">
        <f t="shared" si="27"/>
        <v>200000</v>
      </c>
    </row>
    <row r="1685" spans="1:15" x14ac:dyDescent="0.25">
      <c r="A1685" s="79">
        <v>43053</v>
      </c>
      <c r="B1685" s="80" t="s">
        <v>5621</v>
      </c>
      <c r="C1685" s="80" t="s">
        <v>4994</v>
      </c>
      <c r="D1685" s="80" t="s">
        <v>4995</v>
      </c>
      <c r="E1685" s="81">
        <v>2618</v>
      </c>
      <c r="F1685" s="80" t="s">
        <v>4799</v>
      </c>
      <c r="G1685" s="81">
        <v>1146.1308369999999</v>
      </c>
      <c r="H1685" s="81">
        <v>19.124555999999998</v>
      </c>
      <c r="I1685" s="80" t="s">
        <v>4800</v>
      </c>
      <c r="L1685" s="3">
        <f>VLOOKUP(C1685,Securities!A:D,4,FALSE)</f>
        <v>1</v>
      </c>
      <c r="M1685" s="3" t="str">
        <f>VLOOKUP(C1685,Securities!A:B,2,FALSE)</f>
        <v>GSK LN Equity</v>
      </c>
      <c r="O1685" s="3">
        <f t="shared" si="27"/>
        <v>2618</v>
      </c>
    </row>
    <row r="1686" spans="1:15" x14ac:dyDescent="0.25">
      <c r="A1686" s="76">
        <v>43053</v>
      </c>
      <c r="B1686" s="77" t="s">
        <v>5621</v>
      </c>
      <c r="C1686" s="77" t="s">
        <v>5086</v>
      </c>
      <c r="D1686" s="77" t="s">
        <v>5087</v>
      </c>
      <c r="E1686" s="78">
        <v>200000</v>
      </c>
      <c r="F1686" s="77" t="s">
        <v>4806</v>
      </c>
      <c r="G1686" s="78">
        <v>109.35</v>
      </c>
      <c r="H1686" s="78">
        <v>109.35</v>
      </c>
      <c r="I1686" s="77" t="s">
        <v>4800</v>
      </c>
      <c r="L1686" s="3">
        <f>VLOOKUP(C1686,Securities!A:D,4,FALSE)</f>
        <v>5</v>
      </c>
      <c r="M1686" s="3" t="str">
        <f>VLOOKUP(C1686,Securities!A:B,2,FALSE)</f>
        <v>EJ951547 Corp</v>
      </c>
      <c r="O1686" s="3">
        <f t="shared" si="27"/>
        <v>200000</v>
      </c>
    </row>
    <row r="1687" spans="1:15" x14ac:dyDescent="0.25">
      <c r="A1687" s="79">
        <v>43053</v>
      </c>
      <c r="B1687" s="80" t="s">
        <v>5621</v>
      </c>
      <c r="C1687" s="80" t="s">
        <v>5045</v>
      </c>
      <c r="D1687" s="80" t="s">
        <v>5046</v>
      </c>
      <c r="E1687" s="81">
        <v>200000</v>
      </c>
      <c r="F1687" s="80" t="s">
        <v>4806</v>
      </c>
      <c r="G1687" s="81">
        <v>100.375</v>
      </c>
      <c r="H1687" s="81">
        <v>100.375</v>
      </c>
      <c r="I1687" s="80" t="s">
        <v>4800</v>
      </c>
      <c r="L1687" s="3">
        <f>VLOOKUP(C1687,Securities!A:D,4,FALSE)</f>
        <v>5</v>
      </c>
      <c r="M1687" s="3" t="str">
        <f>VLOOKUP(C1687,Securities!A:B,2,FALSE)</f>
        <v>XS1069383856 Corp</v>
      </c>
      <c r="O1687" s="3">
        <f t="shared" si="27"/>
        <v>200000</v>
      </c>
    </row>
    <row r="1688" spans="1:15" x14ac:dyDescent="0.25">
      <c r="A1688" s="76">
        <v>43053</v>
      </c>
      <c r="B1688" s="77" t="s">
        <v>5621</v>
      </c>
      <c r="C1688" s="77" t="s">
        <v>4963</v>
      </c>
      <c r="D1688" s="77" t="s">
        <v>4964</v>
      </c>
      <c r="E1688" s="78">
        <v>200000</v>
      </c>
      <c r="F1688" s="77" t="s">
        <v>4806</v>
      </c>
      <c r="G1688" s="78">
        <v>101</v>
      </c>
      <c r="H1688" s="78">
        <v>101</v>
      </c>
      <c r="I1688" s="77" t="s">
        <v>4800</v>
      </c>
      <c r="L1688" s="3">
        <f>VLOOKUP(C1688,Securities!A:D,4,FALSE)</f>
        <v>5</v>
      </c>
      <c r="M1688" s="3" t="str">
        <f>VLOOKUP(C1688,Securities!A:B,2,FALSE)</f>
        <v>XS1439838548 Corp</v>
      </c>
      <c r="O1688" s="3">
        <f t="shared" si="27"/>
        <v>200000</v>
      </c>
    </row>
    <row r="1689" spans="1:15" x14ac:dyDescent="0.25">
      <c r="A1689" s="79">
        <v>43053</v>
      </c>
      <c r="B1689" s="80" t="s">
        <v>5621</v>
      </c>
      <c r="C1689" s="80" t="s">
        <v>4811</v>
      </c>
      <c r="D1689" s="80" t="s">
        <v>4659</v>
      </c>
      <c r="E1689" s="81">
        <v>15160</v>
      </c>
      <c r="F1689" s="80" t="s">
        <v>4799</v>
      </c>
      <c r="G1689" s="81">
        <v>120.95658400000001</v>
      </c>
      <c r="H1689" s="81">
        <v>2.1607370000000001</v>
      </c>
      <c r="I1689" s="80" t="s">
        <v>4800</v>
      </c>
      <c r="L1689" s="3">
        <f>VLOOKUP(C1689,Securities!A:D,4,FALSE)</f>
        <v>1</v>
      </c>
      <c r="M1689" s="3" t="str">
        <f>VLOOKUP(C1689,Securities!A:B,2,FALSE)</f>
        <v>HGM LN Equity</v>
      </c>
      <c r="O1689" s="3">
        <f t="shared" si="27"/>
        <v>15160</v>
      </c>
    </row>
    <row r="1690" spans="1:15" x14ac:dyDescent="0.25">
      <c r="A1690" s="76">
        <v>43053</v>
      </c>
      <c r="B1690" s="77" t="s">
        <v>5621</v>
      </c>
      <c r="C1690" s="77" t="s">
        <v>4911</v>
      </c>
      <c r="D1690" s="77" t="s">
        <v>405</v>
      </c>
      <c r="E1690" s="78">
        <v>137000</v>
      </c>
      <c r="F1690" s="77" t="s">
        <v>4810</v>
      </c>
      <c r="G1690" s="78">
        <v>42.320633000000001</v>
      </c>
      <c r="H1690" s="78">
        <v>0.72841800000000001</v>
      </c>
      <c r="I1690" s="77" t="s">
        <v>4800</v>
      </c>
      <c r="L1690" s="3">
        <f>VLOOKUP(C1690,Securities!A:D,4,FALSE)</f>
        <v>1</v>
      </c>
      <c r="M1690" s="3" t="str">
        <f>VLOOKUP(C1690,Securities!A:B,2,FALSE)</f>
        <v>MAGN RX Equity</v>
      </c>
      <c r="O1690" s="3">
        <f t="shared" si="27"/>
        <v>137000</v>
      </c>
    </row>
    <row r="1691" spans="1:15" x14ac:dyDescent="0.25">
      <c r="A1691" s="79">
        <v>43053</v>
      </c>
      <c r="B1691" s="80" t="s">
        <v>5621</v>
      </c>
      <c r="C1691" s="80" t="s">
        <v>4998</v>
      </c>
      <c r="D1691" s="80" t="s">
        <v>4999</v>
      </c>
      <c r="E1691" s="81">
        <v>200000</v>
      </c>
      <c r="F1691" s="80" t="s">
        <v>4806</v>
      </c>
      <c r="G1691" s="81">
        <v>103.75</v>
      </c>
      <c r="H1691" s="81">
        <v>103.75</v>
      </c>
      <c r="I1691" s="80" t="s">
        <v>4800</v>
      </c>
      <c r="L1691" s="3">
        <f>VLOOKUP(C1691,Securities!A:D,4,FALSE)</f>
        <v>5</v>
      </c>
      <c r="M1691" s="3" t="str">
        <f>VLOOKUP(C1691,Securities!A:B,2,FALSE)</f>
        <v>XS1503116912 Corp</v>
      </c>
      <c r="O1691" s="3">
        <f t="shared" si="27"/>
        <v>200000</v>
      </c>
    </row>
    <row r="1692" spans="1:15" x14ac:dyDescent="0.25">
      <c r="A1692" s="76">
        <v>43053</v>
      </c>
      <c r="B1692" s="77" t="s">
        <v>5621</v>
      </c>
      <c r="C1692" s="77" t="s">
        <v>4848</v>
      </c>
      <c r="D1692" s="77" t="s">
        <v>511</v>
      </c>
      <c r="E1692" s="78">
        <v>4900</v>
      </c>
      <c r="F1692" s="77" t="s">
        <v>4810</v>
      </c>
      <c r="G1692" s="78">
        <v>611.26645199999996</v>
      </c>
      <c r="H1692" s="78">
        <v>10.199707999999999</v>
      </c>
      <c r="I1692" s="77" t="s">
        <v>4800</v>
      </c>
      <c r="L1692" s="3">
        <f>VLOOKUP(C1692,Securities!A:D,4,FALSE)</f>
        <v>1</v>
      </c>
      <c r="M1692" s="3" t="str">
        <f>VLOOKUP(C1692,Securities!A:B,2,FALSE)</f>
        <v>NVTK RX Equity</v>
      </c>
      <c r="O1692" s="3">
        <f t="shared" si="27"/>
        <v>4900</v>
      </c>
    </row>
    <row r="1693" spans="1:15" x14ac:dyDescent="0.25">
      <c r="A1693" s="79">
        <v>43053</v>
      </c>
      <c r="B1693" s="80" t="s">
        <v>5621</v>
      </c>
      <c r="C1693" s="80" t="s">
        <v>5024</v>
      </c>
      <c r="D1693" s="80" t="s">
        <v>5025</v>
      </c>
      <c r="E1693" s="81">
        <v>200000</v>
      </c>
      <c r="F1693" s="80" t="s">
        <v>4806</v>
      </c>
      <c r="G1693" s="81">
        <v>100.15</v>
      </c>
      <c r="H1693" s="81">
        <v>100.15</v>
      </c>
      <c r="I1693" s="80" t="s">
        <v>4800</v>
      </c>
      <c r="L1693" s="3">
        <f>VLOOKUP(C1693,Securities!A:D,4,FALSE)</f>
        <v>5</v>
      </c>
      <c r="M1693" s="3" t="str">
        <f>VLOOKUP(C1693,Securities!A:B,2,FALSE)</f>
        <v>XS1405766384 Corp</v>
      </c>
      <c r="O1693" s="3">
        <f t="shared" si="27"/>
        <v>200000</v>
      </c>
    </row>
    <row r="1694" spans="1:15" x14ac:dyDescent="0.25">
      <c r="A1694" s="76">
        <v>43053</v>
      </c>
      <c r="B1694" s="77" t="s">
        <v>5621</v>
      </c>
      <c r="C1694" s="77" t="s">
        <v>4892</v>
      </c>
      <c r="D1694" s="77" t="s">
        <v>568</v>
      </c>
      <c r="E1694" s="78">
        <v>3424</v>
      </c>
      <c r="F1694" s="77" t="s">
        <v>4810</v>
      </c>
      <c r="G1694" s="78">
        <v>3910.0979299999999</v>
      </c>
      <c r="H1694" s="78">
        <v>66.176945000000003</v>
      </c>
      <c r="I1694" s="77" t="s">
        <v>4800</v>
      </c>
      <c r="L1694" s="3">
        <f>VLOOKUP(C1694,Securities!A:D,4,FALSE)</f>
        <v>1</v>
      </c>
      <c r="M1694" s="3" t="str">
        <f>VLOOKUP(C1694,Securities!A:B,2,FALSE)</f>
        <v>PLZL RX Equity</v>
      </c>
      <c r="O1694" s="3">
        <f t="shared" si="27"/>
        <v>3424</v>
      </c>
    </row>
    <row r="1695" spans="1:15" x14ac:dyDescent="0.25">
      <c r="A1695" s="79">
        <v>43053</v>
      </c>
      <c r="B1695" s="80" t="s">
        <v>5621</v>
      </c>
      <c r="C1695" s="80" t="s">
        <v>4967</v>
      </c>
      <c r="D1695" s="80" t="s">
        <v>4968</v>
      </c>
      <c r="E1695" s="81">
        <v>200000</v>
      </c>
      <c r="F1695" s="80" t="s">
        <v>4806</v>
      </c>
      <c r="G1695" s="81">
        <v>112.405</v>
      </c>
      <c r="H1695" s="81">
        <v>112.405</v>
      </c>
      <c r="I1695" s="80" t="s">
        <v>4800</v>
      </c>
      <c r="L1695" s="3">
        <f>VLOOKUP(C1695,Securities!A:D,4,FALSE)</f>
        <v>5</v>
      </c>
      <c r="M1695" s="3" t="str">
        <f>VLOOKUP(C1695,Securities!A:B,2,FALSE)</f>
        <v>XS0979891925 Corp</v>
      </c>
      <c r="O1695" s="3">
        <f t="shared" si="27"/>
        <v>200000</v>
      </c>
    </row>
    <row r="1696" spans="1:15" x14ac:dyDescent="0.25">
      <c r="A1696" s="76">
        <v>43053</v>
      </c>
      <c r="B1696" s="77" t="s">
        <v>5621</v>
      </c>
      <c r="C1696" s="77" t="s">
        <v>4986</v>
      </c>
      <c r="D1696" s="77" t="s">
        <v>4987</v>
      </c>
      <c r="E1696" s="78">
        <v>200000</v>
      </c>
      <c r="F1696" s="77" t="s">
        <v>4806</v>
      </c>
      <c r="G1696" s="78">
        <v>102.03</v>
      </c>
      <c r="H1696" s="78">
        <v>102.03</v>
      </c>
      <c r="I1696" s="77" t="s">
        <v>4800</v>
      </c>
      <c r="L1696" s="3">
        <f>VLOOKUP(C1696,Securities!A:D,4,FALSE)</f>
        <v>5</v>
      </c>
      <c r="M1696" s="3" t="str">
        <f>VLOOKUP(C1696,Securities!A:B,2,FALSE)</f>
        <v>USG9328DAM23 Corp</v>
      </c>
      <c r="O1696" s="3">
        <f t="shared" si="27"/>
        <v>200000</v>
      </c>
    </row>
    <row r="1697" spans="1:15" x14ac:dyDescent="0.25">
      <c r="A1697" s="79">
        <v>43053</v>
      </c>
      <c r="B1697" s="80" t="s">
        <v>5622</v>
      </c>
      <c r="C1697" s="80" t="s">
        <v>4869</v>
      </c>
      <c r="D1697" s="80" t="s">
        <v>4870</v>
      </c>
      <c r="E1697" s="81">
        <v>50000</v>
      </c>
      <c r="F1697" s="80" t="s">
        <v>4838</v>
      </c>
      <c r="G1697" s="81">
        <v>100</v>
      </c>
      <c r="H1697" s="81">
        <v>100</v>
      </c>
      <c r="I1697" s="80" t="s">
        <v>4800</v>
      </c>
      <c r="L1697" s="3">
        <f>VLOOKUP(C1697,Securities!A:D,4,FALSE)</f>
        <v>5</v>
      </c>
      <c r="M1697" s="3" t="str">
        <f>VLOOKUP(C1697,Securities!A:B,2,FALSE)</f>
        <v>CH0384862550 Corp</v>
      </c>
      <c r="O1697" s="3">
        <f t="shared" si="27"/>
        <v>50000</v>
      </c>
    </row>
    <row r="1698" spans="1:15" x14ac:dyDescent="0.25">
      <c r="A1698" s="76">
        <v>43053</v>
      </c>
      <c r="B1698" s="77" t="s">
        <v>5622</v>
      </c>
      <c r="C1698" s="77" t="s">
        <v>4805</v>
      </c>
      <c r="D1698" s="77" t="s">
        <v>31</v>
      </c>
      <c r="E1698" s="78">
        <v>55000</v>
      </c>
      <c r="F1698" s="77" t="s">
        <v>4806</v>
      </c>
      <c r="G1698" s="78">
        <v>177.25</v>
      </c>
      <c r="H1698" s="78">
        <v>177.25</v>
      </c>
      <c r="I1698" s="77" t="s">
        <v>4800</v>
      </c>
      <c r="L1698" s="3">
        <f>VLOOKUP(C1698,Securities!A:D,4,FALSE)</f>
        <v>5</v>
      </c>
      <c r="M1698" s="3" t="str">
        <f>VLOOKUP(C1698,Securities!A:B,2,FALSE)</f>
        <v>TT343269 Corp</v>
      </c>
      <c r="O1698" s="3">
        <f t="shared" si="27"/>
        <v>55000</v>
      </c>
    </row>
    <row r="1699" spans="1:15" x14ac:dyDescent="0.25">
      <c r="A1699" s="79">
        <v>43053</v>
      </c>
      <c r="B1699" s="80" t="s">
        <v>5622</v>
      </c>
      <c r="C1699" s="80" t="s">
        <v>4811</v>
      </c>
      <c r="D1699" s="80" t="s">
        <v>4659</v>
      </c>
      <c r="E1699" s="81">
        <v>27500</v>
      </c>
      <c r="F1699" s="80" t="s">
        <v>4799</v>
      </c>
      <c r="G1699" s="81">
        <v>110.01875200000001</v>
      </c>
      <c r="H1699" s="81">
        <v>1.828052</v>
      </c>
      <c r="I1699" s="80" t="s">
        <v>4800</v>
      </c>
      <c r="L1699" s="3">
        <f>VLOOKUP(C1699,Securities!A:D,4,FALSE)</f>
        <v>1</v>
      </c>
      <c r="M1699" s="3" t="str">
        <f>VLOOKUP(C1699,Securities!A:B,2,FALSE)</f>
        <v>HGM LN Equity</v>
      </c>
      <c r="O1699" s="3">
        <f t="shared" si="27"/>
        <v>27500</v>
      </c>
    </row>
    <row r="1700" spans="1:15" x14ac:dyDescent="0.25">
      <c r="A1700" s="76">
        <v>43053</v>
      </c>
      <c r="B1700" s="77" t="s">
        <v>5622</v>
      </c>
      <c r="C1700" s="77" t="s">
        <v>4851</v>
      </c>
      <c r="D1700" s="77" t="s">
        <v>4744</v>
      </c>
      <c r="E1700" s="78">
        <v>250000</v>
      </c>
      <c r="F1700" s="77" t="s">
        <v>4806</v>
      </c>
      <c r="G1700" s="78">
        <v>101.375</v>
      </c>
      <c r="H1700" s="78">
        <v>101.375</v>
      </c>
      <c r="I1700" s="77" t="s">
        <v>4800</v>
      </c>
      <c r="L1700" s="3">
        <f>VLOOKUP(C1700,Securities!A:D,4,FALSE)</f>
        <v>5</v>
      </c>
      <c r="M1700" s="3" t="str">
        <f>VLOOKUP(C1700,Securities!A:B,2,FALSE)</f>
        <v>XS1032750165 Corp</v>
      </c>
      <c r="O1700" s="3">
        <f t="shared" si="27"/>
        <v>250000</v>
      </c>
    </row>
    <row r="1701" spans="1:15" x14ac:dyDescent="0.25">
      <c r="A1701" s="79">
        <v>43053</v>
      </c>
      <c r="B1701" s="80" t="s">
        <v>5623</v>
      </c>
      <c r="C1701" s="80" t="s">
        <v>4869</v>
      </c>
      <c r="D1701" s="80" t="s">
        <v>4870</v>
      </c>
      <c r="E1701" s="81">
        <v>150000</v>
      </c>
      <c r="F1701" s="80" t="s">
        <v>4838</v>
      </c>
      <c r="G1701" s="81">
        <v>100</v>
      </c>
      <c r="H1701" s="81">
        <v>100</v>
      </c>
      <c r="I1701" s="80" t="s">
        <v>4800</v>
      </c>
      <c r="L1701" s="3">
        <f>VLOOKUP(C1701,Securities!A:D,4,FALSE)</f>
        <v>5</v>
      </c>
      <c r="M1701" s="3" t="str">
        <f>VLOOKUP(C1701,Securities!A:B,2,FALSE)</f>
        <v>CH0384862550 Corp</v>
      </c>
      <c r="O1701" s="3">
        <f t="shared" si="27"/>
        <v>150000</v>
      </c>
    </row>
    <row r="1702" spans="1:15" x14ac:dyDescent="0.25">
      <c r="A1702" s="76">
        <v>43053</v>
      </c>
      <c r="B1702" s="77" t="s">
        <v>5623</v>
      </c>
      <c r="C1702" s="77" t="s">
        <v>4805</v>
      </c>
      <c r="D1702" s="77" t="s">
        <v>31</v>
      </c>
      <c r="E1702" s="78">
        <v>70000</v>
      </c>
      <c r="F1702" s="77" t="s">
        <v>4806</v>
      </c>
      <c r="G1702" s="78">
        <v>175.4675</v>
      </c>
      <c r="H1702" s="78">
        <v>175.4675</v>
      </c>
      <c r="I1702" s="77" t="s">
        <v>4800</v>
      </c>
      <c r="L1702" s="3">
        <f>VLOOKUP(C1702,Securities!A:D,4,FALSE)</f>
        <v>5</v>
      </c>
      <c r="M1702" s="3" t="str">
        <f>VLOOKUP(C1702,Securities!A:B,2,FALSE)</f>
        <v>TT343269 Corp</v>
      </c>
      <c r="O1702" s="3">
        <f t="shared" si="27"/>
        <v>70000</v>
      </c>
    </row>
    <row r="1703" spans="1:15" x14ac:dyDescent="0.25">
      <c r="A1703" s="79">
        <v>43053</v>
      </c>
      <c r="B1703" s="80" t="s">
        <v>5623</v>
      </c>
      <c r="C1703" s="80" t="s">
        <v>4811</v>
      </c>
      <c r="D1703" s="80" t="s">
        <v>4659</v>
      </c>
      <c r="E1703" s="81">
        <v>26800</v>
      </c>
      <c r="F1703" s="80" t="s">
        <v>4799</v>
      </c>
      <c r="G1703" s="81">
        <v>134.76005499999999</v>
      </c>
      <c r="H1703" s="81">
        <v>2.3339599999999998</v>
      </c>
      <c r="I1703" s="80" t="s">
        <v>4800</v>
      </c>
      <c r="L1703" s="3">
        <f>VLOOKUP(C1703,Securities!A:D,4,FALSE)</f>
        <v>1</v>
      </c>
      <c r="M1703" s="3" t="str">
        <f>VLOOKUP(C1703,Securities!A:B,2,FALSE)</f>
        <v>HGM LN Equity</v>
      </c>
      <c r="O1703" s="3">
        <f t="shared" si="27"/>
        <v>26800</v>
      </c>
    </row>
    <row r="1704" spans="1:15" x14ac:dyDescent="0.25">
      <c r="A1704" s="76">
        <v>43053</v>
      </c>
      <c r="B1704" s="77" t="s">
        <v>5623</v>
      </c>
      <c r="C1704" s="77" t="s">
        <v>4821</v>
      </c>
      <c r="D1704" s="77" t="s">
        <v>42</v>
      </c>
      <c r="E1704" s="78">
        <v>5150</v>
      </c>
      <c r="F1704" s="77" t="s">
        <v>4799</v>
      </c>
      <c r="G1704" s="78">
        <v>701.03895599999998</v>
      </c>
      <c r="H1704" s="78">
        <v>12.141557000000001</v>
      </c>
      <c r="I1704" s="77" t="s">
        <v>4800</v>
      </c>
      <c r="L1704" s="3">
        <f>VLOOKUP(C1704,Securities!A:D,4,FALSE)</f>
        <v>1</v>
      </c>
      <c r="M1704" s="3" t="str">
        <f>VLOOKUP(C1704,Securities!A:B,2,FALSE)</f>
        <v>POLY LN Equity</v>
      </c>
      <c r="O1704" s="3">
        <f t="shared" si="27"/>
        <v>5150</v>
      </c>
    </row>
    <row r="1705" spans="1:15" x14ac:dyDescent="0.25">
      <c r="A1705" s="79">
        <v>43053</v>
      </c>
      <c r="B1705" s="80" t="s">
        <v>5624</v>
      </c>
      <c r="C1705" s="80" t="s">
        <v>4798</v>
      </c>
      <c r="D1705" s="80" t="s">
        <v>45</v>
      </c>
      <c r="E1705" s="81">
        <v>70000</v>
      </c>
      <c r="F1705" s="80" t="s">
        <v>4799</v>
      </c>
      <c r="G1705" s="81">
        <v>37.520000000000003</v>
      </c>
      <c r="H1705" s="81">
        <v>0.65511799999999998</v>
      </c>
      <c r="I1705" s="80" t="s">
        <v>4800</v>
      </c>
      <c r="L1705" s="3">
        <f>VLOOKUP(C1705,Securities!A:D,4,FALSE)</f>
        <v>1</v>
      </c>
      <c r="M1705" s="3" t="str">
        <f>VLOOKUP(C1705,Securities!A:B,2,FALSE)</f>
        <v>RUAL RX Equity</v>
      </c>
      <c r="O1705" s="3">
        <f t="shared" si="27"/>
        <v>70000</v>
      </c>
    </row>
    <row r="1706" spans="1:15" x14ac:dyDescent="0.25">
      <c r="A1706" s="76">
        <v>43053</v>
      </c>
      <c r="B1706" s="77" t="s">
        <v>5624</v>
      </c>
      <c r="C1706" s="77" t="s">
        <v>4895</v>
      </c>
      <c r="D1706" s="77" t="s">
        <v>144</v>
      </c>
      <c r="E1706" s="78">
        <v>1532</v>
      </c>
      <c r="F1706" s="77" t="s">
        <v>4810</v>
      </c>
      <c r="G1706" s="78">
        <v>1298.5896929999999</v>
      </c>
      <c r="H1706" s="78">
        <v>22.043658000000001</v>
      </c>
      <c r="I1706" s="77" t="s">
        <v>4800</v>
      </c>
      <c r="L1706" s="3">
        <f>VLOOKUP(C1706,Securities!A:D,4,FALSE)</f>
        <v>1</v>
      </c>
      <c r="M1706" s="3" t="str">
        <f>VLOOKUP(C1706,Securities!A:B,2,FALSE)</f>
        <v>BANEP RX Equity</v>
      </c>
      <c r="O1706" s="3">
        <f t="shared" si="27"/>
        <v>1532</v>
      </c>
    </row>
    <row r="1707" spans="1:15" x14ac:dyDescent="0.25">
      <c r="A1707" s="79">
        <v>43053</v>
      </c>
      <c r="B1707" s="80" t="s">
        <v>5624</v>
      </c>
      <c r="C1707" s="80" t="s">
        <v>4827</v>
      </c>
      <c r="D1707" s="80" t="s">
        <v>4828</v>
      </c>
      <c r="E1707" s="81">
        <v>-2123</v>
      </c>
      <c r="F1707" s="80" t="s">
        <v>4829</v>
      </c>
      <c r="G1707" s="81">
        <v>34849.080297</v>
      </c>
      <c r="H1707" s="81">
        <v>600.43198400000006</v>
      </c>
      <c r="I1707" s="80" t="s">
        <v>4800</v>
      </c>
      <c r="L1707" s="3">
        <f>VLOOKUP(C1707,Securities!A:D,4,FALSE)</f>
        <v>15</v>
      </c>
      <c r="M1707" s="3" t="str">
        <f>VLOOKUP(C1707,Securities!A:B,2,FALSE)</f>
        <v>B5Z7 Comdty</v>
      </c>
      <c r="O1707" s="3">
        <f t="shared" si="27"/>
        <v>-2123</v>
      </c>
    </row>
    <row r="1708" spans="1:15" x14ac:dyDescent="0.25">
      <c r="A1708" s="76">
        <v>43053</v>
      </c>
      <c r="B1708" s="77" t="s">
        <v>5624</v>
      </c>
      <c r="C1708" s="77" t="s">
        <v>4812</v>
      </c>
      <c r="D1708" s="77" t="s">
        <v>4675</v>
      </c>
      <c r="E1708" s="78">
        <v>4600</v>
      </c>
      <c r="F1708" s="77" t="s">
        <v>4804</v>
      </c>
      <c r="G1708" s="78">
        <v>552.74678200000005</v>
      </c>
      <c r="H1708" s="78">
        <v>9.6677289999999996</v>
      </c>
      <c r="I1708" s="77" t="s">
        <v>4800</v>
      </c>
      <c r="L1708" s="3">
        <f>VLOOKUP(C1708,Securities!A:D,4,FALSE)</f>
        <v>1</v>
      </c>
      <c r="M1708" s="3" t="str">
        <f>VLOOKUP(C1708,Securities!A:B,2,FALSE)</f>
        <v>KMG LI Equity</v>
      </c>
      <c r="O1708" s="3">
        <f t="shared" si="27"/>
        <v>4600</v>
      </c>
    </row>
    <row r="1709" spans="1:15" x14ac:dyDescent="0.25">
      <c r="A1709" s="79">
        <v>43053</v>
      </c>
      <c r="B1709" s="80" t="s">
        <v>5624</v>
      </c>
      <c r="C1709" s="80" t="s">
        <v>4830</v>
      </c>
      <c r="D1709" s="80" t="s">
        <v>4831</v>
      </c>
      <c r="E1709" s="81">
        <v>-1212</v>
      </c>
      <c r="F1709" s="80" t="s">
        <v>4832</v>
      </c>
      <c r="G1709" s="81">
        <v>58461.073573000001</v>
      </c>
      <c r="H1709" s="81">
        <v>1014.6940540000001</v>
      </c>
      <c r="I1709" s="80" t="s">
        <v>4800</v>
      </c>
      <c r="L1709" s="3">
        <f>VLOOKUP(C1709,Securities!A:D,4,FALSE)</f>
        <v>15</v>
      </c>
      <c r="M1709" s="3" t="str">
        <f>VLOOKUP(C1709,Securities!A:B,2,FALSE)</f>
        <v>URZ7 Curncy</v>
      </c>
      <c r="O1709" s="3">
        <f t="shared" si="27"/>
        <v>-1212</v>
      </c>
    </row>
    <row r="1710" spans="1:15" x14ac:dyDescent="0.25">
      <c r="A1710" s="76">
        <v>43053</v>
      </c>
      <c r="B1710" s="77" t="s">
        <v>5624</v>
      </c>
      <c r="C1710" s="77" t="s">
        <v>4824</v>
      </c>
      <c r="D1710" s="77" t="s">
        <v>4674</v>
      </c>
      <c r="E1710" s="78">
        <v>10800</v>
      </c>
      <c r="F1710" s="77" t="s">
        <v>4825</v>
      </c>
      <c r="G1710" s="78">
        <v>231.52390199999999</v>
      </c>
      <c r="H1710" s="78">
        <v>4.0556960000000002</v>
      </c>
      <c r="I1710" s="77" t="s">
        <v>4800</v>
      </c>
      <c r="L1710" s="3">
        <f>VLOOKUP(C1710,Securities!A:D,4,FALSE)</f>
        <v>1</v>
      </c>
      <c r="M1710" s="3" t="str">
        <f>VLOOKUP(C1710,Securities!A:B,2,FALSE)</f>
        <v>VEON US Equity</v>
      </c>
      <c r="O1710" s="3">
        <f t="shared" si="27"/>
        <v>10800</v>
      </c>
    </row>
    <row r="1711" spans="1:15" x14ac:dyDescent="0.25">
      <c r="A1711" s="79">
        <v>43053</v>
      </c>
      <c r="B1711" s="80" t="s">
        <v>5625</v>
      </c>
      <c r="C1711" s="80" t="s">
        <v>4973</v>
      </c>
      <c r="D1711" s="80" t="s">
        <v>23</v>
      </c>
      <c r="E1711" s="81">
        <v>1053</v>
      </c>
      <c r="F1711" s="80" t="s">
        <v>4974</v>
      </c>
      <c r="G1711" s="81">
        <v>101.15</v>
      </c>
      <c r="H1711" s="81">
        <v>101.15</v>
      </c>
      <c r="I1711" s="80" t="s">
        <v>4800</v>
      </c>
      <c r="L1711" s="3">
        <f>VLOOKUP(C1711,Securities!A:D,4,FALSE)</f>
        <v>5</v>
      </c>
      <c r="M1711" s="3" t="str">
        <f>VLOOKUP(C1711,Securities!A:B,2,FALSE)</f>
        <v>RU000A0JV7K7 Corp</v>
      </c>
      <c r="O1711" s="3">
        <f t="shared" si="27"/>
        <v>1053</v>
      </c>
    </row>
    <row r="1712" spans="1:15" x14ac:dyDescent="0.25">
      <c r="A1712" s="76">
        <v>43053</v>
      </c>
      <c r="B1712" s="77" t="s">
        <v>5625</v>
      </c>
      <c r="C1712" s="77" t="s">
        <v>5066</v>
      </c>
      <c r="D1712" s="77" t="s">
        <v>26</v>
      </c>
      <c r="E1712" s="78">
        <v>1103</v>
      </c>
      <c r="F1712" s="77" t="s">
        <v>4974</v>
      </c>
      <c r="G1712" s="78">
        <v>99.15</v>
      </c>
      <c r="H1712" s="78">
        <v>99.15</v>
      </c>
      <c r="I1712" s="77" t="s">
        <v>4800</v>
      </c>
      <c r="L1712" s="3">
        <f>VLOOKUP(C1712,Securities!A:D,4,FALSE)</f>
        <v>5</v>
      </c>
      <c r="M1712" s="3" t="str">
        <f>VLOOKUP(C1712,Securities!A:B,2,FALSE)</f>
        <v>RU000A0JRCJ6 Corp</v>
      </c>
      <c r="O1712" s="3">
        <f t="shared" si="27"/>
        <v>1103</v>
      </c>
    </row>
    <row r="1713" spans="1:15" x14ac:dyDescent="0.25">
      <c r="A1713" s="79">
        <v>43053</v>
      </c>
      <c r="B1713" s="80" t="s">
        <v>5626</v>
      </c>
      <c r="C1713" s="80" t="s">
        <v>4935</v>
      </c>
      <c r="D1713" s="80" t="s">
        <v>4936</v>
      </c>
      <c r="E1713" s="81">
        <v>2910</v>
      </c>
      <c r="F1713" s="80" t="s">
        <v>4799</v>
      </c>
      <c r="G1713" s="81">
        <v>1030.2850000000001</v>
      </c>
      <c r="H1713" s="81">
        <v>18.076253000000001</v>
      </c>
      <c r="I1713" s="80" t="s">
        <v>4800</v>
      </c>
      <c r="L1713" s="3">
        <f>VLOOKUP(C1713,Securities!A:D,4,FALSE)</f>
        <v>1</v>
      </c>
      <c r="M1713" s="3" t="str">
        <f>VLOOKUP(C1713,Securities!A:B,2,FALSE)</f>
        <v>AD NA Equity</v>
      </c>
      <c r="O1713" s="3">
        <f t="shared" si="27"/>
        <v>2910</v>
      </c>
    </row>
    <row r="1714" spans="1:15" x14ac:dyDescent="0.25">
      <c r="A1714" s="76">
        <v>43053</v>
      </c>
      <c r="B1714" s="77" t="s">
        <v>5626</v>
      </c>
      <c r="C1714" s="77" t="s">
        <v>4801</v>
      </c>
      <c r="D1714" s="77" t="s">
        <v>4802</v>
      </c>
      <c r="E1714" s="78">
        <v>253</v>
      </c>
      <c r="F1714" s="77" t="s">
        <v>4799</v>
      </c>
      <c r="G1714" s="78">
        <v>11295.822334</v>
      </c>
      <c r="H1714" s="78">
        <v>197</v>
      </c>
      <c r="I1714" s="77" t="s">
        <v>4800</v>
      </c>
      <c r="L1714" s="3">
        <f>VLOOKUP(C1714,Securities!A:D,4,FALSE)</f>
        <v>1</v>
      </c>
      <c r="M1714" s="3" t="str">
        <f>VLOOKUP(C1714,Securities!A:B,2,FALSE)</f>
        <v>AGN US Equity</v>
      </c>
      <c r="O1714" s="3">
        <f t="shared" si="27"/>
        <v>253</v>
      </c>
    </row>
    <row r="1715" spans="1:15" x14ac:dyDescent="0.25">
      <c r="A1715" s="79">
        <v>43053</v>
      </c>
      <c r="B1715" s="80" t="s">
        <v>5626</v>
      </c>
      <c r="C1715" s="80" t="s">
        <v>4803</v>
      </c>
      <c r="D1715" s="80" t="s">
        <v>39</v>
      </c>
      <c r="E1715" s="81">
        <v>4000</v>
      </c>
      <c r="F1715" s="80" t="s">
        <v>4804</v>
      </c>
      <c r="G1715" s="81">
        <v>714.50051499999995</v>
      </c>
      <c r="H1715" s="81">
        <v>12.45</v>
      </c>
      <c r="I1715" s="80" t="s">
        <v>4800</v>
      </c>
      <c r="L1715" s="3">
        <f>VLOOKUP(C1715,Securities!A:D,4,FALSE)</f>
        <v>1</v>
      </c>
      <c r="M1715" s="3" t="str">
        <f>VLOOKUP(C1715,Securities!A:B,2,FALSE)</f>
        <v>AGRO LI Equity</v>
      </c>
      <c r="O1715" s="3">
        <f t="shared" si="27"/>
        <v>4000</v>
      </c>
    </row>
    <row r="1716" spans="1:15" x14ac:dyDescent="0.25">
      <c r="A1716" s="76">
        <v>43053</v>
      </c>
      <c r="B1716" s="77" t="s">
        <v>5626</v>
      </c>
      <c r="C1716" s="77" t="s">
        <v>4805</v>
      </c>
      <c r="D1716" s="77" t="s">
        <v>31</v>
      </c>
      <c r="E1716" s="78">
        <v>100000</v>
      </c>
      <c r="F1716" s="77" t="s">
        <v>4806</v>
      </c>
      <c r="G1716" s="78">
        <v>175.875</v>
      </c>
      <c r="H1716" s="78">
        <v>175.875</v>
      </c>
      <c r="I1716" s="77" t="s">
        <v>4800</v>
      </c>
      <c r="L1716" s="3">
        <f>VLOOKUP(C1716,Securities!A:D,4,FALSE)</f>
        <v>5</v>
      </c>
      <c r="M1716" s="3" t="str">
        <f>VLOOKUP(C1716,Securities!A:B,2,FALSE)</f>
        <v>TT343269 Corp</v>
      </c>
      <c r="O1716" s="3">
        <f t="shared" si="27"/>
        <v>100000</v>
      </c>
    </row>
    <row r="1717" spans="1:15" x14ac:dyDescent="0.25">
      <c r="A1717" s="79">
        <v>43053</v>
      </c>
      <c r="B1717" s="80" t="s">
        <v>5626</v>
      </c>
      <c r="C1717" s="80" t="s">
        <v>5173</v>
      </c>
      <c r="D1717" s="80" t="s">
        <v>5174</v>
      </c>
      <c r="E1717" s="81">
        <v>100000</v>
      </c>
      <c r="F1717" s="80" t="s">
        <v>4838</v>
      </c>
      <c r="G1717" s="81">
        <v>100</v>
      </c>
      <c r="H1717" s="81">
        <v>100</v>
      </c>
      <c r="I1717" s="80" t="s">
        <v>4800</v>
      </c>
      <c r="L1717" s="3">
        <f>VLOOKUP(C1717,Securities!A:D,4,FALSE)</f>
        <v>5</v>
      </c>
      <c r="M1717" s="3" t="str">
        <f>VLOOKUP(C1717,Securities!A:B,2,FALSE)</f>
        <v>XS1581926083 Corp</v>
      </c>
      <c r="O1717" s="3">
        <f t="shared" si="27"/>
        <v>100000</v>
      </c>
    </row>
    <row r="1718" spans="1:15" x14ac:dyDescent="0.25">
      <c r="A1718" s="76">
        <v>43053</v>
      </c>
      <c r="B1718" s="77" t="s">
        <v>5626</v>
      </c>
      <c r="C1718" s="77" t="s">
        <v>4882</v>
      </c>
      <c r="D1718" s="77" t="s">
        <v>4883</v>
      </c>
      <c r="E1718" s="78">
        <v>200000</v>
      </c>
      <c r="F1718" s="77" t="s">
        <v>4806</v>
      </c>
      <c r="G1718" s="78">
        <v>107</v>
      </c>
      <c r="H1718" s="78">
        <v>107</v>
      </c>
      <c r="I1718" s="77" t="s">
        <v>4800</v>
      </c>
      <c r="L1718" s="3">
        <f>VLOOKUP(C1718,Securities!A:D,4,FALSE)</f>
        <v>5</v>
      </c>
      <c r="M1718" s="3" t="str">
        <f>VLOOKUP(C1718,Securities!A:B,2,FALSE)</f>
        <v>XS1405775377 Corp</v>
      </c>
      <c r="O1718" s="3">
        <f t="shared" si="27"/>
        <v>200000</v>
      </c>
    </row>
    <row r="1719" spans="1:15" x14ac:dyDescent="0.25">
      <c r="A1719" s="79">
        <v>43053</v>
      </c>
      <c r="B1719" s="80" t="s">
        <v>5626</v>
      </c>
      <c r="C1719" s="80" t="s">
        <v>5043</v>
      </c>
      <c r="D1719" s="80" t="s">
        <v>5044</v>
      </c>
      <c r="E1719" s="81">
        <v>200000</v>
      </c>
      <c r="F1719" s="80" t="s">
        <v>4806</v>
      </c>
      <c r="G1719" s="81">
        <v>99.28</v>
      </c>
      <c r="H1719" s="81">
        <v>99.28</v>
      </c>
      <c r="I1719" s="80" t="s">
        <v>4800</v>
      </c>
      <c r="L1719" s="3">
        <f>VLOOKUP(C1719,Securities!A:D,4,FALSE)</f>
        <v>5</v>
      </c>
      <c r="M1719" s="3" t="str">
        <f>VLOOKUP(C1719,Securities!A:B,2,FALSE)</f>
        <v>XS0547082973 Corp</v>
      </c>
      <c r="O1719" s="3">
        <f t="shared" si="27"/>
        <v>200000</v>
      </c>
    </row>
    <row r="1720" spans="1:15" x14ac:dyDescent="0.25">
      <c r="A1720" s="76">
        <v>43053</v>
      </c>
      <c r="B1720" s="77" t="s">
        <v>5626</v>
      </c>
      <c r="C1720" s="77" t="s">
        <v>4994</v>
      </c>
      <c r="D1720" s="77" t="s">
        <v>4995</v>
      </c>
      <c r="E1720" s="78">
        <v>4800</v>
      </c>
      <c r="F1720" s="77" t="s">
        <v>4799</v>
      </c>
      <c r="G1720" s="78">
        <v>1193.8971409999999</v>
      </c>
      <c r="H1720" s="78">
        <v>20.157045</v>
      </c>
      <c r="I1720" s="77" t="s">
        <v>4800</v>
      </c>
      <c r="L1720" s="3">
        <f>VLOOKUP(C1720,Securities!A:D,4,FALSE)</f>
        <v>1</v>
      </c>
      <c r="M1720" s="3" t="str">
        <f>VLOOKUP(C1720,Securities!A:B,2,FALSE)</f>
        <v>GSK LN Equity</v>
      </c>
      <c r="O1720" s="3">
        <f t="shared" si="27"/>
        <v>4800</v>
      </c>
    </row>
    <row r="1721" spans="1:15" x14ac:dyDescent="0.25">
      <c r="A1721" s="79">
        <v>43053</v>
      </c>
      <c r="B1721" s="80" t="s">
        <v>5626</v>
      </c>
      <c r="C1721" s="80" t="s">
        <v>5045</v>
      </c>
      <c r="D1721" s="80" t="s">
        <v>5046</v>
      </c>
      <c r="E1721" s="81">
        <v>200000</v>
      </c>
      <c r="F1721" s="80" t="s">
        <v>4806</v>
      </c>
      <c r="G1721" s="81">
        <v>98.81</v>
      </c>
      <c r="H1721" s="81">
        <v>98.81</v>
      </c>
      <c r="I1721" s="80" t="s">
        <v>4800</v>
      </c>
      <c r="L1721" s="3">
        <f>VLOOKUP(C1721,Securities!A:D,4,FALSE)</f>
        <v>5</v>
      </c>
      <c r="M1721" s="3" t="str">
        <f>VLOOKUP(C1721,Securities!A:B,2,FALSE)</f>
        <v>XS1069383856 Corp</v>
      </c>
      <c r="O1721" s="3">
        <f t="shared" si="27"/>
        <v>200000</v>
      </c>
    </row>
    <row r="1722" spans="1:15" x14ac:dyDescent="0.25">
      <c r="A1722" s="76">
        <v>43053</v>
      </c>
      <c r="B1722" s="77" t="s">
        <v>5626</v>
      </c>
      <c r="C1722" s="77" t="s">
        <v>4811</v>
      </c>
      <c r="D1722" s="77" t="s">
        <v>4659</v>
      </c>
      <c r="E1722" s="78">
        <v>28980</v>
      </c>
      <c r="F1722" s="77" t="s">
        <v>4799</v>
      </c>
      <c r="G1722" s="78">
        <v>103.281992</v>
      </c>
      <c r="H1722" s="78">
        <v>1.812479</v>
      </c>
      <c r="I1722" s="77" t="s">
        <v>4800</v>
      </c>
      <c r="L1722" s="3">
        <f>VLOOKUP(C1722,Securities!A:D,4,FALSE)</f>
        <v>1</v>
      </c>
      <c r="M1722" s="3" t="str">
        <f>VLOOKUP(C1722,Securities!A:B,2,FALSE)</f>
        <v>HGM LN Equity</v>
      </c>
      <c r="O1722" s="3">
        <f t="shared" si="27"/>
        <v>28980</v>
      </c>
    </row>
    <row r="1723" spans="1:15" x14ac:dyDescent="0.25">
      <c r="A1723" s="79">
        <v>43053</v>
      </c>
      <c r="B1723" s="80" t="s">
        <v>5626</v>
      </c>
      <c r="C1723" s="80" t="s">
        <v>4861</v>
      </c>
      <c r="D1723" s="80" t="s">
        <v>4862</v>
      </c>
      <c r="E1723" s="81">
        <v>200000</v>
      </c>
      <c r="F1723" s="80" t="s">
        <v>4806</v>
      </c>
      <c r="G1723" s="81">
        <v>104.05</v>
      </c>
      <c r="H1723" s="81">
        <v>104.05</v>
      </c>
      <c r="I1723" s="80" t="s">
        <v>4800</v>
      </c>
      <c r="L1723" s="3">
        <f>VLOOKUP(C1723,Securities!A:D,4,FALSE)</f>
        <v>5</v>
      </c>
      <c r="M1723" s="3" t="str">
        <f>VLOOKUP(C1723,Securities!A:B,2,FALSE)</f>
        <v>USA29866AA70 Corp</v>
      </c>
      <c r="O1723" s="3">
        <f t="shared" si="27"/>
        <v>200000</v>
      </c>
    </row>
    <row r="1724" spans="1:15" x14ac:dyDescent="0.25">
      <c r="A1724" s="76">
        <v>43053</v>
      </c>
      <c r="B1724" s="77" t="s">
        <v>5626</v>
      </c>
      <c r="C1724" s="77" t="s">
        <v>4812</v>
      </c>
      <c r="D1724" s="77" t="s">
        <v>4675</v>
      </c>
      <c r="E1724" s="78">
        <v>5000</v>
      </c>
      <c r="F1724" s="77" t="s">
        <v>4804</v>
      </c>
      <c r="G1724" s="78">
        <v>569.55201099999999</v>
      </c>
      <c r="H1724" s="78">
        <v>10</v>
      </c>
      <c r="I1724" s="77" t="s">
        <v>4800</v>
      </c>
      <c r="L1724" s="3">
        <f>VLOOKUP(C1724,Securities!A:D,4,FALSE)</f>
        <v>1</v>
      </c>
      <c r="M1724" s="3" t="str">
        <f>VLOOKUP(C1724,Securities!A:B,2,FALSE)</f>
        <v>KMG LI Equity</v>
      </c>
      <c r="O1724" s="3">
        <f t="shared" si="27"/>
        <v>5000</v>
      </c>
    </row>
    <row r="1725" spans="1:15" x14ac:dyDescent="0.25">
      <c r="A1725" s="79">
        <v>43053</v>
      </c>
      <c r="B1725" s="80" t="s">
        <v>5626</v>
      </c>
      <c r="C1725" s="80" t="s">
        <v>4847</v>
      </c>
      <c r="D1725" s="80" t="s">
        <v>369</v>
      </c>
      <c r="E1725" s="81">
        <v>1000</v>
      </c>
      <c r="F1725" s="80" t="s">
        <v>4810</v>
      </c>
      <c r="G1725" s="81">
        <v>3050</v>
      </c>
      <c r="H1725" s="81">
        <v>52.929150999999997</v>
      </c>
      <c r="I1725" s="80" t="s">
        <v>4800</v>
      </c>
      <c r="L1725" s="3">
        <f>VLOOKUP(C1725,Securities!A:D,4,FALSE)</f>
        <v>1</v>
      </c>
      <c r="M1725" s="3" t="str">
        <f>VLOOKUP(C1725,Securities!A:B,2,FALSE)</f>
        <v>LKOH RX Equity</v>
      </c>
      <c r="O1725" s="3">
        <f t="shared" si="27"/>
        <v>1000</v>
      </c>
    </row>
    <row r="1726" spans="1:15" x14ac:dyDescent="0.25">
      <c r="A1726" s="76">
        <v>43053</v>
      </c>
      <c r="B1726" s="77" t="s">
        <v>5626</v>
      </c>
      <c r="C1726" s="77" t="s">
        <v>4815</v>
      </c>
      <c r="D1726" s="77" t="s">
        <v>4676</v>
      </c>
      <c r="E1726" s="78">
        <v>2010</v>
      </c>
      <c r="F1726" s="77" t="s">
        <v>4799</v>
      </c>
      <c r="G1726" s="78">
        <v>2985.5428550000001</v>
      </c>
      <c r="H1726" s="78">
        <v>49.79392</v>
      </c>
      <c r="I1726" s="77" t="s">
        <v>4800</v>
      </c>
      <c r="L1726" s="3">
        <f>VLOOKUP(C1726,Securities!A:D,4,FALSE)</f>
        <v>1</v>
      </c>
      <c r="M1726" s="3" t="str">
        <f>VLOOKUP(C1726,Securities!A:B,2,FALSE)</f>
        <v>LXFT US Equity</v>
      </c>
      <c r="O1726" s="3">
        <f t="shared" si="27"/>
        <v>2010</v>
      </c>
    </row>
    <row r="1727" spans="1:15" x14ac:dyDescent="0.25">
      <c r="A1727" s="79">
        <v>43053</v>
      </c>
      <c r="B1727" s="80" t="s">
        <v>5626</v>
      </c>
      <c r="C1727" s="80" t="s">
        <v>5093</v>
      </c>
      <c r="D1727" s="80" t="s">
        <v>447</v>
      </c>
      <c r="E1727" s="81">
        <v>229</v>
      </c>
      <c r="F1727" s="80" t="s">
        <v>4810</v>
      </c>
      <c r="G1727" s="81">
        <v>7410</v>
      </c>
      <c r="H1727" s="81">
        <v>126.819283</v>
      </c>
      <c r="I1727" s="80" t="s">
        <v>4800</v>
      </c>
      <c r="L1727" s="3">
        <f>VLOOKUP(C1727,Securities!A:D,4,FALSE)</f>
        <v>1</v>
      </c>
      <c r="M1727" s="3" t="str">
        <f>VLOOKUP(C1727,Securities!A:B,2,FALSE)</f>
        <v>MGNT RX Equity</v>
      </c>
      <c r="O1727" s="3">
        <f t="shared" si="27"/>
        <v>229</v>
      </c>
    </row>
    <row r="1728" spans="1:15" x14ac:dyDescent="0.25">
      <c r="A1728" s="76">
        <v>43053</v>
      </c>
      <c r="B1728" s="77" t="s">
        <v>5626</v>
      </c>
      <c r="C1728" s="77" t="s">
        <v>4816</v>
      </c>
      <c r="D1728" s="77" t="s">
        <v>4817</v>
      </c>
      <c r="E1728" s="78">
        <v>2365</v>
      </c>
      <c r="F1728" s="77" t="s">
        <v>4799</v>
      </c>
      <c r="G1728" s="78">
        <v>1240.52531</v>
      </c>
      <c r="H1728" s="78">
        <v>20.979199999999999</v>
      </c>
      <c r="I1728" s="77" t="s">
        <v>4800</v>
      </c>
      <c r="L1728" s="3">
        <f>VLOOKUP(C1728,Securities!A:D,4,FALSE)</f>
        <v>1</v>
      </c>
      <c r="M1728" s="3" t="str">
        <f>VLOOKUP(C1728,Securities!A:B,2,FALSE)</f>
        <v>M US Equity</v>
      </c>
      <c r="O1728" s="3">
        <f t="shared" si="27"/>
        <v>2365</v>
      </c>
    </row>
    <row r="1729" spans="1:15" x14ac:dyDescent="0.25">
      <c r="A1729" s="79">
        <v>43053</v>
      </c>
      <c r="B1729" s="80" t="s">
        <v>5626</v>
      </c>
      <c r="C1729" s="80" t="s">
        <v>5542</v>
      </c>
      <c r="D1729" s="80" t="s">
        <v>5543</v>
      </c>
      <c r="E1729" s="81">
        <v>608</v>
      </c>
      <c r="F1729" s="80" t="s">
        <v>4799</v>
      </c>
      <c r="G1729" s="81">
        <v>4920.1429429999998</v>
      </c>
      <c r="H1729" s="81">
        <v>81.592516000000003</v>
      </c>
      <c r="I1729" s="80" t="s">
        <v>4800</v>
      </c>
      <c r="L1729" s="3">
        <f>VLOOKUP(C1729,Securities!A:D,4,FALSE)</f>
        <v>1</v>
      </c>
      <c r="M1729" s="3" t="str">
        <f>VLOOKUP(C1729,Securities!A:B,2,FALSE)</f>
        <v>NOVN VX Equity</v>
      </c>
      <c r="O1729" s="3">
        <f t="shared" si="27"/>
        <v>608</v>
      </c>
    </row>
    <row r="1730" spans="1:15" x14ac:dyDescent="0.25">
      <c r="A1730" s="76">
        <v>43053</v>
      </c>
      <c r="B1730" s="77" t="s">
        <v>5626</v>
      </c>
      <c r="C1730" s="77" t="s">
        <v>4848</v>
      </c>
      <c r="D1730" s="77" t="s">
        <v>511</v>
      </c>
      <c r="E1730" s="78">
        <v>3020</v>
      </c>
      <c r="F1730" s="77" t="s">
        <v>4810</v>
      </c>
      <c r="G1730" s="78">
        <v>616.37174700000003</v>
      </c>
      <c r="H1730" s="78">
        <v>10.887036</v>
      </c>
      <c r="I1730" s="77" t="s">
        <v>4800</v>
      </c>
      <c r="L1730" s="3">
        <f>VLOOKUP(C1730,Securities!A:D,4,FALSE)</f>
        <v>1</v>
      </c>
      <c r="M1730" s="3" t="str">
        <f>VLOOKUP(C1730,Securities!A:B,2,FALSE)</f>
        <v>NVTK RX Equity</v>
      </c>
      <c r="O1730" s="3">
        <f t="shared" si="27"/>
        <v>3020</v>
      </c>
    </row>
    <row r="1731" spans="1:15" x14ac:dyDescent="0.25">
      <c r="A1731" s="79">
        <v>43053</v>
      </c>
      <c r="B1731" s="80" t="s">
        <v>5626</v>
      </c>
      <c r="C1731" s="80" t="s">
        <v>5002</v>
      </c>
      <c r="D1731" s="80" t="s">
        <v>5003</v>
      </c>
      <c r="E1731" s="81">
        <v>1100</v>
      </c>
      <c r="F1731" s="80" t="s">
        <v>4799</v>
      </c>
      <c r="G1731" s="81">
        <v>2644.620394</v>
      </c>
      <c r="H1731" s="81">
        <v>43.856699999999996</v>
      </c>
      <c r="I1731" s="80" t="s">
        <v>4800</v>
      </c>
      <c r="L1731" s="3">
        <f>VLOOKUP(C1731,Securities!A:D,4,FALSE)</f>
        <v>1</v>
      </c>
      <c r="M1731" s="3" t="str">
        <f>VLOOKUP(C1731,Securities!A:B,2,FALSE)</f>
        <v>RIO LN Equity</v>
      </c>
      <c r="O1731" s="3">
        <f t="shared" si="27"/>
        <v>1100</v>
      </c>
    </row>
    <row r="1732" spans="1:15" x14ac:dyDescent="0.25">
      <c r="A1732" s="76">
        <v>43053</v>
      </c>
      <c r="B1732" s="77" t="s">
        <v>5626</v>
      </c>
      <c r="C1732" s="77" t="s">
        <v>4927</v>
      </c>
      <c r="D1732" s="77" t="s">
        <v>4928</v>
      </c>
      <c r="E1732" s="78">
        <v>7525</v>
      </c>
      <c r="F1732" s="77" t="s">
        <v>4898</v>
      </c>
      <c r="G1732" s="78">
        <v>902.41616099999999</v>
      </c>
      <c r="H1732" s="78">
        <v>15.623224</v>
      </c>
      <c r="I1732" s="77" t="s">
        <v>4800</v>
      </c>
      <c r="L1732" s="3">
        <f>VLOOKUP(C1732,Securities!A:D,4,FALSE)</f>
        <v>1</v>
      </c>
      <c r="M1732" s="3" t="str">
        <f>VLOOKUP(C1732,Securities!A:B,2,FALSE)</f>
        <v>SX7EEX GY Equity</v>
      </c>
      <c r="O1732" s="3">
        <f t="shared" si="27"/>
        <v>7525</v>
      </c>
    </row>
    <row r="1733" spans="1:15" x14ac:dyDescent="0.25">
      <c r="A1733" s="79">
        <v>43053</v>
      </c>
      <c r="B1733" s="80" t="s">
        <v>5626</v>
      </c>
      <c r="C1733" s="80" t="s">
        <v>4917</v>
      </c>
      <c r="D1733" s="80" t="s">
        <v>742</v>
      </c>
      <c r="E1733" s="81">
        <v>43800</v>
      </c>
      <c r="F1733" s="80" t="s">
        <v>4810</v>
      </c>
      <c r="G1733" s="81">
        <v>68.492900000000006</v>
      </c>
      <c r="H1733" s="81">
        <v>1.1886129999999999</v>
      </c>
      <c r="I1733" s="80" t="s">
        <v>4800</v>
      </c>
      <c r="L1733" s="3">
        <f>VLOOKUP(C1733,Securities!A:D,4,FALSE)</f>
        <v>1</v>
      </c>
      <c r="M1733" s="3" t="str">
        <f>VLOOKUP(C1733,Securities!A:B,2,FALSE)</f>
        <v>TRMK RX Equity</v>
      </c>
      <c r="O1733" s="3">
        <f t="shared" si="27"/>
        <v>43800</v>
      </c>
    </row>
    <row r="1734" spans="1:15" x14ac:dyDescent="0.25">
      <c r="A1734" s="76">
        <v>43053</v>
      </c>
      <c r="B1734" s="77" t="s">
        <v>5626</v>
      </c>
      <c r="C1734" s="77" t="s">
        <v>5302</v>
      </c>
      <c r="D1734" s="77" t="s">
        <v>5303</v>
      </c>
      <c r="E1734" s="78">
        <v>100000</v>
      </c>
      <c r="F1734" s="77" t="s">
        <v>4806</v>
      </c>
      <c r="G1734" s="78">
        <v>97.75</v>
      </c>
      <c r="H1734" s="78">
        <v>97.75</v>
      </c>
      <c r="I1734" s="77" t="s">
        <v>4800</v>
      </c>
      <c r="L1734" s="3">
        <f>VLOOKUP(C1734,Securities!A:D,4,FALSE)</f>
        <v>5</v>
      </c>
      <c r="M1734" s="3" t="str">
        <f>VLOOKUP(C1734,Securities!A:B,2,FALSE)</f>
        <v>USU8810LAA18 Corp</v>
      </c>
      <c r="O1734" s="3">
        <f t="shared" ref="O1734:O1797" si="28">SUMIFS(E:E,C:C,C1734,B:B,B1734)</f>
        <v>100000</v>
      </c>
    </row>
    <row r="1735" spans="1:15" x14ac:dyDescent="0.25">
      <c r="A1735" s="79">
        <v>43053</v>
      </c>
      <c r="B1735" s="80" t="s">
        <v>5626</v>
      </c>
      <c r="C1735" s="80" t="s">
        <v>4986</v>
      </c>
      <c r="D1735" s="80" t="s">
        <v>4987</v>
      </c>
      <c r="E1735" s="81">
        <v>200000</v>
      </c>
      <c r="F1735" s="80" t="s">
        <v>4806</v>
      </c>
      <c r="G1735" s="81">
        <v>102</v>
      </c>
      <c r="H1735" s="81">
        <v>102</v>
      </c>
      <c r="I1735" s="80" t="s">
        <v>4800</v>
      </c>
      <c r="L1735" s="3">
        <f>VLOOKUP(C1735,Securities!A:D,4,FALSE)</f>
        <v>5</v>
      </c>
      <c r="M1735" s="3" t="str">
        <f>VLOOKUP(C1735,Securities!A:B,2,FALSE)</f>
        <v>USG9328DAM23 Corp</v>
      </c>
      <c r="O1735" s="3">
        <f t="shared" si="28"/>
        <v>200000</v>
      </c>
    </row>
    <row r="1736" spans="1:15" x14ac:dyDescent="0.25">
      <c r="A1736" s="76">
        <v>43053</v>
      </c>
      <c r="B1736" s="77" t="s">
        <v>5626</v>
      </c>
      <c r="C1736" s="77" t="s">
        <v>4824</v>
      </c>
      <c r="D1736" s="77" t="s">
        <v>4674</v>
      </c>
      <c r="E1736" s="78">
        <v>11775</v>
      </c>
      <c r="F1736" s="77" t="s">
        <v>4825</v>
      </c>
      <c r="G1736" s="78">
        <v>0</v>
      </c>
      <c r="H1736" s="78">
        <v>0</v>
      </c>
      <c r="I1736" s="77" t="s">
        <v>4800</v>
      </c>
      <c r="L1736" s="3">
        <f>VLOOKUP(C1736,Securities!A:D,4,FALSE)</f>
        <v>1</v>
      </c>
      <c r="M1736" s="3" t="str">
        <f>VLOOKUP(C1736,Securities!A:B,2,FALSE)</f>
        <v>VEON US Equity</v>
      </c>
      <c r="O1736" s="3">
        <f t="shared" si="28"/>
        <v>11775</v>
      </c>
    </row>
    <row r="1737" spans="1:15" x14ac:dyDescent="0.25">
      <c r="A1737" s="79">
        <v>43053</v>
      </c>
      <c r="B1737" s="80" t="s">
        <v>5626</v>
      </c>
      <c r="C1737" s="80" t="s">
        <v>5627</v>
      </c>
      <c r="D1737" s="80" t="s">
        <v>5628</v>
      </c>
      <c r="E1737" s="81">
        <v>168</v>
      </c>
      <c r="F1737" s="80" t="s">
        <v>4799</v>
      </c>
      <c r="G1737" s="81">
        <v>17897.986646000001</v>
      </c>
      <c r="H1737" s="81">
        <v>296.808809</v>
      </c>
      <c r="I1737" s="80" t="s">
        <v>4800</v>
      </c>
      <c r="L1737" s="3">
        <f>VLOOKUP(C1737,Securities!A:D,4,FALSE)</f>
        <v>1</v>
      </c>
      <c r="M1737" s="3" t="str">
        <f>VLOOKUP(C1737,Securities!A:B,2,FALSE)</f>
        <v>ZURN VX Equity</v>
      </c>
      <c r="O1737" s="3">
        <f t="shared" si="28"/>
        <v>168</v>
      </c>
    </row>
    <row r="1738" spans="1:15" x14ac:dyDescent="0.25">
      <c r="A1738" s="76">
        <v>43053</v>
      </c>
      <c r="B1738" s="77" t="s">
        <v>5629</v>
      </c>
      <c r="C1738" s="77" t="s">
        <v>4973</v>
      </c>
      <c r="D1738" s="77" t="s">
        <v>23</v>
      </c>
      <c r="E1738" s="78">
        <v>5031</v>
      </c>
      <c r="F1738" s="77" t="s">
        <v>4974</v>
      </c>
      <c r="G1738" s="78">
        <v>100.860641</v>
      </c>
      <c r="H1738" s="78">
        <v>100.860641</v>
      </c>
      <c r="I1738" s="77" t="s">
        <v>4800</v>
      </c>
      <c r="L1738" s="3">
        <f>VLOOKUP(C1738,Securities!A:D,4,FALSE)</f>
        <v>5</v>
      </c>
      <c r="M1738" s="3" t="str">
        <f>VLOOKUP(C1738,Securities!A:B,2,FALSE)</f>
        <v>RU000A0JV7K7 Corp</v>
      </c>
      <c r="O1738" s="3">
        <f t="shared" si="28"/>
        <v>5031</v>
      </c>
    </row>
    <row r="1739" spans="1:15" x14ac:dyDescent="0.25">
      <c r="A1739" s="79">
        <v>43053</v>
      </c>
      <c r="B1739" s="80" t="s">
        <v>5629</v>
      </c>
      <c r="C1739" s="80" t="s">
        <v>4975</v>
      </c>
      <c r="D1739" s="80" t="s">
        <v>939</v>
      </c>
      <c r="E1739" s="81">
        <v>6590</v>
      </c>
      <c r="F1739" s="80" t="s">
        <v>4974</v>
      </c>
      <c r="G1739" s="81">
        <v>101.6</v>
      </c>
      <c r="H1739" s="81">
        <v>101.6</v>
      </c>
      <c r="I1739" s="80" t="s">
        <v>4800</v>
      </c>
      <c r="L1739" s="3">
        <f>VLOOKUP(C1739,Securities!A:D,4,FALSE)</f>
        <v>5</v>
      </c>
      <c r="M1739" s="3" t="str">
        <f>VLOOKUP(C1739,Securities!A:B,2,FALSE)</f>
        <v>RU000A0JX0J2 Corp</v>
      </c>
      <c r="O1739" s="3">
        <f t="shared" si="28"/>
        <v>6590</v>
      </c>
    </row>
    <row r="1740" spans="1:15" x14ac:dyDescent="0.25">
      <c r="A1740" s="76">
        <v>43053</v>
      </c>
      <c r="B1740" s="77" t="s">
        <v>5629</v>
      </c>
      <c r="C1740" s="77" t="s">
        <v>5072</v>
      </c>
      <c r="D1740" s="77" t="s">
        <v>974</v>
      </c>
      <c r="E1740" s="78">
        <v>2740</v>
      </c>
      <c r="F1740" s="77" t="s">
        <v>4974</v>
      </c>
      <c r="G1740" s="78">
        <v>99.831708000000006</v>
      </c>
      <c r="H1740" s="78">
        <v>99.831708000000006</v>
      </c>
      <c r="I1740" s="77" t="s">
        <v>4800</v>
      </c>
      <c r="L1740" s="3">
        <f>VLOOKUP(C1740,Securities!A:D,4,FALSE)</f>
        <v>5</v>
      </c>
      <c r="M1740" s="3" t="str">
        <f>VLOOKUP(C1740,Securities!A:B,2,FALSE)</f>
        <v>RU000A0JXFM1 Corp</v>
      </c>
      <c r="O1740" s="3">
        <f t="shared" si="28"/>
        <v>2740</v>
      </c>
    </row>
    <row r="1741" spans="1:15" x14ac:dyDescent="0.25">
      <c r="A1741" s="79">
        <v>43053</v>
      </c>
      <c r="B1741" s="80" t="s">
        <v>5629</v>
      </c>
      <c r="C1741" s="80" t="s">
        <v>4798</v>
      </c>
      <c r="D1741" s="80" t="s">
        <v>45</v>
      </c>
      <c r="E1741" s="81">
        <v>100000</v>
      </c>
      <c r="F1741" s="80" t="s">
        <v>4799</v>
      </c>
      <c r="G1741" s="81">
        <v>0</v>
      </c>
      <c r="H1741" s="81">
        <v>0</v>
      </c>
      <c r="I1741" s="80" t="s">
        <v>4800</v>
      </c>
      <c r="L1741" s="3">
        <f>VLOOKUP(C1741,Securities!A:D,4,FALSE)</f>
        <v>1</v>
      </c>
      <c r="M1741" s="3" t="str">
        <f>VLOOKUP(C1741,Securities!A:B,2,FALSE)</f>
        <v>RUAL RX Equity</v>
      </c>
      <c r="O1741" s="3">
        <f t="shared" si="28"/>
        <v>100000</v>
      </c>
    </row>
    <row r="1742" spans="1:15" x14ac:dyDescent="0.25">
      <c r="A1742" s="76">
        <v>43053</v>
      </c>
      <c r="B1742" s="77" t="s">
        <v>5629</v>
      </c>
      <c r="C1742" s="77" t="s">
        <v>4803</v>
      </c>
      <c r="D1742" s="77" t="s">
        <v>39</v>
      </c>
      <c r="E1742" s="78">
        <v>4760</v>
      </c>
      <c r="F1742" s="77" t="s">
        <v>4804</v>
      </c>
      <c r="G1742" s="78">
        <v>598.34985300000005</v>
      </c>
      <c r="H1742" s="78">
        <v>10.5</v>
      </c>
      <c r="I1742" s="77" t="s">
        <v>4800</v>
      </c>
      <c r="L1742" s="3">
        <f>VLOOKUP(C1742,Securities!A:D,4,FALSE)</f>
        <v>1</v>
      </c>
      <c r="M1742" s="3" t="str">
        <f>VLOOKUP(C1742,Securities!A:B,2,FALSE)</f>
        <v>AGRO LI Equity</v>
      </c>
      <c r="O1742" s="3">
        <f t="shared" si="28"/>
        <v>4760</v>
      </c>
    </row>
    <row r="1743" spans="1:15" x14ac:dyDescent="0.25">
      <c r="A1743" s="79">
        <v>43053</v>
      </c>
      <c r="B1743" s="80" t="s">
        <v>5629</v>
      </c>
      <c r="C1743" s="80" t="s">
        <v>4827</v>
      </c>
      <c r="D1743" s="80" t="s">
        <v>4828</v>
      </c>
      <c r="E1743" s="81">
        <v>-127</v>
      </c>
      <c r="F1743" s="80" t="s">
        <v>4829</v>
      </c>
      <c r="G1743" s="81">
        <v>34834.871647</v>
      </c>
      <c r="H1743" s="81">
        <v>600.47137999999995</v>
      </c>
      <c r="I1743" s="80" t="s">
        <v>4800</v>
      </c>
      <c r="L1743" s="3">
        <f>VLOOKUP(C1743,Securities!A:D,4,FALSE)</f>
        <v>15</v>
      </c>
      <c r="M1743" s="3" t="str">
        <f>VLOOKUP(C1743,Securities!A:B,2,FALSE)</f>
        <v>B5Z7 Comdty</v>
      </c>
      <c r="O1743" s="3">
        <f t="shared" si="28"/>
        <v>-127</v>
      </c>
    </row>
    <row r="1744" spans="1:15" x14ac:dyDescent="0.25">
      <c r="A1744" s="76">
        <v>43053</v>
      </c>
      <c r="B1744" s="77" t="s">
        <v>5629</v>
      </c>
      <c r="C1744" s="77" t="s">
        <v>4869</v>
      </c>
      <c r="D1744" s="77" t="s">
        <v>4870</v>
      </c>
      <c r="E1744" s="78">
        <v>50000</v>
      </c>
      <c r="F1744" s="77" t="s">
        <v>4838</v>
      </c>
      <c r="G1744" s="78">
        <v>100</v>
      </c>
      <c r="H1744" s="78">
        <v>100</v>
      </c>
      <c r="I1744" s="77" t="s">
        <v>4800</v>
      </c>
      <c r="L1744" s="3">
        <f>VLOOKUP(C1744,Securities!A:D,4,FALSE)</f>
        <v>5</v>
      </c>
      <c r="M1744" s="3" t="str">
        <f>VLOOKUP(C1744,Securities!A:B,2,FALSE)</f>
        <v>CH0384862550 Corp</v>
      </c>
      <c r="O1744" s="3">
        <f t="shared" si="28"/>
        <v>50000</v>
      </c>
    </row>
    <row r="1745" spans="1:15" x14ac:dyDescent="0.25">
      <c r="A1745" s="79">
        <v>43053</v>
      </c>
      <c r="B1745" s="80" t="s">
        <v>5629</v>
      </c>
      <c r="C1745" s="80" t="s">
        <v>4805</v>
      </c>
      <c r="D1745" s="80" t="s">
        <v>31</v>
      </c>
      <c r="E1745" s="81">
        <v>342000</v>
      </c>
      <c r="F1745" s="80" t="s">
        <v>4806</v>
      </c>
      <c r="G1745" s="81">
        <v>174.88745599999999</v>
      </c>
      <c r="H1745" s="81">
        <v>174.88745599999999</v>
      </c>
      <c r="I1745" s="80" t="s">
        <v>4800</v>
      </c>
      <c r="L1745" s="3">
        <f>VLOOKUP(C1745,Securities!A:D,4,FALSE)</f>
        <v>5</v>
      </c>
      <c r="M1745" s="3" t="str">
        <f>VLOOKUP(C1745,Securities!A:B,2,FALSE)</f>
        <v>TT343269 Corp</v>
      </c>
      <c r="O1745" s="3">
        <f t="shared" si="28"/>
        <v>342000</v>
      </c>
    </row>
    <row r="1746" spans="1:15" x14ac:dyDescent="0.25">
      <c r="A1746" s="76">
        <v>43053</v>
      </c>
      <c r="B1746" s="77" t="s">
        <v>5629</v>
      </c>
      <c r="C1746" s="77" t="s">
        <v>4809</v>
      </c>
      <c r="D1746" s="77" t="s">
        <v>30</v>
      </c>
      <c r="E1746" s="78">
        <v>75730</v>
      </c>
      <c r="F1746" s="77" t="s">
        <v>4810</v>
      </c>
      <c r="G1746" s="78">
        <v>125.384866</v>
      </c>
      <c r="H1746" s="78">
        <v>2.1532460000000002</v>
      </c>
      <c r="I1746" s="77" t="s">
        <v>4800</v>
      </c>
      <c r="L1746" s="3">
        <f>VLOOKUP(C1746,Securities!A:D,4,FALSE)</f>
        <v>1</v>
      </c>
      <c r="M1746" s="3" t="str">
        <f>VLOOKUP(C1746,Securities!A:B,2,FALSE)</f>
        <v>GAZP RX Equity</v>
      </c>
      <c r="O1746" s="3">
        <f t="shared" si="28"/>
        <v>75730</v>
      </c>
    </row>
    <row r="1747" spans="1:15" x14ac:dyDescent="0.25">
      <c r="A1747" s="79">
        <v>43053</v>
      </c>
      <c r="B1747" s="80" t="s">
        <v>5629</v>
      </c>
      <c r="C1747" s="80" t="s">
        <v>5189</v>
      </c>
      <c r="D1747" s="80" t="s">
        <v>4741</v>
      </c>
      <c r="E1747" s="81">
        <v>200000</v>
      </c>
      <c r="F1747" s="80" t="s">
        <v>4806</v>
      </c>
      <c r="G1747" s="81">
        <v>110.61</v>
      </c>
      <c r="H1747" s="81">
        <v>110.61</v>
      </c>
      <c r="I1747" s="80" t="s">
        <v>4800</v>
      </c>
      <c r="L1747" s="3">
        <f>VLOOKUP(C1747,Securities!A:D,4,FALSE)</f>
        <v>5</v>
      </c>
      <c r="M1747" s="3" t="str">
        <f>VLOOKUP(C1747,Securities!A:B,2,FALSE)</f>
        <v>XS0290580595 Corp</v>
      </c>
      <c r="O1747" s="3">
        <f t="shared" si="28"/>
        <v>200000</v>
      </c>
    </row>
    <row r="1748" spans="1:15" x14ac:dyDescent="0.25">
      <c r="A1748" s="76">
        <v>43053</v>
      </c>
      <c r="B1748" s="77" t="s">
        <v>5629</v>
      </c>
      <c r="C1748" s="77" t="s">
        <v>5496</v>
      </c>
      <c r="D1748" s="77" t="s">
        <v>1763</v>
      </c>
      <c r="E1748" s="78">
        <v>13500</v>
      </c>
      <c r="F1748" s="77" t="s">
        <v>4814</v>
      </c>
      <c r="G1748" s="78">
        <v>100</v>
      </c>
      <c r="H1748" s="78">
        <v>100</v>
      </c>
      <c r="I1748" s="77" t="s">
        <v>4800</v>
      </c>
      <c r="L1748" s="3">
        <f>VLOOKUP(C1748,Securities!A:D,4,FALSE)</f>
        <v>5</v>
      </c>
      <c r="M1748" s="3" t="str">
        <f>VLOOKUP(C1748,Securities!A:B,2,FALSE)</f>
        <v>AM562901 Corp</v>
      </c>
      <c r="O1748" s="3">
        <f t="shared" si="28"/>
        <v>13500</v>
      </c>
    </row>
    <row r="1749" spans="1:15" x14ac:dyDescent="0.25">
      <c r="A1749" s="79">
        <v>43053</v>
      </c>
      <c r="B1749" s="80" t="s">
        <v>5629</v>
      </c>
      <c r="C1749" s="80" t="s">
        <v>5083</v>
      </c>
      <c r="D1749" s="80" t="s">
        <v>1835</v>
      </c>
      <c r="E1749" s="81">
        <v>13500</v>
      </c>
      <c r="F1749" s="80" t="s">
        <v>4814</v>
      </c>
      <c r="G1749" s="81">
        <v>101.43</v>
      </c>
      <c r="H1749" s="81">
        <v>101.43</v>
      </c>
      <c r="I1749" s="80" t="s">
        <v>4800</v>
      </c>
      <c r="L1749" s="3">
        <f>VLOOKUP(C1749,Securities!A:D,4,FALSE)</f>
        <v>5</v>
      </c>
      <c r="M1749" s="3" t="str">
        <f>VLOOKUP(C1749,Securities!A:B,2,FALSE)</f>
        <v>AM281135 Corp</v>
      </c>
      <c r="O1749" s="3">
        <f t="shared" si="28"/>
        <v>13500</v>
      </c>
    </row>
    <row r="1750" spans="1:15" x14ac:dyDescent="0.25">
      <c r="A1750" s="76">
        <v>43053</v>
      </c>
      <c r="B1750" s="77" t="s">
        <v>5629</v>
      </c>
      <c r="C1750" s="77" t="s">
        <v>4811</v>
      </c>
      <c r="D1750" s="77" t="s">
        <v>4659</v>
      </c>
      <c r="E1750" s="78">
        <v>80708</v>
      </c>
      <c r="F1750" s="77" t="s">
        <v>4799</v>
      </c>
      <c r="G1750" s="78">
        <v>112.50879399999999</v>
      </c>
      <c r="H1750" s="78">
        <v>1.960348</v>
      </c>
      <c r="I1750" s="77" t="s">
        <v>4800</v>
      </c>
      <c r="L1750" s="3">
        <f>VLOOKUP(C1750,Securities!A:D,4,FALSE)</f>
        <v>1</v>
      </c>
      <c r="M1750" s="3" t="str">
        <f>VLOOKUP(C1750,Securities!A:B,2,FALSE)</f>
        <v>HGM LN Equity</v>
      </c>
      <c r="O1750" s="3">
        <f t="shared" si="28"/>
        <v>80708</v>
      </c>
    </row>
    <row r="1751" spans="1:15" x14ac:dyDescent="0.25">
      <c r="A1751" s="79">
        <v>43053</v>
      </c>
      <c r="B1751" s="80" t="s">
        <v>5629</v>
      </c>
      <c r="C1751" s="80" t="s">
        <v>4909</v>
      </c>
      <c r="D1751" s="80" t="s">
        <v>286</v>
      </c>
      <c r="E1751" s="81">
        <v>60000</v>
      </c>
      <c r="F1751" s="80" t="s">
        <v>4810</v>
      </c>
      <c r="G1751" s="81">
        <v>50.327125000000002</v>
      </c>
      <c r="H1751" s="81">
        <v>0.876112</v>
      </c>
      <c r="I1751" s="80" t="s">
        <v>4800</v>
      </c>
      <c r="L1751" s="3">
        <f>VLOOKUP(C1751,Securities!A:D,4,FALSE)</f>
        <v>1</v>
      </c>
      <c r="M1751" s="3" t="str">
        <f>VLOOKUP(C1751,Securities!A:B,2,FALSE)</f>
        <v>KMAZ RX Equity</v>
      </c>
      <c r="O1751" s="3">
        <f t="shared" si="28"/>
        <v>60000</v>
      </c>
    </row>
    <row r="1752" spans="1:15" x14ac:dyDescent="0.25">
      <c r="A1752" s="76">
        <v>43053</v>
      </c>
      <c r="B1752" s="77" t="s">
        <v>5629</v>
      </c>
      <c r="C1752" s="77" t="s">
        <v>4812</v>
      </c>
      <c r="D1752" s="77" t="s">
        <v>4675</v>
      </c>
      <c r="E1752" s="78">
        <v>15300</v>
      </c>
      <c r="F1752" s="77" t="s">
        <v>4804</v>
      </c>
      <c r="G1752" s="78">
        <v>575.73853799999995</v>
      </c>
      <c r="H1752" s="78">
        <v>9.9398579999999992</v>
      </c>
      <c r="I1752" s="77" t="s">
        <v>4800</v>
      </c>
      <c r="L1752" s="3">
        <f>VLOOKUP(C1752,Securities!A:D,4,FALSE)</f>
        <v>1</v>
      </c>
      <c r="M1752" s="3" t="str">
        <f>VLOOKUP(C1752,Securities!A:B,2,FALSE)</f>
        <v>KMG LI Equity</v>
      </c>
      <c r="O1752" s="3">
        <f t="shared" si="28"/>
        <v>15300</v>
      </c>
    </row>
    <row r="1753" spans="1:15" x14ac:dyDescent="0.25">
      <c r="A1753" s="79">
        <v>43053</v>
      </c>
      <c r="B1753" s="80" t="s">
        <v>5629</v>
      </c>
      <c r="C1753" s="80" t="s">
        <v>4847</v>
      </c>
      <c r="D1753" s="80" t="s">
        <v>369</v>
      </c>
      <c r="E1753" s="81">
        <v>2000</v>
      </c>
      <c r="F1753" s="80" t="s">
        <v>4810</v>
      </c>
      <c r="G1753" s="81">
        <v>3001.1982349999998</v>
      </c>
      <c r="H1753" s="81">
        <v>52.103498000000002</v>
      </c>
      <c r="I1753" s="80" t="s">
        <v>4800</v>
      </c>
      <c r="L1753" s="3">
        <f>VLOOKUP(C1753,Securities!A:D,4,FALSE)</f>
        <v>1</v>
      </c>
      <c r="M1753" s="3" t="str">
        <f>VLOOKUP(C1753,Securities!A:B,2,FALSE)</f>
        <v>LKOH RX Equity</v>
      </c>
      <c r="O1753" s="3">
        <f t="shared" si="28"/>
        <v>2000</v>
      </c>
    </row>
    <row r="1754" spans="1:15" x14ac:dyDescent="0.25">
      <c r="A1754" s="76">
        <v>43053</v>
      </c>
      <c r="B1754" s="77" t="s">
        <v>5629</v>
      </c>
      <c r="C1754" s="77" t="s">
        <v>4910</v>
      </c>
      <c r="D1754" s="77" t="s">
        <v>366</v>
      </c>
      <c r="E1754" s="78">
        <v>5568</v>
      </c>
      <c r="F1754" s="77" t="s">
        <v>4810</v>
      </c>
      <c r="G1754" s="78">
        <v>863.55962599999998</v>
      </c>
      <c r="H1754" s="78">
        <v>15.150975000000001</v>
      </c>
      <c r="I1754" s="77" t="s">
        <v>4800</v>
      </c>
      <c r="L1754" s="3">
        <f>VLOOKUP(C1754,Securities!A:D,4,FALSE)</f>
        <v>1</v>
      </c>
      <c r="M1754" s="3" t="str">
        <f>VLOOKUP(C1754,Securities!A:B,2,FALSE)</f>
        <v>LSRG RX Equity</v>
      </c>
      <c r="O1754" s="3">
        <f t="shared" si="28"/>
        <v>5568</v>
      </c>
    </row>
    <row r="1755" spans="1:15" x14ac:dyDescent="0.25">
      <c r="A1755" s="79">
        <v>43053</v>
      </c>
      <c r="B1755" s="80" t="s">
        <v>5629</v>
      </c>
      <c r="C1755" s="80" t="s">
        <v>4815</v>
      </c>
      <c r="D1755" s="80" t="s">
        <v>4676</v>
      </c>
      <c r="E1755" s="81">
        <v>1150</v>
      </c>
      <c r="F1755" s="80" t="s">
        <v>4799</v>
      </c>
      <c r="G1755" s="81">
        <v>2568.553852</v>
      </c>
      <c r="H1755" s="81">
        <v>42.859375999999997</v>
      </c>
      <c r="I1755" s="80" t="s">
        <v>4800</v>
      </c>
      <c r="L1755" s="3">
        <f>VLOOKUP(C1755,Securities!A:D,4,FALSE)</f>
        <v>1</v>
      </c>
      <c r="M1755" s="3" t="str">
        <f>VLOOKUP(C1755,Securities!A:B,2,FALSE)</f>
        <v>LXFT US Equity</v>
      </c>
      <c r="O1755" s="3">
        <f t="shared" si="28"/>
        <v>1150</v>
      </c>
    </row>
    <row r="1756" spans="1:15" x14ac:dyDescent="0.25">
      <c r="A1756" s="76">
        <v>43053</v>
      </c>
      <c r="B1756" s="77" t="s">
        <v>5629</v>
      </c>
      <c r="C1756" s="77" t="s">
        <v>4816</v>
      </c>
      <c r="D1756" s="77" t="s">
        <v>4817</v>
      </c>
      <c r="E1756" s="78">
        <v>2430</v>
      </c>
      <c r="F1756" s="77" t="s">
        <v>4799</v>
      </c>
      <c r="G1756" s="78">
        <v>1217.6110000000001</v>
      </c>
      <c r="H1756" s="78">
        <v>20.623632000000001</v>
      </c>
      <c r="I1756" s="77" t="s">
        <v>4800</v>
      </c>
      <c r="L1756" s="3">
        <f>VLOOKUP(C1756,Securities!A:D,4,FALSE)</f>
        <v>1</v>
      </c>
      <c r="M1756" s="3" t="str">
        <f>VLOOKUP(C1756,Securities!A:B,2,FALSE)</f>
        <v>M US Equity</v>
      </c>
      <c r="O1756" s="3">
        <f t="shared" si="28"/>
        <v>2430</v>
      </c>
    </row>
    <row r="1757" spans="1:15" x14ac:dyDescent="0.25">
      <c r="A1757" s="79">
        <v>43053</v>
      </c>
      <c r="B1757" s="80" t="s">
        <v>5629</v>
      </c>
      <c r="C1757" s="80" t="s">
        <v>4818</v>
      </c>
      <c r="D1757" s="80" t="s">
        <v>494</v>
      </c>
      <c r="E1757" s="81">
        <v>130500</v>
      </c>
      <c r="F1757" s="80" t="s">
        <v>4810</v>
      </c>
      <c r="G1757" s="81">
        <v>34.422600000000003</v>
      </c>
      <c r="H1757" s="81">
        <v>0.59250499999999995</v>
      </c>
      <c r="I1757" s="80" t="s">
        <v>4800</v>
      </c>
      <c r="L1757" s="3">
        <f>VLOOKUP(C1757,Securities!A:D,4,FALSE)</f>
        <v>1</v>
      </c>
      <c r="M1757" s="3" t="str">
        <f>VLOOKUP(C1757,Securities!A:B,2,FALSE)</f>
        <v>NKNCP RX Equity</v>
      </c>
      <c r="O1757" s="3">
        <f t="shared" si="28"/>
        <v>130500</v>
      </c>
    </row>
    <row r="1758" spans="1:15" x14ac:dyDescent="0.25">
      <c r="A1758" s="76">
        <v>43053</v>
      </c>
      <c r="B1758" s="77" t="s">
        <v>5629</v>
      </c>
      <c r="C1758" s="77" t="s">
        <v>4912</v>
      </c>
      <c r="D1758" s="77" t="s">
        <v>28</v>
      </c>
      <c r="E1758" s="78">
        <v>491000</v>
      </c>
      <c r="F1758" s="77" t="s">
        <v>4810</v>
      </c>
      <c r="G1758" s="78">
        <v>6.0959000000000003</v>
      </c>
      <c r="H1758" s="78">
        <v>0.105973</v>
      </c>
      <c r="I1758" s="77" t="s">
        <v>4800</v>
      </c>
      <c r="L1758" s="3">
        <f>VLOOKUP(C1758,Securities!A:D,4,FALSE)</f>
        <v>1</v>
      </c>
      <c r="M1758" s="3" t="str">
        <f>VLOOKUP(C1758,Securities!A:B,2,FALSE)</f>
        <v>NMTP RX Equity</v>
      </c>
      <c r="O1758" s="3">
        <f t="shared" si="28"/>
        <v>491000</v>
      </c>
    </row>
    <row r="1759" spans="1:15" x14ac:dyDescent="0.25">
      <c r="A1759" s="79">
        <v>43053</v>
      </c>
      <c r="B1759" s="80" t="s">
        <v>5629</v>
      </c>
      <c r="C1759" s="80" t="s">
        <v>4819</v>
      </c>
      <c r="D1759" s="80" t="s">
        <v>4820</v>
      </c>
      <c r="E1759" s="81">
        <v>200000</v>
      </c>
      <c r="F1759" s="80" t="s">
        <v>4806</v>
      </c>
      <c r="G1759" s="81">
        <v>95.75</v>
      </c>
      <c r="H1759" s="81">
        <v>95.75</v>
      </c>
      <c r="I1759" s="80" t="s">
        <v>4800</v>
      </c>
      <c r="L1759" s="3">
        <f>VLOOKUP(C1759,Securities!A:D,4,FALSE)</f>
        <v>5</v>
      </c>
      <c r="M1759" s="3" t="str">
        <f>VLOOKUP(C1759,Securities!A:B,2,FALSE)</f>
        <v>XS0776121062 Corp</v>
      </c>
      <c r="O1759" s="3">
        <f t="shared" si="28"/>
        <v>200000</v>
      </c>
    </row>
    <row r="1760" spans="1:15" x14ac:dyDescent="0.25">
      <c r="A1760" s="76">
        <v>43053</v>
      </c>
      <c r="B1760" s="77" t="s">
        <v>5629</v>
      </c>
      <c r="C1760" s="77" t="s">
        <v>4848</v>
      </c>
      <c r="D1760" s="77" t="s">
        <v>511</v>
      </c>
      <c r="E1760" s="78">
        <v>9800</v>
      </c>
      <c r="F1760" s="77" t="s">
        <v>4810</v>
      </c>
      <c r="G1760" s="78">
        <v>619.01397899999995</v>
      </c>
      <c r="H1760" s="78">
        <v>10.642941</v>
      </c>
      <c r="I1760" s="77" t="s">
        <v>4800</v>
      </c>
      <c r="L1760" s="3">
        <f>VLOOKUP(C1760,Securities!A:D,4,FALSE)</f>
        <v>1</v>
      </c>
      <c r="M1760" s="3" t="str">
        <f>VLOOKUP(C1760,Securities!A:B,2,FALSE)</f>
        <v>NVTK RX Equity</v>
      </c>
      <c r="O1760" s="3">
        <f t="shared" si="28"/>
        <v>9800</v>
      </c>
    </row>
    <row r="1761" spans="1:15" x14ac:dyDescent="0.25">
      <c r="A1761" s="79">
        <v>43053</v>
      </c>
      <c r="B1761" s="80" t="s">
        <v>5629</v>
      </c>
      <c r="C1761" s="80" t="s">
        <v>4821</v>
      </c>
      <c r="D1761" s="80" t="s">
        <v>42</v>
      </c>
      <c r="E1761" s="81">
        <v>13700</v>
      </c>
      <c r="F1761" s="80" t="s">
        <v>4799</v>
      </c>
      <c r="G1761" s="81">
        <v>641.77748299999996</v>
      </c>
      <c r="H1761" s="81">
        <v>10.748559999999999</v>
      </c>
      <c r="I1761" s="80" t="s">
        <v>4800</v>
      </c>
      <c r="L1761" s="3">
        <f>VLOOKUP(C1761,Securities!A:D,4,FALSE)</f>
        <v>1</v>
      </c>
      <c r="M1761" s="3" t="str">
        <f>VLOOKUP(C1761,Securities!A:B,2,FALSE)</f>
        <v>POLY LN Equity</v>
      </c>
      <c r="O1761" s="3">
        <f t="shared" si="28"/>
        <v>13700</v>
      </c>
    </row>
    <row r="1762" spans="1:15" x14ac:dyDescent="0.25">
      <c r="A1762" s="76">
        <v>43053</v>
      </c>
      <c r="B1762" s="77" t="s">
        <v>5629</v>
      </c>
      <c r="C1762" s="77" t="s">
        <v>4834</v>
      </c>
      <c r="D1762" s="77" t="s">
        <v>51</v>
      </c>
      <c r="E1762" s="78">
        <v>2840</v>
      </c>
      <c r="F1762" s="77" t="s">
        <v>4825</v>
      </c>
      <c r="G1762" s="78">
        <v>1039.28</v>
      </c>
      <c r="H1762" s="78">
        <v>17.603100000000001</v>
      </c>
      <c r="I1762" s="77" t="s">
        <v>4800</v>
      </c>
      <c r="L1762" s="3">
        <f>VLOOKUP(C1762,Securities!A:D,4,FALSE)</f>
        <v>1</v>
      </c>
      <c r="M1762" s="3" t="str">
        <f>VLOOKUP(C1762,Securities!A:B,2,FALSE)</f>
        <v>QIWI US Equity</v>
      </c>
      <c r="O1762" s="3">
        <f t="shared" si="28"/>
        <v>2840</v>
      </c>
    </row>
    <row r="1763" spans="1:15" x14ac:dyDescent="0.25">
      <c r="A1763" s="79">
        <v>43053</v>
      </c>
      <c r="B1763" s="80" t="s">
        <v>5629</v>
      </c>
      <c r="C1763" s="80" t="s">
        <v>5129</v>
      </c>
      <c r="D1763" s="80" t="s">
        <v>4646</v>
      </c>
      <c r="E1763" s="81">
        <v>13500</v>
      </c>
      <c r="F1763" s="80" t="s">
        <v>4814</v>
      </c>
      <c r="G1763" s="81">
        <v>100</v>
      </c>
      <c r="H1763" s="81">
        <v>100</v>
      </c>
      <c r="I1763" s="80" t="s">
        <v>4800</v>
      </c>
      <c r="L1763" s="3">
        <f>VLOOKUP(C1763,Securities!A:D,4,FALSE)</f>
        <v>5</v>
      </c>
      <c r="M1763" s="3" t="str">
        <f>VLOOKUP(C1763,Securities!A:B,2,FALSE)</f>
        <v>RU000A0JXMQ8 Corp</v>
      </c>
      <c r="O1763" s="3">
        <f t="shared" si="28"/>
        <v>13500</v>
      </c>
    </row>
    <row r="1764" spans="1:15" x14ac:dyDescent="0.25">
      <c r="A1764" s="76">
        <v>43053</v>
      </c>
      <c r="B1764" s="77" t="s">
        <v>5629</v>
      </c>
      <c r="C1764" s="77" t="s">
        <v>4851</v>
      </c>
      <c r="D1764" s="77" t="s">
        <v>4744</v>
      </c>
      <c r="E1764" s="78">
        <v>200000</v>
      </c>
      <c r="F1764" s="77" t="s">
        <v>4806</v>
      </c>
      <c r="G1764" s="78">
        <v>101.21</v>
      </c>
      <c r="H1764" s="78">
        <v>101.21</v>
      </c>
      <c r="I1764" s="77" t="s">
        <v>4800</v>
      </c>
      <c r="L1764" s="3">
        <f>VLOOKUP(C1764,Securities!A:D,4,FALSE)</f>
        <v>5</v>
      </c>
      <c r="M1764" s="3" t="str">
        <f>VLOOKUP(C1764,Securities!A:B,2,FALSE)</f>
        <v>XS1032750165 Corp</v>
      </c>
      <c r="O1764" s="3">
        <f t="shared" si="28"/>
        <v>200000</v>
      </c>
    </row>
    <row r="1765" spans="1:15" x14ac:dyDescent="0.25">
      <c r="A1765" s="79">
        <v>43053</v>
      </c>
      <c r="B1765" s="80" t="s">
        <v>5629</v>
      </c>
      <c r="C1765" s="80" t="s">
        <v>4830</v>
      </c>
      <c r="D1765" s="80" t="s">
        <v>4831</v>
      </c>
      <c r="E1765" s="81">
        <v>-74</v>
      </c>
      <c r="F1765" s="80" t="s">
        <v>4832</v>
      </c>
      <c r="G1765" s="81">
        <v>58393.258771000001</v>
      </c>
      <c r="H1765" s="81">
        <v>1012.462977</v>
      </c>
      <c r="I1765" s="80" t="s">
        <v>4800</v>
      </c>
      <c r="L1765" s="3">
        <f>VLOOKUP(C1765,Securities!A:D,4,FALSE)</f>
        <v>15</v>
      </c>
      <c r="M1765" s="3" t="str">
        <f>VLOOKUP(C1765,Securities!A:B,2,FALSE)</f>
        <v>URZ7 Curncy</v>
      </c>
      <c r="O1765" s="3">
        <f t="shared" si="28"/>
        <v>-74</v>
      </c>
    </row>
    <row r="1766" spans="1:15" x14ac:dyDescent="0.25">
      <c r="A1766" s="76">
        <v>43053</v>
      </c>
      <c r="B1766" s="77" t="s">
        <v>5629</v>
      </c>
      <c r="C1766" s="77" t="s">
        <v>4917</v>
      </c>
      <c r="D1766" s="77" t="s">
        <v>742</v>
      </c>
      <c r="E1766" s="78">
        <v>110920</v>
      </c>
      <c r="F1766" s="77" t="s">
        <v>4810</v>
      </c>
      <c r="G1766" s="78">
        <v>70.290153000000004</v>
      </c>
      <c r="H1766" s="78">
        <v>1.2136530000000001</v>
      </c>
      <c r="I1766" s="77" t="s">
        <v>4800</v>
      </c>
      <c r="L1766" s="3">
        <f>VLOOKUP(C1766,Securities!A:D,4,FALSE)</f>
        <v>1</v>
      </c>
      <c r="M1766" s="3" t="str">
        <f>VLOOKUP(C1766,Securities!A:B,2,FALSE)</f>
        <v>TRMK RX Equity</v>
      </c>
      <c r="O1766" s="3">
        <f t="shared" si="28"/>
        <v>110920</v>
      </c>
    </row>
    <row r="1767" spans="1:15" x14ac:dyDescent="0.25">
      <c r="A1767" s="79">
        <v>43053</v>
      </c>
      <c r="B1767" s="80" t="s">
        <v>5629</v>
      </c>
      <c r="C1767" s="80" t="s">
        <v>4890</v>
      </c>
      <c r="D1767" s="80" t="s">
        <v>886</v>
      </c>
      <c r="E1767" s="81">
        <v>2545000</v>
      </c>
      <c r="F1767" s="80" t="s">
        <v>4810</v>
      </c>
      <c r="G1767" s="81">
        <v>2.3824160000000001</v>
      </c>
      <c r="H1767" s="81">
        <v>4.1494999999999997E-2</v>
      </c>
      <c r="I1767" s="80" t="s">
        <v>4800</v>
      </c>
      <c r="L1767" s="3">
        <f>VLOOKUP(C1767,Securities!A:D,4,FALSE)</f>
        <v>1</v>
      </c>
      <c r="M1767" s="3" t="str">
        <f>VLOOKUP(C1767,Securities!A:B,2,FALSE)</f>
        <v>UPRO RX Equity</v>
      </c>
      <c r="O1767" s="3">
        <f t="shared" si="28"/>
        <v>2545000</v>
      </c>
    </row>
    <row r="1768" spans="1:15" x14ac:dyDescent="0.25">
      <c r="A1768" s="76">
        <v>43053</v>
      </c>
      <c r="B1768" s="77" t="s">
        <v>5629</v>
      </c>
      <c r="C1768" s="77" t="s">
        <v>4824</v>
      </c>
      <c r="D1768" s="77" t="s">
        <v>4674</v>
      </c>
      <c r="E1768" s="78">
        <v>24600</v>
      </c>
      <c r="F1768" s="77" t="s">
        <v>4825</v>
      </c>
      <c r="G1768" s="78">
        <v>237.21221600000001</v>
      </c>
      <c r="H1768" s="78">
        <v>4.1207000000000003</v>
      </c>
      <c r="I1768" s="77" t="s">
        <v>4800</v>
      </c>
      <c r="L1768" s="3">
        <f>VLOOKUP(C1768,Securities!A:D,4,FALSE)</f>
        <v>1</v>
      </c>
      <c r="M1768" s="3" t="str">
        <f>VLOOKUP(C1768,Securities!A:B,2,FALSE)</f>
        <v>VEON US Equity</v>
      </c>
      <c r="O1768" s="3">
        <f t="shared" si="28"/>
        <v>24600</v>
      </c>
    </row>
    <row r="1769" spans="1:15" x14ac:dyDescent="0.25">
      <c r="A1769" s="79">
        <v>43053</v>
      </c>
      <c r="B1769" s="80" t="s">
        <v>5630</v>
      </c>
      <c r="C1769" s="80" t="s">
        <v>5345</v>
      </c>
      <c r="D1769" s="80" t="s">
        <v>5346</v>
      </c>
      <c r="E1769" s="81">
        <v>400000</v>
      </c>
      <c r="F1769" s="80" t="s">
        <v>4838</v>
      </c>
      <c r="G1769" s="81">
        <v>100</v>
      </c>
      <c r="H1769" s="81">
        <v>100</v>
      </c>
      <c r="I1769" s="80" t="s">
        <v>4800</v>
      </c>
      <c r="L1769" s="3">
        <f>VLOOKUP(C1769,Securities!A:D,4,FALSE)</f>
        <v>5</v>
      </c>
      <c r="M1769" s="3" t="str">
        <f>VLOOKUP(C1769,Securities!A:B,2,FALSE)</f>
        <v>CH0355508588 Corp</v>
      </c>
      <c r="O1769" s="3">
        <f t="shared" si="28"/>
        <v>400000</v>
      </c>
    </row>
    <row r="1770" spans="1:15" x14ac:dyDescent="0.25">
      <c r="A1770" s="76">
        <v>43053</v>
      </c>
      <c r="B1770" s="77" t="s">
        <v>5630</v>
      </c>
      <c r="C1770" s="77" t="s">
        <v>5356</v>
      </c>
      <c r="D1770" s="77" t="s">
        <v>5357</v>
      </c>
      <c r="E1770" s="78">
        <v>770000</v>
      </c>
      <c r="F1770" s="77" t="s">
        <v>4838</v>
      </c>
      <c r="G1770" s="78">
        <v>100</v>
      </c>
      <c r="H1770" s="78">
        <v>100</v>
      </c>
      <c r="I1770" s="77" t="s">
        <v>4800</v>
      </c>
      <c r="L1770" s="3">
        <f>VLOOKUP(C1770,Securities!A:D,4,FALSE)</f>
        <v>5</v>
      </c>
      <c r="M1770" s="3" t="str">
        <f>VLOOKUP(C1770,Securities!A:B,2,FALSE)</f>
        <v>CH0374210356 Corp</v>
      </c>
      <c r="O1770" s="3">
        <f t="shared" si="28"/>
        <v>770000</v>
      </c>
    </row>
    <row r="1771" spans="1:15" x14ac:dyDescent="0.25">
      <c r="A1771" s="79">
        <v>43053</v>
      </c>
      <c r="B1771" s="80" t="s">
        <v>5630</v>
      </c>
      <c r="C1771" s="80" t="s">
        <v>5631</v>
      </c>
      <c r="D1771" s="80" t="s">
        <v>5632</v>
      </c>
      <c r="E1771" s="81">
        <v>24000000</v>
      </c>
      <c r="F1771" s="80" t="s">
        <v>4838</v>
      </c>
      <c r="G1771" s="81">
        <v>100</v>
      </c>
      <c r="H1771" s="81">
        <v>100</v>
      </c>
      <c r="I1771" s="80" t="s">
        <v>4800</v>
      </c>
      <c r="L1771" s="3">
        <f>VLOOKUP(C1771,Securities!A:D,4,FALSE)</f>
        <v>5</v>
      </c>
      <c r="M1771" s="3" t="str">
        <f>VLOOKUP(C1771,Securities!A:B,2,FALSE)</f>
        <v>XS1605088845 Corp</v>
      </c>
      <c r="O1771" s="3">
        <f t="shared" si="28"/>
        <v>24000000</v>
      </c>
    </row>
    <row r="1772" spans="1:15" x14ac:dyDescent="0.25">
      <c r="A1772" s="76">
        <v>43053</v>
      </c>
      <c r="B1772" s="77" t="s">
        <v>5630</v>
      </c>
      <c r="C1772" s="77" t="s">
        <v>5593</v>
      </c>
      <c r="D1772" s="77" t="s">
        <v>5594</v>
      </c>
      <c r="E1772" s="78">
        <v>360000</v>
      </c>
      <c r="F1772" s="77" t="s">
        <v>4838</v>
      </c>
      <c r="G1772" s="78">
        <v>100</v>
      </c>
      <c r="H1772" s="78">
        <v>100</v>
      </c>
      <c r="I1772" s="77" t="s">
        <v>4823</v>
      </c>
      <c r="L1772" s="3">
        <f>VLOOKUP(C1772,Securities!A:D,4,FALSE)</f>
        <v>5</v>
      </c>
      <c r="M1772" s="3" t="str">
        <f>VLOOKUP(C1772,Securities!A:B,2,FALSE)</f>
        <v>XS1631530257 Corp</v>
      </c>
      <c r="O1772" s="3">
        <f t="shared" si="28"/>
        <v>360000</v>
      </c>
    </row>
    <row r="1773" spans="1:15" x14ac:dyDescent="0.25">
      <c r="A1773" s="79">
        <v>43053</v>
      </c>
      <c r="B1773" s="80" t="s">
        <v>5633</v>
      </c>
      <c r="C1773" s="80" t="s">
        <v>4895</v>
      </c>
      <c r="D1773" s="80" t="s">
        <v>144</v>
      </c>
      <c r="E1773" s="81">
        <v>1965</v>
      </c>
      <c r="F1773" s="80" t="s">
        <v>4810</v>
      </c>
      <c r="G1773" s="81">
        <v>1277.5890019999999</v>
      </c>
      <c r="H1773" s="81">
        <v>21.874013999999999</v>
      </c>
      <c r="I1773" s="80" t="s">
        <v>4800</v>
      </c>
      <c r="L1773" s="3">
        <f>VLOOKUP(C1773,Securities!A:D,4,FALSE)</f>
        <v>1</v>
      </c>
      <c r="M1773" s="3" t="str">
        <f>VLOOKUP(C1773,Securities!A:B,2,FALSE)</f>
        <v>BANEP RX Equity</v>
      </c>
      <c r="O1773" s="3">
        <f t="shared" si="28"/>
        <v>1965</v>
      </c>
    </row>
    <row r="1774" spans="1:15" x14ac:dyDescent="0.25">
      <c r="A1774" s="76">
        <v>43053</v>
      </c>
      <c r="B1774" s="77" t="s">
        <v>5633</v>
      </c>
      <c r="C1774" s="77" t="s">
        <v>4827</v>
      </c>
      <c r="D1774" s="77" t="s">
        <v>4828</v>
      </c>
      <c r="E1774" s="78">
        <v>-2114</v>
      </c>
      <c r="F1774" s="77" t="s">
        <v>4829</v>
      </c>
      <c r="G1774" s="78">
        <v>34835.691409999999</v>
      </c>
      <c r="H1774" s="78">
        <v>600.20298100000002</v>
      </c>
      <c r="I1774" s="77" t="s">
        <v>4800</v>
      </c>
      <c r="L1774" s="3">
        <f>VLOOKUP(C1774,Securities!A:D,4,FALSE)</f>
        <v>15</v>
      </c>
      <c r="M1774" s="3" t="str">
        <f>VLOOKUP(C1774,Securities!A:B,2,FALSE)</f>
        <v>B5Z7 Comdty</v>
      </c>
      <c r="O1774" s="3">
        <f t="shared" si="28"/>
        <v>-2114</v>
      </c>
    </row>
    <row r="1775" spans="1:15" x14ac:dyDescent="0.25">
      <c r="A1775" s="79">
        <v>43053</v>
      </c>
      <c r="B1775" s="80" t="s">
        <v>5633</v>
      </c>
      <c r="C1775" s="80" t="s">
        <v>4839</v>
      </c>
      <c r="D1775" s="80" t="s">
        <v>4840</v>
      </c>
      <c r="E1775" s="81">
        <v>100000</v>
      </c>
      <c r="F1775" s="80" t="s">
        <v>4838</v>
      </c>
      <c r="G1775" s="81">
        <v>100</v>
      </c>
      <c r="H1775" s="81">
        <v>100</v>
      </c>
      <c r="I1775" s="80" t="s">
        <v>4800</v>
      </c>
      <c r="L1775" s="3">
        <f>VLOOKUP(C1775,Securities!A:D,4,FALSE)</f>
        <v>5</v>
      </c>
      <c r="M1775" s="3" t="str">
        <f>VLOOKUP(C1775,Securities!A:B,2,FALSE)</f>
        <v>XS1513271418 Corp</v>
      </c>
      <c r="O1775" s="3">
        <f t="shared" si="28"/>
        <v>100000</v>
      </c>
    </row>
    <row r="1776" spans="1:15" x14ac:dyDescent="0.25">
      <c r="A1776" s="76">
        <v>43053</v>
      </c>
      <c r="B1776" s="77" t="s">
        <v>5633</v>
      </c>
      <c r="C1776" s="77" t="s">
        <v>4830</v>
      </c>
      <c r="D1776" s="77" t="s">
        <v>4831</v>
      </c>
      <c r="E1776" s="78">
        <v>-1213</v>
      </c>
      <c r="F1776" s="77" t="s">
        <v>4832</v>
      </c>
      <c r="G1776" s="78">
        <v>58464.789750999997</v>
      </c>
      <c r="H1776" s="78">
        <v>1014.759618</v>
      </c>
      <c r="I1776" s="77" t="s">
        <v>4800</v>
      </c>
      <c r="L1776" s="3">
        <f>VLOOKUP(C1776,Securities!A:D,4,FALSE)</f>
        <v>15</v>
      </c>
      <c r="M1776" s="3" t="str">
        <f>VLOOKUP(C1776,Securities!A:B,2,FALSE)</f>
        <v>URZ7 Curncy</v>
      </c>
      <c r="O1776" s="3">
        <f t="shared" si="28"/>
        <v>-1213</v>
      </c>
    </row>
    <row r="1777" spans="1:15" x14ac:dyDescent="0.25">
      <c r="A1777" s="79">
        <v>43053</v>
      </c>
      <c r="B1777" s="80" t="s">
        <v>5634</v>
      </c>
      <c r="C1777" s="80" t="s">
        <v>4973</v>
      </c>
      <c r="D1777" s="80" t="s">
        <v>23</v>
      </c>
      <c r="E1777" s="81">
        <v>35157</v>
      </c>
      <c r="F1777" s="80" t="s">
        <v>4974</v>
      </c>
      <c r="G1777" s="81">
        <v>100.70399</v>
      </c>
      <c r="H1777" s="81">
        <v>100.70399</v>
      </c>
      <c r="I1777" s="80" t="s">
        <v>4800</v>
      </c>
      <c r="L1777" s="3">
        <f>VLOOKUP(C1777,Securities!A:D,4,FALSE)</f>
        <v>5</v>
      </c>
      <c r="M1777" s="3" t="str">
        <f>VLOOKUP(C1777,Securities!A:B,2,FALSE)</f>
        <v>RU000A0JV7K7 Corp</v>
      </c>
      <c r="O1777" s="3">
        <f t="shared" si="28"/>
        <v>35157</v>
      </c>
    </row>
    <row r="1778" spans="1:15" x14ac:dyDescent="0.25">
      <c r="A1778" s="76">
        <v>43053</v>
      </c>
      <c r="B1778" s="77" t="s">
        <v>5634</v>
      </c>
      <c r="C1778" s="77" t="s">
        <v>4975</v>
      </c>
      <c r="D1778" s="77" t="s">
        <v>939</v>
      </c>
      <c r="E1778" s="78">
        <v>2567</v>
      </c>
      <c r="F1778" s="77" t="s">
        <v>4974</v>
      </c>
      <c r="G1778" s="78">
        <v>101.988772</v>
      </c>
      <c r="H1778" s="78">
        <v>101.988772</v>
      </c>
      <c r="I1778" s="77" t="s">
        <v>4800</v>
      </c>
      <c r="L1778" s="3">
        <f>VLOOKUP(C1778,Securities!A:D,4,FALSE)</f>
        <v>5</v>
      </c>
      <c r="M1778" s="3" t="str">
        <f>VLOOKUP(C1778,Securities!A:B,2,FALSE)</f>
        <v>RU000A0JX0J2 Corp</v>
      </c>
      <c r="O1778" s="3">
        <f t="shared" si="28"/>
        <v>2567</v>
      </c>
    </row>
    <row r="1779" spans="1:15" x14ac:dyDescent="0.25">
      <c r="A1779" s="79">
        <v>43053</v>
      </c>
      <c r="B1779" s="80" t="s">
        <v>5634</v>
      </c>
      <c r="C1779" s="80" t="s">
        <v>5331</v>
      </c>
      <c r="D1779" s="80" t="s">
        <v>960</v>
      </c>
      <c r="E1779" s="81">
        <v>4742</v>
      </c>
      <c r="F1779" s="80" t="s">
        <v>4974</v>
      </c>
      <c r="G1779" s="81">
        <v>96.861767</v>
      </c>
      <c r="H1779" s="81">
        <v>96.861767</v>
      </c>
      <c r="I1779" s="80" t="s">
        <v>4800</v>
      </c>
      <c r="L1779" s="3">
        <f>VLOOKUP(C1779,Securities!A:D,4,FALSE)</f>
        <v>5</v>
      </c>
      <c r="M1779" s="3" t="str">
        <f>VLOOKUP(C1779,Securities!A:B,2,FALSE)</f>
        <v>RU000A0JTYA5 Corp</v>
      </c>
      <c r="O1779" s="3">
        <f t="shared" si="28"/>
        <v>4742</v>
      </c>
    </row>
    <row r="1780" spans="1:15" x14ac:dyDescent="0.25">
      <c r="A1780" s="76">
        <v>43053</v>
      </c>
      <c r="B1780" s="77" t="s">
        <v>5634</v>
      </c>
      <c r="C1780" s="77" t="s">
        <v>5635</v>
      </c>
      <c r="D1780" s="77" t="s">
        <v>244</v>
      </c>
      <c r="E1780" s="78">
        <v>1</v>
      </c>
      <c r="F1780" s="77" t="s">
        <v>4810</v>
      </c>
      <c r="G1780" s="78">
        <v>97.893460000000005</v>
      </c>
      <c r="H1780" s="78">
        <v>1.7169179999999999</v>
      </c>
      <c r="I1780" s="77" t="s">
        <v>4800</v>
      </c>
      <c r="L1780" s="3">
        <f>VLOOKUP(C1780,Securities!A:D,4,FALSE)</f>
        <v>1</v>
      </c>
      <c r="M1780" s="3" t="str">
        <f>VLOOKUP(C1780,Securities!A:B,2,FALSE)</f>
        <v>DSKY RX Equity</v>
      </c>
      <c r="O1780" s="3">
        <f t="shared" si="28"/>
        <v>1</v>
      </c>
    </row>
    <row r="1781" spans="1:15" x14ac:dyDescent="0.25">
      <c r="A1781" s="79">
        <v>43053</v>
      </c>
      <c r="B1781" s="80" t="s">
        <v>5634</v>
      </c>
      <c r="C1781" s="80" t="s">
        <v>5306</v>
      </c>
      <c r="D1781" s="80" t="s">
        <v>2057</v>
      </c>
      <c r="E1781" s="81">
        <v>3000</v>
      </c>
      <c r="F1781" s="80" t="s">
        <v>4814</v>
      </c>
      <c r="G1781" s="81">
        <v>105.99</v>
      </c>
      <c r="H1781" s="81">
        <v>105.99</v>
      </c>
      <c r="I1781" s="80" t="s">
        <v>4800</v>
      </c>
      <c r="L1781" s="3">
        <f>VLOOKUP(C1781,Securities!A:D,4,FALSE)</f>
        <v>5</v>
      </c>
      <c r="M1781" s="3" t="str">
        <f>VLOOKUP(C1781,Securities!A:B,2,FALSE)</f>
        <v>RU000A0JVKK9 Corp</v>
      </c>
      <c r="O1781" s="3">
        <f t="shared" si="28"/>
        <v>3000</v>
      </c>
    </row>
    <row r="1782" spans="1:15" x14ac:dyDescent="0.25">
      <c r="A1782" s="76">
        <v>43053</v>
      </c>
      <c r="B1782" s="77" t="s">
        <v>5634</v>
      </c>
      <c r="C1782" s="77" t="s">
        <v>5507</v>
      </c>
      <c r="D1782" s="77" t="s">
        <v>5508</v>
      </c>
      <c r="E1782" s="78">
        <v>2130</v>
      </c>
      <c r="F1782" s="77" t="s">
        <v>4814</v>
      </c>
      <c r="G1782" s="78">
        <v>102.2</v>
      </c>
      <c r="H1782" s="78">
        <v>102.2</v>
      </c>
      <c r="I1782" s="77" t="s">
        <v>4800</v>
      </c>
      <c r="L1782" s="3">
        <f>VLOOKUP(C1782,Securities!A:D,4,FALSE)</f>
        <v>5</v>
      </c>
      <c r="M1782" s="3" t="str">
        <f>VLOOKUP(C1782,Securities!A:B,2,FALSE)</f>
        <v>RU000A0JXPG2 Corp</v>
      </c>
      <c r="O1782" s="3">
        <f t="shared" si="28"/>
        <v>2130</v>
      </c>
    </row>
    <row r="1783" spans="1:15" x14ac:dyDescent="0.25">
      <c r="A1783" s="79">
        <v>43053</v>
      </c>
      <c r="B1783" s="80" t="s">
        <v>5634</v>
      </c>
      <c r="C1783" s="80" t="s">
        <v>5307</v>
      </c>
      <c r="D1783" s="80" t="s">
        <v>1841</v>
      </c>
      <c r="E1783" s="81">
        <v>6000</v>
      </c>
      <c r="F1783" s="80" t="s">
        <v>4814</v>
      </c>
      <c r="G1783" s="81">
        <v>99.48</v>
      </c>
      <c r="H1783" s="81">
        <v>99.48</v>
      </c>
      <c r="I1783" s="80" t="s">
        <v>4800</v>
      </c>
      <c r="L1783" s="3">
        <f>VLOOKUP(C1783,Securities!A:D,4,FALSE)</f>
        <v>5</v>
      </c>
      <c r="M1783" s="3" t="str">
        <f>VLOOKUP(C1783,Securities!A:B,2,FALSE)</f>
        <v>RU000A0JU609 Corp</v>
      </c>
      <c r="O1783" s="3">
        <f t="shared" si="28"/>
        <v>6000</v>
      </c>
    </row>
    <row r="1784" spans="1:15" x14ac:dyDescent="0.25">
      <c r="A1784" s="76">
        <v>43053</v>
      </c>
      <c r="B1784" s="77" t="s">
        <v>5634</v>
      </c>
      <c r="C1784" s="77" t="s">
        <v>5557</v>
      </c>
      <c r="D1784" s="77" t="s">
        <v>3155</v>
      </c>
      <c r="E1784" s="78">
        <v>3000</v>
      </c>
      <c r="F1784" s="77" t="s">
        <v>4814</v>
      </c>
      <c r="G1784" s="78">
        <v>102.63</v>
      </c>
      <c r="H1784" s="78">
        <v>102.63</v>
      </c>
      <c r="I1784" s="77" t="s">
        <v>4800</v>
      </c>
      <c r="L1784" s="3">
        <f>VLOOKUP(C1784,Securities!A:D,4,FALSE)</f>
        <v>5</v>
      </c>
      <c r="M1784" s="3" t="str">
        <f>VLOOKUP(C1784,Securities!A:B,2,FALSE)</f>
        <v>RU000A0JWP46 Corp</v>
      </c>
      <c r="O1784" s="3">
        <f t="shared" si="28"/>
        <v>3000</v>
      </c>
    </row>
    <row r="1785" spans="1:15" x14ac:dyDescent="0.25">
      <c r="A1785" s="79">
        <v>43053</v>
      </c>
      <c r="B1785" s="80" t="s">
        <v>5634</v>
      </c>
      <c r="C1785" s="80" t="s">
        <v>4932</v>
      </c>
      <c r="D1785" s="80" t="s">
        <v>4933</v>
      </c>
      <c r="E1785" s="81">
        <v>30000</v>
      </c>
      <c r="F1785" s="80" t="s">
        <v>4814</v>
      </c>
      <c r="G1785" s="81">
        <v>100</v>
      </c>
      <c r="H1785" s="81">
        <v>100</v>
      </c>
      <c r="I1785" s="80" t="s">
        <v>4800</v>
      </c>
      <c r="L1785" s="3">
        <f>VLOOKUP(C1785,Securities!A:D,4,FALSE)</f>
        <v>5</v>
      </c>
      <c r="M1785" s="3" t="str">
        <f>VLOOKUP(C1785,Securities!A:B,2,FALSE)</f>
        <v>RU000A0ZYBS1 Corp</v>
      </c>
      <c r="O1785" s="3">
        <f t="shared" si="28"/>
        <v>30000</v>
      </c>
    </row>
    <row r="1786" spans="1:15" x14ac:dyDescent="0.25">
      <c r="A1786" s="76">
        <v>43053</v>
      </c>
      <c r="B1786" s="77" t="s">
        <v>5634</v>
      </c>
      <c r="C1786" s="77" t="s">
        <v>5587</v>
      </c>
      <c r="D1786" s="77" t="s">
        <v>3956</v>
      </c>
      <c r="E1786" s="78">
        <v>3000</v>
      </c>
      <c r="F1786" s="77" t="s">
        <v>4814</v>
      </c>
      <c r="G1786" s="78">
        <v>101.86</v>
      </c>
      <c r="H1786" s="78">
        <v>101.86</v>
      </c>
      <c r="I1786" s="77" t="s">
        <v>4800</v>
      </c>
      <c r="L1786" s="3">
        <f>VLOOKUP(C1786,Securities!A:D,4,FALSE)</f>
        <v>5</v>
      </c>
      <c r="M1786" s="3" t="str">
        <f>VLOOKUP(C1786,Securities!A:B,2,FALSE)</f>
        <v>RU000A0JRKC4 Corp</v>
      </c>
      <c r="O1786" s="3">
        <f t="shared" si="28"/>
        <v>3000</v>
      </c>
    </row>
    <row r="1787" spans="1:15" x14ac:dyDescent="0.25">
      <c r="A1787" s="79">
        <v>43053</v>
      </c>
      <c r="B1787" s="80" t="s">
        <v>5634</v>
      </c>
      <c r="C1787" s="80" t="s">
        <v>5636</v>
      </c>
      <c r="D1787" s="80" t="s">
        <v>1625</v>
      </c>
      <c r="E1787" s="81">
        <v>6000</v>
      </c>
      <c r="F1787" s="80" t="s">
        <v>4814</v>
      </c>
      <c r="G1787" s="81">
        <v>98.495000000000005</v>
      </c>
      <c r="H1787" s="81">
        <v>98.495000000000005</v>
      </c>
      <c r="I1787" s="80" t="s">
        <v>4800</v>
      </c>
      <c r="L1787" s="3">
        <f>VLOOKUP(C1787,Securities!A:D,4,FALSE)</f>
        <v>5</v>
      </c>
      <c r="M1787" s="3" t="str">
        <f>VLOOKUP(C1787,Securities!A:B,2,FALSE)</f>
        <v>RU000A0JU9S7 Corp</v>
      </c>
      <c r="O1787" s="3">
        <f t="shared" si="28"/>
        <v>6000</v>
      </c>
    </row>
    <row r="1788" spans="1:15" x14ac:dyDescent="0.25">
      <c r="A1788" s="76">
        <v>43053</v>
      </c>
      <c r="B1788" s="77" t="s">
        <v>5637</v>
      </c>
      <c r="C1788" s="77" t="s">
        <v>5472</v>
      </c>
      <c r="D1788" s="77" t="s">
        <v>5473</v>
      </c>
      <c r="E1788" s="78">
        <v>100000</v>
      </c>
      <c r="F1788" s="77" t="s">
        <v>4838</v>
      </c>
      <c r="G1788" s="78">
        <v>95.15</v>
      </c>
      <c r="H1788" s="78">
        <v>95.15</v>
      </c>
      <c r="I1788" s="77" t="s">
        <v>4800</v>
      </c>
      <c r="L1788" s="3">
        <f>VLOOKUP(C1788,Securities!A:D,4,FALSE)</f>
        <v>5</v>
      </c>
      <c r="M1788" s="3" t="str">
        <f>VLOOKUP(C1788,Securities!A:B,2,FALSE)</f>
        <v>CH0361710855 Corp</v>
      </c>
      <c r="O1788" s="3">
        <f t="shared" si="28"/>
        <v>100000</v>
      </c>
    </row>
    <row r="1789" spans="1:15" x14ac:dyDescent="0.25">
      <c r="A1789" s="79">
        <v>43053</v>
      </c>
      <c r="B1789" s="80" t="s">
        <v>5637</v>
      </c>
      <c r="C1789" s="80" t="s">
        <v>4805</v>
      </c>
      <c r="D1789" s="80" t="s">
        <v>31</v>
      </c>
      <c r="E1789" s="81">
        <v>137000</v>
      </c>
      <c r="F1789" s="80" t="s">
        <v>4806</v>
      </c>
      <c r="G1789" s="81">
        <v>175.01</v>
      </c>
      <c r="H1789" s="81">
        <v>175.01</v>
      </c>
      <c r="I1789" s="80" t="s">
        <v>4800</v>
      </c>
      <c r="L1789" s="3">
        <f>VLOOKUP(C1789,Securities!A:D,4,FALSE)</f>
        <v>5</v>
      </c>
      <c r="M1789" s="3" t="str">
        <f>VLOOKUP(C1789,Securities!A:B,2,FALSE)</f>
        <v>TT343269 Corp</v>
      </c>
      <c r="O1789" s="3">
        <f t="shared" si="28"/>
        <v>137000</v>
      </c>
    </row>
    <row r="1790" spans="1:15" x14ac:dyDescent="0.25">
      <c r="A1790" s="76">
        <v>43053</v>
      </c>
      <c r="B1790" s="77" t="s">
        <v>5637</v>
      </c>
      <c r="C1790" s="77" t="s">
        <v>4839</v>
      </c>
      <c r="D1790" s="77" t="s">
        <v>4840</v>
      </c>
      <c r="E1790" s="78">
        <v>300000</v>
      </c>
      <c r="F1790" s="77" t="s">
        <v>4838</v>
      </c>
      <c r="G1790" s="78">
        <v>100</v>
      </c>
      <c r="H1790" s="78">
        <v>100</v>
      </c>
      <c r="I1790" s="77" t="s">
        <v>4800</v>
      </c>
      <c r="L1790" s="3">
        <f>VLOOKUP(C1790,Securities!A:D,4,FALSE)</f>
        <v>5</v>
      </c>
      <c r="M1790" s="3" t="str">
        <f>VLOOKUP(C1790,Securities!A:B,2,FALSE)</f>
        <v>XS1513271418 Corp</v>
      </c>
      <c r="O1790" s="3">
        <f t="shared" si="28"/>
        <v>300000</v>
      </c>
    </row>
    <row r="1791" spans="1:15" x14ac:dyDescent="0.25">
      <c r="A1791" s="79">
        <v>43053</v>
      </c>
      <c r="B1791" s="80" t="s">
        <v>5637</v>
      </c>
      <c r="C1791" s="80" t="s">
        <v>4815</v>
      </c>
      <c r="D1791" s="80" t="s">
        <v>4676</v>
      </c>
      <c r="E1791" s="81">
        <v>1167</v>
      </c>
      <c r="F1791" s="80" t="s">
        <v>4799</v>
      </c>
      <c r="G1791" s="81">
        <v>2568.7554839999998</v>
      </c>
      <c r="H1791" s="81">
        <v>42.862741999999997</v>
      </c>
      <c r="I1791" s="80" t="s">
        <v>4800</v>
      </c>
      <c r="L1791" s="3">
        <f>VLOOKUP(C1791,Securities!A:D,4,FALSE)</f>
        <v>1</v>
      </c>
      <c r="M1791" s="3" t="str">
        <f>VLOOKUP(C1791,Securities!A:B,2,FALSE)</f>
        <v>LXFT US Equity</v>
      </c>
      <c r="O1791" s="3">
        <f t="shared" si="28"/>
        <v>1167</v>
      </c>
    </row>
    <row r="1792" spans="1:15" x14ac:dyDescent="0.25">
      <c r="A1792" s="76">
        <v>43053</v>
      </c>
      <c r="B1792" s="77" t="s">
        <v>5637</v>
      </c>
      <c r="C1792" s="77" t="s">
        <v>4819</v>
      </c>
      <c r="D1792" s="77" t="s">
        <v>4820</v>
      </c>
      <c r="E1792" s="78">
        <v>200000</v>
      </c>
      <c r="F1792" s="77" t="s">
        <v>4806</v>
      </c>
      <c r="G1792" s="78">
        <v>101.5</v>
      </c>
      <c r="H1792" s="78">
        <v>101.5</v>
      </c>
      <c r="I1792" s="77" t="s">
        <v>4800</v>
      </c>
      <c r="L1792" s="3">
        <f>VLOOKUP(C1792,Securities!A:D,4,FALSE)</f>
        <v>5</v>
      </c>
      <c r="M1792" s="3" t="str">
        <f>VLOOKUP(C1792,Securities!A:B,2,FALSE)</f>
        <v>XS0776121062 Corp</v>
      </c>
      <c r="O1792" s="3">
        <f t="shared" si="28"/>
        <v>200000</v>
      </c>
    </row>
    <row r="1793" spans="1:15" x14ac:dyDescent="0.25">
      <c r="A1793" s="79">
        <v>43053</v>
      </c>
      <c r="B1793" s="80" t="s">
        <v>5638</v>
      </c>
      <c r="C1793" s="80" t="s">
        <v>4973</v>
      </c>
      <c r="D1793" s="80" t="s">
        <v>23</v>
      </c>
      <c r="E1793" s="81">
        <v>8400</v>
      </c>
      <c r="F1793" s="80" t="s">
        <v>4974</v>
      </c>
      <c r="G1793" s="81">
        <v>101.184999</v>
      </c>
      <c r="H1793" s="81">
        <v>101.184999</v>
      </c>
      <c r="I1793" s="80" t="s">
        <v>4800</v>
      </c>
      <c r="L1793" s="3">
        <f>VLOOKUP(C1793,Securities!A:D,4,FALSE)</f>
        <v>5</v>
      </c>
      <c r="M1793" s="3" t="str">
        <f>VLOOKUP(C1793,Securities!A:B,2,FALSE)</f>
        <v>RU000A0JV7K7 Corp</v>
      </c>
      <c r="O1793" s="3">
        <f t="shared" si="28"/>
        <v>8400</v>
      </c>
    </row>
    <row r="1794" spans="1:15" x14ac:dyDescent="0.25">
      <c r="A1794" s="76">
        <v>43053</v>
      </c>
      <c r="B1794" s="77" t="s">
        <v>5638</v>
      </c>
      <c r="C1794" s="77" t="s">
        <v>4975</v>
      </c>
      <c r="D1794" s="77" t="s">
        <v>939</v>
      </c>
      <c r="E1794" s="78">
        <v>4350</v>
      </c>
      <c r="F1794" s="77" t="s">
        <v>4974</v>
      </c>
      <c r="G1794" s="78">
        <v>101.819</v>
      </c>
      <c r="H1794" s="78">
        <v>101.819</v>
      </c>
      <c r="I1794" s="77" t="s">
        <v>4800</v>
      </c>
      <c r="L1794" s="3">
        <f>VLOOKUP(C1794,Securities!A:D,4,FALSE)</f>
        <v>5</v>
      </c>
      <c r="M1794" s="3" t="str">
        <f>VLOOKUP(C1794,Securities!A:B,2,FALSE)</f>
        <v>RU000A0JX0J2 Corp</v>
      </c>
      <c r="O1794" s="3">
        <f t="shared" si="28"/>
        <v>4350</v>
      </c>
    </row>
    <row r="1795" spans="1:15" x14ac:dyDescent="0.25">
      <c r="A1795" s="79">
        <v>43053</v>
      </c>
      <c r="B1795" s="80" t="s">
        <v>5638</v>
      </c>
      <c r="C1795" s="80" t="s">
        <v>5192</v>
      </c>
      <c r="D1795" s="80" t="s">
        <v>25</v>
      </c>
      <c r="E1795" s="81">
        <v>9150</v>
      </c>
      <c r="F1795" s="80" t="s">
        <v>4974</v>
      </c>
      <c r="G1795" s="81">
        <v>97.868998000000005</v>
      </c>
      <c r="H1795" s="81">
        <v>97.868998000000005</v>
      </c>
      <c r="I1795" s="80" t="s">
        <v>4800</v>
      </c>
      <c r="L1795" s="3">
        <f>VLOOKUP(C1795,Securities!A:D,4,FALSE)</f>
        <v>5</v>
      </c>
      <c r="M1795" s="3" t="str">
        <f>VLOOKUP(C1795,Securities!A:B,2,FALSE)</f>
        <v>EJ545131 Corp</v>
      </c>
      <c r="O1795" s="3">
        <f t="shared" si="28"/>
        <v>9150</v>
      </c>
    </row>
    <row r="1796" spans="1:15" x14ac:dyDescent="0.25">
      <c r="A1796" s="76">
        <v>43053</v>
      </c>
      <c r="B1796" s="77" t="s">
        <v>5638</v>
      </c>
      <c r="C1796" s="77" t="s">
        <v>5639</v>
      </c>
      <c r="D1796" s="77" t="s">
        <v>954</v>
      </c>
      <c r="E1796" s="78">
        <v>9100</v>
      </c>
      <c r="F1796" s="77" t="s">
        <v>4974</v>
      </c>
      <c r="G1796" s="78">
        <v>96.973958999999994</v>
      </c>
      <c r="H1796" s="78">
        <v>96.973958999999994</v>
      </c>
      <c r="I1796" s="77" t="s">
        <v>4800</v>
      </c>
      <c r="L1796" s="3">
        <f>VLOOKUP(C1796,Securities!A:D,4,FALSE)</f>
        <v>5</v>
      </c>
      <c r="M1796" s="3" t="str">
        <f>VLOOKUP(C1796,Securities!A:B,2,FALSE)</f>
        <v>RU000A0JTG59 Corp</v>
      </c>
      <c r="O1796" s="3">
        <f t="shared" si="28"/>
        <v>9100</v>
      </c>
    </row>
    <row r="1797" spans="1:15" x14ac:dyDescent="0.25">
      <c r="A1797" s="79">
        <v>43053</v>
      </c>
      <c r="B1797" s="80" t="s">
        <v>5638</v>
      </c>
      <c r="C1797" s="80" t="s">
        <v>5332</v>
      </c>
      <c r="D1797" s="80" t="s">
        <v>968</v>
      </c>
      <c r="E1797" s="81">
        <v>4200</v>
      </c>
      <c r="F1797" s="80" t="s">
        <v>4974</v>
      </c>
      <c r="G1797" s="81">
        <v>104.893709</v>
      </c>
      <c r="H1797" s="81">
        <v>104.893709</v>
      </c>
      <c r="I1797" s="80" t="s">
        <v>4800</v>
      </c>
      <c r="L1797" s="3">
        <f>VLOOKUP(C1797,Securities!A:D,4,FALSE)</f>
        <v>5</v>
      </c>
      <c r="M1797" s="3" t="str">
        <f>VLOOKUP(C1797,Securities!A:B,2,FALSE)</f>
        <v>RU000A0JVW48 Corp</v>
      </c>
      <c r="O1797" s="3">
        <f t="shared" si="28"/>
        <v>4200</v>
      </c>
    </row>
    <row r="1798" spans="1:15" x14ac:dyDescent="0.25">
      <c r="A1798" s="76">
        <v>43053</v>
      </c>
      <c r="B1798" s="77" t="s">
        <v>5638</v>
      </c>
      <c r="C1798" s="77" t="s">
        <v>4895</v>
      </c>
      <c r="D1798" s="77" t="s">
        <v>144</v>
      </c>
      <c r="E1798" s="78">
        <v>1367</v>
      </c>
      <c r="F1798" s="77" t="s">
        <v>4810</v>
      </c>
      <c r="G1798" s="78">
        <v>1279.783833</v>
      </c>
      <c r="H1798" s="78">
        <v>22.458729999999999</v>
      </c>
      <c r="I1798" s="77" t="s">
        <v>4800</v>
      </c>
      <c r="L1798" s="3">
        <f>VLOOKUP(C1798,Securities!A:D,4,FALSE)</f>
        <v>1</v>
      </c>
      <c r="M1798" s="3" t="str">
        <f>VLOOKUP(C1798,Securities!A:B,2,FALSE)</f>
        <v>BANEP RX Equity</v>
      </c>
      <c r="O1798" s="3">
        <f t="shared" ref="O1798:O1861" si="29">SUMIFS(E:E,C:C,C1798,B:B,B1798)</f>
        <v>1367</v>
      </c>
    </row>
    <row r="1799" spans="1:15" x14ac:dyDescent="0.25">
      <c r="A1799" s="79">
        <v>43053</v>
      </c>
      <c r="B1799" s="80" t="s">
        <v>5638</v>
      </c>
      <c r="C1799" s="80" t="s">
        <v>4827</v>
      </c>
      <c r="D1799" s="80" t="s">
        <v>4828</v>
      </c>
      <c r="E1799" s="81">
        <v>-1158</v>
      </c>
      <c r="F1799" s="80" t="s">
        <v>4829</v>
      </c>
      <c r="G1799" s="81">
        <v>34860.472262000003</v>
      </c>
      <c r="H1799" s="81">
        <v>600.63056900000004</v>
      </c>
      <c r="I1799" s="80" t="s">
        <v>4800</v>
      </c>
      <c r="L1799" s="3">
        <f>VLOOKUP(C1799,Securities!A:D,4,FALSE)</f>
        <v>15</v>
      </c>
      <c r="M1799" s="3" t="str">
        <f>VLOOKUP(C1799,Securities!A:B,2,FALSE)</f>
        <v>B5Z7 Comdty</v>
      </c>
      <c r="O1799" s="3">
        <f t="shared" si="29"/>
        <v>-1158</v>
      </c>
    </row>
    <row r="1800" spans="1:15" x14ac:dyDescent="0.25">
      <c r="A1800" s="76">
        <v>43053</v>
      </c>
      <c r="B1800" s="77" t="s">
        <v>5638</v>
      </c>
      <c r="C1800" s="77" t="s">
        <v>4841</v>
      </c>
      <c r="D1800" s="77" t="s">
        <v>4842</v>
      </c>
      <c r="E1800" s="78">
        <v>100000</v>
      </c>
      <c r="F1800" s="77" t="s">
        <v>4838</v>
      </c>
      <c r="G1800" s="78">
        <v>100</v>
      </c>
      <c r="H1800" s="78">
        <v>100</v>
      </c>
      <c r="I1800" s="77" t="s">
        <v>4800</v>
      </c>
      <c r="L1800" s="3">
        <f>VLOOKUP(C1800,Securities!A:D,4,FALSE)</f>
        <v>5</v>
      </c>
      <c r="M1800" s="3" t="str">
        <f>VLOOKUP(C1800,Securities!A:B,2,FALSE)</f>
        <v>XS1605088928 Corp</v>
      </c>
      <c r="O1800" s="3">
        <f t="shared" si="29"/>
        <v>100000</v>
      </c>
    </row>
    <row r="1801" spans="1:15" x14ac:dyDescent="0.25">
      <c r="A1801" s="79">
        <v>43053</v>
      </c>
      <c r="B1801" s="80" t="s">
        <v>5638</v>
      </c>
      <c r="C1801" s="80" t="s">
        <v>5077</v>
      </c>
      <c r="D1801" s="80" t="s">
        <v>2054</v>
      </c>
      <c r="E1801" s="81">
        <v>4200</v>
      </c>
      <c r="F1801" s="80" t="s">
        <v>4814</v>
      </c>
      <c r="G1801" s="81">
        <v>109.1</v>
      </c>
      <c r="H1801" s="81">
        <v>109.1</v>
      </c>
      <c r="I1801" s="80" t="s">
        <v>4800</v>
      </c>
      <c r="L1801" s="3">
        <f>VLOOKUP(C1801,Securities!A:D,4,FALSE)</f>
        <v>5</v>
      </c>
      <c r="M1801" s="3" t="str">
        <f>VLOOKUP(C1801,Securities!A:B,2,FALSE)</f>
        <v>JK549945 Corp</v>
      </c>
      <c r="O1801" s="3">
        <f t="shared" si="29"/>
        <v>4200</v>
      </c>
    </row>
    <row r="1802" spans="1:15" x14ac:dyDescent="0.25">
      <c r="A1802" s="76">
        <v>43053</v>
      </c>
      <c r="B1802" s="77" t="s">
        <v>5638</v>
      </c>
      <c r="C1802" s="77" t="s">
        <v>5496</v>
      </c>
      <c r="D1802" s="77" t="s">
        <v>1763</v>
      </c>
      <c r="E1802" s="78">
        <v>4500</v>
      </c>
      <c r="F1802" s="77" t="s">
        <v>4814</v>
      </c>
      <c r="G1802" s="78">
        <v>102.1</v>
      </c>
      <c r="H1802" s="78">
        <v>102.1</v>
      </c>
      <c r="I1802" s="77" t="s">
        <v>4800</v>
      </c>
      <c r="L1802" s="3">
        <f>VLOOKUP(C1802,Securities!A:D,4,FALSE)</f>
        <v>5</v>
      </c>
      <c r="M1802" s="3" t="str">
        <f>VLOOKUP(C1802,Securities!A:B,2,FALSE)</f>
        <v>AM562901 Corp</v>
      </c>
      <c r="O1802" s="3">
        <f t="shared" si="29"/>
        <v>4500</v>
      </c>
    </row>
    <row r="1803" spans="1:15" x14ac:dyDescent="0.25">
      <c r="A1803" s="79">
        <v>43053</v>
      </c>
      <c r="B1803" s="80" t="s">
        <v>5638</v>
      </c>
      <c r="C1803" s="80" t="s">
        <v>5083</v>
      </c>
      <c r="D1803" s="80" t="s">
        <v>1835</v>
      </c>
      <c r="E1803" s="81">
        <v>4500</v>
      </c>
      <c r="F1803" s="80" t="s">
        <v>4814</v>
      </c>
      <c r="G1803" s="81">
        <v>105.35</v>
      </c>
      <c r="H1803" s="81">
        <v>105.35</v>
      </c>
      <c r="I1803" s="80" t="s">
        <v>4800</v>
      </c>
      <c r="L1803" s="3">
        <f>VLOOKUP(C1803,Securities!A:D,4,FALSE)</f>
        <v>5</v>
      </c>
      <c r="M1803" s="3" t="str">
        <f>VLOOKUP(C1803,Securities!A:B,2,FALSE)</f>
        <v>AM281135 Corp</v>
      </c>
      <c r="O1803" s="3">
        <f t="shared" si="29"/>
        <v>4500</v>
      </c>
    </row>
    <row r="1804" spans="1:15" x14ac:dyDescent="0.25">
      <c r="A1804" s="76">
        <v>43053</v>
      </c>
      <c r="B1804" s="77" t="s">
        <v>5638</v>
      </c>
      <c r="C1804" s="77" t="s">
        <v>4812</v>
      </c>
      <c r="D1804" s="77" t="s">
        <v>4675</v>
      </c>
      <c r="E1804" s="78">
        <v>3000</v>
      </c>
      <c r="F1804" s="77" t="s">
        <v>4804</v>
      </c>
      <c r="G1804" s="78">
        <v>580.23670000000004</v>
      </c>
      <c r="H1804" s="78">
        <v>10.085179</v>
      </c>
      <c r="I1804" s="77" t="s">
        <v>4800</v>
      </c>
      <c r="L1804" s="3">
        <f>VLOOKUP(C1804,Securities!A:D,4,FALSE)</f>
        <v>1</v>
      </c>
      <c r="M1804" s="3" t="str">
        <f>VLOOKUP(C1804,Securities!A:B,2,FALSE)</f>
        <v>KMG LI Equity</v>
      </c>
      <c r="O1804" s="3">
        <f t="shared" si="29"/>
        <v>3000</v>
      </c>
    </row>
    <row r="1805" spans="1:15" x14ac:dyDescent="0.25">
      <c r="A1805" s="79">
        <v>43053</v>
      </c>
      <c r="B1805" s="80" t="s">
        <v>5638</v>
      </c>
      <c r="C1805" s="80" t="s">
        <v>4847</v>
      </c>
      <c r="D1805" s="80" t="s">
        <v>369</v>
      </c>
      <c r="E1805" s="81">
        <v>575</v>
      </c>
      <c r="F1805" s="80" t="s">
        <v>4810</v>
      </c>
      <c r="G1805" s="81">
        <v>3040</v>
      </c>
      <c r="H1805" s="81">
        <v>52.838689000000002</v>
      </c>
      <c r="I1805" s="80" t="s">
        <v>4800</v>
      </c>
      <c r="L1805" s="3">
        <f>VLOOKUP(C1805,Securities!A:D,4,FALSE)</f>
        <v>1</v>
      </c>
      <c r="M1805" s="3" t="str">
        <f>VLOOKUP(C1805,Securities!A:B,2,FALSE)</f>
        <v>LKOH RX Equity</v>
      </c>
      <c r="O1805" s="3">
        <f t="shared" si="29"/>
        <v>575</v>
      </c>
    </row>
    <row r="1806" spans="1:15" x14ac:dyDescent="0.25">
      <c r="A1806" s="76">
        <v>43053</v>
      </c>
      <c r="B1806" s="77" t="s">
        <v>5638</v>
      </c>
      <c r="C1806" s="77" t="s">
        <v>4910</v>
      </c>
      <c r="D1806" s="77" t="s">
        <v>366</v>
      </c>
      <c r="E1806" s="78">
        <v>2170</v>
      </c>
      <c r="F1806" s="77" t="s">
        <v>4810</v>
      </c>
      <c r="G1806" s="78">
        <v>807</v>
      </c>
      <c r="H1806" s="78">
        <v>14.026586</v>
      </c>
      <c r="I1806" s="77" t="s">
        <v>4800</v>
      </c>
      <c r="L1806" s="3">
        <f>VLOOKUP(C1806,Securities!A:D,4,FALSE)</f>
        <v>1</v>
      </c>
      <c r="M1806" s="3" t="str">
        <f>VLOOKUP(C1806,Securities!A:B,2,FALSE)</f>
        <v>LSRG RX Equity</v>
      </c>
      <c r="O1806" s="3">
        <f t="shared" si="29"/>
        <v>2170</v>
      </c>
    </row>
    <row r="1807" spans="1:15" x14ac:dyDescent="0.25">
      <c r="A1807" s="79">
        <v>43053</v>
      </c>
      <c r="B1807" s="80" t="s">
        <v>5638</v>
      </c>
      <c r="C1807" s="80" t="s">
        <v>4848</v>
      </c>
      <c r="D1807" s="80" t="s">
        <v>511</v>
      </c>
      <c r="E1807" s="81">
        <v>2860</v>
      </c>
      <c r="F1807" s="80" t="s">
        <v>4810</v>
      </c>
      <c r="G1807" s="81">
        <v>611.09019899999998</v>
      </c>
      <c r="H1807" s="81">
        <v>10.621449</v>
      </c>
      <c r="I1807" s="80" t="s">
        <v>4800</v>
      </c>
      <c r="L1807" s="3">
        <f>VLOOKUP(C1807,Securities!A:D,4,FALSE)</f>
        <v>1</v>
      </c>
      <c r="M1807" s="3" t="str">
        <f>VLOOKUP(C1807,Securities!A:B,2,FALSE)</f>
        <v>NVTK RX Equity</v>
      </c>
      <c r="O1807" s="3">
        <f t="shared" si="29"/>
        <v>2860</v>
      </c>
    </row>
    <row r="1808" spans="1:15" x14ac:dyDescent="0.25">
      <c r="A1808" s="76">
        <v>43053</v>
      </c>
      <c r="B1808" s="77" t="s">
        <v>5638</v>
      </c>
      <c r="C1808" s="77" t="s">
        <v>4982</v>
      </c>
      <c r="D1808" s="77" t="s">
        <v>4983</v>
      </c>
      <c r="E1808" s="78">
        <v>5000</v>
      </c>
      <c r="F1808" s="77" t="s">
        <v>4814</v>
      </c>
      <c r="G1808" s="78">
        <v>100</v>
      </c>
      <c r="H1808" s="78">
        <v>100</v>
      </c>
      <c r="I1808" s="77" t="s">
        <v>4800</v>
      </c>
      <c r="L1808" s="3">
        <f>VLOOKUP(C1808,Securities!A:D,4,FALSE)</f>
        <v>5</v>
      </c>
      <c r="M1808" s="3" t="str">
        <f>VLOOKUP(C1808,Securities!A:B,2,FALSE)</f>
        <v>RU000A0JXVY3 Corp</v>
      </c>
      <c r="O1808" s="3">
        <f t="shared" si="29"/>
        <v>5000</v>
      </c>
    </row>
    <row r="1809" spans="1:15" x14ac:dyDescent="0.25">
      <c r="A1809" s="79">
        <v>43053</v>
      </c>
      <c r="B1809" s="80" t="s">
        <v>5638</v>
      </c>
      <c r="C1809" s="80" t="s">
        <v>5315</v>
      </c>
      <c r="D1809" s="80" t="s">
        <v>3491</v>
      </c>
      <c r="E1809" s="81">
        <v>43</v>
      </c>
      <c r="F1809" s="80" t="s">
        <v>4814</v>
      </c>
      <c r="G1809" s="81">
        <v>119.51139499999999</v>
      </c>
      <c r="H1809" s="81">
        <v>119.51139499999999</v>
      </c>
      <c r="I1809" s="80" t="s">
        <v>4800</v>
      </c>
      <c r="L1809" s="3">
        <f>VLOOKUP(C1809,Securities!A:D,4,FALSE)</f>
        <v>5</v>
      </c>
      <c r="M1809" s="3" t="str">
        <f>VLOOKUP(C1809,Securities!A:B,2,FALSE)</f>
        <v>RU000A0JWV63 Corp</v>
      </c>
      <c r="O1809" s="3">
        <f t="shared" si="29"/>
        <v>43</v>
      </c>
    </row>
    <row r="1810" spans="1:15" x14ac:dyDescent="0.25">
      <c r="A1810" s="76">
        <v>43053</v>
      </c>
      <c r="B1810" s="77" t="s">
        <v>5638</v>
      </c>
      <c r="C1810" s="77" t="s">
        <v>4830</v>
      </c>
      <c r="D1810" s="77" t="s">
        <v>4831</v>
      </c>
      <c r="E1810" s="78">
        <v>-664</v>
      </c>
      <c r="F1810" s="77" t="s">
        <v>4832</v>
      </c>
      <c r="G1810" s="78">
        <v>58438.152108000002</v>
      </c>
      <c r="H1810" s="78">
        <v>1014.304935</v>
      </c>
      <c r="I1810" s="77" t="s">
        <v>4800</v>
      </c>
      <c r="L1810" s="3">
        <f>VLOOKUP(C1810,Securities!A:D,4,FALSE)</f>
        <v>15</v>
      </c>
      <c r="M1810" s="3" t="str">
        <f>VLOOKUP(C1810,Securities!A:B,2,FALSE)</f>
        <v>URZ7 Curncy</v>
      </c>
      <c r="O1810" s="3">
        <f t="shared" si="29"/>
        <v>-664</v>
      </c>
    </row>
    <row r="1811" spans="1:15" x14ac:dyDescent="0.25">
      <c r="A1811" s="79">
        <v>43053</v>
      </c>
      <c r="B1811" s="80" t="s">
        <v>5638</v>
      </c>
      <c r="C1811" s="80" t="s">
        <v>4917</v>
      </c>
      <c r="D1811" s="80" t="s">
        <v>742</v>
      </c>
      <c r="E1811" s="81">
        <v>25730</v>
      </c>
      <c r="F1811" s="80" t="s">
        <v>4810</v>
      </c>
      <c r="G1811" s="81">
        <v>67.973046999999994</v>
      </c>
      <c r="H1811" s="81">
        <v>1.181449</v>
      </c>
      <c r="I1811" s="80" t="s">
        <v>4800</v>
      </c>
      <c r="L1811" s="3">
        <f>VLOOKUP(C1811,Securities!A:D,4,FALSE)</f>
        <v>1</v>
      </c>
      <c r="M1811" s="3" t="str">
        <f>VLOOKUP(C1811,Securities!A:B,2,FALSE)</f>
        <v>TRMK RX Equity</v>
      </c>
      <c r="O1811" s="3">
        <f t="shared" si="29"/>
        <v>25730</v>
      </c>
    </row>
    <row r="1812" spans="1:15" x14ac:dyDescent="0.25">
      <c r="A1812" s="76">
        <v>43053</v>
      </c>
      <c r="B1812" s="77" t="s">
        <v>5638</v>
      </c>
      <c r="C1812" s="77" t="s">
        <v>4890</v>
      </c>
      <c r="D1812" s="77" t="s">
        <v>886</v>
      </c>
      <c r="E1812" s="78">
        <v>710500</v>
      </c>
      <c r="F1812" s="77" t="s">
        <v>4810</v>
      </c>
      <c r="G1812" s="78">
        <v>2.4655809999999998</v>
      </c>
      <c r="H1812" s="78">
        <v>4.2854000000000003E-2</v>
      </c>
      <c r="I1812" s="77" t="s">
        <v>4800</v>
      </c>
      <c r="L1812" s="3">
        <f>VLOOKUP(C1812,Securities!A:D,4,FALSE)</f>
        <v>1</v>
      </c>
      <c r="M1812" s="3" t="str">
        <f>VLOOKUP(C1812,Securities!A:B,2,FALSE)</f>
        <v>UPRO RX Equity</v>
      </c>
      <c r="O1812" s="3">
        <f t="shared" si="29"/>
        <v>710500</v>
      </c>
    </row>
    <row r="1813" spans="1:15" x14ac:dyDescent="0.25">
      <c r="A1813" s="79">
        <v>43053</v>
      </c>
      <c r="B1813" s="80" t="s">
        <v>5640</v>
      </c>
      <c r="C1813" s="80" t="s">
        <v>4803</v>
      </c>
      <c r="D1813" s="80" t="s">
        <v>39</v>
      </c>
      <c r="E1813" s="81">
        <v>1470</v>
      </c>
      <c r="F1813" s="80" t="s">
        <v>4804</v>
      </c>
      <c r="G1813" s="81">
        <v>663.18750299999999</v>
      </c>
      <c r="H1813" s="81">
        <v>11.240199</v>
      </c>
      <c r="I1813" s="80" t="s">
        <v>4800</v>
      </c>
      <c r="L1813" s="3">
        <f>VLOOKUP(C1813,Securities!A:D,4,FALSE)</f>
        <v>1</v>
      </c>
      <c r="M1813" s="3" t="str">
        <f>VLOOKUP(C1813,Securities!A:B,2,FALSE)</f>
        <v>AGRO LI Equity</v>
      </c>
      <c r="O1813" s="3">
        <f t="shared" si="29"/>
        <v>1470</v>
      </c>
    </row>
    <row r="1814" spans="1:15" x14ac:dyDescent="0.25">
      <c r="A1814" s="76">
        <v>43053</v>
      </c>
      <c r="B1814" s="77" t="s">
        <v>5640</v>
      </c>
      <c r="C1814" s="77" t="s">
        <v>4866</v>
      </c>
      <c r="D1814" s="77" t="s">
        <v>99</v>
      </c>
      <c r="E1814" s="78">
        <v>11600</v>
      </c>
      <c r="F1814" s="77" t="s">
        <v>4810</v>
      </c>
      <c r="G1814" s="78">
        <v>85.824299999999994</v>
      </c>
      <c r="H1814" s="78">
        <v>1.4546140000000001</v>
      </c>
      <c r="I1814" s="77" t="s">
        <v>4800</v>
      </c>
      <c r="L1814" s="3">
        <f>VLOOKUP(C1814,Securities!A:D,4,FALSE)</f>
        <v>1</v>
      </c>
      <c r="M1814" s="3" t="str">
        <f>VLOOKUP(C1814,Securities!A:B,2,FALSE)</f>
        <v>ALRS RX Equity</v>
      </c>
      <c r="O1814" s="3">
        <f t="shared" si="29"/>
        <v>11600</v>
      </c>
    </row>
    <row r="1815" spans="1:15" x14ac:dyDescent="0.25">
      <c r="A1815" s="79">
        <v>43053</v>
      </c>
      <c r="B1815" s="80" t="s">
        <v>5640</v>
      </c>
      <c r="C1815" s="80" t="s">
        <v>4805</v>
      </c>
      <c r="D1815" s="80" t="s">
        <v>31</v>
      </c>
      <c r="E1815" s="81">
        <v>55000</v>
      </c>
      <c r="F1815" s="80" t="s">
        <v>4806</v>
      </c>
      <c r="G1815" s="81">
        <v>177.125</v>
      </c>
      <c r="H1815" s="81">
        <v>177.125</v>
      </c>
      <c r="I1815" s="80" t="s">
        <v>4800</v>
      </c>
      <c r="L1815" s="3">
        <f>VLOOKUP(C1815,Securities!A:D,4,FALSE)</f>
        <v>5</v>
      </c>
      <c r="M1815" s="3" t="str">
        <f>VLOOKUP(C1815,Securities!A:B,2,FALSE)</f>
        <v>TT343269 Corp</v>
      </c>
      <c r="O1815" s="3">
        <f t="shared" si="29"/>
        <v>55000</v>
      </c>
    </row>
    <row r="1816" spans="1:15" x14ac:dyDescent="0.25">
      <c r="A1816" s="76">
        <v>43053</v>
      </c>
      <c r="B1816" s="77" t="s">
        <v>5640</v>
      </c>
      <c r="C1816" s="77" t="s">
        <v>4809</v>
      </c>
      <c r="D1816" s="77" t="s">
        <v>30</v>
      </c>
      <c r="E1816" s="78">
        <v>8300</v>
      </c>
      <c r="F1816" s="77" t="s">
        <v>4810</v>
      </c>
      <c r="G1816" s="78">
        <v>119.3959</v>
      </c>
      <c r="H1816" s="78">
        <v>2.0236109999999998</v>
      </c>
      <c r="I1816" s="77" t="s">
        <v>4800</v>
      </c>
      <c r="L1816" s="3">
        <f>VLOOKUP(C1816,Securities!A:D,4,FALSE)</f>
        <v>1</v>
      </c>
      <c r="M1816" s="3" t="str">
        <f>VLOOKUP(C1816,Securities!A:B,2,FALSE)</f>
        <v>GAZP RX Equity</v>
      </c>
      <c r="O1816" s="3">
        <f t="shared" si="29"/>
        <v>8300</v>
      </c>
    </row>
    <row r="1817" spans="1:15" x14ac:dyDescent="0.25">
      <c r="A1817" s="79">
        <v>43053</v>
      </c>
      <c r="B1817" s="80" t="s">
        <v>5640</v>
      </c>
      <c r="C1817" s="80" t="s">
        <v>4811</v>
      </c>
      <c r="D1817" s="80" t="s">
        <v>4659</v>
      </c>
      <c r="E1817" s="81">
        <v>8930</v>
      </c>
      <c r="F1817" s="80" t="s">
        <v>4799</v>
      </c>
      <c r="G1817" s="81">
        <v>110.069399</v>
      </c>
      <c r="H1817" s="81">
        <v>1.8655379999999999</v>
      </c>
      <c r="I1817" s="80" t="s">
        <v>4800</v>
      </c>
      <c r="L1817" s="3">
        <f>VLOOKUP(C1817,Securities!A:D,4,FALSE)</f>
        <v>1</v>
      </c>
      <c r="M1817" s="3" t="str">
        <f>VLOOKUP(C1817,Securities!A:B,2,FALSE)</f>
        <v>HGM LN Equity</v>
      </c>
      <c r="O1817" s="3">
        <f t="shared" si="29"/>
        <v>8930</v>
      </c>
    </row>
    <row r="1818" spans="1:15" x14ac:dyDescent="0.25">
      <c r="A1818" s="76">
        <v>43053</v>
      </c>
      <c r="B1818" s="77" t="s">
        <v>5640</v>
      </c>
      <c r="C1818" s="77" t="s">
        <v>4812</v>
      </c>
      <c r="D1818" s="77" t="s">
        <v>4675</v>
      </c>
      <c r="E1818" s="78">
        <v>1770</v>
      </c>
      <c r="F1818" s="77" t="s">
        <v>4804</v>
      </c>
      <c r="G1818" s="78">
        <v>560.14599999999996</v>
      </c>
      <c r="H1818" s="78">
        <v>9.5126539999999995</v>
      </c>
      <c r="I1818" s="77" t="s">
        <v>4800</v>
      </c>
      <c r="L1818" s="3">
        <f>VLOOKUP(C1818,Securities!A:D,4,FALSE)</f>
        <v>1</v>
      </c>
      <c r="M1818" s="3" t="str">
        <f>VLOOKUP(C1818,Securities!A:B,2,FALSE)</f>
        <v>KMG LI Equity</v>
      </c>
      <c r="O1818" s="3">
        <f t="shared" si="29"/>
        <v>1770</v>
      </c>
    </row>
    <row r="1819" spans="1:15" x14ac:dyDescent="0.25">
      <c r="A1819" s="79">
        <v>43053</v>
      </c>
      <c r="B1819" s="80" t="s">
        <v>5640</v>
      </c>
      <c r="C1819" s="80" t="s">
        <v>4847</v>
      </c>
      <c r="D1819" s="80" t="s">
        <v>369</v>
      </c>
      <c r="E1819" s="81">
        <v>356</v>
      </c>
      <c r="F1819" s="80" t="s">
        <v>4810</v>
      </c>
      <c r="G1819" s="81">
        <v>2804</v>
      </c>
      <c r="H1819" s="81">
        <v>47.524296</v>
      </c>
      <c r="I1819" s="80" t="s">
        <v>4800</v>
      </c>
      <c r="L1819" s="3">
        <f>VLOOKUP(C1819,Securities!A:D,4,FALSE)</f>
        <v>1</v>
      </c>
      <c r="M1819" s="3" t="str">
        <f>VLOOKUP(C1819,Securities!A:B,2,FALSE)</f>
        <v>LKOH RX Equity</v>
      </c>
      <c r="O1819" s="3">
        <f t="shared" si="29"/>
        <v>356</v>
      </c>
    </row>
    <row r="1820" spans="1:15" x14ac:dyDescent="0.25">
      <c r="A1820" s="76">
        <v>43053</v>
      </c>
      <c r="B1820" s="77" t="s">
        <v>5640</v>
      </c>
      <c r="C1820" s="77" t="s">
        <v>4888</v>
      </c>
      <c r="D1820" s="77" t="s">
        <v>29</v>
      </c>
      <c r="E1820" s="78">
        <v>2245</v>
      </c>
      <c r="F1820" s="77" t="s">
        <v>4810</v>
      </c>
      <c r="G1820" s="78">
        <v>597.75819999999999</v>
      </c>
      <c r="H1820" s="78">
        <v>10.317292999999999</v>
      </c>
      <c r="I1820" s="77" t="s">
        <v>4800</v>
      </c>
      <c r="L1820" s="3">
        <f>VLOOKUP(C1820,Securities!A:D,4,FALSE)</f>
        <v>1</v>
      </c>
      <c r="M1820" s="3" t="str">
        <f>VLOOKUP(C1820,Securities!A:B,2,FALSE)</f>
        <v>MFON RX Equity</v>
      </c>
      <c r="O1820" s="3">
        <f t="shared" si="29"/>
        <v>2245</v>
      </c>
    </row>
    <row r="1821" spans="1:15" x14ac:dyDescent="0.25">
      <c r="A1821" s="79">
        <v>43053</v>
      </c>
      <c r="B1821" s="80" t="s">
        <v>5640</v>
      </c>
      <c r="C1821" s="80" t="s">
        <v>4867</v>
      </c>
      <c r="D1821" s="80" t="s">
        <v>473</v>
      </c>
      <c r="E1821" s="81">
        <v>9400</v>
      </c>
      <c r="F1821" s="80" t="s">
        <v>4810</v>
      </c>
      <c r="G1821" s="81">
        <v>106.7398</v>
      </c>
      <c r="H1821" s="81">
        <v>1.8091060000000001</v>
      </c>
      <c r="I1821" s="80" t="s">
        <v>4800</v>
      </c>
      <c r="L1821" s="3">
        <f>VLOOKUP(C1821,Securities!A:D,4,FALSE)</f>
        <v>1</v>
      </c>
      <c r="M1821" s="3" t="str">
        <f>VLOOKUP(C1821,Securities!A:B,2,FALSE)</f>
        <v>MOEX RX Equity</v>
      </c>
      <c r="O1821" s="3">
        <f t="shared" si="29"/>
        <v>9400</v>
      </c>
    </row>
    <row r="1822" spans="1:15" x14ac:dyDescent="0.25">
      <c r="A1822" s="76">
        <v>43053</v>
      </c>
      <c r="B1822" s="77" t="s">
        <v>5640</v>
      </c>
      <c r="C1822" s="77" t="s">
        <v>4982</v>
      </c>
      <c r="D1822" s="77" t="s">
        <v>4983</v>
      </c>
      <c r="E1822" s="78">
        <v>5997</v>
      </c>
      <c r="F1822" s="77" t="s">
        <v>4814</v>
      </c>
      <c r="G1822" s="78">
        <v>100</v>
      </c>
      <c r="H1822" s="78">
        <v>100</v>
      </c>
      <c r="I1822" s="77" t="s">
        <v>4800</v>
      </c>
      <c r="L1822" s="3">
        <f>VLOOKUP(C1822,Securities!A:D,4,FALSE)</f>
        <v>5</v>
      </c>
      <c r="M1822" s="3" t="str">
        <f>VLOOKUP(C1822,Securities!A:B,2,FALSE)</f>
        <v>RU000A0JXVY3 Corp</v>
      </c>
      <c r="O1822" s="3">
        <f t="shared" si="29"/>
        <v>5997</v>
      </c>
    </row>
    <row r="1823" spans="1:15" x14ac:dyDescent="0.25">
      <c r="A1823" s="79">
        <v>43053</v>
      </c>
      <c r="B1823" s="80" t="s">
        <v>5640</v>
      </c>
      <c r="C1823" s="80" t="s">
        <v>4821</v>
      </c>
      <c r="D1823" s="80" t="s">
        <v>42</v>
      </c>
      <c r="E1823" s="81">
        <v>1580</v>
      </c>
      <c r="F1823" s="80" t="s">
        <v>4799</v>
      </c>
      <c r="G1823" s="81">
        <v>689.73060099999998</v>
      </c>
      <c r="H1823" s="81">
        <v>11.377431</v>
      </c>
      <c r="I1823" s="80" t="s">
        <v>4800</v>
      </c>
      <c r="L1823" s="3">
        <f>VLOOKUP(C1823,Securities!A:D,4,FALSE)</f>
        <v>1</v>
      </c>
      <c r="M1823" s="3" t="str">
        <f>VLOOKUP(C1823,Securities!A:B,2,FALSE)</f>
        <v>POLY LN Equity</v>
      </c>
      <c r="O1823" s="3">
        <f t="shared" si="29"/>
        <v>1580</v>
      </c>
    </row>
    <row r="1824" spans="1:15" x14ac:dyDescent="0.25">
      <c r="A1824" s="76">
        <v>43053</v>
      </c>
      <c r="B1824" s="77" t="s">
        <v>5640</v>
      </c>
      <c r="C1824" s="77" t="s">
        <v>4915</v>
      </c>
      <c r="D1824" s="77" t="s">
        <v>226</v>
      </c>
      <c r="E1824" s="78">
        <v>5400</v>
      </c>
      <c r="F1824" s="77" t="s">
        <v>4810</v>
      </c>
      <c r="G1824" s="78">
        <v>184.81440000000001</v>
      </c>
      <c r="H1824" s="78">
        <v>3.1323729999999999</v>
      </c>
      <c r="I1824" s="77" t="s">
        <v>4800</v>
      </c>
      <c r="L1824" s="3">
        <f>VLOOKUP(C1824,Securities!A:D,4,FALSE)</f>
        <v>1</v>
      </c>
      <c r="M1824" s="3" t="str">
        <f>VLOOKUP(C1824,Securities!A:B,2,FALSE)</f>
        <v>SIBN RX Equity</v>
      </c>
      <c r="O1824" s="3">
        <f t="shared" si="29"/>
        <v>5400</v>
      </c>
    </row>
    <row r="1825" spans="1:15" x14ac:dyDescent="0.25">
      <c r="A1825" s="79">
        <v>43053</v>
      </c>
      <c r="B1825" s="80" t="s">
        <v>5641</v>
      </c>
      <c r="C1825" s="80" t="s">
        <v>4805</v>
      </c>
      <c r="D1825" s="80" t="s">
        <v>31</v>
      </c>
      <c r="E1825" s="81">
        <v>150000</v>
      </c>
      <c r="F1825" s="80" t="s">
        <v>4806</v>
      </c>
      <c r="G1825" s="81">
        <v>177.3</v>
      </c>
      <c r="H1825" s="81">
        <v>177.3</v>
      </c>
      <c r="I1825" s="80" t="s">
        <v>4800</v>
      </c>
      <c r="L1825" s="3">
        <f>VLOOKUP(C1825,Securities!A:D,4,FALSE)</f>
        <v>5</v>
      </c>
      <c r="M1825" s="3" t="str">
        <f>VLOOKUP(C1825,Securities!A:B,2,FALSE)</f>
        <v>TT343269 Corp</v>
      </c>
      <c r="O1825" s="3">
        <f t="shared" si="29"/>
        <v>150000</v>
      </c>
    </row>
    <row r="1826" spans="1:15" x14ac:dyDescent="0.25">
      <c r="A1826" s="76">
        <v>43053</v>
      </c>
      <c r="B1826" s="77" t="s">
        <v>5641</v>
      </c>
      <c r="C1826" s="77" t="s">
        <v>5037</v>
      </c>
      <c r="D1826" s="77" t="s">
        <v>5038</v>
      </c>
      <c r="E1826" s="78">
        <v>200000</v>
      </c>
      <c r="F1826" s="77" t="s">
        <v>4806</v>
      </c>
      <c r="G1826" s="78">
        <v>100.7</v>
      </c>
      <c r="H1826" s="78">
        <v>100.7</v>
      </c>
      <c r="I1826" s="77" t="s">
        <v>4800</v>
      </c>
      <c r="L1826" s="3">
        <f>VLOOKUP(C1826,Securities!A:D,4,FALSE)</f>
        <v>5</v>
      </c>
      <c r="M1826" s="3" t="str">
        <f>VLOOKUP(C1826,Securities!A:B,2,FALSE)</f>
        <v>XS1533915721 Corp</v>
      </c>
      <c r="O1826" s="3">
        <f t="shared" si="29"/>
        <v>200000</v>
      </c>
    </row>
    <row r="1827" spans="1:15" x14ac:dyDescent="0.25">
      <c r="A1827" s="79">
        <v>43053</v>
      </c>
      <c r="B1827" s="80" t="s">
        <v>5641</v>
      </c>
      <c r="C1827" s="80" t="s">
        <v>5642</v>
      </c>
      <c r="D1827" s="80" t="s">
        <v>5643</v>
      </c>
      <c r="E1827" s="81">
        <v>165000</v>
      </c>
      <c r="F1827" s="80" t="s">
        <v>4806</v>
      </c>
      <c r="G1827" s="81">
        <v>101.25</v>
      </c>
      <c r="H1827" s="81">
        <v>101.25</v>
      </c>
      <c r="I1827" s="80" t="s">
        <v>4800</v>
      </c>
      <c r="L1827" s="3">
        <f>VLOOKUP(C1827,Securities!A:D,4,FALSE)</f>
        <v>5</v>
      </c>
      <c r="M1827" s="3" t="str">
        <f>VLOOKUP(C1827,Securities!A:B,2,FALSE)</f>
        <v>XS1592279522 Corp</v>
      </c>
      <c r="O1827" s="3">
        <f t="shared" si="29"/>
        <v>165000</v>
      </c>
    </row>
    <row r="1828" spans="1:15" x14ac:dyDescent="0.25">
      <c r="A1828" s="76">
        <v>43053</v>
      </c>
      <c r="B1828" s="77" t="s">
        <v>5641</v>
      </c>
      <c r="C1828" s="77" t="s">
        <v>5086</v>
      </c>
      <c r="D1828" s="77" t="s">
        <v>5087</v>
      </c>
      <c r="E1828" s="78">
        <v>200000</v>
      </c>
      <c r="F1828" s="77" t="s">
        <v>4806</v>
      </c>
      <c r="G1828" s="78">
        <v>108.65</v>
      </c>
      <c r="H1828" s="78">
        <v>108.65</v>
      </c>
      <c r="I1828" s="77" t="s">
        <v>4800</v>
      </c>
      <c r="L1828" s="3">
        <f>VLOOKUP(C1828,Securities!A:D,4,FALSE)</f>
        <v>5</v>
      </c>
      <c r="M1828" s="3" t="str">
        <f>VLOOKUP(C1828,Securities!A:B,2,FALSE)</f>
        <v>EJ951547 Corp</v>
      </c>
      <c r="O1828" s="3">
        <f t="shared" si="29"/>
        <v>200000</v>
      </c>
    </row>
    <row r="1829" spans="1:15" x14ac:dyDescent="0.25">
      <c r="A1829" s="79">
        <v>43053</v>
      </c>
      <c r="B1829" s="80" t="s">
        <v>5641</v>
      </c>
      <c r="C1829" s="80" t="s">
        <v>5024</v>
      </c>
      <c r="D1829" s="80" t="s">
        <v>5025</v>
      </c>
      <c r="E1829" s="81">
        <v>200000</v>
      </c>
      <c r="F1829" s="80" t="s">
        <v>4806</v>
      </c>
      <c r="G1829" s="81">
        <v>100.9</v>
      </c>
      <c r="H1829" s="81">
        <v>100.9</v>
      </c>
      <c r="I1829" s="80" t="s">
        <v>4800</v>
      </c>
      <c r="L1829" s="3">
        <f>VLOOKUP(C1829,Securities!A:D,4,FALSE)</f>
        <v>5</v>
      </c>
      <c r="M1829" s="3" t="str">
        <f>VLOOKUP(C1829,Securities!A:B,2,FALSE)</f>
        <v>XS1405766384 Corp</v>
      </c>
      <c r="O1829" s="3">
        <f t="shared" si="29"/>
        <v>200000</v>
      </c>
    </row>
    <row r="1830" spans="1:15" x14ac:dyDescent="0.25">
      <c r="A1830" s="76">
        <v>43053</v>
      </c>
      <c r="B1830" s="77" t="s">
        <v>5641</v>
      </c>
      <c r="C1830" s="77" t="s">
        <v>4967</v>
      </c>
      <c r="D1830" s="77" t="s">
        <v>4968</v>
      </c>
      <c r="E1830" s="78">
        <v>200000</v>
      </c>
      <c r="F1830" s="77" t="s">
        <v>4806</v>
      </c>
      <c r="G1830" s="78">
        <v>114.45</v>
      </c>
      <c r="H1830" s="78">
        <v>114.45</v>
      </c>
      <c r="I1830" s="77" t="s">
        <v>4800</v>
      </c>
      <c r="L1830" s="3">
        <f>VLOOKUP(C1830,Securities!A:D,4,FALSE)</f>
        <v>5</v>
      </c>
      <c r="M1830" s="3" t="str">
        <f>VLOOKUP(C1830,Securities!A:B,2,FALSE)</f>
        <v>XS0979891925 Corp</v>
      </c>
      <c r="O1830" s="3">
        <f t="shared" si="29"/>
        <v>200000</v>
      </c>
    </row>
    <row r="1831" spans="1:15" x14ac:dyDescent="0.25">
      <c r="A1831" s="79">
        <v>43053</v>
      </c>
      <c r="B1831" s="80" t="s">
        <v>5641</v>
      </c>
      <c r="C1831" s="80" t="s">
        <v>4851</v>
      </c>
      <c r="D1831" s="80" t="s">
        <v>4744</v>
      </c>
      <c r="E1831" s="81">
        <v>200000</v>
      </c>
      <c r="F1831" s="80" t="s">
        <v>4806</v>
      </c>
      <c r="G1831" s="81">
        <v>103.65</v>
      </c>
      <c r="H1831" s="81">
        <v>103.65</v>
      </c>
      <c r="I1831" s="80" t="s">
        <v>4800</v>
      </c>
      <c r="L1831" s="3">
        <f>VLOOKUP(C1831,Securities!A:D,4,FALSE)</f>
        <v>5</v>
      </c>
      <c r="M1831" s="3" t="str">
        <f>VLOOKUP(C1831,Securities!A:B,2,FALSE)</f>
        <v>XS1032750165 Corp</v>
      </c>
      <c r="O1831" s="3">
        <f t="shared" si="29"/>
        <v>200000</v>
      </c>
    </row>
    <row r="1832" spans="1:15" x14ac:dyDescent="0.25">
      <c r="A1832" s="76">
        <v>43053</v>
      </c>
      <c r="B1832" s="77" t="s">
        <v>5641</v>
      </c>
      <c r="C1832" s="77" t="s">
        <v>5055</v>
      </c>
      <c r="D1832" s="77" t="s">
        <v>5056</v>
      </c>
      <c r="E1832" s="78">
        <v>200000</v>
      </c>
      <c r="F1832" s="77" t="s">
        <v>4806</v>
      </c>
      <c r="G1832" s="78">
        <v>100.125</v>
      </c>
      <c r="H1832" s="78">
        <v>100.125</v>
      </c>
      <c r="I1832" s="77" t="s">
        <v>4800</v>
      </c>
      <c r="L1832" s="3">
        <f>VLOOKUP(C1832,Securities!A:D,4,FALSE)</f>
        <v>5</v>
      </c>
      <c r="M1832" s="3" t="str">
        <f>VLOOKUP(C1832,Securities!A:B,2,FALSE)</f>
        <v>XS1693971043 Corp</v>
      </c>
      <c r="O1832" s="3">
        <f t="shared" si="29"/>
        <v>200000</v>
      </c>
    </row>
    <row r="1833" spans="1:15" x14ac:dyDescent="0.25">
      <c r="A1833" s="79">
        <v>43053</v>
      </c>
      <c r="B1833" s="80" t="s">
        <v>5641</v>
      </c>
      <c r="C1833" s="80" t="s">
        <v>5028</v>
      </c>
      <c r="D1833" s="80" t="s">
        <v>5029</v>
      </c>
      <c r="E1833" s="81">
        <v>200000</v>
      </c>
      <c r="F1833" s="80" t="s">
        <v>4806</v>
      </c>
      <c r="G1833" s="81">
        <v>109.35</v>
      </c>
      <c r="H1833" s="81">
        <v>109.35</v>
      </c>
      <c r="I1833" s="80" t="s">
        <v>4800</v>
      </c>
      <c r="L1833" s="3">
        <f>VLOOKUP(C1833,Securities!A:D,4,FALSE)</f>
        <v>5</v>
      </c>
      <c r="M1833" s="3" t="str">
        <f>VLOOKUP(C1833,Securities!A:B,2,FALSE)</f>
        <v>EJ394063 Corp</v>
      </c>
      <c r="O1833" s="3">
        <f t="shared" si="29"/>
        <v>200000</v>
      </c>
    </row>
    <row r="1834" spans="1:15" x14ac:dyDescent="0.25">
      <c r="A1834" s="76">
        <v>43053</v>
      </c>
      <c r="B1834" s="77" t="s">
        <v>5644</v>
      </c>
      <c r="C1834" s="77" t="s">
        <v>4941</v>
      </c>
      <c r="D1834" s="77" t="s">
        <v>4942</v>
      </c>
      <c r="E1834" s="78">
        <v>50000</v>
      </c>
      <c r="F1834" s="77" t="s">
        <v>4838</v>
      </c>
      <c r="G1834" s="78">
        <v>100</v>
      </c>
      <c r="H1834" s="78">
        <v>100</v>
      </c>
      <c r="I1834" s="77" t="s">
        <v>4800</v>
      </c>
      <c r="L1834" s="3">
        <f>VLOOKUP(C1834,Securities!A:D,4,FALSE)</f>
        <v>5</v>
      </c>
      <c r="M1834" s="3" t="str">
        <f>VLOOKUP(C1834,Securities!A:B,2,FALSE)</f>
        <v>XS1605089066 Corp</v>
      </c>
      <c r="O1834" s="3">
        <f t="shared" si="29"/>
        <v>50000</v>
      </c>
    </row>
    <row r="1835" spans="1:15" x14ac:dyDescent="0.25">
      <c r="A1835" s="79">
        <v>43053</v>
      </c>
      <c r="B1835" s="80" t="s">
        <v>5644</v>
      </c>
      <c r="C1835" s="80" t="s">
        <v>5000</v>
      </c>
      <c r="D1835" s="80" t="s">
        <v>5001</v>
      </c>
      <c r="E1835" s="81">
        <v>145000</v>
      </c>
      <c r="F1835" s="80" t="s">
        <v>4806</v>
      </c>
      <c r="G1835" s="81">
        <v>112.6</v>
      </c>
      <c r="H1835" s="81">
        <v>112.6</v>
      </c>
      <c r="I1835" s="80" t="s">
        <v>4800</v>
      </c>
      <c r="L1835" s="3">
        <f>VLOOKUP(C1835,Securities!A:D,4,FALSE)</f>
        <v>5</v>
      </c>
      <c r="M1835" s="3" t="str">
        <f>VLOOKUP(C1835,Securities!A:B,2,FALSE)</f>
        <v>US71647NAP42 Corp</v>
      </c>
      <c r="O1835" s="3">
        <f t="shared" si="29"/>
        <v>145000</v>
      </c>
    </row>
    <row r="1836" spans="1:15" x14ac:dyDescent="0.25">
      <c r="A1836" s="76">
        <v>43053</v>
      </c>
      <c r="B1836" s="77" t="s">
        <v>5645</v>
      </c>
      <c r="C1836" s="77" t="s">
        <v>4973</v>
      </c>
      <c r="D1836" s="77" t="s">
        <v>23</v>
      </c>
      <c r="E1836" s="78">
        <v>121600</v>
      </c>
      <c r="F1836" s="77" t="s">
        <v>4974</v>
      </c>
      <c r="G1836" s="78">
        <v>100.74476900000001</v>
      </c>
      <c r="H1836" s="78">
        <v>100.74476900000001</v>
      </c>
      <c r="I1836" s="77" t="s">
        <v>4800</v>
      </c>
      <c r="L1836" s="3">
        <f>VLOOKUP(C1836,Securities!A:D,4,FALSE)</f>
        <v>5</v>
      </c>
      <c r="M1836" s="3" t="str">
        <f>VLOOKUP(C1836,Securities!A:B,2,FALSE)</f>
        <v>RU000A0JV7K7 Corp</v>
      </c>
      <c r="O1836" s="3">
        <f t="shared" si="29"/>
        <v>121600</v>
      </c>
    </row>
    <row r="1837" spans="1:15" x14ac:dyDescent="0.25">
      <c r="A1837" s="79">
        <v>43053</v>
      </c>
      <c r="B1837" s="80" t="s">
        <v>5645</v>
      </c>
      <c r="C1837" s="80" t="s">
        <v>4866</v>
      </c>
      <c r="D1837" s="80" t="s">
        <v>99</v>
      </c>
      <c r="E1837" s="81">
        <v>33100</v>
      </c>
      <c r="F1837" s="80" t="s">
        <v>4810</v>
      </c>
      <c r="G1837" s="81">
        <v>77.47</v>
      </c>
      <c r="H1837" s="81">
        <v>1.340735</v>
      </c>
      <c r="I1837" s="80" t="s">
        <v>4800</v>
      </c>
      <c r="L1837" s="3">
        <f>VLOOKUP(C1837,Securities!A:D,4,FALSE)</f>
        <v>1</v>
      </c>
      <c r="M1837" s="3" t="str">
        <f>VLOOKUP(C1837,Securities!A:B,2,FALSE)</f>
        <v>ALRS RX Equity</v>
      </c>
      <c r="O1837" s="3">
        <f t="shared" si="29"/>
        <v>33100</v>
      </c>
    </row>
    <row r="1838" spans="1:15" x14ac:dyDescent="0.25">
      <c r="A1838" s="76">
        <v>43053</v>
      </c>
      <c r="B1838" s="77" t="s">
        <v>5645</v>
      </c>
      <c r="C1838" s="77" t="s">
        <v>4827</v>
      </c>
      <c r="D1838" s="77" t="s">
        <v>4828</v>
      </c>
      <c r="E1838" s="78">
        <v>-2264</v>
      </c>
      <c r="F1838" s="77" t="s">
        <v>4829</v>
      </c>
      <c r="G1838" s="78">
        <v>35041.909985999999</v>
      </c>
      <c r="H1838" s="78">
        <v>603.256846</v>
      </c>
      <c r="I1838" s="77" t="s">
        <v>4800</v>
      </c>
      <c r="L1838" s="3">
        <f>VLOOKUP(C1838,Securities!A:D,4,FALSE)</f>
        <v>15</v>
      </c>
      <c r="M1838" s="3" t="str">
        <f>VLOOKUP(C1838,Securities!A:B,2,FALSE)</f>
        <v>B5Z7 Comdty</v>
      </c>
      <c r="O1838" s="3">
        <f t="shared" si="29"/>
        <v>-2264</v>
      </c>
    </row>
    <row r="1839" spans="1:15" x14ac:dyDescent="0.25">
      <c r="A1839" s="79">
        <v>43053</v>
      </c>
      <c r="B1839" s="80" t="s">
        <v>5645</v>
      </c>
      <c r="C1839" s="80" t="s">
        <v>4869</v>
      </c>
      <c r="D1839" s="80" t="s">
        <v>4870</v>
      </c>
      <c r="E1839" s="81">
        <v>100000</v>
      </c>
      <c r="F1839" s="80" t="s">
        <v>4838</v>
      </c>
      <c r="G1839" s="81">
        <v>100</v>
      </c>
      <c r="H1839" s="81">
        <v>100</v>
      </c>
      <c r="I1839" s="80" t="s">
        <v>4800</v>
      </c>
      <c r="L1839" s="3">
        <f>VLOOKUP(C1839,Securities!A:D,4,FALSE)</f>
        <v>5</v>
      </c>
      <c r="M1839" s="3" t="str">
        <f>VLOOKUP(C1839,Securities!A:B,2,FALSE)</f>
        <v>CH0384862550 Corp</v>
      </c>
      <c r="O1839" s="3">
        <f t="shared" si="29"/>
        <v>100000</v>
      </c>
    </row>
    <row r="1840" spans="1:15" x14ac:dyDescent="0.25">
      <c r="A1840" s="76">
        <v>43053</v>
      </c>
      <c r="B1840" s="77" t="s">
        <v>5645</v>
      </c>
      <c r="C1840" s="77" t="s">
        <v>4805</v>
      </c>
      <c r="D1840" s="77" t="s">
        <v>31</v>
      </c>
      <c r="E1840" s="78">
        <v>190000</v>
      </c>
      <c r="F1840" s="77" t="s">
        <v>4806</v>
      </c>
      <c r="G1840" s="78">
        <v>176.5</v>
      </c>
      <c r="H1840" s="78">
        <v>176.5</v>
      </c>
      <c r="I1840" s="77" t="s">
        <v>4800</v>
      </c>
      <c r="L1840" s="3">
        <f>VLOOKUP(C1840,Securities!A:D,4,FALSE)</f>
        <v>5</v>
      </c>
      <c r="M1840" s="3" t="str">
        <f>VLOOKUP(C1840,Securities!A:B,2,FALSE)</f>
        <v>TT343269 Corp</v>
      </c>
      <c r="O1840" s="3">
        <f t="shared" si="29"/>
        <v>190000</v>
      </c>
    </row>
    <row r="1841" spans="1:15" x14ac:dyDescent="0.25">
      <c r="A1841" s="79">
        <v>43053</v>
      </c>
      <c r="B1841" s="80" t="s">
        <v>5645</v>
      </c>
      <c r="C1841" s="80" t="s">
        <v>4809</v>
      </c>
      <c r="D1841" s="80" t="s">
        <v>30</v>
      </c>
      <c r="E1841" s="81">
        <v>25800</v>
      </c>
      <c r="F1841" s="80" t="s">
        <v>4810</v>
      </c>
      <c r="G1841" s="81">
        <v>116.41889999999999</v>
      </c>
      <c r="H1841" s="81">
        <v>2.014805</v>
      </c>
      <c r="I1841" s="80" t="s">
        <v>4800</v>
      </c>
      <c r="L1841" s="3">
        <f>VLOOKUP(C1841,Securities!A:D,4,FALSE)</f>
        <v>1</v>
      </c>
      <c r="M1841" s="3" t="str">
        <f>VLOOKUP(C1841,Securities!A:B,2,FALSE)</f>
        <v>GAZP RX Equity</v>
      </c>
      <c r="O1841" s="3">
        <f t="shared" si="29"/>
        <v>25800</v>
      </c>
    </row>
    <row r="1842" spans="1:15" x14ac:dyDescent="0.25">
      <c r="A1842" s="76">
        <v>43053</v>
      </c>
      <c r="B1842" s="77" t="s">
        <v>5645</v>
      </c>
      <c r="C1842" s="77" t="s">
        <v>4811</v>
      </c>
      <c r="D1842" s="77" t="s">
        <v>4659</v>
      </c>
      <c r="E1842" s="78">
        <v>50200</v>
      </c>
      <c r="F1842" s="77" t="s">
        <v>4799</v>
      </c>
      <c r="G1842" s="78">
        <v>120.00449999999999</v>
      </c>
      <c r="H1842" s="78">
        <v>2.0772279999999999</v>
      </c>
      <c r="I1842" s="77" t="s">
        <v>4800</v>
      </c>
      <c r="L1842" s="3">
        <f>VLOOKUP(C1842,Securities!A:D,4,FALSE)</f>
        <v>1</v>
      </c>
      <c r="M1842" s="3" t="str">
        <f>VLOOKUP(C1842,Securities!A:B,2,FALSE)</f>
        <v>HGM LN Equity</v>
      </c>
      <c r="O1842" s="3">
        <f t="shared" si="29"/>
        <v>50200</v>
      </c>
    </row>
    <row r="1843" spans="1:15" x14ac:dyDescent="0.25">
      <c r="A1843" s="79">
        <v>43053</v>
      </c>
      <c r="B1843" s="80" t="s">
        <v>5645</v>
      </c>
      <c r="C1843" s="80" t="s">
        <v>4812</v>
      </c>
      <c r="D1843" s="80" t="s">
        <v>4675</v>
      </c>
      <c r="E1843" s="81">
        <v>5150</v>
      </c>
      <c r="F1843" s="80" t="s">
        <v>4804</v>
      </c>
      <c r="G1843" s="81">
        <v>579.01099999999997</v>
      </c>
      <c r="H1843" s="81">
        <v>10.02422</v>
      </c>
      <c r="I1843" s="80" t="s">
        <v>4800</v>
      </c>
      <c r="L1843" s="3">
        <f>VLOOKUP(C1843,Securities!A:D,4,FALSE)</f>
        <v>1</v>
      </c>
      <c r="M1843" s="3" t="str">
        <f>VLOOKUP(C1843,Securities!A:B,2,FALSE)</f>
        <v>KMG LI Equity</v>
      </c>
      <c r="O1843" s="3">
        <f t="shared" si="29"/>
        <v>5150</v>
      </c>
    </row>
    <row r="1844" spans="1:15" x14ac:dyDescent="0.25">
      <c r="A1844" s="76">
        <v>43053</v>
      </c>
      <c r="B1844" s="77" t="s">
        <v>5645</v>
      </c>
      <c r="C1844" s="77" t="s">
        <v>4848</v>
      </c>
      <c r="D1844" s="77" t="s">
        <v>511</v>
      </c>
      <c r="E1844" s="78">
        <v>5000</v>
      </c>
      <c r="F1844" s="77" t="s">
        <v>4810</v>
      </c>
      <c r="G1844" s="78">
        <v>600</v>
      </c>
      <c r="H1844" s="78">
        <v>10.38391</v>
      </c>
      <c r="I1844" s="77" t="s">
        <v>4800</v>
      </c>
      <c r="L1844" s="3">
        <f>VLOOKUP(C1844,Securities!A:D,4,FALSE)</f>
        <v>1</v>
      </c>
      <c r="M1844" s="3" t="str">
        <f>VLOOKUP(C1844,Securities!A:B,2,FALSE)</f>
        <v>NVTK RX Equity</v>
      </c>
      <c r="O1844" s="3">
        <f t="shared" si="29"/>
        <v>5000</v>
      </c>
    </row>
    <row r="1845" spans="1:15" x14ac:dyDescent="0.25">
      <c r="A1845" s="79">
        <v>43053</v>
      </c>
      <c r="B1845" s="80" t="s">
        <v>5645</v>
      </c>
      <c r="C1845" s="80" t="s">
        <v>4821</v>
      </c>
      <c r="D1845" s="80" t="s">
        <v>42</v>
      </c>
      <c r="E1845" s="81">
        <v>4550</v>
      </c>
      <c r="F1845" s="80" t="s">
        <v>4799</v>
      </c>
      <c r="G1845" s="81">
        <v>657.89710100000002</v>
      </c>
      <c r="H1845" s="81">
        <v>11.389948</v>
      </c>
      <c r="I1845" s="80" t="s">
        <v>4800</v>
      </c>
      <c r="L1845" s="3">
        <f>VLOOKUP(C1845,Securities!A:D,4,FALSE)</f>
        <v>1</v>
      </c>
      <c r="M1845" s="3" t="str">
        <f>VLOOKUP(C1845,Securities!A:B,2,FALSE)</f>
        <v>POLY LN Equity</v>
      </c>
      <c r="O1845" s="3">
        <f t="shared" si="29"/>
        <v>4550</v>
      </c>
    </row>
    <row r="1846" spans="1:15" x14ac:dyDescent="0.25">
      <c r="A1846" s="76">
        <v>43053</v>
      </c>
      <c r="B1846" s="77" t="s">
        <v>5645</v>
      </c>
      <c r="C1846" s="77" t="s">
        <v>4834</v>
      </c>
      <c r="D1846" s="77" t="s">
        <v>51</v>
      </c>
      <c r="E1846" s="78">
        <v>3130</v>
      </c>
      <c r="F1846" s="77" t="s">
        <v>4825</v>
      </c>
      <c r="G1846" s="78">
        <v>923.18528400000002</v>
      </c>
      <c r="H1846" s="78">
        <v>15.977122</v>
      </c>
      <c r="I1846" s="77" t="s">
        <v>4800</v>
      </c>
      <c r="L1846" s="3">
        <f>VLOOKUP(C1846,Securities!A:D,4,FALSE)</f>
        <v>1</v>
      </c>
      <c r="M1846" s="3" t="str">
        <f>VLOOKUP(C1846,Securities!A:B,2,FALSE)</f>
        <v>QIWI US Equity</v>
      </c>
      <c r="O1846" s="3">
        <f t="shared" si="29"/>
        <v>3130</v>
      </c>
    </row>
    <row r="1847" spans="1:15" x14ac:dyDescent="0.25">
      <c r="A1847" s="79">
        <v>43053</v>
      </c>
      <c r="B1847" s="80" t="s">
        <v>5645</v>
      </c>
      <c r="C1847" s="80" t="s">
        <v>4830</v>
      </c>
      <c r="D1847" s="80" t="s">
        <v>4831</v>
      </c>
      <c r="E1847" s="81">
        <v>-1329</v>
      </c>
      <c r="F1847" s="80" t="s">
        <v>4832</v>
      </c>
      <c r="G1847" s="81">
        <v>58224.151992999999</v>
      </c>
      <c r="H1847" s="81">
        <v>1007.507404</v>
      </c>
      <c r="I1847" s="80" t="s">
        <v>4800</v>
      </c>
      <c r="L1847" s="3">
        <f>VLOOKUP(C1847,Securities!A:D,4,FALSE)</f>
        <v>15</v>
      </c>
      <c r="M1847" s="3" t="str">
        <f>VLOOKUP(C1847,Securities!A:B,2,FALSE)</f>
        <v>URZ7 Curncy</v>
      </c>
      <c r="O1847" s="3">
        <f t="shared" si="29"/>
        <v>-1329</v>
      </c>
    </row>
    <row r="1848" spans="1:15" x14ac:dyDescent="0.25">
      <c r="A1848" s="76">
        <v>43053</v>
      </c>
      <c r="B1848" s="77" t="s">
        <v>5645</v>
      </c>
      <c r="C1848" s="77" t="s">
        <v>4824</v>
      </c>
      <c r="D1848" s="77" t="s">
        <v>4674</v>
      </c>
      <c r="E1848" s="78">
        <v>12970</v>
      </c>
      <c r="F1848" s="77" t="s">
        <v>4825</v>
      </c>
      <c r="G1848" s="78">
        <v>231.184</v>
      </c>
      <c r="H1848" s="78">
        <v>4.0024090000000001</v>
      </c>
      <c r="I1848" s="77" t="s">
        <v>4800</v>
      </c>
      <c r="L1848" s="3">
        <f>VLOOKUP(C1848,Securities!A:D,4,FALSE)</f>
        <v>1</v>
      </c>
      <c r="M1848" s="3" t="str">
        <f>VLOOKUP(C1848,Securities!A:B,2,FALSE)</f>
        <v>VEON US Equity</v>
      </c>
      <c r="O1848" s="3">
        <f t="shared" si="29"/>
        <v>12970</v>
      </c>
    </row>
    <row r="1849" spans="1:15" x14ac:dyDescent="0.25">
      <c r="A1849" s="79">
        <v>43053</v>
      </c>
      <c r="B1849" s="80" t="s">
        <v>5646</v>
      </c>
      <c r="C1849" s="80" t="s">
        <v>4920</v>
      </c>
      <c r="D1849" s="80" t="s">
        <v>4921</v>
      </c>
      <c r="E1849" s="81">
        <v>8800</v>
      </c>
      <c r="F1849" s="80" t="s">
        <v>4898</v>
      </c>
      <c r="G1849" s="81">
        <v>595.66999999999996</v>
      </c>
      <c r="H1849" s="81">
        <v>10.338979999999999</v>
      </c>
      <c r="I1849" s="80" t="s">
        <v>4800</v>
      </c>
      <c r="L1849" s="3">
        <f>VLOOKUP(C1849,Securities!A:D,4,FALSE)</f>
        <v>1</v>
      </c>
      <c r="M1849" s="3" t="str">
        <f>VLOOKUP(C1849,Securities!A:B,2,FALSE)</f>
        <v>AMLP US Equity</v>
      </c>
      <c r="O1849" s="3">
        <f t="shared" si="29"/>
        <v>8800</v>
      </c>
    </row>
    <row r="1850" spans="1:15" x14ac:dyDescent="0.25">
      <c r="A1850" s="76">
        <v>43053</v>
      </c>
      <c r="B1850" s="77" t="s">
        <v>5646</v>
      </c>
      <c r="C1850" s="77" t="s">
        <v>4895</v>
      </c>
      <c r="D1850" s="77" t="s">
        <v>144</v>
      </c>
      <c r="E1850" s="78">
        <v>5605</v>
      </c>
      <c r="F1850" s="77" t="s">
        <v>4810</v>
      </c>
      <c r="G1850" s="78">
        <v>1521.997948</v>
      </c>
      <c r="H1850" s="78">
        <v>26.202085</v>
      </c>
      <c r="I1850" s="77" t="s">
        <v>4800</v>
      </c>
      <c r="L1850" s="3">
        <f>VLOOKUP(C1850,Securities!A:D,4,FALSE)</f>
        <v>1</v>
      </c>
      <c r="M1850" s="3" t="str">
        <f>VLOOKUP(C1850,Securities!A:B,2,FALSE)</f>
        <v>BANEP RX Equity</v>
      </c>
      <c r="O1850" s="3">
        <f t="shared" si="29"/>
        <v>5605</v>
      </c>
    </row>
    <row r="1851" spans="1:15" x14ac:dyDescent="0.25">
      <c r="A1851" s="79">
        <v>43053</v>
      </c>
      <c r="B1851" s="80" t="s">
        <v>5646</v>
      </c>
      <c r="C1851" s="80" t="s">
        <v>4899</v>
      </c>
      <c r="D1851" s="80" t="s">
        <v>4900</v>
      </c>
      <c r="E1851" s="81">
        <v>35500</v>
      </c>
      <c r="F1851" s="80" t="s">
        <v>4799</v>
      </c>
      <c r="G1851" s="81">
        <v>225.26188500000001</v>
      </c>
      <c r="H1851" s="81">
        <v>3.9098459999999999</v>
      </c>
      <c r="I1851" s="80" t="s">
        <v>4800</v>
      </c>
      <c r="L1851" s="3">
        <f>VLOOKUP(C1851,Securities!A:D,4,FALSE)</f>
        <v>1</v>
      </c>
      <c r="M1851" s="3" t="str">
        <f>VLOOKUP(C1851,Securities!A:B,2,FALSE)</f>
        <v>EVR LN Equity</v>
      </c>
      <c r="O1851" s="3">
        <f t="shared" si="29"/>
        <v>35500</v>
      </c>
    </row>
    <row r="1852" spans="1:15" x14ac:dyDescent="0.25">
      <c r="A1852" s="76">
        <v>43053</v>
      </c>
      <c r="B1852" s="77" t="s">
        <v>5646</v>
      </c>
      <c r="C1852" s="77" t="s">
        <v>4901</v>
      </c>
      <c r="D1852" s="77" t="s">
        <v>4902</v>
      </c>
      <c r="E1852" s="78">
        <v>3400</v>
      </c>
      <c r="F1852" s="77" t="s">
        <v>4804</v>
      </c>
      <c r="G1852" s="78">
        <v>2340.330414</v>
      </c>
      <c r="H1852" s="78">
        <v>40.620863</v>
      </c>
      <c r="I1852" s="77" t="s">
        <v>4800</v>
      </c>
      <c r="L1852" s="3">
        <f>VLOOKUP(C1852,Securities!A:D,4,FALSE)</f>
        <v>1</v>
      </c>
      <c r="M1852" s="3" t="str">
        <f>VLOOKUP(C1852,Securities!A:B,2,FALSE)</f>
        <v>FIVE LI Equity</v>
      </c>
      <c r="O1852" s="3">
        <f t="shared" si="29"/>
        <v>3400</v>
      </c>
    </row>
    <row r="1853" spans="1:15" x14ac:dyDescent="0.25">
      <c r="A1853" s="79">
        <v>43053</v>
      </c>
      <c r="B1853" s="80" t="s">
        <v>5646</v>
      </c>
      <c r="C1853" s="80" t="s">
        <v>4809</v>
      </c>
      <c r="D1853" s="80" t="s">
        <v>30</v>
      </c>
      <c r="E1853" s="81">
        <v>501800</v>
      </c>
      <c r="F1853" s="80" t="s">
        <v>4810</v>
      </c>
      <c r="G1853" s="81">
        <v>126.554767</v>
      </c>
      <c r="H1853" s="81">
        <v>2.1982529999999998</v>
      </c>
      <c r="I1853" s="80" t="s">
        <v>4800</v>
      </c>
      <c r="L1853" s="3">
        <f>VLOOKUP(C1853,Securities!A:D,4,FALSE)</f>
        <v>1</v>
      </c>
      <c r="M1853" s="3" t="str">
        <f>VLOOKUP(C1853,Securities!A:B,2,FALSE)</f>
        <v>GAZP RX Equity</v>
      </c>
      <c r="O1853" s="3">
        <f t="shared" si="29"/>
        <v>501800</v>
      </c>
    </row>
    <row r="1854" spans="1:15" x14ac:dyDescent="0.25">
      <c r="A1854" s="76">
        <v>43053</v>
      </c>
      <c r="B1854" s="77" t="s">
        <v>5646</v>
      </c>
      <c r="C1854" s="77" t="s">
        <v>5360</v>
      </c>
      <c r="D1854" s="77" t="s">
        <v>5361</v>
      </c>
      <c r="E1854" s="78">
        <v>1170</v>
      </c>
      <c r="F1854" s="77" t="s">
        <v>4898</v>
      </c>
      <c r="G1854" s="78">
        <v>5103.6019999999999</v>
      </c>
      <c r="H1854" s="78">
        <v>88.582669999999993</v>
      </c>
      <c r="I1854" s="77" t="s">
        <v>4800</v>
      </c>
      <c r="L1854" s="3">
        <f>VLOOKUP(C1854,Securities!A:D,4,FALSE)</f>
        <v>1</v>
      </c>
      <c r="M1854" s="3" t="str">
        <f>VLOOKUP(C1854,Securities!A:B,2,FALSE)</f>
        <v>HYG US Equity</v>
      </c>
      <c r="O1854" s="3">
        <f t="shared" si="29"/>
        <v>1170</v>
      </c>
    </row>
    <row r="1855" spans="1:15" x14ac:dyDescent="0.25">
      <c r="A1855" s="79">
        <v>43053</v>
      </c>
      <c r="B1855" s="80" t="s">
        <v>5646</v>
      </c>
      <c r="C1855" s="80" t="s">
        <v>4911</v>
      </c>
      <c r="D1855" s="80" t="s">
        <v>405</v>
      </c>
      <c r="E1855" s="81">
        <v>180000</v>
      </c>
      <c r="F1855" s="80" t="s">
        <v>4810</v>
      </c>
      <c r="G1855" s="81">
        <v>44.384683000000003</v>
      </c>
      <c r="H1855" s="81">
        <v>0.77095999999999998</v>
      </c>
      <c r="I1855" s="80" t="s">
        <v>4800</v>
      </c>
      <c r="L1855" s="3">
        <f>VLOOKUP(C1855,Securities!A:D,4,FALSE)</f>
        <v>1</v>
      </c>
      <c r="M1855" s="3" t="str">
        <f>VLOOKUP(C1855,Securities!A:B,2,FALSE)</f>
        <v>MAGN RX Equity</v>
      </c>
      <c r="O1855" s="3">
        <f t="shared" si="29"/>
        <v>180000</v>
      </c>
    </row>
    <row r="1856" spans="1:15" x14ac:dyDescent="0.25">
      <c r="A1856" s="76">
        <v>43053</v>
      </c>
      <c r="B1856" s="77" t="s">
        <v>5646</v>
      </c>
      <c r="C1856" s="77" t="s">
        <v>4892</v>
      </c>
      <c r="D1856" s="77" t="s">
        <v>568</v>
      </c>
      <c r="E1856" s="78">
        <v>1680</v>
      </c>
      <c r="F1856" s="77" t="s">
        <v>4810</v>
      </c>
      <c r="G1856" s="78">
        <v>4764.9875000000002</v>
      </c>
      <c r="H1856" s="78">
        <v>82.767723000000004</v>
      </c>
      <c r="I1856" s="77" t="s">
        <v>4800</v>
      </c>
      <c r="L1856" s="3">
        <f>VLOOKUP(C1856,Securities!A:D,4,FALSE)</f>
        <v>1</v>
      </c>
      <c r="M1856" s="3" t="str">
        <f>VLOOKUP(C1856,Securities!A:B,2,FALSE)</f>
        <v>PLZL RX Equity</v>
      </c>
      <c r="O1856" s="3">
        <f t="shared" si="29"/>
        <v>1680</v>
      </c>
    </row>
    <row r="1857" spans="1:15" x14ac:dyDescent="0.25">
      <c r="A1857" s="79">
        <v>43053</v>
      </c>
      <c r="B1857" s="80" t="s">
        <v>5646</v>
      </c>
      <c r="C1857" s="80" t="s">
        <v>4916</v>
      </c>
      <c r="D1857" s="80" t="s">
        <v>712</v>
      </c>
      <c r="E1857" s="81">
        <v>1300000</v>
      </c>
      <c r="F1857" s="80" t="s">
        <v>4810</v>
      </c>
      <c r="G1857" s="81">
        <v>29.192827999999999</v>
      </c>
      <c r="H1857" s="81">
        <v>0.50707800000000003</v>
      </c>
      <c r="I1857" s="80" t="s">
        <v>4800</v>
      </c>
      <c r="L1857" s="3">
        <f>VLOOKUP(C1857,Securities!A:D,4,FALSE)</f>
        <v>1</v>
      </c>
      <c r="M1857" s="3" t="str">
        <f>VLOOKUP(C1857,Securities!A:B,2,FALSE)</f>
        <v>SNGSP RX Equity</v>
      </c>
      <c r="O1857" s="3">
        <f t="shared" si="29"/>
        <v>1300000</v>
      </c>
    </row>
    <row r="1858" spans="1:15" x14ac:dyDescent="0.25">
      <c r="A1858" s="76">
        <v>43053</v>
      </c>
      <c r="B1858" s="77" t="s">
        <v>5646</v>
      </c>
      <c r="C1858" s="77" t="s">
        <v>4927</v>
      </c>
      <c r="D1858" s="77" t="s">
        <v>4928</v>
      </c>
      <c r="E1858" s="78">
        <v>6650</v>
      </c>
      <c r="F1858" s="77" t="s">
        <v>4898</v>
      </c>
      <c r="G1858" s="78">
        <v>900.69629999999995</v>
      </c>
      <c r="H1858" s="78">
        <v>15.633288</v>
      </c>
      <c r="I1858" s="77" t="s">
        <v>4800</v>
      </c>
      <c r="L1858" s="3">
        <f>VLOOKUP(C1858,Securities!A:D,4,FALSE)</f>
        <v>1</v>
      </c>
      <c r="M1858" s="3" t="str">
        <f>VLOOKUP(C1858,Securities!A:B,2,FALSE)</f>
        <v>SX7EEX GY Equity</v>
      </c>
      <c r="O1858" s="3">
        <f t="shared" si="29"/>
        <v>6650</v>
      </c>
    </row>
    <row r="1859" spans="1:15" x14ac:dyDescent="0.25">
      <c r="A1859" s="79">
        <v>43053</v>
      </c>
      <c r="B1859" s="80" t="s">
        <v>5646</v>
      </c>
      <c r="C1859" s="80" t="s">
        <v>4917</v>
      </c>
      <c r="D1859" s="80" t="s">
        <v>742</v>
      </c>
      <c r="E1859" s="81">
        <v>106000</v>
      </c>
      <c r="F1859" s="80" t="s">
        <v>4810</v>
      </c>
      <c r="G1859" s="81">
        <v>75.982972000000004</v>
      </c>
      <c r="H1859" s="81">
        <v>1.3198220000000001</v>
      </c>
      <c r="I1859" s="80" t="s">
        <v>4800</v>
      </c>
      <c r="L1859" s="3">
        <f>VLOOKUP(C1859,Securities!A:D,4,FALSE)</f>
        <v>1</v>
      </c>
      <c r="M1859" s="3" t="str">
        <f>VLOOKUP(C1859,Securities!A:B,2,FALSE)</f>
        <v>TRMK RX Equity</v>
      </c>
      <c r="O1859" s="3">
        <f t="shared" si="29"/>
        <v>106000</v>
      </c>
    </row>
    <row r="1860" spans="1:15" x14ac:dyDescent="0.25">
      <c r="A1860" s="76">
        <v>43053</v>
      </c>
      <c r="B1860" s="77" t="s">
        <v>5647</v>
      </c>
      <c r="C1860" s="77" t="s">
        <v>4819</v>
      </c>
      <c r="D1860" s="77" t="s">
        <v>4820</v>
      </c>
      <c r="E1860" s="78">
        <v>229000</v>
      </c>
      <c r="F1860" s="77" t="s">
        <v>4806</v>
      </c>
      <c r="G1860" s="78">
        <v>107</v>
      </c>
      <c r="H1860" s="78">
        <v>107</v>
      </c>
      <c r="I1860" s="77" t="s">
        <v>4800</v>
      </c>
      <c r="L1860" s="3">
        <f>VLOOKUP(C1860,Securities!A:D,4,FALSE)</f>
        <v>5</v>
      </c>
      <c r="M1860" s="3" t="str">
        <f>VLOOKUP(C1860,Securities!A:B,2,FALSE)</f>
        <v>XS0776121062 Corp</v>
      </c>
      <c r="O1860" s="3">
        <f t="shared" si="29"/>
        <v>229000</v>
      </c>
    </row>
    <row r="1861" spans="1:15" x14ac:dyDescent="0.25">
      <c r="A1861" s="79">
        <v>43053</v>
      </c>
      <c r="B1861" s="80" t="s">
        <v>5647</v>
      </c>
      <c r="C1861" s="80" t="s">
        <v>4982</v>
      </c>
      <c r="D1861" s="80" t="s">
        <v>4983</v>
      </c>
      <c r="E1861" s="81">
        <v>5000</v>
      </c>
      <c r="F1861" s="80" t="s">
        <v>4814</v>
      </c>
      <c r="G1861" s="81">
        <v>100</v>
      </c>
      <c r="H1861" s="81">
        <v>100</v>
      </c>
      <c r="I1861" s="80" t="s">
        <v>4800</v>
      </c>
      <c r="L1861" s="3">
        <f>VLOOKUP(C1861,Securities!A:D,4,FALSE)</f>
        <v>5</v>
      </c>
      <c r="M1861" s="3" t="str">
        <f>VLOOKUP(C1861,Securities!A:B,2,FALSE)</f>
        <v>RU000A0JXVY3 Corp</v>
      </c>
      <c r="O1861" s="3">
        <f t="shared" si="29"/>
        <v>5000</v>
      </c>
    </row>
    <row r="1862" spans="1:15" x14ac:dyDescent="0.25">
      <c r="A1862" s="76">
        <v>43053</v>
      </c>
      <c r="B1862" s="77" t="s">
        <v>5647</v>
      </c>
      <c r="C1862" s="77" t="s">
        <v>4852</v>
      </c>
      <c r="D1862" s="77" t="s">
        <v>4853</v>
      </c>
      <c r="E1862" s="78">
        <v>500000</v>
      </c>
      <c r="F1862" s="77" t="s">
        <v>4806</v>
      </c>
      <c r="G1862" s="78">
        <v>100</v>
      </c>
      <c r="H1862" s="78">
        <v>100</v>
      </c>
      <c r="I1862" s="77" t="s">
        <v>4800</v>
      </c>
      <c r="L1862" s="3">
        <f>VLOOKUP(C1862,Securities!A:D,4,FALSE)</f>
        <v>5</v>
      </c>
      <c r="M1862" s="3" t="str">
        <f>VLOOKUP(C1862,Securities!A:B,2,FALSE)</f>
        <v>XS1631338495 Corp</v>
      </c>
      <c r="O1862" s="3">
        <f t="shared" ref="O1862:O1925" si="30">SUMIFS(E:E,C:C,C1862,B:B,B1862)</f>
        <v>500000</v>
      </c>
    </row>
    <row r="1863" spans="1:15" x14ac:dyDescent="0.25">
      <c r="A1863" s="79">
        <v>43053</v>
      </c>
      <c r="B1863" s="80" t="s">
        <v>5648</v>
      </c>
      <c r="C1863" s="80" t="s">
        <v>4973</v>
      </c>
      <c r="D1863" s="80" t="s">
        <v>23</v>
      </c>
      <c r="E1863" s="81">
        <v>6633</v>
      </c>
      <c r="F1863" s="80" t="s">
        <v>4974</v>
      </c>
      <c r="G1863" s="81">
        <v>0</v>
      </c>
      <c r="H1863" s="81">
        <v>0</v>
      </c>
      <c r="I1863" s="80" t="s">
        <v>4800</v>
      </c>
      <c r="L1863" s="3">
        <f>VLOOKUP(C1863,Securities!A:D,4,FALSE)</f>
        <v>5</v>
      </c>
      <c r="M1863" s="3" t="str">
        <f>VLOOKUP(C1863,Securities!A:B,2,FALSE)</f>
        <v>RU000A0JV7K7 Corp</v>
      </c>
      <c r="O1863" s="3">
        <f t="shared" si="30"/>
        <v>6633</v>
      </c>
    </row>
    <row r="1864" spans="1:15" x14ac:dyDescent="0.25">
      <c r="A1864" s="76">
        <v>43053</v>
      </c>
      <c r="B1864" s="77" t="s">
        <v>5648</v>
      </c>
      <c r="C1864" s="77" t="s">
        <v>5331</v>
      </c>
      <c r="D1864" s="77" t="s">
        <v>960</v>
      </c>
      <c r="E1864" s="78">
        <v>6020</v>
      </c>
      <c r="F1864" s="77" t="s">
        <v>4974</v>
      </c>
      <c r="G1864" s="78">
        <v>96.2</v>
      </c>
      <c r="H1864" s="78">
        <v>96.2</v>
      </c>
      <c r="I1864" s="77" t="s">
        <v>4800</v>
      </c>
      <c r="L1864" s="3">
        <f>VLOOKUP(C1864,Securities!A:D,4,FALSE)</f>
        <v>5</v>
      </c>
      <c r="M1864" s="3" t="str">
        <f>VLOOKUP(C1864,Securities!A:B,2,FALSE)</f>
        <v>RU000A0JTYA5 Corp</v>
      </c>
      <c r="O1864" s="3">
        <f t="shared" si="30"/>
        <v>6020</v>
      </c>
    </row>
    <row r="1865" spans="1:15" x14ac:dyDescent="0.25">
      <c r="A1865" s="79">
        <v>43053</v>
      </c>
      <c r="B1865" s="80" t="s">
        <v>5648</v>
      </c>
      <c r="C1865" s="80" t="s">
        <v>5195</v>
      </c>
      <c r="D1865" s="80" t="s">
        <v>964</v>
      </c>
      <c r="E1865" s="81">
        <v>6110</v>
      </c>
      <c r="F1865" s="80" t="s">
        <v>4974</v>
      </c>
      <c r="G1865" s="81">
        <v>97.64</v>
      </c>
      <c r="H1865" s="81">
        <v>97.64</v>
      </c>
      <c r="I1865" s="80" t="s">
        <v>4800</v>
      </c>
      <c r="L1865" s="3">
        <f>VLOOKUP(C1865,Securities!A:D,4,FALSE)</f>
        <v>5</v>
      </c>
      <c r="M1865" s="3" t="str">
        <f>VLOOKUP(C1865,Securities!A:B,2,FALSE)</f>
        <v>RU000A0JU9V1 Corp</v>
      </c>
      <c r="O1865" s="3">
        <f t="shared" si="30"/>
        <v>6110</v>
      </c>
    </row>
    <row r="1866" spans="1:15" x14ac:dyDescent="0.25">
      <c r="A1866" s="76">
        <v>43053</v>
      </c>
      <c r="B1866" s="77" t="s">
        <v>5648</v>
      </c>
      <c r="C1866" s="77" t="s">
        <v>5332</v>
      </c>
      <c r="D1866" s="77" t="s">
        <v>968</v>
      </c>
      <c r="E1866" s="78">
        <v>20855</v>
      </c>
      <c r="F1866" s="77" t="s">
        <v>4974</v>
      </c>
      <c r="G1866" s="78">
        <v>102.05726199999999</v>
      </c>
      <c r="H1866" s="78">
        <v>102.05726199999999</v>
      </c>
      <c r="I1866" s="77" t="s">
        <v>4800</v>
      </c>
      <c r="L1866" s="3">
        <f>VLOOKUP(C1866,Securities!A:D,4,FALSE)</f>
        <v>5</v>
      </c>
      <c r="M1866" s="3" t="str">
        <f>VLOOKUP(C1866,Securities!A:B,2,FALSE)</f>
        <v>RU000A0JVW48 Corp</v>
      </c>
      <c r="O1866" s="3">
        <f t="shared" si="30"/>
        <v>20855</v>
      </c>
    </row>
    <row r="1867" spans="1:15" x14ac:dyDescent="0.25">
      <c r="A1867" s="79">
        <v>43053</v>
      </c>
      <c r="B1867" s="80" t="s">
        <v>5648</v>
      </c>
      <c r="C1867" s="80" t="s">
        <v>5649</v>
      </c>
      <c r="D1867" s="80" t="s">
        <v>976</v>
      </c>
      <c r="E1867" s="81">
        <v>8776</v>
      </c>
      <c r="F1867" s="80" t="s">
        <v>4974</v>
      </c>
      <c r="G1867" s="81">
        <v>105.088718</v>
      </c>
      <c r="H1867" s="81">
        <v>105.088718</v>
      </c>
      <c r="I1867" s="80" t="s">
        <v>4800</v>
      </c>
      <c r="L1867" s="3">
        <f>VLOOKUP(C1867,Securities!A:D,4,FALSE)</f>
        <v>5</v>
      </c>
      <c r="M1867" s="3" t="str">
        <f>VLOOKUP(C1867,Securities!A:B,2,FALSE)</f>
        <v>RU000A0JV4L2 Corp</v>
      </c>
      <c r="O1867" s="3">
        <f t="shared" si="30"/>
        <v>8776</v>
      </c>
    </row>
    <row r="1868" spans="1:15" x14ac:dyDescent="0.25">
      <c r="A1868" s="76">
        <v>43053</v>
      </c>
      <c r="B1868" s="77" t="s">
        <v>5648</v>
      </c>
      <c r="C1868" s="77" t="s">
        <v>5650</v>
      </c>
      <c r="D1868" s="77" t="s">
        <v>982</v>
      </c>
      <c r="E1868" s="78">
        <v>7840</v>
      </c>
      <c r="F1868" s="77" t="s">
        <v>4974</v>
      </c>
      <c r="G1868" s="78">
        <v>114.3</v>
      </c>
      <c r="H1868" s="78">
        <v>114.3</v>
      </c>
      <c r="I1868" s="77" t="s">
        <v>4800</v>
      </c>
      <c r="L1868" s="3">
        <f>VLOOKUP(C1868,Securities!A:D,4,FALSE)</f>
        <v>5</v>
      </c>
      <c r="M1868" s="3" t="str">
        <f>VLOOKUP(C1868,Securities!A:B,2,FALSE)</f>
        <v>RU000A0JV4N8 Corp</v>
      </c>
      <c r="O1868" s="3">
        <f t="shared" si="30"/>
        <v>7840</v>
      </c>
    </row>
    <row r="1869" spans="1:15" x14ac:dyDescent="0.25">
      <c r="A1869" s="79">
        <v>43053</v>
      </c>
      <c r="B1869" s="80" t="s">
        <v>5648</v>
      </c>
      <c r="C1869" s="80" t="s">
        <v>5651</v>
      </c>
      <c r="D1869" s="80" t="s">
        <v>984</v>
      </c>
      <c r="E1869" s="81">
        <v>7530</v>
      </c>
      <c r="F1869" s="80" t="s">
        <v>4974</v>
      </c>
      <c r="G1869" s="81">
        <v>114.12</v>
      </c>
      <c r="H1869" s="81">
        <v>114.12</v>
      </c>
      <c r="I1869" s="80" t="s">
        <v>4800</v>
      </c>
      <c r="L1869" s="3">
        <f>VLOOKUP(C1869,Securities!A:D,4,FALSE)</f>
        <v>5</v>
      </c>
      <c r="M1869" s="3" t="str">
        <f>VLOOKUP(C1869,Securities!A:B,2,FALSE)</f>
        <v>RU000A0JV4Q1 Corp</v>
      </c>
      <c r="O1869" s="3">
        <f t="shared" si="30"/>
        <v>7530</v>
      </c>
    </row>
    <row r="1870" spans="1:15" x14ac:dyDescent="0.25">
      <c r="A1870" s="76">
        <v>43053</v>
      </c>
      <c r="B1870" s="77" t="s">
        <v>5648</v>
      </c>
      <c r="C1870" s="77" t="s">
        <v>4965</v>
      </c>
      <c r="D1870" s="77" t="s">
        <v>4966</v>
      </c>
      <c r="E1870" s="78">
        <v>50000</v>
      </c>
      <c r="F1870" s="77" t="s">
        <v>4806</v>
      </c>
      <c r="G1870" s="78">
        <v>115.5</v>
      </c>
      <c r="H1870" s="78">
        <v>115.5</v>
      </c>
      <c r="I1870" s="77" t="s">
        <v>4800</v>
      </c>
      <c r="L1870" s="3">
        <f>VLOOKUP(C1870,Securities!A:D,4,FALSE)</f>
        <v>5</v>
      </c>
      <c r="M1870" s="3" t="str">
        <f>VLOOKUP(C1870,Securities!A:B,2,FALSE)</f>
        <v>US71647NAQ25 Corp</v>
      </c>
      <c r="O1870" s="3">
        <f t="shared" si="30"/>
        <v>50000</v>
      </c>
    </row>
    <row r="1871" spans="1:15" x14ac:dyDescent="0.25">
      <c r="A1871" s="79">
        <v>43053</v>
      </c>
      <c r="B1871" s="80" t="s">
        <v>5648</v>
      </c>
      <c r="C1871" s="80" t="s">
        <v>5652</v>
      </c>
      <c r="D1871" s="80" t="s">
        <v>3191</v>
      </c>
      <c r="E1871" s="81">
        <v>1895</v>
      </c>
      <c r="F1871" s="80" t="s">
        <v>4814</v>
      </c>
      <c r="G1871" s="81">
        <v>102.4</v>
      </c>
      <c r="H1871" s="81">
        <v>102.4</v>
      </c>
      <c r="I1871" s="80" t="s">
        <v>4800</v>
      </c>
      <c r="L1871" s="3">
        <f>VLOOKUP(C1871,Securities!A:D,4,FALSE)</f>
        <v>5</v>
      </c>
      <c r="M1871" s="3" t="str">
        <f>VLOOKUP(C1871,Securities!A:B,2,FALSE)</f>
        <v>RU000A0JWK66 Corp</v>
      </c>
      <c r="O1871" s="3">
        <f t="shared" si="30"/>
        <v>1895</v>
      </c>
    </row>
    <row r="1872" spans="1:15" x14ac:dyDescent="0.25">
      <c r="A1872" s="76">
        <v>43053</v>
      </c>
      <c r="B1872" s="77" t="s">
        <v>5648</v>
      </c>
      <c r="C1872" s="77" t="s">
        <v>5653</v>
      </c>
      <c r="D1872" s="77" t="s">
        <v>3212</v>
      </c>
      <c r="E1872" s="78">
        <v>824</v>
      </c>
      <c r="F1872" s="77" t="s">
        <v>4814</v>
      </c>
      <c r="G1872" s="78">
        <v>0</v>
      </c>
      <c r="H1872" s="78">
        <v>0</v>
      </c>
      <c r="I1872" s="77" t="s">
        <v>4800</v>
      </c>
      <c r="L1872" s="3">
        <f>VLOOKUP(C1872,Securities!A:D,4,FALSE)</f>
        <v>5</v>
      </c>
      <c r="M1872" s="3" t="str">
        <f>VLOOKUP(C1872,Securities!A:B,2,FALSE)</f>
        <v>RU000A0JT8N3 Corp</v>
      </c>
      <c r="O1872" s="3">
        <f t="shared" si="30"/>
        <v>824</v>
      </c>
    </row>
    <row r="1873" spans="1:15" x14ac:dyDescent="0.25">
      <c r="A1873" s="79">
        <v>43053</v>
      </c>
      <c r="B1873" s="80" t="s">
        <v>5648</v>
      </c>
      <c r="C1873" s="80" t="s">
        <v>5569</v>
      </c>
      <c r="D1873" s="80" t="s">
        <v>5570</v>
      </c>
      <c r="E1873" s="81">
        <v>14950</v>
      </c>
      <c r="F1873" s="80" t="s">
        <v>4825</v>
      </c>
      <c r="G1873" s="81">
        <v>0</v>
      </c>
      <c r="H1873" s="81">
        <v>0</v>
      </c>
      <c r="I1873" s="80" t="s">
        <v>4800</v>
      </c>
      <c r="L1873" s="3">
        <f>VLOOKUP(C1873,Securities!A:D,4,FALSE)</f>
        <v>1</v>
      </c>
      <c r="M1873" s="3" t="str">
        <f>VLOOKUP(C1873,Securities!A:B,2,FALSE)</f>
        <v>SGGD LI Equity</v>
      </c>
      <c r="O1873" s="3">
        <f t="shared" si="30"/>
        <v>14950</v>
      </c>
    </row>
    <row r="1874" spans="1:15" x14ac:dyDescent="0.25">
      <c r="A1874" s="76">
        <v>43053</v>
      </c>
      <c r="B1874" s="77" t="s">
        <v>5654</v>
      </c>
      <c r="C1874" s="77" t="s">
        <v>4805</v>
      </c>
      <c r="D1874" s="77" t="s">
        <v>31</v>
      </c>
      <c r="E1874" s="78">
        <v>125000</v>
      </c>
      <c r="F1874" s="77" t="s">
        <v>4806</v>
      </c>
      <c r="G1874" s="78">
        <v>174.85</v>
      </c>
      <c r="H1874" s="78">
        <v>174.85</v>
      </c>
      <c r="I1874" s="77" t="s">
        <v>4800</v>
      </c>
      <c r="L1874" s="3">
        <f>VLOOKUP(C1874,Securities!A:D,4,FALSE)</f>
        <v>5</v>
      </c>
      <c r="M1874" s="3" t="str">
        <f>VLOOKUP(C1874,Securities!A:B,2,FALSE)</f>
        <v>TT343269 Corp</v>
      </c>
      <c r="O1874" s="3">
        <f t="shared" si="30"/>
        <v>125000</v>
      </c>
    </row>
    <row r="1875" spans="1:15" x14ac:dyDescent="0.25">
      <c r="A1875" s="79">
        <v>43053</v>
      </c>
      <c r="B1875" s="80" t="s">
        <v>5654</v>
      </c>
      <c r="C1875" s="80" t="s">
        <v>5207</v>
      </c>
      <c r="D1875" s="80" t="s">
        <v>5208</v>
      </c>
      <c r="E1875" s="81">
        <v>1</v>
      </c>
      <c r="F1875" s="80" t="s">
        <v>4974</v>
      </c>
      <c r="G1875" s="81">
        <v>99</v>
      </c>
      <c r="H1875" s="81">
        <v>99</v>
      </c>
      <c r="I1875" s="80" t="s">
        <v>4800</v>
      </c>
      <c r="L1875" s="3">
        <f>VLOOKUP(C1875,Securities!A:D,4,FALSE)</f>
        <v>5</v>
      </c>
      <c r="M1875" s="3" t="str">
        <f>VLOOKUP(C1875,Securities!A:B,2,FALSE)</f>
        <v>RU000A0JXU14 Corp</v>
      </c>
      <c r="O1875" s="3">
        <f t="shared" si="30"/>
        <v>1</v>
      </c>
    </row>
    <row r="1876" spans="1:15" x14ac:dyDescent="0.25">
      <c r="A1876" s="76">
        <v>43053</v>
      </c>
      <c r="B1876" s="77" t="s">
        <v>5654</v>
      </c>
      <c r="C1876" s="77" t="s">
        <v>4882</v>
      </c>
      <c r="D1876" s="77" t="s">
        <v>4883</v>
      </c>
      <c r="E1876" s="78">
        <v>200000</v>
      </c>
      <c r="F1876" s="77" t="s">
        <v>4806</v>
      </c>
      <c r="G1876" s="78">
        <v>106.5</v>
      </c>
      <c r="H1876" s="78">
        <v>106.5</v>
      </c>
      <c r="I1876" s="77" t="s">
        <v>4800</v>
      </c>
      <c r="L1876" s="3">
        <f>VLOOKUP(C1876,Securities!A:D,4,FALSE)</f>
        <v>5</v>
      </c>
      <c r="M1876" s="3" t="str">
        <f>VLOOKUP(C1876,Securities!A:B,2,FALSE)</f>
        <v>XS1405775377 Corp</v>
      </c>
      <c r="O1876" s="3">
        <f t="shared" si="30"/>
        <v>200000</v>
      </c>
    </row>
    <row r="1877" spans="1:15" x14ac:dyDescent="0.25">
      <c r="A1877" s="79">
        <v>43053</v>
      </c>
      <c r="B1877" s="80" t="s">
        <v>5654</v>
      </c>
      <c r="C1877" s="80" t="s">
        <v>5310</v>
      </c>
      <c r="D1877" s="80" t="s">
        <v>5311</v>
      </c>
      <c r="E1877" s="81">
        <v>6329</v>
      </c>
      <c r="F1877" s="80" t="s">
        <v>4898</v>
      </c>
      <c r="G1877" s="81">
        <v>1354.1645209999999</v>
      </c>
      <c r="H1877" s="81">
        <v>23.674357000000001</v>
      </c>
      <c r="I1877" s="80" t="s">
        <v>4800</v>
      </c>
      <c r="L1877" s="3">
        <f>VLOOKUP(C1877,Securities!A:D,4,FALSE)</f>
        <v>1</v>
      </c>
      <c r="M1877" s="3" t="str">
        <f>VLOOKUP(C1877,Securities!A:B,2,FALSE)</f>
        <v>GDX US Equity</v>
      </c>
      <c r="O1877" s="3">
        <f t="shared" si="30"/>
        <v>6329</v>
      </c>
    </row>
    <row r="1878" spans="1:15" x14ac:dyDescent="0.25">
      <c r="A1878" s="76">
        <v>43053</v>
      </c>
      <c r="B1878" s="77" t="s">
        <v>5654</v>
      </c>
      <c r="C1878" s="77" t="s">
        <v>5043</v>
      </c>
      <c r="D1878" s="77" t="s">
        <v>5044</v>
      </c>
      <c r="E1878" s="78">
        <v>200000</v>
      </c>
      <c r="F1878" s="77" t="s">
        <v>4806</v>
      </c>
      <c r="G1878" s="78">
        <v>102</v>
      </c>
      <c r="H1878" s="78">
        <v>102</v>
      </c>
      <c r="I1878" s="77" t="s">
        <v>4800</v>
      </c>
      <c r="L1878" s="3">
        <f>VLOOKUP(C1878,Securities!A:D,4,FALSE)</f>
        <v>5</v>
      </c>
      <c r="M1878" s="3" t="str">
        <f>VLOOKUP(C1878,Securities!A:B,2,FALSE)</f>
        <v>XS0547082973 Corp</v>
      </c>
      <c r="O1878" s="3">
        <f t="shared" si="30"/>
        <v>200000</v>
      </c>
    </row>
    <row r="1879" spans="1:15" x14ac:dyDescent="0.25">
      <c r="A1879" s="79">
        <v>43053</v>
      </c>
      <c r="B1879" s="80" t="s">
        <v>5654</v>
      </c>
      <c r="C1879" s="80" t="s">
        <v>5655</v>
      </c>
      <c r="D1879" s="80" t="s">
        <v>5656</v>
      </c>
      <c r="E1879" s="81">
        <v>160000</v>
      </c>
      <c r="F1879" s="80" t="s">
        <v>4806</v>
      </c>
      <c r="G1879" s="81">
        <v>103.95</v>
      </c>
      <c r="H1879" s="81">
        <v>103.95</v>
      </c>
      <c r="I1879" s="80" t="s">
        <v>4800</v>
      </c>
      <c r="L1879" s="3">
        <f>VLOOKUP(C1879,Securities!A:D,4,FALSE)</f>
        <v>5</v>
      </c>
      <c r="M1879" s="3" t="str">
        <f>VLOOKUP(C1879,Securities!A:B,2,FALSE)</f>
        <v>USG24422AA83 Corp</v>
      </c>
      <c r="O1879" s="3">
        <f t="shared" si="30"/>
        <v>160000</v>
      </c>
    </row>
    <row r="1880" spans="1:15" x14ac:dyDescent="0.25">
      <c r="A1880" s="76">
        <v>43053</v>
      </c>
      <c r="B1880" s="77" t="s">
        <v>5654</v>
      </c>
      <c r="C1880" s="77" t="s">
        <v>4903</v>
      </c>
      <c r="D1880" s="77" t="s">
        <v>4904</v>
      </c>
      <c r="E1880" s="78">
        <v>200000</v>
      </c>
      <c r="F1880" s="77" t="s">
        <v>4806</v>
      </c>
      <c r="G1880" s="78">
        <v>105.625</v>
      </c>
      <c r="H1880" s="78">
        <v>105.625</v>
      </c>
      <c r="I1880" s="77" t="s">
        <v>4800</v>
      </c>
      <c r="L1880" s="3">
        <f>VLOOKUP(C1880,Securities!A:D,4,FALSE)</f>
        <v>5</v>
      </c>
      <c r="M1880" s="3" t="str">
        <f>VLOOKUP(C1880,Securities!A:B,2,FALSE)</f>
        <v>XS1319813769 Corp</v>
      </c>
      <c r="O1880" s="3">
        <f t="shared" si="30"/>
        <v>200000</v>
      </c>
    </row>
    <row r="1881" spans="1:15" x14ac:dyDescent="0.25">
      <c r="A1881" s="79">
        <v>43053</v>
      </c>
      <c r="B1881" s="80" t="s">
        <v>5654</v>
      </c>
      <c r="C1881" s="80" t="s">
        <v>5086</v>
      </c>
      <c r="D1881" s="80" t="s">
        <v>5087</v>
      </c>
      <c r="E1881" s="81">
        <v>200000</v>
      </c>
      <c r="F1881" s="80" t="s">
        <v>4806</v>
      </c>
      <c r="G1881" s="81">
        <v>108.5</v>
      </c>
      <c r="H1881" s="81">
        <v>108.5</v>
      </c>
      <c r="I1881" s="80" t="s">
        <v>4800</v>
      </c>
      <c r="L1881" s="3">
        <f>VLOOKUP(C1881,Securities!A:D,4,FALSE)</f>
        <v>5</v>
      </c>
      <c r="M1881" s="3" t="str">
        <f>VLOOKUP(C1881,Securities!A:B,2,FALSE)</f>
        <v>EJ951547 Corp</v>
      </c>
      <c r="O1881" s="3">
        <f t="shared" si="30"/>
        <v>200000</v>
      </c>
    </row>
    <row r="1882" spans="1:15" x14ac:dyDescent="0.25">
      <c r="A1882" s="76">
        <v>43053</v>
      </c>
      <c r="B1882" s="77" t="s">
        <v>5654</v>
      </c>
      <c r="C1882" s="77" t="s">
        <v>4863</v>
      </c>
      <c r="D1882" s="77" t="s">
        <v>4864</v>
      </c>
      <c r="E1882" s="78">
        <v>200000</v>
      </c>
      <c r="F1882" s="77" t="s">
        <v>4806</v>
      </c>
      <c r="G1882" s="78">
        <v>105.25</v>
      </c>
      <c r="H1882" s="78">
        <v>105.25</v>
      </c>
      <c r="I1882" s="77" t="s">
        <v>4800</v>
      </c>
      <c r="L1882" s="3">
        <f>VLOOKUP(C1882,Securities!A:D,4,FALSE)</f>
        <v>5</v>
      </c>
      <c r="M1882" s="3" t="str">
        <f>VLOOKUP(C1882,Securities!A:B,2,FALSE)</f>
        <v>USN54468AF52 Corp</v>
      </c>
      <c r="O1882" s="3">
        <f t="shared" si="30"/>
        <v>200000</v>
      </c>
    </row>
    <row r="1883" spans="1:15" x14ac:dyDescent="0.25">
      <c r="A1883" s="79">
        <v>43053</v>
      </c>
      <c r="B1883" s="80" t="s">
        <v>5654</v>
      </c>
      <c r="C1883" s="80" t="s">
        <v>4819</v>
      </c>
      <c r="D1883" s="80" t="s">
        <v>4820</v>
      </c>
      <c r="E1883" s="81">
        <v>200000</v>
      </c>
      <c r="F1883" s="80" t="s">
        <v>4806</v>
      </c>
      <c r="G1883" s="81">
        <v>103.375</v>
      </c>
      <c r="H1883" s="81">
        <v>103.375</v>
      </c>
      <c r="I1883" s="80" t="s">
        <v>4800</v>
      </c>
      <c r="L1883" s="3">
        <f>VLOOKUP(C1883,Securities!A:D,4,FALSE)</f>
        <v>5</v>
      </c>
      <c r="M1883" s="3" t="str">
        <f>VLOOKUP(C1883,Securities!A:B,2,FALSE)</f>
        <v>XS0776121062 Corp</v>
      </c>
      <c r="O1883" s="3">
        <f t="shared" si="30"/>
        <v>200000</v>
      </c>
    </row>
    <row r="1884" spans="1:15" x14ac:dyDescent="0.25">
      <c r="A1884" s="76">
        <v>43053</v>
      </c>
      <c r="B1884" s="77" t="s">
        <v>5654</v>
      </c>
      <c r="C1884" s="77" t="s">
        <v>5024</v>
      </c>
      <c r="D1884" s="77" t="s">
        <v>5025</v>
      </c>
      <c r="E1884" s="78">
        <v>200000</v>
      </c>
      <c r="F1884" s="77" t="s">
        <v>4806</v>
      </c>
      <c r="G1884" s="78">
        <v>99.25</v>
      </c>
      <c r="H1884" s="78">
        <v>99.25</v>
      </c>
      <c r="I1884" s="77" t="s">
        <v>4800</v>
      </c>
      <c r="L1884" s="3">
        <f>VLOOKUP(C1884,Securities!A:D,4,FALSE)</f>
        <v>5</v>
      </c>
      <c r="M1884" s="3" t="str">
        <f>VLOOKUP(C1884,Securities!A:B,2,FALSE)</f>
        <v>XS1405766384 Corp</v>
      </c>
      <c r="O1884" s="3">
        <f t="shared" si="30"/>
        <v>200000</v>
      </c>
    </row>
    <row r="1885" spans="1:15" x14ac:dyDescent="0.25">
      <c r="A1885" s="79">
        <v>43053</v>
      </c>
      <c r="B1885" s="80" t="s">
        <v>5654</v>
      </c>
      <c r="C1885" s="80" t="s">
        <v>4967</v>
      </c>
      <c r="D1885" s="80" t="s">
        <v>4968</v>
      </c>
      <c r="E1885" s="81">
        <v>200000</v>
      </c>
      <c r="F1885" s="80" t="s">
        <v>4806</v>
      </c>
      <c r="G1885" s="81">
        <v>114.5</v>
      </c>
      <c r="H1885" s="81">
        <v>114.5</v>
      </c>
      <c r="I1885" s="80" t="s">
        <v>4800</v>
      </c>
      <c r="L1885" s="3">
        <f>VLOOKUP(C1885,Securities!A:D,4,FALSE)</f>
        <v>5</v>
      </c>
      <c r="M1885" s="3" t="str">
        <f>VLOOKUP(C1885,Securities!A:B,2,FALSE)</f>
        <v>XS0979891925 Corp</v>
      </c>
      <c r="O1885" s="3">
        <f t="shared" si="30"/>
        <v>200000</v>
      </c>
    </row>
    <row r="1886" spans="1:15" x14ac:dyDescent="0.25">
      <c r="A1886" s="76">
        <v>43053</v>
      </c>
      <c r="B1886" s="77" t="s">
        <v>5654</v>
      </c>
      <c r="C1886" s="77" t="s">
        <v>4851</v>
      </c>
      <c r="D1886" s="77" t="s">
        <v>4744</v>
      </c>
      <c r="E1886" s="78">
        <v>200000</v>
      </c>
      <c r="F1886" s="77" t="s">
        <v>4806</v>
      </c>
      <c r="G1886" s="78">
        <v>102.625</v>
      </c>
      <c r="H1886" s="78">
        <v>102.625</v>
      </c>
      <c r="I1886" s="77" t="s">
        <v>4800</v>
      </c>
      <c r="L1886" s="3">
        <f>VLOOKUP(C1886,Securities!A:D,4,FALSE)</f>
        <v>5</v>
      </c>
      <c r="M1886" s="3" t="str">
        <f>VLOOKUP(C1886,Securities!A:B,2,FALSE)</f>
        <v>XS1032750165 Corp</v>
      </c>
      <c r="O1886" s="3">
        <f t="shared" si="30"/>
        <v>200000</v>
      </c>
    </row>
    <row r="1887" spans="1:15" x14ac:dyDescent="0.25">
      <c r="A1887" s="79">
        <v>43053</v>
      </c>
      <c r="B1887" s="80" t="s">
        <v>5654</v>
      </c>
      <c r="C1887" s="80" t="s">
        <v>5004</v>
      </c>
      <c r="D1887" s="80" t="s">
        <v>5005</v>
      </c>
      <c r="E1887" s="81">
        <v>200000</v>
      </c>
      <c r="F1887" s="80" t="s">
        <v>4806</v>
      </c>
      <c r="G1887" s="81">
        <v>104</v>
      </c>
      <c r="H1887" s="81">
        <v>104</v>
      </c>
      <c r="I1887" s="80" t="s">
        <v>4800</v>
      </c>
      <c r="L1887" s="3">
        <f>VLOOKUP(C1887,Securities!A:D,4,FALSE)</f>
        <v>5</v>
      </c>
      <c r="M1887" s="3" t="str">
        <f>VLOOKUP(C1887,Securities!A:B,2,FALSE)</f>
        <v>XS1433454243 Corp</v>
      </c>
      <c r="O1887" s="3">
        <f t="shared" si="30"/>
        <v>200000</v>
      </c>
    </row>
    <row r="1888" spans="1:15" x14ac:dyDescent="0.25">
      <c r="A1888" s="76">
        <v>43053</v>
      </c>
      <c r="B1888" s="77" t="s">
        <v>5654</v>
      </c>
      <c r="C1888" s="77" t="s">
        <v>4986</v>
      </c>
      <c r="D1888" s="77" t="s">
        <v>4987</v>
      </c>
      <c r="E1888" s="78">
        <v>200000</v>
      </c>
      <c r="F1888" s="77" t="s">
        <v>4806</v>
      </c>
      <c r="G1888" s="78">
        <v>103.3</v>
      </c>
      <c r="H1888" s="78">
        <v>103.3</v>
      </c>
      <c r="I1888" s="77" t="s">
        <v>4800</v>
      </c>
      <c r="L1888" s="3">
        <f>VLOOKUP(C1888,Securities!A:D,4,FALSE)</f>
        <v>5</v>
      </c>
      <c r="M1888" s="3" t="str">
        <f>VLOOKUP(C1888,Securities!A:B,2,FALSE)</f>
        <v>USG9328DAM23 Corp</v>
      </c>
      <c r="O1888" s="3">
        <f t="shared" si="30"/>
        <v>200000</v>
      </c>
    </row>
    <row r="1889" spans="1:15" x14ac:dyDescent="0.25">
      <c r="A1889" s="79">
        <v>43053</v>
      </c>
      <c r="B1889" s="80" t="s">
        <v>5654</v>
      </c>
      <c r="C1889" s="80" t="s">
        <v>5006</v>
      </c>
      <c r="D1889" s="80" t="s">
        <v>5007</v>
      </c>
      <c r="E1889" s="81">
        <v>200000</v>
      </c>
      <c r="F1889" s="80" t="s">
        <v>4806</v>
      </c>
      <c r="G1889" s="81">
        <v>112</v>
      </c>
      <c r="H1889" s="81">
        <v>112</v>
      </c>
      <c r="I1889" s="80" t="s">
        <v>4800</v>
      </c>
      <c r="L1889" s="3">
        <f>VLOOKUP(C1889,Securities!A:D,4,FALSE)</f>
        <v>5</v>
      </c>
      <c r="M1889" s="3" t="str">
        <f>VLOOKUP(C1889,Securities!A:B,2,FALSE)</f>
        <v>XS1400710726 Corp</v>
      </c>
      <c r="O1889" s="3">
        <f t="shared" si="30"/>
        <v>200000</v>
      </c>
    </row>
    <row r="1890" spans="1:15" x14ac:dyDescent="0.25">
      <c r="A1890" s="76">
        <v>43053</v>
      </c>
      <c r="B1890" s="77" t="s">
        <v>5654</v>
      </c>
      <c r="C1890" s="77" t="s">
        <v>5028</v>
      </c>
      <c r="D1890" s="77" t="s">
        <v>5029</v>
      </c>
      <c r="E1890" s="78">
        <v>200000</v>
      </c>
      <c r="F1890" s="77" t="s">
        <v>4806</v>
      </c>
      <c r="G1890" s="78">
        <v>107.9</v>
      </c>
      <c r="H1890" s="78">
        <v>107.9</v>
      </c>
      <c r="I1890" s="77" t="s">
        <v>4800</v>
      </c>
      <c r="L1890" s="3">
        <f>VLOOKUP(C1890,Securities!A:D,4,FALSE)</f>
        <v>5</v>
      </c>
      <c r="M1890" s="3" t="str">
        <f>VLOOKUP(C1890,Securities!A:B,2,FALSE)</f>
        <v>EJ394063 Corp</v>
      </c>
      <c r="O1890" s="3">
        <f t="shared" si="30"/>
        <v>200000</v>
      </c>
    </row>
    <row r="1891" spans="1:15" x14ac:dyDescent="0.25">
      <c r="A1891" s="79">
        <v>43053</v>
      </c>
      <c r="B1891" s="80" t="s">
        <v>5657</v>
      </c>
      <c r="C1891" s="80" t="s">
        <v>4973</v>
      </c>
      <c r="D1891" s="80" t="s">
        <v>23</v>
      </c>
      <c r="E1891" s="81">
        <v>10000</v>
      </c>
      <c r="F1891" s="80" t="s">
        <v>4974</v>
      </c>
      <c r="G1891" s="81">
        <v>101.41500000000001</v>
      </c>
      <c r="H1891" s="81">
        <v>101.41500000000001</v>
      </c>
      <c r="I1891" s="80" t="s">
        <v>4800</v>
      </c>
      <c r="L1891" s="3">
        <f>VLOOKUP(C1891,Securities!A:D,4,FALSE)</f>
        <v>5</v>
      </c>
      <c r="M1891" s="3" t="str">
        <f>VLOOKUP(C1891,Securities!A:B,2,FALSE)</f>
        <v>RU000A0JV7K7 Corp</v>
      </c>
      <c r="O1891" s="3">
        <f t="shared" si="30"/>
        <v>10000</v>
      </c>
    </row>
    <row r="1892" spans="1:15" x14ac:dyDescent="0.25">
      <c r="A1892" s="76">
        <v>43053</v>
      </c>
      <c r="B1892" s="77" t="s">
        <v>5657</v>
      </c>
      <c r="C1892" s="77" t="s">
        <v>4975</v>
      </c>
      <c r="D1892" s="77" t="s">
        <v>939</v>
      </c>
      <c r="E1892" s="78">
        <v>10000</v>
      </c>
      <c r="F1892" s="77" t="s">
        <v>4974</v>
      </c>
      <c r="G1892" s="78">
        <v>102.84</v>
      </c>
      <c r="H1892" s="78">
        <v>102.84</v>
      </c>
      <c r="I1892" s="77" t="s">
        <v>4800</v>
      </c>
      <c r="L1892" s="3">
        <f>VLOOKUP(C1892,Securities!A:D,4,FALSE)</f>
        <v>5</v>
      </c>
      <c r="M1892" s="3" t="str">
        <f>VLOOKUP(C1892,Securities!A:B,2,FALSE)</f>
        <v>RU000A0JX0J2 Corp</v>
      </c>
      <c r="O1892" s="3">
        <f t="shared" si="30"/>
        <v>10000</v>
      </c>
    </row>
    <row r="1893" spans="1:15" x14ac:dyDescent="0.25">
      <c r="A1893" s="79">
        <v>43053</v>
      </c>
      <c r="B1893" s="80" t="s">
        <v>5657</v>
      </c>
      <c r="C1893" s="80" t="s">
        <v>5192</v>
      </c>
      <c r="D1893" s="80" t="s">
        <v>25</v>
      </c>
      <c r="E1893" s="81">
        <v>4828</v>
      </c>
      <c r="F1893" s="80" t="s">
        <v>4974</v>
      </c>
      <c r="G1893" s="81">
        <v>97.95</v>
      </c>
      <c r="H1893" s="81">
        <v>97.95</v>
      </c>
      <c r="I1893" s="80" t="s">
        <v>4800</v>
      </c>
      <c r="L1893" s="3">
        <f>VLOOKUP(C1893,Securities!A:D,4,FALSE)</f>
        <v>5</v>
      </c>
      <c r="M1893" s="3" t="str">
        <f>VLOOKUP(C1893,Securities!A:B,2,FALSE)</f>
        <v>EJ545131 Corp</v>
      </c>
      <c r="O1893" s="3">
        <f t="shared" si="30"/>
        <v>4828</v>
      </c>
    </row>
    <row r="1894" spans="1:15" x14ac:dyDescent="0.25">
      <c r="A1894" s="76">
        <v>43053</v>
      </c>
      <c r="B1894" s="77" t="s">
        <v>5657</v>
      </c>
      <c r="C1894" s="77" t="s">
        <v>5331</v>
      </c>
      <c r="D1894" s="77" t="s">
        <v>960</v>
      </c>
      <c r="E1894" s="78">
        <v>10000</v>
      </c>
      <c r="F1894" s="77" t="s">
        <v>4974</v>
      </c>
      <c r="G1894" s="78">
        <v>97.8</v>
      </c>
      <c r="H1894" s="78">
        <v>97.8</v>
      </c>
      <c r="I1894" s="77" t="s">
        <v>4800</v>
      </c>
      <c r="L1894" s="3">
        <f>VLOOKUP(C1894,Securities!A:D,4,FALSE)</f>
        <v>5</v>
      </c>
      <c r="M1894" s="3" t="str">
        <f>VLOOKUP(C1894,Securities!A:B,2,FALSE)</f>
        <v>RU000A0JTYA5 Corp</v>
      </c>
      <c r="O1894" s="3">
        <f t="shared" si="30"/>
        <v>10000</v>
      </c>
    </row>
    <row r="1895" spans="1:15" x14ac:dyDescent="0.25">
      <c r="A1895" s="79">
        <v>43053</v>
      </c>
      <c r="B1895" s="80" t="s">
        <v>5657</v>
      </c>
      <c r="C1895" s="80" t="s">
        <v>5195</v>
      </c>
      <c r="D1895" s="80" t="s">
        <v>964</v>
      </c>
      <c r="E1895" s="81">
        <v>8250</v>
      </c>
      <c r="F1895" s="80" t="s">
        <v>4974</v>
      </c>
      <c r="G1895" s="81">
        <v>98.349934000000005</v>
      </c>
      <c r="H1895" s="81">
        <v>98.349934000000005</v>
      </c>
      <c r="I1895" s="80" t="s">
        <v>4800</v>
      </c>
      <c r="L1895" s="3">
        <f>VLOOKUP(C1895,Securities!A:D,4,FALSE)</f>
        <v>5</v>
      </c>
      <c r="M1895" s="3" t="str">
        <f>VLOOKUP(C1895,Securities!A:B,2,FALSE)</f>
        <v>RU000A0JU9V1 Corp</v>
      </c>
      <c r="O1895" s="3">
        <f t="shared" si="30"/>
        <v>8250</v>
      </c>
    </row>
    <row r="1896" spans="1:15" x14ac:dyDescent="0.25">
      <c r="A1896" s="76">
        <v>43053</v>
      </c>
      <c r="B1896" s="77" t="s">
        <v>5657</v>
      </c>
      <c r="C1896" s="77" t="s">
        <v>5011</v>
      </c>
      <c r="D1896" s="77" t="s">
        <v>24</v>
      </c>
      <c r="E1896" s="78">
        <v>8250</v>
      </c>
      <c r="F1896" s="77" t="s">
        <v>4974</v>
      </c>
      <c r="G1896" s="78">
        <v>104.57599999999999</v>
      </c>
      <c r="H1896" s="78">
        <v>104.57599999999999</v>
      </c>
      <c r="I1896" s="77" t="s">
        <v>4800</v>
      </c>
      <c r="L1896" s="3">
        <f>VLOOKUP(C1896,Securities!A:D,4,FALSE)</f>
        <v>5</v>
      </c>
      <c r="M1896" s="3" t="str">
        <f>VLOOKUP(C1896,Securities!A:B,2,FALSE)</f>
        <v>RU000A0JV7J9 Corp</v>
      </c>
      <c r="O1896" s="3">
        <f t="shared" si="30"/>
        <v>8250</v>
      </c>
    </row>
    <row r="1897" spans="1:15" x14ac:dyDescent="0.25">
      <c r="A1897" s="79">
        <v>43053</v>
      </c>
      <c r="B1897" s="80" t="s">
        <v>5657</v>
      </c>
      <c r="C1897" s="80" t="s">
        <v>5198</v>
      </c>
      <c r="D1897" s="80" t="s">
        <v>27</v>
      </c>
      <c r="E1897" s="81">
        <v>8250</v>
      </c>
      <c r="F1897" s="80" t="s">
        <v>4814</v>
      </c>
      <c r="G1897" s="81">
        <v>102.82</v>
      </c>
      <c r="H1897" s="81">
        <v>102.82</v>
      </c>
      <c r="I1897" s="80" t="s">
        <v>4800</v>
      </c>
      <c r="L1897" s="3">
        <f>VLOOKUP(C1897,Securities!A:D,4,FALSE)</f>
        <v>5</v>
      </c>
      <c r="M1897" s="3" t="str">
        <f>VLOOKUP(C1897,Securities!A:B,2,FALSE)</f>
        <v>RU000A0JX5W4 Corp</v>
      </c>
      <c r="O1897" s="3">
        <f t="shared" si="30"/>
        <v>8250</v>
      </c>
    </row>
    <row r="1898" spans="1:15" x14ac:dyDescent="0.25">
      <c r="A1898" s="76">
        <v>43053</v>
      </c>
      <c r="B1898" s="77" t="s">
        <v>5657</v>
      </c>
      <c r="C1898" s="77" t="s">
        <v>5077</v>
      </c>
      <c r="D1898" s="77" t="s">
        <v>2054</v>
      </c>
      <c r="E1898" s="78">
        <v>3772</v>
      </c>
      <c r="F1898" s="77" t="s">
        <v>4814</v>
      </c>
      <c r="G1898" s="78">
        <v>110.695148</v>
      </c>
      <c r="H1898" s="78">
        <v>110.695148</v>
      </c>
      <c r="I1898" s="77" t="s">
        <v>4800</v>
      </c>
      <c r="L1898" s="3">
        <f>VLOOKUP(C1898,Securities!A:D,4,FALSE)</f>
        <v>5</v>
      </c>
      <c r="M1898" s="3" t="str">
        <f>VLOOKUP(C1898,Securities!A:B,2,FALSE)</f>
        <v>JK549945 Corp</v>
      </c>
      <c r="O1898" s="3">
        <f t="shared" si="30"/>
        <v>3772</v>
      </c>
    </row>
    <row r="1899" spans="1:15" x14ac:dyDescent="0.25">
      <c r="A1899" s="79">
        <v>43053</v>
      </c>
      <c r="B1899" s="80" t="s">
        <v>5657</v>
      </c>
      <c r="C1899" s="80" t="s">
        <v>4899</v>
      </c>
      <c r="D1899" s="80" t="s">
        <v>4900</v>
      </c>
      <c r="E1899" s="81">
        <v>17280</v>
      </c>
      <c r="F1899" s="80" t="s">
        <v>4799</v>
      </c>
      <c r="G1899" s="81">
        <v>203.07475500000001</v>
      </c>
      <c r="H1899" s="81">
        <v>3.3959549999999998</v>
      </c>
      <c r="I1899" s="80" t="s">
        <v>4800</v>
      </c>
      <c r="L1899" s="3">
        <f>VLOOKUP(C1899,Securities!A:D,4,FALSE)</f>
        <v>1</v>
      </c>
      <c r="M1899" s="3" t="str">
        <f>VLOOKUP(C1899,Securities!A:B,2,FALSE)</f>
        <v>EVR LN Equity</v>
      </c>
      <c r="O1899" s="3">
        <f t="shared" si="30"/>
        <v>17280</v>
      </c>
    </row>
    <row r="1900" spans="1:15" x14ac:dyDescent="0.25">
      <c r="A1900" s="76">
        <v>43053</v>
      </c>
      <c r="B1900" s="77" t="s">
        <v>5657</v>
      </c>
      <c r="C1900" s="77" t="s">
        <v>5082</v>
      </c>
      <c r="D1900" s="77" t="s">
        <v>1880</v>
      </c>
      <c r="E1900" s="78">
        <v>5000</v>
      </c>
      <c r="F1900" s="77" t="s">
        <v>4814</v>
      </c>
      <c r="G1900" s="78">
        <v>101.518856</v>
      </c>
      <c r="H1900" s="78">
        <v>101.518856</v>
      </c>
      <c r="I1900" s="77" t="s">
        <v>4800</v>
      </c>
      <c r="L1900" s="3">
        <f>VLOOKUP(C1900,Securities!A:D,4,FALSE)</f>
        <v>5</v>
      </c>
      <c r="M1900" s="3" t="str">
        <f>VLOOKUP(C1900,Securities!A:B,2,FALSE)</f>
        <v>JK551531 Corp</v>
      </c>
      <c r="O1900" s="3">
        <f t="shared" si="30"/>
        <v>5000</v>
      </c>
    </row>
    <row r="1901" spans="1:15" x14ac:dyDescent="0.25">
      <c r="A1901" s="79">
        <v>43053</v>
      </c>
      <c r="B1901" s="80" t="s">
        <v>5657</v>
      </c>
      <c r="C1901" s="80" t="s">
        <v>5505</v>
      </c>
      <c r="D1901" s="80" t="s">
        <v>5506</v>
      </c>
      <c r="E1901" s="81">
        <v>8250</v>
      </c>
      <c r="F1901" s="80" t="s">
        <v>4814</v>
      </c>
      <c r="G1901" s="81">
        <v>100.5</v>
      </c>
      <c r="H1901" s="81">
        <v>100.5</v>
      </c>
      <c r="I1901" s="80" t="s">
        <v>4800</v>
      </c>
      <c r="L1901" s="3">
        <f>VLOOKUP(C1901,Securities!A:D,4,FALSE)</f>
        <v>5</v>
      </c>
      <c r="M1901" s="3" t="str">
        <f>VLOOKUP(C1901,Securities!A:B,2,FALSE)</f>
        <v>RU000A0JXTF6 Corp</v>
      </c>
      <c r="O1901" s="3">
        <f t="shared" si="30"/>
        <v>8250</v>
      </c>
    </row>
    <row r="1902" spans="1:15" x14ac:dyDescent="0.25">
      <c r="A1902" s="76">
        <v>43053</v>
      </c>
      <c r="B1902" s="77" t="s">
        <v>5657</v>
      </c>
      <c r="C1902" s="77" t="s">
        <v>4847</v>
      </c>
      <c r="D1902" s="77" t="s">
        <v>369</v>
      </c>
      <c r="E1902" s="78">
        <v>1222</v>
      </c>
      <c r="F1902" s="77" t="s">
        <v>4810</v>
      </c>
      <c r="G1902" s="78">
        <v>2859.48486</v>
      </c>
      <c r="H1902" s="78">
        <v>47.818272</v>
      </c>
      <c r="I1902" s="77" t="s">
        <v>4800</v>
      </c>
      <c r="L1902" s="3">
        <f>VLOOKUP(C1902,Securities!A:D,4,FALSE)</f>
        <v>1</v>
      </c>
      <c r="M1902" s="3" t="str">
        <f>VLOOKUP(C1902,Securities!A:B,2,FALSE)</f>
        <v>LKOH RX Equity</v>
      </c>
      <c r="O1902" s="3">
        <f t="shared" si="30"/>
        <v>1222</v>
      </c>
    </row>
    <row r="1903" spans="1:15" x14ac:dyDescent="0.25">
      <c r="A1903" s="79">
        <v>43053</v>
      </c>
      <c r="B1903" s="80" t="s">
        <v>5657</v>
      </c>
      <c r="C1903" s="80" t="s">
        <v>4911</v>
      </c>
      <c r="D1903" s="80" t="s">
        <v>405</v>
      </c>
      <c r="E1903" s="81">
        <v>95500</v>
      </c>
      <c r="F1903" s="80" t="s">
        <v>4810</v>
      </c>
      <c r="G1903" s="81">
        <v>36.56</v>
      </c>
      <c r="H1903" s="81">
        <v>0.61138099999999995</v>
      </c>
      <c r="I1903" s="80" t="s">
        <v>4800</v>
      </c>
      <c r="L1903" s="3">
        <f>VLOOKUP(C1903,Securities!A:D,4,FALSE)</f>
        <v>1</v>
      </c>
      <c r="M1903" s="3" t="str">
        <f>VLOOKUP(C1903,Securities!A:B,2,FALSE)</f>
        <v>MAGN RX Equity</v>
      </c>
      <c r="O1903" s="3">
        <f t="shared" si="30"/>
        <v>95500</v>
      </c>
    </row>
    <row r="1904" spans="1:15" x14ac:dyDescent="0.25">
      <c r="A1904" s="76">
        <v>43053</v>
      </c>
      <c r="B1904" s="77" t="s">
        <v>5657</v>
      </c>
      <c r="C1904" s="77" t="s">
        <v>5658</v>
      </c>
      <c r="D1904" s="77" t="s">
        <v>2720</v>
      </c>
      <c r="E1904" s="78">
        <v>8250</v>
      </c>
      <c r="F1904" s="77" t="s">
        <v>4814</v>
      </c>
      <c r="G1904" s="78">
        <v>102.5</v>
      </c>
      <c r="H1904" s="78">
        <v>102.5</v>
      </c>
      <c r="I1904" s="77" t="s">
        <v>4800</v>
      </c>
      <c r="L1904" s="3">
        <f>VLOOKUP(C1904,Securities!A:D,4,FALSE)</f>
        <v>5</v>
      </c>
      <c r="M1904" s="3" t="str">
        <f>VLOOKUP(C1904,Securities!A:B,2,FALSE)</f>
        <v>RU000A0JXJS0 Corp</v>
      </c>
      <c r="O1904" s="3">
        <f t="shared" si="30"/>
        <v>8250</v>
      </c>
    </row>
    <row r="1905" spans="1:15" x14ac:dyDescent="0.25">
      <c r="A1905" s="79">
        <v>43053</v>
      </c>
      <c r="B1905" s="80" t="s">
        <v>5657</v>
      </c>
      <c r="C1905" s="80" t="s">
        <v>5512</v>
      </c>
      <c r="D1905" s="80" t="s">
        <v>500</v>
      </c>
      <c r="E1905" s="81">
        <v>26820</v>
      </c>
      <c r="F1905" s="80" t="s">
        <v>4810</v>
      </c>
      <c r="G1905" s="81">
        <v>130.23536100000001</v>
      </c>
      <c r="H1905" s="81">
        <v>2.1778849999999998</v>
      </c>
      <c r="I1905" s="80" t="s">
        <v>4800</v>
      </c>
      <c r="L1905" s="3">
        <f>VLOOKUP(C1905,Securities!A:D,4,FALSE)</f>
        <v>1</v>
      </c>
      <c r="M1905" s="3" t="str">
        <f>VLOOKUP(C1905,Securities!A:B,2,FALSE)</f>
        <v>NLMK RX Equity</v>
      </c>
      <c r="O1905" s="3">
        <f t="shared" si="30"/>
        <v>26820</v>
      </c>
    </row>
    <row r="1906" spans="1:15" x14ac:dyDescent="0.25">
      <c r="A1906" s="76">
        <v>43053</v>
      </c>
      <c r="B1906" s="77" t="s">
        <v>5657</v>
      </c>
      <c r="C1906" s="77" t="s">
        <v>4848</v>
      </c>
      <c r="D1906" s="77" t="s">
        <v>511</v>
      </c>
      <c r="E1906" s="78">
        <v>5850</v>
      </c>
      <c r="F1906" s="77" t="s">
        <v>4810</v>
      </c>
      <c r="G1906" s="78">
        <v>597.701367</v>
      </c>
      <c r="H1906" s="78">
        <v>9.9951729999999994</v>
      </c>
      <c r="I1906" s="77" t="s">
        <v>4800</v>
      </c>
      <c r="L1906" s="3">
        <f>VLOOKUP(C1906,Securities!A:D,4,FALSE)</f>
        <v>1</v>
      </c>
      <c r="M1906" s="3" t="str">
        <f>VLOOKUP(C1906,Securities!A:B,2,FALSE)</f>
        <v>NVTK RX Equity</v>
      </c>
      <c r="O1906" s="3">
        <f t="shared" si="30"/>
        <v>5850</v>
      </c>
    </row>
    <row r="1907" spans="1:15" x14ac:dyDescent="0.25">
      <c r="A1907" s="79">
        <v>43053</v>
      </c>
      <c r="B1907" s="80" t="s">
        <v>5657</v>
      </c>
      <c r="C1907" s="80" t="s">
        <v>4982</v>
      </c>
      <c r="D1907" s="80" t="s">
        <v>4983</v>
      </c>
      <c r="E1907" s="81">
        <v>8250</v>
      </c>
      <c r="F1907" s="80" t="s">
        <v>4814</v>
      </c>
      <c r="G1907" s="81">
        <v>100.649997</v>
      </c>
      <c r="H1907" s="81">
        <v>100.649997</v>
      </c>
      <c r="I1907" s="80" t="s">
        <v>4800</v>
      </c>
      <c r="L1907" s="3">
        <f>VLOOKUP(C1907,Securities!A:D,4,FALSE)</f>
        <v>5</v>
      </c>
      <c r="M1907" s="3" t="str">
        <f>VLOOKUP(C1907,Securities!A:B,2,FALSE)</f>
        <v>RU000A0JXVY3 Corp</v>
      </c>
      <c r="O1907" s="3">
        <f t="shared" si="30"/>
        <v>8250</v>
      </c>
    </row>
    <row r="1908" spans="1:15" x14ac:dyDescent="0.25">
      <c r="A1908" s="76">
        <v>43053</v>
      </c>
      <c r="B1908" s="77" t="s">
        <v>5657</v>
      </c>
      <c r="C1908" s="77" t="s">
        <v>5128</v>
      </c>
      <c r="D1908" s="77" t="s">
        <v>4683</v>
      </c>
      <c r="E1908" s="78">
        <v>8250</v>
      </c>
      <c r="F1908" s="77" t="s">
        <v>4814</v>
      </c>
      <c r="G1908" s="78">
        <v>101.35</v>
      </c>
      <c r="H1908" s="78">
        <v>101.35</v>
      </c>
      <c r="I1908" s="77" t="s">
        <v>4800</v>
      </c>
      <c r="L1908" s="3">
        <f>VLOOKUP(C1908,Securities!A:D,4,FALSE)</f>
        <v>5</v>
      </c>
      <c r="M1908" s="3" t="str">
        <f>VLOOKUP(C1908,Securities!A:B,2,FALSE)</f>
        <v>RU000A0JXQ93 Corp</v>
      </c>
      <c r="O1908" s="3">
        <f t="shared" si="30"/>
        <v>8250</v>
      </c>
    </row>
    <row r="1909" spans="1:15" x14ac:dyDescent="0.25">
      <c r="A1909" s="79">
        <v>43053</v>
      </c>
      <c r="B1909" s="80" t="s">
        <v>5657</v>
      </c>
      <c r="C1909" s="80" t="s">
        <v>4892</v>
      </c>
      <c r="D1909" s="80" t="s">
        <v>568</v>
      </c>
      <c r="E1909" s="81">
        <v>810</v>
      </c>
      <c r="F1909" s="80" t="s">
        <v>4810</v>
      </c>
      <c r="G1909" s="81">
        <v>4316.818518</v>
      </c>
      <c r="H1909" s="81">
        <v>72.188806999999997</v>
      </c>
      <c r="I1909" s="80" t="s">
        <v>4800</v>
      </c>
      <c r="L1909" s="3">
        <f>VLOOKUP(C1909,Securities!A:D,4,FALSE)</f>
        <v>1</v>
      </c>
      <c r="M1909" s="3" t="str">
        <f>VLOOKUP(C1909,Securities!A:B,2,FALSE)</f>
        <v>PLZL RX Equity</v>
      </c>
      <c r="O1909" s="3">
        <f t="shared" si="30"/>
        <v>810</v>
      </c>
    </row>
    <row r="1910" spans="1:15" x14ac:dyDescent="0.25">
      <c r="A1910" s="76">
        <v>43053</v>
      </c>
      <c r="B1910" s="77" t="s">
        <v>5657</v>
      </c>
      <c r="C1910" s="77" t="s">
        <v>5443</v>
      </c>
      <c r="D1910" s="77" t="s">
        <v>5444</v>
      </c>
      <c r="E1910" s="78">
        <v>8250</v>
      </c>
      <c r="F1910" s="77" t="s">
        <v>4814</v>
      </c>
      <c r="G1910" s="78">
        <v>100.75</v>
      </c>
      <c r="H1910" s="78">
        <v>100.75</v>
      </c>
      <c r="I1910" s="77" t="s">
        <v>4800</v>
      </c>
      <c r="L1910" s="3">
        <f>VLOOKUP(C1910,Securities!A:D,4,FALSE)</f>
        <v>5</v>
      </c>
      <c r="M1910" s="3" t="str">
        <f>VLOOKUP(C1910,Securities!A:B,2,FALSE)</f>
        <v>RU000A0JXQK2 Corp</v>
      </c>
      <c r="O1910" s="3">
        <f t="shared" si="30"/>
        <v>8250</v>
      </c>
    </row>
    <row r="1911" spans="1:15" x14ac:dyDescent="0.25">
      <c r="A1911" s="79">
        <v>43053</v>
      </c>
      <c r="B1911" s="80" t="s">
        <v>5657</v>
      </c>
      <c r="C1911" s="80" t="s">
        <v>5602</v>
      </c>
      <c r="D1911" s="80" t="s">
        <v>3512</v>
      </c>
      <c r="E1911" s="81">
        <v>5000</v>
      </c>
      <c r="F1911" s="80" t="s">
        <v>4814</v>
      </c>
      <c r="G1911" s="81">
        <v>101.8</v>
      </c>
      <c r="H1911" s="81">
        <v>101.8</v>
      </c>
      <c r="I1911" s="80" t="s">
        <v>4800</v>
      </c>
      <c r="L1911" s="3">
        <f>VLOOKUP(C1911,Securities!A:D,4,FALSE)</f>
        <v>5</v>
      </c>
      <c r="M1911" s="3" t="str">
        <f>VLOOKUP(C1911,Securities!A:B,2,FALSE)</f>
        <v>RU000A0JS6N8 Corp</v>
      </c>
      <c r="O1911" s="3">
        <f t="shared" si="30"/>
        <v>5000</v>
      </c>
    </row>
    <row r="1912" spans="1:15" x14ac:dyDescent="0.25">
      <c r="A1912" s="76">
        <v>43053</v>
      </c>
      <c r="B1912" s="77" t="s">
        <v>5657</v>
      </c>
      <c r="C1912" s="77" t="s">
        <v>5129</v>
      </c>
      <c r="D1912" s="77" t="s">
        <v>4646</v>
      </c>
      <c r="E1912" s="78">
        <v>8250</v>
      </c>
      <c r="F1912" s="77" t="s">
        <v>4814</v>
      </c>
      <c r="G1912" s="78">
        <v>102.9</v>
      </c>
      <c r="H1912" s="78">
        <v>102.9</v>
      </c>
      <c r="I1912" s="77" t="s">
        <v>4800</v>
      </c>
      <c r="L1912" s="3">
        <f>VLOOKUP(C1912,Securities!A:D,4,FALSE)</f>
        <v>5</v>
      </c>
      <c r="M1912" s="3" t="str">
        <f>VLOOKUP(C1912,Securities!A:B,2,FALSE)</f>
        <v>RU000A0JXMQ8 Corp</v>
      </c>
      <c r="O1912" s="3">
        <f t="shared" si="30"/>
        <v>8250</v>
      </c>
    </row>
    <row r="1913" spans="1:15" x14ac:dyDescent="0.25">
      <c r="A1913" s="79">
        <v>43053</v>
      </c>
      <c r="B1913" s="80" t="s">
        <v>5657</v>
      </c>
      <c r="C1913" s="80" t="s">
        <v>5659</v>
      </c>
      <c r="D1913" s="80" t="s">
        <v>5660</v>
      </c>
      <c r="E1913" s="81">
        <v>8250</v>
      </c>
      <c r="F1913" s="80" t="s">
        <v>4814</v>
      </c>
      <c r="G1913" s="81">
        <v>101.6</v>
      </c>
      <c r="H1913" s="81">
        <v>101.6</v>
      </c>
      <c r="I1913" s="80" t="s">
        <v>4800</v>
      </c>
      <c r="L1913" s="3">
        <f>VLOOKUP(C1913,Securities!A:D,4,FALSE)</f>
        <v>5</v>
      </c>
      <c r="M1913" s="3" t="str">
        <f>VLOOKUP(C1913,Securities!A:B,2,FALSE)</f>
        <v>RU000A0JXQ44 Corp</v>
      </c>
      <c r="O1913" s="3">
        <f t="shared" si="30"/>
        <v>8250</v>
      </c>
    </row>
    <row r="1914" spans="1:15" x14ac:dyDescent="0.25">
      <c r="A1914" s="76">
        <v>43053</v>
      </c>
      <c r="B1914" s="77" t="s">
        <v>5657</v>
      </c>
      <c r="C1914" s="77" t="s">
        <v>5159</v>
      </c>
      <c r="D1914" s="77" t="s">
        <v>673</v>
      </c>
      <c r="E1914" s="78">
        <v>20400</v>
      </c>
      <c r="F1914" s="77" t="s">
        <v>4810</v>
      </c>
      <c r="G1914" s="78">
        <v>171.49958799999999</v>
      </c>
      <c r="H1914" s="78">
        <v>2.867934</v>
      </c>
      <c r="I1914" s="77" t="s">
        <v>4800</v>
      </c>
      <c r="L1914" s="3">
        <f>VLOOKUP(C1914,Securities!A:D,4,FALSE)</f>
        <v>1</v>
      </c>
      <c r="M1914" s="3" t="str">
        <f>VLOOKUP(C1914,Securities!A:B,2,FALSE)</f>
        <v>SBER RX Equity</v>
      </c>
      <c r="O1914" s="3">
        <f t="shared" si="30"/>
        <v>20400</v>
      </c>
    </row>
    <row r="1915" spans="1:15" x14ac:dyDescent="0.25">
      <c r="A1915" s="79">
        <v>43053</v>
      </c>
      <c r="B1915" s="80" t="s">
        <v>5657</v>
      </c>
      <c r="C1915" s="80" t="s">
        <v>5603</v>
      </c>
      <c r="D1915" s="80" t="s">
        <v>3959</v>
      </c>
      <c r="E1915" s="81">
        <v>5000</v>
      </c>
      <c r="F1915" s="80" t="s">
        <v>4814</v>
      </c>
      <c r="G1915" s="81">
        <v>102.66</v>
      </c>
      <c r="H1915" s="81">
        <v>102.66</v>
      </c>
      <c r="I1915" s="80" t="s">
        <v>4800</v>
      </c>
      <c r="L1915" s="3">
        <f>VLOOKUP(C1915,Securities!A:D,4,FALSE)</f>
        <v>5</v>
      </c>
      <c r="M1915" s="3" t="str">
        <f>VLOOKUP(C1915,Securities!A:B,2,FALSE)</f>
        <v>RU000A0JRKD2 Corp</v>
      </c>
      <c r="O1915" s="3">
        <f t="shared" si="30"/>
        <v>5000</v>
      </c>
    </row>
    <row r="1916" spans="1:15" x14ac:dyDescent="0.25">
      <c r="A1916" s="76">
        <v>43053</v>
      </c>
      <c r="B1916" s="77" t="s">
        <v>5657</v>
      </c>
      <c r="C1916" s="77" t="s">
        <v>5661</v>
      </c>
      <c r="D1916" s="77" t="s">
        <v>4331</v>
      </c>
      <c r="E1916" s="78">
        <v>1240</v>
      </c>
      <c r="F1916" s="77" t="s">
        <v>4814</v>
      </c>
      <c r="G1916" s="78">
        <v>103.33</v>
      </c>
      <c r="H1916" s="78">
        <v>103.33</v>
      </c>
      <c r="I1916" s="77" t="s">
        <v>4800</v>
      </c>
      <c r="L1916" s="3">
        <f>VLOOKUP(C1916,Securities!A:D,4,FALSE)</f>
        <v>5</v>
      </c>
      <c r="M1916" s="3" t="str">
        <f>VLOOKUP(C1916,Securities!A:B,2,FALSE)</f>
        <v>RU000A0JXD07 Corp</v>
      </c>
      <c r="O1916" s="3">
        <f t="shared" si="30"/>
        <v>1240</v>
      </c>
    </row>
    <row r="1917" spans="1:15" x14ac:dyDescent="0.25">
      <c r="A1917" s="79">
        <v>43053</v>
      </c>
      <c r="B1917" s="80" t="s">
        <v>5657</v>
      </c>
      <c r="C1917" s="80" t="s">
        <v>5510</v>
      </c>
      <c r="D1917" s="80" t="s">
        <v>1589</v>
      </c>
      <c r="E1917" s="81">
        <v>8250</v>
      </c>
      <c r="F1917" s="80" t="s">
        <v>4814</v>
      </c>
      <c r="G1917" s="81">
        <v>99.8</v>
      </c>
      <c r="H1917" s="81">
        <v>99.8</v>
      </c>
      <c r="I1917" s="80" t="s">
        <v>4800</v>
      </c>
      <c r="L1917" s="3">
        <f>VLOOKUP(C1917,Securities!A:D,4,FALSE)</f>
        <v>5</v>
      </c>
      <c r="M1917" s="3" t="str">
        <f>VLOOKUP(C1917,Securities!A:B,2,FALSE)</f>
        <v>RU000A0JUD83 Corp</v>
      </c>
      <c r="O1917" s="3">
        <f t="shared" si="30"/>
        <v>8250</v>
      </c>
    </row>
    <row r="1918" spans="1:15" x14ac:dyDescent="0.25">
      <c r="A1918" s="76">
        <v>43053</v>
      </c>
      <c r="B1918" s="77" t="s">
        <v>5662</v>
      </c>
      <c r="C1918" s="77" t="s">
        <v>4935</v>
      </c>
      <c r="D1918" s="77" t="s">
        <v>4936</v>
      </c>
      <c r="E1918" s="78">
        <v>1510</v>
      </c>
      <c r="F1918" s="77" t="s">
        <v>4799</v>
      </c>
      <c r="G1918" s="78">
        <v>1253.7579270000001</v>
      </c>
      <c r="H1918" s="78">
        <v>22.108000000000001</v>
      </c>
      <c r="I1918" s="77" t="s">
        <v>4800</v>
      </c>
      <c r="L1918" s="3">
        <f>VLOOKUP(C1918,Securities!A:D,4,FALSE)</f>
        <v>1</v>
      </c>
      <c r="M1918" s="3" t="str">
        <f>VLOOKUP(C1918,Securities!A:B,2,FALSE)</f>
        <v>AD NA Equity</v>
      </c>
      <c r="O1918" s="3">
        <f t="shared" si="30"/>
        <v>1510</v>
      </c>
    </row>
    <row r="1919" spans="1:15" x14ac:dyDescent="0.25">
      <c r="A1919" s="79">
        <v>43053</v>
      </c>
      <c r="B1919" s="80" t="s">
        <v>5662</v>
      </c>
      <c r="C1919" s="80" t="s">
        <v>5035</v>
      </c>
      <c r="D1919" s="80" t="s">
        <v>5036</v>
      </c>
      <c r="E1919" s="81">
        <v>200000</v>
      </c>
      <c r="F1919" s="80" t="s">
        <v>4806</v>
      </c>
      <c r="G1919" s="81">
        <v>102.63</v>
      </c>
      <c r="H1919" s="81">
        <v>102.63</v>
      </c>
      <c r="I1919" s="80" t="s">
        <v>4800</v>
      </c>
      <c r="L1919" s="3">
        <f>VLOOKUP(C1919,Securities!A:D,4,FALSE)</f>
        <v>5</v>
      </c>
      <c r="M1919" s="3" t="str">
        <f>VLOOKUP(C1919,Securities!A:B,2,FALSE)</f>
        <v>XS0579851949 Corp</v>
      </c>
      <c r="O1919" s="3">
        <f t="shared" si="30"/>
        <v>200000</v>
      </c>
    </row>
    <row r="1920" spans="1:15" x14ac:dyDescent="0.25">
      <c r="A1920" s="76">
        <v>43053</v>
      </c>
      <c r="B1920" s="77" t="s">
        <v>5662</v>
      </c>
      <c r="C1920" s="77" t="s">
        <v>5454</v>
      </c>
      <c r="D1920" s="77" t="s">
        <v>5455</v>
      </c>
      <c r="E1920" s="78">
        <v>200000</v>
      </c>
      <c r="F1920" s="77" t="s">
        <v>4806</v>
      </c>
      <c r="G1920" s="78">
        <v>102.25</v>
      </c>
      <c r="H1920" s="78">
        <v>102.25</v>
      </c>
      <c r="I1920" s="77" t="s">
        <v>4800</v>
      </c>
      <c r="L1920" s="3">
        <f>VLOOKUP(C1920,Securities!A:D,4,FALSE)</f>
        <v>5</v>
      </c>
      <c r="M1920" s="3" t="str">
        <f>VLOOKUP(C1920,Securities!A:B,2,FALSE)</f>
        <v>US31562QAF46 Corp</v>
      </c>
      <c r="O1920" s="3">
        <f t="shared" si="30"/>
        <v>200000</v>
      </c>
    </row>
    <row r="1921" spans="1:15" x14ac:dyDescent="0.25">
      <c r="A1921" s="79">
        <v>43053</v>
      </c>
      <c r="B1921" s="80" t="s">
        <v>5662</v>
      </c>
      <c r="C1921" s="80" t="s">
        <v>5039</v>
      </c>
      <c r="D1921" s="80" t="s">
        <v>5040</v>
      </c>
      <c r="E1921" s="81">
        <v>200000</v>
      </c>
      <c r="F1921" s="80" t="s">
        <v>4806</v>
      </c>
      <c r="G1921" s="81">
        <v>93.5</v>
      </c>
      <c r="H1921" s="81">
        <v>93.5</v>
      </c>
      <c r="I1921" s="80" t="s">
        <v>4800</v>
      </c>
      <c r="L1921" s="3">
        <f>VLOOKUP(C1921,Securities!A:D,4,FALSE)</f>
        <v>5</v>
      </c>
      <c r="M1921" s="3" t="str">
        <f>VLOOKUP(C1921,Securities!A:B,2,FALSE)</f>
        <v>US35671DAZ87 Corp</v>
      </c>
      <c r="O1921" s="3">
        <f t="shared" si="30"/>
        <v>200000</v>
      </c>
    </row>
    <row r="1922" spans="1:15" x14ac:dyDescent="0.25">
      <c r="A1922" s="76">
        <v>43053</v>
      </c>
      <c r="B1922" s="77" t="s">
        <v>5662</v>
      </c>
      <c r="C1922" s="77" t="s">
        <v>4901</v>
      </c>
      <c r="D1922" s="77" t="s">
        <v>4902</v>
      </c>
      <c r="E1922" s="78">
        <v>1050</v>
      </c>
      <c r="F1922" s="77" t="s">
        <v>4804</v>
      </c>
      <c r="G1922" s="78">
        <v>2143.3797070000001</v>
      </c>
      <c r="H1922" s="78">
        <v>37.924647</v>
      </c>
      <c r="I1922" s="77" t="s">
        <v>4800</v>
      </c>
      <c r="L1922" s="3">
        <f>VLOOKUP(C1922,Securities!A:D,4,FALSE)</f>
        <v>1</v>
      </c>
      <c r="M1922" s="3" t="str">
        <f>VLOOKUP(C1922,Securities!A:B,2,FALSE)</f>
        <v>FIVE LI Equity</v>
      </c>
      <c r="O1922" s="3">
        <f t="shared" si="30"/>
        <v>1050</v>
      </c>
    </row>
    <row r="1923" spans="1:15" x14ac:dyDescent="0.25">
      <c r="A1923" s="79">
        <v>43053</v>
      </c>
      <c r="B1923" s="80" t="s">
        <v>5662</v>
      </c>
      <c r="C1923" s="80" t="s">
        <v>5663</v>
      </c>
      <c r="D1923" s="80" t="s">
        <v>5664</v>
      </c>
      <c r="E1923" s="81">
        <v>10030</v>
      </c>
      <c r="F1923" s="80" t="s">
        <v>4799</v>
      </c>
      <c r="G1923" s="81">
        <v>2149.723375</v>
      </c>
      <c r="H1923" s="81">
        <v>37.312516000000002</v>
      </c>
      <c r="I1923" s="80" t="s">
        <v>4800</v>
      </c>
      <c r="L1923" s="3">
        <f>VLOOKUP(C1923,Securities!A:D,4,FALSE)</f>
        <v>1</v>
      </c>
      <c r="M1923" s="3" t="str">
        <f>VLOOKUP(C1923,Securities!A:B,2,FALSE)</f>
        <v>GTO NA Equity</v>
      </c>
      <c r="O1923" s="3">
        <f t="shared" si="30"/>
        <v>10030</v>
      </c>
    </row>
    <row r="1924" spans="1:15" x14ac:dyDescent="0.25">
      <c r="A1924" s="76">
        <v>43053</v>
      </c>
      <c r="B1924" s="77" t="s">
        <v>5662</v>
      </c>
      <c r="C1924" s="77" t="s">
        <v>4963</v>
      </c>
      <c r="D1924" s="77" t="s">
        <v>4964</v>
      </c>
      <c r="E1924" s="78">
        <v>200000</v>
      </c>
      <c r="F1924" s="77" t="s">
        <v>4806</v>
      </c>
      <c r="G1924" s="78">
        <v>100</v>
      </c>
      <c r="H1924" s="78">
        <v>100</v>
      </c>
      <c r="I1924" s="77" t="s">
        <v>4800</v>
      </c>
      <c r="L1924" s="3">
        <f>VLOOKUP(C1924,Securities!A:D,4,FALSE)</f>
        <v>5</v>
      </c>
      <c r="M1924" s="3" t="str">
        <f>VLOOKUP(C1924,Securities!A:B,2,FALSE)</f>
        <v>XS1439838548 Corp</v>
      </c>
      <c r="O1924" s="3">
        <f t="shared" si="30"/>
        <v>200000</v>
      </c>
    </row>
    <row r="1925" spans="1:15" x14ac:dyDescent="0.25">
      <c r="A1925" s="79">
        <v>43053</v>
      </c>
      <c r="B1925" s="80" t="s">
        <v>5662</v>
      </c>
      <c r="C1925" s="80" t="s">
        <v>5665</v>
      </c>
      <c r="D1925" s="80" t="s">
        <v>5666</v>
      </c>
      <c r="E1925" s="81">
        <v>2000</v>
      </c>
      <c r="F1925" s="80" t="s">
        <v>4799</v>
      </c>
      <c r="G1925" s="81">
        <v>945.01351599999998</v>
      </c>
      <c r="H1925" s="81">
        <v>16.663789999999999</v>
      </c>
      <c r="I1925" s="80" t="s">
        <v>4800</v>
      </c>
      <c r="L1925" s="3">
        <f>VLOOKUP(C1925,Securities!A:D,4,FALSE)</f>
        <v>1</v>
      </c>
      <c r="M1925" s="3" t="str">
        <f>VLOOKUP(C1925,Securities!A:B,2,FALSE)</f>
        <v>INGA NA Equity</v>
      </c>
      <c r="O1925" s="3">
        <f t="shared" si="30"/>
        <v>2000</v>
      </c>
    </row>
    <row r="1926" spans="1:15" x14ac:dyDescent="0.25">
      <c r="A1926" s="76">
        <v>43053</v>
      </c>
      <c r="B1926" s="77" t="s">
        <v>5662</v>
      </c>
      <c r="C1926" s="77" t="s">
        <v>5667</v>
      </c>
      <c r="D1926" s="77" t="s">
        <v>5668</v>
      </c>
      <c r="E1926" s="78">
        <v>9800</v>
      </c>
      <c r="F1926" s="77" t="s">
        <v>4799</v>
      </c>
      <c r="G1926" s="78">
        <v>191.36285699999999</v>
      </c>
      <c r="H1926" s="78">
        <v>3.3743750000000001</v>
      </c>
      <c r="I1926" s="77" t="s">
        <v>4800</v>
      </c>
      <c r="L1926" s="3">
        <f>VLOOKUP(C1926,Securities!A:D,4,FALSE)</f>
        <v>1</v>
      </c>
      <c r="M1926" s="3" t="str">
        <f>VLOOKUP(C1926,Securities!A:B,2,FALSE)</f>
        <v>KPN NA Equity</v>
      </c>
      <c r="O1926" s="3">
        <f t="shared" ref="O1926:O1989" si="31">SUMIFS(E:E,C:C,C1926,B:B,B1926)</f>
        <v>9800</v>
      </c>
    </row>
    <row r="1927" spans="1:15" x14ac:dyDescent="0.25">
      <c r="A1927" s="79">
        <v>43053</v>
      </c>
      <c r="B1927" s="80" t="s">
        <v>5662</v>
      </c>
      <c r="C1927" s="80" t="s">
        <v>5669</v>
      </c>
      <c r="D1927" s="80" t="s">
        <v>5670</v>
      </c>
      <c r="E1927" s="81">
        <v>12020</v>
      </c>
      <c r="F1927" s="80" t="s">
        <v>4804</v>
      </c>
      <c r="G1927" s="81">
        <v>186.491332</v>
      </c>
      <c r="H1927" s="81">
        <v>3.29975</v>
      </c>
      <c r="I1927" s="80" t="s">
        <v>4800</v>
      </c>
      <c r="L1927" s="3">
        <f>VLOOKUP(C1927,Securities!A:D,4,FALSE)</f>
        <v>1</v>
      </c>
      <c r="M1927" s="3" t="str">
        <f>VLOOKUP(C1927,Securities!A:B,2,FALSE)</f>
        <v>LSRG LI Equity</v>
      </c>
      <c r="O1927" s="3">
        <f t="shared" si="31"/>
        <v>12020</v>
      </c>
    </row>
    <row r="1928" spans="1:15" x14ac:dyDescent="0.25">
      <c r="A1928" s="76">
        <v>43053</v>
      </c>
      <c r="B1928" s="77" t="s">
        <v>5662</v>
      </c>
      <c r="C1928" s="77" t="s">
        <v>5000</v>
      </c>
      <c r="D1928" s="77" t="s">
        <v>5001</v>
      </c>
      <c r="E1928" s="78">
        <v>170000</v>
      </c>
      <c r="F1928" s="77" t="s">
        <v>4806</v>
      </c>
      <c r="G1928" s="78">
        <v>112.5</v>
      </c>
      <c r="H1928" s="78">
        <v>112.5</v>
      </c>
      <c r="I1928" s="77" t="s">
        <v>4800</v>
      </c>
      <c r="L1928" s="3">
        <f>VLOOKUP(C1928,Securities!A:D,4,FALSE)</f>
        <v>5</v>
      </c>
      <c r="M1928" s="3" t="str">
        <f>VLOOKUP(C1928,Securities!A:B,2,FALSE)</f>
        <v>US71647NAP42 Corp</v>
      </c>
      <c r="O1928" s="3">
        <f t="shared" si="31"/>
        <v>170000</v>
      </c>
    </row>
    <row r="1929" spans="1:15" x14ac:dyDescent="0.25">
      <c r="A1929" s="79">
        <v>43053</v>
      </c>
      <c r="B1929" s="80" t="s">
        <v>5662</v>
      </c>
      <c r="C1929" s="80" t="s">
        <v>4925</v>
      </c>
      <c r="D1929" s="80" t="s">
        <v>4926</v>
      </c>
      <c r="E1929" s="81">
        <v>2200</v>
      </c>
      <c r="F1929" s="80" t="s">
        <v>4825</v>
      </c>
      <c r="G1929" s="81">
        <v>1007.692994</v>
      </c>
      <c r="H1929" s="81">
        <v>17.829972000000001</v>
      </c>
      <c r="I1929" s="80" t="s">
        <v>4800</v>
      </c>
      <c r="L1929" s="3">
        <f>VLOOKUP(C1929,Securities!A:D,4,FALSE)</f>
        <v>1</v>
      </c>
      <c r="M1929" s="3" t="str">
        <f>VLOOKUP(C1929,Securities!A:B,2,FALSE)</f>
        <v>GAZ LI Equity</v>
      </c>
      <c r="O1929" s="3">
        <f t="shared" si="31"/>
        <v>2200</v>
      </c>
    </row>
    <row r="1930" spans="1:15" x14ac:dyDescent="0.25">
      <c r="A1930" s="76">
        <v>43053</v>
      </c>
      <c r="B1930" s="77" t="s">
        <v>5662</v>
      </c>
      <c r="C1930" s="77" t="s">
        <v>4958</v>
      </c>
      <c r="D1930" s="77" t="s">
        <v>4959</v>
      </c>
      <c r="E1930" s="78">
        <v>6557</v>
      </c>
      <c r="F1930" s="77" t="s">
        <v>4804</v>
      </c>
      <c r="G1930" s="78">
        <v>342.78529200000003</v>
      </c>
      <c r="H1930" s="78">
        <v>6.0651919999999997</v>
      </c>
      <c r="I1930" s="77" t="s">
        <v>4800</v>
      </c>
      <c r="L1930" s="3">
        <f>VLOOKUP(C1930,Securities!A:D,4,FALSE)</f>
        <v>1</v>
      </c>
      <c r="M1930" s="3" t="str">
        <f>VLOOKUP(C1930,Securities!A:B,2,FALSE)</f>
        <v>TMKS LI Equity</v>
      </c>
      <c r="O1930" s="3">
        <f t="shared" si="31"/>
        <v>6557</v>
      </c>
    </row>
    <row r="1931" spans="1:15" x14ac:dyDescent="0.25">
      <c r="A1931" s="82"/>
      <c r="B1931" s="82"/>
      <c r="C1931" s="82"/>
      <c r="D1931" s="82"/>
      <c r="E1931" s="82"/>
      <c r="F1931" s="82"/>
      <c r="G1931" s="82"/>
      <c r="H1931" s="82"/>
      <c r="I1931" s="82"/>
      <c r="L1931" s="3" t="e">
        <f>VLOOKUP(C1931,Securities!A:D,4,FALSE)</f>
        <v>#N/A</v>
      </c>
      <c r="M1931" s="3" t="e">
        <f>VLOOKUP(C1931,Securities!A:B,2,FALSE)</f>
        <v>#N/A</v>
      </c>
      <c r="O1931" s="3">
        <f t="shared" si="31"/>
        <v>0</v>
      </c>
    </row>
    <row r="1932" spans="1:15" x14ac:dyDescent="0.25">
      <c r="L1932" s="3" t="e">
        <f>VLOOKUP(C1932,Securities!A:D,4,FALSE)</f>
        <v>#N/A</v>
      </c>
      <c r="M1932" s="3" t="e">
        <f>VLOOKUP(C1932,Securities!A:B,2,FALSE)</f>
        <v>#N/A</v>
      </c>
      <c r="O1932" s="3">
        <f t="shared" si="31"/>
        <v>0</v>
      </c>
    </row>
    <row r="1933" spans="1:15" x14ac:dyDescent="0.25">
      <c r="L1933" s="3" t="e">
        <f>VLOOKUP(C1933,Securities!A:D,4,FALSE)</f>
        <v>#N/A</v>
      </c>
      <c r="M1933" s="3" t="e">
        <f>VLOOKUP(C1933,Securities!A:B,2,FALSE)</f>
        <v>#N/A</v>
      </c>
      <c r="O1933" s="3">
        <f t="shared" si="31"/>
        <v>0</v>
      </c>
    </row>
    <row r="1934" spans="1:15" x14ac:dyDescent="0.25">
      <c r="L1934" s="3" t="e">
        <f>VLOOKUP(C1934,Securities!A:D,4,FALSE)</f>
        <v>#N/A</v>
      </c>
      <c r="M1934" s="3" t="e">
        <f>VLOOKUP(C1934,Securities!A:B,2,FALSE)</f>
        <v>#N/A</v>
      </c>
      <c r="O1934" s="3">
        <f t="shared" si="31"/>
        <v>0</v>
      </c>
    </row>
    <row r="1935" spans="1:15" x14ac:dyDescent="0.25">
      <c r="L1935" s="3" t="e">
        <f>VLOOKUP(C1935,Securities!A:D,4,FALSE)</f>
        <v>#N/A</v>
      </c>
      <c r="M1935" s="3" t="e">
        <f>VLOOKUP(C1935,Securities!A:B,2,FALSE)</f>
        <v>#N/A</v>
      </c>
      <c r="O1935" s="3">
        <f t="shared" si="31"/>
        <v>0</v>
      </c>
    </row>
    <row r="1936" spans="1:15" x14ac:dyDescent="0.25">
      <c r="L1936" s="3" t="e">
        <f>VLOOKUP(C1936,Securities!A:D,4,FALSE)</f>
        <v>#N/A</v>
      </c>
      <c r="M1936" s="3" t="e">
        <f>VLOOKUP(C1936,Securities!A:B,2,FALSE)</f>
        <v>#N/A</v>
      </c>
      <c r="O1936" s="3">
        <f t="shared" si="31"/>
        <v>0</v>
      </c>
    </row>
    <row r="1937" spans="12:15" x14ac:dyDescent="0.25">
      <c r="L1937" s="3" t="e">
        <f>VLOOKUP(C1937,Securities!A:D,4,FALSE)</f>
        <v>#N/A</v>
      </c>
      <c r="M1937" s="3" t="e">
        <f>VLOOKUP(C1937,Securities!A:B,2,FALSE)</f>
        <v>#N/A</v>
      </c>
      <c r="O1937" s="3">
        <f t="shared" si="31"/>
        <v>0</v>
      </c>
    </row>
    <row r="1938" spans="12:15" x14ac:dyDescent="0.25">
      <c r="L1938" s="3" t="e">
        <f>VLOOKUP(C1938,Securities!A:D,4,FALSE)</f>
        <v>#N/A</v>
      </c>
      <c r="M1938" s="3" t="e">
        <f>VLOOKUP(C1938,Securities!A:B,2,FALSE)</f>
        <v>#N/A</v>
      </c>
      <c r="O1938" s="3">
        <f t="shared" si="31"/>
        <v>0</v>
      </c>
    </row>
    <row r="1939" spans="12:15" x14ac:dyDescent="0.25">
      <c r="L1939" s="3" t="e">
        <f>VLOOKUP(C1939,Securities!A:D,4,FALSE)</f>
        <v>#N/A</v>
      </c>
      <c r="M1939" s="3" t="e">
        <f>VLOOKUP(C1939,Securities!A:B,2,FALSE)</f>
        <v>#N/A</v>
      </c>
      <c r="O1939" s="3">
        <f t="shared" si="31"/>
        <v>0</v>
      </c>
    </row>
    <row r="1940" spans="12:15" x14ac:dyDescent="0.25">
      <c r="L1940" s="3" t="e">
        <f>VLOOKUP(C1940,Securities!A:D,4,FALSE)</f>
        <v>#N/A</v>
      </c>
      <c r="M1940" s="3" t="e">
        <f>VLOOKUP(C1940,Securities!A:B,2,FALSE)</f>
        <v>#N/A</v>
      </c>
      <c r="O1940" s="3">
        <f t="shared" si="31"/>
        <v>0</v>
      </c>
    </row>
    <row r="1941" spans="12:15" x14ac:dyDescent="0.25">
      <c r="L1941" s="3" t="e">
        <f>VLOOKUP(C1941,Securities!A:D,4,FALSE)</f>
        <v>#N/A</v>
      </c>
      <c r="M1941" s="3" t="e">
        <f>VLOOKUP(C1941,Securities!A:B,2,FALSE)</f>
        <v>#N/A</v>
      </c>
      <c r="O1941" s="3">
        <f t="shared" si="31"/>
        <v>0</v>
      </c>
    </row>
    <row r="1942" spans="12:15" x14ac:dyDescent="0.25">
      <c r="L1942" s="3" t="e">
        <f>VLOOKUP(C1942,Securities!A:D,4,FALSE)</f>
        <v>#N/A</v>
      </c>
      <c r="M1942" s="3" t="e">
        <f>VLOOKUP(C1942,Securities!A:B,2,FALSE)</f>
        <v>#N/A</v>
      </c>
      <c r="O1942" s="3">
        <f t="shared" si="31"/>
        <v>0</v>
      </c>
    </row>
    <row r="1943" spans="12:15" x14ac:dyDescent="0.25">
      <c r="L1943" s="3" t="e">
        <f>VLOOKUP(C1943,Securities!A:D,4,FALSE)</f>
        <v>#N/A</v>
      </c>
      <c r="M1943" s="3" t="e">
        <f>VLOOKUP(C1943,Securities!A:B,2,FALSE)</f>
        <v>#N/A</v>
      </c>
      <c r="O1943" s="3">
        <f t="shared" si="31"/>
        <v>0</v>
      </c>
    </row>
    <row r="1944" spans="12:15" x14ac:dyDescent="0.25">
      <c r="L1944" s="3" t="e">
        <f>VLOOKUP(C1944,Securities!A:D,4,FALSE)</f>
        <v>#N/A</v>
      </c>
      <c r="M1944" s="3" t="e">
        <f>VLOOKUP(C1944,Securities!A:B,2,FALSE)</f>
        <v>#N/A</v>
      </c>
      <c r="O1944" s="3">
        <f t="shared" si="31"/>
        <v>0</v>
      </c>
    </row>
    <row r="1945" spans="12:15" x14ac:dyDescent="0.25">
      <c r="L1945" s="3" t="e">
        <f>VLOOKUP(C1945,Securities!A:D,4,FALSE)</f>
        <v>#N/A</v>
      </c>
      <c r="M1945" s="3" t="e">
        <f>VLOOKUP(C1945,Securities!A:B,2,FALSE)</f>
        <v>#N/A</v>
      </c>
      <c r="O1945" s="3">
        <f t="shared" si="31"/>
        <v>0</v>
      </c>
    </row>
    <row r="1946" spans="12:15" x14ac:dyDescent="0.25">
      <c r="L1946" s="3" t="e">
        <f>VLOOKUP(C1946,Securities!A:D,4,FALSE)</f>
        <v>#N/A</v>
      </c>
      <c r="M1946" s="3" t="e">
        <f>VLOOKUP(C1946,Securities!A:B,2,FALSE)</f>
        <v>#N/A</v>
      </c>
      <c r="O1946" s="3">
        <f t="shared" si="31"/>
        <v>0</v>
      </c>
    </row>
    <row r="1947" spans="12:15" x14ac:dyDescent="0.25">
      <c r="L1947" s="3" t="e">
        <f>VLOOKUP(C1947,Securities!A:D,4,FALSE)</f>
        <v>#N/A</v>
      </c>
      <c r="M1947" s="3" t="e">
        <f>VLOOKUP(C1947,Securities!A:B,2,FALSE)</f>
        <v>#N/A</v>
      </c>
      <c r="O1947" s="3">
        <f t="shared" si="31"/>
        <v>0</v>
      </c>
    </row>
    <row r="1948" spans="12:15" x14ac:dyDescent="0.25">
      <c r="L1948" s="3" t="e">
        <f>VLOOKUP(C1948,Securities!A:D,4,FALSE)</f>
        <v>#N/A</v>
      </c>
      <c r="M1948" s="3" t="e">
        <f>VLOOKUP(C1948,Securities!A:B,2,FALSE)</f>
        <v>#N/A</v>
      </c>
      <c r="O1948" s="3">
        <f t="shared" si="31"/>
        <v>0</v>
      </c>
    </row>
    <row r="1949" spans="12:15" x14ac:dyDescent="0.25">
      <c r="L1949" s="3" t="e">
        <f>VLOOKUP(C1949,Securities!A:D,4,FALSE)</f>
        <v>#N/A</v>
      </c>
      <c r="M1949" s="3" t="e">
        <f>VLOOKUP(C1949,Securities!A:B,2,FALSE)</f>
        <v>#N/A</v>
      </c>
      <c r="O1949" s="3">
        <f t="shared" si="31"/>
        <v>0</v>
      </c>
    </row>
    <row r="1950" spans="12:15" x14ac:dyDescent="0.25">
      <c r="L1950" s="3" t="e">
        <f>VLOOKUP(C1950,Securities!A:D,4,FALSE)</f>
        <v>#N/A</v>
      </c>
      <c r="M1950" s="3" t="e">
        <f>VLOOKUP(C1950,Securities!A:B,2,FALSE)</f>
        <v>#N/A</v>
      </c>
      <c r="O1950" s="3">
        <f t="shared" si="31"/>
        <v>0</v>
      </c>
    </row>
    <row r="1951" spans="12:15" x14ac:dyDescent="0.25">
      <c r="L1951" s="3" t="e">
        <f>VLOOKUP(C1951,Securities!A:D,4,FALSE)</f>
        <v>#N/A</v>
      </c>
      <c r="M1951" s="3" t="e">
        <f>VLOOKUP(C1951,Securities!A:B,2,FALSE)</f>
        <v>#N/A</v>
      </c>
      <c r="O1951" s="3">
        <f t="shared" si="31"/>
        <v>0</v>
      </c>
    </row>
    <row r="1952" spans="12:15" x14ac:dyDescent="0.25">
      <c r="L1952" s="3" t="e">
        <f>VLOOKUP(C1952,Securities!A:D,4,FALSE)</f>
        <v>#N/A</v>
      </c>
      <c r="M1952" s="3" t="e">
        <f>VLOOKUP(C1952,Securities!A:B,2,FALSE)</f>
        <v>#N/A</v>
      </c>
      <c r="O1952" s="3">
        <f t="shared" si="31"/>
        <v>0</v>
      </c>
    </row>
    <row r="1953" spans="12:15" x14ac:dyDescent="0.25">
      <c r="L1953" s="3" t="e">
        <f>VLOOKUP(C1953,Securities!A:D,4,FALSE)</f>
        <v>#N/A</v>
      </c>
      <c r="M1953" s="3" t="e">
        <f>VLOOKUP(C1953,Securities!A:B,2,FALSE)</f>
        <v>#N/A</v>
      </c>
      <c r="O1953" s="3">
        <f t="shared" si="31"/>
        <v>0</v>
      </c>
    </row>
    <row r="1954" spans="12:15" x14ac:dyDescent="0.25">
      <c r="L1954" s="3" t="e">
        <f>VLOOKUP(C1954,Securities!A:D,4,FALSE)</f>
        <v>#N/A</v>
      </c>
      <c r="M1954" s="3" t="e">
        <f>VLOOKUP(C1954,Securities!A:B,2,FALSE)</f>
        <v>#N/A</v>
      </c>
      <c r="O1954" s="3">
        <f t="shared" si="31"/>
        <v>0</v>
      </c>
    </row>
    <row r="1955" spans="12:15" x14ac:dyDescent="0.25">
      <c r="L1955" s="3" t="e">
        <f>VLOOKUP(C1955,Securities!A:D,4,FALSE)</f>
        <v>#N/A</v>
      </c>
      <c r="M1955" s="3" t="e">
        <f>VLOOKUP(C1955,Securities!A:B,2,FALSE)</f>
        <v>#N/A</v>
      </c>
      <c r="O1955" s="3">
        <f t="shared" si="31"/>
        <v>0</v>
      </c>
    </row>
    <row r="1956" spans="12:15" x14ac:dyDescent="0.25">
      <c r="L1956" s="3" t="e">
        <f>VLOOKUP(C1956,Securities!A:D,4,FALSE)</f>
        <v>#N/A</v>
      </c>
      <c r="M1956" s="3" t="e">
        <f>VLOOKUP(C1956,Securities!A:B,2,FALSE)</f>
        <v>#N/A</v>
      </c>
      <c r="O1956" s="3">
        <f t="shared" si="31"/>
        <v>0</v>
      </c>
    </row>
    <row r="1957" spans="12:15" x14ac:dyDescent="0.25">
      <c r="L1957" s="3" t="e">
        <f>VLOOKUP(C1957,Securities!A:D,4,FALSE)</f>
        <v>#N/A</v>
      </c>
      <c r="M1957" s="3" t="e">
        <f>VLOOKUP(C1957,Securities!A:B,2,FALSE)</f>
        <v>#N/A</v>
      </c>
      <c r="O1957" s="3">
        <f t="shared" si="31"/>
        <v>0</v>
      </c>
    </row>
    <row r="1958" spans="12:15" x14ac:dyDescent="0.25">
      <c r="L1958" s="3" t="e">
        <f>VLOOKUP(C1958,Securities!A:D,4,FALSE)</f>
        <v>#N/A</v>
      </c>
      <c r="M1958" s="3" t="e">
        <f>VLOOKUP(C1958,Securities!A:B,2,FALSE)</f>
        <v>#N/A</v>
      </c>
      <c r="O1958" s="3">
        <f t="shared" si="31"/>
        <v>0</v>
      </c>
    </row>
    <row r="1959" spans="12:15" x14ac:dyDescent="0.25">
      <c r="L1959" s="3" t="e">
        <f>VLOOKUP(C1959,Securities!A:D,4,FALSE)</f>
        <v>#N/A</v>
      </c>
      <c r="M1959" s="3" t="e">
        <f>VLOOKUP(C1959,Securities!A:B,2,FALSE)</f>
        <v>#N/A</v>
      </c>
      <c r="O1959" s="3">
        <f t="shared" si="31"/>
        <v>0</v>
      </c>
    </row>
    <row r="1960" spans="12:15" x14ac:dyDescent="0.25">
      <c r="L1960" s="3" t="e">
        <f>VLOOKUP(C1960,Securities!A:D,4,FALSE)</f>
        <v>#N/A</v>
      </c>
      <c r="M1960" s="3" t="e">
        <f>VLOOKUP(C1960,Securities!A:B,2,FALSE)</f>
        <v>#N/A</v>
      </c>
      <c r="O1960" s="3">
        <f t="shared" si="31"/>
        <v>0</v>
      </c>
    </row>
    <row r="1961" spans="12:15" x14ac:dyDescent="0.25">
      <c r="L1961" s="3" t="e">
        <f>VLOOKUP(C1961,Securities!A:D,4,FALSE)</f>
        <v>#N/A</v>
      </c>
      <c r="M1961" s="3" t="e">
        <f>VLOOKUP(C1961,Securities!A:B,2,FALSE)</f>
        <v>#N/A</v>
      </c>
      <c r="O1961" s="3">
        <f t="shared" si="31"/>
        <v>0</v>
      </c>
    </row>
    <row r="1962" spans="12:15" x14ac:dyDescent="0.25">
      <c r="L1962" s="3" t="e">
        <f>VLOOKUP(C1962,Securities!A:D,4,FALSE)</f>
        <v>#N/A</v>
      </c>
      <c r="M1962" s="3" t="e">
        <f>VLOOKUP(C1962,Securities!A:B,2,FALSE)</f>
        <v>#N/A</v>
      </c>
      <c r="O1962" s="3">
        <f t="shared" si="31"/>
        <v>0</v>
      </c>
    </row>
    <row r="1963" spans="12:15" x14ac:dyDescent="0.25">
      <c r="L1963" s="3" t="e">
        <f>VLOOKUP(C1963,Securities!A:D,4,FALSE)</f>
        <v>#N/A</v>
      </c>
      <c r="M1963" s="3" t="e">
        <f>VLOOKUP(C1963,Securities!A:B,2,FALSE)</f>
        <v>#N/A</v>
      </c>
      <c r="O1963" s="3">
        <f t="shared" si="31"/>
        <v>0</v>
      </c>
    </row>
    <row r="1964" spans="12:15" x14ac:dyDescent="0.25">
      <c r="L1964" s="3" t="e">
        <f>VLOOKUP(C1964,Securities!A:D,4,FALSE)</f>
        <v>#N/A</v>
      </c>
      <c r="M1964" s="3" t="e">
        <f>VLOOKUP(C1964,Securities!A:B,2,FALSE)</f>
        <v>#N/A</v>
      </c>
      <c r="O1964" s="3">
        <f t="shared" si="31"/>
        <v>0</v>
      </c>
    </row>
    <row r="1965" spans="12:15" x14ac:dyDescent="0.25">
      <c r="L1965" s="3" t="e">
        <f>VLOOKUP(C1965,Securities!A:D,4,FALSE)</f>
        <v>#N/A</v>
      </c>
      <c r="M1965" s="3" t="e">
        <f>VLOOKUP(C1965,Securities!A:B,2,FALSE)</f>
        <v>#N/A</v>
      </c>
      <c r="O1965" s="3">
        <f t="shared" si="31"/>
        <v>0</v>
      </c>
    </row>
    <row r="1966" spans="12:15" x14ac:dyDescent="0.25">
      <c r="L1966" s="3" t="e">
        <f>VLOOKUP(C1966,Securities!A:D,4,FALSE)</f>
        <v>#N/A</v>
      </c>
      <c r="M1966" s="3" t="e">
        <f>VLOOKUP(C1966,Securities!A:B,2,FALSE)</f>
        <v>#N/A</v>
      </c>
      <c r="O1966" s="3">
        <f t="shared" si="31"/>
        <v>0</v>
      </c>
    </row>
    <row r="1967" spans="12:15" x14ac:dyDescent="0.25">
      <c r="L1967" s="3" t="e">
        <f>VLOOKUP(C1967,Securities!A:D,4,FALSE)</f>
        <v>#N/A</v>
      </c>
      <c r="M1967" s="3" t="e">
        <f>VLOOKUP(C1967,Securities!A:B,2,FALSE)</f>
        <v>#N/A</v>
      </c>
      <c r="O1967" s="3">
        <f t="shared" si="31"/>
        <v>0</v>
      </c>
    </row>
    <row r="1968" spans="12:15" x14ac:dyDescent="0.25">
      <c r="L1968" s="3" t="e">
        <f>VLOOKUP(C1968,Securities!A:D,4,FALSE)</f>
        <v>#N/A</v>
      </c>
      <c r="M1968" s="3" t="e">
        <f>VLOOKUP(C1968,Securities!A:B,2,FALSE)</f>
        <v>#N/A</v>
      </c>
      <c r="O1968" s="3">
        <f t="shared" si="31"/>
        <v>0</v>
      </c>
    </row>
    <row r="1969" spans="12:15" x14ac:dyDescent="0.25">
      <c r="L1969" s="3" t="e">
        <f>VLOOKUP(C1969,Securities!A:D,4,FALSE)</f>
        <v>#N/A</v>
      </c>
      <c r="M1969" s="3" t="e">
        <f>VLOOKUP(C1969,Securities!A:B,2,FALSE)</f>
        <v>#N/A</v>
      </c>
      <c r="O1969" s="3">
        <f t="shared" si="31"/>
        <v>0</v>
      </c>
    </row>
    <row r="1970" spans="12:15" x14ac:dyDescent="0.25">
      <c r="L1970" s="3" t="e">
        <f>VLOOKUP(C1970,Securities!A:D,4,FALSE)</f>
        <v>#N/A</v>
      </c>
      <c r="M1970" s="3" t="e">
        <f>VLOOKUP(C1970,Securities!A:B,2,FALSE)</f>
        <v>#N/A</v>
      </c>
      <c r="O1970" s="3">
        <f t="shared" si="31"/>
        <v>0</v>
      </c>
    </row>
    <row r="1971" spans="12:15" x14ac:dyDescent="0.25">
      <c r="L1971" s="3" t="e">
        <f>VLOOKUP(C1971,Securities!A:D,4,FALSE)</f>
        <v>#N/A</v>
      </c>
      <c r="M1971" s="3" t="e">
        <f>VLOOKUP(C1971,Securities!A:B,2,FALSE)</f>
        <v>#N/A</v>
      </c>
      <c r="O1971" s="3">
        <f t="shared" si="31"/>
        <v>0</v>
      </c>
    </row>
    <row r="1972" spans="12:15" x14ac:dyDescent="0.25">
      <c r="L1972" s="3" t="e">
        <f>VLOOKUP(C1972,Securities!A:D,4,FALSE)</f>
        <v>#N/A</v>
      </c>
      <c r="M1972" s="3" t="e">
        <f>VLOOKUP(C1972,Securities!A:B,2,FALSE)</f>
        <v>#N/A</v>
      </c>
      <c r="O1972" s="3">
        <f t="shared" si="31"/>
        <v>0</v>
      </c>
    </row>
    <row r="1973" spans="12:15" x14ac:dyDescent="0.25">
      <c r="L1973" s="3" t="e">
        <f>VLOOKUP(C1973,Securities!A:D,4,FALSE)</f>
        <v>#N/A</v>
      </c>
      <c r="M1973" s="3" t="e">
        <f>VLOOKUP(C1973,Securities!A:B,2,FALSE)</f>
        <v>#N/A</v>
      </c>
      <c r="O1973" s="3">
        <f t="shared" si="31"/>
        <v>0</v>
      </c>
    </row>
    <row r="1974" spans="12:15" x14ac:dyDescent="0.25">
      <c r="L1974" s="3" t="e">
        <f>VLOOKUP(C1974,Securities!A:D,4,FALSE)</f>
        <v>#N/A</v>
      </c>
      <c r="M1974" s="3" t="e">
        <f>VLOOKUP(C1974,Securities!A:B,2,FALSE)</f>
        <v>#N/A</v>
      </c>
      <c r="O1974" s="3">
        <f t="shared" si="31"/>
        <v>0</v>
      </c>
    </row>
    <row r="1975" spans="12:15" x14ac:dyDescent="0.25">
      <c r="L1975" s="3" t="e">
        <f>VLOOKUP(C1975,Securities!A:D,4,FALSE)</f>
        <v>#N/A</v>
      </c>
      <c r="M1975" s="3" t="e">
        <f>VLOOKUP(C1975,Securities!A:B,2,FALSE)</f>
        <v>#N/A</v>
      </c>
      <c r="O1975" s="3">
        <f t="shared" si="31"/>
        <v>0</v>
      </c>
    </row>
    <row r="1976" spans="12:15" x14ac:dyDescent="0.25">
      <c r="L1976" s="3" t="e">
        <f>VLOOKUP(C1976,Securities!A:D,4,FALSE)</f>
        <v>#N/A</v>
      </c>
      <c r="M1976" s="3" t="e">
        <f>VLOOKUP(C1976,Securities!A:B,2,FALSE)</f>
        <v>#N/A</v>
      </c>
      <c r="O1976" s="3">
        <f t="shared" si="31"/>
        <v>0</v>
      </c>
    </row>
    <row r="1977" spans="12:15" x14ac:dyDescent="0.25">
      <c r="L1977" s="3" t="e">
        <f>VLOOKUP(C1977,Securities!A:D,4,FALSE)</f>
        <v>#N/A</v>
      </c>
      <c r="M1977" s="3" t="e">
        <f>VLOOKUP(C1977,Securities!A:B,2,FALSE)</f>
        <v>#N/A</v>
      </c>
      <c r="O1977" s="3">
        <f t="shared" si="31"/>
        <v>0</v>
      </c>
    </row>
    <row r="1978" spans="12:15" x14ac:dyDescent="0.25">
      <c r="L1978" s="3" t="e">
        <f>VLOOKUP(C1978,Securities!A:D,4,FALSE)</f>
        <v>#N/A</v>
      </c>
      <c r="M1978" s="3" t="e">
        <f>VLOOKUP(C1978,Securities!A:B,2,FALSE)</f>
        <v>#N/A</v>
      </c>
      <c r="O1978" s="3">
        <f t="shared" si="31"/>
        <v>0</v>
      </c>
    </row>
    <row r="1979" spans="12:15" x14ac:dyDescent="0.25">
      <c r="L1979" s="3" t="e">
        <f>VLOOKUP(C1979,Securities!A:D,4,FALSE)</f>
        <v>#N/A</v>
      </c>
      <c r="M1979" s="3" t="e">
        <f>VLOOKUP(C1979,Securities!A:B,2,FALSE)</f>
        <v>#N/A</v>
      </c>
      <c r="O1979" s="3">
        <f t="shared" si="31"/>
        <v>0</v>
      </c>
    </row>
    <row r="1980" spans="12:15" x14ac:dyDescent="0.25">
      <c r="L1980" s="3" t="e">
        <f>VLOOKUP(C1980,Securities!A:D,4,FALSE)</f>
        <v>#N/A</v>
      </c>
      <c r="M1980" s="3" t="e">
        <f>VLOOKUP(C1980,Securities!A:B,2,FALSE)</f>
        <v>#N/A</v>
      </c>
      <c r="O1980" s="3">
        <f t="shared" si="31"/>
        <v>0</v>
      </c>
    </row>
    <row r="1981" spans="12:15" x14ac:dyDescent="0.25">
      <c r="L1981" s="3" t="e">
        <f>VLOOKUP(C1981,Securities!A:D,4,FALSE)</f>
        <v>#N/A</v>
      </c>
      <c r="M1981" s="3" t="e">
        <f>VLOOKUP(C1981,Securities!A:B,2,FALSE)</f>
        <v>#N/A</v>
      </c>
      <c r="O1981" s="3">
        <f t="shared" si="31"/>
        <v>0</v>
      </c>
    </row>
    <row r="1982" spans="12:15" x14ac:dyDescent="0.25">
      <c r="L1982" s="3" t="e">
        <f>VLOOKUP(C1982,Securities!A:D,4,FALSE)</f>
        <v>#N/A</v>
      </c>
      <c r="M1982" s="3" t="e">
        <f>VLOOKUP(C1982,Securities!A:B,2,FALSE)</f>
        <v>#N/A</v>
      </c>
      <c r="O1982" s="3">
        <f t="shared" si="31"/>
        <v>0</v>
      </c>
    </row>
    <row r="1983" spans="12:15" x14ac:dyDescent="0.25">
      <c r="L1983" s="3" t="e">
        <f>VLOOKUP(C1983,Securities!A:D,4,FALSE)</f>
        <v>#N/A</v>
      </c>
      <c r="M1983" s="3" t="e">
        <f>VLOOKUP(C1983,Securities!A:B,2,FALSE)</f>
        <v>#N/A</v>
      </c>
      <c r="O1983" s="3">
        <f t="shared" si="31"/>
        <v>0</v>
      </c>
    </row>
    <row r="1984" spans="12:15" x14ac:dyDescent="0.25">
      <c r="L1984" s="3" t="e">
        <f>VLOOKUP(C1984,Securities!A:D,4,FALSE)</f>
        <v>#N/A</v>
      </c>
      <c r="M1984" s="3" t="e">
        <f>VLOOKUP(C1984,Securities!A:B,2,FALSE)</f>
        <v>#N/A</v>
      </c>
      <c r="O1984" s="3">
        <f t="shared" si="31"/>
        <v>0</v>
      </c>
    </row>
    <row r="1985" spans="12:15" x14ac:dyDescent="0.25">
      <c r="L1985" s="3" t="e">
        <f>VLOOKUP(C1985,Securities!A:D,4,FALSE)</f>
        <v>#N/A</v>
      </c>
      <c r="M1985" s="3" t="e">
        <f>VLOOKUP(C1985,Securities!A:B,2,FALSE)</f>
        <v>#N/A</v>
      </c>
      <c r="O1985" s="3">
        <f t="shared" si="31"/>
        <v>0</v>
      </c>
    </row>
    <row r="1986" spans="12:15" x14ac:dyDescent="0.25">
      <c r="L1986" s="3" t="e">
        <f>VLOOKUP(C1986,Securities!A:D,4,FALSE)</f>
        <v>#N/A</v>
      </c>
      <c r="M1986" s="3" t="e">
        <f>VLOOKUP(C1986,Securities!A:B,2,FALSE)</f>
        <v>#N/A</v>
      </c>
      <c r="O1986" s="3">
        <f t="shared" si="31"/>
        <v>0</v>
      </c>
    </row>
    <row r="1987" spans="12:15" x14ac:dyDescent="0.25">
      <c r="L1987" s="3" t="e">
        <f>VLOOKUP(C1987,Securities!A:D,4,FALSE)</f>
        <v>#N/A</v>
      </c>
      <c r="M1987" s="3" t="e">
        <f>VLOOKUP(C1987,Securities!A:B,2,FALSE)</f>
        <v>#N/A</v>
      </c>
      <c r="O1987" s="3">
        <f t="shared" si="31"/>
        <v>0</v>
      </c>
    </row>
    <row r="1988" spans="12:15" x14ac:dyDescent="0.25">
      <c r="L1988" s="3" t="e">
        <f>VLOOKUP(C1988,Securities!A:D,4,FALSE)</f>
        <v>#N/A</v>
      </c>
      <c r="M1988" s="3" t="e">
        <f>VLOOKUP(C1988,Securities!A:B,2,FALSE)</f>
        <v>#N/A</v>
      </c>
      <c r="O1988" s="3">
        <f t="shared" si="31"/>
        <v>0</v>
      </c>
    </row>
    <row r="1989" spans="12:15" x14ac:dyDescent="0.25">
      <c r="L1989" s="3" t="e">
        <f>VLOOKUP(C1989,Securities!A:D,4,FALSE)</f>
        <v>#N/A</v>
      </c>
      <c r="M1989" s="3" t="e">
        <f>VLOOKUP(C1989,Securities!A:B,2,FALSE)</f>
        <v>#N/A</v>
      </c>
      <c r="O1989" s="3">
        <f t="shared" si="31"/>
        <v>0</v>
      </c>
    </row>
    <row r="1990" spans="12:15" x14ac:dyDescent="0.25">
      <c r="L1990" s="3" t="e">
        <f>VLOOKUP(C1990,Securities!A:D,4,FALSE)</f>
        <v>#N/A</v>
      </c>
      <c r="M1990" s="3" t="e">
        <f>VLOOKUP(C1990,Securities!A:B,2,FALSE)</f>
        <v>#N/A</v>
      </c>
      <c r="O1990" s="3">
        <f t="shared" ref="O1990:O2053" si="32">SUMIFS(E:E,C:C,C1990,B:B,B1990)</f>
        <v>0</v>
      </c>
    </row>
    <row r="1991" spans="12:15" x14ac:dyDescent="0.25">
      <c r="L1991" s="3" t="e">
        <f>VLOOKUP(C1991,Securities!A:D,4,FALSE)</f>
        <v>#N/A</v>
      </c>
      <c r="M1991" s="3" t="e">
        <f>VLOOKUP(C1991,Securities!A:B,2,FALSE)</f>
        <v>#N/A</v>
      </c>
      <c r="O1991" s="3">
        <f t="shared" si="32"/>
        <v>0</v>
      </c>
    </row>
    <row r="1992" spans="12:15" x14ac:dyDescent="0.25">
      <c r="L1992" s="3" t="e">
        <f>VLOOKUP(C1992,Securities!A:D,4,FALSE)</f>
        <v>#N/A</v>
      </c>
      <c r="M1992" s="3" t="e">
        <f>VLOOKUP(C1992,Securities!A:B,2,FALSE)</f>
        <v>#N/A</v>
      </c>
      <c r="O1992" s="3">
        <f t="shared" si="32"/>
        <v>0</v>
      </c>
    </row>
    <row r="1993" spans="12:15" x14ac:dyDescent="0.25">
      <c r="L1993" s="3" t="e">
        <f>VLOOKUP(C1993,Securities!A:D,4,FALSE)</f>
        <v>#N/A</v>
      </c>
      <c r="M1993" s="3" t="e">
        <f>VLOOKUP(C1993,Securities!A:B,2,FALSE)</f>
        <v>#N/A</v>
      </c>
      <c r="O1993" s="3">
        <f t="shared" si="32"/>
        <v>0</v>
      </c>
    </row>
    <row r="1994" spans="12:15" x14ac:dyDescent="0.25">
      <c r="L1994" s="3" t="e">
        <f>VLOOKUP(C1994,Securities!A:D,4,FALSE)</f>
        <v>#N/A</v>
      </c>
      <c r="M1994" s="3" t="e">
        <f>VLOOKUP(C1994,Securities!A:B,2,FALSE)</f>
        <v>#N/A</v>
      </c>
      <c r="O1994" s="3">
        <f t="shared" si="32"/>
        <v>0</v>
      </c>
    </row>
    <row r="1995" spans="12:15" x14ac:dyDescent="0.25">
      <c r="L1995" s="3" t="e">
        <f>VLOOKUP(C1995,Securities!A:D,4,FALSE)</f>
        <v>#N/A</v>
      </c>
      <c r="M1995" s="3" t="e">
        <f>VLOOKUP(C1995,Securities!A:B,2,FALSE)</f>
        <v>#N/A</v>
      </c>
      <c r="O1995" s="3">
        <f t="shared" si="32"/>
        <v>0</v>
      </c>
    </row>
    <row r="1996" spans="12:15" x14ac:dyDescent="0.25">
      <c r="L1996" s="3" t="e">
        <f>VLOOKUP(C1996,Securities!A:D,4,FALSE)</f>
        <v>#N/A</v>
      </c>
      <c r="M1996" s="3" t="e">
        <f>VLOOKUP(C1996,Securities!A:B,2,FALSE)</f>
        <v>#N/A</v>
      </c>
      <c r="O1996" s="3">
        <f t="shared" si="32"/>
        <v>0</v>
      </c>
    </row>
    <row r="1997" spans="12:15" x14ac:dyDescent="0.25">
      <c r="L1997" s="3" t="e">
        <f>VLOOKUP(C1997,Securities!A:D,4,FALSE)</f>
        <v>#N/A</v>
      </c>
      <c r="M1997" s="3" t="e">
        <f>VLOOKUP(C1997,Securities!A:B,2,FALSE)</f>
        <v>#N/A</v>
      </c>
      <c r="O1997" s="3">
        <f t="shared" si="32"/>
        <v>0</v>
      </c>
    </row>
    <row r="1998" spans="12:15" x14ac:dyDescent="0.25">
      <c r="L1998" s="3" t="e">
        <f>VLOOKUP(C1998,Securities!A:D,4,FALSE)</f>
        <v>#N/A</v>
      </c>
      <c r="M1998" s="3" t="e">
        <f>VLOOKUP(C1998,Securities!A:B,2,FALSE)</f>
        <v>#N/A</v>
      </c>
      <c r="O1998" s="3">
        <f t="shared" si="32"/>
        <v>0</v>
      </c>
    </row>
    <row r="1999" spans="12:15" x14ac:dyDescent="0.25">
      <c r="L1999" s="3" t="e">
        <f>VLOOKUP(C1999,Securities!A:D,4,FALSE)</f>
        <v>#N/A</v>
      </c>
      <c r="M1999" s="3" t="e">
        <f>VLOOKUP(C1999,Securities!A:B,2,FALSE)</f>
        <v>#N/A</v>
      </c>
      <c r="O1999" s="3">
        <f t="shared" si="32"/>
        <v>0</v>
      </c>
    </row>
    <row r="2000" spans="12:15" x14ac:dyDescent="0.25">
      <c r="L2000" s="3" t="e">
        <f>VLOOKUP(C2000,Securities!A:D,4,FALSE)</f>
        <v>#N/A</v>
      </c>
      <c r="M2000" s="3" t="e">
        <f>VLOOKUP(C2000,Securities!A:B,2,FALSE)</f>
        <v>#N/A</v>
      </c>
      <c r="O2000" s="3">
        <f t="shared" si="32"/>
        <v>0</v>
      </c>
    </row>
    <row r="2001" spans="12:15" x14ac:dyDescent="0.25">
      <c r="L2001" s="3" t="e">
        <f>VLOOKUP(C2001,Securities!A:D,4,FALSE)</f>
        <v>#N/A</v>
      </c>
      <c r="M2001" s="3" t="e">
        <f>VLOOKUP(C2001,Securities!A:B,2,FALSE)</f>
        <v>#N/A</v>
      </c>
      <c r="O2001" s="3">
        <f t="shared" si="32"/>
        <v>0</v>
      </c>
    </row>
    <row r="2002" spans="12:15" x14ac:dyDescent="0.25">
      <c r="L2002" s="3" t="e">
        <f>VLOOKUP(C2002,Securities!A:D,4,FALSE)</f>
        <v>#N/A</v>
      </c>
      <c r="M2002" s="3" t="e">
        <f>VLOOKUP(C2002,Securities!A:B,2,FALSE)</f>
        <v>#N/A</v>
      </c>
      <c r="O2002" s="3">
        <f t="shared" si="32"/>
        <v>0</v>
      </c>
    </row>
    <row r="2003" spans="12:15" x14ac:dyDescent="0.25">
      <c r="L2003" s="3" t="e">
        <f>VLOOKUP(C2003,Securities!A:D,4,FALSE)</f>
        <v>#N/A</v>
      </c>
      <c r="M2003" s="3" t="e">
        <f>VLOOKUP(C2003,Securities!A:B,2,FALSE)</f>
        <v>#N/A</v>
      </c>
      <c r="O2003" s="3">
        <f t="shared" si="32"/>
        <v>0</v>
      </c>
    </row>
    <row r="2004" spans="12:15" x14ac:dyDescent="0.25">
      <c r="L2004" s="3" t="e">
        <f>VLOOKUP(C2004,Securities!A:D,4,FALSE)</f>
        <v>#N/A</v>
      </c>
      <c r="M2004" s="3" t="e">
        <f>VLOOKUP(C2004,Securities!A:B,2,FALSE)</f>
        <v>#N/A</v>
      </c>
      <c r="O2004" s="3">
        <f t="shared" si="32"/>
        <v>0</v>
      </c>
    </row>
    <row r="2005" spans="12:15" x14ac:dyDescent="0.25">
      <c r="L2005" s="3" t="e">
        <f>VLOOKUP(C2005,Securities!A:D,4,FALSE)</f>
        <v>#N/A</v>
      </c>
      <c r="M2005" s="3" t="e">
        <f>VLOOKUP(C2005,Securities!A:B,2,FALSE)</f>
        <v>#N/A</v>
      </c>
      <c r="O2005" s="3">
        <f t="shared" si="32"/>
        <v>0</v>
      </c>
    </row>
    <row r="2006" spans="12:15" x14ac:dyDescent="0.25">
      <c r="L2006" s="3" t="e">
        <f>VLOOKUP(C2006,Securities!A:D,4,FALSE)</f>
        <v>#N/A</v>
      </c>
      <c r="M2006" s="3" t="e">
        <f>VLOOKUP(C2006,Securities!A:B,2,FALSE)</f>
        <v>#N/A</v>
      </c>
      <c r="O2006" s="3">
        <f t="shared" si="32"/>
        <v>0</v>
      </c>
    </row>
    <row r="2007" spans="12:15" x14ac:dyDescent="0.25">
      <c r="L2007" s="3" t="e">
        <f>VLOOKUP(C2007,Securities!A:D,4,FALSE)</f>
        <v>#N/A</v>
      </c>
      <c r="M2007" s="3" t="e">
        <f>VLOOKUP(C2007,Securities!A:B,2,FALSE)</f>
        <v>#N/A</v>
      </c>
      <c r="O2007" s="3">
        <f t="shared" si="32"/>
        <v>0</v>
      </c>
    </row>
    <row r="2008" spans="12:15" x14ac:dyDescent="0.25">
      <c r="L2008" s="3" t="e">
        <f>VLOOKUP(C2008,Securities!A:D,4,FALSE)</f>
        <v>#N/A</v>
      </c>
      <c r="M2008" s="3" t="e">
        <f>VLOOKUP(C2008,Securities!A:B,2,FALSE)</f>
        <v>#N/A</v>
      </c>
      <c r="O2008" s="3">
        <f t="shared" si="32"/>
        <v>0</v>
      </c>
    </row>
    <row r="2009" spans="12:15" x14ac:dyDescent="0.25">
      <c r="L2009" s="3" t="e">
        <f>VLOOKUP(C2009,Securities!A:D,4,FALSE)</f>
        <v>#N/A</v>
      </c>
      <c r="M2009" s="3" t="e">
        <f>VLOOKUP(C2009,Securities!A:B,2,FALSE)</f>
        <v>#N/A</v>
      </c>
      <c r="O2009" s="3">
        <f t="shared" si="32"/>
        <v>0</v>
      </c>
    </row>
    <row r="2010" spans="12:15" x14ac:dyDescent="0.25">
      <c r="L2010" s="3" t="e">
        <f>VLOOKUP(C2010,Securities!A:D,4,FALSE)</f>
        <v>#N/A</v>
      </c>
      <c r="M2010" s="3" t="e">
        <f>VLOOKUP(C2010,Securities!A:B,2,FALSE)</f>
        <v>#N/A</v>
      </c>
      <c r="O2010" s="3">
        <f t="shared" si="32"/>
        <v>0</v>
      </c>
    </row>
    <row r="2011" spans="12:15" x14ac:dyDescent="0.25">
      <c r="L2011" s="3" t="e">
        <f>VLOOKUP(C2011,Securities!A:D,4,FALSE)</f>
        <v>#N/A</v>
      </c>
      <c r="M2011" s="3" t="e">
        <f>VLOOKUP(C2011,Securities!A:B,2,FALSE)</f>
        <v>#N/A</v>
      </c>
      <c r="O2011" s="3">
        <f t="shared" si="32"/>
        <v>0</v>
      </c>
    </row>
    <row r="2012" spans="12:15" x14ac:dyDescent="0.25">
      <c r="L2012" s="3" t="e">
        <f>VLOOKUP(C2012,Securities!A:D,4,FALSE)</f>
        <v>#N/A</v>
      </c>
      <c r="M2012" s="3" t="e">
        <f>VLOOKUP(C2012,Securities!A:B,2,FALSE)</f>
        <v>#N/A</v>
      </c>
      <c r="O2012" s="3">
        <f t="shared" si="32"/>
        <v>0</v>
      </c>
    </row>
    <row r="2013" spans="12:15" x14ac:dyDescent="0.25">
      <c r="L2013" s="3" t="e">
        <f>VLOOKUP(C2013,Securities!A:D,4,FALSE)</f>
        <v>#N/A</v>
      </c>
      <c r="M2013" s="3" t="e">
        <f>VLOOKUP(C2013,Securities!A:B,2,FALSE)</f>
        <v>#N/A</v>
      </c>
      <c r="O2013" s="3">
        <f t="shared" si="32"/>
        <v>0</v>
      </c>
    </row>
    <row r="2014" spans="12:15" x14ac:dyDescent="0.25">
      <c r="L2014" s="3" t="e">
        <f>VLOOKUP(C2014,Securities!A:D,4,FALSE)</f>
        <v>#N/A</v>
      </c>
      <c r="M2014" s="3" t="e">
        <f>VLOOKUP(C2014,Securities!A:B,2,FALSE)</f>
        <v>#N/A</v>
      </c>
      <c r="O2014" s="3">
        <f t="shared" si="32"/>
        <v>0</v>
      </c>
    </row>
    <row r="2015" spans="12:15" x14ac:dyDescent="0.25">
      <c r="L2015" s="3" t="e">
        <f>VLOOKUP(C2015,Securities!A:D,4,FALSE)</f>
        <v>#N/A</v>
      </c>
      <c r="M2015" s="3" t="e">
        <f>VLOOKUP(C2015,Securities!A:B,2,FALSE)</f>
        <v>#N/A</v>
      </c>
      <c r="O2015" s="3">
        <f t="shared" si="32"/>
        <v>0</v>
      </c>
    </row>
    <row r="2016" spans="12:15" x14ac:dyDescent="0.25">
      <c r="L2016" s="3" t="e">
        <f>VLOOKUP(C2016,Securities!A:D,4,FALSE)</f>
        <v>#N/A</v>
      </c>
      <c r="M2016" s="3" t="e">
        <f>VLOOKUP(C2016,Securities!A:B,2,FALSE)</f>
        <v>#N/A</v>
      </c>
      <c r="O2016" s="3">
        <f t="shared" si="32"/>
        <v>0</v>
      </c>
    </row>
    <row r="2017" spans="12:15" x14ac:dyDescent="0.25">
      <c r="L2017" s="3" t="e">
        <f>VLOOKUP(C2017,Securities!A:D,4,FALSE)</f>
        <v>#N/A</v>
      </c>
      <c r="M2017" s="3" t="e">
        <f>VLOOKUP(C2017,Securities!A:B,2,FALSE)</f>
        <v>#N/A</v>
      </c>
      <c r="O2017" s="3">
        <f t="shared" si="32"/>
        <v>0</v>
      </c>
    </row>
    <row r="2018" spans="12:15" x14ac:dyDescent="0.25">
      <c r="L2018" s="3" t="e">
        <f>VLOOKUP(C2018,Securities!A:D,4,FALSE)</f>
        <v>#N/A</v>
      </c>
      <c r="M2018" s="3" t="e">
        <f>VLOOKUP(C2018,Securities!A:B,2,FALSE)</f>
        <v>#N/A</v>
      </c>
      <c r="O2018" s="3">
        <f t="shared" si="32"/>
        <v>0</v>
      </c>
    </row>
    <row r="2019" spans="12:15" x14ac:dyDescent="0.25">
      <c r="L2019" s="3" t="e">
        <f>VLOOKUP(C2019,Securities!A:D,4,FALSE)</f>
        <v>#N/A</v>
      </c>
      <c r="M2019" s="3" t="e">
        <f>VLOOKUP(C2019,Securities!A:B,2,FALSE)</f>
        <v>#N/A</v>
      </c>
      <c r="O2019" s="3">
        <f t="shared" si="32"/>
        <v>0</v>
      </c>
    </row>
    <row r="2020" spans="12:15" x14ac:dyDescent="0.25">
      <c r="L2020" s="3" t="e">
        <f>VLOOKUP(C2020,Securities!A:D,4,FALSE)</f>
        <v>#N/A</v>
      </c>
      <c r="M2020" s="3" t="e">
        <f>VLOOKUP(C2020,Securities!A:B,2,FALSE)</f>
        <v>#N/A</v>
      </c>
      <c r="O2020" s="3">
        <f t="shared" si="32"/>
        <v>0</v>
      </c>
    </row>
    <row r="2021" spans="12:15" x14ac:dyDescent="0.25">
      <c r="L2021" s="3" t="e">
        <f>VLOOKUP(C2021,Securities!A:D,4,FALSE)</f>
        <v>#N/A</v>
      </c>
      <c r="M2021" s="3" t="e">
        <f>VLOOKUP(C2021,Securities!A:B,2,FALSE)</f>
        <v>#N/A</v>
      </c>
      <c r="O2021" s="3">
        <f t="shared" si="32"/>
        <v>0</v>
      </c>
    </row>
    <row r="2022" spans="12:15" x14ac:dyDescent="0.25">
      <c r="L2022" s="3" t="e">
        <f>VLOOKUP(C2022,Securities!A:D,4,FALSE)</f>
        <v>#N/A</v>
      </c>
      <c r="M2022" s="3" t="e">
        <f>VLOOKUP(C2022,Securities!A:B,2,FALSE)</f>
        <v>#N/A</v>
      </c>
      <c r="O2022" s="3">
        <f t="shared" si="32"/>
        <v>0</v>
      </c>
    </row>
    <row r="2023" spans="12:15" x14ac:dyDescent="0.25">
      <c r="L2023" s="3" t="e">
        <f>VLOOKUP(C2023,Securities!A:D,4,FALSE)</f>
        <v>#N/A</v>
      </c>
      <c r="M2023" s="3" t="e">
        <f>VLOOKUP(C2023,Securities!A:B,2,FALSE)</f>
        <v>#N/A</v>
      </c>
      <c r="O2023" s="3">
        <f t="shared" si="32"/>
        <v>0</v>
      </c>
    </row>
    <row r="2024" spans="12:15" x14ac:dyDescent="0.25">
      <c r="L2024" s="3" t="e">
        <f>VLOOKUP(C2024,Securities!A:D,4,FALSE)</f>
        <v>#N/A</v>
      </c>
      <c r="M2024" s="3" t="e">
        <f>VLOOKUP(C2024,Securities!A:B,2,FALSE)</f>
        <v>#N/A</v>
      </c>
      <c r="O2024" s="3">
        <f t="shared" si="32"/>
        <v>0</v>
      </c>
    </row>
    <row r="2025" spans="12:15" x14ac:dyDescent="0.25">
      <c r="L2025" s="3" t="e">
        <f>VLOOKUP(C2025,Securities!A:D,4,FALSE)</f>
        <v>#N/A</v>
      </c>
      <c r="M2025" s="3" t="e">
        <f>VLOOKUP(C2025,Securities!A:B,2,FALSE)</f>
        <v>#N/A</v>
      </c>
      <c r="O2025" s="3">
        <f t="shared" si="32"/>
        <v>0</v>
      </c>
    </row>
    <row r="2026" spans="12:15" x14ac:dyDescent="0.25">
      <c r="L2026" s="3" t="e">
        <f>VLOOKUP(C2026,Securities!A:D,4,FALSE)</f>
        <v>#N/A</v>
      </c>
      <c r="M2026" s="3" t="e">
        <f>VLOOKUP(C2026,Securities!A:B,2,FALSE)</f>
        <v>#N/A</v>
      </c>
      <c r="O2026" s="3">
        <f t="shared" si="32"/>
        <v>0</v>
      </c>
    </row>
    <row r="2027" spans="12:15" x14ac:dyDescent="0.25">
      <c r="L2027" s="3" t="e">
        <f>VLOOKUP(C2027,Securities!A:D,4,FALSE)</f>
        <v>#N/A</v>
      </c>
      <c r="M2027" s="3" t="e">
        <f>VLOOKUP(C2027,Securities!A:B,2,FALSE)</f>
        <v>#N/A</v>
      </c>
      <c r="O2027" s="3">
        <f t="shared" si="32"/>
        <v>0</v>
      </c>
    </row>
    <row r="2028" spans="12:15" x14ac:dyDescent="0.25">
      <c r="L2028" s="3" t="e">
        <f>VLOOKUP(C2028,Securities!A:D,4,FALSE)</f>
        <v>#N/A</v>
      </c>
      <c r="M2028" s="3" t="e">
        <f>VLOOKUP(C2028,Securities!A:B,2,FALSE)</f>
        <v>#N/A</v>
      </c>
      <c r="O2028" s="3">
        <f t="shared" si="32"/>
        <v>0</v>
      </c>
    </row>
    <row r="2029" spans="12:15" x14ac:dyDescent="0.25">
      <c r="L2029" s="3" t="e">
        <f>VLOOKUP(C2029,Securities!A:D,4,FALSE)</f>
        <v>#N/A</v>
      </c>
      <c r="M2029" s="3" t="e">
        <f>VLOOKUP(C2029,Securities!A:B,2,FALSE)</f>
        <v>#N/A</v>
      </c>
      <c r="O2029" s="3">
        <f t="shared" si="32"/>
        <v>0</v>
      </c>
    </row>
    <row r="2030" spans="12:15" x14ac:dyDescent="0.25">
      <c r="L2030" s="3" t="e">
        <f>VLOOKUP(C2030,Securities!A:D,4,FALSE)</f>
        <v>#N/A</v>
      </c>
      <c r="M2030" s="3" t="e">
        <f>VLOOKUP(C2030,Securities!A:B,2,FALSE)</f>
        <v>#N/A</v>
      </c>
      <c r="O2030" s="3">
        <f t="shared" si="32"/>
        <v>0</v>
      </c>
    </row>
    <row r="2031" spans="12:15" x14ac:dyDescent="0.25">
      <c r="L2031" s="3" t="e">
        <f>VLOOKUP(C2031,Securities!A:D,4,FALSE)</f>
        <v>#N/A</v>
      </c>
      <c r="M2031" s="3" t="e">
        <f>VLOOKUP(C2031,Securities!A:B,2,FALSE)</f>
        <v>#N/A</v>
      </c>
      <c r="O2031" s="3">
        <f t="shared" si="32"/>
        <v>0</v>
      </c>
    </row>
    <row r="2032" spans="12:15" x14ac:dyDescent="0.25">
      <c r="L2032" s="3" t="e">
        <f>VLOOKUP(C2032,Securities!A:D,4,FALSE)</f>
        <v>#N/A</v>
      </c>
      <c r="M2032" s="3" t="e">
        <f>VLOOKUP(C2032,Securities!A:B,2,FALSE)</f>
        <v>#N/A</v>
      </c>
      <c r="O2032" s="3">
        <f t="shared" si="32"/>
        <v>0</v>
      </c>
    </row>
    <row r="2033" spans="12:15" x14ac:dyDescent="0.25">
      <c r="L2033" s="3" t="e">
        <f>VLOOKUP(C2033,Securities!A:D,4,FALSE)</f>
        <v>#N/A</v>
      </c>
      <c r="M2033" s="3" t="e">
        <f>VLOOKUP(C2033,Securities!A:B,2,FALSE)</f>
        <v>#N/A</v>
      </c>
      <c r="O2033" s="3">
        <f t="shared" si="32"/>
        <v>0</v>
      </c>
    </row>
    <row r="2034" spans="12:15" x14ac:dyDescent="0.25">
      <c r="L2034" s="3" t="e">
        <f>VLOOKUP(C2034,Securities!A:D,4,FALSE)</f>
        <v>#N/A</v>
      </c>
      <c r="M2034" s="3" t="e">
        <f>VLOOKUP(C2034,Securities!A:B,2,FALSE)</f>
        <v>#N/A</v>
      </c>
      <c r="O2034" s="3">
        <f t="shared" si="32"/>
        <v>0</v>
      </c>
    </row>
    <row r="2035" spans="12:15" x14ac:dyDescent="0.25">
      <c r="L2035" s="3" t="e">
        <f>VLOOKUP(C2035,Securities!A:D,4,FALSE)</f>
        <v>#N/A</v>
      </c>
      <c r="M2035" s="3" t="e">
        <f>VLOOKUP(C2035,Securities!A:B,2,FALSE)</f>
        <v>#N/A</v>
      </c>
      <c r="O2035" s="3">
        <f t="shared" si="32"/>
        <v>0</v>
      </c>
    </row>
    <row r="2036" spans="12:15" x14ac:dyDescent="0.25">
      <c r="L2036" s="3" t="e">
        <f>VLOOKUP(C2036,Securities!A:D,4,FALSE)</f>
        <v>#N/A</v>
      </c>
      <c r="M2036" s="3" t="e">
        <f>VLOOKUP(C2036,Securities!A:B,2,FALSE)</f>
        <v>#N/A</v>
      </c>
      <c r="O2036" s="3">
        <f t="shared" si="32"/>
        <v>0</v>
      </c>
    </row>
    <row r="2037" spans="12:15" x14ac:dyDescent="0.25">
      <c r="L2037" s="3" t="e">
        <f>VLOOKUP(C2037,Securities!A:D,4,FALSE)</f>
        <v>#N/A</v>
      </c>
      <c r="M2037" s="3" t="e">
        <f>VLOOKUP(C2037,Securities!A:B,2,FALSE)</f>
        <v>#N/A</v>
      </c>
      <c r="O2037" s="3">
        <f t="shared" si="32"/>
        <v>0</v>
      </c>
    </row>
    <row r="2038" spans="12:15" x14ac:dyDescent="0.25">
      <c r="L2038" s="3" t="e">
        <f>VLOOKUP(C2038,Securities!A:D,4,FALSE)</f>
        <v>#N/A</v>
      </c>
      <c r="M2038" s="3" t="e">
        <f>VLOOKUP(C2038,Securities!A:B,2,FALSE)</f>
        <v>#N/A</v>
      </c>
      <c r="O2038" s="3">
        <f t="shared" si="32"/>
        <v>0</v>
      </c>
    </row>
    <row r="2039" spans="12:15" x14ac:dyDescent="0.25">
      <c r="L2039" s="3" t="e">
        <f>VLOOKUP(C2039,Securities!A:D,4,FALSE)</f>
        <v>#N/A</v>
      </c>
      <c r="M2039" s="3" t="e">
        <f>VLOOKUP(C2039,Securities!A:B,2,FALSE)</f>
        <v>#N/A</v>
      </c>
      <c r="O2039" s="3">
        <f t="shared" si="32"/>
        <v>0</v>
      </c>
    </row>
    <row r="2040" spans="12:15" x14ac:dyDescent="0.25">
      <c r="L2040" s="3" t="e">
        <f>VLOOKUP(C2040,Securities!A:D,4,FALSE)</f>
        <v>#N/A</v>
      </c>
      <c r="M2040" s="3" t="e">
        <f>VLOOKUP(C2040,Securities!A:B,2,FALSE)</f>
        <v>#N/A</v>
      </c>
      <c r="O2040" s="3">
        <f t="shared" si="32"/>
        <v>0</v>
      </c>
    </row>
    <row r="2041" spans="12:15" x14ac:dyDescent="0.25">
      <c r="L2041" s="3" t="e">
        <f>VLOOKUP(C2041,Securities!A:D,4,FALSE)</f>
        <v>#N/A</v>
      </c>
      <c r="M2041" s="3" t="e">
        <f>VLOOKUP(C2041,Securities!A:B,2,FALSE)</f>
        <v>#N/A</v>
      </c>
      <c r="O2041" s="3">
        <f t="shared" si="32"/>
        <v>0</v>
      </c>
    </row>
    <row r="2042" spans="12:15" x14ac:dyDescent="0.25">
      <c r="L2042" s="3" t="e">
        <f>VLOOKUP(C2042,Securities!A:D,4,FALSE)</f>
        <v>#N/A</v>
      </c>
      <c r="M2042" s="3" t="e">
        <f>VLOOKUP(C2042,Securities!A:B,2,FALSE)</f>
        <v>#N/A</v>
      </c>
      <c r="O2042" s="3">
        <f t="shared" si="32"/>
        <v>0</v>
      </c>
    </row>
    <row r="2043" spans="12:15" x14ac:dyDescent="0.25">
      <c r="L2043" s="3" t="e">
        <f>VLOOKUP(C2043,Securities!A:D,4,FALSE)</f>
        <v>#N/A</v>
      </c>
      <c r="M2043" s="3" t="e">
        <f>VLOOKUP(C2043,Securities!A:B,2,FALSE)</f>
        <v>#N/A</v>
      </c>
      <c r="O2043" s="3">
        <f t="shared" si="32"/>
        <v>0</v>
      </c>
    </row>
    <row r="2044" spans="12:15" x14ac:dyDescent="0.25">
      <c r="L2044" s="3" t="e">
        <f>VLOOKUP(C2044,Securities!A:D,4,FALSE)</f>
        <v>#N/A</v>
      </c>
      <c r="M2044" s="3" t="e">
        <f>VLOOKUP(C2044,Securities!A:B,2,FALSE)</f>
        <v>#N/A</v>
      </c>
      <c r="O2044" s="3">
        <f t="shared" si="32"/>
        <v>0</v>
      </c>
    </row>
    <row r="2045" spans="12:15" x14ac:dyDescent="0.25">
      <c r="L2045" s="3" t="e">
        <f>VLOOKUP(C2045,Securities!A:D,4,FALSE)</f>
        <v>#N/A</v>
      </c>
      <c r="M2045" s="3" t="e">
        <f>VLOOKUP(C2045,Securities!A:B,2,FALSE)</f>
        <v>#N/A</v>
      </c>
      <c r="O2045" s="3">
        <f t="shared" si="32"/>
        <v>0</v>
      </c>
    </row>
    <row r="2046" spans="12:15" x14ac:dyDescent="0.25">
      <c r="L2046" s="3" t="e">
        <f>VLOOKUP(C2046,Securities!A:D,4,FALSE)</f>
        <v>#N/A</v>
      </c>
      <c r="M2046" s="3" t="e">
        <f>VLOOKUP(C2046,Securities!A:B,2,FALSE)</f>
        <v>#N/A</v>
      </c>
      <c r="O2046" s="3">
        <f t="shared" si="32"/>
        <v>0</v>
      </c>
    </row>
    <row r="2047" spans="12:15" x14ac:dyDescent="0.25">
      <c r="L2047" s="3" t="e">
        <f>VLOOKUP(C2047,Securities!A:D,4,FALSE)</f>
        <v>#N/A</v>
      </c>
      <c r="M2047" s="3" t="e">
        <f>VLOOKUP(C2047,Securities!A:B,2,FALSE)</f>
        <v>#N/A</v>
      </c>
      <c r="O2047" s="3">
        <f t="shared" si="32"/>
        <v>0</v>
      </c>
    </row>
    <row r="2048" spans="12:15" x14ac:dyDescent="0.25">
      <c r="L2048" s="3" t="e">
        <f>VLOOKUP(C2048,Securities!A:D,4,FALSE)</f>
        <v>#N/A</v>
      </c>
      <c r="M2048" s="3" t="e">
        <f>VLOOKUP(C2048,Securities!A:B,2,FALSE)</f>
        <v>#N/A</v>
      </c>
      <c r="O2048" s="3">
        <f t="shared" si="32"/>
        <v>0</v>
      </c>
    </row>
    <row r="2049" spans="12:15" x14ac:dyDescent="0.25">
      <c r="L2049" s="3" t="e">
        <f>VLOOKUP(C2049,Securities!A:D,4,FALSE)</f>
        <v>#N/A</v>
      </c>
      <c r="M2049" s="3" t="e">
        <f>VLOOKUP(C2049,Securities!A:B,2,FALSE)</f>
        <v>#N/A</v>
      </c>
      <c r="O2049" s="3">
        <f t="shared" si="32"/>
        <v>0</v>
      </c>
    </row>
    <row r="2050" spans="12:15" x14ac:dyDescent="0.25">
      <c r="L2050" s="3" t="e">
        <f>VLOOKUP(C2050,Securities!A:D,4,FALSE)</f>
        <v>#N/A</v>
      </c>
      <c r="M2050" s="3" t="e">
        <f>VLOOKUP(C2050,Securities!A:B,2,FALSE)</f>
        <v>#N/A</v>
      </c>
      <c r="O2050" s="3">
        <f t="shared" si="32"/>
        <v>0</v>
      </c>
    </row>
    <row r="2051" spans="12:15" x14ac:dyDescent="0.25">
      <c r="L2051" s="3" t="e">
        <f>VLOOKUP(C2051,Securities!A:D,4,FALSE)</f>
        <v>#N/A</v>
      </c>
      <c r="M2051" s="3" t="e">
        <f>VLOOKUP(C2051,Securities!A:B,2,FALSE)</f>
        <v>#N/A</v>
      </c>
      <c r="O2051" s="3">
        <f t="shared" si="32"/>
        <v>0</v>
      </c>
    </row>
    <row r="2052" spans="12:15" x14ac:dyDescent="0.25">
      <c r="L2052" s="3" t="e">
        <f>VLOOKUP(C2052,Securities!A:D,4,FALSE)</f>
        <v>#N/A</v>
      </c>
      <c r="M2052" s="3" t="e">
        <f>VLOOKUP(C2052,Securities!A:B,2,FALSE)</f>
        <v>#N/A</v>
      </c>
      <c r="O2052" s="3">
        <f t="shared" si="32"/>
        <v>0</v>
      </c>
    </row>
    <row r="2053" spans="12:15" x14ac:dyDescent="0.25">
      <c r="L2053" s="3" t="e">
        <f>VLOOKUP(C2053,Securities!A:D,4,FALSE)</f>
        <v>#N/A</v>
      </c>
      <c r="M2053" s="3" t="e">
        <f>VLOOKUP(C2053,Securities!A:B,2,FALSE)</f>
        <v>#N/A</v>
      </c>
      <c r="O2053" s="3">
        <f t="shared" si="32"/>
        <v>0</v>
      </c>
    </row>
    <row r="2054" spans="12:15" x14ac:dyDescent="0.25">
      <c r="L2054" s="3" t="e">
        <f>VLOOKUP(C2054,Securities!A:D,4,FALSE)</f>
        <v>#N/A</v>
      </c>
      <c r="M2054" s="3" t="e">
        <f>VLOOKUP(C2054,Securities!A:B,2,FALSE)</f>
        <v>#N/A</v>
      </c>
      <c r="O2054" s="3">
        <f t="shared" ref="O2054:O2117" si="33">SUMIFS(E:E,C:C,C2054,B:B,B2054)</f>
        <v>0</v>
      </c>
    </row>
    <row r="2055" spans="12:15" x14ac:dyDescent="0.25">
      <c r="L2055" s="3" t="e">
        <f>VLOOKUP(C2055,Securities!A:D,4,FALSE)</f>
        <v>#N/A</v>
      </c>
      <c r="M2055" s="3" t="e">
        <f>VLOOKUP(C2055,Securities!A:B,2,FALSE)</f>
        <v>#N/A</v>
      </c>
      <c r="O2055" s="3">
        <f t="shared" si="33"/>
        <v>0</v>
      </c>
    </row>
    <row r="2056" spans="12:15" x14ac:dyDescent="0.25">
      <c r="L2056" s="3" t="e">
        <f>VLOOKUP(C2056,Securities!A:D,4,FALSE)</f>
        <v>#N/A</v>
      </c>
      <c r="M2056" s="3" t="e">
        <f>VLOOKUP(C2056,Securities!A:B,2,FALSE)</f>
        <v>#N/A</v>
      </c>
      <c r="O2056" s="3">
        <f t="shared" si="33"/>
        <v>0</v>
      </c>
    </row>
    <row r="2057" spans="12:15" x14ac:dyDescent="0.25">
      <c r="L2057" s="3" t="e">
        <f>VLOOKUP(C2057,Securities!A:D,4,FALSE)</f>
        <v>#N/A</v>
      </c>
      <c r="M2057" s="3" t="e">
        <f>VLOOKUP(C2057,Securities!A:B,2,FALSE)</f>
        <v>#N/A</v>
      </c>
      <c r="O2057" s="3">
        <f t="shared" si="33"/>
        <v>0</v>
      </c>
    </row>
    <row r="2058" spans="12:15" x14ac:dyDescent="0.25">
      <c r="L2058" s="3" t="e">
        <f>VLOOKUP(C2058,Securities!A:D,4,FALSE)</f>
        <v>#N/A</v>
      </c>
      <c r="M2058" s="3" t="e">
        <f>VLOOKUP(C2058,Securities!A:B,2,FALSE)</f>
        <v>#N/A</v>
      </c>
      <c r="O2058" s="3">
        <f t="shared" si="33"/>
        <v>0</v>
      </c>
    </row>
    <row r="2059" spans="12:15" x14ac:dyDescent="0.25">
      <c r="L2059" s="3" t="e">
        <f>VLOOKUP(C2059,Securities!A:D,4,FALSE)</f>
        <v>#N/A</v>
      </c>
      <c r="M2059" s="3" t="e">
        <f>VLOOKUP(C2059,Securities!A:B,2,FALSE)</f>
        <v>#N/A</v>
      </c>
      <c r="O2059" s="3">
        <f t="shared" si="33"/>
        <v>0</v>
      </c>
    </row>
    <row r="2060" spans="12:15" x14ac:dyDescent="0.25">
      <c r="L2060" s="3" t="e">
        <f>VLOOKUP(C2060,Securities!A:D,4,FALSE)</f>
        <v>#N/A</v>
      </c>
      <c r="M2060" s="3" t="e">
        <f>VLOOKUP(C2060,Securities!A:B,2,FALSE)</f>
        <v>#N/A</v>
      </c>
      <c r="O2060" s="3">
        <f t="shared" si="33"/>
        <v>0</v>
      </c>
    </row>
    <row r="2061" spans="12:15" x14ac:dyDescent="0.25">
      <c r="L2061" s="3" t="e">
        <f>VLOOKUP(C2061,Securities!A:D,4,FALSE)</f>
        <v>#N/A</v>
      </c>
      <c r="M2061" s="3" t="e">
        <f>VLOOKUP(C2061,Securities!A:B,2,FALSE)</f>
        <v>#N/A</v>
      </c>
      <c r="O2061" s="3">
        <f t="shared" si="33"/>
        <v>0</v>
      </c>
    </row>
    <row r="2062" spans="12:15" x14ac:dyDescent="0.25">
      <c r="L2062" s="3" t="e">
        <f>VLOOKUP(C2062,Securities!A:D,4,FALSE)</f>
        <v>#N/A</v>
      </c>
      <c r="M2062" s="3" t="e">
        <f>VLOOKUP(C2062,Securities!A:B,2,FALSE)</f>
        <v>#N/A</v>
      </c>
      <c r="O2062" s="3">
        <f t="shared" si="33"/>
        <v>0</v>
      </c>
    </row>
    <row r="2063" spans="12:15" x14ac:dyDescent="0.25">
      <c r="L2063" s="3" t="e">
        <f>VLOOKUP(C2063,Securities!A:D,4,FALSE)</f>
        <v>#N/A</v>
      </c>
      <c r="M2063" s="3" t="e">
        <f>VLOOKUP(C2063,Securities!A:B,2,FALSE)</f>
        <v>#N/A</v>
      </c>
      <c r="O2063" s="3">
        <f t="shared" si="33"/>
        <v>0</v>
      </c>
    </row>
    <row r="2064" spans="12:15" x14ac:dyDescent="0.25">
      <c r="L2064" s="3" t="e">
        <f>VLOOKUP(C2064,Securities!A:D,4,FALSE)</f>
        <v>#N/A</v>
      </c>
      <c r="M2064" s="3" t="e">
        <f>VLOOKUP(C2064,Securities!A:B,2,FALSE)</f>
        <v>#N/A</v>
      </c>
      <c r="O2064" s="3">
        <f t="shared" si="33"/>
        <v>0</v>
      </c>
    </row>
    <row r="2065" spans="12:15" x14ac:dyDescent="0.25">
      <c r="L2065" s="3" t="e">
        <f>VLOOKUP(C2065,Securities!A:D,4,FALSE)</f>
        <v>#N/A</v>
      </c>
      <c r="M2065" s="3" t="e">
        <f>VLOOKUP(C2065,Securities!A:B,2,FALSE)</f>
        <v>#N/A</v>
      </c>
      <c r="O2065" s="3">
        <f t="shared" si="33"/>
        <v>0</v>
      </c>
    </row>
    <row r="2066" spans="12:15" x14ac:dyDescent="0.25">
      <c r="L2066" s="3" t="e">
        <f>VLOOKUP(C2066,Securities!A:D,4,FALSE)</f>
        <v>#N/A</v>
      </c>
      <c r="M2066" s="3" t="e">
        <f>VLOOKUP(C2066,Securities!A:B,2,FALSE)</f>
        <v>#N/A</v>
      </c>
      <c r="O2066" s="3">
        <f t="shared" si="33"/>
        <v>0</v>
      </c>
    </row>
    <row r="2067" spans="12:15" x14ac:dyDescent="0.25">
      <c r="L2067" s="3" t="e">
        <f>VLOOKUP(C2067,Securities!A:D,4,FALSE)</f>
        <v>#N/A</v>
      </c>
      <c r="M2067" s="3" t="e">
        <f>VLOOKUP(C2067,Securities!A:B,2,FALSE)</f>
        <v>#N/A</v>
      </c>
      <c r="O2067" s="3">
        <f t="shared" si="33"/>
        <v>0</v>
      </c>
    </row>
    <row r="2068" spans="12:15" x14ac:dyDescent="0.25">
      <c r="L2068" s="3" t="e">
        <f>VLOOKUP(C2068,Securities!A:D,4,FALSE)</f>
        <v>#N/A</v>
      </c>
      <c r="M2068" s="3" t="e">
        <f>VLOOKUP(C2068,Securities!A:B,2,FALSE)</f>
        <v>#N/A</v>
      </c>
      <c r="O2068" s="3">
        <f t="shared" si="33"/>
        <v>0</v>
      </c>
    </row>
    <row r="2069" spans="12:15" x14ac:dyDescent="0.25">
      <c r="L2069" s="3" t="e">
        <f>VLOOKUP(C2069,Securities!A:D,4,FALSE)</f>
        <v>#N/A</v>
      </c>
      <c r="M2069" s="3" t="e">
        <f>VLOOKUP(C2069,Securities!A:B,2,FALSE)</f>
        <v>#N/A</v>
      </c>
      <c r="O2069" s="3">
        <f t="shared" si="33"/>
        <v>0</v>
      </c>
    </row>
    <row r="2070" spans="12:15" x14ac:dyDescent="0.25">
      <c r="L2070" s="3" t="e">
        <f>VLOOKUP(C2070,Securities!A:D,4,FALSE)</f>
        <v>#N/A</v>
      </c>
      <c r="M2070" s="3" t="e">
        <f>VLOOKUP(C2070,Securities!A:B,2,FALSE)</f>
        <v>#N/A</v>
      </c>
      <c r="O2070" s="3">
        <f t="shared" si="33"/>
        <v>0</v>
      </c>
    </row>
    <row r="2071" spans="12:15" x14ac:dyDescent="0.25">
      <c r="L2071" s="3" t="e">
        <f>VLOOKUP(C2071,Securities!A:D,4,FALSE)</f>
        <v>#N/A</v>
      </c>
      <c r="M2071" s="3" t="e">
        <f>VLOOKUP(C2071,Securities!A:B,2,FALSE)</f>
        <v>#N/A</v>
      </c>
      <c r="O2071" s="3">
        <f t="shared" si="33"/>
        <v>0</v>
      </c>
    </row>
    <row r="2072" spans="12:15" x14ac:dyDescent="0.25">
      <c r="L2072" s="3" t="e">
        <f>VLOOKUP(C2072,Securities!A:D,4,FALSE)</f>
        <v>#N/A</v>
      </c>
      <c r="M2072" s="3" t="e">
        <f>VLOOKUP(C2072,Securities!A:B,2,FALSE)</f>
        <v>#N/A</v>
      </c>
      <c r="O2072" s="3">
        <f t="shared" si="33"/>
        <v>0</v>
      </c>
    </row>
    <row r="2073" spans="12:15" x14ac:dyDescent="0.25">
      <c r="L2073" s="3" t="e">
        <f>VLOOKUP(C2073,Securities!A:D,4,FALSE)</f>
        <v>#N/A</v>
      </c>
      <c r="M2073" s="3" t="e">
        <f>VLOOKUP(C2073,Securities!A:B,2,FALSE)</f>
        <v>#N/A</v>
      </c>
      <c r="O2073" s="3">
        <f t="shared" si="33"/>
        <v>0</v>
      </c>
    </row>
    <row r="2074" spans="12:15" x14ac:dyDescent="0.25">
      <c r="L2074" s="3" t="e">
        <f>VLOOKUP(C2074,Securities!A:D,4,FALSE)</f>
        <v>#N/A</v>
      </c>
      <c r="M2074" s="3" t="e">
        <f>VLOOKUP(C2074,Securities!A:B,2,FALSE)</f>
        <v>#N/A</v>
      </c>
      <c r="O2074" s="3">
        <f t="shared" si="33"/>
        <v>0</v>
      </c>
    </row>
    <row r="2075" spans="12:15" x14ac:dyDescent="0.25">
      <c r="L2075" s="3" t="e">
        <f>VLOOKUP(C2075,Securities!A:D,4,FALSE)</f>
        <v>#N/A</v>
      </c>
      <c r="M2075" s="3" t="e">
        <f>VLOOKUP(C2075,Securities!A:B,2,FALSE)</f>
        <v>#N/A</v>
      </c>
      <c r="O2075" s="3">
        <f t="shared" si="33"/>
        <v>0</v>
      </c>
    </row>
    <row r="2076" spans="12:15" x14ac:dyDescent="0.25">
      <c r="L2076" s="3" t="e">
        <f>VLOOKUP(C2076,Securities!A:D,4,FALSE)</f>
        <v>#N/A</v>
      </c>
      <c r="M2076" s="3" t="e">
        <f>VLOOKUP(C2076,Securities!A:B,2,FALSE)</f>
        <v>#N/A</v>
      </c>
      <c r="O2076" s="3">
        <f t="shared" si="33"/>
        <v>0</v>
      </c>
    </row>
    <row r="2077" spans="12:15" x14ac:dyDescent="0.25">
      <c r="L2077" s="3" t="e">
        <f>VLOOKUP(C2077,Securities!A:D,4,FALSE)</f>
        <v>#N/A</v>
      </c>
      <c r="M2077" s="3" t="e">
        <f>VLOOKUP(C2077,Securities!A:B,2,FALSE)</f>
        <v>#N/A</v>
      </c>
      <c r="O2077" s="3">
        <f t="shared" si="33"/>
        <v>0</v>
      </c>
    </row>
    <row r="2078" spans="12:15" x14ac:dyDescent="0.25">
      <c r="L2078" s="3" t="e">
        <f>VLOOKUP(C2078,Securities!A:D,4,FALSE)</f>
        <v>#N/A</v>
      </c>
      <c r="M2078" s="3" t="e">
        <f>VLOOKUP(C2078,Securities!A:B,2,FALSE)</f>
        <v>#N/A</v>
      </c>
      <c r="O2078" s="3">
        <f t="shared" si="33"/>
        <v>0</v>
      </c>
    </row>
    <row r="2079" spans="12:15" x14ac:dyDescent="0.25">
      <c r="L2079" s="3" t="e">
        <f>VLOOKUP(C2079,Securities!A:D,4,FALSE)</f>
        <v>#N/A</v>
      </c>
      <c r="M2079" s="3" t="e">
        <f>VLOOKUP(C2079,Securities!A:B,2,FALSE)</f>
        <v>#N/A</v>
      </c>
      <c r="O2079" s="3">
        <f t="shared" si="33"/>
        <v>0</v>
      </c>
    </row>
    <row r="2080" spans="12:15" x14ac:dyDescent="0.25">
      <c r="L2080" s="3" t="e">
        <f>VLOOKUP(C2080,Securities!A:D,4,FALSE)</f>
        <v>#N/A</v>
      </c>
      <c r="M2080" s="3" t="e">
        <f>VLOOKUP(C2080,Securities!A:B,2,FALSE)</f>
        <v>#N/A</v>
      </c>
      <c r="O2080" s="3">
        <f t="shared" si="33"/>
        <v>0</v>
      </c>
    </row>
    <row r="2081" spans="12:15" x14ac:dyDescent="0.25">
      <c r="L2081" s="3" t="e">
        <f>VLOOKUP(C2081,Securities!A:D,4,FALSE)</f>
        <v>#N/A</v>
      </c>
      <c r="M2081" s="3" t="e">
        <f>VLOOKUP(C2081,Securities!A:B,2,FALSE)</f>
        <v>#N/A</v>
      </c>
      <c r="O2081" s="3">
        <f t="shared" si="33"/>
        <v>0</v>
      </c>
    </row>
    <row r="2082" spans="12:15" x14ac:dyDescent="0.25">
      <c r="L2082" s="3" t="e">
        <f>VLOOKUP(C2082,Securities!A:D,4,FALSE)</f>
        <v>#N/A</v>
      </c>
      <c r="M2082" s="3" t="e">
        <f>VLOOKUP(C2082,Securities!A:B,2,FALSE)</f>
        <v>#N/A</v>
      </c>
      <c r="O2082" s="3">
        <f t="shared" si="33"/>
        <v>0</v>
      </c>
    </row>
    <row r="2083" spans="12:15" x14ac:dyDescent="0.25">
      <c r="L2083" s="3" t="e">
        <f>VLOOKUP(C2083,Securities!A:D,4,FALSE)</f>
        <v>#N/A</v>
      </c>
      <c r="M2083" s="3" t="e">
        <f>VLOOKUP(C2083,Securities!A:B,2,FALSE)</f>
        <v>#N/A</v>
      </c>
      <c r="O2083" s="3">
        <f t="shared" si="33"/>
        <v>0</v>
      </c>
    </row>
    <row r="2084" spans="12:15" x14ac:dyDescent="0.25">
      <c r="L2084" s="3" t="e">
        <f>VLOOKUP(C2084,Securities!A:D,4,FALSE)</f>
        <v>#N/A</v>
      </c>
      <c r="M2084" s="3" t="e">
        <f>VLOOKUP(C2084,Securities!A:B,2,FALSE)</f>
        <v>#N/A</v>
      </c>
      <c r="O2084" s="3">
        <f t="shared" si="33"/>
        <v>0</v>
      </c>
    </row>
    <row r="2085" spans="12:15" x14ac:dyDescent="0.25">
      <c r="L2085" s="3" t="e">
        <f>VLOOKUP(C2085,Securities!A:D,4,FALSE)</f>
        <v>#N/A</v>
      </c>
      <c r="M2085" s="3" t="e">
        <f>VLOOKUP(C2085,Securities!A:B,2,FALSE)</f>
        <v>#N/A</v>
      </c>
      <c r="O2085" s="3">
        <f t="shared" si="33"/>
        <v>0</v>
      </c>
    </row>
    <row r="2086" spans="12:15" x14ac:dyDescent="0.25">
      <c r="L2086" s="3" t="e">
        <f>VLOOKUP(C2086,Securities!A:D,4,FALSE)</f>
        <v>#N/A</v>
      </c>
      <c r="M2086" s="3" t="e">
        <f>VLOOKUP(C2086,Securities!A:B,2,FALSE)</f>
        <v>#N/A</v>
      </c>
      <c r="O2086" s="3">
        <f t="shared" si="33"/>
        <v>0</v>
      </c>
    </row>
    <row r="2087" spans="12:15" x14ac:dyDescent="0.25">
      <c r="L2087" s="3" t="e">
        <f>VLOOKUP(C2087,Securities!A:D,4,FALSE)</f>
        <v>#N/A</v>
      </c>
      <c r="M2087" s="3" t="e">
        <f>VLOOKUP(C2087,Securities!A:B,2,FALSE)</f>
        <v>#N/A</v>
      </c>
      <c r="O2087" s="3">
        <f t="shared" si="33"/>
        <v>0</v>
      </c>
    </row>
    <row r="2088" spans="12:15" x14ac:dyDescent="0.25">
      <c r="L2088" s="3" t="e">
        <f>VLOOKUP(C2088,Securities!A:D,4,FALSE)</f>
        <v>#N/A</v>
      </c>
      <c r="M2088" s="3" t="e">
        <f>VLOOKUP(C2088,Securities!A:B,2,FALSE)</f>
        <v>#N/A</v>
      </c>
      <c r="O2088" s="3">
        <f t="shared" si="33"/>
        <v>0</v>
      </c>
    </row>
    <row r="2089" spans="12:15" x14ac:dyDescent="0.25">
      <c r="L2089" s="3" t="e">
        <f>VLOOKUP(C2089,Securities!A:D,4,FALSE)</f>
        <v>#N/A</v>
      </c>
      <c r="M2089" s="3" t="e">
        <f>VLOOKUP(C2089,Securities!A:B,2,FALSE)</f>
        <v>#N/A</v>
      </c>
      <c r="O2089" s="3">
        <f t="shared" si="33"/>
        <v>0</v>
      </c>
    </row>
    <row r="2090" spans="12:15" x14ac:dyDescent="0.25">
      <c r="L2090" s="3" t="e">
        <f>VLOOKUP(C2090,Securities!A:D,4,FALSE)</f>
        <v>#N/A</v>
      </c>
      <c r="M2090" s="3" t="e">
        <f>VLOOKUP(C2090,Securities!A:B,2,FALSE)</f>
        <v>#N/A</v>
      </c>
      <c r="O2090" s="3">
        <f t="shared" si="33"/>
        <v>0</v>
      </c>
    </row>
    <row r="2091" spans="12:15" x14ac:dyDescent="0.25">
      <c r="L2091" s="3" t="e">
        <f>VLOOKUP(C2091,Securities!A:D,4,FALSE)</f>
        <v>#N/A</v>
      </c>
      <c r="M2091" s="3" t="e">
        <f>VLOOKUP(C2091,Securities!A:B,2,FALSE)</f>
        <v>#N/A</v>
      </c>
      <c r="O2091" s="3">
        <f t="shared" si="33"/>
        <v>0</v>
      </c>
    </row>
    <row r="2092" spans="12:15" x14ac:dyDescent="0.25">
      <c r="L2092" s="3" t="e">
        <f>VLOOKUP(C2092,Securities!A:D,4,FALSE)</f>
        <v>#N/A</v>
      </c>
      <c r="M2092" s="3" t="e">
        <f>VLOOKUP(C2092,Securities!A:B,2,FALSE)</f>
        <v>#N/A</v>
      </c>
      <c r="O2092" s="3">
        <f t="shared" si="33"/>
        <v>0</v>
      </c>
    </row>
    <row r="2093" spans="12:15" x14ac:dyDescent="0.25">
      <c r="L2093" s="3" t="e">
        <f>VLOOKUP(C2093,Securities!A:D,4,FALSE)</f>
        <v>#N/A</v>
      </c>
      <c r="M2093" s="3" t="e">
        <f>VLOOKUP(C2093,Securities!A:B,2,FALSE)</f>
        <v>#N/A</v>
      </c>
      <c r="O2093" s="3">
        <f t="shared" si="33"/>
        <v>0</v>
      </c>
    </row>
    <row r="2094" spans="12:15" x14ac:dyDescent="0.25">
      <c r="L2094" s="3" t="e">
        <f>VLOOKUP(C2094,Securities!A:D,4,FALSE)</f>
        <v>#N/A</v>
      </c>
      <c r="M2094" s="3" t="e">
        <f>VLOOKUP(C2094,Securities!A:B,2,FALSE)</f>
        <v>#N/A</v>
      </c>
      <c r="O2094" s="3">
        <f t="shared" si="33"/>
        <v>0</v>
      </c>
    </row>
    <row r="2095" spans="12:15" x14ac:dyDescent="0.25">
      <c r="L2095" s="3" t="e">
        <f>VLOOKUP(C2095,Securities!A:D,4,FALSE)</f>
        <v>#N/A</v>
      </c>
      <c r="M2095" s="3" t="e">
        <f>VLOOKUP(C2095,Securities!A:B,2,FALSE)</f>
        <v>#N/A</v>
      </c>
      <c r="O2095" s="3">
        <f t="shared" si="33"/>
        <v>0</v>
      </c>
    </row>
    <row r="2096" spans="12:15" x14ac:dyDescent="0.25">
      <c r="L2096" s="3" t="e">
        <f>VLOOKUP(C2096,Securities!A:D,4,FALSE)</f>
        <v>#N/A</v>
      </c>
      <c r="M2096" s="3" t="e">
        <f>VLOOKUP(C2096,Securities!A:B,2,FALSE)</f>
        <v>#N/A</v>
      </c>
      <c r="O2096" s="3">
        <f t="shared" si="33"/>
        <v>0</v>
      </c>
    </row>
    <row r="2097" spans="12:15" x14ac:dyDescent="0.25">
      <c r="L2097" s="3" t="e">
        <f>VLOOKUP(C2097,Securities!A:D,4,FALSE)</f>
        <v>#N/A</v>
      </c>
      <c r="M2097" s="3" t="e">
        <f>VLOOKUP(C2097,Securities!A:B,2,FALSE)</f>
        <v>#N/A</v>
      </c>
      <c r="O2097" s="3">
        <f t="shared" si="33"/>
        <v>0</v>
      </c>
    </row>
    <row r="2098" spans="12:15" x14ac:dyDescent="0.25">
      <c r="L2098" s="3" t="e">
        <f>VLOOKUP(C2098,Securities!A:D,4,FALSE)</f>
        <v>#N/A</v>
      </c>
      <c r="M2098" s="3" t="e">
        <f>VLOOKUP(C2098,Securities!A:B,2,FALSE)</f>
        <v>#N/A</v>
      </c>
      <c r="O2098" s="3">
        <f t="shared" si="33"/>
        <v>0</v>
      </c>
    </row>
    <row r="2099" spans="12:15" x14ac:dyDescent="0.25">
      <c r="L2099" s="3" t="e">
        <f>VLOOKUP(C2099,Securities!A:D,4,FALSE)</f>
        <v>#N/A</v>
      </c>
      <c r="M2099" s="3" t="e">
        <f>VLOOKUP(C2099,Securities!A:B,2,FALSE)</f>
        <v>#N/A</v>
      </c>
      <c r="O2099" s="3">
        <f t="shared" si="33"/>
        <v>0</v>
      </c>
    </row>
    <row r="2100" spans="12:15" x14ac:dyDescent="0.25">
      <c r="L2100" s="3" t="e">
        <f>VLOOKUP(C2100,Securities!A:D,4,FALSE)</f>
        <v>#N/A</v>
      </c>
      <c r="M2100" s="3" t="e">
        <f>VLOOKUP(C2100,Securities!A:B,2,FALSE)</f>
        <v>#N/A</v>
      </c>
      <c r="O2100" s="3">
        <f t="shared" si="33"/>
        <v>0</v>
      </c>
    </row>
    <row r="2101" spans="12:15" x14ac:dyDescent="0.25">
      <c r="L2101" s="3" t="e">
        <f>VLOOKUP(C2101,Securities!A:D,4,FALSE)</f>
        <v>#N/A</v>
      </c>
      <c r="M2101" s="3" t="e">
        <f>VLOOKUP(C2101,Securities!A:B,2,FALSE)</f>
        <v>#N/A</v>
      </c>
      <c r="O2101" s="3">
        <f t="shared" si="33"/>
        <v>0</v>
      </c>
    </row>
    <row r="2102" spans="12:15" x14ac:dyDescent="0.25">
      <c r="L2102" s="3" t="e">
        <f>VLOOKUP(C2102,Securities!A:D,4,FALSE)</f>
        <v>#N/A</v>
      </c>
      <c r="M2102" s="3" t="e">
        <f>VLOOKUP(C2102,Securities!A:B,2,FALSE)</f>
        <v>#N/A</v>
      </c>
      <c r="O2102" s="3">
        <f t="shared" si="33"/>
        <v>0</v>
      </c>
    </row>
    <row r="2103" spans="12:15" x14ac:dyDescent="0.25">
      <c r="L2103" s="3" t="e">
        <f>VLOOKUP(C2103,Securities!A:D,4,FALSE)</f>
        <v>#N/A</v>
      </c>
      <c r="M2103" s="3" t="e">
        <f>VLOOKUP(C2103,Securities!A:B,2,FALSE)</f>
        <v>#N/A</v>
      </c>
      <c r="O2103" s="3">
        <f t="shared" si="33"/>
        <v>0</v>
      </c>
    </row>
    <row r="2104" spans="12:15" x14ac:dyDescent="0.25">
      <c r="L2104" s="3" t="e">
        <f>VLOOKUP(C2104,Securities!A:D,4,FALSE)</f>
        <v>#N/A</v>
      </c>
      <c r="M2104" s="3" t="e">
        <f>VLOOKUP(C2104,Securities!A:B,2,FALSE)</f>
        <v>#N/A</v>
      </c>
      <c r="O2104" s="3">
        <f t="shared" si="33"/>
        <v>0</v>
      </c>
    </row>
    <row r="2105" spans="12:15" x14ac:dyDescent="0.25">
      <c r="L2105" s="3" t="e">
        <f>VLOOKUP(C2105,Securities!A:D,4,FALSE)</f>
        <v>#N/A</v>
      </c>
      <c r="M2105" s="3" t="e">
        <f>VLOOKUP(C2105,Securities!A:B,2,FALSE)</f>
        <v>#N/A</v>
      </c>
      <c r="O2105" s="3">
        <f t="shared" si="33"/>
        <v>0</v>
      </c>
    </row>
    <row r="2106" spans="12:15" x14ac:dyDescent="0.25">
      <c r="L2106" s="3" t="e">
        <f>VLOOKUP(C2106,Securities!A:D,4,FALSE)</f>
        <v>#N/A</v>
      </c>
      <c r="M2106" s="3" t="e">
        <f>VLOOKUP(C2106,Securities!A:B,2,FALSE)</f>
        <v>#N/A</v>
      </c>
      <c r="O2106" s="3">
        <f t="shared" si="33"/>
        <v>0</v>
      </c>
    </row>
    <row r="2107" spans="12:15" x14ac:dyDescent="0.25">
      <c r="L2107" s="3" t="e">
        <f>VLOOKUP(C2107,Securities!A:D,4,FALSE)</f>
        <v>#N/A</v>
      </c>
      <c r="M2107" s="3" t="e">
        <f>VLOOKUP(C2107,Securities!A:B,2,FALSE)</f>
        <v>#N/A</v>
      </c>
      <c r="O2107" s="3">
        <f t="shared" si="33"/>
        <v>0</v>
      </c>
    </row>
    <row r="2108" spans="12:15" x14ac:dyDescent="0.25">
      <c r="L2108" s="3" t="e">
        <f>VLOOKUP(C2108,Securities!A:D,4,FALSE)</f>
        <v>#N/A</v>
      </c>
      <c r="M2108" s="3" t="e">
        <f>VLOOKUP(C2108,Securities!A:B,2,FALSE)</f>
        <v>#N/A</v>
      </c>
      <c r="O2108" s="3">
        <f t="shared" si="33"/>
        <v>0</v>
      </c>
    </row>
    <row r="2109" spans="12:15" x14ac:dyDescent="0.25">
      <c r="L2109" s="3" t="e">
        <f>VLOOKUP(C2109,Securities!A:D,4,FALSE)</f>
        <v>#N/A</v>
      </c>
      <c r="M2109" s="3" t="e">
        <f>VLOOKUP(C2109,Securities!A:B,2,FALSE)</f>
        <v>#N/A</v>
      </c>
      <c r="O2109" s="3">
        <f t="shared" si="33"/>
        <v>0</v>
      </c>
    </row>
    <row r="2110" spans="12:15" x14ac:dyDescent="0.25">
      <c r="L2110" s="3" t="e">
        <f>VLOOKUP(C2110,Securities!A:D,4,FALSE)</f>
        <v>#N/A</v>
      </c>
      <c r="M2110" s="3" t="e">
        <f>VLOOKUP(C2110,Securities!A:B,2,FALSE)</f>
        <v>#N/A</v>
      </c>
      <c r="O2110" s="3">
        <f t="shared" si="33"/>
        <v>0</v>
      </c>
    </row>
    <row r="2111" spans="12:15" x14ac:dyDescent="0.25">
      <c r="L2111" s="3" t="e">
        <f>VLOOKUP(C2111,Securities!A:D,4,FALSE)</f>
        <v>#N/A</v>
      </c>
      <c r="M2111" s="3" t="e">
        <f>VLOOKUP(C2111,Securities!A:B,2,FALSE)</f>
        <v>#N/A</v>
      </c>
      <c r="O2111" s="3">
        <f t="shared" si="33"/>
        <v>0</v>
      </c>
    </row>
    <row r="2112" spans="12:15" x14ac:dyDescent="0.25">
      <c r="L2112" s="3" t="e">
        <f>VLOOKUP(C2112,Securities!A:D,4,FALSE)</f>
        <v>#N/A</v>
      </c>
      <c r="M2112" s="3" t="e">
        <f>VLOOKUP(C2112,Securities!A:B,2,FALSE)</f>
        <v>#N/A</v>
      </c>
      <c r="O2112" s="3">
        <f t="shared" si="33"/>
        <v>0</v>
      </c>
    </row>
    <row r="2113" spans="12:15" x14ac:dyDescent="0.25">
      <c r="L2113" s="3" t="e">
        <f>VLOOKUP(C2113,Securities!A:D,4,FALSE)</f>
        <v>#N/A</v>
      </c>
      <c r="M2113" s="3" t="e">
        <f>VLOOKUP(C2113,Securities!A:B,2,FALSE)</f>
        <v>#N/A</v>
      </c>
      <c r="O2113" s="3">
        <f t="shared" si="33"/>
        <v>0</v>
      </c>
    </row>
    <row r="2114" spans="12:15" x14ac:dyDescent="0.25">
      <c r="L2114" s="3" t="e">
        <f>VLOOKUP(C2114,Securities!A:D,4,FALSE)</f>
        <v>#N/A</v>
      </c>
      <c r="M2114" s="3" t="e">
        <f>VLOOKUP(C2114,Securities!A:B,2,FALSE)</f>
        <v>#N/A</v>
      </c>
      <c r="O2114" s="3">
        <f t="shared" si="33"/>
        <v>0</v>
      </c>
    </row>
    <row r="2115" spans="12:15" x14ac:dyDescent="0.25">
      <c r="L2115" s="3" t="e">
        <f>VLOOKUP(C2115,Securities!A:D,4,FALSE)</f>
        <v>#N/A</v>
      </c>
      <c r="M2115" s="3" t="e">
        <f>VLOOKUP(C2115,Securities!A:B,2,FALSE)</f>
        <v>#N/A</v>
      </c>
      <c r="O2115" s="3">
        <f t="shared" si="33"/>
        <v>0</v>
      </c>
    </row>
    <row r="2116" spans="12:15" x14ac:dyDescent="0.25">
      <c r="L2116" s="3" t="e">
        <f>VLOOKUP(C2116,Securities!A:D,4,FALSE)</f>
        <v>#N/A</v>
      </c>
      <c r="M2116" s="3" t="e">
        <f>VLOOKUP(C2116,Securities!A:B,2,FALSE)</f>
        <v>#N/A</v>
      </c>
      <c r="O2116" s="3">
        <f t="shared" si="33"/>
        <v>0</v>
      </c>
    </row>
    <row r="2117" spans="12:15" x14ac:dyDescent="0.25">
      <c r="L2117" s="3" t="e">
        <f>VLOOKUP(C2117,Securities!A:D,4,FALSE)</f>
        <v>#N/A</v>
      </c>
      <c r="M2117" s="3" t="e">
        <f>VLOOKUP(C2117,Securities!A:B,2,FALSE)</f>
        <v>#N/A</v>
      </c>
      <c r="O2117" s="3">
        <f t="shared" si="33"/>
        <v>0</v>
      </c>
    </row>
    <row r="2118" spans="12:15" x14ac:dyDescent="0.25">
      <c r="L2118" s="3" t="e">
        <f>VLOOKUP(C2118,Securities!A:D,4,FALSE)</f>
        <v>#N/A</v>
      </c>
      <c r="M2118" s="3" t="e">
        <f>VLOOKUP(C2118,Securities!A:B,2,FALSE)</f>
        <v>#N/A</v>
      </c>
      <c r="O2118" s="3">
        <f t="shared" ref="O2118:O2181" si="34">SUMIFS(E:E,C:C,C2118,B:B,B2118)</f>
        <v>0</v>
      </c>
    </row>
    <row r="2119" spans="12:15" x14ac:dyDescent="0.25">
      <c r="L2119" s="3" t="e">
        <f>VLOOKUP(C2119,Securities!A:D,4,FALSE)</f>
        <v>#N/A</v>
      </c>
      <c r="M2119" s="3" t="e">
        <f>VLOOKUP(C2119,Securities!A:B,2,FALSE)</f>
        <v>#N/A</v>
      </c>
      <c r="O2119" s="3">
        <f t="shared" si="34"/>
        <v>0</v>
      </c>
    </row>
    <row r="2120" spans="12:15" x14ac:dyDescent="0.25">
      <c r="L2120" s="3" t="e">
        <f>VLOOKUP(C2120,Securities!A:D,4,FALSE)</f>
        <v>#N/A</v>
      </c>
      <c r="M2120" s="3" t="e">
        <f>VLOOKUP(C2120,Securities!A:B,2,FALSE)</f>
        <v>#N/A</v>
      </c>
      <c r="O2120" s="3">
        <f t="shared" si="34"/>
        <v>0</v>
      </c>
    </row>
    <row r="2121" spans="12:15" x14ac:dyDescent="0.25">
      <c r="L2121" s="3" t="e">
        <f>VLOOKUP(C2121,Securities!A:D,4,FALSE)</f>
        <v>#N/A</v>
      </c>
      <c r="M2121" s="3" t="e">
        <f>VLOOKUP(C2121,Securities!A:B,2,FALSE)</f>
        <v>#N/A</v>
      </c>
      <c r="O2121" s="3">
        <f t="shared" si="34"/>
        <v>0</v>
      </c>
    </row>
    <row r="2122" spans="12:15" x14ac:dyDescent="0.25">
      <c r="L2122" s="3" t="e">
        <f>VLOOKUP(C2122,Securities!A:D,4,FALSE)</f>
        <v>#N/A</v>
      </c>
      <c r="M2122" s="3" t="e">
        <f>VLOOKUP(C2122,Securities!A:B,2,FALSE)</f>
        <v>#N/A</v>
      </c>
      <c r="O2122" s="3">
        <f t="shared" si="34"/>
        <v>0</v>
      </c>
    </row>
    <row r="2123" spans="12:15" x14ac:dyDescent="0.25">
      <c r="L2123" s="3" t="e">
        <f>VLOOKUP(C2123,Securities!A:D,4,FALSE)</f>
        <v>#N/A</v>
      </c>
      <c r="M2123" s="3" t="e">
        <f>VLOOKUP(C2123,Securities!A:B,2,FALSE)</f>
        <v>#N/A</v>
      </c>
      <c r="O2123" s="3">
        <f t="shared" si="34"/>
        <v>0</v>
      </c>
    </row>
    <row r="2124" spans="12:15" x14ac:dyDescent="0.25">
      <c r="L2124" s="3" t="e">
        <f>VLOOKUP(C2124,Securities!A:D,4,FALSE)</f>
        <v>#N/A</v>
      </c>
      <c r="M2124" s="3" t="e">
        <f>VLOOKUP(C2124,Securities!A:B,2,FALSE)</f>
        <v>#N/A</v>
      </c>
      <c r="O2124" s="3">
        <f t="shared" si="34"/>
        <v>0</v>
      </c>
    </row>
    <row r="2125" spans="12:15" x14ac:dyDescent="0.25">
      <c r="L2125" s="3" t="e">
        <f>VLOOKUP(C2125,Securities!A:D,4,FALSE)</f>
        <v>#N/A</v>
      </c>
      <c r="M2125" s="3" t="e">
        <f>VLOOKUP(C2125,Securities!A:B,2,FALSE)</f>
        <v>#N/A</v>
      </c>
      <c r="O2125" s="3">
        <f t="shared" si="34"/>
        <v>0</v>
      </c>
    </row>
    <row r="2126" spans="12:15" x14ac:dyDescent="0.25">
      <c r="L2126" s="3" t="e">
        <f>VLOOKUP(C2126,Securities!A:D,4,FALSE)</f>
        <v>#N/A</v>
      </c>
      <c r="M2126" s="3" t="e">
        <f>VLOOKUP(C2126,Securities!A:B,2,FALSE)</f>
        <v>#N/A</v>
      </c>
      <c r="O2126" s="3">
        <f t="shared" si="34"/>
        <v>0</v>
      </c>
    </row>
    <row r="2127" spans="12:15" x14ac:dyDescent="0.25">
      <c r="L2127" s="3" t="e">
        <f>VLOOKUP(C2127,Securities!A:D,4,FALSE)</f>
        <v>#N/A</v>
      </c>
      <c r="M2127" s="3" t="e">
        <f>VLOOKUP(C2127,Securities!A:B,2,FALSE)</f>
        <v>#N/A</v>
      </c>
      <c r="O2127" s="3">
        <f t="shared" si="34"/>
        <v>0</v>
      </c>
    </row>
    <row r="2128" spans="12:15" x14ac:dyDescent="0.25">
      <c r="L2128" s="3" t="e">
        <f>VLOOKUP(C2128,Securities!A:D,4,FALSE)</f>
        <v>#N/A</v>
      </c>
      <c r="M2128" s="3" t="e">
        <f>VLOOKUP(C2128,Securities!A:B,2,FALSE)</f>
        <v>#N/A</v>
      </c>
      <c r="O2128" s="3">
        <f t="shared" si="34"/>
        <v>0</v>
      </c>
    </row>
    <row r="2129" spans="12:15" x14ac:dyDescent="0.25">
      <c r="L2129" s="3" t="e">
        <f>VLOOKUP(C2129,Securities!A:D,4,FALSE)</f>
        <v>#N/A</v>
      </c>
      <c r="M2129" s="3" t="e">
        <f>VLOOKUP(C2129,Securities!A:B,2,FALSE)</f>
        <v>#N/A</v>
      </c>
      <c r="O2129" s="3">
        <f t="shared" si="34"/>
        <v>0</v>
      </c>
    </row>
    <row r="2130" spans="12:15" x14ac:dyDescent="0.25">
      <c r="L2130" s="3" t="e">
        <f>VLOOKUP(C2130,Securities!A:D,4,FALSE)</f>
        <v>#N/A</v>
      </c>
      <c r="M2130" s="3" t="e">
        <f>VLOOKUP(C2130,Securities!A:B,2,FALSE)</f>
        <v>#N/A</v>
      </c>
      <c r="O2130" s="3">
        <f t="shared" si="34"/>
        <v>0</v>
      </c>
    </row>
    <row r="2131" spans="12:15" x14ac:dyDescent="0.25">
      <c r="L2131" s="3" t="e">
        <f>VLOOKUP(C2131,Securities!A:D,4,FALSE)</f>
        <v>#N/A</v>
      </c>
      <c r="M2131" s="3" t="e">
        <f>VLOOKUP(C2131,Securities!A:B,2,FALSE)</f>
        <v>#N/A</v>
      </c>
      <c r="O2131" s="3">
        <f t="shared" si="34"/>
        <v>0</v>
      </c>
    </row>
    <row r="2132" spans="12:15" x14ac:dyDescent="0.25">
      <c r="L2132" s="3" t="e">
        <f>VLOOKUP(C2132,Securities!A:D,4,FALSE)</f>
        <v>#N/A</v>
      </c>
      <c r="M2132" s="3" t="e">
        <f>VLOOKUP(C2132,Securities!A:B,2,FALSE)</f>
        <v>#N/A</v>
      </c>
      <c r="O2132" s="3">
        <f t="shared" si="34"/>
        <v>0</v>
      </c>
    </row>
    <row r="2133" spans="12:15" x14ac:dyDescent="0.25">
      <c r="L2133" s="3" t="e">
        <f>VLOOKUP(C2133,Securities!A:D,4,FALSE)</f>
        <v>#N/A</v>
      </c>
      <c r="M2133" s="3" t="e">
        <f>VLOOKUP(C2133,Securities!A:B,2,FALSE)</f>
        <v>#N/A</v>
      </c>
      <c r="O2133" s="3">
        <f t="shared" si="34"/>
        <v>0</v>
      </c>
    </row>
    <row r="2134" spans="12:15" x14ac:dyDescent="0.25">
      <c r="L2134" s="3" t="e">
        <f>VLOOKUP(C2134,Securities!A:D,4,FALSE)</f>
        <v>#N/A</v>
      </c>
      <c r="M2134" s="3" t="e">
        <f>VLOOKUP(C2134,Securities!A:B,2,FALSE)</f>
        <v>#N/A</v>
      </c>
      <c r="O2134" s="3">
        <f t="shared" si="34"/>
        <v>0</v>
      </c>
    </row>
    <row r="2135" spans="12:15" x14ac:dyDescent="0.25">
      <c r="L2135" s="3" t="e">
        <f>VLOOKUP(C2135,Securities!A:D,4,FALSE)</f>
        <v>#N/A</v>
      </c>
      <c r="M2135" s="3" t="e">
        <f>VLOOKUP(C2135,Securities!A:B,2,FALSE)</f>
        <v>#N/A</v>
      </c>
      <c r="O2135" s="3">
        <f t="shared" si="34"/>
        <v>0</v>
      </c>
    </row>
    <row r="2136" spans="12:15" x14ac:dyDescent="0.25">
      <c r="L2136" s="3" t="e">
        <f>VLOOKUP(C2136,Securities!A:D,4,FALSE)</f>
        <v>#N/A</v>
      </c>
      <c r="M2136" s="3" t="e">
        <f>VLOOKUP(C2136,Securities!A:B,2,FALSE)</f>
        <v>#N/A</v>
      </c>
      <c r="O2136" s="3">
        <f t="shared" si="34"/>
        <v>0</v>
      </c>
    </row>
    <row r="2137" spans="12:15" x14ac:dyDescent="0.25">
      <c r="L2137" s="3" t="e">
        <f>VLOOKUP(C2137,Securities!A:D,4,FALSE)</f>
        <v>#N/A</v>
      </c>
      <c r="M2137" s="3" t="e">
        <f>VLOOKUP(C2137,Securities!A:B,2,FALSE)</f>
        <v>#N/A</v>
      </c>
      <c r="O2137" s="3">
        <f t="shared" si="34"/>
        <v>0</v>
      </c>
    </row>
    <row r="2138" spans="12:15" x14ac:dyDescent="0.25">
      <c r="L2138" s="3" t="e">
        <f>VLOOKUP(C2138,Securities!A:D,4,FALSE)</f>
        <v>#N/A</v>
      </c>
      <c r="M2138" s="3" t="e">
        <f>VLOOKUP(C2138,Securities!A:B,2,FALSE)</f>
        <v>#N/A</v>
      </c>
      <c r="O2138" s="3">
        <f t="shared" si="34"/>
        <v>0</v>
      </c>
    </row>
    <row r="2139" spans="12:15" x14ac:dyDescent="0.25">
      <c r="L2139" s="3" t="e">
        <f>VLOOKUP(C2139,Securities!A:D,4,FALSE)</f>
        <v>#N/A</v>
      </c>
      <c r="M2139" s="3" t="e">
        <f>VLOOKUP(C2139,Securities!A:B,2,FALSE)</f>
        <v>#N/A</v>
      </c>
      <c r="O2139" s="3">
        <f t="shared" si="34"/>
        <v>0</v>
      </c>
    </row>
    <row r="2140" spans="12:15" x14ac:dyDescent="0.25">
      <c r="L2140" s="3" t="e">
        <f>VLOOKUP(C2140,Securities!A:D,4,FALSE)</f>
        <v>#N/A</v>
      </c>
      <c r="M2140" s="3" t="e">
        <f>VLOOKUP(C2140,Securities!A:B,2,FALSE)</f>
        <v>#N/A</v>
      </c>
      <c r="O2140" s="3">
        <f t="shared" si="34"/>
        <v>0</v>
      </c>
    </row>
    <row r="2141" spans="12:15" x14ac:dyDescent="0.25">
      <c r="L2141" s="3" t="e">
        <f>VLOOKUP(C2141,Securities!A:D,4,FALSE)</f>
        <v>#N/A</v>
      </c>
      <c r="M2141" s="3" t="e">
        <f>VLOOKUP(C2141,Securities!A:B,2,FALSE)</f>
        <v>#N/A</v>
      </c>
      <c r="O2141" s="3">
        <f t="shared" si="34"/>
        <v>0</v>
      </c>
    </row>
    <row r="2142" spans="12:15" x14ac:dyDescent="0.25">
      <c r="L2142" s="3" t="e">
        <f>VLOOKUP(C2142,Securities!A:D,4,FALSE)</f>
        <v>#N/A</v>
      </c>
      <c r="M2142" s="3" t="e">
        <f>VLOOKUP(C2142,Securities!A:B,2,FALSE)</f>
        <v>#N/A</v>
      </c>
      <c r="O2142" s="3">
        <f t="shared" si="34"/>
        <v>0</v>
      </c>
    </row>
    <row r="2143" spans="12:15" x14ac:dyDescent="0.25">
      <c r="L2143" s="3" t="e">
        <f>VLOOKUP(C2143,Securities!A:D,4,FALSE)</f>
        <v>#N/A</v>
      </c>
      <c r="M2143" s="3" t="e">
        <f>VLOOKUP(C2143,Securities!A:B,2,FALSE)</f>
        <v>#N/A</v>
      </c>
      <c r="O2143" s="3">
        <f t="shared" si="34"/>
        <v>0</v>
      </c>
    </row>
    <row r="2144" spans="12:15" x14ac:dyDescent="0.25">
      <c r="L2144" s="3" t="e">
        <f>VLOOKUP(C2144,Securities!A:D,4,FALSE)</f>
        <v>#N/A</v>
      </c>
      <c r="M2144" s="3" t="e">
        <f>VLOOKUP(C2144,Securities!A:B,2,FALSE)</f>
        <v>#N/A</v>
      </c>
      <c r="O2144" s="3">
        <f t="shared" si="34"/>
        <v>0</v>
      </c>
    </row>
    <row r="2145" spans="12:15" x14ac:dyDescent="0.25">
      <c r="L2145" s="3" t="e">
        <f>VLOOKUP(C2145,Securities!A:D,4,FALSE)</f>
        <v>#N/A</v>
      </c>
      <c r="M2145" s="3" t="e">
        <f>VLOOKUP(C2145,Securities!A:B,2,FALSE)</f>
        <v>#N/A</v>
      </c>
      <c r="O2145" s="3">
        <f t="shared" si="34"/>
        <v>0</v>
      </c>
    </row>
    <row r="2146" spans="12:15" x14ac:dyDescent="0.25">
      <c r="L2146" s="3" t="e">
        <f>VLOOKUP(C2146,Securities!A:D,4,FALSE)</f>
        <v>#N/A</v>
      </c>
      <c r="M2146" s="3" t="e">
        <f>VLOOKUP(C2146,Securities!A:B,2,FALSE)</f>
        <v>#N/A</v>
      </c>
      <c r="O2146" s="3">
        <f t="shared" si="34"/>
        <v>0</v>
      </c>
    </row>
    <row r="2147" spans="12:15" x14ac:dyDescent="0.25">
      <c r="L2147" s="3" t="e">
        <f>VLOOKUP(C2147,Securities!A:D,4,FALSE)</f>
        <v>#N/A</v>
      </c>
      <c r="M2147" s="3" t="e">
        <f>VLOOKUP(C2147,Securities!A:B,2,FALSE)</f>
        <v>#N/A</v>
      </c>
      <c r="O2147" s="3">
        <f t="shared" si="34"/>
        <v>0</v>
      </c>
    </row>
    <row r="2148" spans="12:15" x14ac:dyDescent="0.25">
      <c r="L2148" s="3" t="e">
        <f>VLOOKUP(C2148,Securities!A:D,4,FALSE)</f>
        <v>#N/A</v>
      </c>
      <c r="M2148" s="3" t="e">
        <f>VLOOKUP(C2148,Securities!A:B,2,FALSE)</f>
        <v>#N/A</v>
      </c>
      <c r="O2148" s="3">
        <f t="shared" si="34"/>
        <v>0</v>
      </c>
    </row>
    <row r="2149" spans="12:15" x14ac:dyDescent="0.25">
      <c r="L2149" s="3" t="e">
        <f>VLOOKUP(C2149,Securities!A:D,4,FALSE)</f>
        <v>#N/A</v>
      </c>
      <c r="M2149" s="3" t="e">
        <f>VLOOKUP(C2149,Securities!A:B,2,FALSE)</f>
        <v>#N/A</v>
      </c>
      <c r="O2149" s="3">
        <f t="shared" si="34"/>
        <v>0</v>
      </c>
    </row>
    <row r="2150" spans="12:15" x14ac:dyDescent="0.25">
      <c r="L2150" s="3" t="e">
        <f>VLOOKUP(C2150,Securities!A:D,4,FALSE)</f>
        <v>#N/A</v>
      </c>
      <c r="M2150" s="3" t="e">
        <f>VLOOKUP(C2150,Securities!A:B,2,FALSE)</f>
        <v>#N/A</v>
      </c>
      <c r="O2150" s="3">
        <f t="shared" si="34"/>
        <v>0</v>
      </c>
    </row>
    <row r="2151" spans="12:15" x14ac:dyDescent="0.25">
      <c r="L2151" s="3" t="e">
        <f>VLOOKUP(C2151,Securities!A:D,4,FALSE)</f>
        <v>#N/A</v>
      </c>
      <c r="M2151" s="3" t="e">
        <f>VLOOKUP(C2151,Securities!A:B,2,FALSE)</f>
        <v>#N/A</v>
      </c>
      <c r="O2151" s="3">
        <f t="shared" si="34"/>
        <v>0</v>
      </c>
    </row>
    <row r="2152" spans="12:15" x14ac:dyDescent="0.25">
      <c r="L2152" s="3" t="e">
        <f>VLOOKUP(C2152,Securities!A:D,4,FALSE)</f>
        <v>#N/A</v>
      </c>
      <c r="M2152" s="3" t="e">
        <f>VLOOKUP(C2152,Securities!A:B,2,FALSE)</f>
        <v>#N/A</v>
      </c>
      <c r="O2152" s="3">
        <f t="shared" si="34"/>
        <v>0</v>
      </c>
    </row>
    <row r="2153" spans="12:15" x14ac:dyDescent="0.25">
      <c r="L2153" s="3" t="e">
        <f>VLOOKUP(C2153,Securities!A:D,4,FALSE)</f>
        <v>#N/A</v>
      </c>
      <c r="M2153" s="3" t="e">
        <f>VLOOKUP(C2153,Securities!A:B,2,FALSE)</f>
        <v>#N/A</v>
      </c>
      <c r="O2153" s="3">
        <f t="shared" si="34"/>
        <v>0</v>
      </c>
    </row>
    <row r="2154" spans="12:15" x14ac:dyDescent="0.25">
      <c r="L2154" s="3" t="e">
        <f>VLOOKUP(C2154,Securities!A:D,4,FALSE)</f>
        <v>#N/A</v>
      </c>
      <c r="M2154" s="3" t="e">
        <f>VLOOKUP(C2154,Securities!A:B,2,FALSE)</f>
        <v>#N/A</v>
      </c>
      <c r="O2154" s="3">
        <f t="shared" si="34"/>
        <v>0</v>
      </c>
    </row>
    <row r="2155" spans="12:15" x14ac:dyDescent="0.25">
      <c r="L2155" s="3" t="e">
        <f>VLOOKUP(C2155,Securities!A:D,4,FALSE)</f>
        <v>#N/A</v>
      </c>
      <c r="M2155" s="3" t="e">
        <f>VLOOKUP(C2155,Securities!A:B,2,FALSE)</f>
        <v>#N/A</v>
      </c>
      <c r="O2155" s="3">
        <f t="shared" si="34"/>
        <v>0</v>
      </c>
    </row>
    <row r="2156" spans="12:15" x14ac:dyDescent="0.25">
      <c r="L2156" s="3" t="e">
        <f>VLOOKUP(C2156,Securities!A:D,4,FALSE)</f>
        <v>#N/A</v>
      </c>
      <c r="M2156" s="3" t="e">
        <f>VLOOKUP(C2156,Securities!A:B,2,FALSE)</f>
        <v>#N/A</v>
      </c>
      <c r="O2156" s="3">
        <f t="shared" si="34"/>
        <v>0</v>
      </c>
    </row>
    <row r="2157" spans="12:15" x14ac:dyDescent="0.25">
      <c r="L2157" s="3" t="e">
        <f>VLOOKUP(C2157,Securities!A:D,4,FALSE)</f>
        <v>#N/A</v>
      </c>
      <c r="M2157" s="3" t="e">
        <f>VLOOKUP(C2157,Securities!A:B,2,FALSE)</f>
        <v>#N/A</v>
      </c>
      <c r="O2157" s="3">
        <f t="shared" si="34"/>
        <v>0</v>
      </c>
    </row>
    <row r="2158" spans="12:15" x14ac:dyDescent="0.25">
      <c r="L2158" s="3" t="e">
        <f>VLOOKUP(C2158,Securities!A:D,4,FALSE)</f>
        <v>#N/A</v>
      </c>
      <c r="M2158" s="3" t="e">
        <f>VLOOKUP(C2158,Securities!A:B,2,FALSE)</f>
        <v>#N/A</v>
      </c>
      <c r="O2158" s="3">
        <f t="shared" si="34"/>
        <v>0</v>
      </c>
    </row>
    <row r="2159" spans="12:15" x14ac:dyDescent="0.25">
      <c r="L2159" s="3" t="e">
        <f>VLOOKUP(C2159,Securities!A:D,4,FALSE)</f>
        <v>#N/A</v>
      </c>
      <c r="M2159" s="3" t="e">
        <f>VLOOKUP(C2159,Securities!A:B,2,FALSE)</f>
        <v>#N/A</v>
      </c>
      <c r="O2159" s="3">
        <f t="shared" si="34"/>
        <v>0</v>
      </c>
    </row>
    <row r="2160" spans="12:15" x14ac:dyDescent="0.25">
      <c r="L2160" s="3" t="e">
        <f>VLOOKUP(C2160,Securities!A:D,4,FALSE)</f>
        <v>#N/A</v>
      </c>
      <c r="M2160" s="3" t="e">
        <f>VLOOKUP(C2160,Securities!A:B,2,FALSE)</f>
        <v>#N/A</v>
      </c>
      <c r="O2160" s="3">
        <f t="shared" si="34"/>
        <v>0</v>
      </c>
    </row>
    <row r="2161" spans="12:15" x14ac:dyDescent="0.25">
      <c r="L2161" s="3" t="e">
        <f>VLOOKUP(C2161,Securities!A:D,4,FALSE)</f>
        <v>#N/A</v>
      </c>
      <c r="M2161" s="3" t="e">
        <f>VLOOKUP(C2161,Securities!A:B,2,FALSE)</f>
        <v>#N/A</v>
      </c>
      <c r="O2161" s="3">
        <f t="shared" si="34"/>
        <v>0</v>
      </c>
    </row>
    <row r="2162" spans="12:15" x14ac:dyDescent="0.25">
      <c r="L2162" s="3" t="e">
        <f>VLOOKUP(C2162,Securities!A:D,4,FALSE)</f>
        <v>#N/A</v>
      </c>
      <c r="M2162" s="3" t="e">
        <f>VLOOKUP(C2162,Securities!A:B,2,FALSE)</f>
        <v>#N/A</v>
      </c>
      <c r="O2162" s="3">
        <f t="shared" si="34"/>
        <v>0</v>
      </c>
    </row>
    <row r="2163" spans="12:15" x14ac:dyDescent="0.25">
      <c r="L2163" s="3" t="e">
        <f>VLOOKUP(C2163,Securities!A:D,4,FALSE)</f>
        <v>#N/A</v>
      </c>
      <c r="M2163" s="3" t="e">
        <f>VLOOKUP(C2163,Securities!A:B,2,FALSE)</f>
        <v>#N/A</v>
      </c>
      <c r="O2163" s="3">
        <f t="shared" si="34"/>
        <v>0</v>
      </c>
    </row>
    <row r="2164" spans="12:15" x14ac:dyDescent="0.25">
      <c r="L2164" s="3" t="e">
        <f>VLOOKUP(C2164,Securities!A:D,4,FALSE)</f>
        <v>#N/A</v>
      </c>
      <c r="M2164" s="3" t="e">
        <f>VLOOKUP(C2164,Securities!A:B,2,FALSE)</f>
        <v>#N/A</v>
      </c>
      <c r="O2164" s="3">
        <f t="shared" si="34"/>
        <v>0</v>
      </c>
    </row>
    <row r="2165" spans="12:15" x14ac:dyDescent="0.25">
      <c r="L2165" s="3" t="e">
        <f>VLOOKUP(C2165,Securities!A:D,4,FALSE)</f>
        <v>#N/A</v>
      </c>
      <c r="M2165" s="3" t="e">
        <f>VLOOKUP(C2165,Securities!A:B,2,FALSE)</f>
        <v>#N/A</v>
      </c>
      <c r="O2165" s="3">
        <f t="shared" si="34"/>
        <v>0</v>
      </c>
    </row>
    <row r="2166" spans="12:15" x14ac:dyDescent="0.25">
      <c r="L2166" s="3" t="e">
        <f>VLOOKUP(C2166,Securities!A:D,4,FALSE)</f>
        <v>#N/A</v>
      </c>
      <c r="M2166" s="3" t="e">
        <f>VLOOKUP(C2166,Securities!A:B,2,FALSE)</f>
        <v>#N/A</v>
      </c>
      <c r="O2166" s="3">
        <f t="shared" si="34"/>
        <v>0</v>
      </c>
    </row>
    <row r="2167" spans="12:15" x14ac:dyDescent="0.25">
      <c r="L2167" s="3" t="e">
        <f>VLOOKUP(C2167,Securities!A:D,4,FALSE)</f>
        <v>#N/A</v>
      </c>
      <c r="M2167" s="3" t="e">
        <f>VLOOKUP(C2167,Securities!A:B,2,FALSE)</f>
        <v>#N/A</v>
      </c>
      <c r="O2167" s="3">
        <f t="shared" si="34"/>
        <v>0</v>
      </c>
    </row>
    <row r="2168" spans="12:15" x14ac:dyDescent="0.25">
      <c r="L2168" s="3" t="e">
        <f>VLOOKUP(C2168,Securities!A:D,4,FALSE)</f>
        <v>#N/A</v>
      </c>
      <c r="M2168" s="3" t="e">
        <f>VLOOKUP(C2168,Securities!A:B,2,FALSE)</f>
        <v>#N/A</v>
      </c>
      <c r="O2168" s="3">
        <f t="shared" si="34"/>
        <v>0</v>
      </c>
    </row>
    <row r="2169" spans="12:15" x14ac:dyDescent="0.25">
      <c r="L2169" s="3" t="e">
        <f>VLOOKUP(C2169,Securities!A:D,4,FALSE)</f>
        <v>#N/A</v>
      </c>
      <c r="M2169" s="3" t="e">
        <f>VLOOKUP(C2169,Securities!A:B,2,FALSE)</f>
        <v>#N/A</v>
      </c>
      <c r="O2169" s="3">
        <f t="shared" si="34"/>
        <v>0</v>
      </c>
    </row>
    <row r="2170" spans="12:15" x14ac:dyDescent="0.25">
      <c r="L2170" s="3" t="e">
        <f>VLOOKUP(C2170,Securities!A:D,4,FALSE)</f>
        <v>#N/A</v>
      </c>
      <c r="M2170" s="3" t="e">
        <f>VLOOKUP(C2170,Securities!A:B,2,FALSE)</f>
        <v>#N/A</v>
      </c>
      <c r="O2170" s="3">
        <f t="shared" si="34"/>
        <v>0</v>
      </c>
    </row>
    <row r="2171" spans="12:15" x14ac:dyDescent="0.25">
      <c r="L2171" s="3" t="e">
        <f>VLOOKUP(C2171,Securities!A:D,4,FALSE)</f>
        <v>#N/A</v>
      </c>
      <c r="M2171" s="3" t="e">
        <f>VLOOKUP(C2171,Securities!A:B,2,FALSE)</f>
        <v>#N/A</v>
      </c>
      <c r="O2171" s="3">
        <f t="shared" si="34"/>
        <v>0</v>
      </c>
    </row>
    <row r="2172" spans="12:15" x14ac:dyDescent="0.25">
      <c r="L2172" s="3" t="e">
        <f>VLOOKUP(C2172,Securities!A:D,4,FALSE)</f>
        <v>#N/A</v>
      </c>
      <c r="M2172" s="3" t="e">
        <f>VLOOKUP(C2172,Securities!A:B,2,FALSE)</f>
        <v>#N/A</v>
      </c>
      <c r="O2172" s="3">
        <f t="shared" si="34"/>
        <v>0</v>
      </c>
    </row>
    <row r="2173" spans="12:15" x14ac:dyDescent="0.25">
      <c r="L2173" s="3" t="e">
        <f>VLOOKUP(C2173,Securities!A:D,4,FALSE)</f>
        <v>#N/A</v>
      </c>
      <c r="M2173" s="3" t="e">
        <f>VLOOKUP(C2173,Securities!A:B,2,FALSE)</f>
        <v>#N/A</v>
      </c>
      <c r="O2173" s="3">
        <f t="shared" si="34"/>
        <v>0</v>
      </c>
    </row>
    <row r="2174" spans="12:15" x14ac:dyDescent="0.25">
      <c r="L2174" s="3" t="e">
        <f>VLOOKUP(C2174,Securities!A:D,4,FALSE)</f>
        <v>#N/A</v>
      </c>
      <c r="M2174" s="3" t="e">
        <f>VLOOKUP(C2174,Securities!A:B,2,FALSE)</f>
        <v>#N/A</v>
      </c>
      <c r="O2174" s="3">
        <f t="shared" si="34"/>
        <v>0</v>
      </c>
    </row>
    <row r="2175" spans="12:15" x14ac:dyDescent="0.25">
      <c r="L2175" s="3" t="e">
        <f>VLOOKUP(C2175,Securities!A:D,4,FALSE)</f>
        <v>#N/A</v>
      </c>
      <c r="M2175" s="3" t="e">
        <f>VLOOKUP(C2175,Securities!A:B,2,FALSE)</f>
        <v>#N/A</v>
      </c>
      <c r="O2175" s="3">
        <f t="shared" si="34"/>
        <v>0</v>
      </c>
    </row>
    <row r="2176" spans="12:15" x14ac:dyDescent="0.25">
      <c r="L2176" s="3" t="e">
        <f>VLOOKUP(C2176,Securities!A:D,4,FALSE)</f>
        <v>#N/A</v>
      </c>
      <c r="M2176" s="3" t="e">
        <f>VLOOKUP(C2176,Securities!A:B,2,FALSE)</f>
        <v>#N/A</v>
      </c>
      <c r="O2176" s="3">
        <f t="shared" si="34"/>
        <v>0</v>
      </c>
    </row>
    <row r="2177" spans="12:15" x14ac:dyDescent="0.25">
      <c r="L2177" s="3" t="e">
        <f>VLOOKUP(C2177,Securities!A:D,4,FALSE)</f>
        <v>#N/A</v>
      </c>
      <c r="M2177" s="3" t="e">
        <f>VLOOKUP(C2177,Securities!A:B,2,FALSE)</f>
        <v>#N/A</v>
      </c>
      <c r="O2177" s="3">
        <f t="shared" si="34"/>
        <v>0</v>
      </c>
    </row>
    <row r="2178" spans="12:15" x14ac:dyDescent="0.25">
      <c r="L2178" s="3" t="e">
        <f>VLOOKUP(C2178,Securities!A:D,4,FALSE)</f>
        <v>#N/A</v>
      </c>
      <c r="M2178" s="3" t="e">
        <f>VLOOKUP(C2178,Securities!A:B,2,FALSE)</f>
        <v>#N/A</v>
      </c>
      <c r="O2178" s="3">
        <f t="shared" si="34"/>
        <v>0</v>
      </c>
    </row>
    <row r="2179" spans="12:15" x14ac:dyDescent="0.25">
      <c r="L2179" s="3" t="e">
        <f>VLOOKUP(C2179,Securities!A:D,4,FALSE)</f>
        <v>#N/A</v>
      </c>
      <c r="M2179" s="3" t="e">
        <f>VLOOKUP(C2179,Securities!A:B,2,FALSE)</f>
        <v>#N/A</v>
      </c>
      <c r="O2179" s="3">
        <f t="shared" si="34"/>
        <v>0</v>
      </c>
    </row>
    <row r="2180" spans="12:15" x14ac:dyDescent="0.25">
      <c r="L2180" s="3" t="e">
        <f>VLOOKUP(C2180,Securities!A:D,4,FALSE)</f>
        <v>#N/A</v>
      </c>
      <c r="M2180" s="3" t="e">
        <f>VLOOKUP(C2180,Securities!A:B,2,FALSE)</f>
        <v>#N/A</v>
      </c>
      <c r="O2180" s="3">
        <f t="shared" si="34"/>
        <v>0</v>
      </c>
    </row>
    <row r="2181" spans="12:15" x14ac:dyDescent="0.25">
      <c r="L2181" s="3" t="e">
        <f>VLOOKUP(C2181,Securities!A:D,4,FALSE)</f>
        <v>#N/A</v>
      </c>
      <c r="M2181" s="3" t="e">
        <f>VLOOKUP(C2181,Securities!A:B,2,FALSE)</f>
        <v>#N/A</v>
      </c>
      <c r="O2181" s="3">
        <f t="shared" si="34"/>
        <v>0</v>
      </c>
    </row>
    <row r="2182" spans="12:15" x14ac:dyDescent="0.25">
      <c r="L2182" s="3" t="e">
        <f>VLOOKUP(C2182,Securities!A:D,4,FALSE)</f>
        <v>#N/A</v>
      </c>
      <c r="M2182" s="3" t="e">
        <f>VLOOKUP(C2182,Securities!A:B,2,FALSE)</f>
        <v>#N/A</v>
      </c>
      <c r="O2182" s="3">
        <f t="shared" ref="O2182:O2245" si="35">SUMIFS(E:E,C:C,C2182,B:B,B2182)</f>
        <v>0</v>
      </c>
    </row>
    <row r="2183" spans="12:15" x14ac:dyDescent="0.25">
      <c r="L2183" s="3" t="e">
        <f>VLOOKUP(C2183,Securities!A:D,4,FALSE)</f>
        <v>#N/A</v>
      </c>
      <c r="M2183" s="3" t="e">
        <f>VLOOKUP(C2183,Securities!A:B,2,FALSE)</f>
        <v>#N/A</v>
      </c>
      <c r="O2183" s="3">
        <f t="shared" si="35"/>
        <v>0</v>
      </c>
    </row>
    <row r="2184" spans="12:15" x14ac:dyDescent="0.25">
      <c r="L2184" s="3" t="e">
        <f>VLOOKUP(C2184,Securities!A:D,4,FALSE)</f>
        <v>#N/A</v>
      </c>
      <c r="M2184" s="3" t="e">
        <f>VLOOKUP(C2184,Securities!A:B,2,FALSE)</f>
        <v>#N/A</v>
      </c>
      <c r="O2184" s="3">
        <f t="shared" si="35"/>
        <v>0</v>
      </c>
    </row>
    <row r="2185" spans="12:15" x14ac:dyDescent="0.25">
      <c r="L2185" s="3" t="e">
        <f>VLOOKUP(C2185,Securities!A:D,4,FALSE)</f>
        <v>#N/A</v>
      </c>
      <c r="M2185" s="3" t="e">
        <f>VLOOKUP(C2185,Securities!A:B,2,FALSE)</f>
        <v>#N/A</v>
      </c>
      <c r="O2185" s="3">
        <f t="shared" si="35"/>
        <v>0</v>
      </c>
    </row>
    <row r="2186" spans="12:15" x14ac:dyDescent="0.25">
      <c r="L2186" s="3" t="e">
        <f>VLOOKUP(C2186,Securities!A:D,4,FALSE)</f>
        <v>#N/A</v>
      </c>
      <c r="M2186" s="3" t="e">
        <f>VLOOKUP(C2186,Securities!A:B,2,FALSE)</f>
        <v>#N/A</v>
      </c>
      <c r="O2186" s="3">
        <f t="shared" si="35"/>
        <v>0</v>
      </c>
    </row>
    <row r="2187" spans="12:15" x14ac:dyDescent="0.25">
      <c r="L2187" s="3" t="e">
        <f>VLOOKUP(C2187,Securities!A:D,4,FALSE)</f>
        <v>#N/A</v>
      </c>
      <c r="M2187" s="3" t="e">
        <f>VLOOKUP(C2187,Securities!A:B,2,FALSE)</f>
        <v>#N/A</v>
      </c>
      <c r="O2187" s="3">
        <f t="shared" si="35"/>
        <v>0</v>
      </c>
    </row>
    <row r="2188" spans="12:15" x14ac:dyDescent="0.25">
      <c r="L2188" s="3" t="e">
        <f>VLOOKUP(C2188,Securities!A:D,4,FALSE)</f>
        <v>#N/A</v>
      </c>
      <c r="M2188" s="3" t="e">
        <f>VLOOKUP(C2188,Securities!A:B,2,FALSE)</f>
        <v>#N/A</v>
      </c>
      <c r="O2188" s="3">
        <f t="shared" si="35"/>
        <v>0</v>
      </c>
    </row>
    <row r="2189" spans="12:15" x14ac:dyDescent="0.25">
      <c r="L2189" s="3" t="e">
        <f>VLOOKUP(C2189,Securities!A:D,4,FALSE)</f>
        <v>#N/A</v>
      </c>
      <c r="M2189" s="3" t="e">
        <f>VLOOKUP(C2189,Securities!A:B,2,FALSE)</f>
        <v>#N/A</v>
      </c>
      <c r="O2189" s="3">
        <f t="shared" si="35"/>
        <v>0</v>
      </c>
    </row>
    <row r="2190" spans="12:15" x14ac:dyDescent="0.25">
      <c r="L2190" s="3" t="e">
        <f>VLOOKUP(C2190,Securities!A:D,4,FALSE)</f>
        <v>#N/A</v>
      </c>
      <c r="M2190" s="3" t="e">
        <f>VLOOKUP(C2190,Securities!A:B,2,FALSE)</f>
        <v>#N/A</v>
      </c>
      <c r="O2190" s="3">
        <f t="shared" si="35"/>
        <v>0</v>
      </c>
    </row>
    <row r="2191" spans="12:15" x14ac:dyDescent="0.25">
      <c r="L2191" s="3" t="e">
        <f>VLOOKUP(C2191,Securities!A:D,4,FALSE)</f>
        <v>#N/A</v>
      </c>
      <c r="M2191" s="3" t="e">
        <f>VLOOKUP(C2191,Securities!A:B,2,FALSE)</f>
        <v>#N/A</v>
      </c>
      <c r="O2191" s="3">
        <f t="shared" si="35"/>
        <v>0</v>
      </c>
    </row>
    <row r="2192" spans="12:15" x14ac:dyDescent="0.25">
      <c r="L2192" s="3" t="e">
        <f>VLOOKUP(C2192,Securities!A:D,4,FALSE)</f>
        <v>#N/A</v>
      </c>
      <c r="M2192" s="3" t="e">
        <f>VLOOKUP(C2192,Securities!A:B,2,FALSE)</f>
        <v>#N/A</v>
      </c>
      <c r="O2192" s="3">
        <f t="shared" si="35"/>
        <v>0</v>
      </c>
    </row>
    <row r="2193" spans="12:15" x14ac:dyDescent="0.25">
      <c r="L2193" s="3" t="e">
        <f>VLOOKUP(C2193,Securities!A:D,4,FALSE)</f>
        <v>#N/A</v>
      </c>
      <c r="M2193" s="3" t="e">
        <f>VLOOKUP(C2193,Securities!A:B,2,FALSE)</f>
        <v>#N/A</v>
      </c>
      <c r="O2193" s="3">
        <f t="shared" si="35"/>
        <v>0</v>
      </c>
    </row>
    <row r="2194" spans="12:15" x14ac:dyDescent="0.25">
      <c r="L2194" s="3" t="e">
        <f>VLOOKUP(C2194,Securities!A:D,4,FALSE)</f>
        <v>#N/A</v>
      </c>
      <c r="M2194" s="3" t="e">
        <f>VLOOKUP(C2194,Securities!A:B,2,FALSE)</f>
        <v>#N/A</v>
      </c>
      <c r="O2194" s="3">
        <f t="shared" si="35"/>
        <v>0</v>
      </c>
    </row>
    <row r="2195" spans="12:15" x14ac:dyDescent="0.25">
      <c r="L2195" s="3" t="e">
        <f>VLOOKUP(C2195,Securities!A:D,4,FALSE)</f>
        <v>#N/A</v>
      </c>
      <c r="M2195" s="3" t="e">
        <f>VLOOKUP(C2195,Securities!A:B,2,FALSE)</f>
        <v>#N/A</v>
      </c>
      <c r="O2195" s="3">
        <f t="shared" si="35"/>
        <v>0</v>
      </c>
    </row>
    <row r="2196" spans="12:15" x14ac:dyDescent="0.25">
      <c r="L2196" s="3" t="e">
        <f>VLOOKUP(C2196,Securities!A:D,4,FALSE)</f>
        <v>#N/A</v>
      </c>
      <c r="M2196" s="3" t="e">
        <f>VLOOKUP(C2196,Securities!A:B,2,FALSE)</f>
        <v>#N/A</v>
      </c>
      <c r="O2196" s="3">
        <f t="shared" si="35"/>
        <v>0</v>
      </c>
    </row>
    <row r="2197" spans="12:15" x14ac:dyDescent="0.25">
      <c r="L2197" s="3" t="e">
        <f>VLOOKUP(C2197,Securities!A:D,4,FALSE)</f>
        <v>#N/A</v>
      </c>
      <c r="M2197" s="3" t="e">
        <f>VLOOKUP(C2197,Securities!A:B,2,FALSE)</f>
        <v>#N/A</v>
      </c>
      <c r="O2197" s="3">
        <f t="shared" si="35"/>
        <v>0</v>
      </c>
    </row>
    <row r="2198" spans="12:15" x14ac:dyDescent="0.25">
      <c r="L2198" s="3" t="e">
        <f>VLOOKUP(C2198,Securities!A:D,4,FALSE)</f>
        <v>#N/A</v>
      </c>
      <c r="M2198" s="3" t="e">
        <f>VLOOKUP(C2198,Securities!A:B,2,FALSE)</f>
        <v>#N/A</v>
      </c>
      <c r="O2198" s="3">
        <f t="shared" si="35"/>
        <v>0</v>
      </c>
    </row>
    <row r="2199" spans="12:15" x14ac:dyDescent="0.25">
      <c r="L2199" s="3" t="e">
        <f>VLOOKUP(C2199,Securities!A:D,4,FALSE)</f>
        <v>#N/A</v>
      </c>
      <c r="M2199" s="3" t="e">
        <f>VLOOKUP(C2199,Securities!A:B,2,FALSE)</f>
        <v>#N/A</v>
      </c>
      <c r="O2199" s="3">
        <f t="shared" si="35"/>
        <v>0</v>
      </c>
    </row>
    <row r="2200" spans="12:15" x14ac:dyDescent="0.25">
      <c r="L2200" s="3" t="e">
        <f>VLOOKUP(C2200,Securities!A:D,4,FALSE)</f>
        <v>#N/A</v>
      </c>
      <c r="M2200" s="3" t="e">
        <f>VLOOKUP(C2200,Securities!A:B,2,FALSE)</f>
        <v>#N/A</v>
      </c>
      <c r="O2200" s="3">
        <f t="shared" si="35"/>
        <v>0</v>
      </c>
    </row>
    <row r="2201" spans="12:15" x14ac:dyDescent="0.25">
      <c r="L2201" s="3" t="e">
        <f>VLOOKUP(C2201,Securities!A:D,4,FALSE)</f>
        <v>#N/A</v>
      </c>
      <c r="M2201" s="3" t="e">
        <f>VLOOKUP(C2201,Securities!A:B,2,FALSE)</f>
        <v>#N/A</v>
      </c>
      <c r="O2201" s="3">
        <f t="shared" si="35"/>
        <v>0</v>
      </c>
    </row>
    <row r="2202" spans="12:15" x14ac:dyDescent="0.25">
      <c r="L2202" s="3" t="e">
        <f>VLOOKUP(C2202,Securities!A:D,4,FALSE)</f>
        <v>#N/A</v>
      </c>
      <c r="M2202" s="3" t="e">
        <f>VLOOKUP(C2202,Securities!A:B,2,FALSE)</f>
        <v>#N/A</v>
      </c>
      <c r="O2202" s="3">
        <f t="shared" si="35"/>
        <v>0</v>
      </c>
    </row>
    <row r="2203" spans="12:15" x14ac:dyDescent="0.25">
      <c r="L2203" s="3" t="e">
        <f>VLOOKUP(C2203,Securities!A:D,4,FALSE)</f>
        <v>#N/A</v>
      </c>
      <c r="M2203" s="3" t="e">
        <f>VLOOKUP(C2203,Securities!A:B,2,FALSE)</f>
        <v>#N/A</v>
      </c>
      <c r="O2203" s="3">
        <f t="shared" si="35"/>
        <v>0</v>
      </c>
    </row>
    <row r="2204" spans="12:15" x14ac:dyDescent="0.25">
      <c r="L2204" s="3" t="e">
        <f>VLOOKUP(C2204,Securities!A:D,4,FALSE)</f>
        <v>#N/A</v>
      </c>
      <c r="M2204" s="3" t="e">
        <f>VLOOKUP(C2204,Securities!A:B,2,FALSE)</f>
        <v>#N/A</v>
      </c>
      <c r="O2204" s="3">
        <f t="shared" si="35"/>
        <v>0</v>
      </c>
    </row>
    <row r="2205" spans="12:15" x14ac:dyDescent="0.25">
      <c r="L2205" s="3" t="e">
        <f>VLOOKUP(C2205,Securities!A:D,4,FALSE)</f>
        <v>#N/A</v>
      </c>
      <c r="M2205" s="3" t="e">
        <f>VLOOKUP(C2205,Securities!A:B,2,FALSE)</f>
        <v>#N/A</v>
      </c>
      <c r="O2205" s="3">
        <f t="shared" si="35"/>
        <v>0</v>
      </c>
    </row>
    <row r="2206" spans="12:15" x14ac:dyDescent="0.25">
      <c r="L2206" s="3" t="e">
        <f>VLOOKUP(C2206,Securities!A:D,4,FALSE)</f>
        <v>#N/A</v>
      </c>
      <c r="M2206" s="3" t="e">
        <f>VLOOKUP(C2206,Securities!A:B,2,FALSE)</f>
        <v>#N/A</v>
      </c>
      <c r="O2206" s="3">
        <f t="shared" si="35"/>
        <v>0</v>
      </c>
    </row>
    <row r="2207" spans="12:15" x14ac:dyDescent="0.25">
      <c r="L2207" s="3" t="e">
        <f>VLOOKUP(C2207,Securities!A:D,4,FALSE)</f>
        <v>#N/A</v>
      </c>
      <c r="M2207" s="3" t="e">
        <f>VLOOKUP(C2207,Securities!A:B,2,FALSE)</f>
        <v>#N/A</v>
      </c>
      <c r="O2207" s="3">
        <f t="shared" si="35"/>
        <v>0</v>
      </c>
    </row>
    <row r="2208" spans="12:15" x14ac:dyDescent="0.25">
      <c r="L2208" s="3" t="e">
        <f>VLOOKUP(C2208,Securities!A:D,4,FALSE)</f>
        <v>#N/A</v>
      </c>
      <c r="M2208" s="3" t="e">
        <f>VLOOKUP(C2208,Securities!A:B,2,FALSE)</f>
        <v>#N/A</v>
      </c>
      <c r="O2208" s="3">
        <f t="shared" si="35"/>
        <v>0</v>
      </c>
    </row>
    <row r="2209" spans="12:15" x14ac:dyDescent="0.25">
      <c r="L2209" s="3" t="e">
        <f>VLOOKUP(C2209,Securities!A:D,4,FALSE)</f>
        <v>#N/A</v>
      </c>
      <c r="M2209" s="3" t="e">
        <f>VLOOKUP(C2209,Securities!A:B,2,FALSE)</f>
        <v>#N/A</v>
      </c>
      <c r="O2209" s="3">
        <f t="shared" si="35"/>
        <v>0</v>
      </c>
    </row>
    <row r="2210" spans="12:15" x14ac:dyDescent="0.25">
      <c r="L2210" s="3" t="e">
        <f>VLOOKUP(C2210,Securities!A:D,4,FALSE)</f>
        <v>#N/A</v>
      </c>
      <c r="M2210" s="3" t="e">
        <f>VLOOKUP(C2210,Securities!A:B,2,FALSE)</f>
        <v>#N/A</v>
      </c>
      <c r="O2210" s="3">
        <f t="shared" si="35"/>
        <v>0</v>
      </c>
    </row>
    <row r="2211" spans="12:15" x14ac:dyDescent="0.25">
      <c r="L2211" s="3" t="e">
        <f>VLOOKUP(C2211,Securities!A:D,4,FALSE)</f>
        <v>#N/A</v>
      </c>
      <c r="M2211" s="3" t="e">
        <f>VLOOKUP(C2211,Securities!A:B,2,FALSE)</f>
        <v>#N/A</v>
      </c>
      <c r="O2211" s="3">
        <f t="shared" si="35"/>
        <v>0</v>
      </c>
    </row>
    <row r="2212" spans="12:15" x14ac:dyDescent="0.25">
      <c r="L2212" s="3" t="e">
        <f>VLOOKUP(C2212,Securities!A:D,4,FALSE)</f>
        <v>#N/A</v>
      </c>
      <c r="M2212" s="3" t="e">
        <f>VLOOKUP(C2212,Securities!A:B,2,FALSE)</f>
        <v>#N/A</v>
      </c>
      <c r="O2212" s="3">
        <f t="shared" si="35"/>
        <v>0</v>
      </c>
    </row>
    <row r="2213" spans="12:15" x14ac:dyDescent="0.25">
      <c r="L2213" s="3" t="e">
        <f>VLOOKUP(C2213,Securities!A:D,4,FALSE)</f>
        <v>#N/A</v>
      </c>
      <c r="M2213" s="3" t="e">
        <f>VLOOKUP(C2213,Securities!A:B,2,FALSE)</f>
        <v>#N/A</v>
      </c>
      <c r="O2213" s="3">
        <f t="shared" si="35"/>
        <v>0</v>
      </c>
    </row>
    <row r="2214" spans="12:15" x14ac:dyDescent="0.25">
      <c r="L2214" s="3" t="e">
        <f>VLOOKUP(C2214,Securities!A:D,4,FALSE)</f>
        <v>#N/A</v>
      </c>
      <c r="M2214" s="3" t="e">
        <f>VLOOKUP(C2214,Securities!A:B,2,FALSE)</f>
        <v>#N/A</v>
      </c>
      <c r="O2214" s="3">
        <f t="shared" si="35"/>
        <v>0</v>
      </c>
    </row>
    <row r="2215" spans="12:15" x14ac:dyDescent="0.25">
      <c r="L2215" s="3" t="e">
        <f>VLOOKUP(C2215,Securities!A:D,4,FALSE)</f>
        <v>#N/A</v>
      </c>
      <c r="M2215" s="3" t="e">
        <f>VLOOKUP(C2215,Securities!A:B,2,FALSE)</f>
        <v>#N/A</v>
      </c>
      <c r="O2215" s="3">
        <f t="shared" si="35"/>
        <v>0</v>
      </c>
    </row>
    <row r="2216" spans="12:15" x14ac:dyDescent="0.25">
      <c r="L2216" s="3" t="e">
        <f>VLOOKUP(C2216,Securities!A:D,4,FALSE)</f>
        <v>#N/A</v>
      </c>
      <c r="M2216" s="3" t="e">
        <f>VLOOKUP(C2216,Securities!A:B,2,FALSE)</f>
        <v>#N/A</v>
      </c>
      <c r="O2216" s="3">
        <f t="shared" si="35"/>
        <v>0</v>
      </c>
    </row>
    <row r="2217" spans="12:15" x14ac:dyDescent="0.25">
      <c r="L2217" s="3" t="e">
        <f>VLOOKUP(C2217,Securities!A:D,4,FALSE)</f>
        <v>#N/A</v>
      </c>
      <c r="M2217" s="3" t="e">
        <f>VLOOKUP(C2217,Securities!A:B,2,FALSE)</f>
        <v>#N/A</v>
      </c>
      <c r="O2217" s="3">
        <f t="shared" si="35"/>
        <v>0</v>
      </c>
    </row>
    <row r="2218" spans="12:15" x14ac:dyDescent="0.25">
      <c r="L2218" s="3" t="e">
        <f>VLOOKUP(C2218,Securities!A:D,4,FALSE)</f>
        <v>#N/A</v>
      </c>
      <c r="M2218" s="3" t="e">
        <f>VLOOKUP(C2218,Securities!A:B,2,FALSE)</f>
        <v>#N/A</v>
      </c>
      <c r="O2218" s="3">
        <f t="shared" si="35"/>
        <v>0</v>
      </c>
    </row>
    <row r="2219" spans="12:15" x14ac:dyDescent="0.25">
      <c r="L2219" s="3" t="e">
        <f>VLOOKUP(C2219,Securities!A:D,4,FALSE)</f>
        <v>#N/A</v>
      </c>
      <c r="M2219" s="3" t="e">
        <f>VLOOKUP(C2219,Securities!A:B,2,FALSE)</f>
        <v>#N/A</v>
      </c>
      <c r="O2219" s="3">
        <f t="shared" si="35"/>
        <v>0</v>
      </c>
    </row>
    <row r="2220" spans="12:15" x14ac:dyDescent="0.25">
      <c r="L2220" s="3" t="e">
        <f>VLOOKUP(C2220,Securities!A:D,4,FALSE)</f>
        <v>#N/A</v>
      </c>
      <c r="M2220" s="3" t="e">
        <f>VLOOKUP(C2220,Securities!A:B,2,FALSE)</f>
        <v>#N/A</v>
      </c>
      <c r="O2220" s="3">
        <f t="shared" si="35"/>
        <v>0</v>
      </c>
    </row>
    <row r="2221" spans="12:15" x14ac:dyDescent="0.25">
      <c r="L2221" s="3" t="e">
        <f>VLOOKUP(C2221,Securities!A:D,4,FALSE)</f>
        <v>#N/A</v>
      </c>
      <c r="M2221" s="3" t="e">
        <f>VLOOKUP(C2221,Securities!A:B,2,FALSE)</f>
        <v>#N/A</v>
      </c>
      <c r="O2221" s="3">
        <f t="shared" si="35"/>
        <v>0</v>
      </c>
    </row>
    <row r="2222" spans="12:15" x14ac:dyDescent="0.25">
      <c r="L2222" s="3" t="e">
        <f>VLOOKUP(C2222,Securities!A:D,4,FALSE)</f>
        <v>#N/A</v>
      </c>
      <c r="M2222" s="3" t="e">
        <f>VLOOKUP(C2222,Securities!A:B,2,FALSE)</f>
        <v>#N/A</v>
      </c>
      <c r="O2222" s="3">
        <f t="shared" si="35"/>
        <v>0</v>
      </c>
    </row>
    <row r="2223" spans="12:15" x14ac:dyDescent="0.25">
      <c r="L2223" s="3" t="e">
        <f>VLOOKUP(C2223,Securities!A:D,4,FALSE)</f>
        <v>#N/A</v>
      </c>
      <c r="M2223" s="3" t="e">
        <f>VLOOKUP(C2223,Securities!A:B,2,FALSE)</f>
        <v>#N/A</v>
      </c>
      <c r="O2223" s="3">
        <f t="shared" si="35"/>
        <v>0</v>
      </c>
    </row>
    <row r="2224" spans="12:15" x14ac:dyDescent="0.25">
      <c r="L2224" s="3" t="e">
        <f>VLOOKUP(C2224,Securities!A:D,4,FALSE)</f>
        <v>#N/A</v>
      </c>
      <c r="M2224" s="3" t="e">
        <f>VLOOKUP(C2224,Securities!A:B,2,FALSE)</f>
        <v>#N/A</v>
      </c>
      <c r="O2224" s="3">
        <f t="shared" si="35"/>
        <v>0</v>
      </c>
    </row>
    <row r="2225" spans="12:15" x14ac:dyDescent="0.25">
      <c r="L2225" s="3" t="e">
        <f>VLOOKUP(C2225,Securities!A:D,4,FALSE)</f>
        <v>#N/A</v>
      </c>
      <c r="M2225" s="3" t="e">
        <f>VLOOKUP(C2225,Securities!A:B,2,FALSE)</f>
        <v>#N/A</v>
      </c>
      <c r="O2225" s="3">
        <f t="shared" si="35"/>
        <v>0</v>
      </c>
    </row>
    <row r="2226" spans="12:15" x14ac:dyDescent="0.25">
      <c r="L2226" s="3" t="e">
        <f>VLOOKUP(C2226,Securities!A:D,4,FALSE)</f>
        <v>#N/A</v>
      </c>
      <c r="M2226" s="3" t="e">
        <f>VLOOKUP(C2226,Securities!A:B,2,FALSE)</f>
        <v>#N/A</v>
      </c>
      <c r="O2226" s="3">
        <f t="shared" si="35"/>
        <v>0</v>
      </c>
    </row>
    <row r="2227" spans="12:15" x14ac:dyDescent="0.25">
      <c r="L2227" s="3" t="e">
        <f>VLOOKUP(C2227,Securities!A:D,4,FALSE)</f>
        <v>#N/A</v>
      </c>
      <c r="M2227" s="3" t="e">
        <f>VLOOKUP(C2227,Securities!A:B,2,FALSE)</f>
        <v>#N/A</v>
      </c>
      <c r="O2227" s="3">
        <f t="shared" si="35"/>
        <v>0</v>
      </c>
    </row>
    <row r="2228" spans="12:15" x14ac:dyDescent="0.25">
      <c r="L2228" s="3" t="e">
        <f>VLOOKUP(C2228,Securities!A:D,4,FALSE)</f>
        <v>#N/A</v>
      </c>
      <c r="M2228" s="3" t="e">
        <f>VLOOKUP(C2228,Securities!A:B,2,FALSE)</f>
        <v>#N/A</v>
      </c>
      <c r="O2228" s="3">
        <f t="shared" si="35"/>
        <v>0</v>
      </c>
    </row>
    <row r="2229" spans="12:15" x14ac:dyDescent="0.25">
      <c r="L2229" s="3" t="e">
        <f>VLOOKUP(C2229,Securities!A:D,4,FALSE)</f>
        <v>#N/A</v>
      </c>
      <c r="M2229" s="3" t="e">
        <f>VLOOKUP(C2229,Securities!A:B,2,FALSE)</f>
        <v>#N/A</v>
      </c>
      <c r="O2229" s="3">
        <f t="shared" si="35"/>
        <v>0</v>
      </c>
    </row>
    <row r="2230" spans="12:15" x14ac:dyDescent="0.25">
      <c r="L2230" s="3" t="e">
        <f>VLOOKUP(C2230,Securities!A:D,4,FALSE)</f>
        <v>#N/A</v>
      </c>
      <c r="M2230" s="3" t="e">
        <f>VLOOKUP(C2230,Securities!A:B,2,FALSE)</f>
        <v>#N/A</v>
      </c>
      <c r="O2230" s="3">
        <f t="shared" si="35"/>
        <v>0</v>
      </c>
    </row>
    <row r="2231" spans="12:15" x14ac:dyDescent="0.25">
      <c r="L2231" s="3" t="e">
        <f>VLOOKUP(C2231,Securities!A:D,4,FALSE)</f>
        <v>#N/A</v>
      </c>
      <c r="M2231" s="3" t="e">
        <f>VLOOKUP(C2231,Securities!A:B,2,FALSE)</f>
        <v>#N/A</v>
      </c>
      <c r="O2231" s="3">
        <f t="shared" si="35"/>
        <v>0</v>
      </c>
    </row>
    <row r="2232" spans="12:15" x14ac:dyDescent="0.25">
      <c r="L2232" s="3" t="e">
        <f>VLOOKUP(C2232,Securities!A:D,4,FALSE)</f>
        <v>#N/A</v>
      </c>
      <c r="M2232" s="3" t="e">
        <f>VLOOKUP(C2232,Securities!A:B,2,FALSE)</f>
        <v>#N/A</v>
      </c>
      <c r="O2232" s="3">
        <f t="shared" si="35"/>
        <v>0</v>
      </c>
    </row>
    <row r="2233" spans="12:15" x14ac:dyDescent="0.25">
      <c r="L2233" s="3" t="e">
        <f>VLOOKUP(C2233,Securities!A:D,4,FALSE)</f>
        <v>#N/A</v>
      </c>
      <c r="M2233" s="3" t="e">
        <f>VLOOKUP(C2233,Securities!A:B,2,FALSE)</f>
        <v>#N/A</v>
      </c>
      <c r="O2233" s="3">
        <f t="shared" si="35"/>
        <v>0</v>
      </c>
    </row>
    <row r="2234" spans="12:15" x14ac:dyDescent="0.25">
      <c r="L2234" s="3" t="e">
        <f>VLOOKUP(C2234,Securities!A:D,4,FALSE)</f>
        <v>#N/A</v>
      </c>
      <c r="M2234" s="3" t="e">
        <f>VLOOKUP(C2234,Securities!A:B,2,FALSE)</f>
        <v>#N/A</v>
      </c>
      <c r="O2234" s="3">
        <f t="shared" si="35"/>
        <v>0</v>
      </c>
    </row>
    <row r="2235" spans="12:15" x14ac:dyDescent="0.25">
      <c r="L2235" s="3" t="e">
        <f>VLOOKUP(C2235,Securities!A:D,4,FALSE)</f>
        <v>#N/A</v>
      </c>
      <c r="M2235" s="3" t="e">
        <f>VLOOKUP(C2235,Securities!A:B,2,FALSE)</f>
        <v>#N/A</v>
      </c>
      <c r="O2235" s="3">
        <f t="shared" si="35"/>
        <v>0</v>
      </c>
    </row>
    <row r="2236" spans="12:15" x14ac:dyDescent="0.25">
      <c r="L2236" s="3" t="e">
        <f>VLOOKUP(C2236,Securities!A:D,4,FALSE)</f>
        <v>#N/A</v>
      </c>
      <c r="M2236" s="3" t="e">
        <f>VLOOKUP(C2236,Securities!A:B,2,FALSE)</f>
        <v>#N/A</v>
      </c>
      <c r="O2236" s="3">
        <f t="shared" si="35"/>
        <v>0</v>
      </c>
    </row>
    <row r="2237" spans="12:15" x14ac:dyDescent="0.25">
      <c r="L2237" s="3" t="e">
        <f>VLOOKUP(C2237,Securities!A:D,4,FALSE)</f>
        <v>#N/A</v>
      </c>
      <c r="M2237" s="3" t="e">
        <f>VLOOKUP(C2237,Securities!A:B,2,FALSE)</f>
        <v>#N/A</v>
      </c>
      <c r="O2237" s="3">
        <f t="shared" si="35"/>
        <v>0</v>
      </c>
    </row>
    <row r="2238" spans="12:15" x14ac:dyDescent="0.25">
      <c r="L2238" s="3" t="e">
        <f>VLOOKUP(C2238,Securities!A:D,4,FALSE)</f>
        <v>#N/A</v>
      </c>
      <c r="M2238" s="3" t="e">
        <f>VLOOKUP(C2238,Securities!A:B,2,FALSE)</f>
        <v>#N/A</v>
      </c>
      <c r="O2238" s="3">
        <f t="shared" si="35"/>
        <v>0</v>
      </c>
    </row>
    <row r="2239" spans="12:15" x14ac:dyDescent="0.25">
      <c r="L2239" s="3" t="e">
        <f>VLOOKUP(C2239,Securities!A:D,4,FALSE)</f>
        <v>#N/A</v>
      </c>
      <c r="M2239" s="3" t="e">
        <f>VLOOKUP(C2239,Securities!A:B,2,FALSE)</f>
        <v>#N/A</v>
      </c>
      <c r="O2239" s="3">
        <f t="shared" si="35"/>
        <v>0</v>
      </c>
    </row>
    <row r="2240" spans="12:15" x14ac:dyDescent="0.25">
      <c r="L2240" s="3" t="e">
        <f>VLOOKUP(C2240,Securities!A:D,4,FALSE)</f>
        <v>#N/A</v>
      </c>
      <c r="M2240" s="3" t="e">
        <f>VLOOKUP(C2240,Securities!A:B,2,FALSE)</f>
        <v>#N/A</v>
      </c>
      <c r="O2240" s="3">
        <f t="shared" si="35"/>
        <v>0</v>
      </c>
    </row>
    <row r="2241" spans="12:15" x14ac:dyDescent="0.25">
      <c r="L2241" s="3" t="e">
        <f>VLOOKUP(C2241,Securities!A:D,4,FALSE)</f>
        <v>#N/A</v>
      </c>
      <c r="M2241" s="3" t="e">
        <f>VLOOKUP(C2241,Securities!A:B,2,FALSE)</f>
        <v>#N/A</v>
      </c>
      <c r="O2241" s="3">
        <f t="shared" si="35"/>
        <v>0</v>
      </c>
    </row>
    <row r="2242" spans="12:15" x14ac:dyDescent="0.25">
      <c r="L2242" s="3" t="e">
        <f>VLOOKUP(C2242,Securities!A:D,4,FALSE)</f>
        <v>#N/A</v>
      </c>
      <c r="M2242" s="3" t="e">
        <f>VLOOKUP(C2242,Securities!A:B,2,FALSE)</f>
        <v>#N/A</v>
      </c>
      <c r="O2242" s="3">
        <f t="shared" si="35"/>
        <v>0</v>
      </c>
    </row>
    <row r="2243" spans="12:15" x14ac:dyDescent="0.25">
      <c r="L2243" s="3" t="e">
        <f>VLOOKUP(C2243,Securities!A:D,4,FALSE)</f>
        <v>#N/A</v>
      </c>
      <c r="M2243" s="3" t="e">
        <f>VLOOKUP(C2243,Securities!A:B,2,FALSE)</f>
        <v>#N/A</v>
      </c>
      <c r="O2243" s="3">
        <f t="shared" si="35"/>
        <v>0</v>
      </c>
    </row>
    <row r="2244" spans="12:15" x14ac:dyDescent="0.25">
      <c r="L2244" s="3" t="e">
        <f>VLOOKUP(C2244,Securities!A:D,4,FALSE)</f>
        <v>#N/A</v>
      </c>
      <c r="M2244" s="3" t="e">
        <f>VLOOKUP(C2244,Securities!A:B,2,FALSE)</f>
        <v>#N/A</v>
      </c>
      <c r="O2244" s="3">
        <f t="shared" si="35"/>
        <v>0</v>
      </c>
    </row>
    <row r="2245" spans="12:15" x14ac:dyDescent="0.25">
      <c r="L2245" s="3" t="e">
        <f>VLOOKUP(C2245,Securities!A:D,4,FALSE)</f>
        <v>#N/A</v>
      </c>
      <c r="M2245" s="3" t="e">
        <f>VLOOKUP(C2245,Securities!A:B,2,FALSE)</f>
        <v>#N/A</v>
      </c>
      <c r="O2245" s="3">
        <f t="shared" si="35"/>
        <v>0</v>
      </c>
    </row>
    <row r="2246" spans="12:15" x14ac:dyDescent="0.25">
      <c r="L2246" s="3" t="e">
        <f>VLOOKUP(C2246,Securities!A:D,4,FALSE)</f>
        <v>#N/A</v>
      </c>
      <c r="M2246" s="3" t="e">
        <f>VLOOKUP(C2246,Securities!A:B,2,FALSE)</f>
        <v>#N/A</v>
      </c>
      <c r="O2246" s="3">
        <f t="shared" ref="O2246:O2309" si="36">SUMIFS(E:E,C:C,C2246,B:B,B2246)</f>
        <v>0</v>
      </c>
    </row>
    <row r="2247" spans="12:15" x14ac:dyDescent="0.25">
      <c r="L2247" s="3" t="e">
        <f>VLOOKUP(C2247,Securities!A:D,4,FALSE)</f>
        <v>#N/A</v>
      </c>
      <c r="M2247" s="3" t="e">
        <f>VLOOKUP(C2247,Securities!A:B,2,FALSE)</f>
        <v>#N/A</v>
      </c>
      <c r="O2247" s="3">
        <f t="shared" si="36"/>
        <v>0</v>
      </c>
    </row>
    <row r="2248" spans="12:15" x14ac:dyDescent="0.25">
      <c r="L2248" s="3" t="e">
        <f>VLOOKUP(C2248,Securities!A:D,4,FALSE)</f>
        <v>#N/A</v>
      </c>
      <c r="M2248" s="3" t="e">
        <f>VLOOKUP(C2248,Securities!A:B,2,FALSE)</f>
        <v>#N/A</v>
      </c>
      <c r="O2248" s="3">
        <f t="shared" si="36"/>
        <v>0</v>
      </c>
    </row>
    <row r="2249" spans="12:15" x14ac:dyDescent="0.25">
      <c r="L2249" s="3" t="e">
        <f>VLOOKUP(C2249,Securities!A:D,4,FALSE)</f>
        <v>#N/A</v>
      </c>
      <c r="M2249" s="3" t="e">
        <f>VLOOKUP(C2249,Securities!A:B,2,FALSE)</f>
        <v>#N/A</v>
      </c>
      <c r="O2249" s="3">
        <f t="shared" si="36"/>
        <v>0</v>
      </c>
    </row>
    <row r="2250" spans="12:15" x14ac:dyDescent="0.25">
      <c r="L2250" s="3" t="e">
        <f>VLOOKUP(C2250,Securities!A:D,4,FALSE)</f>
        <v>#N/A</v>
      </c>
      <c r="M2250" s="3" t="e">
        <f>VLOOKUP(C2250,Securities!A:B,2,FALSE)</f>
        <v>#N/A</v>
      </c>
      <c r="O2250" s="3">
        <f t="shared" si="36"/>
        <v>0</v>
      </c>
    </row>
    <row r="2251" spans="12:15" x14ac:dyDescent="0.25">
      <c r="L2251" s="3" t="e">
        <f>VLOOKUP(C2251,Securities!A:D,4,FALSE)</f>
        <v>#N/A</v>
      </c>
      <c r="M2251" s="3" t="e">
        <f>VLOOKUP(C2251,Securities!A:B,2,FALSE)</f>
        <v>#N/A</v>
      </c>
      <c r="O2251" s="3">
        <f t="shared" si="36"/>
        <v>0</v>
      </c>
    </row>
    <row r="2252" spans="12:15" x14ac:dyDescent="0.25">
      <c r="L2252" s="3" t="e">
        <f>VLOOKUP(C2252,Securities!A:D,4,FALSE)</f>
        <v>#N/A</v>
      </c>
      <c r="M2252" s="3" t="e">
        <f>VLOOKUP(C2252,Securities!A:B,2,FALSE)</f>
        <v>#N/A</v>
      </c>
      <c r="O2252" s="3">
        <f t="shared" si="36"/>
        <v>0</v>
      </c>
    </row>
    <row r="2253" spans="12:15" x14ac:dyDescent="0.25">
      <c r="L2253" s="3" t="e">
        <f>VLOOKUP(C2253,Securities!A:D,4,FALSE)</f>
        <v>#N/A</v>
      </c>
      <c r="M2253" s="3" t="e">
        <f>VLOOKUP(C2253,Securities!A:B,2,FALSE)</f>
        <v>#N/A</v>
      </c>
      <c r="O2253" s="3">
        <f t="shared" si="36"/>
        <v>0</v>
      </c>
    </row>
    <row r="2254" spans="12:15" x14ac:dyDescent="0.25">
      <c r="L2254" s="3" t="e">
        <f>VLOOKUP(C2254,Securities!A:D,4,FALSE)</f>
        <v>#N/A</v>
      </c>
      <c r="M2254" s="3" t="e">
        <f>VLOOKUP(C2254,Securities!A:B,2,FALSE)</f>
        <v>#N/A</v>
      </c>
      <c r="O2254" s="3">
        <f t="shared" si="36"/>
        <v>0</v>
      </c>
    </row>
    <row r="2255" spans="12:15" x14ac:dyDescent="0.25">
      <c r="L2255" s="3" t="e">
        <f>VLOOKUP(C2255,Securities!A:D,4,FALSE)</f>
        <v>#N/A</v>
      </c>
      <c r="M2255" s="3" t="e">
        <f>VLOOKUP(C2255,Securities!A:B,2,FALSE)</f>
        <v>#N/A</v>
      </c>
      <c r="O2255" s="3">
        <f t="shared" si="36"/>
        <v>0</v>
      </c>
    </row>
    <row r="2256" spans="12:15" x14ac:dyDescent="0.25">
      <c r="L2256" s="3" t="e">
        <f>VLOOKUP(C2256,Securities!A:D,4,FALSE)</f>
        <v>#N/A</v>
      </c>
      <c r="M2256" s="3" t="e">
        <f>VLOOKUP(C2256,Securities!A:B,2,FALSE)</f>
        <v>#N/A</v>
      </c>
      <c r="O2256" s="3">
        <f t="shared" si="36"/>
        <v>0</v>
      </c>
    </row>
    <row r="2257" spans="12:15" x14ac:dyDescent="0.25">
      <c r="L2257" s="3" t="e">
        <f>VLOOKUP(C2257,Securities!A:D,4,FALSE)</f>
        <v>#N/A</v>
      </c>
      <c r="M2257" s="3" t="e">
        <f>VLOOKUP(C2257,Securities!A:B,2,FALSE)</f>
        <v>#N/A</v>
      </c>
      <c r="O2257" s="3">
        <f t="shared" si="36"/>
        <v>0</v>
      </c>
    </row>
    <row r="2258" spans="12:15" x14ac:dyDescent="0.25">
      <c r="L2258" s="3" t="e">
        <f>VLOOKUP(C2258,Securities!A:D,4,FALSE)</f>
        <v>#N/A</v>
      </c>
      <c r="M2258" s="3" t="e">
        <f>VLOOKUP(C2258,Securities!A:B,2,FALSE)</f>
        <v>#N/A</v>
      </c>
      <c r="O2258" s="3">
        <f t="shared" si="36"/>
        <v>0</v>
      </c>
    </row>
    <row r="2259" spans="12:15" x14ac:dyDescent="0.25">
      <c r="L2259" s="3" t="e">
        <f>VLOOKUP(C2259,Securities!A:D,4,FALSE)</f>
        <v>#N/A</v>
      </c>
      <c r="M2259" s="3" t="e">
        <f>VLOOKUP(C2259,Securities!A:B,2,FALSE)</f>
        <v>#N/A</v>
      </c>
      <c r="O2259" s="3">
        <f t="shared" si="36"/>
        <v>0</v>
      </c>
    </row>
    <row r="2260" spans="12:15" x14ac:dyDescent="0.25">
      <c r="L2260" s="3" t="e">
        <f>VLOOKUP(C2260,Securities!A:D,4,FALSE)</f>
        <v>#N/A</v>
      </c>
      <c r="M2260" s="3" t="e">
        <f>VLOOKUP(C2260,Securities!A:B,2,FALSE)</f>
        <v>#N/A</v>
      </c>
      <c r="O2260" s="3">
        <f t="shared" si="36"/>
        <v>0</v>
      </c>
    </row>
    <row r="2261" spans="12:15" x14ac:dyDescent="0.25">
      <c r="L2261" s="3" t="e">
        <f>VLOOKUP(C2261,Securities!A:D,4,FALSE)</f>
        <v>#N/A</v>
      </c>
      <c r="M2261" s="3" t="e">
        <f>VLOOKUP(C2261,Securities!A:B,2,FALSE)</f>
        <v>#N/A</v>
      </c>
      <c r="O2261" s="3">
        <f t="shared" si="36"/>
        <v>0</v>
      </c>
    </row>
    <row r="2262" spans="12:15" x14ac:dyDescent="0.25">
      <c r="L2262" s="3" t="e">
        <f>VLOOKUP(C2262,Securities!A:D,4,FALSE)</f>
        <v>#N/A</v>
      </c>
      <c r="M2262" s="3" t="e">
        <f>VLOOKUP(C2262,Securities!A:B,2,FALSE)</f>
        <v>#N/A</v>
      </c>
      <c r="O2262" s="3">
        <f t="shared" si="36"/>
        <v>0</v>
      </c>
    </row>
    <row r="2263" spans="12:15" x14ac:dyDescent="0.25">
      <c r="L2263" s="3" t="e">
        <f>VLOOKUP(C2263,Securities!A:D,4,FALSE)</f>
        <v>#N/A</v>
      </c>
      <c r="M2263" s="3" t="e">
        <f>VLOOKUP(C2263,Securities!A:B,2,FALSE)</f>
        <v>#N/A</v>
      </c>
      <c r="O2263" s="3">
        <f t="shared" si="36"/>
        <v>0</v>
      </c>
    </row>
    <row r="2264" spans="12:15" x14ac:dyDescent="0.25">
      <c r="L2264" s="3" t="e">
        <f>VLOOKUP(C2264,Securities!A:D,4,FALSE)</f>
        <v>#N/A</v>
      </c>
      <c r="M2264" s="3" t="e">
        <f>VLOOKUP(C2264,Securities!A:B,2,FALSE)</f>
        <v>#N/A</v>
      </c>
      <c r="O2264" s="3">
        <f t="shared" si="36"/>
        <v>0</v>
      </c>
    </row>
    <row r="2265" spans="12:15" x14ac:dyDescent="0.25">
      <c r="L2265" s="3" t="e">
        <f>VLOOKUP(C2265,Securities!A:D,4,FALSE)</f>
        <v>#N/A</v>
      </c>
      <c r="M2265" s="3" t="e">
        <f>VLOOKUP(C2265,Securities!A:B,2,FALSE)</f>
        <v>#N/A</v>
      </c>
      <c r="O2265" s="3">
        <f t="shared" si="36"/>
        <v>0</v>
      </c>
    </row>
    <row r="2266" spans="12:15" x14ac:dyDescent="0.25">
      <c r="L2266" s="3" t="e">
        <f>VLOOKUP(C2266,Securities!A:D,4,FALSE)</f>
        <v>#N/A</v>
      </c>
      <c r="M2266" s="3" t="e">
        <f>VLOOKUP(C2266,Securities!A:B,2,FALSE)</f>
        <v>#N/A</v>
      </c>
      <c r="O2266" s="3">
        <f t="shared" si="36"/>
        <v>0</v>
      </c>
    </row>
    <row r="2267" spans="12:15" x14ac:dyDescent="0.25">
      <c r="L2267" s="3" t="e">
        <f>VLOOKUP(C2267,Securities!A:D,4,FALSE)</f>
        <v>#N/A</v>
      </c>
      <c r="M2267" s="3" t="e">
        <f>VLOOKUP(C2267,Securities!A:B,2,FALSE)</f>
        <v>#N/A</v>
      </c>
      <c r="O2267" s="3">
        <f t="shared" si="36"/>
        <v>0</v>
      </c>
    </row>
    <row r="2268" spans="12:15" x14ac:dyDescent="0.25">
      <c r="L2268" s="3" t="e">
        <f>VLOOKUP(C2268,Securities!A:D,4,FALSE)</f>
        <v>#N/A</v>
      </c>
      <c r="M2268" s="3" t="e">
        <f>VLOOKUP(C2268,Securities!A:B,2,FALSE)</f>
        <v>#N/A</v>
      </c>
      <c r="O2268" s="3">
        <f t="shared" si="36"/>
        <v>0</v>
      </c>
    </row>
    <row r="2269" spans="12:15" x14ac:dyDescent="0.25">
      <c r="L2269" s="3" t="e">
        <f>VLOOKUP(C2269,Securities!A:D,4,FALSE)</f>
        <v>#N/A</v>
      </c>
      <c r="M2269" s="3" t="e">
        <f>VLOOKUP(C2269,Securities!A:B,2,FALSE)</f>
        <v>#N/A</v>
      </c>
      <c r="O2269" s="3">
        <f t="shared" si="36"/>
        <v>0</v>
      </c>
    </row>
    <row r="2270" spans="12:15" x14ac:dyDescent="0.25">
      <c r="L2270" s="3" t="e">
        <f>VLOOKUP(C2270,Securities!A:D,4,FALSE)</f>
        <v>#N/A</v>
      </c>
      <c r="M2270" s="3" t="e">
        <f>VLOOKUP(C2270,Securities!A:B,2,FALSE)</f>
        <v>#N/A</v>
      </c>
      <c r="O2270" s="3">
        <f t="shared" si="36"/>
        <v>0</v>
      </c>
    </row>
    <row r="2271" spans="12:15" x14ac:dyDescent="0.25">
      <c r="L2271" s="3" t="e">
        <f>VLOOKUP(C2271,Securities!A:D,4,FALSE)</f>
        <v>#N/A</v>
      </c>
      <c r="M2271" s="3" t="e">
        <f>VLOOKUP(C2271,Securities!A:B,2,FALSE)</f>
        <v>#N/A</v>
      </c>
      <c r="O2271" s="3">
        <f t="shared" si="36"/>
        <v>0</v>
      </c>
    </row>
    <row r="2272" spans="12:15" x14ac:dyDescent="0.25">
      <c r="L2272" s="3" t="e">
        <f>VLOOKUP(C2272,Securities!A:D,4,FALSE)</f>
        <v>#N/A</v>
      </c>
      <c r="M2272" s="3" t="e">
        <f>VLOOKUP(C2272,Securities!A:B,2,FALSE)</f>
        <v>#N/A</v>
      </c>
      <c r="O2272" s="3">
        <f t="shared" si="36"/>
        <v>0</v>
      </c>
    </row>
    <row r="2273" spans="12:15" x14ac:dyDescent="0.25">
      <c r="L2273" s="3" t="e">
        <f>VLOOKUP(C2273,Securities!A:D,4,FALSE)</f>
        <v>#N/A</v>
      </c>
      <c r="M2273" s="3" t="e">
        <f>VLOOKUP(C2273,Securities!A:B,2,FALSE)</f>
        <v>#N/A</v>
      </c>
      <c r="O2273" s="3">
        <f t="shared" si="36"/>
        <v>0</v>
      </c>
    </row>
    <row r="2274" spans="12:15" x14ac:dyDescent="0.25">
      <c r="L2274" s="3" t="e">
        <f>VLOOKUP(C2274,Securities!A:D,4,FALSE)</f>
        <v>#N/A</v>
      </c>
      <c r="M2274" s="3" t="e">
        <f>VLOOKUP(C2274,Securities!A:B,2,FALSE)</f>
        <v>#N/A</v>
      </c>
      <c r="O2274" s="3">
        <f t="shared" si="36"/>
        <v>0</v>
      </c>
    </row>
    <row r="2275" spans="12:15" x14ac:dyDescent="0.25">
      <c r="L2275" s="3" t="e">
        <f>VLOOKUP(C2275,Securities!A:D,4,FALSE)</f>
        <v>#N/A</v>
      </c>
      <c r="M2275" s="3" t="e">
        <f>VLOOKUP(C2275,Securities!A:B,2,FALSE)</f>
        <v>#N/A</v>
      </c>
      <c r="O2275" s="3">
        <f t="shared" si="36"/>
        <v>0</v>
      </c>
    </row>
    <row r="2276" spans="12:15" x14ac:dyDescent="0.25">
      <c r="L2276" s="3" t="e">
        <f>VLOOKUP(C2276,Securities!A:D,4,FALSE)</f>
        <v>#N/A</v>
      </c>
      <c r="M2276" s="3" t="e">
        <f>VLOOKUP(C2276,Securities!A:B,2,FALSE)</f>
        <v>#N/A</v>
      </c>
      <c r="O2276" s="3">
        <f t="shared" si="36"/>
        <v>0</v>
      </c>
    </row>
    <row r="2277" spans="12:15" x14ac:dyDescent="0.25">
      <c r="L2277" s="3" t="e">
        <f>VLOOKUP(C2277,Securities!A:D,4,FALSE)</f>
        <v>#N/A</v>
      </c>
      <c r="M2277" s="3" t="e">
        <f>VLOOKUP(C2277,Securities!A:B,2,FALSE)</f>
        <v>#N/A</v>
      </c>
      <c r="O2277" s="3">
        <f t="shared" si="36"/>
        <v>0</v>
      </c>
    </row>
    <row r="2278" spans="12:15" x14ac:dyDescent="0.25">
      <c r="L2278" s="3" t="e">
        <f>VLOOKUP(C2278,Securities!A:D,4,FALSE)</f>
        <v>#N/A</v>
      </c>
      <c r="M2278" s="3" t="e">
        <f>VLOOKUP(C2278,Securities!A:B,2,FALSE)</f>
        <v>#N/A</v>
      </c>
      <c r="O2278" s="3">
        <f t="shared" si="36"/>
        <v>0</v>
      </c>
    </row>
    <row r="2279" spans="12:15" x14ac:dyDescent="0.25">
      <c r="L2279" s="3" t="e">
        <f>VLOOKUP(C2279,Securities!A:D,4,FALSE)</f>
        <v>#N/A</v>
      </c>
      <c r="M2279" s="3" t="e">
        <f>VLOOKUP(C2279,Securities!A:B,2,FALSE)</f>
        <v>#N/A</v>
      </c>
      <c r="O2279" s="3">
        <f t="shared" si="36"/>
        <v>0</v>
      </c>
    </row>
    <row r="2280" spans="12:15" x14ac:dyDescent="0.25">
      <c r="L2280" s="3" t="e">
        <f>VLOOKUP(C2280,Securities!A:D,4,FALSE)</f>
        <v>#N/A</v>
      </c>
      <c r="M2280" s="3" t="e">
        <f>VLOOKUP(C2280,Securities!A:B,2,FALSE)</f>
        <v>#N/A</v>
      </c>
      <c r="O2280" s="3">
        <f t="shared" si="36"/>
        <v>0</v>
      </c>
    </row>
    <row r="2281" spans="12:15" x14ac:dyDescent="0.25">
      <c r="L2281" s="3" t="e">
        <f>VLOOKUP(C2281,Securities!A:D,4,FALSE)</f>
        <v>#N/A</v>
      </c>
      <c r="M2281" s="3" t="e">
        <f>VLOOKUP(C2281,Securities!A:B,2,FALSE)</f>
        <v>#N/A</v>
      </c>
      <c r="O2281" s="3">
        <f t="shared" si="36"/>
        <v>0</v>
      </c>
    </row>
    <row r="2282" spans="12:15" x14ac:dyDescent="0.25">
      <c r="L2282" s="3" t="e">
        <f>VLOOKUP(C2282,Securities!A:D,4,FALSE)</f>
        <v>#N/A</v>
      </c>
      <c r="M2282" s="3" t="e">
        <f>VLOOKUP(C2282,Securities!A:B,2,FALSE)</f>
        <v>#N/A</v>
      </c>
      <c r="O2282" s="3">
        <f t="shared" si="36"/>
        <v>0</v>
      </c>
    </row>
    <row r="2283" spans="12:15" x14ac:dyDescent="0.25">
      <c r="L2283" s="3" t="e">
        <f>VLOOKUP(C2283,Securities!A:D,4,FALSE)</f>
        <v>#N/A</v>
      </c>
      <c r="M2283" s="3" t="e">
        <f>VLOOKUP(C2283,Securities!A:B,2,FALSE)</f>
        <v>#N/A</v>
      </c>
      <c r="O2283" s="3">
        <f t="shared" si="36"/>
        <v>0</v>
      </c>
    </row>
    <row r="2284" spans="12:15" x14ac:dyDescent="0.25">
      <c r="L2284" s="3" t="e">
        <f>VLOOKUP(C2284,Securities!A:D,4,FALSE)</f>
        <v>#N/A</v>
      </c>
      <c r="M2284" s="3" t="e">
        <f>VLOOKUP(C2284,Securities!A:B,2,FALSE)</f>
        <v>#N/A</v>
      </c>
      <c r="O2284" s="3">
        <f t="shared" si="36"/>
        <v>0</v>
      </c>
    </row>
    <row r="2285" spans="12:15" x14ac:dyDescent="0.25">
      <c r="L2285" s="3" t="e">
        <f>VLOOKUP(C2285,Securities!A:D,4,FALSE)</f>
        <v>#N/A</v>
      </c>
      <c r="M2285" s="3" t="e">
        <f>VLOOKUP(C2285,Securities!A:B,2,FALSE)</f>
        <v>#N/A</v>
      </c>
      <c r="O2285" s="3">
        <f t="shared" si="36"/>
        <v>0</v>
      </c>
    </row>
    <row r="2286" spans="12:15" x14ac:dyDescent="0.25">
      <c r="L2286" s="3" t="e">
        <f>VLOOKUP(C2286,Securities!A:D,4,FALSE)</f>
        <v>#N/A</v>
      </c>
      <c r="M2286" s="3" t="e">
        <f>VLOOKUP(C2286,Securities!A:B,2,FALSE)</f>
        <v>#N/A</v>
      </c>
      <c r="O2286" s="3">
        <f t="shared" si="36"/>
        <v>0</v>
      </c>
    </row>
    <row r="2287" spans="12:15" x14ac:dyDescent="0.25">
      <c r="L2287" s="3" t="e">
        <f>VLOOKUP(C2287,Securities!A:D,4,FALSE)</f>
        <v>#N/A</v>
      </c>
      <c r="M2287" s="3" t="e">
        <f>VLOOKUP(C2287,Securities!A:B,2,FALSE)</f>
        <v>#N/A</v>
      </c>
      <c r="O2287" s="3">
        <f t="shared" si="36"/>
        <v>0</v>
      </c>
    </row>
    <row r="2288" spans="12:15" x14ac:dyDescent="0.25">
      <c r="L2288" s="3" t="e">
        <f>VLOOKUP(C2288,Securities!A:D,4,FALSE)</f>
        <v>#N/A</v>
      </c>
      <c r="M2288" s="3" t="e">
        <f>VLOOKUP(C2288,Securities!A:B,2,FALSE)</f>
        <v>#N/A</v>
      </c>
      <c r="O2288" s="3">
        <f t="shared" si="36"/>
        <v>0</v>
      </c>
    </row>
    <row r="2289" spans="12:15" x14ac:dyDescent="0.25">
      <c r="L2289" s="3" t="e">
        <f>VLOOKUP(C2289,Securities!A:D,4,FALSE)</f>
        <v>#N/A</v>
      </c>
      <c r="M2289" s="3" t="e">
        <f>VLOOKUP(C2289,Securities!A:B,2,FALSE)</f>
        <v>#N/A</v>
      </c>
      <c r="O2289" s="3">
        <f t="shared" si="36"/>
        <v>0</v>
      </c>
    </row>
    <row r="2290" spans="12:15" x14ac:dyDescent="0.25">
      <c r="L2290" s="3" t="e">
        <f>VLOOKUP(C2290,Securities!A:D,4,FALSE)</f>
        <v>#N/A</v>
      </c>
      <c r="M2290" s="3" t="e">
        <f>VLOOKUP(C2290,Securities!A:B,2,FALSE)</f>
        <v>#N/A</v>
      </c>
      <c r="O2290" s="3">
        <f t="shared" si="36"/>
        <v>0</v>
      </c>
    </row>
    <row r="2291" spans="12:15" x14ac:dyDescent="0.25">
      <c r="L2291" s="3" t="e">
        <f>VLOOKUP(C2291,Securities!A:D,4,FALSE)</f>
        <v>#N/A</v>
      </c>
      <c r="M2291" s="3" t="e">
        <f>VLOOKUP(C2291,Securities!A:B,2,FALSE)</f>
        <v>#N/A</v>
      </c>
      <c r="O2291" s="3">
        <f t="shared" si="36"/>
        <v>0</v>
      </c>
    </row>
    <row r="2292" spans="12:15" x14ac:dyDescent="0.25">
      <c r="L2292" s="3" t="e">
        <f>VLOOKUP(C2292,Securities!A:D,4,FALSE)</f>
        <v>#N/A</v>
      </c>
      <c r="M2292" s="3" t="e">
        <f>VLOOKUP(C2292,Securities!A:B,2,FALSE)</f>
        <v>#N/A</v>
      </c>
      <c r="O2292" s="3">
        <f t="shared" si="36"/>
        <v>0</v>
      </c>
    </row>
    <row r="2293" spans="12:15" x14ac:dyDescent="0.25">
      <c r="L2293" s="3" t="e">
        <f>VLOOKUP(C2293,Securities!A:D,4,FALSE)</f>
        <v>#N/A</v>
      </c>
      <c r="M2293" s="3" t="e">
        <f>VLOOKUP(C2293,Securities!A:B,2,FALSE)</f>
        <v>#N/A</v>
      </c>
      <c r="O2293" s="3">
        <f t="shared" si="36"/>
        <v>0</v>
      </c>
    </row>
    <row r="2294" spans="12:15" x14ac:dyDescent="0.25">
      <c r="L2294" s="3" t="e">
        <f>VLOOKUP(C2294,Securities!A:D,4,FALSE)</f>
        <v>#N/A</v>
      </c>
      <c r="M2294" s="3" t="e">
        <f>VLOOKUP(C2294,Securities!A:B,2,FALSE)</f>
        <v>#N/A</v>
      </c>
      <c r="O2294" s="3">
        <f t="shared" si="36"/>
        <v>0</v>
      </c>
    </row>
    <row r="2295" spans="12:15" x14ac:dyDescent="0.25">
      <c r="L2295" s="3" t="e">
        <f>VLOOKUP(C2295,Securities!A:D,4,FALSE)</f>
        <v>#N/A</v>
      </c>
      <c r="M2295" s="3" t="e">
        <f>VLOOKUP(C2295,Securities!A:B,2,FALSE)</f>
        <v>#N/A</v>
      </c>
      <c r="O2295" s="3">
        <f t="shared" si="36"/>
        <v>0</v>
      </c>
    </row>
    <row r="2296" spans="12:15" x14ac:dyDescent="0.25">
      <c r="L2296" s="3" t="e">
        <f>VLOOKUP(C2296,Securities!A:D,4,FALSE)</f>
        <v>#N/A</v>
      </c>
      <c r="M2296" s="3" t="e">
        <f>VLOOKUP(C2296,Securities!A:B,2,FALSE)</f>
        <v>#N/A</v>
      </c>
      <c r="O2296" s="3">
        <f t="shared" si="36"/>
        <v>0</v>
      </c>
    </row>
    <row r="2297" spans="12:15" x14ac:dyDescent="0.25">
      <c r="L2297" s="3" t="e">
        <f>VLOOKUP(C2297,Securities!A:D,4,FALSE)</f>
        <v>#N/A</v>
      </c>
      <c r="M2297" s="3" t="e">
        <f>VLOOKUP(C2297,Securities!A:B,2,FALSE)</f>
        <v>#N/A</v>
      </c>
      <c r="O2297" s="3">
        <f t="shared" si="36"/>
        <v>0</v>
      </c>
    </row>
    <row r="2298" spans="12:15" x14ac:dyDescent="0.25">
      <c r="L2298" s="3" t="e">
        <f>VLOOKUP(C2298,Securities!A:D,4,FALSE)</f>
        <v>#N/A</v>
      </c>
      <c r="M2298" s="3" t="e">
        <f>VLOOKUP(C2298,Securities!A:B,2,FALSE)</f>
        <v>#N/A</v>
      </c>
      <c r="O2298" s="3">
        <f t="shared" si="36"/>
        <v>0</v>
      </c>
    </row>
    <row r="2299" spans="12:15" x14ac:dyDescent="0.25">
      <c r="L2299" s="3" t="e">
        <f>VLOOKUP(C2299,Securities!A:D,4,FALSE)</f>
        <v>#N/A</v>
      </c>
      <c r="M2299" s="3" t="e">
        <f>VLOOKUP(C2299,Securities!A:B,2,FALSE)</f>
        <v>#N/A</v>
      </c>
      <c r="O2299" s="3">
        <f t="shared" si="36"/>
        <v>0</v>
      </c>
    </row>
    <row r="2300" spans="12:15" x14ac:dyDescent="0.25">
      <c r="L2300" s="3" t="e">
        <f>VLOOKUP(C2300,Securities!A:D,4,FALSE)</f>
        <v>#N/A</v>
      </c>
      <c r="M2300" s="3" t="e">
        <f>VLOOKUP(C2300,Securities!A:B,2,FALSE)</f>
        <v>#N/A</v>
      </c>
      <c r="O2300" s="3">
        <f t="shared" si="36"/>
        <v>0</v>
      </c>
    </row>
    <row r="2301" spans="12:15" x14ac:dyDescent="0.25">
      <c r="L2301" s="3" t="e">
        <f>VLOOKUP(C2301,Securities!A:D,4,FALSE)</f>
        <v>#N/A</v>
      </c>
      <c r="M2301" s="3" t="e">
        <f>VLOOKUP(C2301,Securities!A:B,2,FALSE)</f>
        <v>#N/A</v>
      </c>
      <c r="O2301" s="3">
        <f t="shared" si="36"/>
        <v>0</v>
      </c>
    </row>
    <row r="2302" spans="12:15" x14ac:dyDescent="0.25">
      <c r="L2302" s="3" t="e">
        <f>VLOOKUP(C2302,Securities!A:D,4,FALSE)</f>
        <v>#N/A</v>
      </c>
      <c r="M2302" s="3" t="e">
        <f>VLOOKUP(C2302,Securities!A:B,2,FALSE)</f>
        <v>#N/A</v>
      </c>
      <c r="O2302" s="3">
        <f t="shared" si="36"/>
        <v>0</v>
      </c>
    </row>
    <row r="2303" spans="12:15" x14ac:dyDescent="0.25">
      <c r="L2303" s="3" t="e">
        <f>VLOOKUP(C2303,Securities!A:D,4,FALSE)</f>
        <v>#N/A</v>
      </c>
      <c r="M2303" s="3" t="e">
        <f>VLOOKUP(C2303,Securities!A:B,2,FALSE)</f>
        <v>#N/A</v>
      </c>
      <c r="O2303" s="3">
        <f t="shared" si="36"/>
        <v>0</v>
      </c>
    </row>
    <row r="2304" spans="12:15" x14ac:dyDescent="0.25">
      <c r="L2304" s="3" t="e">
        <f>VLOOKUP(C2304,Securities!A:D,4,FALSE)</f>
        <v>#N/A</v>
      </c>
      <c r="M2304" s="3" t="e">
        <f>VLOOKUP(C2304,Securities!A:B,2,FALSE)</f>
        <v>#N/A</v>
      </c>
      <c r="O2304" s="3">
        <f t="shared" si="36"/>
        <v>0</v>
      </c>
    </row>
    <row r="2305" spans="12:15" x14ac:dyDescent="0.25">
      <c r="L2305" s="3" t="e">
        <f>VLOOKUP(C2305,Securities!A:D,4,FALSE)</f>
        <v>#N/A</v>
      </c>
      <c r="M2305" s="3" t="e">
        <f>VLOOKUP(C2305,Securities!A:B,2,FALSE)</f>
        <v>#N/A</v>
      </c>
      <c r="O2305" s="3">
        <f t="shared" si="36"/>
        <v>0</v>
      </c>
    </row>
    <row r="2306" spans="12:15" x14ac:dyDescent="0.25">
      <c r="L2306" s="3" t="e">
        <f>VLOOKUP(C2306,Securities!A:D,4,FALSE)</f>
        <v>#N/A</v>
      </c>
      <c r="M2306" s="3" t="e">
        <f>VLOOKUP(C2306,Securities!A:B,2,FALSE)</f>
        <v>#N/A</v>
      </c>
      <c r="O2306" s="3">
        <f t="shared" si="36"/>
        <v>0</v>
      </c>
    </row>
    <row r="2307" spans="12:15" x14ac:dyDescent="0.25">
      <c r="L2307" s="3" t="e">
        <f>VLOOKUP(C2307,Securities!A:D,4,FALSE)</f>
        <v>#N/A</v>
      </c>
      <c r="M2307" s="3" t="e">
        <f>VLOOKUP(C2307,Securities!A:B,2,FALSE)</f>
        <v>#N/A</v>
      </c>
      <c r="O2307" s="3">
        <f t="shared" si="36"/>
        <v>0</v>
      </c>
    </row>
    <row r="2308" spans="12:15" x14ac:dyDescent="0.25">
      <c r="L2308" s="3" t="e">
        <f>VLOOKUP(C2308,Securities!A:D,4,FALSE)</f>
        <v>#N/A</v>
      </c>
      <c r="M2308" s="3" t="e">
        <f>VLOOKUP(C2308,Securities!A:B,2,FALSE)</f>
        <v>#N/A</v>
      </c>
      <c r="O2308" s="3">
        <f t="shared" si="36"/>
        <v>0</v>
      </c>
    </row>
    <row r="2309" spans="12:15" x14ac:dyDescent="0.25">
      <c r="L2309" s="3" t="e">
        <f>VLOOKUP(C2309,Securities!A:D,4,FALSE)</f>
        <v>#N/A</v>
      </c>
      <c r="M2309" s="3" t="e">
        <f>VLOOKUP(C2309,Securities!A:B,2,FALSE)</f>
        <v>#N/A</v>
      </c>
      <c r="O2309" s="3">
        <f t="shared" si="36"/>
        <v>0</v>
      </c>
    </row>
    <row r="2310" spans="12:15" x14ac:dyDescent="0.25">
      <c r="L2310" s="3" t="e">
        <f>VLOOKUP(C2310,Securities!A:D,4,FALSE)</f>
        <v>#N/A</v>
      </c>
      <c r="M2310" s="3" t="e">
        <f>VLOOKUP(C2310,Securities!A:B,2,FALSE)</f>
        <v>#N/A</v>
      </c>
      <c r="O2310" s="3">
        <f t="shared" ref="O2310:O2373" si="37">SUMIFS(E:E,C:C,C2310,B:B,B2310)</f>
        <v>0</v>
      </c>
    </row>
    <row r="2311" spans="12:15" x14ac:dyDescent="0.25">
      <c r="L2311" s="3" t="e">
        <f>VLOOKUP(C2311,Securities!A:D,4,FALSE)</f>
        <v>#N/A</v>
      </c>
      <c r="M2311" s="3" t="e">
        <f>VLOOKUP(C2311,Securities!A:B,2,FALSE)</f>
        <v>#N/A</v>
      </c>
      <c r="O2311" s="3">
        <f t="shared" si="37"/>
        <v>0</v>
      </c>
    </row>
    <row r="2312" spans="12:15" x14ac:dyDescent="0.25">
      <c r="L2312" s="3" t="e">
        <f>VLOOKUP(C2312,Securities!A:D,4,FALSE)</f>
        <v>#N/A</v>
      </c>
      <c r="M2312" s="3" t="e">
        <f>VLOOKUP(C2312,Securities!A:B,2,FALSE)</f>
        <v>#N/A</v>
      </c>
      <c r="O2312" s="3">
        <f t="shared" si="37"/>
        <v>0</v>
      </c>
    </row>
    <row r="2313" spans="12:15" x14ac:dyDescent="0.25">
      <c r="L2313" s="3" t="e">
        <f>VLOOKUP(C2313,Securities!A:D,4,FALSE)</f>
        <v>#N/A</v>
      </c>
      <c r="M2313" s="3" t="e">
        <f>VLOOKUP(C2313,Securities!A:B,2,FALSE)</f>
        <v>#N/A</v>
      </c>
      <c r="O2313" s="3">
        <f t="shared" si="37"/>
        <v>0</v>
      </c>
    </row>
    <row r="2314" spans="12:15" x14ac:dyDescent="0.25">
      <c r="L2314" s="3" t="e">
        <f>VLOOKUP(C2314,Securities!A:D,4,FALSE)</f>
        <v>#N/A</v>
      </c>
      <c r="M2314" s="3" t="e">
        <f>VLOOKUP(C2314,Securities!A:B,2,FALSE)</f>
        <v>#N/A</v>
      </c>
      <c r="O2314" s="3">
        <f t="shared" si="37"/>
        <v>0</v>
      </c>
    </row>
    <row r="2315" spans="12:15" x14ac:dyDescent="0.25">
      <c r="L2315" s="3" t="e">
        <f>VLOOKUP(C2315,Securities!A:D,4,FALSE)</f>
        <v>#N/A</v>
      </c>
      <c r="M2315" s="3" t="e">
        <f>VLOOKUP(C2315,Securities!A:B,2,FALSE)</f>
        <v>#N/A</v>
      </c>
      <c r="O2315" s="3">
        <f t="shared" si="37"/>
        <v>0</v>
      </c>
    </row>
    <row r="2316" spans="12:15" x14ac:dyDescent="0.25">
      <c r="L2316" s="3" t="e">
        <f>VLOOKUP(C2316,Securities!A:D,4,FALSE)</f>
        <v>#N/A</v>
      </c>
      <c r="M2316" s="3" t="e">
        <f>VLOOKUP(C2316,Securities!A:B,2,FALSE)</f>
        <v>#N/A</v>
      </c>
      <c r="O2316" s="3">
        <f t="shared" si="37"/>
        <v>0</v>
      </c>
    </row>
    <row r="2317" spans="12:15" x14ac:dyDescent="0.25">
      <c r="L2317" s="3" t="e">
        <f>VLOOKUP(C2317,Securities!A:D,4,FALSE)</f>
        <v>#N/A</v>
      </c>
      <c r="M2317" s="3" t="e">
        <f>VLOOKUP(C2317,Securities!A:B,2,FALSE)</f>
        <v>#N/A</v>
      </c>
      <c r="O2317" s="3">
        <f t="shared" si="37"/>
        <v>0</v>
      </c>
    </row>
    <row r="2318" spans="12:15" x14ac:dyDescent="0.25">
      <c r="L2318" s="3" t="e">
        <f>VLOOKUP(C2318,Securities!A:D,4,FALSE)</f>
        <v>#N/A</v>
      </c>
      <c r="M2318" s="3" t="e">
        <f>VLOOKUP(C2318,Securities!A:B,2,FALSE)</f>
        <v>#N/A</v>
      </c>
      <c r="O2318" s="3">
        <f t="shared" si="37"/>
        <v>0</v>
      </c>
    </row>
    <row r="2319" spans="12:15" x14ac:dyDescent="0.25">
      <c r="L2319" s="3" t="e">
        <f>VLOOKUP(C2319,Securities!A:D,4,FALSE)</f>
        <v>#N/A</v>
      </c>
      <c r="M2319" s="3" t="e">
        <f>VLOOKUP(C2319,Securities!A:B,2,FALSE)</f>
        <v>#N/A</v>
      </c>
      <c r="O2319" s="3">
        <f t="shared" si="37"/>
        <v>0</v>
      </c>
    </row>
    <row r="2320" spans="12:15" x14ac:dyDescent="0.25">
      <c r="L2320" s="3" t="e">
        <f>VLOOKUP(C2320,Securities!A:D,4,FALSE)</f>
        <v>#N/A</v>
      </c>
      <c r="M2320" s="3" t="e">
        <f>VLOOKUP(C2320,Securities!A:B,2,FALSE)</f>
        <v>#N/A</v>
      </c>
      <c r="O2320" s="3">
        <f t="shared" si="37"/>
        <v>0</v>
      </c>
    </row>
    <row r="2321" spans="12:15" x14ac:dyDescent="0.25">
      <c r="L2321" s="3" t="e">
        <f>VLOOKUP(C2321,Securities!A:D,4,FALSE)</f>
        <v>#N/A</v>
      </c>
      <c r="M2321" s="3" t="e">
        <f>VLOOKUP(C2321,Securities!A:B,2,FALSE)</f>
        <v>#N/A</v>
      </c>
      <c r="O2321" s="3">
        <f t="shared" si="37"/>
        <v>0</v>
      </c>
    </row>
    <row r="2322" spans="12:15" x14ac:dyDescent="0.25">
      <c r="L2322" s="3" t="e">
        <f>VLOOKUP(C2322,Securities!A:D,4,FALSE)</f>
        <v>#N/A</v>
      </c>
      <c r="M2322" s="3" t="e">
        <f>VLOOKUP(C2322,Securities!A:B,2,FALSE)</f>
        <v>#N/A</v>
      </c>
      <c r="O2322" s="3">
        <f t="shared" si="37"/>
        <v>0</v>
      </c>
    </row>
    <row r="2323" spans="12:15" x14ac:dyDescent="0.25">
      <c r="L2323" s="3" t="e">
        <f>VLOOKUP(C2323,Securities!A:D,4,FALSE)</f>
        <v>#N/A</v>
      </c>
      <c r="M2323" s="3" t="e">
        <f>VLOOKUP(C2323,Securities!A:B,2,FALSE)</f>
        <v>#N/A</v>
      </c>
      <c r="O2323" s="3">
        <f t="shared" si="37"/>
        <v>0</v>
      </c>
    </row>
    <row r="2324" spans="12:15" x14ac:dyDescent="0.25">
      <c r="L2324" s="3" t="e">
        <f>VLOOKUP(C2324,Securities!A:D,4,FALSE)</f>
        <v>#N/A</v>
      </c>
      <c r="M2324" s="3" t="e">
        <f>VLOOKUP(C2324,Securities!A:B,2,FALSE)</f>
        <v>#N/A</v>
      </c>
      <c r="O2324" s="3">
        <f t="shared" si="37"/>
        <v>0</v>
      </c>
    </row>
    <row r="2325" spans="12:15" x14ac:dyDescent="0.25">
      <c r="L2325" s="3" t="e">
        <f>VLOOKUP(C2325,Securities!A:D,4,FALSE)</f>
        <v>#N/A</v>
      </c>
      <c r="M2325" s="3" t="e">
        <f>VLOOKUP(C2325,Securities!A:B,2,FALSE)</f>
        <v>#N/A</v>
      </c>
      <c r="O2325" s="3">
        <f t="shared" si="37"/>
        <v>0</v>
      </c>
    </row>
    <row r="2326" spans="12:15" x14ac:dyDescent="0.25">
      <c r="L2326" s="3" t="e">
        <f>VLOOKUP(C2326,Securities!A:D,4,FALSE)</f>
        <v>#N/A</v>
      </c>
      <c r="M2326" s="3" t="e">
        <f>VLOOKUP(C2326,Securities!A:B,2,FALSE)</f>
        <v>#N/A</v>
      </c>
      <c r="O2326" s="3">
        <f t="shared" si="37"/>
        <v>0</v>
      </c>
    </row>
    <row r="2327" spans="12:15" x14ac:dyDescent="0.25">
      <c r="L2327" s="3" t="e">
        <f>VLOOKUP(C2327,Securities!A:D,4,FALSE)</f>
        <v>#N/A</v>
      </c>
      <c r="M2327" s="3" t="e">
        <f>VLOOKUP(C2327,Securities!A:B,2,FALSE)</f>
        <v>#N/A</v>
      </c>
      <c r="O2327" s="3">
        <f t="shared" si="37"/>
        <v>0</v>
      </c>
    </row>
    <row r="2328" spans="12:15" x14ac:dyDescent="0.25">
      <c r="L2328" s="3" t="e">
        <f>VLOOKUP(C2328,Securities!A:D,4,FALSE)</f>
        <v>#N/A</v>
      </c>
      <c r="M2328" s="3" t="e">
        <f>VLOOKUP(C2328,Securities!A:B,2,FALSE)</f>
        <v>#N/A</v>
      </c>
      <c r="O2328" s="3">
        <f t="shared" si="37"/>
        <v>0</v>
      </c>
    </row>
    <row r="2329" spans="12:15" x14ac:dyDescent="0.25">
      <c r="L2329" s="3" t="e">
        <f>VLOOKUP(C2329,Securities!A:D,4,FALSE)</f>
        <v>#N/A</v>
      </c>
      <c r="M2329" s="3" t="e">
        <f>VLOOKUP(C2329,Securities!A:B,2,FALSE)</f>
        <v>#N/A</v>
      </c>
      <c r="O2329" s="3">
        <f t="shared" si="37"/>
        <v>0</v>
      </c>
    </row>
    <row r="2330" spans="12:15" x14ac:dyDescent="0.25">
      <c r="L2330" s="3" t="e">
        <f>VLOOKUP(C2330,Securities!A:D,4,FALSE)</f>
        <v>#N/A</v>
      </c>
      <c r="M2330" s="3" t="e">
        <f>VLOOKUP(C2330,Securities!A:B,2,FALSE)</f>
        <v>#N/A</v>
      </c>
      <c r="O2330" s="3">
        <f t="shared" si="37"/>
        <v>0</v>
      </c>
    </row>
    <row r="2331" spans="12:15" x14ac:dyDescent="0.25">
      <c r="L2331" s="3" t="e">
        <f>VLOOKUP(C2331,Securities!A:D,4,FALSE)</f>
        <v>#N/A</v>
      </c>
      <c r="M2331" s="3" t="e">
        <f>VLOOKUP(C2331,Securities!A:B,2,FALSE)</f>
        <v>#N/A</v>
      </c>
      <c r="O2331" s="3">
        <f t="shared" si="37"/>
        <v>0</v>
      </c>
    </row>
    <row r="2332" spans="12:15" x14ac:dyDescent="0.25">
      <c r="L2332" s="3" t="e">
        <f>VLOOKUP(C2332,Securities!A:D,4,FALSE)</f>
        <v>#N/A</v>
      </c>
      <c r="M2332" s="3" t="e">
        <f>VLOOKUP(C2332,Securities!A:B,2,FALSE)</f>
        <v>#N/A</v>
      </c>
      <c r="O2332" s="3">
        <f t="shared" si="37"/>
        <v>0</v>
      </c>
    </row>
    <row r="2333" spans="12:15" x14ac:dyDescent="0.25">
      <c r="L2333" s="3" t="e">
        <f>VLOOKUP(C2333,Securities!A:D,4,FALSE)</f>
        <v>#N/A</v>
      </c>
      <c r="M2333" s="3" t="e">
        <f>VLOOKUP(C2333,Securities!A:B,2,FALSE)</f>
        <v>#N/A</v>
      </c>
      <c r="O2333" s="3">
        <f t="shared" si="37"/>
        <v>0</v>
      </c>
    </row>
    <row r="2334" spans="12:15" x14ac:dyDescent="0.25">
      <c r="L2334" s="3" t="e">
        <f>VLOOKUP(C2334,Securities!A:D,4,FALSE)</f>
        <v>#N/A</v>
      </c>
      <c r="M2334" s="3" t="e">
        <f>VLOOKUP(C2334,Securities!A:B,2,FALSE)</f>
        <v>#N/A</v>
      </c>
      <c r="O2334" s="3">
        <f t="shared" si="37"/>
        <v>0</v>
      </c>
    </row>
    <row r="2335" spans="12:15" x14ac:dyDescent="0.25">
      <c r="L2335" s="3" t="e">
        <f>VLOOKUP(C2335,Securities!A:D,4,FALSE)</f>
        <v>#N/A</v>
      </c>
      <c r="M2335" s="3" t="e">
        <f>VLOOKUP(C2335,Securities!A:B,2,FALSE)</f>
        <v>#N/A</v>
      </c>
      <c r="O2335" s="3">
        <f t="shared" si="37"/>
        <v>0</v>
      </c>
    </row>
    <row r="2336" spans="12:15" x14ac:dyDescent="0.25">
      <c r="L2336" s="3" t="e">
        <f>VLOOKUP(C2336,Securities!A:D,4,FALSE)</f>
        <v>#N/A</v>
      </c>
      <c r="M2336" s="3" t="e">
        <f>VLOOKUP(C2336,Securities!A:B,2,FALSE)</f>
        <v>#N/A</v>
      </c>
      <c r="O2336" s="3">
        <f t="shared" si="37"/>
        <v>0</v>
      </c>
    </row>
    <row r="2337" spans="12:15" x14ac:dyDescent="0.25">
      <c r="L2337" s="3" t="e">
        <f>VLOOKUP(C2337,Securities!A:D,4,FALSE)</f>
        <v>#N/A</v>
      </c>
      <c r="M2337" s="3" t="e">
        <f>VLOOKUP(C2337,Securities!A:B,2,FALSE)</f>
        <v>#N/A</v>
      </c>
      <c r="O2337" s="3">
        <f t="shared" si="37"/>
        <v>0</v>
      </c>
    </row>
    <row r="2338" spans="12:15" x14ac:dyDescent="0.25">
      <c r="L2338" s="3" t="e">
        <f>VLOOKUP(C2338,Securities!A:D,4,FALSE)</f>
        <v>#N/A</v>
      </c>
      <c r="M2338" s="3" t="e">
        <f>VLOOKUP(C2338,Securities!A:B,2,FALSE)</f>
        <v>#N/A</v>
      </c>
      <c r="O2338" s="3">
        <f t="shared" si="37"/>
        <v>0</v>
      </c>
    </row>
    <row r="2339" spans="12:15" x14ac:dyDescent="0.25">
      <c r="L2339" s="3" t="e">
        <f>VLOOKUP(C2339,Securities!A:D,4,FALSE)</f>
        <v>#N/A</v>
      </c>
      <c r="M2339" s="3" t="e">
        <f>VLOOKUP(C2339,Securities!A:B,2,FALSE)</f>
        <v>#N/A</v>
      </c>
      <c r="O2339" s="3">
        <f t="shared" si="37"/>
        <v>0</v>
      </c>
    </row>
    <row r="2340" spans="12:15" x14ac:dyDescent="0.25">
      <c r="L2340" s="3" t="e">
        <f>VLOOKUP(C2340,Securities!A:D,4,FALSE)</f>
        <v>#N/A</v>
      </c>
      <c r="M2340" s="3" t="e">
        <f>VLOOKUP(C2340,Securities!A:B,2,FALSE)</f>
        <v>#N/A</v>
      </c>
      <c r="O2340" s="3">
        <f t="shared" si="37"/>
        <v>0</v>
      </c>
    </row>
    <row r="2341" spans="12:15" x14ac:dyDescent="0.25">
      <c r="L2341" s="3" t="e">
        <f>VLOOKUP(C2341,Securities!A:D,4,FALSE)</f>
        <v>#N/A</v>
      </c>
      <c r="M2341" s="3" t="e">
        <f>VLOOKUP(C2341,Securities!A:B,2,FALSE)</f>
        <v>#N/A</v>
      </c>
      <c r="O2341" s="3">
        <f t="shared" si="37"/>
        <v>0</v>
      </c>
    </row>
    <row r="2342" spans="12:15" x14ac:dyDescent="0.25">
      <c r="L2342" s="3" t="e">
        <f>VLOOKUP(C2342,Securities!A:D,4,FALSE)</f>
        <v>#N/A</v>
      </c>
      <c r="M2342" s="3" t="e">
        <f>VLOOKUP(C2342,Securities!A:B,2,FALSE)</f>
        <v>#N/A</v>
      </c>
      <c r="O2342" s="3">
        <f t="shared" si="37"/>
        <v>0</v>
      </c>
    </row>
    <row r="2343" spans="12:15" x14ac:dyDescent="0.25">
      <c r="L2343" s="3" t="e">
        <f>VLOOKUP(C2343,Securities!A:D,4,FALSE)</f>
        <v>#N/A</v>
      </c>
      <c r="M2343" s="3" t="e">
        <f>VLOOKUP(C2343,Securities!A:B,2,FALSE)</f>
        <v>#N/A</v>
      </c>
      <c r="O2343" s="3">
        <f t="shared" si="37"/>
        <v>0</v>
      </c>
    </row>
    <row r="2344" spans="12:15" x14ac:dyDescent="0.25">
      <c r="L2344" s="3" t="e">
        <f>VLOOKUP(C2344,Securities!A:D,4,FALSE)</f>
        <v>#N/A</v>
      </c>
      <c r="M2344" s="3" t="e">
        <f>VLOOKUP(C2344,Securities!A:B,2,FALSE)</f>
        <v>#N/A</v>
      </c>
      <c r="O2344" s="3">
        <f t="shared" si="37"/>
        <v>0</v>
      </c>
    </row>
    <row r="2345" spans="12:15" x14ac:dyDescent="0.25">
      <c r="L2345" s="3" t="e">
        <f>VLOOKUP(C2345,Securities!A:D,4,FALSE)</f>
        <v>#N/A</v>
      </c>
      <c r="M2345" s="3" t="e">
        <f>VLOOKUP(C2345,Securities!A:B,2,FALSE)</f>
        <v>#N/A</v>
      </c>
      <c r="O2345" s="3">
        <f t="shared" si="37"/>
        <v>0</v>
      </c>
    </row>
    <row r="2346" spans="12:15" x14ac:dyDescent="0.25">
      <c r="L2346" s="3" t="e">
        <f>VLOOKUP(C2346,Securities!A:D,4,FALSE)</f>
        <v>#N/A</v>
      </c>
      <c r="M2346" s="3" t="e">
        <f>VLOOKUP(C2346,Securities!A:B,2,FALSE)</f>
        <v>#N/A</v>
      </c>
      <c r="O2346" s="3">
        <f t="shared" si="37"/>
        <v>0</v>
      </c>
    </row>
    <row r="2347" spans="12:15" x14ac:dyDescent="0.25">
      <c r="L2347" s="3" t="e">
        <f>VLOOKUP(C2347,Securities!A:D,4,FALSE)</f>
        <v>#N/A</v>
      </c>
      <c r="M2347" s="3" t="e">
        <f>VLOOKUP(C2347,Securities!A:B,2,FALSE)</f>
        <v>#N/A</v>
      </c>
      <c r="O2347" s="3">
        <f t="shared" si="37"/>
        <v>0</v>
      </c>
    </row>
    <row r="2348" spans="12:15" x14ac:dyDescent="0.25">
      <c r="L2348" s="3" t="e">
        <f>VLOOKUP(C2348,Securities!A:D,4,FALSE)</f>
        <v>#N/A</v>
      </c>
      <c r="M2348" s="3" t="e">
        <f>VLOOKUP(C2348,Securities!A:B,2,FALSE)</f>
        <v>#N/A</v>
      </c>
      <c r="O2348" s="3">
        <f t="shared" si="37"/>
        <v>0</v>
      </c>
    </row>
    <row r="2349" spans="12:15" x14ac:dyDescent="0.25">
      <c r="L2349" s="3" t="e">
        <f>VLOOKUP(C2349,Securities!A:D,4,FALSE)</f>
        <v>#N/A</v>
      </c>
      <c r="M2349" s="3" t="e">
        <f>VLOOKUP(C2349,Securities!A:B,2,FALSE)</f>
        <v>#N/A</v>
      </c>
      <c r="O2349" s="3">
        <f t="shared" si="37"/>
        <v>0</v>
      </c>
    </row>
    <row r="2350" spans="12:15" x14ac:dyDescent="0.25">
      <c r="L2350" s="3" t="e">
        <f>VLOOKUP(C2350,Securities!A:D,4,FALSE)</f>
        <v>#N/A</v>
      </c>
      <c r="M2350" s="3" t="e">
        <f>VLOOKUP(C2350,Securities!A:B,2,FALSE)</f>
        <v>#N/A</v>
      </c>
      <c r="O2350" s="3">
        <f t="shared" si="37"/>
        <v>0</v>
      </c>
    </row>
    <row r="2351" spans="12:15" x14ac:dyDescent="0.25">
      <c r="L2351" s="3" t="e">
        <f>VLOOKUP(C2351,Securities!A:D,4,FALSE)</f>
        <v>#N/A</v>
      </c>
      <c r="M2351" s="3" t="e">
        <f>VLOOKUP(C2351,Securities!A:B,2,FALSE)</f>
        <v>#N/A</v>
      </c>
      <c r="O2351" s="3">
        <f t="shared" si="37"/>
        <v>0</v>
      </c>
    </row>
    <row r="2352" spans="12:15" x14ac:dyDescent="0.25">
      <c r="L2352" s="3" t="e">
        <f>VLOOKUP(C2352,Securities!A:D,4,FALSE)</f>
        <v>#N/A</v>
      </c>
      <c r="M2352" s="3" t="e">
        <f>VLOOKUP(C2352,Securities!A:B,2,FALSE)</f>
        <v>#N/A</v>
      </c>
      <c r="O2352" s="3">
        <f t="shared" si="37"/>
        <v>0</v>
      </c>
    </row>
    <row r="2353" spans="12:15" x14ac:dyDescent="0.25">
      <c r="L2353" s="3" t="e">
        <f>VLOOKUP(C2353,Securities!A:D,4,FALSE)</f>
        <v>#N/A</v>
      </c>
      <c r="M2353" s="3" t="e">
        <f>VLOOKUP(C2353,Securities!A:B,2,FALSE)</f>
        <v>#N/A</v>
      </c>
      <c r="O2353" s="3">
        <f t="shared" si="37"/>
        <v>0</v>
      </c>
    </row>
    <row r="2354" spans="12:15" x14ac:dyDescent="0.25">
      <c r="L2354" s="3" t="e">
        <f>VLOOKUP(C2354,Securities!A:D,4,FALSE)</f>
        <v>#N/A</v>
      </c>
      <c r="M2354" s="3" t="e">
        <f>VLOOKUP(C2354,Securities!A:B,2,FALSE)</f>
        <v>#N/A</v>
      </c>
      <c r="O2354" s="3">
        <f t="shared" si="37"/>
        <v>0</v>
      </c>
    </row>
    <row r="2355" spans="12:15" x14ac:dyDescent="0.25">
      <c r="L2355" s="3" t="e">
        <f>VLOOKUP(C2355,Securities!A:D,4,FALSE)</f>
        <v>#N/A</v>
      </c>
      <c r="M2355" s="3" t="e">
        <f>VLOOKUP(C2355,Securities!A:B,2,FALSE)</f>
        <v>#N/A</v>
      </c>
      <c r="O2355" s="3">
        <f t="shared" si="37"/>
        <v>0</v>
      </c>
    </row>
    <row r="2356" spans="12:15" x14ac:dyDescent="0.25">
      <c r="L2356" s="3" t="e">
        <f>VLOOKUP(C2356,Securities!A:D,4,FALSE)</f>
        <v>#N/A</v>
      </c>
      <c r="M2356" s="3" t="e">
        <f>VLOOKUP(C2356,Securities!A:B,2,FALSE)</f>
        <v>#N/A</v>
      </c>
      <c r="O2356" s="3">
        <f t="shared" si="37"/>
        <v>0</v>
      </c>
    </row>
    <row r="2357" spans="12:15" x14ac:dyDescent="0.25">
      <c r="L2357" s="3" t="e">
        <f>VLOOKUP(C2357,Securities!A:D,4,FALSE)</f>
        <v>#N/A</v>
      </c>
      <c r="M2357" s="3" t="e">
        <f>VLOOKUP(C2357,Securities!A:B,2,FALSE)</f>
        <v>#N/A</v>
      </c>
      <c r="O2357" s="3">
        <f t="shared" si="37"/>
        <v>0</v>
      </c>
    </row>
    <row r="2358" spans="12:15" x14ac:dyDescent="0.25">
      <c r="L2358" s="3" t="e">
        <f>VLOOKUP(C2358,Securities!A:D,4,FALSE)</f>
        <v>#N/A</v>
      </c>
      <c r="M2358" s="3" t="e">
        <f>VLOOKUP(C2358,Securities!A:B,2,FALSE)</f>
        <v>#N/A</v>
      </c>
      <c r="O2358" s="3">
        <f t="shared" si="37"/>
        <v>0</v>
      </c>
    </row>
    <row r="2359" spans="12:15" x14ac:dyDescent="0.25">
      <c r="L2359" s="3" t="e">
        <f>VLOOKUP(C2359,Securities!A:D,4,FALSE)</f>
        <v>#N/A</v>
      </c>
      <c r="M2359" s="3" t="e">
        <f>VLOOKUP(C2359,Securities!A:B,2,FALSE)</f>
        <v>#N/A</v>
      </c>
      <c r="O2359" s="3">
        <f t="shared" si="37"/>
        <v>0</v>
      </c>
    </row>
    <row r="2360" spans="12:15" x14ac:dyDescent="0.25">
      <c r="L2360" s="3" t="e">
        <f>VLOOKUP(C2360,Securities!A:D,4,FALSE)</f>
        <v>#N/A</v>
      </c>
      <c r="M2360" s="3" t="e">
        <f>VLOOKUP(C2360,Securities!A:B,2,FALSE)</f>
        <v>#N/A</v>
      </c>
      <c r="O2360" s="3">
        <f t="shared" si="37"/>
        <v>0</v>
      </c>
    </row>
    <row r="2361" spans="12:15" x14ac:dyDescent="0.25">
      <c r="L2361" s="3" t="e">
        <f>VLOOKUP(C2361,Securities!A:D,4,FALSE)</f>
        <v>#N/A</v>
      </c>
      <c r="M2361" s="3" t="e">
        <f>VLOOKUP(C2361,Securities!A:B,2,FALSE)</f>
        <v>#N/A</v>
      </c>
      <c r="O2361" s="3">
        <f t="shared" si="37"/>
        <v>0</v>
      </c>
    </row>
    <row r="2362" spans="12:15" x14ac:dyDescent="0.25">
      <c r="L2362" s="3" t="e">
        <f>VLOOKUP(C2362,Securities!A:D,4,FALSE)</f>
        <v>#N/A</v>
      </c>
      <c r="M2362" s="3" t="e">
        <f>VLOOKUP(C2362,Securities!A:B,2,FALSE)</f>
        <v>#N/A</v>
      </c>
      <c r="O2362" s="3">
        <f t="shared" si="37"/>
        <v>0</v>
      </c>
    </row>
    <row r="2363" spans="12:15" x14ac:dyDescent="0.25">
      <c r="L2363" s="3" t="e">
        <f>VLOOKUP(C2363,Securities!A:D,4,FALSE)</f>
        <v>#N/A</v>
      </c>
      <c r="M2363" s="3" t="e">
        <f>VLOOKUP(C2363,Securities!A:B,2,FALSE)</f>
        <v>#N/A</v>
      </c>
      <c r="O2363" s="3">
        <f t="shared" si="37"/>
        <v>0</v>
      </c>
    </row>
    <row r="2364" spans="12:15" x14ac:dyDescent="0.25">
      <c r="L2364" s="3" t="e">
        <f>VLOOKUP(C2364,Securities!A:D,4,FALSE)</f>
        <v>#N/A</v>
      </c>
      <c r="M2364" s="3" t="e">
        <f>VLOOKUP(C2364,Securities!A:B,2,FALSE)</f>
        <v>#N/A</v>
      </c>
      <c r="O2364" s="3">
        <f t="shared" si="37"/>
        <v>0</v>
      </c>
    </row>
    <row r="2365" spans="12:15" x14ac:dyDescent="0.25">
      <c r="L2365" s="3" t="e">
        <f>VLOOKUP(C2365,Securities!A:D,4,FALSE)</f>
        <v>#N/A</v>
      </c>
      <c r="M2365" s="3" t="e">
        <f>VLOOKUP(C2365,Securities!A:B,2,FALSE)</f>
        <v>#N/A</v>
      </c>
      <c r="O2365" s="3">
        <f t="shared" si="37"/>
        <v>0</v>
      </c>
    </row>
    <row r="2366" spans="12:15" x14ac:dyDescent="0.25">
      <c r="L2366" s="3" t="e">
        <f>VLOOKUP(C2366,Securities!A:D,4,FALSE)</f>
        <v>#N/A</v>
      </c>
      <c r="M2366" s="3" t="e">
        <f>VLOOKUP(C2366,Securities!A:B,2,FALSE)</f>
        <v>#N/A</v>
      </c>
      <c r="O2366" s="3">
        <f t="shared" si="37"/>
        <v>0</v>
      </c>
    </row>
    <row r="2367" spans="12:15" x14ac:dyDescent="0.25">
      <c r="L2367" s="3" t="e">
        <f>VLOOKUP(C2367,Securities!A:D,4,FALSE)</f>
        <v>#N/A</v>
      </c>
      <c r="M2367" s="3" t="e">
        <f>VLOOKUP(C2367,Securities!A:B,2,FALSE)</f>
        <v>#N/A</v>
      </c>
      <c r="O2367" s="3">
        <f t="shared" si="37"/>
        <v>0</v>
      </c>
    </row>
    <row r="2368" spans="12:15" x14ac:dyDescent="0.25">
      <c r="L2368" s="3" t="e">
        <f>VLOOKUP(C2368,Securities!A:D,4,FALSE)</f>
        <v>#N/A</v>
      </c>
      <c r="M2368" s="3" t="e">
        <f>VLOOKUP(C2368,Securities!A:B,2,FALSE)</f>
        <v>#N/A</v>
      </c>
      <c r="O2368" s="3">
        <f t="shared" si="37"/>
        <v>0</v>
      </c>
    </row>
    <row r="2369" spans="12:15" x14ac:dyDescent="0.25">
      <c r="L2369" s="3" t="e">
        <f>VLOOKUP(C2369,Securities!A:D,4,FALSE)</f>
        <v>#N/A</v>
      </c>
      <c r="M2369" s="3" t="e">
        <f>VLOOKUP(C2369,Securities!A:B,2,FALSE)</f>
        <v>#N/A</v>
      </c>
      <c r="O2369" s="3">
        <f t="shared" si="37"/>
        <v>0</v>
      </c>
    </row>
    <row r="2370" spans="12:15" x14ac:dyDescent="0.25">
      <c r="L2370" s="3" t="e">
        <f>VLOOKUP(C2370,Securities!A:D,4,FALSE)</f>
        <v>#N/A</v>
      </c>
      <c r="M2370" s="3" t="e">
        <f>VLOOKUP(C2370,Securities!A:B,2,FALSE)</f>
        <v>#N/A</v>
      </c>
      <c r="O2370" s="3">
        <f t="shared" si="37"/>
        <v>0</v>
      </c>
    </row>
    <row r="2371" spans="12:15" x14ac:dyDescent="0.25">
      <c r="L2371" s="3" t="e">
        <f>VLOOKUP(C2371,Securities!A:D,4,FALSE)</f>
        <v>#N/A</v>
      </c>
      <c r="M2371" s="3" t="e">
        <f>VLOOKUP(C2371,Securities!A:B,2,FALSE)</f>
        <v>#N/A</v>
      </c>
      <c r="O2371" s="3">
        <f t="shared" si="37"/>
        <v>0</v>
      </c>
    </row>
    <row r="2372" spans="12:15" x14ac:dyDescent="0.25">
      <c r="L2372" s="3" t="e">
        <f>VLOOKUP(C2372,Securities!A:D,4,FALSE)</f>
        <v>#N/A</v>
      </c>
      <c r="M2372" s="3" t="e">
        <f>VLOOKUP(C2372,Securities!A:B,2,FALSE)</f>
        <v>#N/A</v>
      </c>
      <c r="O2372" s="3">
        <f t="shared" si="37"/>
        <v>0</v>
      </c>
    </row>
    <row r="2373" spans="12:15" x14ac:dyDescent="0.25">
      <c r="L2373" s="3" t="e">
        <f>VLOOKUP(C2373,Securities!A:D,4,FALSE)</f>
        <v>#N/A</v>
      </c>
      <c r="M2373" s="3" t="e">
        <f>VLOOKUP(C2373,Securities!A:B,2,FALSE)</f>
        <v>#N/A</v>
      </c>
      <c r="O2373" s="3">
        <f t="shared" si="37"/>
        <v>0</v>
      </c>
    </row>
    <row r="2374" spans="12:15" x14ac:dyDescent="0.25">
      <c r="L2374" s="3" t="e">
        <f>VLOOKUP(C2374,Securities!A:D,4,FALSE)</f>
        <v>#N/A</v>
      </c>
      <c r="M2374" s="3" t="e">
        <f>VLOOKUP(C2374,Securities!A:B,2,FALSE)</f>
        <v>#N/A</v>
      </c>
      <c r="O2374" s="3">
        <f t="shared" ref="O2374:O2437" si="38">SUMIFS(E:E,C:C,C2374,B:B,B2374)</f>
        <v>0</v>
      </c>
    </row>
    <row r="2375" spans="12:15" x14ac:dyDescent="0.25">
      <c r="L2375" s="3" t="e">
        <f>VLOOKUP(C2375,Securities!A:D,4,FALSE)</f>
        <v>#N/A</v>
      </c>
      <c r="M2375" s="3" t="e">
        <f>VLOOKUP(C2375,Securities!A:B,2,FALSE)</f>
        <v>#N/A</v>
      </c>
      <c r="O2375" s="3">
        <f t="shared" si="38"/>
        <v>0</v>
      </c>
    </row>
    <row r="2376" spans="12:15" x14ac:dyDescent="0.25">
      <c r="L2376" s="3" t="e">
        <f>VLOOKUP(C2376,Securities!A:D,4,FALSE)</f>
        <v>#N/A</v>
      </c>
      <c r="M2376" s="3" t="e">
        <f>VLOOKUP(C2376,Securities!A:B,2,FALSE)</f>
        <v>#N/A</v>
      </c>
      <c r="O2376" s="3">
        <f t="shared" si="38"/>
        <v>0</v>
      </c>
    </row>
    <row r="2377" spans="12:15" x14ac:dyDescent="0.25">
      <c r="L2377" s="3" t="e">
        <f>VLOOKUP(C2377,Securities!A:D,4,FALSE)</f>
        <v>#N/A</v>
      </c>
      <c r="M2377" s="3" t="e">
        <f>VLOOKUP(C2377,Securities!A:B,2,FALSE)</f>
        <v>#N/A</v>
      </c>
      <c r="O2377" s="3">
        <f t="shared" si="38"/>
        <v>0</v>
      </c>
    </row>
    <row r="2378" spans="12:15" x14ac:dyDescent="0.25">
      <c r="L2378" s="3" t="e">
        <f>VLOOKUP(C2378,Securities!A:D,4,FALSE)</f>
        <v>#N/A</v>
      </c>
      <c r="M2378" s="3" t="e">
        <f>VLOOKUP(C2378,Securities!A:B,2,FALSE)</f>
        <v>#N/A</v>
      </c>
      <c r="O2378" s="3">
        <f t="shared" si="38"/>
        <v>0</v>
      </c>
    </row>
    <row r="2379" spans="12:15" x14ac:dyDescent="0.25">
      <c r="L2379" s="3" t="e">
        <f>VLOOKUP(C2379,Securities!A:D,4,FALSE)</f>
        <v>#N/A</v>
      </c>
      <c r="M2379" s="3" t="e">
        <f>VLOOKUP(C2379,Securities!A:B,2,FALSE)</f>
        <v>#N/A</v>
      </c>
      <c r="O2379" s="3">
        <f t="shared" si="38"/>
        <v>0</v>
      </c>
    </row>
    <row r="2380" spans="12:15" x14ac:dyDescent="0.25">
      <c r="L2380" s="3" t="e">
        <f>VLOOKUP(C2380,Securities!A:D,4,FALSE)</f>
        <v>#N/A</v>
      </c>
      <c r="M2380" s="3" t="e">
        <f>VLOOKUP(C2380,Securities!A:B,2,FALSE)</f>
        <v>#N/A</v>
      </c>
      <c r="O2380" s="3">
        <f t="shared" si="38"/>
        <v>0</v>
      </c>
    </row>
    <row r="2381" spans="12:15" x14ac:dyDescent="0.25">
      <c r="L2381" s="3" t="e">
        <f>VLOOKUP(C2381,Securities!A:D,4,FALSE)</f>
        <v>#N/A</v>
      </c>
      <c r="M2381" s="3" t="e">
        <f>VLOOKUP(C2381,Securities!A:B,2,FALSE)</f>
        <v>#N/A</v>
      </c>
      <c r="O2381" s="3">
        <f t="shared" si="38"/>
        <v>0</v>
      </c>
    </row>
    <row r="2382" spans="12:15" x14ac:dyDescent="0.25">
      <c r="L2382" s="3" t="e">
        <f>VLOOKUP(C2382,Securities!A:D,4,FALSE)</f>
        <v>#N/A</v>
      </c>
      <c r="M2382" s="3" t="e">
        <f>VLOOKUP(C2382,Securities!A:B,2,FALSE)</f>
        <v>#N/A</v>
      </c>
      <c r="O2382" s="3">
        <f t="shared" si="38"/>
        <v>0</v>
      </c>
    </row>
    <row r="2383" spans="12:15" x14ac:dyDescent="0.25">
      <c r="L2383" s="3" t="e">
        <f>VLOOKUP(C2383,Securities!A:D,4,FALSE)</f>
        <v>#N/A</v>
      </c>
      <c r="M2383" s="3" t="e">
        <f>VLOOKUP(C2383,Securities!A:B,2,FALSE)</f>
        <v>#N/A</v>
      </c>
      <c r="O2383" s="3">
        <f t="shared" si="38"/>
        <v>0</v>
      </c>
    </row>
    <row r="2384" spans="12:15" x14ac:dyDescent="0.25">
      <c r="L2384" s="3" t="e">
        <f>VLOOKUP(C2384,Securities!A:D,4,FALSE)</f>
        <v>#N/A</v>
      </c>
      <c r="M2384" s="3" t="e">
        <f>VLOOKUP(C2384,Securities!A:B,2,FALSE)</f>
        <v>#N/A</v>
      </c>
      <c r="O2384" s="3">
        <f t="shared" si="38"/>
        <v>0</v>
      </c>
    </row>
    <row r="2385" spans="12:15" x14ac:dyDescent="0.25">
      <c r="L2385" s="3" t="e">
        <f>VLOOKUP(C2385,Securities!A:D,4,FALSE)</f>
        <v>#N/A</v>
      </c>
      <c r="M2385" s="3" t="e">
        <f>VLOOKUP(C2385,Securities!A:B,2,FALSE)</f>
        <v>#N/A</v>
      </c>
      <c r="O2385" s="3">
        <f t="shared" si="38"/>
        <v>0</v>
      </c>
    </row>
    <row r="2386" spans="12:15" x14ac:dyDescent="0.25">
      <c r="L2386" s="3" t="e">
        <f>VLOOKUP(C2386,Securities!A:D,4,FALSE)</f>
        <v>#N/A</v>
      </c>
      <c r="M2386" s="3" t="e">
        <f>VLOOKUP(C2386,Securities!A:B,2,FALSE)</f>
        <v>#N/A</v>
      </c>
      <c r="O2386" s="3">
        <f t="shared" si="38"/>
        <v>0</v>
      </c>
    </row>
    <row r="2387" spans="12:15" x14ac:dyDescent="0.25">
      <c r="L2387" s="3" t="e">
        <f>VLOOKUP(C2387,Securities!A:D,4,FALSE)</f>
        <v>#N/A</v>
      </c>
      <c r="M2387" s="3" t="e">
        <f>VLOOKUP(C2387,Securities!A:B,2,FALSE)</f>
        <v>#N/A</v>
      </c>
      <c r="O2387" s="3">
        <f t="shared" si="38"/>
        <v>0</v>
      </c>
    </row>
    <row r="2388" spans="12:15" x14ac:dyDescent="0.25">
      <c r="L2388" s="3" t="e">
        <f>VLOOKUP(C2388,Securities!A:D,4,FALSE)</f>
        <v>#N/A</v>
      </c>
      <c r="M2388" s="3" t="e">
        <f>VLOOKUP(C2388,Securities!A:B,2,FALSE)</f>
        <v>#N/A</v>
      </c>
      <c r="O2388" s="3">
        <f t="shared" si="38"/>
        <v>0</v>
      </c>
    </row>
    <row r="2389" spans="12:15" x14ac:dyDescent="0.25">
      <c r="L2389" s="3" t="e">
        <f>VLOOKUP(C2389,Securities!A:D,4,FALSE)</f>
        <v>#N/A</v>
      </c>
      <c r="M2389" s="3" t="e">
        <f>VLOOKUP(C2389,Securities!A:B,2,FALSE)</f>
        <v>#N/A</v>
      </c>
      <c r="O2389" s="3">
        <f t="shared" si="38"/>
        <v>0</v>
      </c>
    </row>
    <row r="2390" spans="12:15" x14ac:dyDescent="0.25">
      <c r="L2390" s="3" t="e">
        <f>VLOOKUP(C2390,Securities!A:D,4,FALSE)</f>
        <v>#N/A</v>
      </c>
      <c r="M2390" s="3" t="e">
        <f>VLOOKUP(C2390,Securities!A:B,2,FALSE)</f>
        <v>#N/A</v>
      </c>
      <c r="O2390" s="3">
        <f t="shared" si="38"/>
        <v>0</v>
      </c>
    </row>
    <row r="2391" spans="12:15" x14ac:dyDescent="0.25">
      <c r="L2391" s="3" t="e">
        <f>VLOOKUP(C2391,Securities!A:D,4,FALSE)</f>
        <v>#N/A</v>
      </c>
      <c r="M2391" s="3" t="e">
        <f>VLOOKUP(C2391,Securities!A:B,2,FALSE)</f>
        <v>#N/A</v>
      </c>
      <c r="O2391" s="3">
        <f t="shared" si="38"/>
        <v>0</v>
      </c>
    </row>
    <row r="2392" spans="12:15" x14ac:dyDescent="0.25">
      <c r="L2392" s="3" t="e">
        <f>VLOOKUP(C2392,Securities!A:D,4,FALSE)</f>
        <v>#N/A</v>
      </c>
      <c r="M2392" s="3" t="e">
        <f>VLOOKUP(C2392,Securities!A:B,2,FALSE)</f>
        <v>#N/A</v>
      </c>
      <c r="O2392" s="3">
        <f t="shared" si="38"/>
        <v>0</v>
      </c>
    </row>
    <row r="2393" spans="12:15" x14ac:dyDescent="0.25">
      <c r="L2393" s="3" t="e">
        <f>VLOOKUP(C2393,Securities!A:D,4,FALSE)</f>
        <v>#N/A</v>
      </c>
      <c r="M2393" s="3" t="e">
        <f>VLOOKUP(C2393,Securities!A:B,2,FALSE)</f>
        <v>#N/A</v>
      </c>
      <c r="O2393" s="3">
        <f t="shared" si="38"/>
        <v>0</v>
      </c>
    </row>
    <row r="2394" spans="12:15" x14ac:dyDescent="0.25">
      <c r="L2394" s="3" t="e">
        <f>VLOOKUP(C2394,Securities!A:D,4,FALSE)</f>
        <v>#N/A</v>
      </c>
      <c r="M2394" s="3" t="e">
        <f>VLOOKUP(C2394,Securities!A:B,2,FALSE)</f>
        <v>#N/A</v>
      </c>
      <c r="O2394" s="3">
        <f t="shared" si="38"/>
        <v>0</v>
      </c>
    </row>
    <row r="2395" spans="12:15" x14ac:dyDescent="0.25">
      <c r="L2395" s="3" t="e">
        <f>VLOOKUP(C2395,Securities!A:D,4,FALSE)</f>
        <v>#N/A</v>
      </c>
      <c r="M2395" s="3" t="e">
        <f>VLOOKUP(C2395,Securities!A:B,2,FALSE)</f>
        <v>#N/A</v>
      </c>
      <c r="O2395" s="3">
        <f t="shared" si="38"/>
        <v>0</v>
      </c>
    </row>
    <row r="2396" spans="12:15" x14ac:dyDescent="0.25">
      <c r="L2396" s="3" t="e">
        <f>VLOOKUP(C2396,Securities!A:D,4,FALSE)</f>
        <v>#N/A</v>
      </c>
      <c r="M2396" s="3" t="e">
        <f>VLOOKUP(C2396,Securities!A:B,2,FALSE)</f>
        <v>#N/A</v>
      </c>
      <c r="O2396" s="3">
        <f t="shared" si="38"/>
        <v>0</v>
      </c>
    </row>
    <row r="2397" spans="12:15" x14ac:dyDescent="0.25">
      <c r="L2397" s="3" t="e">
        <f>VLOOKUP(C2397,Securities!A:D,4,FALSE)</f>
        <v>#N/A</v>
      </c>
      <c r="M2397" s="3" t="e">
        <f>VLOOKUP(C2397,Securities!A:B,2,FALSE)</f>
        <v>#N/A</v>
      </c>
      <c r="O2397" s="3">
        <f t="shared" si="38"/>
        <v>0</v>
      </c>
    </row>
    <row r="2398" spans="12:15" x14ac:dyDescent="0.25">
      <c r="L2398" s="3" t="e">
        <f>VLOOKUP(C2398,Securities!A:D,4,FALSE)</f>
        <v>#N/A</v>
      </c>
      <c r="M2398" s="3" t="e">
        <f>VLOOKUP(C2398,Securities!A:B,2,FALSE)</f>
        <v>#N/A</v>
      </c>
      <c r="O2398" s="3">
        <f t="shared" si="38"/>
        <v>0</v>
      </c>
    </row>
    <row r="2399" spans="12:15" x14ac:dyDescent="0.25">
      <c r="L2399" s="3" t="e">
        <f>VLOOKUP(C2399,Securities!A:D,4,FALSE)</f>
        <v>#N/A</v>
      </c>
      <c r="M2399" s="3" t="e">
        <f>VLOOKUP(C2399,Securities!A:B,2,FALSE)</f>
        <v>#N/A</v>
      </c>
      <c r="O2399" s="3">
        <f t="shared" si="38"/>
        <v>0</v>
      </c>
    </row>
    <row r="2400" spans="12:15" x14ac:dyDescent="0.25">
      <c r="L2400" s="3" t="e">
        <f>VLOOKUP(C2400,Securities!A:D,4,FALSE)</f>
        <v>#N/A</v>
      </c>
      <c r="M2400" s="3" t="e">
        <f>VLOOKUP(C2400,Securities!A:B,2,FALSE)</f>
        <v>#N/A</v>
      </c>
      <c r="O2400" s="3">
        <f t="shared" si="38"/>
        <v>0</v>
      </c>
    </row>
    <row r="2401" spans="12:15" x14ac:dyDescent="0.25">
      <c r="L2401" s="3" t="e">
        <f>VLOOKUP(C2401,Securities!A:D,4,FALSE)</f>
        <v>#N/A</v>
      </c>
      <c r="M2401" s="3" t="e">
        <f>VLOOKUP(C2401,Securities!A:B,2,FALSE)</f>
        <v>#N/A</v>
      </c>
      <c r="O2401" s="3">
        <f t="shared" si="38"/>
        <v>0</v>
      </c>
    </row>
    <row r="2402" spans="12:15" x14ac:dyDescent="0.25">
      <c r="L2402" s="3" t="e">
        <f>VLOOKUP(C2402,Securities!A:D,4,FALSE)</f>
        <v>#N/A</v>
      </c>
      <c r="M2402" s="3" t="e">
        <f>VLOOKUP(C2402,Securities!A:B,2,FALSE)</f>
        <v>#N/A</v>
      </c>
      <c r="O2402" s="3">
        <f t="shared" si="38"/>
        <v>0</v>
      </c>
    </row>
    <row r="2403" spans="12:15" x14ac:dyDescent="0.25">
      <c r="L2403" s="3" t="e">
        <f>VLOOKUP(C2403,Securities!A:D,4,FALSE)</f>
        <v>#N/A</v>
      </c>
      <c r="M2403" s="3" t="e">
        <f>VLOOKUP(C2403,Securities!A:B,2,FALSE)</f>
        <v>#N/A</v>
      </c>
      <c r="O2403" s="3">
        <f t="shared" si="38"/>
        <v>0</v>
      </c>
    </row>
    <row r="2404" spans="12:15" x14ac:dyDescent="0.25">
      <c r="L2404" s="3" t="e">
        <f>VLOOKUP(C2404,Securities!A:D,4,FALSE)</f>
        <v>#N/A</v>
      </c>
      <c r="M2404" s="3" t="e">
        <f>VLOOKUP(C2404,Securities!A:B,2,FALSE)</f>
        <v>#N/A</v>
      </c>
      <c r="O2404" s="3">
        <f t="shared" si="38"/>
        <v>0</v>
      </c>
    </row>
    <row r="2405" spans="12:15" x14ac:dyDescent="0.25">
      <c r="L2405" s="3" t="e">
        <f>VLOOKUP(C2405,Securities!A:D,4,FALSE)</f>
        <v>#N/A</v>
      </c>
      <c r="M2405" s="3" t="e">
        <f>VLOOKUP(C2405,Securities!A:B,2,FALSE)</f>
        <v>#N/A</v>
      </c>
      <c r="O2405" s="3">
        <f t="shared" si="38"/>
        <v>0</v>
      </c>
    </row>
    <row r="2406" spans="12:15" x14ac:dyDescent="0.25">
      <c r="L2406" s="3" t="e">
        <f>VLOOKUP(C2406,Securities!A:D,4,FALSE)</f>
        <v>#N/A</v>
      </c>
      <c r="M2406" s="3" t="e">
        <f>VLOOKUP(C2406,Securities!A:B,2,FALSE)</f>
        <v>#N/A</v>
      </c>
      <c r="O2406" s="3">
        <f t="shared" si="38"/>
        <v>0</v>
      </c>
    </row>
    <row r="2407" spans="12:15" x14ac:dyDescent="0.25">
      <c r="L2407" s="3" t="e">
        <f>VLOOKUP(C2407,Securities!A:D,4,FALSE)</f>
        <v>#N/A</v>
      </c>
      <c r="M2407" s="3" t="e">
        <f>VLOOKUP(C2407,Securities!A:B,2,FALSE)</f>
        <v>#N/A</v>
      </c>
      <c r="O2407" s="3">
        <f t="shared" si="38"/>
        <v>0</v>
      </c>
    </row>
    <row r="2408" spans="12:15" x14ac:dyDescent="0.25">
      <c r="L2408" s="3" t="e">
        <f>VLOOKUP(C2408,Securities!A:D,4,FALSE)</f>
        <v>#N/A</v>
      </c>
      <c r="M2408" s="3" t="e">
        <f>VLOOKUP(C2408,Securities!A:B,2,FALSE)</f>
        <v>#N/A</v>
      </c>
      <c r="O2408" s="3">
        <f t="shared" si="38"/>
        <v>0</v>
      </c>
    </row>
    <row r="2409" spans="12:15" x14ac:dyDescent="0.25">
      <c r="L2409" s="3" t="e">
        <f>VLOOKUP(C2409,Securities!A:D,4,FALSE)</f>
        <v>#N/A</v>
      </c>
      <c r="M2409" s="3" t="e">
        <f>VLOOKUP(C2409,Securities!A:B,2,FALSE)</f>
        <v>#N/A</v>
      </c>
      <c r="O2409" s="3">
        <f t="shared" si="38"/>
        <v>0</v>
      </c>
    </row>
    <row r="2410" spans="12:15" x14ac:dyDescent="0.25">
      <c r="L2410" s="3" t="e">
        <f>VLOOKUP(C2410,Securities!A:D,4,FALSE)</f>
        <v>#N/A</v>
      </c>
      <c r="M2410" s="3" t="e">
        <f>VLOOKUP(C2410,Securities!A:B,2,FALSE)</f>
        <v>#N/A</v>
      </c>
      <c r="O2410" s="3">
        <f t="shared" si="38"/>
        <v>0</v>
      </c>
    </row>
    <row r="2411" spans="12:15" x14ac:dyDescent="0.25">
      <c r="L2411" s="3" t="e">
        <f>VLOOKUP(C2411,Securities!A:D,4,FALSE)</f>
        <v>#N/A</v>
      </c>
      <c r="M2411" s="3" t="e">
        <f>VLOOKUP(C2411,Securities!A:B,2,FALSE)</f>
        <v>#N/A</v>
      </c>
      <c r="O2411" s="3">
        <f t="shared" si="38"/>
        <v>0</v>
      </c>
    </row>
    <row r="2412" spans="12:15" x14ac:dyDescent="0.25">
      <c r="L2412" s="3" t="e">
        <f>VLOOKUP(C2412,Securities!A:D,4,FALSE)</f>
        <v>#N/A</v>
      </c>
      <c r="M2412" s="3" t="e">
        <f>VLOOKUP(C2412,Securities!A:B,2,FALSE)</f>
        <v>#N/A</v>
      </c>
      <c r="O2412" s="3">
        <f t="shared" si="38"/>
        <v>0</v>
      </c>
    </row>
    <row r="2413" spans="12:15" x14ac:dyDescent="0.25">
      <c r="L2413" s="3" t="e">
        <f>VLOOKUP(C2413,Securities!A:D,4,FALSE)</f>
        <v>#N/A</v>
      </c>
      <c r="M2413" s="3" t="e">
        <f>VLOOKUP(C2413,Securities!A:B,2,FALSE)</f>
        <v>#N/A</v>
      </c>
      <c r="O2413" s="3">
        <f t="shared" si="38"/>
        <v>0</v>
      </c>
    </row>
    <row r="2414" spans="12:15" x14ac:dyDescent="0.25">
      <c r="L2414" s="3" t="e">
        <f>VLOOKUP(C2414,Securities!A:D,4,FALSE)</f>
        <v>#N/A</v>
      </c>
      <c r="M2414" s="3" t="e">
        <f>VLOOKUP(C2414,Securities!A:B,2,FALSE)</f>
        <v>#N/A</v>
      </c>
      <c r="O2414" s="3">
        <f t="shared" si="38"/>
        <v>0</v>
      </c>
    </row>
    <row r="2415" spans="12:15" x14ac:dyDescent="0.25">
      <c r="L2415" s="3" t="e">
        <f>VLOOKUP(C2415,Securities!A:D,4,FALSE)</f>
        <v>#N/A</v>
      </c>
      <c r="M2415" s="3" t="e">
        <f>VLOOKUP(C2415,Securities!A:B,2,FALSE)</f>
        <v>#N/A</v>
      </c>
      <c r="O2415" s="3">
        <f t="shared" si="38"/>
        <v>0</v>
      </c>
    </row>
    <row r="2416" spans="12:15" x14ac:dyDescent="0.25">
      <c r="L2416" s="3" t="e">
        <f>VLOOKUP(C2416,Securities!A:D,4,FALSE)</f>
        <v>#N/A</v>
      </c>
      <c r="M2416" s="3" t="e">
        <f>VLOOKUP(C2416,Securities!A:B,2,FALSE)</f>
        <v>#N/A</v>
      </c>
      <c r="O2416" s="3">
        <f t="shared" si="38"/>
        <v>0</v>
      </c>
    </row>
    <row r="2417" spans="12:15" x14ac:dyDescent="0.25">
      <c r="L2417" s="3" t="e">
        <f>VLOOKUP(C2417,Securities!A:D,4,FALSE)</f>
        <v>#N/A</v>
      </c>
      <c r="M2417" s="3" t="e">
        <f>VLOOKUP(C2417,Securities!A:B,2,FALSE)</f>
        <v>#N/A</v>
      </c>
      <c r="O2417" s="3">
        <f t="shared" si="38"/>
        <v>0</v>
      </c>
    </row>
    <row r="2418" spans="12:15" x14ac:dyDescent="0.25">
      <c r="L2418" s="3" t="e">
        <f>VLOOKUP(C2418,Securities!A:D,4,FALSE)</f>
        <v>#N/A</v>
      </c>
      <c r="M2418" s="3" t="e">
        <f>VLOOKUP(C2418,Securities!A:B,2,FALSE)</f>
        <v>#N/A</v>
      </c>
      <c r="O2418" s="3">
        <f t="shared" si="38"/>
        <v>0</v>
      </c>
    </row>
    <row r="2419" spans="12:15" x14ac:dyDescent="0.25">
      <c r="L2419" s="3" t="e">
        <f>VLOOKUP(C2419,Securities!A:D,4,FALSE)</f>
        <v>#N/A</v>
      </c>
      <c r="M2419" s="3" t="e">
        <f>VLOOKUP(C2419,Securities!A:B,2,FALSE)</f>
        <v>#N/A</v>
      </c>
      <c r="O2419" s="3">
        <f t="shared" si="38"/>
        <v>0</v>
      </c>
    </row>
    <row r="2420" spans="12:15" x14ac:dyDescent="0.25">
      <c r="L2420" s="3" t="e">
        <f>VLOOKUP(C2420,Securities!A:D,4,FALSE)</f>
        <v>#N/A</v>
      </c>
      <c r="M2420" s="3" t="e">
        <f>VLOOKUP(C2420,Securities!A:B,2,FALSE)</f>
        <v>#N/A</v>
      </c>
      <c r="O2420" s="3">
        <f t="shared" si="38"/>
        <v>0</v>
      </c>
    </row>
    <row r="2421" spans="12:15" x14ac:dyDescent="0.25">
      <c r="L2421" s="3" t="e">
        <f>VLOOKUP(C2421,Securities!A:D,4,FALSE)</f>
        <v>#N/A</v>
      </c>
      <c r="M2421" s="3" t="e">
        <f>VLOOKUP(C2421,Securities!A:B,2,FALSE)</f>
        <v>#N/A</v>
      </c>
      <c r="O2421" s="3">
        <f t="shared" si="38"/>
        <v>0</v>
      </c>
    </row>
    <row r="2422" spans="12:15" x14ac:dyDescent="0.25">
      <c r="L2422" s="3" t="e">
        <f>VLOOKUP(C2422,Securities!A:D,4,FALSE)</f>
        <v>#N/A</v>
      </c>
      <c r="M2422" s="3" t="e">
        <f>VLOOKUP(C2422,Securities!A:B,2,FALSE)</f>
        <v>#N/A</v>
      </c>
      <c r="O2422" s="3">
        <f t="shared" si="38"/>
        <v>0</v>
      </c>
    </row>
    <row r="2423" spans="12:15" x14ac:dyDescent="0.25">
      <c r="L2423" s="3" t="e">
        <f>VLOOKUP(C2423,Securities!A:D,4,FALSE)</f>
        <v>#N/A</v>
      </c>
      <c r="M2423" s="3" t="e">
        <f>VLOOKUP(C2423,Securities!A:B,2,FALSE)</f>
        <v>#N/A</v>
      </c>
      <c r="O2423" s="3">
        <f t="shared" si="38"/>
        <v>0</v>
      </c>
    </row>
    <row r="2424" spans="12:15" x14ac:dyDescent="0.25">
      <c r="L2424" s="3" t="e">
        <f>VLOOKUP(C2424,Securities!A:D,4,FALSE)</f>
        <v>#N/A</v>
      </c>
      <c r="M2424" s="3" t="e">
        <f>VLOOKUP(C2424,Securities!A:B,2,FALSE)</f>
        <v>#N/A</v>
      </c>
      <c r="O2424" s="3">
        <f t="shared" si="38"/>
        <v>0</v>
      </c>
    </row>
    <row r="2425" spans="12:15" x14ac:dyDescent="0.25">
      <c r="L2425" s="3" t="e">
        <f>VLOOKUP(C2425,Securities!A:D,4,FALSE)</f>
        <v>#N/A</v>
      </c>
      <c r="M2425" s="3" t="e">
        <f>VLOOKUP(C2425,Securities!A:B,2,FALSE)</f>
        <v>#N/A</v>
      </c>
      <c r="O2425" s="3">
        <f t="shared" si="38"/>
        <v>0</v>
      </c>
    </row>
    <row r="2426" spans="12:15" x14ac:dyDescent="0.25">
      <c r="L2426" s="3" t="e">
        <f>VLOOKUP(C2426,Securities!A:D,4,FALSE)</f>
        <v>#N/A</v>
      </c>
      <c r="M2426" s="3" t="e">
        <f>VLOOKUP(C2426,Securities!A:B,2,FALSE)</f>
        <v>#N/A</v>
      </c>
      <c r="O2426" s="3">
        <f t="shared" si="38"/>
        <v>0</v>
      </c>
    </row>
    <row r="2427" spans="12:15" x14ac:dyDescent="0.25">
      <c r="L2427" s="3" t="e">
        <f>VLOOKUP(C2427,Securities!A:D,4,FALSE)</f>
        <v>#N/A</v>
      </c>
      <c r="M2427" s="3" t="e">
        <f>VLOOKUP(C2427,Securities!A:B,2,FALSE)</f>
        <v>#N/A</v>
      </c>
      <c r="O2427" s="3">
        <f t="shared" si="38"/>
        <v>0</v>
      </c>
    </row>
    <row r="2428" spans="12:15" x14ac:dyDescent="0.25">
      <c r="L2428" s="3" t="e">
        <f>VLOOKUP(C2428,Securities!A:D,4,FALSE)</f>
        <v>#N/A</v>
      </c>
      <c r="M2428" s="3" t="e">
        <f>VLOOKUP(C2428,Securities!A:B,2,FALSE)</f>
        <v>#N/A</v>
      </c>
      <c r="O2428" s="3">
        <f t="shared" si="38"/>
        <v>0</v>
      </c>
    </row>
    <row r="2429" spans="12:15" x14ac:dyDescent="0.25">
      <c r="L2429" s="3" t="e">
        <f>VLOOKUP(C2429,Securities!A:D,4,FALSE)</f>
        <v>#N/A</v>
      </c>
      <c r="M2429" s="3" t="e">
        <f>VLOOKUP(C2429,Securities!A:B,2,FALSE)</f>
        <v>#N/A</v>
      </c>
      <c r="O2429" s="3">
        <f t="shared" si="38"/>
        <v>0</v>
      </c>
    </row>
    <row r="2430" spans="12:15" x14ac:dyDescent="0.25">
      <c r="L2430" s="3" t="e">
        <f>VLOOKUP(C2430,Securities!A:D,4,FALSE)</f>
        <v>#N/A</v>
      </c>
      <c r="M2430" s="3" t="e">
        <f>VLOOKUP(C2430,Securities!A:B,2,FALSE)</f>
        <v>#N/A</v>
      </c>
      <c r="O2430" s="3">
        <f t="shared" si="38"/>
        <v>0</v>
      </c>
    </row>
    <row r="2431" spans="12:15" x14ac:dyDescent="0.25">
      <c r="L2431" s="3" t="e">
        <f>VLOOKUP(C2431,Securities!A:D,4,FALSE)</f>
        <v>#N/A</v>
      </c>
      <c r="M2431" s="3" t="e">
        <f>VLOOKUP(C2431,Securities!A:B,2,FALSE)</f>
        <v>#N/A</v>
      </c>
      <c r="O2431" s="3">
        <f t="shared" si="38"/>
        <v>0</v>
      </c>
    </row>
    <row r="2432" spans="12:15" x14ac:dyDescent="0.25">
      <c r="L2432" s="3" t="e">
        <f>VLOOKUP(C2432,Securities!A:D,4,FALSE)</f>
        <v>#N/A</v>
      </c>
      <c r="M2432" s="3" t="e">
        <f>VLOOKUP(C2432,Securities!A:B,2,FALSE)</f>
        <v>#N/A</v>
      </c>
      <c r="O2432" s="3">
        <f t="shared" si="38"/>
        <v>0</v>
      </c>
    </row>
    <row r="2433" spans="12:15" x14ac:dyDescent="0.25">
      <c r="L2433" s="3" t="e">
        <f>VLOOKUP(C2433,Securities!A:D,4,FALSE)</f>
        <v>#N/A</v>
      </c>
      <c r="M2433" s="3" t="e">
        <f>VLOOKUP(C2433,Securities!A:B,2,FALSE)</f>
        <v>#N/A</v>
      </c>
      <c r="O2433" s="3">
        <f t="shared" si="38"/>
        <v>0</v>
      </c>
    </row>
    <row r="2434" spans="12:15" x14ac:dyDescent="0.25">
      <c r="L2434" s="3" t="e">
        <f>VLOOKUP(C2434,Securities!A:D,4,FALSE)</f>
        <v>#N/A</v>
      </c>
      <c r="M2434" s="3" t="e">
        <f>VLOOKUP(C2434,Securities!A:B,2,FALSE)</f>
        <v>#N/A</v>
      </c>
      <c r="O2434" s="3">
        <f t="shared" si="38"/>
        <v>0</v>
      </c>
    </row>
    <row r="2435" spans="12:15" x14ac:dyDescent="0.25">
      <c r="L2435" s="3" t="e">
        <f>VLOOKUP(C2435,Securities!A:D,4,FALSE)</f>
        <v>#N/A</v>
      </c>
      <c r="M2435" s="3" t="e">
        <f>VLOOKUP(C2435,Securities!A:B,2,FALSE)</f>
        <v>#N/A</v>
      </c>
      <c r="O2435" s="3">
        <f t="shared" si="38"/>
        <v>0</v>
      </c>
    </row>
    <row r="2436" spans="12:15" x14ac:dyDescent="0.25">
      <c r="L2436" s="3" t="e">
        <f>VLOOKUP(C2436,Securities!A:D,4,FALSE)</f>
        <v>#N/A</v>
      </c>
      <c r="M2436" s="3" t="e">
        <f>VLOOKUP(C2436,Securities!A:B,2,FALSE)</f>
        <v>#N/A</v>
      </c>
      <c r="O2436" s="3">
        <f t="shared" si="38"/>
        <v>0</v>
      </c>
    </row>
    <row r="2437" spans="12:15" x14ac:dyDescent="0.25">
      <c r="L2437" s="3" t="e">
        <f>VLOOKUP(C2437,Securities!A:D,4,FALSE)</f>
        <v>#N/A</v>
      </c>
      <c r="M2437" s="3" t="e">
        <f>VLOOKUP(C2437,Securities!A:B,2,FALSE)</f>
        <v>#N/A</v>
      </c>
      <c r="O2437" s="3">
        <f t="shared" si="38"/>
        <v>0</v>
      </c>
    </row>
    <row r="2438" spans="12:15" x14ac:dyDescent="0.25">
      <c r="L2438" s="3" t="e">
        <f>VLOOKUP(C2438,Securities!A:D,4,FALSE)</f>
        <v>#N/A</v>
      </c>
      <c r="M2438" s="3" t="e">
        <f>VLOOKUP(C2438,Securities!A:B,2,FALSE)</f>
        <v>#N/A</v>
      </c>
      <c r="O2438" s="3">
        <f t="shared" ref="O2438:O2501" si="39">SUMIFS(E:E,C:C,C2438,B:B,B2438)</f>
        <v>0</v>
      </c>
    </row>
    <row r="2439" spans="12:15" x14ac:dyDescent="0.25">
      <c r="L2439" s="3" t="e">
        <f>VLOOKUP(C2439,Securities!A:D,4,FALSE)</f>
        <v>#N/A</v>
      </c>
      <c r="M2439" s="3" t="e">
        <f>VLOOKUP(C2439,Securities!A:B,2,FALSE)</f>
        <v>#N/A</v>
      </c>
      <c r="O2439" s="3">
        <f t="shared" si="39"/>
        <v>0</v>
      </c>
    </row>
    <row r="2440" spans="12:15" x14ac:dyDescent="0.25">
      <c r="L2440" s="3" t="e">
        <f>VLOOKUP(C2440,Securities!A:D,4,FALSE)</f>
        <v>#N/A</v>
      </c>
      <c r="M2440" s="3" t="e">
        <f>VLOOKUP(C2440,Securities!A:B,2,FALSE)</f>
        <v>#N/A</v>
      </c>
      <c r="O2440" s="3">
        <f t="shared" si="39"/>
        <v>0</v>
      </c>
    </row>
    <row r="2441" spans="12:15" x14ac:dyDescent="0.25">
      <c r="L2441" s="3" t="e">
        <f>VLOOKUP(C2441,Securities!A:D,4,FALSE)</f>
        <v>#N/A</v>
      </c>
      <c r="M2441" s="3" t="e">
        <f>VLOOKUP(C2441,Securities!A:B,2,FALSE)</f>
        <v>#N/A</v>
      </c>
      <c r="O2441" s="3">
        <f t="shared" si="39"/>
        <v>0</v>
      </c>
    </row>
    <row r="2442" spans="12:15" x14ac:dyDescent="0.25">
      <c r="L2442" s="3" t="e">
        <f>VLOOKUP(C2442,Securities!A:D,4,FALSE)</f>
        <v>#N/A</v>
      </c>
      <c r="M2442" s="3" t="e">
        <f>VLOOKUP(C2442,Securities!A:B,2,FALSE)</f>
        <v>#N/A</v>
      </c>
      <c r="O2442" s="3">
        <f t="shared" si="39"/>
        <v>0</v>
      </c>
    </row>
    <row r="2443" spans="12:15" x14ac:dyDescent="0.25">
      <c r="L2443" s="3" t="e">
        <f>VLOOKUP(C2443,Securities!A:D,4,FALSE)</f>
        <v>#N/A</v>
      </c>
      <c r="M2443" s="3" t="e">
        <f>VLOOKUP(C2443,Securities!A:B,2,FALSE)</f>
        <v>#N/A</v>
      </c>
      <c r="O2443" s="3">
        <f t="shared" si="39"/>
        <v>0</v>
      </c>
    </row>
    <row r="2444" spans="12:15" x14ac:dyDescent="0.25">
      <c r="L2444" s="3" t="e">
        <f>VLOOKUP(C2444,Securities!A:D,4,FALSE)</f>
        <v>#N/A</v>
      </c>
      <c r="M2444" s="3" t="e">
        <f>VLOOKUP(C2444,Securities!A:B,2,FALSE)</f>
        <v>#N/A</v>
      </c>
      <c r="O2444" s="3">
        <f t="shared" si="39"/>
        <v>0</v>
      </c>
    </row>
    <row r="2445" spans="12:15" x14ac:dyDescent="0.25">
      <c r="L2445" s="3" t="e">
        <f>VLOOKUP(C2445,Securities!A:D,4,FALSE)</f>
        <v>#N/A</v>
      </c>
      <c r="M2445" s="3" t="e">
        <f>VLOOKUP(C2445,Securities!A:B,2,FALSE)</f>
        <v>#N/A</v>
      </c>
      <c r="O2445" s="3">
        <f t="shared" si="39"/>
        <v>0</v>
      </c>
    </row>
    <row r="2446" spans="12:15" x14ac:dyDescent="0.25">
      <c r="L2446" s="3" t="e">
        <f>VLOOKUP(C2446,Securities!A:D,4,FALSE)</f>
        <v>#N/A</v>
      </c>
      <c r="M2446" s="3" t="e">
        <f>VLOOKUP(C2446,Securities!A:B,2,FALSE)</f>
        <v>#N/A</v>
      </c>
      <c r="O2446" s="3">
        <f t="shared" si="39"/>
        <v>0</v>
      </c>
    </row>
    <row r="2447" spans="12:15" x14ac:dyDescent="0.25">
      <c r="L2447" s="3" t="e">
        <f>VLOOKUP(C2447,Securities!A:D,4,FALSE)</f>
        <v>#N/A</v>
      </c>
      <c r="M2447" s="3" t="e">
        <f>VLOOKUP(C2447,Securities!A:B,2,FALSE)</f>
        <v>#N/A</v>
      </c>
      <c r="O2447" s="3">
        <f t="shared" si="39"/>
        <v>0</v>
      </c>
    </row>
    <row r="2448" spans="12:15" x14ac:dyDescent="0.25">
      <c r="L2448" s="3" t="e">
        <f>VLOOKUP(C2448,Securities!A:D,4,FALSE)</f>
        <v>#N/A</v>
      </c>
      <c r="M2448" s="3" t="e">
        <f>VLOOKUP(C2448,Securities!A:B,2,FALSE)</f>
        <v>#N/A</v>
      </c>
      <c r="O2448" s="3">
        <f t="shared" si="39"/>
        <v>0</v>
      </c>
    </row>
    <row r="2449" spans="12:15" x14ac:dyDescent="0.25">
      <c r="L2449" s="3" t="e">
        <f>VLOOKUP(C2449,Securities!A:D,4,FALSE)</f>
        <v>#N/A</v>
      </c>
      <c r="M2449" s="3" t="e">
        <f>VLOOKUP(C2449,Securities!A:B,2,FALSE)</f>
        <v>#N/A</v>
      </c>
      <c r="O2449" s="3">
        <f t="shared" si="39"/>
        <v>0</v>
      </c>
    </row>
    <row r="2450" spans="12:15" x14ac:dyDescent="0.25">
      <c r="L2450" s="3" t="e">
        <f>VLOOKUP(C2450,Securities!A:D,4,FALSE)</f>
        <v>#N/A</v>
      </c>
      <c r="M2450" s="3" t="e">
        <f>VLOOKUP(C2450,Securities!A:B,2,FALSE)</f>
        <v>#N/A</v>
      </c>
      <c r="O2450" s="3">
        <f t="shared" si="39"/>
        <v>0</v>
      </c>
    </row>
    <row r="2451" spans="12:15" x14ac:dyDescent="0.25">
      <c r="L2451" s="3" t="e">
        <f>VLOOKUP(C2451,Securities!A:D,4,FALSE)</f>
        <v>#N/A</v>
      </c>
      <c r="M2451" s="3" t="e">
        <f>VLOOKUP(C2451,Securities!A:B,2,FALSE)</f>
        <v>#N/A</v>
      </c>
      <c r="O2451" s="3">
        <f t="shared" si="39"/>
        <v>0</v>
      </c>
    </row>
    <row r="2452" spans="12:15" x14ac:dyDescent="0.25">
      <c r="L2452" s="3" t="e">
        <f>VLOOKUP(C2452,Securities!A:D,4,FALSE)</f>
        <v>#N/A</v>
      </c>
      <c r="M2452" s="3" t="e">
        <f>VLOOKUP(C2452,Securities!A:B,2,FALSE)</f>
        <v>#N/A</v>
      </c>
      <c r="O2452" s="3">
        <f t="shared" si="39"/>
        <v>0</v>
      </c>
    </row>
    <row r="2453" spans="12:15" x14ac:dyDescent="0.25">
      <c r="L2453" s="3" t="e">
        <f>VLOOKUP(C2453,Securities!A:D,4,FALSE)</f>
        <v>#N/A</v>
      </c>
      <c r="M2453" s="3" t="e">
        <f>VLOOKUP(C2453,Securities!A:B,2,FALSE)</f>
        <v>#N/A</v>
      </c>
      <c r="O2453" s="3">
        <f t="shared" si="39"/>
        <v>0</v>
      </c>
    </row>
    <row r="2454" spans="12:15" x14ac:dyDescent="0.25">
      <c r="L2454" s="3" t="e">
        <f>VLOOKUP(C2454,Securities!A:D,4,FALSE)</f>
        <v>#N/A</v>
      </c>
      <c r="M2454" s="3" t="e">
        <f>VLOOKUP(C2454,Securities!A:B,2,FALSE)</f>
        <v>#N/A</v>
      </c>
      <c r="O2454" s="3">
        <f t="shared" si="39"/>
        <v>0</v>
      </c>
    </row>
    <row r="2455" spans="12:15" x14ac:dyDescent="0.25">
      <c r="L2455" s="3" t="e">
        <f>VLOOKUP(C2455,Securities!A:D,4,FALSE)</f>
        <v>#N/A</v>
      </c>
      <c r="M2455" s="3" t="e">
        <f>VLOOKUP(C2455,Securities!A:B,2,FALSE)</f>
        <v>#N/A</v>
      </c>
      <c r="O2455" s="3">
        <f t="shared" si="39"/>
        <v>0</v>
      </c>
    </row>
    <row r="2456" spans="12:15" x14ac:dyDescent="0.25">
      <c r="L2456" s="3" t="e">
        <f>VLOOKUP(C2456,Securities!A:D,4,FALSE)</f>
        <v>#N/A</v>
      </c>
      <c r="M2456" s="3" t="e">
        <f>VLOOKUP(C2456,Securities!A:B,2,FALSE)</f>
        <v>#N/A</v>
      </c>
      <c r="O2456" s="3">
        <f t="shared" si="39"/>
        <v>0</v>
      </c>
    </row>
    <row r="2457" spans="12:15" x14ac:dyDescent="0.25">
      <c r="L2457" s="3" t="e">
        <f>VLOOKUP(C2457,Securities!A:D,4,FALSE)</f>
        <v>#N/A</v>
      </c>
      <c r="M2457" s="3" t="e">
        <f>VLOOKUP(C2457,Securities!A:B,2,FALSE)</f>
        <v>#N/A</v>
      </c>
      <c r="O2457" s="3">
        <f t="shared" si="39"/>
        <v>0</v>
      </c>
    </row>
    <row r="2458" spans="12:15" x14ac:dyDescent="0.25">
      <c r="L2458" s="3" t="e">
        <f>VLOOKUP(C2458,Securities!A:D,4,FALSE)</f>
        <v>#N/A</v>
      </c>
      <c r="M2458" s="3" t="e">
        <f>VLOOKUP(C2458,Securities!A:B,2,FALSE)</f>
        <v>#N/A</v>
      </c>
      <c r="O2458" s="3">
        <f t="shared" si="39"/>
        <v>0</v>
      </c>
    </row>
    <row r="2459" spans="12:15" x14ac:dyDescent="0.25">
      <c r="L2459" s="3" t="e">
        <f>VLOOKUP(C2459,Securities!A:D,4,FALSE)</f>
        <v>#N/A</v>
      </c>
      <c r="M2459" s="3" t="e">
        <f>VLOOKUP(C2459,Securities!A:B,2,FALSE)</f>
        <v>#N/A</v>
      </c>
      <c r="O2459" s="3">
        <f t="shared" si="39"/>
        <v>0</v>
      </c>
    </row>
    <row r="2460" spans="12:15" x14ac:dyDescent="0.25">
      <c r="L2460" s="3" t="e">
        <f>VLOOKUP(C2460,Securities!A:D,4,FALSE)</f>
        <v>#N/A</v>
      </c>
      <c r="M2460" s="3" t="e">
        <f>VLOOKUP(C2460,Securities!A:B,2,FALSE)</f>
        <v>#N/A</v>
      </c>
      <c r="O2460" s="3">
        <f t="shared" si="39"/>
        <v>0</v>
      </c>
    </row>
    <row r="2461" spans="12:15" x14ac:dyDescent="0.25">
      <c r="L2461" s="3" t="e">
        <f>VLOOKUP(C2461,Securities!A:D,4,FALSE)</f>
        <v>#N/A</v>
      </c>
      <c r="M2461" s="3" t="e">
        <f>VLOOKUP(C2461,Securities!A:B,2,FALSE)</f>
        <v>#N/A</v>
      </c>
      <c r="O2461" s="3">
        <f t="shared" si="39"/>
        <v>0</v>
      </c>
    </row>
    <row r="2462" spans="12:15" x14ac:dyDescent="0.25">
      <c r="L2462" s="3" t="e">
        <f>VLOOKUP(C2462,Securities!A:D,4,FALSE)</f>
        <v>#N/A</v>
      </c>
      <c r="M2462" s="3" t="e">
        <f>VLOOKUP(C2462,Securities!A:B,2,FALSE)</f>
        <v>#N/A</v>
      </c>
      <c r="O2462" s="3">
        <f t="shared" si="39"/>
        <v>0</v>
      </c>
    </row>
    <row r="2463" spans="12:15" x14ac:dyDescent="0.25">
      <c r="L2463" s="3" t="e">
        <f>VLOOKUP(C2463,Securities!A:D,4,FALSE)</f>
        <v>#N/A</v>
      </c>
      <c r="M2463" s="3" t="e">
        <f>VLOOKUP(C2463,Securities!A:B,2,FALSE)</f>
        <v>#N/A</v>
      </c>
      <c r="O2463" s="3">
        <f t="shared" si="39"/>
        <v>0</v>
      </c>
    </row>
    <row r="2464" spans="12:15" x14ac:dyDescent="0.25">
      <c r="L2464" s="3" t="e">
        <f>VLOOKUP(C2464,Securities!A:D,4,FALSE)</f>
        <v>#N/A</v>
      </c>
      <c r="M2464" s="3" t="e">
        <f>VLOOKUP(C2464,Securities!A:B,2,FALSE)</f>
        <v>#N/A</v>
      </c>
      <c r="O2464" s="3">
        <f t="shared" si="39"/>
        <v>0</v>
      </c>
    </row>
    <row r="2465" spans="12:15" x14ac:dyDescent="0.25">
      <c r="L2465" s="3" t="e">
        <f>VLOOKUP(C2465,Securities!A:D,4,FALSE)</f>
        <v>#N/A</v>
      </c>
      <c r="M2465" s="3" t="e">
        <f>VLOOKUP(C2465,Securities!A:B,2,FALSE)</f>
        <v>#N/A</v>
      </c>
      <c r="O2465" s="3">
        <f t="shared" si="39"/>
        <v>0</v>
      </c>
    </row>
    <row r="2466" spans="12:15" x14ac:dyDescent="0.25">
      <c r="L2466" s="3" t="e">
        <f>VLOOKUP(C2466,Securities!A:D,4,FALSE)</f>
        <v>#N/A</v>
      </c>
      <c r="M2466" s="3" t="e">
        <f>VLOOKUP(C2466,Securities!A:B,2,FALSE)</f>
        <v>#N/A</v>
      </c>
      <c r="O2466" s="3">
        <f t="shared" si="39"/>
        <v>0</v>
      </c>
    </row>
    <row r="2467" spans="12:15" x14ac:dyDescent="0.25">
      <c r="L2467" s="3" t="e">
        <f>VLOOKUP(C2467,Securities!A:D,4,FALSE)</f>
        <v>#N/A</v>
      </c>
      <c r="M2467" s="3" t="e">
        <f>VLOOKUP(C2467,Securities!A:B,2,FALSE)</f>
        <v>#N/A</v>
      </c>
      <c r="O2467" s="3">
        <f t="shared" si="39"/>
        <v>0</v>
      </c>
    </row>
    <row r="2468" spans="12:15" x14ac:dyDescent="0.25">
      <c r="L2468" s="3" t="e">
        <f>VLOOKUP(C2468,Securities!A:D,4,FALSE)</f>
        <v>#N/A</v>
      </c>
      <c r="M2468" s="3" t="e">
        <f>VLOOKUP(C2468,Securities!A:B,2,FALSE)</f>
        <v>#N/A</v>
      </c>
      <c r="O2468" s="3">
        <f t="shared" si="39"/>
        <v>0</v>
      </c>
    </row>
    <row r="2469" spans="12:15" x14ac:dyDescent="0.25">
      <c r="L2469" s="3" t="e">
        <f>VLOOKUP(C2469,Securities!A:D,4,FALSE)</f>
        <v>#N/A</v>
      </c>
      <c r="M2469" s="3" t="e">
        <f>VLOOKUP(C2469,Securities!A:B,2,FALSE)</f>
        <v>#N/A</v>
      </c>
      <c r="O2469" s="3">
        <f t="shared" si="39"/>
        <v>0</v>
      </c>
    </row>
    <row r="2470" spans="12:15" x14ac:dyDescent="0.25">
      <c r="L2470" s="3" t="e">
        <f>VLOOKUP(C2470,Securities!A:D,4,FALSE)</f>
        <v>#N/A</v>
      </c>
      <c r="M2470" s="3" t="e">
        <f>VLOOKUP(C2470,Securities!A:B,2,FALSE)</f>
        <v>#N/A</v>
      </c>
      <c r="O2470" s="3">
        <f t="shared" si="39"/>
        <v>0</v>
      </c>
    </row>
    <row r="2471" spans="12:15" x14ac:dyDescent="0.25">
      <c r="L2471" s="3" t="e">
        <f>VLOOKUP(C2471,Securities!A:D,4,FALSE)</f>
        <v>#N/A</v>
      </c>
      <c r="M2471" s="3" t="e">
        <f>VLOOKUP(C2471,Securities!A:B,2,FALSE)</f>
        <v>#N/A</v>
      </c>
      <c r="O2471" s="3">
        <f t="shared" si="39"/>
        <v>0</v>
      </c>
    </row>
    <row r="2472" spans="12:15" x14ac:dyDescent="0.25">
      <c r="L2472" s="3" t="e">
        <f>VLOOKUP(C2472,Securities!A:D,4,FALSE)</f>
        <v>#N/A</v>
      </c>
      <c r="M2472" s="3" t="e">
        <f>VLOOKUP(C2472,Securities!A:B,2,FALSE)</f>
        <v>#N/A</v>
      </c>
      <c r="O2472" s="3">
        <f t="shared" si="39"/>
        <v>0</v>
      </c>
    </row>
    <row r="2473" spans="12:15" x14ac:dyDescent="0.25">
      <c r="L2473" s="3" t="e">
        <f>VLOOKUP(C2473,Securities!A:D,4,FALSE)</f>
        <v>#N/A</v>
      </c>
      <c r="M2473" s="3" t="e">
        <f>VLOOKUP(C2473,Securities!A:B,2,FALSE)</f>
        <v>#N/A</v>
      </c>
      <c r="O2473" s="3">
        <f t="shared" si="39"/>
        <v>0</v>
      </c>
    </row>
    <row r="2474" spans="12:15" x14ac:dyDescent="0.25">
      <c r="L2474" s="3" t="e">
        <f>VLOOKUP(C2474,Securities!A:D,4,FALSE)</f>
        <v>#N/A</v>
      </c>
      <c r="M2474" s="3" t="e">
        <f>VLOOKUP(C2474,Securities!A:B,2,FALSE)</f>
        <v>#N/A</v>
      </c>
      <c r="O2474" s="3">
        <f t="shared" si="39"/>
        <v>0</v>
      </c>
    </row>
    <row r="2475" spans="12:15" x14ac:dyDescent="0.25">
      <c r="L2475" s="3" t="e">
        <f>VLOOKUP(C2475,Securities!A:D,4,FALSE)</f>
        <v>#N/A</v>
      </c>
      <c r="M2475" s="3" t="e">
        <f>VLOOKUP(C2475,Securities!A:B,2,FALSE)</f>
        <v>#N/A</v>
      </c>
      <c r="O2475" s="3">
        <f t="shared" si="39"/>
        <v>0</v>
      </c>
    </row>
    <row r="2476" spans="12:15" x14ac:dyDescent="0.25">
      <c r="L2476" s="3" t="e">
        <f>VLOOKUP(C2476,Securities!A:D,4,FALSE)</f>
        <v>#N/A</v>
      </c>
      <c r="M2476" s="3" t="e">
        <f>VLOOKUP(C2476,Securities!A:B,2,FALSE)</f>
        <v>#N/A</v>
      </c>
      <c r="O2476" s="3">
        <f t="shared" si="39"/>
        <v>0</v>
      </c>
    </row>
    <row r="2477" spans="12:15" x14ac:dyDescent="0.25">
      <c r="L2477" s="3" t="e">
        <f>VLOOKUP(C2477,Securities!A:D,4,FALSE)</f>
        <v>#N/A</v>
      </c>
      <c r="M2477" s="3" t="e">
        <f>VLOOKUP(C2477,Securities!A:B,2,FALSE)</f>
        <v>#N/A</v>
      </c>
      <c r="O2477" s="3">
        <f t="shared" si="39"/>
        <v>0</v>
      </c>
    </row>
    <row r="2478" spans="12:15" x14ac:dyDescent="0.25">
      <c r="L2478" s="3" t="e">
        <f>VLOOKUP(C2478,Securities!A:D,4,FALSE)</f>
        <v>#N/A</v>
      </c>
      <c r="M2478" s="3" t="e">
        <f>VLOOKUP(C2478,Securities!A:B,2,FALSE)</f>
        <v>#N/A</v>
      </c>
      <c r="O2478" s="3">
        <f t="shared" si="39"/>
        <v>0</v>
      </c>
    </row>
    <row r="2479" spans="12:15" x14ac:dyDescent="0.25">
      <c r="L2479" s="3" t="e">
        <f>VLOOKUP(C2479,Securities!A:D,4,FALSE)</f>
        <v>#N/A</v>
      </c>
      <c r="M2479" s="3" t="e">
        <f>VLOOKUP(C2479,Securities!A:B,2,FALSE)</f>
        <v>#N/A</v>
      </c>
      <c r="O2479" s="3">
        <f t="shared" si="39"/>
        <v>0</v>
      </c>
    </row>
    <row r="2480" spans="12:15" x14ac:dyDescent="0.25">
      <c r="L2480" s="3" t="e">
        <f>VLOOKUP(C2480,Securities!A:D,4,FALSE)</f>
        <v>#N/A</v>
      </c>
      <c r="M2480" s="3" t="e">
        <f>VLOOKUP(C2480,Securities!A:B,2,FALSE)</f>
        <v>#N/A</v>
      </c>
      <c r="O2480" s="3">
        <f t="shared" si="39"/>
        <v>0</v>
      </c>
    </row>
    <row r="2481" spans="12:15" x14ac:dyDescent="0.25">
      <c r="L2481" s="3" t="e">
        <f>VLOOKUP(C2481,Securities!A:D,4,FALSE)</f>
        <v>#N/A</v>
      </c>
      <c r="M2481" s="3" t="e">
        <f>VLOOKUP(C2481,Securities!A:B,2,FALSE)</f>
        <v>#N/A</v>
      </c>
      <c r="O2481" s="3">
        <f t="shared" si="39"/>
        <v>0</v>
      </c>
    </row>
    <row r="2482" spans="12:15" x14ac:dyDescent="0.25">
      <c r="L2482" s="3" t="e">
        <f>VLOOKUP(C2482,Securities!A:D,4,FALSE)</f>
        <v>#N/A</v>
      </c>
      <c r="M2482" s="3" t="e">
        <f>VLOOKUP(C2482,Securities!A:B,2,FALSE)</f>
        <v>#N/A</v>
      </c>
      <c r="O2482" s="3">
        <f t="shared" si="39"/>
        <v>0</v>
      </c>
    </row>
    <row r="2483" spans="12:15" x14ac:dyDescent="0.25">
      <c r="L2483" s="3" t="e">
        <f>VLOOKUP(C2483,Securities!A:D,4,FALSE)</f>
        <v>#N/A</v>
      </c>
      <c r="M2483" s="3" t="e">
        <f>VLOOKUP(C2483,Securities!A:B,2,FALSE)</f>
        <v>#N/A</v>
      </c>
      <c r="O2483" s="3">
        <f t="shared" si="39"/>
        <v>0</v>
      </c>
    </row>
    <row r="2484" spans="12:15" x14ac:dyDescent="0.25">
      <c r="L2484" s="3" t="e">
        <f>VLOOKUP(C2484,Securities!A:D,4,FALSE)</f>
        <v>#N/A</v>
      </c>
      <c r="M2484" s="3" t="e">
        <f>VLOOKUP(C2484,Securities!A:B,2,FALSE)</f>
        <v>#N/A</v>
      </c>
      <c r="O2484" s="3">
        <f t="shared" si="39"/>
        <v>0</v>
      </c>
    </row>
    <row r="2485" spans="12:15" x14ac:dyDescent="0.25">
      <c r="L2485" s="3" t="e">
        <f>VLOOKUP(C2485,Securities!A:D,4,FALSE)</f>
        <v>#N/A</v>
      </c>
      <c r="M2485" s="3" t="e">
        <f>VLOOKUP(C2485,Securities!A:B,2,FALSE)</f>
        <v>#N/A</v>
      </c>
      <c r="O2485" s="3">
        <f t="shared" si="39"/>
        <v>0</v>
      </c>
    </row>
    <row r="2486" spans="12:15" x14ac:dyDescent="0.25">
      <c r="L2486" s="3" t="e">
        <f>VLOOKUP(C2486,Securities!A:D,4,FALSE)</f>
        <v>#N/A</v>
      </c>
      <c r="M2486" s="3" t="e">
        <f>VLOOKUP(C2486,Securities!A:B,2,FALSE)</f>
        <v>#N/A</v>
      </c>
      <c r="O2486" s="3">
        <f t="shared" si="39"/>
        <v>0</v>
      </c>
    </row>
    <row r="2487" spans="12:15" x14ac:dyDescent="0.25">
      <c r="L2487" s="3" t="e">
        <f>VLOOKUP(C2487,Securities!A:D,4,FALSE)</f>
        <v>#N/A</v>
      </c>
      <c r="M2487" s="3" t="e">
        <f>VLOOKUP(C2487,Securities!A:B,2,FALSE)</f>
        <v>#N/A</v>
      </c>
      <c r="O2487" s="3">
        <f t="shared" si="39"/>
        <v>0</v>
      </c>
    </row>
    <row r="2488" spans="12:15" x14ac:dyDescent="0.25">
      <c r="L2488" s="3" t="e">
        <f>VLOOKUP(C2488,Securities!A:D,4,FALSE)</f>
        <v>#N/A</v>
      </c>
      <c r="M2488" s="3" t="e">
        <f>VLOOKUP(C2488,Securities!A:B,2,FALSE)</f>
        <v>#N/A</v>
      </c>
      <c r="O2488" s="3">
        <f t="shared" si="39"/>
        <v>0</v>
      </c>
    </row>
    <row r="2489" spans="12:15" x14ac:dyDescent="0.25">
      <c r="L2489" s="3" t="e">
        <f>VLOOKUP(C2489,Securities!A:D,4,FALSE)</f>
        <v>#N/A</v>
      </c>
      <c r="M2489" s="3" t="e">
        <f>VLOOKUP(C2489,Securities!A:B,2,FALSE)</f>
        <v>#N/A</v>
      </c>
      <c r="O2489" s="3">
        <f t="shared" si="39"/>
        <v>0</v>
      </c>
    </row>
    <row r="2490" spans="12:15" x14ac:dyDescent="0.25">
      <c r="L2490" s="3" t="e">
        <f>VLOOKUP(C2490,Securities!A:D,4,FALSE)</f>
        <v>#N/A</v>
      </c>
      <c r="M2490" s="3" t="e">
        <f>VLOOKUP(C2490,Securities!A:B,2,FALSE)</f>
        <v>#N/A</v>
      </c>
      <c r="O2490" s="3">
        <f t="shared" si="39"/>
        <v>0</v>
      </c>
    </row>
    <row r="2491" spans="12:15" x14ac:dyDescent="0.25">
      <c r="L2491" s="3" t="e">
        <f>VLOOKUP(C2491,Securities!A:D,4,FALSE)</f>
        <v>#N/A</v>
      </c>
      <c r="M2491" s="3" t="e">
        <f>VLOOKUP(C2491,Securities!A:B,2,FALSE)</f>
        <v>#N/A</v>
      </c>
      <c r="O2491" s="3">
        <f t="shared" si="39"/>
        <v>0</v>
      </c>
    </row>
    <row r="2492" spans="12:15" x14ac:dyDescent="0.25">
      <c r="L2492" s="3" t="e">
        <f>VLOOKUP(C2492,Securities!A:D,4,FALSE)</f>
        <v>#N/A</v>
      </c>
      <c r="M2492" s="3" t="e">
        <f>VLOOKUP(C2492,Securities!A:B,2,FALSE)</f>
        <v>#N/A</v>
      </c>
      <c r="O2492" s="3">
        <f t="shared" si="39"/>
        <v>0</v>
      </c>
    </row>
    <row r="2493" spans="12:15" x14ac:dyDescent="0.25">
      <c r="L2493" s="3" t="e">
        <f>VLOOKUP(C2493,Securities!A:D,4,FALSE)</f>
        <v>#N/A</v>
      </c>
      <c r="M2493" s="3" t="e">
        <f>VLOOKUP(C2493,Securities!A:B,2,FALSE)</f>
        <v>#N/A</v>
      </c>
      <c r="O2493" s="3">
        <f t="shared" si="39"/>
        <v>0</v>
      </c>
    </row>
    <row r="2494" spans="12:15" x14ac:dyDescent="0.25">
      <c r="L2494" s="3" t="e">
        <f>VLOOKUP(C2494,Securities!A:D,4,FALSE)</f>
        <v>#N/A</v>
      </c>
      <c r="M2494" s="3" t="e">
        <f>VLOOKUP(C2494,Securities!A:B,2,FALSE)</f>
        <v>#N/A</v>
      </c>
      <c r="O2494" s="3">
        <f t="shared" si="39"/>
        <v>0</v>
      </c>
    </row>
    <row r="2495" spans="12:15" x14ac:dyDescent="0.25">
      <c r="L2495" s="3" t="e">
        <f>VLOOKUP(C2495,Securities!A:D,4,FALSE)</f>
        <v>#N/A</v>
      </c>
      <c r="M2495" s="3" t="e">
        <f>VLOOKUP(C2495,Securities!A:B,2,FALSE)</f>
        <v>#N/A</v>
      </c>
      <c r="O2495" s="3">
        <f t="shared" si="39"/>
        <v>0</v>
      </c>
    </row>
    <row r="2496" spans="12:15" x14ac:dyDescent="0.25">
      <c r="L2496" s="3" t="e">
        <f>VLOOKUP(C2496,Securities!A:D,4,FALSE)</f>
        <v>#N/A</v>
      </c>
      <c r="M2496" s="3" t="e">
        <f>VLOOKUP(C2496,Securities!A:B,2,FALSE)</f>
        <v>#N/A</v>
      </c>
      <c r="O2496" s="3">
        <f t="shared" si="39"/>
        <v>0</v>
      </c>
    </row>
    <row r="2497" spans="12:15" x14ac:dyDescent="0.25">
      <c r="L2497" s="3" t="e">
        <f>VLOOKUP(C2497,Securities!A:D,4,FALSE)</f>
        <v>#N/A</v>
      </c>
      <c r="M2497" s="3" t="e">
        <f>VLOOKUP(C2497,Securities!A:B,2,FALSE)</f>
        <v>#N/A</v>
      </c>
      <c r="O2497" s="3">
        <f t="shared" si="39"/>
        <v>0</v>
      </c>
    </row>
    <row r="2498" spans="12:15" x14ac:dyDescent="0.25">
      <c r="L2498" s="3" t="e">
        <f>VLOOKUP(C2498,Securities!A:D,4,FALSE)</f>
        <v>#N/A</v>
      </c>
      <c r="M2498" s="3" t="e">
        <f>VLOOKUP(C2498,Securities!A:B,2,FALSE)</f>
        <v>#N/A</v>
      </c>
      <c r="O2498" s="3">
        <f t="shared" si="39"/>
        <v>0</v>
      </c>
    </row>
    <row r="2499" spans="12:15" x14ac:dyDescent="0.25">
      <c r="L2499" s="3" t="e">
        <f>VLOOKUP(C2499,Securities!A:D,4,FALSE)</f>
        <v>#N/A</v>
      </c>
      <c r="M2499" s="3" t="e">
        <f>VLOOKUP(C2499,Securities!A:B,2,FALSE)</f>
        <v>#N/A</v>
      </c>
      <c r="O2499" s="3">
        <f t="shared" si="39"/>
        <v>0</v>
      </c>
    </row>
    <row r="2500" spans="12:15" x14ac:dyDescent="0.25">
      <c r="L2500" s="3" t="e">
        <f>VLOOKUP(C2500,Securities!A:D,4,FALSE)</f>
        <v>#N/A</v>
      </c>
      <c r="M2500" s="3" t="e">
        <f>VLOOKUP(C2500,Securities!A:B,2,FALSE)</f>
        <v>#N/A</v>
      </c>
      <c r="O2500" s="3">
        <f t="shared" si="39"/>
        <v>0</v>
      </c>
    </row>
    <row r="2501" spans="12:15" x14ac:dyDescent="0.25">
      <c r="L2501" s="3" t="e">
        <f>VLOOKUP(C2501,Securities!A:D,4,FALSE)</f>
        <v>#N/A</v>
      </c>
      <c r="M2501" s="3" t="e">
        <f>VLOOKUP(C2501,Securities!A:B,2,FALSE)</f>
        <v>#N/A</v>
      </c>
      <c r="O2501" s="3">
        <f t="shared" si="39"/>
        <v>0</v>
      </c>
    </row>
    <row r="2502" spans="12:15" x14ac:dyDescent="0.25">
      <c r="L2502" s="3" t="e">
        <f>VLOOKUP(C2502,Securities!A:D,4,FALSE)</f>
        <v>#N/A</v>
      </c>
      <c r="M2502" s="3" t="e">
        <f>VLOOKUP(C2502,Securities!A:B,2,FALSE)</f>
        <v>#N/A</v>
      </c>
      <c r="O2502" s="3">
        <f t="shared" ref="O2502:O2565" si="40">SUMIFS(E:E,C:C,C2502,B:B,B2502)</f>
        <v>0</v>
      </c>
    </row>
    <row r="2503" spans="12:15" x14ac:dyDescent="0.25">
      <c r="L2503" s="3" t="e">
        <f>VLOOKUP(C2503,Securities!A:D,4,FALSE)</f>
        <v>#N/A</v>
      </c>
      <c r="M2503" s="3" t="e">
        <f>VLOOKUP(C2503,Securities!A:B,2,FALSE)</f>
        <v>#N/A</v>
      </c>
      <c r="O2503" s="3">
        <f t="shared" si="40"/>
        <v>0</v>
      </c>
    </row>
    <row r="2504" spans="12:15" x14ac:dyDescent="0.25">
      <c r="L2504" s="3" t="e">
        <f>VLOOKUP(C2504,Securities!A:D,4,FALSE)</f>
        <v>#N/A</v>
      </c>
      <c r="M2504" s="3" t="e">
        <f>VLOOKUP(C2504,Securities!A:B,2,FALSE)</f>
        <v>#N/A</v>
      </c>
      <c r="O2504" s="3">
        <f t="shared" si="40"/>
        <v>0</v>
      </c>
    </row>
    <row r="2505" spans="12:15" x14ac:dyDescent="0.25">
      <c r="L2505" s="3" t="e">
        <f>VLOOKUP(C2505,Securities!A:D,4,FALSE)</f>
        <v>#N/A</v>
      </c>
      <c r="M2505" s="3" t="e">
        <f>VLOOKUP(C2505,Securities!A:B,2,FALSE)</f>
        <v>#N/A</v>
      </c>
      <c r="O2505" s="3">
        <f t="shared" si="40"/>
        <v>0</v>
      </c>
    </row>
    <row r="2506" spans="12:15" x14ac:dyDescent="0.25">
      <c r="L2506" s="3" t="e">
        <f>VLOOKUP(C2506,Securities!A:D,4,FALSE)</f>
        <v>#N/A</v>
      </c>
      <c r="M2506" s="3" t="e">
        <f>VLOOKUP(C2506,Securities!A:B,2,FALSE)</f>
        <v>#N/A</v>
      </c>
      <c r="O2506" s="3">
        <f t="shared" si="40"/>
        <v>0</v>
      </c>
    </row>
    <row r="2507" spans="12:15" x14ac:dyDescent="0.25">
      <c r="L2507" s="3" t="e">
        <f>VLOOKUP(C2507,Securities!A:D,4,FALSE)</f>
        <v>#N/A</v>
      </c>
      <c r="M2507" s="3" t="e">
        <f>VLOOKUP(C2507,Securities!A:B,2,FALSE)</f>
        <v>#N/A</v>
      </c>
      <c r="O2507" s="3">
        <f t="shared" si="40"/>
        <v>0</v>
      </c>
    </row>
    <row r="2508" spans="12:15" x14ac:dyDescent="0.25">
      <c r="L2508" s="3" t="e">
        <f>VLOOKUP(C2508,Securities!A:D,4,FALSE)</f>
        <v>#N/A</v>
      </c>
      <c r="M2508" s="3" t="e">
        <f>VLOOKUP(C2508,Securities!A:B,2,FALSE)</f>
        <v>#N/A</v>
      </c>
      <c r="O2508" s="3">
        <f t="shared" si="40"/>
        <v>0</v>
      </c>
    </row>
    <row r="2509" spans="12:15" x14ac:dyDescent="0.25">
      <c r="L2509" s="3" t="e">
        <f>VLOOKUP(C2509,Securities!A:D,4,FALSE)</f>
        <v>#N/A</v>
      </c>
      <c r="M2509" s="3" t="e">
        <f>VLOOKUP(C2509,Securities!A:B,2,FALSE)</f>
        <v>#N/A</v>
      </c>
      <c r="O2509" s="3">
        <f t="shared" si="40"/>
        <v>0</v>
      </c>
    </row>
    <row r="2510" spans="12:15" x14ac:dyDescent="0.25">
      <c r="L2510" s="3" t="e">
        <f>VLOOKUP(C2510,Securities!A:D,4,FALSE)</f>
        <v>#N/A</v>
      </c>
      <c r="M2510" s="3" t="e">
        <f>VLOOKUP(C2510,Securities!A:B,2,FALSE)</f>
        <v>#N/A</v>
      </c>
      <c r="O2510" s="3">
        <f t="shared" si="40"/>
        <v>0</v>
      </c>
    </row>
    <row r="2511" spans="12:15" x14ac:dyDescent="0.25">
      <c r="L2511" s="3" t="e">
        <f>VLOOKUP(C2511,Securities!A:D,4,FALSE)</f>
        <v>#N/A</v>
      </c>
      <c r="M2511" s="3" t="e">
        <f>VLOOKUP(C2511,Securities!A:B,2,FALSE)</f>
        <v>#N/A</v>
      </c>
      <c r="O2511" s="3">
        <f t="shared" si="40"/>
        <v>0</v>
      </c>
    </row>
    <row r="2512" spans="12:15" x14ac:dyDescent="0.25">
      <c r="L2512" s="3" t="e">
        <f>VLOOKUP(C2512,Securities!A:D,4,FALSE)</f>
        <v>#N/A</v>
      </c>
      <c r="M2512" s="3" t="e">
        <f>VLOOKUP(C2512,Securities!A:B,2,FALSE)</f>
        <v>#N/A</v>
      </c>
      <c r="O2512" s="3">
        <f t="shared" si="40"/>
        <v>0</v>
      </c>
    </row>
    <row r="2513" spans="12:15" x14ac:dyDescent="0.25">
      <c r="L2513" s="3" t="e">
        <f>VLOOKUP(C2513,Securities!A:D,4,FALSE)</f>
        <v>#N/A</v>
      </c>
      <c r="M2513" s="3" t="e">
        <f>VLOOKUP(C2513,Securities!A:B,2,FALSE)</f>
        <v>#N/A</v>
      </c>
      <c r="O2513" s="3">
        <f t="shared" si="40"/>
        <v>0</v>
      </c>
    </row>
    <row r="2514" spans="12:15" x14ac:dyDescent="0.25">
      <c r="L2514" s="3" t="e">
        <f>VLOOKUP(C2514,Securities!A:D,4,FALSE)</f>
        <v>#N/A</v>
      </c>
      <c r="M2514" s="3" t="e">
        <f>VLOOKUP(C2514,Securities!A:B,2,FALSE)</f>
        <v>#N/A</v>
      </c>
      <c r="O2514" s="3">
        <f t="shared" si="40"/>
        <v>0</v>
      </c>
    </row>
    <row r="2515" spans="12:15" x14ac:dyDescent="0.25">
      <c r="L2515" s="3" t="e">
        <f>VLOOKUP(C2515,Securities!A:D,4,FALSE)</f>
        <v>#N/A</v>
      </c>
      <c r="M2515" s="3" t="e">
        <f>VLOOKUP(C2515,Securities!A:B,2,FALSE)</f>
        <v>#N/A</v>
      </c>
      <c r="O2515" s="3">
        <f t="shared" si="40"/>
        <v>0</v>
      </c>
    </row>
    <row r="2516" spans="12:15" x14ac:dyDescent="0.25">
      <c r="L2516" s="3" t="e">
        <f>VLOOKUP(C2516,Securities!A:D,4,FALSE)</f>
        <v>#N/A</v>
      </c>
      <c r="M2516" s="3" t="e">
        <f>VLOOKUP(C2516,Securities!A:B,2,FALSE)</f>
        <v>#N/A</v>
      </c>
      <c r="O2516" s="3">
        <f t="shared" si="40"/>
        <v>0</v>
      </c>
    </row>
    <row r="2517" spans="12:15" x14ac:dyDescent="0.25">
      <c r="L2517" s="3" t="e">
        <f>VLOOKUP(C2517,Securities!A:D,4,FALSE)</f>
        <v>#N/A</v>
      </c>
      <c r="M2517" s="3" t="e">
        <f>VLOOKUP(C2517,Securities!A:B,2,FALSE)</f>
        <v>#N/A</v>
      </c>
      <c r="O2517" s="3">
        <f t="shared" si="40"/>
        <v>0</v>
      </c>
    </row>
    <row r="2518" spans="12:15" x14ac:dyDescent="0.25">
      <c r="L2518" s="3" t="e">
        <f>VLOOKUP(C2518,Securities!A:D,4,FALSE)</f>
        <v>#N/A</v>
      </c>
      <c r="M2518" s="3" t="e">
        <f>VLOOKUP(C2518,Securities!A:B,2,FALSE)</f>
        <v>#N/A</v>
      </c>
      <c r="O2518" s="3">
        <f t="shared" si="40"/>
        <v>0</v>
      </c>
    </row>
    <row r="2519" spans="12:15" x14ac:dyDescent="0.25">
      <c r="L2519" s="3" t="e">
        <f>VLOOKUP(C2519,Securities!A:D,4,FALSE)</f>
        <v>#N/A</v>
      </c>
      <c r="M2519" s="3" t="e">
        <f>VLOOKUP(C2519,Securities!A:B,2,FALSE)</f>
        <v>#N/A</v>
      </c>
      <c r="O2519" s="3">
        <f t="shared" si="40"/>
        <v>0</v>
      </c>
    </row>
    <row r="2520" spans="12:15" x14ac:dyDescent="0.25">
      <c r="L2520" s="3" t="e">
        <f>VLOOKUP(C2520,Securities!A:D,4,FALSE)</f>
        <v>#N/A</v>
      </c>
      <c r="M2520" s="3" t="e">
        <f>VLOOKUP(C2520,Securities!A:B,2,FALSE)</f>
        <v>#N/A</v>
      </c>
      <c r="O2520" s="3">
        <f t="shared" si="40"/>
        <v>0</v>
      </c>
    </row>
    <row r="2521" spans="12:15" x14ac:dyDescent="0.25">
      <c r="L2521" s="3" t="e">
        <f>VLOOKUP(C2521,Securities!A:D,4,FALSE)</f>
        <v>#N/A</v>
      </c>
      <c r="M2521" s="3" t="e">
        <f>VLOOKUP(C2521,Securities!A:B,2,FALSE)</f>
        <v>#N/A</v>
      </c>
      <c r="O2521" s="3">
        <f t="shared" si="40"/>
        <v>0</v>
      </c>
    </row>
    <row r="2522" spans="12:15" x14ac:dyDescent="0.25">
      <c r="L2522" s="3" t="e">
        <f>VLOOKUP(C2522,Securities!A:D,4,FALSE)</f>
        <v>#N/A</v>
      </c>
      <c r="M2522" s="3" t="e">
        <f>VLOOKUP(C2522,Securities!A:B,2,FALSE)</f>
        <v>#N/A</v>
      </c>
      <c r="O2522" s="3">
        <f t="shared" si="40"/>
        <v>0</v>
      </c>
    </row>
    <row r="2523" spans="12:15" x14ac:dyDescent="0.25">
      <c r="L2523" s="3" t="e">
        <f>VLOOKUP(C2523,Securities!A:D,4,FALSE)</f>
        <v>#N/A</v>
      </c>
      <c r="M2523" s="3" t="e">
        <f>VLOOKUP(C2523,Securities!A:B,2,FALSE)</f>
        <v>#N/A</v>
      </c>
      <c r="O2523" s="3">
        <f t="shared" si="40"/>
        <v>0</v>
      </c>
    </row>
    <row r="2524" spans="12:15" x14ac:dyDescent="0.25">
      <c r="L2524" s="3" t="e">
        <f>VLOOKUP(C2524,Securities!A:D,4,FALSE)</f>
        <v>#N/A</v>
      </c>
      <c r="M2524" s="3" t="e">
        <f>VLOOKUP(C2524,Securities!A:B,2,FALSE)</f>
        <v>#N/A</v>
      </c>
      <c r="O2524" s="3">
        <f t="shared" si="40"/>
        <v>0</v>
      </c>
    </row>
    <row r="2525" spans="12:15" x14ac:dyDescent="0.25">
      <c r="L2525" s="3" t="e">
        <f>VLOOKUP(C2525,Securities!A:D,4,FALSE)</f>
        <v>#N/A</v>
      </c>
      <c r="M2525" s="3" t="e">
        <f>VLOOKUP(C2525,Securities!A:B,2,FALSE)</f>
        <v>#N/A</v>
      </c>
      <c r="O2525" s="3">
        <f t="shared" si="40"/>
        <v>0</v>
      </c>
    </row>
    <row r="2526" spans="12:15" x14ac:dyDescent="0.25">
      <c r="L2526" s="3" t="e">
        <f>VLOOKUP(C2526,Securities!A:D,4,FALSE)</f>
        <v>#N/A</v>
      </c>
      <c r="M2526" s="3" t="e">
        <f>VLOOKUP(C2526,Securities!A:B,2,FALSE)</f>
        <v>#N/A</v>
      </c>
      <c r="O2526" s="3">
        <f t="shared" si="40"/>
        <v>0</v>
      </c>
    </row>
    <row r="2527" spans="12:15" x14ac:dyDescent="0.25">
      <c r="L2527" s="3" t="e">
        <f>VLOOKUP(C2527,Securities!A:D,4,FALSE)</f>
        <v>#N/A</v>
      </c>
      <c r="M2527" s="3" t="e">
        <f>VLOOKUP(C2527,Securities!A:B,2,FALSE)</f>
        <v>#N/A</v>
      </c>
      <c r="O2527" s="3">
        <f t="shared" si="40"/>
        <v>0</v>
      </c>
    </row>
    <row r="2528" spans="12:15" x14ac:dyDescent="0.25">
      <c r="L2528" s="3" t="e">
        <f>VLOOKUP(C2528,Securities!A:D,4,FALSE)</f>
        <v>#N/A</v>
      </c>
      <c r="M2528" s="3" t="e">
        <f>VLOOKUP(C2528,Securities!A:B,2,FALSE)</f>
        <v>#N/A</v>
      </c>
      <c r="O2528" s="3">
        <f t="shared" si="40"/>
        <v>0</v>
      </c>
    </row>
    <row r="2529" spans="12:15" x14ac:dyDescent="0.25">
      <c r="L2529" s="3" t="e">
        <f>VLOOKUP(C2529,Securities!A:D,4,FALSE)</f>
        <v>#N/A</v>
      </c>
      <c r="M2529" s="3" t="e">
        <f>VLOOKUP(C2529,Securities!A:B,2,FALSE)</f>
        <v>#N/A</v>
      </c>
      <c r="O2529" s="3">
        <f t="shared" si="40"/>
        <v>0</v>
      </c>
    </row>
    <row r="2530" spans="12:15" x14ac:dyDescent="0.25">
      <c r="L2530" s="3" t="e">
        <f>VLOOKUP(C2530,Securities!A:D,4,FALSE)</f>
        <v>#N/A</v>
      </c>
      <c r="M2530" s="3" t="e">
        <f>VLOOKUP(C2530,Securities!A:B,2,FALSE)</f>
        <v>#N/A</v>
      </c>
      <c r="O2530" s="3">
        <f t="shared" si="40"/>
        <v>0</v>
      </c>
    </row>
    <row r="2531" spans="12:15" x14ac:dyDescent="0.25">
      <c r="L2531" s="3" t="e">
        <f>VLOOKUP(C2531,Securities!A:D,4,FALSE)</f>
        <v>#N/A</v>
      </c>
      <c r="M2531" s="3" t="e">
        <f>VLOOKUP(C2531,Securities!A:B,2,FALSE)</f>
        <v>#N/A</v>
      </c>
      <c r="O2531" s="3">
        <f t="shared" si="40"/>
        <v>0</v>
      </c>
    </row>
    <row r="2532" spans="12:15" x14ac:dyDescent="0.25">
      <c r="L2532" s="3" t="e">
        <f>VLOOKUP(C2532,Securities!A:D,4,FALSE)</f>
        <v>#N/A</v>
      </c>
      <c r="M2532" s="3" t="e">
        <f>VLOOKUP(C2532,Securities!A:B,2,FALSE)</f>
        <v>#N/A</v>
      </c>
      <c r="O2532" s="3">
        <f t="shared" si="40"/>
        <v>0</v>
      </c>
    </row>
    <row r="2533" spans="12:15" x14ac:dyDescent="0.25">
      <c r="L2533" s="3" t="e">
        <f>VLOOKUP(C2533,Securities!A:D,4,FALSE)</f>
        <v>#N/A</v>
      </c>
      <c r="M2533" s="3" t="e">
        <f>VLOOKUP(C2533,Securities!A:B,2,FALSE)</f>
        <v>#N/A</v>
      </c>
      <c r="O2533" s="3">
        <f t="shared" si="40"/>
        <v>0</v>
      </c>
    </row>
    <row r="2534" spans="12:15" x14ac:dyDescent="0.25">
      <c r="L2534" s="3" t="e">
        <f>VLOOKUP(C2534,Securities!A:D,4,FALSE)</f>
        <v>#N/A</v>
      </c>
      <c r="M2534" s="3" t="e">
        <f>VLOOKUP(C2534,Securities!A:B,2,FALSE)</f>
        <v>#N/A</v>
      </c>
      <c r="O2534" s="3">
        <f t="shared" si="40"/>
        <v>0</v>
      </c>
    </row>
    <row r="2535" spans="12:15" x14ac:dyDescent="0.25">
      <c r="L2535" s="3" t="e">
        <f>VLOOKUP(C2535,Securities!A:D,4,FALSE)</f>
        <v>#N/A</v>
      </c>
      <c r="M2535" s="3" t="e">
        <f>VLOOKUP(C2535,Securities!A:B,2,FALSE)</f>
        <v>#N/A</v>
      </c>
      <c r="O2535" s="3">
        <f t="shared" si="40"/>
        <v>0</v>
      </c>
    </row>
    <row r="2536" spans="12:15" x14ac:dyDescent="0.25">
      <c r="L2536" s="3" t="e">
        <f>VLOOKUP(C2536,Securities!A:D,4,FALSE)</f>
        <v>#N/A</v>
      </c>
      <c r="M2536" s="3" t="e">
        <f>VLOOKUP(C2536,Securities!A:B,2,FALSE)</f>
        <v>#N/A</v>
      </c>
      <c r="O2536" s="3">
        <f t="shared" si="40"/>
        <v>0</v>
      </c>
    </row>
    <row r="2537" spans="12:15" x14ac:dyDescent="0.25">
      <c r="L2537" s="3" t="e">
        <f>VLOOKUP(C2537,Securities!A:D,4,FALSE)</f>
        <v>#N/A</v>
      </c>
      <c r="M2537" s="3" t="e">
        <f>VLOOKUP(C2537,Securities!A:B,2,FALSE)</f>
        <v>#N/A</v>
      </c>
      <c r="O2537" s="3">
        <f t="shared" si="40"/>
        <v>0</v>
      </c>
    </row>
    <row r="2538" spans="12:15" x14ac:dyDescent="0.25">
      <c r="L2538" s="3" t="e">
        <f>VLOOKUP(C2538,Securities!A:D,4,FALSE)</f>
        <v>#N/A</v>
      </c>
      <c r="M2538" s="3" t="e">
        <f>VLOOKUP(C2538,Securities!A:B,2,FALSE)</f>
        <v>#N/A</v>
      </c>
      <c r="O2538" s="3">
        <f t="shared" si="40"/>
        <v>0</v>
      </c>
    </row>
    <row r="2539" spans="12:15" x14ac:dyDescent="0.25">
      <c r="L2539" s="3" t="e">
        <f>VLOOKUP(C2539,Securities!A:D,4,FALSE)</f>
        <v>#N/A</v>
      </c>
      <c r="M2539" s="3" t="e">
        <f>VLOOKUP(C2539,Securities!A:B,2,FALSE)</f>
        <v>#N/A</v>
      </c>
      <c r="O2539" s="3">
        <f t="shared" si="40"/>
        <v>0</v>
      </c>
    </row>
    <row r="2540" spans="12:15" x14ac:dyDescent="0.25">
      <c r="L2540" s="3" t="e">
        <f>VLOOKUP(C2540,Securities!A:D,4,FALSE)</f>
        <v>#N/A</v>
      </c>
      <c r="M2540" s="3" t="e">
        <f>VLOOKUP(C2540,Securities!A:B,2,FALSE)</f>
        <v>#N/A</v>
      </c>
      <c r="O2540" s="3">
        <f t="shared" si="40"/>
        <v>0</v>
      </c>
    </row>
    <row r="2541" spans="12:15" x14ac:dyDescent="0.25">
      <c r="L2541" s="3" t="e">
        <f>VLOOKUP(C2541,Securities!A:D,4,FALSE)</f>
        <v>#N/A</v>
      </c>
      <c r="M2541" s="3" t="e">
        <f>VLOOKUP(C2541,Securities!A:B,2,FALSE)</f>
        <v>#N/A</v>
      </c>
      <c r="O2541" s="3">
        <f t="shared" si="40"/>
        <v>0</v>
      </c>
    </row>
    <row r="2542" spans="12:15" x14ac:dyDescent="0.25">
      <c r="L2542" s="3" t="e">
        <f>VLOOKUP(C2542,Securities!A:D,4,FALSE)</f>
        <v>#N/A</v>
      </c>
      <c r="M2542" s="3" t="e">
        <f>VLOOKUP(C2542,Securities!A:B,2,FALSE)</f>
        <v>#N/A</v>
      </c>
      <c r="O2542" s="3">
        <f t="shared" si="40"/>
        <v>0</v>
      </c>
    </row>
    <row r="2543" spans="12:15" x14ac:dyDescent="0.25">
      <c r="L2543" s="3" t="e">
        <f>VLOOKUP(C2543,Securities!A:D,4,FALSE)</f>
        <v>#N/A</v>
      </c>
      <c r="M2543" s="3" t="e">
        <f>VLOOKUP(C2543,Securities!A:B,2,FALSE)</f>
        <v>#N/A</v>
      </c>
      <c r="O2543" s="3">
        <f t="shared" si="40"/>
        <v>0</v>
      </c>
    </row>
    <row r="2544" spans="12:15" x14ac:dyDescent="0.25">
      <c r="L2544" s="3" t="e">
        <f>VLOOKUP(C2544,Securities!A:D,4,FALSE)</f>
        <v>#N/A</v>
      </c>
      <c r="M2544" s="3" t="e">
        <f>VLOOKUP(C2544,Securities!A:B,2,FALSE)</f>
        <v>#N/A</v>
      </c>
      <c r="O2544" s="3">
        <f t="shared" si="40"/>
        <v>0</v>
      </c>
    </row>
    <row r="2545" spans="12:15" x14ac:dyDescent="0.25">
      <c r="L2545" s="3" t="e">
        <f>VLOOKUP(C2545,Securities!A:D,4,FALSE)</f>
        <v>#N/A</v>
      </c>
      <c r="M2545" s="3" t="e">
        <f>VLOOKUP(C2545,Securities!A:B,2,FALSE)</f>
        <v>#N/A</v>
      </c>
      <c r="O2545" s="3">
        <f t="shared" si="40"/>
        <v>0</v>
      </c>
    </row>
    <row r="2546" spans="12:15" x14ac:dyDescent="0.25">
      <c r="L2546" s="3" t="e">
        <f>VLOOKUP(C2546,Securities!A:D,4,FALSE)</f>
        <v>#N/A</v>
      </c>
      <c r="M2546" s="3" t="e">
        <f>VLOOKUP(C2546,Securities!A:B,2,FALSE)</f>
        <v>#N/A</v>
      </c>
      <c r="O2546" s="3">
        <f t="shared" si="40"/>
        <v>0</v>
      </c>
    </row>
    <row r="2547" spans="12:15" x14ac:dyDescent="0.25">
      <c r="L2547" s="3" t="e">
        <f>VLOOKUP(C2547,Securities!A:D,4,FALSE)</f>
        <v>#N/A</v>
      </c>
      <c r="M2547" s="3" t="e">
        <f>VLOOKUP(C2547,Securities!A:B,2,FALSE)</f>
        <v>#N/A</v>
      </c>
      <c r="O2547" s="3">
        <f t="shared" si="40"/>
        <v>0</v>
      </c>
    </row>
    <row r="2548" spans="12:15" x14ac:dyDescent="0.25">
      <c r="L2548" s="3" t="e">
        <f>VLOOKUP(C2548,Securities!A:D,4,FALSE)</f>
        <v>#N/A</v>
      </c>
      <c r="M2548" s="3" t="e">
        <f>VLOOKUP(C2548,Securities!A:B,2,FALSE)</f>
        <v>#N/A</v>
      </c>
      <c r="O2548" s="3">
        <f t="shared" si="40"/>
        <v>0</v>
      </c>
    </row>
    <row r="2549" spans="12:15" x14ac:dyDescent="0.25">
      <c r="L2549" s="3" t="e">
        <f>VLOOKUP(C2549,Securities!A:D,4,FALSE)</f>
        <v>#N/A</v>
      </c>
      <c r="M2549" s="3" t="e">
        <f>VLOOKUP(C2549,Securities!A:B,2,FALSE)</f>
        <v>#N/A</v>
      </c>
      <c r="O2549" s="3">
        <f t="shared" si="40"/>
        <v>0</v>
      </c>
    </row>
    <row r="2550" spans="12:15" x14ac:dyDescent="0.25">
      <c r="L2550" s="3" t="e">
        <f>VLOOKUP(C2550,Securities!A:D,4,FALSE)</f>
        <v>#N/A</v>
      </c>
      <c r="M2550" s="3" t="e">
        <f>VLOOKUP(C2550,Securities!A:B,2,FALSE)</f>
        <v>#N/A</v>
      </c>
      <c r="O2550" s="3">
        <f t="shared" si="40"/>
        <v>0</v>
      </c>
    </row>
    <row r="2551" spans="12:15" x14ac:dyDescent="0.25">
      <c r="L2551" s="3" t="e">
        <f>VLOOKUP(C2551,Securities!A:D,4,FALSE)</f>
        <v>#N/A</v>
      </c>
      <c r="M2551" s="3" t="e">
        <f>VLOOKUP(C2551,Securities!A:B,2,FALSE)</f>
        <v>#N/A</v>
      </c>
      <c r="O2551" s="3">
        <f t="shared" si="40"/>
        <v>0</v>
      </c>
    </row>
    <row r="2552" spans="12:15" x14ac:dyDescent="0.25">
      <c r="L2552" s="3" t="e">
        <f>VLOOKUP(C2552,Securities!A:D,4,FALSE)</f>
        <v>#N/A</v>
      </c>
      <c r="M2552" s="3" t="e">
        <f>VLOOKUP(C2552,Securities!A:B,2,FALSE)</f>
        <v>#N/A</v>
      </c>
      <c r="O2552" s="3">
        <f t="shared" si="40"/>
        <v>0</v>
      </c>
    </row>
    <row r="2553" spans="12:15" x14ac:dyDescent="0.25">
      <c r="L2553" s="3" t="e">
        <f>VLOOKUP(C2553,Securities!A:D,4,FALSE)</f>
        <v>#N/A</v>
      </c>
      <c r="M2553" s="3" t="e">
        <f>VLOOKUP(C2553,Securities!A:B,2,FALSE)</f>
        <v>#N/A</v>
      </c>
      <c r="O2553" s="3">
        <f t="shared" si="40"/>
        <v>0</v>
      </c>
    </row>
    <row r="2554" spans="12:15" x14ac:dyDescent="0.25">
      <c r="L2554" s="3" t="e">
        <f>VLOOKUP(C2554,Securities!A:D,4,FALSE)</f>
        <v>#N/A</v>
      </c>
      <c r="M2554" s="3" t="e">
        <f>VLOOKUP(C2554,Securities!A:B,2,FALSE)</f>
        <v>#N/A</v>
      </c>
      <c r="O2554" s="3">
        <f t="shared" si="40"/>
        <v>0</v>
      </c>
    </row>
    <row r="2555" spans="12:15" x14ac:dyDescent="0.25">
      <c r="L2555" s="3" t="e">
        <f>VLOOKUP(C2555,Securities!A:D,4,FALSE)</f>
        <v>#N/A</v>
      </c>
      <c r="M2555" s="3" t="e">
        <f>VLOOKUP(C2555,Securities!A:B,2,FALSE)</f>
        <v>#N/A</v>
      </c>
      <c r="O2555" s="3">
        <f t="shared" si="40"/>
        <v>0</v>
      </c>
    </row>
    <row r="2556" spans="12:15" x14ac:dyDescent="0.25">
      <c r="L2556" s="3" t="e">
        <f>VLOOKUP(C2556,Securities!A:D,4,FALSE)</f>
        <v>#N/A</v>
      </c>
      <c r="M2556" s="3" t="e">
        <f>VLOOKUP(C2556,Securities!A:B,2,FALSE)</f>
        <v>#N/A</v>
      </c>
      <c r="O2556" s="3">
        <f t="shared" si="40"/>
        <v>0</v>
      </c>
    </row>
    <row r="2557" spans="12:15" x14ac:dyDescent="0.25">
      <c r="L2557" s="3" t="e">
        <f>VLOOKUP(C2557,Securities!A:D,4,FALSE)</f>
        <v>#N/A</v>
      </c>
      <c r="M2557" s="3" t="e">
        <f>VLOOKUP(C2557,Securities!A:B,2,FALSE)</f>
        <v>#N/A</v>
      </c>
      <c r="O2557" s="3">
        <f t="shared" si="40"/>
        <v>0</v>
      </c>
    </row>
    <row r="2558" spans="12:15" x14ac:dyDescent="0.25">
      <c r="L2558" s="3" t="e">
        <f>VLOOKUP(C2558,Securities!A:D,4,FALSE)</f>
        <v>#N/A</v>
      </c>
      <c r="M2558" s="3" t="e">
        <f>VLOOKUP(C2558,Securities!A:B,2,FALSE)</f>
        <v>#N/A</v>
      </c>
      <c r="O2558" s="3">
        <f t="shared" si="40"/>
        <v>0</v>
      </c>
    </row>
    <row r="2559" spans="12:15" x14ac:dyDescent="0.25">
      <c r="L2559" s="3" t="e">
        <f>VLOOKUP(C2559,Securities!A:D,4,FALSE)</f>
        <v>#N/A</v>
      </c>
      <c r="M2559" s="3" t="e">
        <f>VLOOKUP(C2559,Securities!A:B,2,FALSE)</f>
        <v>#N/A</v>
      </c>
      <c r="O2559" s="3">
        <f t="shared" si="40"/>
        <v>0</v>
      </c>
    </row>
    <row r="2560" spans="12:15" x14ac:dyDescent="0.25">
      <c r="L2560" s="3" t="e">
        <f>VLOOKUP(C2560,Securities!A:D,4,FALSE)</f>
        <v>#N/A</v>
      </c>
      <c r="M2560" s="3" t="e">
        <f>VLOOKUP(C2560,Securities!A:B,2,FALSE)</f>
        <v>#N/A</v>
      </c>
      <c r="O2560" s="3">
        <f t="shared" si="40"/>
        <v>0</v>
      </c>
    </row>
    <row r="2561" spans="12:15" x14ac:dyDescent="0.25">
      <c r="L2561" s="3" t="e">
        <f>VLOOKUP(C2561,Securities!A:D,4,FALSE)</f>
        <v>#N/A</v>
      </c>
      <c r="M2561" s="3" t="e">
        <f>VLOOKUP(C2561,Securities!A:B,2,FALSE)</f>
        <v>#N/A</v>
      </c>
      <c r="O2561" s="3">
        <f t="shared" si="40"/>
        <v>0</v>
      </c>
    </row>
    <row r="2562" spans="12:15" x14ac:dyDescent="0.25">
      <c r="L2562" s="3" t="e">
        <f>VLOOKUP(C2562,Securities!A:D,4,FALSE)</f>
        <v>#N/A</v>
      </c>
      <c r="M2562" s="3" t="e">
        <f>VLOOKUP(C2562,Securities!A:B,2,FALSE)</f>
        <v>#N/A</v>
      </c>
      <c r="O2562" s="3">
        <f t="shared" si="40"/>
        <v>0</v>
      </c>
    </row>
    <row r="2563" spans="12:15" x14ac:dyDescent="0.25">
      <c r="L2563" s="3" t="e">
        <f>VLOOKUP(C2563,Securities!A:D,4,FALSE)</f>
        <v>#N/A</v>
      </c>
      <c r="M2563" s="3" t="e">
        <f>VLOOKUP(C2563,Securities!A:B,2,FALSE)</f>
        <v>#N/A</v>
      </c>
      <c r="O2563" s="3">
        <f t="shared" si="40"/>
        <v>0</v>
      </c>
    </row>
    <row r="2564" spans="12:15" x14ac:dyDescent="0.25">
      <c r="L2564" s="3" t="e">
        <f>VLOOKUP(C2564,Securities!A:D,4,FALSE)</f>
        <v>#N/A</v>
      </c>
      <c r="M2564" s="3" t="e">
        <f>VLOOKUP(C2564,Securities!A:B,2,FALSE)</f>
        <v>#N/A</v>
      </c>
      <c r="O2564" s="3">
        <f t="shared" si="40"/>
        <v>0</v>
      </c>
    </row>
    <row r="2565" spans="12:15" x14ac:dyDescent="0.25">
      <c r="L2565" s="3" t="e">
        <f>VLOOKUP(C2565,Securities!A:D,4,FALSE)</f>
        <v>#N/A</v>
      </c>
      <c r="M2565" s="3" t="e">
        <f>VLOOKUP(C2565,Securities!A:B,2,FALSE)</f>
        <v>#N/A</v>
      </c>
      <c r="O2565" s="3">
        <f t="shared" si="40"/>
        <v>0</v>
      </c>
    </row>
    <row r="2566" spans="12:15" x14ac:dyDescent="0.25">
      <c r="L2566" s="3" t="e">
        <f>VLOOKUP(C2566,Securities!A:D,4,FALSE)</f>
        <v>#N/A</v>
      </c>
      <c r="M2566" s="3" t="e">
        <f>VLOOKUP(C2566,Securities!A:B,2,FALSE)</f>
        <v>#N/A</v>
      </c>
      <c r="O2566" s="3">
        <f t="shared" ref="O2566:O2629" si="41">SUMIFS(E:E,C:C,C2566,B:B,B2566)</f>
        <v>0</v>
      </c>
    </row>
    <row r="2567" spans="12:15" x14ac:dyDescent="0.25">
      <c r="L2567" s="3" t="e">
        <f>VLOOKUP(C2567,Securities!A:D,4,FALSE)</f>
        <v>#N/A</v>
      </c>
      <c r="M2567" s="3" t="e">
        <f>VLOOKUP(C2567,Securities!A:B,2,FALSE)</f>
        <v>#N/A</v>
      </c>
      <c r="O2567" s="3">
        <f t="shared" si="41"/>
        <v>0</v>
      </c>
    </row>
    <row r="2568" spans="12:15" x14ac:dyDescent="0.25">
      <c r="L2568" s="3" t="e">
        <f>VLOOKUP(C2568,Securities!A:D,4,FALSE)</f>
        <v>#N/A</v>
      </c>
      <c r="M2568" s="3" t="e">
        <f>VLOOKUP(C2568,Securities!A:B,2,FALSE)</f>
        <v>#N/A</v>
      </c>
      <c r="O2568" s="3">
        <f t="shared" si="41"/>
        <v>0</v>
      </c>
    </row>
    <row r="2569" spans="12:15" x14ac:dyDescent="0.25">
      <c r="L2569" s="3" t="e">
        <f>VLOOKUP(C2569,Securities!A:D,4,FALSE)</f>
        <v>#N/A</v>
      </c>
      <c r="M2569" s="3" t="e">
        <f>VLOOKUP(C2569,Securities!A:B,2,FALSE)</f>
        <v>#N/A</v>
      </c>
      <c r="O2569" s="3">
        <f t="shared" si="41"/>
        <v>0</v>
      </c>
    </row>
    <row r="2570" spans="12:15" x14ac:dyDescent="0.25">
      <c r="L2570" s="3" t="e">
        <f>VLOOKUP(C2570,Securities!A:D,4,FALSE)</f>
        <v>#N/A</v>
      </c>
      <c r="M2570" s="3" t="e">
        <f>VLOOKUP(C2570,Securities!A:B,2,FALSE)</f>
        <v>#N/A</v>
      </c>
      <c r="O2570" s="3">
        <f t="shared" si="41"/>
        <v>0</v>
      </c>
    </row>
    <row r="2571" spans="12:15" x14ac:dyDescent="0.25">
      <c r="L2571" s="3" t="e">
        <f>VLOOKUP(C2571,Securities!A:D,4,FALSE)</f>
        <v>#N/A</v>
      </c>
      <c r="M2571" s="3" t="e">
        <f>VLOOKUP(C2571,Securities!A:B,2,FALSE)</f>
        <v>#N/A</v>
      </c>
      <c r="O2571" s="3">
        <f t="shared" si="41"/>
        <v>0</v>
      </c>
    </row>
    <row r="2572" spans="12:15" x14ac:dyDescent="0.25">
      <c r="L2572" s="3" t="e">
        <f>VLOOKUP(C2572,Securities!A:D,4,FALSE)</f>
        <v>#N/A</v>
      </c>
      <c r="M2572" s="3" t="e">
        <f>VLOOKUP(C2572,Securities!A:B,2,FALSE)</f>
        <v>#N/A</v>
      </c>
      <c r="O2572" s="3">
        <f t="shared" si="41"/>
        <v>0</v>
      </c>
    </row>
    <row r="2573" spans="12:15" x14ac:dyDescent="0.25">
      <c r="L2573" s="3" t="e">
        <f>VLOOKUP(C2573,Securities!A:D,4,FALSE)</f>
        <v>#N/A</v>
      </c>
      <c r="M2573" s="3" t="e">
        <f>VLOOKUP(C2573,Securities!A:B,2,FALSE)</f>
        <v>#N/A</v>
      </c>
      <c r="O2573" s="3">
        <f t="shared" si="41"/>
        <v>0</v>
      </c>
    </row>
    <row r="2574" spans="12:15" x14ac:dyDescent="0.25">
      <c r="L2574" s="3" t="e">
        <f>VLOOKUP(C2574,Securities!A:D,4,FALSE)</f>
        <v>#N/A</v>
      </c>
      <c r="M2574" s="3" t="e">
        <f>VLOOKUP(C2574,Securities!A:B,2,FALSE)</f>
        <v>#N/A</v>
      </c>
      <c r="O2574" s="3">
        <f t="shared" si="41"/>
        <v>0</v>
      </c>
    </row>
    <row r="2575" spans="12:15" x14ac:dyDescent="0.25">
      <c r="L2575" s="3" t="e">
        <f>VLOOKUP(C2575,Securities!A:D,4,FALSE)</f>
        <v>#N/A</v>
      </c>
      <c r="M2575" s="3" t="e">
        <f>VLOOKUP(C2575,Securities!A:B,2,FALSE)</f>
        <v>#N/A</v>
      </c>
      <c r="O2575" s="3">
        <f t="shared" si="41"/>
        <v>0</v>
      </c>
    </row>
    <row r="2576" spans="12:15" x14ac:dyDescent="0.25">
      <c r="L2576" s="3" t="e">
        <f>VLOOKUP(C2576,Securities!A:D,4,FALSE)</f>
        <v>#N/A</v>
      </c>
      <c r="M2576" s="3" t="e">
        <f>VLOOKUP(C2576,Securities!A:B,2,FALSE)</f>
        <v>#N/A</v>
      </c>
      <c r="O2576" s="3">
        <f t="shared" si="41"/>
        <v>0</v>
      </c>
    </row>
    <row r="2577" spans="12:15" x14ac:dyDescent="0.25">
      <c r="L2577" s="3" t="e">
        <f>VLOOKUP(C2577,Securities!A:D,4,FALSE)</f>
        <v>#N/A</v>
      </c>
      <c r="M2577" s="3" t="e">
        <f>VLOOKUP(C2577,Securities!A:B,2,FALSE)</f>
        <v>#N/A</v>
      </c>
      <c r="O2577" s="3">
        <f t="shared" si="41"/>
        <v>0</v>
      </c>
    </row>
    <row r="2578" spans="12:15" x14ac:dyDescent="0.25">
      <c r="L2578" s="3" t="e">
        <f>VLOOKUP(C2578,Securities!A:D,4,FALSE)</f>
        <v>#N/A</v>
      </c>
      <c r="M2578" s="3" t="e">
        <f>VLOOKUP(C2578,Securities!A:B,2,FALSE)</f>
        <v>#N/A</v>
      </c>
      <c r="O2578" s="3">
        <f t="shared" si="41"/>
        <v>0</v>
      </c>
    </row>
    <row r="2579" spans="12:15" x14ac:dyDescent="0.25">
      <c r="L2579" s="3" t="e">
        <f>VLOOKUP(C2579,Securities!A:D,4,FALSE)</f>
        <v>#N/A</v>
      </c>
      <c r="M2579" s="3" t="e">
        <f>VLOOKUP(C2579,Securities!A:B,2,FALSE)</f>
        <v>#N/A</v>
      </c>
      <c r="O2579" s="3">
        <f t="shared" si="41"/>
        <v>0</v>
      </c>
    </row>
    <row r="2580" spans="12:15" x14ac:dyDescent="0.25">
      <c r="L2580" s="3" t="e">
        <f>VLOOKUP(C2580,Securities!A:D,4,FALSE)</f>
        <v>#N/A</v>
      </c>
      <c r="M2580" s="3" t="e">
        <f>VLOOKUP(C2580,Securities!A:B,2,FALSE)</f>
        <v>#N/A</v>
      </c>
      <c r="O2580" s="3">
        <f t="shared" si="41"/>
        <v>0</v>
      </c>
    </row>
    <row r="2581" spans="12:15" x14ac:dyDescent="0.25">
      <c r="L2581" s="3" t="e">
        <f>VLOOKUP(C2581,Securities!A:D,4,FALSE)</f>
        <v>#N/A</v>
      </c>
      <c r="M2581" s="3" t="e">
        <f>VLOOKUP(C2581,Securities!A:B,2,FALSE)</f>
        <v>#N/A</v>
      </c>
      <c r="O2581" s="3">
        <f t="shared" si="41"/>
        <v>0</v>
      </c>
    </row>
    <row r="2582" spans="12:15" x14ac:dyDescent="0.25">
      <c r="L2582" s="3" t="e">
        <f>VLOOKUP(C2582,Securities!A:D,4,FALSE)</f>
        <v>#N/A</v>
      </c>
      <c r="M2582" s="3" t="e">
        <f>VLOOKUP(C2582,Securities!A:B,2,FALSE)</f>
        <v>#N/A</v>
      </c>
      <c r="O2582" s="3">
        <f t="shared" si="41"/>
        <v>0</v>
      </c>
    </row>
    <row r="2583" spans="12:15" x14ac:dyDescent="0.25">
      <c r="L2583" s="3" t="e">
        <f>VLOOKUP(C2583,Securities!A:D,4,FALSE)</f>
        <v>#N/A</v>
      </c>
      <c r="M2583" s="3" t="e">
        <f>VLOOKUP(C2583,Securities!A:B,2,FALSE)</f>
        <v>#N/A</v>
      </c>
      <c r="O2583" s="3">
        <f t="shared" si="41"/>
        <v>0</v>
      </c>
    </row>
    <row r="2584" spans="12:15" x14ac:dyDescent="0.25">
      <c r="L2584" s="3" t="e">
        <f>VLOOKUP(C2584,Securities!A:D,4,FALSE)</f>
        <v>#N/A</v>
      </c>
      <c r="M2584" s="3" t="e">
        <f>VLOOKUP(C2584,Securities!A:B,2,FALSE)</f>
        <v>#N/A</v>
      </c>
      <c r="O2584" s="3">
        <f t="shared" si="41"/>
        <v>0</v>
      </c>
    </row>
    <row r="2585" spans="12:15" x14ac:dyDescent="0.25">
      <c r="L2585" s="3" t="e">
        <f>VLOOKUP(C2585,Securities!A:D,4,FALSE)</f>
        <v>#N/A</v>
      </c>
      <c r="M2585" s="3" t="e">
        <f>VLOOKUP(C2585,Securities!A:B,2,FALSE)</f>
        <v>#N/A</v>
      </c>
      <c r="O2585" s="3">
        <f t="shared" si="41"/>
        <v>0</v>
      </c>
    </row>
    <row r="2586" spans="12:15" x14ac:dyDescent="0.25">
      <c r="L2586" s="3" t="e">
        <f>VLOOKUP(C2586,Securities!A:D,4,FALSE)</f>
        <v>#N/A</v>
      </c>
      <c r="M2586" s="3" t="e">
        <f>VLOOKUP(C2586,Securities!A:B,2,FALSE)</f>
        <v>#N/A</v>
      </c>
      <c r="O2586" s="3">
        <f t="shared" si="41"/>
        <v>0</v>
      </c>
    </row>
    <row r="2587" spans="12:15" x14ac:dyDescent="0.25">
      <c r="L2587" s="3" t="e">
        <f>VLOOKUP(C2587,Securities!A:D,4,FALSE)</f>
        <v>#N/A</v>
      </c>
      <c r="M2587" s="3" t="e">
        <f>VLOOKUP(C2587,Securities!A:B,2,FALSE)</f>
        <v>#N/A</v>
      </c>
      <c r="O2587" s="3">
        <f t="shared" si="41"/>
        <v>0</v>
      </c>
    </row>
    <row r="2588" spans="12:15" x14ac:dyDescent="0.25">
      <c r="L2588" s="3" t="e">
        <f>VLOOKUP(C2588,Securities!A:D,4,FALSE)</f>
        <v>#N/A</v>
      </c>
      <c r="M2588" s="3" t="e">
        <f>VLOOKUP(C2588,Securities!A:B,2,FALSE)</f>
        <v>#N/A</v>
      </c>
      <c r="O2588" s="3">
        <f t="shared" si="41"/>
        <v>0</v>
      </c>
    </row>
    <row r="2589" spans="12:15" x14ac:dyDescent="0.25">
      <c r="L2589" s="3" t="e">
        <f>VLOOKUP(C2589,Securities!A:D,4,FALSE)</f>
        <v>#N/A</v>
      </c>
      <c r="M2589" s="3" t="e">
        <f>VLOOKUP(C2589,Securities!A:B,2,FALSE)</f>
        <v>#N/A</v>
      </c>
      <c r="O2589" s="3">
        <f t="shared" si="41"/>
        <v>0</v>
      </c>
    </row>
    <row r="2590" spans="12:15" x14ac:dyDescent="0.25">
      <c r="L2590" s="3" t="e">
        <f>VLOOKUP(C2590,Securities!A:D,4,FALSE)</f>
        <v>#N/A</v>
      </c>
      <c r="M2590" s="3" t="e">
        <f>VLOOKUP(C2590,Securities!A:B,2,FALSE)</f>
        <v>#N/A</v>
      </c>
      <c r="O2590" s="3">
        <f t="shared" si="41"/>
        <v>0</v>
      </c>
    </row>
    <row r="2591" spans="12:15" x14ac:dyDescent="0.25">
      <c r="L2591" s="3" t="e">
        <f>VLOOKUP(C2591,Securities!A:D,4,FALSE)</f>
        <v>#N/A</v>
      </c>
      <c r="M2591" s="3" t="e">
        <f>VLOOKUP(C2591,Securities!A:B,2,FALSE)</f>
        <v>#N/A</v>
      </c>
      <c r="O2591" s="3">
        <f t="shared" si="41"/>
        <v>0</v>
      </c>
    </row>
    <row r="2592" spans="12:15" x14ac:dyDescent="0.25">
      <c r="L2592" s="3" t="e">
        <f>VLOOKUP(C2592,Securities!A:D,4,FALSE)</f>
        <v>#N/A</v>
      </c>
      <c r="M2592" s="3" t="e">
        <f>VLOOKUP(C2592,Securities!A:B,2,FALSE)</f>
        <v>#N/A</v>
      </c>
      <c r="O2592" s="3">
        <f t="shared" si="41"/>
        <v>0</v>
      </c>
    </row>
    <row r="2593" spans="12:15" x14ac:dyDescent="0.25">
      <c r="L2593" s="3" t="e">
        <f>VLOOKUP(C2593,Securities!A:D,4,FALSE)</f>
        <v>#N/A</v>
      </c>
      <c r="M2593" s="3" t="e">
        <f>VLOOKUP(C2593,Securities!A:B,2,FALSE)</f>
        <v>#N/A</v>
      </c>
      <c r="O2593" s="3">
        <f t="shared" si="41"/>
        <v>0</v>
      </c>
    </row>
    <row r="2594" spans="12:15" x14ac:dyDescent="0.25">
      <c r="L2594" s="3" t="e">
        <f>VLOOKUP(C2594,Securities!A:D,4,FALSE)</f>
        <v>#N/A</v>
      </c>
      <c r="M2594" s="3" t="e">
        <f>VLOOKUP(C2594,Securities!A:B,2,FALSE)</f>
        <v>#N/A</v>
      </c>
      <c r="O2594" s="3">
        <f t="shared" si="41"/>
        <v>0</v>
      </c>
    </row>
    <row r="2595" spans="12:15" x14ac:dyDescent="0.25">
      <c r="L2595" s="3" t="e">
        <f>VLOOKUP(C2595,Securities!A:D,4,FALSE)</f>
        <v>#N/A</v>
      </c>
      <c r="M2595" s="3" t="e">
        <f>VLOOKUP(C2595,Securities!A:B,2,FALSE)</f>
        <v>#N/A</v>
      </c>
      <c r="O2595" s="3">
        <f t="shared" si="41"/>
        <v>0</v>
      </c>
    </row>
    <row r="2596" spans="12:15" x14ac:dyDescent="0.25">
      <c r="L2596" s="3" t="e">
        <f>VLOOKUP(C2596,Securities!A:D,4,FALSE)</f>
        <v>#N/A</v>
      </c>
      <c r="M2596" s="3" t="e">
        <f>VLOOKUP(C2596,Securities!A:B,2,FALSE)</f>
        <v>#N/A</v>
      </c>
      <c r="O2596" s="3">
        <f t="shared" si="41"/>
        <v>0</v>
      </c>
    </row>
    <row r="2597" spans="12:15" x14ac:dyDescent="0.25">
      <c r="L2597" s="3" t="e">
        <f>VLOOKUP(C2597,Securities!A:D,4,FALSE)</f>
        <v>#N/A</v>
      </c>
      <c r="M2597" s="3" t="e">
        <f>VLOOKUP(C2597,Securities!A:B,2,FALSE)</f>
        <v>#N/A</v>
      </c>
      <c r="O2597" s="3">
        <f t="shared" si="41"/>
        <v>0</v>
      </c>
    </row>
    <row r="2598" spans="12:15" x14ac:dyDescent="0.25">
      <c r="L2598" s="3" t="e">
        <f>VLOOKUP(C2598,Securities!A:D,4,FALSE)</f>
        <v>#N/A</v>
      </c>
      <c r="M2598" s="3" t="e">
        <f>VLOOKUP(C2598,Securities!A:B,2,FALSE)</f>
        <v>#N/A</v>
      </c>
      <c r="O2598" s="3">
        <f t="shared" si="41"/>
        <v>0</v>
      </c>
    </row>
    <row r="2599" spans="12:15" x14ac:dyDescent="0.25">
      <c r="L2599" s="3" t="e">
        <f>VLOOKUP(C2599,Securities!A:D,4,FALSE)</f>
        <v>#N/A</v>
      </c>
      <c r="M2599" s="3" t="e">
        <f>VLOOKUP(C2599,Securities!A:B,2,FALSE)</f>
        <v>#N/A</v>
      </c>
      <c r="O2599" s="3">
        <f t="shared" si="41"/>
        <v>0</v>
      </c>
    </row>
    <row r="2600" spans="12:15" x14ac:dyDescent="0.25">
      <c r="L2600" s="3" t="e">
        <f>VLOOKUP(C2600,Securities!A:D,4,FALSE)</f>
        <v>#N/A</v>
      </c>
      <c r="M2600" s="3" t="e">
        <f>VLOOKUP(C2600,Securities!A:B,2,FALSE)</f>
        <v>#N/A</v>
      </c>
      <c r="O2600" s="3">
        <f t="shared" si="41"/>
        <v>0</v>
      </c>
    </row>
    <row r="2601" spans="12:15" x14ac:dyDescent="0.25">
      <c r="L2601" s="3" t="e">
        <f>VLOOKUP(C2601,Securities!A:D,4,FALSE)</f>
        <v>#N/A</v>
      </c>
      <c r="M2601" s="3" t="e">
        <f>VLOOKUP(C2601,Securities!A:B,2,FALSE)</f>
        <v>#N/A</v>
      </c>
      <c r="O2601" s="3">
        <f t="shared" si="41"/>
        <v>0</v>
      </c>
    </row>
    <row r="2602" spans="12:15" x14ac:dyDescent="0.25">
      <c r="L2602" s="3" t="e">
        <f>VLOOKUP(C2602,Securities!A:D,4,FALSE)</f>
        <v>#N/A</v>
      </c>
      <c r="M2602" s="3" t="e">
        <f>VLOOKUP(C2602,Securities!A:B,2,FALSE)</f>
        <v>#N/A</v>
      </c>
      <c r="O2602" s="3">
        <f t="shared" si="41"/>
        <v>0</v>
      </c>
    </row>
    <row r="2603" spans="12:15" x14ac:dyDescent="0.25">
      <c r="L2603" s="3" t="e">
        <f>VLOOKUP(C2603,Securities!A:D,4,FALSE)</f>
        <v>#N/A</v>
      </c>
      <c r="M2603" s="3" t="e">
        <f>VLOOKUP(C2603,Securities!A:B,2,FALSE)</f>
        <v>#N/A</v>
      </c>
      <c r="O2603" s="3">
        <f t="shared" si="41"/>
        <v>0</v>
      </c>
    </row>
    <row r="2604" spans="12:15" x14ac:dyDescent="0.25">
      <c r="L2604" s="3" t="e">
        <f>VLOOKUP(C2604,Securities!A:D,4,FALSE)</f>
        <v>#N/A</v>
      </c>
      <c r="M2604" s="3" t="e">
        <f>VLOOKUP(C2604,Securities!A:B,2,FALSE)</f>
        <v>#N/A</v>
      </c>
      <c r="O2604" s="3">
        <f t="shared" si="41"/>
        <v>0</v>
      </c>
    </row>
    <row r="2605" spans="12:15" x14ac:dyDescent="0.25">
      <c r="L2605" s="3" t="e">
        <f>VLOOKUP(C2605,Securities!A:D,4,FALSE)</f>
        <v>#N/A</v>
      </c>
      <c r="M2605" s="3" t="e">
        <f>VLOOKUP(C2605,Securities!A:B,2,FALSE)</f>
        <v>#N/A</v>
      </c>
      <c r="O2605" s="3">
        <f t="shared" si="41"/>
        <v>0</v>
      </c>
    </row>
    <row r="2606" spans="12:15" x14ac:dyDescent="0.25">
      <c r="L2606" s="3" t="e">
        <f>VLOOKUP(C2606,Securities!A:D,4,FALSE)</f>
        <v>#N/A</v>
      </c>
      <c r="M2606" s="3" t="e">
        <f>VLOOKUP(C2606,Securities!A:B,2,FALSE)</f>
        <v>#N/A</v>
      </c>
      <c r="O2606" s="3">
        <f t="shared" si="41"/>
        <v>0</v>
      </c>
    </row>
    <row r="2607" spans="12:15" x14ac:dyDescent="0.25">
      <c r="L2607" s="3" t="e">
        <f>VLOOKUP(C2607,Securities!A:D,4,FALSE)</f>
        <v>#N/A</v>
      </c>
      <c r="M2607" s="3" t="e">
        <f>VLOOKUP(C2607,Securities!A:B,2,FALSE)</f>
        <v>#N/A</v>
      </c>
      <c r="O2607" s="3">
        <f t="shared" si="41"/>
        <v>0</v>
      </c>
    </row>
    <row r="2608" spans="12:15" x14ac:dyDescent="0.25">
      <c r="L2608" s="3" t="e">
        <f>VLOOKUP(C2608,Securities!A:D,4,FALSE)</f>
        <v>#N/A</v>
      </c>
      <c r="M2608" s="3" t="e">
        <f>VLOOKUP(C2608,Securities!A:B,2,FALSE)</f>
        <v>#N/A</v>
      </c>
      <c r="O2608" s="3">
        <f t="shared" si="41"/>
        <v>0</v>
      </c>
    </row>
    <row r="2609" spans="12:15" x14ac:dyDescent="0.25">
      <c r="L2609" s="3" t="e">
        <f>VLOOKUP(C2609,Securities!A:D,4,FALSE)</f>
        <v>#N/A</v>
      </c>
      <c r="M2609" s="3" t="e">
        <f>VLOOKUP(C2609,Securities!A:B,2,FALSE)</f>
        <v>#N/A</v>
      </c>
      <c r="O2609" s="3">
        <f t="shared" si="41"/>
        <v>0</v>
      </c>
    </row>
    <row r="2610" spans="12:15" x14ac:dyDescent="0.25">
      <c r="L2610" s="3" t="e">
        <f>VLOOKUP(C2610,Securities!A:D,4,FALSE)</f>
        <v>#N/A</v>
      </c>
      <c r="M2610" s="3" t="e">
        <f>VLOOKUP(C2610,Securities!A:B,2,FALSE)</f>
        <v>#N/A</v>
      </c>
      <c r="O2610" s="3">
        <f t="shared" si="41"/>
        <v>0</v>
      </c>
    </row>
    <row r="2611" spans="12:15" x14ac:dyDescent="0.25">
      <c r="L2611" s="3" t="e">
        <f>VLOOKUP(C2611,Securities!A:D,4,FALSE)</f>
        <v>#N/A</v>
      </c>
      <c r="M2611" s="3" t="e">
        <f>VLOOKUP(C2611,Securities!A:B,2,FALSE)</f>
        <v>#N/A</v>
      </c>
      <c r="O2611" s="3">
        <f t="shared" si="41"/>
        <v>0</v>
      </c>
    </row>
    <row r="2612" spans="12:15" x14ac:dyDescent="0.25">
      <c r="L2612" s="3" t="e">
        <f>VLOOKUP(C2612,Securities!A:D,4,FALSE)</f>
        <v>#N/A</v>
      </c>
      <c r="M2612" s="3" t="e">
        <f>VLOOKUP(C2612,Securities!A:B,2,FALSE)</f>
        <v>#N/A</v>
      </c>
      <c r="O2612" s="3">
        <f t="shared" si="41"/>
        <v>0</v>
      </c>
    </row>
    <row r="2613" spans="12:15" x14ac:dyDescent="0.25">
      <c r="L2613" s="3" t="e">
        <f>VLOOKUP(C2613,Securities!A:D,4,FALSE)</f>
        <v>#N/A</v>
      </c>
      <c r="M2613" s="3" t="e">
        <f>VLOOKUP(C2613,Securities!A:B,2,FALSE)</f>
        <v>#N/A</v>
      </c>
      <c r="O2613" s="3">
        <f t="shared" si="41"/>
        <v>0</v>
      </c>
    </row>
    <row r="2614" spans="12:15" x14ac:dyDescent="0.25">
      <c r="L2614" s="3" t="e">
        <f>VLOOKUP(C2614,Securities!A:D,4,FALSE)</f>
        <v>#N/A</v>
      </c>
      <c r="M2614" s="3" t="e">
        <f>VLOOKUP(C2614,Securities!A:B,2,FALSE)</f>
        <v>#N/A</v>
      </c>
      <c r="O2614" s="3">
        <f t="shared" si="41"/>
        <v>0</v>
      </c>
    </row>
    <row r="2615" spans="12:15" x14ac:dyDescent="0.25">
      <c r="L2615" s="3" t="e">
        <f>VLOOKUP(C2615,Securities!A:D,4,FALSE)</f>
        <v>#N/A</v>
      </c>
      <c r="M2615" s="3" t="e">
        <f>VLOOKUP(C2615,Securities!A:B,2,FALSE)</f>
        <v>#N/A</v>
      </c>
      <c r="O2615" s="3">
        <f t="shared" si="41"/>
        <v>0</v>
      </c>
    </row>
    <row r="2616" spans="12:15" x14ac:dyDescent="0.25">
      <c r="L2616" s="3" t="e">
        <f>VLOOKUP(C2616,Securities!A:D,4,FALSE)</f>
        <v>#N/A</v>
      </c>
      <c r="M2616" s="3" t="e">
        <f>VLOOKUP(C2616,Securities!A:B,2,FALSE)</f>
        <v>#N/A</v>
      </c>
      <c r="O2616" s="3">
        <f t="shared" si="41"/>
        <v>0</v>
      </c>
    </row>
    <row r="2617" spans="12:15" x14ac:dyDescent="0.25">
      <c r="L2617" s="3" t="e">
        <f>VLOOKUP(C2617,Securities!A:D,4,FALSE)</f>
        <v>#N/A</v>
      </c>
      <c r="M2617" s="3" t="e">
        <f>VLOOKUP(C2617,Securities!A:B,2,FALSE)</f>
        <v>#N/A</v>
      </c>
      <c r="O2617" s="3">
        <f t="shared" si="41"/>
        <v>0</v>
      </c>
    </row>
    <row r="2618" spans="12:15" x14ac:dyDescent="0.25">
      <c r="L2618" s="3" t="e">
        <f>VLOOKUP(C2618,Securities!A:D,4,FALSE)</f>
        <v>#N/A</v>
      </c>
      <c r="M2618" s="3" t="e">
        <f>VLOOKUP(C2618,Securities!A:B,2,FALSE)</f>
        <v>#N/A</v>
      </c>
      <c r="O2618" s="3">
        <f t="shared" si="41"/>
        <v>0</v>
      </c>
    </row>
    <row r="2619" spans="12:15" x14ac:dyDescent="0.25">
      <c r="L2619" s="3" t="e">
        <f>VLOOKUP(C2619,Securities!A:D,4,FALSE)</f>
        <v>#N/A</v>
      </c>
      <c r="M2619" s="3" t="e">
        <f>VLOOKUP(C2619,Securities!A:B,2,FALSE)</f>
        <v>#N/A</v>
      </c>
      <c r="O2619" s="3">
        <f t="shared" si="41"/>
        <v>0</v>
      </c>
    </row>
    <row r="2620" spans="12:15" x14ac:dyDescent="0.25">
      <c r="L2620" s="3" t="e">
        <f>VLOOKUP(C2620,Securities!A:D,4,FALSE)</f>
        <v>#N/A</v>
      </c>
      <c r="M2620" s="3" t="e">
        <f>VLOOKUP(C2620,Securities!A:B,2,FALSE)</f>
        <v>#N/A</v>
      </c>
      <c r="O2620" s="3">
        <f t="shared" si="41"/>
        <v>0</v>
      </c>
    </row>
    <row r="2621" spans="12:15" x14ac:dyDescent="0.25">
      <c r="L2621" s="3" t="e">
        <f>VLOOKUP(C2621,Securities!A:D,4,FALSE)</f>
        <v>#N/A</v>
      </c>
      <c r="M2621" s="3" t="e">
        <f>VLOOKUP(C2621,Securities!A:B,2,FALSE)</f>
        <v>#N/A</v>
      </c>
      <c r="O2621" s="3">
        <f t="shared" si="41"/>
        <v>0</v>
      </c>
    </row>
    <row r="2622" spans="12:15" x14ac:dyDescent="0.25">
      <c r="L2622" s="3" t="e">
        <f>VLOOKUP(C2622,Securities!A:D,4,FALSE)</f>
        <v>#N/A</v>
      </c>
      <c r="M2622" s="3" t="e">
        <f>VLOOKUP(C2622,Securities!A:B,2,FALSE)</f>
        <v>#N/A</v>
      </c>
      <c r="O2622" s="3">
        <f t="shared" si="41"/>
        <v>0</v>
      </c>
    </row>
    <row r="2623" spans="12:15" x14ac:dyDescent="0.25">
      <c r="L2623" s="3" t="e">
        <f>VLOOKUP(C2623,Securities!A:D,4,FALSE)</f>
        <v>#N/A</v>
      </c>
      <c r="M2623" s="3" t="e">
        <f>VLOOKUP(C2623,Securities!A:B,2,FALSE)</f>
        <v>#N/A</v>
      </c>
      <c r="O2623" s="3">
        <f t="shared" si="41"/>
        <v>0</v>
      </c>
    </row>
    <row r="2624" spans="12:15" x14ac:dyDescent="0.25">
      <c r="L2624" s="3" t="e">
        <f>VLOOKUP(C2624,Securities!A:D,4,FALSE)</f>
        <v>#N/A</v>
      </c>
      <c r="M2624" s="3" t="e">
        <f>VLOOKUP(C2624,Securities!A:B,2,FALSE)</f>
        <v>#N/A</v>
      </c>
      <c r="O2624" s="3">
        <f t="shared" si="41"/>
        <v>0</v>
      </c>
    </row>
    <row r="2625" spans="12:15" x14ac:dyDescent="0.25">
      <c r="L2625" s="3" t="e">
        <f>VLOOKUP(C2625,Securities!A:D,4,FALSE)</f>
        <v>#N/A</v>
      </c>
      <c r="M2625" s="3" t="e">
        <f>VLOOKUP(C2625,Securities!A:B,2,FALSE)</f>
        <v>#N/A</v>
      </c>
      <c r="O2625" s="3">
        <f t="shared" si="41"/>
        <v>0</v>
      </c>
    </row>
    <row r="2626" spans="12:15" x14ac:dyDescent="0.25">
      <c r="L2626" s="3" t="e">
        <f>VLOOKUP(C2626,Securities!A:D,4,FALSE)</f>
        <v>#N/A</v>
      </c>
      <c r="M2626" s="3" t="e">
        <f>VLOOKUP(C2626,Securities!A:B,2,FALSE)</f>
        <v>#N/A</v>
      </c>
      <c r="O2626" s="3">
        <f t="shared" si="41"/>
        <v>0</v>
      </c>
    </row>
    <row r="2627" spans="12:15" x14ac:dyDescent="0.25">
      <c r="L2627" s="3" t="e">
        <f>VLOOKUP(C2627,Securities!A:D,4,FALSE)</f>
        <v>#N/A</v>
      </c>
      <c r="M2627" s="3" t="e">
        <f>VLOOKUP(C2627,Securities!A:B,2,FALSE)</f>
        <v>#N/A</v>
      </c>
      <c r="O2627" s="3">
        <f t="shared" si="41"/>
        <v>0</v>
      </c>
    </row>
    <row r="2628" spans="12:15" x14ac:dyDescent="0.25">
      <c r="L2628" s="3" t="e">
        <f>VLOOKUP(C2628,Securities!A:D,4,FALSE)</f>
        <v>#N/A</v>
      </c>
      <c r="M2628" s="3" t="e">
        <f>VLOOKUP(C2628,Securities!A:B,2,FALSE)</f>
        <v>#N/A</v>
      </c>
      <c r="O2628" s="3">
        <f t="shared" si="41"/>
        <v>0</v>
      </c>
    </row>
    <row r="2629" spans="12:15" x14ac:dyDescent="0.25">
      <c r="L2629" s="3" t="e">
        <f>VLOOKUP(C2629,Securities!A:D,4,FALSE)</f>
        <v>#N/A</v>
      </c>
      <c r="M2629" s="3" t="e">
        <f>VLOOKUP(C2629,Securities!A:B,2,FALSE)</f>
        <v>#N/A</v>
      </c>
      <c r="O2629" s="3">
        <f t="shared" si="41"/>
        <v>0</v>
      </c>
    </row>
    <row r="2630" spans="12:15" x14ac:dyDescent="0.25">
      <c r="L2630" s="3" t="e">
        <f>VLOOKUP(C2630,Securities!A:D,4,FALSE)</f>
        <v>#N/A</v>
      </c>
      <c r="M2630" s="3" t="e">
        <f>VLOOKUP(C2630,Securities!A:B,2,FALSE)</f>
        <v>#N/A</v>
      </c>
      <c r="O2630" s="3">
        <f t="shared" ref="O2630:O2693" si="42">SUMIFS(E:E,C:C,C2630,B:B,B2630)</f>
        <v>0</v>
      </c>
    </row>
    <row r="2631" spans="12:15" x14ac:dyDescent="0.25">
      <c r="L2631" s="3" t="e">
        <f>VLOOKUP(C2631,Securities!A:D,4,FALSE)</f>
        <v>#N/A</v>
      </c>
      <c r="M2631" s="3" t="e">
        <f>VLOOKUP(C2631,Securities!A:B,2,FALSE)</f>
        <v>#N/A</v>
      </c>
      <c r="O2631" s="3">
        <f t="shared" si="42"/>
        <v>0</v>
      </c>
    </row>
    <row r="2632" spans="12:15" x14ac:dyDescent="0.25">
      <c r="L2632" s="3" t="e">
        <f>VLOOKUP(C2632,Securities!A:D,4,FALSE)</f>
        <v>#N/A</v>
      </c>
      <c r="M2632" s="3" t="e">
        <f>VLOOKUP(C2632,Securities!A:B,2,FALSE)</f>
        <v>#N/A</v>
      </c>
      <c r="O2632" s="3">
        <f t="shared" si="42"/>
        <v>0</v>
      </c>
    </row>
    <row r="2633" spans="12:15" x14ac:dyDescent="0.25">
      <c r="L2633" s="3" t="e">
        <f>VLOOKUP(C2633,Securities!A:D,4,FALSE)</f>
        <v>#N/A</v>
      </c>
      <c r="M2633" s="3" t="e">
        <f>VLOOKUP(C2633,Securities!A:B,2,FALSE)</f>
        <v>#N/A</v>
      </c>
      <c r="O2633" s="3">
        <f t="shared" si="42"/>
        <v>0</v>
      </c>
    </row>
    <row r="2634" spans="12:15" x14ac:dyDescent="0.25">
      <c r="L2634" s="3" t="e">
        <f>VLOOKUP(C2634,Securities!A:D,4,FALSE)</f>
        <v>#N/A</v>
      </c>
      <c r="M2634" s="3" t="e">
        <f>VLOOKUP(C2634,Securities!A:B,2,FALSE)</f>
        <v>#N/A</v>
      </c>
      <c r="O2634" s="3">
        <f t="shared" si="42"/>
        <v>0</v>
      </c>
    </row>
    <row r="2635" spans="12:15" x14ac:dyDescent="0.25">
      <c r="L2635" s="3" t="e">
        <f>VLOOKUP(C2635,Securities!A:D,4,FALSE)</f>
        <v>#N/A</v>
      </c>
      <c r="M2635" s="3" t="e">
        <f>VLOOKUP(C2635,Securities!A:B,2,FALSE)</f>
        <v>#N/A</v>
      </c>
      <c r="O2635" s="3">
        <f t="shared" si="42"/>
        <v>0</v>
      </c>
    </row>
    <row r="2636" spans="12:15" x14ac:dyDescent="0.25">
      <c r="L2636" s="3" t="e">
        <f>VLOOKUP(C2636,Securities!A:D,4,FALSE)</f>
        <v>#N/A</v>
      </c>
      <c r="M2636" s="3" t="e">
        <f>VLOOKUP(C2636,Securities!A:B,2,FALSE)</f>
        <v>#N/A</v>
      </c>
      <c r="O2636" s="3">
        <f t="shared" si="42"/>
        <v>0</v>
      </c>
    </row>
    <row r="2637" spans="12:15" x14ac:dyDescent="0.25">
      <c r="L2637" s="3" t="e">
        <f>VLOOKUP(C2637,Securities!A:D,4,FALSE)</f>
        <v>#N/A</v>
      </c>
      <c r="M2637" s="3" t="e">
        <f>VLOOKUP(C2637,Securities!A:B,2,FALSE)</f>
        <v>#N/A</v>
      </c>
      <c r="O2637" s="3">
        <f t="shared" si="42"/>
        <v>0</v>
      </c>
    </row>
    <row r="2638" spans="12:15" x14ac:dyDescent="0.25">
      <c r="L2638" s="3" t="e">
        <f>VLOOKUP(C2638,Securities!A:D,4,FALSE)</f>
        <v>#N/A</v>
      </c>
      <c r="M2638" s="3" t="e">
        <f>VLOOKUP(C2638,Securities!A:B,2,FALSE)</f>
        <v>#N/A</v>
      </c>
      <c r="O2638" s="3">
        <f t="shared" si="42"/>
        <v>0</v>
      </c>
    </row>
    <row r="2639" spans="12:15" x14ac:dyDescent="0.25">
      <c r="L2639" s="3" t="e">
        <f>VLOOKUP(C2639,Securities!A:D,4,FALSE)</f>
        <v>#N/A</v>
      </c>
      <c r="M2639" s="3" t="e">
        <f>VLOOKUP(C2639,Securities!A:B,2,FALSE)</f>
        <v>#N/A</v>
      </c>
      <c r="O2639" s="3">
        <f t="shared" si="42"/>
        <v>0</v>
      </c>
    </row>
    <row r="2640" spans="12:15" x14ac:dyDescent="0.25">
      <c r="L2640" s="3" t="e">
        <f>VLOOKUP(C2640,Securities!A:D,4,FALSE)</f>
        <v>#N/A</v>
      </c>
      <c r="M2640" s="3" t="e">
        <f>VLOOKUP(C2640,Securities!A:B,2,FALSE)</f>
        <v>#N/A</v>
      </c>
      <c r="O2640" s="3">
        <f t="shared" si="42"/>
        <v>0</v>
      </c>
    </row>
    <row r="2641" spans="12:15" x14ac:dyDescent="0.25">
      <c r="L2641" s="3" t="e">
        <f>VLOOKUP(C2641,Securities!A:D,4,FALSE)</f>
        <v>#N/A</v>
      </c>
      <c r="M2641" s="3" t="e">
        <f>VLOOKUP(C2641,Securities!A:B,2,FALSE)</f>
        <v>#N/A</v>
      </c>
      <c r="O2641" s="3">
        <f t="shared" si="42"/>
        <v>0</v>
      </c>
    </row>
    <row r="2642" spans="12:15" x14ac:dyDescent="0.25">
      <c r="L2642" s="3" t="e">
        <f>VLOOKUP(C2642,Securities!A:D,4,FALSE)</f>
        <v>#N/A</v>
      </c>
      <c r="M2642" s="3" t="e">
        <f>VLOOKUP(C2642,Securities!A:B,2,FALSE)</f>
        <v>#N/A</v>
      </c>
      <c r="O2642" s="3">
        <f t="shared" si="42"/>
        <v>0</v>
      </c>
    </row>
    <row r="2643" spans="12:15" x14ac:dyDescent="0.25">
      <c r="L2643" s="3" t="e">
        <f>VLOOKUP(C2643,Securities!A:D,4,FALSE)</f>
        <v>#N/A</v>
      </c>
      <c r="M2643" s="3" t="e">
        <f>VLOOKUP(C2643,Securities!A:B,2,FALSE)</f>
        <v>#N/A</v>
      </c>
      <c r="O2643" s="3">
        <f t="shared" si="42"/>
        <v>0</v>
      </c>
    </row>
    <row r="2644" spans="12:15" x14ac:dyDescent="0.25">
      <c r="L2644" s="3" t="e">
        <f>VLOOKUP(C2644,Securities!A:D,4,FALSE)</f>
        <v>#N/A</v>
      </c>
      <c r="M2644" s="3" t="e">
        <f>VLOOKUP(C2644,Securities!A:B,2,FALSE)</f>
        <v>#N/A</v>
      </c>
      <c r="O2644" s="3">
        <f t="shared" si="42"/>
        <v>0</v>
      </c>
    </row>
    <row r="2645" spans="12:15" x14ac:dyDescent="0.25">
      <c r="L2645" s="3" t="e">
        <f>VLOOKUP(C2645,Securities!A:D,4,FALSE)</f>
        <v>#N/A</v>
      </c>
      <c r="M2645" s="3" t="e">
        <f>VLOOKUP(C2645,Securities!A:B,2,FALSE)</f>
        <v>#N/A</v>
      </c>
      <c r="O2645" s="3">
        <f t="shared" si="42"/>
        <v>0</v>
      </c>
    </row>
    <row r="2646" spans="12:15" x14ac:dyDescent="0.25">
      <c r="L2646" s="3" t="e">
        <f>VLOOKUP(C2646,Securities!A:D,4,FALSE)</f>
        <v>#N/A</v>
      </c>
      <c r="M2646" s="3" t="e">
        <f>VLOOKUP(C2646,Securities!A:B,2,FALSE)</f>
        <v>#N/A</v>
      </c>
      <c r="O2646" s="3">
        <f t="shared" si="42"/>
        <v>0</v>
      </c>
    </row>
    <row r="2647" spans="12:15" x14ac:dyDescent="0.25">
      <c r="L2647" s="3" t="e">
        <f>VLOOKUP(C2647,Securities!A:D,4,FALSE)</f>
        <v>#N/A</v>
      </c>
      <c r="M2647" s="3" t="e">
        <f>VLOOKUP(C2647,Securities!A:B,2,FALSE)</f>
        <v>#N/A</v>
      </c>
      <c r="O2647" s="3">
        <f t="shared" si="42"/>
        <v>0</v>
      </c>
    </row>
    <row r="2648" spans="12:15" x14ac:dyDescent="0.25">
      <c r="L2648" s="3" t="e">
        <f>VLOOKUP(C2648,Securities!A:D,4,FALSE)</f>
        <v>#N/A</v>
      </c>
      <c r="M2648" s="3" t="e">
        <f>VLOOKUP(C2648,Securities!A:B,2,FALSE)</f>
        <v>#N/A</v>
      </c>
      <c r="O2648" s="3">
        <f t="shared" si="42"/>
        <v>0</v>
      </c>
    </row>
    <row r="2649" spans="12:15" x14ac:dyDescent="0.25">
      <c r="L2649" s="3" t="e">
        <f>VLOOKUP(C2649,Securities!A:D,4,FALSE)</f>
        <v>#N/A</v>
      </c>
      <c r="M2649" s="3" t="e">
        <f>VLOOKUP(C2649,Securities!A:B,2,FALSE)</f>
        <v>#N/A</v>
      </c>
      <c r="O2649" s="3">
        <f t="shared" si="42"/>
        <v>0</v>
      </c>
    </row>
    <row r="2650" spans="12:15" x14ac:dyDescent="0.25">
      <c r="L2650" s="3" t="e">
        <f>VLOOKUP(C2650,Securities!A:D,4,FALSE)</f>
        <v>#N/A</v>
      </c>
      <c r="M2650" s="3" t="e">
        <f>VLOOKUP(C2650,Securities!A:B,2,FALSE)</f>
        <v>#N/A</v>
      </c>
      <c r="O2650" s="3">
        <f t="shared" si="42"/>
        <v>0</v>
      </c>
    </row>
    <row r="2651" spans="12:15" x14ac:dyDescent="0.25">
      <c r="L2651" s="3" t="e">
        <f>VLOOKUP(C2651,Securities!A:D,4,FALSE)</f>
        <v>#N/A</v>
      </c>
      <c r="M2651" s="3" t="e">
        <f>VLOOKUP(C2651,Securities!A:B,2,FALSE)</f>
        <v>#N/A</v>
      </c>
      <c r="O2651" s="3">
        <f t="shared" si="42"/>
        <v>0</v>
      </c>
    </row>
    <row r="2652" spans="12:15" x14ac:dyDescent="0.25">
      <c r="L2652" s="3" t="e">
        <f>VLOOKUP(C2652,Securities!A:D,4,FALSE)</f>
        <v>#N/A</v>
      </c>
      <c r="M2652" s="3" t="e">
        <f>VLOOKUP(C2652,Securities!A:B,2,FALSE)</f>
        <v>#N/A</v>
      </c>
      <c r="O2652" s="3">
        <f t="shared" si="42"/>
        <v>0</v>
      </c>
    </row>
    <row r="2653" spans="12:15" x14ac:dyDescent="0.25">
      <c r="L2653" s="3" t="e">
        <f>VLOOKUP(C2653,Securities!A:D,4,FALSE)</f>
        <v>#N/A</v>
      </c>
      <c r="M2653" s="3" t="e">
        <f>VLOOKUP(C2653,Securities!A:B,2,FALSE)</f>
        <v>#N/A</v>
      </c>
      <c r="O2653" s="3">
        <f t="shared" si="42"/>
        <v>0</v>
      </c>
    </row>
    <row r="2654" spans="12:15" x14ac:dyDescent="0.25">
      <c r="L2654" s="3" t="e">
        <f>VLOOKUP(C2654,Securities!A:D,4,FALSE)</f>
        <v>#N/A</v>
      </c>
      <c r="M2654" s="3" t="e">
        <f>VLOOKUP(C2654,Securities!A:B,2,FALSE)</f>
        <v>#N/A</v>
      </c>
      <c r="O2654" s="3">
        <f t="shared" si="42"/>
        <v>0</v>
      </c>
    </row>
    <row r="2655" spans="12:15" x14ac:dyDescent="0.25">
      <c r="L2655" s="3" t="e">
        <f>VLOOKUP(C2655,Securities!A:D,4,FALSE)</f>
        <v>#N/A</v>
      </c>
      <c r="M2655" s="3" t="e">
        <f>VLOOKUP(C2655,Securities!A:B,2,FALSE)</f>
        <v>#N/A</v>
      </c>
      <c r="O2655" s="3">
        <f t="shared" si="42"/>
        <v>0</v>
      </c>
    </row>
    <row r="2656" spans="12:15" x14ac:dyDescent="0.25">
      <c r="L2656" s="3" t="e">
        <f>VLOOKUP(C2656,Securities!A:D,4,FALSE)</f>
        <v>#N/A</v>
      </c>
      <c r="M2656" s="3" t="e">
        <f>VLOOKUP(C2656,Securities!A:B,2,FALSE)</f>
        <v>#N/A</v>
      </c>
      <c r="O2656" s="3">
        <f t="shared" si="42"/>
        <v>0</v>
      </c>
    </row>
    <row r="2657" spans="12:15" x14ac:dyDescent="0.25">
      <c r="L2657" s="3" t="e">
        <f>VLOOKUP(C2657,Securities!A:D,4,FALSE)</f>
        <v>#N/A</v>
      </c>
      <c r="M2657" s="3" t="e">
        <f>VLOOKUP(C2657,Securities!A:B,2,FALSE)</f>
        <v>#N/A</v>
      </c>
      <c r="O2657" s="3">
        <f t="shared" si="42"/>
        <v>0</v>
      </c>
    </row>
    <row r="2658" spans="12:15" x14ac:dyDescent="0.25">
      <c r="L2658" s="3" t="e">
        <f>VLOOKUP(C2658,Securities!A:D,4,FALSE)</f>
        <v>#N/A</v>
      </c>
      <c r="M2658" s="3" t="e">
        <f>VLOOKUP(C2658,Securities!A:B,2,FALSE)</f>
        <v>#N/A</v>
      </c>
      <c r="O2658" s="3">
        <f t="shared" si="42"/>
        <v>0</v>
      </c>
    </row>
    <row r="2659" spans="12:15" x14ac:dyDescent="0.25">
      <c r="L2659" s="3" t="e">
        <f>VLOOKUP(C2659,Securities!A:D,4,FALSE)</f>
        <v>#N/A</v>
      </c>
      <c r="M2659" s="3" t="e">
        <f>VLOOKUP(C2659,Securities!A:B,2,FALSE)</f>
        <v>#N/A</v>
      </c>
      <c r="O2659" s="3">
        <f t="shared" si="42"/>
        <v>0</v>
      </c>
    </row>
    <row r="2660" spans="12:15" x14ac:dyDescent="0.25">
      <c r="L2660" s="3" t="e">
        <f>VLOOKUP(C2660,Securities!A:D,4,FALSE)</f>
        <v>#N/A</v>
      </c>
      <c r="M2660" s="3" t="e">
        <f>VLOOKUP(C2660,Securities!A:B,2,FALSE)</f>
        <v>#N/A</v>
      </c>
      <c r="O2660" s="3">
        <f t="shared" si="42"/>
        <v>0</v>
      </c>
    </row>
    <row r="2661" spans="12:15" x14ac:dyDescent="0.25">
      <c r="L2661" s="3" t="e">
        <f>VLOOKUP(C2661,Securities!A:D,4,FALSE)</f>
        <v>#N/A</v>
      </c>
      <c r="M2661" s="3" t="e">
        <f>VLOOKUP(C2661,Securities!A:B,2,FALSE)</f>
        <v>#N/A</v>
      </c>
      <c r="O2661" s="3">
        <f t="shared" si="42"/>
        <v>0</v>
      </c>
    </row>
    <row r="2662" spans="12:15" x14ac:dyDescent="0.25">
      <c r="L2662" s="3" t="e">
        <f>VLOOKUP(C2662,Securities!A:D,4,FALSE)</f>
        <v>#N/A</v>
      </c>
      <c r="M2662" s="3" t="e">
        <f>VLOOKUP(C2662,Securities!A:B,2,FALSE)</f>
        <v>#N/A</v>
      </c>
      <c r="O2662" s="3">
        <f t="shared" si="42"/>
        <v>0</v>
      </c>
    </row>
    <row r="2663" spans="12:15" x14ac:dyDescent="0.25">
      <c r="L2663" s="3" t="e">
        <f>VLOOKUP(C2663,Securities!A:D,4,FALSE)</f>
        <v>#N/A</v>
      </c>
      <c r="M2663" s="3" t="e">
        <f>VLOOKUP(C2663,Securities!A:B,2,FALSE)</f>
        <v>#N/A</v>
      </c>
      <c r="O2663" s="3">
        <f t="shared" si="42"/>
        <v>0</v>
      </c>
    </row>
    <row r="2664" spans="12:15" x14ac:dyDescent="0.25">
      <c r="L2664" s="3" t="e">
        <f>VLOOKUP(C2664,Securities!A:D,4,FALSE)</f>
        <v>#N/A</v>
      </c>
      <c r="M2664" s="3" t="e">
        <f>VLOOKUP(C2664,Securities!A:B,2,FALSE)</f>
        <v>#N/A</v>
      </c>
      <c r="O2664" s="3">
        <f t="shared" si="42"/>
        <v>0</v>
      </c>
    </row>
    <row r="2665" spans="12:15" x14ac:dyDescent="0.25">
      <c r="L2665" s="3" t="e">
        <f>VLOOKUP(C2665,Securities!A:D,4,FALSE)</f>
        <v>#N/A</v>
      </c>
      <c r="M2665" s="3" t="e">
        <f>VLOOKUP(C2665,Securities!A:B,2,FALSE)</f>
        <v>#N/A</v>
      </c>
      <c r="O2665" s="3">
        <f t="shared" si="42"/>
        <v>0</v>
      </c>
    </row>
    <row r="2666" spans="12:15" x14ac:dyDescent="0.25">
      <c r="L2666" s="3" t="e">
        <f>VLOOKUP(C2666,Securities!A:D,4,FALSE)</f>
        <v>#N/A</v>
      </c>
      <c r="M2666" s="3" t="e">
        <f>VLOOKUP(C2666,Securities!A:B,2,FALSE)</f>
        <v>#N/A</v>
      </c>
      <c r="O2666" s="3">
        <f t="shared" si="42"/>
        <v>0</v>
      </c>
    </row>
    <row r="2667" spans="12:15" x14ac:dyDescent="0.25">
      <c r="L2667" s="3" t="e">
        <f>VLOOKUP(C2667,Securities!A:D,4,FALSE)</f>
        <v>#N/A</v>
      </c>
      <c r="M2667" s="3" t="e">
        <f>VLOOKUP(C2667,Securities!A:B,2,FALSE)</f>
        <v>#N/A</v>
      </c>
      <c r="O2667" s="3">
        <f t="shared" si="42"/>
        <v>0</v>
      </c>
    </row>
    <row r="2668" spans="12:15" x14ac:dyDescent="0.25">
      <c r="L2668" s="3" t="e">
        <f>VLOOKUP(C2668,Securities!A:D,4,FALSE)</f>
        <v>#N/A</v>
      </c>
      <c r="M2668" s="3" t="e">
        <f>VLOOKUP(C2668,Securities!A:B,2,FALSE)</f>
        <v>#N/A</v>
      </c>
      <c r="O2668" s="3">
        <f t="shared" si="42"/>
        <v>0</v>
      </c>
    </row>
    <row r="2669" spans="12:15" x14ac:dyDescent="0.25">
      <c r="L2669" s="3" t="e">
        <f>VLOOKUP(C2669,Securities!A:D,4,FALSE)</f>
        <v>#N/A</v>
      </c>
      <c r="M2669" s="3" t="e">
        <f>VLOOKUP(C2669,Securities!A:B,2,FALSE)</f>
        <v>#N/A</v>
      </c>
      <c r="O2669" s="3">
        <f t="shared" si="42"/>
        <v>0</v>
      </c>
    </row>
    <row r="2670" spans="12:15" x14ac:dyDescent="0.25">
      <c r="L2670" s="3" t="e">
        <f>VLOOKUP(C2670,Securities!A:D,4,FALSE)</f>
        <v>#N/A</v>
      </c>
      <c r="M2670" s="3" t="e">
        <f>VLOOKUP(C2670,Securities!A:B,2,FALSE)</f>
        <v>#N/A</v>
      </c>
      <c r="O2670" s="3">
        <f t="shared" si="42"/>
        <v>0</v>
      </c>
    </row>
    <row r="2671" spans="12:15" x14ac:dyDescent="0.25">
      <c r="L2671" s="3" t="e">
        <f>VLOOKUP(C2671,Securities!A:D,4,FALSE)</f>
        <v>#N/A</v>
      </c>
      <c r="M2671" s="3" t="e">
        <f>VLOOKUP(C2671,Securities!A:B,2,FALSE)</f>
        <v>#N/A</v>
      </c>
      <c r="O2671" s="3">
        <f t="shared" si="42"/>
        <v>0</v>
      </c>
    </row>
    <row r="2672" spans="12:15" x14ac:dyDescent="0.25">
      <c r="L2672" s="3" t="e">
        <f>VLOOKUP(C2672,Securities!A:D,4,FALSE)</f>
        <v>#N/A</v>
      </c>
      <c r="M2672" s="3" t="e">
        <f>VLOOKUP(C2672,Securities!A:B,2,FALSE)</f>
        <v>#N/A</v>
      </c>
      <c r="O2672" s="3">
        <f t="shared" si="42"/>
        <v>0</v>
      </c>
    </row>
    <row r="2673" spans="12:15" x14ac:dyDescent="0.25">
      <c r="L2673" s="3" t="e">
        <f>VLOOKUP(C2673,Securities!A:D,4,FALSE)</f>
        <v>#N/A</v>
      </c>
      <c r="M2673" s="3" t="e">
        <f>VLOOKUP(C2673,Securities!A:B,2,FALSE)</f>
        <v>#N/A</v>
      </c>
      <c r="O2673" s="3">
        <f t="shared" si="42"/>
        <v>0</v>
      </c>
    </row>
    <row r="2674" spans="12:15" x14ac:dyDescent="0.25">
      <c r="L2674" s="3" t="e">
        <f>VLOOKUP(C2674,Securities!A:D,4,FALSE)</f>
        <v>#N/A</v>
      </c>
      <c r="M2674" s="3" t="e">
        <f>VLOOKUP(C2674,Securities!A:B,2,FALSE)</f>
        <v>#N/A</v>
      </c>
      <c r="O2674" s="3">
        <f t="shared" si="42"/>
        <v>0</v>
      </c>
    </row>
    <row r="2675" spans="12:15" x14ac:dyDescent="0.25">
      <c r="L2675" s="3" t="e">
        <f>VLOOKUP(C2675,Securities!A:D,4,FALSE)</f>
        <v>#N/A</v>
      </c>
      <c r="M2675" s="3" t="e">
        <f>VLOOKUP(C2675,Securities!A:B,2,FALSE)</f>
        <v>#N/A</v>
      </c>
      <c r="O2675" s="3">
        <f t="shared" si="42"/>
        <v>0</v>
      </c>
    </row>
    <row r="2676" spans="12:15" x14ac:dyDescent="0.25">
      <c r="L2676" s="3" t="e">
        <f>VLOOKUP(C2676,Securities!A:D,4,FALSE)</f>
        <v>#N/A</v>
      </c>
      <c r="M2676" s="3" t="e">
        <f>VLOOKUP(C2676,Securities!A:B,2,FALSE)</f>
        <v>#N/A</v>
      </c>
      <c r="O2676" s="3">
        <f t="shared" si="42"/>
        <v>0</v>
      </c>
    </row>
    <row r="2677" spans="12:15" x14ac:dyDescent="0.25">
      <c r="L2677" s="3" t="e">
        <f>VLOOKUP(C2677,Securities!A:D,4,FALSE)</f>
        <v>#N/A</v>
      </c>
      <c r="M2677" s="3" t="e">
        <f>VLOOKUP(C2677,Securities!A:B,2,FALSE)</f>
        <v>#N/A</v>
      </c>
      <c r="O2677" s="3">
        <f t="shared" si="42"/>
        <v>0</v>
      </c>
    </row>
    <row r="2678" spans="12:15" x14ac:dyDescent="0.25">
      <c r="L2678" s="3" t="e">
        <f>VLOOKUP(C2678,Securities!A:D,4,FALSE)</f>
        <v>#N/A</v>
      </c>
      <c r="M2678" s="3" t="e">
        <f>VLOOKUP(C2678,Securities!A:B,2,FALSE)</f>
        <v>#N/A</v>
      </c>
      <c r="O2678" s="3">
        <f t="shared" si="42"/>
        <v>0</v>
      </c>
    </row>
    <row r="2679" spans="12:15" x14ac:dyDescent="0.25">
      <c r="L2679" s="3" t="e">
        <f>VLOOKUP(C2679,Securities!A:D,4,FALSE)</f>
        <v>#N/A</v>
      </c>
      <c r="M2679" s="3" t="e">
        <f>VLOOKUP(C2679,Securities!A:B,2,FALSE)</f>
        <v>#N/A</v>
      </c>
      <c r="O2679" s="3">
        <f t="shared" si="42"/>
        <v>0</v>
      </c>
    </row>
    <row r="2680" spans="12:15" x14ac:dyDescent="0.25">
      <c r="L2680" s="3" t="e">
        <f>VLOOKUP(C2680,Securities!A:D,4,FALSE)</f>
        <v>#N/A</v>
      </c>
      <c r="M2680" s="3" t="e">
        <f>VLOOKUP(C2680,Securities!A:B,2,FALSE)</f>
        <v>#N/A</v>
      </c>
      <c r="O2680" s="3">
        <f t="shared" si="42"/>
        <v>0</v>
      </c>
    </row>
    <row r="2681" spans="12:15" x14ac:dyDescent="0.25">
      <c r="L2681" s="3" t="e">
        <f>VLOOKUP(C2681,Securities!A:D,4,FALSE)</f>
        <v>#N/A</v>
      </c>
      <c r="M2681" s="3" t="e">
        <f>VLOOKUP(C2681,Securities!A:B,2,FALSE)</f>
        <v>#N/A</v>
      </c>
      <c r="O2681" s="3">
        <f t="shared" si="42"/>
        <v>0</v>
      </c>
    </row>
    <row r="2682" spans="12:15" x14ac:dyDescent="0.25">
      <c r="L2682" s="3" t="e">
        <f>VLOOKUP(C2682,Securities!A:D,4,FALSE)</f>
        <v>#N/A</v>
      </c>
      <c r="M2682" s="3" t="e">
        <f>VLOOKUP(C2682,Securities!A:B,2,FALSE)</f>
        <v>#N/A</v>
      </c>
      <c r="O2682" s="3">
        <f t="shared" si="42"/>
        <v>0</v>
      </c>
    </row>
    <row r="2683" spans="12:15" x14ac:dyDescent="0.25">
      <c r="L2683" s="3" t="e">
        <f>VLOOKUP(C2683,Securities!A:D,4,FALSE)</f>
        <v>#N/A</v>
      </c>
      <c r="M2683" s="3" t="e">
        <f>VLOOKUP(C2683,Securities!A:B,2,FALSE)</f>
        <v>#N/A</v>
      </c>
      <c r="O2683" s="3">
        <f t="shared" si="42"/>
        <v>0</v>
      </c>
    </row>
    <row r="2684" spans="12:15" x14ac:dyDescent="0.25">
      <c r="L2684" s="3" t="e">
        <f>VLOOKUP(C2684,Securities!A:D,4,FALSE)</f>
        <v>#N/A</v>
      </c>
      <c r="M2684" s="3" t="e">
        <f>VLOOKUP(C2684,Securities!A:B,2,FALSE)</f>
        <v>#N/A</v>
      </c>
      <c r="O2684" s="3">
        <f t="shared" si="42"/>
        <v>0</v>
      </c>
    </row>
    <row r="2685" spans="12:15" x14ac:dyDescent="0.25">
      <c r="L2685" s="3" t="e">
        <f>VLOOKUP(C2685,Securities!A:D,4,FALSE)</f>
        <v>#N/A</v>
      </c>
      <c r="M2685" s="3" t="e">
        <f>VLOOKUP(C2685,Securities!A:B,2,FALSE)</f>
        <v>#N/A</v>
      </c>
      <c r="O2685" s="3">
        <f t="shared" si="42"/>
        <v>0</v>
      </c>
    </row>
    <row r="2686" spans="12:15" x14ac:dyDescent="0.25">
      <c r="L2686" s="3" t="e">
        <f>VLOOKUP(C2686,Securities!A:D,4,FALSE)</f>
        <v>#N/A</v>
      </c>
      <c r="M2686" s="3" t="e">
        <f>VLOOKUP(C2686,Securities!A:B,2,FALSE)</f>
        <v>#N/A</v>
      </c>
      <c r="O2686" s="3">
        <f t="shared" si="42"/>
        <v>0</v>
      </c>
    </row>
    <row r="2687" spans="12:15" x14ac:dyDescent="0.25">
      <c r="L2687" s="3" t="e">
        <f>VLOOKUP(C2687,Securities!A:D,4,FALSE)</f>
        <v>#N/A</v>
      </c>
      <c r="M2687" s="3" t="e">
        <f>VLOOKUP(C2687,Securities!A:B,2,FALSE)</f>
        <v>#N/A</v>
      </c>
      <c r="O2687" s="3">
        <f t="shared" si="42"/>
        <v>0</v>
      </c>
    </row>
    <row r="2688" spans="12:15" x14ac:dyDescent="0.25">
      <c r="L2688" s="3" t="e">
        <f>VLOOKUP(C2688,Securities!A:D,4,FALSE)</f>
        <v>#N/A</v>
      </c>
      <c r="M2688" s="3" t="e">
        <f>VLOOKUP(C2688,Securities!A:B,2,FALSE)</f>
        <v>#N/A</v>
      </c>
      <c r="O2688" s="3">
        <f t="shared" si="42"/>
        <v>0</v>
      </c>
    </row>
    <row r="2689" spans="12:15" x14ac:dyDescent="0.25">
      <c r="L2689" s="3" t="e">
        <f>VLOOKUP(C2689,Securities!A:D,4,FALSE)</f>
        <v>#N/A</v>
      </c>
      <c r="M2689" s="3" t="e">
        <f>VLOOKUP(C2689,Securities!A:B,2,FALSE)</f>
        <v>#N/A</v>
      </c>
      <c r="O2689" s="3">
        <f t="shared" si="42"/>
        <v>0</v>
      </c>
    </row>
    <row r="2690" spans="12:15" x14ac:dyDescent="0.25">
      <c r="L2690" s="3" t="e">
        <f>VLOOKUP(C2690,Securities!A:D,4,FALSE)</f>
        <v>#N/A</v>
      </c>
      <c r="M2690" s="3" t="e">
        <f>VLOOKUP(C2690,Securities!A:B,2,FALSE)</f>
        <v>#N/A</v>
      </c>
      <c r="O2690" s="3">
        <f t="shared" si="42"/>
        <v>0</v>
      </c>
    </row>
    <row r="2691" spans="12:15" x14ac:dyDescent="0.25">
      <c r="L2691" s="3" t="e">
        <f>VLOOKUP(C2691,Securities!A:D,4,FALSE)</f>
        <v>#N/A</v>
      </c>
      <c r="M2691" s="3" t="e">
        <f>VLOOKUP(C2691,Securities!A:B,2,FALSE)</f>
        <v>#N/A</v>
      </c>
      <c r="O2691" s="3">
        <f t="shared" si="42"/>
        <v>0</v>
      </c>
    </row>
    <row r="2692" spans="12:15" x14ac:dyDescent="0.25">
      <c r="L2692" s="3" t="e">
        <f>VLOOKUP(C2692,Securities!A:D,4,FALSE)</f>
        <v>#N/A</v>
      </c>
      <c r="M2692" s="3" t="e">
        <f>VLOOKUP(C2692,Securities!A:B,2,FALSE)</f>
        <v>#N/A</v>
      </c>
      <c r="O2692" s="3">
        <f t="shared" si="42"/>
        <v>0</v>
      </c>
    </row>
    <row r="2693" spans="12:15" x14ac:dyDescent="0.25">
      <c r="L2693" s="3" t="e">
        <f>VLOOKUP(C2693,Securities!A:D,4,FALSE)</f>
        <v>#N/A</v>
      </c>
      <c r="M2693" s="3" t="e">
        <f>VLOOKUP(C2693,Securities!A:B,2,FALSE)</f>
        <v>#N/A</v>
      </c>
      <c r="O2693" s="3">
        <f t="shared" si="42"/>
        <v>0</v>
      </c>
    </row>
    <row r="2694" spans="12:15" x14ac:dyDescent="0.25">
      <c r="L2694" s="3" t="e">
        <f>VLOOKUP(C2694,Securities!A:D,4,FALSE)</f>
        <v>#N/A</v>
      </c>
      <c r="M2694" s="3" t="e">
        <f>VLOOKUP(C2694,Securities!A:B,2,FALSE)</f>
        <v>#N/A</v>
      </c>
      <c r="O2694" s="3">
        <f t="shared" ref="O2694:O2757" si="43">SUMIFS(E:E,C:C,C2694,B:B,B2694)</f>
        <v>0</v>
      </c>
    </row>
    <row r="2695" spans="12:15" x14ac:dyDescent="0.25">
      <c r="L2695" s="3" t="e">
        <f>VLOOKUP(C2695,Securities!A:D,4,FALSE)</f>
        <v>#N/A</v>
      </c>
      <c r="M2695" s="3" t="e">
        <f>VLOOKUP(C2695,Securities!A:B,2,FALSE)</f>
        <v>#N/A</v>
      </c>
      <c r="O2695" s="3">
        <f t="shared" si="43"/>
        <v>0</v>
      </c>
    </row>
    <row r="2696" spans="12:15" x14ac:dyDescent="0.25">
      <c r="L2696" s="3" t="e">
        <f>VLOOKUP(C2696,Securities!A:D,4,FALSE)</f>
        <v>#N/A</v>
      </c>
      <c r="M2696" s="3" t="e">
        <f>VLOOKUP(C2696,Securities!A:B,2,FALSE)</f>
        <v>#N/A</v>
      </c>
      <c r="O2696" s="3">
        <f t="shared" si="43"/>
        <v>0</v>
      </c>
    </row>
    <row r="2697" spans="12:15" x14ac:dyDescent="0.25">
      <c r="L2697" s="3" t="e">
        <f>VLOOKUP(C2697,Securities!A:D,4,FALSE)</f>
        <v>#N/A</v>
      </c>
      <c r="M2697" s="3" t="e">
        <f>VLOOKUP(C2697,Securities!A:B,2,FALSE)</f>
        <v>#N/A</v>
      </c>
      <c r="O2697" s="3">
        <f t="shared" si="43"/>
        <v>0</v>
      </c>
    </row>
    <row r="2698" spans="12:15" x14ac:dyDescent="0.25">
      <c r="L2698" s="3" t="e">
        <f>VLOOKUP(C2698,Securities!A:D,4,FALSE)</f>
        <v>#N/A</v>
      </c>
      <c r="M2698" s="3" t="e">
        <f>VLOOKUP(C2698,Securities!A:B,2,FALSE)</f>
        <v>#N/A</v>
      </c>
      <c r="O2698" s="3">
        <f t="shared" si="43"/>
        <v>0</v>
      </c>
    </row>
    <row r="2699" spans="12:15" x14ac:dyDescent="0.25">
      <c r="L2699" s="3" t="e">
        <f>VLOOKUP(C2699,Securities!A:D,4,FALSE)</f>
        <v>#N/A</v>
      </c>
      <c r="M2699" s="3" t="e">
        <f>VLOOKUP(C2699,Securities!A:B,2,FALSE)</f>
        <v>#N/A</v>
      </c>
      <c r="O2699" s="3">
        <f t="shared" si="43"/>
        <v>0</v>
      </c>
    </row>
    <row r="2700" spans="12:15" x14ac:dyDescent="0.25">
      <c r="L2700" s="3" t="e">
        <f>VLOOKUP(C2700,Securities!A:D,4,FALSE)</f>
        <v>#N/A</v>
      </c>
      <c r="M2700" s="3" t="e">
        <f>VLOOKUP(C2700,Securities!A:B,2,FALSE)</f>
        <v>#N/A</v>
      </c>
      <c r="O2700" s="3">
        <f t="shared" si="43"/>
        <v>0</v>
      </c>
    </row>
    <row r="2701" spans="12:15" x14ac:dyDescent="0.25">
      <c r="L2701" s="3" t="e">
        <f>VLOOKUP(C2701,Securities!A:D,4,FALSE)</f>
        <v>#N/A</v>
      </c>
      <c r="M2701" s="3" t="e">
        <f>VLOOKUP(C2701,Securities!A:B,2,FALSE)</f>
        <v>#N/A</v>
      </c>
      <c r="O2701" s="3">
        <f t="shared" si="43"/>
        <v>0</v>
      </c>
    </row>
    <row r="2702" spans="12:15" x14ac:dyDescent="0.25">
      <c r="L2702" s="3" t="e">
        <f>VLOOKUP(C2702,Securities!A:D,4,FALSE)</f>
        <v>#N/A</v>
      </c>
      <c r="M2702" s="3" t="e">
        <f>VLOOKUP(C2702,Securities!A:B,2,FALSE)</f>
        <v>#N/A</v>
      </c>
      <c r="O2702" s="3">
        <f t="shared" si="43"/>
        <v>0</v>
      </c>
    </row>
    <row r="2703" spans="12:15" x14ac:dyDescent="0.25">
      <c r="L2703" s="3" t="e">
        <f>VLOOKUP(C2703,Securities!A:D,4,FALSE)</f>
        <v>#N/A</v>
      </c>
      <c r="M2703" s="3" t="e">
        <f>VLOOKUP(C2703,Securities!A:B,2,FALSE)</f>
        <v>#N/A</v>
      </c>
      <c r="O2703" s="3">
        <f t="shared" si="43"/>
        <v>0</v>
      </c>
    </row>
    <row r="2704" spans="12:15" x14ac:dyDescent="0.25">
      <c r="L2704" s="3" t="e">
        <f>VLOOKUP(C2704,Securities!A:D,4,FALSE)</f>
        <v>#N/A</v>
      </c>
      <c r="M2704" s="3" t="e">
        <f>VLOOKUP(C2704,Securities!A:B,2,FALSE)</f>
        <v>#N/A</v>
      </c>
      <c r="O2704" s="3">
        <f t="shared" si="43"/>
        <v>0</v>
      </c>
    </row>
    <row r="2705" spans="12:15" x14ac:dyDescent="0.25">
      <c r="L2705" s="3" t="e">
        <f>VLOOKUP(C2705,Securities!A:D,4,FALSE)</f>
        <v>#N/A</v>
      </c>
      <c r="M2705" s="3" t="e">
        <f>VLOOKUP(C2705,Securities!A:B,2,FALSE)</f>
        <v>#N/A</v>
      </c>
      <c r="O2705" s="3">
        <f t="shared" si="43"/>
        <v>0</v>
      </c>
    </row>
    <row r="2706" spans="12:15" x14ac:dyDescent="0.25">
      <c r="L2706" s="3" t="e">
        <f>VLOOKUP(C2706,Securities!A:D,4,FALSE)</f>
        <v>#N/A</v>
      </c>
      <c r="M2706" s="3" t="e">
        <f>VLOOKUP(C2706,Securities!A:B,2,FALSE)</f>
        <v>#N/A</v>
      </c>
      <c r="O2706" s="3">
        <f t="shared" si="43"/>
        <v>0</v>
      </c>
    </row>
    <row r="2707" spans="12:15" x14ac:dyDescent="0.25">
      <c r="L2707" s="3" t="e">
        <f>VLOOKUP(C2707,Securities!A:D,4,FALSE)</f>
        <v>#N/A</v>
      </c>
      <c r="M2707" s="3" t="e">
        <f>VLOOKUP(C2707,Securities!A:B,2,FALSE)</f>
        <v>#N/A</v>
      </c>
      <c r="O2707" s="3">
        <f t="shared" si="43"/>
        <v>0</v>
      </c>
    </row>
    <row r="2708" spans="12:15" x14ac:dyDescent="0.25">
      <c r="L2708" s="3" t="e">
        <f>VLOOKUP(C2708,Securities!A:D,4,FALSE)</f>
        <v>#N/A</v>
      </c>
      <c r="M2708" s="3" t="e">
        <f>VLOOKUP(C2708,Securities!A:B,2,FALSE)</f>
        <v>#N/A</v>
      </c>
      <c r="O2708" s="3">
        <f t="shared" si="43"/>
        <v>0</v>
      </c>
    </row>
    <row r="2709" spans="12:15" x14ac:dyDescent="0.25">
      <c r="L2709" s="3" t="e">
        <f>VLOOKUP(C2709,Securities!A:D,4,FALSE)</f>
        <v>#N/A</v>
      </c>
      <c r="M2709" s="3" t="e">
        <f>VLOOKUP(C2709,Securities!A:B,2,FALSE)</f>
        <v>#N/A</v>
      </c>
      <c r="O2709" s="3">
        <f t="shared" si="43"/>
        <v>0</v>
      </c>
    </row>
    <row r="2710" spans="12:15" x14ac:dyDescent="0.25">
      <c r="L2710" s="3" t="e">
        <f>VLOOKUP(C2710,Securities!A:D,4,FALSE)</f>
        <v>#N/A</v>
      </c>
      <c r="M2710" s="3" t="e">
        <f>VLOOKUP(C2710,Securities!A:B,2,FALSE)</f>
        <v>#N/A</v>
      </c>
      <c r="O2710" s="3">
        <f t="shared" si="43"/>
        <v>0</v>
      </c>
    </row>
    <row r="2711" spans="12:15" x14ac:dyDescent="0.25">
      <c r="L2711" s="3" t="e">
        <f>VLOOKUP(C2711,Securities!A:D,4,FALSE)</f>
        <v>#N/A</v>
      </c>
      <c r="M2711" s="3" t="e">
        <f>VLOOKUP(C2711,Securities!A:B,2,FALSE)</f>
        <v>#N/A</v>
      </c>
      <c r="O2711" s="3">
        <f t="shared" si="43"/>
        <v>0</v>
      </c>
    </row>
    <row r="2712" spans="12:15" x14ac:dyDescent="0.25">
      <c r="L2712" s="3" t="e">
        <f>VLOOKUP(C2712,Securities!A:D,4,FALSE)</f>
        <v>#N/A</v>
      </c>
      <c r="M2712" s="3" t="e">
        <f>VLOOKUP(C2712,Securities!A:B,2,FALSE)</f>
        <v>#N/A</v>
      </c>
      <c r="O2712" s="3">
        <f t="shared" si="43"/>
        <v>0</v>
      </c>
    </row>
    <row r="2713" spans="12:15" x14ac:dyDescent="0.25">
      <c r="L2713" s="3" t="e">
        <f>VLOOKUP(C2713,Securities!A:D,4,FALSE)</f>
        <v>#N/A</v>
      </c>
      <c r="M2713" s="3" t="e">
        <f>VLOOKUP(C2713,Securities!A:B,2,FALSE)</f>
        <v>#N/A</v>
      </c>
      <c r="O2713" s="3">
        <f t="shared" si="43"/>
        <v>0</v>
      </c>
    </row>
    <row r="2714" spans="12:15" x14ac:dyDescent="0.25">
      <c r="L2714" s="3" t="e">
        <f>VLOOKUP(C2714,Securities!A:D,4,FALSE)</f>
        <v>#N/A</v>
      </c>
      <c r="M2714" s="3" t="e">
        <f>VLOOKUP(C2714,Securities!A:B,2,FALSE)</f>
        <v>#N/A</v>
      </c>
      <c r="O2714" s="3">
        <f t="shared" si="43"/>
        <v>0</v>
      </c>
    </row>
    <row r="2715" spans="12:15" x14ac:dyDescent="0.25">
      <c r="L2715" s="3" t="e">
        <f>VLOOKUP(C2715,Securities!A:D,4,FALSE)</f>
        <v>#N/A</v>
      </c>
      <c r="M2715" s="3" t="e">
        <f>VLOOKUP(C2715,Securities!A:B,2,FALSE)</f>
        <v>#N/A</v>
      </c>
      <c r="O2715" s="3">
        <f t="shared" si="43"/>
        <v>0</v>
      </c>
    </row>
    <row r="2716" spans="12:15" x14ac:dyDescent="0.25">
      <c r="L2716" s="3" t="e">
        <f>VLOOKUP(C2716,Securities!A:D,4,FALSE)</f>
        <v>#N/A</v>
      </c>
      <c r="M2716" s="3" t="e">
        <f>VLOOKUP(C2716,Securities!A:B,2,FALSE)</f>
        <v>#N/A</v>
      </c>
      <c r="O2716" s="3">
        <f t="shared" si="43"/>
        <v>0</v>
      </c>
    </row>
    <row r="2717" spans="12:15" x14ac:dyDescent="0.25">
      <c r="L2717" s="3" t="e">
        <f>VLOOKUP(C2717,Securities!A:D,4,FALSE)</f>
        <v>#N/A</v>
      </c>
      <c r="M2717" s="3" t="e">
        <f>VLOOKUP(C2717,Securities!A:B,2,FALSE)</f>
        <v>#N/A</v>
      </c>
      <c r="O2717" s="3">
        <f t="shared" si="43"/>
        <v>0</v>
      </c>
    </row>
    <row r="2718" spans="12:15" x14ac:dyDescent="0.25">
      <c r="L2718" s="3" t="e">
        <f>VLOOKUP(C2718,Securities!A:D,4,FALSE)</f>
        <v>#N/A</v>
      </c>
      <c r="M2718" s="3" t="e">
        <f>VLOOKUP(C2718,Securities!A:B,2,FALSE)</f>
        <v>#N/A</v>
      </c>
      <c r="O2718" s="3">
        <f t="shared" si="43"/>
        <v>0</v>
      </c>
    </row>
    <row r="2719" spans="12:15" x14ac:dyDescent="0.25">
      <c r="L2719" s="3" t="e">
        <f>VLOOKUP(C2719,Securities!A:D,4,FALSE)</f>
        <v>#N/A</v>
      </c>
      <c r="M2719" s="3" t="e">
        <f>VLOOKUP(C2719,Securities!A:B,2,FALSE)</f>
        <v>#N/A</v>
      </c>
      <c r="O2719" s="3">
        <f t="shared" si="43"/>
        <v>0</v>
      </c>
    </row>
    <row r="2720" spans="12:15" x14ac:dyDescent="0.25">
      <c r="L2720" s="3" t="e">
        <f>VLOOKUP(C2720,Securities!A:D,4,FALSE)</f>
        <v>#N/A</v>
      </c>
      <c r="M2720" s="3" t="e">
        <f>VLOOKUP(C2720,Securities!A:B,2,FALSE)</f>
        <v>#N/A</v>
      </c>
      <c r="O2720" s="3">
        <f t="shared" si="43"/>
        <v>0</v>
      </c>
    </row>
    <row r="2721" spans="12:15" x14ac:dyDescent="0.25">
      <c r="L2721" s="3" t="e">
        <f>VLOOKUP(C2721,Securities!A:D,4,FALSE)</f>
        <v>#N/A</v>
      </c>
      <c r="M2721" s="3" t="e">
        <f>VLOOKUP(C2721,Securities!A:B,2,FALSE)</f>
        <v>#N/A</v>
      </c>
      <c r="O2721" s="3">
        <f t="shared" si="43"/>
        <v>0</v>
      </c>
    </row>
    <row r="2722" spans="12:15" x14ac:dyDescent="0.25">
      <c r="L2722" s="3" t="e">
        <f>VLOOKUP(C2722,Securities!A:D,4,FALSE)</f>
        <v>#N/A</v>
      </c>
      <c r="M2722" s="3" t="e">
        <f>VLOOKUP(C2722,Securities!A:B,2,FALSE)</f>
        <v>#N/A</v>
      </c>
      <c r="O2722" s="3">
        <f t="shared" si="43"/>
        <v>0</v>
      </c>
    </row>
    <row r="2723" spans="12:15" x14ac:dyDescent="0.25">
      <c r="L2723" s="3" t="e">
        <f>VLOOKUP(C2723,Securities!A:D,4,FALSE)</f>
        <v>#N/A</v>
      </c>
      <c r="M2723" s="3" t="e">
        <f>VLOOKUP(C2723,Securities!A:B,2,FALSE)</f>
        <v>#N/A</v>
      </c>
      <c r="O2723" s="3">
        <f t="shared" si="43"/>
        <v>0</v>
      </c>
    </row>
    <row r="2724" spans="12:15" x14ac:dyDescent="0.25">
      <c r="L2724" s="3" t="e">
        <f>VLOOKUP(C2724,Securities!A:D,4,FALSE)</f>
        <v>#N/A</v>
      </c>
      <c r="M2724" s="3" t="e">
        <f>VLOOKUP(C2724,Securities!A:B,2,FALSE)</f>
        <v>#N/A</v>
      </c>
      <c r="O2724" s="3">
        <f t="shared" si="43"/>
        <v>0</v>
      </c>
    </row>
    <row r="2725" spans="12:15" x14ac:dyDescent="0.25">
      <c r="L2725" s="3" t="e">
        <f>VLOOKUP(C2725,Securities!A:D,4,FALSE)</f>
        <v>#N/A</v>
      </c>
      <c r="M2725" s="3" t="e">
        <f>VLOOKUP(C2725,Securities!A:B,2,FALSE)</f>
        <v>#N/A</v>
      </c>
      <c r="O2725" s="3">
        <f t="shared" si="43"/>
        <v>0</v>
      </c>
    </row>
    <row r="2726" spans="12:15" x14ac:dyDescent="0.25">
      <c r="L2726" s="3" t="e">
        <f>VLOOKUP(C2726,Securities!A:D,4,FALSE)</f>
        <v>#N/A</v>
      </c>
      <c r="M2726" s="3" t="e">
        <f>VLOOKUP(C2726,Securities!A:B,2,FALSE)</f>
        <v>#N/A</v>
      </c>
      <c r="O2726" s="3">
        <f t="shared" si="43"/>
        <v>0</v>
      </c>
    </row>
    <row r="2727" spans="12:15" x14ac:dyDescent="0.25">
      <c r="L2727" s="3" t="e">
        <f>VLOOKUP(C2727,Securities!A:D,4,FALSE)</f>
        <v>#N/A</v>
      </c>
      <c r="M2727" s="3" t="e">
        <f>VLOOKUP(C2727,Securities!A:B,2,FALSE)</f>
        <v>#N/A</v>
      </c>
      <c r="O2727" s="3">
        <f t="shared" si="43"/>
        <v>0</v>
      </c>
    </row>
    <row r="2728" spans="12:15" x14ac:dyDescent="0.25">
      <c r="L2728" s="3" t="e">
        <f>VLOOKUP(C2728,Securities!A:D,4,FALSE)</f>
        <v>#N/A</v>
      </c>
      <c r="M2728" s="3" t="e">
        <f>VLOOKUP(C2728,Securities!A:B,2,FALSE)</f>
        <v>#N/A</v>
      </c>
      <c r="O2728" s="3">
        <f t="shared" si="43"/>
        <v>0</v>
      </c>
    </row>
    <row r="2729" spans="12:15" x14ac:dyDescent="0.25">
      <c r="L2729" s="3" t="e">
        <f>VLOOKUP(C2729,Securities!A:D,4,FALSE)</f>
        <v>#N/A</v>
      </c>
      <c r="M2729" s="3" t="e">
        <f>VLOOKUP(C2729,Securities!A:B,2,FALSE)</f>
        <v>#N/A</v>
      </c>
      <c r="O2729" s="3">
        <f t="shared" si="43"/>
        <v>0</v>
      </c>
    </row>
    <row r="2730" spans="12:15" x14ac:dyDescent="0.25">
      <c r="L2730" s="3" t="e">
        <f>VLOOKUP(C2730,Securities!A:D,4,FALSE)</f>
        <v>#N/A</v>
      </c>
      <c r="M2730" s="3" t="e">
        <f>VLOOKUP(C2730,Securities!A:B,2,FALSE)</f>
        <v>#N/A</v>
      </c>
      <c r="O2730" s="3">
        <f t="shared" si="43"/>
        <v>0</v>
      </c>
    </row>
    <row r="2731" spans="12:15" x14ac:dyDescent="0.25">
      <c r="L2731" s="3" t="e">
        <f>VLOOKUP(C2731,Securities!A:D,4,FALSE)</f>
        <v>#N/A</v>
      </c>
      <c r="M2731" s="3" t="e">
        <f>VLOOKUP(C2731,Securities!A:B,2,FALSE)</f>
        <v>#N/A</v>
      </c>
      <c r="O2731" s="3">
        <f t="shared" si="43"/>
        <v>0</v>
      </c>
    </row>
    <row r="2732" spans="12:15" x14ac:dyDescent="0.25">
      <c r="L2732" s="3" t="e">
        <f>VLOOKUP(C2732,Securities!A:D,4,FALSE)</f>
        <v>#N/A</v>
      </c>
      <c r="M2732" s="3" t="e">
        <f>VLOOKUP(C2732,Securities!A:B,2,FALSE)</f>
        <v>#N/A</v>
      </c>
      <c r="O2732" s="3">
        <f t="shared" si="43"/>
        <v>0</v>
      </c>
    </row>
    <row r="2733" spans="12:15" x14ac:dyDescent="0.25">
      <c r="L2733" s="3" t="e">
        <f>VLOOKUP(C2733,Securities!A:D,4,FALSE)</f>
        <v>#N/A</v>
      </c>
      <c r="M2733" s="3" t="e">
        <f>VLOOKUP(C2733,Securities!A:B,2,FALSE)</f>
        <v>#N/A</v>
      </c>
      <c r="O2733" s="3">
        <f t="shared" si="43"/>
        <v>0</v>
      </c>
    </row>
    <row r="2734" spans="12:15" x14ac:dyDescent="0.25">
      <c r="L2734" s="3" t="e">
        <f>VLOOKUP(C2734,Securities!A:D,4,FALSE)</f>
        <v>#N/A</v>
      </c>
      <c r="M2734" s="3" t="e">
        <f>VLOOKUP(C2734,Securities!A:B,2,FALSE)</f>
        <v>#N/A</v>
      </c>
      <c r="O2734" s="3">
        <f t="shared" si="43"/>
        <v>0</v>
      </c>
    </row>
    <row r="2735" spans="12:15" x14ac:dyDescent="0.25">
      <c r="L2735" s="3" t="e">
        <f>VLOOKUP(C2735,Securities!A:D,4,FALSE)</f>
        <v>#N/A</v>
      </c>
      <c r="M2735" s="3" t="e">
        <f>VLOOKUP(C2735,Securities!A:B,2,FALSE)</f>
        <v>#N/A</v>
      </c>
      <c r="O2735" s="3">
        <f t="shared" si="43"/>
        <v>0</v>
      </c>
    </row>
    <row r="2736" spans="12:15" x14ac:dyDescent="0.25">
      <c r="L2736" s="3" t="e">
        <f>VLOOKUP(C2736,Securities!A:D,4,FALSE)</f>
        <v>#N/A</v>
      </c>
      <c r="M2736" s="3" t="e">
        <f>VLOOKUP(C2736,Securities!A:B,2,FALSE)</f>
        <v>#N/A</v>
      </c>
      <c r="O2736" s="3">
        <f t="shared" si="43"/>
        <v>0</v>
      </c>
    </row>
    <row r="2737" spans="12:15" x14ac:dyDescent="0.25">
      <c r="L2737" s="3" t="e">
        <f>VLOOKUP(C2737,Securities!A:D,4,FALSE)</f>
        <v>#N/A</v>
      </c>
      <c r="M2737" s="3" t="e">
        <f>VLOOKUP(C2737,Securities!A:B,2,FALSE)</f>
        <v>#N/A</v>
      </c>
      <c r="O2737" s="3">
        <f t="shared" si="43"/>
        <v>0</v>
      </c>
    </row>
    <row r="2738" spans="12:15" x14ac:dyDescent="0.25">
      <c r="L2738" s="3" t="e">
        <f>VLOOKUP(C2738,Securities!A:D,4,FALSE)</f>
        <v>#N/A</v>
      </c>
      <c r="M2738" s="3" t="e">
        <f>VLOOKUP(C2738,Securities!A:B,2,FALSE)</f>
        <v>#N/A</v>
      </c>
      <c r="O2738" s="3">
        <f t="shared" si="43"/>
        <v>0</v>
      </c>
    </row>
    <row r="2739" spans="12:15" x14ac:dyDescent="0.25">
      <c r="L2739" s="3" t="e">
        <f>VLOOKUP(C2739,Securities!A:D,4,FALSE)</f>
        <v>#N/A</v>
      </c>
      <c r="M2739" s="3" t="e">
        <f>VLOOKUP(C2739,Securities!A:B,2,FALSE)</f>
        <v>#N/A</v>
      </c>
      <c r="O2739" s="3">
        <f t="shared" si="43"/>
        <v>0</v>
      </c>
    </row>
    <row r="2740" spans="12:15" x14ac:dyDescent="0.25">
      <c r="L2740" s="3" t="e">
        <f>VLOOKUP(C2740,Securities!A:D,4,FALSE)</f>
        <v>#N/A</v>
      </c>
      <c r="M2740" s="3" t="e">
        <f>VLOOKUP(C2740,Securities!A:B,2,FALSE)</f>
        <v>#N/A</v>
      </c>
      <c r="O2740" s="3">
        <f t="shared" si="43"/>
        <v>0</v>
      </c>
    </row>
    <row r="2741" spans="12:15" x14ac:dyDescent="0.25">
      <c r="L2741" s="3" t="e">
        <f>VLOOKUP(C2741,Securities!A:D,4,FALSE)</f>
        <v>#N/A</v>
      </c>
      <c r="M2741" s="3" t="e">
        <f>VLOOKUP(C2741,Securities!A:B,2,FALSE)</f>
        <v>#N/A</v>
      </c>
      <c r="O2741" s="3">
        <f t="shared" si="43"/>
        <v>0</v>
      </c>
    </row>
    <row r="2742" spans="12:15" x14ac:dyDescent="0.25">
      <c r="L2742" s="3" t="e">
        <f>VLOOKUP(C2742,Securities!A:D,4,FALSE)</f>
        <v>#N/A</v>
      </c>
      <c r="M2742" s="3" t="e">
        <f>VLOOKUP(C2742,Securities!A:B,2,FALSE)</f>
        <v>#N/A</v>
      </c>
      <c r="O2742" s="3">
        <f t="shared" si="43"/>
        <v>0</v>
      </c>
    </row>
    <row r="2743" spans="12:15" x14ac:dyDescent="0.25">
      <c r="L2743" s="3" t="e">
        <f>VLOOKUP(C2743,Securities!A:D,4,FALSE)</f>
        <v>#N/A</v>
      </c>
      <c r="M2743" s="3" t="e">
        <f>VLOOKUP(C2743,Securities!A:B,2,FALSE)</f>
        <v>#N/A</v>
      </c>
      <c r="O2743" s="3">
        <f t="shared" si="43"/>
        <v>0</v>
      </c>
    </row>
    <row r="2744" spans="12:15" x14ac:dyDescent="0.25">
      <c r="L2744" s="3" t="e">
        <f>VLOOKUP(C2744,Securities!A:D,4,FALSE)</f>
        <v>#N/A</v>
      </c>
      <c r="M2744" s="3" t="e">
        <f>VLOOKUP(C2744,Securities!A:B,2,FALSE)</f>
        <v>#N/A</v>
      </c>
      <c r="O2744" s="3">
        <f t="shared" si="43"/>
        <v>0</v>
      </c>
    </row>
    <row r="2745" spans="12:15" x14ac:dyDescent="0.25">
      <c r="L2745" s="3" t="e">
        <f>VLOOKUP(C2745,Securities!A:D,4,FALSE)</f>
        <v>#N/A</v>
      </c>
      <c r="M2745" s="3" t="e">
        <f>VLOOKUP(C2745,Securities!A:B,2,FALSE)</f>
        <v>#N/A</v>
      </c>
      <c r="O2745" s="3">
        <f t="shared" si="43"/>
        <v>0</v>
      </c>
    </row>
    <row r="2746" spans="12:15" x14ac:dyDescent="0.25">
      <c r="L2746" s="3" t="e">
        <f>VLOOKUP(C2746,Securities!A:D,4,FALSE)</f>
        <v>#N/A</v>
      </c>
      <c r="M2746" s="3" t="e">
        <f>VLOOKUP(C2746,Securities!A:B,2,FALSE)</f>
        <v>#N/A</v>
      </c>
      <c r="O2746" s="3">
        <f t="shared" si="43"/>
        <v>0</v>
      </c>
    </row>
    <row r="2747" spans="12:15" x14ac:dyDescent="0.25">
      <c r="L2747" s="3" t="e">
        <f>VLOOKUP(C2747,Securities!A:D,4,FALSE)</f>
        <v>#N/A</v>
      </c>
      <c r="M2747" s="3" t="e">
        <f>VLOOKUP(C2747,Securities!A:B,2,FALSE)</f>
        <v>#N/A</v>
      </c>
      <c r="O2747" s="3">
        <f t="shared" si="43"/>
        <v>0</v>
      </c>
    </row>
    <row r="2748" spans="12:15" x14ac:dyDescent="0.25">
      <c r="L2748" s="3" t="e">
        <f>VLOOKUP(C2748,Securities!A:D,4,FALSE)</f>
        <v>#N/A</v>
      </c>
      <c r="M2748" s="3" t="e">
        <f>VLOOKUP(C2748,Securities!A:B,2,FALSE)</f>
        <v>#N/A</v>
      </c>
      <c r="O2748" s="3">
        <f t="shared" si="43"/>
        <v>0</v>
      </c>
    </row>
    <row r="2749" spans="12:15" x14ac:dyDescent="0.25">
      <c r="L2749" s="3" t="e">
        <f>VLOOKUP(C2749,Securities!A:D,4,FALSE)</f>
        <v>#N/A</v>
      </c>
      <c r="M2749" s="3" t="e">
        <f>VLOOKUP(C2749,Securities!A:B,2,FALSE)</f>
        <v>#N/A</v>
      </c>
      <c r="O2749" s="3">
        <f t="shared" si="43"/>
        <v>0</v>
      </c>
    </row>
    <row r="2750" spans="12:15" x14ac:dyDescent="0.25">
      <c r="L2750" s="3" t="e">
        <f>VLOOKUP(C2750,Securities!A:D,4,FALSE)</f>
        <v>#N/A</v>
      </c>
      <c r="M2750" s="3" t="e">
        <f>VLOOKUP(C2750,Securities!A:B,2,FALSE)</f>
        <v>#N/A</v>
      </c>
      <c r="O2750" s="3">
        <f t="shared" si="43"/>
        <v>0</v>
      </c>
    </row>
    <row r="2751" spans="12:15" x14ac:dyDescent="0.25">
      <c r="L2751" s="3" t="e">
        <f>VLOOKUP(C2751,Securities!A:D,4,FALSE)</f>
        <v>#N/A</v>
      </c>
      <c r="M2751" s="3" t="e">
        <f>VLOOKUP(C2751,Securities!A:B,2,FALSE)</f>
        <v>#N/A</v>
      </c>
      <c r="O2751" s="3">
        <f t="shared" si="43"/>
        <v>0</v>
      </c>
    </row>
    <row r="2752" spans="12:15" x14ac:dyDescent="0.25">
      <c r="L2752" s="3" t="e">
        <f>VLOOKUP(C2752,Securities!A:D,4,FALSE)</f>
        <v>#N/A</v>
      </c>
      <c r="M2752" s="3" t="e">
        <f>VLOOKUP(C2752,Securities!A:B,2,FALSE)</f>
        <v>#N/A</v>
      </c>
      <c r="O2752" s="3">
        <f t="shared" si="43"/>
        <v>0</v>
      </c>
    </row>
    <row r="2753" spans="12:15" x14ac:dyDescent="0.25">
      <c r="L2753" s="3" t="e">
        <f>VLOOKUP(C2753,Securities!A:D,4,FALSE)</f>
        <v>#N/A</v>
      </c>
      <c r="M2753" s="3" t="e">
        <f>VLOOKUP(C2753,Securities!A:B,2,FALSE)</f>
        <v>#N/A</v>
      </c>
      <c r="O2753" s="3">
        <f t="shared" si="43"/>
        <v>0</v>
      </c>
    </row>
    <row r="2754" spans="12:15" x14ac:dyDescent="0.25">
      <c r="L2754" s="3" t="e">
        <f>VLOOKUP(C2754,Securities!A:D,4,FALSE)</f>
        <v>#N/A</v>
      </c>
      <c r="M2754" s="3" t="e">
        <f>VLOOKUP(C2754,Securities!A:B,2,FALSE)</f>
        <v>#N/A</v>
      </c>
      <c r="O2754" s="3">
        <f t="shared" si="43"/>
        <v>0</v>
      </c>
    </row>
    <row r="2755" spans="12:15" x14ac:dyDescent="0.25">
      <c r="L2755" s="3" t="e">
        <f>VLOOKUP(C2755,Securities!A:D,4,FALSE)</f>
        <v>#N/A</v>
      </c>
      <c r="M2755" s="3" t="e">
        <f>VLOOKUP(C2755,Securities!A:B,2,FALSE)</f>
        <v>#N/A</v>
      </c>
      <c r="O2755" s="3">
        <f t="shared" si="43"/>
        <v>0</v>
      </c>
    </row>
    <row r="2756" spans="12:15" x14ac:dyDescent="0.25">
      <c r="L2756" s="3" t="e">
        <f>VLOOKUP(C2756,Securities!A:D,4,FALSE)</f>
        <v>#N/A</v>
      </c>
      <c r="M2756" s="3" t="e">
        <f>VLOOKUP(C2756,Securities!A:B,2,FALSE)</f>
        <v>#N/A</v>
      </c>
      <c r="O2756" s="3">
        <f t="shared" si="43"/>
        <v>0</v>
      </c>
    </row>
    <row r="2757" spans="12:15" x14ac:dyDescent="0.25">
      <c r="L2757" s="3" t="e">
        <f>VLOOKUP(C2757,Securities!A:D,4,FALSE)</f>
        <v>#N/A</v>
      </c>
      <c r="M2757" s="3" t="e">
        <f>VLOOKUP(C2757,Securities!A:B,2,FALSE)</f>
        <v>#N/A</v>
      </c>
      <c r="O2757" s="3">
        <f t="shared" si="43"/>
        <v>0</v>
      </c>
    </row>
    <row r="2758" spans="12:15" x14ac:dyDescent="0.25">
      <c r="L2758" s="3" t="e">
        <f>VLOOKUP(C2758,Securities!A:D,4,FALSE)</f>
        <v>#N/A</v>
      </c>
      <c r="M2758" s="3" t="e">
        <f>VLOOKUP(C2758,Securities!A:B,2,FALSE)</f>
        <v>#N/A</v>
      </c>
      <c r="O2758" s="3">
        <f t="shared" ref="O2758:O2821" si="44">SUMIFS(E:E,C:C,C2758,B:B,B2758)</f>
        <v>0</v>
      </c>
    </row>
    <row r="2759" spans="12:15" x14ac:dyDescent="0.25">
      <c r="L2759" s="3" t="e">
        <f>VLOOKUP(C2759,Securities!A:D,4,FALSE)</f>
        <v>#N/A</v>
      </c>
      <c r="M2759" s="3" t="e">
        <f>VLOOKUP(C2759,Securities!A:B,2,FALSE)</f>
        <v>#N/A</v>
      </c>
      <c r="O2759" s="3">
        <f t="shared" si="44"/>
        <v>0</v>
      </c>
    </row>
    <row r="2760" spans="12:15" x14ac:dyDescent="0.25">
      <c r="L2760" s="3" t="e">
        <f>VLOOKUP(C2760,Securities!A:D,4,FALSE)</f>
        <v>#N/A</v>
      </c>
      <c r="M2760" s="3" t="e">
        <f>VLOOKUP(C2760,Securities!A:B,2,FALSE)</f>
        <v>#N/A</v>
      </c>
      <c r="O2760" s="3">
        <f t="shared" si="44"/>
        <v>0</v>
      </c>
    </row>
    <row r="2761" spans="12:15" x14ac:dyDescent="0.25">
      <c r="L2761" s="3" t="e">
        <f>VLOOKUP(C2761,Securities!A:D,4,FALSE)</f>
        <v>#N/A</v>
      </c>
      <c r="M2761" s="3" t="e">
        <f>VLOOKUP(C2761,Securities!A:B,2,FALSE)</f>
        <v>#N/A</v>
      </c>
      <c r="O2761" s="3">
        <f t="shared" si="44"/>
        <v>0</v>
      </c>
    </row>
    <row r="2762" spans="12:15" x14ac:dyDescent="0.25">
      <c r="L2762" s="3" t="e">
        <f>VLOOKUP(C2762,Securities!A:D,4,FALSE)</f>
        <v>#N/A</v>
      </c>
      <c r="M2762" s="3" t="e">
        <f>VLOOKUP(C2762,Securities!A:B,2,FALSE)</f>
        <v>#N/A</v>
      </c>
      <c r="O2762" s="3">
        <f t="shared" si="44"/>
        <v>0</v>
      </c>
    </row>
    <row r="2763" spans="12:15" x14ac:dyDescent="0.25">
      <c r="L2763" s="3" t="e">
        <f>VLOOKUP(C2763,Securities!A:D,4,FALSE)</f>
        <v>#N/A</v>
      </c>
      <c r="M2763" s="3" t="e">
        <f>VLOOKUP(C2763,Securities!A:B,2,FALSE)</f>
        <v>#N/A</v>
      </c>
      <c r="O2763" s="3">
        <f t="shared" si="44"/>
        <v>0</v>
      </c>
    </row>
    <row r="2764" spans="12:15" x14ac:dyDescent="0.25">
      <c r="L2764" s="3" t="e">
        <f>VLOOKUP(C2764,Securities!A:D,4,FALSE)</f>
        <v>#N/A</v>
      </c>
      <c r="M2764" s="3" t="e">
        <f>VLOOKUP(C2764,Securities!A:B,2,FALSE)</f>
        <v>#N/A</v>
      </c>
      <c r="O2764" s="3">
        <f t="shared" si="44"/>
        <v>0</v>
      </c>
    </row>
    <row r="2765" spans="12:15" x14ac:dyDescent="0.25">
      <c r="L2765" s="3" t="e">
        <f>VLOOKUP(C2765,Securities!A:D,4,FALSE)</f>
        <v>#N/A</v>
      </c>
      <c r="M2765" s="3" t="e">
        <f>VLOOKUP(C2765,Securities!A:B,2,FALSE)</f>
        <v>#N/A</v>
      </c>
      <c r="O2765" s="3">
        <f t="shared" si="44"/>
        <v>0</v>
      </c>
    </row>
    <row r="2766" spans="12:15" x14ac:dyDescent="0.25">
      <c r="L2766" s="3" t="e">
        <f>VLOOKUP(C2766,Securities!A:D,4,FALSE)</f>
        <v>#N/A</v>
      </c>
      <c r="M2766" s="3" t="e">
        <f>VLOOKUP(C2766,Securities!A:B,2,FALSE)</f>
        <v>#N/A</v>
      </c>
      <c r="O2766" s="3">
        <f t="shared" si="44"/>
        <v>0</v>
      </c>
    </row>
    <row r="2767" spans="12:15" x14ac:dyDescent="0.25">
      <c r="L2767" s="3" t="e">
        <f>VLOOKUP(C2767,Securities!A:D,4,FALSE)</f>
        <v>#N/A</v>
      </c>
      <c r="M2767" s="3" t="e">
        <f>VLOOKUP(C2767,Securities!A:B,2,FALSE)</f>
        <v>#N/A</v>
      </c>
      <c r="O2767" s="3">
        <f t="shared" si="44"/>
        <v>0</v>
      </c>
    </row>
    <row r="2768" spans="12:15" x14ac:dyDescent="0.25">
      <c r="L2768" s="3" t="e">
        <f>VLOOKUP(C2768,Securities!A:D,4,FALSE)</f>
        <v>#N/A</v>
      </c>
      <c r="M2768" s="3" t="e">
        <f>VLOOKUP(C2768,Securities!A:B,2,FALSE)</f>
        <v>#N/A</v>
      </c>
      <c r="O2768" s="3">
        <f t="shared" si="44"/>
        <v>0</v>
      </c>
    </row>
    <row r="2769" spans="12:15" x14ac:dyDescent="0.25">
      <c r="L2769" s="3" t="e">
        <f>VLOOKUP(C2769,Securities!A:D,4,FALSE)</f>
        <v>#N/A</v>
      </c>
      <c r="M2769" s="3" t="e">
        <f>VLOOKUP(C2769,Securities!A:B,2,FALSE)</f>
        <v>#N/A</v>
      </c>
      <c r="O2769" s="3">
        <f t="shared" si="44"/>
        <v>0</v>
      </c>
    </row>
    <row r="2770" spans="12:15" x14ac:dyDescent="0.25">
      <c r="L2770" s="3" t="e">
        <f>VLOOKUP(C2770,Securities!A:D,4,FALSE)</f>
        <v>#N/A</v>
      </c>
      <c r="M2770" s="3" t="e">
        <f>VLOOKUP(C2770,Securities!A:B,2,FALSE)</f>
        <v>#N/A</v>
      </c>
      <c r="O2770" s="3">
        <f t="shared" si="44"/>
        <v>0</v>
      </c>
    </row>
    <row r="2771" spans="12:15" x14ac:dyDescent="0.25">
      <c r="L2771" s="3" t="e">
        <f>VLOOKUP(C2771,Securities!A:D,4,FALSE)</f>
        <v>#N/A</v>
      </c>
      <c r="M2771" s="3" t="e">
        <f>VLOOKUP(C2771,Securities!A:B,2,FALSE)</f>
        <v>#N/A</v>
      </c>
      <c r="O2771" s="3">
        <f t="shared" si="44"/>
        <v>0</v>
      </c>
    </row>
    <row r="2772" spans="12:15" x14ac:dyDescent="0.25">
      <c r="L2772" s="3" t="e">
        <f>VLOOKUP(C2772,Securities!A:D,4,FALSE)</f>
        <v>#N/A</v>
      </c>
      <c r="M2772" s="3" t="e">
        <f>VLOOKUP(C2772,Securities!A:B,2,FALSE)</f>
        <v>#N/A</v>
      </c>
      <c r="O2772" s="3">
        <f t="shared" si="44"/>
        <v>0</v>
      </c>
    </row>
    <row r="2773" spans="12:15" x14ac:dyDescent="0.25">
      <c r="L2773" s="3" t="e">
        <f>VLOOKUP(C2773,Securities!A:D,4,FALSE)</f>
        <v>#N/A</v>
      </c>
      <c r="M2773" s="3" t="e">
        <f>VLOOKUP(C2773,Securities!A:B,2,FALSE)</f>
        <v>#N/A</v>
      </c>
      <c r="O2773" s="3">
        <f t="shared" si="44"/>
        <v>0</v>
      </c>
    </row>
    <row r="2774" spans="12:15" x14ac:dyDescent="0.25">
      <c r="L2774" s="3" t="e">
        <f>VLOOKUP(C2774,Securities!A:D,4,FALSE)</f>
        <v>#N/A</v>
      </c>
      <c r="M2774" s="3" t="e">
        <f>VLOOKUP(C2774,Securities!A:B,2,FALSE)</f>
        <v>#N/A</v>
      </c>
      <c r="O2774" s="3">
        <f t="shared" si="44"/>
        <v>0</v>
      </c>
    </row>
    <row r="2775" spans="12:15" x14ac:dyDescent="0.25">
      <c r="L2775" s="3" t="e">
        <f>VLOOKUP(C2775,Securities!A:D,4,FALSE)</f>
        <v>#N/A</v>
      </c>
      <c r="M2775" s="3" t="e">
        <f>VLOOKUP(C2775,Securities!A:B,2,FALSE)</f>
        <v>#N/A</v>
      </c>
      <c r="O2775" s="3">
        <f t="shared" si="44"/>
        <v>0</v>
      </c>
    </row>
    <row r="2776" spans="12:15" x14ac:dyDescent="0.25">
      <c r="L2776" s="3" t="e">
        <f>VLOOKUP(C2776,Securities!A:D,4,FALSE)</f>
        <v>#N/A</v>
      </c>
      <c r="M2776" s="3" t="e">
        <f>VLOOKUP(C2776,Securities!A:B,2,FALSE)</f>
        <v>#N/A</v>
      </c>
      <c r="O2776" s="3">
        <f t="shared" si="44"/>
        <v>0</v>
      </c>
    </row>
    <row r="2777" spans="12:15" x14ac:dyDescent="0.25">
      <c r="L2777" s="3" t="e">
        <f>VLOOKUP(C2777,Securities!A:D,4,FALSE)</f>
        <v>#N/A</v>
      </c>
      <c r="M2777" s="3" t="e">
        <f>VLOOKUP(C2777,Securities!A:B,2,FALSE)</f>
        <v>#N/A</v>
      </c>
      <c r="O2777" s="3">
        <f t="shared" si="44"/>
        <v>0</v>
      </c>
    </row>
    <row r="2778" spans="12:15" x14ac:dyDescent="0.25">
      <c r="L2778" s="3" t="e">
        <f>VLOOKUP(C2778,Securities!A:D,4,FALSE)</f>
        <v>#N/A</v>
      </c>
      <c r="M2778" s="3" t="e">
        <f>VLOOKUP(C2778,Securities!A:B,2,FALSE)</f>
        <v>#N/A</v>
      </c>
      <c r="O2778" s="3">
        <f t="shared" si="44"/>
        <v>0</v>
      </c>
    </row>
    <row r="2779" spans="12:15" x14ac:dyDescent="0.25">
      <c r="L2779" s="3" t="e">
        <f>VLOOKUP(C2779,Securities!A:D,4,FALSE)</f>
        <v>#N/A</v>
      </c>
      <c r="M2779" s="3" t="e">
        <f>VLOOKUP(C2779,Securities!A:B,2,FALSE)</f>
        <v>#N/A</v>
      </c>
      <c r="O2779" s="3">
        <f t="shared" si="44"/>
        <v>0</v>
      </c>
    </row>
    <row r="2780" spans="12:15" x14ac:dyDescent="0.25">
      <c r="L2780" s="3" t="e">
        <f>VLOOKUP(C2780,Securities!A:D,4,FALSE)</f>
        <v>#N/A</v>
      </c>
      <c r="M2780" s="3" t="e">
        <f>VLOOKUP(C2780,Securities!A:B,2,FALSE)</f>
        <v>#N/A</v>
      </c>
      <c r="O2780" s="3">
        <f t="shared" si="44"/>
        <v>0</v>
      </c>
    </row>
    <row r="2781" spans="12:15" x14ac:dyDescent="0.25">
      <c r="L2781" s="3" t="e">
        <f>VLOOKUP(C2781,Securities!A:D,4,FALSE)</f>
        <v>#N/A</v>
      </c>
      <c r="M2781" s="3" t="e">
        <f>VLOOKUP(C2781,Securities!A:B,2,FALSE)</f>
        <v>#N/A</v>
      </c>
      <c r="O2781" s="3">
        <f t="shared" si="44"/>
        <v>0</v>
      </c>
    </row>
    <row r="2782" spans="12:15" x14ac:dyDescent="0.25">
      <c r="L2782" s="3" t="e">
        <f>VLOOKUP(C2782,Securities!A:D,4,FALSE)</f>
        <v>#N/A</v>
      </c>
      <c r="M2782" s="3" t="e">
        <f>VLOOKUP(C2782,Securities!A:B,2,FALSE)</f>
        <v>#N/A</v>
      </c>
      <c r="O2782" s="3">
        <f t="shared" si="44"/>
        <v>0</v>
      </c>
    </row>
    <row r="2783" spans="12:15" x14ac:dyDescent="0.25">
      <c r="L2783" s="3" t="e">
        <f>VLOOKUP(C2783,Securities!A:D,4,FALSE)</f>
        <v>#N/A</v>
      </c>
      <c r="M2783" s="3" t="e">
        <f>VLOOKUP(C2783,Securities!A:B,2,FALSE)</f>
        <v>#N/A</v>
      </c>
      <c r="O2783" s="3">
        <f t="shared" si="44"/>
        <v>0</v>
      </c>
    </row>
    <row r="2784" spans="12:15" x14ac:dyDescent="0.25">
      <c r="L2784" s="3" t="e">
        <f>VLOOKUP(C2784,Securities!A:D,4,FALSE)</f>
        <v>#N/A</v>
      </c>
      <c r="M2784" s="3" t="e">
        <f>VLOOKUP(C2784,Securities!A:B,2,FALSE)</f>
        <v>#N/A</v>
      </c>
      <c r="O2784" s="3">
        <f t="shared" si="44"/>
        <v>0</v>
      </c>
    </row>
    <row r="2785" spans="12:15" x14ac:dyDescent="0.25">
      <c r="L2785" s="3" t="e">
        <f>VLOOKUP(C2785,Securities!A:D,4,FALSE)</f>
        <v>#N/A</v>
      </c>
      <c r="M2785" s="3" t="e">
        <f>VLOOKUP(C2785,Securities!A:B,2,FALSE)</f>
        <v>#N/A</v>
      </c>
      <c r="O2785" s="3">
        <f t="shared" si="44"/>
        <v>0</v>
      </c>
    </row>
    <row r="2786" spans="12:15" x14ac:dyDescent="0.25">
      <c r="L2786" s="3" t="e">
        <f>VLOOKUP(C2786,Securities!A:D,4,FALSE)</f>
        <v>#N/A</v>
      </c>
      <c r="M2786" s="3" t="e">
        <f>VLOOKUP(C2786,Securities!A:B,2,FALSE)</f>
        <v>#N/A</v>
      </c>
      <c r="O2786" s="3">
        <f t="shared" si="44"/>
        <v>0</v>
      </c>
    </row>
    <row r="2787" spans="12:15" x14ac:dyDescent="0.25">
      <c r="L2787" s="3" t="e">
        <f>VLOOKUP(C2787,Securities!A:D,4,FALSE)</f>
        <v>#N/A</v>
      </c>
      <c r="M2787" s="3" t="e">
        <f>VLOOKUP(C2787,Securities!A:B,2,FALSE)</f>
        <v>#N/A</v>
      </c>
      <c r="O2787" s="3">
        <f t="shared" si="44"/>
        <v>0</v>
      </c>
    </row>
    <row r="2788" spans="12:15" x14ac:dyDescent="0.25">
      <c r="L2788" s="3" t="e">
        <f>VLOOKUP(C2788,Securities!A:D,4,FALSE)</f>
        <v>#N/A</v>
      </c>
      <c r="M2788" s="3" t="e">
        <f>VLOOKUP(C2788,Securities!A:B,2,FALSE)</f>
        <v>#N/A</v>
      </c>
      <c r="O2788" s="3">
        <f t="shared" si="44"/>
        <v>0</v>
      </c>
    </row>
    <row r="2789" spans="12:15" x14ac:dyDescent="0.25">
      <c r="L2789" s="3" t="e">
        <f>VLOOKUP(C2789,Securities!A:D,4,FALSE)</f>
        <v>#N/A</v>
      </c>
      <c r="M2789" s="3" t="e">
        <f>VLOOKUP(C2789,Securities!A:B,2,FALSE)</f>
        <v>#N/A</v>
      </c>
      <c r="O2789" s="3">
        <f t="shared" si="44"/>
        <v>0</v>
      </c>
    </row>
    <row r="2790" spans="12:15" x14ac:dyDescent="0.25">
      <c r="L2790" s="3" t="e">
        <f>VLOOKUP(C2790,Securities!A:D,4,FALSE)</f>
        <v>#N/A</v>
      </c>
      <c r="M2790" s="3" t="e">
        <f>VLOOKUP(C2790,Securities!A:B,2,FALSE)</f>
        <v>#N/A</v>
      </c>
      <c r="O2790" s="3">
        <f t="shared" si="44"/>
        <v>0</v>
      </c>
    </row>
    <row r="2791" spans="12:15" x14ac:dyDescent="0.25">
      <c r="L2791" s="3" t="e">
        <f>VLOOKUP(C2791,Securities!A:D,4,FALSE)</f>
        <v>#N/A</v>
      </c>
      <c r="M2791" s="3" t="e">
        <f>VLOOKUP(C2791,Securities!A:B,2,FALSE)</f>
        <v>#N/A</v>
      </c>
      <c r="O2791" s="3">
        <f t="shared" si="44"/>
        <v>0</v>
      </c>
    </row>
    <row r="2792" spans="12:15" x14ac:dyDescent="0.25">
      <c r="L2792" s="3" t="e">
        <f>VLOOKUP(C2792,Securities!A:D,4,FALSE)</f>
        <v>#N/A</v>
      </c>
      <c r="M2792" s="3" t="e">
        <f>VLOOKUP(C2792,Securities!A:B,2,FALSE)</f>
        <v>#N/A</v>
      </c>
      <c r="O2792" s="3">
        <f t="shared" si="44"/>
        <v>0</v>
      </c>
    </row>
    <row r="2793" spans="12:15" x14ac:dyDescent="0.25">
      <c r="L2793" s="3" t="e">
        <f>VLOOKUP(C2793,Securities!A:D,4,FALSE)</f>
        <v>#N/A</v>
      </c>
      <c r="M2793" s="3" t="e">
        <f>VLOOKUP(C2793,Securities!A:B,2,FALSE)</f>
        <v>#N/A</v>
      </c>
      <c r="O2793" s="3">
        <f t="shared" si="44"/>
        <v>0</v>
      </c>
    </row>
    <row r="2794" spans="12:15" x14ac:dyDescent="0.25">
      <c r="L2794" s="3" t="e">
        <f>VLOOKUP(C2794,Securities!A:D,4,FALSE)</f>
        <v>#N/A</v>
      </c>
      <c r="M2794" s="3" t="e">
        <f>VLOOKUP(C2794,Securities!A:B,2,FALSE)</f>
        <v>#N/A</v>
      </c>
      <c r="O2794" s="3">
        <f t="shared" si="44"/>
        <v>0</v>
      </c>
    </row>
    <row r="2795" spans="12:15" x14ac:dyDescent="0.25">
      <c r="L2795" s="3" t="e">
        <f>VLOOKUP(C2795,Securities!A:D,4,FALSE)</f>
        <v>#N/A</v>
      </c>
      <c r="M2795" s="3" t="e">
        <f>VLOOKUP(C2795,Securities!A:B,2,FALSE)</f>
        <v>#N/A</v>
      </c>
      <c r="O2795" s="3">
        <f t="shared" si="44"/>
        <v>0</v>
      </c>
    </row>
    <row r="2796" spans="12:15" x14ac:dyDescent="0.25">
      <c r="L2796" s="3" t="e">
        <f>VLOOKUP(C2796,Securities!A:D,4,FALSE)</f>
        <v>#N/A</v>
      </c>
      <c r="M2796" s="3" t="e">
        <f>VLOOKUP(C2796,Securities!A:B,2,FALSE)</f>
        <v>#N/A</v>
      </c>
      <c r="O2796" s="3">
        <f t="shared" si="44"/>
        <v>0</v>
      </c>
    </row>
    <row r="2797" spans="12:15" x14ac:dyDescent="0.25">
      <c r="L2797" s="3" t="e">
        <f>VLOOKUP(C2797,Securities!A:D,4,FALSE)</f>
        <v>#N/A</v>
      </c>
      <c r="M2797" s="3" t="e">
        <f>VLOOKUP(C2797,Securities!A:B,2,FALSE)</f>
        <v>#N/A</v>
      </c>
      <c r="O2797" s="3">
        <f t="shared" si="44"/>
        <v>0</v>
      </c>
    </row>
    <row r="2798" spans="12:15" x14ac:dyDescent="0.25">
      <c r="L2798" s="3" t="e">
        <f>VLOOKUP(C2798,Securities!A:D,4,FALSE)</f>
        <v>#N/A</v>
      </c>
      <c r="M2798" s="3" t="e">
        <f>VLOOKUP(C2798,Securities!A:B,2,FALSE)</f>
        <v>#N/A</v>
      </c>
      <c r="O2798" s="3">
        <f t="shared" si="44"/>
        <v>0</v>
      </c>
    </row>
    <row r="2799" spans="12:15" x14ac:dyDescent="0.25">
      <c r="L2799" s="3" t="e">
        <f>VLOOKUP(C2799,Securities!A:D,4,FALSE)</f>
        <v>#N/A</v>
      </c>
      <c r="M2799" s="3" t="e">
        <f>VLOOKUP(C2799,Securities!A:B,2,FALSE)</f>
        <v>#N/A</v>
      </c>
      <c r="O2799" s="3">
        <f t="shared" si="44"/>
        <v>0</v>
      </c>
    </row>
    <row r="2800" spans="12:15" x14ac:dyDescent="0.25">
      <c r="L2800" s="3" t="e">
        <f>VLOOKUP(C2800,Securities!A:D,4,FALSE)</f>
        <v>#N/A</v>
      </c>
      <c r="M2800" s="3" t="e">
        <f>VLOOKUP(C2800,Securities!A:B,2,FALSE)</f>
        <v>#N/A</v>
      </c>
      <c r="O2800" s="3">
        <f t="shared" si="44"/>
        <v>0</v>
      </c>
    </row>
    <row r="2801" spans="12:15" x14ac:dyDescent="0.25">
      <c r="L2801" s="3" t="e">
        <f>VLOOKUP(C2801,Securities!A:D,4,FALSE)</f>
        <v>#N/A</v>
      </c>
      <c r="M2801" s="3" t="e">
        <f>VLOOKUP(C2801,Securities!A:B,2,FALSE)</f>
        <v>#N/A</v>
      </c>
      <c r="O2801" s="3">
        <f t="shared" si="44"/>
        <v>0</v>
      </c>
    </row>
    <row r="2802" spans="12:15" x14ac:dyDescent="0.25">
      <c r="L2802" s="3" t="e">
        <f>VLOOKUP(C2802,Securities!A:D,4,FALSE)</f>
        <v>#N/A</v>
      </c>
      <c r="M2802" s="3" t="e">
        <f>VLOOKUP(C2802,Securities!A:B,2,FALSE)</f>
        <v>#N/A</v>
      </c>
      <c r="O2802" s="3">
        <f t="shared" si="44"/>
        <v>0</v>
      </c>
    </row>
    <row r="2803" spans="12:15" x14ac:dyDescent="0.25">
      <c r="L2803" s="3" t="e">
        <f>VLOOKUP(C2803,Securities!A:D,4,FALSE)</f>
        <v>#N/A</v>
      </c>
      <c r="M2803" s="3" t="e">
        <f>VLOOKUP(C2803,Securities!A:B,2,FALSE)</f>
        <v>#N/A</v>
      </c>
      <c r="O2803" s="3">
        <f t="shared" si="44"/>
        <v>0</v>
      </c>
    </row>
    <row r="2804" spans="12:15" x14ac:dyDescent="0.25">
      <c r="L2804" s="3" t="e">
        <f>VLOOKUP(C2804,Securities!A:D,4,FALSE)</f>
        <v>#N/A</v>
      </c>
      <c r="M2804" s="3" t="e">
        <f>VLOOKUP(C2804,Securities!A:B,2,FALSE)</f>
        <v>#N/A</v>
      </c>
      <c r="O2804" s="3">
        <f t="shared" si="44"/>
        <v>0</v>
      </c>
    </row>
    <row r="2805" spans="12:15" x14ac:dyDescent="0.25">
      <c r="L2805" s="3" t="e">
        <f>VLOOKUP(C2805,Securities!A:D,4,FALSE)</f>
        <v>#N/A</v>
      </c>
      <c r="M2805" s="3" t="e">
        <f>VLOOKUP(C2805,Securities!A:B,2,FALSE)</f>
        <v>#N/A</v>
      </c>
      <c r="O2805" s="3">
        <f t="shared" si="44"/>
        <v>0</v>
      </c>
    </row>
    <row r="2806" spans="12:15" x14ac:dyDescent="0.25">
      <c r="L2806" s="3" t="e">
        <f>VLOOKUP(C2806,Securities!A:D,4,FALSE)</f>
        <v>#N/A</v>
      </c>
      <c r="M2806" s="3" t="e">
        <f>VLOOKUP(C2806,Securities!A:B,2,FALSE)</f>
        <v>#N/A</v>
      </c>
      <c r="O2806" s="3">
        <f t="shared" si="44"/>
        <v>0</v>
      </c>
    </row>
    <row r="2807" spans="12:15" x14ac:dyDescent="0.25">
      <c r="L2807" s="3" t="e">
        <f>VLOOKUP(C2807,Securities!A:D,4,FALSE)</f>
        <v>#N/A</v>
      </c>
      <c r="M2807" s="3" t="e">
        <f>VLOOKUP(C2807,Securities!A:B,2,FALSE)</f>
        <v>#N/A</v>
      </c>
      <c r="O2807" s="3">
        <f t="shared" si="44"/>
        <v>0</v>
      </c>
    </row>
    <row r="2808" spans="12:15" x14ac:dyDescent="0.25">
      <c r="L2808" s="3" t="e">
        <f>VLOOKUP(C2808,Securities!A:D,4,FALSE)</f>
        <v>#N/A</v>
      </c>
      <c r="M2808" s="3" t="e">
        <f>VLOOKUP(C2808,Securities!A:B,2,FALSE)</f>
        <v>#N/A</v>
      </c>
      <c r="O2808" s="3">
        <f t="shared" si="44"/>
        <v>0</v>
      </c>
    </row>
    <row r="2809" spans="12:15" x14ac:dyDescent="0.25">
      <c r="L2809" s="3" t="e">
        <f>VLOOKUP(C2809,Securities!A:D,4,FALSE)</f>
        <v>#N/A</v>
      </c>
      <c r="M2809" s="3" t="e">
        <f>VLOOKUP(C2809,Securities!A:B,2,FALSE)</f>
        <v>#N/A</v>
      </c>
      <c r="O2809" s="3">
        <f t="shared" si="44"/>
        <v>0</v>
      </c>
    </row>
    <row r="2810" spans="12:15" x14ac:dyDescent="0.25">
      <c r="L2810" s="3" t="e">
        <f>VLOOKUP(C2810,Securities!A:D,4,FALSE)</f>
        <v>#N/A</v>
      </c>
      <c r="M2810" s="3" t="e">
        <f>VLOOKUP(C2810,Securities!A:B,2,FALSE)</f>
        <v>#N/A</v>
      </c>
      <c r="O2810" s="3">
        <f t="shared" si="44"/>
        <v>0</v>
      </c>
    </row>
    <row r="2811" spans="12:15" x14ac:dyDescent="0.25">
      <c r="L2811" s="3" t="e">
        <f>VLOOKUP(C2811,Securities!A:D,4,FALSE)</f>
        <v>#N/A</v>
      </c>
      <c r="M2811" s="3" t="e">
        <f>VLOOKUP(C2811,Securities!A:B,2,FALSE)</f>
        <v>#N/A</v>
      </c>
      <c r="O2811" s="3">
        <f t="shared" si="44"/>
        <v>0</v>
      </c>
    </row>
    <row r="2812" spans="12:15" x14ac:dyDescent="0.25">
      <c r="L2812" s="3" t="e">
        <f>VLOOKUP(C2812,Securities!A:D,4,FALSE)</f>
        <v>#N/A</v>
      </c>
      <c r="M2812" s="3" t="e">
        <f>VLOOKUP(C2812,Securities!A:B,2,FALSE)</f>
        <v>#N/A</v>
      </c>
      <c r="O2812" s="3">
        <f t="shared" si="44"/>
        <v>0</v>
      </c>
    </row>
    <row r="2813" spans="12:15" x14ac:dyDescent="0.25">
      <c r="L2813" s="3" t="e">
        <f>VLOOKUP(C2813,Securities!A:D,4,FALSE)</f>
        <v>#N/A</v>
      </c>
      <c r="M2813" s="3" t="e">
        <f>VLOOKUP(C2813,Securities!A:B,2,FALSE)</f>
        <v>#N/A</v>
      </c>
      <c r="O2813" s="3">
        <f t="shared" si="44"/>
        <v>0</v>
      </c>
    </row>
    <row r="2814" spans="12:15" x14ac:dyDescent="0.25">
      <c r="L2814" s="3" t="e">
        <f>VLOOKUP(C2814,Securities!A:D,4,FALSE)</f>
        <v>#N/A</v>
      </c>
      <c r="M2814" s="3" t="e">
        <f>VLOOKUP(C2814,Securities!A:B,2,FALSE)</f>
        <v>#N/A</v>
      </c>
      <c r="O2814" s="3">
        <f t="shared" si="44"/>
        <v>0</v>
      </c>
    </row>
    <row r="2815" spans="12:15" x14ac:dyDescent="0.25">
      <c r="L2815" s="3" t="e">
        <f>VLOOKUP(C2815,Securities!A:D,4,FALSE)</f>
        <v>#N/A</v>
      </c>
      <c r="M2815" s="3" t="e">
        <f>VLOOKUP(C2815,Securities!A:B,2,FALSE)</f>
        <v>#N/A</v>
      </c>
      <c r="O2815" s="3">
        <f t="shared" si="44"/>
        <v>0</v>
      </c>
    </row>
    <row r="2816" spans="12:15" x14ac:dyDescent="0.25">
      <c r="L2816" s="3" t="e">
        <f>VLOOKUP(C2816,Securities!A:D,4,FALSE)</f>
        <v>#N/A</v>
      </c>
      <c r="M2816" s="3" t="e">
        <f>VLOOKUP(C2816,Securities!A:B,2,FALSE)</f>
        <v>#N/A</v>
      </c>
      <c r="O2816" s="3">
        <f t="shared" si="44"/>
        <v>0</v>
      </c>
    </row>
    <row r="2817" spans="12:15" x14ac:dyDescent="0.25">
      <c r="L2817" s="3" t="e">
        <f>VLOOKUP(C2817,Securities!A:D,4,FALSE)</f>
        <v>#N/A</v>
      </c>
      <c r="M2817" s="3" t="e">
        <f>VLOOKUP(C2817,Securities!A:B,2,FALSE)</f>
        <v>#N/A</v>
      </c>
      <c r="O2817" s="3">
        <f t="shared" si="44"/>
        <v>0</v>
      </c>
    </row>
    <row r="2818" spans="12:15" x14ac:dyDescent="0.25">
      <c r="L2818" s="3" t="e">
        <f>VLOOKUP(C2818,Securities!A:D,4,FALSE)</f>
        <v>#N/A</v>
      </c>
      <c r="M2818" s="3" t="e">
        <f>VLOOKUP(C2818,Securities!A:B,2,FALSE)</f>
        <v>#N/A</v>
      </c>
      <c r="O2818" s="3">
        <f t="shared" si="44"/>
        <v>0</v>
      </c>
    </row>
    <row r="2819" spans="12:15" x14ac:dyDescent="0.25">
      <c r="L2819" s="3" t="e">
        <f>VLOOKUP(C2819,Securities!A:D,4,FALSE)</f>
        <v>#N/A</v>
      </c>
      <c r="M2819" s="3" t="e">
        <f>VLOOKUP(C2819,Securities!A:B,2,FALSE)</f>
        <v>#N/A</v>
      </c>
      <c r="O2819" s="3">
        <f t="shared" si="44"/>
        <v>0</v>
      </c>
    </row>
    <row r="2820" spans="12:15" x14ac:dyDescent="0.25">
      <c r="L2820" s="3" t="e">
        <f>VLOOKUP(C2820,Securities!A:D,4,FALSE)</f>
        <v>#N/A</v>
      </c>
      <c r="M2820" s="3" t="e">
        <f>VLOOKUP(C2820,Securities!A:B,2,FALSE)</f>
        <v>#N/A</v>
      </c>
      <c r="O2820" s="3">
        <f t="shared" si="44"/>
        <v>0</v>
      </c>
    </row>
    <row r="2821" spans="12:15" x14ac:dyDescent="0.25">
      <c r="L2821" s="3" t="e">
        <f>VLOOKUP(C2821,Securities!A:D,4,FALSE)</f>
        <v>#N/A</v>
      </c>
      <c r="M2821" s="3" t="e">
        <f>VLOOKUP(C2821,Securities!A:B,2,FALSE)</f>
        <v>#N/A</v>
      </c>
      <c r="O2821" s="3">
        <f t="shared" si="44"/>
        <v>0</v>
      </c>
    </row>
    <row r="2822" spans="12:15" x14ac:dyDescent="0.25">
      <c r="L2822" s="3" t="e">
        <f>VLOOKUP(C2822,Securities!A:D,4,FALSE)</f>
        <v>#N/A</v>
      </c>
      <c r="M2822" s="3" t="e">
        <f>VLOOKUP(C2822,Securities!A:B,2,FALSE)</f>
        <v>#N/A</v>
      </c>
      <c r="O2822" s="3">
        <f t="shared" ref="O2822:O2885" si="45">SUMIFS(E:E,C:C,C2822,B:B,B2822)</f>
        <v>0</v>
      </c>
    </row>
    <row r="2823" spans="12:15" x14ac:dyDescent="0.25">
      <c r="L2823" s="3" t="e">
        <f>VLOOKUP(C2823,Securities!A:D,4,FALSE)</f>
        <v>#N/A</v>
      </c>
      <c r="M2823" s="3" t="e">
        <f>VLOOKUP(C2823,Securities!A:B,2,FALSE)</f>
        <v>#N/A</v>
      </c>
      <c r="O2823" s="3">
        <f t="shared" si="45"/>
        <v>0</v>
      </c>
    </row>
    <row r="2824" spans="12:15" x14ac:dyDescent="0.25">
      <c r="L2824" s="3" t="e">
        <f>VLOOKUP(C2824,Securities!A:D,4,FALSE)</f>
        <v>#N/A</v>
      </c>
      <c r="M2824" s="3" t="e">
        <f>VLOOKUP(C2824,Securities!A:B,2,FALSE)</f>
        <v>#N/A</v>
      </c>
      <c r="O2824" s="3">
        <f t="shared" si="45"/>
        <v>0</v>
      </c>
    </row>
    <row r="2825" spans="12:15" x14ac:dyDescent="0.25">
      <c r="L2825" s="3" t="e">
        <f>VLOOKUP(C2825,Securities!A:D,4,FALSE)</f>
        <v>#N/A</v>
      </c>
      <c r="M2825" s="3" t="e">
        <f>VLOOKUP(C2825,Securities!A:B,2,FALSE)</f>
        <v>#N/A</v>
      </c>
      <c r="O2825" s="3">
        <f t="shared" si="45"/>
        <v>0</v>
      </c>
    </row>
    <row r="2826" spans="12:15" x14ac:dyDescent="0.25">
      <c r="L2826" s="3" t="e">
        <f>VLOOKUP(C2826,Securities!A:D,4,FALSE)</f>
        <v>#N/A</v>
      </c>
      <c r="M2826" s="3" t="e">
        <f>VLOOKUP(C2826,Securities!A:B,2,FALSE)</f>
        <v>#N/A</v>
      </c>
      <c r="O2826" s="3">
        <f t="shared" si="45"/>
        <v>0</v>
      </c>
    </row>
    <row r="2827" spans="12:15" x14ac:dyDescent="0.25">
      <c r="L2827" s="3" t="e">
        <f>VLOOKUP(C2827,Securities!A:D,4,FALSE)</f>
        <v>#N/A</v>
      </c>
      <c r="M2827" s="3" t="e">
        <f>VLOOKUP(C2827,Securities!A:B,2,FALSE)</f>
        <v>#N/A</v>
      </c>
      <c r="O2827" s="3">
        <f t="shared" si="45"/>
        <v>0</v>
      </c>
    </row>
    <row r="2828" spans="12:15" x14ac:dyDescent="0.25">
      <c r="L2828" s="3" t="e">
        <f>VLOOKUP(C2828,Securities!A:D,4,FALSE)</f>
        <v>#N/A</v>
      </c>
      <c r="M2828" s="3" t="e">
        <f>VLOOKUP(C2828,Securities!A:B,2,FALSE)</f>
        <v>#N/A</v>
      </c>
      <c r="O2828" s="3">
        <f t="shared" si="45"/>
        <v>0</v>
      </c>
    </row>
    <row r="2829" spans="12:15" x14ac:dyDescent="0.25">
      <c r="L2829" s="3" t="e">
        <f>VLOOKUP(C2829,Securities!A:D,4,FALSE)</f>
        <v>#N/A</v>
      </c>
      <c r="M2829" s="3" t="e">
        <f>VLOOKUP(C2829,Securities!A:B,2,FALSE)</f>
        <v>#N/A</v>
      </c>
      <c r="O2829" s="3">
        <f t="shared" si="45"/>
        <v>0</v>
      </c>
    </row>
    <row r="2830" spans="12:15" x14ac:dyDescent="0.25">
      <c r="L2830" s="3" t="e">
        <f>VLOOKUP(C2830,Securities!A:D,4,FALSE)</f>
        <v>#N/A</v>
      </c>
      <c r="M2830" s="3" t="e">
        <f>VLOOKUP(C2830,Securities!A:B,2,FALSE)</f>
        <v>#N/A</v>
      </c>
      <c r="O2830" s="3">
        <f t="shared" si="45"/>
        <v>0</v>
      </c>
    </row>
    <row r="2831" spans="12:15" x14ac:dyDescent="0.25">
      <c r="L2831" s="3" t="e">
        <f>VLOOKUP(C2831,Securities!A:D,4,FALSE)</f>
        <v>#N/A</v>
      </c>
      <c r="M2831" s="3" t="e">
        <f>VLOOKUP(C2831,Securities!A:B,2,FALSE)</f>
        <v>#N/A</v>
      </c>
      <c r="O2831" s="3">
        <f t="shared" si="45"/>
        <v>0</v>
      </c>
    </row>
    <row r="2832" spans="12:15" x14ac:dyDescent="0.25">
      <c r="L2832" s="3" t="e">
        <f>VLOOKUP(C2832,Securities!A:D,4,FALSE)</f>
        <v>#N/A</v>
      </c>
      <c r="M2832" s="3" t="e">
        <f>VLOOKUP(C2832,Securities!A:B,2,FALSE)</f>
        <v>#N/A</v>
      </c>
      <c r="O2832" s="3">
        <f t="shared" si="45"/>
        <v>0</v>
      </c>
    </row>
    <row r="2833" spans="12:15" x14ac:dyDescent="0.25">
      <c r="L2833" s="3" t="e">
        <f>VLOOKUP(C2833,Securities!A:D,4,FALSE)</f>
        <v>#N/A</v>
      </c>
      <c r="M2833" s="3" t="e">
        <f>VLOOKUP(C2833,Securities!A:B,2,FALSE)</f>
        <v>#N/A</v>
      </c>
      <c r="O2833" s="3">
        <f t="shared" si="45"/>
        <v>0</v>
      </c>
    </row>
    <row r="2834" spans="12:15" x14ac:dyDescent="0.25">
      <c r="L2834" s="3" t="e">
        <f>VLOOKUP(C2834,Securities!A:D,4,FALSE)</f>
        <v>#N/A</v>
      </c>
      <c r="M2834" s="3" t="e">
        <f>VLOOKUP(C2834,Securities!A:B,2,FALSE)</f>
        <v>#N/A</v>
      </c>
      <c r="O2834" s="3">
        <f t="shared" si="45"/>
        <v>0</v>
      </c>
    </row>
    <row r="2835" spans="12:15" x14ac:dyDescent="0.25">
      <c r="L2835" s="3" t="e">
        <f>VLOOKUP(C2835,Securities!A:D,4,FALSE)</f>
        <v>#N/A</v>
      </c>
      <c r="M2835" s="3" t="e">
        <f>VLOOKUP(C2835,Securities!A:B,2,FALSE)</f>
        <v>#N/A</v>
      </c>
      <c r="O2835" s="3">
        <f t="shared" si="45"/>
        <v>0</v>
      </c>
    </row>
    <row r="2836" spans="12:15" x14ac:dyDescent="0.25">
      <c r="L2836" s="3" t="e">
        <f>VLOOKUP(C2836,Securities!A:D,4,FALSE)</f>
        <v>#N/A</v>
      </c>
      <c r="M2836" s="3" t="e">
        <f>VLOOKUP(C2836,Securities!A:B,2,FALSE)</f>
        <v>#N/A</v>
      </c>
      <c r="O2836" s="3">
        <f t="shared" si="45"/>
        <v>0</v>
      </c>
    </row>
    <row r="2837" spans="12:15" x14ac:dyDescent="0.25">
      <c r="L2837" s="3" t="e">
        <f>VLOOKUP(C2837,Securities!A:D,4,FALSE)</f>
        <v>#N/A</v>
      </c>
      <c r="M2837" s="3" t="e">
        <f>VLOOKUP(C2837,Securities!A:B,2,FALSE)</f>
        <v>#N/A</v>
      </c>
      <c r="O2837" s="3">
        <f t="shared" si="45"/>
        <v>0</v>
      </c>
    </row>
    <row r="2838" spans="12:15" x14ac:dyDescent="0.25">
      <c r="L2838" s="3" t="e">
        <f>VLOOKUP(C2838,Securities!A:D,4,FALSE)</f>
        <v>#N/A</v>
      </c>
      <c r="M2838" s="3" t="e">
        <f>VLOOKUP(C2838,Securities!A:B,2,FALSE)</f>
        <v>#N/A</v>
      </c>
      <c r="O2838" s="3">
        <f t="shared" si="45"/>
        <v>0</v>
      </c>
    </row>
    <row r="2839" spans="12:15" x14ac:dyDescent="0.25">
      <c r="L2839" s="3" t="e">
        <f>VLOOKUP(C2839,Securities!A:D,4,FALSE)</f>
        <v>#N/A</v>
      </c>
      <c r="M2839" s="3" t="e">
        <f>VLOOKUP(C2839,Securities!A:B,2,FALSE)</f>
        <v>#N/A</v>
      </c>
      <c r="O2839" s="3">
        <f t="shared" si="45"/>
        <v>0</v>
      </c>
    </row>
    <row r="2840" spans="12:15" x14ac:dyDescent="0.25">
      <c r="L2840" s="3" t="e">
        <f>VLOOKUP(C2840,Securities!A:D,4,FALSE)</f>
        <v>#N/A</v>
      </c>
      <c r="M2840" s="3" t="e">
        <f>VLOOKUP(C2840,Securities!A:B,2,FALSE)</f>
        <v>#N/A</v>
      </c>
      <c r="O2840" s="3">
        <f t="shared" si="45"/>
        <v>0</v>
      </c>
    </row>
    <row r="2841" spans="12:15" x14ac:dyDescent="0.25">
      <c r="L2841" s="3" t="e">
        <f>VLOOKUP(C2841,Securities!A:D,4,FALSE)</f>
        <v>#N/A</v>
      </c>
      <c r="M2841" s="3" t="e">
        <f>VLOOKUP(C2841,Securities!A:B,2,FALSE)</f>
        <v>#N/A</v>
      </c>
      <c r="O2841" s="3">
        <f t="shared" si="45"/>
        <v>0</v>
      </c>
    </row>
    <row r="2842" spans="12:15" x14ac:dyDescent="0.25">
      <c r="L2842" s="3" t="e">
        <f>VLOOKUP(C2842,Securities!A:D,4,FALSE)</f>
        <v>#N/A</v>
      </c>
      <c r="M2842" s="3" t="e">
        <f>VLOOKUP(C2842,Securities!A:B,2,FALSE)</f>
        <v>#N/A</v>
      </c>
      <c r="O2842" s="3">
        <f t="shared" si="45"/>
        <v>0</v>
      </c>
    </row>
    <row r="2843" spans="12:15" x14ac:dyDescent="0.25">
      <c r="L2843" s="3" t="e">
        <f>VLOOKUP(C2843,Securities!A:D,4,FALSE)</f>
        <v>#N/A</v>
      </c>
      <c r="M2843" s="3" t="e">
        <f>VLOOKUP(C2843,Securities!A:B,2,FALSE)</f>
        <v>#N/A</v>
      </c>
      <c r="O2843" s="3">
        <f t="shared" si="45"/>
        <v>0</v>
      </c>
    </row>
    <row r="2844" spans="12:15" x14ac:dyDescent="0.25">
      <c r="L2844" s="3" t="e">
        <f>VLOOKUP(C2844,Securities!A:D,4,FALSE)</f>
        <v>#N/A</v>
      </c>
      <c r="M2844" s="3" t="e">
        <f>VLOOKUP(C2844,Securities!A:B,2,FALSE)</f>
        <v>#N/A</v>
      </c>
      <c r="O2844" s="3">
        <f t="shared" si="45"/>
        <v>0</v>
      </c>
    </row>
    <row r="2845" spans="12:15" x14ac:dyDescent="0.25">
      <c r="L2845" s="3" t="e">
        <f>VLOOKUP(C2845,Securities!A:D,4,FALSE)</f>
        <v>#N/A</v>
      </c>
      <c r="M2845" s="3" t="e">
        <f>VLOOKUP(C2845,Securities!A:B,2,FALSE)</f>
        <v>#N/A</v>
      </c>
      <c r="O2845" s="3">
        <f t="shared" si="45"/>
        <v>0</v>
      </c>
    </row>
    <row r="2846" spans="12:15" x14ac:dyDescent="0.25">
      <c r="L2846" s="3" t="e">
        <f>VLOOKUP(C2846,Securities!A:D,4,FALSE)</f>
        <v>#N/A</v>
      </c>
      <c r="M2846" s="3" t="e">
        <f>VLOOKUP(C2846,Securities!A:B,2,FALSE)</f>
        <v>#N/A</v>
      </c>
      <c r="O2846" s="3">
        <f t="shared" si="45"/>
        <v>0</v>
      </c>
    </row>
    <row r="2847" spans="12:15" x14ac:dyDescent="0.25">
      <c r="L2847" s="3" t="e">
        <f>VLOOKUP(C2847,Securities!A:D,4,FALSE)</f>
        <v>#N/A</v>
      </c>
      <c r="M2847" s="3" t="e">
        <f>VLOOKUP(C2847,Securities!A:B,2,FALSE)</f>
        <v>#N/A</v>
      </c>
      <c r="O2847" s="3">
        <f t="shared" si="45"/>
        <v>0</v>
      </c>
    </row>
    <row r="2848" spans="12:15" x14ac:dyDescent="0.25">
      <c r="L2848" s="3" t="e">
        <f>VLOOKUP(C2848,Securities!A:D,4,FALSE)</f>
        <v>#N/A</v>
      </c>
      <c r="M2848" s="3" t="e">
        <f>VLOOKUP(C2848,Securities!A:B,2,FALSE)</f>
        <v>#N/A</v>
      </c>
      <c r="O2848" s="3">
        <f t="shared" si="45"/>
        <v>0</v>
      </c>
    </row>
    <row r="2849" spans="12:15" x14ac:dyDescent="0.25">
      <c r="L2849" s="3" t="e">
        <f>VLOOKUP(C2849,Securities!A:D,4,FALSE)</f>
        <v>#N/A</v>
      </c>
      <c r="M2849" s="3" t="e">
        <f>VLOOKUP(C2849,Securities!A:B,2,FALSE)</f>
        <v>#N/A</v>
      </c>
      <c r="O2849" s="3">
        <f t="shared" si="45"/>
        <v>0</v>
      </c>
    </row>
    <row r="2850" spans="12:15" x14ac:dyDescent="0.25">
      <c r="L2850" s="3" t="e">
        <f>VLOOKUP(C2850,Securities!A:D,4,FALSE)</f>
        <v>#N/A</v>
      </c>
      <c r="M2850" s="3" t="e">
        <f>VLOOKUP(C2850,Securities!A:B,2,FALSE)</f>
        <v>#N/A</v>
      </c>
      <c r="O2850" s="3">
        <f t="shared" si="45"/>
        <v>0</v>
      </c>
    </row>
    <row r="2851" spans="12:15" x14ac:dyDescent="0.25">
      <c r="L2851" s="3" t="e">
        <f>VLOOKUP(C2851,Securities!A:D,4,FALSE)</f>
        <v>#N/A</v>
      </c>
      <c r="M2851" s="3" t="e">
        <f>VLOOKUP(C2851,Securities!A:B,2,FALSE)</f>
        <v>#N/A</v>
      </c>
      <c r="O2851" s="3">
        <f t="shared" si="45"/>
        <v>0</v>
      </c>
    </row>
    <row r="2852" spans="12:15" x14ac:dyDescent="0.25">
      <c r="L2852" s="3" t="e">
        <f>VLOOKUP(C2852,Securities!A:D,4,FALSE)</f>
        <v>#N/A</v>
      </c>
      <c r="M2852" s="3" t="e">
        <f>VLOOKUP(C2852,Securities!A:B,2,FALSE)</f>
        <v>#N/A</v>
      </c>
      <c r="O2852" s="3">
        <f t="shared" si="45"/>
        <v>0</v>
      </c>
    </row>
    <row r="2853" spans="12:15" x14ac:dyDescent="0.25">
      <c r="L2853" s="3" t="e">
        <f>VLOOKUP(C2853,Securities!A:D,4,FALSE)</f>
        <v>#N/A</v>
      </c>
      <c r="M2853" s="3" t="e">
        <f>VLOOKUP(C2853,Securities!A:B,2,FALSE)</f>
        <v>#N/A</v>
      </c>
      <c r="O2853" s="3">
        <f t="shared" si="45"/>
        <v>0</v>
      </c>
    </row>
    <row r="2854" spans="12:15" x14ac:dyDescent="0.25">
      <c r="L2854" s="3" t="e">
        <f>VLOOKUP(C2854,Securities!A:D,4,FALSE)</f>
        <v>#N/A</v>
      </c>
      <c r="M2854" s="3" t="e">
        <f>VLOOKUP(C2854,Securities!A:B,2,FALSE)</f>
        <v>#N/A</v>
      </c>
      <c r="O2854" s="3">
        <f t="shared" si="45"/>
        <v>0</v>
      </c>
    </row>
    <row r="2855" spans="12:15" x14ac:dyDescent="0.25">
      <c r="L2855" s="3" t="e">
        <f>VLOOKUP(C2855,Securities!A:D,4,FALSE)</f>
        <v>#N/A</v>
      </c>
      <c r="M2855" s="3" t="e">
        <f>VLOOKUP(C2855,Securities!A:B,2,FALSE)</f>
        <v>#N/A</v>
      </c>
      <c r="O2855" s="3">
        <f t="shared" si="45"/>
        <v>0</v>
      </c>
    </row>
    <row r="2856" spans="12:15" x14ac:dyDescent="0.25">
      <c r="L2856" s="3" t="e">
        <f>VLOOKUP(C2856,Securities!A:D,4,FALSE)</f>
        <v>#N/A</v>
      </c>
      <c r="M2856" s="3" t="e">
        <f>VLOOKUP(C2856,Securities!A:B,2,FALSE)</f>
        <v>#N/A</v>
      </c>
      <c r="O2856" s="3">
        <f t="shared" si="45"/>
        <v>0</v>
      </c>
    </row>
    <row r="2857" spans="12:15" x14ac:dyDescent="0.25">
      <c r="L2857" s="3" t="e">
        <f>VLOOKUP(C2857,Securities!A:D,4,FALSE)</f>
        <v>#N/A</v>
      </c>
      <c r="M2857" s="3" t="e">
        <f>VLOOKUP(C2857,Securities!A:B,2,FALSE)</f>
        <v>#N/A</v>
      </c>
      <c r="O2857" s="3">
        <f t="shared" si="45"/>
        <v>0</v>
      </c>
    </row>
    <row r="2858" spans="12:15" x14ac:dyDescent="0.25">
      <c r="L2858" s="3" t="e">
        <f>VLOOKUP(C2858,Securities!A:D,4,FALSE)</f>
        <v>#N/A</v>
      </c>
      <c r="M2858" s="3" t="e">
        <f>VLOOKUP(C2858,Securities!A:B,2,FALSE)</f>
        <v>#N/A</v>
      </c>
      <c r="O2858" s="3">
        <f t="shared" si="45"/>
        <v>0</v>
      </c>
    </row>
    <row r="2859" spans="12:15" x14ac:dyDescent="0.25">
      <c r="L2859" s="3" t="e">
        <f>VLOOKUP(C2859,Securities!A:D,4,FALSE)</f>
        <v>#N/A</v>
      </c>
      <c r="M2859" s="3" t="e">
        <f>VLOOKUP(C2859,Securities!A:B,2,FALSE)</f>
        <v>#N/A</v>
      </c>
      <c r="O2859" s="3">
        <f t="shared" si="45"/>
        <v>0</v>
      </c>
    </row>
    <row r="2860" spans="12:15" x14ac:dyDescent="0.25">
      <c r="L2860" s="3" t="e">
        <f>VLOOKUP(C2860,Securities!A:D,4,FALSE)</f>
        <v>#N/A</v>
      </c>
      <c r="M2860" s="3" t="e">
        <f>VLOOKUP(C2860,Securities!A:B,2,FALSE)</f>
        <v>#N/A</v>
      </c>
      <c r="O2860" s="3">
        <f t="shared" si="45"/>
        <v>0</v>
      </c>
    </row>
    <row r="2861" spans="12:15" x14ac:dyDescent="0.25">
      <c r="L2861" s="3" t="e">
        <f>VLOOKUP(C2861,Securities!A:D,4,FALSE)</f>
        <v>#N/A</v>
      </c>
      <c r="M2861" s="3" t="e">
        <f>VLOOKUP(C2861,Securities!A:B,2,FALSE)</f>
        <v>#N/A</v>
      </c>
      <c r="O2861" s="3">
        <f t="shared" si="45"/>
        <v>0</v>
      </c>
    </row>
    <row r="2862" spans="12:15" x14ac:dyDescent="0.25">
      <c r="L2862" s="3" t="e">
        <f>VLOOKUP(C2862,Securities!A:D,4,FALSE)</f>
        <v>#N/A</v>
      </c>
      <c r="M2862" s="3" t="e">
        <f>VLOOKUP(C2862,Securities!A:B,2,FALSE)</f>
        <v>#N/A</v>
      </c>
      <c r="O2862" s="3">
        <f t="shared" si="45"/>
        <v>0</v>
      </c>
    </row>
    <row r="2863" spans="12:15" x14ac:dyDescent="0.25">
      <c r="L2863" s="3" t="e">
        <f>VLOOKUP(C2863,Securities!A:D,4,FALSE)</f>
        <v>#N/A</v>
      </c>
      <c r="M2863" s="3" t="e">
        <f>VLOOKUP(C2863,Securities!A:B,2,FALSE)</f>
        <v>#N/A</v>
      </c>
      <c r="O2863" s="3">
        <f t="shared" si="45"/>
        <v>0</v>
      </c>
    </row>
    <row r="2864" spans="12:15" x14ac:dyDescent="0.25">
      <c r="L2864" s="3" t="e">
        <f>VLOOKUP(C2864,Securities!A:D,4,FALSE)</f>
        <v>#N/A</v>
      </c>
      <c r="M2864" s="3" t="e">
        <f>VLOOKUP(C2864,Securities!A:B,2,FALSE)</f>
        <v>#N/A</v>
      </c>
      <c r="O2864" s="3">
        <f t="shared" si="45"/>
        <v>0</v>
      </c>
    </row>
    <row r="2865" spans="12:15" x14ac:dyDescent="0.25">
      <c r="L2865" s="3" t="e">
        <f>VLOOKUP(C2865,Securities!A:D,4,FALSE)</f>
        <v>#N/A</v>
      </c>
      <c r="M2865" s="3" t="e">
        <f>VLOOKUP(C2865,Securities!A:B,2,FALSE)</f>
        <v>#N/A</v>
      </c>
      <c r="O2865" s="3">
        <f t="shared" si="45"/>
        <v>0</v>
      </c>
    </row>
    <row r="2866" spans="12:15" x14ac:dyDescent="0.25">
      <c r="L2866" s="3" t="e">
        <f>VLOOKUP(C2866,Securities!A:D,4,FALSE)</f>
        <v>#N/A</v>
      </c>
      <c r="M2866" s="3" t="e">
        <f>VLOOKUP(C2866,Securities!A:B,2,FALSE)</f>
        <v>#N/A</v>
      </c>
      <c r="O2866" s="3">
        <f t="shared" si="45"/>
        <v>0</v>
      </c>
    </row>
    <row r="2867" spans="12:15" x14ac:dyDescent="0.25">
      <c r="L2867" s="3" t="e">
        <f>VLOOKUP(C2867,Securities!A:D,4,FALSE)</f>
        <v>#N/A</v>
      </c>
      <c r="M2867" s="3" t="e">
        <f>VLOOKUP(C2867,Securities!A:B,2,FALSE)</f>
        <v>#N/A</v>
      </c>
      <c r="O2867" s="3">
        <f t="shared" si="45"/>
        <v>0</v>
      </c>
    </row>
    <row r="2868" spans="12:15" x14ac:dyDescent="0.25">
      <c r="L2868" s="3" t="e">
        <f>VLOOKUP(C2868,Securities!A:D,4,FALSE)</f>
        <v>#N/A</v>
      </c>
      <c r="M2868" s="3" t="e">
        <f>VLOOKUP(C2868,Securities!A:B,2,FALSE)</f>
        <v>#N/A</v>
      </c>
      <c r="O2868" s="3">
        <f t="shared" si="45"/>
        <v>0</v>
      </c>
    </row>
    <row r="2869" spans="12:15" x14ac:dyDescent="0.25">
      <c r="L2869" s="3" t="e">
        <f>VLOOKUP(C2869,Securities!A:D,4,FALSE)</f>
        <v>#N/A</v>
      </c>
      <c r="M2869" s="3" t="e">
        <f>VLOOKUP(C2869,Securities!A:B,2,FALSE)</f>
        <v>#N/A</v>
      </c>
      <c r="O2869" s="3">
        <f t="shared" si="45"/>
        <v>0</v>
      </c>
    </row>
    <row r="2870" spans="12:15" x14ac:dyDescent="0.25">
      <c r="L2870" s="3" t="e">
        <f>VLOOKUP(C2870,Securities!A:D,4,FALSE)</f>
        <v>#N/A</v>
      </c>
      <c r="M2870" s="3" t="e">
        <f>VLOOKUP(C2870,Securities!A:B,2,FALSE)</f>
        <v>#N/A</v>
      </c>
      <c r="O2870" s="3">
        <f t="shared" si="45"/>
        <v>0</v>
      </c>
    </row>
    <row r="2871" spans="12:15" x14ac:dyDescent="0.25">
      <c r="L2871" s="3" t="e">
        <f>VLOOKUP(C2871,Securities!A:D,4,FALSE)</f>
        <v>#N/A</v>
      </c>
      <c r="M2871" s="3" t="e">
        <f>VLOOKUP(C2871,Securities!A:B,2,FALSE)</f>
        <v>#N/A</v>
      </c>
      <c r="O2871" s="3">
        <f t="shared" si="45"/>
        <v>0</v>
      </c>
    </row>
    <row r="2872" spans="12:15" x14ac:dyDescent="0.25">
      <c r="L2872" s="3" t="e">
        <f>VLOOKUP(C2872,Securities!A:D,4,FALSE)</f>
        <v>#N/A</v>
      </c>
      <c r="M2872" s="3" t="e">
        <f>VLOOKUP(C2872,Securities!A:B,2,FALSE)</f>
        <v>#N/A</v>
      </c>
      <c r="O2872" s="3">
        <f t="shared" si="45"/>
        <v>0</v>
      </c>
    </row>
    <row r="2873" spans="12:15" x14ac:dyDescent="0.25">
      <c r="L2873" s="3" t="e">
        <f>VLOOKUP(C2873,Securities!A:D,4,FALSE)</f>
        <v>#N/A</v>
      </c>
      <c r="M2873" s="3" t="e">
        <f>VLOOKUP(C2873,Securities!A:B,2,FALSE)</f>
        <v>#N/A</v>
      </c>
      <c r="O2873" s="3">
        <f t="shared" si="45"/>
        <v>0</v>
      </c>
    </row>
    <row r="2874" spans="12:15" x14ac:dyDescent="0.25">
      <c r="L2874" s="3" t="e">
        <f>VLOOKUP(C2874,Securities!A:D,4,FALSE)</f>
        <v>#N/A</v>
      </c>
      <c r="M2874" s="3" t="e">
        <f>VLOOKUP(C2874,Securities!A:B,2,FALSE)</f>
        <v>#N/A</v>
      </c>
      <c r="O2874" s="3">
        <f t="shared" si="45"/>
        <v>0</v>
      </c>
    </row>
    <row r="2875" spans="12:15" x14ac:dyDescent="0.25">
      <c r="L2875" s="3" t="e">
        <f>VLOOKUP(C2875,Securities!A:D,4,FALSE)</f>
        <v>#N/A</v>
      </c>
      <c r="M2875" s="3" t="e">
        <f>VLOOKUP(C2875,Securities!A:B,2,FALSE)</f>
        <v>#N/A</v>
      </c>
      <c r="O2875" s="3">
        <f t="shared" si="45"/>
        <v>0</v>
      </c>
    </row>
    <row r="2876" spans="12:15" x14ac:dyDescent="0.25">
      <c r="L2876" s="3" t="e">
        <f>VLOOKUP(C2876,Securities!A:D,4,FALSE)</f>
        <v>#N/A</v>
      </c>
      <c r="M2876" s="3" t="e">
        <f>VLOOKUP(C2876,Securities!A:B,2,FALSE)</f>
        <v>#N/A</v>
      </c>
      <c r="O2876" s="3">
        <f t="shared" si="45"/>
        <v>0</v>
      </c>
    </row>
    <row r="2877" spans="12:15" x14ac:dyDescent="0.25">
      <c r="L2877" s="3" t="e">
        <f>VLOOKUP(C2877,Securities!A:D,4,FALSE)</f>
        <v>#N/A</v>
      </c>
      <c r="M2877" s="3" t="e">
        <f>VLOOKUP(C2877,Securities!A:B,2,FALSE)</f>
        <v>#N/A</v>
      </c>
      <c r="O2877" s="3">
        <f t="shared" si="45"/>
        <v>0</v>
      </c>
    </row>
    <row r="2878" spans="12:15" x14ac:dyDescent="0.25">
      <c r="L2878" s="3" t="e">
        <f>VLOOKUP(C2878,Securities!A:D,4,FALSE)</f>
        <v>#N/A</v>
      </c>
      <c r="M2878" s="3" t="e">
        <f>VLOOKUP(C2878,Securities!A:B,2,FALSE)</f>
        <v>#N/A</v>
      </c>
      <c r="O2878" s="3">
        <f t="shared" si="45"/>
        <v>0</v>
      </c>
    </row>
    <row r="2879" spans="12:15" x14ac:dyDescent="0.25">
      <c r="L2879" s="3" t="e">
        <f>VLOOKUP(C2879,Securities!A:D,4,FALSE)</f>
        <v>#N/A</v>
      </c>
      <c r="M2879" s="3" t="e">
        <f>VLOOKUP(C2879,Securities!A:B,2,FALSE)</f>
        <v>#N/A</v>
      </c>
      <c r="O2879" s="3">
        <f t="shared" si="45"/>
        <v>0</v>
      </c>
    </row>
    <row r="2880" spans="12:15" x14ac:dyDescent="0.25">
      <c r="L2880" s="3" t="e">
        <f>VLOOKUP(C2880,Securities!A:D,4,FALSE)</f>
        <v>#N/A</v>
      </c>
      <c r="M2880" s="3" t="e">
        <f>VLOOKUP(C2880,Securities!A:B,2,FALSE)</f>
        <v>#N/A</v>
      </c>
      <c r="O2880" s="3">
        <f t="shared" si="45"/>
        <v>0</v>
      </c>
    </row>
    <row r="2881" spans="12:15" x14ac:dyDescent="0.25">
      <c r="L2881" s="3" t="e">
        <f>VLOOKUP(C2881,Securities!A:D,4,FALSE)</f>
        <v>#N/A</v>
      </c>
      <c r="M2881" s="3" t="e">
        <f>VLOOKUP(C2881,Securities!A:B,2,FALSE)</f>
        <v>#N/A</v>
      </c>
      <c r="O2881" s="3">
        <f t="shared" si="45"/>
        <v>0</v>
      </c>
    </row>
    <row r="2882" spans="12:15" x14ac:dyDescent="0.25">
      <c r="L2882" s="3" t="e">
        <f>VLOOKUP(C2882,Securities!A:D,4,FALSE)</f>
        <v>#N/A</v>
      </c>
      <c r="M2882" s="3" t="e">
        <f>VLOOKUP(C2882,Securities!A:B,2,FALSE)</f>
        <v>#N/A</v>
      </c>
      <c r="O2882" s="3">
        <f t="shared" si="45"/>
        <v>0</v>
      </c>
    </row>
    <row r="2883" spans="12:15" x14ac:dyDescent="0.25">
      <c r="L2883" s="3" t="e">
        <f>VLOOKUP(C2883,Securities!A:D,4,FALSE)</f>
        <v>#N/A</v>
      </c>
      <c r="M2883" s="3" t="e">
        <f>VLOOKUP(C2883,Securities!A:B,2,FALSE)</f>
        <v>#N/A</v>
      </c>
      <c r="O2883" s="3">
        <f t="shared" si="45"/>
        <v>0</v>
      </c>
    </row>
    <row r="2884" spans="12:15" x14ac:dyDescent="0.25">
      <c r="L2884" s="3" t="e">
        <f>VLOOKUP(C2884,Securities!A:D,4,FALSE)</f>
        <v>#N/A</v>
      </c>
      <c r="M2884" s="3" t="e">
        <f>VLOOKUP(C2884,Securities!A:B,2,FALSE)</f>
        <v>#N/A</v>
      </c>
      <c r="O2884" s="3">
        <f t="shared" si="45"/>
        <v>0</v>
      </c>
    </row>
    <row r="2885" spans="12:15" x14ac:dyDescent="0.25">
      <c r="L2885" s="3" t="e">
        <f>VLOOKUP(C2885,Securities!A:D,4,FALSE)</f>
        <v>#N/A</v>
      </c>
      <c r="M2885" s="3" t="e">
        <f>VLOOKUP(C2885,Securities!A:B,2,FALSE)</f>
        <v>#N/A</v>
      </c>
      <c r="O2885" s="3">
        <f t="shared" si="45"/>
        <v>0</v>
      </c>
    </row>
    <row r="2886" spans="12:15" x14ac:dyDescent="0.25">
      <c r="L2886" s="3" t="e">
        <f>VLOOKUP(C2886,Securities!A:D,4,FALSE)</f>
        <v>#N/A</v>
      </c>
      <c r="M2886" s="3" t="e">
        <f>VLOOKUP(C2886,Securities!A:B,2,FALSE)</f>
        <v>#N/A</v>
      </c>
      <c r="O2886" s="3">
        <f t="shared" ref="O2886:O2949" si="46">SUMIFS(E:E,C:C,C2886,B:B,B2886)</f>
        <v>0</v>
      </c>
    </row>
    <row r="2887" spans="12:15" x14ac:dyDescent="0.25">
      <c r="L2887" s="3" t="e">
        <f>VLOOKUP(C2887,Securities!A:D,4,FALSE)</f>
        <v>#N/A</v>
      </c>
      <c r="M2887" s="3" t="e">
        <f>VLOOKUP(C2887,Securities!A:B,2,FALSE)</f>
        <v>#N/A</v>
      </c>
      <c r="O2887" s="3">
        <f t="shared" si="46"/>
        <v>0</v>
      </c>
    </row>
    <row r="2888" spans="12:15" x14ac:dyDescent="0.25">
      <c r="L2888" s="3" t="e">
        <f>VLOOKUP(C2888,Securities!A:D,4,FALSE)</f>
        <v>#N/A</v>
      </c>
      <c r="M2888" s="3" t="e">
        <f>VLOOKUP(C2888,Securities!A:B,2,FALSE)</f>
        <v>#N/A</v>
      </c>
      <c r="O2888" s="3">
        <f t="shared" si="46"/>
        <v>0</v>
      </c>
    </row>
    <row r="2889" spans="12:15" x14ac:dyDescent="0.25">
      <c r="L2889" s="3" t="e">
        <f>VLOOKUP(C2889,Securities!A:D,4,FALSE)</f>
        <v>#N/A</v>
      </c>
      <c r="M2889" s="3" t="e">
        <f>VLOOKUP(C2889,Securities!A:B,2,FALSE)</f>
        <v>#N/A</v>
      </c>
      <c r="O2889" s="3">
        <f t="shared" si="46"/>
        <v>0</v>
      </c>
    </row>
    <row r="2890" spans="12:15" x14ac:dyDescent="0.25">
      <c r="L2890" s="3" t="e">
        <f>VLOOKUP(C2890,Securities!A:D,4,FALSE)</f>
        <v>#N/A</v>
      </c>
      <c r="M2890" s="3" t="e">
        <f>VLOOKUP(C2890,Securities!A:B,2,FALSE)</f>
        <v>#N/A</v>
      </c>
      <c r="O2890" s="3">
        <f t="shared" si="46"/>
        <v>0</v>
      </c>
    </row>
    <row r="2891" spans="12:15" x14ac:dyDescent="0.25">
      <c r="L2891" s="3" t="e">
        <f>VLOOKUP(C2891,Securities!A:D,4,FALSE)</f>
        <v>#N/A</v>
      </c>
      <c r="M2891" s="3" t="e">
        <f>VLOOKUP(C2891,Securities!A:B,2,FALSE)</f>
        <v>#N/A</v>
      </c>
      <c r="O2891" s="3">
        <f t="shared" si="46"/>
        <v>0</v>
      </c>
    </row>
    <row r="2892" spans="12:15" x14ac:dyDescent="0.25">
      <c r="L2892" s="3" t="e">
        <f>VLOOKUP(C2892,Securities!A:D,4,FALSE)</f>
        <v>#N/A</v>
      </c>
      <c r="M2892" s="3" t="e">
        <f>VLOOKUP(C2892,Securities!A:B,2,FALSE)</f>
        <v>#N/A</v>
      </c>
      <c r="O2892" s="3">
        <f t="shared" si="46"/>
        <v>0</v>
      </c>
    </row>
    <row r="2893" spans="12:15" x14ac:dyDescent="0.25">
      <c r="L2893" s="3" t="e">
        <f>VLOOKUP(C2893,Securities!A:D,4,FALSE)</f>
        <v>#N/A</v>
      </c>
      <c r="M2893" s="3" t="e">
        <f>VLOOKUP(C2893,Securities!A:B,2,FALSE)</f>
        <v>#N/A</v>
      </c>
      <c r="O2893" s="3">
        <f t="shared" si="46"/>
        <v>0</v>
      </c>
    </row>
    <row r="2894" spans="12:15" x14ac:dyDescent="0.25">
      <c r="L2894" s="3" t="e">
        <f>VLOOKUP(C2894,Securities!A:D,4,FALSE)</f>
        <v>#N/A</v>
      </c>
      <c r="M2894" s="3" t="e">
        <f>VLOOKUP(C2894,Securities!A:B,2,FALSE)</f>
        <v>#N/A</v>
      </c>
      <c r="O2894" s="3">
        <f t="shared" si="46"/>
        <v>0</v>
      </c>
    </row>
    <row r="2895" spans="12:15" x14ac:dyDescent="0.25">
      <c r="L2895" s="3" t="e">
        <f>VLOOKUP(C2895,Securities!A:D,4,FALSE)</f>
        <v>#N/A</v>
      </c>
      <c r="M2895" s="3" t="e">
        <f>VLOOKUP(C2895,Securities!A:B,2,FALSE)</f>
        <v>#N/A</v>
      </c>
      <c r="O2895" s="3">
        <f t="shared" si="46"/>
        <v>0</v>
      </c>
    </row>
    <row r="2896" spans="12:15" x14ac:dyDescent="0.25">
      <c r="L2896" s="3" t="e">
        <f>VLOOKUP(C2896,Securities!A:D,4,FALSE)</f>
        <v>#N/A</v>
      </c>
      <c r="M2896" s="3" t="e">
        <f>VLOOKUP(C2896,Securities!A:B,2,FALSE)</f>
        <v>#N/A</v>
      </c>
      <c r="O2896" s="3">
        <f t="shared" si="46"/>
        <v>0</v>
      </c>
    </row>
    <row r="2897" spans="12:15" x14ac:dyDescent="0.25">
      <c r="L2897" s="3" t="e">
        <f>VLOOKUP(C2897,Securities!A:D,4,FALSE)</f>
        <v>#N/A</v>
      </c>
      <c r="M2897" s="3" t="e">
        <f>VLOOKUP(C2897,Securities!A:B,2,FALSE)</f>
        <v>#N/A</v>
      </c>
      <c r="O2897" s="3">
        <f t="shared" si="46"/>
        <v>0</v>
      </c>
    </row>
    <row r="2898" spans="12:15" x14ac:dyDescent="0.25">
      <c r="L2898" s="3" t="e">
        <f>VLOOKUP(C2898,Securities!A:D,4,FALSE)</f>
        <v>#N/A</v>
      </c>
      <c r="M2898" s="3" t="e">
        <f>VLOOKUP(C2898,Securities!A:B,2,FALSE)</f>
        <v>#N/A</v>
      </c>
      <c r="O2898" s="3">
        <f t="shared" si="46"/>
        <v>0</v>
      </c>
    </row>
    <row r="2899" spans="12:15" x14ac:dyDescent="0.25">
      <c r="L2899" s="3" t="e">
        <f>VLOOKUP(C2899,Securities!A:D,4,FALSE)</f>
        <v>#N/A</v>
      </c>
      <c r="M2899" s="3" t="e">
        <f>VLOOKUP(C2899,Securities!A:B,2,FALSE)</f>
        <v>#N/A</v>
      </c>
      <c r="O2899" s="3">
        <f t="shared" si="46"/>
        <v>0</v>
      </c>
    </row>
    <row r="2900" spans="12:15" x14ac:dyDescent="0.25">
      <c r="L2900" s="3" t="e">
        <f>VLOOKUP(C2900,Securities!A:D,4,FALSE)</f>
        <v>#N/A</v>
      </c>
      <c r="M2900" s="3" t="e">
        <f>VLOOKUP(C2900,Securities!A:B,2,FALSE)</f>
        <v>#N/A</v>
      </c>
      <c r="O2900" s="3">
        <f t="shared" si="46"/>
        <v>0</v>
      </c>
    </row>
    <row r="2901" spans="12:15" x14ac:dyDescent="0.25">
      <c r="L2901" s="3" t="e">
        <f>VLOOKUP(C2901,Securities!A:D,4,FALSE)</f>
        <v>#N/A</v>
      </c>
      <c r="M2901" s="3" t="e">
        <f>VLOOKUP(C2901,Securities!A:B,2,FALSE)</f>
        <v>#N/A</v>
      </c>
      <c r="O2901" s="3">
        <f t="shared" si="46"/>
        <v>0</v>
      </c>
    </row>
    <row r="2902" spans="12:15" x14ac:dyDescent="0.25">
      <c r="L2902" s="3" t="e">
        <f>VLOOKUP(C2902,Securities!A:D,4,FALSE)</f>
        <v>#N/A</v>
      </c>
      <c r="M2902" s="3" t="e">
        <f>VLOOKUP(C2902,Securities!A:B,2,FALSE)</f>
        <v>#N/A</v>
      </c>
      <c r="O2902" s="3">
        <f t="shared" si="46"/>
        <v>0</v>
      </c>
    </row>
    <row r="2903" spans="12:15" x14ac:dyDescent="0.25">
      <c r="L2903" s="3" t="e">
        <f>VLOOKUP(C2903,Securities!A:D,4,FALSE)</f>
        <v>#N/A</v>
      </c>
      <c r="M2903" s="3" t="e">
        <f>VLOOKUP(C2903,Securities!A:B,2,FALSE)</f>
        <v>#N/A</v>
      </c>
      <c r="O2903" s="3">
        <f t="shared" si="46"/>
        <v>0</v>
      </c>
    </row>
    <row r="2904" spans="12:15" x14ac:dyDescent="0.25">
      <c r="L2904" s="3" t="e">
        <f>VLOOKUP(C2904,Securities!A:D,4,FALSE)</f>
        <v>#N/A</v>
      </c>
      <c r="M2904" s="3" t="e">
        <f>VLOOKUP(C2904,Securities!A:B,2,FALSE)</f>
        <v>#N/A</v>
      </c>
      <c r="O2904" s="3">
        <f t="shared" si="46"/>
        <v>0</v>
      </c>
    </row>
    <row r="2905" spans="12:15" x14ac:dyDescent="0.25">
      <c r="L2905" s="3" t="e">
        <f>VLOOKUP(C2905,Securities!A:D,4,FALSE)</f>
        <v>#N/A</v>
      </c>
      <c r="M2905" s="3" t="e">
        <f>VLOOKUP(C2905,Securities!A:B,2,FALSE)</f>
        <v>#N/A</v>
      </c>
      <c r="O2905" s="3">
        <f t="shared" si="46"/>
        <v>0</v>
      </c>
    </row>
    <row r="2906" spans="12:15" x14ac:dyDescent="0.25">
      <c r="L2906" s="3" t="e">
        <f>VLOOKUP(C2906,Securities!A:D,4,FALSE)</f>
        <v>#N/A</v>
      </c>
      <c r="M2906" s="3" t="e">
        <f>VLOOKUP(C2906,Securities!A:B,2,FALSE)</f>
        <v>#N/A</v>
      </c>
      <c r="O2906" s="3">
        <f t="shared" si="46"/>
        <v>0</v>
      </c>
    </row>
    <row r="2907" spans="12:15" x14ac:dyDescent="0.25">
      <c r="L2907" s="3" t="e">
        <f>VLOOKUP(C2907,Securities!A:D,4,FALSE)</f>
        <v>#N/A</v>
      </c>
      <c r="M2907" s="3" t="e">
        <f>VLOOKUP(C2907,Securities!A:B,2,FALSE)</f>
        <v>#N/A</v>
      </c>
      <c r="O2907" s="3">
        <f t="shared" si="46"/>
        <v>0</v>
      </c>
    </row>
    <row r="2908" spans="12:15" x14ac:dyDescent="0.25">
      <c r="L2908" s="3" t="e">
        <f>VLOOKUP(C2908,Securities!A:D,4,FALSE)</f>
        <v>#N/A</v>
      </c>
      <c r="M2908" s="3" t="e">
        <f>VLOOKUP(C2908,Securities!A:B,2,FALSE)</f>
        <v>#N/A</v>
      </c>
      <c r="O2908" s="3">
        <f t="shared" si="46"/>
        <v>0</v>
      </c>
    </row>
    <row r="2909" spans="12:15" x14ac:dyDescent="0.25">
      <c r="L2909" s="3" t="e">
        <f>VLOOKUP(C2909,Securities!A:D,4,FALSE)</f>
        <v>#N/A</v>
      </c>
      <c r="M2909" s="3" t="e">
        <f>VLOOKUP(C2909,Securities!A:B,2,FALSE)</f>
        <v>#N/A</v>
      </c>
      <c r="O2909" s="3">
        <f t="shared" si="46"/>
        <v>0</v>
      </c>
    </row>
    <row r="2910" spans="12:15" x14ac:dyDescent="0.25">
      <c r="L2910" s="3" t="e">
        <f>VLOOKUP(C2910,Securities!A:D,4,FALSE)</f>
        <v>#N/A</v>
      </c>
      <c r="M2910" s="3" t="e">
        <f>VLOOKUP(C2910,Securities!A:B,2,FALSE)</f>
        <v>#N/A</v>
      </c>
      <c r="O2910" s="3">
        <f t="shared" si="46"/>
        <v>0</v>
      </c>
    </row>
    <row r="2911" spans="12:15" x14ac:dyDescent="0.25">
      <c r="L2911" s="3" t="e">
        <f>VLOOKUP(C2911,Securities!A:D,4,FALSE)</f>
        <v>#N/A</v>
      </c>
      <c r="M2911" s="3" t="e">
        <f>VLOOKUP(C2911,Securities!A:B,2,FALSE)</f>
        <v>#N/A</v>
      </c>
      <c r="O2911" s="3">
        <f t="shared" si="46"/>
        <v>0</v>
      </c>
    </row>
    <row r="2912" spans="12:15" x14ac:dyDescent="0.25">
      <c r="L2912" s="3" t="e">
        <f>VLOOKUP(C2912,Securities!A:D,4,FALSE)</f>
        <v>#N/A</v>
      </c>
      <c r="M2912" s="3" t="e">
        <f>VLOOKUP(C2912,Securities!A:B,2,FALSE)</f>
        <v>#N/A</v>
      </c>
      <c r="O2912" s="3">
        <f t="shared" si="46"/>
        <v>0</v>
      </c>
    </row>
    <row r="2913" spans="12:15" x14ac:dyDescent="0.25">
      <c r="L2913" s="3" t="e">
        <f>VLOOKUP(C2913,Securities!A:D,4,FALSE)</f>
        <v>#N/A</v>
      </c>
      <c r="M2913" s="3" t="e">
        <f>VLOOKUP(C2913,Securities!A:B,2,FALSE)</f>
        <v>#N/A</v>
      </c>
      <c r="O2913" s="3">
        <f t="shared" si="46"/>
        <v>0</v>
      </c>
    </row>
    <row r="2914" spans="12:15" x14ac:dyDescent="0.25">
      <c r="L2914" s="3" t="e">
        <f>VLOOKUP(C2914,Securities!A:D,4,FALSE)</f>
        <v>#N/A</v>
      </c>
      <c r="M2914" s="3" t="e">
        <f>VLOOKUP(C2914,Securities!A:B,2,FALSE)</f>
        <v>#N/A</v>
      </c>
      <c r="O2914" s="3">
        <f t="shared" si="46"/>
        <v>0</v>
      </c>
    </row>
    <row r="2915" spans="12:15" x14ac:dyDescent="0.25">
      <c r="L2915" s="3" t="e">
        <f>VLOOKUP(C2915,Securities!A:D,4,FALSE)</f>
        <v>#N/A</v>
      </c>
      <c r="M2915" s="3" t="e">
        <f>VLOOKUP(C2915,Securities!A:B,2,FALSE)</f>
        <v>#N/A</v>
      </c>
      <c r="O2915" s="3">
        <f t="shared" si="46"/>
        <v>0</v>
      </c>
    </row>
    <row r="2916" spans="12:15" x14ac:dyDescent="0.25">
      <c r="L2916" s="3" t="e">
        <f>VLOOKUP(C2916,Securities!A:D,4,FALSE)</f>
        <v>#N/A</v>
      </c>
      <c r="M2916" s="3" t="e">
        <f>VLOOKUP(C2916,Securities!A:B,2,FALSE)</f>
        <v>#N/A</v>
      </c>
      <c r="O2916" s="3">
        <f t="shared" si="46"/>
        <v>0</v>
      </c>
    </row>
    <row r="2917" spans="12:15" x14ac:dyDescent="0.25">
      <c r="L2917" s="3" t="e">
        <f>VLOOKUP(C2917,Securities!A:D,4,FALSE)</f>
        <v>#N/A</v>
      </c>
      <c r="M2917" s="3" t="e">
        <f>VLOOKUP(C2917,Securities!A:B,2,FALSE)</f>
        <v>#N/A</v>
      </c>
      <c r="O2917" s="3">
        <f t="shared" si="46"/>
        <v>0</v>
      </c>
    </row>
    <row r="2918" spans="12:15" x14ac:dyDescent="0.25">
      <c r="L2918" s="3" t="e">
        <f>VLOOKUP(C2918,Securities!A:D,4,FALSE)</f>
        <v>#N/A</v>
      </c>
      <c r="M2918" s="3" t="e">
        <f>VLOOKUP(C2918,Securities!A:B,2,FALSE)</f>
        <v>#N/A</v>
      </c>
      <c r="O2918" s="3">
        <f t="shared" si="46"/>
        <v>0</v>
      </c>
    </row>
    <row r="2919" spans="12:15" x14ac:dyDescent="0.25">
      <c r="L2919" s="3" t="e">
        <f>VLOOKUP(C2919,Securities!A:D,4,FALSE)</f>
        <v>#N/A</v>
      </c>
      <c r="M2919" s="3" t="e">
        <f>VLOOKUP(C2919,Securities!A:B,2,FALSE)</f>
        <v>#N/A</v>
      </c>
      <c r="O2919" s="3">
        <f t="shared" si="46"/>
        <v>0</v>
      </c>
    </row>
    <row r="2920" spans="12:15" x14ac:dyDescent="0.25">
      <c r="L2920" s="3" t="e">
        <f>VLOOKUP(C2920,Securities!A:D,4,FALSE)</f>
        <v>#N/A</v>
      </c>
      <c r="M2920" s="3" t="e">
        <f>VLOOKUP(C2920,Securities!A:B,2,FALSE)</f>
        <v>#N/A</v>
      </c>
      <c r="O2920" s="3">
        <f t="shared" si="46"/>
        <v>0</v>
      </c>
    </row>
    <row r="2921" spans="12:15" x14ac:dyDescent="0.25">
      <c r="L2921" s="3" t="e">
        <f>VLOOKUP(C2921,Securities!A:D,4,FALSE)</f>
        <v>#N/A</v>
      </c>
      <c r="M2921" s="3" t="e">
        <f>VLOOKUP(C2921,Securities!A:B,2,FALSE)</f>
        <v>#N/A</v>
      </c>
      <c r="O2921" s="3">
        <f t="shared" si="46"/>
        <v>0</v>
      </c>
    </row>
    <row r="2922" spans="12:15" x14ac:dyDescent="0.25">
      <c r="L2922" s="3" t="e">
        <f>VLOOKUP(C2922,Securities!A:D,4,FALSE)</f>
        <v>#N/A</v>
      </c>
      <c r="M2922" s="3" t="e">
        <f>VLOOKUP(C2922,Securities!A:B,2,FALSE)</f>
        <v>#N/A</v>
      </c>
      <c r="O2922" s="3">
        <f t="shared" si="46"/>
        <v>0</v>
      </c>
    </row>
    <row r="2923" spans="12:15" x14ac:dyDescent="0.25">
      <c r="L2923" s="3" t="e">
        <f>VLOOKUP(C2923,Securities!A:D,4,FALSE)</f>
        <v>#N/A</v>
      </c>
      <c r="M2923" s="3" t="e">
        <f>VLOOKUP(C2923,Securities!A:B,2,FALSE)</f>
        <v>#N/A</v>
      </c>
      <c r="O2923" s="3">
        <f t="shared" si="46"/>
        <v>0</v>
      </c>
    </row>
    <row r="2924" spans="12:15" x14ac:dyDescent="0.25">
      <c r="L2924" s="3" t="e">
        <f>VLOOKUP(C2924,Securities!A:D,4,FALSE)</f>
        <v>#N/A</v>
      </c>
      <c r="M2924" s="3" t="e">
        <f>VLOOKUP(C2924,Securities!A:B,2,FALSE)</f>
        <v>#N/A</v>
      </c>
      <c r="O2924" s="3">
        <f t="shared" si="46"/>
        <v>0</v>
      </c>
    </row>
    <row r="2925" spans="12:15" x14ac:dyDescent="0.25">
      <c r="L2925" s="3" t="e">
        <f>VLOOKUP(C2925,Securities!A:D,4,FALSE)</f>
        <v>#N/A</v>
      </c>
      <c r="M2925" s="3" t="e">
        <f>VLOOKUP(C2925,Securities!A:B,2,FALSE)</f>
        <v>#N/A</v>
      </c>
      <c r="O2925" s="3">
        <f t="shared" si="46"/>
        <v>0</v>
      </c>
    </row>
    <row r="2926" spans="12:15" x14ac:dyDescent="0.25">
      <c r="L2926" s="3" t="e">
        <f>VLOOKUP(C2926,Securities!A:D,4,FALSE)</f>
        <v>#N/A</v>
      </c>
      <c r="M2926" s="3" t="e">
        <f>VLOOKUP(C2926,Securities!A:B,2,FALSE)</f>
        <v>#N/A</v>
      </c>
      <c r="O2926" s="3">
        <f t="shared" si="46"/>
        <v>0</v>
      </c>
    </row>
    <row r="2927" spans="12:15" x14ac:dyDescent="0.25">
      <c r="L2927" s="3" t="e">
        <f>VLOOKUP(C2927,Securities!A:D,4,FALSE)</f>
        <v>#N/A</v>
      </c>
      <c r="M2927" s="3" t="e">
        <f>VLOOKUP(C2927,Securities!A:B,2,FALSE)</f>
        <v>#N/A</v>
      </c>
      <c r="O2927" s="3">
        <f t="shared" si="46"/>
        <v>0</v>
      </c>
    </row>
    <row r="2928" spans="12:15" x14ac:dyDescent="0.25">
      <c r="L2928" s="3" t="e">
        <f>VLOOKUP(C2928,Securities!A:D,4,FALSE)</f>
        <v>#N/A</v>
      </c>
      <c r="M2928" s="3" t="e">
        <f>VLOOKUP(C2928,Securities!A:B,2,FALSE)</f>
        <v>#N/A</v>
      </c>
      <c r="O2928" s="3">
        <f t="shared" si="46"/>
        <v>0</v>
      </c>
    </row>
    <row r="2929" spans="12:15" x14ac:dyDescent="0.25">
      <c r="L2929" s="3" t="e">
        <f>VLOOKUP(C2929,Securities!A:D,4,FALSE)</f>
        <v>#N/A</v>
      </c>
      <c r="M2929" s="3" t="e">
        <f>VLOOKUP(C2929,Securities!A:B,2,FALSE)</f>
        <v>#N/A</v>
      </c>
      <c r="O2929" s="3">
        <f t="shared" si="46"/>
        <v>0</v>
      </c>
    </row>
    <row r="2930" spans="12:15" x14ac:dyDescent="0.25">
      <c r="L2930" s="3" t="e">
        <f>VLOOKUP(C2930,Securities!A:D,4,FALSE)</f>
        <v>#N/A</v>
      </c>
      <c r="M2930" s="3" t="e">
        <f>VLOOKUP(C2930,Securities!A:B,2,FALSE)</f>
        <v>#N/A</v>
      </c>
      <c r="O2930" s="3">
        <f t="shared" si="46"/>
        <v>0</v>
      </c>
    </row>
    <row r="2931" spans="12:15" x14ac:dyDescent="0.25">
      <c r="L2931" s="3" t="e">
        <f>VLOOKUP(C2931,Securities!A:D,4,FALSE)</f>
        <v>#N/A</v>
      </c>
      <c r="M2931" s="3" t="e">
        <f>VLOOKUP(C2931,Securities!A:B,2,FALSE)</f>
        <v>#N/A</v>
      </c>
      <c r="O2931" s="3">
        <f t="shared" si="46"/>
        <v>0</v>
      </c>
    </row>
    <row r="2932" spans="12:15" x14ac:dyDescent="0.25">
      <c r="L2932" s="3" t="e">
        <f>VLOOKUP(C2932,Securities!A:D,4,FALSE)</f>
        <v>#N/A</v>
      </c>
      <c r="M2932" s="3" t="e">
        <f>VLOOKUP(C2932,Securities!A:B,2,FALSE)</f>
        <v>#N/A</v>
      </c>
      <c r="O2932" s="3">
        <f t="shared" si="46"/>
        <v>0</v>
      </c>
    </row>
    <row r="2933" spans="12:15" x14ac:dyDescent="0.25">
      <c r="L2933" s="3" t="e">
        <f>VLOOKUP(C2933,Securities!A:D,4,FALSE)</f>
        <v>#N/A</v>
      </c>
      <c r="M2933" s="3" t="e">
        <f>VLOOKUP(C2933,Securities!A:B,2,FALSE)</f>
        <v>#N/A</v>
      </c>
      <c r="O2933" s="3">
        <f t="shared" si="46"/>
        <v>0</v>
      </c>
    </row>
    <row r="2934" spans="12:15" x14ac:dyDescent="0.25">
      <c r="L2934" s="3" t="e">
        <f>VLOOKUP(C2934,Securities!A:D,4,FALSE)</f>
        <v>#N/A</v>
      </c>
      <c r="M2934" s="3" t="e">
        <f>VLOOKUP(C2934,Securities!A:B,2,FALSE)</f>
        <v>#N/A</v>
      </c>
      <c r="O2934" s="3">
        <f t="shared" si="46"/>
        <v>0</v>
      </c>
    </row>
    <row r="2935" spans="12:15" x14ac:dyDescent="0.25">
      <c r="L2935" s="3" t="e">
        <f>VLOOKUP(C2935,Securities!A:D,4,FALSE)</f>
        <v>#N/A</v>
      </c>
      <c r="M2935" s="3" t="e">
        <f>VLOOKUP(C2935,Securities!A:B,2,FALSE)</f>
        <v>#N/A</v>
      </c>
      <c r="O2935" s="3">
        <f t="shared" si="46"/>
        <v>0</v>
      </c>
    </row>
    <row r="2936" spans="12:15" x14ac:dyDescent="0.25">
      <c r="L2936" s="3" t="e">
        <f>VLOOKUP(C2936,Securities!A:D,4,FALSE)</f>
        <v>#N/A</v>
      </c>
      <c r="M2936" s="3" t="e">
        <f>VLOOKUP(C2936,Securities!A:B,2,FALSE)</f>
        <v>#N/A</v>
      </c>
      <c r="O2936" s="3">
        <f t="shared" si="46"/>
        <v>0</v>
      </c>
    </row>
    <row r="2937" spans="12:15" x14ac:dyDescent="0.25">
      <c r="L2937" s="3" t="e">
        <f>VLOOKUP(C2937,Securities!A:D,4,FALSE)</f>
        <v>#N/A</v>
      </c>
      <c r="M2937" s="3" t="e">
        <f>VLOOKUP(C2937,Securities!A:B,2,FALSE)</f>
        <v>#N/A</v>
      </c>
      <c r="O2937" s="3">
        <f t="shared" si="46"/>
        <v>0</v>
      </c>
    </row>
    <row r="2938" spans="12:15" x14ac:dyDescent="0.25">
      <c r="L2938" s="3" t="e">
        <f>VLOOKUP(C2938,Securities!A:D,4,FALSE)</f>
        <v>#N/A</v>
      </c>
      <c r="M2938" s="3" t="e">
        <f>VLOOKUP(C2938,Securities!A:B,2,FALSE)</f>
        <v>#N/A</v>
      </c>
      <c r="O2938" s="3">
        <f t="shared" si="46"/>
        <v>0</v>
      </c>
    </row>
    <row r="2939" spans="12:15" x14ac:dyDescent="0.25">
      <c r="L2939" s="3" t="e">
        <f>VLOOKUP(C2939,Securities!A:D,4,FALSE)</f>
        <v>#N/A</v>
      </c>
      <c r="M2939" s="3" t="e">
        <f>VLOOKUP(C2939,Securities!A:B,2,FALSE)</f>
        <v>#N/A</v>
      </c>
      <c r="O2939" s="3">
        <f t="shared" si="46"/>
        <v>0</v>
      </c>
    </row>
    <row r="2940" spans="12:15" x14ac:dyDescent="0.25">
      <c r="L2940" s="3" t="e">
        <f>VLOOKUP(C2940,Securities!A:D,4,FALSE)</f>
        <v>#N/A</v>
      </c>
      <c r="M2940" s="3" t="e">
        <f>VLOOKUP(C2940,Securities!A:B,2,FALSE)</f>
        <v>#N/A</v>
      </c>
      <c r="O2940" s="3">
        <f t="shared" si="46"/>
        <v>0</v>
      </c>
    </row>
    <row r="2941" spans="12:15" x14ac:dyDescent="0.25">
      <c r="L2941" s="3" t="e">
        <f>VLOOKUP(C2941,Securities!A:D,4,FALSE)</f>
        <v>#N/A</v>
      </c>
      <c r="M2941" s="3" t="e">
        <f>VLOOKUP(C2941,Securities!A:B,2,FALSE)</f>
        <v>#N/A</v>
      </c>
      <c r="O2941" s="3">
        <f t="shared" si="46"/>
        <v>0</v>
      </c>
    </row>
    <row r="2942" spans="12:15" x14ac:dyDescent="0.25">
      <c r="L2942" s="3" t="e">
        <f>VLOOKUP(C2942,Securities!A:D,4,FALSE)</f>
        <v>#N/A</v>
      </c>
      <c r="M2942" s="3" t="e">
        <f>VLOOKUP(C2942,Securities!A:B,2,FALSE)</f>
        <v>#N/A</v>
      </c>
      <c r="O2942" s="3">
        <f t="shared" si="46"/>
        <v>0</v>
      </c>
    </row>
    <row r="2943" spans="12:15" x14ac:dyDescent="0.25">
      <c r="L2943" s="3" t="e">
        <f>VLOOKUP(C2943,Securities!A:D,4,FALSE)</f>
        <v>#N/A</v>
      </c>
      <c r="M2943" s="3" t="e">
        <f>VLOOKUP(C2943,Securities!A:B,2,FALSE)</f>
        <v>#N/A</v>
      </c>
      <c r="O2943" s="3">
        <f t="shared" si="46"/>
        <v>0</v>
      </c>
    </row>
    <row r="2944" spans="12:15" x14ac:dyDescent="0.25">
      <c r="L2944" s="3" t="e">
        <f>VLOOKUP(C2944,Securities!A:D,4,FALSE)</f>
        <v>#N/A</v>
      </c>
      <c r="M2944" s="3" t="e">
        <f>VLOOKUP(C2944,Securities!A:B,2,FALSE)</f>
        <v>#N/A</v>
      </c>
      <c r="O2944" s="3">
        <f t="shared" si="46"/>
        <v>0</v>
      </c>
    </row>
    <row r="2945" spans="12:15" x14ac:dyDescent="0.25">
      <c r="L2945" s="3" t="e">
        <f>VLOOKUP(C2945,Securities!A:D,4,FALSE)</f>
        <v>#N/A</v>
      </c>
      <c r="M2945" s="3" t="e">
        <f>VLOOKUP(C2945,Securities!A:B,2,FALSE)</f>
        <v>#N/A</v>
      </c>
      <c r="O2945" s="3">
        <f t="shared" si="46"/>
        <v>0</v>
      </c>
    </row>
    <row r="2946" spans="12:15" x14ac:dyDescent="0.25">
      <c r="L2946" s="3" t="e">
        <f>VLOOKUP(C2946,Securities!A:D,4,FALSE)</f>
        <v>#N/A</v>
      </c>
      <c r="M2946" s="3" t="e">
        <f>VLOOKUP(C2946,Securities!A:B,2,FALSE)</f>
        <v>#N/A</v>
      </c>
      <c r="O2946" s="3">
        <f t="shared" si="46"/>
        <v>0</v>
      </c>
    </row>
    <row r="2947" spans="12:15" x14ac:dyDescent="0.25">
      <c r="L2947" s="3" t="e">
        <f>VLOOKUP(C2947,Securities!A:D,4,FALSE)</f>
        <v>#N/A</v>
      </c>
      <c r="M2947" s="3" t="e">
        <f>VLOOKUP(C2947,Securities!A:B,2,FALSE)</f>
        <v>#N/A</v>
      </c>
      <c r="O2947" s="3">
        <f t="shared" si="46"/>
        <v>0</v>
      </c>
    </row>
    <row r="2948" spans="12:15" x14ac:dyDescent="0.25">
      <c r="L2948" s="3" t="e">
        <f>VLOOKUP(C2948,Securities!A:D,4,FALSE)</f>
        <v>#N/A</v>
      </c>
      <c r="M2948" s="3" t="e">
        <f>VLOOKUP(C2948,Securities!A:B,2,FALSE)</f>
        <v>#N/A</v>
      </c>
      <c r="O2948" s="3">
        <f t="shared" si="46"/>
        <v>0</v>
      </c>
    </row>
    <row r="2949" spans="12:15" x14ac:dyDescent="0.25">
      <c r="L2949" s="3" t="e">
        <f>VLOOKUP(C2949,Securities!A:D,4,FALSE)</f>
        <v>#N/A</v>
      </c>
      <c r="M2949" s="3" t="e">
        <f>VLOOKUP(C2949,Securities!A:B,2,FALSE)</f>
        <v>#N/A</v>
      </c>
      <c r="O2949" s="3">
        <f t="shared" si="46"/>
        <v>0</v>
      </c>
    </row>
    <row r="2950" spans="12:15" x14ac:dyDescent="0.25">
      <c r="L2950" s="3" t="e">
        <f>VLOOKUP(C2950,Securities!A:D,4,FALSE)</f>
        <v>#N/A</v>
      </c>
      <c r="M2950" s="3" t="e">
        <f>VLOOKUP(C2950,Securities!A:B,2,FALSE)</f>
        <v>#N/A</v>
      </c>
      <c r="O2950" s="3">
        <f t="shared" ref="O2950:O3013" si="47">SUMIFS(E:E,C:C,C2950,B:B,B2950)</f>
        <v>0</v>
      </c>
    </row>
    <row r="2951" spans="12:15" x14ac:dyDescent="0.25">
      <c r="L2951" s="3" t="e">
        <f>VLOOKUP(C2951,Securities!A:D,4,FALSE)</f>
        <v>#N/A</v>
      </c>
      <c r="M2951" s="3" t="e">
        <f>VLOOKUP(C2951,Securities!A:B,2,FALSE)</f>
        <v>#N/A</v>
      </c>
      <c r="O2951" s="3">
        <f t="shared" si="47"/>
        <v>0</v>
      </c>
    </row>
    <row r="2952" spans="12:15" x14ac:dyDescent="0.25">
      <c r="L2952" s="3" t="e">
        <f>VLOOKUP(C2952,Securities!A:D,4,FALSE)</f>
        <v>#N/A</v>
      </c>
      <c r="M2952" s="3" t="e">
        <f>VLOOKUP(C2952,Securities!A:B,2,FALSE)</f>
        <v>#N/A</v>
      </c>
      <c r="O2952" s="3">
        <f t="shared" si="47"/>
        <v>0</v>
      </c>
    </row>
    <row r="2953" spans="12:15" x14ac:dyDescent="0.25">
      <c r="L2953" s="3" t="e">
        <f>VLOOKUP(C2953,Securities!A:D,4,FALSE)</f>
        <v>#N/A</v>
      </c>
      <c r="M2953" s="3" t="e">
        <f>VLOOKUP(C2953,Securities!A:B,2,FALSE)</f>
        <v>#N/A</v>
      </c>
      <c r="O2953" s="3">
        <f t="shared" si="47"/>
        <v>0</v>
      </c>
    </row>
    <row r="2954" spans="12:15" x14ac:dyDescent="0.25">
      <c r="L2954" s="3" t="e">
        <f>VLOOKUP(C2954,Securities!A:D,4,FALSE)</f>
        <v>#N/A</v>
      </c>
      <c r="M2954" s="3" t="e">
        <f>VLOOKUP(C2954,Securities!A:B,2,FALSE)</f>
        <v>#N/A</v>
      </c>
      <c r="O2954" s="3">
        <f t="shared" si="47"/>
        <v>0</v>
      </c>
    </row>
    <row r="2955" spans="12:15" x14ac:dyDescent="0.25">
      <c r="L2955" s="3" t="e">
        <f>VLOOKUP(C2955,Securities!A:D,4,FALSE)</f>
        <v>#N/A</v>
      </c>
      <c r="M2955" s="3" t="e">
        <f>VLOOKUP(C2955,Securities!A:B,2,FALSE)</f>
        <v>#N/A</v>
      </c>
      <c r="O2955" s="3">
        <f t="shared" si="47"/>
        <v>0</v>
      </c>
    </row>
    <row r="2956" spans="12:15" x14ac:dyDescent="0.25">
      <c r="L2956" s="3" t="e">
        <f>VLOOKUP(C2956,Securities!A:D,4,FALSE)</f>
        <v>#N/A</v>
      </c>
      <c r="M2956" s="3" t="e">
        <f>VLOOKUP(C2956,Securities!A:B,2,FALSE)</f>
        <v>#N/A</v>
      </c>
      <c r="O2956" s="3">
        <f t="shared" si="47"/>
        <v>0</v>
      </c>
    </row>
    <row r="2957" spans="12:15" x14ac:dyDescent="0.25">
      <c r="L2957" s="3" t="e">
        <f>VLOOKUP(C2957,Securities!A:D,4,FALSE)</f>
        <v>#N/A</v>
      </c>
      <c r="M2957" s="3" t="e">
        <f>VLOOKUP(C2957,Securities!A:B,2,FALSE)</f>
        <v>#N/A</v>
      </c>
      <c r="O2957" s="3">
        <f t="shared" si="47"/>
        <v>0</v>
      </c>
    </row>
    <row r="2958" spans="12:15" x14ac:dyDescent="0.25">
      <c r="L2958" s="3" t="e">
        <f>VLOOKUP(C2958,Securities!A:D,4,FALSE)</f>
        <v>#N/A</v>
      </c>
      <c r="M2958" s="3" t="e">
        <f>VLOOKUP(C2958,Securities!A:B,2,FALSE)</f>
        <v>#N/A</v>
      </c>
      <c r="O2958" s="3">
        <f t="shared" si="47"/>
        <v>0</v>
      </c>
    </row>
    <row r="2959" spans="12:15" x14ac:dyDescent="0.25">
      <c r="L2959" s="3" t="e">
        <f>VLOOKUP(C2959,Securities!A:D,4,FALSE)</f>
        <v>#N/A</v>
      </c>
      <c r="M2959" s="3" t="e">
        <f>VLOOKUP(C2959,Securities!A:B,2,FALSE)</f>
        <v>#N/A</v>
      </c>
      <c r="O2959" s="3">
        <f t="shared" si="47"/>
        <v>0</v>
      </c>
    </row>
    <row r="2960" spans="12:15" x14ac:dyDescent="0.25">
      <c r="L2960" s="3" t="e">
        <f>VLOOKUP(C2960,Securities!A:D,4,FALSE)</f>
        <v>#N/A</v>
      </c>
      <c r="M2960" s="3" t="e">
        <f>VLOOKUP(C2960,Securities!A:B,2,FALSE)</f>
        <v>#N/A</v>
      </c>
      <c r="O2960" s="3">
        <f t="shared" si="47"/>
        <v>0</v>
      </c>
    </row>
    <row r="2961" spans="12:15" x14ac:dyDescent="0.25">
      <c r="L2961" s="3" t="e">
        <f>VLOOKUP(C2961,Securities!A:D,4,FALSE)</f>
        <v>#N/A</v>
      </c>
      <c r="M2961" s="3" t="e">
        <f>VLOOKUP(C2961,Securities!A:B,2,FALSE)</f>
        <v>#N/A</v>
      </c>
      <c r="O2961" s="3">
        <f t="shared" si="47"/>
        <v>0</v>
      </c>
    </row>
    <row r="2962" spans="12:15" x14ac:dyDescent="0.25">
      <c r="L2962" s="3" t="e">
        <f>VLOOKUP(C2962,Securities!A:D,4,FALSE)</f>
        <v>#N/A</v>
      </c>
      <c r="M2962" s="3" t="e">
        <f>VLOOKUP(C2962,Securities!A:B,2,FALSE)</f>
        <v>#N/A</v>
      </c>
      <c r="O2962" s="3">
        <f t="shared" si="47"/>
        <v>0</v>
      </c>
    </row>
    <row r="2963" spans="12:15" x14ac:dyDescent="0.25">
      <c r="L2963" s="3" t="e">
        <f>VLOOKUP(C2963,Securities!A:D,4,FALSE)</f>
        <v>#N/A</v>
      </c>
      <c r="M2963" s="3" t="e">
        <f>VLOOKUP(C2963,Securities!A:B,2,FALSE)</f>
        <v>#N/A</v>
      </c>
      <c r="O2963" s="3">
        <f t="shared" si="47"/>
        <v>0</v>
      </c>
    </row>
    <row r="2964" spans="12:15" x14ac:dyDescent="0.25">
      <c r="L2964" s="3" t="e">
        <f>VLOOKUP(C2964,Securities!A:D,4,FALSE)</f>
        <v>#N/A</v>
      </c>
      <c r="M2964" s="3" t="e">
        <f>VLOOKUP(C2964,Securities!A:B,2,FALSE)</f>
        <v>#N/A</v>
      </c>
      <c r="O2964" s="3">
        <f t="shared" si="47"/>
        <v>0</v>
      </c>
    </row>
    <row r="2965" spans="12:15" x14ac:dyDescent="0.25">
      <c r="L2965" s="3" t="e">
        <f>VLOOKUP(C2965,Securities!A:D,4,FALSE)</f>
        <v>#N/A</v>
      </c>
      <c r="M2965" s="3" t="e">
        <f>VLOOKUP(C2965,Securities!A:B,2,FALSE)</f>
        <v>#N/A</v>
      </c>
      <c r="O2965" s="3">
        <f t="shared" si="47"/>
        <v>0</v>
      </c>
    </row>
    <row r="2966" spans="12:15" x14ac:dyDescent="0.25">
      <c r="L2966" s="3" t="e">
        <f>VLOOKUP(C2966,Securities!A:D,4,FALSE)</f>
        <v>#N/A</v>
      </c>
      <c r="M2966" s="3" t="e">
        <f>VLOOKUP(C2966,Securities!A:B,2,FALSE)</f>
        <v>#N/A</v>
      </c>
      <c r="O2966" s="3">
        <f t="shared" si="47"/>
        <v>0</v>
      </c>
    </row>
    <row r="2967" spans="12:15" x14ac:dyDescent="0.25">
      <c r="L2967" s="3" t="e">
        <f>VLOOKUP(C2967,Securities!A:D,4,FALSE)</f>
        <v>#N/A</v>
      </c>
      <c r="M2967" s="3" t="e">
        <f>VLOOKUP(C2967,Securities!A:B,2,FALSE)</f>
        <v>#N/A</v>
      </c>
      <c r="O2967" s="3">
        <f t="shared" si="47"/>
        <v>0</v>
      </c>
    </row>
    <row r="2968" spans="12:15" x14ac:dyDescent="0.25">
      <c r="L2968" s="3" t="e">
        <f>VLOOKUP(C2968,Securities!A:D,4,FALSE)</f>
        <v>#N/A</v>
      </c>
      <c r="M2968" s="3" t="e">
        <f>VLOOKUP(C2968,Securities!A:B,2,FALSE)</f>
        <v>#N/A</v>
      </c>
      <c r="O2968" s="3">
        <f t="shared" si="47"/>
        <v>0</v>
      </c>
    </row>
    <row r="2969" spans="12:15" x14ac:dyDescent="0.25">
      <c r="L2969" s="3" t="e">
        <f>VLOOKUP(C2969,Securities!A:D,4,FALSE)</f>
        <v>#N/A</v>
      </c>
      <c r="M2969" s="3" t="e">
        <f>VLOOKUP(C2969,Securities!A:B,2,FALSE)</f>
        <v>#N/A</v>
      </c>
      <c r="O2969" s="3">
        <f t="shared" si="47"/>
        <v>0</v>
      </c>
    </row>
    <row r="2970" spans="12:15" x14ac:dyDescent="0.25">
      <c r="L2970" s="3" t="e">
        <f>VLOOKUP(C2970,Securities!A:D,4,FALSE)</f>
        <v>#N/A</v>
      </c>
      <c r="M2970" s="3" t="e">
        <f>VLOOKUP(C2970,Securities!A:B,2,FALSE)</f>
        <v>#N/A</v>
      </c>
      <c r="O2970" s="3">
        <f t="shared" si="47"/>
        <v>0</v>
      </c>
    </row>
    <row r="2971" spans="12:15" x14ac:dyDescent="0.25">
      <c r="L2971" s="3" t="e">
        <f>VLOOKUP(C2971,Securities!A:D,4,FALSE)</f>
        <v>#N/A</v>
      </c>
      <c r="M2971" s="3" t="e">
        <f>VLOOKUP(C2971,Securities!A:B,2,FALSE)</f>
        <v>#N/A</v>
      </c>
      <c r="O2971" s="3">
        <f t="shared" si="47"/>
        <v>0</v>
      </c>
    </row>
    <row r="2972" spans="12:15" x14ac:dyDescent="0.25">
      <c r="L2972" s="3" t="e">
        <f>VLOOKUP(C2972,Securities!A:D,4,FALSE)</f>
        <v>#N/A</v>
      </c>
      <c r="M2972" s="3" t="e">
        <f>VLOOKUP(C2972,Securities!A:B,2,FALSE)</f>
        <v>#N/A</v>
      </c>
      <c r="O2972" s="3">
        <f t="shared" si="47"/>
        <v>0</v>
      </c>
    </row>
    <row r="2973" spans="12:15" x14ac:dyDescent="0.25">
      <c r="L2973" s="3" t="e">
        <f>VLOOKUP(C2973,Securities!A:D,4,FALSE)</f>
        <v>#N/A</v>
      </c>
      <c r="M2973" s="3" t="e">
        <f>VLOOKUP(C2973,Securities!A:B,2,FALSE)</f>
        <v>#N/A</v>
      </c>
      <c r="O2973" s="3">
        <f t="shared" si="47"/>
        <v>0</v>
      </c>
    </row>
    <row r="2974" spans="12:15" x14ac:dyDescent="0.25">
      <c r="L2974" s="3" t="e">
        <f>VLOOKUP(C2974,Securities!A:D,4,FALSE)</f>
        <v>#N/A</v>
      </c>
      <c r="M2974" s="3" t="e">
        <f>VLOOKUP(C2974,Securities!A:B,2,FALSE)</f>
        <v>#N/A</v>
      </c>
      <c r="O2974" s="3">
        <f t="shared" si="47"/>
        <v>0</v>
      </c>
    </row>
    <row r="2975" spans="12:15" x14ac:dyDescent="0.25">
      <c r="L2975" s="3" t="e">
        <f>VLOOKUP(C2975,Securities!A:D,4,FALSE)</f>
        <v>#N/A</v>
      </c>
      <c r="M2975" s="3" t="e">
        <f>VLOOKUP(C2975,Securities!A:B,2,FALSE)</f>
        <v>#N/A</v>
      </c>
      <c r="O2975" s="3">
        <f t="shared" si="47"/>
        <v>0</v>
      </c>
    </row>
    <row r="2976" spans="12:15" x14ac:dyDescent="0.25">
      <c r="L2976" s="3" t="e">
        <f>VLOOKUP(C2976,Securities!A:D,4,FALSE)</f>
        <v>#N/A</v>
      </c>
      <c r="M2976" s="3" t="e">
        <f>VLOOKUP(C2976,Securities!A:B,2,FALSE)</f>
        <v>#N/A</v>
      </c>
      <c r="O2976" s="3">
        <f t="shared" si="47"/>
        <v>0</v>
      </c>
    </row>
    <row r="2977" spans="12:15" x14ac:dyDescent="0.25">
      <c r="L2977" s="3" t="e">
        <f>VLOOKUP(C2977,Securities!A:D,4,FALSE)</f>
        <v>#N/A</v>
      </c>
      <c r="M2977" s="3" t="e">
        <f>VLOOKUP(C2977,Securities!A:B,2,FALSE)</f>
        <v>#N/A</v>
      </c>
      <c r="O2977" s="3">
        <f t="shared" si="47"/>
        <v>0</v>
      </c>
    </row>
    <row r="2978" spans="12:15" x14ac:dyDescent="0.25">
      <c r="L2978" s="3" t="e">
        <f>VLOOKUP(C2978,Securities!A:D,4,FALSE)</f>
        <v>#N/A</v>
      </c>
      <c r="M2978" s="3" t="e">
        <f>VLOOKUP(C2978,Securities!A:B,2,FALSE)</f>
        <v>#N/A</v>
      </c>
      <c r="O2978" s="3">
        <f t="shared" si="47"/>
        <v>0</v>
      </c>
    </row>
    <row r="2979" spans="12:15" x14ac:dyDescent="0.25">
      <c r="L2979" s="3" t="e">
        <f>VLOOKUP(C2979,Securities!A:D,4,FALSE)</f>
        <v>#N/A</v>
      </c>
      <c r="M2979" s="3" t="e">
        <f>VLOOKUP(C2979,Securities!A:B,2,FALSE)</f>
        <v>#N/A</v>
      </c>
      <c r="O2979" s="3">
        <f t="shared" si="47"/>
        <v>0</v>
      </c>
    </row>
    <row r="2980" spans="12:15" x14ac:dyDescent="0.25">
      <c r="L2980" s="3" t="e">
        <f>VLOOKUP(C2980,Securities!A:D,4,FALSE)</f>
        <v>#N/A</v>
      </c>
      <c r="M2980" s="3" t="e">
        <f>VLOOKUP(C2980,Securities!A:B,2,FALSE)</f>
        <v>#N/A</v>
      </c>
      <c r="O2980" s="3">
        <f t="shared" si="47"/>
        <v>0</v>
      </c>
    </row>
    <row r="2981" spans="12:15" x14ac:dyDescent="0.25">
      <c r="L2981" s="3" t="e">
        <f>VLOOKUP(C2981,Securities!A:D,4,FALSE)</f>
        <v>#N/A</v>
      </c>
      <c r="M2981" s="3" t="e">
        <f>VLOOKUP(C2981,Securities!A:B,2,FALSE)</f>
        <v>#N/A</v>
      </c>
      <c r="O2981" s="3">
        <f t="shared" si="47"/>
        <v>0</v>
      </c>
    </row>
    <row r="2982" spans="12:15" x14ac:dyDescent="0.25">
      <c r="L2982" s="3" t="e">
        <f>VLOOKUP(C2982,Securities!A:D,4,FALSE)</f>
        <v>#N/A</v>
      </c>
      <c r="M2982" s="3" t="e">
        <f>VLOOKUP(C2982,Securities!A:B,2,FALSE)</f>
        <v>#N/A</v>
      </c>
      <c r="O2982" s="3">
        <f t="shared" si="47"/>
        <v>0</v>
      </c>
    </row>
    <row r="2983" spans="12:15" x14ac:dyDescent="0.25">
      <c r="L2983" s="3" t="e">
        <f>VLOOKUP(C2983,Securities!A:D,4,FALSE)</f>
        <v>#N/A</v>
      </c>
      <c r="M2983" s="3" t="e">
        <f>VLOOKUP(C2983,Securities!A:B,2,FALSE)</f>
        <v>#N/A</v>
      </c>
      <c r="O2983" s="3">
        <f t="shared" si="47"/>
        <v>0</v>
      </c>
    </row>
    <row r="2984" spans="12:15" x14ac:dyDescent="0.25">
      <c r="L2984" s="3" t="e">
        <f>VLOOKUP(C2984,Securities!A:D,4,FALSE)</f>
        <v>#N/A</v>
      </c>
      <c r="M2984" s="3" t="e">
        <f>VLOOKUP(C2984,Securities!A:B,2,FALSE)</f>
        <v>#N/A</v>
      </c>
      <c r="O2984" s="3">
        <f t="shared" si="47"/>
        <v>0</v>
      </c>
    </row>
    <row r="2985" spans="12:15" x14ac:dyDescent="0.25">
      <c r="L2985" s="3" t="e">
        <f>VLOOKUP(C2985,Securities!A:D,4,FALSE)</f>
        <v>#N/A</v>
      </c>
      <c r="M2985" s="3" t="e">
        <f>VLOOKUP(C2985,Securities!A:B,2,FALSE)</f>
        <v>#N/A</v>
      </c>
      <c r="O2985" s="3">
        <f t="shared" si="47"/>
        <v>0</v>
      </c>
    </row>
    <row r="2986" spans="12:15" x14ac:dyDescent="0.25">
      <c r="L2986" s="3" t="e">
        <f>VLOOKUP(C2986,Securities!A:D,4,FALSE)</f>
        <v>#N/A</v>
      </c>
      <c r="M2986" s="3" t="e">
        <f>VLOOKUP(C2986,Securities!A:B,2,FALSE)</f>
        <v>#N/A</v>
      </c>
      <c r="O2986" s="3">
        <f t="shared" si="47"/>
        <v>0</v>
      </c>
    </row>
    <row r="2987" spans="12:15" x14ac:dyDescent="0.25">
      <c r="L2987" s="3" t="e">
        <f>VLOOKUP(C2987,Securities!A:D,4,FALSE)</f>
        <v>#N/A</v>
      </c>
      <c r="M2987" s="3" t="e">
        <f>VLOOKUP(C2987,Securities!A:B,2,FALSE)</f>
        <v>#N/A</v>
      </c>
      <c r="O2987" s="3">
        <f t="shared" si="47"/>
        <v>0</v>
      </c>
    </row>
    <row r="2988" spans="12:15" x14ac:dyDescent="0.25">
      <c r="L2988" s="3" t="e">
        <f>VLOOKUP(C2988,Securities!A:D,4,FALSE)</f>
        <v>#N/A</v>
      </c>
      <c r="M2988" s="3" t="e">
        <f>VLOOKUP(C2988,Securities!A:B,2,FALSE)</f>
        <v>#N/A</v>
      </c>
      <c r="O2988" s="3">
        <f t="shared" si="47"/>
        <v>0</v>
      </c>
    </row>
    <row r="2989" spans="12:15" x14ac:dyDescent="0.25">
      <c r="L2989" s="3" t="e">
        <f>VLOOKUP(C2989,Securities!A:D,4,FALSE)</f>
        <v>#N/A</v>
      </c>
      <c r="M2989" s="3" t="e">
        <f>VLOOKUP(C2989,Securities!A:B,2,FALSE)</f>
        <v>#N/A</v>
      </c>
      <c r="O2989" s="3">
        <f t="shared" si="47"/>
        <v>0</v>
      </c>
    </row>
    <row r="2990" spans="12:15" x14ac:dyDescent="0.25">
      <c r="L2990" s="3" t="e">
        <f>VLOOKUP(C2990,Securities!A:D,4,FALSE)</f>
        <v>#N/A</v>
      </c>
      <c r="M2990" s="3" t="e">
        <f>VLOOKUP(C2990,Securities!A:B,2,FALSE)</f>
        <v>#N/A</v>
      </c>
      <c r="O2990" s="3">
        <f t="shared" si="47"/>
        <v>0</v>
      </c>
    </row>
    <row r="2991" spans="12:15" x14ac:dyDescent="0.25">
      <c r="L2991" s="3" t="e">
        <f>VLOOKUP(C2991,Securities!A:D,4,FALSE)</f>
        <v>#N/A</v>
      </c>
      <c r="M2991" s="3" t="e">
        <f>VLOOKUP(C2991,Securities!A:B,2,FALSE)</f>
        <v>#N/A</v>
      </c>
      <c r="O2991" s="3">
        <f t="shared" si="47"/>
        <v>0</v>
      </c>
    </row>
    <row r="2992" spans="12:15" x14ac:dyDescent="0.25">
      <c r="L2992" s="3" t="e">
        <f>VLOOKUP(C2992,Securities!A:D,4,FALSE)</f>
        <v>#N/A</v>
      </c>
      <c r="M2992" s="3" t="e">
        <f>VLOOKUP(C2992,Securities!A:B,2,FALSE)</f>
        <v>#N/A</v>
      </c>
      <c r="O2992" s="3">
        <f t="shared" si="47"/>
        <v>0</v>
      </c>
    </row>
    <row r="2993" spans="12:15" x14ac:dyDescent="0.25">
      <c r="L2993" s="3" t="e">
        <f>VLOOKUP(C2993,Securities!A:D,4,FALSE)</f>
        <v>#N/A</v>
      </c>
      <c r="M2993" s="3" t="e">
        <f>VLOOKUP(C2993,Securities!A:B,2,FALSE)</f>
        <v>#N/A</v>
      </c>
      <c r="O2993" s="3">
        <f t="shared" si="47"/>
        <v>0</v>
      </c>
    </row>
    <row r="2994" spans="12:15" x14ac:dyDescent="0.25">
      <c r="L2994" s="3" t="e">
        <f>VLOOKUP(C2994,Securities!A:D,4,FALSE)</f>
        <v>#N/A</v>
      </c>
      <c r="M2994" s="3" t="e">
        <f>VLOOKUP(C2994,Securities!A:B,2,FALSE)</f>
        <v>#N/A</v>
      </c>
      <c r="O2994" s="3">
        <f t="shared" si="47"/>
        <v>0</v>
      </c>
    </row>
    <row r="2995" spans="12:15" x14ac:dyDescent="0.25">
      <c r="L2995" s="3" t="e">
        <f>VLOOKUP(C2995,Securities!A:D,4,FALSE)</f>
        <v>#N/A</v>
      </c>
      <c r="M2995" s="3" t="e">
        <f>VLOOKUP(C2995,Securities!A:B,2,FALSE)</f>
        <v>#N/A</v>
      </c>
      <c r="O2995" s="3">
        <f t="shared" si="47"/>
        <v>0</v>
      </c>
    </row>
    <row r="2996" spans="12:15" x14ac:dyDescent="0.25">
      <c r="L2996" s="3" t="e">
        <f>VLOOKUP(C2996,Securities!A:D,4,FALSE)</f>
        <v>#N/A</v>
      </c>
      <c r="M2996" s="3" t="e">
        <f>VLOOKUP(C2996,Securities!A:B,2,FALSE)</f>
        <v>#N/A</v>
      </c>
      <c r="O2996" s="3">
        <f t="shared" si="47"/>
        <v>0</v>
      </c>
    </row>
    <row r="2997" spans="12:15" x14ac:dyDescent="0.25">
      <c r="L2997" s="3" t="e">
        <f>VLOOKUP(C2997,Securities!A:D,4,FALSE)</f>
        <v>#N/A</v>
      </c>
      <c r="M2997" s="3" t="e">
        <f>VLOOKUP(C2997,Securities!A:B,2,FALSE)</f>
        <v>#N/A</v>
      </c>
      <c r="O2997" s="3">
        <f t="shared" si="47"/>
        <v>0</v>
      </c>
    </row>
    <row r="2998" spans="12:15" x14ac:dyDescent="0.25">
      <c r="L2998" s="3" t="e">
        <f>VLOOKUP(C2998,Securities!A:D,4,FALSE)</f>
        <v>#N/A</v>
      </c>
      <c r="M2998" s="3" t="e">
        <f>VLOOKUP(C2998,Securities!A:B,2,FALSE)</f>
        <v>#N/A</v>
      </c>
      <c r="O2998" s="3">
        <f t="shared" si="47"/>
        <v>0</v>
      </c>
    </row>
    <row r="2999" spans="12:15" x14ac:dyDescent="0.25">
      <c r="L2999" s="3" t="e">
        <f>VLOOKUP(C2999,Securities!A:D,4,FALSE)</f>
        <v>#N/A</v>
      </c>
      <c r="M2999" s="3" t="e">
        <f>VLOOKUP(C2999,Securities!A:B,2,FALSE)</f>
        <v>#N/A</v>
      </c>
      <c r="O2999" s="3">
        <f t="shared" si="47"/>
        <v>0</v>
      </c>
    </row>
    <row r="3000" spans="12:15" x14ac:dyDescent="0.25">
      <c r="L3000" s="3" t="e">
        <f>VLOOKUP(C3000,Securities!A:D,4,FALSE)</f>
        <v>#N/A</v>
      </c>
      <c r="M3000" s="3" t="e">
        <f>VLOOKUP(C3000,Securities!A:B,2,FALSE)</f>
        <v>#N/A</v>
      </c>
      <c r="O3000" s="3">
        <f t="shared" si="47"/>
        <v>0</v>
      </c>
    </row>
    <row r="3001" spans="12:15" x14ac:dyDescent="0.25">
      <c r="L3001" s="3" t="e">
        <f>VLOOKUP(C3001,Securities!A:D,4,FALSE)</f>
        <v>#N/A</v>
      </c>
      <c r="M3001" s="3" t="e">
        <f>VLOOKUP(C3001,Securities!A:B,2,FALSE)</f>
        <v>#N/A</v>
      </c>
      <c r="O3001" s="3">
        <f t="shared" si="47"/>
        <v>0</v>
      </c>
    </row>
    <row r="3002" spans="12:15" x14ac:dyDescent="0.25">
      <c r="L3002" s="3" t="e">
        <f>VLOOKUP(C3002,Securities!A:D,4,FALSE)</f>
        <v>#N/A</v>
      </c>
      <c r="M3002" s="3" t="e">
        <f>VLOOKUP(C3002,Securities!A:B,2,FALSE)</f>
        <v>#N/A</v>
      </c>
      <c r="O3002" s="3">
        <f t="shared" si="47"/>
        <v>0</v>
      </c>
    </row>
    <row r="3003" spans="12:15" x14ac:dyDescent="0.25">
      <c r="L3003" s="3" t="e">
        <f>VLOOKUP(C3003,Securities!A:D,4,FALSE)</f>
        <v>#N/A</v>
      </c>
      <c r="M3003" s="3" t="e">
        <f>VLOOKUP(C3003,Securities!A:B,2,FALSE)</f>
        <v>#N/A</v>
      </c>
      <c r="O3003" s="3">
        <f t="shared" si="47"/>
        <v>0</v>
      </c>
    </row>
    <row r="3004" spans="12:15" x14ac:dyDescent="0.25">
      <c r="L3004" s="3" t="e">
        <f>VLOOKUP(C3004,Securities!A:D,4,FALSE)</f>
        <v>#N/A</v>
      </c>
      <c r="M3004" s="3" t="e">
        <f>VLOOKUP(C3004,Securities!A:B,2,FALSE)</f>
        <v>#N/A</v>
      </c>
      <c r="O3004" s="3">
        <f t="shared" si="47"/>
        <v>0</v>
      </c>
    </row>
    <row r="3005" spans="12:15" x14ac:dyDescent="0.25">
      <c r="L3005" s="3" t="e">
        <f>VLOOKUP(C3005,Securities!A:D,4,FALSE)</f>
        <v>#N/A</v>
      </c>
      <c r="M3005" s="3" t="e">
        <f>VLOOKUP(C3005,Securities!A:B,2,FALSE)</f>
        <v>#N/A</v>
      </c>
      <c r="O3005" s="3">
        <f t="shared" si="47"/>
        <v>0</v>
      </c>
    </row>
    <row r="3006" spans="12:15" x14ac:dyDescent="0.25">
      <c r="L3006" s="3" t="e">
        <f>VLOOKUP(C3006,Securities!A:D,4,FALSE)</f>
        <v>#N/A</v>
      </c>
      <c r="M3006" s="3" t="e">
        <f>VLOOKUP(C3006,Securities!A:B,2,FALSE)</f>
        <v>#N/A</v>
      </c>
      <c r="O3006" s="3">
        <f t="shared" si="47"/>
        <v>0</v>
      </c>
    </row>
    <row r="3007" spans="12:15" x14ac:dyDescent="0.25">
      <c r="L3007" s="3" t="e">
        <f>VLOOKUP(C3007,Securities!A:D,4,FALSE)</f>
        <v>#N/A</v>
      </c>
      <c r="M3007" s="3" t="e">
        <f>VLOOKUP(C3007,Securities!A:B,2,FALSE)</f>
        <v>#N/A</v>
      </c>
      <c r="O3007" s="3">
        <f t="shared" si="47"/>
        <v>0</v>
      </c>
    </row>
    <row r="3008" spans="12:15" x14ac:dyDescent="0.25">
      <c r="L3008" s="3" t="e">
        <f>VLOOKUP(C3008,Securities!A:D,4,FALSE)</f>
        <v>#N/A</v>
      </c>
      <c r="M3008" s="3" t="e">
        <f>VLOOKUP(C3008,Securities!A:B,2,FALSE)</f>
        <v>#N/A</v>
      </c>
      <c r="O3008" s="3">
        <f t="shared" si="47"/>
        <v>0</v>
      </c>
    </row>
    <row r="3009" spans="12:15" x14ac:dyDescent="0.25">
      <c r="L3009" s="3" t="e">
        <f>VLOOKUP(C3009,Securities!A:D,4,FALSE)</f>
        <v>#N/A</v>
      </c>
      <c r="M3009" s="3" t="e">
        <f>VLOOKUP(C3009,Securities!A:B,2,FALSE)</f>
        <v>#N/A</v>
      </c>
      <c r="O3009" s="3">
        <f t="shared" si="47"/>
        <v>0</v>
      </c>
    </row>
    <row r="3010" spans="12:15" x14ac:dyDescent="0.25">
      <c r="L3010" s="3" t="e">
        <f>VLOOKUP(C3010,Securities!A:D,4,FALSE)</f>
        <v>#N/A</v>
      </c>
      <c r="M3010" s="3" t="e">
        <f>VLOOKUP(C3010,Securities!A:B,2,FALSE)</f>
        <v>#N/A</v>
      </c>
      <c r="O3010" s="3">
        <f t="shared" si="47"/>
        <v>0</v>
      </c>
    </row>
    <row r="3011" spans="12:15" x14ac:dyDescent="0.25">
      <c r="L3011" s="3" t="e">
        <f>VLOOKUP(C3011,Securities!A:D,4,FALSE)</f>
        <v>#N/A</v>
      </c>
      <c r="M3011" s="3" t="e">
        <f>VLOOKUP(C3011,Securities!A:B,2,FALSE)</f>
        <v>#N/A</v>
      </c>
      <c r="O3011" s="3">
        <f t="shared" si="47"/>
        <v>0</v>
      </c>
    </row>
    <row r="3012" spans="12:15" x14ac:dyDescent="0.25">
      <c r="L3012" s="3" t="e">
        <f>VLOOKUP(C3012,Securities!A:D,4,FALSE)</f>
        <v>#N/A</v>
      </c>
      <c r="M3012" s="3" t="e">
        <f>VLOOKUP(C3012,Securities!A:B,2,FALSE)</f>
        <v>#N/A</v>
      </c>
      <c r="O3012" s="3">
        <f t="shared" si="47"/>
        <v>0</v>
      </c>
    </row>
    <row r="3013" spans="12:15" x14ac:dyDescent="0.25">
      <c r="L3013" s="3" t="e">
        <f>VLOOKUP(C3013,Securities!A:D,4,FALSE)</f>
        <v>#N/A</v>
      </c>
      <c r="M3013" s="3" t="e">
        <f>VLOOKUP(C3013,Securities!A:B,2,FALSE)</f>
        <v>#N/A</v>
      </c>
      <c r="O3013" s="3">
        <f t="shared" si="47"/>
        <v>0</v>
      </c>
    </row>
    <row r="3014" spans="12:15" x14ac:dyDescent="0.25">
      <c r="L3014" s="3" t="e">
        <f>VLOOKUP(C3014,Securities!A:D,4,FALSE)</f>
        <v>#N/A</v>
      </c>
      <c r="M3014" s="3" t="e">
        <f>VLOOKUP(C3014,Securities!A:B,2,FALSE)</f>
        <v>#N/A</v>
      </c>
      <c r="O3014" s="3">
        <f t="shared" ref="O3014:O3077" si="48">SUMIFS(E:E,C:C,C3014,B:B,B3014)</f>
        <v>0</v>
      </c>
    </row>
    <row r="3015" spans="12:15" x14ac:dyDescent="0.25">
      <c r="L3015" s="3" t="e">
        <f>VLOOKUP(C3015,Securities!A:D,4,FALSE)</f>
        <v>#N/A</v>
      </c>
      <c r="M3015" s="3" t="e">
        <f>VLOOKUP(C3015,Securities!A:B,2,FALSE)</f>
        <v>#N/A</v>
      </c>
      <c r="O3015" s="3">
        <f t="shared" si="48"/>
        <v>0</v>
      </c>
    </row>
    <row r="3016" spans="12:15" x14ac:dyDescent="0.25">
      <c r="L3016" s="3" t="e">
        <f>VLOOKUP(C3016,Securities!A:D,4,FALSE)</f>
        <v>#N/A</v>
      </c>
      <c r="M3016" s="3" t="e">
        <f>VLOOKUP(C3016,Securities!A:B,2,FALSE)</f>
        <v>#N/A</v>
      </c>
      <c r="O3016" s="3">
        <f t="shared" si="48"/>
        <v>0</v>
      </c>
    </row>
    <row r="3017" spans="12:15" x14ac:dyDescent="0.25">
      <c r="L3017" s="3" t="e">
        <f>VLOOKUP(C3017,Securities!A:D,4,FALSE)</f>
        <v>#N/A</v>
      </c>
      <c r="M3017" s="3" t="e">
        <f>VLOOKUP(C3017,Securities!A:B,2,FALSE)</f>
        <v>#N/A</v>
      </c>
      <c r="O3017" s="3">
        <f t="shared" si="48"/>
        <v>0</v>
      </c>
    </row>
    <row r="3018" spans="12:15" x14ac:dyDescent="0.25">
      <c r="L3018" s="3" t="e">
        <f>VLOOKUP(C3018,Securities!A:D,4,FALSE)</f>
        <v>#N/A</v>
      </c>
      <c r="M3018" s="3" t="e">
        <f>VLOOKUP(C3018,Securities!A:B,2,FALSE)</f>
        <v>#N/A</v>
      </c>
      <c r="O3018" s="3">
        <f t="shared" si="48"/>
        <v>0</v>
      </c>
    </row>
    <row r="3019" spans="12:15" x14ac:dyDescent="0.25">
      <c r="L3019" s="3" t="e">
        <f>VLOOKUP(C3019,Securities!A:D,4,FALSE)</f>
        <v>#N/A</v>
      </c>
      <c r="M3019" s="3" t="e">
        <f>VLOOKUP(C3019,Securities!A:B,2,FALSE)</f>
        <v>#N/A</v>
      </c>
      <c r="O3019" s="3">
        <f t="shared" si="48"/>
        <v>0</v>
      </c>
    </row>
    <row r="3020" spans="12:15" x14ac:dyDescent="0.25">
      <c r="L3020" s="3" t="e">
        <f>VLOOKUP(C3020,Securities!A:D,4,FALSE)</f>
        <v>#N/A</v>
      </c>
      <c r="M3020" s="3" t="e">
        <f>VLOOKUP(C3020,Securities!A:B,2,FALSE)</f>
        <v>#N/A</v>
      </c>
      <c r="O3020" s="3">
        <f t="shared" si="48"/>
        <v>0</v>
      </c>
    </row>
    <row r="3021" spans="12:15" x14ac:dyDescent="0.25">
      <c r="L3021" s="3" t="e">
        <f>VLOOKUP(C3021,Securities!A:D,4,FALSE)</f>
        <v>#N/A</v>
      </c>
      <c r="M3021" s="3" t="e">
        <f>VLOOKUP(C3021,Securities!A:B,2,FALSE)</f>
        <v>#N/A</v>
      </c>
      <c r="O3021" s="3">
        <f t="shared" si="48"/>
        <v>0</v>
      </c>
    </row>
    <row r="3022" spans="12:15" x14ac:dyDescent="0.25">
      <c r="L3022" s="3" t="e">
        <f>VLOOKUP(C3022,Securities!A:D,4,FALSE)</f>
        <v>#N/A</v>
      </c>
      <c r="M3022" s="3" t="e">
        <f>VLOOKUP(C3022,Securities!A:B,2,FALSE)</f>
        <v>#N/A</v>
      </c>
      <c r="O3022" s="3">
        <f t="shared" si="48"/>
        <v>0</v>
      </c>
    </row>
    <row r="3023" spans="12:15" x14ac:dyDescent="0.25">
      <c r="L3023" s="3" t="e">
        <f>VLOOKUP(C3023,Securities!A:D,4,FALSE)</f>
        <v>#N/A</v>
      </c>
      <c r="M3023" s="3" t="e">
        <f>VLOOKUP(C3023,Securities!A:B,2,FALSE)</f>
        <v>#N/A</v>
      </c>
      <c r="O3023" s="3">
        <f t="shared" si="48"/>
        <v>0</v>
      </c>
    </row>
    <row r="3024" spans="12:15" x14ac:dyDescent="0.25">
      <c r="L3024" s="3" t="e">
        <f>VLOOKUP(C3024,Securities!A:D,4,FALSE)</f>
        <v>#N/A</v>
      </c>
      <c r="M3024" s="3" t="e">
        <f>VLOOKUP(C3024,Securities!A:B,2,FALSE)</f>
        <v>#N/A</v>
      </c>
      <c r="O3024" s="3">
        <f t="shared" si="48"/>
        <v>0</v>
      </c>
    </row>
    <row r="3025" spans="12:15" x14ac:dyDescent="0.25">
      <c r="L3025" s="3" t="e">
        <f>VLOOKUP(C3025,Securities!A:D,4,FALSE)</f>
        <v>#N/A</v>
      </c>
      <c r="M3025" s="3" t="e">
        <f>VLOOKUP(C3025,Securities!A:B,2,FALSE)</f>
        <v>#N/A</v>
      </c>
      <c r="O3025" s="3">
        <f t="shared" si="48"/>
        <v>0</v>
      </c>
    </row>
    <row r="3026" spans="12:15" x14ac:dyDescent="0.25">
      <c r="L3026" s="3" t="e">
        <f>VLOOKUP(C3026,Securities!A:D,4,FALSE)</f>
        <v>#N/A</v>
      </c>
      <c r="M3026" s="3" t="e">
        <f>VLOOKUP(C3026,Securities!A:B,2,FALSE)</f>
        <v>#N/A</v>
      </c>
      <c r="O3026" s="3">
        <f t="shared" si="48"/>
        <v>0</v>
      </c>
    </row>
    <row r="3027" spans="12:15" x14ac:dyDescent="0.25">
      <c r="L3027" s="3" t="e">
        <f>VLOOKUP(C3027,Securities!A:D,4,FALSE)</f>
        <v>#N/A</v>
      </c>
      <c r="M3027" s="3" t="e">
        <f>VLOOKUP(C3027,Securities!A:B,2,FALSE)</f>
        <v>#N/A</v>
      </c>
      <c r="O3027" s="3">
        <f t="shared" si="48"/>
        <v>0</v>
      </c>
    </row>
    <row r="3028" spans="12:15" x14ac:dyDescent="0.25">
      <c r="L3028" s="3" t="e">
        <f>VLOOKUP(C3028,Securities!A:D,4,FALSE)</f>
        <v>#N/A</v>
      </c>
      <c r="M3028" s="3" t="e">
        <f>VLOOKUP(C3028,Securities!A:B,2,FALSE)</f>
        <v>#N/A</v>
      </c>
      <c r="O3028" s="3">
        <f t="shared" si="48"/>
        <v>0</v>
      </c>
    </row>
    <row r="3029" spans="12:15" x14ac:dyDescent="0.25">
      <c r="L3029" s="3" t="e">
        <f>VLOOKUP(C3029,Securities!A:D,4,FALSE)</f>
        <v>#N/A</v>
      </c>
      <c r="M3029" s="3" t="e">
        <f>VLOOKUP(C3029,Securities!A:B,2,FALSE)</f>
        <v>#N/A</v>
      </c>
      <c r="O3029" s="3">
        <f t="shared" si="48"/>
        <v>0</v>
      </c>
    </row>
    <row r="3030" spans="12:15" x14ac:dyDescent="0.25">
      <c r="L3030" s="3" t="e">
        <f>VLOOKUP(C3030,Securities!A:D,4,FALSE)</f>
        <v>#N/A</v>
      </c>
      <c r="M3030" s="3" t="e">
        <f>VLOOKUP(C3030,Securities!A:B,2,FALSE)</f>
        <v>#N/A</v>
      </c>
      <c r="O3030" s="3">
        <f t="shared" si="48"/>
        <v>0</v>
      </c>
    </row>
    <row r="3031" spans="12:15" x14ac:dyDescent="0.25">
      <c r="L3031" s="3" t="e">
        <f>VLOOKUP(C3031,Securities!A:D,4,FALSE)</f>
        <v>#N/A</v>
      </c>
      <c r="M3031" s="3" t="e">
        <f>VLOOKUP(C3031,Securities!A:B,2,FALSE)</f>
        <v>#N/A</v>
      </c>
      <c r="O3031" s="3">
        <f t="shared" si="48"/>
        <v>0</v>
      </c>
    </row>
    <row r="3032" spans="12:15" x14ac:dyDescent="0.25">
      <c r="L3032" s="3" t="e">
        <f>VLOOKUP(C3032,Securities!A:D,4,FALSE)</f>
        <v>#N/A</v>
      </c>
      <c r="M3032" s="3" t="e">
        <f>VLOOKUP(C3032,Securities!A:B,2,FALSE)</f>
        <v>#N/A</v>
      </c>
      <c r="O3032" s="3">
        <f t="shared" si="48"/>
        <v>0</v>
      </c>
    </row>
    <row r="3033" spans="12:15" x14ac:dyDescent="0.25">
      <c r="L3033" s="3" t="e">
        <f>VLOOKUP(C3033,Securities!A:D,4,FALSE)</f>
        <v>#N/A</v>
      </c>
      <c r="M3033" s="3" t="e">
        <f>VLOOKUP(C3033,Securities!A:B,2,FALSE)</f>
        <v>#N/A</v>
      </c>
      <c r="O3033" s="3">
        <f t="shared" si="48"/>
        <v>0</v>
      </c>
    </row>
    <row r="3034" spans="12:15" x14ac:dyDescent="0.25">
      <c r="L3034" s="3" t="e">
        <f>VLOOKUP(C3034,Securities!A:D,4,FALSE)</f>
        <v>#N/A</v>
      </c>
      <c r="M3034" s="3" t="e">
        <f>VLOOKUP(C3034,Securities!A:B,2,FALSE)</f>
        <v>#N/A</v>
      </c>
      <c r="O3034" s="3">
        <f t="shared" si="48"/>
        <v>0</v>
      </c>
    </row>
    <row r="3035" spans="12:15" x14ac:dyDescent="0.25">
      <c r="L3035" s="3" t="e">
        <f>VLOOKUP(C3035,Securities!A:D,4,FALSE)</f>
        <v>#N/A</v>
      </c>
      <c r="M3035" s="3" t="e">
        <f>VLOOKUP(C3035,Securities!A:B,2,FALSE)</f>
        <v>#N/A</v>
      </c>
      <c r="O3035" s="3">
        <f t="shared" si="48"/>
        <v>0</v>
      </c>
    </row>
    <row r="3036" spans="12:15" x14ac:dyDescent="0.25">
      <c r="L3036" s="3" t="e">
        <f>VLOOKUP(C3036,Securities!A:D,4,FALSE)</f>
        <v>#N/A</v>
      </c>
      <c r="M3036" s="3" t="e">
        <f>VLOOKUP(C3036,Securities!A:B,2,FALSE)</f>
        <v>#N/A</v>
      </c>
      <c r="O3036" s="3">
        <f t="shared" si="48"/>
        <v>0</v>
      </c>
    </row>
    <row r="3037" spans="12:15" x14ac:dyDescent="0.25">
      <c r="L3037" s="3" t="e">
        <f>VLOOKUP(C3037,Securities!A:D,4,FALSE)</f>
        <v>#N/A</v>
      </c>
      <c r="M3037" s="3" t="e">
        <f>VLOOKUP(C3037,Securities!A:B,2,FALSE)</f>
        <v>#N/A</v>
      </c>
      <c r="O3037" s="3">
        <f t="shared" si="48"/>
        <v>0</v>
      </c>
    </row>
    <row r="3038" spans="12:15" x14ac:dyDescent="0.25">
      <c r="L3038" s="3" t="e">
        <f>VLOOKUP(C3038,Securities!A:D,4,FALSE)</f>
        <v>#N/A</v>
      </c>
      <c r="M3038" s="3" t="e">
        <f>VLOOKUP(C3038,Securities!A:B,2,FALSE)</f>
        <v>#N/A</v>
      </c>
      <c r="O3038" s="3">
        <f t="shared" si="48"/>
        <v>0</v>
      </c>
    </row>
    <row r="3039" spans="12:15" x14ac:dyDescent="0.25">
      <c r="L3039" s="3" t="e">
        <f>VLOOKUP(C3039,Securities!A:D,4,FALSE)</f>
        <v>#N/A</v>
      </c>
      <c r="M3039" s="3" t="e">
        <f>VLOOKUP(C3039,Securities!A:B,2,FALSE)</f>
        <v>#N/A</v>
      </c>
      <c r="O3039" s="3">
        <f t="shared" si="48"/>
        <v>0</v>
      </c>
    </row>
    <row r="3040" spans="12:15" x14ac:dyDescent="0.25">
      <c r="L3040" s="3" t="e">
        <f>VLOOKUP(C3040,Securities!A:D,4,FALSE)</f>
        <v>#N/A</v>
      </c>
      <c r="M3040" s="3" t="e">
        <f>VLOOKUP(C3040,Securities!A:B,2,FALSE)</f>
        <v>#N/A</v>
      </c>
      <c r="O3040" s="3">
        <f t="shared" si="48"/>
        <v>0</v>
      </c>
    </row>
    <row r="3041" spans="12:15" x14ac:dyDescent="0.25">
      <c r="L3041" s="3" t="e">
        <f>VLOOKUP(C3041,Securities!A:D,4,FALSE)</f>
        <v>#N/A</v>
      </c>
      <c r="M3041" s="3" t="e">
        <f>VLOOKUP(C3041,Securities!A:B,2,FALSE)</f>
        <v>#N/A</v>
      </c>
      <c r="O3041" s="3">
        <f t="shared" si="48"/>
        <v>0</v>
      </c>
    </row>
    <row r="3042" spans="12:15" x14ac:dyDescent="0.25">
      <c r="L3042" s="3" t="e">
        <f>VLOOKUP(C3042,Securities!A:D,4,FALSE)</f>
        <v>#N/A</v>
      </c>
      <c r="M3042" s="3" t="e">
        <f>VLOOKUP(C3042,Securities!A:B,2,FALSE)</f>
        <v>#N/A</v>
      </c>
      <c r="O3042" s="3">
        <f t="shared" si="48"/>
        <v>0</v>
      </c>
    </row>
    <row r="3043" spans="12:15" x14ac:dyDescent="0.25">
      <c r="L3043" s="3" t="e">
        <f>VLOOKUP(C3043,Securities!A:D,4,FALSE)</f>
        <v>#N/A</v>
      </c>
      <c r="M3043" s="3" t="e">
        <f>VLOOKUP(C3043,Securities!A:B,2,FALSE)</f>
        <v>#N/A</v>
      </c>
      <c r="O3043" s="3">
        <f t="shared" si="48"/>
        <v>0</v>
      </c>
    </row>
    <row r="3044" spans="12:15" x14ac:dyDescent="0.25">
      <c r="L3044" s="3" t="e">
        <f>VLOOKUP(C3044,Securities!A:D,4,FALSE)</f>
        <v>#N/A</v>
      </c>
      <c r="M3044" s="3" t="e">
        <f>VLOOKUP(C3044,Securities!A:B,2,FALSE)</f>
        <v>#N/A</v>
      </c>
      <c r="O3044" s="3">
        <f t="shared" si="48"/>
        <v>0</v>
      </c>
    </row>
    <row r="3045" spans="12:15" x14ac:dyDescent="0.25">
      <c r="L3045" s="3" t="e">
        <f>VLOOKUP(C3045,Securities!A:D,4,FALSE)</f>
        <v>#N/A</v>
      </c>
      <c r="M3045" s="3" t="e">
        <f>VLOOKUP(C3045,Securities!A:B,2,FALSE)</f>
        <v>#N/A</v>
      </c>
      <c r="O3045" s="3">
        <f t="shared" si="48"/>
        <v>0</v>
      </c>
    </row>
    <row r="3046" spans="12:15" x14ac:dyDescent="0.25">
      <c r="L3046" s="3" t="e">
        <f>VLOOKUP(C3046,Securities!A:D,4,FALSE)</f>
        <v>#N/A</v>
      </c>
      <c r="M3046" s="3" t="e">
        <f>VLOOKUP(C3046,Securities!A:B,2,FALSE)</f>
        <v>#N/A</v>
      </c>
      <c r="O3046" s="3">
        <f t="shared" si="48"/>
        <v>0</v>
      </c>
    </row>
    <row r="3047" spans="12:15" x14ac:dyDescent="0.25">
      <c r="L3047" s="3" t="e">
        <f>VLOOKUP(C3047,Securities!A:D,4,FALSE)</f>
        <v>#N/A</v>
      </c>
      <c r="M3047" s="3" t="e">
        <f>VLOOKUP(C3047,Securities!A:B,2,FALSE)</f>
        <v>#N/A</v>
      </c>
      <c r="O3047" s="3">
        <f t="shared" si="48"/>
        <v>0</v>
      </c>
    </row>
    <row r="3048" spans="12:15" x14ac:dyDescent="0.25">
      <c r="L3048" s="3" t="e">
        <f>VLOOKUP(C3048,Securities!A:D,4,FALSE)</f>
        <v>#N/A</v>
      </c>
      <c r="M3048" s="3" t="e">
        <f>VLOOKUP(C3048,Securities!A:B,2,FALSE)</f>
        <v>#N/A</v>
      </c>
      <c r="O3048" s="3">
        <f t="shared" si="48"/>
        <v>0</v>
      </c>
    </row>
    <row r="3049" spans="12:15" x14ac:dyDescent="0.25">
      <c r="L3049" s="3" t="e">
        <f>VLOOKUP(C3049,Securities!A:D,4,FALSE)</f>
        <v>#N/A</v>
      </c>
      <c r="M3049" s="3" t="e">
        <f>VLOOKUP(C3049,Securities!A:B,2,FALSE)</f>
        <v>#N/A</v>
      </c>
      <c r="O3049" s="3">
        <f t="shared" si="48"/>
        <v>0</v>
      </c>
    </row>
    <row r="3050" spans="12:15" x14ac:dyDescent="0.25">
      <c r="L3050" s="3" t="e">
        <f>VLOOKUP(C3050,Securities!A:D,4,FALSE)</f>
        <v>#N/A</v>
      </c>
      <c r="M3050" s="3" t="e">
        <f>VLOOKUP(C3050,Securities!A:B,2,FALSE)</f>
        <v>#N/A</v>
      </c>
      <c r="O3050" s="3">
        <f t="shared" si="48"/>
        <v>0</v>
      </c>
    </row>
    <row r="3051" spans="12:15" x14ac:dyDescent="0.25">
      <c r="L3051" s="3" t="e">
        <f>VLOOKUP(C3051,Securities!A:D,4,FALSE)</f>
        <v>#N/A</v>
      </c>
      <c r="M3051" s="3" t="e">
        <f>VLOOKUP(C3051,Securities!A:B,2,FALSE)</f>
        <v>#N/A</v>
      </c>
      <c r="O3051" s="3">
        <f t="shared" si="48"/>
        <v>0</v>
      </c>
    </row>
    <row r="3052" spans="12:15" x14ac:dyDescent="0.25">
      <c r="L3052" s="3" t="e">
        <f>VLOOKUP(C3052,Securities!A:D,4,FALSE)</f>
        <v>#N/A</v>
      </c>
      <c r="M3052" s="3" t="e">
        <f>VLOOKUP(C3052,Securities!A:B,2,FALSE)</f>
        <v>#N/A</v>
      </c>
      <c r="O3052" s="3">
        <f t="shared" si="48"/>
        <v>0</v>
      </c>
    </row>
    <row r="3053" spans="12:15" x14ac:dyDescent="0.25">
      <c r="L3053" s="3" t="e">
        <f>VLOOKUP(C3053,Securities!A:D,4,FALSE)</f>
        <v>#N/A</v>
      </c>
      <c r="M3053" s="3" t="e">
        <f>VLOOKUP(C3053,Securities!A:B,2,FALSE)</f>
        <v>#N/A</v>
      </c>
      <c r="O3053" s="3">
        <f t="shared" si="48"/>
        <v>0</v>
      </c>
    </row>
    <row r="3054" spans="12:15" x14ac:dyDescent="0.25">
      <c r="L3054" s="3" t="e">
        <f>VLOOKUP(C3054,Securities!A:D,4,FALSE)</f>
        <v>#N/A</v>
      </c>
      <c r="M3054" s="3" t="e">
        <f>VLOOKUP(C3054,Securities!A:B,2,FALSE)</f>
        <v>#N/A</v>
      </c>
      <c r="O3054" s="3">
        <f t="shared" si="48"/>
        <v>0</v>
      </c>
    </row>
    <row r="3055" spans="12:15" x14ac:dyDescent="0.25">
      <c r="L3055" s="3" t="e">
        <f>VLOOKUP(C3055,Securities!A:D,4,FALSE)</f>
        <v>#N/A</v>
      </c>
      <c r="M3055" s="3" t="e">
        <f>VLOOKUP(C3055,Securities!A:B,2,FALSE)</f>
        <v>#N/A</v>
      </c>
      <c r="O3055" s="3">
        <f t="shared" si="48"/>
        <v>0</v>
      </c>
    </row>
    <row r="3056" spans="12:15" x14ac:dyDescent="0.25">
      <c r="L3056" s="3" t="e">
        <f>VLOOKUP(C3056,Securities!A:D,4,FALSE)</f>
        <v>#N/A</v>
      </c>
      <c r="M3056" s="3" t="e">
        <f>VLOOKUP(C3056,Securities!A:B,2,FALSE)</f>
        <v>#N/A</v>
      </c>
      <c r="O3056" s="3">
        <f t="shared" si="48"/>
        <v>0</v>
      </c>
    </row>
    <row r="3057" spans="12:15" x14ac:dyDescent="0.25">
      <c r="L3057" s="3" t="e">
        <f>VLOOKUP(C3057,Securities!A:D,4,FALSE)</f>
        <v>#N/A</v>
      </c>
      <c r="M3057" s="3" t="e">
        <f>VLOOKUP(C3057,Securities!A:B,2,FALSE)</f>
        <v>#N/A</v>
      </c>
      <c r="O3057" s="3">
        <f t="shared" si="48"/>
        <v>0</v>
      </c>
    </row>
    <row r="3058" spans="12:15" x14ac:dyDescent="0.25">
      <c r="L3058" s="3" t="e">
        <f>VLOOKUP(C3058,Securities!A:D,4,FALSE)</f>
        <v>#N/A</v>
      </c>
      <c r="M3058" s="3" t="e">
        <f>VLOOKUP(C3058,Securities!A:B,2,FALSE)</f>
        <v>#N/A</v>
      </c>
      <c r="O3058" s="3">
        <f t="shared" si="48"/>
        <v>0</v>
      </c>
    </row>
    <row r="3059" spans="12:15" x14ac:dyDescent="0.25">
      <c r="L3059" s="3" t="e">
        <f>VLOOKUP(C3059,Securities!A:D,4,FALSE)</f>
        <v>#N/A</v>
      </c>
      <c r="M3059" s="3" t="e">
        <f>VLOOKUP(C3059,Securities!A:B,2,FALSE)</f>
        <v>#N/A</v>
      </c>
      <c r="O3059" s="3">
        <f t="shared" si="48"/>
        <v>0</v>
      </c>
    </row>
    <row r="3060" spans="12:15" x14ac:dyDescent="0.25">
      <c r="L3060" s="3" t="e">
        <f>VLOOKUP(C3060,Securities!A:D,4,FALSE)</f>
        <v>#N/A</v>
      </c>
      <c r="M3060" s="3" t="e">
        <f>VLOOKUP(C3060,Securities!A:B,2,FALSE)</f>
        <v>#N/A</v>
      </c>
      <c r="O3060" s="3">
        <f t="shared" si="48"/>
        <v>0</v>
      </c>
    </row>
    <row r="3061" spans="12:15" x14ac:dyDescent="0.25">
      <c r="L3061" s="3" t="e">
        <f>VLOOKUP(C3061,Securities!A:D,4,FALSE)</f>
        <v>#N/A</v>
      </c>
      <c r="M3061" s="3" t="e">
        <f>VLOOKUP(C3061,Securities!A:B,2,FALSE)</f>
        <v>#N/A</v>
      </c>
      <c r="O3061" s="3">
        <f t="shared" si="48"/>
        <v>0</v>
      </c>
    </row>
    <row r="3062" spans="12:15" x14ac:dyDescent="0.25">
      <c r="L3062" s="3" t="e">
        <f>VLOOKUP(C3062,Securities!A:D,4,FALSE)</f>
        <v>#N/A</v>
      </c>
      <c r="M3062" s="3" t="e">
        <f>VLOOKUP(C3062,Securities!A:B,2,FALSE)</f>
        <v>#N/A</v>
      </c>
      <c r="O3062" s="3">
        <f t="shared" si="48"/>
        <v>0</v>
      </c>
    </row>
    <row r="3063" spans="12:15" x14ac:dyDescent="0.25">
      <c r="L3063" s="3" t="e">
        <f>VLOOKUP(C3063,Securities!A:D,4,FALSE)</f>
        <v>#N/A</v>
      </c>
      <c r="M3063" s="3" t="e">
        <f>VLOOKUP(C3063,Securities!A:B,2,FALSE)</f>
        <v>#N/A</v>
      </c>
      <c r="O3063" s="3">
        <f t="shared" si="48"/>
        <v>0</v>
      </c>
    </row>
    <row r="3064" spans="12:15" x14ac:dyDescent="0.25">
      <c r="L3064" s="3" t="e">
        <f>VLOOKUP(C3064,Securities!A:D,4,FALSE)</f>
        <v>#N/A</v>
      </c>
      <c r="M3064" s="3" t="e">
        <f>VLOOKUP(C3064,Securities!A:B,2,FALSE)</f>
        <v>#N/A</v>
      </c>
      <c r="O3064" s="3">
        <f t="shared" si="48"/>
        <v>0</v>
      </c>
    </row>
    <row r="3065" spans="12:15" x14ac:dyDescent="0.25">
      <c r="L3065" s="3" t="e">
        <f>VLOOKUP(C3065,Securities!A:D,4,FALSE)</f>
        <v>#N/A</v>
      </c>
      <c r="M3065" s="3" t="e">
        <f>VLOOKUP(C3065,Securities!A:B,2,FALSE)</f>
        <v>#N/A</v>
      </c>
      <c r="O3065" s="3">
        <f t="shared" si="48"/>
        <v>0</v>
      </c>
    </row>
    <row r="3066" spans="12:15" x14ac:dyDescent="0.25">
      <c r="L3066" s="3" t="e">
        <f>VLOOKUP(C3066,Securities!A:D,4,FALSE)</f>
        <v>#N/A</v>
      </c>
      <c r="M3066" s="3" t="e">
        <f>VLOOKUP(C3066,Securities!A:B,2,FALSE)</f>
        <v>#N/A</v>
      </c>
      <c r="O3066" s="3">
        <f t="shared" si="48"/>
        <v>0</v>
      </c>
    </row>
    <row r="3067" spans="12:15" x14ac:dyDescent="0.25">
      <c r="L3067" s="3" t="e">
        <f>VLOOKUP(C3067,Securities!A:D,4,FALSE)</f>
        <v>#N/A</v>
      </c>
      <c r="M3067" s="3" t="e">
        <f>VLOOKUP(C3067,Securities!A:B,2,FALSE)</f>
        <v>#N/A</v>
      </c>
      <c r="O3067" s="3">
        <f t="shared" si="48"/>
        <v>0</v>
      </c>
    </row>
    <row r="3068" spans="12:15" x14ac:dyDescent="0.25">
      <c r="L3068" s="3" t="e">
        <f>VLOOKUP(C3068,Securities!A:D,4,FALSE)</f>
        <v>#N/A</v>
      </c>
      <c r="M3068" s="3" t="e">
        <f>VLOOKUP(C3068,Securities!A:B,2,FALSE)</f>
        <v>#N/A</v>
      </c>
      <c r="O3068" s="3">
        <f t="shared" si="48"/>
        <v>0</v>
      </c>
    </row>
    <row r="3069" spans="12:15" x14ac:dyDescent="0.25">
      <c r="L3069" s="3" t="e">
        <f>VLOOKUP(C3069,Securities!A:D,4,FALSE)</f>
        <v>#N/A</v>
      </c>
      <c r="M3069" s="3" t="e">
        <f>VLOOKUP(C3069,Securities!A:B,2,FALSE)</f>
        <v>#N/A</v>
      </c>
      <c r="O3069" s="3">
        <f t="shared" si="48"/>
        <v>0</v>
      </c>
    </row>
    <row r="3070" spans="12:15" x14ac:dyDescent="0.25">
      <c r="L3070" s="3" t="e">
        <f>VLOOKUP(C3070,Securities!A:D,4,FALSE)</f>
        <v>#N/A</v>
      </c>
      <c r="M3070" s="3" t="e">
        <f>VLOOKUP(C3070,Securities!A:B,2,FALSE)</f>
        <v>#N/A</v>
      </c>
      <c r="O3070" s="3">
        <f t="shared" si="48"/>
        <v>0</v>
      </c>
    </row>
    <row r="3071" spans="12:15" x14ac:dyDescent="0.25">
      <c r="L3071" s="3" t="e">
        <f>VLOOKUP(C3071,Securities!A:D,4,FALSE)</f>
        <v>#N/A</v>
      </c>
      <c r="M3071" s="3" t="e">
        <f>VLOOKUP(C3071,Securities!A:B,2,FALSE)</f>
        <v>#N/A</v>
      </c>
      <c r="O3071" s="3">
        <f t="shared" si="48"/>
        <v>0</v>
      </c>
    </row>
    <row r="3072" spans="12:15" x14ac:dyDescent="0.25">
      <c r="L3072" s="3" t="e">
        <f>VLOOKUP(C3072,Securities!A:D,4,FALSE)</f>
        <v>#N/A</v>
      </c>
      <c r="M3072" s="3" t="e">
        <f>VLOOKUP(C3072,Securities!A:B,2,FALSE)</f>
        <v>#N/A</v>
      </c>
      <c r="O3072" s="3">
        <f t="shared" si="48"/>
        <v>0</v>
      </c>
    </row>
    <row r="3073" spans="12:15" x14ac:dyDescent="0.25">
      <c r="L3073" s="3" t="e">
        <f>VLOOKUP(C3073,Securities!A:D,4,FALSE)</f>
        <v>#N/A</v>
      </c>
      <c r="M3073" s="3" t="e">
        <f>VLOOKUP(C3073,Securities!A:B,2,FALSE)</f>
        <v>#N/A</v>
      </c>
      <c r="O3073" s="3">
        <f t="shared" si="48"/>
        <v>0</v>
      </c>
    </row>
    <row r="3074" spans="12:15" x14ac:dyDescent="0.25">
      <c r="L3074" s="3" t="e">
        <f>VLOOKUP(C3074,Securities!A:D,4,FALSE)</f>
        <v>#N/A</v>
      </c>
      <c r="M3074" s="3" t="e">
        <f>VLOOKUP(C3074,Securities!A:B,2,FALSE)</f>
        <v>#N/A</v>
      </c>
      <c r="O3074" s="3">
        <f t="shared" si="48"/>
        <v>0</v>
      </c>
    </row>
    <row r="3075" spans="12:15" x14ac:dyDescent="0.25">
      <c r="L3075" s="3" t="e">
        <f>VLOOKUP(C3075,Securities!A:D,4,FALSE)</f>
        <v>#N/A</v>
      </c>
      <c r="M3075" s="3" t="e">
        <f>VLOOKUP(C3075,Securities!A:B,2,FALSE)</f>
        <v>#N/A</v>
      </c>
      <c r="O3075" s="3">
        <f t="shared" si="48"/>
        <v>0</v>
      </c>
    </row>
    <row r="3076" spans="12:15" x14ac:dyDescent="0.25">
      <c r="L3076" s="3" t="e">
        <f>VLOOKUP(C3076,Securities!A:D,4,FALSE)</f>
        <v>#N/A</v>
      </c>
      <c r="M3076" s="3" t="e">
        <f>VLOOKUP(C3076,Securities!A:B,2,FALSE)</f>
        <v>#N/A</v>
      </c>
      <c r="O3076" s="3">
        <f t="shared" si="48"/>
        <v>0</v>
      </c>
    </row>
    <row r="3077" spans="12:15" x14ac:dyDescent="0.25">
      <c r="L3077" s="3" t="e">
        <f>VLOOKUP(C3077,Securities!A:D,4,FALSE)</f>
        <v>#N/A</v>
      </c>
      <c r="M3077" s="3" t="e">
        <f>VLOOKUP(C3077,Securities!A:B,2,FALSE)</f>
        <v>#N/A</v>
      </c>
      <c r="O3077" s="3">
        <f t="shared" si="48"/>
        <v>0</v>
      </c>
    </row>
    <row r="3078" spans="12:15" x14ac:dyDescent="0.25">
      <c r="L3078" s="3" t="e">
        <f>VLOOKUP(C3078,Securities!A:D,4,FALSE)</f>
        <v>#N/A</v>
      </c>
      <c r="M3078" s="3" t="e">
        <f>VLOOKUP(C3078,Securities!A:B,2,FALSE)</f>
        <v>#N/A</v>
      </c>
      <c r="O3078" s="3">
        <f t="shared" ref="O3078:O3141" si="49">SUMIFS(E:E,C:C,C3078,B:B,B3078)</f>
        <v>0</v>
      </c>
    </row>
    <row r="3079" spans="12:15" x14ac:dyDescent="0.25">
      <c r="L3079" s="3" t="e">
        <f>VLOOKUP(C3079,Securities!A:D,4,FALSE)</f>
        <v>#N/A</v>
      </c>
      <c r="M3079" s="3" t="e">
        <f>VLOOKUP(C3079,Securities!A:B,2,FALSE)</f>
        <v>#N/A</v>
      </c>
      <c r="O3079" s="3">
        <f t="shared" si="49"/>
        <v>0</v>
      </c>
    </row>
    <row r="3080" spans="12:15" x14ac:dyDescent="0.25">
      <c r="L3080" s="3" t="e">
        <f>VLOOKUP(C3080,Securities!A:D,4,FALSE)</f>
        <v>#N/A</v>
      </c>
      <c r="M3080" s="3" t="e">
        <f>VLOOKUP(C3080,Securities!A:B,2,FALSE)</f>
        <v>#N/A</v>
      </c>
      <c r="O3080" s="3">
        <f t="shared" si="49"/>
        <v>0</v>
      </c>
    </row>
    <row r="3081" spans="12:15" x14ac:dyDescent="0.25">
      <c r="L3081" s="3" t="e">
        <f>VLOOKUP(C3081,Securities!A:D,4,FALSE)</f>
        <v>#N/A</v>
      </c>
      <c r="M3081" s="3" t="e">
        <f>VLOOKUP(C3081,Securities!A:B,2,FALSE)</f>
        <v>#N/A</v>
      </c>
      <c r="O3081" s="3">
        <f t="shared" si="49"/>
        <v>0</v>
      </c>
    </row>
    <row r="3082" spans="12:15" x14ac:dyDescent="0.25">
      <c r="L3082" s="3" t="e">
        <f>VLOOKUP(C3082,Securities!A:D,4,FALSE)</f>
        <v>#N/A</v>
      </c>
      <c r="M3082" s="3" t="e">
        <f>VLOOKUP(C3082,Securities!A:B,2,FALSE)</f>
        <v>#N/A</v>
      </c>
      <c r="O3082" s="3">
        <f t="shared" si="49"/>
        <v>0</v>
      </c>
    </row>
    <row r="3083" spans="12:15" x14ac:dyDescent="0.25">
      <c r="L3083" s="3" t="e">
        <f>VLOOKUP(C3083,Securities!A:D,4,FALSE)</f>
        <v>#N/A</v>
      </c>
      <c r="M3083" s="3" t="e">
        <f>VLOOKUP(C3083,Securities!A:B,2,FALSE)</f>
        <v>#N/A</v>
      </c>
      <c r="O3083" s="3">
        <f t="shared" si="49"/>
        <v>0</v>
      </c>
    </row>
    <row r="3084" spans="12:15" x14ac:dyDescent="0.25">
      <c r="L3084" s="3" t="e">
        <f>VLOOKUP(C3084,Securities!A:D,4,FALSE)</f>
        <v>#N/A</v>
      </c>
      <c r="M3084" s="3" t="e">
        <f>VLOOKUP(C3084,Securities!A:B,2,FALSE)</f>
        <v>#N/A</v>
      </c>
      <c r="O3084" s="3">
        <f t="shared" si="49"/>
        <v>0</v>
      </c>
    </row>
    <row r="3085" spans="12:15" x14ac:dyDescent="0.25">
      <c r="L3085" s="3" t="e">
        <f>VLOOKUP(C3085,Securities!A:D,4,FALSE)</f>
        <v>#N/A</v>
      </c>
      <c r="M3085" s="3" t="e">
        <f>VLOOKUP(C3085,Securities!A:B,2,FALSE)</f>
        <v>#N/A</v>
      </c>
      <c r="O3085" s="3">
        <f t="shared" si="49"/>
        <v>0</v>
      </c>
    </row>
    <row r="3086" spans="12:15" x14ac:dyDescent="0.25">
      <c r="L3086" s="3" t="e">
        <f>VLOOKUP(C3086,Securities!A:D,4,FALSE)</f>
        <v>#N/A</v>
      </c>
      <c r="M3086" s="3" t="e">
        <f>VLOOKUP(C3086,Securities!A:B,2,FALSE)</f>
        <v>#N/A</v>
      </c>
      <c r="O3086" s="3">
        <f t="shared" si="49"/>
        <v>0</v>
      </c>
    </row>
    <row r="3087" spans="12:15" x14ac:dyDescent="0.25">
      <c r="L3087" s="3" t="e">
        <f>VLOOKUP(C3087,Securities!A:D,4,FALSE)</f>
        <v>#N/A</v>
      </c>
      <c r="M3087" s="3" t="e">
        <f>VLOOKUP(C3087,Securities!A:B,2,FALSE)</f>
        <v>#N/A</v>
      </c>
      <c r="O3087" s="3">
        <f t="shared" si="49"/>
        <v>0</v>
      </c>
    </row>
    <row r="3088" spans="12:15" x14ac:dyDescent="0.25">
      <c r="L3088" s="3" t="e">
        <f>VLOOKUP(C3088,Securities!A:D,4,FALSE)</f>
        <v>#N/A</v>
      </c>
      <c r="M3088" s="3" t="e">
        <f>VLOOKUP(C3088,Securities!A:B,2,FALSE)</f>
        <v>#N/A</v>
      </c>
      <c r="O3088" s="3">
        <f t="shared" si="49"/>
        <v>0</v>
      </c>
    </row>
    <row r="3089" spans="12:15" x14ac:dyDescent="0.25">
      <c r="L3089" s="3" t="e">
        <f>VLOOKUP(C3089,Securities!A:D,4,FALSE)</f>
        <v>#N/A</v>
      </c>
      <c r="M3089" s="3" t="e">
        <f>VLOOKUP(C3089,Securities!A:B,2,FALSE)</f>
        <v>#N/A</v>
      </c>
      <c r="O3089" s="3">
        <f t="shared" si="49"/>
        <v>0</v>
      </c>
    </row>
    <row r="3090" spans="12:15" x14ac:dyDescent="0.25">
      <c r="L3090" s="3" t="e">
        <f>VLOOKUP(C3090,Securities!A:D,4,FALSE)</f>
        <v>#N/A</v>
      </c>
      <c r="M3090" s="3" t="e">
        <f>VLOOKUP(C3090,Securities!A:B,2,FALSE)</f>
        <v>#N/A</v>
      </c>
      <c r="O3090" s="3">
        <f t="shared" si="49"/>
        <v>0</v>
      </c>
    </row>
    <row r="3091" spans="12:15" x14ac:dyDescent="0.25">
      <c r="L3091" s="3" t="e">
        <f>VLOOKUP(C3091,Securities!A:D,4,FALSE)</f>
        <v>#N/A</v>
      </c>
      <c r="M3091" s="3" t="e">
        <f>VLOOKUP(C3091,Securities!A:B,2,FALSE)</f>
        <v>#N/A</v>
      </c>
      <c r="O3091" s="3">
        <f t="shared" si="49"/>
        <v>0</v>
      </c>
    </row>
    <row r="3092" spans="12:15" x14ac:dyDescent="0.25">
      <c r="L3092" s="3" t="e">
        <f>VLOOKUP(C3092,Securities!A:D,4,FALSE)</f>
        <v>#N/A</v>
      </c>
      <c r="M3092" s="3" t="e">
        <f>VLOOKUP(C3092,Securities!A:B,2,FALSE)</f>
        <v>#N/A</v>
      </c>
      <c r="O3092" s="3">
        <f t="shared" si="49"/>
        <v>0</v>
      </c>
    </row>
    <row r="3093" spans="12:15" x14ac:dyDescent="0.25">
      <c r="L3093" s="3" t="e">
        <f>VLOOKUP(C3093,Securities!A:D,4,FALSE)</f>
        <v>#N/A</v>
      </c>
      <c r="M3093" s="3" t="e">
        <f>VLOOKUP(C3093,Securities!A:B,2,FALSE)</f>
        <v>#N/A</v>
      </c>
      <c r="O3093" s="3">
        <f t="shared" si="49"/>
        <v>0</v>
      </c>
    </row>
    <row r="3094" spans="12:15" x14ac:dyDescent="0.25">
      <c r="L3094" s="3" t="e">
        <f>VLOOKUP(C3094,Securities!A:D,4,FALSE)</f>
        <v>#N/A</v>
      </c>
      <c r="M3094" s="3" t="e">
        <f>VLOOKUP(C3094,Securities!A:B,2,FALSE)</f>
        <v>#N/A</v>
      </c>
      <c r="O3094" s="3">
        <f t="shared" si="49"/>
        <v>0</v>
      </c>
    </row>
    <row r="3095" spans="12:15" x14ac:dyDescent="0.25">
      <c r="L3095" s="3" t="e">
        <f>VLOOKUP(C3095,Securities!A:D,4,FALSE)</f>
        <v>#N/A</v>
      </c>
      <c r="M3095" s="3" t="e">
        <f>VLOOKUP(C3095,Securities!A:B,2,FALSE)</f>
        <v>#N/A</v>
      </c>
      <c r="O3095" s="3">
        <f t="shared" si="49"/>
        <v>0</v>
      </c>
    </row>
    <row r="3096" spans="12:15" x14ac:dyDescent="0.25">
      <c r="L3096" s="3" t="e">
        <f>VLOOKUP(C3096,Securities!A:D,4,FALSE)</f>
        <v>#N/A</v>
      </c>
      <c r="M3096" s="3" t="e">
        <f>VLOOKUP(C3096,Securities!A:B,2,FALSE)</f>
        <v>#N/A</v>
      </c>
      <c r="O3096" s="3">
        <f t="shared" si="49"/>
        <v>0</v>
      </c>
    </row>
    <row r="3097" spans="12:15" x14ac:dyDescent="0.25">
      <c r="L3097" s="3" t="e">
        <f>VLOOKUP(C3097,Securities!A:D,4,FALSE)</f>
        <v>#N/A</v>
      </c>
      <c r="M3097" s="3" t="e">
        <f>VLOOKUP(C3097,Securities!A:B,2,FALSE)</f>
        <v>#N/A</v>
      </c>
      <c r="O3097" s="3">
        <f t="shared" si="49"/>
        <v>0</v>
      </c>
    </row>
    <row r="3098" spans="12:15" x14ac:dyDescent="0.25">
      <c r="L3098" s="3" t="e">
        <f>VLOOKUP(C3098,Securities!A:D,4,FALSE)</f>
        <v>#N/A</v>
      </c>
      <c r="M3098" s="3" t="e">
        <f>VLOOKUP(C3098,Securities!A:B,2,FALSE)</f>
        <v>#N/A</v>
      </c>
      <c r="O3098" s="3">
        <f t="shared" si="49"/>
        <v>0</v>
      </c>
    </row>
    <row r="3099" spans="12:15" x14ac:dyDescent="0.25">
      <c r="L3099" s="3" t="e">
        <f>VLOOKUP(C3099,Securities!A:D,4,FALSE)</f>
        <v>#N/A</v>
      </c>
      <c r="M3099" s="3" t="e">
        <f>VLOOKUP(C3099,Securities!A:B,2,FALSE)</f>
        <v>#N/A</v>
      </c>
      <c r="O3099" s="3">
        <f t="shared" si="49"/>
        <v>0</v>
      </c>
    </row>
    <row r="3100" spans="12:15" x14ac:dyDescent="0.25">
      <c r="L3100" s="3" t="e">
        <f>VLOOKUP(C3100,Securities!A:D,4,FALSE)</f>
        <v>#N/A</v>
      </c>
      <c r="M3100" s="3" t="e">
        <f>VLOOKUP(C3100,Securities!A:B,2,FALSE)</f>
        <v>#N/A</v>
      </c>
      <c r="O3100" s="3">
        <f t="shared" si="49"/>
        <v>0</v>
      </c>
    </row>
    <row r="3101" spans="12:15" x14ac:dyDescent="0.25">
      <c r="L3101" s="3" t="e">
        <f>VLOOKUP(C3101,Securities!A:D,4,FALSE)</f>
        <v>#N/A</v>
      </c>
      <c r="M3101" s="3" t="e">
        <f>VLOOKUP(C3101,Securities!A:B,2,FALSE)</f>
        <v>#N/A</v>
      </c>
      <c r="O3101" s="3">
        <f t="shared" si="49"/>
        <v>0</v>
      </c>
    </row>
    <row r="3102" spans="12:15" x14ac:dyDescent="0.25">
      <c r="L3102" s="3" t="e">
        <f>VLOOKUP(C3102,Securities!A:D,4,FALSE)</f>
        <v>#N/A</v>
      </c>
      <c r="M3102" s="3" t="e">
        <f>VLOOKUP(C3102,Securities!A:B,2,FALSE)</f>
        <v>#N/A</v>
      </c>
      <c r="O3102" s="3">
        <f t="shared" si="49"/>
        <v>0</v>
      </c>
    </row>
    <row r="3103" spans="12:15" x14ac:dyDescent="0.25">
      <c r="L3103" s="3" t="e">
        <f>VLOOKUP(C3103,Securities!A:D,4,FALSE)</f>
        <v>#N/A</v>
      </c>
      <c r="M3103" s="3" t="e">
        <f>VLOOKUP(C3103,Securities!A:B,2,FALSE)</f>
        <v>#N/A</v>
      </c>
      <c r="O3103" s="3">
        <f t="shared" si="49"/>
        <v>0</v>
      </c>
    </row>
    <row r="3104" spans="12:15" x14ac:dyDescent="0.25">
      <c r="L3104" s="3" t="e">
        <f>VLOOKUP(C3104,Securities!A:D,4,FALSE)</f>
        <v>#N/A</v>
      </c>
      <c r="M3104" s="3" t="e">
        <f>VLOOKUP(C3104,Securities!A:B,2,FALSE)</f>
        <v>#N/A</v>
      </c>
      <c r="O3104" s="3">
        <f t="shared" si="49"/>
        <v>0</v>
      </c>
    </row>
    <row r="3105" spans="12:15" x14ac:dyDescent="0.25">
      <c r="L3105" s="3" t="e">
        <f>VLOOKUP(C3105,Securities!A:D,4,FALSE)</f>
        <v>#N/A</v>
      </c>
      <c r="M3105" s="3" t="e">
        <f>VLOOKUP(C3105,Securities!A:B,2,FALSE)</f>
        <v>#N/A</v>
      </c>
      <c r="O3105" s="3">
        <f t="shared" si="49"/>
        <v>0</v>
      </c>
    </row>
    <row r="3106" spans="12:15" x14ac:dyDescent="0.25">
      <c r="L3106" s="3" t="e">
        <f>VLOOKUP(C3106,Securities!A:D,4,FALSE)</f>
        <v>#N/A</v>
      </c>
      <c r="M3106" s="3" t="e">
        <f>VLOOKUP(C3106,Securities!A:B,2,FALSE)</f>
        <v>#N/A</v>
      </c>
      <c r="O3106" s="3">
        <f t="shared" si="49"/>
        <v>0</v>
      </c>
    </row>
    <row r="3107" spans="12:15" x14ac:dyDescent="0.25">
      <c r="L3107" s="3" t="e">
        <f>VLOOKUP(C3107,Securities!A:D,4,FALSE)</f>
        <v>#N/A</v>
      </c>
      <c r="M3107" s="3" t="e">
        <f>VLOOKUP(C3107,Securities!A:B,2,FALSE)</f>
        <v>#N/A</v>
      </c>
      <c r="O3107" s="3">
        <f t="shared" si="49"/>
        <v>0</v>
      </c>
    </row>
    <row r="3108" spans="12:15" x14ac:dyDescent="0.25">
      <c r="L3108" s="3" t="e">
        <f>VLOOKUP(C3108,Securities!A:D,4,FALSE)</f>
        <v>#N/A</v>
      </c>
      <c r="M3108" s="3" t="e">
        <f>VLOOKUP(C3108,Securities!A:B,2,FALSE)</f>
        <v>#N/A</v>
      </c>
      <c r="O3108" s="3">
        <f t="shared" si="49"/>
        <v>0</v>
      </c>
    </row>
    <row r="3109" spans="12:15" x14ac:dyDescent="0.25">
      <c r="L3109" s="3" t="e">
        <f>VLOOKUP(C3109,Securities!A:D,4,FALSE)</f>
        <v>#N/A</v>
      </c>
      <c r="M3109" s="3" t="e">
        <f>VLOOKUP(C3109,Securities!A:B,2,FALSE)</f>
        <v>#N/A</v>
      </c>
      <c r="O3109" s="3">
        <f t="shared" si="49"/>
        <v>0</v>
      </c>
    </row>
    <row r="3110" spans="12:15" x14ac:dyDescent="0.25">
      <c r="L3110" s="3" t="e">
        <f>VLOOKUP(C3110,Securities!A:D,4,FALSE)</f>
        <v>#N/A</v>
      </c>
      <c r="M3110" s="3" t="e">
        <f>VLOOKUP(C3110,Securities!A:B,2,FALSE)</f>
        <v>#N/A</v>
      </c>
      <c r="O3110" s="3">
        <f t="shared" si="49"/>
        <v>0</v>
      </c>
    </row>
    <row r="3111" spans="12:15" x14ac:dyDescent="0.25">
      <c r="L3111" s="3" t="e">
        <f>VLOOKUP(C3111,Securities!A:D,4,FALSE)</f>
        <v>#N/A</v>
      </c>
      <c r="M3111" s="3" t="e">
        <f>VLOOKUP(C3111,Securities!A:B,2,FALSE)</f>
        <v>#N/A</v>
      </c>
      <c r="O3111" s="3">
        <f t="shared" si="49"/>
        <v>0</v>
      </c>
    </row>
    <row r="3112" spans="12:15" x14ac:dyDescent="0.25">
      <c r="L3112" s="3" t="e">
        <f>VLOOKUP(C3112,Securities!A:D,4,FALSE)</f>
        <v>#N/A</v>
      </c>
      <c r="M3112" s="3" t="e">
        <f>VLOOKUP(C3112,Securities!A:B,2,FALSE)</f>
        <v>#N/A</v>
      </c>
      <c r="O3112" s="3">
        <f t="shared" si="49"/>
        <v>0</v>
      </c>
    </row>
    <row r="3113" spans="12:15" x14ac:dyDescent="0.25">
      <c r="L3113" s="3" t="e">
        <f>VLOOKUP(C3113,Securities!A:D,4,FALSE)</f>
        <v>#N/A</v>
      </c>
      <c r="M3113" s="3" t="e">
        <f>VLOOKUP(C3113,Securities!A:B,2,FALSE)</f>
        <v>#N/A</v>
      </c>
      <c r="O3113" s="3">
        <f t="shared" si="49"/>
        <v>0</v>
      </c>
    </row>
    <row r="3114" spans="12:15" x14ac:dyDescent="0.25">
      <c r="L3114" s="3" t="e">
        <f>VLOOKUP(C3114,Securities!A:D,4,FALSE)</f>
        <v>#N/A</v>
      </c>
      <c r="M3114" s="3" t="e">
        <f>VLOOKUP(C3114,Securities!A:B,2,FALSE)</f>
        <v>#N/A</v>
      </c>
      <c r="O3114" s="3">
        <f t="shared" si="49"/>
        <v>0</v>
      </c>
    </row>
    <row r="3115" spans="12:15" x14ac:dyDescent="0.25">
      <c r="L3115" s="3" t="e">
        <f>VLOOKUP(C3115,Securities!A:D,4,FALSE)</f>
        <v>#N/A</v>
      </c>
      <c r="M3115" s="3" t="e">
        <f>VLOOKUP(C3115,Securities!A:B,2,FALSE)</f>
        <v>#N/A</v>
      </c>
      <c r="O3115" s="3">
        <f t="shared" si="49"/>
        <v>0</v>
      </c>
    </row>
    <row r="3116" spans="12:15" x14ac:dyDescent="0.25">
      <c r="L3116" s="3" t="e">
        <f>VLOOKUP(C3116,Securities!A:D,4,FALSE)</f>
        <v>#N/A</v>
      </c>
      <c r="M3116" s="3" t="e">
        <f>VLOOKUP(C3116,Securities!A:B,2,FALSE)</f>
        <v>#N/A</v>
      </c>
      <c r="O3116" s="3">
        <f t="shared" si="49"/>
        <v>0</v>
      </c>
    </row>
    <row r="3117" spans="12:15" x14ac:dyDescent="0.25">
      <c r="L3117" s="3" t="e">
        <f>VLOOKUP(C3117,Securities!A:D,4,FALSE)</f>
        <v>#N/A</v>
      </c>
      <c r="M3117" s="3" t="e">
        <f>VLOOKUP(C3117,Securities!A:B,2,FALSE)</f>
        <v>#N/A</v>
      </c>
      <c r="O3117" s="3">
        <f t="shared" si="49"/>
        <v>0</v>
      </c>
    </row>
    <row r="3118" spans="12:15" x14ac:dyDescent="0.25">
      <c r="L3118" s="3" t="e">
        <f>VLOOKUP(C3118,Securities!A:D,4,FALSE)</f>
        <v>#N/A</v>
      </c>
      <c r="M3118" s="3" t="e">
        <f>VLOOKUP(C3118,Securities!A:B,2,FALSE)</f>
        <v>#N/A</v>
      </c>
      <c r="O3118" s="3">
        <f t="shared" si="49"/>
        <v>0</v>
      </c>
    </row>
    <row r="3119" spans="12:15" x14ac:dyDescent="0.25">
      <c r="L3119" s="3" t="e">
        <f>VLOOKUP(C3119,Securities!A:D,4,FALSE)</f>
        <v>#N/A</v>
      </c>
      <c r="M3119" s="3" t="e">
        <f>VLOOKUP(C3119,Securities!A:B,2,FALSE)</f>
        <v>#N/A</v>
      </c>
      <c r="O3119" s="3">
        <f t="shared" si="49"/>
        <v>0</v>
      </c>
    </row>
    <row r="3120" spans="12:15" x14ac:dyDescent="0.25">
      <c r="L3120" s="3" t="e">
        <f>VLOOKUP(C3120,Securities!A:D,4,FALSE)</f>
        <v>#N/A</v>
      </c>
      <c r="M3120" s="3" t="e">
        <f>VLOOKUP(C3120,Securities!A:B,2,FALSE)</f>
        <v>#N/A</v>
      </c>
      <c r="O3120" s="3">
        <f t="shared" si="49"/>
        <v>0</v>
      </c>
    </row>
    <row r="3121" spans="12:15" x14ac:dyDescent="0.25">
      <c r="L3121" s="3" t="e">
        <f>VLOOKUP(C3121,Securities!A:D,4,FALSE)</f>
        <v>#N/A</v>
      </c>
      <c r="M3121" s="3" t="e">
        <f>VLOOKUP(C3121,Securities!A:B,2,FALSE)</f>
        <v>#N/A</v>
      </c>
      <c r="O3121" s="3">
        <f t="shared" si="49"/>
        <v>0</v>
      </c>
    </row>
    <row r="3122" spans="12:15" x14ac:dyDescent="0.25">
      <c r="L3122" s="3" t="e">
        <f>VLOOKUP(C3122,Securities!A:D,4,FALSE)</f>
        <v>#N/A</v>
      </c>
      <c r="M3122" s="3" t="e">
        <f>VLOOKUP(C3122,Securities!A:B,2,FALSE)</f>
        <v>#N/A</v>
      </c>
      <c r="O3122" s="3">
        <f t="shared" si="49"/>
        <v>0</v>
      </c>
    </row>
    <row r="3123" spans="12:15" x14ac:dyDescent="0.25">
      <c r="L3123" s="3" t="e">
        <f>VLOOKUP(C3123,Securities!A:D,4,FALSE)</f>
        <v>#N/A</v>
      </c>
      <c r="M3123" s="3" t="e">
        <f>VLOOKUP(C3123,Securities!A:B,2,FALSE)</f>
        <v>#N/A</v>
      </c>
      <c r="O3123" s="3">
        <f t="shared" si="49"/>
        <v>0</v>
      </c>
    </row>
    <row r="3124" spans="12:15" x14ac:dyDescent="0.25">
      <c r="L3124" s="3" t="e">
        <f>VLOOKUP(C3124,Securities!A:D,4,FALSE)</f>
        <v>#N/A</v>
      </c>
      <c r="M3124" s="3" t="e">
        <f>VLOOKUP(C3124,Securities!A:B,2,FALSE)</f>
        <v>#N/A</v>
      </c>
      <c r="O3124" s="3">
        <f t="shared" si="49"/>
        <v>0</v>
      </c>
    </row>
    <row r="3125" spans="12:15" x14ac:dyDescent="0.25">
      <c r="L3125" s="3" t="e">
        <f>VLOOKUP(C3125,Securities!A:D,4,FALSE)</f>
        <v>#N/A</v>
      </c>
      <c r="M3125" s="3" t="e">
        <f>VLOOKUP(C3125,Securities!A:B,2,FALSE)</f>
        <v>#N/A</v>
      </c>
      <c r="O3125" s="3">
        <f t="shared" si="49"/>
        <v>0</v>
      </c>
    </row>
    <row r="3126" spans="12:15" x14ac:dyDescent="0.25">
      <c r="L3126" s="3" t="e">
        <f>VLOOKUP(C3126,Securities!A:D,4,FALSE)</f>
        <v>#N/A</v>
      </c>
      <c r="M3126" s="3" t="e">
        <f>VLOOKUP(C3126,Securities!A:B,2,FALSE)</f>
        <v>#N/A</v>
      </c>
      <c r="O3126" s="3">
        <f t="shared" si="49"/>
        <v>0</v>
      </c>
    </row>
    <row r="3127" spans="12:15" x14ac:dyDescent="0.25">
      <c r="L3127" s="3" t="e">
        <f>VLOOKUP(C3127,Securities!A:D,4,FALSE)</f>
        <v>#N/A</v>
      </c>
      <c r="M3127" s="3" t="e">
        <f>VLOOKUP(C3127,Securities!A:B,2,FALSE)</f>
        <v>#N/A</v>
      </c>
      <c r="O3127" s="3">
        <f t="shared" si="49"/>
        <v>0</v>
      </c>
    </row>
    <row r="3128" spans="12:15" x14ac:dyDescent="0.25">
      <c r="L3128" s="3" t="e">
        <f>VLOOKUP(C3128,Securities!A:D,4,FALSE)</f>
        <v>#N/A</v>
      </c>
      <c r="M3128" s="3" t="e">
        <f>VLOOKUP(C3128,Securities!A:B,2,FALSE)</f>
        <v>#N/A</v>
      </c>
      <c r="O3128" s="3">
        <f t="shared" si="49"/>
        <v>0</v>
      </c>
    </row>
    <row r="3129" spans="12:15" x14ac:dyDescent="0.25">
      <c r="L3129" s="3" t="e">
        <f>VLOOKUP(C3129,Securities!A:D,4,FALSE)</f>
        <v>#N/A</v>
      </c>
      <c r="M3129" s="3" t="e">
        <f>VLOOKUP(C3129,Securities!A:B,2,FALSE)</f>
        <v>#N/A</v>
      </c>
      <c r="O3129" s="3">
        <f t="shared" si="49"/>
        <v>0</v>
      </c>
    </row>
    <row r="3130" spans="12:15" x14ac:dyDescent="0.25">
      <c r="L3130" s="3" t="e">
        <f>VLOOKUP(C3130,Securities!A:D,4,FALSE)</f>
        <v>#N/A</v>
      </c>
      <c r="M3130" s="3" t="e">
        <f>VLOOKUP(C3130,Securities!A:B,2,FALSE)</f>
        <v>#N/A</v>
      </c>
      <c r="O3130" s="3">
        <f t="shared" si="49"/>
        <v>0</v>
      </c>
    </row>
    <row r="3131" spans="12:15" x14ac:dyDescent="0.25">
      <c r="L3131" s="3" t="e">
        <f>VLOOKUP(C3131,Securities!A:D,4,FALSE)</f>
        <v>#N/A</v>
      </c>
      <c r="M3131" s="3" t="e">
        <f>VLOOKUP(C3131,Securities!A:B,2,FALSE)</f>
        <v>#N/A</v>
      </c>
      <c r="O3131" s="3">
        <f t="shared" si="49"/>
        <v>0</v>
      </c>
    </row>
    <row r="3132" spans="12:15" x14ac:dyDescent="0.25">
      <c r="L3132" s="3" t="e">
        <f>VLOOKUP(C3132,Securities!A:D,4,FALSE)</f>
        <v>#N/A</v>
      </c>
      <c r="M3132" s="3" t="e">
        <f>VLOOKUP(C3132,Securities!A:B,2,FALSE)</f>
        <v>#N/A</v>
      </c>
      <c r="O3132" s="3">
        <f t="shared" si="49"/>
        <v>0</v>
      </c>
    </row>
    <row r="3133" spans="12:15" x14ac:dyDescent="0.25">
      <c r="L3133" s="3" t="e">
        <f>VLOOKUP(C3133,Securities!A:D,4,FALSE)</f>
        <v>#N/A</v>
      </c>
      <c r="M3133" s="3" t="e">
        <f>VLOOKUP(C3133,Securities!A:B,2,FALSE)</f>
        <v>#N/A</v>
      </c>
      <c r="O3133" s="3">
        <f t="shared" si="49"/>
        <v>0</v>
      </c>
    </row>
    <row r="3134" spans="12:15" x14ac:dyDescent="0.25">
      <c r="L3134" s="3" t="e">
        <f>VLOOKUP(C3134,Securities!A:D,4,FALSE)</f>
        <v>#N/A</v>
      </c>
      <c r="M3134" s="3" t="e">
        <f>VLOOKUP(C3134,Securities!A:B,2,FALSE)</f>
        <v>#N/A</v>
      </c>
      <c r="O3134" s="3">
        <f t="shared" si="49"/>
        <v>0</v>
      </c>
    </row>
    <row r="3135" spans="12:15" x14ac:dyDescent="0.25">
      <c r="L3135" s="3" t="e">
        <f>VLOOKUP(C3135,Securities!A:D,4,FALSE)</f>
        <v>#N/A</v>
      </c>
      <c r="M3135" s="3" t="e">
        <f>VLOOKUP(C3135,Securities!A:B,2,FALSE)</f>
        <v>#N/A</v>
      </c>
      <c r="O3135" s="3">
        <f t="shared" si="49"/>
        <v>0</v>
      </c>
    </row>
    <row r="3136" spans="12:15" x14ac:dyDescent="0.25">
      <c r="L3136" s="3" t="e">
        <f>VLOOKUP(C3136,Securities!A:D,4,FALSE)</f>
        <v>#N/A</v>
      </c>
      <c r="M3136" s="3" t="e">
        <f>VLOOKUP(C3136,Securities!A:B,2,FALSE)</f>
        <v>#N/A</v>
      </c>
      <c r="O3136" s="3">
        <f t="shared" si="49"/>
        <v>0</v>
      </c>
    </row>
    <row r="3137" spans="12:15" x14ac:dyDescent="0.25">
      <c r="L3137" s="3" t="e">
        <f>VLOOKUP(C3137,Securities!A:D,4,FALSE)</f>
        <v>#N/A</v>
      </c>
      <c r="M3137" s="3" t="e">
        <f>VLOOKUP(C3137,Securities!A:B,2,FALSE)</f>
        <v>#N/A</v>
      </c>
      <c r="O3137" s="3">
        <f t="shared" si="49"/>
        <v>0</v>
      </c>
    </row>
    <row r="3138" spans="12:15" x14ac:dyDescent="0.25">
      <c r="L3138" s="3" t="e">
        <f>VLOOKUP(C3138,Securities!A:D,4,FALSE)</f>
        <v>#N/A</v>
      </c>
      <c r="M3138" s="3" t="e">
        <f>VLOOKUP(C3138,Securities!A:B,2,FALSE)</f>
        <v>#N/A</v>
      </c>
      <c r="O3138" s="3">
        <f t="shared" si="49"/>
        <v>0</v>
      </c>
    </row>
    <row r="3139" spans="12:15" x14ac:dyDescent="0.25">
      <c r="L3139" s="3" t="e">
        <f>VLOOKUP(C3139,Securities!A:D,4,FALSE)</f>
        <v>#N/A</v>
      </c>
      <c r="M3139" s="3" t="e">
        <f>VLOOKUP(C3139,Securities!A:B,2,FALSE)</f>
        <v>#N/A</v>
      </c>
      <c r="O3139" s="3">
        <f t="shared" si="49"/>
        <v>0</v>
      </c>
    </row>
    <row r="3140" spans="12:15" x14ac:dyDescent="0.25">
      <c r="L3140" s="3" t="e">
        <f>VLOOKUP(C3140,Securities!A:D,4,FALSE)</f>
        <v>#N/A</v>
      </c>
      <c r="M3140" s="3" t="e">
        <f>VLOOKUP(C3140,Securities!A:B,2,FALSE)</f>
        <v>#N/A</v>
      </c>
      <c r="O3140" s="3">
        <f t="shared" si="49"/>
        <v>0</v>
      </c>
    </row>
    <row r="3141" spans="12:15" x14ac:dyDescent="0.25">
      <c r="L3141" s="3" t="e">
        <f>VLOOKUP(C3141,Securities!A:D,4,FALSE)</f>
        <v>#N/A</v>
      </c>
      <c r="M3141" s="3" t="e">
        <f>VLOOKUP(C3141,Securities!A:B,2,FALSE)</f>
        <v>#N/A</v>
      </c>
      <c r="O3141" s="3">
        <f t="shared" si="49"/>
        <v>0</v>
      </c>
    </row>
    <row r="3142" spans="12:15" x14ac:dyDescent="0.25">
      <c r="L3142" s="3" t="e">
        <f>VLOOKUP(C3142,Securities!A:D,4,FALSE)</f>
        <v>#N/A</v>
      </c>
      <c r="M3142" s="3" t="e">
        <f>VLOOKUP(C3142,Securities!A:B,2,FALSE)</f>
        <v>#N/A</v>
      </c>
      <c r="O3142" s="3">
        <f t="shared" ref="O3142:O3205" si="50">SUMIFS(E:E,C:C,C3142,B:B,B3142)</f>
        <v>0</v>
      </c>
    </row>
    <row r="3143" spans="12:15" x14ac:dyDescent="0.25">
      <c r="L3143" s="3" t="e">
        <f>VLOOKUP(C3143,Securities!A:D,4,FALSE)</f>
        <v>#N/A</v>
      </c>
      <c r="M3143" s="3" t="e">
        <f>VLOOKUP(C3143,Securities!A:B,2,FALSE)</f>
        <v>#N/A</v>
      </c>
      <c r="O3143" s="3">
        <f t="shared" si="50"/>
        <v>0</v>
      </c>
    </row>
    <row r="3144" spans="12:15" x14ac:dyDescent="0.25">
      <c r="L3144" s="3" t="e">
        <f>VLOOKUP(C3144,Securities!A:D,4,FALSE)</f>
        <v>#N/A</v>
      </c>
      <c r="M3144" s="3" t="e">
        <f>VLOOKUP(C3144,Securities!A:B,2,FALSE)</f>
        <v>#N/A</v>
      </c>
      <c r="O3144" s="3">
        <f t="shared" si="50"/>
        <v>0</v>
      </c>
    </row>
    <row r="3145" spans="12:15" x14ac:dyDescent="0.25">
      <c r="L3145" s="3" t="e">
        <f>VLOOKUP(C3145,Securities!A:D,4,FALSE)</f>
        <v>#N/A</v>
      </c>
      <c r="M3145" s="3" t="e">
        <f>VLOOKUP(C3145,Securities!A:B,2,FALSE)</f>
        <v>#N/A</v>
      </c>
      <c r="O3145" s="3">
        <f t="shared" si="50"/>
        <v>0</v>
      </c>
    </row>
    <row r="3146" spans="12:15" x14ac:dyDescent="0.25">
      <c r="L3146" s="3" t="e">
        <f>VLOOKUP(C3146,Securities!A:D,4,FALSE)</f>
        <v>#N/A</v>
      </c>
      <c r="M3146" s="3" t="e">
        <f>VLOOKUP(C3146,Securities!A:B,2,FALSE)</f>
        <v>#N/A</v>
      </c>
      <c r="O3146" s="3">
        <f t="shared" si="50"/>
        <v>0</v>
      </c>
    </row>
    <row r="3147" spans="12:15" x14ac:dyDescent="0.25">
      <c r="L3147" s="3" t="e">
        <f>VLOOKUP(C3147,Securities!A:D,4,FALSE)</f>
        <v>#N/A</v>
      </c>
      <c r="M3147" s="3" t="e">
        <f>VLOOKUP(C3147,Securities!A:B,2,FALSE)</f>
        <v>#N/A</v>
      </c>
      <c r="O3147" s="3">
        <f t="shared" si="50"/>
        <v>0</v>
      </c>
    </row>
    <row r="3148" spans="12:15" x14ac:dyDescent="0.25">
      <c r="L3148" s="3" t="e">
        <f>VLOOKUP(C3148,Securities!A:D,4,FALSE)</f>
        <v>#N/A</v>
      </c>
      <c r="M3148" s="3" t="e">
        <f>VLOOKUP(C3148,Securities!A:B,2,FALSE)</f>
        <v>#N/A</v>
      </c>
      <c r="O3148" s="3">
        <f t="shared" si="50"/>
        <v>0</v>
      </c>
    </row>
    <row r="3149" spans="12:15" x14ac:dyDescent="0.25">
      <c r="L3149" s="3" t="e">
        <f>VLOOKUP(C3149,Securities!A:D,4,FALSE)</f>
        <v>#N/A</v>
      </c>
      <c r="M3149" s="3" t="e">
        <f>VLOOKUP(C3149,Securities!A:B,2,FALSE)</f>
        <v>#N/A</v>
      </c>
      <c r="O3149" s="3">
        <f t="shared" si="50"/>
        <v>0</v>
      </c>
    </row>
    <row r="3150" spans="12:15" x14ac:dyDescent="0.25">
      <c r="L3150" s="3" t="e">
        <f>VLOOKUP(C3150,Securities!A:D,4,FALSE)</f>
        <v>#N/A</v>
      </c>
      <c r="M3150" s="3" t="e">
        <f>VLOOKUP(C3150,Securities!A:B,2,FALSE)</f>
        <v>#N/A</v>
      </c>
      <c r="O3150" s="3">
        <f t="shared" si="50"/>
        <v>0</v>
      </c>
    </row>
    <row r="3151" spans="12:15" x14ac:dyDescent="0.25">
      <c r="L3151" s="3" t="e">
        <f>VLOOKUP(C3151,Securities!A:D,4,FALSE)</f>
        <v>#N/A</v>
      </c>
      <c r="M3151" s="3" t="e">
        <f>VLOOKUP(C3151,Securities!A:B,2,FALSE)</f>
        <v>#N/A</v>
      </c>
      <c r="O3151" s="3">
        <f t="shared" si="50"/>
        <v>0</v>
      </c>
    </row>
    <row r="3152" spans="12:15" x14ac:dyDescent="0.25">
      <c r="L3152" s="3" t="e">
        <f>VLOOKUP(C3152,Securities!A:D,4,FALSE)</f>
        <v>#N/A</v>
      </c>
      <c r="M3152" s="3" t="e">
        <f>VLOOKUP(C3152,Securities!A:B,2,FALSE)</f>
        <v>#N/A</v>
      </c>
      <c r="O3152" s="3">
        <f t="shared" si="50"/>
        <v>0</v>
      </c>
    </row>
    <row r="3153" spans="12:15" x14ac:dyDescent="0.25">
      <c r="L3153" s="3" t="e">
        <f>VLOOKUP(C3153,Securities!A:D,4,FALSE)</f>
        <v>#N/A</v>
      </c>
      <c r="M3153" s="3" t="e">
        <f>VLOOKUP(C3153,Securities!A:B,2,FALSE)</f>
        <v>#N/A</v>
      </c>
      <c r="O3153" s="3">
        <f t="shared" si="50"/>
        <v>0</v>
      </c>
    </row>
    <row r="3154" spans="12:15" x14ac:dyDescent="0.25">
      <c r="L3154" s="3" t="e">
        <f>VLOOKUP(C3154,Securities!A:D,4,FALSE)</f>
        <v>#N/A</v>
      </c>
      <c r="M3154" s="3" t="e">
        <f>VLOOKUP(C3154,Securities!A:B,2,FALSE)</f>
        <v>#N/A</v>
      </c>
      <c r="O3154" s="3">
        <f t="shared" si="50"/>
        <v>0</v>
      </c>
    </row>
    <row r="3155" spans="12:15" x14ac:dyDescent="0.25">
      <c r="L3155" s="3" t="e">
        <f>VLOOKUP(C3155,Securities!A:D,4,FALSE)</f>
        <v>#N/A</v>
      </c>
      <c r="M3155" s="3" t="e">
        <f>VLOOKUP(C3155,Securities!A:B,2,FALSE)</f>
        <v>#N/A</v>
      </c>
      <c r="O3155" s="3">
        <f t="shared" si="50"/>
        <v>0</v>
      </c>
    </row>
    <row r="3156" spans="12:15" x14ac:dyDescent="0.25">
      <c r="L3156" s="3" t="e">
        <f>VLOOKUP(C3156,Securities!A:D,4,FALSE)</f>
        <v>#N/A</v>
      </c>
      <c r="M3156" s="3" t="e">
        <f>VLOOKUP(C3156,Securities!A:B,2,FALSE)</f>
        <v>#N/A</v>
      </c>
      <c r="O3156" s="3">
        <f t="shared" si="50"/>
        <v>0</v>
      </c>
    </row>
    <row r="3157" spans="12:15" x14ac:dyDescent="0.25">
      <c r="L3157" s="3" t="e">
        <f>VLOOKUP(C3157,Securities!A:D,4,FALSE)</f>
        <v>#N/A</v>
      </c>
      <c r="M3157" s="3" t="e">
        <f>VLOOKUP(C3157,Securities!A:B,2,FALSE)</f>
        <v>#N/A</v>
      </c>
      <c r="O3157" s="3">
        <f t="shared" si="50"/>
        <v>0</v>
      </c>
    </row>
    <row r="3158" spans="12:15" x14ac:dyDescent="0.25">
      <c r="L3158" s="3" t="e">
        <f>VLOOKUP(C3158,Securities!A:D,4,FALSE)</f>
        <v>#N/A</v>
      </c>
      <c r="M3158" s="3" t="e">
        <f>VLOOKUP(C3158,Securities!A:B,2,FALSE)</f>
        <v>#N/A</v>
      </c>
      <c r="O3158" s="3">
        <f t="shared" si="50"/>
        <v>0</v>
      </c>
    </row>
    <row r="3159" spans="12:15" x14ac:dyDescent="0.25">
      <c r="L3159" s="3" t="e">
        <f>VLOOKUP(C3159,Securities!A:D,4,FALSE)</f>
        <v>#N/A</v>
      </c>
      <c r="M3159" s="3" t="e">
        <f>VLOOKUP(C3159,Securities!A:B,2,FALSE)</f>
        <v>#N/A</v>
      </c>
      <c r="O3159" s="3">
        <f t="shared" si="50"/>
        <v>0</v>
      </c>
    </row>
    <row r="3160" spans="12:15" x14ac:dyDescent="0.25">
      <c r="L3160" s="3" t="e">
        <f>VLOOKUP(C3160,Securities!A:D,4,FALSE)</f>
        <v>#N/A</v>
      </c>
      <c r="M3160" s="3" t="e">
        <f>VLOOKUP(C3160,Securities!A:B,2,FALSE)</f>
        <v>#N/A</v>
      </c>
      <c r="O3160" s="3">
        <f t="shared" si="50"/>
        <v>0</v>
      </c>
    </row>
    <row r="3161" spans="12:15" x14ac:dyDescent="0.25">
      <c r="L3161" s="3" t="e">
        <f>VLOOKUP(C3161,Securities!A:D,4,FALSE)</f>
        <v>#N/A</v>
      </c>
      <c r="M3161" s="3" t="e">
        <f>VLOOKUP(C3161,Securities!A:B,2,FALSE)</f>
        <v>#N/A</v>
      </c>
      <c r="O3161" s="3">
        <f t="shared" si="50"/>
        <v>0</v>
      </c>
    </row>
    <row r="3162" spans="12:15" x14ac:dyDescent="0.25">
      <c r="L3162" s="3" t="e">
        <f>VLOOKUP(C3162,Securities!A:D,4,FALSE)</f>
        <v>#N/A</v>
      </c>
      <c r="M3162" s="3" t="e">
        <f>VLOOKUP(C3162,Securities!A:B,2,FALSE)</f>
        <v>#N/A</v>
      </c>
      <c r="O3162" s="3">
        <f t="shared" si="50"/>
        <v>0</v>
      </c>
    </row>
    <row r="3163" spans="12:15" x14ac:dyDescent="0.25">
      <c r="L3163" s="3" t="e">
        <f>VLOOKUP(C3163,Securities!A:D,4,FALSE)</f>
        <v>#N/A</v>
      </c>
      <c r="M3163" s="3" t="e">
        <f>VLOOKUP(C3163,Securities!A:B,2,FALSE)</f>
        <v>#N/A</v>
      </c>
      <c r="O3163" s="3">
        <f t="shared" si="50"/>
        <v>0</v>
      </c>
    </row>
    <row r="3164" spans="12:15" x14ac:dyDescent="0.25">
      <c r="L3164" s="3" t="e">
        <f>VLOOKUP(C3164,Securities!A:D,4,FALSE)</f>
        <v>#N/A</v>
      </c>
      <c r="M3164" s="3" t="e">
        <f>VLOOKUP(C3164,Securities!A:B,2,FALSE)</f>
        <v>#N/A</v>
      </c>
      <c r="O3164" s="3">
        <f t="shared" si="50"/>
        <v>0</v>
      </c>
    </row>
    <row r="3165" spans="12:15" x14ac:dyDescent="0.25">
      <c r="L3165" s="3" t="e">
        <f>VLOOKUP(C3165,Securities!A:D,4,FALSE)</f>
        <v>#N/A</v>
      </c>
      <c r="M3165" s="3" t="e">
        <f>VLOOKUP(C3165,Securities!A:B,2,FALSE)</f>
        <v>#N/A</v>
      </c>
      <c r="O3165" s="3">
        <f t="shared" si="50"/>
        <v>0</v>
      </c>
    </row>
    <row r="3166" spans="12:15" x14ac:dyDescent="0.25">
      <c r="L3166" s="3" t="e">
        <f>VLOOKUP(C3166,Securities!A:D,4,FALSE)</f>
        <v>#N/A</v>
      </c>
      <c r="M3166" s="3" t="e">
        <f>VLOOKUP(C3166,Securities!A:B,2,FALSE)</f>
        <v>#N/A</v>
      </c>
      <c r="O3166" s="3">
        <f t="shared" si="50"/>
        <v>0</v>
      </c>
    </row>
    <row r="3167" spans="12:15" x14ac:dyDescent="0.25">
      <c r="L3167" s="3" t="e">
        <f>VLOOKUP(C3167,Securities!A:D,4,FALSE)</f>
        <v>#N/A</v>
      </c>
      <c r="M3167" s="3" t="e">
        <f>VLOOKUP(C3167,Securities!A:B,2,FALSE)</f>
        <v>#N/A</v>
      </c>
      <c r="O3167" s="3">
        <f t="shared" si="50"/>
        <v>0</v>
      </c>
    </row>
    <row r="3168" spans="12:15" x14ac:dyDescent="0.25">
      <c r="L3168" s="3" t="e">
        <f>VLOOKUP(C3168,Securities!A:D,4,FALSE)</f>
        <v>#N/A</v>
      </c>
      <c r="M3168" s="3" t="e">
        <f>VLOOKUP(C3168,Securities!A:B,2,FALSE)</f>
        <v>#N/A</v>
      </c>
      <c r="O3168" s="3">
        <f t="shared" si="50"/>
        <v>0</v>
      </c>
    </row>
    <row r="3169" spans="12:15" x14ac:dyDescent="0.25">
      <c r="L3169" s="3" t="e">
        <f>VLOOKUP(C3169,Securities!A:D,4,FALSE)</f>
        <v>#N/A</v>
      </c>
      <c r="M3169" s="3" t="e">
        <f>VLOOKUP(C3169,Securities!A:B,2,FALSE)</f>
        <v>#N/A</v>
      </c>
      <c r="O3169" s="3">
        <f t="shared" si="50"/>
        <v>0</v>
      </c>
    </row>
    <row r="3170" spans="12:15" x14ac:dyDescent="0.25">
      <c r="L3170" s="3" t="e">
        <f>VLOOKUP(C3170,Securities!A:D,4,FALSE)</f>
        <v>#N/A</v>
      </c>
      <c r="M3170" s="3" t="e">
        <f>VLOOKUP(C3170,Securities!A:B,2,FALSE)</f>
        <v>#N/A</v>
      </c>
      <c r="O3170" s="3">
        <f t="shared" si="50"/>
        <v>0</v>
      </c>
    </row>
    <row r="3171" spans="12:15" x14ac:dyDescent="0.25">
      <c r="L3171" s="3" t="e">
        <f>VLOOKUP(C3171,Securities!A:D,4,FALSE)</f>
        <v>#N/A</v>
      </c>
      <c r="M3171" s="3" t="e">
        <f>VLOOKUP(C3171,Securities!A:B,2,FALSE)</f>
        <v>#N/A</v>
      </c>
      <c r="O3171" s="3">
        <f t="shared" si="50"/>
        <v>0</v>
      </c>
    </row>
    <row r="3172" spans="12:15" x14ac:dyDescent="0.25">
      <c r="L3172" s="3" t="e">
        <f>VLOOKUP(C3172,Securities!A:D,4,FALSE)</f>
        <v>#N/A</v>
      </c>
      <c r="M3172" s="3" t="e">
        <f>VLOOKUP(C3172,Securities!A:B,2,FALSE)</f>
        <v>#N/A</v>
      </c>
      <c r="O3172" s="3">
        <f t="shared" si="50"/>
        <v>0</v>
      </c>
    </row>
    <row r="3173" spans="12:15" x14ac:dyDescent="0.25">
      <c r="L3173" s="3" t="e">
        <f>VLOOKUP(C3173,Securities!A:D,4,FALSE)</f>
        <v>#N/A</v>
      </c>
      <c r="M3173" s="3" t="e">
        <f>VLOOKUP(C3173,Securities!A:B,2,FALSE)</f>
        <v>#N/A</v>
      </c>
      <c r="O3173" s="3">
        <f t="shared" si="50"/>
        <v>0</v>
      </c>
    </row>
    <row r="3174" spans="12:15" x14ac:dyDescent="0.25">
      <c r="L3174" s="3" t="e">
        <f>VLOOKUP(C3174,Securities!A:D,4,FALSE)</f>
        <v>#N/A</v>
      </c>
      <c r="M3174" s="3" t="e">
        <f>VLOOKUP(C3174,Securities!A:B,2,FALSE)</f>
        <v>#N/A</v>
      </c>
      <c r="O3174" s="3">
        <f t="shared" si="50"/>
        <v>0</v>
      </c>
    </row>
    <row r="3175" spans="12:15" x14ac:dyDescent="0.25">
      <c r="L3175" s="3" t="e">
        <f>VLOOKUP(C3175,Securities!A:D,4,FALSE)</f>
        <v>#N/A</v>
      </c>
      <c r="M3175" s="3" t="e">
        <f>VLOOKUP(C3175,Securities!A:B,2,FALSE)</f>
        <v>#N/A</v>
      </c>
      <c r="O3175" s="3">
        <f t="shared" si="50"/>
        <v>0</v>
      </c>
    </row>
    <row r="3176" spans="12:15" x14ac:dyDescent="0.25">
      <c r="L3176" s="3" t="e">
        <f>VLOOKUP(C3176,Securities!A:D,4,FALSE)</f>
        <v>#N/A</v>
      </c>
      <c r="M3176" s="3" t="e">
        <f>VLOOKUP(C3176,Securities!A:B,2,FALSE)</f>
        <v>#N/A</v>
      </c>
      <c r="O3176" s="3">
        <f t="shared" si="50"/>
        <v>0</v>
      </c>
    </row>
    <row r="3177" spans="12:15" x14ac:dyDescent="0.25">
      <c r="L3177" s="3" t="e">
        <f>VLOOKUP(C3177,Securities!A:D,4,FALSE)</f>
        <v>#N/A</v>
      </c>
      <c r="M3177" s="3" t="e">
        <f>VLOOKUP(C3177,Securities!A:B,2,FALSE)</f>
        <v>#N/A</v>
      </c>
      <c r="O3177" s="3">
        <f t="shared" si="50"/>
        <v>0</v>
      </c>
    </row>
    <row r="3178" spans="12:15" x14ac:dyDescent="0.25">
      <c r="L3178" s="3" t="e">
        <f>VLOOKUP(C3178,Securities!A:D,4,FALSE)</f>
        <v>#N/A</v>
      </c>
      <c r="M3178" s="3" t="e">
        <f>VLOOKUP(C3178,Securities!A:B,2,FALSE)</f>
        <v>#N/A</v>
      </c>
      <c r="O3178" s="3">
        <f t="shared" si="50"/>
        <v>0</v>
      </c>
    </row>
    <row r="3179" spans="12:15" x14ac:dyDescent="0.25">
      <c r="L3179" s="3" t="e">
        <f>VLOOKUP(C3179,Securities!A:D,4,FALSE)</f>
        <v>#N/A</v>
      </c>
      <c r="M3179" s="3" t="e">
        <f>VLOOKUP(C3179,Securities!A:B,2,FALSE)</f>
        <v>#N/A</v>
      </c>
      <c r="O3179" s="3">
        <f t="shared" si="50"/>
        <v>0</v>
      </c>
    </row>
    <row r="3180" spans="12:15" x14ac:dyDescent="0.25">
      <c r="L3180" s="3" t="e">
        <f>VLOOKUP(C3180,Securities!A:D,4,FALSE)</f>
        <v>#N/A</v>
      </c>
      <c r="M3180" s="3" t="e">
        <f>VLOOKUP(C3180,Securities!A:B,2,FALSE)</f>
        <v>#N/A</v>
      </c>
      <c r="O3180" s="3">
        <f t="shared" si="50"/>
        <v>0</v>
      </c>
    </row>
    <row r="3181" spans="12:15" x14ac:dyDescent="0.25">
      <c r="L3181" s="3" t="e">
        <f>VLOOKUP(C3181,Securities!A:D,4,FALSE)</f>
        <v>#N/A</v>
      </c>
      <c r="M3181" s="3" t="e">
        <f>VLOOKUP(C3181,Securities!A:B,2,FALSE)</f>
        <v>#N/A</v>
      </c>
      <c r="O3181" s="3">
        <f t="shared" si="50"/>
        <v>0</v>
      </c>
    </row>
    <row r="3182" spans="12:15" x14ac:dyDescent="0.25">
      <c r="L3182" s="3" t="e">
        <f>VLOOKUP(C3182,Securities!A:D,4,FALSE)</f>
        <v>#N/A</v>
      </c>
      <c r="M3182" s="3" t="e">
        <f>VLOOKUP(C3182,Securities!A:B,2,FALSE)</f>
        <v>#N/A</v>
      </c>
      <c r="O3182" s="3">
        <f t="shared" si="50"/>
        <v>0</v>
      </c>
    </row>
    <row r="3183" spans="12:15" x14ac:dyDescent="0.25">
      <c r="L3183" s="3" t="e">
        <f>VLOOKUP(C3183,Securities!A:D,4,FALSE)</f>
        <v>#N/A</v>
      </c>
      <c r="M3183" s="3" t="e">
        <f>VLOOKUP(C3183,Securities!A:B,2,FALSE)</f>
        <v>#N/A</v>
      </c>
      <c r="O3183" s="3">
        <f t="shared" si="50"/>
        <v>0</v>
      </c>
    </row>
    <row r="3184" spans="12:15" x14ac:dyDescent="0.25">
      <c r="L3184" s="3" t="e">
        <f>VLOOKUP(C3184,Securities!A:D,4,FALSE)</f>
        <v>#N/A</v>
      </c>
      <c r="M3184" s="3" t="e">
        <f>VLOOKUP(C3184,Securities!A:B,2,FALSE)</f>
        <v>#N/A</v>
      </c>
      <c r="O3184" s="3">
        <f t="shared" si="50"/>
        <v>0</v>
      </c>
    </row>
    <row r="3185" spans="12:15" x14ac:dyDescent="0.25">
      <c r="L3185" s="3" t="e">
        <f>VLOOKUP(C3185,Securities!A:D,4,FALSE)</f>
        <v>#N/A</v>
      </c>
      <c r="M3185" s="3" t="e">
        <f>VLOOKUP(C3185,Securities!A:B,2,FALSE)</f>
        <v>#N/A</v>
      </c>
      <c r="O3185" s="3">
        <f t="shared" si="50"/>
        <v>0</v>
      </c>
    </row>
    <row r="3186" spans="12:15" x14ac:dyDescent="0.25">
      <c r="L3186" s="3" t="e">
        <f>VLOOKUP(C3186,Securities!A:D,4,FALSE)</f>
        <v>#N/A</v>
      </c>
      <c r="M3186" s="3" t="e">
        <f>VLOOKUP(C3186,Securities!A:B,2,FALSE)</f>
        <v>#N/A</v>
      </c>
      <c r="O3186" s="3">
        <f t="shared" si="50"/>
        <v>0</v>
      </c>
    </row>
    <row r="3187" spans="12:15" x14ac:dyDescent="0.25">
      <c r="L3187" s="3" t="e">
        <f>VLOOKUP(C3187,Securities!A:D,4,FALSE)</f>
        <v>#N/A</v>
      </c>
      <c r="M3187" s="3" t="e">
        <f>VLOOKUP(C3187,Securities!A:B,2,FALSE)</f>
        <v>#N/A</v>
      </c>
      <c r="O3187" s="3">
        <f t="shared" si="50"/>
        <v>0</v>
      </c>
    </row>
    <row r="3188" spans="12:15" x14ac:dyDescent="0.25">
      <c r="L3188" s="3" t="e">
        <f>VLOOKUP(C3188,Securities!A:D,4,FALSE)</f>
        <v>#N/A</v>
      </c>
      <c r="M3188" s="3" t="e">
        <f>VLOOKUP(C3188,Securities!A:B,2,FALSE)</f>
        <v>#N/A</v>
      </c>
      <c r="O3188" s="3">
        <f t="shared" si="50"/>
        <v>0</v>
      </c>
    </row>
    <row r="3189" spans="12:15" x14ac:dyDescent="0.25">
      <c r="L3189" s="3" t="e">
        <f>VLOOKUP(C3189,Securities!A:D,4,FALSE)</f>
        <v>#N/A</v>
      </c>
      <c r="M3189" s="3" t="e">
        <f>VLOOKUP(C3189,Securities!A:B,2,FALSE)</f>
        <v>#N/A</v>
      </c>
      <c r="O3189" s="3">
        <f t="shared" si="50"/>
        <v>0</v>
      </c>
    </row>
    <row r="3190" spans="12:15" x14ac:dyDescent="0.25">
      <c r="L3190" s="3" t="e">
        <f>VLOOKUP(C3190,Securities!A:D,4,FALSE)</f>
        <v>#N/A</v>
      </c>
      <c r="M3190" s="3" t="e">
        <f>VLOOKUP(C3190,Securities!A:B,2,FALSE)</f>
        <v>#N/A</v>
      </c>
      <c r="O3190" s="3">
        <f t="shared" si="50"/>
        <v>0</v>
      </c>
    </row>
    <row r="3191" spans="12:15" x14ac:dyDescent="0.25">
      <c r="L3191" s="3" t="e">
        <f>VLOOKUP(C3191,Securities!A:D,4,FALSE)</f>
        <v>#N/A</v>
      </c>
      <c r="M3191" s="3" t="e">
        <f>VLOOKUP(C3191,Securities!A:B,2,FALSE)</f>
        <v>#N/A</v>
      </c>
      <c r="O3191" s="3">
        <f t="shared" si="50"/>
        <v>0</v>
      </c>
    </row>
    <row r="3192" spans="12:15" x14ac:dyDescent="0.25">
      <c r="L3192" s="3" t="e">
        <f>VLOOKUP(C3192,Securities!A:D,4,FALSE)</f>
        <v>#N/A</v>
      </c>
      <c r="M3192" s="3" t="e">
        <f>VLOOKUP(C3192,Securities!A:B,2,FALSE)</f>
        <v>#N/A</v>
      </c>
      <c r="O3192" s="3">
        <f t="shared" si="50"/>
        <v>0</v>
      </c>
    </row>
    <row r="3193" spans="12:15" x14ac:dyDescent="0.25">
      <c r="L3193" s="3" t="e">
        <f>VLOOKUP(C3193,Securities!A:D,4,FALSE)</f>
        <v>#N/A</v>
      </c>
      <c r="M3193" s="3" t="e">
        <f>VLOOKUP(C3193,Securities!A:B,2,FALSE)</f>
        <v>#N/A</v>
      </c>
      <c r="O3193" s="3">
        <f t="shared" si="50"/>
        <v>0</v>
      </c>
    </row>
    <row r="3194" spans="12:15" x14ac:dyDescent="0.25">
      <c r="L3194" s="3" t="e">
        <f>VLOOKUP(C3194,Securities!A:D,4,FALSE)</f>
        <v>#N/A</v>
      </c>
      <c r="M3194" s="3" t="e">
        <f>VLOOKUP(C3194,Securities!A:B,2,FALSE)</f>
        <v>#N/A</v>
      </c>
      <c r="O3194" s="3">
        <f t="shared" si="50"/>
        <v>0</v>
      </c>
    </row>
    <row r="3195" spans="12:15" x14ac:dyDescent="0.25">
      <c r="L3195" s="3" t="e">
        <f>VLOOKUP(C3195,Securities!A:D,4,FALSE)</f>
        <v>#N/A</v>
      </c>
      <c r="M3195" s="3" t="e">
        <f>VLOOKUP(C3195,Securities!A:B,2,FALSE)</f>
        <v>#N/A</v>
      </c>
      <c r="O3195" s="3">
        <f t="shared" si="50"/>
        <v>0</v>
      </c>
    </row>
    <row r="3196" spans="12:15" x14ac:dyDescent="0.25">
      <c r="L3196" s="3" t="e">
        <f>VLOOKUP(C3196,Securities!A:D,4,FALSE)</f>
        <v>#N/A</v>
      </c>
      <c r="M3196" s="3" t="e">
        <f>VLOOKUP(C3196,Securities!A:B,2,FALSE)</f>
        <v>#N/A</v>
      </c>
      <c r="O3196" s="3">
        <f t="shared" si="50"/>
        <v>0</v>
      </c>
    </row>
    <row r="3197" spans="12:15" x14ac:dyDescent="0.25">
      <c r="L3197" s="3" t="e">
        <f>VLOOKUP(C3197,Securities!A:D,4,FALSE)</f>
        <v>#N/A</v>
      </c>
      <c r="M3197" s="3" t="e">
        <f>VLOOKUP(C3197,Securities!A:B,2,FALSE)</f>
        <v>#N/A</v>
      </c>
      <c r="O3197" s="3">
        <f t="shared" si="50"/>
        <v>0</v>
      </c>
    </row>
    <row r="3198" spans="12:15" x14ac:dyDescent="0.25">
      <c r="L3198" s="3" t="e">
        <f>VLOOKUP(C3198,Securities!A:D,4,FALSE)</f>
        <v>#N/A</v>
      </c>
      <c r="M3198" s="3" t="e">
        <f>VLOOKUP(C3198,Securities!A:B,2,FALSE)</f>
        <v>#N/A</v>
      </c>
      <c r="O3198" s="3">
        <f t="shared" si="50"/>
        <v>0</v>
      </c>
    </row>
    <row r="3199" spans="12:15" x14ac:dyDescent="0.25">
      <c r="L3199" s="3" t="e">
        <f>VLOOKUP(C3199,Securities!A:D,4,FALSE)</f>
        <v>#N/A</v>
      </c>
      <c r="M3199" s="3" t="e">
        <f>VLOOKUP(C3199,Securities!A:B,2,FALSE)</f>
        <v>#N/A</v>
      </c>
      <c r="O3199" s="3">
        <f t="shared" si="50"/>
        <v>0</v>
      </c>
    </row>
    <row r="3200" spans="12:15" x14ac:dyDescent="0.25">
      <c r="L3200" s="3" t="e">
        <f>VLOOKUP(C3200,Securities!A:D,4,FALSE)</f>
        <v>#N/A</v>
      </c>
      <c r="M3200" s="3" t="e">
        <f>VLOOKUP(C3200,Securities!A:B,2,FALSE)</f>
        <v>#N/A</v>
      </c>
      <c r="O3200" s="3">
        <f t="shared" si="50"/>
        <v>0</v>
      </c>
    </row>
    <row r="3201" spans="12:15" x14ac:dyDescent="0.25">
      <c r="L3201" s="3" t="e">
        <f>VLOOKUP(C3201,Securities!A:D,4,FALSE)</f>
        <v>#N/A</v>
      </c>
      <c r="M3201" s="3" t="e">
        <f>VLOOKUP(C3201,Securities!A:B,2,FALSE)</f>
        <v>#N/A</v>
      </c>
      <c r="O3201" s="3">
        <f t="shared" si="50"/>
        <v>0</v>
      </c>
    </row>
    <row r="3202" spans="12:15" x14ac:dyDescent="0.25">
      <c r="L3202" s="3" t="e">
        <f>VLOOKUP(C3202,Securities!A:D,4,FALSE)</f>
        <v>#N/A</v>
      </c>
      <c r="M3202" s="3" t="e">
        <f>VLOOKUP(C3202,Securities!A:B,2,FALSE)</f>
        <v>#N/A</v>
      </c>
      <c r="O3202" s="3">
        <f t="shared" si="50"/>
        <v>0</v>
      </c>
    </row>
    <row r="3203" spans="12:15" x14ac:dyDescent="0.25">
      <c r="L3203" s="3" t="e">
        <f>VLOOKUP(C3203,Securities!A:D,4,FALSE)</f>
        <v>#N/A</v>
      </c>
      <c r="M3203" s="3" t="e">
        <f>VLOOKUP(C3203,Securities!A:B,2,FALSE)</f>
        <v>#N/A</v>
      </c>
      <c r="O3203" s="3">
        <f t="shared" si="50"/>
        <v>0</v>
      </c>
    </row>
    <row r="3204" spans="12:15" x14ac:dyDescent="0.25">
      <c r="L3204" s="3" t="e">
        <f>VLOOKUP(C3204,Securities!A:D,4,FALSE)</f>
        <v>#N/A</v>
      </c>
      <c r="M3204" s="3" t="e">
        <f>VLOOKUP(C3204,Securities!A:B,2,FALSE)</f>
        <v>#N/A</v>
      </c>
      <c r="O3204" s="3">
        <f t="shared" si="50"/>
        <v>0</v>
      </c>
    </row>
    <row r="3205" spans="12:15" x14ac:dyDescent="0.25">
      <c r="L3205" s="3" t="e">
        <f>VLOOKUP(C3205,Securities!A:D,4,FALSE)</f>
        <v>#N/A</v>
      </c>
      <c r="M3205" s="3" t="e">
        <f>VLOOKUP(C3205,Securities!A:B,2,FALSE)</f>
        <v>#N/A</v>
      </c>
      <c r="O3205" s="3">
        <f t="shared" si="50"/>
        <v>0</v>
      </c>
    </row>
    <row r="3206" spans="12:15" x14ac:dyDescent="0.25">
      <c r="L3206" s="3" t="e">
        <f>VLOOKUP(C3206,Securities!A:D,4,FALSE)</f>
        <v>#N/A</v>
      </c>
      <c r="M3206" s="3" t="e">
        <f>VLOOKUP(C3206,Securities!A:B,2,FALSE)</f>
        <v>#N/A</v>
      </c>
      <c r="O3206" s="3">
        <f t="shared" ref="O3206:O3269" si="51">SUMIFS(E:E,C:C,C3206,B:B,B3206)</f>
        <v>0</v>
      </c>
    </row>
    <row r="3207" spans="12:15" x14ac:dyDescent="0.25">
      <c r="L3207" s="3" t="e">
        <f>VLOOKUP(C3207,Securities!A:D,4,FALSE)</f>
        <v>#N/A</v>
      </c>
      <c r="M3207" s="3" t="e">
        <f>VLOOKUP(C3207,Securities!A:B,2,FALSE)</f>
        <v>#N/A</v>
      </c>
      <c r="O3207" s="3">
        <f t="shared" si="51"/>
        <v>0</v>
      </c>
    </row>
    <row r="3208" spans="12:15" x14ac:dyDescent="0.25">
      <c r="L3208" s="3" t="e">
        <f>VLOOKUP(C3208,Securities!A:D,4,FALSE)</f>
        <v>#N/A</v>
      </c>
      <c r="M3208" s="3" t="e">
        <f>VLOOKUP(C3208,Securities!A:B,2,FALSE)</f>
        <v>#N/A</v>
      </c>
      <c r="O3208" s="3">
        <f t="shared" si="51"/>
        <v>0</v>
      </c>
    </row>
    <row r="3209" spans="12:15" x14ac:dyDescent="0.25">
      <c r="L3209" s="3" t="e">
        <f>VLOOKUP(C3209,Securities!A:D,4,FALSE)</f>
        <v>#N/A</v>
      </c>
      <c r="M3209" s="3" t="e">
        <f>VLOOKUP(C3209,Securities!A:B,2,FALSE)</f>
        <v>#N/A</v>
      </c>
      <c r="O3209" s="3">
        <f t="shared" si="51"/>
        <v>0</v>
      </c>
    </row>
    <row r="3210" spans="12:15" x14ac:dyDescent="0.25">
      <c r="L3210" s="3" t="e">
        <f>VLOOKUP(C3210,Securities!A:D,4,FALSE)</f>
        <v>#N/A</v>
      </c>
      <c r="M3210" s="3" t="e">
        <f>VLOOKUP(C3210,Securities!A:B,2,FALSE)</f>
        <v>#N/A</v>
      </c>
      <c r="O3210" s="3">
        <f t="shared" si="51"/>
        <v>0</v>
      </c>
    </row>
    <row r="3211" spans="12:15" x14ac:dyDescent="0.25">
      <c r="L3211" s="3" t="e">
        <f>VLOOKUP(C3211,Securities!A:D,4,FALSE)</f>
        <v>#N/A</v>
      </c>
      <c r="M3211" s="3" t="e">
        <f>VLOOKUP(C3211,Securities!A:B,2,FALSE)</f>
        <v>#N/A</v>
      </c>
      <c r="O3211" s="3">
        <f t="shared" si="51"/>
        <v>0</v>
      </c>
    </row>
    <row r="3212" spans="12:15" x14ac:dyDescent="0.25">
      <c r="L3212" s="3" t="e">
        <f>VLOOKUP(C3212,Securities!A:D,4,FALSE)</f>
        <v>#N/A</v>
      </c>
      <c r="M3212" s="3" t="e">
        <f>VLOOKUP(C3212,Securities!A:B,2,FALSE)</f>
        <v>#N/A</v>
      </c>
      <c r="O3212" s="3">
        <f t="shared" si="51"/>
        <v>0</v>
      </c>
    </row>
    <row r="3213" spans="12:15" x14ac:dyDescent="0.25">
      <c r="L3213" s="3" t="e">
        <f>VLOOKUP(C3213,Securities!A:D,4,FALSE)</f>
        <v>#N/A</v>
      </c>
      <c r="M3213" s="3" t="e">
        <f>VLOOKUP(C3213,Securities!A:B,2,FALSE)</f>
        <v>#N/A</v>
      </c>
      <c r="O3213" s="3">
        <f t="shared" si="51"/>
        <v>0</v>
      </c>
    </row>
    <row r="3214" spans="12:15" x14ac:dyDescent="0.25">
      <c r="L3214" s="3" t="e">
        <f>VLOOKUP(C3214,Securities!A:D,4,FALSE)</f>
        <v>#N/A</v>
      </c>
      <c r="M3214" s="3" t="e">
        <f>VLOOKUP(C3214,Securities!A:B,2,FALSE)</f>
        <v>#N/A</v>
      </c>
      <c r="O3214" s="3">
        <f t="shared" si="51"/>
        <v>0</v>
      </c>
    </row>
    <row r="3215" spans="12:15" x14ac:dyDescent="0.25">
      <c r="L3215" s="3" t="e">
        <f>VLOOKUP(C3215,Securities!A:D,4,FALSE)</f>
        <v>#N/A</v>
      </c>
      <c r="M3215" s="3" t="e">
        <f>VLOOKUP(C3215,Securities!A:B,2,FALSE)</f>
        <v>#N/A</v>
      </c>
      <c r="O3215" s="3">
        <f t="shared" si="51"/>
        <v>0</v>
      </c>
    </row>
    <row r="3216" spans="12:15" x14ac:dyDescent="0.25">
      <c r="L3216" s="3" t="e">
        <f>VLOOKUP(C3216,Securities!A:D,4,FALSE)</f>
        <v>#N/A</v>
      </c>
      <c r="M3216" s="3" t="e">
        <f>VLOOKUP(C3216,Securities!A:B,2,FALSE)</f>
        <v>#N/A</v>
      </c>
      <c r="O3216" s="3">
        <f t="shared" si="51"/>
        <v>0</v>
      </c>
    </row>
    <row r="3217" spans="12:15" x14ac:dyDescent="0.25">
      <c r="L3217" s="3" t="e">
        <f>VLOOKUP(C3217,Securities!A:D,4,FALSE)</f>
        <v>#N/A</v>
      </c>
      <c r="M3217" s="3" t="e">
        <f>VLOOKUP(C3217,Securities!A:B,2,FALSE)</f>
        <v>#N/A</v>
      </c>
      <c r="O3217" s="3">
        <f t="shared" si="51"/>
        <v>0</v>
      </c>
    </row>
    <row r="3218" spans="12:15" x14ac:dyDescent="0.25">
      <c r="L3218" s="3" t="e">
        <f>VLOOKUP(C3218,Securities!A:D,4,FALSE)</f>
        <v>#N/A</v>
      </c>
      <c r="M3218" s="3" t="e">
        <f>VLOOKUP(C3218,Securities!A:B,2,FALSE)</f>
        <v>#N/A</v>
      </c>
      <c r="O3218" s="3">
        <f t="shared" si="51"/>
        <v>0</v>
      </c>
    </row>
    <row r="3219" spans="12:15" x14ac:dyDescent="0.25">
      <c r="L3219" s="3" t="e">
        <f>VLOOKUP(C3219,Securities!A:D,4,FALSE)</f>
        <v>#N/A</v>
      </c>
      <c r="M3219" s="3" t="e">
        <f>VLOOKUP(C3219,Securities!A:B,2,FALSE)</f>
        <v>#N/A</v>
      </c>
      <c r="O3219" s="3">
        <f t="shared" si="51"/>
        <v>0</v>
      </c>
    </row>
    <row r="3220" spans="12:15" x14ac:dyDescent="0.25">
      <c r="L3220" s="3" t="e">
        <f>VLOOKUP(C3220,Securities!A:D,4,FALSE)</f>
        <v>#N/A</v>
      </c>
      <c r="M3220" s="3" t="e">
        <f>VLOOKUP(C3220,Securities!A:B,2,FALSE)</f>
        <v>#N/A</v>
      </c>
      <c r="O3220" s="3">
        <f t="shared" si="51"/>
        <v>0</v>
      </c>
    </row>
    <row r="3221" spans="12:15" x14ac:dyDescent="0.25">
      <c r="L3221" s="3" t="e">
        <f>VLOOKUP(C3221,Securities!A:D,4,FALSE)</f>
        <v>#N/A</v>
      </c>
      <c r="M3221" s="3" t="e">
        <f>VLOOKUP(C3221,Securities!A:B,2,FALSE)</f>
        <v>#N/A</v>
      </c>
      <c r="O3221" s="3">
        <f t="shared" si="51"/>
        <v>0</v>
      </c>
    </row>
    <row r="3222" spans="12:15" x14ac:dyDescent="0.25">
      <c r="L3222" s="3" t="e">
        <f>VLOOKUP(C3222,Securities!A:D,4,FALSE)</f>
        <v>#N/A</v>
      </c>
      <c r="M3222" s="3" t="e">
        <f>VLOOKUP(C3222,Securities!A:B,2,FALSE)</f>
        <v>#N/A</v>
      </c>
      <c r="O3222" s="3">
        <f t="shared" si="51"/>
        <v>0</v>
      </c>
    </row>
    <row r="3223" spans="12:15" x14ac:dyDescent="0.25">
      <c r="L3223" s="3" t="e">
        <f>VLOOKUP(C3223,Securities!A:D,4,FALSE)</f>
        <v>#N/A</v>
      </c>
      <c r="M3223" s="3" t="e">
        <f>VLOOKUP(C3223,Securities!A:B,2,FALSE)</f>
        <v>#N/A</v>
      </c>
      <c r="O3223" s="3">
        <f t="shared" si="51"/>
        <v>0</v>
      </c>
    </row>
    <row r="3224" spans="12:15" x14ac:dyDescent="0.25">
      <c r="L3224" s="3" t="e">
        <f>VLOOKUP(C3224,Securities!A:D,4,FALSE)</f>
        <v>#N/A</v>
      </c>
      <c r="M3224" s="3" t="e">
        <f>VLOOKUP(C3224,Securities!A:B,2,FALSE)</f>
        <v>#N/A</v>
      </c>
      <c r="O3224" s="3">
        <f t="shared" si="51"/>
        <v>0</v>
      </c>
    </row>
    <row r="3225" spans="12:15" x14ac:dyDescent="0.25">
      <c r="L3225" s="3" t="e">
        <f>VLOOKUP(C3225,Securities!A:D,4,FALSE)</f>
        <v>#N/A</v>
      </c>
      <c r="M3225" s="3" t="e">
        <f>VLOOKUP(C3225,Securities!A:B,2,FALSE)</f>
        <v>#N/A</v>
      </c>
      <c r="O3225" s="3">
        <f t="shared" si="51"/>
        <v>0</v>
      </c>
    </row>
    <row r="3226" spans="12:15" x14ac:dyDescent="0.25">
      <c r="L3226" s="3" t="e">
        <f>VLOOKUP(C3226,Securities!A:D,4,FALSE)</f>
        <v>#N/A</v>
      </c>
      <c r="M3226" s="3" t="e">
        <f>VLOOKUP(C3226,Securities!A:B,2,FALSE)</f>
        <v>#N/A</v>
      </c>
      <c r="O3226" s="3">
        <f t="shared" si="51"/>
        <v>0</v>
      </c>
    </row>
    <row r="3227" spans="12:15" x14ac:dyDescent="0.25">
      <c r="L3227" s="3" t="e">
        <f>VLOOKUP(C3227,Securities!A:D,4,FALSE)</f>
        <v>#N/A</v>
      </c>
      <c r="M3227" s="3" t="e">
        <f>VLOOKUP(C3227,Securities!A:B,2,FALSE)</f>
        <v>#N/A</v>
      </c>
      <c r="O3227" s="3">
        <f t="shared" si="51"/>
        <v>0</v>
      </c>
    </row>
    <row r="3228" spans="12:15" x14ac:dyDescent="0.25">
      <c r="L3228" s="3" t="e">
        <f>VLOOKUP(C3228,Securities!A:D,4,FALSE)</f>
        <v>#N/A</v>
      </c>
      <c r="M3228" s="3" t="e">
        <f>VLOOKUP(C3228,Securities!A:B,2,FALSE)</f>
        <v>#N/A</v>
      </c>
      <c r="O3228" s="3">
        <f t="shared" si="51"/>
        <v>0</v>
      </c>
    </row>
    <row r="3229" spans="12:15" x14ac:dyDescent="0.25">
      <c r="L3229" s="3" t="e">
        <f>VLOOKUP(C3229,Securities!A:D,4,FALSE)</f>
        <v>#N/A</v>
      </c>
      <c r="M3229" s="3" t="e">
        <f>VLOOKUP(C3229,Securities!A:B,2,FALSE)</f>
        <v>#N/A</v>
      </c>
      <c r="O3229" s="3">
        <f t="shared" si="51"/>
        <v>0</v>
      </c>
    </row>
    <row r="3230" spans="12:15" x14ac:dyDescent="0.25">
      <c r="L3230" s="3" t="e">
        <f>VLOOKUP(C3230,Securities!A:D,4,FALSE)</f>
        <v>#N/A</v>
      </c>
      <c r="M3230" s="3" t="e">
        <f>VLOOKUP(C3230,Securities!A:B,2,FALSE)</f>
        <v>#N/A</v>
      </c>
      <c r="O3230" s="3">
        <f t="shared" si="51"/>
        <v>0</v>
      </c>
    </row>
    <row r="3231" spans="12:15" x14ac:dyDescent="0.25">
      <c r="L3231" s="3" t="e">
        <f>VLOOKUP(C3231,Securities!A:D,4,FALSE)</f>
        <v>#N/A</v>
      </c>
      <c r="M3231" s="3" t="e">
        <f>VLOOKUP(C3231,Securities!A:B,2,FALSE)</f>
        <v>#N/A</v>
      </c>
      <c r="O3231" s="3">
        <f t="shared" si="51"/>
        <v>0</v>
      </c>
    </row>
    <row r="3232" spans="12:15" x14ac:dyDescent="0.25">
      <c r="L3232" s="3" t="e">
        <f>VLOOKUP(C3232,Securities!A:D,4,FALSE)</f>
        <v>#N/A</v>
      </c>
      <c r="M3232" s="3" t="e">
        <f>VLOOKUP(C3232,Securities!A:B,2,FALSE)</f>
        <v>#N/A</v>
      </c>
      <c r="O3232" s="3">
        <f t="shared" si="51"/>
        <v>0</v>
      </c>
    </row>
    <row r="3233" spans="12:15" x14ac:dyDescent="0.25">
      <c r="L3233" s="3" t="e">
        <f>VLOOKUP(C3233,Securities!A:D,4,FALSE)</f>
        <v>#N/A</v>
      </c>
      <c r="M3233" s="3" t="e">
        <f>VLOOKUP(C3233,Securities!A:B,2,FALSE)</f>
        <v>#N/A</v>
      </c>
      <c r="O3233" s="3">
        <f t="shared" si="51"/>
        <v>0</v>
      </c>
    </row>
    <row r="3234" spans="12:15" x14ac:dyDescent="0.25">
      <c r="L3234" s="3" t="e">
        <f>VLOOKUP(C3234,Securities!A:D,4,FALSE)</f>
        <v>#N/A</v>
      </c>
      <c r="M3234" s="3" t="e">
        <f>VLOOKUP(C3234,Securities!A:B,2,FALSE)</f>
        <v>#N/A</v>
      </c>
      <c r="O3234" s="3">
        <f t="shared" si="51"/>
        <v>0</v>
      </c>
    </row>
    <row r="3235" spans="12:15" x14ac:dyDescent="0.25">
      <c r="L3235" s="3" t="e">
        <f>VLOOKUP(C3235,Securities!A:D,4,FALSE)</f>
        <v>#N/A</v>
      </c>
      <c r="M3235" s="3" t="e">
        <f>VLOOKUP(C3235,Securities!A:B,2,FALSE)</f>
        <v>#N/A</v>
      </c>
      <c r="O3235" s="3">
        <f t="shared" si="51"/>
        <v>0</v>
      </c>
    </row>
    <row r="3236" spans="12:15" x14ac:dyDescent="0.25">
      <c r="L3236" s="3" t="e">
        <f>VLOOKUP(C3236,Securities!A:D,4,FALSE)</f>
        <v>#N/A</v>
      </c>
      <c r="M3236" s="3" t="e">
        <f>VLOOKUP(C3236,Securities!A:B,2,FALSE)</f>
        <v>#N/A</v>
      </c>
      <c r="O3236" s="3">
        <f t="shared" si="51"/>
        <v>0</v>
      </c>
    </row>
    <row r="3237" spans="12:15" x14ac:dyDescent="0.25">
      <c r="L3237" s="3" t="e">
        <f>VLOOKUP(C3237,Securities!A:D,4,FALSE)</f>
        <v>#N/A</v>
      </c>
      <c r="M3237" s="3" t="e">
        <f>VLOOKUP(C3237,Securities!A:B,2,FALSE)</f>
        <v>#N/A</v>
      </c>
      <c r="O3237" s="3">
        <f t="shared" si="51"/>
        <v>0</v>
      </c>
    </row>
    <row r="3238" spans="12:15" x14ac:dyDescent="0.25">
      <c r="L3238" s="3" t="e">
        <f>VLOOKUP(C3238,Securities!A:D,4,FALSE)</f>
        <v>#N/A</v>
      </c>
      <c r="M3238" s="3" t="e">
        <f>VLOOKUP(C3238,Securities!A:B,2,FALSE)</f>
        <v>#N/A</v>
      </c>
      <c r="O3238" s="3">
        <f t="shared" si="51"/>
        <v>0</v>
      </c>
    </row>
    <row r="3239" spans="12:15" x14ac:dyDescent="0.25">
      <c r="L3239" s="3" t="e">
        <f>VLOOKUP(C3239,Securities!A:D,4,FALSE)</f>
        <v>#N/A</v>
      </c>
      <c r="M3239" s="3" t="e">
        <f>VLOOKUP(C3239,Securities!A:B,2,FALSE)</f>
        <v>#N/A</v>
      </c>
      <c r="O3239" s="3">
        <f t="shared" si="51"/>
        <v>0</v>
      </c>
    </row>
    <row r="3240" spans="12:15" x14ac:dyDescent="0.25">
      <c r="L3240" s="3" t="e">
        <f>VLOOKUP(C3240,Securities!A:D,4,FALSE)</f>
        <v>#N/A</v>
      </c>
      <c r="M3240" s="3" t="e">
        <f>VLOOKUP(C3240,Securities!A:B,2,FALSE)</f>
        <v>#N/A</v>
      </c>
      <c r="O3240" s="3">
        <f t="shared" si="51"/>
        <v>0</v>
      </c>
    </row>
    <row r="3241" spans="12:15" x14ac:dyDescent="0.25">
      <c r="L3241" s="3" t="e">
        <f>VLOOKUP(C3241,Securities!A:D,4,FALSE)</f>
        <v>#N/A</v>
      </c>
      <c r="M3241" s="3" t="e">
        <f>VLOOKUP(C3241,Securities!A:B,2,FALSE)</f>
        <v>#N/A</v>
      </c>
      <c r="O3241" s="3">
        <f t="shared" si="51"/>
        <v>0</v>
      </c>
    </row>
    <row r="3242" spans="12:15" x14ac:dyDescent="0.25">
      <c r="L3242" s="3" t="e">
        <f>VLOOKUP(C3242,Securities!A:D,4,FALSE)</f>
        <v>#N/A</v>
      </c>
      <c r="M3242" s="3" t="e">
        <f>VLOOKUP(C3242,Securities!A:B,2,FALSE)</f>
        <v>#N/A</v>
      </c>
      <c r="O3242" s="3">
        <f t="shared" si="51"/>
        <v>0</v>
      </c>
    </row>
    <row r="3243" spans="12:15" x14ac:dyDescent="0.25">
      <c r="L3243" s="3" t="e">
        <f>VLOOKUP(C3243,Securities!A:D,4,FALSE)</f>
        <v>#N/A</v>
      </c>
      <c r="M3243" s="3" t="e">
        <f>VLOOKUP(C3243,Securities!A:B,2,FALSE)</f>
        <v>#N/A</v>
      </c>
      <c r="O3243" s="3">
        <f t="shared" si="51"/>
        <v>0</v>
      </c>
    </row>
    <row r="3244" spans="12:15" x14ac:dyDescent="0.25">
      <c r="L3244" s="3" t="e">
        <f>VLOOKUP(C3244,Securities!A:D,4,FALSE)</f>
        <v>#N/A</v>
      </c>
      <c r="M3244" s="3" t="e">
        <f>VLOOKUP(C3244,Securities!A:B,2,FALSE)</f>
        <v>#N/A</v>
      </c>
      <c r="O3244" s="3">
        <f t="shared" si="51"/>
        <v>0</v>
      </c>
    </row>
    <row r="3245" spans="12:15" x14ac:dyDescent="0.25">
      <c r="L3245" s="3" t="e">
        <f>VLOOKUP(C3245,Securities!A:D,4,FALSE)</f>
        <v>#N/A</v>
      </c>
      <c r="M3245" s="3" t="e">
        <f>VLOOKUP(C3245,Securities!A:B,2,FALSE)</f>
        <v>#N/A</v>
      </c>
      <c r="O3245" s="3">
        <f t="shared" si="51"/>
        <v>0</v>
      </c>
    </row>
    <row r="3246" spans="12:15" x14ac:dyDescent="0.25">
      <c r="L3246" s="3" t="e">
        <f>VLOOKUP(C3246,Securities!A:D,4,FALSE)</f>
        <v>#N/A</v>
      </c>
      <c r="M3246" s="3" t="e">
        <f>VLOOKUP(C3246,Securities!A:B,2,FALSE)</f>
        <v>#N/A</v>
      </c>
      <c r="O3246" s="3">
        <f t="shared" si="51"/>
        <v>0</v>
      </c>
    </row>
    <row r="3247" spans="12:15" x14ac:dyDescent="0.25">
      <c r="L3247" s="3" t="e">
        <f>VLOOKUP(C3247,Securities!A:D,4,FALSE)</f>
        <v>#N/A</v>
      </c>
      <c r="M3247" s="3" t="e">
        <f>VLOOKUP(C3247,Securities!A:B,2,FALSE)</f>
        <v>#N/A</v>
      </c>
      <c r="O3247" s="3">
        <f t="shared" si="51"/>
        <v>0</v>
      </c>
    </row>
    <row r="3248" spans="12:15" x14ac:dyDescent="0.25">
      <c r="L3248" s="3" t="e">
        <f>VLOOKUP(C3248,Securities!A:D,4,FALSE)</f>
        <v>#N/A</v>
      </c>
      <c r="M3248" s="3" t="e">
        <f>VLOOKUP(C3248,Securities!A:B,2,FALSE)</f>
        <v>#N/A</v>
      </c>
      <c r="O3248" s="3">
        <f t="shared" si="51"/>
        <v>0</v>
      </c>
    </row>
    <row r="3249" spans="12:15" x14ac:dyDescent="0.25">
      <c r="L3249" s="3" t="e">
        <f>VLOOKUP(C3249,Securities!A:D,4,FALSE)</f>
        <v>#N/A</v>
      </c>
      <c r="M3249" s="3" t="e">
        <f>VLOOKUP(C3249,Securities!A:B,2,FALSE)</f>
        <v>#N/A</v>
      </c>
      <c r="O3249" s="3">
        <f t="shared" si="51"/>
        <v>0</v>
      </c>
    </row>
    <row r="3250" spans="12:15" x14ac:dyDescent="0.25">
      <c r="L3250" s="3" t="e">
        <f>VLOOKUP(C3250,Securities!A:D,4,FALSE)</f>
        <v>#N/A</v>
      </c>
      <c r="M3250" s="3" t="e">
        <f>VLOOKUP(C3250,Securities!A:B,2,FALSE)</f>
        <v>#N/A</v>
      </c>
      <c r="O3250" s="3">
        <f t="shared" si="51"/>
        <v>0</v>
      </c>
    </row>
    <row r="3251" spans="12:15" x14ac:dyDescent="0.25">
      <c r="L3251" s="3" t="e">
        <f>VLOOKUP(C3251,Securities!A:D,4,FALSE)</f>
        <v>#N/A</v>
      </c>
      <c r="M3251" s="3" t="e">
        <f>VLOOKUP(C3251,Securities!A:B,2,FALSE)</f>
        <v>#N/A</v>
      </c>
      <c r="O3251" s="3">
        <f t="shared" si="51"/>
        <v>0</v>
      </c>
    </row>
    <row r="3252" spans="12:15" x14ac:dyDescent="0.25">
      <c r="L3252" s="3" t="e">
        <f>VLOOKUP(C3252,Securities!A:D,4,FALSE)</f>
        <v>#N/A</v>
      </c>
      <c r="M3252" s="3" t="e">
        <f>VLOOKUP(C3252,Securities!A:B,2,FALSE)</f>
        <v>#N/A</v>
      </c>
      <c r="O3252" s="3">
        <f t="shared" si="51"/>
        <v>0</v>
      </c>
    </row>
    <row r="3253" spans="12:15" x14ac:dyDescent="0.25">
      <c r="L3253" s="3" t="e">
        <f>VLOOKUP(C3253,Securities!A:D,4,FALSE)</f>
        <v>#N/A</v>
      </c>
      <c r="M3253" s="3" t="e">
        <f>VLOOKUP(C3253,Securities!A:B,2,FALSE)</f>
        <v>#N/A</v>
      </c>
      <c r="O3253" s="3">
        <f t="shared" si="51"/>
        <v>0</v>
      </c>
    </row>
    <row r="3254" spans="12:15" x14ac:dyDescent="0.25">
      <c r="L3254" s="3" t="e">
        <f>VLOOKUP(C3254,Securities!A:D,4,FALSE)</f>
        <v>#N/A</v>
      </c>
      <c r="M3254" s="3" t="e">
        <f>VLOOKUP(C3254,Securities!A:B,2,FALSE)</f>
        <v>#N/A</v>
      </c>
      <c r="O3254" s="3">
        <f t="shared" si="51"/>
        <v>0</v>
      </c>
    </row>
    <row r="3255" spans="12:15" x14ac:dyDescent="0.25">
      <c r="L3255" s="3" t="e">
        <f>VLOOKUP(C3255,Securities!A:D,4,FALSE)</f>
        <v>#N/A</v>
      </c>
      <c r="M3255" s="3" t="e">
        <f>VLOOKUP(C3255,Securities!A:B,2,FALSE)</f>
        <v>#N/A</v>
      </c>
      <c r="O3255" s="3">
        <f t="shared" si="51"/>
        <v>0</v>
      </c>
    </row>
    <row r="3256" spans="12:15" x14ac:dyDescent="0.25">
      <c r="L3256" s="3" t="e">
        <f>VLOOKUP(C3256,Securities!A:D,4,FALSE)</f>
        <v>#N/A</v>
      </c>
      <c r="M3256" s="3" t="e">
        <f>VLOOKUP(C3256,Securities!A:B,2,FALSE)</f>
        <v>#N/A</v>
      </c>
      <c r="O3256" s="3">
        <f t="shared" si="51"/>
        <v>0</v>
      </c>
    </row>
    <row r="3257" spans="12:15" x14ac:dyDescent="0.25">
      <c r="L3257" s="3" t="e">
        <f>VLOOKUP(C3257,Securities!A:D,4,FALSE)</f>
        <v>#N/A</v>
      </c>
      <c r="M3257" s="3" t="e">
        <f>VLOOKUP(C3257,Securities!A:B,2,FALSE)</f>
        <v>#N/A</v>
      </c>
      <c r="O3257" s="3">
        <f t="shared" si="51"/>
        <v>0</v>
      </c>
    </row>
    <row r="3258" spans="12:15" x14ac:dyDescent="0.25">
      <c r="L3258" s="3" t="e">
        <f>VLOOKUP(C3258,Securities!A:D,4,FALSE)</f>
        <v>#N/A</v>
      </c>
      <c r="M3258" s="3" t="e">
        <f>VLOOKUP(C3258,Securities!A:B,2,FALSE)</f>
        <v>#N/A</v>
      </c>
      <c r="O3258" s="3">
        <f t="shared" si="51"/>
        <v>0</v>
      </c>
    </row>
    <row r="3259" spans="12:15" x14ac:dyDescent="0.25">
      <c r="L3259" s="3" t="e">
        <f>VLOOKUP(C3259,Securities!A:D,4,FALSE)</f>
        <v>#N/A</v>
      </c>
      <c r="M3259" s="3" t="e">
        <f>VLOOKUP(C3259,Securities!A:B,2,FALSE)</f>
        <v>#N/A</v>
      </c>
      <c r="O3259" s="3">
        <f t="shared" si="51"/>
        <v>0</v>
      </c>
    </row>
    <row r="3260" spans="12:15" x14ac:dyDescent="0.25">
      <c r="L3260" s="3" t="e">
        <f>VLOOKUP(C3260,Securities!A:D,4,FALSE)</f>
        <v>#N/A</v>
      </c>
      <c r="M3260" s="3" t="e">
        <f>VLOOKUP(C3260,Securities!A:B,2,FALSE)</f>
        <v>#N/A</v>
      </c>
      <c r="O3260" s="3">
        <f t="shared" si="51"/>
        <v>0</v>
      </c>
    </row>
    <row r="3261" spans="12:15" x14ac:dyDescent="0.25">
      <c r="L3261" s="3" t="e">
        <f>VLOOKUP(C3261,Securities!A:D,4,FALSE)</f>
        <v>#N/A</v>
      </c>
      <c r="M3261" s="3" t="e">
        <f>VLOOKUP(C3261,Securities!A:B,2,FALSE)</f>
        <v>#N/A</v>
      </c>
      <c r="O3261" s="3">
        <f t="shared" si="51"/>
        <v>0</v>
      </c>
    </row>
    <row r="3262" spans="12:15" x14ac:dyDescent="0.25">
      <c r="L3262" s="3" t="e">
        <f>VLOOKUP(C3262,Securities!A:D,4,FALSE)</f>
        <v>#N/A</v>
      </c>
      <c r="M3262" s="3" t="e">
        <f>VLOOKUP(C3262,Securities!A:B,2,FALSE)</f>
        <v>#N/A</v>
      </c>
      <c r="O3262" s="3">
        <f t="shared" si="51"/>
        <v>0</v>
      </c>
    </row>
    <row r="3263" spans="12:15" x14ac:dyDescent="0.25">
      <c r="L3263" s="3" t="e">
        <f>VLOOKUP(C3263,Securities!A:D,4,FALSE)</f>
        <v>#N/A</v>
      </c>
      <c r="M3263" s="3" t="e">
        <f>VLOOKUP(C3263,Securities!A:B,2,FALSE)</f>
        <v>#N/A</v>
      </c>
      <c r="O3263" s="3">
        <f t="shared" si="51"/>
        <v>0</v>
      </c>
    </row>
    <row r="3264" spans="12:15" x14ac:dyDescent="0.25">
      <c r="L3264" s="3" t="e">
        <f>VLOOKUP(C3264,Securities!A:D,4,FALSE)</f>
        <v>#N/A</v>
      </c>
      <c r="M3264" s="3" t="e">
        <f>VLOOKUP(C3264,Securities!A:B,2,FALSE)</f>
        <v>#N/A</v>
      </c>
      <c r="O3264" s="3">
        <f t="shared" si="51"/>
        <v>0</v>
      </c>
    </row>
    <row r="3265" spans="12:15" x14ac:dyDescent="0.25">
      <c r="L3265" s="3" t="e">
        <f>VLOOKUP(C3265,Securities!A:D,4,FALSE)</f>
        <v>#N/A</v>
      </c>
      <c r="M3265" s="3" t="e">
        <f>VLOOKUP(C3265,Securities!A:B,2,FALSE)</f>
        <v>#N/A</v>
      </c>
      <c r="O3265" s="3">
        <f t="shared" si="51"/>
        <v>0</v>
      </c>
    </row>
    <row r="3266" spans="12:15" x14ac:dyDescent="0.25">
      <c r="L3266" s="3" t="e">
        <f>VLOOKUP(C3266,Securities!A:D,4,FALSE)</f>
        <v>#N/A</v>
      </c>
      <c r="M3266" s="3" t="e">
        <f>VLOOKUP(C3266,Securities!A:B,2,FALSE)</f>
        <v>#N/A</v>
      </c>
      <c r="O3266" s="3">
        <f t="shared" si="51"/>
        <v>0</v>
      </c>
    </row>
    <row r="3267" spans="12:15" x14ac:dyDescent="0.25">
      <c r="L3267" s="3" t="e">
        <f>VLOOKUP(C3267,Securities!A:D,4,FALSE)</f>
        <v>#N/A</v>
      </c>
      <c r="M3267" s="3" t="e">
        <f>VLOOKUP(C3267,Securities!A:B,2,FALSE)</f>
        <v>#N/A</v>
      </c>
      <c r="O3267" s="3">
        <f t="shared" si="51"/>
        <v>0</v>
      </c>
    </row>
    <row r="3268" spans="12:15" x14ac:dyDescent="0.25">
      <c r="L3268" s="3" t="e">
        <f>VLOOKUP(C3268,Securities!A:D,4,FALSE)</f>
        <v>#N/A</v>
      </c>
      <c r="M3268" s="3" t="e">
        <f>VLOOKUP(C3268,Securities!A:B,2,FALSE)</f>
        <v>#N/A</v>
      </c>
      <c r="O3268" s="3">
        <f t="shared" si="51"/>
        <v>0</v>
      </c>
    </row>
    <row r="3269" spans="12:15" x14ac:dyDescent="0.25">
      <c r="L3269" s="3" t="e">
        <f>VLOOKUP(C3269,Securities!A:D,4,FALSE)</f>
        <v>#N/A</v>
      </c>
      <c r="M3269" s="3" t="e">
        <f>VLOOKUP(C3269,Securities!A:B,2,FALSE)</f>
        <v>#N/A</v>
      </c>
      <c r="O3269" s="3">
        <f t="shared" si="51"/>
        <v>0</v>
      </c>
    </row>
    <row r="3270" spans="12:15" x14ac:dyDescent="0.25">
      <c r="L3270" s="3" t="e">
        <f>VLOOKUP(C3270,Securities!A:D,4,FALSE)</f>
        <v>#N/A</v>
      </c>
      <c r="M3270" s="3" t="e">
        <f>VLOOKUP(C3270,Securities!A:B,2,FALSE)</f>
        <v>#N/A</v>
      </c>
      <c r="O3270" s="3">
        <f t="shared" ref="O3270:O3333" si="52">SUMIFS(E:E,C:C,C3270,B:B,B3270)</f>
        <v>0</v>
      </c>
    </row>
    <row r="3271" spans="12:15" x14ac:dyDescent="0.25">
      <c r="L3271" s="3" t="e">
        <f>VLOOKUP(C3271,Securities!A:D,4,FALSE)</f>
        <v>#N/A</v>
      </c>
      <c r="M3271" s="3" t="e">
        <f>VLOOKUP(C3271,Securities!A:B,2,FALSE)</f>
        <v>#N/A</v>
      </c>
      <c r="O3271" s="3">
        <f t="shared" si="52"/>
        <v>0</v>
      </c>
    </row>
    <row r="3272" spans="12:15" x14ac:dyDescent="0.25">
      <c r="L3272" s="3" t="e">
        <f>VLOOKUP(C3272,Securities!A:D,4,FALSE)</f>
        <v>#N/A</v>
      </c>
      <c r="M3272" s="3" t="e">
        <f>VLOOKUP(C3272,Securities!A:B,2,FALSE)</f>
        <v>#N/A</v>
      </c>
      <c r="O3272" s="3">
        <f t="shared" si="52"/>
        <v>0</v>
      </c>
    </row>
    <row r="3273" spans="12:15" x14ac:dyDescent="0.25">
      <c r="L3273" s="3" t="e">
        <f>VLOOKUP(C3273,Securities!A:D,4,FALSE)</f>
        <v>#N/A</v>
      </c>
      <c r="M3273" s="3" t="e">
        <f>VLOOKUP(C3273,Securities!A:B,2,FALSE)</f>
        <v>#N/A</v>
      </c>
      <c r="O3273" s="3">
        <f t="shared" si="52"/>
        <v>0</v>
      </c>
    </row>
    <row r="3274" spans="12:15" x14ac:dyDescent="0.25">
      <c r="L3274" s="3" t="e">
        <f>VLOOKUP(C3274,Securities!A:D,4,FALSE)</f>
        <v>#N/A</v>
      </c>
      <c r="M3274" s="3" t="e">
        <f>VLOOKUP(C3274,Securities!A:B,2,FALSE)</f>
        <v>#N/A</v>
      </c>
      <c r="O3274" s="3">
        <f t="shared" si="52"/>
        <v>0</v>
      </c>
    </row>
    <row r="3275" spans="12:15" x14ac:dyDescent="0.25">
      <c r="L3275" s="3" t="e">
        <f>VLOOKUP(C3275,Securities!A:D,4,FALSE)</f>
        <v>#N/A</v>
      </c>
      <c r="M3275" s="3" t="e">
        <f>VLOOKUP(C3275,Securities!A:B,2,FALSE)</f>
        <v>#N/A</v>
      </c>
      <c r="O3275" s="3">
        <f t="shared" si="52"/>
        <v>0</v>
      </c>
    </row>
    <row r="3276" spans="12:15" x14ac:dyDescent="0.25">
      <c r="L3276" s="3" t="e">
        <f>VLOOKUP(C3276,Securities!A:D,4,FALSE)</f>
        <v>#N/A</v>
      </c>
      <c r="M3276" s="3" t="e">
        <f>VLOOKUP(C3276,Securities!A:B,2,FALSE)</f>
        <v>#N/A</v>
      </c>
      <c r="O3276" s="3">
        <f t="shared" si="52"/>
        <v>0</v>
      </c>
    </row>
    <row r="3277" spans="12:15" x14ac:dyDescent="0.25">
      <c r="L3277" s="3" t="e">
        <f>VLOOKUP(C3277,Securities!A:D,4,FALSE)</f>
        <v>#N/A</v>
      </c>
      <c r="M3277" s="3" t="e">
        <f>VLOOKUP(C3277,Securities!A:B,2,FALSE)</f>
        <v>#N/A</v>
      </c>
      <c r="O3277" s="3">
        <f t="shared" si="52"/>
        <v>0</v>
      </c>
    </row>
    <row r="3278" spans="12:15" x14ac:dyDescent="0.25">
      <c r="L3278" s="3" t="e">
        <f>VLOOKUP(C3278,Securities!A:D,4,FALSE)</f>
        <v>#N/A</v>
      </c>
      <c r="M3278" s="3" t="e">
        <f>VLOOKUP(C3278,Securities!A:B,2,FALSE)</f>
        <v>#N/A</v>
      </c>
      <c r="O3278" s="3">
        <f t="shared" si="52"/>
        <v>0</v>
      </c>
    </row>
    <row r="3279" spans="12:15" x14ac:dyDescent="0.25">
      <c r="L3279" s="3" t="e">
        <f>VLOOKUP(C3279,Securities!A:D,4,FALSE)</f>
        <v>#N/A</v>
      </c>
      <c r="M3279" s="3" t="e">
        <f>VLOOKUP(C3279,Securities!A:B,2,FALSE)</f>
        <v>#N/A</v>
      </c>
      <c r="O3279" s="3">
        <f t="shared" si="52"/>
        <v>0</v>
      </c>
    </row>
    <row r="3280" spans="12:15" x14ac:dyDescent="0.25">
      <c r="L3280" s="3" t="e">
        <f>VLOOKUP(C3280,Securities!A:D,4,FALSE)</f>
        <v>#N/A</v>
      </c>
      <c r="M3280" s="3" t="e">
        <f>VLOOKUP(C3280,Securities!A:B,2,FALSE)</f>
        <v>#N/A</v>
      </c>
      <c r="O3280" s="3">
        <f t="shared" si="52"/>
        <v>0</v>
      </c>
    </row>
    <row r="3281" spans="12:15" x14ac:dyDescent="0.25">
      <c r="L3281" s="3" t="e">
        <f>VLOOKUP(C3281,Securities!A:D,4,FALSE)</f>
        <v>#N/A</v>
      </c>
      <c r="M3281" s="3" t="e">
        <f>VLOOKUP(C3281,Securities!A:B,2,FALSE)</f>
        <v>#N/A</v>
      </c>
      <c r="O3281" s="3">
        <f t="shared" si="52"/>
        <v>0</v>
      </c>
    </row>
    <row r="3282" spans="12:15" x14ac:dyDescent="0.25">
      <c r="L3282" s="3" t="e">
        <f>VLOOKUP(C3282,Securities!A:D,4,FALSE)</f>
        <v>#N/A</v>
      </c>
      <c r="M3282" s="3" t="e">
        <f>VLOOKUP(C3282,Securities!A:B,2,FALSE)</f>
        <v>#N/A</v>
      </c>
      <c r="O3282" s="3">
        <f t="shared" si="52"/>
        <v>0</v>
      </c>
    </row>
    <row r="3283" spans="12:15" x14ac:dyDescent="0.25">
      <c r="L3283" s="3" t="e">
        <f>VLOOKUP(C3283,Securities!A:D,4,FALSE)</f>
        <v>#N/A</v>
      </c>
      <c r="M3283" s="3" t="e">
        <f>VLOOKUP(C3283,Securities!A:B,2,FALSE)</f>
        <v>#N/A</v>
      </c>
      <c r="O3283" s="3">
        <f t="shared" si="52"/>
        <v>0</v>
      </c>
    </row>
    <row r="3284" spans="12:15" x14ac:dyDescent="0.25">
      <c r="L3284" s="3" t="e">
        <f>VLOOKUP(C3284,Securities!A:D,4,FALSE)</f>
        <v>#N/A</v>
      </c>
      <c r="M3284" s="3" t="e">
        <f>VLOOKUP(C3284,Securities!A:B,2,FALSE)</f>
        <v>#N/A</v>
      </c>
      <c r="O3284" s="3">
        <f t="shared" si="52"/>
        <v>0</v>
      </c>
    </row>
    <row r="3285" spans="12:15" x14ac:dyDescent="0.25">
      <c r="L3285" s="3" t="e">
        <f>VLOOKUP(C3285,Securities!A:D,4,FALSE)</f>
        <v>#N/A</v>
      </c>
      <c r="M3285" s="3" t="e">
        <f>VLOOKUP(C3285,Securities!A:B,2,FALSE)</f>
        <v>#N/A</v>
      </c>
      <c r="O3285" s="3">
        <f t="shared" si="52"/>
        <v>0</v>
      </c>
    </row>
    <row r="3286" spans="12:15" x14ac:dyDescent="0.25">
      <c r="L3286" s="3" t="e">
        <f>VLOOKUP(C3286,Securities!A:D,4,FALSE)</f>
        <v>#N/A</v>
      </c>
      <c r="M3286" s="3" t="e">
        <f>VLOOKUP(C3286,Securities!A:B,2,FALSE)</f>
        <v>#N/A</v>
      </c>
      <c r="O3286" s="3">
        <f t="shared" si="52"/>
        <v>0</v>
      </c>
    </row>
    <row r="3287" spans="12:15" x14ac:dyDescent="0.25">
      <c r="L3287" s="3" t="e">
        <f>VLOOKUP(C3287,Securities!A:D,4,FALSE)</f>
        <v>#N/A</v>
      </c>
      <c r="M3287" s="3" t="e">
        <f>VLOOKUP(C3287,Securities!A:B,2,FALSE)</f>
        <v>#N/A</v>
      </c>
      <c r="O3287" s="3">
        <f t="shared" si="52"/>
        <v>0</v>
      </c>
    </row>
    <row r="3288" spans="12:15" x14ac:dyDescent="0.25">
      <c r="L3288" s="3" t="e">
        <f>VLOOKUP(C3288,Securities!A:D,4,FALSE)</f>
        <v>#N/A</v>
      </c>
      <c r="M3288" s="3" t="e">
        <f>VLOOKUP(C3288,Securities!A:B,2,FALSE)</f>
        <v>#N/A</v>
      </c>
      <c r="O3288" s="3">
        <f t="shared" si="52"/>
        <v>0</v>
      </c>
    </row>
    <row r="3289" spans="12:15" x14ac:dyDescent="0.25">
      <c r="L3289" s="3" t="e">
        <f>VLOOKUP(C3289,Securities!A:D,4,FALSE)</f>
        <v>#N/A</v>
      </c>
      <c r="M3289" s="3" t="e">
        <f>VLOOKUP(C3289,Securities!A:B,2,FALSE)</f>
        <v>#N/A</v>
      </c>
      <c r="O3289" s="3">
        <f t="shared" si="52"/>
        <v>0</v>
      </c>
    </row>
    <row r="3290" spans="12:15" x14ac:dyDescent="0.25">
      <c r="L3290" s="3" t="e">
        <f>VLOOKUP(C3290,Securities!A:D,4,FALSE)</f>
        <v>#N/A</v>
      </c>
      <c r="M3290" s="3" t="e">
        <f>VLOOKUP(C3290,Securities!A:B,2,FALSE)</f>
        <v>#N/A</v>
      </c>
      <c r="O3290" s="3">
        <f t="shared" si="52"/>
        <v>0</v>
      </c>
    </row>
    <row r="3291" spans="12:15" x14ac:dyDescent="0.25">
      <c r="L3291" s="3" t="e">
        <f>VLOOKUP(C3291,Securities!A:D,4,FALSE)</f>
        <v>#N/A</v>
      </c>
      <c r="M3291" s="3" t="e">
        <f>VLOOKUP(C3291,Securities!A:B,2,FALSE)</f>
        <v>#N/A</v>
      </c>
      <c r="O3291" s="3">
        <f t="shared" si="52"/>
        <v>0</v>
      </c>
    </row>
    <row r="3292" spans="12:15" x14ac:dyDescent="0.25">
      <c r="L3292" s="3" t="e">
        <f>VLOOKUP(C3292,Securities!A:D,4,FALSE)</f>
        <v>#N/A</v>
      </c>
      <c r="M3292" s="3" t="e">
        <f>VLOOKUP(C3292,Securities!A:B,2,FALSE)</f>
        <v>#N/A</v>
      </c>
      <c r="O3292" s="3">
        <f t="shared" si="52"/>
        <v>0</v>
      </c>
    </row>
    <row r="3293" spans="12:15" x14ac:dyDescent="0.25">
      <c r="L3293" s="3" t="e">
        <f>VLOOKUP(C3293,Securities!A:D,4,FALSE)</f>
        <v>#N/A</v>
      </c>
      <c r="M3293" s="3" t="e">
        <f>VLOOKUP(C3293,Securities!A:B,2,FALSE)</f>
        <v>#N/A</v>
      </c>
      <c r="O3293" s="3">
        <f t="shared" si="52"/>
        <v>0</v>
      </c>
    </row>
    <row r="3294" spans="12:15" x14ac:dyDescent="0.25">
      <c r="L3294" s="3" t="e">
        <f>VLOOKUP(C3294,Securities!A:D,4,FALSE)</f>
        <v>#N/A</v>
      </c>
      <c r="M3294" s="3" t="e">
        <f>VLOOKUP(C3294,Securities!A:B,2,FALSE)</f>
        <v>#N/A</v>
      </c>
      <c r="O3294" s="3">
        <f t="shared" si="52"/>
        <v>0</v>
      </c>
    </row>
    <row r="3295" spans="12:15" x14ac:dyDescent="0.25">
      <c r="L3295" s="3" t="e">
        <f>VLOOKUP(C3295,Securities!A:D,4,FALSE)</f>
        <v>#N/A</v>
      </c>
      <c r="M3295" s="3" t="e">
        <f>VLOOKUP(C3295,Securities!A:B,2,FALSE)</f>
        <v>#N/A</v>
      </c>
      <c r="O3295" s="3">
        <f t="shared" si="52"/>
        <v>0</v>
      </c>
    </row>
    <row r="3296" spans="12:15" x14ac:dyDescent="0.25">
      <c r="L3296" s="3" t="e">
        <f>VLOOKUP(C3296,Securities!A:D,4,FALSE)</f>
        <v>#N/A</v>
      </c>
      <c r="M3296" s="3" t="e">
        <f>VLOOKUP(C3296,Securities!A:B,2,FALSE)</f>
        <v>#N/A</v>
      </c>
      <c r="O3296" s="3">
        <f t="shared" si="52"/>
        <v>0</v>
      </c>
    </row>
    <row r="3297" spans="12:15" x14ac:dyDescent="0.25">
      <c r="L3297" s="3" t="e">
        <f>VLOOKUP(C3297,Securities!A:D,4,FALSE)</f>
        <v>#N/A</v>
      </c>
      <c r="M3297" s="3" t="e">
        <f>VLOOKUP(C3297,Securities!A:B,2,FALSE)</f>
        <v>#N/A</v>
      </c>
      <c r="O3297" s="3">
        <f t="shared" si="52"/>
        <v>0</v>
      </c>
    </row>
    <row r="3298" spans="12:15" x14ac:dyDescent="0.25">
      <c r="L3298" s="3" t="e">
        <f>VLOOKUP(C3298,Securities!A:D,4,FALSE)</f>
        <v>#N/A</v>
      </c>
      <c r="M3298" s="3" t="e">
        <f>VLOOKUP(C3298,Securities!A:B,2,FALSE)</f>
        <v>#N/A</v>
      </c>
      <c r="O3298" s="3">
        <f t="shared" si="52"/>
        <v>0</v>
      </c>
    </row>
    <row r="3299" spans="12:15" x14ac:dyDescent="0.25">
      <c r="L3299" s="3" t="e">
        <f>VLOOKUP(C3299,Securities!A:D,4,FALSE)</f>
        <v>#N/A</v>
      </c>
      <c r="M3299" s="3" t="e">
        <f>VLOOKUP(C3299,Securities!A:B,2,FALSE)</f>
        <v>#N/A</v>
      </c>
      <c r="O3299" s="3">
        <f t="shared" si="52"/>
        <v>0</v>
      </c>
    </row>
    <row r="3300" spans="12:15" x14ac:dyDescent="0.25">
      <c r="L3300" s="3" t="e">
        <f>VLOOKUP(C3300,Securities!A:D,4,FALSE)</f>
        <v>#N/A</v>
      </c>
      <c r="M3300" s="3" t="e">
        <f>VLOOKUP(C3300,Securities!A:B,2,FALSE)</f>
        <v>#N/A</v>
      </c>
      <c r="O3300" s="3">
        <f t="shared" si="52"/>
        <v>0</v>
      </c>
    </row>
    <row r="3301" spans="12:15" x14ac:dyDescent="0.25">
      <c r="L3301" s="3" t="e">
        <f>VLOOKUP(C3301,Securities!A:D,4,FALSE)</f>
        <v>#N/A</v>
      </c>
      <c r="M3301" s="3" t="e">
        <f>VLOOKUP(C3301,Securities!A:B,2,FALSE)</f>
        <v>#N/A</v>
      </c>
      <c r="O3301" s="3">
        <f t="shared" si="52"/>
        <v>0</v>
      </c>
    </row>
    <row r="3302" spans="12:15" x14ac:dyDescent="0.25">
      <c r="L3302" s="3" t="e">
        <f>VLOOKUP(C3302,Securities!A:D,4,FALSE)</f>
        <v>#N/A</v>
      </c>
      <c r="M3302" s="3" t="e">
        <f>VLOOKUP(C3302,Securities!A:B,2,FALSE)</f>
        <v>#N/A</v>
      </c>
      <c r="O3302" s="3">
        <f t="shared" si="52"/>
        <v>0</v>
      </c>
    </row>
    <row r="3303" spans="12:15" x14ac:dyDescent="0.25">
      <c r="L3303" s="3" t="e">
        <f>VLOOKUP(C3303,Securities!A:D,4,FALSE)</f>
        <v>#N/A</v>
      </c>
      <c r="M3303" s="3" t="e">
        <f>VLOOKUP(C3303,Securities!A:B,2,FALSE)</f>
        <v>#N/A</v>
      </c>
      <c r="O3303" s="3">
        <f t="shared" si="52"/>
        <v>0</v>
      </c>
    </row>
    <row r="3304" spans="12:15" x14ac:dyDescent="0.25">
      <c r="L3304" s="3" t="e">
        <f>VLOOKUP(C3304,Securities!A:D,4,FALSE)</f>
        <v>#N/A</v>
      </c>
      <c r="M3304" s="3" t="e">
        <f>VLOOKUP(C3304,Securities!A:B,2,FALSE)</f>
        <v>#N/A</v>
      </c>
      <c r="O3304" s="3">
        <f t="shared" si="52"/>
        <v>0</v>
      </c>
    </row>
    <row r="3305" spans="12:15" x14ac:dyDescent="0.25">
      <c r="L3305" s="3" t="e">
        <f>VLOOKUP(C3305,Securities!A:D,4,FALSE)</f>
        <v>#N/A</v>
      </c>
      <c r="M3305" s="3" t="e">
        <f>VLOOKUP(C3305,Securities!A:B,2,FALSE)</f>
        <v>#N/A</v>
      </c>
      <c r="O3305" s="3">
        <f t="shared" si="52"/>
        <v>0</v>
      </c>
    </row>
    <row r="3306" spans="12:15" x14ac:dyDescent="0.25">
      <c r="L3306" s="3" t="e">
        <f>VLOOKUP(C3306,Securities!A:D,4,FALSE)</f>
        <v>#N/A</v>
      </c>
      <c r="M3306" s="3" t="e">
        <f>VLOOKUP(C3306,Securities!A:B,2,FALSE)</f>
        <v>#N/A</v>
      </c>
      <c r="O3306" s="3">
        <f t="shared" si="52"/>
        <v>0</v>
      </c>
    </row>
    <row r="3307" spans="12:15" x14ac:dyDescent="0.25">
      <c r="L3307" s="3" t="e">
        <f>VLOOKUP(C3307,Securities!A:D,4,FALSE)</f>
        <v>#N/A</v>
      </c>
      <c r="M3307" s="3" t="e">
        <f>VLOOKUP(C3307,Securities!A:B,2,FALSE)</f>
        <v>#N/A</v>
      </c>
      <c r="O3307" s="3">
        <f t="shared" si="52"/>
        <v>0</v>
      </c>
    </row>
    <row r="3308" spans="12:15" x14ac:dyDescent="0.25">
      <c r="L3308" s="3" t="e">
        <f>VLOOKUP(C3308,Securities!A:D,4,FALSE)</f>
        <v>#N/A</v>
      </c>
      <c r="M3308" s="3" t="e">
        <f>VLOOKUP(C3308,Securities!A:B,2,FALSE)</f>
        <v>#N/A</v>
      </c>
      <c r="O3308" s="3">
        <f t="shared" si="52"/>
        <v>0</v>
      </c>
    </row>
    <row r="3309" spans="12:15" x14ac:dyDescent="0.25">
      <c r="L3309" s="3" t="e">
        <f>VLOOKUP(C3309,Securities!A:D,4,FALSE)</f>
        <v>#N/A</v>
      </c>
      <c r="M3309" s="3" t="e">
        <f>VLOOKUP(C3309,Securities!A:B,2,FALSE)</f>
        <v>#N/A</v>
      </c>
      <c r="O3309" s="3">
        <f t="shared" si="52"/>
        <v>0</v>
      </c>
    </row>
    <row r="3310" spans="12:15" x14ac:dyDescent="0.25">
      <c r="L3310" s="3" t="e">
        <f>VLOOKUP(C3310,Securities!A:D,4,FALSE)</f>
        <v>#N/A</v>
      </c>
      <c r="M3310" s="3" t="e">
        <f>VLOOKUP(C3310,Securities!A:B,2,FALSE)</f>
        <v>#N/A</v>
      </c>
      <c r="O3310" s="3">
        <f t="shared" si="52"/>
        <v>0</v>
      </c>
    </row>
    <row r="3311" spans="12:15" x14ac:dyDescent="0.25">
      <c r="L3311" s="3" t="e">
        <f>VLOOKUP(C3311,Securities!A:D,4,FALSE)</f>
        <v>#N/A</v>
      </c>
      <c r="M3311" s="3" t="e">
        <f>VLOOKUP(C3311,Securities!A:B,2,FALSE)</f>
        <v>#N/A</v>
      </c>
      <c r="O3311" s="3">
        <f t="shared" si="52"/>
        <v>0</v>
      </c>
    </row>
    <row r="3312" spans="12:15" x14ac:dyDescent="0.25">
      <c r="L3312" s="3" t="e">
        <f>VLOOKUP(C3312,Securities!A:D,4,FALSE)</f>
        <v>#N/A</v>
      </c>
      <c r="M3312" s="3" t="e">
        <f>VLOOKUP(C3312,Securities!A:B,2,FALSE)</f>
        <v>#N/A</v>
      </c>
      <c r="O3312" s="3">
        <f t="shared" si="52"/>
        <v>0</v>
      </c>
    </row>
    <row r="3313" spans="12:15" x14ac:dyDescent="0.25">
      <c r="L3313" s="3" t="e">
        <f>VLOOKUP(C3313,Securities!A:D,4,FALSE)</f>
        <v>#N/A</v>
      </c>
      <c r="M3313" s="3" t="e">
        <f>VLOOKUP(C3313,Securities!A:B,2,FALSE)</f>
        <v>#N/A</v>
      </c>
      <c r="O3313" s="3">
        <f t="shared" si="52"/>
        <v>0</v>
      </c>
    </row>
    <row r="3314" spans="12:15" x14ac:dyDescent="0.25">
      <c r="L3314" s="3" t="e">
        <f>VLOOKUP(C3314,Securities!A:D,4,FALSE)</f>
        <v>#N/A</v>
      </c>
      <c r="M3314" s="3" t="e">
        <f>VLOOKUP(C3314,Securities!A:B,2,FALSE)</f>
        <v>#N/A</v>
      </c>
      <c r="O3314" s="3">
        <f t="shared" si="52"/>
        <v>0</v>
      </c>
    </row>
    <row r="3315" spans="12:15" x14ac:dyDescent="0.25">
      <c r="L3315" s="3" t="e">
        <f>VLOOKUP(C3315,Securities!A:D,4,FALSE)</f>
        <v>#N/A</v>
      </c>
      <c r="M3315" s="3" t="e">
        <f>VLOOKUP(C3315,Securities!A:B,2,FALSE)</f>
        <v>#N/A</v>
      </c>
      <c r="O3315" s="3">
        <f t="shared" si="52"/>
        <v>0</v>
      </c>
    </row>
    <row r="3316" spans="12:15" x14ac:dyDescent="0.25">
      <c r="L3316" s="3" t="e">
        <f>VLOOKUP(C3316,Securities!A:D,4,FALSE)</f>
        <v>#N/A</v>
      </c>
      <c r="M3316" s="3" t="e">
        <f>VLOOKUP(C3316,Securities!A:B,2,FALSE)</f>
        <v>#N/A</v>
      </c>
      <c r="O3316" s="3">
        <f t="shared" si="52"/>
        <v>0</v>
      </c>
    </row>
    <row r="3317" spans="12:15" x14ac:dyDescent="0.25">
      <c r="L3317" s="3" t="e">
        <f>VLOOKUP(C3317,Securities!A:D,4,FALSE)</f>
        <v>#N/A</v>
      </c>
      <c r="M3317" s="3" t="e">
        <f>VLOOKUP(C3317,Securities!A:B,2,FALSE)</f>
        <v>#N/A</v>
      </c>
      <c r="O3317" s="3">
        <f t="shared" si="52"/>
        <v>0</v>
      </c>
    </row>
    <row r="3318" spans="12:15" x14ac:dyDescent="0.25">
      <c r="L3318" s="3" t="e">
        <f>VLOOKUP(C3318,Securities!A:D,4,FALSE)</f>
        <v>#N/A</v>
      </c>
      <c r="M3318" s="3" t="e">
        <f>VLOOKUP(C3318,Securities!A:B,2,FALSE)</f>
        <v>#N/A</v>
      </c>
      <c r="O3318" s="3">
        <f t="shared" si="52"/>
        <v>0</v>
      </c>
    </row>
    <row r="3319" spans="12:15" x14ac:dyDescent="0.25">
      <c r="L3319" s="3" t="e">
        <f>VLOOKUP(C3319,Securities!A:D,4,FALSE)</f>
        <v>#N/A</v>
      </c>
      <c r="M3319" s="3" t="e">
        <f>VLOOKUP(C3319,Securities!A:B,2,FALSE)</f>
        <v>#N/A</v>
      </c>
      <c r="O3319" s="3">
        <f t="shared" si="52"/>
        <v>0</v>
      </c>
    </row>
    <row r="3320" spans="12:15" x14ac:dyDescent="0.25">
      <c r="L3320" s="3" t="e">
        <f>VLOOKUP(C3320,Securities!A:D,4,FALSE)</f>
        <v>#N/A</v>
      </c>
      <c r="M3320" s="3" t="e">
        <f>VLOOKUP(C3320,Securities!A:B,2,FALSE)</f>
        <v>#N/A</v>
      </c>
      <c r="O3320" s="3">
        <f t="shared" si="52"/>
        <v>0</v>
      </c>
    </row>
    <row r="3321" spans="12:15" x14ac:dyDescent="0.25">
      <c r="L3321" s="3" t="e">
        <f>VLOOKUP(C3321,Securities!A:D,4,FALSE)</f>
        <v>#N/A</v>
      </c>
      <c r="M3321" s="3" t="e">
        <f>VLOOKUP(C3321,Securities!A:B,2,FALSE)</f>
        <v>#N/A</v>
      </c>
      <c r="O3321" s="3">
        <f t="shared" si="52"/>
        <v>0</v>
      </c>
    </row>
    <row r="3322" spans="12:15" x14ac:dyDescent="0.25">
      <c r="L3322" s="3" t="e">
        <f>VLOOKUP(C3322,Securities!A:D,4,FALSE)</f>
        <v>#N/A</v>
      </c>
      <c r="M3322" s="3" t="e">
        <f>VLOOKUP(C3322,Securities!A:B,2,FALSE)</f>
        <v>#N/A</v>
      </c>
      <c r="O3322" s="3">
        <f t="shared" si="52"/>
        <v>0</v>
      </c>
    </row>
    <row r="3323" spans="12:15" x14ac:dyDescent="0.25">
      <c r="L3323" s="3" t="e">
        <f>VLOOKUP(C3323,Securities!A:D,4,FALSE)</f>
        <v>#N/A</v>
      </c>
      <c r="M3323" s="3" t="e">
        <f>VLOOKUP(C3323,Securities!A:B,2,FALSE)</f>
        <v>#N/A</v>
      </c>
      <c r="O3323" s="3">
        <f t="shared" si="52"/>
        <v>0</v>
      </c>
    </row>
    <row r="3324" spans="12:15" x14ac:dyDescent="0.25">
      <c r="L3324" s="3" t="e">
        <f>VLOOKUP(C3324,Securities!A:D,4,FALSE)</f>
        <v>#N/A</v>
      </c>
      <c r="M3324" s="3" t="e">
        <f>VLOOKUP(C3324,Securities!A:B,2,FALSE)</f>
        <v>#N/A</v>
      </c>
      <c r="O3324" s="3">
        <f t="shared" si="52"/>
        <v>0</v>
      </c>
    </row>
    <row r="3325" spans="12:15" x14ac:dyDescent="0.25">
      <c r="L3325" s="3" t="e">
        <f>VLOOKUP(C3325,Securities!A:D,4,FALSE)</f>
        <v>#N/A</v>
      </c>
      <c r="M3325" s="3" t="e">
        <f>VLOOKUP(C3325,Securities!A:B,2,FALSE)</f>
        <v>#N/A</v>
      </c>
      <c r="O3325" s="3">
        <f t="shared" si="52"/>
        <v>0</v>
      </c>
    </row>
    <row r="3326" spans="12:15" x14ac:dyDescent="0.25">
      <c r="L3326" s="3" t="e">
        <f>VLOOKUP(C3326,Securities!A:D,4,FALSE)</f>
        <v>#N/A</v>
      </c>
      <c r="M3326" s="3" t="e">
        <f>VLOOKUP(C3326,Securities!A:B,2,FALSE)</f>
        <v>#N/A</v>
      </c>
      <c r="O3326" s="3">
        <f t="shared" si="52"/>
        <v>0</v>
      </c>
    </row>
    <row r="3327" spans="12:15" x14ac:dyDescent="0.25">
      <c r="L3327" s="3" t="e">
        <f>VLOOKUP(C3327,Securities!A:D,4,FALSE)</f>
        <v>#N/A</v>
      </c>
      <c r="M3327" s="3" t="e">
        <f>VLOOKUP(C3327,Securities!A:B,2,FALSE)</f>
        <v>#N/A</v>
      </c>
      <c r="O3327" s="3">
        <f t="shared" si="52"/>
        <v>0</v>
      </c>
    </row>
    <row r="3328" spans="12:15" x14ac:dyDescent="0.25">
      <c r="L3328" s="3" t="e">
        <f>VLOOKUP(C3328,Securities!A:D,4,FALSE)</f>
        <v>#N/A</v>
      </c>
      <c r="M3328" s="3" t="e">
        <f>VLOOKUP(C3328,Securities!A:B,2,FALSE)</f>
        <v>#N/A</v>
      </c>
      <c r="O3328" s="3">
        <f t="shared" si="52"/>
        <v>0</v>
      </c>
    </row>
    <row r="3329" spans="12:15" x14ac:dyDescent="0.25">
      <c r="L3329" s="3" t="e">
        <f>VLOOKUP(C3329,Securities!A:D,4,FALSE)</f>
        <v>#N/A</v>
      </c>
      <c r="M3329" s="3" t="e">
        <f>VLOOKUP(C3329,Securities!A:B,2,FALSE)</f>
        <v>#N/A</v>
      </c>
      <c r="O3329" s="3">
        <f t="shared" si="52"/>
        <v>0</v>
      </c>
    </row>
    <row r="3330" spans="12:15" x14ac:dyDescent="0.25">
      <c r="L3330" s="3" t="e">
        <f>VLOOKUP(C3330,Securities!A:D,4,FALSE)</f>
        <v>#N/A</v>
      </c>
      <c r="M3330" s="3" t="e">
        <f>VLOOKUP(C3330,Securities!A:B,2,FALSE)</f>
        <v>#N/A</v>
      </c>
      <c r="O3330" s="3">
        <f t="shared" si="52"/>
        <v>0</v>
      </c>
    </row>
    <row r="3331" spans="12:15" x14ac:dyDescent="0.25">
      <c r="L3331" s="3" t="e">
        <f>VLOOKUP(C3331,Securities!A:D,4,FALSE)</f>
        <v>#N/A</v>
      </c>
      <c r="M3331" s="3" t="e">
        <f>VLOOKUP(C3331,Securities!A:B,2,FALSE)</f>
        <v>#N/A</v>
      </c>
      <c r="O3331" s="3">
        <f t="shared" si="52"/>
        <v>0</v>
      </c>
    </row>
    <row r="3332" spans="12:15" x14ac:dyDescent="0.25">
      <c r="L3332" s="3" t="e">
        <f>VLOOKUP(C3332,Securities!A:D,4,FALSE)</f>
        <v>#N/A</v>
      </c>
      <c r="M3332" s="3" t="e">
        <f>VLOOKUP(C3332,Securities!A:B,2,FALSE)</f>
        <v>#N/A</v>
      </c>
      <c r="O3332" s="3">
        <f t="shared" si="52"/>
        <v>0</v>
      </c>
    </row>
    <row r="3333" spans="12:15" x14ac:dyDescent="0.25">
      <c r="L3333" s="3" t="e">
        <f>VLOOKUP(C3333,Securities!A:D,4,FALSE)</f>
        <v>#N/A</v>
      </c>
      <c r="M3333" s="3" t="e">
        <f>VLOOKUP(C3333,Securities!A:B,2,FALSE)</f>
        <v>#N/A</v>
      </c>
      <c r="O3333" s="3">
        <f t="shared" si="52"/>
        <v>0</v>
      </c>
    </row>
    <row r="3334" spans="12:15" x14ac:dyDescent="0.25">
      <c r="L3334" s="3" t="e">
        <f>VLOOKUP(C3334,Securities!A:D,4,FALSE)</f>
        <v>#N/A</v>
      </c>
      <c r="M3334" s="3" t="e">
        <f>VLOOKUP(C3334,Securities!A:B,2,FALSE)</f>
        <v>#N/A</v>
      </c>
      <c r="O3334" s="3">
        <f t="shared" ref="O3334:O3397" si="53">SUMIFS(E:E,C:C,C3334,B:B,B3334)</f>
        <v>0</v>
      </c>
    </row>
    <row r="3335" spans="12:15" x14ac:dyDescent="0.25">
      <c r="L3335" s="3" t="e">
        <f>VLOOKUP(C3335,Securities!A:D,4,FALSE)</f>
        <v>#N/A</v>
      </c>
      <c r="M3335" s="3" t="e">
        <f>VLOOKUP(C3335,Securities!A:B,2,FALSE)</f>
        <v>#N/A</v>
      </c>
      <c r="O3335" s="3">
        <f t="shared" si="53"/>
        <v>0</v>
      </c>
    </row>
    <row r="3336" spans="12:15" x14ac:dyDescent="0.25">
      <c r="L3336" s="3" t="e">
        <f>VLOOKUP(C3336,Securities!A:D,4,FALSE)</f>
        <v>#N/A</v>
      </c>
      <c r="M3336" s="3" t="e">
        <f>VLOOKUP(C3336,Securities!A:B,2,FALSE)</f>
        <v>#N/A</v>
      </c>
      <c r="O3336" s="3">
        <f t="shared" si="53"/>
        <v>0</v>
      </c>
    </row>
    <row r="3337" spans="12:15" x14ac:dyDescent="0.25">
      <c r="L3337" s="3" t="e">
        <f>VLOOKUP(C3337,Securities!A:D,4,FALSE)</f>
        <v>#N/A</v>
      </c>
      <c r="M3337" s="3" t="e">
        <f>VLOOKUP(C3337,Securities!A:B,2,FALSE)</f>
        <v>#N/A</v>
      </c>
      <c r="O3337" s="3">
        <f t="shared" si="53"/>
        <v>0</v>
      </c>
    </row>
    <row r="3338" spans="12:15" x14ac:dyDescent="0.25">
      <c r="L3338" s="3" t="e">
        <f>VLOOKUP(C3338,Securities!A:D,4,FALSE)</f>
        <v>#N/A</v>
      </c>
      <c r="M3338" s="3" t="e">
        <f>VLOOKUP(C3338,Securities!A:B,2,FALSE)</f>
        <v>#N/A</v>
      </c>
      <c r="O3338" s="3">
        <f t="shared" si="53"/>
        <v>0</v>
      </c>
    </row>
    <row r="3339" spans="12:15" x14ac:dyDescent="0.25">
      <c r="L3339" s="3" t="e">
        <f>VLOOKUP(C3339,Securities!A:D,4,FALSE)</f>
        <v>#N/A</v>
      </c>
      <c r="M3339" s="3" t="e">
        <f>VLOOKUP(C3339,Securities!A:B,2,FALSE)</f>
        <v>#N/A</v>
      </c>
      <c r="O3339" s="3">
        <f t="shared" si="53"/>
        <v>0</v>
      </c>
    </row>
    <row r="3340" spans="12:15" x14ac:dyDescent="0.25">
      <c r="L3340" s="3" t="e">
        <f>VLOOKUP(C3340,Securities!A:D,4,FALSE)</f>
        <v>#N/A</v>
      </c>
      <c r="M3340" s="3" t="e">
        <f>VLOOKUP(C3340,Securities!A:B,2,FALSE)</f>
        <v>#N/A</v>
      </c>
      <c r="O3340" s="3">
        <f t="shared" si="53"/>
        <v>0</v>
      </c>
    </row>
    <row r="3341" spans="12:15" x14ac:dyDescent="0.25">
      <c r="L3341" s="3" t="e">
        <f>VLOOKUP(C3341,Securities!A:D,4,FALSE)</f>
        <v>#N/A</v>
      </c>
      <c r="M3341" s="3" t="e">
        <f>VLOOKUP(C3341,Securities!A:B,2,FALSE)</f>
        <v>#N/A</v>
      </c>
      <c r="O3341" s="3">
        <f t="shared" si="53"/>
        <v>0</v>
      </c>
    </row>
    <row r="3342" spans="12:15" x14ac:dyDescent="0.25">
      <c r="L3342" s="3" t="e">
        <f>VLOOKUP(C3342,Securities!A:D,4,FALSE)</f>
        <v>#N/A</v>
      </c>
      <c r="M3342" s="3" t="e">
        <f>VLOOKUP(C3342,Securities!A:B,2,FALSE)</f>
        <v>#N/A</v>
      </c>
      <c r="O3342" s="3">
        <f t="shared" si="53"/>
        <v>0</v>
      </c>
    </row>
    <row r="3343" spans="12:15" x14ac:dyDescent="0.25">
      <c r="L3343" s="3" t="e">
        <f>VLOOKUP(C3343,Securities!A:D,4,FALSE)</f>
        <v>#N/A</v>
      </c>
      <c r="M3343" s="3" t="e">
        <f>VLOOKUP(C3343,Securities!A:B,2,FALSE)</f>
        <v>#N/A</v>
      </c>
      <c r="O3343" s="3">
        <f t="shared" si="53"/>
        <v>0</v>
      </c>
    </row>
    <row r="3344" spans="12:15" x14ac:dyDescent="0.25">
      <c r="L3344" s="3" t="e">
        <f>VLOOKUP(C3344,Securities!A:D,4,FALSE)</f>
        <v>#N/A</v>
      </c>
      <c r="M3344" s="3" t="e">
        <f>VLOOKUP(C3344,Securities!A:B,2,FALSE)</f>
        <v>#N/A</v>
      </c>
      <c r="O3344" s="3">
        <f t="shared" si="53"/>
        <v>0</v>
      </c>
    </row>
    <row r="3345" spans="12:15" x14ac:dyDescent="0.25">
      <c r="L3345" s="3" t="e">
        <f>VLOOKUP(C3345,Securities!A:D,4,FALSE)</f>
        <v>#N/A</v>
      </c>
      <c r="M3345" s="3" t="e">
        <f>VLOOKUP(C3345,Securities!A:B,2,FALSE)</f>
        <v>#N/A</v>
      </c>
      <c r="O3345" s="3">
        <f t="shared" si="53"/>
        <v>0</v>
      </c>
    </row>
    <row r="3346" spans="12:15" x14ac:dyDescent="0.25">
      <c r="L3346" s="3" t="e">
        <f>VLOOKUP(C3346,Securities!A:D,4,FALSE)</f>
        <v>#N/A</v>
      </c>
      <c r="M3346" s="3" t="e">
        <f>VLOOKUP(C3346,Securities!A:B,2,FALSE)</f>
        <v>#N/A</v>
      </c>
      <c r="O3346" s="3">
        <f t="shared" si="53"/>
        <v>0</v>
      </c>
    </row>
    <row r="3347" spans="12:15" x14ac:dyDescent="0.25">
      <c r="L3347" s="3" t="e">
        <f>VLOOKUP(C3347,Securities!A:D,4,FALSE)</f>
        <v>#N/A</v>
      </c>
      <c r="M3347" s="3" t="e">
        <f>VLOOKUP(C3347,Securities!A:B,2,FALSE)</f>
        <v>#N/A</v>
      </c>
      <c r="O3347" s="3">
        <f t="shared" si="53"/>
        <v>0</v>
      </c>
    </row>
    <row r="3348" spans="12:15" x14ac:dyDescent="0.25">
      <c r="L3348" s="3" t="e">
        <f>VLOOKUP(C3348,Securities!A:D,4,FALSE)</f>
        <v>#N/A</v>
      </c>
      <c r="M3348" s="3" t="e">
        <f>VLOOKUP(C3348,Securities!A:B,2,FALSE)</f>
        <v>#N/A</v>
      </c>
      <c r="O3348" s="3">
        <f t="shared" si="53"/>
        <v>0</v>
      </c>
    </row>
    <row r="3349" spans="12:15" x14ac:dyDescent="0.25">
      <c r="L3349" s="3" t="e">
        <f>VLOOKUP(C3349,Securities!A:D,4,FALSE)</f>
        <v>#N/A</v>
      </c>
      <c r="M3349" s="3" t="e">
        <f>VLOOKUP(C3349,Securities!A:B,2,FALSE)</f>
        <v>#N/A</v>
      </c>
      <c r="O3349" s="3">
        <f t="shared" si="53"/>
        <v>0</v>
      </c>
    </row>
    <row r="3350" spans="12:15" x14ac:dyDescent="0.25">
      <c r="L3350" s="3" t="e">
        <f>VLOOKUP(C3350,Securities!A:D,4,FALSE)</f>
        <v>#N/A</v>
      </c>
      <c r="M3350" s="3" t="e">
        <f>VLOOKUP(C3350,Securities!A:B,2,FALSE)</f>
        <v>#N/A</v>
      </c>
      <c r="O3350" s="3">
        <f t="shared" si="53"/>
        <v>0</v>
      </c>
    </row>
    <row r="3351" spans="12:15" x14ac:dyDescent="0.25">
      <c r="L3351" s="3" t="e">
        <f>VLOOKUP(C3351,Securities!A:D,4,FALSE)</f>
        <v>#N/A</v>
      </c>
      <c r="M3351" s="3" t="e">
        <f>VLOOKUP(C3351,Securities!A:B,2,FALSE)</f>
        <v>#N/A</v>
      </c>
      <c r="O3351" s="3">
        <f t="shared" si="53"/>
        <v>0</v>
      </c>
    </row>
    <row r="3352" spans="12:15" x14ac:dyDescent="0.25">
      <c r="L3352" s="3" t="e">
        <f>VLOOKUP(C3352,Securities!A:D,4,FALSE)</f>
        <v>#N/A</v>
      </c>
      <c r="M3352" s="3" t="e">
        <f>VLOOKUP(C3352,Securities!A:B,2,FALSE)</f>
        <v>#N/A</v>
      </c>
      <c r="O3352" s="3">
        <f t="shared" si="53"/>
        <v>0</v>
      </c>
    </row>
    <row r="3353" spans="12:15" x14ac:dyDescent="0.25">
      <c r="L3353" s="3" t="e">
        <f>VLOOKUP(C3353,Securities!A:D,4,FALSE)</f>
        <v>#N/A</v>
      </c>
      <c r="M3353" s="3" t="e">
        <f>VLOOKUP(C3353,Securities!A:B,2,FALSE)</f>
        <v>#N/A</v>
      </c>
      <c r="O3353" s="3">
        <f t="shared" si="53"/>
        <v>0</v>
      </c>
    </row>
    <row r="3354" spans="12:15" x14ac:dyDescent="0.25">
      <c r="L3354" s="3" t="e">
        <f>VLOOKUP(C3354,Securities!A:D,4,FALSE)</f>
        <v>#N/A</v>
      </c>
      <c r="M3354" s="3" t="e">
        <f>VLOOKUP(C3354,Securities!A:B,2,FALSE)</f>
        <v>#N/A</v>
      </c>
      <c r="O3354" s="3">
        <f t="shared" si="53"/>
        <v>0</v>
      </c>
    </row>
    <row r="3355" spans="12:15" x14ac:dyDescent="0.25">
      <c r="L3355" s="3" t="e">
        <f>VLOOKUP(C3355,Securities!A:D,4,FALSE)</f>
        <v>#N/A</v>
      </c>
      <c r="M3355" s="3" t="e">
        <f>VLOOKUP(C3355,Securities!A:B,2,FALSE)</f>
        <v>#N/A</v>
      </c>
      <c r="O3355" s="3">
        <f t="shared" si="53"/>
        <v>0</v>
      </c>
    </row>
    <row r="3356" spans="12:15" x14ac:dyDescent="0.25">
      <c r="L3356" s="3" t="e">
        <f>VLOOKUP(C3356,Securities!A:D,4,FALSE)</f>
        <v>#N/A</v>
      </c>
      <c r="M3356" s="3" t="e">
        <f>VLOOKUP(C3356,Securities!A:B,2,FALSE)</f>
        <v>#N/A</v>
      </c>
      <c r="O3356" s="3">
        <f t="shared" si="53"/>
        <v>0</v>
      </c>
    </row>
    <row r="3357" spans="12:15" x14ac:dyDescent="0.25">
      <c r="L3357" s="3" t="e">
        <f>VLOOKUP(C3357,Securities!A:D,4,FALSE)</f>
        <v>#N/A</v>
      </c>
      <c r="M3357" s="3" t="e">
        <f>VLOOKUP(C3357,Securities!A:B,2,FALSE)</f>
        <v>#N/A</v>
      </c>
      <c r="O3357" s="3">
        <f t="shared" si="53"/>
        <v>0</v>
      </c>
    </row>
    <row r="3358" spans="12:15" x14ac:dyDescent="0.25">
      <c r="L3358" s="3" t="e">
        <f>VLOOKUP(C3358,Securities!A:D,4,FALSE)</f>
        <v>#N/A</v>
      </c>
      <c r="M3358" s="3" t="e">
        <f>VLOOKUP(C3358,Securities!A:B,2,FALSE)</f>
        <v>#N/A</v>
      </c>
      <c r="O3358" s="3">
        <f t="shared" si="53"/>
        <v>0</v>
      </c>
    </row>
    <row r="3359" spans="12:15" x14ac:dyDescent="0.25">
      <c r="L3359" s="3" t="e">
        <f>VLOOKUP(C3359,Securities!A:D,4,FALSE)</f>
        <v>#N/A</v>
      </c>
      <c r="M3359" s="3" t="e">
        <f>VLOOKUP(C3359,Securities!A:B,2,FALSE)</f>
        <v>#N/A</v>
      </c>
      <c r="O3359" s="3">
        <f t="shared" si="53"/>
        <v>0</v>
      </c>
    </row>
    <row r="3360" spans="12:15" x14ac:dyDescent="0.25">
      <c r="L3360" s="3" t="e">
        <f>VLOOKUP(C3360,Securities!A:D,4,FALSE)</f>
        <v>#N/A</v>
      </c>
      <c r="M3360" s="3" t="e">
        <f>VLOOKUP(C3360,Securities!A:B,2,FALSE)</f>
        <v>#N/A</v>
      </c>
      <c r="O3360" s="3">
        <f t="shared" si="53"/>
        <v>0</v>
      </c>
    </row>
    <row r="3361" spans="12:15" x14ac:dyDescent="0.25">
      <c r="L3361" s="3" t="e">
        <f>VLOOKUP(C3361,Securities!A:D,4,FALSE)</f>
        <v>#N/A</v>
      </c>
      <c r="M3361" s="3" t="e">
        <f>VLOOKUP(C3361,Securities!A:B,2,FALSE)</f>
        <v>#N/A</v>
      </c>
      <c r="O3361" s="3">
        <f t="shared" si="53"/>
        <v>0</v>
      </c>
    </row>
    <row r="3362" spans="12:15" x14ac:dyDescent="0.25">
      <c r="L3362" s="3" t="e">
        <f>VLOOKUP(C3362,Securities!A:D,4,FALSE)</f>
        <v>#N/A</v>
      </c>
      <c r="M3362" s="3" t="e">
        <f>VLOOKUP(C3362,Securities!A:B,2,FALSE)</f>
        <v>#N/A</v>
      </c>
      <c r="O3362" s="3">
        <f t="shared" si="53"/>
        <v>0</v>
      </c>
    </row>
    <row r="3363" spans="12:15" x14ac:dyDescent="0.25">
      <c r="L3363" s="3" t="e">
        <f>VLOOKUP(C3363,Securities!A:D,4,FALSE)</f>
        <v>#N/A</v>
      </c>
      <c r="M3363" s="3" t="e">
        <f>VLOOKUP(C3363,Securities!A:B,2,FALSE)</f>
        <v>#N/A</v>
      </c>
      <c r="O3363" s="3">
        <f t="shared" si="53"/>
        <v>0</v>
      </c>
    </row>
    <row r="3364" spans="12:15" x14ac:dyDescent="0.25">
      <c r="L3364" s="3" t="e">
        <f>VLOOKUP(C3364,Securities!A:D,4,FALSE)</f>
        <v>#N/A</v>
      </c>
      <c r="M3364" s="3" t="e">
        <f>VLOOKUP(C3364,Securities!A:B,2,FALSE)</f>
        <v>#N/A</v>
      </c>
      <c r="O3364" s="3">
        <f t="shared" si="53"/>
        <v>0</v>
      </c>
    </row>
    <row r="3365" spans="12:15" x14ac:dyDescent="0.25">
      <c r="L3365" s="3" t="e">
        <f>VLOOKUP(C3365,Securities!A:D,4,FALSE)</f>
        <v>#N/A</v>
      </c>
      <c r="M3365" s="3" t="e">
        <f>VLOOKUP(C3365,Securities!A:B,2,FALSE)</f>
        <v>#N/A</v>
      </c>
      <c r="O3365" s="3">
        <f t="shared" si="53"/>
        <v>0</v>
      </c>
    </row>
    <row r="3366" spans="12:15" x14ac:dyDescent="0.25">
      <c r="L3366" s="3" t="e">
        <f>VLOOKUP(C3366,Securities!A:D,4,FALSE)</f>
        <v>#N/A</v>
      </c>
      <c r="M3366" s="3" t="e">
        <f>VLOOKUP(C3366,Securities!A:B,2,FALSE)</f>
        <v>#N/A</v>
      </c>
      <c r="O3366" s="3">
        <f t="shared" si="53"/>
        <v>0</v>
      </c>
    </row>
    <row r="3367" spans="12:15" x14ac:dyDescent="0.25">
      <c r="L3367" s="3" t="e">
        <f>VLOOKUP(C3367,Securities!A:D,4,FALSE)</f>
        <v>#N/A</v>
      </c>
      <c r="M3367" s="3" t="e">
        <f>VLOOKUP(C3367,Securities!A:B,2,FALSE)</f>
        <v>#N/A</v>
      </c>
      <c r="O3367" s="3">
        <f t="shared" si="53"/>
        <v>0</v>
      </c>
    </row>
    <row r="3368" spans="12:15" x14ac:dyDescent="0.25">
      <c r="L3368" s="3" t="e">
        <f>VLOOKUP(C3368,Securities!A:D,4,FALSE)</f>
        <v>#N/A</v>
      </c>
      <c r="M3368" s="3" t="e">
        <f>VLOOKUP(C3368,Securities!A:B,2,FALSE)</f>
        <v>#N/A</v>
      </c>
      <c r="O3368" s="3">
        <f t="shared" si="53"/>
        <v>0</v>
      </c>
    </row>
    <row r="3369" spans="12:15" x14ac:dyDescent="0.25">
      <c r="L3369" s="3" t="e">
        <f>VLOOKUP(C3369,Securities!A:D,4,FALSE)</f>
        <v>#N/A</v>
      </c>
      <c r="M3369" s="3" t="e">
        <f>VLOOKUP(C3369,Securities!A:B,2,FALSE)</f>
        <v>#N/A</v>
      </c>
      <c r="O3369" s="3">
        <f t="shared" si="53"/>
        <v>0</v>
      </c>
    </row>
    <row r="3370" spans="12:15" x14ac:dyDescent="0.25">
      <c r="L3370" s="3" t="e">
        <f>VLOOKUP(C3370,Securities!A:D,4,FALSE)</f>
        <v>#N/A</v>
      </c>
      <c r="M3370" s="3" t="e">
        <f>VLOOKUP(C3370,Securities!A:B,2,FALSE)</f>
        <v>#N/A</v>
      </c>
      <c r="O3370" s="3">
        <f t="shared" si="53"/>
        <v>0</v>
      </c>
    </row>
    <row r="3371" spans="12:15" x14ac:dyDescent="0.25">
      <c r="L3371" s="3" t="e">
        <f>VLOOKUP(C3371,Securities!A:D,4,FALSE)</f>
        <v>#N/A</v>
      </c>
      <c r="M3371" s="3" t="e">
        <f>VLOOKUP(C3371,Securities!A:B,2,FALSE)</f>
        <v>#N/A</v>
      </c>
      <c r="O3371" s="3">
        <f t="shared" si="53"/>
        <v>0</v>
      </c>
    </row>
    <row r="3372" spans="12:15" x14ac:dyDescent="0.25">
      <c r="L3372" s="3" t="e">
        <f>VLOOKUP(C3372,Securities!A:D,4,FALSE)</f>
        <v>#N/A</v>
      </c>
      <c r="M3372" s="3" t="e">
        <f>VLOOKUP(C3372,Securities!A:B,2,FALSE)</f>
        <v>#N/A</v>
      </c>
      <c r="O3372" s="3">
        <f t="shared" si="53"/>
        <v>0</v>
      </c>
    </row>
    <row r="3373" spans="12:15" x14ac:dyDescent="0.25">
      <c r="L3373" s="3" t="e">
        <f>VLOOKUP(C3373,Securities!A:D,4,FALSE)</f>
        <v>#N/A</v>
      </c>
      <c r="M3373" s="3" t="e">
        <f>VLOOKUP(C3373,Securities!A:B,2,FALSE)</f>
        <v>#N/A</v>
      </c>
      <c r="O3373" s="3">
        <f t="shared" si="53"/>
        <v>0</v>
      </c>
    </row>
    <row r="3374" spans="12:15" x14ac:dyDescent="0.25">
      <c r="L3374" s="3" t="e">
        <f>VLOOKUP(C3374,Securities!A:D,4,FALSE)</f>
        <v>#N/A</v>
      </c>
      <c r="M3374" s="3" t="e">
        <f>VLOOKUP(C3374,Securities!A:B,2,FALSE)</f>
        <v>#N/A</v>
      </c>
      <c r="O3374" s="3">
        <f t="shared" si="53"/>
        <v>0</v>
      </c>
    </row>
    <row r="3375" spans="12:15" x14ac:dyDescent="0.25">
      <c r="L3375" s="3" t="e">
        <f>VLOOKUP(C3375,Securities!A:D,4,FALSE)</f>
        <v>#N/A</v>
      </c>
      <c r="M3375" s="3" t="e">
        <f>VLOOKUP(C3375,Securities!A:B,2,FALSE)</f>
        <v>#N/A</v>
      </c>
      <c r="O3375" s="3">
        <f t="shared" si="53"/>
        <v>0</v>
      </c>
    </row>
    <row r="3376" spans="12:15" x14ac:dyDescent="0.25">
      <c r="L3376" s="3" t="e">
        <f>VLOOKUP(C3376,Securities!A:D,4,FALSE)</f>
        <v>#N/A</v>
      </c>
      <c r="M3376" s="3" t="e">
        <f>VLOOKUP(C3376,Securities!A:B,2,FALSE)</f>
        <v>#N/A</v>
      </c>
      <c r="O3376" s="3">
        <f t="shared" si="53"/>
        <v>0</v>
      </c>
    </row>
    <row r="3377" spans="12:15" x14ac:dyDescent="0.25">
      <c r="L3377" s="3" t="e">
        <f>VLOOKUP(C3377,Securities!A:D,4,FALSE)</f>
        <v>#N/A</v>
      </c>
      <c r="M3377" s="3" t="e">
        <f>VLOOKUP(C3377,Securities!A:B,2,FALSE)</f>
        <v>#N/A</v>
      </c>
      <c r="O3377" s="3">
        <f t="shared" si="53"/>
        <v>0</v>
      </c>
    </row>
    <row r="3378" spans="12:15" x14ac:dyDescent="0.25">
      <c r="L3378" s="3" t="e">
        <f>VLOOKUP(C3378,Securities!A:D,4,FALSE)</f>
        <v>#N/A</v>
      </c>
      <c r="M3378" s="3" t="e">
        <f>VLOOKUP(C3378,Securities!A:B,2,FALSE)</f>
        <v>#N/A</v>
      </c>
      <c r="O3378" s="3">
        <f t="shared" si="53"/>
        <v>0</v>
      </c>
    </row>
    <row r="3379" spans="12:15" x14ac:dyDescent="0.25">
      <c r="L3379" s="3" t="e">
        <f>VLOOKUP(C3379,Securities!A:D,4,FALSE)</f>
        <v>#N/A</v>
      </c>
      <c r="M3379" s="3" t="e">
        <f>VLOOKUP(C3379,Securities!A:B,2,FALSE)</f>
        <v>#N/A</v>
      </c>
      <c r="O3379" s="3">
        <f t="shared" si="53"/>
        <v>0</v>
      </c>
    </row>
    <row r="3380" spans="12:15" x14ac:dyDescent="0.25">
      <c r="L3380" s="3" t="e">
        <f>VLOOKUP(C3380,Securities!A:D,4,FALSE)</f>
        <v>#N/A</v>
      </c>
      <c r="M3380" s="3" t="e">
        <f>VLOOKUP(C3380,Securities!A:B,2,FALSE)</f>
        <v>#N/A</v>
      </c>
      <c r="O3380" s="3">
        <f t="shared" si="53"/>
        <v>0</v>
      </c>
    </row>
    <row r="3381" spans="12:15" x14ac:dyDescent="0.25">
      <c r="L3381" s="3" t="e">
        <f>VLOOKUP(C3381,Securities!A:D,4,FALSE)</f>
        <v>#N/A</v>
      </c>
      <c r="M3381" s="3" t="e">
        <f>VLOOKUP(C3381,Securities!A:B,2,FALSE)</f>
        <v>#N/A</v>
      </c>
      <c r="O3381" s="3">
        <f t="shared" si="53"/>
        <v>0</v>
      </c>
    </row>
    <row r="3382" spans="12:15" x14ac:dyDescent="0.25">
      <c r="L3382" s="3" t="e">
        <f>VLOOKUP(C3382,Securities!A:D,4,FALSE)</f>
        <v>#N/A</v>
      </c>
      <c r="M3382" s="3" t="e">
        <f>VLOOKUP(C3382,Securities!A:B,2,FALSE)</f>
        <v>#N/A</v>
      </c>
      <c r="O3382" s="3">
        <f t="shared" si="53"/>
        <v>0</v>
      </c>
    </row>
    <row r="3383" spans="12:15" x14ac:dyDescent="0.25">
      <c r="L3383" s="3" t="e">
        <f>VLOOKUP(C3383,Securities!A:D,4,FALSE)</f>
        <v>#N/A</v>
      </c>
      <c r="M3383" s="3" t="e">
        <f>VLOOKUP(C3383,Securities!A:B,2,FALSE)</f>
        <v>#N/A</v>
      </c>
      <c r="O3383" s="3">
        <f t="shared" si="53"/>
        <v>0</v>
      </c>
    </row>
    <row r="3384" spans="12:15" x14ac:dyDescent="0.25">
      <c r="L3384" s="3" t="e">
        <f>VLOOKUP(C3384,Securities!A:D,4,FALSE)</f>
        <v>#N/A</v>
      </c>
      <c r="M3384" s="3" t="e">
        <f>VLOOKUP(C3384,Securities!A:B,2,FALSE)</f>
        <v>#N/A</v>
      </c>
      <c r="O3384" s="3">
        <f t="shared" si="53"/>
        <v>0</v>
      </c>
    </row>
    <row r="3385" spans="12:15" x14ac:dyDescent="0.25">
      <c r="L3385" s="3" t="e">
        <f>VLOOKUP(C3385,Securities!A:D,4,FALSE)</f>
        <v>#N/A</v>
      </c>
      <c r="M3385" s="3" t="e">
        <f>VLOOKUP(C3385,Securities!A:B,2,FALSE)</f>
        <v>#N/A</v>
      </c>
      <c r="O3385" s="3">
        <f t="shared" si="53"/>
        <v>0</v>
      </c>
    </row>
    <row r="3386" spans="12:15" x14ac:dyDescent="0.25">
      <c r="L3386" s="3" t="e">
        <f>VLOOKUP(C3386,Securities!A:D,4,FALSE)</f>
        <v>#N/A</v>
      </c>
      <c r="M3386" s="3" t="e">
        <f>VLOOKUP(C3386,Securities!A:B,2,FALSE)</f>
        <v>#N/A</v>
      </c>
      <c r="O3386" s="3">
        <f t="shared" si="53"/>
        <v>0</v>
      </c>
    </row>
    <row r="3387" spans="12:15" x14ac:dyDescent="0.25">
      <c r="L3387" s="3" t="e">
        <f>VLOOKUP(C3387,Securities!A:D,4,FALSE)</f>
        <v>#N/A</v>
      </c>
      <c r="M3387" s="3" t="e">
        <f>VLOOKUP(C3387,Securities!A:B,2,FALSE)</f>
        <v>#N/A</v>
      </c>
      <c r="O3387" s="3">
        <f t="shared" si="53"/>
        <v>0</v>
      </c>
    </row>
    <row r="3388" spans="12:15" x14ac:dyDescent="0.25">
      <c r="L3388" s="3" t="e">
        <f>VLOOKUP(C3388,Securities!A:D,4,FALSE)</f>
        <v>#N/A</v>
      </c>
      <c r="M3388" s="3" t="e">
        <f>VLOOKUP(C3388,Securities!A:B,2,FALSE)</f>
        <v>#N/A</v>
      </c>
      <c r="O3388" s="3">
        <f t="shared" si="53"/>
        <v>0</v>
      </c>
    </row>
    <row r="3389" spans="12:15" x14ac:dyDescent="0.25">
      <c r="L3389" s="3" t="e">
        <f>VLOOKUP(C3389,Securities!A:D,4,FALSE)</f>
        <v>#N/A</v>
      </c>
      <c r="M3389" s="3" t="e">
        <f>VLOOKUP(C3389,Securities!A:B,2,FALSE)</f>
        <v>#N/A</v>
      </c>
      <c r="O3389" s="3">
        <f t="shared" si="53"/>
        <v>0</v>
      </c>
    </row>
    <row r="3390" spans="12:15" x14ac:dyDescent="0.25">
      <c r="L3390" s="3" t="e">
        <f>VLOOKUP(C3390,Securities!A:D,4,FALSE)</f>
        <v>#N/A</v>
      </c>
      <c r="M3390" s="3" t="e">
        <f>VLOOKUP(C3390,Securities!A:B,2,FALSE)</f>
        <v>#N/A</v>
      </c>
      <c r="O3390" s="3">
        <f t="shared" si="53"/>
        <v>0</v>
      </c>
    </row>
    <row r="3391" spans="12:15" x14ac:dyDescent="0.25">
      <c r="L3391" s="3" t="e">
        <f>VLOOKUP(C3391,Securities!A:D,4,FALSE)</f>
        <v>#N/A</v>
      </c>
      <c r="M3391" s="3" t="e">
        <f>VLOOKUP(C3391,Securities!A:B,2,FALSE)</f>
        <v>#N/A</v>
      </c>
      <c r="O3391" s="3">
        <f t="shared" si="53"/>
        <v>0</v>
      </c>
    </row>
    <row r="3392" spans="12:15" x14ac:dyDescent="0.25">
      <c r="L3392" s="3" t="e">
        <f>VLOOKUP(C3392,Securities!A:D,4,FALSE)</f>
        <v>#N/A</v>
      </c>
      <c r="M3392" s="3" t="e">
        <f>VLOOKUP(C3392,Securities!A:B,2,FALSE)</f>
        <v>#N/A</v>
      </c>
      <c r="O3392" s="3">
        <f t="shared" si="53"/>
        <v>0</v>
      </c>
    </row>
    <row r="3393" spans="12:15" x14ac:dyDescent="0.25">
      <c r="L3393" s="3" t="e">
        <f>VLOOKUP(C3393,Securities!A:D,4,FALSE)</f>
        <v>#N/A</v>
      </c>
      <c r="M3393" s="3" t="e">
        <f>VLOOKUP(C3393,Securities!A:B,2,FALSE)</f>
        <v>#N/A</v>
      </c>
      <c r="O3393" s="3">
        <f t="shared" si="53"/>
        <v>0</v>
      </c>
    </row>
    <row r="3394" spans="12:15" x14ac:dyDescent="0.25">
      <c r="L3394" s="3" t="e">
        <f>VLOOKUP(C3394,Securities!A:D,4,FALSE)</f>
        <v>#N/A</v>
      </c>
      <c r="M3394" s="3" t="e">
        <f>VLOOKUP(C3394,Securities!A:B,2,FALSE)</f>
        <v>#N/A</v>
      </c>
      <c r="O3394" s="3">
        <f t="shared" si="53"/>
        <v>0</v>
      </c>
    </row>
    <row r="3395" spans="12:15" x14ac:dyDescent="0.25">
      <c r="L3395" s="3" t="e">
        <f>VLOOKUP(C3395,Securities!A:D,4,FALSE)</f>
        <v>#N/A</v>
      </c>
      <c r="M3395" s="3" t="e">
        <f>VLOOKUP(C3395,Securities!A:B,2,FALSE)</f>
        <v>#N/A</v>
      </c>
      <c r="O3395" s="3">
        <f t="shared" si="53"/>
        <v>0</v>
      </c>
    </row>
    <row r="3396" spans="12:15" x14ac:dyDescent="0.25">
      <c r="L3396" s="3" t="e">
        <f>VLOOKUP(C3396,Securities!A:D,4,FALSE)</f>
        <v>#N/A</v>
      </c>
      <c r="M3396" s="3" t="e">
        <f>VLOOKUP(C3396,Securities!A:B,2,FALSE)</f>
        <v>#N/A</v>
      </c>
      <c r="O3396" s="3">
        <f t="shared" si="53"/>
        <v>0</v>
      </c>
    </row>
    <row r="3397" spans="12:15" x14ac:dyDescent="0.25">
      <c r="L3397" s="3" t="e">
        <f>VLOOKUP(C3397,Securities!A:D,4,FALSE)</f>
        <v>#N/A</v>
      </c>
      <c r="M3397" s="3" t="e">
        <f>VLOOKUP(C3397,Securities!A:B,2,FALSE)</f>
        <v>#N/A</v>
      </c>
      <c r="O3397" s="3">
        <f t="shared" si="53"/>
        <v>0</v>
      </c>
    </row>
    <row r="3398" spans="12:15" x14ac:dyDescent="0.25">
      <c r="L3398" s="3" t="e">
        <f>VLOOKUP(C3398,Securities!A:D,4,FALSE)</f>
        <v>#N/A</v>
      </c>
      <c r="M3398" s="3" t="e">
        <f>VLOOKUP(C3398,Securities!A:B,2,FALSE)</f>
        <v>#N/A</v>
      </c>
      <c r="O3398" s="3">
        <f t="shared" ref="O3398:O3461" si="54">SUMIFS(E:E,C:C,C3398,B:B,B3398)</f>
        <v>0</v>
      </c>
    </row>
    <row r="3399" spans="12:15" x14ac:dyDescent="0.25">
      <c r="L3399" s="3" t="e">
        <f>VLOOKUP(C3399,Securities!A:D,4,FALSE)</f>
        <v>#N/A</v>
      </c>
      <c r="M3399" s="3" t="e">
        <f>VLOOKUP(C3399,Securities!A:B,2,FALSE)</f>
        <v>#N/A</v>
      </c>
      <c r="O3399" s="3">
        <f t="shared" si="54"/>
        <v>0</v>
      </c>
    </row>
    <row r="3400" spans="12:15" x14ac:dyDescent="0.25">
      <c r="L3400" s="3" t="e">
        <f>VLOOKUP(C3400,Securities!A:D,4,FALSE)</f>
        <v>#N/A</v>
      </c>
      <c r="M3400" s="3" t="e">
        <f>VLOOKUP(C3400,Securities!A:B,2,FALSE)</f>
        <v>#N/A</v>
      </c>
      <c r="O3400" s="3">
        <f t="shared" si="54"/>
        <v>0</v>
      </c>
    </row>
    <row r="3401" spans="12:15" x14ac:dyDescent="0.25">
      <c r="L3401" s="3" t="e">
        <f>VLOOKUP(C3401,Securities!A:D,4,FALSE)</f>
        <v>#N/A</v>
      </c>
      <c r="M3401" s="3" t="e">
        <f>VLOOKUP(C3401,Securities!A:B,2,FALSE)</f>
        <v>#N/A</v>
      </c>
      <c r="O3401" s="3">
        <f t="shared" si="54"/>
        <v>0</v>
      </c>
    </row>
    <row r="3402" spans="12:15" x14ac:dyDescent="0.25">
      <c r="L3402" s="3" t="e">
        <f>VLOOKUP(C3402,Securities!A:D,4,FALSE)</f>
        <v>#N/A</v>
      </c>
      <c r="M3402" s="3" t="e">
        <f>VLOOKUP(C3402,Securities!A:B,2,FALSE)</f>
        <v>#N/A</v>
      </c>
      <c r="O3402" s="3">
        <f t="shared" si="54"/>
        <v>0</v>
      </c>
    </row>
    <row r="3403" spans="12:15" x14ac:dyDescent="0.25">
      <c r="L3403" s="3" t="e">
        <f>VLOOKUP(C3403,Securities!A:D,4,FALSE)</f>
        <v>#N/A</v>
      </c>
      <c r="M3403" s="3" t="e">
        <f>VLOOKUP(C3403,Securities!A:B,2,FALSE)</f>
        <v>#N/A</v>
      </c>
      <c r="O3403" s="3">
        <f t="shared" si="54"/>
        <v>0</v>
      </c>
    </row>
    <row r="3404" spans="12:15" x14ac:dyDescent="0.25">
      <c r="L3404" s="3" t="e">
        <f>VLOOKUP(C3404,Securities!A:D,4,FALSE)</f>
        <v>#N/A</v>
      </c>
      <c r="M3404" s="3" t="e">
        <f>VLOOKUP(C3404,Securities!A:B,2,FALSE)</f>
        <v>#N/A</v>
      </c>
      <c r="O3404" s="3">
        <f t="shared" si="54"/>
        <v>0</v>
      </c>
    </row>
    <row r="3405" spans="12:15" x14ac:dyDescent="0.25">
      <c r="L3405" s="3" t="e">
        <f>VLOOKUP(C3405,Securities!A:D,4,FALSE)</f>
        <v>#N/A</v>
      </c>
      <c r="M3405" s="3" t="e">
        <f>VLOOKUP(C3405,Securities!A:B,2,FALSE)</f>
        <v>#N/A</v>
      </c>
      <c r="O3405" s="3">
        <f t="shared" si="54"/>
        <v>0</v>
      </c>
    </row>
    <row r="3406" spans="12:15" x14ac:dyDescent="0.25">
      <c r="L3406" s="3" t="e">
        <f>VLOOKUP(C3406,Securities!A:D,4,FALSE)</f>
        <v>#N/A</v>
      </c>
      <c r="M3406" s="3" t="e">
        <f>VLOOKUP(C3406,Securities!A:B,2,FALSE)</f>
        <v>#N/A</v>
      </c>
      <c r="O3406" s="3">
        <f t="shared" si="54"/>
        <v>0</v>
      </c>
    </row>
    <row r="3407" spans="12:15" x14ac:dyDescent="0.25">
      <c r="L3407" s="3" t="e">
        <f>VLOOKUP(C3407,Securities!A:D,4,FALSE)</f>
        <v>#N/A</v>
      </c>
      <c r="M3407" s="3" t="e">
        <f>VLOOKUP(C3407,Securities!A:B,2,FALSE)</f>
        <v>#N/A</v>
      </c>
      <c r="O3407" s="3">
        <f t="shared" si="54"/>
        <v>0</v>
      </c>
    </row>
    <row r="3408" spans="12:15" x14ac:dyDescent="0.25">
      <c r="L3408" s="3" t="e">
        <f>VLOOKUP(C3408,Securities!A:D,4,FALSE)</f>
        <v>#N/A</v>
      </c>
      <c r="M3408" s="3" t="e">
        <f>VLOOKUP(C3408,Securities!A:B,2,FALSE)</f>
        <v>#N/A</v>
      </c>
      <c r="O3408" s="3">
        <f t="shared" si="54"/>
        <v>0</v>
      </c>
    </row>
    <row r="3409" spans="12:15" x14ac:dyDescent="0.25">
      <c r="L3409" s="3" t="e">
        <f>VLOOKUP(C3409,Securities!A:D,4,FALSE)</f>
        <v>#N/A</v>
      </c>
      <c r="M3409" s="3" t="e">
        <f>VLOOKUP(C3409,Securities!A:B,2,FALSE)</f>
        <v>#N/A</v>
      </c>
      <c r="O3409" s="3">
        <f t="shared" si="54"/>
        <v>0</v>
      </c>
    </row>
    <row r="3410" spans="12:15" x14ac:dyDescent="0.25">
      <c r="L3410" s="3" t="e">
        <f>VLOOKUP(C3410,Securities!A:D,4,FALSE)</f>
        <v>#N/A</v>
      </c>
      <c r="M3410" s="3" t="e">
        <f>VLOOKUP(C3410,Securities!A:B,2,FALSE)</f>
        <v>#N/A</v>
      </c>
      <c r="O3410" s="3">
        <f t="shared" si="54"/>
        <v>0</v>
      </c>
    </row>
    <row r="3411" spans="12:15" x14ac:dyDescent="0.25">
      <c r="L3411" s="3" t="e">
        <f>VLOOKUP(C3411,Securities!A:D,4,FALSE)</f>
        <v>#N/A</v>
      </c>
      <c r="M3411" s="3" t="e">
        <f>VLOOKUP(C3411,Securities!A:B,2,FALSE)</f>
        <v>#N/A</v>
      </c>
      <c r="O3411" s="3">
        <f t="shared" si="54"/>
        <v>0</v>
      </c>
    </row>
    <row r="3412" spans="12:15" x14ac:dyDescent="0.25">
      <c r="L3412" s="3" t="e">
        <f>VLOOKUP(C3412,Securities!A:D,4,FALSE)</f>
        <v>#N/A</v>
      </c>
      <c r="M3412" s="3" t="e">
        <f>VLOOKUP(C3412,Securities!A:B,2,FALSE)</f>
        <v>#N/A</v>
      </c>
      <c r="O3412" s="3">
        <f t="shared" si="54"/>
        <v>0</v>
      </c>
    </row>
    <row r="3413" spans="12:15" x14ac:dyDescent="0.25">
      <c r="L3413" s="3" t="e">
        <f>VLOOKUP(C3413,Securities!A:D,4,FALSE)</f>
        <v>#N/A</v>
      </c>
      <c r="M3413" s="3" t="e">
        <f>VLOOKUP(C3413,Securities!A:B,2,FALSE)</f>
        <v>#N/A</v>
      </c>
      <c r="O3413" s="3">
        <f t="shared" si="54"/>
        <v>0</v>
      </c>
    </row>
    <row r="3414" spans="12:15" x14ac:dyDescent="0.25">
      <c r="L3414" s="3" t="e">
        <f>VLOOKUP(C3414,Securities!A:D,4,FALSE)</f>
        <v>#N/A</v>
      </c>
      <c r="M3414" s="3" t="e">
        <f>VLOOKUP(C3414,Securities!A:B,2,FALSE)</f>
        <v>#N/A</v>
      </c>
      <c r="O3414" s="3">
        <f t="shared" si="54"/>
        <v>0</v>
      </c>
    </row>
    <row r="3415" spans="12:15" x14ac:dyDescent="0.25">
      <c r="L3415" s="3" t="e">
        <f>VLOOKUP(C3415,Securities!A:D,4,FALSE)</f>
        <v>#N/A</v>
      </c>
      <c r="M3415" s="3" t="e">
        <f>VLOOKUP(C3415,Securities!A:B,2,FALSE)</f>
        <v>#N/A</v>
      </c>
      <c r="O3415" s="3">
        <f t="shared" si="54"/>
        <v>0</v>
      </c>
    </row>
    <row r="3416" spans="12:15" x14ac:dyDescent="0.25">
      <c r="L3416" s="3" t="e">
        <f>VLOOKUP(C3416,Securities!A:D,4,FALSE)</f>
        <v>#N/A</v>
      </c>
      <c r="M3416" s="3" t="e">
        <f>VLOOKUP(C3416,Securities!A:B,2,FALSE)</f>
        <v>#N/A</v>
      </c>
      <c r="O3416" s="3">
        <f t="shared" si="54"/>
        <v>0</v>
      </c>
    </row>
    <row r="3417" spans="12:15" x14ac:dyDescent="0.25">
      <c r="L3417" s="3" t="e">
        <f>VLOOKUP(C3417,Securities!A:D,4,FALSE)</f>
        <v>#N/A</v>
      </c>
      <c r="M3417" s="3" t="e">
        <f>VLOOKUP(C3417,Securities!A:B,2,FALSE)</f>
        <v>#N/A</v>
      </c>
      <c r="O3417" s="3">
        <f t="shared" si="54"/>
        <v>0</v>
      </c>
    </row>
    <row r="3418" spans="12:15" x14ac:dyDescent="0.25">
      <c r="L3418" s="3" t="e">
        <f>VLOOKUP(C3418,Securities!A:D,4,FALSE)</f>
        <v>#N/A</v>
      </c>
      <c r="M3418" s="3" t="e">
        <f>VLOOKUP(C3418,Securities!A:B,2,FALSE)</f>
        <v>#N/A</v>
      </c>
      <c r="O3418" s="3">
        <f t="shared" si="54"/>
        <v>0</v>
      </c>
    </row>
    <row r="3419" spans="12:15" x14ac:dyDescent="0.25">
      <c r="L3419" s="3" t="e">
        <f>VLOOKUP(C3419,Securities!A:D,4,FALSE)</f>
        <v>#N/A</v>
      </c>
      <c r="M3419" s="3" t="e">
        <f>VLOOKUP(C3419,Securities!A:B,2,FALSE)</f>
        <v>#N/A</v>
      </c>
      <c r="O3419" s="3">
        <f t="shared" si="54"/>
        <v>0</v>
      </c>
    </row>
    <row r="3420" spans="12:15" x14ac:dyDescent="0.25">
      <c r="L3420" s="3" t="e">
        <f>VLOOKUP(C3420,Securities!A:D,4,FALSE)</f>
        <v>#N/A</v>
      </c>
      <c r="M3420" s="3" t="e">
        <f>VLOOKUP(C3420,Securities!A:B,2,FALSE)</f>
        <v>#N/A</v>
      </c>
      <c r="O3420" s="3">
        <f t="shared" si="54"/>
        <v>0</v>
      </c>
    </row>
    <row r="3421" spans="12:15" x14ac:dyDescent="0.25">
      <c r="L3421" s="3" t="e">
        <f>VLOOKUP(C3421,Securities!A:D,4,FALSE)</f>
        <v>#N/A</v>
      </c>
      <c r="M3421" s="3" t="e">
        <f>VLOOKUP(C3421,Securities!A:B,2,FALSE)</f>
        <v>#N/A</v>
      </c>
      <c r="O3421" s="3">
        <f t="shared" si="54"/>
        <v>0</v>
      </c>
    </row>
    <row r="3422" spans="12:15" x14ac:dyDescent="0.25">
      <c r="L3422" s="3" t="e">
        <f>VLOOKUP(C3422,Securities!A:D,4,FALSE)</f>
        <v>#N/A</v>
      </c>
      <c r="M3422" s="3" t="e">
        <f>VLOOKUP(C3422,Securities!A:B,2,FALSE)</f>
        <v>#N/A</v>
      </c>
      <c r="O3422" s="3">
        <f t="shared" si="54"/>
        <v>0</v>
      </c>
    </row>
    <row r="3423" spans="12:15" x14ac:dyDescent="0.25">
      <c r="L3423" s="3" t="e">
        <f>VLOOKUP(C3423,Securities!A:D,4,FALSE)</f>
        <v>#N/A</v>
      </c>
      <c r="M3423" s="3" t="e">
        <f>VLOOKUP(C3423,Securities!A:B,2,FALSE)</f>
        <v>#N/A</v>
      </c>
      <c r="O3423" s="3">
        <f t="shared" si="54"/>
        <v>0</v>
      </c>
    </row>
    <row r="3424" spans="12:15" x14ac:dyDescent="0.25">
      <c r="L3424" s="3" t="e">
        <f>VLOOKUP(C3424,Securities!A:D,4,FALSE)</f>
        <v>#N/A</v>
      </c>
      <c r="M3424" s="3" t="e">
        <f>VLOOKUP(C3424,Securities!A:B,2,FALSE)</f>
        <v>#N/A</v>
      </c>
      <c r="O3424" s="3">
        <f t="shared" si="54"/>
        <v>0</v>
      </c>
    </row>
    <row r="3425" spans="12:15" x14ac:dyDescent="0.25">
      <c r="L3425" s="3" t="e">
        <f>VLOOKUP(C3425,Securities!A:D,4,FALSE)</f>
        <v>#N/A</v>
      </c>
      <c r="M3425" s="3" t="e">
        <f>VLOOKUP(C3425,Securities!A:B,2,FALSE)</f>
        <v>#N/A</v>
      </c>
      <c r="O3425" s="3">
        <f t="shared" si="54"/>
        <v>0</v>
      </c>
    </row>
    <row r="3426" spans="12:15" x14ac:dyDescent="0.25">
      <c r="L3426" s="3" t="e">
        <f>VLOOKUP(C3426,Securities!A:D,4,FALSE)</f>
        <v>#N/A</v>
      </c>
      <c r="M3426" s="3" t="e">
        <f>VLOOKUP(C3426,Securities!A:B,2,FALSE)</f>
        <v>#N/A</v>
      </c>
      <c r="O3426" s="3">
        <f t="shared" si="54"/>
        <v>0</v>
      </c>
    </row>
    <row r="3427" spans="12:15" x14ac:dyDescent="0.25">
      <c r="L3427" s="3" t="e">
        <f>VLOOKUP(C3427,Securities!A:D,4,FALSE)</f>
        <v>#N/A</v>
      </c>
      <c r="M3427" s="3" t="e">
        <f>VLOOKUP(C3427,Securities!A:B,2,FALSE)</f>
        <v>#N/A</v>
      </c>
      <c r="O3427" s="3">
        <f t="shared" si="54"/>
        <v>0</v>
      </c>
    </row>
    <row r="3428" spans="12:15" x14ac:dyDescent="0.25">
      <c r="L3428" s="3" t="e">
        <f>VLOOKUP(C3428,Securities!A:D,4,FALSE)</f>
        <v>#N/A</v>
      </c>
      <c r="M3428" s="3" t="e">
        <f>VLOOKUP(C3428,Securities!A:B,2,FALSE)</f>
        <v>#N/A</v>
      </c>
      <c r="O3428" s="3">
        <f t="shared" si="54"/>
        <v>0</v>
      </c>
    </row>
    <row r="3429" spans="12:15" x14ac:dyDescent="0.25">
      <c r="L3429" s="3" t="e">
        <f>VLOOKUP(C3429,Securities!A:D,4,FALSE)</f>
        <v>#N/A</v>
      </c>
      <c r="M3429" s="3" t="e">
        <f>VLOOKUP(C3429,Securities!A:B,2,FALSE)</f>
        <v>#N/A</v>
      </c>
      <c r="O3429" s="3">
        <f t="shared" si="54"/>
        <v>0</v>
      </c>
    </row>
    <row r="3430" spans="12:15" x14ac:dyDescent="0.25">
      <c r="L3430" s="3" t="e">
        <f>VLOOKUP(C3430,Securities!A:D,4,FALSE)</f>
        <v>#N/A</v>
      </c>
      <c r="M3430" s="3" t="e">
        <f>VLOOKUP(C3430,Securities!A:B,2,FALSE)</f>
        <v>#N/A</v>
      </c>
      <c r="O3430" s="3">
        <f t="shared" si="54"/>
        <v>0</v>
      </c>
    </row>
    <row r="3431" spans="12:15" x14ac:dyDescent="0.25">
      <c r="L3431" s="3" t="e">
        <f>VLOOKUP(C3431,Securities!A:D,4,FALSE)</f>
        <v>#N/A</v>
      </c>
      <c r="M3431" s="3" t="e">
        <f>VLOOKUP(C3431,Securities!A:B,2,FALSE)</f>
        <v>#N/A</v>
      </c>
      <c r="O3431" s="3">
        <f t="shared" si="54"/>
        <v>0</v>
      </c>
    </row>
    <row r="3432" spans="12:15" x14ac:dyDescent="0.25">
      <c r="L3432" s="3" t="e">
        <f>VLOOKUP(C3432,Securities!A:D,4,FALSE)</f>
        <v>#N/A</v>
      </c>
      <c r="M3432" s="3" t="e">
        <f>VLOOKUP(C3432,Securities!A:B,2,FALSE)</f>
        <v>#N/A</v>
      </c>
      <c r="O3432" s="3">
        <f t="shared" si="54"/>
        <v>0</v>
      </c>
    </row>
    <row r="3433" spans="12:15" x14ac:dyDescent="0.25">
      <c r="L3433" s="3" t="e">
        <f>VLOOKUP(C3433,Securities!A:D,4,FALSE)</f>
        <v>#N/A</v>
      </c>
      <c r="M3433" s="3" t="e">
        <f>VLOOKUP(C3433,Securities!A:B,2,FALSE)</f>
        <v>#N/A</v>
      </c>
      <c r="O3433" s="3">
        <f t="shared" si="54"/>
        <v>0</v>
      </c>
    </row>
    <row r="3434" spans="12:15" x14ac:dyDescent="0.25">
      <c r="L3434" s="3" t="e">
        <f>VLOOKUP(C3434,Securities!A:D,4,FALSE)</f>
        <v>#N/A</v>
      </c>
      <c r="M3434" s="3" t="e">
        <f>VLOOKUP(C3434,Securities!A:B,2,FALSE)</f>
        <v>#N/A</v>
      </c>
      <c r="O3434" s="3">
        <f t="shared" si="54"/>
        <v>0</v>
      </c>
    </row>
    <row r="3435" spans="12:15" x14ac:dyDescent="0.25">
      <c r="L3435" s="3" t="e">
        <f>VLOOKUP(C3435,Securities!A:D,4,FALSE)</f>
        <v>#N/A</v>
      </c>
      <c r="M3435" s="3" t="e">
        <f>VLOOKUP(C3435,Securities!A:B,2,FALSE)</f>
        <v>#N/A</v>
      </c>
      <c r="O3435" s="3">
        <f t="shared" si="54"/>
        <v>0</v>
      </c>
    </row>
    <row r="3436" spans="12:15" x14ac:dyDescent="0.25">
      <c r="L3436" s="3" t="e">
        <f>VLOOKUP(C3436,Securities!A:D,4,FALSE)</f>
        <v>#N/A</v>
      </c>
      <c r="M3436" s="3" t="e">
        <f>VLOOKUP(C3436,Securities!A:B,2,FALSE)</f>
        <v>#N/A</v>
      </c>
      <c r="O3436" s="3">
        <f t="shared" si="54"/>
        <v>0</v>
      </c>
    </row>
    <row r="3437" spans="12:15" x14ac:dyDescent="0.25">
      <c r="L3437" s="3" t="e">
        <f>VLOOKUP(C3437,Securities!A:D,4,FALSE)</f>
        <v>#N/A</v>
      </c>
      <c r="M3437" s="3" t="e">
        <f>VLOOKUP(C3437,Securities!A:B,2,FALSE)</f>
        <v>#N/A</v>
      </c>
      <c r="O3437" s="3">
        <f t="shared" si="54"/>
        <v>0</v>
      </c>
    </row>
    <row r="3438" spans="12:15" x14ac:dyDescent="0.25">
      <c r="L3438" s="3" t="e">
        <f>VLOOKUP(C3438,Securities!A:D,4,FALSE)</f>
        <v>#N/A</v>
      </c>
      <c r="M3438" s="3" t="e">
        <f>VLOOKUP(C3438,Securities!A:B,2,FALSE)</f>
        <v>#N/A</v>
      </c>
      <c r="O3438" s="3">
        <f t="shared" si="54"/>
        <v>0</v>
      </c>
    </row>
    <row r="3439" spans="12:15" x14ac:dyDescent="0.25">
      <c r="L3439" s="3" t="e">
        <f>VLOOKUP(C3439,Securities!A:D,4,FALSE)</f>
        <v>#N/A</v>
      </c>
      <c r="M3439" s="3" t="e">
        <f>VLOOKUP(C3439,Securities!A:B,2,FALSE)</f>
        <v>#N/A</v>
      </c>
      <c r="O3439" s="3">
        <f t="shared" si="54"/>
        <v>0</v>
      </c>
    </row>
    <row r="3440" spans="12:15" x14ac:dyDescent="0.25">
      <c r="L3440" s="3" t="e">
        <f>VLOOKUP(C3440,Securities!A:D,4,FALSE)</f>
        <v>#N/A</v>
      </c>
      <c r="M3440" s="3" t="e">
        <f>VLOOKUP(C3440,Securities!A:B,2,FALSE)</f>
        <v>#N/A</v>
      </c>
      <c r="O3440" s="3">
        <f t="shared" si="54"/>
        <v>0</v>
      </c>
    </row>
    <row r="3441" spans="12:15" x14ac:dyDescent="0.25">
      <c r="L3441" s="3" t="e">
        <f>VLOOKUP(C3441,Securities!A:D,4,FALSE)</f>
        <v>#N/A</v>
      </c>
      <c r="M3441" s="3" t="e">
        <f>VLOOKUP(C3441,Securities!A:B,2,FALSE)</f>
        <v>#N/A</v>
      </c>
      <c r="O3441" s="3">
        <f t="shared" si="54"/>
        <v>0</v>
      </c>
    </row>
    <row r="3442" spans="12:15" x14ac:dyDescent="0.25">
      <c r="L3442" s="3" t="e">
        <f>VLOOKUP(C3442,Securities!A:D,4,FALSE)</f>
        <v>#N/A</v>
      </c>
      <c r="M3442" s="3" t="e">
        <f>VLOOKUP(C3442,Securities!A:B,2,FALSE)</f>
        <v>#N/A</v>
      </c>
      <c r="O3442" s="3">
        <f t="shared" si="54"/>
        <v>0</v>
      </c>
    </row>
    <row r="3443" spans="12:15" x14ac:dyDescent="0.25">
      <c r="L3443" s="3" t="e">
        <f>VLOOKUP(C3443,Securities!A:D,4,FALSE)</f>
        <v>#N/A</v>
      </c>
      <c r="M3443" s="3" t="e">
        <f>VLOOKUP(C3443,Securities!A:B,2,FALSE)</f>
        <v>#N/A</v>
      </c>
      <c r="O3443" s="3">
        <f t="shared" si="54"/>
        <v>0</v>
      </c>
    </row>
    <row r="3444" spans="12:15" x14ac:dyDescent="0.25">
      <c r="L3444" s="3" t="e">
        <f>VLOOKUP(C3444,Securities!A:D,4,FALSE)</f>
        <v>#N/A</v>
      </c>
      <c r="M3444" s="3" t="e">
        <f>VLOOKUP(C3444,Securities!A:B,2,FALSE)</f>
        <v>#N/A</v>
      </c>
      <c r="O3444" s="3">
        <f t="shared" si="54"/>
        <v>0</v>
      </c>
    </row>
    <row r="3445" spans="12:15" x14ac:dyDescent="0.25">
      <c r="L3445" s="3" t="e">
        <f>VLOOKUP(C3445,Securities!A:D,4,FALSE)</f>
        <v>#N/A</v>
      </c>
      <c r="M3445" s="3" t="e">
        <f>VLOOKUP(C3445,Securities!A:B,2,FALSE)</f>
        <v>#N/A</v>
      </c>
      <c r="O3445" s="3">
        <f t="shared" si="54"/>
        <v>0</v>
      </c>
    </row>
    <row r="3446" spans="12:15" x14ac:dyDescent="0.25">
      <c r="L3446" s="3" t="e">
        <f>VLOOKUP(C3446,Securities!A:D,4,FALSE)</f>
        <v>#N/A</v>
      </c>
      <c r="M3446" s="3" t="e">
        <f>VLOOKUP(C3446,Securities!A:B,2,FALSE)</f>
        <v>#N/A</v>
      </c>
      <c r="O3446" s="3">
        <f t="shared" si="54"/>
        <v>0</v>
      </c>
    </row>
    <row r="3447" spans="12:15" x14ac:dyDescent="0.25">
      <c r="L3447" s="3" t="e">
        <f>VLOOKUP(C3447,Securities!A:D,4,FALSE)</f>
        <v>#N/A</v>
      </c>
      <c r="M3447" s="3" t="e">
        <f>VLOOKUP(C3447,Securities!A:B,2,FALSE)</f>
        <v>#N/A</v>
      </c>
      <c r="O3447" s="3">
        <f t="shared" si="54"/>
        <v>0</v>
      </c>
    </row>
    <row r="3448" spans="12:15" x14ac:dyDescent="0.25">
      <c r="L3448" s="3" t="e">
        <f>VLOOKUP(C3448,Securities!A:D,4,FALSE)</f>
        <v>#N/A</v>
      </c>
      <c r="M3448" s="3" t="e">
        <f>VLOOKUP(C3448,Securities!A:B,2,FALSE)</f>
        <v>#N/A</v>
      </c>
      <c r="O3448" s="3">
        <f t="shared" si="54"/>
        <v>0</v>
      </c>
    </row>
    <row r="3449" spans="12:15" x14ac:dyDescent="0.25">
      <c r="L3449" s="3" t="e">
        <f>VLOOKUP(C3449,Securities!A:D,4,FALSE)</f>
        <v>#N/A</v>
      </c>
      <c r="M3449" s="3" t="e">
        <f>VLOOKUP(C3449,Securities!A:B,2,FALSE)</f>
        <v>#N/A</v>
      </c>
      <c r="O3449" s="3">
        <f t="shared" si="54"/>
        <v>0</v>
      </c>
    </row>
    <row r="3450" spans="12:15" x14ac:dyDescent="0.25">
      <c r="L3450" s="3" t="e">
        <f>VLOOKUP(C3450,Securities!A:D,4,FALSE)</f>
        <v>#N/A</v>
      </c>
      <c r="M3450" s="3" t="e">
        <f>VLOOKUP(C3450,Securities!A:B,2,FALSE)</f>
        <v>#N/A</v>
      </c>
      <c r="O3450" s="3">
        <f t="shared" si="54"/>
        <v>0</v>
      </c>
    </row>
    <row r="3451" spans="12:15" x14ac:dyDescent="0.25">
      <c r="L3451" s="3" t="e">
        <f>VLOOKUP(C3451,Securities!A:D,4,FALSE)</f>
        <v>#N/A</v>
      </c>
      <c r="M3451" s="3" t="e">
        <f>VLOOKUP(C3451,Securities!A:B,2,FALSE)</f>
        <v>#N/A</v>
      </c>
      <c r="O3451" s="3">
        <f t="shared" si="54"/>
        <v>0</v>
      </c>
    </row>
    <row r="3452" spans="12:15" x14ac:dyDescent="0.25">
      <c r="L3452" s="3" t="e">
        <f>VLOOKUP(C3452,Securities!A:D,4,FALSE)</f>
        <v>#N/A</v>
      </c>
      <c r="M3452" s="3" t="e">
        <f>VLOOKUP(C3452,Securities!A:B,2,FALSE)</f>
        <v>#N/A</v>
      </c>
      <c r="O3452" s="3">
        <f t="shared" si="54"/>
        <v>0</v>
      </c>
    </row>
    <row r="3453" spans="12:15" x14ac:dyDescent="0.25">
      <c r="L3453" s="3" t="e">
        <f>VLOOKUP(C3453,Securities!A:D,4,FALSE)</f>
        <v>#N/A</v>
      </c>
      <c r="M3453" s="3" t="e">
        <f>VLOOKUP(C3453,Securities!A:B,2,FALSE)</f>
        <v>#N/A</v>
      </c>
      <c r="O3453" s="3">
        <f t="shared" si="54"/>
        <v>0</v>
      </c>
    </row>
    <row r="3454" spans="12:15" x14ac:dyDescent="0.25">
      <c r="L3454" s="3" t="e">
        <f>VLOOKUP(C3454,Securities!A:D,4,FALSE)</f>
        <v>#N/A</v>
      </c>
      <c r="M3454" s="3" t="e">
        <f>VLOOKUP(C3454,Securities!A:B,2,FALSE)</f>
        <v>#N/A</v>
      </c>
      <c r="O3454" s="3">
        <f t="shared" si="54"/>
        <v>0</v>
      </c>
    </row>
    <row r="3455" spans="12:15" x14ac:dyDescent="0.25">
      <c r="L3455" s="3" t="e">
        <f>VLOOKUP(C3455,Securities!A:D,4,FALSE)</f>
        <v>#N/A</v>
      </c>
      <c r="M3455" s="3" t="e">
        <f>VLOOKUP(C3455,Securities!A:B,2,FALSE)</f>
        <v>#N/A</v>
      </c>
      <c r="O3455" s="3">
        <f t="shared" si="54"/>
        <v>0</v>
      </c>
    </row>
    <row r="3456" spans="12:15" x14ac:dyDescent="0.25">
      <c r="L3456" s="3" t="e">
        <f>VLOOKUP(C3456,Securities!A:D,4,FALSE)</f>
        <v>#N/A</v>
      </c>
      <c r="M3456" s="3" t="e">
        <f>VLOOKUP(C3456,Securities!A:B,2,FALSE)</f>
        <v>#N/A</v>
      </c>
      <c r="O3456" s="3">
        <f t="shared" si="54"/>
        <v>0</v>
      </c>
    </row>
    <row r="3457" spans="12:15" x14ac:dyDescent="0.25">
      <c r="L3457" s="3" t="e">
        <f>VLOOKUP(C3457,Securities!A:D,4,FALSE)</f>
        <v>#N/A</v>
      </c>
      <c r="M3457" s="3" t="e">
        <f>VLOOKUP(C3457,Securities!A:B,2,FALSE)</f>
        <v>#N/A</v>
      </c>
      <c r="O3457" s="3">
        <f t="shared" si="54"/>
        <v>0</v>
      </c>
    </row>
    <row r="3458" spans="12:15" x14ac:dyDescent="0.25">
      <c r="L3458" s="3" t="e">
        <f>VLOOKUP(C3458,Securities!A:D,4,FALSE)</f>
        <v>#N/A</v>
      </c>
      <c r="M3458" s="3" t="e">
        <f>VLOOKUP(C3458,Securities!A:B,2,FALSE)</f>
        <v>#N/A</v>
      </c>
      <c r="O3458" s="3">
        <f t="shared" si="54"/>
        <v>0</v>
      </c>
    </row>
    <row r="3459" spans="12:15" x14ac:dyDescent="0.25">
      <c r="L3459" s="3" t="e">
        <f>VLOOKUP(C3459,Securities!A:D,4,FALSE)</f>
        <v>#N/A</v>
      </c>
      <c r="M3459" s="3" t="e">
        <f>VLOOKUP(C3459,Securities!A:B,2,FALSE)</f>
        <v>#N/A</v>
      </c>
      <c r="O3459" s="3">
        <f t="shared" si="54"/>
        <v>0</v>
      </c>
    </row>
    <row r="3460" spans="12:15" x14ac:dyDescent="0.25">
      <c r="L3460" s="3" t="e">
        <f>VLOOKUP(C3460,Securities!A:D,4,FALSE)</f>
        <v>#N/A</v>
      </c>
      <c r="M3460" s="3" t="e">
        <f>VLOOKUP(C3460,Securities!A:B,2,FALSE)</f>
        <v>#N/A</v>
      </c>
      <c r="O3460" s="3">
        <f t="shared" si="54"/>
        <v>0</v>
      </c>
    </row>
    <row r="3461" spans="12:15" x14ac:dyDescent="0.25">
      <c r="L3461" s="3" t="e">
        <f>VLOOKUP(C3461,Securities!A:D,4,FALSE)</f>
        <v>#N/A</v>
      </c>
      <c r="M3461" s="3" t="e">
        <f>VLOOKUP(C3461,Securities!A:B,2,FALSE)</f>
        <v>#N/A</v>
      </c>
      <c r="O3461" s="3">
        <f t="shared" si="54"/>
        <v>0</v>
      </c>
    </row>
    <row r="3462" spans="12:15" x14ac:dyDescent="0.25">
      <c r="L3462" s="3" t="e">
        <f>VLOOKUP(C3462,Securities!A:D,4,FALSE)</f>
        <v>#N/A</v>
      </c>
      <c r="M3462" s="3" t="e">
        <f>VLOOKUP(C3462,Securities!A:B,2,FALSE)</f>
        <v>#N/A</v>
      </c>
      <c r="O3462" s="3">
        <f t="shared" ref="O3462:O3525" si="55">SUMIFS(E:E,C:C,C3462,B:B,B3462)</f>
        <v>0</v>
      </c>
    </row>
    <row r="3463" spans="12:15" x14ac:dyDescent="0.25">
      <c r="L3463" s="3" t="e">
        <f>VLOOKUP(C3463,Securities!A:D,4,FALSE)</f>
        <v>#N/A</v>
      </c>
      <c r="M3463" s="3" t="e">
        <f>VLOOKUP(C3463,Securities!A:B,2,FALSE)</f>
        <v>#N/A</v>
      </c>
      <c r="O3463" s="3">
        <f t="shared" si="55"/>
        <v>0</v>
      </c>
    </row>
    <row r="3464" spans="12:15" x14ac:dyDescent="0.25">
      <c r="L3464" s="3" t="e">
        <f>VLOOKUP(C3464,Securities!A:D,4,FALSE)</f>
        <v>#N/A</v>
      </c>
      <c r="M3464" s="3" t="e">
        <f>VLOOKUP(C3464,Securities!A:B,2,FALSE)</f>
        <v>#N/A</v>
      </c>
      <c r="O3464" s="3">
        <f t="shared" si="55"/>
        <v>0</v>
      </c>
    </row>
    <row r="3465" spans="12:15" x14ac:dyDescent="0.25">
      <c r="L3465" s="3" t="e">
        <f>VLOOKUP(C3465,Securities!A:D,4,FALSE)</f>
        <v>#N/A</v>
      </c>
      <c r="M3465" s="3" t="e">
        <f>VLOOKUP(C3465,Securities!A:B,2,FALSE)</f>
        <v>#N/A</v>
      </c>
      <c r="O3465" s="3">
        <f t="shared" si="55"/>
        <v>0</v>
      </c>
    </row>
    <row r="3466" spans="12:15" x14ac:dyDescent="0.25">
      <c r="L3466" s="3" t="e">
        <f>VLOOKUP(C3466,Securities!A:D,4,FALSE)</f>
        <v>#N/A</v>
      </c>
      <c r="M3466" s="3" t="e">
        <f>VLOOKUP(C3466,Securities!A:B,2,FALSE)</f>
        <v>#N/A</v>
      </c>
      <c r="O3466" s="3">
        <f t="shared" si="55"/>
        <v>0</v>
      </c>
    </row>
    <row r="3467" spans="12:15" x14ac:dyDescent="0.25">
      <c r="L3467" s="3" t="e">
        <f>VLOOKUP(C3467,Securities!A:D,4,FALSE)</f>
        <v>#N/A</v>
      </c>
      <c r="M3467" s="3" t="e">
        <f>VLOOKUP(C3467,Securities!A:B,2,FALSE)</f>
        <v>#N/A</v>
      </c>
      <c r="O3467" s="3">
        <f t="shared" si="55"/>
        <v>0</v>
      </c>
    </row>
    <row r="3468" spans="12:15" x14ac:dyDescent="0.25">
      <c r="L3468" s="3" t="e">
        <f>VLOOKUP(C3468,Securities!A:D,4,FALSE)</f>
        <v>#N/A</v>
      </c>
      <c r="M3468" s="3" t="e">
        <f>VLOOKUP(C3468,Securities!A:B,2,FALSE)</f>
        <v>#N/A</v>
      </c>
      <c r="O3468" s="3">
        <f t="shared" si="55"/>
        <v>0</v>
      </c>
    </row>
    <row r="3469" spans="12:15" x14ac:dyDescent="0.25">
      <c r="L3469" s="3" t="e">
        <f>VLOOKUP(C3469,Securities!A:D,4,FALSE)</f>
        <v>#N/A</v>
      </c>
      <c r="M3469" s="3" t="e">
        <f>VLOOKUP(C3469,Securities!A:B,2,FALSE)</f>
        <v>#N/A</v>
      </c>
      <c r="O3469" s="3">
        <f t="shared" si="55"/>
        <v>0</v>
      </c>
    </row>
    <row r="3470" spans="12:15" x14ac:dyDescent="0.25">
      <c r="L3470" s="3" t="e">
        <f>VLOOKUP(C3470,Securities!A:D,4,FALSE)</f>
        <v>#N/A</v>
      </c>
      <c r="M3470" s="3" t="e">
        <f>VLOOKUP(C3470,Securities!A:B,2,FALSE)</f>
        <v>#N/A</v>
      </c>
      <c r="O3470" s="3">
        <f t="shared" si="55"/>
        <v>0</v>
      </c>
    </row>
    <row r="3471" spans="12:15" x14ac:dyDescent="0.25">
      <c r="L3471" s="3" t="e">
        <f>VLOOKUP(C3471,Securities!A:D,4,FALSE)</f>
        <v>#N/A</v>
      </c>
      <c r="M3471" s="3" t="e">
        <f>VLOOKUP(C3471,Securities!A:B,2,FALSE)</f>
        <v>#N/A</v>
      </c>
      <c r="O3471" s="3">
        <f t="shared" si="55"/>
        <v>0</v>
      </c>
    </row>
    <row r="3472" spans="12:15" x14ac:dyDescent="0.25">
      <c r="L3472" s="3" t="e">
        <f>VLOOKUP(C3472,Securities!A:D,4,FALSE)</f>
        <v>#N/A</v>
      </c>
      <c r="M3472" s="3" t="e">
        <f>VLOOKUP(C3472,Securities!A:B,2,FALSE)</f>
        <v>#N/A</v>
      </c>
      <c r="O3472" s="3">
        <f t="shared" si="55"/>
        <v>0</v>
      </c>
    </row>
    <row r="3473" spans="12:15" x14ac:dyDescent="0.25">
      <c r="L3473" s="3" t="e">
        <f>VLOOKUP(C3473,Securities!A:D,4,FALSE)</f>
        <v>#N/A</v>
      </c>
      <c r="M3473" s="3" t="e">
        <f>VLOOKUP(C3473,Securities!A:B,2,FALSE)</f>
        <v>#N/A</v>
      </c>
      <c r="O3473" s="3">
        <f t="shared" si="55"/>
        <v>0</v>
      </c>
    </row>
    <row r="3474" spans="12:15" x14ac:dyDescent="0.25">
      <c r="L3474" s="3" t="e">
        <f>VLOOKUP(C3474,Securities!A:D,4,FALSE)</f>
        <v>#N/A</v>
      </c>
      <c r="M3474" s="3" t="e">
        <f>VLOOKUP(C3474,Securities!A:B,2,FALSE)</f>
        <v>#N/A</v>
      </c>
      <c r="O3474" s="3">
        <f t="shared" si="55"/>
        <v>0</v>
      </c>
    </row>
    <row r="3475" spans="12:15" x14ac:dyDescent="0.25">
      <c r="L3475" s="3" t="e">
        <f>VLOOKUP(C3475,Securities!A:D,4,FALSE)</f>
        <v>#N/A</v>
      </c>
      <c r="M3475" s="3" t="e">
        <f>VLOOKUP(C3475,Securities!A:B,2,FALSE)</f>
        <v>#N/A</v>
      </c>
      <c r="O3475" s="3">
        <f t="shared" si="55"/>
        <v>0</v>
      </c>
    </row>
    <row r="3476" spans="12:15" x14ac:dyDescent="0.25">
      <c r="L3476" s="3" t="e">
        <f>VLOOKUP(C3476,Securities!A:D,4,FALSE)</f>
        <v>#N/A</v>
      </c>
      <c r="M3476" s="3" t="e">
        <f>VLOOKUP(C3476,Securities!A:B,2,FALSE)</f>
        <v>#N/A</v>
      </c>
      <c r="O3476" s="3">
        <f t="shared" si="55"/>
        <v>0</v>
      </c>
    </row>
    <row r="3477" spans="12:15" x14ac:dyDescent="0.25">
      <c r="L3477" s="3" t="e">
        <f>VLOOKUP(C3477,Securities!A:D,4,FALSE)</f>
        <v>#N/A</v>
      </c>
      <c r="M3477" s="3" t="e">
        <f>VLOOKUP(C3477,Securities!A:B,2,FALSE)</f>
        <v>#N/A</v>
      </c>
      <c r="O3477" s="3">
        <f t="shared" si="55"/>
        <v>0</v>
      </c>
    </row>
    <row r="3478" spans="12:15" x14ac:dyDescent="0.25">
      <c r="L3478" s="3" t="e">
        <f>VLOOKUP(C3478,Securities!A:D,4,FALSE)</f>
        <v>#N/A</v>
      </c>
      <c r="M3478" s="3" t="e">
        <f>VLOOKUP(C3478,Securities!A:B,2,FALSE)</f>
        <v>#N/A</v>
      </c>
      <c r="O3478" s="3">
        <f t="shared" si="55"/>
        <v>0</v>
      </c>
    </row>
    <row r="3479" spans="12:15" x14ac:dyDescent="0.25">
      <c r="L3479" s="3" t="e">
        <f>VLOOKUP(C3479,Securities!A:D,4,FALSE)</f>
        <v>#N/A</v>
      </c>
      <c r="M3479" s="3" t="e">
        <f>VLOOKUP(C3479,Securities!A:B,2,FALSE)</f>
        <v>#N/A</v>
      </c>
      <c r="O3479" s="3">
        <f t="shared" si="55"/>
        <v>0</v>
      </c>
    </row>
    <row r="3480" spans="12:15" x14ac:dyDescent="0.25">
      <c r="L3480" s="3" t="e">
        <f>VLOOKUP(C3480,Securities!A:D,4,FALSE)</f>
        <v>#N/A</v>
      </c>
      <c r="M3480" s="3" t="e">
        <f>VLOOKUP(C3480,Securities!A:B,2,FALSE)</f>
        <v>#N/A</v>
      </c>
      <c r="O3480" s="3">
        <f t="shared" si="55"/>
        <v>0</v>
      </c>
    </row>
    <row r="3481" spans="12:15" x14ac:dyDescent="0.25">
      <c r="L3481" s="3" t="e">
        <f>VLOOKUP(C3481,Securities!A:D,4,FALSE)</f>
        <v>#N/A</v>
      </c>
      <c r="M3481" s="3" t="e">
        <f>VLOOKUP(C3481,Securities!A:B,2,FALSE)</f>
        <v>#N/A</v>
      </c>
      <c r="O3481" s="3">
        <f t="shared" si="55"/>
        <v>0</v>
      </c>
    </row>
    <row r="3482" spans="12:15" x14ac:dyDescent="0.25">
      <c r="L3482" s="3" t="e">
        <f>VLOOKUP(C3482,Securities!A:D,4,FALSE)</f>
        <v>#N/A</v>
      </c>
      <c r="M3482" s="3" t="e">
        <f>VLOOKUP(C3482,Securities!A:B,2,FALSE)</f>
        <v>#N/A</v>
      </c>
      <c r="O3482" s="3">
        <f t="shared" si="55"/>
        <v>0</v>
      </c>
    </row>
    <row r="3483" spans="12:15" x14ac:dyDescent="0.25">
      <c r="L3483" s="3" t="e">
        <f>VLOOKUP(C3483,Securities!A:D,4,FALSE)</f>
        <v>#N/A</v>
      </c>
      <c r="M3483" s="3" t="e">
        <f>VLOOKUP(C3483,Securities!A:B,2,FALSE)</f>
        <v>#N/A</v>
      </c>
      <c r="O3483" s="3">
        <f t="shared" si="55"/>
        <v>0</v>
      </c>
    </row>
    <row r="3484" spans="12:15" x14ac:dyDescent="0.25">
      <c r="L3484" s="3" t="e">
        <f>VLOOKUP(C3484,Securities!A:D,4,FALSE)</f>
        <v>#N/A</v>
      </c>
      <c r="M3484" s="3" t="e">
        <f>VLOOKUP(C3484,Securities!A:B,2,FALSE)</f>
        <v>#N/A</v>
      </c>
      <c r="O3484" s="3">
        <f t="shared" si="55"/>
        <v>0</v>
      </c>
    </row>
    <row r="3485" spans="12:15" x14ac:dyDescent="0.25">
      <c r="L3485" s="3" t="e">
        <f>VLOOKUP(C3485,Securities!A:D,4,FALSE)</f>
        <v>#N/A</v>
      </c>
      <c r="M3485" s="3" t="e">
        <f>VLOOKUP(C3485,Securities!A:B,2,FALSE)</f>
        <v>#N/A</v>
      </c>
      <c r="O3485" s="3">
        <f t="shared" si="55"/>
        <v>0</v>
      </c>
    </row>
    <row r="3486" spans="12:15" x14ac:dyDescent="0.25">
      <c r="L3486" s="3" t="e">
        <f>VLOOKUP(C3486,Securities!A:D,4,FALSE)</f>
        <v>#N/A</v>
      </c>
      <c r="M3486" s="3" t="e">
        <f>VLOOKUP(C3486,Securities!A:B,2,FALSE)</f>
        <v>#N/A</v>
      </c>
      <c r="O3486" s="3">
        <f t="shared" si="55"/>
        <v>0</v>
      </c>
    </row>
    <row r="3487" spans="12:15" x14ac:dyDescent="0.25">
      <c r="L3487" s="3" t="e">
        <f>VLOOKUP(C3487,Securities!A:D,4,FALSE)</f>
        <v>#N/A</v>
      </c>
      <c r="M3487" s="3" t="e">
        <f>VLOOKUP(C3487,Securities!A:B,2,FALSE)</f>
        <v>#N/A</v>
      </c>
      <c r="O3487" s="3">
        <f t="shared" si="55"/>
        <v>0</v>
      </c>
    </row>
    <row r="3488" spans="12:15" x14ac:dyDescent="0.25">
      <c r="L3488" s="3" t="e">
        <f>VLOOKUP(C3488,Securities!A:D,4,FALSE)</f>
        <v>#N/A</v>
      </c>
      <c r="M3488" s="3" t="e">
        <f>VLOOKUP(C3488,Securities!A:B,2,FALSE)</f>
        <v>#N/A</v>
      </c>
      <c r="O3488" s="3">
        <f t="shared" si="55"/>
        <v>0</v>
      </c>
    </row>
    <row r="3489" spans="12:15" x14ac:dyDescent="0.25">
      <c r="L3489" s="3" t="e">
        <f>VLOOKUP(C3489,Securities!A:D,4,FALSE)</f>
        <v>#N/A</v>
      </c>
      <c r="M3489" s="3" t="e">
        <f>VLOOKUP(C3489,Securities!A:B,2,FALSE)</f>
        <v>#N/A</v>
      </c>
      <c r="O3489" s="3">
        <f t="shared" si="55"/>
        <v>0</v>
      </c>
    </row>
    <row r="3490" spans="12:15" x14ac:dyDescent="0.25">
      <c r="L3490" s="3" t="e">
        <f>VLOOKUP(C3490,Securities!A:D,4,FALSE)</f>
        <v>#N/A</v>
      </c>
      <c r="M3490" s="3" t="e">
        <f>VLOOKUP(C3490,Securities!A:B,2,FALSE)</f>
        <v>#N/A</v>
      </c>
      <c r="O3490" s="3">
        <f t="shared" si="55"/>
        <v>0</v>
      </c>
    </row>
    <row r="3491" spans="12:15" x14ac:dyDescent="0.25">
      <c r="L3491" s="3" t="e">
        <f>VLOOKUP(C3491,Securities!A:D,4,FALSE)</f>
        <v>#N/A</v>
      </c>
      <c r="M3491" s="3" t="e">
        <f>VLOOKUP(C3491,Securities!A:B,2,FALSE)</f>
        <v>#N/A</v>
      </c>
      <c r="O3491" s="3">
        <f t="shared" si="55"/>
        <v>0</v>
      </c>
    </row>
    <row r="3492" spans="12:15" x14ac:dyDescent="0.25">
      <c r="L3492" s="3" t="e">
        <f>VLOOKUP(C3492,Securities!A:D,4,FALSE)</f>
        <v>#N/A</v>
      </c>
      <c r="M3492" s="3" t="e">
        <f>VLOOKUP(C3492,Securities!A:B,2,FALSE)</f>
        <v>#N/A</v>
      </c>
      <c r="O3492" s="3">
        <f t="shared" si="55"/>
        <v>0</v>
      </c>
    </row>
    <row r="3493" spans="12:15" x14ac:dyDescent="0.25">
      <c r="L3493" s="3" t="e">
        <f>VLOOKUP(C3493,Securities!A:D,4,FALSE)</f>
        <v>#N/A</v>
      </c>
      <c r="M3493" s="3" t="e">
        <f>VLOOKUP(C3493,Securities!A:B,2,FALSE)</f>
        <v>#N/A</v>
      </c>
      <c r="O3493" s="3">
        <f t="shared" si="55"/>
        <v>0</v>
      </c>
    </row>
    <row r="3494" spans="12:15" x14ac:dyDescent="0.25">
      <c r="L3494" s="3" t="e">
        <f>VLOOKUP(C3494,Securities!A:D,4,FALSE)</f>
        <v>#N/A</v>
      </c>
      <c r="M3494" s="3" t="e">
        <f>VLOOKUP(C3494,Securities!A:B,2,FALSE)</f>
        <v>#N/A</v>
      </c>
      <c r="O3494" s="3">
        <f t="shared" si="55"/>
        <v>0</v>
      </c>
    </row>
    <row r="3495" spans="12:15" x14ac:dyDescent="0.25">
      <c r="L3495" s="3" t="e">
        <f>VLOOKUP(C3495,Securities!A:D,4,FALSE)</f>
        <v>#N/A</v>
      </c>
      <c r="M3495" s="3" t="e">
        <f>VLOOKUP(C3495,Securities!A:B,2,FALSE)</f>
        <v>#N/A</v>
      </c>
      <c r="O3495" s="3">
        <f t="shared" si="55"/>
        <v>0</v>
      </c>
    </row>
    <row r="3496" spans="12:15" x14ac:dyDescent="0.25">
      <c r="L3496" s="3" t="e">
        <f>VLOOKUP(C3496,Securities!A:D,4,FALSE)</f>
        <v>#N/A</v>
      </c>
      <c r="M3496" s="3" t="e">
        <f>VLOOKUP(C3496,Securities!A:B,2,FALSE)</f>
        <v>#N/A</v>
      </c>
      <c r="O3496" s="3">
        <f t="shared" si="55"/>
        <v>0</v>
      </c>
    </row>
    <row r="3497" spans="12:15" x14ac:dyDescent="0.25">
      <c r="L3497" s="3" t="e">
        <f>VLOOKUP(C3497,Securities!A:D,4,FALSE)</f>
        <v>#N/A</v>
      </c>
      <c r="M3497" s="3" t="e">
        <f>VLOOKUP(C3497,Securities!A:B,2,FALSE)</f>
        <v>#N/A</v>
      </c>
      <c r="O3497" s="3">
        <f t="shared" si="55"/>
        <v>0</v>
      </c>
    </row>
    <row r="3498" spans="12:15" x14ac:dyDescent="0.25">
      <c r="L3498" s="3" t="e">
        <f>VLOOKUP(C3498,Securities!A:D,4,FALSE)</f>
        <v>#N/A</v>
      </c>
      <c r="M3498" s="3" t="e">
        <f>VLOOKUP(C3498,Securities!A:B,2,FALSE)</f>
        <v>#N/A</v>
      </c>
      <c r="O3498" s="3">
        <f t="shared" si="55"/>
        <v>0</v>
      </c>
    </row>
    <row r="3499" spans="12:15" x14ac:dyDescent="0.25">
      <c r="L3499" s="3" t="e">
        <f>VLOOKUP(C3499,Securities!A:D,4,FALSE)</f>
        <v>#N/A</v>
      </c>
      <c r="M3499" s="3" t="e">
        <f>VLOOKUP(C3499,Securities!A:B,2,FALSE)</f>
        <v>#N/A</v>
      </c>
      <c r="O3499" s="3">
        <f t="shared" si="55"/>
        <v>0</v>
      </c>
    </row>
    <row r="3500" spans="12:15" x14ac:dyDescent="0.25">
      <c r="L3500" s="3" t="e">
        <f>VLOOKUP(C3500,Securities!A:D,4,FALSE)</f>
        <v>#N/A</v>
      </c>
      <c r="M3500" s="3" t="e">
        <f>VLOOKUP(C3500,Securities!A:B,2,FALSE)</f>
        <v>#N/A</v>
      </c>
      <c r="O3500" s="3">
        <f t="shared" si="55"/>
        <v>0</v>
      </c>
    </row>
    <row r="3501" spans="12:15" x14ac:dyDescent="0.25">
      <c r="L3501" s="3" t="e">
        <f>VLOOKUP(C3501,Securities!A:D,4,FALSE)</f>
        <v>#N/A</v>
      </c>
      <c r="M3501" s="3" t="e">
        <f>VLOOKUP(C3501,Securities!A:B,2,FALSE)</f>
        <v>#N/A</v>
      </c>
      <c r="O3501" s="3">
        <f t="shared" si="55"/>
        <v>0</v>
      </c>
    </row>
    <row r="3502" spans="12:15" x14ac:dyDescent="0.25">
      <c r="L3502" s="3" t="e">
        <f>VLOOKUP(C3502,Securities!A:D,4,FALSE)</f>
        <v>#N/A</v>
      </c>
      <c r="M3502" s="3" t="e">
        <f>VLOOKUP(C3502,Securities!A:B,2,FALSE)</f>
        <v>#N/A</v>
      </c>
      <c r="O3502" s="3">
        <f t="shared" si="55"/>
        <v>0</v>
      </c>
    </row>
    <row r="3503" spans="12:15" x14ac:dyDescent="0.25">
      <c r="L3503" s="3" t="e">
        <f>VLOOKUP(C3503,Securities!A:D,4,FALSE)</f>
        <v>#N/A</v>
      </c>
      <c r="M3503" s="3" t="e">
        <f>VLOOKUP(C3503,Securities!A:B,2,FALSE)</f>
        <v>#N/A</v>
      </c>
      <c r="O3503" s="3">
        <f t="shared" si="55"/>
        <v>0</v>
      </c>
    </row>
    <row r="3504" spans="12:15" x14ac:dyDescent="0.25">
      <c r="L3504" s="3" t="e">
        <f>VLOOKUP(C3504,Securities!A:D,4,FALSE)</f>
        <v>#N/A</v>
      </c>
      <c r="M3504" s="3" t="e">
        <f>VLOOKUP(C3504,Securities!A:B,2,FALSE)</f>
        <v>#N/A</v>
      </c>
      <c r="O3504" s="3">
        <f t="shared" si="55"/>
        <v>0</v>
      </c>
    </row>
    <row r="3505" spans="12:15" x14ac:dyDescent="0.25">
      <c r="L3505" s="3" t="e">
        <f>VLOOKUP(C3505,Securities!A:D,4,FALSE)</f>
        <v>#N/A</v>
      </c>
      <c r="M3505" s="3" t="e">
        <f>VLOOKUP(C3505,Securities!A:B,2,FALSE)</f>
        <v>#N/A</v>
      </c>
      <c r="O3505" s="3">
        <f t="shared" si="55"/>
        <v>0</v>
      </c>
    </row>
    <row r="3506" spans="12:15" x14ac:dyDescent="0.25">
      <c r="L3506" s="3" t="e">
        <f>VLOOKUP(C3506,Securities!A:D,4,FALSE)</f>
        <v>#N/A</v>
      </c>
      <c r="M3506" s="3" t="e">
        <f>VLOOKUP(C3506,Securities!A:B,2,FALSE)</f>
        <v>#N/A</v>
      </c>
      <c r="O3506" s="3">
        <f t="shared" si="55"/>
        <v>0</v>
      </c>
    </row>
    <row r="3507" spans="12:15" x14ac:dyDescent="0.25">
      <c r="L3507" s="3" t="e">
        <f>VLOOKUP(C3507,Securities!A:D,4,FALSE)</f>
        <v>#N/A</v>
      </c>
      <c r="M3507" s="3" t="e">
        <f>VLOOKUP(C3507,Securities!A:B,2,FALSE)</f>
        <v>#N/A</v>
      </c>
      <c r="O3507" s="3">
        <f t="shared" si="55"/>
        <v>0</v>
      </c>
    </row>
    <row r="3508" spans="12:15" x14ac:dyDescent="0.25">
      <c r="L3508" s="3" t="e">
        <f>VLOOKUP(C3508,Securities!A:D,4,FALSE)</f>
        <v>#N/A</v>
      </c>
      <c r="M3508" s="3" t="e">
        <f>VLOOKUP(C3508,Securities!A:B,2,FALSE)</f>
        <v>#N/A</v>
      </c>
      <c r="O3508" s="3">
        <f t="shared" si="55"/>
        <v>0</v>
      </c>
    </row>
    <row r="3509" spans="12:15" x14ac:dyDescent="0.25">
      <c r="L3509" s="3" t="e">
        <f>VLOOKUP(C3509,Securities!A:D,4,FALSE)</f>
        <v>#N/A</v>
      </c>
      <c r="M3509" s="3" t="e">
        <f>VLOOKUP(C3509,Securities!A:B,2,FALSE)</f>
        <v>#N/A</v>
      </c>
      <c r="O3509" s="3">
        <f t="shared" si="55"/>
        <v>0</v>
      </c>
    </row>
    <row r="3510" spans="12:15" x14ac:dyDescent="0.25">
      <c r="L3510" s="3" t="e">
        <f>VLOOKUP(C3510,Securities!A:D,4,FALSE)</f>
        <v>#N/A</v>
      </c>
      <c r="M3510" s="3" t="e">
        <f>VLOOKUP(C3510,Securities!A:B,2,FALSE)</f>
        <v>#N/A</v>
      </c>
      <c r="O3510" s="3">
        <f t="shared" si="55"/>
        <v>0</v>
      </c>
    </row>
    <row r="3511" spans="12:15" x14ac:dyDescent="0.25">
      <c r="L3511" s="3" t="e">
        <f>VLOOKUP(C3511,Securities!A:D,4,FALSE)</f>
        <v>#N/A</v>
      </c>
      <c r="M3511" s="3" t="e">
        <f>VLOOKUP(C3511,Securities!A:B,2,FALSE)</f>
        <v>#N/A</v>
      </c>
      <c r="O3511" s="3">
        <f t="shared" si="55"/>
        <v>0</v>
      </c>
    </row>
    <row r="3512" spans="12:15" x14ac:dyDescent="0.25">
      <c r="L3512" s="3" t="e">
        <f>VLOOKUP(C3512,Securities!A:D,4,FALSE)</f>
        <v>#N/A</v>
      </c>
      <c r="M3512" s="3" t="e">
        <f>VLOOKUP(C3512,Securities!A:B,2,FALSE)</f>
        <v>#N/A</v>
      </c>
      <c r="O3512" s="3">
        <f t="shared" si="55"/>
        <v>0</v>
      </c>
    </row>
    <row r="3513" spans="12:15" x14ac:dyDescent="0.25">
      <c r="L3513" s="3" t="e">
        <f>VLOOKUP(C3513,Securities!A:D,4,FALSE)</f>
        <v>#N/A</v>
      </c>
      <c r="M3513" s="3" t="e">
        <f>VLOOKUP(C3513,Securities!A:B,2,FALSE)</f>
        <v>#N/A</v>
      </c>
      <c r="O3513" s="3">
        <f t="shared" si="55"/>
        <v>0</v>
      </c>
    </row>
    <row r="3514" spans="12:15" x14ac:dyDescent="0.25">
      <c r="L3514" s="3" t="e">
        <f>VLOOKUP(C3514,Securities!A:D,4,FALSE)</f>
        <v>#N/A</v>
      </c>
      <c r="M3514" s="3" t="e">
        <f>VLOOKUP(C3514,Securities!A:B,2,FALSE)</f>
        <v>#N/A</v>
      </c>
      <c r="O3514" s="3">
        <f t="shared" si="55"/>
        <v>0</v>
      </c>
    </row>
    <row r="3515" spans="12:15" x14ac:dyDescent="0.25">
      <c r="L3515" s="3" t="e">
        <f>VLOOKUP(C3515,Securities!A:D,4,FALSE)</f>
        <v>#N/A</v>
      </c>
      <c r="M3515" s="3" t="e">
        <f>VLOOKUP(C3515,Securities!A:B,2,FALSE)</f>
        <v>#N/A</v>
      </c>
      <c r="O3515" s="3">
        <f t="shared" si="55"/>
        <v>0</v>
      </c>
    </row>
    <row r="3516" spans="12:15" x14ac:dyDescent="0.25">
      <c r="L3516" s="3" t="e">
        <f>VLOOKUP(C3516,Securities!A:D,4,FALSE)</f>
        <v>#N/A</v>
      </c>
      <c r="M3516" s="3" t="e">
        <f>VLOOKUP(C3516,Securities!A:B,2,FALSE)</f>
        <v>#N/A</v>
      </c>
      <c r="O3516" s="3">
        <f t="shared" si="55"/>
        <v>0</v>
      </c>
    </row>
    <row r="3517" spans="12:15" x14ac:dyDescent="0.25">
      <c r="L3517" s="3" t="e">
        <f>VLOOKUP(C3517,Securities!A:D,4,FALSE)</f>
        <v>#N/A</v>
      </c>
      <c r="M3517" s="3" t="e">
        <f>VLOOKUP(C3517,Securities!A:B,2,FALSE)</f>
        <v>#N/A</v>
      </c>
      <c r="O3517" s="3">
        <f t="shared" si="55"/>
        <v>0</v>
      </c>
    </row>
    <row r="3518" spans="12:15" x14ac:dyDescent="0.25">
      <c r="L3518" s="3" t="e">
        <f>VLOOKUP(C3518,Securities!A:D,4,FALSE)</f>
        <v>#N/A</v>
      </c>
      <c r="M3518" s="3" t="e">
        <f>VLOOKUP(C3518,Securities!A:B,2,FALSE)</f>
        <v>#N/A</v>
      </c>
      <c r="O3518" s="3">
        <f t="shared" si="55"/>
        <v>0</v>
      </c>
    </row>
    <row r="3519" spans="12:15" x14ac:dyDescent="0.25">
      <c r="L3519" s="3" t="e">
        <f>VLOOKUP(C3519,Securities!A:D,4,FALSE)</f>
        <v>#N/A</v>
      </c>
      <c r="M3519" s="3" t="e">
        <f>VLOOKUP(C3519,Securities!A:B,2,FALSE)</f>
        <v>#N/A</v>
      </c>
      <c r="O3519" s="3">
        <f t="shared" si="55"/>
        <v>0</v>
      </c>
    </row>
    <row r="3520" spans="12:15" x14ac:dyDescent="0.25">
      <c r="L3520" s="3" t="e">
        <f>VLOOKUP(C3520,Securities!A:D,4,FALSE)</f>
        <v>#N/A</v>
      </c>
      <c r="M3520" s="3" t="e">
        <f>VLOOKUP(C3520,Securities!A:B,2,FALSE)</f>
        <v>#N/A</v>
      </c>
      <c r="O3520" s="3">
        <f t="shared" si="55"/>
        <v>0</v>
      </c>
    </row>
    <row r="3521" spans="12:15" x14ac:dyDescent="0.25">
      <c r="L3521" s="3" t="e">
        <f>VLOOKUP(C3521,Securities!A:D,4,FALSE)</f>
        <v>#N/A</v>
      </c>
      <c r="M3521" s="3" t="e">
        <f>VLOOKUP(C3521,Securities!A:B,2,FALSE)</f>
        <v>#N/A</v>
      </c>
      <c r="O3521" s="3">
        <f t="shared" si="55"/>
        <v>0</v>
      </c>
    </row>
    <row r="3522" spans="12:15" x14ac:dyDescent="0.25">
      <c r="L3522" s="3" t="e">
        <f>VLOOKUP(C3522,Securities!A:D,4,FALSE)</f>
        <v>#N/A</v>
      </c>
      <c r="M3522" s="3" t="e">
        <f>VLOOKUP(C3522,Securities!A:B,2,FALSE)</f>
        <v>#N/A</v>
      </c>
      <c r="O3522" s="3">
        <f t="shared" si="55"/>
        <v>0</v>
      </c>
    </row>
    <row r="3523" spans="12:15" x14ac:dyDescent="0.25">
      <c r="L3523" s="3" t="e">
        <f>VLOOKUP(C3523,Securities!A:D,4,FALSE)</f>
        <v>#N/A</v>
      </c>
      <c r="M3523" s="3" t="e">
        <f>VLOOKUP(C3523,Securities!A:B,2,FALSE)</f>
        <v>#N/A</v>
      </c>
      <c r="O3523" s="3">
        <f t="shared" si="55"/>
        <v>0</v>
      </c>
    </row>
    <row r="3524" spans="12:15" x14ac:dyDescent="0.25">
      <c r="L3524" s="3" t="e">
        <f>VLOOKUP(C3524,Securities!A:D,4,FALSE)</f>
        <v>#N/A</v>
      </c>
      <c r="M3524" s="3" t="e">
        <f>VLOOKUP(C3524,Securities!A:B,2,FALSE)</f>
        <v>#N/A</v>
      </c>
      <c r="O3524" s="3">
        <f t="shared" si="55"/>
        <v>0</v>
      </c>
    </row>
    <row r="3525" spans="12:15" x14ac:dyDescent="0.25">
      <c r="L3525" s="3" t="e">
        <f>VLOOKUP(C3525,Securities!A:D,4,FALSE)</f>
        <v>#N/A</v>
      </c>
      <c r="M3525" s="3" t="e">
        <f>VLOOKUP(C3525,Securities!A:B,2,FALSE)</f>
        <v>#N/A</v>
      </c>
      <c r="O3525" s="3">
        <f t="shared" si="55"/>
        <v>0</v>
      </c>
    </row>
    <row r="3526" spans="12:15" x14ac:dyDescent="0.25">
      <c r="L3526" s="3" t="e">
        <f>VLOOKUP(C3526,Securities!A:D,4,FALSE)</f>
        <v>#N/A</v>
      </c>
      <c r="M3526" s="3" t="e">
        <f>VLOOKUP(C3526,Securities!A:B,2,FALSE)</f>
        <v>#N/A</v>
      </c>
      <c r="O3526" s="3">
        <f t="shared" ref="O3526:O3589" si="56">SUMIFS(E:E,C:C,C3526,B:B,B3526)</f>
        <v>0</v>
      </c>
    </row>
    <row r="3527" spans="12:15" x14ac:dyDescent="0.25">
      <c r="L3527" s="3" t="e">
        <f>VLOOKUP(C3527,Securities!A:D,4,FALSE)</f>
        <v>#N/A</v>
      </c>
      <c r="M3527" s="3" t="e">
        <f>VLOOKUP(C3527,Securities!A:B,2,FALSE)</f>
        <v>#N/A</v>
      </c>
      <c r="O3527" s="3">
        <f t="shared" si="56"/>
        <v>0</v>
      </c>
    </row>
    <row r="3528" spans="12:15" x14ac:dyDescent="0.25">
      <c r="L3528" s="3" t="e">
        <f>VLOOKUP(C3528,Securities!A:D,4,FALSE)</f>
        <v>#N/A</v>
      </c>
      <c r="M3528" s="3" t="e">
        <f>VLOOKUP(C3528,Securities!A:B,2,FALSE)</f>
        <v>#N/A</v>
      </c>
      <c r="O3528" s="3">
        <f t="shared" si="56"/>
        <v>0</v>
      </c>
    </row>
    <row r="3529" spans="12:15" x14ac:dyDescent="0.25">
      <c r="L3529" s="3" t="e">
        <f>VLOOKUP(C3529,Securities!A:D,4,FALSE)</f>
        <v>#N/A</v>
      </c>
      <c r="M3529" s="3" t="e">
        <f>VLOOKUP(C3529,Securities!A:B,2,FALSE)</f>
        <v>#N/A</v>
      </c>
      <c r="O3529" s="3">
        <f t="shared" si="56"/>
        <v>0</v>
      </c>
    </row>
    <row r="3530" spans="12:15" x14ac:dyDescent="0.25">
      <c r="L3530" s="3" t="e">
        <f>VLOOKUP(C3530,Securities!A:D,4,FALSE)</f>
        <v>#N/A</v>
      </c>
      <c r="M3530" s="3" t="e">
        <f>VLOOKUP(C3530,Securities!A:B,2,FALSE)</f>
        <v>#N/A</v>
      </c>
      <c r="O3530" s="3">
        <f t="shared" si="56"/>
        <v>0</v>
      </c>
    </row>
    <row r="3531" spans="12:15" x14ac:dyDescent="0.25">
      <c r="L3531" s="3" t="e">
        <f>VLOOKUP(C3531,Securities!A:D,4,FALSE)</f>
        <v>#N/A</v>
      </c>
      <c r="M3531" s="3" t="e">
        <f>VLOOKUP(C3531,Securities!A:B,2,FALSE)</f>
        <v>#N/A</v>
      </c>
      <c r="O3531" s="3">
        <f t="shared" si="56"/>
        <v>0</v>
      </c>
    </row>
    <row r="3532" spans="12:15" x14ac:dyDescent="0.25">
      <c r="L3532" s="3" t="e">
        <f>VLOOKUP(C3532,Securities!A:D,4,FALSE)</f>
        <v>#N/A</v>
      </c>
      <c r="M3532" s="3" t="e">
        <f>VLOOKUP(C3532,Securities!A:B,2,FALSE)</f>
        <v>#N/A</v>
      </c>
      <c r="O3532" s="3">
        <f t="shared" si="56"/>
        <v>0</v>
      </c>
    </row>
    <row r="3533" spans="12:15" x14ac:dyDescent="0.25">
      <c r="L3533" s="3" t="e">
        <f>VLOOKUP(C3533,Securities!A:D,4,FALSE)</f>
        <v>#N/A</v>
      </c>
      <c r="M3533" s="3" t="e">
        <f>VLOOKUP(C3533,Securities!A:B,2,FALSE)</f>
        <v>#N/A</v>
      </c>
      <c r="O3533" s="3">
        <f t="shared" si="56"/>
        <v>0</v>
      </c>
    </row>
    <row r="3534" spans="12:15" x14ac:dyDescent="0.25">
      <c r="L3534" s="3" t="e">
        <f>VLOOKUP(C3534,Securities!A:D,4,FALSE)</f>
        <v>#N/A</v>
      </c>
      <c r="M3534" s="3" t="e">
        <f>VLOOKUP(C3534,Securities!A:B,2,FALSE)</f>
        <v>#N/A</v>
      </c>
      <c r="O3534" s="3">
        <f t="shared" si="56"/>
        <v>0</v>
      </c>
    </row>
    <row r="3535" spans="12:15" x14ac:dyDescent="0.25">
      <c r="L3535" s="3" t="e">
        <f>VLOOKUP(C3535,Securities!A:D,4,FALSE)</f>
        <v>#N/A</v>
      </c>
      <c r="M3535" s="3" t="e">
        <f>VLOOKUP(C3535,Securities!A:B,2,FALSE)</f>
        <v>#N/A</v>
      </c>
      <c r="O3535" s="3">
        <f t="shared" si="56"/>
        <v>0</v>
      </c>
    </row>
    <row r="3536" spans="12:15" x14ac:dyDescent="0.25">
      <c r="L3536" s="3" t="e">
        <f>VLOOKUP(C3536,Securities!A:D,4,FALSE)</f>
        <v>#N/A</v>
      </c>
      <c r="M3536" s="3" t="e">
        <f>VLOOKUP(C3536,Securities!A:B,2,FALSE)</f>
        <v>#N/A</v>
      </c>
      <c r="O3536" s="3">
        <f t="shared" si="56"/>
        <v>0</v>
      </c>
    </row>
    <row r="3537" spans="12:15" x14ac:dyDescent="0.25">
      <c r="L3537" s="3" t="e">
        <f>VLOOKUP(C3537,Securities!A:D,4,FALSE)</f>
        <v>#N/A</v>
      </c>
      <c r="M3537" s="3" t="e">
        <f>VLOOKUP(C3537,Securities!A:B,2,FALSE)</f>
        <v>#N/A</v>
      </c>
      <c r="O3537" s="3">
        <f t="shared" si="56"/>
        <v>0</v>
      </c>
    </row>
    <row r="3538" spans="12:15" x14ac:dyDescent="0.25">
      <c r="L3538" s="3" t="e">
        <f>VLOOKUP(C3538,Securities!A:D,4,FALSE)</f>
        <v>#N/A</v>
      </c>
      <c r="M3538" s="3" t="e">
        <f>VLOOKUP(C3538,Securities!A:B,2,FALSE)</f>
        <v>#N/A</v>
      </c>
      <c r="O3538" s="3">
        <f t="shared" si="56"/>
        <v>0</v>
      </c>
    </row>
    <row r="3539" spans="12:15" x14ac:dyDescent="0.25">
      <c r="L3539" s="3" t="e">
        <f>VLOOKUP(C3539,Securities!A:D,4,FALSE)</f>
        <v>#N/A</v>
      </c>
      <c r="M3539" s="3" t="e">
        <f>VLOOKUP(C3539,Securities!A:B,2,FALSE)</f>
        <v>#N/A</v>
      </c>
      <c r="O3539" s="3">
        <f t="shared" si="56"/>
        <v>0</v>
      </c>
    </row>
    <row r="3540" spans="12:15" x14ac:dyDescent="0.25">
      <c r="L3540" s="3" t="e">
        <f>VLOOKUP(C3540,Securities!A:D,4,FALSE)</f>
        <v>#N/A</v>
      </c>
      <c r="M3540" s="3" t="e">
        <f>VLOOKUP(C3540,Securities!A:B,2,FALSE)</f>
        <v>#N/A</v>
      </c>
      <c r="O3540" s="3">
        <f t="shared" si="56"/>
        <v>0</v>
      </c>
    </row>
    <row r="3541" spans="12:15" x14ac:dyDescent="0.25">
      <c r="L3541" s="3" t="e">
        <f>VLOOKUP(C3541,Securities!A:D,4,FALSE)</f>
        <v>#N/A</v>
      </c>
      <c r="M3541" s="3" t="e">
        <f>VLOOKUP(C3541,Securities!A:B,2,FALSE)</f>
        <v>#N/A</v>
      </c>
      <c r="O3541" s="3">
        <f t="shared" si="56"/>
        <v>0</v>
      </c>
    </row>
    <row r="3542" spans="12:15" x14ac:dyDescent="0.25">
      <c r="L3542" s="3" t="e">
        <f>VLOOKUP(C3542,Securities!A:D,4,FALSE)</f>
        <v>#N/A</v>
      </c>
      <c r="M3542" s="3" t="e">
        <f>VLOOKUP(C3542,Securities!A:B,2,FALSE)</f>
        <v>#N/A</v>
      </c>
      <c r="O3542" s="3">
        <f t="shared" si="56"/>
        <v>0</v>
      </c>
    </row>
    <row r="3543" spans="12:15" x14ac:dyDescent="0.25">
      <c r="L3543" s="3" t="e">
        <f>VLOOKUP(C3543,Securities!A:D,4,FALSE)</f>
        <v>#N/A</v>
      </c>
      <c r="M3543" s="3" t="e">
        <f>VLOOKUP(C3543,Securities!A:B,2,FALSE)</f>
        <v>#N/A</v>
      </c>
      <c r="O3543" s="3">
        <f t="shared" si="56"/>
        <v>0</v>
      </c>
    </row>
    <row r="3544" spans="12:15" x14ac:dyDescent="0.25">
      <c r="L3544" s="3" t="e">
        <f>VLOOKUP(C3544,Securities!A:D,4,FALSE)</f>
        <v>#N/A</v>
      </c>
      <c r="M3544" s="3" t="e">
        <f>VLOOKUP(C3544,Securities!A:B,2,FALSE)</f>
        <v>#N/A</v>
      </c>
      <c r="O3544" s="3">
        <f t="shared" si="56"/>
        <v>0</v>
      </c>
    </row>
    <row r="3545" spans="12:15" x14ac:dyDescent="0.25">
      <c r="L3545" s="3" t="e">
        <f>VLOOKUP(C3545,Securities!A:D,4,FALSE)</f>
        <v>#N/A</v>
      </c>
      <c r="M3545" s="3" t="e">
        <f>VLOOKUP(C3545,Securities!A:B,2,FALSE)</f>
        <v>#N/A</v>
      </c>
      <c r="O3545" s="3">
        <f t="shared" si="56"/>
        <v>0</v>
      </c>
    </row>
    <row r="3546" spans="12:15" x14ac:dyDescent="0.25">
      <c r="L3546" s="3" t="e">
        <f>VLOOKUP(C3546,Securities!A:D,4,FALSE)</f>
        <v>#N/A</v>
      </c>
      <c r="M3546" s="3" t="e">
        <f>VLOOKUP(C3546,Securities!A:B,2,FALSE)</f>
        <v>#N/A</v>
      </c>
      <c r="O3546" s="3">
        <f t="shared" si="56"/>
        <v>0</v>
      </c>
    </row>
    <row r="3547" spans="12:15" x14ac:dyDescent="0.25">
      <c r="L3547" s="3" t="e">
        <f>VLOOKUP(C3547,Securities!A:D,4,FALSE)</f>
        <v>#N/A</v>
      </c>
      <c r="M3547" s="3" t="e">
        <f>VLOOKUP(C3547,Securities!A:B,2,FALSE)</f>
        <v>#N/A</v>
      </c>
      <c r="O3547" s="3">
        <f t="shared" si="56"/>
        <v>0</v>
      </c>
    </row>
    <row r="3548" spans="12:15" x14ac:dyDescent="0.25">
      <c r="L3548" s="3" t="e">
        <f>VLOOKUP(C3548,Securities!A:D,4,FALSE)</f>
        <v>#N/A</v>
      </c>
      <c r="M3548" s="3" t="e">
        <f>VLOOKUP(C3548,Securities!A:B,2,FALSE)</f>
        <v>#N/A</v>
      </c>
      <c r="O3548" s="3">
        <f t="shared" si="56"/>
        <v>0</v>
      </c>
    </row>
    <row r="3549" spans="12:15" x14ac:dyDescent="0.25">
      <c r="L3549" s="3" t="e">
        <f>VLOOKUP(C3549,Securities!A:D,4,FALSE)</f>
        <v>#N/A</v>
      </c>
      <c r="M3549" s="3" t="e">
        <f>VLOOKUP(C3549,Securities!A:B,2,FALSE)</f>
        <v>#N/A</v>
      </c>
      <c r="O3549" s="3">
        <f t="shared" si="56"/>
        <v>0</v>
      </c>
    </row>
    <row r="3550" spans="12:15" x14ac:dyDescent="0.25">
      <c r="L3550" s="3" t="e">
        <f>VLOOKUP(C3550,Securities!A:D,4,FALSE)</f>
        <v>#N/A</v>
      </c>
      <c r="M3550" s="3" t="e">
        <f>VLOOKUP(C3550,Securities!A:B,2,FALSE)</f>
        <v>#N/A</v>
      </c>
      <c r="O3550" s="3">
        <f t="shared" si="56"/>
        <v>0</v>
      </c>
    </row>
    <row r="3551" spans="12:15" x14ac:dyDescent="0.25">
      <c r="L3551" s="3" t="e">
        <f>VLOOKUP(C3551,Securities!A:D,4,FALSE)</f>
        <v>#N/A</v>
      </c>
      <c r="M3551" s="3" t="e">
        <f>VLOOKUP(C3551,Securities!A:B,2,FALSE)</f>
        <v>#N/A</v>
      </c>
      <c r="O3551" s="3">
        <f t="shared" si="56"/>
        <v>0</v>
      </c>
    </row>
    <row r="3552" spans="12:15" x14ac:dyDescent="0.25">
      <c r="L3552" s="3" t="e">
        <f>VLOOKUP(C3552,Securities!A:D,4,FALSE)</f>
        <v>#N/A</v>
      </c>
      <c r="M3552" s="3" t="e">
        <f>VLOOKUP(C3552,Securities!A:B,2,FALSE)</f>
        <v>#N/A</v>
      </c>
      <c r="O3552" s="3">
        <f t="shared" si="56"/>
        <v>0</v>
      </c>
    </row>
    <row r="3553" spans="12:15" x14ac:dyDescent="0.25">
      <c r="L3553" s="3" t="e">
        <f>VLOOKUP(C3553,Securities!A:D,4,FALSE)</f>
        <v>#N/A</v>
      </c>
      <c r="M3553" s="3" t="e">
        <f>VLOOKUP(C3553,Securities!A:B,2,FALSE)</f>
        <v>#N/A</v>
      </c>
      <c r="O3553" s="3">
        <f t="shared" si="56"/>
        <v>0</v>
      </c>
    </row>
    <row r="3554" spans="12:15" x14ac:dyDescent="0.25">
      <c r="L3554" s="3" t="e">
        <f>VLOOKUP(C3554,Securities!A:D,4,FALSE)</f>
        <v>#N/A</v>
      </c>
      <c r="M3554" s="3" t="e">
        <f>VLOOKUP(C3554,Securities!A:B,2,FALSE)</f>
        <v>#N/A</v>
      </c>
      <c r="O3554" s="3">
        <f t="shared" si="56"/>
        <v>0</v>
      </c>
    </row>
    <row r="3555" spans="12:15" x14ac:dyDescent="0.25">
      <c r="L3555" s="3" t="e">
        <f>VLOOKUP(C3555,Securities!A:D,4,FALSE)</f>
        <v>#N/A</v>
      </c>
      <c r="M3555" s="3" t="e">
        <f>VLOOKUP(C3555,Securities!A:B,2,FALSE)</f>
        <v>#N/A</v>
      </c>
      <c r="O3555" s="3">
        <f t="shared" si="56"/>
        <v>0</v>
      </c>
    </row>
    <row r="3556" spans="12:15" x14ac:dyDescent="0.25">
      <c r="L3556" s="3" t="e">
        <f>VLOOKUP(C3556,Securities!A:D,4,FALSE)</f>
        <v>#N/A</v>
      </c>
      <c r="M3556" s="3" t="e">
        <f>VLOOKUP(C3556,Securities!A:B,2,FALSE)</f>
        <v>#N/A</v>
      </c>
      <c r="O3556" s="3">
        <f t="shared" si="56"/>
        <v>0</v>
      </c>
    </row>
    <row r="3557" spans="12:15" x14ac:dyDescent="0.25">
      <c r="L3557" s="3" t="e">
        <f>VLOOKUP(C3557,Securities!A:D,4,FALSE)</f>
        <v>#N/A</v>
      </c>
      <c r="M3557" s="3" t="e">
        <f>VLOOKUP(C3557,Securities!A:B,2,FALSE)</f>
        <v>#N/A</v>
      </c>
      <c r="O3557" s="3">
        <f t="shared" si="56"/>
        <v>0</v>
      </c>
    </row>
    <row r="3558" spans="12:15" x14ac:dyDescent="0.25">
      <c r="L3558" s="3" t="e">
        <f>VLOOKUP(C3558,Securities!A:D,4,FALSE)</f>
        <v>#N/A</v>
      </c>
      <c r="M3558" s="3" t="e">
        <f>VLOOKUP(C3558,Securities!A:B,2,FALSE)</f>
        <v>#N/A</v>
      </c>
      <c r="O3558" s="3">
        <f t="shared" si="56"/>
        <v>0</v>
      </c>
    </row>
    <row r="3559" spans="12:15" x14ac:dyDescent="0.25">
      <c r="L3559" s="3" t="e">
        <f>VLOOKUP(C3559,Securities!A:D,4,FALSE)</f>
        <v>#N/A</v>
      </c>
      <c r="M3559" s="3" t="e">
        <f>VLOOKUP(C3559,Securities!A:B,2,FALSE)</f>
        <v>#N/A</v>
      </c>
      <c r="O3559" s="3">
        <f t="shared" si="56"/>
        <v>0</v>
      </c>
    </row>
    <row r="3560" spans="12:15" x14ac:dyDescent="0.25">
      <c r="L3560" s="3" t="e">
        <f>VLOOKUP(C3560,Securities!A:D,4,FALSE)</f>
        <v>#N/A</v>
      </c>
      <c r="M3560" s="3" t="e">
        <f>VLOOKUP(C3560,Securities!A:B,2,FALSE)</f>
        <v>#N/A</v>
      </c>
      <c r="O3560" s="3">
        <f t="shared" si="56"/>
        <v>0</v>
      </c>
    </row>
    <row r="3561" spans="12:15" x14ac:dyDescent="0.25">
      <c r="L3561" s="3" t="e">
        <f>VLOOKUP(C3561,Securities!A:D,4,FALSE)</f>
        <v>#N/A</v>
      </c>
      <c r="M3561" s="3" t="e">
        <f>VLOOKUP(C3561,Securities!A:B,2,FALSE)</f>
        <v>#N/A</v>
      </c>
      <c r="O3561" s="3">
        <f t="shared" si="56"/>
        <v>0</v>
      </c>
    </row>
    <row r="3562" spans="12:15" x14ac:dyDescent="0.25">
      <c r="L3562" s="3" t="e">
        <f>VLOOKUP(C3562,Securities!A:D,4,FALSE)</f>
        <v>#N/A</v>
      </c>
      <c r="M3562" s="3" t="e">
        <f>VLOOKUP(C3562,Securities!A:B,2,FALSE)</f>
        <v>#N/A</v>
      </c>
      <c r="O3562" s="3">
        <f t="shared" si="56"/>
        <v>0</v>
      </c>
    </row>
    <row r="3563" spans="12:15" x14ac:dyDescent="0.25">
      <c r="L3563" s="3" t="e">
        <f>VLOOKUP(C3563,Securities!A:D,4,FALSE)</f>
        <v>#N/A</v>
      </c>
      <c r="M3563" s="3" t="e">
        <f>VLOOKUP(C3563,Securities!A:B,2,FALSE)</f>
        <v>#N/A</v>
      </c>
      <c r="O3563" s="3">
        <f t="shared" si="56"/>
        <v>0</v>
      </c>
    </row>
    <row r="3564" spans="12:15" x14ac:dyDescent="0.25">
      <c r="L3564" s="3" t="e">
        <f>VLOOKUP(C3564,Securities!A:D,4,FALSE)</f>
        <v>#N/A</v>
      </c>
      <c r="M3564" s="3" t="e">
        <f>VLOOKUP(C3564,Securities!A:B,2,FALSE)</f>
        <v>#N/A</v>
      </c>
      <c r="O3564" s="3">
        <f t="shared" si="56"/>
        <v>0</v>
      </c>
    </row>
    <row r="3565" spans="12:15" x14ac:dyDescent="0.25">
      <c r="L3565" s="3" t="e">
        <f>VLOOKUP(C3565,Securities!A:D,4,FALSE)</f>
        <v>#N/A</v>
      </c>
      <c r="M3565" s="3" t="e">
        <f>VLOOKUP(C3565,Securities!A:B,2,FALSE)</f>
        <v>#N/A</v>
      </c>
      <c r="O3565" s="3">
        <f t="shared" si="56"/>
        <v>0</v>
      </c>
    </row>
    <row r="3566" spans="12:15" x14ac:dyDescent="0.25">
      <c r="L3566" s="3" t="e">
        <f>VLOOKUP(C3566,Securities!A:D,4,FALSE)</f>
        <v>#N/A</v>
      </c>
      <c r="M3566" s="3" t="e">
        <f>VLOOKUP(C3566,Securities!A:B,2,FALSE)</f>
        <v>#N/A</v>
      </c>
      <c r="O3566" s="3">
        <f t="shared" si="56"/>
        <v>0</v>
      </c>
    </row>
    <row r="3567" spans="12:15" x14ac:dyDescent="0.25">
      <c r="L3567" s="3" t="e">
        <f>VLOOKUP(C3567,Securities!A:D,4,FALSE)</f>
        <v>#N/A</v>
      </c>
      <c r="M3567" s="3" t="e">
        <f>VLOOKUP(C3567,Securities!A:B,2,FALSE)</f>
        <v>#N/A</v>
      </c>
      <c r="O3567" s="3">
        <f t="shared" si="56"/>
        <v>0</v>
      </c>
    </row>
    <row r="3568" spans="12:15" x14ac:dyDescent="0.25">
      <c r="L3568" s="3" t="e">
        <f>VLOOKUP(C3568,Securities!A:D,4,FALSE)</f>
        <v>#N/A</v>
      </c>
      <c r="M3568" s="3" t="e">
        <f>VLOOKUP(C3568,Securities!A:B,2,FALSE)</f>
        <v>#N/A</v>
      </c>
      <c r="O3568" s="3">
        <f t="shared" si="56"/>
        <v>0</v>
      </c>
    </row>
    <row r="3569" spans="12:15" x14ac:dyDescent="0.25">
      <c r="L3569" s="3" t="e">
        <f>VLOOKUP(C3569,Securities!A:D,4,FALSE)</f>
        <v>#N/A</v>
      </c>
      <c r="M3569" s="3" t="e">
        <f>VLOOKUP(C3569,Securities!A:B,2,FALSE)</f>
        <v>#N/A</v>
      </c>
      <c r="O3569" s="3">
        <f t="shared" si="56"/>
        <v>0</v>
      </c>
    </row>
    <row r="3570" spans="12:15" x14ac:dyDescent="0.25">
      <c r="L3570" s="3" t="e">
        <f>VLOOKUP(C3570,Securities!A:D,4,FALSE)</f>
        <v>#N/A</v>
      </c>
      <c r="M3570" s="3" t="e">
        <f>VLOOKUP(C3570,Securities!A:B,2,FALSE)</f>
        <v>#N/A</v>
      </c>
      <c r="O3570" s="3">
        <f t="shared" si="56"/>
        <v>0</v>
      </c>
    </row>
    <row r="3571" spans="12:15" x14ac:dyDescent="0.25">
      <c r="L3571" s="3" t="e">
        <f>VLOOKUP(C3571,Securities!A:D,4,FALSE)</f>
        <v>#N/A</v>
      </c>
      <c r="M3571" s="3" t="e">
        <f>VLOOKUP(C3571,Securities!A:B,2,FALSE)</f>
        <v>#N/A</v>
      </c>
      <c r="O3571" s="3">
        <f t="shared" si="56"/>
        <v>0</v>
      </c>
    </row>
    <row r="3572" spans="12:15" x14ac:dyDescent="0.25">
      <c r="L3572" s="3" t="e">
        <f>VLOOKUP(C3572,Securities!A:D,4,FALSE)</f>
        <v>#N/A</v>
      </c>
      <c r="M3572" s="3" t="e">
        <f>VLOOKUP(C3572,Securities!A:B,2,FALSE)</f>
        <v>#N/A</v>
      </c>
      <c r="O3572" s="3">
        <f t="shared" si="56"/>
        <v>0</v>
      </c>
    </row>
    <row r="3573" spans="12:15" x14ac:dyDescent="0.25">
      <c r="L3573" s="3" t="e">
        <f>VLOOKUP(C3573,Securities!A:D,4,FALSE)</f>
        <v>#N/A</v>
      </c>
      <c r="M3573" s="3" t="e">
        <f>VLOOKUP(C3573,Securities!A:B,2,FALSE)</f>
        <v>#N/A</v>
      </c>
      <c r="O3573" s="3">
        <f t="shared" si="56"/>
        <v>0</v>
      </c>
    </row>
    <row r="3574" spans="12:15" x14ac:dyDescent="0.25">
      <c r="L3574" s="3" t="e">
        <f>VLOOKUP(C3574,Securities!A:D,4,FALSE)</f>
        <v>#N/A</v>
      </c>
      <c r="M3574" s="3" t="e">
        <f>VLOOKUP(C3574,Securities!A:B,2,FALSE)</f>
        <v>#N/A</v>
      </c>
      <c r="O3574" s="3">
        <f t="shared" si="56"/>
        <v>0</v>
      </c>
    </row>
    <row r="3575" spans="12:15" x14ac:dyDescent="0.25">
      <c r="L3575" s="3" t="e">
        <f>VLOOKUP(C3575,Securities!A:D,4,FALSE)</f>
        <v>#N/A</v>
      </c>
      <c r="M3575" s="3" t="e">
        <f>VLOOKUP(C3575,Securities!A:B,2,FALSE)</f>
        <v>#N/A</v>
      </c>
      <c r="O3575" s="3">
        <f t="shared" si="56"/>
        <v>0</v>
      </c>
    </row>
    <row r="3576" spans="12:15" x14ac:dyDescent="0.25">
      <c r="L3576" s="3" t="e">
        <f>VLOOKUP(C3576,Securities!A:D,4,FALSE)</f>
        <v>#N/A</v>
      </c>
      <c r="M3576" s="3" t="e">
        <f>VLOOKUP(C3576,Securities!A:B,2,FALSE)</f>
        <v>#N/A</v>
      </c>
      <c r="O3576" s="3">
        <f t="shared" si="56"/>
        <v>0</v>
      </c>
    </row>
    <row r="3577" spans="12:15" x14ac:dyDescent="0.25">
      <c r="L3577" s="3" t="e">
        <f>VLOOKUP(C3577,Securities!A:D,4,FALSE)</f>
        <v>#N/A</v>
      </c>
      <c r="M3577" s="3" t="e">
        <f>VLOOKUP(C3577,Securities!A:B,2,FALSE)</f>
        <v>#N/A</v>
      </c>
      <c r="O3577" s="3">
        <f t="shared" si="56"/>
        <v>0</v>
      </c>
    </row>
    <row r="3578" spans="12:15" x14ac:dyDescent="0.25">
      <c r="L3578" s="3" t="e">
        <f>VLOOKUP(C3578,Securities!A:D,4,FALSE)</f>
        <v>#N/A</v>
      </c>
      <c r="M3578" s="3" t="e">
        <f>VLOOKUP(C3578,Securities!A:B,2,FALSE)</f>
        <v>#N/A</v>
      </c>
      <c r="O3578" s="3">
        <f t="shared" si="56"/>
        <v>0</v>
      </c>
    </row>
    <row r="3579" spans="12:15" x14ac:dyDescent="0.25">
      <c r="L3579" s="3" t="e">
        <f>VLOOKUP(C3579,Securities!A:D,4,FALSE)</f>
        <v>#N/A</v>
      </c>
      <c r="M3579" s="3" t="e">
        <f>VLOOKUP(C3579,Securities!A:B,2,FALSE)</f>
        <v>#N/A</v>
      </c>
      <c r="O3579" s="3">
        <f t="shared" si="56"/>
        <v>0</v>
      </c>
    </row>
    <row r="3580" spans="12:15" x14ac:dyDescent="0.25">
      <c r="L3580" s="3" t="e">
        <f>VLOOKUP(C3580,Securities!A:D,4,FALSE)</f>
        <v>#N/A</v>
      </c>
      <c r="M3580" s="3" t="e">
        <f>VLOOKUP(C3580,Securities!A:B,2,FALSE)</f>
        <v>#N/A</v>
      </c>
      <c r="O3580" s="3">
        <f t="shared" si="56"/>
        <v>0</v>
      </c>
    </row>
    <row r="3581" spans="12:15" x14ac:dyDescent="0.25">
      <c r="L3581" s="3" t="e">
        <f>VLOOKUP(C3581,Securities!A:D,4,FALSE)</f>
        <v>#N/A</v>
      </c>
      <c r="M3581" s="3" t="e">
        <f>VLOOKUP(C3581,Securities!A:B,2,FALSE)</f>
        <v>#N/A</v>
      </c>
      <c r="O3581" s="3">
        <f t="shared" si="56"/>
        <v>0</v>
      </c>
    </row>
    <row r="3582" spans="12:15" x14ac:dyDescent="0.25">
      <c r="L3582" s="3" t="e">
        <f>VLOOKUP(C3582,Securities!A:D,4,FALSE)</f>
        <v>#N/A</v>
      </c>
      <c r="M3582" s="3" t="e">
        <f>VLOOKUP(C3582,Securities!A:B,2,FALSE)</f>
        <v>#N/A</v>
      </c>
      <c r="O3582" s="3">
        <f t="shared" si="56"/>
        <v>0</v>
      </c>
    </row>
    <row r="3583" spans="12:15" x14ac:dyDescent="0.25">
      <c r="L3583" s="3" t="e">
        <f>VLOOKUP(C3583,Securities!A:D,4,FALSE)</f>
        <v>#N/A</v>
      </c>
      <c r="M3583" s="3" t="e">
        <f>VLOOKUP(C3583,Securities!A:B,2,FALSE)</f>
        <v>#N/A</v>
      </c>
      <c r="O3583" s="3">
        <f t="shared" si="56"/>
        <v>0</v>
      </c>
    </row>
    <row r="3584" spans="12:15" x14ac:dyDescent="0.25">
      <c r="L3584" s="3" t="e">
        <f>VLOOKUP(C3584,Securities!A:D,4,FALSE)</f>
        <v>#N/A</v>
      </c>
      <c r="M3584" s="3" t="e">
        <f>VLOOKUP(C3584,Securities!A:B,2,FALSE)</f>
        <v>#N/A</v>
      </c>
      <c r="O3584" s="3">
        <f t="shared" si="56"/>
        <v>0</v>
      </c>
    </row>
    <row r="3585" spans="12:15" x14ac:dyDescent="0.25">
      <c r="L3585" s="3" t="e">
        <f>VLOOKUP(C3585,Securities!A:D,4,FALSE)</f>
        <v>#N/A</v>
      </c>
      <c r="M3585" s="3" t="e">
        <f>VLOOKUP(C3585,Securities!A:B,2,FALSE)</f>
        <v>#N/A</v>
      </c>
      <c r="O3585" s="3">
        <f t="shared" si="56"/>
        <v>0</v>
      </c>
    </row>
    <row r="3586" spans="12:15" x14ac:dyDescent="0.25">
      <c r="L3586" s="3" t="e">
        <f>VLOOKUP(C3586,Securities!A:D,4,FALSE)</f>
        <v>#N/A</v>
      </c>
      <c r="M3586" s="3" t="e">
        <f>VLOOKUP(C3586,Securities!A:B,2,FALSE)</f>
        <v>#N/A</v>
      </c>
      <c r="O3586" s="3">
        <f t="shared" si="56"/>
        <v>0</v>
      </c>
    </row>
    <row r="3587" spans="12:15" x14ac:dyDescent="0.25">
      <c r="L3587" s="3" t="e">
        <f>VLOOKUP(C3587,Securities!A:D,4,FALSE)</f>
        <v>#N/A</v>
      </c>
      <c r="M3587" s="3" t="e">
        <f>VLOOKUP(C3587,Securities!A:B,2,FALSE)</f>
        <v>#N/A</v>
      </c>
      <c r="O3587" s="3">
        <f t="shared" si="56"/>
        <v>0</v>
      </c>
    </row>
    <row r="3588" spans="12:15" x14ac:dyDescent="0.25">
      <c r="L3588" s="3" t="e">
        <f>VLOOKUP(C3588,Securities!A:D,4,FALSE)</f>
        <v>#N/A</v>
      </c>
      <c r="M3588" s="3" t="e">
        <f>VLOOKUP(C3588,Securities!A:B,2,FALSE)</f>
        <v>#N/A</v>
      </c>
      <c r="O3588" s="3">
        <f t="shared" si="56"/>
        <v>0</v>
      </c>
    </row>
    <row r="3589" spans="12:15" x14ac:dyDescent="0.25">
      <c r="L3589" s="3" t="e">
        <f>VLOOKUP(C3589,Securities!A:D,4,FALSE)</f>
        <v>#N/A</v>
      </c>
      <c r="M3589" s="3" t="e">
        <f>VLOOKUP(C3589,Securities!A:B,2,FALSE)</f>
        <v>#N/A</v>
      </c>
      <c r="O3589" s="3">
        <f t="shared" si="56"/>
        <v>0</v>
      </c>
    </row>
    <row r="3590" spans="12:15" x14ac:dyDescent="0.25">
      <c r="L3590" s="3" t="e">
        <f>VLOOKUP(C3590,Securities!A:D,4,FALSE)</f>
        <v>#N/A</v>
      </c>
      <c r="M3590" s="3" t="e">
        <f>VLOOKUP(C3590,Securities!A:B,2,FALSE)</f>
        <v>#N/A</v>
      </c>
      <c r="O3590" s="3">
        <f t="shared" ref="O3590:O3653" si="57">SUMIFS(E:E,C:C,C3590,B:B,B3590)</f>
        <v>0</v>
      </c>
    </row>
    <row r="3591" spans="12:15" x14ac:dyDescent="0.25">
      <c r="L3591" s="3" t="e">
        <f>VLOOKUP(C3591,Securities!A:D,4,FALSE)</f>
        <v>#N/A</v>
      </c>
      <c r="M3591" s="3" t="e">
        <f>VLOOKUP(C3591,Securities!A:B,2,FALSE)</f>
        <v>#N/A</v>
      </c>
      <c r="O3591" s="3">
        <f t="shared" si="57"/>
        <v>0</v>
      </c>
    </row>
    <row r="3592" spans="12:15" x14ac:dyDescent="0.25">
      <c r="L3592" s="3" t="e">
        <f>VLOOKUP(C3592,Securities!A:D,4,FALSE)</f>
        <v>#N/A</v>
      </c>
      <c r="M3592" s="3" t="e">
        <f>VLOOKUP(C3592,Securities!A:B,2,FALSE)</f>
        <v>#N/A</v>
      </c>
      <c r="O3592" s="3">
        <f t="shared" si="57"/>
        <v>0</v>
      </c>
    </row>
    <row r="3593" spans="12:15" x14ac:dyDescent="0.25">
      <c r="L3593" s="3" t="e">
        <f>VLOOKUP(C3593,Securities!A:D,4,FALSE)</f>
        <v>#N/A</v>
      </c>
      <c r="M3593" s="3" t="e">
        <f>VLOOKUP(C3593,Securities!A:B,2,FALSE)</f>
        <v>#N/A</v>
      </c>
      <c r="O3593" s="3">
        <f t="shared" si="57"/>
        <v>0</v>
      </c>
    </row>
    <row r="3594" spans="12:15" x14ac:dyDescent="0.25">
      <c r="L3594" s="3" t="e">
        <f>VLOOKUP(C3594,Securities!A:D,4,FALSE)</f>
        <v>#N/A</v>
      </c>
      <c r="M3594" s="3" t="e">
        <f>VLOOKUP(C3594,Securities!A:B,2,FALSE)</f>
        <v>#N/A</v>
      </c>
      <c r="O3594" s="3">
        <f t="shared" si="57"/>
        <v>0</v>
      </c>
    </row>
    <row r="3595" spans="12:15" x14ac:dyDescent="0.25">
      <c r="L3595" s="3" t="e">
        <f>VLOOKUP(C3595,Securities!A:D,4,FALSE)</f>
        <v>#N/A</v>
      </c>
      <c r="M3595" s="3" t="e">
        <f>VLOOKUP(C3595,Securities!A:B,2,FALSE)</f>
        <v>#N/A</v>
      </c>
      <c r="O3595" s="3">
        <f t="shared" si="57"/>
        <v>0</v>
      </c>
    </row>
    <row r="3596" spans="12:15" x14ac:dyDescent="0.25">
      <c r="L3596" s="3" t="e">
        <f>VLOOKUP(C3596,Securities!A:D,4,FALSE)</f>
        <v>#N/A</v>
      </c>
      <c r="M3596" s="3" t="e">
        <f>VLOOKUP(C3596,Securities!A:B,2,FALSE)</f>
        <v>#N/A</v>
      </c>
      <c r="O3596" s="3">
        <f t="shared" si="57"/>
        <v>0</v>
      </c>
    </row>
    <row r="3597" spans="12:15" x14ac:dyDescent="0.25">
      <c r="L3597" s="3" t="e">
        <f>VLOOKUP(C3597,Securities!A:D,4,FALSE)</f>
        <v>#N/A</v>
      </c>
      <c r="M3597" s="3" t="e">
        <f>VLOOKUP(C3597,Securities!A:B,2,FALSE)</f>
        <v>#N/A</v>
      </c>
      <c r="O3597" s="3">
        <f t="shared" si="57"/>
        <v>0</v>
      </c>
    </row>
    <row r="3598" spans="12:15" x14ac:dyDescent="0.25">
      <c r="L3598" s="3" t="e">
        <f>VLOOKUP(C3598,Securities!A:D,4,FALSE)</f>
        <v>#N/A</v>
      </c>
      <c r="M3598" s="3" t="e">
        <f>VLOOKUP(C3598,Securities!A:B,2,FALSE)</f>
        <v>#N/A</v>
      </c>
      <c r="O3598" s="3">
        <f t="shared" si="57"/>
        <v>0</v>
      </c>
    </row>
    <row r="3599" spans="12:15" x14ac:dyDescent="0.25">
      <c r="L3599" s="3" t="e">
        <f>VLOOKUP(C3599,Securities!A:D,4,FALSE)</f>
        <v>#N/A</v>
      </c>
      <c r="M3599" s="3" t="e">
        <f>VLOOKUP(C3599,Securities!A:B,2,FALSE)</f>
        <v>#N/A</v>
      </c>
      <c r="O3599" s="3">
        <f t="shared" si="57"/>
        <v>0</v>
      </c>
    </row>
    <row r="3600" spans="12:15" x14ac:dyDescent="0.25">
      <c r="L3600" s="3" t="e">
        <f>VLOOKUP(C3600,Securities!A:D,4,FALSE)</f>
        <v>#N/A</v>
      </c>
      <c r="M3600" s="3" t="e">
        <f>VLOOKUP(C3600,Securities!A:B,2,FALSE)</f>
        <v>#N/A</v>
      </c>
      <c r="O3600" s="3">
        <f t="shared" si="57"/>
        <v>0</v>
      </c>
    </row>
    <row r="3601" spans="12:15" x14ac:dyDescent="0.25">
      <c r="L3601" s="3" t="e">
        <f>VLOOKUP(C3601,Securities!A:D,4,FALSE)</f>
        <v>#N/A</v>
      </c>
      <c r="M3601" s="3" t="e">
        <f>VLOOKUP(C3601,Securities!A:B,2,FALSE)</f>
        <v>#N/A</v>
      </c>
      <c r="O3601" s="3">
        <f t="shared" si="57"/>
        <v>0</v>
      </c>
    </row>
    <row r="3602" spans="12:15" x14ac:dyDescent="0.25">
      <c r="L3602" s="3" t="e">
        <f>VLOOKUP(C3602,Securities!A:D,4,FALSE)</f>
        <v>#N/A</v>
      </c>
      <c r="M3602" s="3" t="e">
        <f>VLOOKUP(C3602,Securities!A:B,2,FALSE)</f>
        <v>#N/A</v>
      </c>
      <c r="O3602" s="3">
        <f t="shared" si="57"/>
        <v>0</v>
      </c>
    </row>
    <row r="3603" spans="12:15" x14ac:dyDescent="0.25">
      <c r="L3603" s="3" t="e">
        <f>VLOOKUP(C3603,Securities!A:D,4,FALSE)</f>
        <v>#N/A</v>
      </c>
      <c r="M3603" s="3" t="e">
        <f>VLOOKUP(C3603,Securities!A:B,2,FALSE)</f>
        <v>#N/A</v>
      </c>
      <c r="O3603" s="3">
        <f t="shared" si="57"/>
        <v>0</v>
      </c>
    </row>
    <row r="3604" spans="12:15" x14ac:dyDescent="0.25">
      <c r="L3604" s="3" t="e">
        <f>VLOOKUP(C3604,Securities!A:D,4,FALSE)</f>
        <v>#N/A</v>
      </c>
      <c r="M3604" s="3" t="e">
        <f>VLOOKUP(C3604,Securities!A:B,2,FALSE)</f>
        <v>#N/A</v>
      </c>
      <c r="O3604" s="3">
        <f t="shared" si="57"/>
        <v>0</v>
      </c>
    </row>
    <row r="3605" spans="12:15" x14ac:dyDescent="0.25">
      <c r="L3605" s="3" t="e">
        <f>VLOOKUP(C3605,Securities!A:D,4,FALSE)</f>
        <v>#N/A</v>
      </c>
      <c r="M3605" s="3" t="e">
        <f>VLOOKUP(C3605,Securities!A:B,2,FALSE)</f>
        <v>#N/A</v>
      </c>
      <c r="O3605" s="3">
        <f t="shared" si="57"/>
        <v>0</v>
      </c>
    </row>
    <row r="3606" spans="12:15" x14ac:dyDescent="0.25">
      <c r="L3606" s="3" t="e">
        <f>VLOOKUP(C3606,Securities!A:D,4,FALSE)</f>
        <v>#N/A</v>
      </c>
      <c r="M3606" s="3" t="e">
        <f>VLOOKUP(C3606,Securities!A:B,2,FALSE)</f>
        <v>#N/A</v>
      </c>
      <c r="O3606" s="3">
        <f t="shared" si="57"/>
        <v>0</v>
      </c>
    </row>
    <row r="3607" spans="12:15" x14ac:dyDescent="0.25">
      <c r="L3607" s="3" t="e">
        <f>VLOOKUP(C3607,Securities!A:D,4,FALSE)</f>
        <v>#N/A</v>
      </c>
      <c r="M3607" s="3" t="e">
        <f>VLOOKUP(C3607,Securities!A:B,2,FALSE)</f>
        <v>#N/A</v>
      </c>
      <c r="O3607" s="3">
        <f t="shared" si="57"/>
        <v>0</v>
      </c>
    </row>
    <row r="3608" spans="12:15" x14ac:dyDescent="0.25">
      <c r="L3608" s="3" t="e">
        <f>VLOOKUP(C3608,Securities!A:D,4,FALSE)</f>
        <v>#N/A</v>
      </c>
      <c r="M3608" s="3" t="e">
        <f>VLOOKUP(C3608,Securities!A:B,2,FALSE)</f>
        <v>#N/A</v>
      </c>
      <c r="O3608" s="3">
        <f t="shared" si="57"/>
        <v>0</v>
      </c>
    </row>
    <row r="3609" spans="12:15" x14ac:dyDescent="0.25">
      <c r="L3609" s="3" t="e">
        <f>VLOOKUP(C3609,Securities!A:D,4,FALSE)</f>
        <v>#N/A</v>
      </c>
      <c r="M3609" s="3" t="e">
        <f>VLOOKUP(C3609,Securities!A:B,2,FALSE)</f>
        <v>#N/A</v>
      </c>
      <c r="O3609" s="3">
        <f t="shared" si="57"/>
        <v>0</v>
      </c>
    </row>
    <row r="3610" spans="12:15" x14ac:dyDescent="0.25">
      <c r="L3610" s="3" t="e">
        <f>VLOOKUP(C3610,Securities!A:D,4,FALSE)</f>
        <v>#N/A</v>
      </c>
      <c r="M3610" s="3" t="e">
        <f>VLOOKUP(C3610,Securities!A:B,2,FALSE)</f>
        <v>#N/A</v>
      </c>
      <c r="O3610" s="3">
        <f t="shared" si="57"/>
        <v>0</v>
      </c>
    </row>
    <row r="3611" spans="12:15" x14ac:dyDescent="0.25">
      <c r="L3611" s="3" t="e">
        <f>VLOOKUP(C3611,Securities!A:D,4,FALSE)</f>
        <v>#N/A</v>
      </c>
      <c r="M3611" s="3" t="e">
        <f>VLOOKUP(C3611,Securities!A:B,2,FALSE)</f>
        <v>#N/A</v>
      </c>
      <c r="O3611" s="3">
        <f t="shared" si="57"/>
        <v>0</v>
      </c>
    </row>
    <row r="3612" spans="12:15" x14ac:dyDescent="0.25">
      <c r="L3612" s="3" t="e">
        <f>VLOOKUP(C3612,Securities!A:D,4,FALSE)</f>
        <v>#N/A</v>
      </c>
      <c r="M3612" s="3" t="e">
        <f>VLOOKUP(C3612,Securities!A:B,2,FALSE)</f>
        <v>#N/A</v>
      </c>
      <c r="O3612" s="3">
        <f t="shared" si="57"/>
        <v>0</v>
      </c>
    </row>
    <row r="3613" spans="12:15" x14ac:dyDescent="0.25">
      <c r="L3613" s="3" t="e">
        <f>VLOOKUP(C3613,Securities!A:D,4,FALSE)</f>
        <v>#N/A</v>
      </c>
      <c r="M3613" s="3" t="e">
        <f>VLOOKUP(C3613,Securities!A:B,2,FALSE)</f>
        <v>#N/A</v>
      </c>
      <c r="O3613" s="3">
        <f t="shared" si="57"/>
        <v>0</v>
      </c>
    </row>
    <row r="3614" spans="12:15" x14ac:dyDescent="0.25">
      <c r="L3614" s="3" t="e">
        <f>VLOOKUP(C3614,Securities!A:D,4,FALSE)</f>
        <v>#N/A</v>
      </c>
      <c r="M3614" s="3" t="e">
        <f>VLOOKUP(C3614,Securities!A:B,2,FALSE)</f>
        <v>#N/A</v>
      </c>
      <c r="O3614" s="3">
        <f t="shared" si="57"/>
        <v>0</v>
      </c>
    </row>
    <row r="3615" spans="12:15" x14ac:dyDescent="0.25">
      <c r="L3615" s="3" t="e">
        <f>VLOOKUP(C3615,Securities!A:D,4,FALSE)</f>
        <v>#N/A</v>
      </c>
      <c r="M3615" s="3" t="e">
        <f>VLOOKUP(C3615,Securities!A:B,2,FALSE)</f>
        <v>#N/A</v>
      </c>
      <c r="O3615" s="3">
        <f t="shared" si="57"/>
        <v>0</v>
      </c>
    </row>
    <row r="3616" spans="12:15" x14ac:dyDescent="0.25">
      <c r="L3616" s="3" t="e">
        <f>VLOOKUP(C3616,Securities!A:D,4,FALSE)</f>
        <v>#N/A</v>
      </c>
      <c r="M3616" s="3" t="e">
        <f>VLOOKUP(C3616,Securities!A:B,2,FALSE)</f>
        <v>#N/A</v>
      </c>
      <c r="O3616" s="3">
        <f t="shared" si="57"/>
        <v>0</v>
      </c>
    </row>
    <row r="3617" spans="12:15" x14ac:dyDescent="0.25">
      <c r="L3617" s="3" t="e">
        <f>VLOOKUP(C3617,Securities!A:D,4,FALSE)</f>
        <v>#N/A</v>
      </c>
      <c r="M3617" s="3" t="e">
        <f>VLOOKUP(C3617,Securities!A:B,2,FALSE)</f>
        <v>#N/A</v>
      </c>
      <c r="O3617" s="3">
        <f t="shared" si="57"/>
        <v>0</v>
      </c>
    </row>
    <row r="3618" spans="12:15" x14ac:dyDescent="0.25">
      <c r="L3618" s="3" t="e">
        <f>VLOOKUP(C3618,Securities!A:D,4,FALSE)</f>
        <v>#N/A</v>
      </c>
      <c r="M3618" s="3" t="e">
        <f>VLOOKUP(C3618,Securities!A:B,2,FALSE)</f>
        <v>#N/A</v>
      </c>
      <c r="O3618" s="3">
        <f t="shared" si="57"/>
        <v>0</v>
      </c>
    </row>
    <row r="3619" spans="12:15" x14ac:dyDescent="0.25">
      <c r="L3619" s="3" t="e">
        <f>VLOOKUP(C3619,Securities!A:D,4,FALSE)</f>
        <v>#N/A</v>
      </c>
      <c r="M3619" s="3" t="e">
        <f>VLOOKUP(C3619,Securities!A:B,2,FALSE)</f>
        <v>#N/A</v>
      </c>
      <c r="O3619" s="3">
        <f t="shared" si="57"/>
        <v>0</v>
      </c>
    </row>
    <row r="3620" spans="12:15" x14ac:dyDescent="0.25">
      <c r="L3620" s="3" t="e">
        <f>VLOOKUP(C3620,Securities!A:D,4,FALSE)</f>
        <v>#N/A</v>
      </c>
      <c r="M3620" s="3" t="e">
        <f>VLOOKUP(C3620,Securities!A:B,2,FALSE)</f>
        <v>#N/A</v>
      </c>
      <c r="O3620" s="3">
        <f t="shared" si="57"/>
        <v>0</v>
      </c>
    </row>
    <row r="3621" spans="12:15" x14ac:dyDescent="0.25">
      <c r="L3621" s="3" t="e">
        <f>VLOOKUP(C3621,Securities!A:D,4,FALSE)</f>
        <v>#N/A</v>
      </c>
      <c r="M3621" s="3" t="e">
        <f>VLOOKUP(C3621,Securities!A:B,2,FALSE)</f>
        <v>#N/A</v>
      </c>
      <c r="O3621" s="3">
        <f t="shared" si="57"/>
        <v>0</v>
      </c>
    </row>
    <row r="3622" spans="12:15" x14ac:dyDescent="0.25">
      <c r="L3622" s="3" t="e">
        <f>VLOOKUP(C3622,Securities!A:D,4,FALSE)</f>
        <v>#N/A</v>
      </c>
      <c r="M3622" s="3" t="e">
        <f>VLOOKUP(C3622,Securities!A:B,2,FALSE)</f>
        <v>#N/A</v>
      </c>
      <c r="O3622" s="3">
        <f t="shared" si="57"/>
        <v>0</v>
      </c>
    </row>
    <row r="3623" spans="12:15" x14ac:dyDescent="0.25">
      <c r="L3623" s="3" t="e">
        <f>VLOOKUP(C3623,Securities!A:D,4,FALSE)</f>
        <v>#N/A</v>
      </c>
      <c r="M3623" s="3" t="e">
        <f>VLOOKUP(C3623,Securities!A:B,2,FALSE)</f>
        <v>#N/A</v>
      </c>
      <c r="O3623" s="3">
        <f t="shared" si="57"/>
        <v>0</v>
      </c>
    </row>
    <row r="3624" spans="12:15" x14ac:dyDescent="0.25">
      <c r="L3624" s="3" t="e">
        <f>VLOOKUP(C3624,Securities!A:D,4,FALSE)</f>
        <v>#N/A</v>
      </c>
      <c r="M3624" s="3" t="e">
        <f>VLOOKUP(C3624,Securities!A:B,2,FALSE)</f>
        <v>#N/A</v>
      </c>
      <c r="O3624" s="3">
        <f t="shared" si="57"/>
        <v>0</v>
      </c>
    </row>
    <row r="3625" spans="12:15" x14ac:dyDescent="0.25">
      <c r="L3625" s="3" t="e">
        <f>VLOOKUP(C3625,Securities!A:D,4,FALSE)</f>
        <v>#N/A</v>
      </c>
      <c r="M3625" s="3" t="e">
        <f>VLOOKUP(C3625,Securities!A:B,2,FALSE)</f>
        <v>#N/A</v>
      </c>
      <c r="O3625" s="3">
        <f t="shared" si="57"/>
        <v>0</v>
      </c>
    </row>
    <row r="3626" spans="12:15" x14ac:dyDescent="0.25">
      <c r="L3626" s="3" t="e">
        <f>VLOOKUP(C3626,Securities!A:D,4,FALSE)</f>
        <v>#N/A</v>
      </c>
      <c r="M3626" s="3" t="e">
        <f>VLOOKUP(C3626,Securities!A:B,2,FALSE)</f>
        <v>#N/A</v>
      </c>
      <c r="O3626" s="3">
        <f t="shared" si="57"/>
        <v>0</v>
      </c>
    </row>
    <row r="3627" spans="12:15" x14ac:dyDescent="0.25">
      <c r="L3627" s="3" t="e">
        <f>VLOOKUP(C3627,Securities!A:D,4,FALSE)</f>
        <v>#N/A</v>
      </c>
      <c r="M3627" s="3" t="e">
        <f>VLOOKUP(C3627,Securities!A:B,2,FALSE)</f>
        <v>#N/A</v>
      </c>
      <c r="O3627" s="3">
        <f t="shared" si="57"/>
        <v>0</v>
      </c>
    </row>
    <row r="3628" spans="12:15" x14ac:dyDescent="0.25">
      <c r="L3628" s="3" t="e">
        <f>VLOOKUP(C3628,Securities!A:D,4,FALSE)</f>
        <v>#N/A</v>
      </c>
      <c r="M3628" s="3" t="e">
        <f>VLOOKUP(C3628,Securities!A:B,2,FALSE)</f>
        <v>#N/A</v>
      </c>
      <c r="O3628" s="3">
        <f t="shared" si="57"/>
        <v>0</v>
      </c>
    </row>
    <row r="3629" spans="12:15" x14ac:dyDescent="0.25">
      <c r="L3629" s="3" t="e">
        <f>VLOOKUP(C3629,Securities!A:D,4,FALSE)</f>
        <v>#N/A</v>
      </c>
      <c r="M3629" s="3" t="e">
        <f>VLOOKUP(C3629,Securities!A:B,2,FALSE)</f>
        <v>#N/A</v>
      </c>
      <c r="O3629" s="3">
        <f t="shared" si="57"/>
        <v>0</v>
      </c>
    </row>
    <row r="3630" spans="12:15" x14ac:dyDescent="0.25">
      <c r="L3630" s="3" t="e">
        <f>VLOOKUP(C3630,Securities!A:D,4,FALSE)</f>
        <v>#N/A</v>
      </c>
      <c r="M3630" s="3" t="e">
        <f>VLOOKUP(C3630,Securities!A:B,2,FALSE)</f>
        <v>#N/A</v>
      </c>
      <c r="O3630" s="3">
        <f t="shared" si="57"/>
        <v>0</v>
      </c>
    </row>
    <row r="3631" spans="12:15" x14ac:dyDescent="0.25">
      <c r="L3631" s="3" t="e">
        <f>VLOOKUP(C3631,Securities!A:D,4,FALSE)</f>
        <v>#N/A</v>
      </c>
      <c r="M3631" s="3" t="e">
        <f>VLOOKUP(C3631,Securities!A:B,2,FALSE)</f>
        <v>#N/A</v>
      </c>
      <c r="O3631" s="3">
        <f t="shared" si="57"/>
        <v>0</v>
      </c>
    </row>
    <row r="3632" spans="12:15" x14ac:dyDescent="0.25">
      <c r="L3632" s="3" t="e">
        <f>VLOOKUP(C3632,Securities!A:D,4,FALSE)</f>
        <v>#N/A</v>
      </c>
      <c r="M3632" s="3" t="e">
        <f>VLOOKUP(C3632,Securities!A:B,2,FALSE)</f>
        <v>#N/A</v>
      </c>
      <c r="O3632" s="3">
        <f t="shared" si="57"/>
        <v>0</v>
      </c>
    </row>
    <row r="3633" spans="12:15" x14ac:dyDescent="0.25">
      <c r="L3633" s="3" t="e">
        <f>VLOOKUP(C3633,Securities!A:D,4,FALSE)</f>
        <v>#N/A</v>
      </c>
      <c r="M3633" s="3" t="e">
        <f>VLOOKUP(C3633,Securities!A:B,2,FALSE)</f>
        <v>#N/A</v>
      </c>
      <c r="O3633" s="3">
        <f t="shared" si="57"/>
        <v>0</v>
      </c>
    </row>
    <row r="3634" spans="12:15" x14ac:dyDescent="0.25">
      <c r="L3634" s="3" t="e">
        <f>VLOOKUP(C3634,Securities!A:D,4,FALSE)</f>
        <v>#N/A</v>
      </c>
      <c r="M3634" s="3" t="e">
        <f>VLOOKUP(C3634,Securities!A:B,2,FALSE)</f>
        <v>#N/A</v>
      </c>
      <c r="O3634" s="3">
        <f t="shared" si="57"/>
        <v>0</v>
      </c>
    </row>
    <row r="3635" spans="12:15" x14ac:dyDescent="0.25">
      <c r="L3635" s="3" t="e">
        <f>VLOOKUP(C3635,Securities!A:D,4,FALSE)</f>
        <v>#N/A</v>
      </c>
      <c r="M3635" s="3" t="e">
        <f>VLOOKUP(C3635,Securities!A:B,2,FALSE)</f>
        <v>#N/A</v>
      </c>
      <c r="O3635" s="3">
        <f t="shared" si="57"/>
        <v>0</v>
      </c>
    </row>
    <row r="3636" spans="12:15" x14ac:dyDescent="0.25">
      <c r="L3636" s="3" t="e">
        <f>VLOOKUP(C3636,Securities!A:D,4,FALSE)</f>
        <v>#N/A</v>
      </c>
      <c r="M3636" s="3" t="e">
        <f>VLOOKUP(C3636,Securities!A:B,2,FALSE)</f>
        <v>#N/A</v>
      </c>
      <c r="O3636" s="3">
        <f t="shared" si="57"/>
        <v>0</v>
      </c>
    </row>
    <row r="3637" spans="12:15" x14ac:dyDescent="0.25">
      <c r="L3637" s="3" t="e">
        <f>VLOOKUP(C3637,Securities!A:D,4,FALSE)</f>
        <v>#N/A</v>
      </c>
      <c r="M3637" s="3" t="e">
        <f>VLOOKUP(C3637,Securities!A:B,2,FALSE)</f>
        <v>#N/A</v>
      </c>
      <c r="O3637" s="3">
        <f t="shared" si="57"/>
        <v>0</v>
      </c>
    </row>
    <row r="3638" spans="12:15" x14ac:dyDescent="0.25">
      <c r="L3638" s="3" t="e">
        <f>VLOOKUP(C3638,Securities!A:D,4,FALSE)</f>
        <v>#N/A</v>
      </c>
      <c r="M3638" s="3" t="e">
        <f>VLOOKUP(C3638,Securities!A:B,2,FALSE)</f>
        <v>#N/A</v>
      </c>
      <c r="O3638" s="3">
        <f t="shared" si="57"/>
        <v>0</v>
      </c>
    </row>
    <row r="3639" spans="12:15" x14ac:dyDescent="0.25">
      <c r="L3639" s="3" t="e">
        <f>VLOOKUP(C3639,Securities!A:D,4,FALSE)</f>
        <v>#N/A</v>
      </c>
      <c r="M3639" s="3" t="e">
        <f>VLOOKUP(C3639,Securities!A:B,2,FALSE)</f>
        <v>#N/A</v>
      </c>
      <c r="O3639" s="3">
        <f t="shared" si="57"/>
        <v>0</v>
      </c>
    </row>
    <row r="3640" spans="12:15" x14ac:dyDescent="0.25">
      <c r="L3640" s="3" t="e">
        <f>VLOOKUP(C3640,Securities!A:D,4,FALSE)</f>
        <v>#N/A</v>
      </c>
      <c r="M3640" s="3" t="e">
        <f>VLOOKUP(C3640,Securities!A:B,2,FALSE)</f>
        <v>#N/A</v>
      </c>
      <c r="O3640" s="3">
        <f t="shared" si="57"/>
        <v>0</v>
      </c>
    </row>
    <row r="3641" spans="12:15" x14ac:dyDescent="0.25">
      <c r="L3641" s="3" t="e">
        <f>VLOOKUP(C3641,Securities!A:D,4,FALSE)</f>
        <v>#N/A</v>
      </c>
      <c r="M3641" s="3" t="e">
        <f>VLOOKUP(C3641,Securities!A:B,2,FALSE)</f>
        <v>#N/A</v>
      </c>
      <c r="O3641" s="3">
        <f t="shared" si="57"/>
        <v>0</v>
      </c>
    </row>
    <row r="3642" spans="12:15" x14ac:dyDescent="0.25">
      <c r="L3642" s="3" t="e">
        <f>VLOOKUP(C3642,Securities!A:D,4,FALSE)</f>
        <v>#N/A</v>
      </c>
      <c r="M3642" s="3" t="e">
        <f>VLOOKUP(C3642,Securities!A:B,2,FALSE)</f>
        <v>#N/A</v>
      </c>
      <c r="O3642" s="3">
        <f t="shared" si="57"/>
        <v>0</v>
      </c>
    </row>
    <row r="3643" spans="12:15" x14ac:dyDescent="0.25">
      <c r="L3643" s="3" t="e">
        <f>VLOOKUP(C3643,Securities!A:D,4,FALSE)</f>
        <v>#N/A</v>
      </c>
      <c r="M3643" s="3" t="e">
        <f>VLOOKUP(C3643,Securities!A:B,2,FALSE)</f>
        <v>#N/A</v>
      </c>
      <c r="O3643" s="3">
        <f t="shared" si="57"/>
        <v>0</v>
      </c>
    </row>
    <row r="3644" spans="12:15" x14ac:dyDescent="0.25">
      <c r="L3644" s="3" t="e">
        <f>VLOOKUP(C3644,Securities!A:D,4,FALSE)</f>
        <v>#N/A</v>
      </c>
      <c r="M3644" s="3" t="e">
        <f>VLOOKUP(C3644,Securities!A:B,2,FALSE)</f>
        <v>#N/A</v>
      </c>
      <c r="O3644" s="3">
        <f t="shared" si="57"/>
        <v>0</v>
      </c>
    </row>
    <row r="3645" spans="12:15" x14ac:dyDescent="0.25">
      <c r="L3645" s="3" t="e">
        <f>VLOOKUP(C3645,Securities!A:D,4,FALSE)</f>
        <v>#N/A</v>
      </c>
      <c r="M3645" s="3" t="e">
        <f>VLOOKUP(C3645,Securities!A:B,2,FALSE)</f>
        <v>#N/A</v>
      </c>
      <c r="O3645" s="3">
        <f t="shared" si="57"/>
        <v>0</v>
      </c>
    </row>
    <row r="3646" spans="12:15" x14ac:dyDescent="0.25">
      <c r="L3646" s="3" t="e">
        <f>VLOOKUP(C3646,Securities!A:D,4,FALSE)</f>
        <v>#N/A</v>
      </c>
      <c r="M3646" s="3" t="e">
        <f>VLOOKUP(C3646,Securities!A:B,2,FALSE)</f>
        <v>#N/A</v>
      </c>
      <c r="O3646" s="3">
        <f t="shared" si="57"/>
        <v>0</v>
      </c>
    </row>
    <row r="3647" spans="12:15" x14ac:dyDescent="0.25">
      <c r="L3647" s="3" t="e">
        <f>VLOOKUP(C3647,Securities!A:D,4,FALSE)</f>
        <v>#N/A</v>
      </c>
      <c r="M3647" s="3" t="e">
        <f>VLOOKUP(C3647,Securities!A:B,2,FALSE)</f>
        <v>#N/A</v>
      </c>
      <c r="O3647" s="3">
        <f t="shared" si="57"/>
        <v>0</v>
      </c>
    </row>
    <row r="3648" spans="12:15" x14ac:dyDescent="0.25">
      <c r="L3648" s="3" t="e">
        <f>VLOOKUP(C3648,Securities!A:D,4,FALSE)</f>
        <v>#N/A</v>
      </c>
      <c r="M3648" s="3" t="e">
        <f>VLOOKUP(C3648,Securities!A:B,2,FALSE)</f>
        <v>#N/A</v>
      </c>
      <c r="O3648" s="3">
        <f t="shared" si="57"/>
        <v>0</v>
      </c>
    </row>
    <row r="3649" spans="12:15" x14ac:dyDescent="0.25">
      <c r="L3649" s="3" t="e">
        <f>VLOOKUP(C3649,Securities!A:D,4,FALSE)</f>
        <v>#N/A</v>
      </c>
      <c r="M3649" s="3" t="e">
        <f>VLOOKUP(C3649,Securities!A:B,2,FALSE)</f>
        <v>#N/A</v>
      </c>
      <c r="O3649" s="3">
        <f t="shared" si="57"/>
        <v>0</v>
      </c>
    </row>
    <row r="3650" spans="12:15" x14ac:dyDescent="0.25">
      <c r="L3650" s="3" t="e">
        <f>VLOOKUP(C3650,Securities!A:D,4,FALSE)</f>
        <v>#N/A</v>
      </c>
      <c r="M3650" s="3" t="e">
        <f>VLOOKUP(C3650,Securities!A:B,2,FALSE)</f>
        <v>#N/A</v>
      </c>
      <c r="O3650" s="3">
        <f t="shared" si="57"/>
        <v>0</v>
      </c>
    </row>
    <row r="3651" spans="12:15" x14ac:dyDescent="0.25">
      <c r="L3651" s="3" t="e">
        <f>VLOOKUP(C3651,Securities!A:D,4,FALSE)</f>
        <v>#N/A</v>
      </c>
      <c r="M3651" s="3" t="e">
        <f>VLOOKUP(C3651,Securities!A:B,2,FALSE)</f>
        <v>#N/A</v>
      </c>
      <c r="O3651" s="3">
        <f t="shared" si="57"/>
        <v>0</v>
      </c>
    </row>
    <row r="3652" spans="12:15" x14ac:dyDescent="0.25">
      <c r="L3652" s="3" t="e">
        <f>VLOOKUP(C3652,Securities!A:D,4,FALSE)</f>
        <v>#N/A</v>
      </c>
      <c r="M3652" s="3" t="e">
        <f>VLOOKUP(C3652,Securities!A:B,2,FALSE)</f>
        <v>#N/A</v>
      </c>
      <c r="O3652" s="3">
        <f t="shared" si="57"/>
        <v>0</v>
      </c>
    </row>
    <row r="3653" spans="12:15" x14ac:dyDescent="0.25">
      <c r="L3653" s="3" t="e">
        <f>VLOOKUP(C3653,Securities!A:D,4,FALSE)</f>
        <v>#N/A</v>
      </c>
      <c r="M3653" s="3" t="e">
        <f>VLOOKUP(C3653,Securities!A:B,2,FALSE)</f>
        <v>#N/A</v>
      </c>
      <c r="O3653" s="3">
        <f t="shared" si="57"/>
        <v>0</v>
      </c>
    </row>
    <row r="3654" spans="12:15" x14ac:dyDescent="0.25">
      <c r="L3654" s="3" t="e">
        <f>VLOOKUP(C3654,Securities!A:D,4,FALSE)</f>
        <v>#N/A</v>
      </c>
      <c r="M3654" s="3" t="e">
        <f>VLOOKUP(C3654,Securities!A:B,2,FALSE)</f>
        <v>#N/A</v>
      </c>
      <c r="O3654" s="3">
        <f t="shared" ref="O3654:O3717" si="58">SUMIFS(E:E,C:C,C3654,B:B,B3654)</f>
        <v>0</v>
      </c>
    </row>
    <row r="3655" spans="12:15" x14ac:dyDescent="0.25">
      <c r="L3655" s="3" t="e">
        <f>VLOOKUP(C3655,Securities!A:D,4,FALSE)</f>
        <v>#N/A</v>
      </c>
      <c r="M3655" s="3" t="e">
        <f>VLOOKUP(C3655,Securities!A:B,2,FALSE)</f>
        <v>#N/A</v>
      </c>
      <c r="O3655" s="3">
        <f t="shared" si="58"/>
        <v>0</v>
      </c>
    </row>
    <row r="3656" spans="12:15" x14ac:dyDescent="0.25">
      <c r="L3656" s="3" t="e">
        <f>VLOOKUP(C3656,Securities!A:D,4,FALSE)</f>
        <v>#N/A</v>
      </c>
      <c r="M3656" s="3" t="e">
        <f>VLOOKUP(C3656,Securities!A:B,2,FALSE)</f>
        <v>#N/A</v>
      </c>
      <c r="O3656" s="3">
        <f t="shared" si="58"/>
        <v>0</v>
      </c>
    </row>
    <row r="3657" spans="12:15" x14ac:dyDescent="0.25">
      <c r="L3657" s="3" t="e">
        <f>VLOOKUP(C3657,Securities!A:D,4,FALSE)</f>
        <v>#N/A</v>
      </c>
      <c r="M3657" s="3" t="e">
        <f>VLOOKUP(C3657,Securities!A:B,2,FALSE)</f>
        <v>#N/A</v>
      </c>
      <c r="O3657" s="3">
        <f t="shared" si="58"/>
        <v>0</v>
      </c>
    </row>
    <row r="3658" spans="12:15" x14ac:dyDescent="0.25">
      <c r="L3658" s="3" t="e">
        <f>VLOOKUP(C3658,Securities!A:D,4,FALSE)</f>
        <v>#N/A</v>
      </c>
      <c r="M3658" s="3" t="e">
        <f>VLOOKUP(C3658,Securities!A:B,2,FALSE)</f>
        <v>#N/A</v>
      </c>
      <c r="O3658" s="3">
        <f t="shared" si="58"/>
        <v>0</v>
      </c>
    </row>
    <row r="3659" spans="12:15" x14ac:dyDescent="0.25">
      <c r="L3659" s="3" t="e">
        <f>VLOOKUP(C3659,Securities!A:D,4,FALSE)</f>
        <v>#N/A</v>
      </c>
      <c r="M3659" s="3" t="e">
        <f>VLOOKUP(C3659,Securities!A:B,2,FALSE)</f>
        <v>#N/A</v>
      </c>
      <c r="O3659" s="3">
        <f t="shared" si="58"/>
        <v>0</v>
      </c>
    </row>
    <row r="3660" spans="12:15" x14ac:dyDescent="0.25">
      <c r="L3660" s="3" t="e">
        <f>VLOOKUP(C3660,Securities!A:D,4,FALSE)</f>
        <v>#N/A</v>
      </c>
      <c r="M3660" s="3" t="e">
        <f>VLOOKUP(C3660,Securities!A:B,2,FALSE)</f>
        <v>#N/A</v>
      </c>
      <c r="O3660" s="3">
        <f t="shared" si="58"/>
        <v>0</v>
      </c>
    </row>
    <row r="3661" spans="12:15" x14ac:dyDescent="0.25">
      <c r="L3661" s="3" t="e">
        <f>VLOOKUP(C3661,Securities!A:D,4,FALSE)</f>
        <v>#N/A</v>
      </c>
      <c r="M3661" s="3" t="e">
        <f>VLOOKUP(C3661,Securities!A:B,2,FALSE)</f>
        <v>#N/A</v>
      </c>
      <c r="O3661" s="3">
        <f t="shared" si="58"/>
        <v>0</v>
      </c>
    </row>
    <row r="3662" spans="12:15" x14ac:dyDescent="0.25">
      <c r="L3662" s="3" t="e">
        <f>VLOOKUP(C3662,Securities!A:D,4,FALSE)</f>
        <v>#N/A</v>
      </c>
      <c r="M3662" s="3" t="e">
        <f>VLOOKUP(C3662,Securities!A:B,2,FALSE)</f>
        <v>#N/A</v>
      </c>
      <c r="O3662" s="3">
        <f t="shared" si="58"/>
        <v>0</v>
      </c>
    </row>
    <row r="3663" spans="12:15" x14ac:dyDescent="0.25">
      <c r="L3663" s="3" t="e">
        <f>VLOOKUP(C3663,Securities!A:D,4,FALSE)</f>
        <v>#N/A</v>
      </c>
      <c r="M3663" s="3" t="e">
        <f>VLOOKUP(C3663,Securities!A:B,2,FALSE)</f>
        <v>#N/A</v>
      </c>
      <c r="O3663" s="3">
        <f t="shared" si="58"/>
        <v>0</v>
      </c>
    </row>
    <row r="3664" spans="12:15" x14ac:dyDescent="0.25">
      <c r="L3664" s="3" t="e">
        <f>VLOOKUP(C3664,Securities!A:D,4,FALSE)</f>
        <v>#N/A</v>
      </c>
      <c r="M3664" s="3" t="e">
        <f>VLOOKUP(C3664,Securities!A:B,2,FALSE)</f>
        <v>#N/A</v>
      </c>
      <c r="O3664" s="3">
        <f t="shared" si="58"/>
        <v>0</v>
      </c>
    </row>
    <row r="3665" spans="12:15" x14ac:dyDescent="0.25">
      <c r="L3665" s="3" t="e">
        <f>VLOOKUP(C3665,Securities!A:D,4,FALSE)</f>
        <v>#N/A</v>
      </c>
      <c r="M3665" s="3" t="e">
        <f>VLOOKUP(C3665,Securities!A:B,2,FALSE)</f>
        <v>#N/A</v>
      </c>
      <c r="O3665" s="3">
        <f t="shared" si="58"/>
        <v>0</v>
      </c>
    </row>
    <row r="3666" spans="12:15" x14ac:dyDescent="0.25">
      <c r="L3666" s="3" t="e">
        <f>VLOOKUP(C3666,Securities!A:D,4,FALSE)</f>
        <v>#N/A</v>
      </c>
      <c r="M3666" s="3" t="e">
        <f>VLOOKUP(C3666,Securities!A:B,2,FALSE)</f>
        <v>#N/A</v>
      </c>
      <c r="O3666" s="3">
        <f t="shared" si="58"/>
        <v>0</v>
      </c>
    </row>
    <row r="3667" spans="12:15" x14ac:dyDescent="0.25">
      <c r="L3667" s="3" t="e">
        <f>VLOOKUP(C3667,Securities!A:D,4,FALSE)</f>
        <v>#N/A</v>
      </c>
      <c r="M3667" s="3" t="e">
        <f>VLOOKUP(C3667,Securities!A:B,2,FALSE)</f>
        <v>#N/A</v>
      </c>
      <c r="O3667" s="3">
        <f t="shared" si="58"/>
        <v>0</v>
      </c>
    </row>
    <row r="3668" spans="12:15" x14ac:dyDescent="0.25">
      <c r="L3668" s="3" t="e">
        <f>VLOOKUP(C3668,Securities!A:D,4,FALSE)</f>
        <v>#N/A</v>
      </c>
      <c r="M3668" s="3" t="e">
        <f>VLOOKUP(C3668,Securities!A:B,2,FALSE)</f>
        <v>#N/A</v>
      </c>
      <c r="O3668" s="3">
        <f t="shared" si="58"/>
        <v>0</v>
      </c>
    </row>
    <row r="3669" spans="12:15" x14ac:dyDescent="0.25">
      <c r="L3669" s="3" t="e">
        <f>VLOOKUP(C3669,Securities!A:D,4,FALSE)</f>
        <v>#N/A</v>
      </c>
      <c r="M3669" s="3" t="e">
        <f>VLOOKUP(C3669,Securities!A:B,2,FALSE)</f>
        <v>#N/A</v>
      </c>
      <c r="O3669" s="3">
        <f t="shared" si="58"/>
        <v>0</v>
      </c>
    </row>
    <row r="3670" spans="12:15" x14ac:dyDescent="0.25">
      <c r="L3670" s="3" t="e">
        <f>VLOOKUP(C3670,Securities!A:D,4,FALSE)</f>
        <v>#N/A</v>
      </c>
      <c r="M3670" s="3" t="e">
        <f>VLOOKUP(C3670,Securities!A:B,2,FALSE)</f>
        <v>#N/A</v>
      </c>
      <c r="O3670" s="3">
        <f t="shared" si="58"/>
        <v>0</v>
      </c>
    </row>
    <row r="3671" spans="12:15" x14ac:dyDescent="0.25">
      <c r="L3671" s="3" t="e">
        <f>VLOOKUP(C3671,Securities!A:D,4,FALSE)</f>
        <v>#N/A</v>
      </c>
      <c r="M3671" s="3" t="e">
        <f>VLOOKUP(C3671,Securities!A:B,2,FALSE)</f>
        <v>#N/A</v>
      </c>
      <c r="O3671" s="3">
        <f t="shared" si="58"/>
        <v>0</v>
      </c>
    </row>
    <row r="3672" spans="12:15" x14ac:dyDescent="0.25">
      <c r="L3672" s="3" t="e">
        <f>VLOOKUP(C3672,Securities!A:D,4,FALSE)</f>
        <v>#N/A</v>
      </c>
      <c r="M3672" s="3" t="e">
        <f>VLOOKUP(C3672,Securities!A:B,2,FALSE)</f>
        <v>#N/A</v>
      </c>
      <c r="O3672" s="3">
        <f t="shared" si="58"/>
        <v>0</v>
      </c>
    </row>
    <row r="3673" spans="12:15" x14ac:dyDescent="0.25">
      <c r="L3673" s="3" t="e">
        <f>VLOOKUP(C3673,Securities!A:D,4,FALSE)</f>
        <v>#N/A</v>
      </c>
      <c r="M3673" s="3" t="e">
        <f>VLOOKUP(C3673,Securities!A:B,2,FALSE)</f>
        <v>#N/A</v>
      </c>
      <c r="O3673" s="3">
        <f t="shared" si="58"/>
        <v>0</v>
      </c>
    </row>
    <row r="3674" spans="12:15" x14ac:dyDescent="0.25">
      <c r="L3674" s="3" t="e">
        <f>VLOOKUP(C3674,Securities!A:D,4,FALSE)</f>
        <v>#N/A</v>
      </c>
      <c r="M3674" s="3" t="e">
        <f>VLOOKUP(C3674,Securities!A:B,2,FALSE)</f>
        <v>#N/A</v>
      </c>
      <c r="O3674" s="3">
        <f t="shared" si="58"/>
        <v>0</v>
      </c>
    </row>
    <row r="3675" spans="12:15" x14ac:dyDescent="0.25">
      <c r="L3675" s="3" t="e">
        <f>VLOOKUP(C3675,Securities!A:D,4,FALSE)</f>
        <v>#N/A</v>
      </c>
      <c r="M3675" s="3" t="e">
        <f>VLOOKUP(C3675,Securities!A:B,2,FALSE)</f>
        <v>#N/A</v>
      </c>
      <c r="O3675" s="3">
        <f t="shared" si="58"/>
        <v>0</v>
      </c>
    </row>
    <row r="3676" spans="12:15" x14ac:dyDescent="0.25">
      <c r="L3676" s="3" t="e">
        <f>VLOOKUP(C3676,Securities!A:D,4,FALSE)</f>
        <v>#N/A</v>
      </c>
      <c r="M3676" s="3" t="e">
        <f>VLOOKUP(C3676,Securities!A:B,2,FALSE)</f>
        <v>#N/A</v>
      </c>
      <c r="O3676" s="3">
        <f t="shared" si="58"/>
        <v>0</v>
      </c>
    </row>
    <row r="3677" spans="12:15" x14ac:dyDescent="0.25">
      <c r="L3677" s="3" t="e">
        <f>VLOOKUP(C3677,Securities!A:D,4,FALSE)</f>
        <v>#N/A</v>
      </c>
      <c r="M3677" s="3" t="e">
        <f>VLOOKUP(C3677,Securities!A:B,2,FALSE)</f>
        <v>#N/A</v>
      </c>
      <c r="O3677" s="3">
        <f t="shared" si="58"/>
        <v>0</v>
      </c>
    </row>
    <row r="3678" spans="12:15" x14ac:dyDescent="0.25">
      <c r="L3678" s="3" t="e">
        <f>VLOOKUP(C3678,Securities!A:D,4,FALSE)</f>
        <v>#N/A</v>
      </c>
      <c r="M3678" s="3" t="e">
        <f>VLOOKUP(C3678,Securities!A:B,2,FALSE)</f>
        <v>#N/A</v>
      </c>
      <c r="O3678" s="3">
        <f t="shared" si="58"/>
        <v>0</v>
      </c>
    </row>
    <row r="3679" spans="12:15" x14ac:dyDescent="0.25">
      <c r="L3679" s="3" t="e">
        <f>VLOOKUP(C3679,Securities!A:D,4,FALSE)</f>
        <v>#N/A</v>
      </c>
      <c r="M3679" s="3" t="e">
        <f>VLOOKUP(C3679,Securities!A:B,2,FALSE)</f>
        <v>#N/A</v>
      </c>
      <c r="O3679" s="3">
        <f t="shared" si="58"/>
        <v>0</v>
      </c>
    </row>
    <row r="3680" spans="12:15" x14ac:dyDescent="0.25">
      <c r="L3680" s="3" t="e">
        <f>VLOOKUP(C3680,Securities!A:D,4,FALSE)</f>
        <v>#N/A</v>
      </c>
      <c r="M3680" s="3" t="e">
        <f>VLOOKUP(C3680,Securities!A:B,2,FALSE)</f>
        <v>#N/A</v>
      </c>
      <c r="O3680" s="3">
        <f t="shared" si="58"/>
        <v>0</v>
      </c>
    </row>
    <row r="3681" spans="12:15" x14ac:dyDescent="0.25">
      <c r="L3681" s="3" t="e">
        <f>VLOOKUP(C3681,Securities!A:D,4,FALSE)</f>
        <v>#N/A</v>
      </c>
      <c r="M3681" s="3" t="e">
        <f>VLOOKUP(C3681,Securities!A:B,2,FALSE)</f>
        <v>#N/A</v>
      </c>
      <c r="O3681" s="3">
        <f t="shared" si="58"/>
        <v>0</v>
      </c>
    </row>
    <row r="3682" spans="12:15" x14ac:dyDescent="0.25">
      <c r="L3682" s="3" t="e">
        <f>VLOOKUP(C3682,Securities!A:D,4,FALSE)</f>
        <v>#N/A</v>
      </c>
      <c r="M3682" s="3" t="e">
        <f>VLOOKUP(C3682,Securities!A:B,2,FALSE)</f>
        <v>#N/A</v>
      </c>
      <c r="O3682" s="3">
        <f t="shared" si="58"/>
        <v>0</v>
      </c>
    </row>
    <row r="3683" spans="12:15" x14ac:dyDescent="0.25">
      <c r="L3683" s="3" t="e">
        <f>VLOOKUP(C3683,Securities!A:D,4,FALSE)</f>
        <v>#N/A</v>
      </c>
      <c r="M3683" s="3" t="e">
        <f>VLOOKUP(C3683,Securities!A:B,2,FALSE)</f>
        <v>#N/A</v>
      </c>
      <c r="O3683" s="3">
        <f t="shared" si="58"/>
        <v>0</v>
      </c>
    </row>
    <row r="3684" spans="12:15" x14ac:dyDescent="0.25">
      <c r="L3684" s="3" t="e">
        <f>VLOOKUP(C3684,Securities!A:D,4,FALSE)</f>
        <v>#N/A</v>
      </c>
      <c r="M3684" s="3" t="e">
        <f>VLOOKUP(C3684,Securities!A:B,2,FALSE)</f>
        <v>#N/A</v>
      </c>
      <c r="O3684" s="3">
        <f t="shared" si="58"/>
        <v>0</v>
      </c>
    </row>
    <row r="3685" spans="12:15" x14ac:dyDescent="0.25">
      <c r="L3685" s="3" t="e">
        <f>VLOOKUP(C3685,Securities!A:D,4,FALSE)</f>
        <v>#N/A</v>
      </c>
      <c r="M3685" s="3" t="e">
        <f>VLOOKUP(C3685,Securities!A:B,2,FALSE)</f>
        <v>#N/A</v>
      </c>
      <c r="O3685" s="3">
        <f t="shared" si="58"/>
        <v>0</v>
      </c>
    </row>
    <row r="3686" spans="12:15" x14ac:dyDescent="0.25">
      <c r="L3686" s="3" t="e">
        <f>VLOOKUP(C3686,Securities!A:D,4,FALSE)</f>
        <v>#N/A</v>
      </c>
      <c r="M3686" s="3" t="e">
        <f>VLOOKUP(C3686,Securities!A:B,2,FALSE)</f>
        <v>#N/A</v>
      </c>
      <c r="O3686" s="3">
        <f t="shared" si="58"/>
        <v>0</v>
      </c>
    </row>
    <row r="3687" spans="12:15" x14ac:dyDescent="0.25">
      <c r="L3687" s="3" t="e">
        <f>VLOOKUP(C3687,Securities!A:D,4,FALSE)</f>
        <v>#N/A</v>
      </c>
      <c r="M3687" s="3" t="e">
        <f>VLOOKUP(C3687,Securities!A:B,2,FALSE)</f>
        <v>#N/A</v>
      </c>
      <c r="O3687" s="3">
        <f t="shared" si="58"/>
        <v>0</v>
      </c>
    </row>
    <row r="3688" spans="12:15" x14ac:dyDescent="0.25">
      <c r="L3688" s="3" t="e">
        <f>VLOOKUP(C3688,Securities!A:D,4,FALSE)</f>
        <v>#N/A</v>
      </c>
      <c r="M3688" s="3" t="e">
        <f>VLOOKUP(C3688,Securities!A:B,2,FALSE)</f>
        <v>#N/A</v>
      </c>
      <c r="O3688" s="3">
        <f t="shared" si="58"/>
        <v>0</v>
      </c>
    </row>
    <row r="3689" spans="12:15" x14ac:dyDescent="0.25">
      <c r="L3689" s="3" t="e">
        <f>VLOOKUP(C3689,Securities!A:D,4,FALSE)</f>
        <v>#N/A</v>
      </c>
      <c r="M3689" s="3" t="e">
        <f>VLOOKUP(C3689,Securities!A:B,2,FALSE)</f>
        <v>#N/A</v>
      </c>
      <c r="O3689" s="3">
        <f t="shared" si="58"/>
        <v>0</v>
      </c>
    </row>
    <row r="3690" spans="12:15" x14ac:dyDescent="0.25">
      <c r="L3690" s="3" t="e">
        <f>VLOOKUP(C3690,Securities!A:D,4,FALSE)</f>
        <v>#N/A</v>
      </c>
      <c r="M3690" s="3" t="e">
        <f>VLOOKUP(C3690,Securities!A:B,2,FALSE)</f>
        <v>#N/A</v>
      </c>
      <c r="O3690" s="3">
        <f t="shared" si="58"/>
        <v>0</v>
      </c>
    </row>
    <row r="3691" spans="12:15" x14ac:dyDescent="0.25">
      <c r="L3691" s="3" t="e">
        <f>VLOOKUP(C3691,Securities!A:D,4,FALSE)</f>
        <v>#N/A</v>
      </c>
      <c r="M3691" s="3" t="e">
        <f>VLOOKUP(C3691,Securities!A:B,2,FALSE)</f>
        <v>#N/A</v>
      </c>
      <c r="O3691" s="3">
        <f t="shared" si="58"/>
        <v>0</v>
      </c>
    </row>
    <row r="3692" spans="12:15" x14ac:dyDescent="0.25">
      <c r="L3692" s="3" t="e">
        <f>VLOOKUP(C3692,Securities!A:D,4,FALSE)</f>
        <v>#N/A</v>
      </c>
      <c r="M3692" s="3" t="e">
        <f>VLOOKUP(C3692,Securities!A:B,2,FALSE)</f>
        <v>#N/A</v>
      </c>
      <c r="O3692" s="3">
        <f t="shared" si="58"/>
        <v>0</v>
      </c>
    </row>
    <row r="3693" spans="12:15" x14ac:dyDescent="0.25">
      <c r="L3693" s="3" t="e">
        <f>VLOOKUP(C3693,Securities!A:D,4,FALSE)</f>
        <v>#N/A</v>
      </c>
      <c r="M3693" s="3" t="e">
        <f>VLOOKUP(C3693,Securities!A:B,2,FALSE)</f>
        <v>#N/A</v>
      </c>
      <c r="O3693" s="3">
        <f t="shared" si="58"/>
        <v>0</v>
      </c>
    </row>
    <row r="3694" spans="12:15" x14ac:dyDescent="0.25">
      <c r="L3694" s="3" t="e">
        <f>VLOOKUP(C3694,Securities!A:D,4,FALSE)</f>
        <v>#N/A</v>
      </c>
      <c r="M3694" s="3" t="e">
        <f>VLOOKUP(C3694,Securities!A:B,2,FALSE)</f>
        <v>#N/A</v>
      </c>
      <c r="O3694" s="3">
        <f t="shared" si="58"/>
        <v>0</v>
      </c>
    </row>
    <row r="3695" spans="12:15" x14ac:dyDescent="0.25">
      <c r="L3695" s="3" t="e">
        <f>VLOOKUP(C3695,Securities!A:D,4,FALSE)</f>
        <v>#N/A</v>
      </c>
      <c r="M3695" s="3" t="e">
        <f>VLOOKUP(C3695,Securities!A:B,2,FALSE)</f>
        <v>#N/A</v>
      </c>
      <c r="O3695" s="3">
        <f t="shared" si="58"/>
        <v>0</v>
      </c>
    </row>
    <row r="3696" spans="12:15" x14ac:dyDescent="0.25">
      <c r="L3696" s="3" t="e">
        <f>VLOOKUP(C3696,Securities!A:D,4,FALSE)</f>
        <v>#N/A</v>
      </c>
      <c r="M3696" s="3" t="e">
        <f>VLOOKUP(C3696,Securities!A:B,2,FALSE)</f>
        <v>#N/A</v>
      </c>
      <c r="O3696" s="3">
        <f t="shared" si="58"/>
        <v>0</v>
      </c>
    </row>
    <row r="3697" spans="12:15" x14ac:dyDescent="0.25">
      <c r="L3697" s="3" t="e">
        <f>VLOOKUP(C3697,Securities!A:D,4,FALSE)</f>
        <v>#N/A</v>
      </c>
      <c r="M3697" s="3" t="e">
        <f>VLOOKUP(C3697,Securities!A:B,2,FALSE)</f>
        <v>#N/A</v>
      </c>
      <c r="O3697" s="3">
        <f t="shared" si="58"/>
        <v>0</v>
      </c>
    </row>
    <row r="3698" spans="12:15" x14ac:dyDescent="0.25">
      <c r="L3698" s="3" t="e">
        <f>VLOOKUP(C3698,Securities!A:D,4,FALSE)</f>
        <v>#N/A</v>
      </c>
      <c r="M3698" s="3" t="e">
        <f>VLOOKUP(C3698,Securities!A:B,2,FALSE)</f>
        <v>#N/A</v>
      </c>
      <c r="O3698" s="3">
        <f t="shared" si="58"/>
        <v>0</v>
      </c>
    </row>
    <row r="3699" spans="12:15" x14ac:dyDescent="0.25">
      <c r="L3699" s="3" t="e">
        <f>VLOOKUP(C3699,Securities!A:D,4,FALSE)</f>
        <v>#N/A</v>
      </c>
      <c r="M3699" s="3" t="e">
        <f>VLOOKUP(C3699,Securities!A:B,2,FALSE)</f>
        <v>#N/A</v>
      </c>
      <c r="O3699" s="3">
        <f t="shared" si="58"/>
        <v>0</v>
      </c>
    </row>
    <row r="3700" spans="12:15" x14ac:dyDescent="0.25">
      <c r="L3700" s="3" t="e">
        <f>VLOOKUP(C3700,Securities!A:D,4,FALSE)</f>
        <v>#N/A</v>
      </c>
      <c r="M3700" s="3" t="e">
        <f>VLOOKUP(C3700,Securities!A:B,2,FALSE)</f>
        <v>#N/A</v>
      </c>
      <c r="O3700" s="3">
        <f t="shared" si="58"/>
        <v>0</v>
      </c>
    </row>
    <row r="3701" spans="12:15" x14ac:dyDescent="0.25">
      <c r="L3701" s="3" t="e">
        <f>VLOOKUP(C3701,Securities!A:D,4,FALSE)</f>
        <v>#N/A</v>
      </c>
      <c r="M3701" s="3" t="e">
        <f>VLOOKUP(C3701,Securities!A:B,2,FALSE)</f>
        <v>#N/A</v>
      </c>
      <c r="O3701" s="3">
        <f t="shared" si="58"/>
        <v>0</v>
      </c>
    </row>
    <row r="3702" spans="12:15" x14ac:dyDescent="0.25">
      <c r="L3702" s="3" t="e">
        <f>VLOOKUP(C3702,Securities!A:D,4,FALSE)</f>
        <v>#N/A</v>
      </c>
      <c r="M3702" s="3" t="e">
        <f>VLOOKUP(C3702,Securities!A:B,2,FALSE)</f>
        <v>#N/A</v>
      </c>
      <c r="O3702" s="3">
        <f t="shared" si="58"/>
        <v>0</v>
      </c>
    </row>
    <row r="3703" spans="12:15" x14ac:dyDescent="0.25">
      <c r="L3703" s="3" t="e">
        <f>VLOOKUP(C3703,Securities!A:D,4,FALSE)</f>
        <v>#N/A</v>
      </c>
      <c r="M3703" s="3" t="e">
        <f>VLOOKUP(C3703,Securities!A:B,2,FALSE)</f>
        <v>#N/A</v>
      </c>
      <c r="O3703" s="3">
        <f t="shared" si="58"/>
        <v>0</v>
      </c>
    </row>
    <row r="3704" spans="12:15" x14ac:dyDescent="0.25">
      <c r="L3704" s="3" t="e">
        <f>VLOOKUP(C3704,Securities!A:D,4,FALSE)</f>
        <v>#N/A</v>
      </c>
      <c r="M3704" s="3" t="e">
        <f>VLOOKUP(C3704,Securities!A:B,2,FALSE)</f>
        <v>#N/A</v>
      </c>
      <c r="O3704" s="3">
        <f t="shared" si="58"/>
        <v>0</v>
      </c>
    </row>
    <row r="3705" spans="12:15" x14ac:dyDescent="0.25">
      <c r="L3705" s="3" t="e">
        <f>VLOOKUP(C3705,Securities!A:D,4,FALSE)</f>
        <v>#N/A</v>
      </c>
      <c r="M3705" s="3" t="e">
        <f>VLOOKUP(C3705,Securities!A:B,2,FALSE)</f>
        <v>#N/A</v>
      </c>
      <c r="O3705" s="3">
        <f t="shared" si="58"/>
        <v>0</v>
      </c>
    </row>
    <row r="3706" spans="12:15" x14ac:dyDescent="0.25">
      <c r="L3706" s="3" t="e">
        <f>VLOOKUP(C3706,Securities!A:D,4,FALSE)</f>
        <v>#N/A</v>
      </c>
      <c r="M3706" s="3" t="e">
        <f>VLOOKUP(C3706,Securities!A:B,2,FALSE)</f>
        <v>#N/A</v>
      </c>
      <c r="O3706" s="3">
        <f t="shared" si="58"/>
        <v>0</v>
      </c>
    </row>
    <row r="3707" spans="12:15" x14ac:dyDescent="0.25">
      <c r="L3707" s="3" t="e">
        <f>VLOOKUP(C3707,Securities!A:D,4,FALSE)</f>
        <v>#N/A</v>
      </c>
      <c r="M3707" s="3" t="e">
        <f>VLOOKUP(C3707,Securities!A:B,2,FALSE)</f>
        <v>#N/A</v>
      </c>
      <c r="O3707" s="3">
        <f t="shared" si="58"/>
        <v>0</v>
      </c>
    </row>
    <row r="3708" spans="12:15" x14ac:dyDescent="0.25">
      <c r="L3708" s="3" t="e">
        <f>VLOOKUP(C3708,Securities!A:D,4,FALSE)</f>
        <v>#N/A</v>
      </c>
      <c r="M3708" s="3" t="e">
        <f>VLOOKUP(C3708,Securities!A:B,2,FALSE)</f>
        <v>#N/A</v>
      </c>
      <c r="O3708" s="3">
        <f t="shared" si="58"/>
        <v>0</v>
      </c>
    </row>
    <row r="3709" spans="12:15" x14ac:dyDescent="0.25">
      <c r="L3709" s="3" t="e">
        <f>VLOOKUP(C3709,Securities!A:D,4,FALSE)</f>
        <v>#N/A</v>
      </c>
      <c r="M3709" s="3" t="e">
        <f>VLOOKUP(C3709,Securities!A:B,2,FALSE)</f>
        <v>#N/A</v>
      </c>
      <c r="O3709" s="3">
        <f t="shared" si="58"/>
        <v>0</v>
      </c>
    </row>
    <row r="3710" spans="12:15" x14ac:dyDescent="0.25">
      <c r="L3710" s="3" t="e">
        <f>VLOOKUP(C3710,Securities!A:D,4,FALSE)</f>
        <v>#N/A</v>
      </c>
      <c r="M3710" s="3" t="e">
        <f>VLOOKUP(C3710,Securities!A:B,2,FALSE)</f>
        <v>#N/A</v>
      </c>
      <c r="O3710" s="3">
        <f t="shared" si="58"/>
        <v>0</v>
      </c>
    </row>
    <row r="3711" spans="12:15" x14ac:dyDescent="0.25">
      <c r="L3711" s="3" t="e">
        <f>VLOOKUP(C3711,Securities!A:D,4,FALSE)</f>
        <v>#N/A</v>
      </c>
      <c r="M3711" s="3" t="e">
        <f>VLOOKUP(C3711,Securities!A:B,2,FALSE)</f>
        <v>#N/A</v>
      </c>
      <c r="O3711" s="3">
        <f t="shared" si="58"/>
        <v>0</v>
      </c>
    </row>
    <row r="3712" spans="12:15" x14ac:dyDescent="0.25">
      <c r="L3712" s="3" t="e">
        <f>VLOOKUP(C3712,Securities!A:D,4,FALSE)</f>
        <v>#N/A</v>
      </c>
      <c r="M3712" s="3" t="e">
        <f>VLOOKUP(C3712,Securities!A:B,2,FALSE)</f>
        <v>#N/A</v>
      </c>
      <c r="O3712" s="3">
        <f t="shared" si="58"/>
        <v>0</v>
      </c>
    </row>
    <row r="3713" spans="12:15" x14ac:dyDescent="0.25">
      <c r="L3713" s="3" t="e">
        <f>VLOOKUP(C3713,Securities!A:D,4,FALSE)</f>
        <v>#N/A</v>
      </c>
      <c r="M3713" s="3" t="e">
        <f>VLOOKUP(C3713,Securities!A:B,2,FALSE)</f>
        <v>#N/A</v>
      </c>
      <c r="O3713" s="3">
        <f t="shared" si="58"/>
        <v>0</v>
      </c>
    </row>
    <row r="3714" spans="12:15" x14ac:dyDescent="0.25">
      <c r="L3714" s="3" t="e">
        <f>VLOOKUP(C3714,Securities!A:D,4,FALSE)</f>
        <v>#N/A</v>
      </c>
      <c r="M3714" s="3" t="e">
        <f>VLOOKUP(C3714,Securities!A:B,2,FALSE)</f>
        <v>#N/A</v>
      </c>
      <c r="O3714" s="3">
        <f t="shared" si="58"/>
        <v>0</v>
      </c>
    </row>
    <row r="3715" spans="12:15" x14ac:dyDescent="0.25">
      <c r="L3715" s="3" t="e">
        <f>VLOOKUP(C3715,Securities!A:D,4,FALSE)</f>
        <v>#N/A</v>
      </c>
      <c r="M3715" s="3" t="e">
        <f>VLOOKUP(C3715,Securities!A:B,2,FALSE)</f>
        <v>#N/A</v>
      </c>
      <c r="O3715" s="3">
        <f t="shared" si="58"/>
        <v>0</v>
      </c>
    </row>
    <row r="3716" spans="12:15" x14ac:dyDescent="0.25">
      <c r="L3716" s="3" t="e">
        <f>VLOOKUP(C3716,Securities!A:D,4,FALSE)</f>
        <v>#N/A</v>
      </c>
      <c r="M3716" s="3" t="e">
        <f>VLOOKUP(C3716,Securities!A:B,2,FALSE)</f>
        <v>#N/A</v>
      </c>
      <c r="O3716" s="3">
        <f t="shared" si="58"/>
        <v>0</v>
      </c>
    </row>
    <row r="3717" spans="12:15" x14ac:dyDescent="0.25">
      <c r="L3717" s="3" t="e">
        <f>VLOOKUP(C3717,Securities!A:D,4,FALSE)</f>
        <v>#N/A</v>
      </c>
      <c r="M3717" s="3" t="e">
        <f>VLOOKUP(C3717,Securities!A:B,2,FALSE)</f>
        <v>#N/A</v>
      </c>
      <c r="O3717" s="3">
        <f t="shared" si="58"/>
        <v>0</v>
      </c>
    </row>
    <row r="3718" spans="12:15" x14ac:dyDescent="0.25">
      <c r="L3718" s="3" t="e">
        <f>VLOOKUP(C3718,Securities!A:D,4,FALSE)</f>
        <v>#N/A</v>
      </c>
      <c r="M3718" s="3" t="e">
        <f>VLOOKUP(C3718,Securities!A:B,2,FALSE)</f>
        <v>#N/A</v>
      </c>
      <c r="O3718" s="3">
        <f t="shared" ref="O3718:O3781" si="59">SUMIFS(E:E,C:C,C3718,B:B,B3718)</f>
        <v>0</v>
      </c>
    </row>
    <row r="3719" spans="12:15" x14ac:dyDescent="0.25">
      <c r="L3719" s="3" t="e">
        <f>VLOOKUP(C3719,Securities!A:D,4,FALSE)</f>
        <v>#N/A</v>
      </c>
      <c r="M3719" s="3" t="e">
        <f>VLOOKUP(C3719,Securities!A:B,2,FALSE)</f>
        <v>#N/A</v>
      </c>
      <c r="O3719" s="3">
        <f t="shared" si="59"/>
        <v>0</v>
      </c>
    </row>
    <row r="3720" spans="12:15" x14ac:dyDescent="0.25">
      <c r="L3720" s="3" t="e">
        <f>VLOOKUP(C3720,Securities!A:D,4,FALSE)</f>
        <v>#N/A</v>
      </c>
      <c r="M3720" s="3" t="e">
        <f>VLOOKUP(C3720,Securities!A:B,2,FALSE)</f>
        <v>#N/A</v>
      </c>
      <c r="O3720" s="3">
        <f t="shared" si="59"/>
        <v>0</v>
      </c>
    </row>
    <row r="3721" spans="12:15" x14ac:dyDescent="0.25">
      <c r="L3721" s="3" t="e">
        <f>VLOOKUP(C3721,Securities!A:D,4,FALSE)</f>
        <v>#N/A</v>
      </c>
      <c r="M3721" s="3" t="e">
        <f>VLOOKUP(C3721,Securities!A:B,2,FALSE)</f>
        <v>#N/A</v>
      </c>
      <c r="O3721" s="3">
        <f t="shared" si="59"/>
        <v>0</v>
      </c>
    </row>
    <row r="3722" spans="12:15" x14ac:dyDescent="0.25">
      <c r="L3722" s="3" t="e">
        <f>VLOOKUP(C3722,Securities!A:D,4,FALSE)</f>
        <v>#N/A</v>
      </c>
      <c r="M3722" s="3" t="e">
        <f>VLOOKUP(C3722,Securities!A:B,2,FALSE)</f>
        <v>#N/A</v>
      </c>
      <c r="O3722" s="3">
        <f t="shared" si="59"/>
        <v>0</v>
      </c>
    </row>
    <row r="3723" spans="12:15" x14ac:dyDescent="0.25">
      <c r="L3723" s="3" t="e">
        <f>VLOOKUP(C3723,Securities!A:D,4,FALSE)</f>
        <v>#N/A</v>
      </c>
      <c r="M3723" s="3" t="e">
        <f>VLOOKUP(C3723,Securities!A:B,2,FALSE)</f>
        <v>#N/A</v>
      </c>
      <c r="O3723" s="3">
        <f t="shared" si="59"/>
        <v>0</v>
      </c>
    </row>
    <row r="3724" spans="12:15" x14ac:dyDescent="0.25">
      <c r="L3724" s="3" t="e">
        <f>VLOOKUP(C3724,Securities!A:D,4,FALSE)</f>
        <v>#N/A</v>
      </c>
      <c r="M3724" s="3" t="e">
        <f>VLOOKUP(C3724,Securities!A:B,2,FALSE)</f>
        <v>#N/A</v>
      </c>
      <c r="O3724" s="3">
        <f t="shared" si="59"/>
        <v>0</v>
      </c>
    </row>
    <row r="3725" spans="12:15" x14ac:dyDescent="0.25">
      <c r="L3725" s="3" t="e">
        <f>VLOOKUP(C3725,Securities!A:D,4,FALSE)</f>
        <v>#N/A</v>
      </c>
      <c r="M3725" s="3" t="e">
        <f>VLOOKUP(C3725,Securities!A:B,2,FALSE)</f>
        <v>#N/A</v>
      </c>
      <c r="O3725" s="3">
        <f t="shared" si="59"/>
        <v>0</v>
      </c>
    </row>
    <row r="3726" spans="12:15" x14ac:dyDescent="0.25">
      <c r="L3726" s="3" t="e">
        <f>VLOOKUP(C3726,Securities!A:D,4,FALSE)</f>
        <v>#N/A</v>
      </c>
      <c r="M3726" s="3" t="e">
        <f>VLOOKUP(C3726,Securities!A:B,2,FALSE)</f>
        <v>#N/A</v>
      </c>
      <c r="O3726" s="3">
        <f t="shared" si="59"/>
        <v>0</v>
      </c>
    </row>
    <row r="3727" spans="12:15" x14ac:dyDescent="0.25">
      <c r="L3727" s="3" t="e">
        <f>VLOOKUP(C3727,Securities!A:D,4,FALSE)</f>
        <v>#N/A</v>
      </c>
      <c r="M3727" s="3" t="e">
        <f>VLOOKUP(C3727,Securities!A:B,2,FALSE)</f>
        <v>#N/A</v>
      </c>
      <c r="O3727" s="3">
        <f t="shared" si="59"/>
        <v>0</v>
      </c>
    </row>
    <row r="3728" spans="12:15" x14ac:dyDescent="0.25">
      <c r="L3728" s="3" t="e">
        <f>VLOOKUP(C3728,Securities!A:D,4,FALSE)</f>
        <v>#N/A</v>
      </c>
      <c r="M3728" s="3" t="e">
        <f>VLOOKUP(C3728,Securities!A:B,2,FALSE)</f>
        <v>#N/A</v>
      </c>
      <c r="O3728" s="3">
        <f t="shared" si="59"/>
        <v>0</v>
      </c>
    </row>
    <row r="3729" spans="12:15" x14ac:dyDescent="0.25">
      <c r="L3729" s="3" t="e">
        <f>VLOOKUP(C3729,Securities!A:D,4,FALSE)</f>
        <v>#N/A</v>
      </c>
      <c r="M3729" s="3" t="e">
        <f>VLOOKUP(C3729,Securities!A:B,2,FALSE)</f>
        <v>#N/A</v>
      </c>
      <c r="O3729" s="3">
        <f t="shared" si="59"/>
        <v>0</v>
      </c>
    </row>
    <row r="3730" spans="12:15" x14ac:dyDescent="0.25">
      <c r="L3730" s="3" t="e">
        <f>VLOOKUP(C3730,Securities!A:D,4,FALSE)</f>
        <v>#N/A</v>
      </c>
      <c r="M3730" s="3" t="e">
        <f>VLOOKUP(C3730,Securities!A:B,2,FALSE)</f>
        <v>#N/A</v>
      </c>
      <c r="O3730" s="3">
        <f t="shared" si="59"/>
        <v>0</v>
      </c>
    </row>
    <row r="3731" spans="12:15" x14ac:dyDescent="0.25">
      <c r="L3731" s="3" t="e">
        <f>VLOOKUP(C3731,Securities!A:D,4,FALSE)</f>
        <v>#N/A</v>
      </c>
      <c r="M3731" s="3" t="e">
        <f>VLOOKUP(C3731,Securities!A:B,2,FALSE)</f>
        <v>#N/A</v>
      </c>
      <c r="O3731" s="3">
        <f t="shared" si="59"/>
        <v>0</v>
      </c>
    </row>
    <row r="3732" spans="12:15" x14ac:dyDescent="0.25">
      <c r="L3732" s="3" t="e">
        <f>VLOOKUP(C3732,Securities!A:D,4,FALSE)</f>
        <v>#N/A</v>
      </c>
      <c r="M3732" s="3" t="e">
        <f>VLOOKUP(C3732,Securities!A:B,2,FALSE)</f>
        <v>#N/A</v>
      </c>
      <c r="O3732" s="3">
        <f t="shared" si="59"/>
        <v>0</v>
      </c>
    </row>
    <row r="3733" spans="12:15" x14ac:dyDescent="0.25">
      <c r="L3733" s="3" t="e">
        <f>VLOOKUP(C3733,Securities!A:D,4,FALSE)</f>
        <v>#N/A</v>
      </c>
      <c r="M3733" s="3" t="e">
        <f>VLOOKUP(C3733,Securities!A:B,2,FALSE)</f>
        <v>#N/A</v>
      </c>
      <c r="O3733" s="3">
        <f t="shared" si="59"/>
        <v>0</v>
      </c>
    </row>
    <row r="3734" spans="12:15" x14ac:dyDescent="0.25">
      <c r="L3734" s="3" t="e">
        <f>VLOOKUP(C3734,Securities!A:D,4,FALSE)</f>
        <v>#N/A</v>
      </c>
      <c r="M3734" s="3" t="e">
        <f>VLOOKUP(C3734,Securities!A:B,2,FALSE)</f>
        <v>#N/A</v>
      </c>
      <c r="O3734" s="3">
        <f t="shared" si="59"/>
        <v>0</v>
      </c>
    </row>
    <row r="3735" spans="12:15" x14ac:dyDescent="0.25">
      <c r="L3735" s="3" t="e">
        <f>VLOOKUP(C3735,Securities!A:D,4,FALSE)</f>
        <v>#N/A</v>
      </c>
      <c r="M3735" s="3" t="e">
        <f>VLOOKUP(C3735,Securities!A:B,2,FALSE)</f>
        <v>#N/A</v>
      </c>
      <c r="O3735" s="3">
        <f t="shared" si="59"/>
        <v>0</v>
      </c>
    </row>
    <row r="3736" spans="12:15" x14ac:dyDescent="0.25">
      <c r="L3736" s="3" t="e">
        <f>VLOOKUP(C3736,Securities!A:D,4,FALSE)</f>
        <v>#N/A</v>
      </c>
      <c r="M3736" s="3" t="e">
        <f>VLOOKUP(C3736,Securities!A:B,2,FALSE)</f>
        <v>#N/A</v>
      </c>
      <c r="O3736" s="3">
        <f t="shared" si="59"/>
        <v>0</v>
      </c>
    </row>
    <row r="3737" spans="12:15" x14ac:dyDescent="0.25">
      <c r="L3737" s="3" t="e">
        <f>VLOOKUP(C3737,Securities!A:D,4,FALSE)</f>
        <v>#N/A</v>
      </c>
      <c r="M3737" s="3" t="e">
        <f>VLOOKUP(C3737,Securities!A:B,2,FALSE)</f>
        <v>#N/A</v>
      </c>
      <c r="O3737" s="3">
        <f t="shared" si="59"/>
        <v>0</v>
      </c>
    </row>
    <row r="3738" spans="12:15" x14ac:dyDescent="0.25">
      <c r="L3738" s="3" t="e">
        <f>VLOOKUP(C3738,Securities!A:D,4,FALSE)</f>
        <v>#N/A</v>
      </c>
      <c r="M3738" s="3" t="e">
        <f>VLOOKUP(C3738,Securities!A:B,2,FALSE)</f>
        <v>#N/A</v>
      </c>
      <c r="O3738" s="3">
        <f t="shared" si="59"/>
        <v>0</v>
      </c>
    </row>
    <row r="3739" spans="12:15" x14ac:dyDescent="0.25">
      <c r="L3739" s="3" t="e">
        <f>VLOOKUP(C3739,Securities!A:D,4,FALSE)</f>
        <v>#N/A</v>
      </c>
      <c r="M3739" s="3" t="e">
        <f>VLOOKUP(C3739,Securities!A:B,2,FALSE)</f>
        <v>#N/A</v>
      </c>
      <c r="O3739" s="3">
        <f t="shared" si="59"/>
        <v>0</v>
      </c>
    </row>
    <row r="3740" spans="12:15" x14ac:dyDescent="0.25">
      <c r="L3740" s="3" t="e">
        <f>VLOOKUP(C3740,Securities!A:D,4,FALSE)</f>
        <v>#N/A</v>
      </c>
      <c r="M3740" s="3" t="e">
        <f>VLOOKUP(C3740,Securities!A:B,2,FALSE)</f>
        <v>#N/A</v>
      </c>
      <c r="O3740" s="3">
        <f t="shared" si="59"/>
        <v>0</v>
      </c>
    </row>
    <row r="3741" spans="12:15" x14ac:dyDescent="0.25">
      <c r="L3741" s="3" t="e">
        <f>VLOOKUP(C3741,Securities!A:D,4,FALSE)</f>
        <v>#N/A</v>
      </c>
      <c r="M3741" s="3" t="e">
        <f>VLOOKUP(C3741,Securities!A:B,2,FALSE)</f>
        <v>#N/A</v>
      </c>
      <c r="O3741" s="3">
        <f t="shared" si="59"/>
        <v>0</v>
      </c>
    </row>
    <row r="3742" spans="12:15" x14ac:dyDescent="0.25">
      <c r="L3742" s="3" t="e">
        <f>VLOOKUP(C3742,Securities!A:D,4,FALSE)</f>
        <v>#N/A</v>
      </c>
      <c r="M3742" s="3" t="e">
        <f>VLOOKUP(C3742,Securities!A:B,2,FALSE)</f>
        <v>#N/A</v>
      </c>
      <c r="O3742" s="3">
        <f t="shared" si="59"/>
        <v>0</v>
      </c>
    </row>
    <row r="3743" spans="12:15" x14ac:dyDescent="0.25">
      <c r="L3743" s="3" t="e">
        <f>VLOOKUP(C3743,Securities!A:D,4,FALSE)</f>
        <v>#N/A</v>
      </c>
      <c r="M3743" s="3" t="e">
        <f>VLOOKUP(C3743,Securities!A:B,2,FALSE)</f>
        <v>#N/A</v>
      </c>
      <c r="O3743" s="3">
        <f t="shared" si="59"/>
        <v>0</v>
      </c>
    </row>
    <row r="3744" spans="12:15" x14ac:dyDescent="0.25">
      <c r="L3744" s="3" t="e">
        <f>VLOOKUP(C3744,Securities!A:D,4,FALSE)</f>
        <v>#N/A</v>
      </c>
      <c r="M3744" s="3" t="e">
        <f>VLOOKUP(C3744,Securities!A:B,2,FALSE)</f>
        <v>#N/A</v>
      </c>
      <c r="O3744" s="3">
        <f t="shared" si="59"/>
        <v>0</v>
      </c>
    </row>
    <row r="3745" spans="12:15" x14ac:dyDescent="0.25">
      <c r="L3745" s="3" t="e">
        <f>VLOOKUP(C3745,Securities!A:D,4,FALSE)</f>
        <v>#N/A</v>
      </c>
      <c r="M3745" s="3" t="e">
        <f>VLOOKUP(C3745,Securities!A:B,2,FALSE)</f>
        <v>#N/A</v>
      </c>
      <c r="O3745" s="3">
        <f t="shared" si="59"/>
        <v>0</v>
      </c>
    </row>
    <row r="3746" spans="12:15" x14ac:dyDescent="0.25">
      <c r="L3746" s="3" t="e">
        <f>VLOOKUP(C3746,Securities!A:D,4,FALSE)</f>
        <v>#N/A</v>
      </c>
      <c r="M3746" s="3" t="e">
        <f>VLOOKUP(C3746,Securities!A:B,2,FALSE)</f>
        <v>#N/A</v>
      </c>
      <c r="O3746" s="3">
        <f t="shared" si="59"/>
        <v>0</v>
      </c>
    </row>
    <row r="3747" spans="12:15" x14ac:dyDescent="0.25">
      <c r="L3747" s="3" t="e">
        <f>VLOOKUP(C3747,Securities!A:D,4,FALSE)</f>
        <v>#N/A</v>
      </c>
      <c r="M3747" s="3" t="e">
        <f>VLOOKUP(C3747,Securities!A:B,2,FALSE)</f>
        <v>#N/A</v>
      </c>
      <c r="O3747" s="3">
        <f t="shared" si="59"/>
        <v>0</v>
      </c>
    </row>
    <row r="3748" spans="12:15" x14ac:dyDescent="0.25">
      <c r="L3748" s="3" t="e">
        <f>VLOOKUP(C3748,Securities!A:D,4,FALSE)</f>
        <v>#N/A</v>
      </c>
      <c r="M3748" s="3" t="e">
        <f>VLOOKUP(C3748,Securities!A:B,2,FALSE)</f>
        <v>#N/A</v>
      </c>
      <c r="O3748" s="3">
        <f t="shared" si="59"/>
        <v>0</v>
      </c>
    </row>
    <row r="3749" spans="12:15" x14ac:dyDescent="0.25">
      <c r="L3749" s="3" t="e">
        <f>VLOOKUP(C3749,Securities!A:D,4,FALSE)</f>
        <v>#N/A</v>
      </c>
      <c r="M3749" s="3" t="e">
        <f>VLOOKUP(C3749,Securities!A:B,2,FALSE)</f>
        <v>#N/A</v>
      </c>
      <c r="O3749" s="3">
        <f t="shared" si="59"/>
        <v>0</v>
      </c>
    </row>
    <row r="3750" spans="12:15" x14ac:dyDescent="0.25">
      <c r="L3750" s="3" t="e">
        <f>VLOOKUP(C3750,Securities!A:D,4,FALSE)</f>
        <v>#N/A</v>
      </c>
      <c r="M3750" s="3" t="e">
        <f>VLOOKUP(C3750,Securities!A:B,2,FALSE)</f>
        <v>#N/A</v>
      </c>
      <c r="O3750" s="3">
        <f t="shared" si="59"/>
        <v>0</v>
      </c>
    </row>
    <row r="3751" spans="12:15" x14ac:dyDescent="0.25">
      <c r="L3751" s="3" t="e">
        <f>VLOOKUP(C3751,Securities!A:D,4,FALSE)</f>
        <v>#N/A</v>
      </c>
      <c r="M3751" s="3" t="e">
        <f>VLOOKUP(C3751,Securities!A:B,2,FALSE)</f>
        <v>#N/A</v>
      </c>
      <c r="O3751" s="3">
        <f t="shared" si="59"/>
        <v>0</v>
      </c>
    </row>
    <row r="3752" spans="12:15" x14ac:dyDescent="0.25">
      <c r="L3752" s="3" t="e">
        <f>VLOOKUP(C3752,Securities!A:D,4,FALSE)</f>
        <v>#N/A</v>
      </c>
      <c r="M3752" s="3" t="e">
        <f>VLOOKUP(C3752,Securities!A:B,2,FALSE)</f>
        <v>#N/A</v>
      </c>
      <c r="O3752" s="3">
        <f t="shared" si="59"/>
        <v>0</v>
      </c>
    </row>
    <row r="3753" spans="12:15" x14ac:dyDescent="0.25">
      <c r="L3753" s="3" t="e">
        <f>VLOOKUP(C3753,Securities!A:D,4,FALSE)</f>
        <v>#N/A</v>
      </c>
      <c r="M3753" s="3" t="e">
        <f>VLOOKUP(C3753,Securities!A:B,2,FALSE)</f>
        <v>#N/A</v>
      </c>
      <c r="O3753" s="3">
        <f t="shared" si="59"/>
        <v>0</v>
      </c>
    </row>
    <row r="3754" spans="12:15" x14ac:dyDescent="0.25">
      <c r="L3754" s="3" t="e">
        <f>VLOOKUP(C3754,Securities!A:D,4,FALSE)</f>
        <v>#N/A</v>
      </c>
      <c r="M3754" s="3" t="e">
        <f>VLOOKUP(C3754,Securities!A:B,2,FALSE)</f>
        <v>#N/A</v>
      </c>
      <c r="O3754" s="3">
        <f t="shared" si="59"/>
        <v>0</v>
      </c>
    </row>
    <row r="3755" spans="12:15" x14ac:dyDescent="0.25">
      <c r="L3755" s="3" t="e">
        <f>VLOOKUP(C3755,Securities!A:D,4,FALSE)</f>
        <v>#N/A</v>
      </c>
      <c r="M3755" s="3" t="e">
        <f>VLOOKUP(C3755,Securities!A:B,2,FALSE)</f>
        <v>#N/A</v>
      </c>
      <c r="O3755" s="3">
        <f t="shared" si="59"/>
        <v>0</v>
      </c>
    </row>
    <row r="3756" spans="12:15" x14ac:dyDescent="0.25">
      <c r="L3756" s="3" t="e">
        <f>VLOOKUP(C3756,Securities!A:D,4,FALSE)</f>
        <v>#N/A</v>
      </c>
      <c r="M3756" s="3" t="e">
        <f>VLOOKUP(C3756,Securities!A:B,2,FALSE)</f>
        <v>#N/A</v>
      </c>
      <c r="O3756" s="3">
        <f t="shared" si="59"/>
        <v>0</v>
      </c>
    </row>
    <row r="3757" spans="12:15" x14ac:dyDescent="0.25">
      <c r="L3757" s="3" t="e">
        <f>VLOOKUP(C3757,Securities!A:D,4,FALSE)</f>
        <v>#N/A</v>
      </c>
      <c r="M3757" s="3" t="e">
        <f>VLOOKUP(C3757,Securities!A:B,2,FALSE)</f>
        <v>#N/A</v>
      </c>
      <c r="O3757" s="3">
        <f t="shared" si="59"/>
        <v>0</v>
      </c>
    </row>
    <row r="3758" spans="12:15" x14ac:dyDescent="0.25">
      <c r="L3758" s="3" t="e">
        <f>VLOOKUP(C3758,Securities!A:D,4,FALSE)</f>
        <v>#N/A</v>
      </c>
      <c r="M3758" s="3" t="e">
        <f>VLOOKUP(C3758,Securities!A:B,2,FALSE)</f>
        <v>#N/A</v>
      </c>
      <c r="O3758" s="3">
        <f t="shared" si="59"/>
        <v>0</v>
      </c>
    </row>
    <row r="3759" spans="12:15" x14ac:dyDescent="0.25">
      <c r="L3759" s="3" t="e">
        <f>VLOOKUP(C3759,Securities!A:D,4,FALSE)</f>
        <v>#N/A</v>
      </c>
      <c r="M3759" s="3" t="e">
        <f>VLOOKUP(C3759,Securities!A:B,2,FALSE)</f>
        <v>#N/A</v>
      </c>
      <c r="O3759" s="3">
        <f t="shared" si="59"/>
        <v>0</v>
      </c>
    </row>
    <row r="3760" spans="12:15" x14ac:dyDescent="0.25">
      <c r="L3760" s="3" t="e">
        <f>VLOOKUP(C3760,Securities!A:D,4,FALSE)</f>
        <v>#N/A</v>
      </c>
      <c r="M3760" s="3" t="e">
        <f>VLOOKUP(C3760,Securities!A:B,2,FALSE)</f>
        <v>#N/A</v>
      </c>
      <c r="O3760" s="3">
        <f t="shared" si="59"/>
        <v>0</v>
      </c>
    </row>
    <row r="3761" spans="12:15" x14ac:dyDescent="0.25">
      <c r="L3761" s="3" t="e">
        <f>VLOOKUP(C3761,Securities!A:D,4,FALSE)</f>
        <v>#N/A</v>
      </c>
      <c r="M3761" s="3" t="e">
        <f>VLOOKUP(C3761,Securities!A:B,2,FALSE)</f>
        <v>#N/A</v>
      </c>
      <c r="O3761" s="3">
        <f t="shared" si="59"/>
        <v>0</v>
      </c>
    </row>
    <row r="3762" spans="12:15" x14ac:dyDescent="0.25">
      <c r="L3762" s="3" t="e">
        <f>VLOOKUP(C3762,Securities!A:D,4,FALSE)</f>
        <v>#N/A</v>
      </c>
      <c r="M3762" s="3" t="e">
        <f>VLOOKUP(C3762,Securities!A:B,2,FALSE)</f>
        <v>#N/A</v>
      </c>
      <c r="O3762" s="3">
        <f t="shared" si="59"/>
        <v>0</v>
      </c>
    </row>
    <row r="3763" spans="12:15" x14ac:dyDescent="0.25">
      <c r="L3763" s="3" t="e">
        <f>VLOOKUP(C3763,Securities!A:D,4,FALSE)</f>
        <v>#N/A</v>
      </c>
      <c r="M3763" s="3" t="e">
        <f>VLOOKUP(C3763,Securities!A:B,2,FALSE)</f>
        <v>#N/A</v>
      </c>
      <c r="O3763" s="3">
        <f t="shared" si="59"/>
        <v>0</v>
      </c>
    </row>
    <row r="3764" spans="12:15" x14ac:dyDescent="0.25">
      <c r="L3764" s="3" t="e">
        <f>VLOOKUP(C3764,Securities!A:D,4,FALSE)</f>
        <v>#N/A</v>
      </c>
      <c r="M3764" s="3" t="e">
        <f>VLOOKUP(C3764,Securities!A:B,2,FALSE)</f>
        <v>#N/A</v>
      </c>
      <c r="O3764" s="3">
        <f t="shared" si="59"/>
        <v>0</v>
      </c>
    </row>
    <row r="3765" spans="12:15" x14ac:dyDescent="0.25">
      <c r="L3765" s="3" t="e">
        <f>VLOOKUP(C3765,Securities!A:D,4,FALSE)</f>
        <v>#N/A</v>
      </c>
      <c r="M3765" s="3" t="e">
        <f>VLOOKUP(C3765,Securities!A:B,2,FALSE)</f>
        <v>#N/A</v>
      </c>
      <c r="O3765" s="3">
        <f t="shared" si="59"/>
        <v>0</v>
      </c>
    </row>
    <row r="3766" spans="12:15" x14ac:dyDescent="0.25">
      <c r="L3766" s="3" t="e">
        <f>VLOOKUP(C3766,Securities!A:D,4,FALSE)</f>
        <v>#N/A</v>
      </c>
      <c r="M3766" s="3" t="e">
        <f>VLOOKUP(C3766,Securities!A:B,2,FALSE)</f>
        <v>#N/A</v>
      </c>
      <c r="O3766" s="3">
        <f t="shared" si="59"/>
        <v>0</v>
      </c>
    </row>
    <row r="3767" spans="12:15" x14ac:dyDescent="0.25">
      <c r="L3767" s="3" t="e">
        <f>VLOOKUP(C3767,Securities!A:D,4,FALSE)</f>
        <v>#N/A</v>
      </c>
      <c r="M3767" s="3" t="e">
        <f>VLOOKUP(C3767,Securities!A:B,2,FALSE)</f>
        <v>#N/A</v>
      </c>
      <c r="O3767" s="3">
        <f t="shared" si="59"/>
        <v>0</v>
      </c>
    </row>
    <row r="3768" spans="12:15" x14ac:dyDescent="0.25">
      <c r="L3768" s="3" t="e">
        <f>VLOOKUP(C3768,Securities!A:D,4,FALSE)</f>
        <v>#N/A</v>
      </c>
      <c r="M3768" s="3" t="e">
        <f>VLOOKUP(C3768,Securities!A:B,2,FALSE)</f>
        <v>#N/A</v>
      </c>
      <c r="O3768" s="3">
        <f t="shared" si="59"/>
        <v>0</v>
      </c>
    </row>
    <row r="3769" spans="12:15" x14ac:dyDescent="0.25">
      <c r="L3769" s="3" t="e">
        <f>VLOOKUP(C3769,Securities!A:D,4,FALSE)</f>
        <v>#N/A</v>
      </c>
      <c r="M3769" s="3" t="e">
        <f>VLOOKUP(C3769,Securities!A:B,2,FALSE)</f>
        <v>#N/A</v>
      </c>
      <c r="O3769" s="3">
        <f t="shared" si="59"/>
        <v>0</v>
      </c>
    </row>
    <row r="3770" spans="12:15" x14ac:dyDescent="0.25">
      <c r="L3770" s="3" t="e">
        <f>VLOOKUP(C3770,Securities!A:D,4,FALSE)</f>
        <v>#N/A</v>
      </c>
      <c r="M3770" s="3" t="e">
        <f>VLOOKUP(C3770,Securities!A:B,2,FALSE)</f>
        <v>#N/A</v>
      </c>
      <c r="O3770" s="3">
        <f t="shared" si="59"/>
        <v>0</v>
      </c>
    </row>
    <row r="3771" spans="12:15" x14ac:dyDescent="0.25">
      <c r="L3771" s="3" t="e">
        <f>VLOOKUP(C3771,Securities!A:D,4,FALSE)</f>
        <v>#N/A</v>
      </c>
      <c r="M3771" s="3" t="e">
        <f>VLOOKUP(C3771,Securities!A:B,2,FALSE)</f>
        <v>#N/A</v>
      </c>
      <c r="O3771" s="3">
        <f t="shared" si="59"/>
        <v>0</v>
      </c>
    </row>
    <row r="3772" spans="12:15" x14ac:dyDescent="0.25">
      <c r="L3772" s="3" t="e">
        <f>VLOOKUP(C3772,Securities!A:D,4,FALSE)</f>
        <v>#N/A</v>
      </c>
      <c r="M3772" s="3" t="e">
        <f>VLOOKUP(C3772,Securities!A:B,2,FALSE)</f>
        <v>#N/A</v>
      </c>
      <c r="O3772" s="3">
        <f t="shared" si="59"/>
        <v>0</v>
      </c>
    </row>
    <row r="3773" spans="12:15" x14ac:dyDescent="0.25">
      <c r="L3773" s="3" t="e">
        <f>VLOOKUP(C3773,Securities!A:D,4,FALSE)</f>
        <v>#N/A</v>
      </c>
      <c r="M3773" s="3" t="e">
        <f>VLOOKUP(C3773,Securities!A:B,2,FALSE)</f>
        <v>#N/A</v>
      </c>
      <c r="O3773" s="3">
        <f t="shared" si="59"/>
        <v>0</v>
      </c>
    </row>
    <row r="3774" spans="12:15" x14ac:dyDescent="0.25">
      <c r="L3774" s="3" t="e">
        <f>VLOOKUP(C3774,Securities!A:D,4,FALSE)</f>
        <v>#N/A</v>
      </c>
      <c r="M3774" s="3" t="e">
        <f>VLOOKUP(C3774,Securities!A:B,2,FALSE)</f>
        <v>#N/A</v>
      </c>
      <c r="O3774" s="3">
        <f t="shared" si="59"/>
        <v>0</v>
      </c>
    </row>
    <row r="3775" spans="12:15" x14ac:dyDescent="0.25">
      <c r="L3775" s="3" t="e">
        <f>VLOOKUP(C3775,Securities!A:D,4,FALSE)</f>
        <v>#N/A</v>
      </c>
      <c r="M3775" s="3" t="e">
        <f>VLOOKUP(C3775,Securities!A:B,2,FALSE)</f>
        <v>#N/A</v>
      </c>
      <c r="O3775" s="3">
        <f t="shared" si="59"/>
        <v>0</v>
      </c>
    </row>
    <row r="3776" spans="12:15" x14ac:dyDescent="0.25">
      <c r="L3776" s="3" t="e">
        <f>VLOOKUP(C3776,Securities!A:D,4,FALSE)</f>
        <v>#N/A</v>
      </c>
      <c r="M3776" s="3" t="e">
        <f>VLOOKUP(C3776,Securities!A:B,2,FALSE)</f>
        <v>#N/A</v>
      </c>
      <c r="O3776" s="3">
        <f t="shared" si="59"/>
        <v>0</v>
      </c>
    </row>
    <row r="3777" spans="12:15" x14ac:dyDescent="0.25">
      <c r="L3777" s="3" t="e">
        <f>VLOOKUP(C3777,Securities!A:D,4,FALSE)</f>
        <v>#N/A</v>
      </c>
      <c r="M3777" s="3" t="e">
        <f>VLOOKUP(C3777,Securities!A:B,2,FALSE)</f>
        <v>#N/A</v>
      </c>
      <c r="O3777" s="3">
        <f t="shared" si="59"/>
        <v>0</v>
      </c>
    </row>
    <row r="3778" spans="12:15" x14ac:dyDescent="0.25">
      <c r="L3778" s="3" t="e">
        <f>VLOOKUP(C3778,Securities!A:D,4,FALSE)</f>
        <v>#N/A</v>
      </c>
      <c r="M3778" s="3" t="e">
        <f>VLOOKUP(C3778,Securities!A:B,2,FALSE)</f>
        <v>#N/A</v>
      </c>
      <c r="O3778" s="3">
        <f t="shared" si="59"/>
        <v>0</v>
      </c>
    </row>
    <row r="3779" spans="12:15" x14ac:dyDescent="0.25">
      <c r="L3779" s="3" t="e">
        <f>VLOOKUP(C3779,Securities!A:D,4,FALSE)</f>
        <v>#N/A</v>
      </c>
      <c r="M3779" s="3" t="e">
        <f>VLOOKUP(C3779,Securities!A:B,2,FALSE)</f>
        <v>#N/A</v>
      </c>
      <c r="O3779" s="3">
        <f t="shared" si="59"/>
        <v>0</v>
      </c>
    </row>
    <row r="3780" spans="12:15" x14ac:dyDescent="0.25">
      <c r="L3780" s="3" t="e">
        <f>VLOOKUP(C3780,Securities!A:D,4,FALSE)</f>
        <v>#N/A</v>
      </c>
      <c r="M3780" s="3" t="e">
        <f>VLOOKUP(C3780,Securities!A:B,2,FALSE)</f>
        <v>#N/A</v>
      </c>
      <c r="O3780" s="3">
        <f t="shared" si="59"/>
        <v>0</v>
      </c>
    </row>
    <row r="3781" spans="12:15" x14ac:dyDescent="0.25">
      <c r="L3781" s="3" t="e">
        <f>VLOOKUP(C3781,Securities!A:D,4,FALSE)</f>
        <v>#N/A</v>
      </c>
      <c r="M3781" s="3" t="e">
        <f>VLOOKUP(C3781,Securities!A:B,2,FALSE)</f>
        <v>#N/A</v>
      </c>
      <c r="O3781" s="3">
        <f t="shared" si="59"/>
        <v>0</v>
      </c>
    </row>
    <row r="3782" spans="12:15" x14ac:dyDescent="0.25">
      <c r="L3782" s="3" t="e">
        <f>VLOOKUP(C3782,Securities!A:D,4,FALSE)</f>
        <v>#N/A</v>
      </c>
      <c r="M3782" s="3" t="e">
        <f>VLOOKUP(C3782,Securities!A:B,2,FALSE)</f>
        <v>#N/A</v>
      </c>
      <c r="O3782" s="3">
        <f t="shared" ref="O3782:O3845" si="60">SUMIFS(E:E,C:C,C3782,B:B,B3782)</f>
        <v>0</v>
      </c>
    </row>
    <row r="3783" spans="12:15" x14ac:dyDescent="0.25">
      <c r="L3783" s="3" t="e">
        <f>VLOOKUP(C3783,Securities!A:D,4,FALSE)</f>
        <v>#N/A</v>
      </c>
      <c r="M3783" s="3" t="e">
        <f>VLOOKUP(C3783,Securities!A:B,2,FALSE)</f>
        <v>#N/A</v>
      </c>
      <c r="O3783" s="3">
        <f t="shared" si="60"/>
        <v>0</v>
      </c>
    </row>
    <row r="3784" spans="12:15" x14ac:dyDescent="0.25">
      <c r="L3784" s="3" t="e">
        <f>VLOOKUP(C3784,Securities!A:D,4,FALSE)</f>
        <v>#N/A</v>
      </c>
      <c r="M3784" s="3" t="e">
        <f>VLOOKUP(C3784,Securities!A:B,2,FALSE)</f>
        <v>#N/A</v>
      </c>
      <c r="O3784" s="3">
        <f t="shared" si="60"/>
        <v>0</v>
      </c>
    </row>
    <row r="3785" spans="12:15" x14ac:dyDescent="0.25">
      <c r="L3785" s="3" t="e">
        <f>VLOOKUP(C3785,Securities!A:D,4,FALSE)</f>
        <v>#N/A</v>
      </c>
      <c r="M3785" s="3" t="e">
        <f>VLOOKUP(C3785,Securities!A:B,2,FALSE)</f>
        <v>#N/A</v>
      </c>
      <c r="O3785" s="3">
        <f t="shared" si="60"/>
        <v>0</v>
      </c>
    </row>
    <row r="3786" spans="12:15" x14ac:dyDescent="0.25">
      <c r="L3786" s="3" t="e">
        <f>VLOOKUP(C3786,Securities!A:D,4,FALSE)</f>
        <v>#N/A</v>
      </c>
      <c r="M3786" s="3" t="e">
        <f>VLOOKUP(C3786,Securities!A:B,2,FALSE)</f>
        <v>#N/A</v>
      </c>
      <c r="O3786" s="3">
        <f t="shared" si="60"/>
        <v>0</v>
      </c>
    </row>
    <row r="3787" spans="12:15" x14ac:dyDescent="0.25">
      <c r="L3787" s="3" t="e">
        <f>VLOOKUP(C3787,Securities!A:D,4,FALSE)</f>
        <v>#N/A</v>
      </c>
      <c r="M3787" s="3" t="e">
        <f>VLOOKUP(C3787,Securities!A:B,2,FALSE)</f>
        <v>#N/A</v>
      </c>
      <c r="O3787" s="3">
        <f t="shared" si="60"/>
        <v>0</v>
      </c>
    </row>
    <row r="3788" spans="12:15" x14ac:dyDescent="0.25">
      <c r="L3788" s="3" t="e">
        <f>VLOOKUP(C3788,Securities!A:D,4,FALSE)</f>
        <v>#N/A</v>
      </c>
      <c r="M3788" s="3" t="e">
        <f>VLOOKUP(C3788,Securities!A:B,2,FALSE)</f>
        <v>#N/A</v>
      </c>
      <c r="O3788" s="3">
        <f t="shared" si="60"/>
        <v>0</v>
      </c>
    </row>
    <row r="3789" spans="12:15" x14ac:dyDescent="0.25">
      <c r="L3789" s="3" t="e">
        <f>VLOOKUP(C3789,Securities!A:D,4,FALSE)</f>
        <v>#N/A</v>
      </c>
      <c r="M3789" s="3" t="e">
        <f>VLOOKUP(C3789,Securities!A:B,2,FALSE)</f>
        <v>#N/A</v>
      </c>
      <c r="O3789" s="3">
        <f t="shared" si="60"/>
        <v>0</v>
      </c>
    </row>
    <row r="3790" spans="12:15" x14ac:dyDescent="0.25">
      <c r="L3790" s="3" t="e">
        <f>VLOOKUP(C3790,Securities!A:D,4,FALSE)</f>
        <v>#N/A</v>
      </c>
      <c r="M3790" s="3" t="e">
        <f>VLOOKUP(C3790,Securities!A:B,2,FALSE)</f>
        <v>#N/A</v>
      </c>
      <c r="O3790" s="3">
        <f t="shared" si="60"/>
        <v>0</v>
      </c>
    </row>
    <row r="3791" spans="12:15" x14ac:dyDescent="0.25">
      <c r="L3791" s="3" t="e">
        <f>VLOOKUP(C3791,Securities!A:D,4,FALSE)</f>
        <v>#N/A</v>
      </c>
      <c r="M3791" s="3" t="e">
        <f>VLOOKUP(C3791,Securities!A:B,2,FALSE)</f>
        <v>#N/A</v>
      </c>
      <c r="O3791" s="3">
        <f t="shared" si="60"/>
        <v>0</v>
      </c>
    </row>
    <row r="3792" spans="12:15" x14ac:dyDescent="0.25">
      <c r="L3792" s="3" t="e">
        <f>VLOOKUP(C3792,Securities!A:D,4,FALSE)</f>
        <v>#N/A</v>
      </c>
      <c r="M3792" s="3" t="e">
        <f>VLOOKUP(C3792,Securities!A:B,2,FALSE)</f>
        <v>#N/A</v>
      </c>
      <c r="O3792" s="3">
        <f t="shared" si="60"/>
        <v>0</v>
      </c>
    </row>
    <row r="3793" spans="12:15" x14ac:dyDescent="0.25">
      <c r="L3793" s="3" t="e">
        <f>VLOOKUP(C3793,Securities!A:D,4,FALSE)</f>
        <v>#N/A</v>
      </c>
      <c r="M3793" s="3" t="e">
        <f>VLOOKUP(C3793,Securities!A:B,2,FALSE)</f>
        <v>#N/A</v>
      </c>
      <c r="O3793" s="3">
        <f t="shared" si="60"/>
        <v>0</v>
      </c>
    </row>
    <row r="3794" spans="12:15" x14ac:dyDescent="0.25">
      <c r="L3794" s="3" t="e">
        <f>VLOOKUP(C3794,Securities!A:D,4,FALSE)</f>
        <v>#N/A</v>
      </c>
      <c r="M3794" s="3" t="e">
        <f>VLOOKUP(C3794,Securities!A:B,2,FALSE)</f>
        <v>#N/A</v>
      </c>
      <c r="O3794" s="3">
        <f t="shared" si="60"/>
        <v>0</v>
      </c>
    </row>
    <row r="3795" spans="12:15" x14ac:dyDescent="0.25">
      <c r="L3795" s="3" t="e">
        <f>VLOOKUP(C3795,Securities!A:D,4,FALSE)</f>
        <v>#N/A</v>
      </c>
      <c r="M3795" s="3" t="e">
        <f>VLOOKUP(C3795,Securities!A:B,2,FALSE)</f>
        <v>#N/A</v>
      </c>
      <c r="O3795" s="3">
        <f t="shared" si="60"/>
        <v>0</v>
      </c>
    </row>
    <row r="3796" spans="12:15" x14ac:dyDescent="0.25">
      <c r="L3796" s="3" t="e">
        <f>VLOOKUP(C3796,Securities!A:D,4,FALSE)</f>
        <v>#N/A</v>
      </c>
      <c r="M3796" s="3" t="e">
        <f>VLOOKUP(C3796,Securities!A:B,2,FALSE)</f>
        <v>#N/A</v>
      </c>
      <c r="O3796" s="3">
        <f t="shared" si="60"/>
        <v>0</v>
      </c>
    </row>
    <row r="3797" spans="12:15" x14ac:dyDescent="0.25">
      <c r="L3797" s="3" t="e">
        <f>VLOOKUP(C3797,Securities!A:D,4,FALSE)</f>
        <v>#N/A</v>
      </c>
      <c r="M3797" s="3" t="e">
        <f>VLOOKUP(C3797,Securities!A:B,2,FALSE)</f>
        <v>#N/A</v>
      </c>
      <c r="O3797" s="3">
        <f t="shared" si="60"/>
        <v>0</v>
      </c>
    </row>
    <row r="3798" spans="12:15" x14ac:dyDescent="0.25">
      <c r="L3798" s="3" t="e">
        <f>VLOOKUP(C3798,Securities!A:D,4,FALSE)</f>
        <v>#N/A</v>
      </c>
      <c r="M3798" s="3" t="e">
        <f>VLOOKUP(C3798,Securities!A:B,2,FALSE)</f>
        <v>#N/A</v>
      </c>
      <c r="O3798" s="3">
        <f t="shared" si="60"/>
        <v>0</v>
      </c>
    </row>
    <row r="3799" spans="12:15" x14ac:dyDescent="0.25">
      <c r="L3799" s="3" t="e">
        <f>VLOOKUP(C3799,Securities!A:D,4,FALSE)</f>
        <v>#N/A</v>
      </c>
      <c r="M3799" s="3" t="e">
        <f>VLOOKUP(C3799,Securities!A:B,2,FALSE)</f>
        <v>#N/A</v>
      </c>
      <c r="O3799" s="3">
        <f t="shared" si="60"/>
        <v>0</v>
      </c>
    </row>
    <row r="3800" spans="12:15" x14ac:dyDescent="0.25">
      <c r="L3800" s="3" t="e">
        <f>VLOOKUP(C3800,Securities!A:D,4,FALSE)</f>
        <v>#N/A</v>
      </c>
      <c r="M3800" s="3" t="e">
        <f>VLOOKUP(C3800,Securities!A:B,2,FALSE)</f>
        <v>#N/A</v>
      </c>
      <c r="O3800" s="3">
        <f t="shared" si="60"/>
        <v>0</v>
      </c>
    </row>
    <row r="3801" spans="12:15" x14ac:dyDescent="0.25">
      <c r="L3801" s="3" t="e">
        <f>VLOOKUP(C3801,Securities!A:D,4,FALSE)</f>
        <v>#N/A</v>
      </c>
      <c r="M3801" s="3" t="e">
        <f>VLOOKUP(C3801,Securities!A:B,2,FALSE)</f>
        <v>#N/A</v>
      </c>
      <c r="O3801" s="3">
        <f t="shared" si="60"/>
        <v>0</v>
      </c>
    </row>
    <row r="3802" spans="12:15" x14ac:dyDescent="0.25">
      <c r="L3802" s="3" t="e">
        <f>VLOOKUP(C3802,Securities!A:D,4,FALSE)</f>
        <v>#N/A</v>
      </c>
      <c r="M3802" s="3" t="e">
        <f>VLOOKUP(C3802,Securities!A:B,2,FALSE)</f>
        <v>#N/A</v>
      </c>
      <c r="O3802" s="3">
        <f t="shared" si="60"/>
        <v>0</v>
      </c>
    </row>
    <row r="3803" spans="12:15" x14ac:dyDescent="0.25">
      <c r="L3803" s="3" t="e">
        <f>VLOOKUP(C3803,Securities!A:D,4,FALSE)</f>
        <v>#N/A</v>
      </c>
      <c r="M3803" s="3" t="e">
        <f>VLOOKUP(C3803,Securities!A:B,2,FALSE)</f>
        <v>#N/A</v>
      </c>
      <c r="O3803" s="3">
        <f t="shared" si="60"/>
        <v>0</v>
      </c>
    </row>
    <row r="3804" spans="12:15" x14ac:dyDescent="0.25">
      <c r="L3804" s="3" t="e">
        <f>VLOOKUP(C3804,Securities!A:D,4,FALSE)</f>
        <v>#N/A</v>
      </c>
      <c r="M3804" s="3" t="e">
        <f>VLOOKUP(C3804,Securities!A:B,2,FALSE)</f>
        <v>#N/A</v>
      </c>
      <c r="O3804" s="3">
        <f t="shared" si="60"/>
        <v>0</v>
      </c>
    </row>
    <row r="3805" spans="12:15" x14ac:dyDescent="0.25">
      <c r="L3805" s="3" t="e">
        <f>VLOOKUP(C3805,Securities!A:D,4,FALSE)</f>
        <v>#N/A</v>
      </c>
      <c r="M3805" s="3" t="e">
        <f>VLOOKUP(C3805,Securities!A:B,2,FALSE)</f>
        <v>#N/A</v>
      </c>
      <c r="O3805" s="3">
        <f t="shared" si="60"/>
        <v>0</v>
      </c>
    </row>
    <row r="3806" spans="12:15" x14ac:dyDescent="0.25">
      <c r="L3806" s="3" t="e">
        <f>VLOOKUP(C3806,Securities!A:D,4,FALSE)</f>
        <v>#N/A</v>
      </c>
      <c r="M3806" s="3" t="e">
        <f>VLOOKUP(C3806,Securities!A:B,2,FALSE)</f>
        <v>#N/A</v>
      </c>
      <c r="O3806" s="3">
        <f t="shared" si="60"/>
        <v>0</v>
      </c>
    </row>
    <row r="3807" spans="12:15" x14ac:dyDescent="0.25">
      <c r="L3807" s="3" t="e">
        <f>VLOOKUP(C3807,Securities!A:D,4,FALSE)</f>
        <v>#N/A</v>
      </c>
      <c r="M3807" s="3" t="e">
        <f>VLOOKUP(C3807,Securities!A:B,2,FALSE)</f>
        <v>#N/A</v>
      </c>
      <c r="O3807" s="3">
        <f t="shared" si="60"/>
        <v>0</v>
      </c>
    </row>
    <row r="3808" spans="12:15" x14ac:dyDescent="0.25">
      <c r="L3808" s="3" t="e">
        <f>VLOOKUP(C3808,Securities!A:D,4,FALSE)</f>
        <v>#N/A</v>
      </c>
      <c r="M3808" s="3" t="e">
        <f>VLOOKUP(C3808,Securities!A:B,2,FALSE)</f>
        <v>#N/A</v>
      </c>
      <c r="O3808" s="3">
        <f t="shared" si="60"/>
        <v>0</v>
      </c>
    </row>
    <row r="3809" spans="12:15" x14ac:dyDescent="0.25">
      <c r="L3809" s="3" t="e">
        <f>VLOOKUP(C3809,Securities!A:D,4,FALSE)</f>
        <v>#N/A</v>
      </c>
      <c r="M3809" s="3" t="e">
        <f>VLOOKUP(C3809,Securities!A:B,2,FALSE)</f>
        <v>#N/A</v>
      </c>
      <c r="O3809" s="3">
        <f t="shared" si="60"/>
        <v>0</v>
      </c>
    </row>
    <row r="3810" spans="12:15" x14ac:dyDescent="0.25">
      <c r="L3810" s="3" t="e">
        <f>VLOOKUP(C3810,Securities!A:D,4,FALSE)</f>
        <v>#N/A</v>
      </c>
      <c r="M3810" s="3" t="e">
        <f>VLOOKUP(C3810,Securities!A:B,2,FALSE)</f>
        <v>#N/A</v>
      </c>
      <c r="O3810" s="3">
        <f t="shared" si="60"/>
        <v>0</v>
      </c>
    </row>
    <row r="3811" spans="12:15" x14ac:dyDescent="0.25">
      <c r="L3811" s="3" t="e">
        <f>VLOOKUP(C3811,Securities!A:D,4,FALSE)</f>
        <v>#N/A</v>
      </c>
      <c r="M3811" s="3" t="e">
        <f>VLOOKUP(C3811,Securities!A:B,2,FALSE)</f>
        <v>#N/A</v>
      </c>
      <c r="O3811" s="3">
        <f t="shared" si="60"/>
        <v>0</v>
      </c>
    </row>
    <row r="3812" spans="12:15" x14ac:dyDescent="0.25">
      <c r="L3812" s="3" t="e">
        <f>VLOOKUP(C3812,Securities!A:D,4,FALSE)</f>
        <v>#N/A</v>
      </c>
      <c r="M3812" s="3" t="e">
        <f>VLOOKUP(C3812,Securities!A:B,2,FALSE)</f>
        <v>#N/A</v>
      </c>
      <c r="O3812" s="3">
        <f t="shared" si="60"/>
        <v>0</v>
      </c>
    </row>
    <row r="3813" spans="12:15" x14ac:dyDescent="0.25">
      <c r="L3813" s="3" t="e">
        <f>VLOOKUP(C3813,Securities!A:D,4,FALSE)</f>
        <v>#N/A</v>
      </c>
      <c r="M3813" s="3" t="e">
        <f>VLOOKUP(C3813,Securities!A:B,2,FALSE)</f>
        <v>#N/A</v>
      </c>
      <c r="O3813" s="3">
        <f t="shared" si="60"/>
        <v>0</v>
      </c>
    </row>
    <row r="3814" spans="12:15" x14ac:dyDescent="0.25">
      <c r="L3814" s="3" t="e">
        <f>VLOOKUP(C3814,Securities!A:D,4,FALSE)</f>
        <v>#N/A</v>
      </c>
      <c r="M3814" s="3" t="e">
        <f>VLOOKUP(C3814,Securities!A:B,2,FALSE)</f>
        <v>#N/A</v>
      </c>
      <c r="O3814" s="3">
        <f t="shared" si="60"/>
        <v>0</v>
      </c>
    </row>
    <row r="3815" spans="12:15" x14ac:dyDescent="0.25">
      <c r="L3815" s="3" t="e">
        <f>VLOOKUP(C3815,Securities!A:D,4,FALSE)</f>
        <v>#N/A</v>
      </c>
      <c r="M3815" s="3" t="e">
        <f>VLOOKUP(C3815,Securities!A:B,2,FALSE)</f>
        <v>#N/A</v>
      </c>
      <c r="O3815" s="3">
        <f t="shared" si="60"/>
        <v>0</v>
      </c>
    </row>
    <row r="3816" spans="12:15" x14ac:dyDescent="0.25">
      <c r="L3816" s="3" t="e">
        <f>VLOOKUP(C3816,Securities!A:D,4,FALSE)</f>
        <v>#N/A</v>
      </c>
      <c r="M3816" s="3" t="e">
        <f>VLOOKUP(C3816,Securities!A:B,2,FALSE)</f>
        <v>#N/A</v>
      </c>
      <c r="O3816" s="3">
        <f t="shared" si="60"/>
        <v>0</v>
      </c>
    </row>
    <row r="3817" spans="12:15" x14ac:dyDescent="0.25">
      <c r="L3817" s="3" t="e">
        <f>VLOOKUP(C3817,Securities!A:D,4,FALSE)</f>
        <v>#N/A</v>
      </c>
      <c r="M3817" s="3" t="e">
        <f>VLOOKUP(C3817,Securities!A:B,2,FALSE)</f>
        <v>#N/A</v>
      </c>
      <c r="O3817" s="3">
        <f t="shared" si="60"/>
        <v>0</v>
      </c>
    </row>
    <row r="3818" spans="12:15" x14ac:dyDescent="0.25">
      <c r="L3818" s="3" t="e">
        <f>VLOOKUP(C3818,Securities!A:D,4,FALSE)</f>
        <v>#N/A</v>
      </c>
      <c r="M3818" s="3" t="e">
        <f>VLOOKUP(C3818,Securities!A:B,2,FALSE)</f>
        <v>#N/A</v>
      </c>
      <c r="O3818" s="3">
        <f t="shared" si="60"/>
        <v>0</v>
      </c>
    </row>
    <row r="3819" spans="12:15" x14ac:dyDescent="0.25">
      <c r="L3819" s="3" t="e">
        <f>VLOOKUP(C3819,Securities!A:D,4,FALSE)</f>
        <v>#N/A</v>
      </c>
      <c r="M3819" s="3" t="e">
        <f>VLOOKUP(C3819,Securities!A:B,2,FALSE)</f>
        <v>#N/A</v>
      </c>
      <c r="O3819" s="3">
        <f t="shared" si="60"/>
        <v>0</v>
      </c>
    </row>
    <row r="3820" spans="12:15" x14ac:dyDescent="0.25">
      <c r="L3820" s="3" t="e">
        <f>VLOOKUP(C3820,Securities!A:D,4,FALSE)</f>
        <v>#N/A</v>
      </c>
      <c r="M3820" s="3" t="e">
        <f>VLOOKUP(C3820,Securities!A:B,2,FALSE)</f>
        <v>#N/A</v>
      </c>
      <c r="O3820" s="3">
        <f t="shared" si="60"/>
        <v>0</v>
      </c>
    </row>
    <row r="3821" spans="12:15" x14ac:dyDescent="0.25">
      <c r="L3821" s="3" t="e">
        <f>VLOOKUP(C3821,Securities!A:D,4,FALSE)</f>
        <v>#N/A</v>
      </c>
      <c r="M3821" s="3" t="e">
        <f>VLOOKUP(C3821,Securities!A:B,2,FALSE)</f>
        <v>#N/A</v>
      </c>
      <c r="O3821" s="3">
        <f t="shared" si="60"/>
        <v>0</v>
      </c>
    </row>
    <row r="3822" spans="12:15" x14ac:dyDescent="0.25">
      <c r="L3822" s="3" t="e">
        <f>VLOOKUP(C3822,Securities!A:D,4,FALSE)</f>
        <v>#N/A</v>
      </c>
      <c r="M3822" s="3" t="e">
        <f>VLOOKUP(C3822,Securities!A:B,2,FALSE)</f>
        <v>#N/A</v>
      </c>
      <c r="O3822" s="3">
        <f t="shared" si="60"/>
        <v>0</v>
      </c>
    </row>
    <row r="3823" spans="12:15" x14ac:dyDescent="0.25">
      <c r="L3823" s="3" t="e">
        <f>VLOOKUP(C3823,Securities!A:D,4,FALSE)</f>
        <v>#N/A</v>
      </c>
      <c r="M3823" s="3" t="e">
        <f>VLOOKUP(C3823,Securities!A:B,2,FALSE)</f>
        <v>#N/A</v>
      </c>
      <c r="O3823" s="3">
        <f t="shared" si="60"/>
        <v>0</v>
      </c>
    </row>
    <row r="3824" spans="12:15" x14ac:dyDescent="0.25">
      <c r="L3824" s="3" t="e">
        <f>VLOOKUP(C3824,Securities!A:D,4,FALSE)</f>
        <v>#N/A</v>
      </c>
      <c r="M3824" s="3" t="e">
        <f>VLOOKUP(C3824,Securities!A:B,2,FALSE)</f>
        <v>#N/A</v>
      </c>
      <c r="O3824" s="3">
        <f t="shared" si="60"/>
        <v>0</v>
      </c>
    </row>
    <row r="3825" spans="12:15" x14ac:dyDescent="0.25">
      <c r="L3825" s="3" t="e">
        <f>VLOOKUP(C3825,Securities!A:D,4,FALSE)</f>
        <v>#N/A</v>
      </c>
      <c r="M3825" s="3" t="e">
        <f>VLOOKUP(C3825,Securities!A:B,2,FALSE)</f>
        <v>#N/A</v>
      </c>
      <c r="O3825" s="3">
        <f t="shared" si="60"/>
        <v>0</v>
      </c>
    </row>
    <row r="3826" spans="12:15" x14ac:dyDescent="0.25">
      <c r="L3826" s="3" t="e">
        <f>VLOOKUP(C3826,Securities!A:D,4,FALSE)</f>
        <v>#N/A</v>
      </c>
      <c r="M3826" s="3" t="e">
        <f>VLOOKUP(C3826,Securities!A:B,2,FALSE)</f>
        <v>#N/A</v>
      </c>
      <c r="O3826" s="3">
        <f t="shared" si="60"/>
        <v>0</v>
      </c>
    </row>
    <row r="3827" spans="12:15" x14ac:dyDescent="0.25">
      <c r="L3827" s="3" t="e">
        <f>VLOOKUP(C3827,Securities!A:D,4,FALSE)</f>
        <v>#N/A</v>
      </c>
      <c r="M3827" s="3" t="e">
        <f>VLOOKUP(C3827,Securities!A:B,2,FALSE)</f>
        <v>#N/A</v>
      </c>
      <c r="O3827" s="3">
        <f t="shared" si="60"/>
        <v>0</v>
      </c>
    </row>
    <row r="3828" spans="12:15" x14ac:dyDescent="0.25">
      <c r="L3828" s="3" t="e">
        <f>VLOOKUP(C3828,Securities!A:D,4,FALSE)</f>
        <v>#N/A</v>
      </c>
      <c r="M3828" s="3" t="e">
        <f>VLOOKUP(C3828,Securities!A:B,2,FALSE)</f>
        <v>#N/A</v>
      </c>
      <c r="O3828" s="3">
        <f t="shared" si="60"/>
        <v>0</v>
      </c>
    </row>
    <row r="3829" spans="12:15" x14ac:dyDescent="0.25">
      <c r="L3829" s="3" t="e">
        <f>VLOOKUP(C3829,Securities!A:D,4,FALSE)</f>
        <v>#N/A</v>
      </c>
      <c r="M3829" s="3" t="e">
        <f>VLOOKUP(C3829,Securities!A:B,2,FALSE)</f>
        <v>#N/A</v>
      </c>
      <c r="O3829" s="3">
        <f t="shared" si="60"/>
        <v>0</v>
      </c>
    </row>
    <row r="3830" spans="12:15" x14ac:dyDescent="0.25">
      <c r="L3830" s="3" t="e">
        <f>VLOOKUP(C3830,Securities!A:D,4,FALSE)</f>
        <v>#N/A</v>
      </c>
      <c r="M3830" s="3" t="e">
        <f>VLOOKUP(C3830,Securities!A:B,2,FALSE)</f>
        <v>#N/A</v>
      </c>
      <c r="O3830" s="3">
        <f t="shared" si="60"/>
        <v>0</v>
      </c>
    </row>
    <row r="3831" spans="12:15" x14ac:dyDescent="0.25">
      <c r="L3831" s="3" t="e">
        <f>VLOOKUP(C3831,Securities!A:D,4,FALSE)</f>
        <v>#N/A</v>
      </c>
      <c r="M3831" s="3" t="e">
        <f>VLOOKUP(C3831,Securities!A:B,2,FALSE)</f>
        <v>#N/A</v>
      </c>
      <c r="O3831" s="3">
        <f t="shared" si="60"/>
        <v>0</v>
      </c>
    </row>
    <row r="3832" spans="12:15" x14ac:dyDescent="0.25">
      <c r="L3832" s="3" t="e">
        <f>VLOOKUP(C3832,Securities!A:D,4,FALSE)</f>
        <v>#N/A</v>
      </c>
      <c r="M3832" s="3" t="e">
        <f>VLOOKUP(C3832,Securities!A:B,2,FALSE)</f>
        <v>#N/A</v>
      </c>
      <c r="O3832" s="3">
        <f t="shared" si="60"/>
        <v>0</v>
      </c>
    </row>
    <row r="3833" spans="12:15" x14ac:dyDescent="0.25">
      <c r="L3833" s="3" t="e">
        <f>VLOOKUP(C3833,Securities!A:D,4,FALSE)</f>
        <v>#N/A</v>
      </c>
      <c r="M3833" s="3" t="e">
        <f>VLOOKUP(C3833,Securities!A:B,2,FALSE)</f>
        <v>#N/A</v>
      </c>
      <c r="O3833" s="3">
        <f t="shared" si="60"/>
        <v>0</v>
      </c>
    </row>
    <row r="3834" spans="12:15" x14ac:dyDescent="0.25">
      <c r="L3834" s="3" t="e">
        <f>VLOOKUP(C3834,Securities!A:D,4,FALSE)</f>
        <v>#N/A</v>
      </c>
      <c r="M3834" s="3" t="e">
        <f>VLOOKUP(C3834,Securities!A:B,2,FALSE)</f>
        <v>#N/A</v>
      </c>
      <c r="O3834" s="3">
        <f t="shared" si="60"/>
        <v>0</v>
      </c>
    </row>
    <row r="3835" spans="12:15" x14ac:dyDescent="0.25">
      <c r="L3835" s="3" t="e">
        <f>VLOOKUP(C3835,Securities!A:D,4,FALSE)</f>
        <v>#N/A</v>
      </c>
      <c r="M3835" s="3" t="e">
        <f>VLOOKUP(C3835,Securities!A:B,2,FALSE)</f>
        <v>#N/A</v>
      </c>
      <c r="O3835" s="3">
        <f t="shared" si="60"/>
        <v>0</v>
      </c>
    </row>
    <row r="3836" spans="12:15" x14ac:dyDescent="0.25">
      <c r="L3836" s="3" t="e">
        <f>VLOOKUP(C3836,Securities!A:D,4,FALSE)</f>
        <v>#N/A</v>
      </c>
      <c r="M3836" s="3" t="e">
        <f>VLOOKUP(C3836,Securities!A:B,2,FALSE)</f>
        <v>#N/A</v>
      </c>
      <c r="O3836" s="3">
        <f t="shared" si="60"/>
        <v>0</v>
      </c>
    </row>
    <row r="3837" spans="12:15" x14ac:dyDescent="0.25">
      <c r="L3837" s="3" t="e">
        <f>VLOOKUP(C3837,Securities!A:D,4,FALSE)</f>
        <v>#N/A</v>
      </c>
      <c r="M3837" s="3" t="e">
        <f>VLOOKUP(C3837,Securities!A:B,2,FALSE)</f>
        <v>#N/A</v>
      </c>
      <c r="O3837" s="3">
        <f t="shared" si="60"/>
        <v>0</v>
      </c>
    </row>
    <row r="3838" spans="12:15" x14ac:dyDescent="0.25">
      <c r="L3838" s="3" t="e">
        <f>VLOOKUP(C3838,Securities!A:D,4,FALSE)</f>
        <v>#N/A</v>
      </c>
      <c r="M3838" s="3" t="e">
        <f>VLOOKUP(C3838,Securities!A:B,2,FALSE)</f>
        <v>#N/A</v>
      </c>
      <c r="O3838" s="3">
        <f t="shared" si="60"/>
        <v>0</v>
      </c>
    </row>
    <row r="3839" spans="12:15" x14ac:dyDescent="0.25">
      <c r="L3839" s="3" t="e">
        <f>VLOOKUP(C3839,Securities!A:D,4,FALSE)</f>
        <v>#N/A</v>
      </c>
      <c r="M3839" s="3" t="e">
        <f>VLOOKUP(C3839,Securities!A:B,2,FALSE)</f>
        <v>#N/A</v>
      </c>
      <c r="O3839" s="3">
        <f t="shared" si="60"/>
        <v>0</v>
      </c>
    </row>
    <row r="3840" spans="12:15" x14ac:dyDescent="0.25">
      <c r="L3840" s="3" t="e">
        <f>VLOOKUP(C3840,Securities!A:D,4,FALSE)</f>
        <v>#N/A</v>
      </c>
      <c r="M3840" s="3" t="e">
        <f>VLOOKUP(C3840,Securities!A:B,2,FALSE)</f>
        <v>#N/A</v>
      </c>
      <c r="O3840" s="3">
        <f t="shared" si="60"/>
        <v>0</v>
      </c>
    </row>
    <row r="3841" spans="12:15" x14ac:dyDescent="0.25">
      <c r="L3841" s="3" t="e">
        <f>VLOOKUP(C3841,Securities!A:D,4,FALSE)</f>
        <v>#N/A</v>
      </c>
      <c r="M3841" s="3" t="e">
        <f>VLOOKUP(C3841,Securities!A:B,2,FALSE)</f>
        <v>#N/A</v>
      </c>
      <c r="O3841" s="3">
        <f t="shared" si="60"/>
        <v>0</v>
      </c>
    </row>
    <row r="3842" spans="12:15" x14ac:dyDescent="0.25">
      <c r="L3842" s="3" t="e">
        <f>VLOOKUP(C3842,Securities!A:D,4,FALSE)</f>
        <v>#N/A</v>
      </c>
      <c r="M3842" s="3" t="e">
        <f>VLOOKUP(C3842,Securities!A:B,2,FALSE)</f>
        <v>#N/A</v>
      </c>
      <c r="O3842" s="3">
        <f t="shared" si="60"/>
        <v>0</v>
      </c>
    </row>
    <row r="3843" spans="12:15" x14ac:dyDescent="0.25">
      <c r="L3843" s="3" t="e">
        <f>VLOOKUP(C3843,Securities!A:D,4,FALSE)</f>
        <v>#N/A</v>
      </c>
      <c r="M3843" s="3" t="e">
        <f>VLOOKUP(C3843,Securities!A:B,2,FALSE)</f>
        <v>#N/A</v>
      </c>
      <c r="O3843" s="3">
        <f t="shared" si="60"/>
        <v>0</v>
      </c>
    </row>
    <row r="3844" spans="12:15" x14ac:dyDescent="0.25">
      <c r="L3844" s="3" t="e">
        <f>VLOOKUP(C3844,Securities!A:D,4,FALSE)</f>
        <v>#N/A</v>
      </c>
      <c r="M3844" s="3" t="e">
        <f>VLOOKUP(C3844,Securities!A:B,2,FALSE)</f>
        <v>#N/A</v>
      </c>
      <c r="O3844" s="3">
        <f t="shared" si="60"/>
        <v>0</v>
      </c>
    </row>
    <row r="3845" spans="12:15" x14ac:dyDescent="0.25">
      <c r="L3845" s="3" t="e">
        <f>VLOOKUP(C3845,Securities!A:D,4,FALSE)</f>
        <v>#N/A</v>
      </c>
      <c r="M3845" s="3" t="e">
        <f>VLOOKUP(C3845,Securities!A:B,2,FALSE)</f>
        <v>#N/A</v>
      </c>
      <c r="O3845" s="3">
        <f t="shared" si="60"/>
        <v>0</v>
      </c>
    </row>
    <row r="3846" spans="12:15" x14ac:dyDescent="0.25">
      <c r="L3846" s="3" t="e">
        <f>VLOOKUP(C3846,Securities!A:D,4,FALSE)</f>
        <v>#N/A</v>
      </c>
      <c r="M3846" s="3" t="e">
        <f>VLOOKUP(C3846,Securities!A:B,2,FALSE)</f>
        <v>#N/A</v>
      </c>
      <c r="O3846" s="3">
        <f t="shared" ref="O3846:O3909" si="61">SUMIFS(E:E,C:C,C3846,B:B,B3846)</f>
        <v>0</v>
      </c>
    </row>
    <row r="3847" spans="12:15" x14ac:dyDescent="0.25">
      <c r="L3847" s="3" t="e">
        <f>VLOOKUP(C3847,Securities!A:D,4,FALSE)</f>
        <v>#N/A</v>
      </c>
      <c r="M3847" s="3" t="e">
        <f>VLOOKUP(C3847,Securities!A:B,2,FALSE)</f>
        <v>#N/A</v>
      </c>
      <c r="O3847" s="3">
        <f t="shared" si="61"/>
        <v>0</v>
      </c>
    </row>
    <row r="3848" spans="12:15" x14ac:dyDescent="0.25">
      <c r="L3848" s="3" t="e">
        <f>VLOOKUP(C3848,Securities!A:D,4,FALSE)</f>
        <v>#N/A</v>
      </c>
      <c r="M3848" s="3" t="e">
        <f>VLOOKUP(C3848,Securities!A:B,2,FALSE)</f>
        <v>#N/A</v>
      </c>
      <c r="O3848" s="3">
        <f t="shared" si="61"/>
        <v>0</v>
      </c>
    </row>
    <row r="3849" spans="12:15" x14ac:dyDescent="0.25">
      <c r="L3849" s="3" t="e">
        <f>VLOOKUP(C3849,Securities!A:D,4,FALSE)</f>
        <v>#N/A</v>
      </c>
      <c r="M3849" s="3" t="e">
        <f>VLOOKUP(C3849,Securities!A:B,2,FALSE)</f>
        <v>#N/A</v>
      </c>
      <c r="O3849" s="3">
        <f t="shared" si="61"/>
        <v>0</v>
      </c>
    </row>
    <row r="3850" spans="12:15" x14ac:dyDescent="0.25">
      <c r="L3850" s="3" t="e">
        <f>VLOOKUP(C3850,Securities!A:D,4,FALSE)</f>
        <v>#N/A</v>
      </c>
      <c r="M3850" s="3" t="e">
        <f>VLOOKUP(C3850,Securities!A:B,2,FALSE)</f>
        <v>#N/A</v>
      </c>
      <c r="O3850" s="3">
        <f t="shared" si="61"/>
        <v>0</v>
      </c>
    </row>
    <row r="3851" spans="12:15" x14ac:dyDescent="0.25">
      <c r="L3851" s="3" t="e">
        <f>VLOOKUP(C3851,Securities!A:D,4,FALSE)</f>
        <v>#N/A</v>
      </c>
      <c r="M3851" s="3" t="e">
        <f>VLOOKUP(C3851,Securities!A:B,2,FALSE)</f>
        <v>#N/A</v>
      </c>
      <c r="O3851" s="3">
        <f t="shared" si="61"/>
        <v>0</v>
      </c>
    </row>
    <row r="3852" spans="12:15" x14ac:dyDescent="0.25">
      <c r="L3852" s="3" t="e">
        <f>VLOOKUP(C3852,Securities!A:D,4,FALSE)</f>
        <v>#N/A</v>
      </c>
      <c r="M3852" s="3" t="e">
        <f>VLOOKUP(C3852,Securities!A:B,2,FALSE)</f>
        <v>#N/A</v>
      </c>
      <c r="O3852" s="3">
        <f t="shared" si="61"/>
        <v>0</v>
      </c>
    </row>
    <row r="3853" spans="12:15" x14ac:dyDescent="0.25">
      <c r="L3853" s="3" t="e">
        <f>VLOOKUP(C3853,Securities!A:D,4,FALSE)</f>
        <v>#N/A</v>
      </c>
      <c r="M3853" s="3" t="e">
        <f>VLOOKUP(C3853,Securities!A:B,2,FALSE)</f>
        <v>#N/A</v>
      </c>
      <c r="O3853" s="3">
        <f t="shared" si="61"/>
        <v>0</v>
      </c>
    </row>
    <row r="3854" spans="12:15" x14ac:dyDescent="0.25">
      <c r="L3854" s="3" t="e">
        <f>VLOOKUP(C3854,Securities!A:D,4,FALSE)</f>
        <v>#N/A</v>
      </c>
      <c r="M3854" s="3" t="e">
        <f>VLOOKUP(C3854,Securities!A:B,2,FALSE)</f>
        <v>#N/A</v>
      </c>
      <c r="O3854" s="3">
        <f t="shared" si="61"/>
        <v>0</v>
      </c>
    </row>
    <row r="3855" spans="12:15" x14ac:dyDescent="0.25">
      <c r="L3855" s="3" t="e">
        <f>VLOOKUP(C3855,Securities!A:D,4,FALSE)</f>
        <v>#N/A</v>
      </c>
      <c r="M3855" s="3" t="e">
        <f>VLOOKUP(C3855,Securities!A:B,2,FALSE)</f>
        <v>#N/A</v>
      </c>
      <c r="O3855" s="3">
        <f t="shared" si="61"/>
        <v>0</v>
      </c>
    </row>
    <row r="3856" spans="12:15" x14ac:dyDescent="0.25">
      <c r="L3856" s="3" t="e">
        <f>VLOOKUP(C3856,Securities!A:D,4,FALSE)</f>
        <v>#N/A</v>
      </c>
      <c r="M3856" s="3" t="e">
        <f>VLOOKUP(C3856,Securities!A:B,2,FALSE)</f>
        <v>#N/A</v>
      </c>
      <c r="O3856" s="3">
        <f t="shared" si="61"/>
        <v>0</v>
      </c>
    </row>
    <row r="3857" spans="12:15" x14ac:dyDescent="0.25">
      <c r="L3857" s="3" t="e">
        <f>VLOOKUP(C3857,Securities!A:D,4,FALSE)</f>
        <v>#N/A</v>
      </c>
      <c r="M3857" s="3" t="e">
        <f>VLOOKUP(C3857,Securities!A:B,2,FALSE)</f>
        <v>#N/A</v>
      </c>
      <c r="O3857" s="3">
        <f t="shared" si="61"/>
        <v>0</v>
      </c>
    </row>
    <row r="3858" spans="12:15" x14ac:dyDescent="0.25">
      <c r="L3858" s="3" t="e">
        <f>VLOOKUP(C3858,Securities!A:D,4,FALSE)</f>
        <v>#N/A</v>
      </c>
      <c r="M3858" s="3" t="e">
        <f>VLOOKUP(C3858,Securities!A:B,2,FALSE)</f>
        <v>#N/A</v>
      </c>
      <c r="O3858" s="3">
        <f t="shared" si="61"/>
        <v>0</v>
      </c>
    </row>
    <row r="3859" spans="12:15" x14ac:dyDescent="0.25">
      <c r="L3859" s="3" t="e">
        <f>VLOOKUP(C3859,Securities!A:D,4,FALSE)</f>
        <v>#N/A</v>
      </c>
      <c r="M3859" s="3" t="e">
        <f>VLOOKUP(C3859,Securities!A:B,2,FALSE)</f>
        <v>#N/A</v>
      </c>
      <c r="O3859" s="3">
        <f t="shared" si="61"/>
        <v>0</v>
      </c>
    </row>
    <row r="3860" spans="12:15" x14ac:dyDescent="0.25">
      <c r="L3860" s="3" t="e">
        <f>VLOOKUP(C3860,Securities!A:D,4,FALSE)</f>
        <v>#N/A</v>
      </c>
      <c r="M3860" s="3" t="e">
        <f>VLOOKUP(C3860,Securities!A:B,2,FALSE)</f>
        <v>#N/A</v>
      </c>
      <c r="O3860" s="3">
        <f t="shared" si="61"/>
        <v>0</v>
      </c>
    </row>
    <row r="3861" spans="12:15" x14ac:dyDescent="0.25">
      <c r="L3861" s="3" t="e">
        <f>VLOOKUP(C3861,Securities!A:D,4,FALSE)</f>
        <v>#N/A</v>
      </c>
      <c r="M3861" s="3" t="e">
        <f>VLOOKUP(C3861,Securities!A:B,2,FALSE)</f>
        <v>#N/A</v>
      </c>
      <c r="O3861" s="3">
        <f t="shared" si="61"/>
        <v>0</v>
      </c>
    </row>
    <row r="3862" spans="12:15" x14ac:dyDescent="0.25">
      <c r="L3862" s="3" t="e">
        <f>VLOOKUP(C3862,Securities!A:D,4,FALSE)</f>
        <v>#N/A</v>
      </c>
      <c r="M3862" s="3" t="e">
        <f>VLOOKUP(C3862,Securities!A:B,2,FALSE)</f>
        <v>#N/A</v>
      </c>
      <c r="O3862" s="3">
        <f t="shared" si="61"/>
        <v>0</v>
      </c>
    </row>
    <row r="3863" spans="12:15" x14ac:dyDescent="0.25">
      <c r="L3863" s="3" t="e">
        <f>VLOOKUP(C3863,Securities!A:D,4,FALSE)</f>
        <v>#N/A</v>
      </c>
      <c r="M3863" s="3" t="e">
        <f>VLOOKUP(C3863,Securities!A:B,2,FALSE)</f>
        <v>#N/A</v>
      </c>
      <c r="O3863" s="3">
        <f t="shared" si="61"/>
        <v>0</v>
      </c>
    </row>
    <row r="3864" spans="12:15" x14ac:dyDescent="0.25">
      <c r="L3864" s="3" t="e">
        <f>VLOOKUP(C3864,Securities!A:D,4,FALSE)</f>
        <v>#N/A</v>
      </c>
      <c r="M3864" s="3" t="e">
        <f>VLOOKUP(C3864,Securities!A:B,2,FALSE)</f>
        <v>#N/A</v>
      </c>
      <c r="O3864" s="3">
        <f t="shared" si="61"/>
        <v>0</v>
      </c>
    </row>
    <row r="3865" spans="12:15" x14ac:dyDescent="0.25">
      <c r="L3865" s="3" t="e">
        <f>VLOOKUP(C3865,Securities!A:D,4,FALSE)</f>
        <v>#N/A</v>
      </c>
      <c r="M3865" s="3" t="e">
        <f>VLOOKUP(C3865,Securities!A:B,2,FALSE)</f>
        <v>#N/A</v>
      </c>
      <c r="O3865" s="3">
        <f t="shared" si="61"/>
        <v>0</v>
      </c>
    </row>
    <row r="3866" spans="12:15" x14ac:dyDescent="0.25">
      <c r="L3866" s="3" t="e">
        <f>VLOOKUP(C3866,Securities!A:D,4,FALSE)</f>
        <v>#N/A</v>
      </c>
      <c r="M3866" s="3" t="e">
        <f>VLOOKUP(C3866,Securities!A:B,2,FALSE)</f>
        <v>#N/A</v>
      </c>
      <c r="O3866" s="3">
        <f t="shared" si="61"/>
        <v>0</v>
      </c>
    </row>
    <row r="3867" spans="12:15" x14ac:dyDescent="0.25">
      <c r="L3867" s="3" t="e">
        <f>VLOOKUP(C3867,Securities!A:D,4,FALSE)</f>
        <v>#N/A</v>
      </c>
      <c r="M3867" s="3" t="e">
        <f>VLOOKUP(C3867,Securities!A:B,2,FALSE)</f>
        <v>#N/A</v>
      </c>
      <c r="O3867" s="3">
        <f t="shared" si="61"/>
        <v>0</v>
      </c>
    </row>
    <row r="3868" spans="12:15" x14ac:dyDescent="0.25">
      <c r="L3868" s="3" t="e">
        <f>VLOOKUP(C3868,Securities!A:D,4,FALSE)</f>
        <v>#N/A</v>
      </c>
      <c r="M3868" s="3" t="e">
        <f>VLOOKUP(C3868,Securities!A:B,2,FALSE)</f>
        <v>#N/A</v>
      </c>
      <c r="O3868" s="3">
        <f t="shared" si="61"/>
        <v>0</v>
      </c>
    </row>
    <row r="3869" spans="12:15" x14ac:dyDescent="0.25">
      <c r="L3869" s="3" t="e">
        <f>VLOOKUP(C3869,Securities!A:D,4,FALSE)</f>
        <v>#N/A</v>
      </c>
      <c r="M3869" s="3" t="e">
        <f>VLOOKUP(C3869,Securities!A:B,2,FALSE)</f>
        <v>#N/A</v>
      </c>
      <c r="O3869" s="3">
        <f t="shared" si="61"/>
        <v>0</v>
      </c>
    </row>
    <row r="3870" spans="12:15" x14ac:dyDescent="0.25">
      <c r="L3870" s="3" t="e">
        <f>VLOOKUP(C3870,Securities!A:D,4,FALSE)</f>
        <v>#N/A</v>
      </c>
      <c r="M3870" s="3" t="e">
        <f>VLOOKUP(C3870,Securities!A:B,2,FALSE)</f>
        <v>#N/A</v>
      </c>
      <c r="O3870" s="3">
        <f t="shared" si="61"/>
        <v>0</v>
      </c>
    </row>
    <row r="3871" spans="12:15" x14ac:dyDescent="0.25">
      <c r="L3871" s="3" t="e">
        <f>VLOOKUP(C3871,Securities!A:D,4,FALSE)</f>
        <v>#N/A</v>
      </c>
      <c r="M3871" s="3" t="e">
        <f>VLOOKUP(C3871,Securities!A:B,2,FALSE)</f>
        <v>#N/A</v>
      </c>
      <c r="O3871" s="3">
        <f t="shared" si="61"/>
        <v>0</v>
      </c>
    </row>
    <row r="3872" spans="12:15" x14ac:dyDescent="0.25">
      <c r="L3872" s="3" t="e">
        <f>VLOOKUP(C3872,Securities!A:D,4,FALSE)</f>
        <v>#N/A</v>
      </c>
      <c r="M3872" s="3" t="e">
        <f>VLOOKUP(C3872,Securities!A:B,2,FALSE)</f>
        <v>#N/A</v>
      </c>
      <c r="O3872" s="3">
        <f t="shared" si="61"/>
        <v>0</v>
      </c>
    </row>
    <row r="3873" spans="12:15" x14ac:dyDescent="0.25">
      <c r="L3873" s="3" t="e">
        <f>VLOOKUP(C3873,Securities!A:D,4,FALSE)</f>
        <v>#N/A</v>
      </c>
      <c r="M3873" s="3" t="e">
        <f>VLOOKUP(C3873,Securities!A:B,2,FALSE)</f>
        <v>#N/A</v>
      </c>
      <c r="O3873" s="3">
        <f t="shared" si="61"/>
        <v>0</v>
      </c>
    </row>
    <row r="3874" spans="12:15" x14ac:dyDescent="0.25">
      <c r="L3874" s="3" t="e">
        <f>VLOOKUP(C3874,Securities!A:D,4,FALSE)</f>
        <v>#N/A</v>
      </c>
      <c r="M3874" s="3" t="e">
        <f>VLOOKUP(C3874,Securities!A:B,2,FALSE)</f>
        <v>#N/A</v>
      </c>
      <c r="O3874" s="3">
        <f t="shared" si="61"/>
        <v>0</v>
      </c>
    </row>
    <row r="3875" spans="12:15" x14ac:dyDescent="0.25">
      <c r="L3875" s="3" t="e">
        <f>VLOOKUP(C3875,Securities!A:D,4,FALSE)</f>
        <v>#N/A</v>
      </c>
      <c r="M3875" s="3" t="e">
        <f>VLOOKUP(C3875,Securities!A:B,2,FALSE)</f>
        <v>#N/A</v>
      </c>
      <c r="O3875" s="3">
        <f t="shared" si="61"/>
        <v>0</v>
      </c>
    </row>
    <row r="3876" spans="12:15" x14ac:dyDescent="0.25">
      <c r="L3876" s="3" t="e">
        <f>VLOOKUP(C3876,Securities!A:D,4,FALSE)</f>
        <v>#N/A</v>
      </c>
      <c r="M3876" s="3" t="e">
        <f>VLOOKUP(C3876,Securities!A:B,2,FALSE)</f>
        <v>#N/A</v>
      </c>
      <c r="O3876" s="3">
        <f t="shared" si="61"/>
        <v>0</v>
      </c>
    </row>
    <row r="3877" spans="12:15" x14ac:dyDescent="0.25">
      <c r="L3877" s="3" t="e">
        <f>VLOOKUP(C3877,Securities!A:D,4,FALSE)</f>
        <v>#N/A</v>
      </c>
      <c r="M3877" s="3" t="e">
        <f>VLOOKUP(C3877,Securities!A:B,2,FALSE)</f>
        <v>#N/A</v>
      </c>
      <c r="O3877" s="3">
        <f t="shared" si="61"/>
        <v>0</v>
      </c>
    </row>
    <row r="3878" spans="12:15" x14ac:dyDescent="0.25">
      <c r="L3878" s="3" t="e">
        <f>VLOOKUP(C3878,Securities!A:D,4,FALSE)</f>
        <v>#N/A</v>
      </c>
      <c r="M3878" s="3" t="e">
        <f>VLOOKUP(C3878,Securities!A:B,2,FALSE)</f>
        <v>#N/A</v>
      </c>
      <c r="O3878" s="3">
        <f t="shared" si="61"/>
        <v>0</v>
      </c>
    </row>
    <row r="3879" spans="12:15" x14ac:dyDescent="0.25">
      <c r="L3879" s="3" t="e">
        <f>VLOOKUP(C3879,Securities!A:D,4,FALSE)</f>
        <v>#N/A</v>
      </c>
      <c r="M3879" s="3" t="e">
        <f>VLOOKUP(C3879,Securities!A:B,2,FALSE)</f>
        <v>#N/A</v>
      </c>
      <c r="O3879" s="3">
        <f t="shared" si="61"/>
        <v>0</v>
      </c>
    </row>
    <row r="3880" spans="12:15" x14ac:dyDescent="0.25">
      <c r="L3880" s="3" t="e">
        <f>VLOOKUP(C3880,Securities!A:D,4,FALSE)</f>
        <v>#N/A</v>
      </c>
      <c r="M3880" s="3" t="e">
        <f>VLOOKUP(C3880,Securities!A:B,2,FALSE)</f>
        <v>#N/A</v>
      </c>
      <c r="O3880" s="3">
        <f t="shared" si="61"/>
        <v>0</v>
      </c>
    </row>
    <row r="3881" spans="12:15" x14ac:dyDescent="0.25">
      <c r="L3881" s="3" t="e">
        <f>VLOOKUP(C3881,Securities!A:D,4,FALSE)</f>
        <v>#N/A</v>
      </c>
      <c r="M3881" s="3" t="e">
        <f>VLOOKUP(C3881,Securities!A:B,2,FALSE)</f>
        <v>#N/A</v>
      </c>
      <c r="O3881" s="3">
        <f t="shared" si="61"/>
        <v>0</v>
      </c>
    </row>
    <row r="3882" spans="12:15" x14ac:dyDescent="0.25">
      <c r="L3882" s="3" t="e">
        <f>VLOOKUP(C3882,Securities!A:D,4,FALSE)</f>
        <v>#N/A</v>
      </c>
      <c r="M3882" s="3" t="e">
        <f>VLOOKUP(C3882,Securities!A:B,2,FALSE)</f>
        <v>#N/A</v>
      </c>
      <c r="O3882" s="3">
        <f t="shared" si="61"/>
        <v>0</v>
      </c>
    </row>
    <row r="3883" spans="12:15" x14ac:dyDescent="0.25">
      <c r="L3883" s="3" t="e">
        <f>VLOOKUP(C3883,Securities!A:D,4,FALSE)</f>
        <v>#N/A</v>
      </c>
      <c r="M3883" s="3" t="e">
        <f>VLOOKUP(C3883,Securities!A:B,2,FALSE)</f>
        <v>#N/A</v>
      </c>
      <c r="O3883" s="3">
        <f t="shared" si="61"/>
        <v>0</v>
      </c>
    </row>
    <row r="3884" spans="12:15" x14ac:dyDescent="0.25">
      <c r="L3884" s="3" t="e">
        <f>VLOOKUP(C3884,Securities!A:D,4,FALSE)</f>
        <v>#N/A</v>
      </c>
      <c r="M3884" s="3" t="e">
        <f>VLOOKUP(C3884,Securities!A:B,2,FALSE)</f>
        <v>#N/A</v>
      </c>
      <c r="O3884" s="3">
        <f t="shared" si="61"/>
        <v>0</v>
      </c>
    </row>
    <row r="3885" spans="12:15" x14ac:dyDescent="0.25">
      <c r="L3885" s="3" t="e">
        <f>VLOOKUP(C3885,Securities!A:D,4,FALSE)</f>
        <v>#N/A</v>
      </c>
      <c r="M3885" s="3" t="e">
        <f>VLOOKUP(C3885,Securities!A:B,2,FALSE)</f>
        <v>#N/A</v>
      </c>
      <c r="O3885" s="3">
        <f t="shared" si="61"/>
        <v>0</v>
      </c>
    </row>
    <row r="3886" spans="12:15" x14ac:dyDescent="0.25">
      <c r="L3886" s="3" t="e">
        <f>VLOOKUP(C3886,Securities!A:D,4,FALSE)</f>
        <v>#N/A</v>
      </c>
      <c r="M3886" s="3" t="e">
        <f>VLOOKUP(C3886,Securities!A:B,2,FALSE)</f>
        <v>#N/A</v>
      </c>
      <c r="O3886" s="3">
        <f t="shared" si="61"/>
        <v>0</v>
      </c>
    </row>
    <row r="3887" spans="12:15" x14ac:dyDescent="0.25">
      <c r="L3887" s="3" t="e">
        <f>VLOOKUP(C3887,Securities!A:D,4,FALSE)</f>
        <v>#N/A</v>
      </c>
      <c r="M3887" s="3" t="e">
        <f>VLOOKUP(C3887,Securities!A:B,2,FALSE)</f>
        <v>#N/A</v>
      </c>
      <c r="O3887" s="3">
        <f t="shared" si="61"/>
        <v>0</v>
      </c>
    </row>
    <row r="3888" spans="12:15" x14ac:dyDescent="0.25">
      <c r="L3888" s="3" t="e">
        <f>VLOOKUP(C3888,Securities!A:D,4,FALSE)</f>
        <v>#N/A</v>
      </c>
      <c r="M3888" s="3" t="e">
        <f>VLOOKUP(C3888,Securities!A:B,2,FALSE)</f>
        <v>#N/A</v>
      </c>
      <c r="O3888" s="3">
        <f t="shared" si="61"/>
        <v>0</v>
      </c>
    </row>
    <row r="3889" spans="12:15" x14ac:dyDescent="0.25">
      <c r="L3889" s="3" t="e">
        <f>VLOOKUP(C3889,Securities!A:D,4,FALSE)</f>
        <v>#N/A</v>
      </c>
      <c r="M3889" s="3" t="e">
        <f>VLOOKUP(C3889,Securities!A:B,2,FALSE)</f>
        <v>#N/A</v>
      </c>
      <c r="O3889" s="3">
        <f t="shared" si="61"/>
        <v>0</v>
      </c>
    </row>
    <row r="3890" spans="12:15" x14ac:dyDescent="0.25">
      <c r="L3890" s="3" t="e">
        <f>VLOOKUP(C3890,Securities!A:D,4,FALSE)</f>
        <v>#N/A</v>
      </c>
      <c r="M3890" s="3" t="e">
        <f>VLOOKUP(C3890,Securities!A:B,2,FALSE)</f>
        <v>#N/A</v>
      </c>
      <c r="O3890" s="3">
        <f t="shared" si="61"/>
        <v>0</v>
      </c>
    </row>
    <row r="3891" spans="12:15" x14ac:dyDescent="0.25">
      <c r="L3891" s="3" t="e">
        <f>VLOOKUP(C3891,Securities!A:D,4,FALSE)</f>
        <v>#N/A</v>
      </c>
      <c r="M3891" s="3" t="e">
        <f>VLOOKUP(C3891,Securities!A:B,2,FALSE)</f>
        <v>#N/A</v>
      </c>
      <c r="O3891" s="3">
        <f t="shared" si="61"/>
        <v>0</v>
      </c>
    </row>
    <row r="3892" spans="12:15" x14ac:dyDescent="0.25">
      <c r="L3892" s="3" t="e">
        <f>VLOOKUP(C3892,Securities!A:D,4,FALSE)</f>
        <v>#N/A</v>
      </c>
      <c r="M3892" s="3" t="e">
        <f>VLOOKUP(C3892,Securities!A:B,2,FALSE)</f>
        <v>#N/A</v>
      </c>
      <c r="O3892" s="3">
        <f t="shared" si="61"/>
        <v>0</v>
      </c>
    </row>
    <row r="3893" spans="12:15" x14ac:dyDescent="0.25">
      <c r="L3893" s="3" t="e">
        <f>VLOOKUP(C3893,Securities!A:D,4,FALSE)</f>
        <v>#N/A</v>
      </c>
      <c r="M3893" s="3" t="e">
        <f>VLOOKUP(C3893,Securities!A:B,2,FALSE)</f>
        <v>#N/A</v>
      </c>
      <c r="O3893" s="3">
        <f t="shared" si="61"/>
        <v>0</v>
      </c>
    </row>
    <row r="3894" spans="12:15" x14ac:dyDescent="0.25">
      <c r="L3894" s="3" t="e">
        <f>VLOOKUP(C3894,Securities!A:D,4,FALSE)</f>
        <v>#N/A</v>
      </c>
      <c r="M3894" s="3" t="e">
        <f>VLOOKUP(C3894,Securities!A:B,2,FALSE)</f>
        <v>#N/A</v>
      </c>
      <c r="O3894" s="3">
        <f t="shared" si="61"/>
        <v>0</v>
      </c>
    </row>
    <row r="3895" spans="12:15" x14ac:dyDescent="0.25">
      <c r="L3895" s="3" t="e">
        <f>VLOOKUP(C3895,Securities!A:D,4,FALSE)</f>
        <v>#N/A</v>
      </c>
      <c r="M3895" s="3" t="e">
        <f>VLOOKUP(C3895,Securities!A:B,2,FALSE)</f>
        <v>#N/A</v>
      </c>
      <c r="O3895" s="3">
        <f t="shared" si="61"/>
        <v>0</v>
      </c>
    </row>
    <row r="3896" spans="12:15" x14ac:dyDescent="0.25">
      <c r="L3896" s="3" t="e">
        <f>VLOOKUP(C3896,Securities!A:D,4,FALSE)</f>
        <v>#N/A</v>
      </c>
      <c r="M3896" s="3" t="e">
        <f>VLOOKUP(C3896,Securities!A:B,2,FALSE)</f>
        <v>#N/A</v>
      </c>
      <c r="O3896" s="3">
        <f t="shared" si="61"/>
        <v>0</v>
      </c>
    </row>
    <row r="3897" spans="12:15" x14ac:dyDescent="0.25">
      <c r="L3897" s="3" t="e">
        <f>VLOOKUP(C3897,Securities!A:D,4,FALSE)</f>
        <v>#N/A</v>
      </c>
      <c r="M3897" s="3" t="e">
        <f>VLOOKUP(C3897,Securities!A:B,2,FALSE)</f>
        <v>#N/A</v>
      </c>
      <c r="O3897" s="3">
        <f t="shared" si="61"/>
        <v>0</v>
      </c>
    </row>
    <row r="3898" spans="12:15" x14ac:dyDescent="0.25">
      <c r="L3898" s="3" t="e">
        <f>VLOOKUP(C3898,Securities!A:D,4,FALSE)</f>
        <v>#N/A</v>
      </c>
      <c r="M3898" s="3" t="e">
        <f>VLOOKUP(C3898,Securities!A:B,2,FALSE)</f>
        <v>#N/A</v>
      </c>
      <c r="O3898" s="3">
        <f t="shared" si="61"/>
        <v>0</v>
      </c>
    </row>
    <row r="3899" spans="12:15" x14ac:dyDescent="0.25">
      <c r="L3899" s="3" t="e">
        <f>VLOOKUP(C3899,Securities!A:D,4,FALSE)</f>
        <v>#N/A</v>
      </c>
      <c r="M3899" s="3" t="e">
        <f>VLOOKUP(C3899,Securities!A:B,2,FALSE)</f>
        <v>#N/A</v>
      </c>
      <c r="O3899" s="3">
        <f t="shared" si="61"/>
        <v>0</v>
      </c>
    </row>
    <row r="3900" spans="12:15" x14ac:dyDescent="0.25">
      <c r="L3900" s="3" t="e">
        <f>VLOOKUP(C3900,Securities!A:D,4,FALSE)</f>
        <v>#N/A</v>
      </c>
      <c r="M3900" s="3" t="e">
        <f>VLOOKUP(C3900,Securities!A:B,2,FALSE)</f>
        <v>#N/A</v>
      </c>
      <c r="O3900" s="3">
        <f t="shared" si="61"/>
        <v>0</v>
      </c>
    </row>
    <row r="3901" spans="12:15" x14ac:dyDescent="0.25">
      <c r="L3901" s="3" t="e">
        <f>VLOOKUP(C3901,Securities!A:D,4,FALSE)</f>
        <v>#N/A</v>
      </c>
      <c r="M3901" s="3" t="e">
        <f>VLOOKUP(C3901,Securities!A:B,2,FALSE)</f>
        <v>#N/A</v>
      </c>
      <c r="O3901" s="3">
        <f t="shared" si="61"/>
        <v>0</v>
      </c>
    </row>
    <row r="3902" spans="12:15" x14ac:dyDescent="0.25">
      <c r="L3902" s="3" t="e">
        <f>VLOOKUP(C3902,Securities!A:D,4,FALSE)</f>
        <v>#N/A</v>
      </c>
      <c r="M3902" s="3" t="e">
        <f>VLOOKUP(C3902,Securities!A:B,2,FALSE)</f>
        <v>#N/A</v>
      </c>
      <c r="O3902" s="3">
        <f t="shared" si="61"/>
        <v>0</v>
      </c>
    </row>
    <row r="3903" spans="12:15" x14ac:dyDescent="0.25">
      <c r="L3903" s="3" t="e">
        <f>VLOOKUP(C3903,Securities!A:D,4,FALSE)</f>
        <v>#N/A</v>
      </c>
      <c r="M3903" s="3" t="e">
        <f>VLOOKUP(C3903,Securities!A:B,2,FALSE)</f>
        <v>#N/A</v>
      </c>
      <c r="O3903" s="3">
        <f t="shared" si="61"/>
        <v>0</v>
      </c>
    </row>
    <row r="3904" spans="12:15" x14ac:dyDescent="0.25">
      <c r="L3904" s="3" t="e">
        <f>VLOOKUP(C3904,Securities!A:D,4,FALSE)</f>
        <v>#N/A</v>
      </c>
      <c r="M3904" s="3" t="e">
        <f>VLOOKUP(C3904,Securities!A:B,2,FALSE)</f>
        <v>#N/A</v>
      </c>
      <c r="O3904" s="3">
        <f t="shared" si="61"/>
        <v>0</v>
      </c>
    </row>
    <row r="3905" spans="12:15" x14ac:dyDescent="0.25">
      <c r="L3905" s="3" t="e">
        <f>VLOOKUP(C3905,Securities!A:D,4,FALSE)</f>
        <v>#N/A</v>
      </c>
      <c r="M3905" s="3" t="e">
        <f>VLOOKUP(C3905,Securities!A:B,2,FALSE)</f>
        <v>#N/A</v>
      </c>
      <c r="O3905" s="3">
        <f t="shared" si="61"/>
        <v>0</v>
      </c>
    </row>
    <row r="3906" spans="12:15" x14ac:dyDescent="0.25">
      <c r="L3906" s="3" t="e">
        <f>VLOOKUP(C3906,Securities!A:D,4,FALSE)</f>
        <v>#N/A</v>
      </c>
      <c r="M3906" s="3" t="e">
        <f>VLOOKUP(C3906,Securities!A:B,2,FALSE)</f>
        <v>#N/A</v>
      </c>
      <c r="O3906" s="3">
        <f t="shared" si="61"/>
        <v>0</v>
      </c>
    </row>
    <row r="3907" spans="12:15" x14ac:dyDescent="0.25">
      <c r="L3907" s="3" t="e">
        <f>VLOOKUP(C3907,Securities!A:D,4,FALSE)</f>
        <v>#N/A</v>
      </c>
      <c r="M3907" s="3" t="e">
        <f>VLOOKUP(C3907,Securities!A:B,2,FALSE)</f>
        <v>#N/A</v>
      </c>
      <c r="O3907" s="3">
        <f t="shared" si="61"/>
        <v>0</v>
      </c>
    </row>
    <row r="3908" spans="12:15" x14ac:dyDescent="0.25">
      <c r="L3908" s="3" t="e">
        <f>VLOOKUP(C3908,Securities!A:D,4,FALSE)</f>
        <v>#N/A</v>
      </c>
      <c r="M3908" s="3" t="e">
        <f>VLOOKUP(C3908,Securities!A:B,2,FALSE)</f>
        <v>#N/A</v>
      </c>
      <c r="O3908" s="3">
        <f t="shared" si="61"/>
        <v>0</v>
      </c>
    </row>
    <row r="3909" spans="12:15" x14ac:dyDescent="0.25">
      <c r="L3909" s="3" t="e">
        <f>VLOOKUP(C3909,Securities!A:D,4,FALSE)</f>
        <v>#N/A</v>
      </c>
      <c r="M3909" s="3" t="e">
        <f>VLOOKUP(C3909,Securities!A:B,2,FALSE)</f>
        <v>#N/A</v>
      </c>
      <c r="O3909" s="3">
        <f t="shared" si="61"/>
        <v>0</v>
      </c>
    </row>
    <row r="3910" spans="12:15" x14ac:dyDescent="0.25">
      <c r="L3910" s="3" t="e">
        <f>VLOOKUP(C3910,Securities!A:D,4,FALSE)</f>
        <v>#N/A</v>
      </c>
      <c r="M3910" s="3" t="e">
        <f>VLOOKUP(C3910,Securities!A:B,2,FALSE)</f>
        <v>#N/A</v>
      </c>
      <c r="O3910" s="3">
        <f t="shared" ref="O3910:O3973" si="62">SUMIFS(E:E,C:C,C3910,B:B,B3910)</f>
        <v>0</v>
      </c>
    </row>
    <row r="3911" spans="12:15" x14ac:dyDescent="0.25">
      <c r="L3911" s="3" t="e">
        <f>VLOOKUP(C3911,Securities!A:D,4,FALSE)</f>
        <v>#N/A</v>
      </c>
      <c r="M3911" s="3" t="e">
        <f>VLOOKUP(C3911,Securities!A:B,2,FALSE)</f>
        <v>#N/A</v>
      </c>
      <c r="O3911" s="3">
        <f t="shared" si="62"/>
        <v>0</v>
      </c>
    </row>
    <row r="3912" spans="12:15" x14ac:dyDescent="0.25">
      <c r="L3912" s="3" t="e">
        <f>VLOOKUP(C3912,Securities!A:D,4,FALSE)</f>
        <v>#N/A</v>
      </c>
      <c r="M3912" s="3" t="e">
        <f>VLOOKUP(C3912,Securities!A:B,2,FALSE)</f>
        <v>#N/A</v>
      </c>
      <c r="O3912" s="3">
        <f t="shared" si="62"/>
        <v>0</v>
      </c>
    </row>
    <row r="3913" spans="12:15" x14ac:dyDescent="0.25">
      <c r="L3913" s="3" t="e">
        <f>VLOOKUP(C3913,Securities!A:D,4,FALSE)</f>
        <v>#N/A</v>
      </c>
      <c r="M3913" s="3" t="e">
        <f>VLOOKUP(C3913,Securities!A:B,2,FALSE)</f>
        <v>#N/A</v>
      </c>
      <c r="O3913" s="3">
        <f t="shared" si="62"/>
        <v>0</v>
      </c>
    </row>
    <row r="3914" spans="12:15" x14ac:dyDescent="0.25">
      <c r="L3914" s="3" t="e">
        <f>VLOOKUP(C3914,Securities!A:D,4,FALSE)</f>
        <v>#N/A</v>
      </c>
      <c r="M3914" s="3" t="e">
        <f>VLOOKUP(C3914,Securities!A:B,2,FALSE)</f>
        <v>#N/A</v>
      </c>
      <c r="O3914" s="3">
        <f t="shared" si="62"/>
        <v>0</v>
      </c>
    </row>
    <row r="3915" spans="12:15" x14ac:dyDescent="0.25">
      <c r="L3915" s="3" t="e">
        <f>VLOOKUP(C3915,Securities!A:D,4,FALSE)</f>
        <v>#N/A</v>
      </c>
      <c r="M3915" s="3" t="e">
        <f>VLOOKUP(C3915,Securities!A:B,2,FALSE)</f>
        <v>#N/A</v>
      </c>
      <c r="O3915" s="3">
        <f t="shared" si="62"/>
        <v>0</v>
      </c>
    </row>
    <row r="3916" spans="12:15" x14ac:dyDescent="0.25">
      <c r="L3916" s="3" t="e">
        <f>VLOOKUP(C3916,Securities!A:D,4,FALSE)</f>
        <v>#N/A</v>
      </c>
      <c r="M3916" s="3" t="e">
        <f>VLOOKUP(C3916,Securities!A:B,2,FALSE)</f>
        <v>#N/A</v>
      </c>
      <c r="O3916" s="3">
        <f t="shared" si="62"/>
        <v>0</v>
      </c>
    </row>
    <row r="3917" spans="12:15" x14ac:dyDescent="0.25">
      <c r="L3917" s="3" t="e">
        <f>VLOOKUP(C3917,Securities!A:D,4,FALSE)</f>
        <v>#N/A</v>
      </c>
      <c r="M3917" s="3" t="e">
        <f>VLOOKUP(C3917,Securities!A:B,2,FALSE)</f>
        <v>#N/A</v>
      </c>
      <c r="O3917" s="3">
        <f t="shared" si="62"/>
        <v>0</v>
      </c>
    </row>
    <row r="3918" spans="12:15" x14ac:dyDescent="0.25">
      <c r="L3918" s="3" t="e">
        <f>VLOOKUP(C3918,Securities!A:D,4,FALSE)</f>
        <v>#N/A</v>
      </c>
      <c r="M3918" s="3" t="e">
        <f>VLOOKUP(C3918,Securities!A:B,2,FALSE)</f>
        <v>#N/A</v>
      </c>
      <c r="O3918" s="3">
        <f t="shared" si="62"/>
        <v>0</v>
      </c>
    </row>
    <row r="3919" spans="12:15" x14ac:dyDescent="0.25">
      <c r="L3919" s="3" t="e">
        <f>VLOOKUP(C3919,Securities!A:D,4,FALSE)</f>
        <v>#N/A</v>
      </c>
      <c r="M3919" s="3" t="e">
        <f>VLOOKUP(C3919,Securities!A:B,2,FALSE)</f>
        <v>#N/A</v>
      </c>
      <c r="O3919" s="3">
        <f t="shared" si="62"/>
        <v>0</v>
      </c>
    </row>
    <row r="3920" spans="12:15" x14ac:dyDescent="0.25">
      <c r="L3920" s="3" t="e">
        <f>VLOOKUP(C3920,Securities!A:D,4,FALSE)</f>
        <v>#N/A</v>
      </c>
      <c r="M3920" s="3" t="e">
        <f>VLOOKUP(C3920,Securities!A:B,2,FALSE)</f>
        <v>#N/A</v>
      </c>
      <c r="O3920" s="3">
        <f t="shared" si="62"/>
        <v>0</v>
      </c>
    </row>
    <row r="3921" spans="12:15" x14ac:dyDescent="0.25">
      <c r="L3921" s="3" t="e">
        <f>VLOOKUP(C3921,Securities!A:D,4,FALSE)</f>
        <v>#N/A</v>
      </c>
      <c r="M3921" s="3" t="e">
        <f>VLOOKUP(C3921,Securities!A:B,2,FALSE)</f>
        <v>#N/A</v>
      </c>
      <c r="O3921" s="3">
        <f t="shared" si="62"/>
        <v>0</v>
      </c>
    </row>
    <row r="3922" spans="12:15" x14ac:dyDescent="0.25">
      <c r="L3922" s="3" t="e">
        <f>VLOOKUP(C3922,Securities!A:D,4,FALSE)</f>
        <v>#N/A</v>
      </c>
      <c r="M3922" s="3" t="e">
        <f>VLOOKUP(C3922,Securities!A:B,2,FALSE)</f>
        <v>#N/A</v>
      </c>
      <c r="O3922" s="3">
        <f t="shared" si="62"/>
        <v>0</v>
      </c>
    </row>
    <row r="3923" spans="12:15" x14ac:dyDescent="0.25">
      <c r="L3923" s="3" t="e">
        <f>VLOOKUP(C3923,Securities!A:D,4,FALSE)</f>
        <v>#N/A</v>
      </c>
      <c r="M3923" s="3" t="e">
        <f>VLOOKUP(C3923,Securities!A:B,2,FALSE)</f>
        <v>#N/A</v>
      </c>
      <c r="O3923" s="3">
        <f t="shared" si="62"/>
        <v>0</v>
      </c>
    </row>
    <row r="3924" spans="12:15" x14ac:dyDescent="0.25">
      <c r="L3924" s="3" t="e">
        <f>VLOOKUP(C3924,Securities!A:D,4,FALSE)</f>
        <v>#N/A</v>
      </c>
      <c r="M3924" s="3" t="e">
        <f>VLOOKUP(C3924,Securities!A:B,2,FALSE)</f>
        <v>#N/A</v>
      </c>
      <c r="O3924" s="3">
        <f t="shared" si="62"/>
        <v>0</v>
      </c>
    </row>
    <row r="3925" spans="12:15" x14ac:dyDescent="0.25">
      <c r="L3925" s="3" t="e">
        <f>VLOOKUP(C3925,Securities!A:D,4,FALSE)</f>
        <v>#N/A</v>
      </c>
      <c r="M3925" s="3" t="e">
        <f>VLOOKUP(C3925,Securities!A:B,2,FALSE)</f>
        <v>#N/A</v>
      </c>
      <c r="O3925" s="3">
        <f t="shared" si="62"/>
        <v>0</v>
      </c>
    </row>
    <row r="3926" spans="12:15" x14ac:dyDescent="0.25">
      <c r="L3926" s="3" t="e">
        <f>VLOOKUP(C3926,Securities!A:D,4,FALSE)</f>
        <v>#N/A</v>
      </c>
      <c r="M3926" s="3" t="e">
        <f>VLOOKUP(C3926,Securities!A:B,2,FALSE)</f>
        <v>#N/A</v>
      </c>
      <c r="O3926" s="3">
        <f t="shared" si="62"/>
        <v>0</v>
      </c>
    </row>
    <row r="3927" spans="12:15" x14ac:dyDescent="0.25">
      <c r="L3927" s="3" t="e">
        <f>VLOOKUP(C3927,Securities!A:D,4,FALSE)</f>
        <v>#N/A</v>
      </c>
      <c r="M3927" s="3" t="e">
        <f>VLOOKUP(C3927,Securities!A:B,2,FALSE)</f>
        <v>#N/A</v>
      </c>
      <c r="O3927" s="3">
        <f t="shared" si="62"/>
        <v>0</v>
      </c>
    </row>
    <row r="3928" spans="12:15" x14ac:dyDescent="0.25">
      <c r="L3928" s="3" t="e">
        <f>VLOOKUP(C3928,Securities!A:D,4,FALSE)</f>
        <v>#N/A</v>
      </c>
      <c r="M3928" s="3" t="e">
        <f>VLOOKUP(C3928,Securities!A:B,2,FALSE)</f>
        <v>#N/A</v>
      </c>
      <c r="O3928" s="3">
        <f t="shared" si="62"/>
        <v>0</v>
      </c>
    </row>
    <row r="3929" spans="12:15" x14ac:dyDescent="0.25">
      <c r="L3929" s="3" t="e">
        <f>VLOOKUP(C3929,Securities!A:D,4,FALSE)</f>
        <v>#N/A</v>
      </c>
      <c r="M3929" s="3" t="e">
        <f>VLOOKUP(C3929,Securities!A:B,2,FALSE)</f>
        <v>#N/A</v>
      </c>
      <c r="O3929" s="3">
        <f t="shared" si="62"/>
        <v>0</v>
      </c>
    </row>
    <row r="3930" spans="12:15" x14ac:dyDescent="0.25">
      <c r="L3930" s="3" t="e">
        <f>VLOOKUP(C3930,Securities!A:D,4,FALSE)</f>
        <v>#N/A</v>
      </c>
      <c r="M3930" s="3" t="e">
        <f>VLOOKUP(C3930,Securities!A:B,2,FALSE)</f>
        <v>#N/A</v>
      </c>
      <c r="O3930" s="3">
        <f t="shared" si="62"/>
        <v>0</v>
      </c>
    </row>
    <row r="3931" spans="12:15" x14ac:dyDescent="0.25">
      <c r="L3931" s="3" t="e">
        <f>VLOOKUP(C3931,Securities!A:D,4,FALSE)</f>
        <v>#N/A</v>
      </c>
      <c r="M3931" s="3" t="e">
        <f>VLOOKUP(C3931,Securities!A:B,2,FALSE)</f>
        <v>#N/A</v>
      </c>
      <c r="O3931" s="3">
        <f t="shared" si="62"/>
        <v>0</v>
      </c>
    </row>
    <row r="3932" spans="12:15" x14ac:dyDescent="0.25">
      <c r="L3932" s="3" t="e">
        <f>VLOOKUP(C3932,Securities!A:D,4,FALSE)</f>
        <v>#N/A</v>
      </c>
      <c r="M3932" s="3" t="e">
        <f>VLOOKUP(C3932,Securities!A:B,2,FALSE)</f>
        <v>#N/A</v>
      </c>
      <c r="O3932" s="3">
        <f t="shared" si="62"/>
        <v>0</v>
      </c>
    </row>
    <row r="3933" spans="12:15" x14ac:dyDescent="0.25">
      <c r="L3933" s="3" t="e">
        <f>VLOOKUP(C3933,Securities!A:D,4,FALSE)</f>
        <v>#N/A</v>
      </c>
      <c r="M3933" s="3" t="e">
        <f>VLOOKUP(C3933,Securities!A:B,2,FALSE)</f>
        <v>#N/A</v>
      </c>
      <c r="O3933" s="3">
        <f t="shared" si="62"/>
        <v>0</v>
      </c>
    </row>
    <row r="3934" spans="12:15" x14ac:dyDescent="0.25">
      <c r="L3934" s="3" t="e">
        <f>VLOOKUP(C3934,Securities!A:D,4,FALSE)</f>
        <v>#N/A</v>
      </c>
      <c r="M3934" s="3" t="e">
        <f>VLOOKUP(C3934,Securities!A:B,2,FALSE)</f>
        <v>#N/A</v>
      </c>
      <c r="O3934" s="3">
        <f t="shared" si="62"/>
        <v>0</v>
      </c>
    </row>
    <row r="3935" spans="12:15" x14ac:dyDescent="0.25">
      <c r="L3935" s="3" t="e">
        <f>VLOOKUP(C3935,Securities!A:D,4,FALSE)</f>
        <v>#N/A</v>
      </c>
      <c r="M3935" s="3" t="e">
        <f>VLOOKUP(C3935,Securities!A:B,2,FALSE)</f>
        <v>#N/A</v>
      </c>
      <c r="O3935" s="3">
        <f t="shared" si="62"/>
        <v>0</v>
      </c>
    </row>
    <row r="3936" spans="12:15" x14ac:dyDescent="0.25">
      <c r="L3936" s="3" t="e">
        <f>VLOOKUP(C3936,Securities!A:D,4,FALSE)</f>
        <v>#N/A</v>
      </c>
      <c r="M3936" s="3" t="e">
        <f>VLOOKUP(C3936,Securities!A:B,2,FALSE)</f>
        <v>#N/A</v>
      </c>
      <c r="O3936" s="3">
        <f t="shared" si="62"/>
        <v>0</v>
      </c>
    </row>
    <row r="3937" spans="12:15" x14ac:dyDescent="0.25">
      <c r="L3937" s="3" t="e">
        <f>VLOOKUP(C3937,Securities!A:D,4,FALSE)</f>
        <v>#N/A</v>
      </c>
      <c r="M3937" s="3" t="e">
        <f>VLOOKUP(C3937,Securities!A:B,2,FALSE)</f>
        <v>#N/A</v>
      </c>
      <c r="O3937" s="3">
        <f t="shared" si="62"/>
        <v>0</v>
      </c>
    </row>
    <row r="3938" spans="12:15" x14ac:dyDescent="0.25">
      <c r="L3938" s="3" t="e">
        <f>VLOOKUP(C3938,Securities!A:D,4,FALSE)</f>
        <v>#N/A</v>
      </c>
      <c r="M3938" s="3" t="e">
        <f>VLOOKUP(C3938,Securities!A:B,2,FALSE)</f>
        <v>#N/A</v>
      </c>
      <c r="O3938" s="3">
        <f t="shared" si="62"/>
        <v>0</v>
      </c>
    </row>
    <row r="3939" spans="12:15" x14ac:dyDescent="0.25">
      <c r="L3939" s="3" t="e">
        <f>VLOOKUP(C3939,Securities!A:D,4,FALSE)</f>
        <v>#N/A</v>
      </c>
      <c r="M3939" s="3" t="e">
        <f>VLOOKUP(C3939,Securities!A:B,2,FALSE)</f>
        <v>#N/A</v>
      </c>
      <c r="O3939" s="3">
        <f t="shared" si="62"/>
        <v>0</v>
      </c>
    </row>
    <row r="3940" spans="12:15" x14ac:dyDescent="0.25">
      <c r="L3940" s="3" t="e">
        <f>VLOOKUP(C3940,Securities!A:D,4,FALSE)</f>
        <v>#N/A</v>
      </c>
      <c r="M3940" s="3" t="e">
        <f>VLOOKUP(C3940,Securities!A:B,2,FALSE)</f>
        <v>#N/A</v>
      </c>
      <c r="O3940" s="3">
        <f t="shared" si="62"/>
        <v>0</v>
      </c>
    </row>
    <row r="3941" spans="12:15" x14ac:dyDescent="0.25">
      <c r="L3941" s="3" t="e">
        <f>VLOOKUP(C3941,Securities!A:D,4,FALSE)</f>
        <v>#N/A</v>
      </c>
      <c r="M3941" s="3" t="e">
        <f>VLOOKUP(C3941,Securities!A:B,2,FALSE)</f>
        <v>#N/A</v>
      </c>
      <c r="O3941" s="3">
        <f t="shared" si="62"/>
        <v>0</v>
      </c>
    </row>
    <row r="3942" spans="12:15" x14ac:dyDescent="0.25">
      <c r="L3942" s="3" t="e">
        <f>VLOOKUP(C3942,Securities!A:D,4,FALSE)</f>
        <v>#N/A</v>
      </c>
      <c r="M3942" s="3" t="e">
        <f>VLOOKUP(C3942,Securities!A:B,2,FALSE)</f>
        <v>#N/A</v>
      </c>
      <c r="O3942" s="3">
        <f t="shared" si="62"/>
        <v>0</v>
      </c>
    </row>
    <row r="3943" spans="12:15" x14ac:dyDescent="0.25">
      <c r="L3943" s="3" t="e">
        <f>VLOOKUP(C3943,Securities!A:D,4,FALSE)</f>
        <v>#N/A</v>
      </c>
      <c r="M3943" s="3" t="e">
        <f>VLOOKUP(C3943,Securities!A:B,2,FALSE)</f>
        <v>#N/A</v>
      </c>
      <c r="O3943" s="3">
        <f t="shared" si="62"/>
        <v>0</v>
      </c>
    </row>
    <row r="3944" spans="12:15" x14ac:dyDescent="0.25">
      <c r="L3944" s="3" t="e">
        <f>VLOOKUP(C3944,Securities!A:D,4,FALSE)</f>
        <v>#N/A</v>
      </c>
      <c r="M3944" s="3" t="e">
        <f>VLOOKUP(C3944,Securities!A:B,2,FALSE)</f>
        <v>#N/A</v>
      </c>
      <c r="O3944" s="3">
        <f t="shared" si="62"/>
        <v>0</v>
      </c>
    </row>
    <row r="3945" spans="12:15" x14ac:dyDescent="0.25">
      <c r="L3945" s="3" t="e">
        <f>VLOOKUP(C3945,Securities!A:D,4,FALSE)</f>
        <v>#N/A</v>
      </c>
      <c r="M3945" s="3" t="e">
        <f>VLOOKUP(C3945,Securities!A:B,2,FALSE)</f>
        <v>#N/A</v>
      </c>
      <c r="O3945" s="3">
        <f t="shared" si="62"/>
        <v>0</v>
      </c>
    </row>
    <row r="3946" spans="12:15" x14ac:dyDescent="0.25">
      <c r="L3946" s="3" t="e">
        <f>VLOOKUP(C3946,Securities!A:D,4,FALSE)</f>
        <v>#N/A</v>
      </c>
      <c r="M3946" s="3" t="e">
        <f>VLOOKUP(C3946,Securities!A:B,2,FALSE)</f>
        <v>#N/A</v>
      </c>
      <c r="O3946" s="3">
        <f t="shared" si="62"/>
        <v>0</v>
      </c>
    </row>
    <row r="3947" spans="12:15" x14ac:dyDescent="0.25">
      <c r="L3947" s="3" t="e">
        <f>VLOOKUP(C3947,Securities!A:D,4,FALSE)</f>
        <v>#N/A</v>
      </c>
      <c r="M3947" s="3" t="e">
        <f>VLOOKUP(C3947,Securities!A:B,2,FALSE)</f>
        <v>#N/A</v>
      </c>
      <c r="O3947" s="3">
        <f t="shared" si="62"/>
        <v>0</v>
      </c>
    </row>
    <row r="3948" spans="12:15" x14ac:dyDescent="0.25">
      <c r="L3948" s="3" t="e">
        <f>VLOOKUP(C3948,Securities!A:D,4,FALSE)</f>
        <v>#N/A</v>
      </c>
      <c r="M3948" s="3" t="e">
        <f>VLOOKUP(C3948,Securities!A:B,2,FALSE)</f>
        <v>#N/A</v>
      </c>
      <c r="O3948" s="3">
        <f t="shared" si="62"/>
        <v>0</v>
      </c>
    </row>
    <row r="3949" spans="12:15" x14ac:dyDescent="0.25">
      <c r="L3949" s="3" t="e">
        <f>VLOOKUP(C3949,Securities!A:D,4,FALSE)</f>
        <v>#N/A</v>
      </c>
      <c r="M3949" s="3" t="e">
        <f>VLOOKUP(C3949,Securities!A:B,2,FALSE)</f>
        <v>#N/A</v>
      </c>
      <c r="O3949" s="3">
        <f t="shared" si="62"/>
        <v>0</v>
      </c>
    </row>
    <row r="3950" spans="12:15" x14ac:dyDescent="0.25">
      <c r="L3950" s="3" t="e">
        <f>VLOOKUP(C3950,Securities!A:D,4,FALSE)</f>
        <v>#N/A</v>
      </c>
      <c r="M3950" s="3" t="e">
        <f>VLOOKUP(C3950,Securities!A:B,2,FALSE)</f>
        <v>#N/A</v>
      </c>
      <c r="O3950" s="3">
        <f t="shared" si="62"/>
        <v>0</v>
      </c>
    </row>
    <row r="3951" spans="12:15" x14ac:dyDescent="0.25">
      <c r="L3951" s="3" t="e">
        <f>VLOOKUP(C3951,Securities!A:D,4,FALSE)</f>
        <v>#N/A</v>
      </c>
      <c r="M3951" s="3" t="e">
        <f>VLOOKUP(C3951,Securities!A:B,2,FALSE)</f>
        <v>#N/A</v>
      </c>
      <c r="O3951" s="3">
        <f t="shared" si="62"/>
        <v>0</v>
      </c>
    </row>
    <row r="3952" spans="12:15" x14ac:dyDescent="0.25">
      <c r="L3952" s="3" t="e">
        <f>VLOOKUP(C3952,Securities!A:D,4,FALSE)</f>
        <v>#N/A</v>
      </c>
      <c r="M3952" s="3" t="e">
        <f>VLOOKUP(C3952,Securities!A:B,2,FALSE)</f>
        <v>#N/A</v>
      </c>
      <c r="O3952" s="3">
        <f t="shared" si="62"/>
        <v>0</v>
      </c>
    </row>
    <row r="3953" spans="12:15" x14ac:dyDescent="0.25">
      <c r="L3953" s="3" t="e">
        <f>VLOOKUP(C3953,Securities!A:D,4,FALSE)</f>
        <v>#N/A</v>
      </c>
      <c r="M3953" s="3" t="e">
        <f>VLOOKUP(C3953,Securities!A:B,2,FALSE)</f>
        <v>#N/A</v>
      </c>
      <c r="O3953" s="3">
        <f t="shared" si="62"/>
        <v>0</v>
      </c>
    </row>
    <row r="3954" spans="12:15" x14ac:dyDescent="0.25">
      <c r="L3954" s="3" t="e">
        <f>VLOOKUP(C3954,Securities!A:D,4,FALSE)</f>
        <v>#N/A</v>
      </c>
      <c r="M3954" s="3" t="e">
        <f>VLOOKUP(C3954,Securities!A:B,2,FALSE)</f>
        <v>#N/A</v>
      </c>
      <c r="O3954" s="3">
        <f t="shared" si="62"/>
        <v>0</v>
      </c>
    </row>
    <row r="3955" spans="12:15" x14ac:dyDescent="0.25">
      <c r="L3955" s="3" t="e">
        <f>VLOOKUP(C3955,Securities!A:D,4,FALSE)</f>
        <v>#N/A</v>
      </c>
      <c r="M3955" s="3" t="e">
        <f>VLOOKUP(C3955,Securities!A:B,2,FALSE)</f>
        <v>#N/A</v>
      </c>
      <c r="O3955" s="3">
        <f t="shared" si="62"/>
        <v>0</v>
      </c>
    </row>
    <row r="3956" spans="12:15" x14ac:dyDescent="0.25">
      <c r="L3956" s="3" t="e">
        <f>VLOOKUP(C3956,Securities!A:D,4,FALSE)</f>
        <v>#N/A</v>
      </c>
      <c r="M3956" s="3" t="e">
        <f>VLOOKUP(C3956,Securities!A:B,2,FALSE)</f>
        <v>#N/A</v>
      </c>
      <c r="O3956" s="3">
        <f t="shared" si="62"/>
        <v>0</v>
      </c>
    </row>
    <row r="3957" spans="12:15" x14ac:dyDescent="0.25">
      <c r="L3957" s="3" t="e">
        <f>VLOOKUP(C3957,Securities!A:D,4,FALSE)</f>
        <v>#N/A</v>
      </c>
      <c r="M3957" s="3" t="e">
        <f>VLOOKUP(C3957,Securities!A:B,2,FALSE)</f>
        <v>#N/A</v>
      </c>
      <c r="O3957" s="3">
        <f t="shared" si="62"/>
        <v>0</v>
      </c>
    </row>
    <row r="3958" spans="12:15" x14ac:dyDescent="0.25">
      <c r="L3958" s="3" t="e">
        <f>VLOOKUP(C3958,Securities!A:D,4,FALSE)</f>
        <v>#N/A</v>
      </c>
      <c r="M3958" s="3" t="e">
        <f>VLOOKUP(C3958,Securities!A:B,2,FALSE)</f>
        <v>#N/A</v>
      </c>
      <c r="O3958" s="3">
        <f t="shared" si="62"/>
        <v>0</v>
      </c>
    </row>
    <row r="3959" spans="12:15" x14ac:dyDescent="0.25">
      <c r="L3959" s="3" t="e">
        <f>VLOOKUP(C3959,Securities!A:D,4,FALSE)</f>
        <v>#N/A</v>
      </c>
      <c r="M3959" s="3" t="e">
        <f>VLOOKUP(C3959,Securities!A:B,2,FALSE)</f>
        <v>#N/A</v>
      </c>
      <c r="O3959" s="3">
        <f t="shared" si="62"/>
        <v>0</v>
      </c>
    </row>
    <row r="3960" spans="12:15" x14ac:dyDescent="0.25">
      <c r="L3960" s="3" t="e">
        <f>VLOOKUP(C3960,Securities!A:D,4,FALSE)</f>
        <v>#N/A</v>
      </c>
      <c r="M3960" s="3" t="e">
        <f>VLOOKUP(C3960,Securities!A:B,2,FALSE)</f>
        <v>#N/A</v>
      </c>
      <c r="O3960" s="3">
        <f t="shared" si="62"/>
        <v>0</v>
      </c>
    </row>
    <row r="3961" spans="12:15" x14ac:dyDescent="0.25">
      <c r="L3961" s="3" t="e">
        <f>VLOOKUP(C3961,Securities!A:D,4,FALSE)</f>
        <v>#N/A</v>
      </c>
      <c r="M3961" s="3" t="e">
        <f>VLOOKUP(C3961,Securities!A:B,2,FALSE)</f>
        <v>#N/A</v>
      </c>
      <c r="O3961" s="3">
        <f t="shared" si="62"/>
        <v>0</v>
      </c>
    </row>
    <row r="3962" spans="12:15" x14ac:dyDescent="0.25">
      <c r="L3962" s="3" t="e">
        <f>VLOOKUP(C3962,Securities!A:D,4,FALSE)</f>
        <v>#N/A</v>
      </c>
      <c r="M3962" s="3" t="e">
        <f>VLOOKUP(C3962,Securities!A:B,2,FALSE)</f>
        <v>#N/A</v>
      </c>
      <c r="O3962" s="3">
        <f t="shared" si="62"/>
        <v>0</v>
      </c>
    </row>
    <row r="3963" spans="12:15" x14ac:dyDescent="0.25">
      <c r="L3963" s="3" t="e">
        <f>VLOOKUP(C3963,Securities!A:D,4,FALSE)</f>
        <v>#N/A</v>
      </c>
      <c r="M3963" s="3" t="e">
        <f>VLOOKUP(C3963,Securities!A:B,2,FALSE)</f>
        <v>#N/A</v>
      </c>
      <c r="O3963" s="3">
        <f t="shared" si="62"/>
        <v>0</v>
      </c>
    </row>
    <row r="3964" spans="12:15" x14ac:dyDescent="0.25">
      <c r="L3964" s="3" t="e">
        <f>VLOOKUP(C3964,Securities!A:D,4,FALSE)</f>
        <v>#N/A</v>
      </c>
      <c r="M3964" s="3" t="e">
        <f>VLOOKUP(C3964,Securities!A:B,2,FALSE)</f>
        <v>#N/A</v>
      </c>
      <c r="O3964" s="3">
        <f t="shared" si="62"/>
        <v>0</v>
      </c>
    </row>
    <row r="3965" spans="12:15" x14ac:dyDescent="0.25">
      <c r="L3965" s="3" t="e">
        <f>VLOOKUP(C3965,Securities!A:D,4,FALSE)</f>
        <v>#N/A</v>
      </c>
      <c r="M3965" s="3" t="e">
        <f>VLOOKUP(C3965,Securities!A:B,2,FALSE)</f>
        <v>#N/A</v>
      </c>
      <c r="O3965" s="3">
        <f t="shared" si="62"/>
        <v>0</v>
      </c>
    </row>
    <row r="3966" spans="12:15" x14ac:dyDescent="0.25">
      <c r="L3966" s="3" t="e">
        <f>VLOOKUP(C3966,Securities!A:D,4,FALSE)</f>
        <v>#N/A</v>
      </c>
      <c r="M3966" s="3" t="e">
        <f>VLOOKUP(C3966,Securities!A:B,2,FALSE)</f>
        <v>#N/A</v>
      </c>
      <c r="O3966" s="3">
        <f t="shared" si="62"/>
        <v>0</v>
      </c>
    </row>
    <row r="3967" spans="12:15" x14ac:dyDescent="0.25">
      <c r="L3967" s="3" t="e">
        <f>VLOOKUP(C3967,Securities!A:D,4,FALSE)</f>
        <v>#N/A</v>
      </c>
      <c r="M3967" s="3" t="e">
        <f>VLOOKUP(C3967,Securities!A:B,2,FALSE)</f>
        <v>#N/A</v>
      </c>
      <c r="O3967" s="3">
        <f t="shared" si="62"/>
        <v>0</v>
      </c>
    </row>
    <row r="3968" spans="12:15" x14ac:dyDescent="0.25">
      <c r="L3968" s="3" t="e">
        <f>VLOOKUP(C3968,Securities!A:D,4,FALSE)</f>
        <v>#N/A</v>
      </c>
      <c r="M3968" s="3" t="e">
        <f>VLOOKUP(C3968,Securities!A:B,2,FALSE)</f>
        <v>#N/A</v>
      </c>
      <c r="O3968" s="3">
        <f t="shared" si="62"/>
        <v>0</v>
      </c>
    </row>
    <row r="3969" spans="12:15" x14ac:dyDescent="0.25">
      <c r="L3969" s="3" t="e">
        <f>VLOOKUP(C3969,Securities!A:D,4,FALSE)</f>
        <v>#N/A</v>
      </c>
      <c r="M3969" s="3" t="e">
        <f>VLOOKUP(C3969,Securities!A:B,2,FALSE)</f>
        <v>#N/A</v>
      </c>
      <c r="O3969" s="3">
        <f t="shared" si="62"/>
        <v>0</v>
      </c>
    </row>
    <row r="3970" spans="12:15" x14ac:dyDescent="0.25">
      <c r="L3970" s="3" t="e">
        <f>VLOOKUP(C3970,Securities!A:D,4,FALSE)</f>
        <v>#N/A</v>
      </c>
      <c r="M3970" s="3" t="e">
        <f>VLOOKUP(C3970,Securities!A:B,2,FALSE)</f>
        <v>#N/A</v>
      </c>
      <c r="O3970" s="3">
        <f t="shared" si="62"/>
        <v>0</v>
      </c>
    </row>
    <row r="3971" spans="12:15" x14ac:dyDescent="0.25">
      <c r="L3971" s="3" t="e">
        <f>VLOOKUP(C3971,Securities!A:D,4,FALSE)</f>
        <v>#N/A</v>
      </c>
      <c r="M3971" s="3" t="e">
        <f>VLOOKUP(C3971,Securities!A:B,2,FALSE)</f>
        <v>#N/A</v>
      </c>
      <c r="O3971" s="3">
        <f t="shared" si="62"/>
        <v>0</v>
      </c>
    </row>
    <row r="3972" spans="12:15" x14ac:dyDescent="0.25">
      <c r="L3972" s="3" t="e">
        <f>VLOOKUP(C3972,Securities!A:D,4,FALSE)</f>
        <v>#N/A</v>
      </c>
      <c r="M3972" s="3" t="e">
        <f>VLOOKUP(C3972,Securities!A:B,2,FALSE)</f>
        <v>#N/A</v>
      </c>
      <c r="O3972" s="3">
        <f t="shared" si="62"/>
        <v>0</v>
      </c>
    </row>
    <row r="3973" spans="12:15" x14ac:dyDescent="0.25">
      <c r="L3973" s="3" t="e">
        <f>VLOOKUP(C3973,Securities!A:D,4,FALSE)</f>
        <v>#N/A</v>
      </c>
      <c r="M3973" s="3" t="e">
        <f>VLOOKUP(C3973,Securities!A:B,2,FALSE)</f>
        <v>#N/A</v>
      </c>
      <c r="O3973" s="3">
        <f t="shared" si="62"/>
        <v>0</v>
      </c>
    </row>
    <row r="3974" spans="12:15" x14ac:dyDescent="0.25">
      <c r="L3974" s="3" t="e">
        <f>VLOOKUP(C3974,Securities!A:D,4,FALSE)</f>
        <v>#N/A</v>
      </c>
      <c r="M3974" s="3" t="e">
        <f>VLOOKUP(C3974,Securities!A:B,2,FALSE)</f>
        <v>#N/A</v>
      </c>
      <c r="O3974" s="3">
        <f t="shared" ref="O3974:O4037" si="63">SUMIFS(E:E,C:C,C3974,B:B,B3974)</f>
        <v>0</v>
      </c>
    </row>
    <row r="3975" spans="12:15" x14ac:dyDescent="0.25">
      <c r="L3975" s="3" t="e">
        <f>VLOOKUP(C3975,Securities!A:D,4,FALSE)</f>
        <v>#N/A</v>
      </c>
      <c r="M3975" s="3" t="e">
        <f>VLOOKUP(C3975,Securities!A:B,2,FALSE)</f>
        <v>#N/A</v>
      </c>
      <c r="O3975" s="3">
        <f t="shared" si="63"/>
        <v>0</v>
      </c>
    </row>
    <row r="3976" spans="12:15" x14ac:dyDescent="0.25">
      <c r="L3976" s="3" t="e">
        <f>VLOOKUP(C3976,Securities!A:D,4,FALSE)</f>
        <v>#N/A</v>
      </c>
      <c r="M3976" s="3" t="e">
        <f>VLOOKUP(C3976,Securities!A:B,2,FALSE)</f>
        <v>#N/A</v>
      </c>
      <c r="O3976" s="3">
        <f t="shared" si="63"/>
        <v>0</v>
      </c>
    </row>
    <row r="3977" spans="12:15" x14ac:dyDescent="0.25">
      <c r="L3977" s="3" t="e">
        <f>VLOOKUP(C3977,Securities!A:D,4,FALSE)</f>
        <v>#N/A</v>
      </c>
      <c r="M3977" s="3" t="e">
        <f>VLOOKUP(C3977,Securities!A:B,2,FALSE)</f>
        <v>#N/A</v>
      </c>
      <c r="O3977" s="3">
        <f t="shared" si="63"/>
        <v>0</v>
      </c>
    </row>
    <row r="3978" spans="12:15" x14ac:dyDescent="0.25">
      <c r="L3978" s="3" t="e">
        <f>VLOOKUP(C3978,Securities!A:D,4,FALSE)</f>
        <v>#N/A</v>
      </c>
      <c r="M3978" s="3" t="e">
        <f>VLOOKUP(C3978,Securities!A:B,2,FALSE)</f>
        <v>#N/A</v>
      </c>
      <c r="O3978" s="3">
        <f t="shared" si="63"/>
        <v>0</v>
      </c>
    </row>
    <row r="3979" spans="12:15" x14ac:dyDescent="0.25">
      <c r="L3979" s="3" t="e">
        <f>VLOOKUP(C3979,Securities!A:D,4,FALSE)</f>
        <v>#N/A</v>
      </c>
      <c r="M3979" s="3" t="e">
        <f>VLOOKUP(C3979,Securities!A:B,2,FALSE)</f>
        <v>#N/A</v>
      </c>
      <c r="O3979" s="3">
        <f t="shared" si="63"/>
        <v>0</v>
      </c>
    </row>
    <row r="3980" spans="12:15" x14ac:dyDescent="0.25">
      <c r="L3980" s="3" t="e">
        <f>VLOOKUP(C3980,Securities!A:D,4,FALSE)</f>
        <v>#N/A</v>
      </c>
      <c r="M3980" s="3" t="e">
        <f>VLOOKUP(C3980,Securities!A:B,2,FALSE)</f>
        <v>#N/A</v>
      </c>
      <c r="O3980" s="3">
        <f t="shared" si="63"/>
        <v>0</v>
      </c>
    </row>
    <row r="3981" spans="12:15" x14ac:dyDescent="0.25">
      <c r="L3981" s="3" t="e">
        <f>VLOOKUP(C3981,Securities!A:D,4,FALSE)</f>
        <v>#N/A</v>
      </c>
      <c r="M3981" s="3" t="e">
        <f>VLOOKUP(C3981,Securities!A:B,2,FALSE)</f>
        <v>#N/A</v>
      </c>
      <c r="O3981" s="3">
        <f t="shared" si="63"/>
        <v>0</v>
      </c>
    </row>
    <row r="3982" spans="12:15" x14ac:dyDescent="0.25">
      <c r="L3982" s="3" t="e">
        <f>VLOOKUP(C3982,Securities!A:D,4,FALSE)</f>
        <v>#N/A</v>
      </c>
      <c r="M3982" s="3" t="e">
        <f>VLOOKUP(C3982,Securities!A:B,2,FALSE)</f>
        <v>#N/A</v>
      </c>
      <c r="O3982" s="3">
        <f t="shared" si="63"/>
        <v>0</v>
      </c>
    </row>
    <row r="3983" spans="12:15" x14ac:dyDescent="0.25">
      <c r="L3983" s="3" t="e">
        <f>VLOOKUP(C3983,Securities!A:D,4,FALSE)</f>
        <v>#N/A</v>
      </c>
      <c r="M3983" s="3" t="e">
        <f>VLOOKUP(C3983,Securities!A:B,2,FALSE)</f>
        <v>#N/A</v>
      </c>
      <c r="O3983" s="3">
        <f t="shared" si="63"/>
        <v>0</v>
      </c>
    </row>
    <row r="3984" spans="12:15" x14ac:dyDescent="0.25">
      <c r="L3984" s="3" t="e">
        <f>VLOOKUP(C3984,Securities!A:D,4,FALSE)</f>
        <v>#N/A</v>
      </c>
      <c r="M3984" s="3" t="e">
        <f>VLOOKUP(C3984,Securities!A:B,2,FALSE)</f>
        <v>#N/A</v>
      </c>
      <c r="O3984" s="3">
        <f t="shared" si="63"/>
        <v>0</v>
      </c>
    </row>
    <row r="3985" spans="12:15" x14ac:dyDescent="0.25">
      <c r="L3985" s="3" t="e">
        <f>VLOOKUP(C3985,Securities!A:D,4,FALSE)</f>
        <v>#N/A</v>
      </c>
      <c r="M3985" s="3" t="e">
        <f>VLOOKUP(C3985,Securities!A:B,2,FALSE)</f>
        <v>#N/A</v>
      </c>
      <c r="O3985" s="3">
        <f t="shared" si="63"/>
        <v>0</v>
      </c>
    </row>
    <row r="3986" spans="12:15" x14ac:dyDescent="0.25">
      <c r="L3986" s="3" t="e">
        <f>VLOOKUP(C3986,Securities!A:D,4,FALSE)</f>
        <v>#N/A</v>
      </c>
      <c r="M3986" s="3" t="e">
        <f>VLOOKUP(C3986,Securities!A:B,2,FALSE)</f>
        <v>#N/A</v>
      </c>
      <c r="O3986" s="3">
        <f t="shared" si="63"/>
        <v>0</v>
      </c>
    </row>
    <row r="3987" spans="12:15" x14ac:dyDescent="0.25">
      <c r="L3987" s="3" t="e">
        <f>VLOOKUP(C3987,Securities!A:D,4,FALSE)</f>
        <v>#N/A</v>
      </c>
      <c r="M3987" s="3" t="e">
        <f>VLOOKUP(C3987,Securities!A:B,2,FALSE)</f>
        <v>#N/A</v>
      </c>
      <c r="O3987" s="3">
        <f t="shared" si="63"/>
        <v>0</v>
      </c>
    </row>
    <row r="3988" spans="12:15" x14ac:dyDescent="0.25">
      <c r="L3988" s="3" t="e">
        <f>VLOOKUP(C3988,Securities!A:D,4,FALSE)</f>
        <v>#N/A</v>
      </c>
      <c r="M3988" s="3" t="e">
        <f>VLOOKUP(C3988,Securities!A:B,2,FALSE)</f>
        <v>#N/A</v>
      </c>
      <c r="O3988" s="3">
        <f t="shared" si="63"/>
        <v>0</v>
      </c>
    </row>
    <row r="3989" spans="12:15" x14ac:dyDescent="0.25">
      <c r="L3989" s="3" t="e">
        <f>VLOOKUP(C3989,Securities!A:D,4,FALSE)</f>
        <v>#N/A</v>
      </c>
      <c r="M3989" s="3" t="e">
        <f>VLOOKUP(C3989,Securities!A:B,2,FALSE)</f>
        <v>#N/A</v>
      </c>
      <c r="O3989" s="3">
        <f t="shared" si="63"/>
        <v>0</v>
      </c>
    </row>
    <row r="3990" spans="12:15" x14ac:dyDescent="0.25">
      <c r="L3990" s="3" t="e">
        <f>VLOOKUP(C3990,Securities!A:D,4,FALSE)</f>
        <v>#N/A</v>
      </c>
      <c r="M3990" s="3" t="e">
        <f>VLOOKUP(C3990,Securities!A:B,2,FALSE)</f>
        <v>#N/A</v>
      </c>
      <c r="O3990" s="3">
        <f t="shared" si="63"/>
        <v>0</v>
      </c>
    </row>
    <row r="3991" spans="12:15" x14ac:dyDescent="0.25">
      <c r="L3991" s="3" t="e">
        <f>VLOOKUP(C3991,Securities!A:D,4,FALSE)</f>
        <v>#N/A</v>
      </c>
      <c r="M3991" s="3" t="e">
        <f>VLOOKUP(C3991,Securities!A:B,2,FALSE)</f>
        <v>#N/A</v>
      </c>
      <c r="O3991" s="3">
        <f t="shared" si="63"/>
        <v>0</v>
      </c>
    </row>
    <row r="3992" spans="12:15" x14ac:dyDescent="0.25">
      <c r="L3992" s="3" t="e">
        <f>VLOOKUP(C3992,Securities!A:D,4,FALSE)</f>
        <v>#N/A</v>
      </c>
      <c r="M3992" s="3" t="e">
        <f>VLOOKUP(C3992,Securities!A:B,2,FALSE)</f>
        <v>#N/A</v>
      </c>
      <c r="O3992" s="3">
        <f t="shared" si="63"/>
        <v>0</v>
      </c>
    </row>
    <row r="3993" spans="12:15" x14ac:dyDescent="0.25">
      <c r="L3993" s="3" t="e">
        <f>VLOOKUP(C3993,Securities!A:D,4,FALSE)</f>
        <v>#N/A</v>
      </c>
      <c r="M3993" s="3" t="e">
        <f>VLOOKUP(C3993,Securities!A:B,2,FALSE)</f>
        <v>#N/A</v>
      </c>
      <c r="O3993" s="3">
        <f t="shared" si="63"/>
        <v>0</v>
      </c>
    </row>
    <row r="3994" spans="12:15" x14ac:dyDescent="0.25">
      <c r="L3994" s="3" t="e">
        <f>VLOOKUP(C3994,Securities!A:D,4,FALSE)</f>
        <v>#N/A</v>
      </c>
      <c r="M3994" s="3" t="e">
        <f>VLOOKUP(C3994,Securities!A:B,2,FALSE)</f>
        <v>#N/A</v>
      </c>
      <c r="O3994" s="3">
        <f t="shared" si="63"/>
        <v>0</v>
      </c>
    </row>
    <row r="3995" spans="12:15" x14ac:dyDescent="0.25">
      <c r="L3995" s="3" t="e">
        <f>VLOOKUP(C3995,Securities!A:D,4,FALSE)</f>
        <v>#N/A</v>
      </c>
      <c r="M3995" s="3" t="e">
        <f>VLOOKUP(C3995,Securities!A:B,2,FALSE)</f>
        <v>#N/A</v>
      </c>
      <c r="O3995" s="3">
        <f t="shared" si="63"/>
        <v>0</v>
      </c>
    </row>
    <row r="3996" spans="12:15" x14ac:dyDescent="0.25">
      <c r="L3996" s="3" t="e">
        <f>VLOOKUP(C3996,Securities!A:D,4,FALSE)</f>
        <v>#N/A</v>
      </c>
      <c r="M3996" s="3" t="e">
        <f>VLOOKUP(C3996,Securities!A:B,2,FALSE)</f>
        <v>#N/A</v>
      </c>
      <c r="O3996" s="3">
        <f t="shared" si="63"/>
        <v>0</v>
      </c>
    </row>
    <row r="3997" spans="12:15" x14ac:dyDescent="0.25">
      <c r="L3997" s="3" t="e">
        <f>VLOOKUP(C3997,Securities!A:D,4,FALSE)</f>
        <v>#N/A</v>
      </c>
      <c r="M3997" s="3" t="e">
        <f>VLOOKUP(C3997,Securities!A:B,2,FALSE)</f>
        <v>#N/A</v>
      </c>
      <c r="O3997" s="3">
        <f t="shared" si="63"/>
        <v>0</v>
      </c>
    </row>
    <row r="3998" spans="12:15" x14ac:dyDescent="0.25">
      <c r="L3998" s="3" t="e">
        <f>VLOOKUP(C3998,Securities!A:D,4,FALSE)</f>
        <v>#N/A</v>
      </c>
      <c r="M3998" s="3" t="e">
        <f>VLOOKUP(C3998,Securities!A:B,2,FALSE)</f>
        <v>#N/A</v>
      </c>
      <c r="O3998" s="3">
        <f t="shared" si="63"/>
        <v>0</v>
      </c>
    </row>
    <row r="3999" spans="12:15" x14ac:dyDescent="0.25">
      <c r="L3999" s="3" t="e">
        <f>VLOOKUP(C3999,Securities!A:D,4,FALSE)</f>
        <v>#N/A</v>
      </c>
      <c r="M3999" s="3" t="e">
        <f>VLOOKUP(C3999,Securities!A:B,2,FALSE)</f>
        <v>#N/A</v>
      </c>
      <c r="O3999" s="3">
        <f t="shared" si="63"/>
        <v>0</v>
      </c>
    </row>
    <row r="4000" spans="12:15" x14ac:dyDescent="0.25">
      <c r="L4000" s="3" t="e">
        <f>VLOOKUP(C4000,Securities!A:D,4,FALSE)</f>
        <v>#N/A</v>
      </c>
      <c r="M4000" s="3" t="e">
        <f>VLOOKUP(C4000,Securities!A:B,2,FALSE)</f>
        <v>#N/A</v>
      </c>
      <c r="O4000" s="3">
        <f t="shared" si="63"/>
        <v>0</v>
      </c>
    </row>
    <row r="4001" spans="12:15" x14ac:dyDescent="0.25">
      <c r="L4001" s="3" t="e">
        <f>VLOOKUP(C4001,Securities!A:D,4,FALSE)</f>
        <v>#N/A</v>
      </c>
      <c r="M4001" s="3" t="e">
        <f>VLOOKUP(C4001,Securities!A:B,2,FALSE)</f>
        <v>#N/A</v>
      </c>
      <c r="O4001" s="3">
        <f t="shared" si="63"/>
        <v>0</v>
      </c>
    </row>
    <row r="4002" spans="12:15" x14ac:dyDescent="0.25">
      <c r="L4002" s="3" t="e">
        <f>VLOOKUP(C4002,Securities!A:D,4,FALSE)</f>
        <v>#N/A</v>
      </c>
      <c r="M4002" s="3" t="e">
        <f>VLOOKUP(C4002,Securities!A:B,2,FALSE)</f>
        <v>#N/A</v>
      </c>
      <c r="O4002" s="3">
        <f t="shared" si="63"/>
        <v>0</v>
      </c>
    </row>
    <row r="4003" spans="12:15" x14ac:dyDescent="0.25">
      <c r="L4003" s="3" t="e">
        <f>VLOOKUP(C4003,Securities!A:D,4,FALSE)</f>
        <v>#N/A</v>
      </c>
      <c r="M4003" s="3" t="e">
        <f>VLOOKUP(C4003,Securities!A:B,2,FALSE)</f>
        <v>#N/A</v>
      </c>
      <c r="O4003" s="3">
        <f t="shared" si="63"/>
        <v>0</v>
      </c>
    </row>
    <row r="4004" spans="12:15" x14ac:dyDescent="0.25">
      <c r="L4004" s="3" t="e">
        <f>VLOOKUP(C4004,Securities!A:D,4,FALSE)</f>
        <v>#N/A</v>
      </c>
      <c r="M4004" s="3" t="e">
        <f>VLOOKUP(C4004,Securities!A:B,2,FALSE)</f>
        <v>#N/A</v>
      </c>
      <c r="O4004" s="3">
        <f t="shared" si="63"/>
        <v>0</v>
      </c>
    </row>
    <row r="4005" spans="12:15" x14ac:dyDescent="0.25">
      <c r="L4005" s="3" t="e">
        <f>VLOOKUP(C4005,Securities!A:D,4,FALSE)</f>
        <v>#N/A</v>
      </c>
      <c r="M4005" s="3" t="e">
        <f>VLOOKUP(C4005,Securities!A:B,2,FALSE)</f>
        <v>#N/A</v>
      </c>
      <c r="O4005" s="3">
        <f t="shared" si="63"/>
        <v>0</v>
      </c>
    </row>
    <row r="4006" spans="12:15" x14ac:dyDescent="0.25">
      <c r="L4006" s="3" t="e">
        <f>VLOOKUP(C4006,Securities!A:D,4,FALSE)</f>
        <v>#N/A</v>
      </c>
      <c r="M4006" s="3" t="e">
        <f>VLOOKUP(C4006,Securities!A:B,2,FALSE)</f>
        <v>#N/A</v>
      </c>
      <c r="O4006" s="3">
        <f t="shared" si="63"/>
        <v>0</v>
      </c>
    </row>
    <row r="4007" spans="12:15" x14ac:dyDescent="0.25">
      <c r="L4007" s="3" t="e">
        <f>VLOOKUP(C4007,Securities!A:D,4,FALSE)</f>
        <v>#N/A</v>
      </c>
      <c r="M4007" s="3" t="e">
        <f>VLOOKUP(C4007,Securities!A:B,2,FALSE)</f>
        <v>#N/A</v>
      </c>
      <c r="O4007" s="3">
        <f t="shared" si="63"/>
        <v>0</v>
      </c>
    </row>
    <row r="4008" spans="12:15" x14ac:dyDescent="0.25">
      <c r="L4008" s="3" t="e">
        <f>VLOOKUP(C4008,Securities!A:D,4,FALSE)</f>
        <v>#N/A</v>
      </c>
      <c r="M4008" s="3" t="e">
        <f>VLOOKUP(C4008,Securities!A:B,2,FALSE)</f>
        <v>#N/A</v>
      </c>
      <c r="O4008" s="3">
        <f t="shared" si="63"/>
        <v>0</v>
      </c>
    </row>
    <row r="4009" spans="12:15" x14ac:dyDescent="0.25">
      <c r="L4009" s="3" t="e">
        <f>VLOOKUP(C4009,Securities!A:D,4,FALSE)</f>
        <v>#N/A</v>
      </c>
      <c r="M4009" s="3" t="e">
        <f>VLOOKUP(C4009,Securities!A:B,2,FALSE)</f>
        <v>#N/A</v>
      </c>
      <c r="O4009" s="3">
        <f t="shared" si="63"/>
        <v>0</v>
      </c>
    </row>
    <row r="4010" spans="12:15" x14ac:dyDescent="0.25">
      <c r="L4010" s="3" t="e">
        <f>VLOOKUP(C4010,Securities!A:D,4,FALSE)</f>
        <v>#N/A</v>
      </c>
      <c r="M4010" s="3" t="e">
        <f>VLOOKUP(C4010,Securities!A:B,2,FALSE)</f>
        <v>#N/A</v>
      </c>
      <c r="O4010" s="3">
        <f t="shared" si="63"/>
        <v>0</v>
      </c>
    </row>
    <row r="4011" spans="12:15" x14ac:dyDescent="0.25">
      <c r="L4011" s="3" t="e">
        <f>VLOOKUP(C4011,Securities!A:D,4,FALSE)</f>
        <v>#N/A</v>
      </c>
      <c r="M4011" s="3" t="e">
        <f>VLOOKUP(C4011,Securities!A:B,2,FALSE)</f>
        <v>#N/A</v>
      </c>
      <c r="O4011" s="3">
        <f t="shared" si="63"/>
        <v>0</v>
      </c>
    </row>
    <row r="4012" spans="12:15" x14ac:dyDescent="0.25">
      <c r="L4012" s="3" t="e">
        <f>VLOOKUP(C4012,Securities!A:D,4,FALSE)</f>
        <v>#N/A</v>
      </c>
      <c r="M4012" s="3" t="e">
        <f>VLOOKUP(C4012,Securities!A:B,2,FALSE)</f>
        <v>#N/A</v>
      </c>
      <c r="O4012" s="3">
        <f t="shared" si="63"/>
        <v>0</v>
      </c>
    </row>
    <row r="4013" spans="12:15" x14ac:dyDescent="0.25">
      <c r="L4013" s="3" t="e">
        <f>VLOOKUP(C4013,Securities!A:D,4,FALSE)</f>
        <v>#N/A</v>
      </c>
      <c r="M4013" s="3" t="e">
        <f>VLOOKUP(C4013,Securities!A:B,2,FALSE)</f>
        <v>#N/A</v>
      </c>
      <c r="O4013" s="3">
        <f t="shared" si="63"/>
        <v>0</v>
      </c>
    </row>
    <row r="4014" spans="12:15" x14ac:dyDescent="0.25">
      <c r="L4014" s="3" t="e">
        <f>VLOOKUP(C4014,Securities!A:D,4,FALSE)</f>
        <v>#N/A</v>
      </c>
      <c r="M4014" s="3" t="e">
        <f>VLOOKUP(C4014,Securities!A:B,2,FALSE)</f>
        <v>#N/A</v>
      </c>
      <c r="O4014" s="3">
        <f t="shared" si="63"/>
        <v>0</v>
      </c>
    </row>
    <row r="4015" spans="12:15" x14ac:dyDescent="0.25">
      <c r="L4015" s="3" t="e">
        <f>VLOOKUP(C4015,Securities!A:D,4,FALSE)</f>
        <v>#N/A</v>
      </c>
      <c r="M4015" s="3" t="e">
        <f>VLOOKUP(C4015,Securities!A:B,2,FALSE)</f>
        <v>#N/A</v>
      </c>
      <c r="O4015" s="3">
        <f t="shared" si="63"/>
        <v>0</v>
      </c>
    </row>
    <row r="4016" spans="12:15" x14ac:dyDescent="0.25">
      <c r="L4016" s="3" t="e">
        <f>VLOOKUP(C4016,Securities!A:D,4,FALSE)</f>
        <v>#N/A</v>
      </c>
      <c r="M4016" s="3" t="e">
        <f>VLOOKUP(C4016,Securities!A:B,2,FALSE)</f>
        <v>#N/A</v>
      </c>
      <c r="O4016" s="3">
        <f t="shared" si="63"/>
        <v>0</v>
      </c>
    </row>
    <row r="4017" spans="12:15" x14ac:dyDescent="0.25">
      <c r="L4017" s="3" t="e">
        <f>VLOOKUP(C4017,Securities!A:D,4,FALSE)</f>
        <v>#N/A</v>
      </c>
      <c r="M4017" s="3" t="e">
        <f>VLOOKUP(C4017,Securities!A:B,2,FALSE)</f>
        <v>#N/A</v>
      </c>
      <c r="O4017" s="3">
        <f t="shared" si="63"/>
        <v>0</v>
      </c>
    </row>
    <row r="4018" spans="12:15" x14ac:dyDescent="0.25">
      <c r="L4018" s="3" t="e">
        <f>VLOOKUP(C4018,Securities!A:D,4,FALSE)</f>
        <v>#N/A</v>
      </c>
      <c r="M4018" s="3" t="e">
        <f>VLOOKUP(C4018,Securities!A:B,2,FALSE)</f>
        <v>#N/A</v>
      </c>
      <c r="O4018" s="3">
        <f t="shared" si="63"/>
        <v>0</v>
      </c>
    </row>
    <row r="4019" spans="12:15" x14ac:dyDescent="0.25">
      <c r="L4019" s="3" t="e">
        <f>VLOOKUP(C4019,Securities!A:D,4,FALSE)</f>
        <v>#N/A</v>
      </c>
      <c r="M4019" s="3" t="e">
        <f>VLOOKUP(C4019,Securities!A:B,2,FALSE)</f>
        <v>#N/A</v>
      </c>
      <c r="O4019" s="3">
        <f t="shared" si="63"/>
        <v>0</v>
      </c>
    </row>
    <row r="4020" spans="12:15" x14ac:dyDescent="0.25">
      <c r="L4020" s="3" t="e">
        <f>VLOOKUP(C4020,Securities!A:D,4,FALSE)</f>
        <v>#N/A</v>
      </c>
      <c r="M4020" s="3" t="e">
        <f>VLOOKUP(C4020,Securities!A:B,2,FALSE)</f>
        <v>#N/A</v>
      </c>
      <c r="O4020" s="3">
        <f t="shared" si="63"/>
        <v>0</v>
      </c>
    </row>
    <row r="4021" spans="12:15" x14ac:dyDescent="0.25">
      <c r="L4021" s="3" t="e">
        <f>VLOOKUP(C4021,Securities!A:D,4,FALSE)</f>
        <v>#N/A</v>
      </c>
      <c r="M4021" s="3" t="e">
        <f>VLOOKUP(C4021,Securities!A:B,2,FALSE)</f>
        <v>#N/A</v>
      </c>
      <c r="O4021" s="3">
        <f t="shared" si="63"/>
        <v>0</v>
      </c>
    </row>
    <row r="4022" spans="12:15" x14ac:dyDescent="0.25">
      <c r="L4022" s="3" t="e">
        <f>VLOOKUP(C4022,Securities!A:D,4,FALSE)</f>
        <v>#N/A</v>
      </c>
      <c r="M4022" s="3" t="e">
        <f>VLOOKUP(C4022,Securities!A:B,2,FALSE)</f>
        <v>#N/A</v>
      </c>
      <c r="O4022" s="3">
        <f t="shared" si="63"/>
        <v>0</v>
      </c>
    </row>
    <row r="4023" spans="12:15" x14ac:dyDescent="0.25">
      <c r="L4023" s="3" t="e">
        <f>VLOOKUP(C4023,Securities!A:D,4,FALSE)</f>
        <v>#N/A</v>
      </c>
      <c r="M4023" s="3" t="e">
        <f>VLOOKUP(C4023,Securities!A:B,2,FALSE)</f>
        <v>#N/A</v>
      </c>
      <c r="O4023" s="3">
        <f t="shared" si="63"/>
        <v>0</v>
      </c>
    </row>
    <row r="4024" spans="12:15" x14ac:dyDescent="0.25">
      <c r="L4024" s="3" t="e">
        <f>VLOOKUP(C4024,Securities!A:D,4,FALSE)</f>
        <v>#N/A</v>
      </c>
      <c r="M4024" s="3" t="e">
        <f>VLOOKUP(C4024,Securities!A:B,2,FALSE)</f>
        <v>#N/A</v>
      </c>
      <c r="O4024" s="3">
        <f t="shared" si="63"/>
        <v>0</v>
      </c>
    </row>
    <row r="4025" spans="12:15" x14ac:dyDescent="0.25">
      <c r="L4025" s="3" t="e">
        <f>VLOOKUP(C4025,Securities!A:D,4,FALSE)</f>
        <v>#N/A</v>
      </c>
      <c r="M4025" s="3" t="e">
        <f>VLOOKUP(C4025,Securities!A:B,2,FALSE)</f>
        <v>#N/A</v>
      </c>
      <c r="O4025" s="3">
        <f t="shared" si="63"/>
        <v>0</v>
      </c>
    </row>
    <row r="4026" spans="12:15" x14ac:dyDescent="0.25">
      <c r="L4026" s="3" t="e">
        <f>VLOOKUP(C4026,Securities!A:D,4,FALSE)</f>
        <v>#N/A</v>
      </c>
      <c r="M4026" s="3" t="e">
        <f>VLOOKUP(C4026,Securities!A:B,2,FALSE)</f>
        <v>#N/A</v>
      </c>
      <c r="O4026" s="3">
        <f t="shared" si="63"/>
        <v>0</v>
      </c>
    </row>
    <row r="4027" spans="12:15" x14ac:dyDescent="0.25">
      <c r="L4027" s="3" t="e">
        <f>VLOOKUP(C4027,Securities!A:D,4,FALSE)</f>
        <v>#N/A</v>
      </c>
      <c r="M4027" s="3" t="e">
        <f>VLOOKUP(C4027,Securities!A:B,2,FALSE)</f>
        <v>#N/A</v>
      </c>
      <c r="O4027" s="3">
        <f t="shared" si="63"/>
        <v>0</v>
      </c>
    </row>
    <row r="4028" spans="12:15" x14ac:dyDescent="0.25">
      <c r="L4028" s="3" t="e">
        <f>VLOOKUP(C4028,Securities!A:D,4,FALSE)</f>
        <v>#N/A</v>
      </c>
      <c r="M4028" s="3" t="e">
        <f>VLOOKUP(C4028,Securities!A:B,2,FALSE)</f>
        <v>#N/A</v>
      </c>
      <c r="O4028" s="3">
        <f t="shared" si="63"/>
        <v>0</v>
      </c>
    </row>
    <row r="4029" spans="12:15" x14ac:dyDescent="0.25">
      <c r="L4029" s="3" t="e">
        <f>VLOOKUP(C4029,Securities!A:D,4,FALSE)</f>
        <v>#N/A</v>
      </c>
      <c r="M4029" s="3" t="e">
        <f>VLOOKUP(C4029,Securities!A:B,2,FALSE)</f>
        <v>#N/A</v>
      </c>
      <c r="O4029" s="3">
        <f t="shared" si="63"/>
        <v>0</v>
      </c>
    </row>
    <row r="4030" spans="12:15" x14ac:dyDescent="0.25">
      <c r="L4030" s="3" t="e">
        <f>VLOOKUP(C4030,Securities!A:D,4,FALSE)</f>
        <v>#N/A</v>
      </c>
      <c r="M4030" s="3" t="e">
        <f>VLOOKUP(C4030,Securities!A:B,2,FALSE)</f>
        <v>#N/A</v>
      </c>
      <c r="O4030" s="3">
        <f t="shared" si="63"/>
        <v>0</v>
      </c>
    </row>
    <row r="4031" spans="12:15" x14ac:dyDescent="0.25">
      <c r="L4031" s="3" t="e">
        <f>VLOOKUP(C4031,Securities!A:D,4,FALSE)</f>
        <v>#N/A</v>
      </c>
      <c r="M4031" s="3" t="e">
        <f>VLOOKUP(C4031,Securities!A:B,2,FALSE)</f>
        <v>#N/A</v>
      </c>
      <c r="O4031" s="3">
        <f t="shared" si="63"/>
        <v>0</v>
      </c>
    </row>
    <row r="4032" spans="12:15" x14ac:dyDescent="0.25">
      <c r="L4032" s="3" t="e">
        <f>VLOOKUP(C4032,Securities!A:D,4,FALSE)</f>
        <v>#N/A</v>
      </c>
      <c r="M4032" s="3" t="e">
        <f>VLOOKUP(C4032,Securities!A:B,2,FALSE)</f>
        <v>#N/A</v>
      </c>
      <c r="O4032" s="3">
        <f t="shared" si="63"/>
        <v>0</v>
      </c>
    </row>
    <row r="4033" spans="12:15" x14ac:dyDescent="0.25">
      <c r="L4033" s="3" t="e">
        <f>VLOOKUP(C4033,Securities!A:D,4,FALSE)</f>
        <v>#N/A</v>
      </c>
      <c r="M4033" s="3" t="e">
        <f>VLOOKUP(C4033,Securities!A:B,2,FALSE)</f>
        <v>#N/A</v>
      </c>
      <c r="O4033" s="3">
        <f t="shared" si="63"/>
        <v>0</v>
      </c>
    </row>
    <row r="4034" spans="12:15" x14ac:dyDescent="0.25">
      <c r="L4034" s="3" t="e">
        <f>VLOOKUP(C4034,Securities!A:D,4,FALSE)</f>
        <v>#N/A</v>
      </c>
      <c r="M4034" s="3" t="e">
        <f>VLOOKUP(C4034,Securities!A:B,2,FALSE)</f>
        <v>#N/A</v>
      </c>
      <c r="O4034" s="3">
        <f t="shared" si="63"/>
        <v>0</v>
      </c>
    </row>
    <row r="4035" spans="12:15" x14ac:dyDescent="0.25">
      <c r="L4035" s="3" t="e">
        <f>VLOOKUP(C4035,Securities!A:D,4,FALSE)</f>
        <v>#N/A</v>
      </c>
      <c r="M4035" s="3" t="e">
        <f>VLOOKUP(C4035,Securities!A:B,2,FALSE)</f>
        <v>#N/A</v>
      </c>
      <c r="O4035" s="3">
        <f t="shared" si="63"/>
        <v>0</v>
      </c>
    </row>
    <row r="4036" spans="12:15" x14ac:dyDescent="0.25">
      <c r="L4036" s="3" t="e">
        <f>VLOOKUP(C4036,Securities!A:D,4,FALSE)</f>
        <v>#N/A</v>
      </c>
      <c r="M4036" s="3" t="e">
        <f>VLOOKUP(C4036,Securities!A:B,2,FALSE)</f>
        <v>#N/A</v>
      </c>
      <c r="O4036" s="3">
        <f t="shared" si="63"/>
        <v>0</v>
      </c>
    </row>
    <row r="4037" spans="12:15" x14ac:dyDescent="0.25">
      <c r="L4037" s="3" t="e">
        <f>VLOOKUP(C4037,Securities!A:D,4,FALSE)</f>
        <v>#N/A</v>
      </c>
      <c r="M4037" s="3" t="e">
        <f>VLOOKUP(C4037,Securities!A:B,2,FALSE)</f>
        <v>#N/A</v>
      </c>
      <c r="O4037" s="3">
        <f t="shared" si="63"/>
        <v>0</v>
      </c>
    </row>
    <row r="4038" spans="12:15" x14ac:dyDescent="0.25">
      <c r="L4038" s="3" t="e">
        <f>VLOOKUP(C4038,Securities!A:D,4,FALSE)</f>
        <v>#N/A</v>
      </c>
      <c r="M4038" s="3" t="e">
        <f>VLOOKUP(C4038,Securities!A:B,2,FALSE)</f>
        <v>#N/A</v>
      </c>
      <c r="O4038" s="3">
        <f t="shared" ref="O4038:O4101" si="64">SUMIFS(E:E,C:C,C4038,B:B,B4038)</f>
        <v>0</v>
      </c>
    </row>
    <row r="4039" spans="12:15" x14ac:dyDescent="0.25">
      <c r="L4039" s="3" t="e">
        <f>VLOOKUP(C4039,Securities!A:D,4,FALSE)</f>
        <v>#N/A</v>
      </c>
      <c r="M4039" s="3" t="e">
        <f>VLOOKUP(C4039,Securities!A:B,2,FALSE)</f>
        <v>#N/A</v>
      </c>
      <c r="O4039" s="3">
        <f t="shared" si="64"/>
        <v>0</v>
      </c>
    </row>
    <row r="4040" spans="12:15" x14ac:dyDescent="0.25">
      <c r="L4040" s="3" t="e">
        <f>VLOOKUP(C4040,Securities!A:D,4,FALSE)</f>
        <v>#N/A</v>
      </c>
      <c r="M4040" s="3" t="e">
        <f>VLOOKUP(C4040,Securities!A:B,2,FALSE)</f>
        <v>#N/A</v>
      </c>
      <c r="O4040" s="3">
        <f t="shared" si="64"/>
        <v>0</v>
      </c>
    </row>
    <row r="4041" spans="12:15" x14ac:dyDescent="0.25">
      <c r="L4041" s="3" t="e">
        <f>VLOOKUP(C4041,Securities!A:D,4,FALSE)</f>
        <v>#N/A</v>
      </c>
      <c r="M4041" s="3" t="e">
        <f>VLOOKUP(C4041,Securities!A:B,2,FALSE)</f>
        <v>#N/A</v>
      </c>
      <c r="O4041" s="3">
        <f t="shared" si="64"/>
        <v>0</v>
      </c>
    </row>
    <row r="4042" spans="12:15" x14ac:dyDescent="0.25">
      <c r="L4042" s="3" t="e">
        <f>VLOOKUP(C4042,Securities!A:D,4,FALSE)</f>
        <v>#N/A</v>
      </c>
      <c r="M4042" s="3" t="e">
        <f>VLOOKUP(C4042,Securities!A:B,2,FALSE)</f>
        <v>#N/A</v>
      </c>
      <c r="O4042" s="3">
        <f t="shared" si="64"/>
        <v>0</v>
      </c>
    </row>
    <row r="4043" spans="12:15" x14ac:dyDescent="0.25">
      <c r="L4043" s="3" t="e">
        <f>VLOOKUP(C4043,Securities!A:D,4,FALSE)</f>
        <v>#N/A</v>
      </c>
      <c r="M4043" s="3" t="e">
        <f>VLOOKUP(C4043,Securities!A:B,2,FALSE)</f>
        <v>#N/A</v>
      </c>
      <c r="O4043" s="3">
        <f t="shared" si="64"/>
        <v>0</v>
      </c>
    </row>
    <row r="4044" spans="12:15" x14ac:dyDescent="0.25">
      <c r="L4044" s="3" t="e">
        <f>VLOOKUP(C4044,Securities!A:D,4,FALSE)</f>
        <v>#N/A</v>
      </c>
      <c r="M4044" s="3" t="e">
        <f>VLOOKUP(C4044,Securities!A:B,2,FALSE)</f>
        <v>#N/A</v>
      </c>
      <c r="O4044" s="3">
        <f t="shared" si="64"/>
        <v>0</v>
      </c>
    </row>
    <row r="4045" spans="12:15" x14ac:dyDescent="0.25">
      <c r="L4045" s="3" t="e">
        <f>VLOOKUP(C4045,Securities!A:D,4,FALSE)</f>
        <v>#N/A</v>
      </c>
      <c r="M4045" s="3" t="e">
        <f>VLOOKUP(C4045,Securities!A:B,2,FALSE)</f>
        <v>#N/A</v>
      </c>
      <c r="O4045" s="3">
        <f t="shared" si="64"/>
        <v>0</v>
      </c>
    </row>
    <row r="4046" spans="12:15" x14ac:dyDescent="0.25">
      <c r="L4046" s="3" t="e">
        <f>VLOOKUP(C4046,Securities!A:D,4,FALSE)</f>
        <v>#N/A</v>
      </c>
      <c r="M4046" s="3" t="e">
        <f>VLOOKUP(C4046,Securities!A:B,2,FALSE)</f>
        <v>#N/A</v>
      </c>
      <c r="O4046" s="3">
        <f t="shared" si="64"/>
        <v>0</v>
      </c>
    </row>
    <row r="4047" spans="12:15" x14ac:dyDescent="0.25">
      <c r="L4047" s="3" t="e">
        <f>VLOOKUP(C4047,Securities!A:D,4,FALSE)</f>
        <v>#N/A</v>
      </c>
      <c r="M4047" s="3" t="e">
        <f>VLOOKUP(C4047,Securities!A:B,2,FALSE)</f>
        <v>#N/A</v>
      </c>
      <c r="O4047" s="3">
        <f t="shared" si="64"/>
        <v>0</v>
      </c>
    </row>
    <row r="4048" spans="12:15" x14ac:dyDescent="0.25">
      <c r="L4048" s="3" t="e">
        <f>VLOOKUP(C4048,Securities!A:D,4,FALSE)</f>
        <v>#N/A</v>
      </c>
      <c r="M4048" s="3" t="e">
        <f>VLOOKUP(C4048,Securities!A:B,2,FALSE)</f>
        <v>#N/A</v>
      </c>
      <c r="O4048" s="3">
        <f t="shared" si="64"/>
        <v>0</v>
      </c>
    </row>
    <row r="4049" spans="12:15" x14ac:dyDescent="0.25">
      <c r="L4049" s="3" t="e">
        <f>VLOOKUP(C4049,Securities!A:D,4,FALSE)</f>
        <v>#N/A</v>
      </c>
      <c r="M4049" s="3" t="e">
        <f>VLOOKUP(C4049,Securities!A:B,2,FALSE)</f>
        <v>#N/A</v>
      </c>
      <c r="O4049" s="3">
        <f t="shared" si="64"/>
        <v>0</v>
      </c>
    </row>
    <row r="4050" spans="12:15" x14ac:dyDescent="0.25">
      <c r="L4050" s="3" t="e">
        <f>VLOOKUP(C4050,Securities!A:D,4,FALSE)</f>
        <v>#N/A</v>
      </c>
      <c r="M4050" s="3" t="e">
        <f>VLOOKUP(C4050,Securities!A:B,2,FALSE)</f>
        <v>#N/A</v>
      </c>
      <c r="O4050" s="3">
        <f t="shared" si="64"/>
        <v>0</v>
      </c>
    </row>
    <row r="4051" spans="12:15" x14ac:dyDescent="0.25">
      <c r="L4051" s="3" t="e">
        <f>VLOOKUP(C4051,Securities!A:D,4,FALSE)</f>
        <v>#N/A</v>
      </c>
      <c r="M4051" s="3" t="e">
        <f>VLOOKUP(C4051,Securities!A:B,2,FALSE)</f>
        <v>#N/A</v>
      </c>
      <c r="O4051" s="3">
        <f t="shared" si="64"/>
        <v>0</v>
      </c>
    </row>
    <row r="4052" spans="12:15" x14ac:dyDescent="0.25">
      <c r="L4052" s="3" t="e">
        <f>VLOOKUP(C4052,Securities!A:D,4,FALSE)</f>
        <v>#N/A</v>
      </c>
      <c r="M4052" s="3" t="e">
        <f>VLOOKUP(C4052,Securities!A:B,2,FALSE)</f>
        <v>#N/A</v>
      </c>
      <c r="O4052" s="3">
        <f t="shared" si="64"/>
        <v>0</v>
      </c>
    </row>
    <row r="4053" spans="12:15" x14ac:dyDescent="0.25">
      <c r="L4053" s="3" t="e">
        <f>VLOOKUP(C4053,Securities!A:D,4,FALSE)</f>
        <v>#N/A</v>
      </c>
      <c r="M4053" s="3" t="e">
        <f>VLOOKUP(C4053,Securities!A:B,2,FALSE)</f>
        <v>#N/A</v>
      </c>
      <c r="O4053" s="3">
        <f t="shared" si="64"/>
        <v>0</v>
      </c>
    </row>
    <row r="4054" spans="12:15" x14ac:dyDescent="0.25">
      <c r="L4054" s="3" t="e">
        <f>VLOOKUP(C4054,Securities!A:D,4,FALSE)</f>
        <v>#N/A</v>
      </c>
      <c r="M4054" s="3" t="e">
        <f>VLOOKUP(C4054,Securities!A:B,2,FALSE)</f>
        <v>#N/A</v>
      </c>
      <c r="O4054" s="3">
        <f t="shared" si="64"/>
        <v>0</v>
      </c>
    </row>
    <row r="4055" spans="12:15" x14ac:dyDescent="0.25">
      <c r="L4055" s="3" t="e">
        <f>VLOOKUP(C4055,Securities!A:D,4,FALSE)</f>
        <v>#N/A</v>
      </c>
      <c r="M4055" s="3" t="e">
        <f>VLOOKUP(C4055,Securities!A:B,2,FALSE)</f>
        <v>#N/A</v>
      </c>
      <c r="O4055" s="3">
        <f t="shared" si="64"/>
        <v>0</v>
      </c>
    </row>
    <row r="4056" spans="12:15" x14ac:dyDescent="0.25">
      <c r="L4056" s="3" t="e">
        <f>VLOOKUP(C4056,Securities!A:D,4,FALSE)</f>
        <v>#N/A</v>
      </c>
      <c r="M4056" s="3" t="e">
        <f>VLOOKUP(C4056,Securities!A:B,2,FALSE)</f>
        <v>#N/A</v>
      </c>
      <c r="O4056" s="3">
        <f t="shared" si="64"/>
        <v>0</v>
      </c>
    </row>
    <row r="4057" spans="12:15" x14ac:dyDescent="0.25">
      <c r="L4057" s="3" t="e">
        <f>VLOOKUP(C4057,Securities!A:D,4,FALSE)</f>
        <v>#N/A</v>
      </c>
      <c r="M4057" s="3" t="e">
        <f>VLOOKUP(C4057,Securities!A:B,2,FALSE)</f>
        <v>#N/A</v>
      </c>
      <c r="O4057" s="3">
        <f t="shared" si="64"/>
        <v>0</v>
      </c>
    </row>
    <row r="4058" spans="12:15" x14ac:dyDescent="0.25">
      <c r="L4058" s="3" t="e">
        <f>VLOOKUP(C4058,Securities!A:D,4,FALSE)</f>
        <v>#N/A</v>
      </c>
      <c r="M4058" s="3" t="e">
        <f>VLOOKUP(C4058,Securities!A:B,2,FALSE)</f>
        <v>#N/A</v>
      </c>
      <c r="O4058" s="3">
        <f t="shared" si="64"/>
        <v>0</v>
      </c>
    </row>
    <row r="4059" spans="12:15" x14ac:dyDescent="0.25">
      <c r="L4059" s="3" t="e">
        <f>VLOOKUP(C4059,Securities!A:D,4,FALSE)</f>
        <v>#N/A</v>
      </c>
      <c r="M4059" s="3" t="e">
        <f>VLOOKUP(C4059,Securities!A:B,2,FALSE)</f>
        <v>#N/A</v>
      </c>
      <c r="O4059" s="3">
        <f t="shared" si="64"/>
        <v>0</v>
      </c>
    </row>
    <row r="4060" spans="12:15" x14ac:dyDescent="0.25">
      <c r="L4060" s="3" t="e">
        <f>VLOOKUP(C4060,Securities!A:D,4,FALSE)</f>
        <v>#N/A</v>
      </c>
      <c r="M4060" s="3" t="e">
        <f>VLOOKUP(C4060,Securities!A:B,2,FALSE)</f>
        <v>#N/A</v>
      </c>
      <c r="O4060" s="3">
        <f t="shared" si="64"/>
        <v>0</v>
      </c>
    </row>
    <row r="4061" spans="12:15" x14ac:dyDescent="0.25">
      <c r="L4061" s="3" t="e">
        <f>VLOOKUP(C4061,Securities!A:D,4,FALSE)</f>
        <v>#N/A</v>
      </c>
      <c r="M4061" s="3" t="e">
        <f>VLOOKUP(C4061,Securities!A:B,2,FALSE)</f>
        <v>#N/A</v>
      </c>
      <c r="O4061" s="3">
        <f t="shared" si="64"/>
        <v>0</v>
      </c>
    </row>
    <row r="4062" spans="12:15" x14ac:dyDescent="0.25">
      <c r="L4062" s="3" t="e">
        <f>VLOOKUP(C4062,Securities!A:D,4,FALSE)</f>
        <v>#N/A</v>
      </c>
      <c r="M4062" s="3" t="e">
        <f>VLOOKUP(C4062,Securities!A:B,2,FALSE)</f>
        <v>#N/A</v>
      </c>
      <c r="O4062" s="3">
        <f t="shared" si="64"/>
        <v>0</v>
      </c>
    </row>
    <row r="4063" spans="12:15" x14ac:dyDescent="0.25">
      <c r="L4063" s="3" t="e">
        <f>VLOOKUP(C4063,Securities!A:D,4,FALSE)</f>
        <v>#N/A</v>
      </c>
      <c r="M4063" s="3" t="e">
        <f>VLOOKUP(C4063,Securities!A:B,2,FALSE)</f>
        <v>#N/A</v>
      </c>
      <c r="O4063" s="3">
        <f t="shared" si="64"/>
        <v>0</v>
      </c>
    </row>
    <row r="4064" spans="12:15" x14ac:dyDescent="0.25">
      <c r="L4064" s="3" t="e">
        <f>VLOOKUP(C4064,Securities!A:D,4,FALSE)</f>
        <v>#N/A</v>
      </c>
      <c r="M4064" s="3" t="e">
        <f>VLOOKUP(C4064,Securities!A:B,2,FALSE)</f>
        <v>#N/A</v>
      </c>
      <c r="O4064" s="3">
        <f t="shared" si="64"/>
        <v>0</v>
      </c>
    </row>
    <row r="4065" spans="12:15" x14ac:dyDescent="0.25">
      <c r="L4065" s="3" t="e">
        <f>VLOOKUP(C4065,Securities!A:D,4,FALSE)</f>
        <v>#N/A</v>
      </c>
      <c r="M4065" s="3" t="e">
        <f>VLOOKUP(C4065,Securities!A:B,2,FALSE)</f>
        <v>#N/A</v>
      </c>
      <c r="O4065" s="3">
        <f t="shared" si="64"/>
        <v>0</v>
      </c>
    </row>
    <row r="4066" spans="12:15" x14ac:dyDescent="0.25">
      <c r="L4066" s="3" t="e">
        <f>VLOOKUP(C4066,Securities!A:D,4,FALSE)</f>
        <v>#N/A</v>
      </c>
      <c r="M4066" s="3" t="e">
        <f>VLOOKUP(C4066,Securities!A:B,2,FALSE)</f>
        <v>#N/A</v>
      </c>
      <c r="O4066" s="3">
        <f t="shared" si="64"/>
        <v>0</v>
      </c>
    </row>
    <row r="4067" spans="12:15" x14ac:dyDescent="0.25">
      <c r="L4067" s="3" t="e">
        <f>VLOOKUP(C4067,Securities!A:D,4,FALSE)</f>
        <v>#N/A</v>
      </c>
      <c r="M4067" s="3" t="e">
        <f>VLOOKUP(C4067,Securities!A:B,2,FALSE)</f>
        <v>#N/A</v>
      </c>
      <c r="O4067" s="3">
        <f t="shared" si="64"/>
        <v>0</v>
      </c>
    </row>
    <row r="4068" spans="12:15" x14ac:dyDescent="0.25">
      <c r="L4068" s="3" t="e">
        <f>VLOOKUP(C4068,Securities!A:D,4,FALSE)</f>
        <v>#N/A</v>
      </c>
      <c r="M4068" s="3" t="e">
        <f>VLOOKUP(C4068,Securities!A:B,2,FALSE)</f>
        <v>#N/A</v>
      </c>
      <c r="O4068" s="3">
        <f t="shared" si="64"/>
        <v>0</v>
      </c>
    </row>
    <row r="4069" spans="12:15" x14ac:dyDescent="0.25">
      <c r="L4069" s="3" t="e">
        <f>VLOOKUP(C4069,Securities!A:D,4,FALSE)</f>
        <v>#N/A</v>
      </c>
      <c r="M4069" s="3" t="e">
        <f>VLOOKUP(C4069,Securities!A:B,2,FALSE)</f>
        <v>#N/A</v>
      </c>
      <c r="O4069" s="3">
        <f t="shared" si="64"/>
        <v>0</v>
      </c>
    </row>
    <row r="4070" spans="12:15" x14ac:dyDescent="0.25">
      <c r="L4070" s="3" t="e">
        <f>VLOOKUP(C4070,Securities!A:D,4,FALSE)</f>
        <v>#N/A</v>
      </c>
      <c r="M4070" s="3" t="e">
        <f>VLOOKUP(C4070,Securities!A:B,2,FALSE)</f>
        <v>#N/A</v>
      </c>
      <c r="O4070" s="3">
        <f t="shared" si="64"/>
        <v>0</v>
      </c>
    </row>
    <row r="4071" spans="12:15" x14ac:dyDescent="0.25">
      <c r="L4071" s="3" t="e">
        <f>VLOOKUP(C4071,Securities!A:D,4,FALSE)</f>
        <v>#N/A</v>
      </c>
      <c r="M4071" s="3" t="e">
        <f>VLOOKUP(C4071,Securities!A:B,2,FALSE)</f>
        <v>#N/A</v>
      </c>
      <c r="O4071" s="3">
        <f t="shared" si="64"/>
        <v>0</v>
      </c>
    </row>
    <row r="4072" spans="12:15" x14ac:dyDescent="0.25">
      <c r="L4072" s="3" t="e">
        <f>VLOOKUP(C4072,Securities!A:D,4,FALSE)</f>
        <v>#N/A</v>
      </c>
      <c r="M4072" s="3" t="e">
        <f>VLOOKUP(C4072,Securities!A:B,2,FALSE)</f>
        <v>#N/A</v>
      </c>
      <c r="O4072" s="3">
        <f t="shared" si="64"/>
        <v>0</v>
      </c>
    </row>
    <row r="4073" spans="12:15" x14ac:dyDescent="0.25">
      <c r="L4073" s="3" t="e">
        <f>VLOOKUP(C4073,Securities!A:D,4,FALSE)</f>
        <v>#N/A</v>
      </c>
      <c r="M4073" s="3" t="e">
        <f>VLOOKUP(C4073,Securities!A:B,2,FALSE)</f>
        <v>#N/A</v>
      </c>
      <c r="O4073" s="3">
        <f t="shared" si="64"/>
        <v>0</v>
      </c>
    </row>
    <row r="4074" spans="12:15" x14ac:dyDescent="0.25">
      <c r="L4074" s="3" t="e">
        <f>VLOOKUP(C4074,Securities!A:D,4,FALSE)</f>
        <v>#N/A</v>
      </c>
      <c r="M4074" s="3" t="e">
        <f>VLOOKUP(C4074,Securities!A:B,2,FALSE)</f>
        <v>#N/A</v>
      </c>
      <c r="O4074" s="3">
        <f t="shared" si="64"/>
        <v>0</v>
      </c>
    </row>
    <row r="4075" spans="12:15" x14ac:dyDescent="0.25">
      <c r="L4075" s="3" t="e">
        <f>VLOOKUP(C4075,Securities!A:D,4,FALSE)</f>
        <v>#N/A</v>
      </c>
      <c r="M4075" s="3" t="e">
        <f>VLOOKUP(C4075,Securities!A:B,2,FALSE)</f>
        <v>#N/A</v>
      </c>
      <c r="O4075" s="3">
        <f t="shared" si="64"/>
        <v>0</v>
      </c>
    </row>
    <row r="4076" spans="12:15" x14ac:dyDescent="0.25">
      <c r="L4076" s="3" t="e">
        <f>VLOOKUP(C4076,Securities!A:D,4,FALSE)</f>
        <v>#N/A</v>
      </c>
      <c r="M4076" s="3" t="e">
        <f>VLOOKUP(C4076,Securities!A:B,2,FALSE)</f>
        <v>#N/A</v>
      </c>
      <c r="O4076" s="3">
        <f t="shared" si="64"/>
        <v>0</v>
      </c>
    </row>
    <row r="4077" spans="12:15" x14ac:dyDescent="0.25">
      <c r="L4077" s="3" t="e">
        <f>VLOOKUP(C4077,Securities!A:D,4,FALSE)</f>
        <v>#N/A</v>
      </c>
      <c r="M4077" s="3" t="e">
        <f>VLOOKUP(C4077,Securities!A:B,2,FALSE)</f>
        <v>#N/A</v>
      </c>
      <c r="O4077" s="3">
        <f t="shared" si="64"/>
        <v>0</v>
      </c>
    </row>
    <row r="4078" spans="12:15" x14ac:dyDescent="0.25">
      <c r="L4078" s="3" t="e">
        <f>VLOOKUP(C4078,Securities!A:D,4,FALSE)</f>
        <v>#N/A</v>
      </c>
      <c r="M4078" s="3" t="e">
        <f>VLOOKUP(C4078,Securities!A:B,2,FALSE)</f>
        <v>#N/A</v>
      </c>
      <c r="O4078" s="3">
        <f t="shared" si="64"/>
        <v>0</v>
      </c>
    </row>
    <row r="4079" spans="12:15" x14ac:dyDescent="0.25">
      <c r="L4079" s="3" t="e">
        <f>VLOOKUP(C4079,Securities!A:D,4,FALSE)</f>
        <v>#N/A</v>
      </c>
      <c r="M4079" s="3" t="e">
        <f>VLOOKUP(C4079,Securities!A:B,2,FALSE)</f>
        <v>#N/A</v>
      </c>
      <c r="O4079" s="3">
        <f t="shared" si="64"/>
        <v>0</v>
      </c>
    </row>
    <row r="4080" spans="12:15" x14ac:dyDescent="0.25">
      <c r="L4080" s="3" t="e">
        <f>VLOOKUP(C4080,Securities!A:D,4,FALSE)</f>
        <v>#N/A</v>
      </c>
      <c r="M4080" s="3" t="e">
        <f>VLOOKUP(C4080,Securities!A:B,2,FALSE)</f>
        <v>#N/A</v>
      </c>
      <c r="O4080" s="3">
        <f t="shared" si="64"/>
        <v>0</v>
      </c>
    </row>
    <row r="4081" spans="12:15" x14ac:dyDescent="0.25">
      <c r="L4081" s="3" t="e">
        <f>VLOOKUP(C4081,Securities!A:D,4,FALSE)</f>
        <v>#N/A</v>
      </c>
      <c r="M4081" s="3" t="e">
        <f>VLOOKUP(C4081,Securities!A:B,2,FALSE)</f>
        <v>#N/A</v>
      </c>
      <c r="O4081" s="3">
        <f t="shared" si="64"/>
        <v>0</v>
      </c>
    </row>
    <row r="4082" spans="12:15" x14ac:dyDescent="0.25">
      <c r="L4082" s="3" t="e">
        <f>VLOOKUP(C4082,Securities!A:D,4,FALSE)</f>
        <v>#N/A</v>
      </c>
      <c r="M4082" s="3" t="e">
        <f>VLOOKUP(C4082,Securities!A:B,2,FALSE)</f>
        <v>#N/A</v>
      </c>
      <c r="O4082" s="3">
        <f t="shared" si="64"/>
        <v>0</v>
      </c>
    </row>
    <row r="4083" spans="12:15" x14ac:dyDescent="0.25">
      <c r="L4083" s="3" t="e">
        <f>VLOOKUP(C4083,Securities!A:D,4,FALSE)</f>
        <v>#N/A</v>
      </c>
      <c r="M4083" s="3" t="e">
        <f>VLOOKUP(C4083,Securities!A:B,2,FALSE)</f>
        <v>#N/A</v>
      </c>
      <c r="O4083" s="3">
        <f t="shared" si="64"/>
        <v>0</v>
      </c>
    </row>
    <row r="4084" spans="12:15" x14ac:dyDescent="0.25">
      <c r="L4084" s="3" t="e">
        <f>VLOOKUP(C4084,Securities!A:D,4,FALSE)</f>
        <v>#N/A</v>
      </c>
      <c r="M4084" s="3" t="e">
        <f>VLOOKUP(C4084,Securities!A:B,2,FALSE)</f>
        <v>#N/A</v>
      </c>
      <c r="O4084" s="3">
        <f t="shared" si="64"/>
        <v>0</v>
      </c>
    </row>
    <row r="4085" spans="12:15" x14ac:dyDescent="0.25">
      <c r="L4085" s="3" t="e">
        <f>VLOOKUP(C4085,Securities!A:D,4,FALSE)</f>
        <v>#N/A</v>
      </c>
      <c r="M4085" s="3" t="e">
        <f>VLOOKUP(C4085,Securities!A:B,2,FALSE)</f>
        <v>#N/A</v>
      </c>
      <c r="O4085" s="3">
        <f t="shared" si="64"/>
        <v>0</v>
      </c>
    </row>
    <row r="4086" spans="12:15" x14ac:dyDescent="0.25">
      <c r="L4086" s="3" t="e">
        <f>VLOOKUP(C4086,Securities!A:D,4,FALSE)</f>
        <v>#N/A</v>
      </c>
      <c r="M4086" s="3" t="e">
        <f>VLOOKUP(C4086,Securities!A:B,2,FALSE)</f>
        <v>#N/A</v>
      </c>
      <c r="O4086" s="3">
        <f t="shared" si="64"/>
        <v>0</v>
      </c>
    </row>
    <row r="4087" spans="12:15" x14ac:dyDescent="0.25">
      <c r="L4087" s="3" t="e">
        <f>VLOOKUP(C4087,Securities!A:D,4,FALSE)</f>
        <v>#N/A</v>
      </c>
      <c r="M4087" s="3" t="e">
        <f>VLOOKUP(C4087,Securities!A:B,2,FALSE)</f>
        <v>#N/A</v>
      </c>
      <c r="O4087" s="3">
        <f t="shared" si="64"/>
        <v>0</v>
      </c>
    </row>
    <row r="4088" spans="12:15" x14ac:dyDescent="0.25">
      <c r="L4088" s="3" t="e">
        <f>VLOOKUP(C4088,Securities!A:D,4,FALSE)</f>
        <v>#N/A</v>
      </c>
      <c r="M4088" s="3" t="e">
        <f>VLOOKUP(C4088,Securities!A:B,2,FALSE)</f>
        <v>#N/A</v>
      </c>
      <c r="O4088" s="3">
        <f t="shared" si="64"/>
        <v>0</v>
      </c>
    </row>
    <row r="4089" spans="12:15" x14ac:dyDescent="0.25">
      <c r="L4089" s="3" t="e">
        <f>VLOOKUP(C4089,Securities!A:D,4,FALSE)</f>
        <v>#N/A</v>
      </c>
      <c r="M4089" s="3" t="e">
        <f>VLOOKUP(C4089,Securities!A:B,2,FALSE)</f>
        <v>#N/A</v>
      </c>
      <c r="O4089" s="3">
        <f t="shared" si="64"/>
        <v>0</v>
      </c>
    </row>
    <row r="4090" spans="12:15" x14ac:dyDescent="0.25">
      <c r="L4090" s="3" t="e">
        <f>VLOOKUP(C4090,Securities!A:D,4,FALSE)</f>
        <v>#N/A</v>
      </c>
      <c r="M4090" s="3" t="e">
        <f>VLOOKUP(C4090,Securities!A:B,2,FALSE)</f>
        <v>#N/A</v>
      </c>
      <c r="O4090" s="3">
        <f t="shared" si="64"/>
        <v>0</v>
      </c>
    </row>
    <row r="4091" spans="12:15" x14ac:dyDescent="0.25">
      <c r="L4091" s="3" t="e">
        <f>VLOOKUP(C4091,Securities!A:D,4,FALSE)</f>
        <v>#N/A</v>
      </c>
      <c r="M4091" s="3" t="e">
        <f>VLOOKUP(C4091,Securities!A:B,2,FALSE)</f>
        <v>#N/A</v>
      </c>
      <c r="O4091" s="3">
        <f t="shared" si="64"/>
        <v>0</v>
      </c>
    </row>
    <row r="4092" spans="12:15" x14ac:dyDescent="0.25">
      <c r="L4092" s="3" t="e">
        <f>VLOOKUP(C4092,Securities!A:D,4,FALSE)</f>
        <v>#N/A</v>
      </c>
      <c r="M4092" s="3" t="e">
        <f>VLOOKUP(C4092,Securities!A:B,2,FALSE)</f>
        <v>#N/A</v>
      </c>
      <c r="O4092" s="3">
        <f t="shared" si="64"/>
        <v>0</v>
      </c>
    </row>
    <row r="4093" spans="12:15" x14ac:dyDescent="0.25">
      <c r="L4093" s="3" t="e">
        <f>VLOOKUP(C4093,Securities!A:D,4,FALSE)</f>
        <v>#N/A</v>
      </c>
      <c r="M4093" s="3" t="e">
        <f>VLOOKUP(C4093,Securities!A:B,2,FALSE)</f>
        <v>#N/A</v>
      </c>
      <c r="O4093" s="3">
        <f t="shared" si="64"/>
        <v>0</v>
      </c>
    </row>
    <row r="4094" spans="12:15" x14ac:dyDescent="0.25">
      <c r="L4094" s="3" t="e">
        <f>VLOOKUP(C4094,Securities!A:D,4,FALSE)</f>
        <v>#N/A</v>
      </c>
      <c r="M4094" s="3" t="e">
        <f>VLOOKUP(C4094,Securities!A:B,2,FALSE)</f>
        <v>#N/A</v>
      </c>
      <c r="O4094" s="3">
        <f t="shared" si="64"/>
        <v>0</v>
      </c>
    </row>
    <row r="4095" spans="12:15" x14ac:dyDescent="0.25">
      <c r="L4095" s="3" t="e">
        <f>VLOOKUP(C4095,Securities!A:D,4,FALSE)</f>
        <v>#N/A</v>
      </c>
      <c r="M4095" s="3" t="e">
        <f>VLOOKUP(C4095,Securities!A:B,2,FALSE)</f>
        <v>#N/A</v>
      </c>
      <c r="O4095" s="3">
        <f t="shared" si="64"/>
        <v>0</v>
      </c>
    </row>
    <row r="4096" spans="12:15" x14ac:dyDescent="0.25">
      <c r="L4096" s="3" t="e">
        <f>VLOOKUP(C4096,Securities!A:D,4,FALSE)</f>
        <v>#N/A</v>
      </c>
      <c r="M4096" s="3" t="e">
        <f>VLOOKUP(C4096,Securities!A:B,2,FALSE)</f>
        <v>#N/A</v>
      </c>
      <c r="O4096" s="3">
        <f t="shared" si="64"/>
        <v>0</v>
      </c>
    </row>
    <row r="4097" spans="12:15" x14ac:dyDescent="0.25">
      <c r="L4097" s="3" t="e">
        <f>VLOOKUP(C4097,Securities!A:D,4,FALSE)</f>
        <v>#N/A</v>
      </c>
      <c r="M4097" s="3" t="e">
        <f>VLOOKUP(C4097,Securities!A:B,2,FALSE)</f>
        <v>#N/A</v>
      </c>
      <c r="O4097" s="3">
        <f t="shared" si="64"/>
        <v>0</v>
      </c>
    </row>
    <row r="4098" spans="12:15" x14ac:dyDescent="0.25">
      <c r="L4098" s="3" t="e">
        <f>VLOOKUP(C4098,Securities!A:D,4,FALSE)</f>
        <v>#N/A</v>
      </c>
      <c r="M4098" s="3" t="e">
        <f>VLOOKUP(C4098,Securities!A:B,2,FALSE)</f>
        <v>#N/A</v>
      </c>
      <c r="O4098" s="3">
        <f t="shared" si="64"/>
        <v>0</v>
      </c>
    </row>
    <row r="4099" spans="12:15" x14ac:dyDescent="0.25">
      <c r="L4099" s="3" t="e">
        <f>VLOOKUP(C4099,Securities!A:D,4,FALSE)</f>
        <v>#N/A</v>
      </c>
      <c r="M4099" s="3" t="e">
        <f>VLOOKUP(C4099,Securities!A:B,2,FALSE)</f>
        <v>#N/A</v>
      </c>
      <c r="O4099" s="3">
        <f t="shared" si="64"/>
        <v>0</v>
      </c>
    </row>
    <row r="4100" spans="12:15" x14ac:dyDescent="0.25">
      <c r="L4100" s="3" t="e">
        <f>VLOOKUP(C4100,Securities!A:D,4,FALSE)</f>
        <v>#N/A</v>
      </c>
      <c r="M4100" s="3" t="e">
        <f>VLOOKUP(C4100,Securities!A:B,2,FALSE)</f>
        <v>#N/A</v>
      </c>
      <c r="O4100" s="3">
        <f t="shared" si="64"/>
        <v>0</v>
      </c>
    </row>
    <row r="4101" spans="12:15" x14ac:dyDescent="0.25">
      <c r="L4101" s="3" t="e">
        <f>VLOOKUP(C4101,Securities!A:D,4,FALSE)</f>
        <v>#N/A</v>
      </c>
      <c r="M4101" s="3" t="e">
        <f>VLOOKUP(C4101,Securities!A:B,2,FALSE)</f>
        <v>#N/A</v>
      </c>
      <c r="O4101" s="3">
        <f t="shared" si="64"/>
        <v>0</v>
      </c>
    </row>
    <row r="4102" spans="12:15" x14ac:dyDescent="0.25">
      <c r="L4102" s="3" t="e">
        <f>VLOOKUP(C4102,Securities!A:D,4,FALSE)</f>
        <v>#N/A</v>
      </c>
      <c r="M4102" s="3" t="e">
        <f>VLOOKUP(C4102,Securities!A:B,2,FALSE)</f>
        <v>#N/A</v>
      </c>
      <c r="O4102" s="3">
        <f t="shared" ref="O4102:O4140" si="65">SUMIFS(E:E,C:C,C4102,B:B,B4102)</f>
        <v>0</v>
      </c>
    </row>
    <row r="4103" spans="12:15" x14ac:dyDescent="0.25">
      <c r="L4103" s="3" t="e">
        <f>VLOOKUP(C4103,Securities!A:D,4,FALSE)</f>
        <v>#N/A</v>
      </c>
      <c r="M4103" s="3" t="e">
        <f>VLOOKUP(C4103,Securities!A:B,2,FALSE)</f>
        <v>#N/A</v>
      </c>
      <c r="O4103" s="3">
        <f t="shared" si="65"/>
        <v>0</v>
      </c>
    </row>
    <row r="4104" spans="12:15" x14ac:dyDescent="0.25">
      <c r="L4104" s="3" t="e">
        <f>VLOOKUP(C4104,Securities!A:D,4,FALSE)</f>
        <v>#N/A</v>
      </c>
      <c r="M4104" s="3" t="e">
        <f>VLOOKUP(C4104,Securities!A:B,2,FALSE)</f>
        <v>#N/A</v>
      </c>
      <c r="O4104" s="3">
        <f t="shared" si="65"/>
        <v>0</v>
      </c>
    </row>
    <row r="4105" spans="12:15" x14ac:dyDescent="0.25">
      <c r="L4105" s="3" t="e">
        <f>VLOOKUP(C4105,Securities!A:D,4,FALSE)</f>
        <v>#N/A</v>
      </c>
      <c r="M4105" s="3" t="e">
        <f>VLOOKUP(C4105,Securities!A:B,2,FALSE)</f>
        <v>#N/A</v>
      </c>
      <c r="O4105" s="3">
        <f t="shared" si="65"/>
        <v>0</v>
      </c>
    </row>
    <row r="4106" spans="12:15" x14ac:dyDescent="0.25">
      <c r="L4106" s="3" t="e">
        <f>VLOOKUP(C4106,Securities!A:D,4,FALSE)</f>
        <v>#N/A</v>
      </c>
      <c r="M4106" s="3" t="e">
        <f>VLOOKUP(C4106,Securities!A:B,2,FALSE)</f>
        <v>#N/A</v>
      </c>
      <c r="O4106" s="3">
        <f t="shared" si="65"/>
        <v>0</v>
      </c>
    </row>
    <row r="4107" spans="12:15" x14ac:dyDescent="0.25">
      <c r="L4107" s="3" t="e">
        <f>VLOOKUP(C4107,Securities!A:D,4,FALSE)</f>
        <v>#N/A</v>
      </c>
      <c r="M4107" s="3" t="e">
        <f>VLOOKUP(C4107,Securities!A:B,2,FALSE)</f>
        <v>#N/A</v>
      </c>
      <c r="O4107" s="3">
        <f t="shared" si="65"/>
        <v>0</v>
      </c>
    </row>
    <row r="4108" spans="12:15" x14ac:dyDescent="0.25">
      <c r="L4108" s="3" t="e">
        <f>VLOOKUP(C4108,Securities!A:D,4,FALSE)</f>
        <v>#N/A</v>
      </c>
      <c r="M4108" s="3" t="e">
        <f>VLOOKUP(C4108,Securities!A:B,2,FALSE)</f>
        <v>#N/A</v>
      </c>
      <c r="O4108" s="3">
        <f t="shared" si="65"/>
        <v>0</v>
      </c>
    </row>
    <row r="4109" spans="12:15" x14ac:dyDescent="0.25">
      <c r="L4109" s="3" t="e">
        <f>VLOOKUP(C4109,Securities!A:D,4,FALSE)</f>
        <v>#N/A</v>
      </c>
      <c r="M4109" s="3" t="e">
        <f>VLOOKUP(C4109,Securities!A:B,2,FALSE)</f>
        <v>#N/A</v>
      </c>
      <c r="O4109" s="3">
        <f t="shared" si="65"/>
        <v>0</v>
      </c>
    </row>
    <row r="4110" spans="12:15" x14ac:dyDescent="0.25">
      <c r="L4110" s="3" t="e">
        <f>VLOOKUP(C4110,Securities!A:D,4,FALSE)</f>
        <v>#N/A</v>
      </c>
      <c r="M4110" s="3" t="e">
        <f>VLOOKUP(C4110,Securities!A:B,2,FALSE)</f>
        <v>#N/A</v>
      </c>
      <c r="O4110" s="3">
        <f t="shared" si="65"/>
        <v>0</v>
      </c>
    </row>
    <row r="4111" spans="12:15" x14ac:dyDescent="0.25">
      <c r="L4111" s="3" t="e">
        <f>VLOOKUP(C4111,Securities!A:D,4,FALSE)</f>
        <v>#N/A</v>
      </c>
      <c r="M4111" s="3" t="e">
        <f>VLOOKUP(C4111,Securities!A:B,2,FALSE)</f>
        <v>#N/A</v>
      </c>
      <c r="O4111" s="3">
        <f t="shared" si="65"/>
        <v>0</v>
      </c>
    </row>
    <row r="4112" spans="12:15" x14ac:dyDescent="0.25">
      <c r="L4112" s="3" t="e">
        <f>VLOOKUP(C4112,Securities!A:D,4,FALSE)</f>
        <v>#N/A</v>
      </c>
      <c r="M4112" s="3" t="e">
        <f>VLOOKUP(C4112,Securities!A:B,2,FALSE)</f>
        <v>#N/A</v>
      </c>
      <c r="O4112" s="3">
        <f t="shared" si="65"/>
        <v>0</v>
      </c>
    </row>
    <row r="4113" spans="12:15" x14ac:dyDescent="0.25">
      <c r="L4113" s="3" t="e">
        <f>VLOOKUP(C4113,Securities!A:D,4,FALSE)</f>
        <v>#N/A</v>
      </c>
      <c r="M4113" s="3" t="e">
        <f>VLOOKUP(C4113,Securities!A:B,2,FALSE)</f>
        <v>#N/A</v>
      </c>
      <c r="O4113" s="3">
        <f t="shared" si="65"/>
        <v>0</v>
      </c>
    </row>
    <row r="4114" spans="12:15" x14ac:dyDescent="0.25">
      <c r="L4114" s="3" t="e">
        <f>VLOOKUP(C4114,Securities!A:D,4,FALSE)</f>
        <v>#N/A</v>
      </c>
      <c r="M4114" s="3" t="e">
        <f>VLOOKUP(C4114,Securities!A:B,2,FALSE)</f>
        <v>#N/A</v>
      </c>
      <c r="O4114" s="3">
        <f t="shared" si="65"/>
        <v>0</v>
      </c>
    </row>
    <row r="4115" spans="12:15" x14ac:dyDescent="0.25">
      <c r="L4115" s="3" t="e">
        <f>VLOOKUP(C4115,Securities!A:D,4,FALSE)</f>
        <v>#N/A</v>
      </c>
      <c r="M4115" s="3" t="e">
        <f>VLOOKUP(C4115,Securities!A:B,2,FALSE)</f>
        <v>#N/A</v>
      </c>
      <c r="O4115" s="3">
        <f t="shared" si="65"/>
        <v>0</v>
      </c>
    </row>
    <row r="4116" spans="12:15" x14ac:dyDescent="0.25">
      <c r="L4116" s="3" t="e">
        <f>VLOOKUP(C4116,Securities!A:D,4,FALSE)</f>
        <v>#N/A</v>
      </c>
      <c r="M4116" s="3" t="e">
        <f>VLOOKUP(C4116,Securities!A:B,2,FALSE)</f>
        <v>#N/A</v>
      </c>
      <c r="O4116" s="3">
        <f t="shared" si="65"/>
        <v>0</v>
      </c>
    </row>
    <row r="4117" spans="12:15" x14ac:dyDescent="0.25">
      <c r="L4117" s="3" t="e">
        <f>VLOOKUP(C4117,Securities!A:D,4,FALSE)</f>
        <v>#N/A</v>
      </c>
      <c r="M4117" s="3" t="e">
        <f>VLOOKUP(C4117,Securities!A:B,2,FALSE)</f>
        <v>#N/A</v>
      </c>
      <c r="O4117" s="3">
        <f t="shared" si="65"/>
        <v>0</v>
      </c>
    </row>
    <row r="4118" spans="12:15" x14ac:dyDescent="0.25">
      <c r="L4118" s="3" t="e">
        <f>VLOOKUP(C4118,Securities!A:D,4,FALSE)</f>
        <v>#N/A</v>
      </c>
      <c r="M4118" s="3" t="e">
        <f>VLOOKUP(C4118,Securities!A:B,2,FALSE)</f>
        <v>#N/A</v>
      </c>
      <c r="O4118" s="3">
        <f t="shared" si="65"/>
        <v>0</v>
      </c>
    </row>
    <row r="4119" spans="12:15" x14ac:dyDescent="0.25">
      <c r="L4119" s="3" t="e">
        <f>VLOOKUP(C4119,Securities!A:D,4,FALSE)</f>
        <v>#N/A</v>
      </c>
      <c r="M4119" s="3" t="e">
        <f>VLOOKUP(C4119,Securities!A:B,2,FALSE)</f>
        <v>#N/A</v>
      </c>
      <c r="O4119" s="3">
        <f t="shared" si="65"/>
        <v>0</v>
      </c>
    </row>
    <row r="4120" spans="12:15" x14ac:dyDescent="0.25">
      <c r="L4120" s="3" t="e">
        <f>VLOOKUP(C4120,Securities!A:D,4,FALSE)</f>
        <v>#N/A</v>
      </c>
      <c r="M4120" s="3" t="e">
        <f>VLOOKUP(C4120,Securities!A:B,2,FALSE)</f>
        <v>#N/A</v>
      </c>
      <c r="O4120" s="3">
        <f t="shared" si="65"/>
        <v>0</v>
      </c>
    </row>
    <row r="4121" spans="12:15" x14ac:dyDescent="0.25">
      <c r="L4121" s="3" t="e">
        <f>VLOOKUP(C4121,Securities!A:D,4,FALSE)</f>
        <v>#N/A</v>
      </c>
      <c r="M4121" s="3" t="e">
        <f>VLOOKUP(C4121,Securities!A:B,2,FALSE)</f>
        <v>#N/A</v>
      </c>
      <c r="O4121" s="3">
        <f t="shared" si="65"/>
        <v>0</v>
      </c>
    </row>
    <row r="4122" spans="12:15" x14ac:dyDescent="0.25">
      <c r="L4122" s="3" t="e">
        <f>VLOOKUP(C4122,Securities!A:D,4,FALSE)</f>
        <v>#N/A</v>
      </c>
      <c r="M4122" s="3" t="e">
        <f>VLOOKUP(C4122,Securities!A:B,2,FALSE)</f>
        <v>#N/A</v>
      </c>
      <c r="O4122" s="3">
        <f t="shared" si="65"/>
        <v>0</v>
      </c>
    </row>
    <row r="4123" spans="12:15" x14ac:dyDescent="0.25">
      <c r="L4123" s="3" t="e">
        <f>VLOOKUP(C4123,Securities!A:D,4,FALSE)</f>
        <v>#N/A</v>
      </c>
      <c r="M4123" s="3" t="e">
        <f>VLOOKUP(C4123,Securities!A:B,2,FALSE)</f>
        <v>#N/A</v>
      </c>
      <c r="O4123" s="3">
        <f t="shared" si="65"/>
        <v>0</v>
      </c>
    </row>
    <row r="4124" spans="12:15" x14ac:dyDescent="0.25">
      <c r="L4124" s="3" t="e">
        <f>VLOOKUP(C4124,Securities!A:D,4,FALSE)</f>
        <v>#N/A</v>
      </c>
      <c r="M4124" s="3" t="e">
        <f>VLOOKUP(C4124,Securities!A:B,2,FALSE)</f>
        <v>#N/A</v>
      </c>
      <c r="O4124" s="3">
        <f t="shared" si="65"/>
        <v>0</v>
      </c>
    </row>
    <row r="4125" spans="12:15" x14ac:dyDescent="0.25">
      <c r="L4125" s="3" t="e">
        <f>VLOOKUP(C4125,Securities!A:D,4,FALSE)</f>
        <v>#N/A</v>
      </c>
      <c r="M4125" s="3" t="e">
        <f>VLOOKUP(C4125,Securities!A:B,2,FALSE)</f>
        <v>#N/A</v>
      </c>
      <c r="O4125" s="3">
        <f t="shared" si="65"/>
        <v>0</v>
      </c>
    </row>
    <row r="4126" spans="12:15" x14ac:dyDescent="0.25">
      <c r="L4126" s="3" t="e">
        <f>VLOOKUP(C4126,Securities!A:D,4,FALSE)</f>
        <v>#N/A</v>
      </c>
      <c r="M4126" s="3" t="e">
        <f>VLOOKUP(C4126,Securities!A:B,2,FALSE)</f>
        <v>#N/A</v>
      </c>
      <c r="O4126" s="3">
        <f t="shared" si="65"/>
        <v>0</v>
      </c>
    </row>
    <row r="4127" spans="12:15" x14ac:dyDescent="0.25">
      <c r="L4127" s="3" t="e">
        <f>VLOOKUP(C4127,Securities!A:D,4,FALSE)</f>
        <v>#N/A</v>
      </c>
      <c r="M4127" s="3" t="e">
        <f>VLOOKUP(C4127,Securities!A:B,2,FALSE)</f>
        <v>#N/A</v>
      </c>
      <c r="O4127" s="3">
        <f t="shared" si="65"/>
        <v>0</v>
      </c>
    </row>
    <row r="4128" spans="12:15" x14ac:dyDescent="0.25">
      <c r="L4128" s="3" t="e">
        <f>VLOOKUP(C4128,Securities!A:D,4,FALSE)</f>
        <v>#N/A</v>
      </c>
      <c r="M4128" s="3" t="e">
        <f>VLOOKUP(C4128,Securities!A:B,2,FALSE)</f>
        <v>#N/A</v>
      </c>
      <c r="O4128" s="3">
        <f t="shared" si="65"/>
        <v>0</v>
      </c>
    </row>
    <row r="4129" spans="12:15" x14ac:dyDescent="0.25">
      <c r="L4129" s="3" t="e">
        <f>VLOOKUP(C4129,Securities!A:D,4,FALSE)</f>
        <v>#N/A</v>
      </c>
      <c r="M4129" s="3" t="e">
        <f>VLOOKUP(C4129,Securities!A:B,2,FALSE)</f>
        <v>#N/A</v>
      </c>
      <c r="O4129" s="3">
        <f t="shared" si="65"/>
        <v>0</v>
      </c>
    </row>
    <row r="4130" spans="12:15" x14ac:dyDescent="0.25">
      <c r="L4130" s="3" t="e">
        <f>VLOOKUP(C4130,Securities!A:D,4,FALSE)</f>
        <v>#N/A</v>
      </c>
      <c r="M4130" s="3" t="e">
        <f>VLOOKUP(C4130,Securities!A:B,2,FALSE)</f>
        <v>#N/A</v>
      </c>
      <c r="O4130" s="3">
        <f t="shared" si="65"/>
        <v>0</v>
      </c>
    </row>
    <row r="4131" spans="12:15" x14ac:dyDescent="0.25">
      <c r="L4131" s="3" t="e">
        <f>VLOOKUP(C4131,Securities!A:D,4,FALSE)</f>
        <v>#N/A</v>
      </c>
      <c r="M4131" s="3" t="e">
        <f>VLOOKUP(C4131,Securities!A:B,2,FALSE)</f>
        <v>#N/A</v>
      </c>
      <c r="O4131" s="3">
        <f t="shared" si="65"/>
        <v>0</v>
      </c>
    </row>
    <row r="4132" spans="12:15" x14ac:dyDescent="0.25">
      <c r="L4132" s="3" t="e">
        <f>VLOOKUP(C4132,Securities!A:D,4,FALSE)</f>
        <v>#N/A</v>
      </c>
      <c r="M4132" s="3" t="e">
        <f>VLOOKUP(C4132,Securities!A:B,2,FALSE)</f>
        <v>#N/A</v>
      </c>
      <c r="O4132" s="3">
        <f t="shared" si="65"/>
        <v>0</v>
      </c>
    </row>
    <row r="4133" spans="12:15" x14ac:dyDescent="0.25">
      <c r="L4133" s="3" t="e">
        <f>VLOOKUP(C4133,Securities!A:D,4,FALSE)</f>
        <v>#N/A</v>
      </c>
      <c r="M4133" s="3" t="e">
        <f>VLOOKUP(C4133,Securities!A:B,2,FALSE)</f>
        <v>#N/A</v>
      </c>
      <c r="O4133" s="3">
        <f t="shared" si="65"/>
        <v>0</v>
      </c>
    </row>
    <row r="4134" spans="12:15" x14ac:dyDescent="0.25">
      <c r="L4134" s="3" t="e">
        <f>VLOOKUP(C4134,Securities!A:D,4,FALSE)</f>
        <v>#N/A</v>
      </c>
      <c r="M4134" s="3" t="e">
        <f>VLOOKUP(C4134,Securities!A:B,2,FALSE)</f>
        <v>#N/A</v>
      </c>
      <c r="O4134" s="3">
        <f t="shared" si="65"/>
        <v>0</v>
      </c>
    </row>
    <row r="4135" spans="12:15" x14ac:dyDescent="0.25">
      <c r="L4135" s="3" t="e">
        <f>VLOOKUP(C4135,Securities!A:D,4,FALSE)</f>
        <v>#N/A</v>
      </c>
      <c r="M4135" s="3" t="e">
        <f>VLOOKUP(C4135,Securities!A:B,2,FALSE)</f>
        <v>#N/A</v>
      </c>
      <c r="O4135" s="3">
        <f t="shared" si="65"/>
        <v>0</v>
      </c>
    </row>
    <row r="4136" spans="12:15" x14ac:dyDescent="0.25">
      <c r="L4136" s="3" t="e">
        <f>VLOOKUP(C4136,Securities!A:D,4,FALSE)</f>
        <v>#N/A</v>
      </c>
      <c r="M4136" s="3" t="e">
        <f>VLOOKUP(C4136,Securities!A:B,2,FALSE)</f>
        <v>#N/A</v>
      </c>
      <c r="O4136" s="3">
        <f t="shared" si="65"/>
        <v>0</v>
      </c>
    </row>
    <row r="4137" spans="12:15" x14ac:dyDescent="0.25">
      <c r="L4137" s="3" t="e">
        <f>VLOOKUP(C4137,Securities!A:D,4,FALSE)</f>
        <v>#N/A</v>
      </c>
      <c r="M4137" s="3" t="e">
        <f>VLOOKUP(C4137,Securities!A:B,2,FALSE)</f>
        <v>#N/A</v>
      </c>
      <c r="O4137" s="3">
        <f t="shared" si="65"/>
        <v>0</v>
      </c>
    </row>
    <row r="4138" spans="12:15" x14ac:dyDescent="0.25">
      <c r="L4138" s="3" t="e">
        <f>VLOOKUP(C4138,Securities!A:D,4,FALSE)</f>
        <v>#N/A</v>
      </c>
      <c r="M4138" s="3" t="e">
        <f>VLOOKUP(C4138,Securities!A:B,2,FALSE)</f>
        <v>#N/A</v>
      </c>
      <c r="O4138" s="3">
        <f t="shared" si="65"/>
        <v>0</v>
      </c>
    </row>
    <row r="4139" spans="12:15" x14ac:dyDescent="0.25">
      <c r="L4139" s="3" t="e">
        <f>VLOOKUP(C4139,Securities!A:D,4,FALSE)</f>
        <v>#N/A</v>
      </c>
      <c r="M4139" s="3" t="e">
        <f>VLOOKUP(C4139,Securities!A:B,2,FALSE)</f>
        <v>#N/A</v>
      </c>
      <c r="O4139" s="3">
        <f t="shared" si="65"/>
        <v>0</v>
      </c>
    </row>
    <row r="4140" spans="12:15" x14ac:dyDescent="0.25">
      <c r="L4140" s="3" t="e">
        <f>VLOOKUP(C4140,Securities!A:D,4,FALSE)</f>
        <v>#N/A</v>
      </c>
      <c r="M4140" s="3" t="e">
        <f>VLOOKUP(C4140,Securities!A:B,2,FALSE)</f>
        <v>#N/A</v>
      </c>
      <c r="O4140" s="3">
        <f t="shared" si="6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78"/>
  <sheetViews>
    <sheetView workbookViewId="0">
      <selection activeCell="B13" sqref="B13:E15"/>
    </sheetView>
  </sheetViews>
  <sheetFormatPr defaultRowHeight="12.75" x14ac:dyDescent="0.2"/>
  <cols>
    <col min="1" max="1" width="11.85546875" style="87" customWidth="1"/>
    <col min="2" max="2" width="14.7109375" style="87" customWidth="1"/>
    <col min="3" max="3" width="10.7109375" style="87" customWidth="1"/>
    <col min="4" max="4" width="13.5703125" style="87" customWidth="1"/>
    <col min="5" max="5" width="17.5703125" style="87" customWidth="1"/>
    <col min="6" max="6" width="13.85546875" style="87" customWidth="1"/>
    <col min="7" max="7" width="14.7109375" style="87" customWidth="1"/>
    <col min="8" max="8" width="4.7109375" style="87" customWidth="1"/>
    <col min="9" max="16384" width="9.140625" style="87"/>
  </cols>
  <sheetData>
    <row r="1" spans="1:7" s="84" customFormat="1" ht="24" customHeight="1" x14ac:dyDescent="0.2">
      <c r="A1" s="83" t="s">
        <v>4789</v>
      </c>
      <c r="B1" s="83" t="s">
        <v>4790</v>
      </c>
      <c r="C1" s="83" t="s">
        <v>4791</v>
      </c>
      <c r="D1" s="83" t="s">
        <v>7895</v>
      </c>
      <c r="E1" s="83" t="s">
        <v>7896</v>
      </c>
      <c r="F1" s="83" t="s">
        <v>7897</v>
      </c>
      <c r="G1" s="83" t="s">
        <v>7898</v>
      </c>
    </row>
    <row r="2" spans="1:7" s="84" customFormat="1" ht="19.7" customHeight="1" x14ac:dyDescent="0.2">
      <c r="A2" s="90">
        <v>43051</v>
      </c>
      <c r="B2" s="85" t="s">
        <v>4797</v>
      </c>
      <c r="C2" s="85" t="s">
        <v>7749</v>
      </c>
      <c r="D2" s="91">
        <v>641.49</v>
      </c>
      <c r="E2" s="85" t="s">
        <v>7749</v>
      </c>
      <c r="F2" s="91">
        <v>748.00955199999999</v>
      </c>
      <c r="G2" s="91">
        <v>44342.604650000001</v>
      </c>
    </row>
    <row r="3" spans="1:7" s="84" customFormat="1" ht="19.7" customHeight="1" x14ac:dyDescent="0.2">
      <c r="A3" s="92">
        <v>43051</v>
      </c>
      <c r="B3" s="86" t="s">
        <v>4797</v>
      </c>
      <c r="C3" s="86" t="s">
        <v>7420</v>
      </c>
      <c r="D3" s="93">
        <v>1394</v>
      </c>
      <c r="E3" s="86" t="s">
        <v>7420</v>
      </c>
      <c r="F3" s="93">
        <v>1842.798939</v>
      </c>
      <c r="G3" s="93">
        <v>109242.59534299999</v>
      </c>
    </row>
    <row r="4" spans="1:7" s="84" customFormat="1" ht="19.7" customHeight="1" x14ac:dyDescent="0.2">
      <c r="A4" s="90">
        <v>43051</v>
      </c>
      <c r="B4" s="85" t="s">
        <v>4797</v>
      </c>
      <c r="C4" s="85" t="s">
        <v>7203</v>
      </c>
      <c r="D4" s="91">
        <v>466844.83</v>
      </c>
      <c r="E4" s="85" t="s">
        <v>7203</v>
      </c>
      <c r="F4" s="91">
        <v>7875.1438920000001</v>
      </c>
      <c r="G4" s="91">
        <v>466844.83</v>
      </c>
    </row>
    <row r="5" spans="1:7" s="84" customFormat="1" ht="19.7" customHeight="1" x14ac:dyDescent="0.2">
      <c r="A5" s="92">
        <v>43051</v>
      </c>
      <c r="B5" s="86" t="s">
        <v>4797</v>
      </c>
      <c r="C5" s="86" t="s">
        <v>15</v>
      </c>
      <c r="D5" s="93">
        <v>342.44</v>
      </c>
      <c r="E5" s="86" t="s">
        <v>15</v>
      </c>
      <c r="F5" s="93">
        <v>342.44</v>
      </c>
      <c r="G5" s="93">
        <v>20300.117151999999</v>
      </c>
    </row>
    <row r="6" spans="1:7" s="84" customFormat="1" ht="19.7" customHeight="1" x14ac:dyDescent="0.2">
      <c r="A6" s="90">
        <v>43051</v>
      </c>
      <c r="B6" s="85" t="s">
        <v>4826</v>
      </c>
      <c r="C6" s="85" t="s">
        <v>7203</v>
      </c>
      <c r="D6" s="91">
        <v>21285419.940000001</v>
      </c>
      <c r="E6" s="85" t="s">
        <v>7203</v>
      </c>
      <c r="F6" s="91">
        <v>359060.94283499999</v>
      </c>
      <c r="G6" s="91">
        <v>21285419.940000001</v>
      </c>
    </row>
    <row r="7" spans="1:7" s="84" customFormat="1" ht="19.7" customHeight="1" x14ac:dyDescent="0.2">
      <c r="A7" s="92">
        <v>43051</v>
      </c>
      <c r="B7" s="86" t="s">
        <v>4826</v>
      </c>
      <c r="C7" s="86" t="s">
        <v>15</v>
      </c>
      <c r="D7" s="93">
        <v>101227.78</v>
      </c>
      <c r="E7" s="86" t="s">
        <v>15</v>
      </c>
      <c r="F7" s="93">
        <v>101227.78</v>
      </c>
      <c r="G7" s="93">
        <v>6000863.7806240004</v>
      </c>
    </row>
    <row r="8" spans="1:7" s="84" customFormat="1" ht="19.7" customHeight="1" x14ac:dyDescent="0.2">
      <c r="A8" s="90">
        <v>43051</v>
      </c>
      <c r="B8" s="85" t="s">
        <v>4833</v>
      </c>
      <c r="C8" s="85" t="s">
        <v>7420</v>
      </c>
      <c r="D8" s="91">
        <v>1110.6600000000001</v>
      </c>
      <c r="E8" s="85" t="s">
        <v>7420</v>
      </c>
      <c r="F8" s="91">
        <v>1468.237496</v>
      </c>
      <c r="G8" s="91">
        <v>87038.293353000001</v>
      </c>
    </row>
    <row r="9" spans="1:7" s="84" customFormat="1" ht="19.7" customHeight="1" x14ac:dyDescent="0.2">
      <c r="A9" s="92">
        <v>43051</v>
      </c>
      <c r="B9" s="86" t="s">
        <v>4833</v>
      </c>
      <c r="C9" s="86" t="s">
        <v>7203</v>
      </c>
      <c r="D9" s="94">
        <v>-11955.85</v>
      </c>
      <c r="E9" s="86" t="s">
        <v>7203</v>
      </c>
      <c r="F9" s="94">
        <v>-201.681657</v>
      </c>
      <c r="G9" s="94">
        <v>-11955.85</v>
      </c>
    </row>
    <row r="10" spans="1:7" s="84" customFormat="1" ht="19.7" customHeight="1" x14ac:dyDescent="0.2">
      <c r="A10" s="90">
        <v>43051</v>
      </c>
      <c r="B10" s="85" t="s">
        <v>4833</v>
      </c>
      <c r="C10" s="85" t="s">
        <v>15</v>
      </c>
      <c r="D10" s="91">
        <v>130180.98</v>
      </c>
      <c r="E10" s="85" t="s">
        <v>15</v>
      </c>
      <c r="F10" s="91">
        <v>130180.98</v>
      </c>
      <c r="G10" s="91">
        <v>7717232.639184</v>
      </c>
    </row>
    <row r="11" spans="1:7" s="84" customFormat="1" ht="19.7" customHeight="1" x14ac:dyDescent="0.2">
      <c r="A11" s="92">
        <v>43051</v>
      </c>
      <c r="B11" s="86" t="s">
        <v>4835</v>
      </c>
      <c r="C11" s="86" t="s">
        <v>7203</v>
      </c>
      <c r="D11" s="94">
        <v>-601148.54</v>
      </c>
      <c r="E11" s="86" t="s">
        <v>7203</v>
      </c>
      <c r="F11" s="94">
        <v>-10140.695470000001</v>
      </c>
      <c r="G11" s="94">
        <v>-601148.54</v>
      </c>
    </row>
    <row r="12" spans="1:7" s="84" customFormat="1" ht="19.7" customHeight="1" x14ac:dyDescent="0.2">
      <c r="A12" s="90">
        <v>43051</v>
      </c>
      <c r="B12" s="85" t="s">
        <v>4835</v>
      </c>
      <c r="C12" s="85" t="s">
        <v>15</v>
      </c>
      <c r="D12" s="91">
        <v>319000.09000000003</v>
      </c>
      <c r="E12" s="85" t="s">
        <v>15</v>
      </c>
      <c r="F12" s="91">
        <v>319000.09000000003</v>
      </c>
      <c r="G12" s="91">
        <v>18910580.535271998</v>
      </c>
    </row>
    <row r="13" spans="1:7" s="84" customFormat="1" ht="19.7" customHeight="1" x14ac:dyDescent="0.2">
      <c r="A13" s="92">
        <v>43051</v>
      </c>
      <c r="B13" s="86" t="s">
        <v>4762</v>
      </c>
      <c r="C13" s="86" t="s">
        <v>7420</v>
      </c>
      <c r="D13" s="93">
        <v>2793.78</v>
      </c>
      <c r="E13" s="86" t="s">
        <v>7420</v>
      </c>
      <c r="F13" s="93">
        <v>3693.2387520000002</v>
      </c>
      <c r="G13" s="93">
        <v>218938.14780999999</v>
      </c>
    </row>
    <row r="14" spans="1:7" s="84" customFormat="1" ht="19.7" customHeight="1" x14ac:dyDescent="0.2">
      <c r="A14" s="90">
        <v>43051</v>
      </c>
      <c r="B14" s="85" t="s">
        <v>4762</v>
      </c>
      <c r="C14" s="85" t="s">
        <v>7203</v>
      </c>
      <c r="D14" s="91">
        <v>3931705.36</v>
      </c>
      <c r="E14" s="85" t="s">
        <v>7203</v>
      </c>
      <c r="F14" s="91">
        <v>66323.419387000002</v>
      </c>
      <c r="G14" s="91">
        <v>3931705.36</v>
      </c>
    </row>
    <row r="15" spans="1:7" s="84" customFormat="1" ht="19.7" customHeight="1" x14ac:dyDescent="0.2">
      <c r="A15" s="92">
        <v>43051</v>
      </c>
      <c r="B15" s="86" t="s">
        <v>4762</v>
      </c>
      <c r="C15" s="86" t="s">
        <v>15</v>
      </c>
      <c r="D15" s="93">
        <v>298344.21999999997</v>
      </c>
      <c r="E15" s="86" t="s">
        <v>15</v>
      </c>
      <c r="F15" s="93">
        <v>298344.21999999997</v>
      </c>
      <c r="G15" s="93">
        <v>17686084.036975998</v>
      </c>
    </row>
    <row r="16" spans="1:7" s="84" customFormat="1" ht="19.7" customHeight="1" x14ac:dyDescent="0.2">
      <c r="A16" s="90">
        <v>43051</v>
      </c>
      <c r="B16" s="85" t="s">
        <v>4856</v>
      </c>
      <c r="C16" s="85" t="s">
        <v>7203</v>
      </c>
      <c r="D16" s="95">
        <v>-211829.47</v>
      </c>
      <c r="E16" s="85" t="s">
        <v>7203</v>
      </c>
      <c r="F16" s="95">
        <v>-3573.3234029999999</v>
      </c>
      <c r="G16" s="95">
        <v>-211829.47</v>
      </c>
    </row>
    <row r="17" spans="1:7" s="84" customFormat="1" ht="19.7" customHeight="1" x14ac:dyDescent="0.2">
      <c r="A17" s="92">
        <v>43051</v>
      </c>
      <c r="B17" s="86" t="s">
        <v>4856</v>
      </c>
      <c r="C17" s="86" t="s">
        <v>15</v>
      </c>
      <c r="D17" s="93">
        <v>480.7</v>
      </c>
      <c r="E17" s="86" t="s">
        <v>15</v>
      </c>
      <c r="F17" s="93">
        <v>480.7</v>
      </c>
      <c r="G17" s="93">
        <v>28496.280559999999</v>
      </c>
    </row>
    <row r="18" spans="1:7" s="84" customFormat="1" ht="19.7" customHeight="1" x14ac:dyDescent="0.2">
      <c r="A18" s="90">
        <v>43051</v>
      </c>
      <c r="B18" s="85" t="s">
        <v>4865</v>
      </c>
      <c r="C18" s="85" t="s">
        <v>7749</v>
      </c>
      <c r="D18" s="91">
        <v>0.77</v>
      </c>
      <c r="E18" s="85" t="s">
        <v>7749</v>
      </c>
      <c r="F18" s="91">
        <v>0.89785899999999996</v>
      </c>
      <c r="G18" s="91">
        <v>53.2258</v>
      </c>
    </row>
    <row r="19" spans="1:7" s="84" customFormat="1" ht="19.7" customHeight="1" x14ac:dyDescent="0.2">
      <c r="A19" s="92">
        <v>43051</v>
      </c>
      <c r="B19" s="86" t="s">
        <v>4865</v>
      </c>
      <c r="C19" s="86" t="s">
        <v>7420</v>
      </c>
      <c r="D19" s="93">
        <v>234.06</v>
      </c>
      <c r="E19" s="86" t="s">
        <v>7420</v>
      </c>
      <c r="F19" s="93">
        <v>309.41572400000001</v>
      </c>
      <c r="G19" s="93">
        <v>18342.411650999999</v>
      </c>
    </row>
    <row r="20" spans="1:7" s="84" customFormat="1" ht="19.7" customHeight="1" x14ac:dyDescent="0.2">
      <c r="A20" s="90">
        <v>43051</v>
      </c>
      <c r="B20" s="85" t="s">
        <v>4865</v>
      </c>
      <c r="C20" s="85" t="s">
        <v>7203</v>
      </c>
      <c r="D20" s="91">
        <v>1049155.24</v>
      </c>
      <c r="E20" s="85" t="s">
        <v>7203</v>
      </c>
      <c r="F20" s="91">
        <v>17698.061430000002</v>
      </c>
      <c r="G20" s="91">
        <v>1049155.24</v>
      </c>
    </row>
    <row r="21" spans="1:7" s="84" customFormat="1" ht="19.7" customHeight="1" x14ac:dyDescent="0.2">
      <c r="A21" s="92">
        <v>43051</v>
      </c>
      <c r="B21" s="86" t="s">
        <v>4865</v>
      </c>
      <c r="C21" s="86" t="s">
        <v>15</v>
      </c>
      <c r="D21" s="93">
        <v>348.03</v>
      </c>
      <c r="E21" s="86" t="s">
        <v>15</v>
      </c>
      <c r="F21" s="93">
        <v>348.03</v>
      </c>
      <c r="G21" s="93">
        <v>20631.496824000002</v>
      </c>
    </row>
    <row r="22" spans="1:7" s="84" customFormat="1" ht="19.7" customHeight="1" x14ac:dyDescent="0.2">
      <c r="A22" s="90">
        <v>43051</v>
      </c>
      <c r="B22" s="85" t="s">
        <v>4868</v>
      </c>
      <c r="C22" s="85" t="s">
        <v>7203</v>
      </c>
      <c r="D22" s="95">
        <v>-103186.69</v>
      </c>
      <c r="E22" s="85" t="s">
        <v>7203</v>
      </c>
      <c r="F22" s="95">
        <v>-1740.64267</v>
      </c>
      <c r="G22" s="95">
        <v>-103186.69</v>
      </c>
    </row>
    <row r="23" spans="1:7" s="84" customFormat="1" ht="19.7" customHeight="1" x14ac:dyDescent="0.2">
      <c r="A23" s="92">
        <v>43051</v>
      </c>
      <c r="B23" s="86" t="s">
        <v>4868</v>
      </c>
      <c r="C23" s="86" t="s">
        <v>15</v>
      </c>
      <c r="D23" s="93">
        <v>691498.42</v>
      </c>
      <c r="E23" s="86" t="s">
        <v>15</v>
      </c>
      <c r="F23" s="93">
        <v>691498.42</v>
      </c>
      <c r="G23" s="93">
        <v>40992579.536335997</v>
      </c>
    </row>
    <row r="24" spans="1:7" s="84" customFormat="1" ht="19.7" customHeight="1" x14ac:dyDescent="0.2">
      <c r="A24" s="90">
        <v>43051</v>
      </c>
      <c r="B24" s="85" t="s">
        <v>4875</v>
      </c>
      <c r="C24" s="85" t="s">
        <v>7420</v>
      </c>
      <c r="D24" s="91">
        <v>1419.3</v>
      </c>
      <c r="E24" s="85" t="s">
        <v>7420</v>
      </c>
      <c r="F24" s="91">
        <v>1876.2442860000001</v>
      </c>
      <c r="G24" s="91">
        <v>111225.26227000001</v>
      </c>
    </row>
    <row r="25" spans="1:7" s="84" customFormat="1" ht="19.7" customHeight="1" x14ac:dyDescent="0.2">
      <c r="A25" s="92">
        <v>43051</v>
      </c>
      <c r="B25" s="86" t="s">
        <v>4875</v>
      </c>
      <c r="C25" s="86" t="s">
        <v>7203</v>
      </c>
      <c r="D25" s="93">
        <v>6313099.6200000001</v>
      </c>
      <c r="E25" s="86" t="s">
        <v>7203</v>
      </c>
      <c r="F25" s="93">
        <v>106494.84521100001</v>
      </c>
      <c r="G25" s="93">
        <v>6313099.6200000001</v>
      </c>
    </row>
    <row r="26" spans="1:7" s="84" customFormat="1" ht="19.7" customHeight="1" x14ac:dyDescent="0.2">
      <c r="A26" s="90">
        <v>43051</v>
      </c>
      <c r="B26" s="85" t="s">
        <v>4875</v>
      </c>
      <c r="C26" s="85" t="s">
        <v>15</v>
      </c>
      <c r="D26" s="91">
        <v>1170677.6000000001</v>
      </c>
      <c r="E26" s="85" t="s">
        <v>15</v>
      </c>
      <c r="F26" s="91">
        <v>1170677.6000000001</v>
      </c>
      <c r="G26" s="91">
        <v>69398704.670080006</v>
      </c>
    </row>
    <row r="27" spans="1:7" s="84" customFormat="1" ht="19.7" customHeight="1" x14ac:dyDescent="0.2">
      <c r="A27" s="92">
        <v>43051</v>
      </c>
      <c r="B27" s="86" t="s">
        <v>4891</v>
      </c>
      <c r="C27" s="86" t="s">
        <v>7203</v>
      </c>
      <c r="D27" s="93">
        <v>1600469.86</v>
      </c>
      <c r="E27" s="86" t="s">
        <v>7203</v>
      </c>
      <c r="F27" s="93">
        <v>26998.115073000001</v>
      </c>
      <c r="G27" s="93">
        <v>1600469.86</v>
      </c>
    </row>
    <row r="28" spans="1:7" s="84" customFormat="1" ht="19.7" customHeight="1" x14ac:dyDescent="0.2">
      <c r="A28" s="90">
        <v>43051</v>
      </c>
      <c r="B28" s="85" t="s">
        <v>4891</v>
      </c>
      <c r="C28" s="85" t="s">
        <v>15</v>
      </c>
      <c r="D28" s="91">
        <v>670.07</v>
      </c>
      <c r="E28" s="85" t="s">
        <v>15</v>
      </c>
      <c r="F28" s="91">
        <v>670.07</v>
      </c>
      <c r="G28" s="91">
        <v>39722.285656</v>
      </c>
    </row>
    <row r="29" spans="1:7" s="84" customFormat="1" ht="19.7" customHeight="1" x14ac:dyDescent="0.2">
      <c r="A29" s="92">
        <v>43051</v>
      </c>
      <c r="B29" s="86" t="s">
        <v>4894</v>
      </c>
      <c r="C29" s="86" t="s">
        <v>7420</v>
      </c>
      <c r="D29" s="93">
        <v>7767.6</v>
      </c>
      <c r="E29" s="86" t="s">
        <v>7420</v>
      </c>
      <c r="F29" s="93">
        <v>10268.382382</v>
      </c>
      <c r="G29" s="93">
        <v>608717.92231099994</v>
      </c>
    </row>
    <row r="30" spans="1:7" s="84" customFormat="1" ht="19.7" customHeight="1" x14ac:dyDescent="0.2">
      <c r="A30" s="90">
        <v>43051</v>
      </c>
      <c r="B30" s="85" t="s">
        <v>4894</v>
      </c>
      <c r="C30" s="85" t="s">
        <v>7203</v>
      </c>
      <c r="D30" s="91">
        <v>1188946.97</v>
      </c>
      <c r="E30" s="85" t="s">
        <v>7203</v>
      </c>
      <c r="F30" s="91">
        <v>20056.189694000001</v>
      </c>
      <c r="G30" s="91">
        <v>1188946.97</v>
      </c>
    </row>
    <row r="31" spans="1:7" s="84" customFormat="1" ht="19.7" customHeight="1" x14ac:dyDescent="0.2">
      <c r="A31" s="92">
        <v>43051</v>
      </c>
      <c r="B31" s="86" t="s">
        <v>4894</v>
      </c>
      <c r="C31" s="86" t="s">
        <v>15</v>
      </c>
      <c r="D31" s="93">
        <v>109369.87</v>
      </c>
      <c r="E31" s="86" t="s">
        <v>15</v>
      </c>
      <c r="F31" s="93">
        <v>109369.87</v>
      </c>
      <c r="G31" s="93">
        <v>6483533.3894959996</v>
      </c>
    </row>
    <row r="32" spans="1:7" s="84" customFormat="1" ht="19.7" customHeight="1" x14ac:dyDescent="0.2">
      <c r="A32" s="90">
        <v>43051</v>
      </c>
      <c r="B32" s="85" t="s">
        <v>4918</v>
      </c>
      <c r="C32" s="85" t="s">
        <v>7420</v>
      </c>
      <c r="D32" s="91">
        <v>221.13</v>
      </c>
      <c r="E32" s="85" t="s">
        <v>7420</v>
      </c>
      <c r="F32" s="91">
        <v>292.32290499999999</v>
      </c>
      <c r="G32" s="91">
        <v>17329.135666999999</v>
      </c>
    </row>
    <row r="33" spans="1:7" s="84" customFormat="1" ht="19.7" customHeight="1" x14ac:dyDescent="0.2">
      <c r="A33" s="92">
        <v>43051</v>
      </c>
      <c r="B33" s="86" t="s">
        <v>4918</v>
      </c>
      <c r="C33" s="86" t="s">
        <v>7203</v>
      </c>
      <c r="D33" s="93">
        <v>1598348.66</v>
      </c>
      <c r="E33" s="86" t="s">
        <v>7203</v>
      </c>
      <c r="F33" s="93">
        <v>26962.332828999999</v>
      </c>
      <c r="G33" s="93">
        <v>1598348.66</v>
      </c>
    </row>
    <row r="34" spans="1:7" s="84" customFormat="1" ht="19.7" customHeight="1" x14ac:dyDescent="0.2">
      <c r="A34" s="90">
        <v>43051</v>
      </c>
      <c r="B34" s="85" t="s">
        <v>4918</v>
      </c>
      <c r="C34" s="85" t="s">
        <v>15</v>
      </c>
      <c r="D34" s="91">
        <v>712.5</v>
      </c>
      <c r="E34" s="85" t="s">
        <v>15</v>
      </c>
      <c r="F34" s="91">
        <v>712.5</v>
      </c>
      <c r="G34" s="91">
        <v>42237.57</v>
      </c>
    </row>
    <row r="35" spans="1:7" s="84" customFormat="1" ht="19.7" customHeight="1" x14ac:dyDescent="0.2">
      <c r="A35" s="92">
        <v>43051</v>
      </c>
      <c r="B35" s="86" t="s">
        <v>4929</v>
      </c>
      <c r="C35" s="86" t="s">
        <v>7420</v>
      </c>
      <c r="D35" s="93">
        <v>2842.33</v>
      </c>
      <c r="E35" s="86" t="s">
        <v>7420</v>
      </c>
      <c r="F35" s="93">
        <v>3757.4194470000002</v>
      </c>
      <c r="G35" s="93">
        <v>222742.830754</v>
      </c>
    </row>
    <row r="36" spans="1:7" s="84" customFormat="1" ht="19.7" customHeight="1" x14ac:dyDescent="0.2">
      <c r="A36" s="90">
        <v>43051</v>
      </c>
      <c r="B36" s="85" t="s">
        <v>4929</v>
      </c>
      <c r="C36" s="85" t="s">
        <v>7203</v>
      </c>
      <c r="D36" s="91">
        <v>5083779.4000000004</v>
      </c>
      <c r="E36" s="85" t="s">
        <v>7203</v>
      </c>
      <c r="F36" s="91">
        <v>85757.604485999997</v>
      </c>
      <c r="G36" s="91">
        <v>5083779.4000000004</v>
      </c>
    </row>
    <row r="37" spans="1:7" s="84" customFormat="1" ht="19.7" customHeight="1" x14ac:dyDescent="0.2">
      <c r="A37" s="92">
        <v>43051</v>
      </c>
      <c r="B37" s="86" t="s">
        <v>4929</v>
      </c>
      <c r="C37" s="86" t="s">
        <v>15</v>
      </c>
      <c r="D37" s="93">
        <v>53.13</v>
      </c>
      <c r="E37" s="86" t="s">
        <v>15</v>
      </c>
      <c r="F37" s="93">
        <v>53.13</v>
      </c>
      <c r="G37" s="93">
        <v>3149.5889040000002</v>
      </c>
    </row>
    <row r="38" spans="1:7" s="84" customFormat="1" ht="19.7" customHeight="1" x14ac:dyDescent="0.2">
      <c r="A38" s="90">
        <v>43051</v>
      </c>
      <c r="B38" s="85" t="s">
        <v>4934</v>
      </c>
      <c r="C38" s="85" t="s">
        <v>7749</v>
      </c>
      <c r="D38" s="91">
        <v>1791.52</v>
      </c>
      <c r="E38" s="85" t="s">
        <v>7749</v>
      </c>
      <c r="F38" s="91">
        <v>2089.002281</v>
      </c>
      <c r="G38" s="91">
        <v>123837.72642000001</v>
      </c>
    </row>
    <row r="39" spans="1:7" s="84" customFormat="1" ht="19.7" customHeight="1" x14ac:dyDescent="0.2">
      <c r="A39" s="92">
        <v>43051</v>
      </c>
      <c r="B39" s="86" t="s">
        <v>4934</v>
      </c>
      <c r="C39" s="86" t="s">
        <v>7203</v>
      </c>
      <c r="D39" s="94">
        <v>-59079.26</v>
      </c>
      <c r="E39" s="86" t="s">
        <v>7203</v>
      </c>
      <c r="F39" s="94">
        <v>-996.60024799999997</v>
      </c>
      <c r="G39" s="94">
        <v>-59079.26</v>
      </c>
    </row>
    <row r="40" spans="1:7" s="84" customFormat="1" ht="19.7" customHeight="1" x14ac:dyDescent="0.2">
      <c r="A40" s="90">
        <v>43051</v>
      </c>
      <c r="B40" s="85" t="s">
        <v>4934</v>
      </c>
      <c r="C40" s="85" t="s">
        <v>15</v>
      </c>
      <c r="D40" s="91">
        <v>90885.47</v>
      </c>
      <c r="E40" s="85" t="s">
        <v>15</v>
      </c>
      <c r="F40" s="91">
        <v>90885.47</v>
      </c>
      <c r="G40" s="91">
        <v>5387763.3699759999</v>
      </c>
    </row>
    <row r="41" spans="1:7" s="84" customFormat="1" ht="19.7" customHeight="1" x14ac:dyDescent="0.2">
      <c r="A41" s="92">
        <v>43051</v>
      </c>
      <c r="B41" s="86" t="s">
        <v>4954</v>
      </c>
      <c r="C41" s="86" t="s">
        <v>7420</v>
      </c>
      <c r="D41" s="93">
        <v>955.66</v>
      </c>
      <c r="E41" s="86" t="s">
        <v>7420</v>
      </c>
      <c r="F41" s="93">
        <v>1263.3351749999999</v>
      </c>
      <c r="G41" s="93">
        <v>74891.519841999994</v>
      </c>
    </row>
    <row r="42" spans="1:7" s="84" customFormat="1" ht="19.7" customHeight="1" x14ac:dyDescent="0.2">
      <c r="A42" s="90">
        <v>43051</v>
      </c>
      <c r="B42" s="85" t="s">
        <v>4954</v>
      </c>
      <c r="C42" s="85" t="s">
        <v>7203</v>
      </c>
      <c r="D42" s="91">
        <v>40534.949999999997</v>
      </c>
      <c r="E42" s="85" t="s">
        <v>7203</v>
      </c>
      <c r="F42" s="91">
        <v>683.77872800000102</v>
      </c>
      <c r="G42" s="91">
        <v>40534.949999999997</v>
      </c>
    </row>
    <row r="43" spans="1:7" s="84" customFormat="1" ht="19.7" customHeight="1" x14ac:dyDescent="0.2">
      <c r="A43" s="92">
        <v>43051</v>
      </c>
      <c r="B43" s="86" t="s">
        <v>4954</v>
      </c>
      <c r="C43" s="86" t="s">
        <v>15</v>
      </c>
      <c r="D43" s="93">
        <v>13108.68</v>
      </c>
      <c r="E43" s="86" t="s">
        <v>15</v>
      </c>
      <c r="F43" s="93">
        <v>13108.68</v>
      </c>
      <c r="G43" s="93">
        <v>777093.03734399995</v>
      </c>
    </row>
    <row r="44" spans="1:7" s="84" customFormat="1" ht="19.7" customHeight="1" x14ac:dyDescent="0.2">
      <c r="A44" s="90">
        <v>43051</v>
      </c>
      <c r="B44" s="85" t="s">
        <v>4960</v>
      </c>
      <c r="C44" s="85" t="s">
        <v>7420</v>
      </c>
      <c r="D44" s="91">
        <v>0.99</v>
      </c>
      <c r="E44" s="85" t="s">
        <v>7420</v>
      </c>
      <c r="F44" s="91">
        <v>1.3087310000000001</v>
      </c>
      <c r="G44" s="91">
        <v>77.582621000000003</v>
      </c>
    </row>
    <row r="45" spans="1:7" s="84" customFormat="1" ht="19.7" customHeight="1" x14ac:dyDescent="0.2">
      <c r="A45" s="92">
        <v>43051</v>
      </c>
      <c r="B45" s="86" t="s">
        <v>4960</v>
      </c>
      <c r="C45" s="86" t="s">
        <v>7203</v>
      </c>
      <c r="D45" s="94">
        <v>-714930.95</v>
      </c>
      <c r="E45" s="86" t="s">
        <v>7203</v>
      </c>
      <c r="F45" s="94">
        <v>-12060.075943</v>
      </c>
      <c r="G45" s="94">
        <v>-714930.95</v>
      </c>
    </row>
    <row r="46" spans="1:7" s="84" customFormat="1" ht="19.7" customHeight="1" x14ac:dyDescent="0.2">
      <c r="A46" s="90">
        <v>43051</v>
      </c>
      <c r="B46" s="85" t="s">
        <v>4960</v>
      </c>
      <c r="C46" s="85" t="s">
        <v>15</v>
      </c>
      <c r="D46" s="91">
        <v>888.43</v>
      </c>
      <c r="E46" s="85" t="s">
        <v>15</v>
      </c>
      <c r="F46" s="91">
        <v>888.43</v>
      </c>
      <c r="G46" s="91">
        <v>52666.841143999998</v>
      </c>
    </row>
    <row r="47" spans="1:7" s="84" customFormat="1" ht="19.7" customHeight="1" x14ac:dyDescent="0.2">
      <c r="A47" s="92">
        <v>43051</v>
      </c>
      <c r="B47" s="86" t="s">
        <v>4969</v>
      </c>
      <c r="C47" s="86" t="s">
        <v>7203</v>
      </c>
      <c r="D47" s="94">
        <v>-27498.51</v>
      </c>
      <c r="E47" s="86" t="s">
        <v>7203</v>
      </c>
      <c r="F47" s="94">
        <v>-463.86874</v>
      </c>
      <c r="G47" s="94">
        <v>-27498.51</v>
      </c>
    </row>
    <row r="48" spans="1:7" s="84" customFormat="1" ht="19.7" customHeight="1" x14ac:dyDescent="0.2">
      <c r="A48" s="90">
        <v>43051</v>
      </c>
      <c r="B48" s="85" t="s">
        <v>4969</v>
      </c>
      <c r="C48" s="85" t="s">
        <v>15</v>
      </c>
      <c r="D48" s="91">
        <v>675.89</v>
      </c>
      <c r="E48" s="85" t="s">
        <v>15</v>
      </c>
      <c r="F48" s="91">
        <v>675.89</v>
      </c>
      <c r="G48" s="91">
        <v>40067.299912000002</v>
      </c>
    </row>
    <row r="49" spans="1:7" s="84" customFormat="1" ht="19.7" customHeight="1" x14ac:dyDescent="0.2">
      <c r="A49" s="92">
        <v>43051</v>
      </c>
      <c r="B49" s="86" t="s">
        <v>4972</v>
      </c>
      <c r="C49" s="86" t="s">
        <v>7420</v>
      </c>
      <c r="D49" s="93">
        <v>5029.8</v>
      </c>
      <c r="E49" s="86" t="s">
        <v>7420</v>
      </c>
      <c r="F49" s="93">
        <v>6649.1464169999999</v>
      </c>
      <c r="G49" s="93">
        <v>394166.71891699999</v>
      </c>
    </row>
    <row r="50" spans="1:7" s="84" customFormat="1" ht="19.7" customHeight="1" x14ac:dyDescent="0.2">
      <c r="A50" s="90">
        <v>43051</v>
      </c>
      <c r="B50" s="85" t="s">
        <v>4972</v>
      </c>
      <c r="C50" s="85" t="s">
        <v>7203</v>
      </c>
      <c r="D50" s="91">
        <v>4798066.3600000003</v>
      </c>
      <c r="E50" s="85" t="s">
        <v>7203</v>
      </c>
      <c r="F50" s="91">
        <v>80937.948881000004</v>
      </c>
      <c r="G50" s="91">
        <v>4798066.3600000003</v>
      </c>
    </row>
    <row r="51" spans="1:7" s="84" customFormat="1" ht="19.7" customHeight="1" x14ac:dyDescent="0.2">
      <c r="A51" s="92">
        <v>43051</v>
      </c>
      <c r="B51" s="86" t="s">
        <v>4972</v>
      </c>
      <c r="C51" s="86" t="s">
        <v>15</v>
      </c>
      <c r="D51" s="93">
        <v>295088.05</v>
      </c>
      <c r="E51" s="86" t="s">
        <v>15</v>
      </c>
      <c r="F51" s="93">
        <v>295088.05</v>
      </c>
      <c r="G51" s="93">
        <v>17493055.67444</v>
      </c>
    </row>
    <row r="52" spans="1:7" s="84" customFormat="1" ht="19.7" customHeight="1" x14ac:dyDescent="0.2">
      <c r="A52" s="90">
        <v>43051</v>
      </c>
      <c r="B52" s="85" t="s">
        <v>4988</v>
      </c>
      <c r="C52" s="85" t="s">
        <v>7749</v>
      </c>
      <c r="D52" s="91">
        <v>55587.8</v>
      </c>
      <c r="E52" s="85" t="s">
        <v>7749</v>
      </c>
      <c r="F52" s="91">
        <v>64818.166129999998</v>
      </c>
      <c r="G52" s="91">
        <v>3842472.7427190002</v>
      </c>
    </row>
    <row r="53" spans="1:7" s="84" customFormat="1" ht="19.7" customHeight="1" x14ac:dyDescent="0.2">
      <c r="A53" s="92">
        <v>43051</v>
      </c>
      <c r="B53" s="86" t="s">
        <v>4988</v>
      </c>
      <c r="C53" s="86" t="s">
        <v>7203</v>
      </c>
      <c r="D53" s="94">
        <v>-39252.18</v>
      </c>
      <c r="E53" s="86" t="s">
        <v>7203</v>
      </c>
      <c r="F53" s="94">
        <v>-662.13984900000003</v>
      </c>
      <c r="G53" s="94">
        <v>-39252.18</v>
      </c>
    </row>
    <row r="54" spans="1:7" s="84" customFormat="1" ht="19.7" customHeight="1" x14ac:dyDescent="0.2">
      <c r="A54" s="90">
        <v>43051</v>
      </c>
      <c r="B54" s="85" t="s">
        <v>4988</v>
      </c>
      <c r="C54" s="85" t="s">
        <v>15</v>
      </c>
      <c r="D54" s="91">
        <v>21.32</v>
      </c>
      <c r="E54" s="85" t="s">
        <v>15</v>
      </c>
      <c r="F54" s="91">
        <v>21.32</v>
      </c>
      <c r="G54" s="91">
        <v>1263.8666559999999</v>
      </c>
    </row>
    <row r="55" spans="1:7" s="84" customFormat="1" ht="19.7" customHeight="1" x14ac:dyDescent="0.2">
      <c r="A55" s="92">
        <v>43051</v>
      </c>
      <c r="B55" s="86" t="s">
        <v>4989</v>
      </c>
      <c r="C55" s="86" t="s">
        <v>7420</v>
      </c>
      <c r="D55" s="93">
        <v>888.53</v>
      </c>
      <c r="E55" s="86" t="s">
        <v>7420</v>
      </c>
      <c r="F55" s="93">
        <v>1174.592641</v>
      </c>
      <c r="G55" s="93">
        <v>69630.791433000006</v>
      </c>
    </row>
    <row r="56" spans="1:7" s="84" customFormat="1" ht="19.7" customHeight="1" x14ac:dyDescent="0.2">
      <c r="A56" s="90">
        <v>43051</v>
      </c>
      <c r="B56" s="85" t="s">
        <v>4989</v>
      </c>
      <c r="C56" s="85" t="s">
        <v>7203</v>
      </c>
      <c r="D56" s="95">
        <v>-14047.61</v>
      </c>
      <c r="E56" s="85" t="s">
        <v>7203</v>
      </c>
      <c r="F56" s="95">
        <v>-236.96728100000001</v>
      </c>
      <c r="G56" s="95">
        <v>-14047.61</v>
      </c>
    </row>
    <row r="57" spans="1:7" s="84" customFormat="1" ht="19.7" customHeight="1" x14ac:dyDescent="0.2">
      <c r="A57" s="92">
        <v>43051</v>
      </c>
      <c r="B57" s="86" t="s">
        <v>4989</v>
      </c>
      <c r="C57" s="86" t="s">
        <v>15</v>
      </c>
      <c r="D57" s="93">
        <v>52000</v>
      </c>
      <c r="E57" s="86" t="s">
        <v>15</v>
      </c>
      <c r="F57" s="93">
        <v>52000</v>
      </c>
      <c r="G57" s="93">
        <v>3082601.6</v>
      </c>
    </row>
    <row r="58" spans="1:7" s="84" customFormat="1" ht="19.7" customHeight="1" x14ac:dyDescent="0.2">
      <c r="A58" s="90">
        <v>43051</v>
      </c>
      <c r="B58" s="85" t="s">
        <v>4990</v>
      </c>
      <c r="C58" s="85" t="s">
        <v>7203</v>
      </c>
      <c r="D58" s="91">
        <v>880560.38</v>
      </c>
      <c r="E58" s="85" t="s">
        <v>7203</v>
      </c>
      <c r="F58" s="91">
        <v>14854.056963000001</v>
      </c>
      <c r="G58" s="91">
        <v>880560.38</v>
      </c>
    </row>
    <row r="59" spans="1:7" s="84" customFormat="1" ht="19.7" customHeight="1" x14ac:dyDescent="0.2">
      <c r="A59" s="92">
        <v>43051</v>
      </c>
      <c r="B59" s="86" t="s">
        <v>4990</v>
      </c>
      <c r="C59" s="86" t="s">
        <v>15</v>
      </c>
      <c r="D59" s="93">
        <v>100000</v>
      </c>
      <c r="E59" s="86" t="s">
        <v>15</v>
      </c>
      <c r="F59" s="93">
        <v>100000</v>
      </c>
      <c r="G59" s="93">
        <v>5928080</v>
      </c>
    </row>
    <row r="60" spans="1:7" s="84" customFormat="1" ht="19.7" customHeight="1" x14ac:dyDescent="0.2">
      <c r="A60" s="90">
        <v>43051</v>
      </c>
      <c r="B60" s="85" t="s">
        <v>4991</v>
      </c>
      <c r="C60" s="85" t="s">
        <v>7420</v>
      </c>
      <c r="D60" s="91">
        <v>0.8</v>
      </c>
      <c r="E60" s="85" t="s">
        <v>7420</v>
      </c>
      <c r="F60" s="91">
        <v>1.0575600000000001</v>
      </c>
      <c r="G60" s="91">
        <v>62.693002999999997</v>
      </c>
    </row>
    <row r="61" spans="1:7" s="84" customFormat="1" ht="19.7" customHeight="1" x14ac:dyDescent="0.2">
      <c r="A61" s="92">
        <v>43051</v>
      </c>
      <c r="B61" s="86" t="s">
        <v>4991</v>
      </c>
      <c r="C61" s="86" t="s">
        <v>7203</v>
      </c>
      <c r="D61" s="93">
        <v>1521621.93</v>
      </c>
      <c r="E61" s="86" t="s">
        <v>7203</v>
      </c>
      <c r="F61" s="93">
        <v>25668.039735999999</v>
      </c>
      <c r="G61" s="93">
        <v>1521621.93</v>
      </c>
    </row>
    <row r="62" spans="1:7" s="84" customFormat="1" ht="19.7" customHeight="1" x14ac:dyDescent="0.2">
      <c r="A62" s="90">
        <v>43051</v>
      </c>
      <c r="B62" s="85" t="s">
        <v>4991</v>
      </c>
      <c r="C62" s="85" t="s">
        <v>15</v>
      </c>
      <c r="D62" s="91">
        <v>91829.02</v>
      </c>
      <c r="E62" s="85" t="s">
        <v>15</v>
      </c>
      <c r="F62" s="91">
        <v>91829.02</v>
      </c>
      <c r="G62" s="91">
        <v>5443697.7688159999</v>
      </c>
    </row>
    <row r="63" spans="1:7" s="84" customFormat="1" ht="19.7" customHeight="1" x14ac:dyDescent="0.2">
      <c r="A63" s="92">
        <v>43051</v>
      </c>
      <c r="B63" s="86" t="s">
        <v>5008</v>
      </c>
      <c r="C63" s="86" t="s">
        <v>7203</v>
      </c>
      <c r="D63" s="93">
        <v>1666627.94</v>
      </c>
      <c r="E63" s="86" t="s">
        <v>7203</v>
      </c>
      <c r="F63" s="93">
        <v>28114.127002000001</v>
      </c>
      <c r="G63" s="93">
        <v>1666627.94</v>
      </c>
    </row>
    <row r="64" spans="1:7" s="84" customFormat="1" ht="19.7" customHeight="1" x14ac:dyDescent="0.2">
      <c r="A64" s="90">
        <v>43051</v>
      </c>
      <c r="B64" s="85" t="s">
        <v>5008</v>
      </c>
      <c r="C64" s="85" t="s">
        <v>15</v>
      </c>
      <c r="D64" s="91">
        <v>32233.99</v>
      </c>
      <c r="E64" s="85" t="s">
        <v>15</v>
      </c>
      <c r="F64" s="91">
        <v>32233.99</v>
      </c>
      <c r="G64" s="91">
        <v>1910856.7143920001</v>
      </c>
    </row>
    <row r="65" spans="1:7" s="84" customFormat="1" ht="19.7" customHeight="1" x14ac:dyDescent="0.2">
      <c r="A65" s="92">
        <v>43051</v>
      </c>
      <c r="B65" s="86" t="s">
        <v>5016</v>
      </c>
      <c r="C65" s="86" t="s">
        <v>7749</v>
      </c>
      <c r="D65" s="93">
        <v>977.95</v>
      </c>
      <c r="E65" s="86" t="s">
        <v>7749</v>
      </c>
      <c r="F65" s="93">
        <v>1140.338808</v>
      </c>
      <c r="G65" s="93">
        <v>67600.196809000001</v>
      </c>
    </row>
    <row r="66" spans="1:7" s="84" customFormat="1" ht="19.7" customHeight="1" x14ac:dyDescent="0.2">
      <c r="A66" s="90">
        <v>43051</v>
      </c>
      <c r="B66" s="85" t="s">
        <v>5016</v>
      </c>
      <c r="C66" s="85" t="s">
        <v>7203</v>
      </c>
      <c r="D66" s="91">
        <v>265439.84999999998</v>
      </c>
      <c r="E66" s="85" t="s">
        <v>7203</v>
      </c>
      <c r="F66" s="91">
        <v>4477.669836</v>
      </c>
      <c r="G66" s="91">
        <v>265439.84999999998</v>
      </c>
    </row>
    <row r="67" spans="1:7" s="84" customFormat="1" ht="19.7" customHeight="1" x14ac:dyDescent="0.2">
      <c r="A67" s="92">
        <v>43051</v>
      </c>
      <c r="B67" s="86" t="s">
        <v>5016</v>
      </c>
      <c r="C67" s="86" t="s">
        <v>15</v>
      </c>
      <c r="D67" s="93">
        <v>26113.03</v>
      </c>
      <c r="E67" s="86" t="s">
        <v>15</v>
      </c>
      <c r="F67" s="93">
        <v>26113.03</v>
      </c>
      <c r="G67" s="93">
        <v>1548001.3088239999</v>
      </c>
    </row>
    <row r="68" spans="1:7" s="84" customFormat="1" ht="19.7" customHeight="1" x14ac:dyDescent="0.2">
      <c r="A68" s="90">
        <v>43051</v>
      </c>
      <c r="B68" s="85" t="s">
        <v>5019</v>
      </c>
      <c r="C68" s="85" t="s">
        <v>7203</v>
      </c>
      <c r="D68" s="95">
        <v>-23033.14</v>
      </c>
      <c r="E68" s="85" t="s">
        <v>7203</v>
      </c>
      <c r="F68" s="95">
        <v>-388.543002</v>
      </c>
      <c r="G68" s="95">
        <v>-23033.14</v>
      </c>
    </row>
    <row r="69" spans="1:7" s="84" customFormat="1" ht="19.7" customHeight="1" x14ac:dyDescent="0.2">
      <c r="A69" s="92">
        <v>43051</v>
      </c>
      <c r="B69" s="86" t="s">
        <v>5021</v>
      </c>
      <c r="C69" s="86" t="s">
        <v>7749</v>
      </c>
      <c r="D69" s="93">
        <v>0.5</v>
      </c>
      <c r="E69" s="86" t="s">
        <v>7749</v>
      </c>
      <c r="F69" s="93">
        <v>0.58302500000000002</v>
      </c>
      <c r="G69" s="93">
        <v>34.562187999999999</v>
      </c>
    </row>
    <row r="70" spans="1:7" s="84" customFormat="1" ht="19.7" customHeight="1" x14ac:dyDescent="0.2">
      <c r="A70" s="90">
        <v>43051</v>
      </c>
      <c r="B70" s="85" t="s">
        <v>5021</v>
      </c>
      <c r="C70" s="85" t="s">
        <v>7203</v>
      </c>
      <c r="D70" s="95">
        <v>-340398.07</v>
      </c>
      <c r="E70" s="85" t="s">
        <v>7203</v>
      </c>
      <c r="F70" s="95">
        <v>-5742.1301670000003</v>
      </c>
      <c r="G70" s="95">
        <v>-340398.07</v>
      </c>
    </row>
    <row r="71" spans="1:7" s="84" customFormat="1" ht="19.7" customHeight="1" x14ac:dyDescent="0.2">
      <c r="A71" s="92">
        <v>43051</v>
      </c>
      <c r="B71" s="86" t="s">
        <v>5021</v>
      </c>
      <c r="C71" s="86" t="s">
        <v>15</v>
      </c>
      <c r="D71" s="93">
        <v>47099.23</v>
      </c>
      <c r="E71" s="86" t="s">
        <v>15</v>
      </c>
      <c r="F71" s="93">
        <v>47099.23</v>
      </c>
      <c r="G71" s="93">
        <v>2792080.0337840002</v>
      </c>
    </row>
    <row r="72" spans="1:7" s="84" customFormat="1" ht="19.7" customHeight="1" x14ac:dyDescent="0.2">
      <c r="A72" s="90">
        <v>43051</v>
      </c>
      <c r="B72" s="85" t="s">
        <v>7899</v>
      </c>
      <c r="C72" s="85" t="s">
        <v>7203</v>
      </c>
      <c r="D72" s="95">
        <v>-9722.7099999999991</v>
      </c>
      <c r="E72" s="85" t="s">
        <v>7203</v>
      </c>
      <c r="F72" s="95">
        <v>-164.01111299999999</v>
      </c>
      <c r="G72" s="95">
        <v>-9722.7099999999991</v>
      </c>
    </row>
    <row r="73" spans="1:7" s="84" customFormat="1" ht="19.7" customHeight="1" x14ac:dyDescent="0.2">
      <c r="A73" s="92">
        <v>43051</v>
      </c>
      <c r="B73" s="86" t="s">
        <v>7899</v>
      </c>
      <c r="C73" s="86" t="s">
        <v>15</v>
      </c>
      <c r="D73" s="93">
        <v>181.44</v>
      </c>
      <c r="E73" s="86" t="s">
        <v>15</v>
      </c>
      <c r="F73" s="93">
        <v>181.44</v>
      </c>
      <c r="G73" s="93">
        <v>10755.908352</v>
      </c>
    </row>
    <row r="74" spans="1:7" s="84" customFormat="1" ht="19.7" customHeight="1" x14ac:dyDescent="0.2">
      <c r="A74" s="90">
        <v>43051</v>
      </c>
      <c r="B74" s="85" t="s">
        <v>5030</v>
      </c>
      <c r="C74" s="85" t="s">
        <v>7749</v>
      </c>
      <c r="D74" s="91">
        <v>828946.97</v>
      </c>
      <c r="E74" s="85" t="s">
        <v>7749</v>
      </c>
      <c r="F74" s="91">
        <v>966593.79241500003</v>
      </c>
      <c r="G74" s="91">
        <v>57300453.289394997</v>
      </c>
    </row>
    <row r="75" spans="1:7" s="84" customFormat="1" ht="19.7" customHeight="1" x14ac:dyDescent="0.2">
      <c r="A75" s="92">
        <v>43051</v>
      </c>
      <c r="B75" s="86" t="s">
        <v>5030</v>
      </c>
      <c r="C75" s="86" t="s">
        <v>7203</v>
      </c>
      <c r="D75" s="94">
        <v>-291793.14</v>
      </c>
      <c r="E75" s="86" t="s">
        <v>7203</v>
      </c>
      <c r="F75" s="94">
        <v>-4922.22001</v>
      </c>
      <c r="G75" s="94">
        <v>-291793.14</v>
      </c>
    </row>
    <row r="76" spans="1:7" s="84" customFormat="1" ht="19.7" customHeight="1" x14ac:dyDescent="0.2">
      <c r="A76" s="90">
        <v>43051</v>
      </c>
      <c r="B76" s="85" t="s">
        <v>5030</v>
      </c>
      <c r="C76" s="85" t="s">
        <v>15</v>
      </c>
      <c r="D76" s="91">
        <v>1112670.27</v>
      </c>
      <c r="E76" s="85" t="s">
        <v>15</v>
      </c>
      <c r="F76" s="91">
        <v>1112670.27</v>
      </c>
      <c r="G76" s="91">
        <v>65959983.741815999</v>
      </c>
    </row>
    <row r="77" spans="1:7" s="84" customFormat="1" ht="19.7" customHeight="1" x14ac:dyDescent="0.2">
      <c r="A77" s="92">
        <v>43051</v>
      </c>
      <c r="B77" s="86" t="s">
        <v>5061</v>
      </c>
      <c r="C77" s="86" t="s">
        <v>7203</v>
      </c>
      <c r="D77" s="94">
        <v>-101245.35</v>
      </c>
      <c r="E77" s="86" t="s">
        <v>7203</v>
      </c>
      <c r="F77" s="94">
        <v>-1707.894462</v>
      </c>
      <c r="G77" s="94">
        <v>-101245.35</v>
      </c>
    </row>
    <row r="78" spans="1:7" s="84" customFormat="1" ht="19.7" customHeight="1" x14ac:dyDescent="0.2">
      <c r="A78" s="90">
        <v>43051</v>
      </c>
      <c r="B78" s="85" t="s">
        <v>5061</v>
      </c>
      <c r="C78" s="85" t="s">
        <v>15</v>
      </c>
      <c r="D78" s="91">
        <v>142.44999999999999</v>
      </c>
      <c r="E78" s="85" t="s">
        <v>15</v>
      </c>
      <c r="F78" s="91">
        <v>142.44999999999999</v>
      </c>
      <c r="G78" s="91">
        <v>8444.5499600000003</v>
      </c>
    </row>
    <row r="79" spans="1:7" s="84" customFormat="1" ht="19.7" customHeight="1" x14ac:dyDescent="0.2">
      <c r="A79" s="92">
        <v>43051</v>
      </c>
      <c r="B79" s="86" t="s">
        <v>5064</v>
      </c>
      <c r="C79" s="86" t="s">
        <v>7420</v>
      </c>
      <c r="D79" s="93">
        <v>404.87</v>
      </c>
      <c r="E79" s="86" t="s">
        <v>7420</v>
      </c>
      <c r="F79" s="93">
        <v>535.21808199999998</v>
      </c>
      <c r="G79" s="93">
        <v>31728.156074999999</v>
      </c>
    </row>
    <row r="80" spans="1:7" s="84" customFormat="1" ht="19.7" customHeight="1" x14ac:dyDescent="0.2">
      <c r="A80" s="90">
        <v>43051</v>
      </c>
      <c r="B80" s="85" t="s">
        <v>5064</v>
      </c>
      <c r="C80" s="85" t="s">
        <v>7203</v>
      </c>
      <c r="D80" s="91">
        <v>12355.95</v>
      </c>
      <c r="E80" s="85" t="s">
        <v>7203</v>
      </c>
      <c r="F80" s="91">
        <v>208.430892</v>
      </c>
      <c r="G80" s="91">
        <v>12355.95</v>
      </c>
    </row>
    <row r="81" spans="1:7" s="84" customFormat="1" ht="19.7" customHeight="1" x14ac:dyDescent="0.2">
      <c r="A81" s="92">
        <v>43051</v>
      </c>
      <c r="B81" s="86" t="s">
        <v>5064</v>
      </c>
      <c r="C81" s="86" t="s">
        <v>15</v>
      </c>
      <c r="D81" s="93">
        <v>395.7</v>
      </c>
      <c r="E81" s="86" t="s">
        <v>15</v>
      </c>
      <c r="F81" s="93">
        <v>395.7</v>
      </c>
      <c r="G81" s="93">
        <v>23457.412560000001</v>
      </c>
    </row>
    <row r="82" spans="1:7" s="84" customFormat="1" ht="19.7" customHeight="1" x14ac:dyDescent="0.2">
      <c r="A82" s="90">
        <v>43051</v>
      </c>
      <c r="B82" s="85" t="s">
        <v>5065</v>
      </c>
      <c r="C82" s="85" t="s">
        <v>7272</v>
      </c>
      <c r="D82" s="91">
        <v>1251.25</v>
      </c>
      <c r="E82" s="85" t="s">
        <v>7272</v>
      </c>
      <c r="F82" s="91">
        <v>1257.5376879999999</v>
      </c>
      <c r="G82" s="91">
        <v>74547.840175000005</v>
      </c>
    </row>
    <row r="83" spans="1:7" s="84" customFormat="1" ht="19.7" customHeight="1" x14ac:dyDescent="0.2">
      <c r="A83" s="92">
        <v>43051</v>
      </c>
      <c r="B83" s="86" t="s">
        <v>5065</v>
      </c>
      <c r="C83" s="86" t="s">
        <v>7749</v>
      </c>
      <c r="D83" s="93">
        <v>668.83</v>
      </c>
      <c r="E83" s="86" t="s">
        <v>7749</v>
      </c>
      <c r="F83" s="93">
        <v>779.889365</v>
      </c>
      <c r="G83" s="93">
        <v>46232.465469000002</v>
      </c>
    </row>
    <row r="84" spans="1:7" s="84" customFormat="1" ht="19.7" customHeight="1" x14ac:dyDescent="0.2">
      <c r="A84" s="90">
        <v>43051</v>
      </c>
      <c r="B84" s="85" t="s">
        <v>5065</v>
      </c>
      <c r="C84" s="85" t="s">
        <v>7203</v>
      </c>
      <c r="D84" s="91">
        <v>251925.21</v>
      </c>
      <c r="E84" s="85" t="s">
        <v>7203</v>
      </c>
      <c r="F84" s="91">
        <v>4249.6931549999999</v>
      </c>
      <c r="G84" s="91">
        <v>251925.21</v>
      </c>
    </row>
    <row r="85" spans="1:7" s="84" customFormat="1" ht="19.7" customHeight="1" x14ac:dyDescent="0.2">
      <c r="A85" s="92">
        <v>43051</v>
      </c>
      <c r="B85" s="86" t="s">
        <v>5065</v>
      </c>
      <c r="C85" s="86" t="s">
        <v>15</v>
      </c>
      <c r="D85" s="93">
        <v>8325.7900000000009</v>
      </c>
      <c r="E85" s="86" t="s">
        <v>15</v>
      </c>
      <c r="F85" s="93">
        <v>8325.7900000000009</v>
      </c>
      <c r="G85" s="93">
        <v>493559.49183200003</v>
      </c>
    </row>
    <row r="86" spans="1:7" s="84" customFormat="1" ht="19.7" customHeight="1" x14ac:dyDescent="0.2">
      <c r="A86" s="90">
        <v>43051</v>
      </c>
      <c r="B86" s="85" t="s">
        <v>5071</v>
      </c>
      <c r="C86" s="85" t="s">
        <v>7749</v>
      </c>
      <c r="D86" s="91">
        <v>28.09</v>
      </c>
      <c r="E86" s="85" t="s">
        <v>7749</v>
      </c>
      <c r="F86" s="91">
        <v>32.754351</v>
      </c>
      <c r="G86" s="91">
        <v>1941.704131</v>
      </c>
    </row>
    <row r="87" spans="1:7" s="84" customFormat="1" ht="19.7" customHeight="1" x14ac:dyDescent="0.2">
      <c r="A87" s="92">
        <v>43051</v>
      </c>
      <c r="B87" s="86" t="s">
        <v>5071</v>
      </c>
      <c r="C87" s="86" t="s">
        <v>7420</v>
      </c>
      <c r="D87" s="93">
        <v>253383.47</v>
      </c>
      <c r="E87" s="86" t="s">
        <v>7420</v>
      </c>
      <c r="F87" s="93">
        <v>334960.39436400001</v>
      </c>
      <c r="G87" s="93">
        <v>19856720.146212999</v>
      </c>
    </row>
    <row r="88" spans="1:7" s="84" customFormat="1" ht="19.7" customHeight="1" x14ac:dyDescent="0.2">
      <c r="A88" s="90">
        <v>43051</v>
      </c>
      <c r="B88" s="85" t="s">
        <v>5071</v>
      </c>
      <c r="C88" s="85" t="s">
        <v>7203</v>
      </c>
      <c r="D88" s="91">
        <v>54383034.399999999</v>
      </c>
      <c r="E88" s="85" t="s">
        <v>7203</v>
      </c>
      <c r="F88" s="91">
        <v>917380.23778299999</v>
      </c>
      <c r="G88" s="91">
        <v>54383034.399999999</v>
      </c>
    </row>
    <row r="89" spans="1:7" s="84" customFormat="1" ht="19.7" customHeight="1" x14ac:dyDescent="0.2">
      <c r="A89" s="92">
        <v>43051</v>
      </c>
      <c r="B89" s="86" t="s">
        <v>5071</v>
      </c>
      <c r="C89" s="86" t="s">
        <v>15</v>
      </c>
      <c r="D89" s="93">
        <v>330291.87</v>
      </c>
      <c r="E89" s="86" t="s">
        <v>15</v>
      </c>
      <c r="F89" s="93">
        <v>330291.87</v>
      </c>
      <c r="G89" s="93">
        <v>19579966.287096001</v>
      </c>
    </row>
    <row r="90" spans="1:7" s="84" customFormat="1" ht="19.7" customHeight="1" x14ac:dyDescent="0.2">
      <c r="A90" s="90">
        <v>43051</v>
      </c>
      <c r="B90" s="85" t="s">
        <v>7900</v>
      </c>
      <c r="C90" s="85" t="s">
        <v>7203</v>
      </c>
      <c r="D90" s="91">
        <v>68096.59</v>
      </c>
      <c r="E90" s="85" t="s">
        <v>7203</v>
      </c>
      <c r="F90" s="91">
        <v>1148.712399</v>
      </c>
      <c r="G90" s="91">
        <v>68096.59</v>
      </c>
    </row>
    <row r="91" spans="1:7" s="84" customFormat="1" ht="19.7" customHeight="1" x14ac:dyDescent="0.2">
      <c r="A91" s="92">
        <v>43051</v>
      </c>
      <c r="B91" s="86" t="s">
        <v>7900</v>
      </c>
      <c r="C91" s="86" t="s">
        <v>15</v>
      </c>
      <c r="D91" s="93">
        <v>539.91</v>
      </c>
      <c r="E91" s="86" t="s">
        <v>15</v>
      </c>
      <c r="F91" s="93">
        <v>539.91</v>
      </c>
      <c r="G91" s="93">
        <v>32006.296728000001</v>
      </c>
    </row>
    <row r="92" spans="1:7" s="84" customFormat="1" ht="19.7" customHeight="1" x14ac:dyDescent="0.2">
      <c r="A92" s="90">
        <v>43051</v>
      </c>
      <c r="B92" s="85" t="s">
        <v>5121</v>
      </c>
      <c r="C92" s="85" t="s">
        <v>7749</v>
      </c>
      <c r="D92" s="91">
        <v>409.12</v>
      </c>
      <c r="E92" s="85" t="s">
        <v>7749</v>
      </c>
      <c r="F92" s="91">
        <v>477.054464</v>
      </c>
      <c r="G92" s="91">
        <v>28280.170268999998</v>
      </c>
    </row>
    <row r="93" spans="1:7" s="84" customFormat="1" ht="19.7" customHeight="1" x14ac:dyDescent="0.2">
      <c r="A93" s="92">
        <v>43051</v>
      </c>
      <c r="B93" s="86" t="s">
        <v>5121</v>
      </c>
      <c r="C93" s="86" t="s">
        <v>7203</v>
      </c>
      <c r="D93" s="94">
        <v>-505500.68</v>
      </c>
      <c r="E93" s="86" t="s">
        <v>7203</v>
      </c>
      <c r="F93" s="94">
        <v>-8527.2243280000002</v>
      </c>
      <c r="G93" s="94">
        <v>-505500.68</v>
      </c>
    </row>
    <row r="94" spans="1:7" s="84" customFormat="1" ht="19.7" customHeight="1" x14ac:dyDescent="0.2">
      <c r="A94" s="90">
        <v>43051</v>
      </c>
      <c r="B94" s="85" t="s">
        <v>5121</v>
      </c>
      <c r="C94" s="85" t="s">
        <v>15</v>
      </c>
      <c r="D94" s="95">
        <v>-10527019.130000001</v>
      </c>
      <c r="E94" s="85" t="s">
        <v>15</v>
      </c>
      <c r="F94" s="95">
        <v>-10527019.130000001</v>
      </c>
      <c r="G94" s="95">
        <v>-624050115.64170396</v>
      </c>
    </row>
    <row r="95" spans="1:7" s="84" customFormat="1" ht="19.7" customHeight="1" x14ac:dyDescent="0.2">
      <c r="A95" s="92">
        <v>43051</v>
      </c>
      <c r="B95" s="86" t="s">
        <v>5126</v>
      </c>
      <c r="C95" s="86" t="s">
        <v>7749</v>
      </c>
      <c r="D95" s="93">
        <v>12517.12</v>
      </c>
      <c r="E95" s="86" t="s">
        <v>7749</v>
      </c>
      <c r="F95" s="93">
        <v>14595.590464999999</v>
      </c>
      <c r="G95" s="93">
        <v>865238.27923800005</v>
      </c>
    </row>
    <row r="96" spans="1:7" s="84" customFormat="1" ht="19.7" customHeight="1" x14ac:dyDescent="0.2">
      <c r="A96" s="90">
        <v>43051</v>
      </c>
      <c r="B96" s="85" t="s">
        <v>5126</v>
      </c>
      <c r="C96" s="85" t="s">
        <v>7420</v>
      </c>
      <c r="D96" s="91">
        <v>1354.56</v>
      </c>
      <c r="E96" s="85" t="s">
        <v>7420</v>
      </c>
      <c r="F96" s="91">
        <v>1790.6612130000001</v>
      </c>
      <c r="G96" s="91">
        <v>106151.82923600001</v>
      </c>
    </row>
    <row r="97" spans="1:7" s="84" customFormat="1" ht="19.7" customHeight="1" x14ac:dyDescent="0.2">
      <c r="A97" s="92">
        <v>43051</v>
      </c>
      <c r="B97" s="86" t="s">
        <v>5126</v>
      </c>
      <c r="C97" s="86" t="s">
        <v>7203</v>
      </c>
      <c r="D97" s="93">
        <v>3994099.53</v>
      </c>
      <c r="E97" s="86" t="s">
        <v>7203</v>
      </c>
      <c r="F97" s="93">
        <v>67375.938414999997</v>
      </c>
      <c r="G97" s="93">
        <v>3994099.53</v>
      </c>
    </row>
    <row r="98" spans="1:7" s="84" customFormat="1" ht="19.7" customHeight="1" x14ac:dyDescent="0.2">
      <c r="A98" s="90">
        <v>43051</v>
      </c>
      <c r="B98" s="85" t="s">
        <v>5126</v>
      </c>
      <c r="C98" s="85" t="s">
        <v>15</v>
      </c>
      <c r="D98" s="91">
        <v>572.88</v>
      </c>
      <c r="E98" s="85" t="s">
        <v>15</v>
      </c>
      <c r="F98" s="91">
        <v>572.88</v>
      </c>
      <c r="G98" s="91">
        <v>33960.784703999998</v>
      </c>
    </row>
    <row r="99" spans="1:7" s="84" customFormat="1" ht="19.7" customHeight="1" x14ac:dyDescent="0.2">
      <c r="A99" s="92">
        <v>43051</v>
      </c>
      <c r="B99" s="86" t="s">
        <v>5131</v>
      </c>
      <c r="C99" s="86" t="s">
        <v>7203</v>
      </c>
      <c r="D99" s="93">
        <v>728486.06</v>
      </c>
      <c r="E99" s="86" t="s">
        <v>7203</v>
      </c>
      <c r="F99" s="93">
        <v>12288.735307000001</v>
      </c>
      <c r="G99" s="93">
        <v>728486.06</v>
      </c>
    </row>
    <row r="100" spans="1:7" s="84" customFormat="1" ht="19.7" customHeight="1" x14ac:dyDescent="0.2">
      <c r="A100" s="90">
        <v>43051</v>
      </c>
      <c r="B100" s="85" t="s">
        <v>5131</v>
      </c>
      <c r="C100" s="85" t="s">
        <v>15</v>
      </c>
      <c r="D100" s="91">
        <v>315.77999999999997</v>
      </c>
      <c r="E100" s="85" t="s">
        <v>15</v>
      </c>
      <c r="F100" s="91">
        <v>315.77999999999997</v>
      </c>
      <c r="G100" s="91">
        <v>18719.691024</v>
      </c>
    </row>
    <row r="101" spans="1:7" s="84" customFormat="1" ht="19.7" customHeight="1" x14ac:dyDescent="0.2">
      <c r="A101" s="92">
        <v>43051</v>
      </c>
      <c r="B101" s="86" t="s">
        <v>5132</v>
      </c>
      <c r="C101" s="86" t="s">
        <v>7420</v>
      </c>
      <c r="D101" s="93">
        <v>1140.02</v>
      </c>
      <c r="E101" s="86" t="s">
        <v>7420</v>
      </c>
      <c r="F101" s="93">
        <v>1507.0499620000001</v>
      </c>
      <c r="G101" s="93">
        <v>89339.127387</v>
      </c>
    </row>
    <row r="102" spans="1:7" s="84" customFormat="1" ht="19.7" customHeight="1" x14ac:dyDescent="0.2">
      <c r="A102" s="90">
        <v>43051</v>
      </c>
      <c r="B102" s="85" t="s">
        <v>5132</v>
      </c>
      <c r="C102" s="85" t="s">
        <v>7203</v>
      </c>
      <c r="D102" s="95">
        <v>-201392.84</v>
      </c>
      <c r="E102" s="85" t="s">
        <v>7203</v>
      </c>
      <c r="F102" s="95">
        <v>-3397.269268</v>
      </c>
      <c r="G102" s="95">
        <v>-201392.84</v>
      </c>
    </row>
    <row r="103" spans="1:7" s="84" customFormat="1" ht="19.7" customHeight="1" x14ac:dyDescent="0.2">
      <c r="A103" s="92">
        <v>43051</v>
      </c>
      <c r="B103" s="86" t="s">
        <v>5132</v>
      </c>
      <c r="C103" s="86" t="s">
        <v>15</v>
      </c>
      <c r="D103" s="93">
        <v>21668.28</v>
      </c>
      <c r="E103" s="86" t="s">
        <v>15</v>
      </c>
      <c r="F103" s="93">
        <v>21668.28</v>
      </c>
      <c r="G103" s="93">
        <v>1284512.9730239999</v>
      </c>
    </row>
    <row r="104" spans="1:7" s="84" customFormat="1" ht="19.7" customHeight="1" x14ac:dyDescent="0.2">
      <c r="A104" s="90">
        <v>43051</v>
      </c>
      <c r="B104" s="85" t="s">
        <v>5133</v>
      </c>
      <c r="C104" s="85" t="s">
        <v>7420</v>
      </c>
      <c r="D104" s="91">
        <v>14412.97</v>
      </c>
      <c r="E104" s="85" t="s">
        <v>7420</v>
      </c>
      <c r="F104" s="91">
        <v>19053.232301</v>
      </c>
      <c r="G104" s="91">
        <v>1129490.8533890001</v>
      </c>
    </row>
    <row r="105" spans="1:7" s="84" customFormat="1" ht="19.7" customHeight="1" x14ac:dyDescent="0.2">
      <c r="A105" s="92">
        <v>43051</v>
      </c>
      <c r="B105" s="86" t="s">
        <v>5133</v>
      </c>
      <c r="C105" s="86" t="s">
        <v>7203</v>
      </c>
      <c r="D105" s="93">
        <v>1322742.71</v>
      </c>
      <c r="E105" s="86" t="s">
        <v>7203</v>
      </c>
      <c r="F105" s="93">
        <v>22313.172393000001</v>
      </c>
      <c r="G105" s="93">
        <v>1322742.71</v>
      </c>
    </row>
    <row r="106" spans="1:7" s="84" customFormat="1" ht="19.7" customHeight="1" x14ac:dyDescent="0.2">
      <c r="A106" s="90">
        <v>43051</v>
      </c>
      <c r="B106" s="85" t="s">
        <v>5133</v>
      </c>
      <c r="C106" s="85" t="s">
        <v>15</v>
      </c>
      <c r="D106" s="91">
        <v>720046.73</v>
      </c>
      <c r="E106" s="85" t="s">
        <v>15</v>
      </c>
      <c r="F106" s="91">
        <v>720046.73</v>
      </c>
      <c r="G106" s="91">
        <v>42684946.191784002</v>
      </c>
    </row>
    <row r="107" spans="1:7" s="84" customFormat="1" ht="19.7" customHeight="1" x14ac:dyDescent="0.2">
      <c r="A107" s="92">
        <v>43051</v>
      </c>
      <c r="B107" s="86" t="s">
        <v>5166</v>
      </c>
      <c r="C107" s="86" t="s">
        <v>7749</v>
      </c>
      <c r="D107" s="93">
        <v>43799.35</v>
      </c>
      <c r="E107" s="86" t="s">
        <v>7749</v>
      </c>
      <c r="F107" s="93">
        <v>51072.241475000003</v>
      </c>
      <c r="G107" s="93">
        <v>3027603.3324310002</v>
      </c>
    </row>
    <row r="108" spans="1:7" s="84" customFormat="1" ht="19.7" customHeight="1" x14ac:dyDescent="0.2">
      <c r="A108" s="90">
        <v>43051</v>
      </c>
      <c r="B108" s="85" t="s">
        <v>5166</v>
      </c>
      <c r="C108" s="85" t="s">
        <v>7203</v>
      </c>
      <c r="D108" s="95">
        <v>-139578.82999999999</v>
      </c>
      <c r="E108" s="85" t="s">
        <v>7203</v>
      </c>
      <c r="F108" s="95">
        <v>-2354.5368819999999</v>
      </c>
      <c r="G108" s="95">
        <v>-139578.82999999999</v>
      </c>
    </row>
    <row r="109" spans="1:7" s="84" customFormat="1" ht="19.7" customHeight="1" x14ac:dyDescent="0.2">
      <c r="A109" s="92">
        <v>43051</v>
      </c>
      <c r="B109" s="86" t="s">
        <v>5166</v>
      </c>
      <c r="C109" s="86" t="s">
        <v>15</v>
      </c>
      <c r="D109" s="93">
        <v>168441</v>
      </c>
      <c r="E109" s="86" t="s">
        <v>15</v>
      </c>
      <c r="F109" s="93">
        <v>168441</v>
      </c>
      <c r="G109" s="93">
        <v>9985317.2327999994</v>
      </c>
    </row>
    <row r="110" spans="1:7" s="84" customFormat="1" ht="19.7" customHeight="1" x14ac:dyDescent="0.2">
      <c r="A110" s="90">
        <v>43051</v>
      </c>
      <c r="B110" s="85" t="s">
        <v>5167</v>
      </c>
      <c r="C110" s="85" t="s">
        <v>7203</v>
      </c>
      <c r="D110" s="91">
        <v>308.2</v>
      </c>
      <c r="E110" s="85" t="s">
        <v>7203</v>
      </c>
      <c r="F110" s="91">
        <v>5.1989850000000004</v>
      </c>
      <c r="G110" s="91">
        <v>308.2</v>
      </c>
    </row>
    <row r="111" spans="1:7" s="84" customFormat="1" ht="19.7" customHeight="1" x14ac:dyDescent="0.2">
      <c r="A111" s="92">
        <v>43051</v>
      </c>
      <c r="B111" s="86" t="s">
        <v>5167</v>
      </c>
      <c r="C111" s="86" t="s">
        <v>15</v>
      </c>
      <c r="D111" s="93">
        <v>3730032.91</v>
      </c>
      <c r="E111" s="86" t="s">
        <v>15</v>
      </c>
      <c r="F111" s="93">
        <v>3730032.91</v>
      </c>
      <c r="G111" s="93">
        <v>221119334.931128</v>
      </c>
    </row>
    <row r="112" spans="1:7" s="84" customFormat="1" ht="19.7" customHeight="1" x14ac:dyDescent="0.2">
      <c r="A112" s="90">
        <v>43051</v>
      </c>
      <c r="B112" s="85" t="s">
        <v>5170</v>
      </c>
      <c r="C112" s="85" t="s">
        <v>7749</v>
      </c>
      <c r="D112" s="91">
        <v>58338.1</v>
      </c>
      <c r="E112" s="85" t="s">
        <v>7749</v>
      </c>
      <c r="F112" s="91">
        <v>68025.154035</v>
      </c>
      <c r="G112" s="91">
        <v>4032585.5513180001</v>
      </c>
    </row>
    <row r="113" spans="1:7" s="84" customFormat="1" ht="19.7" customHeight="1" x14ac:dyDescent="0.2">
      <c r="A113" s="92">
        <v>43051</v>
      </c>
      <c r="B113" s="86" t="s">
        <v>5170</v>
      </c>
      <c r="C113" s="86" t="s">
        <v>7420</v>
      </c>
      <c r="D113" s="93">
        <v>1616.09</v>
      </c>
      <c r="E113" s="86" t="s">
        <v>7420</v>
      </c>
      <c r="F113" s="93">
        <v>2136.3909170000002</v>
      </c>
      <c r="G113" s="93">
        <v>126646.96267199999</v>
      </c>
    </row>
    <row r="114" spans="1:7" s="84" customFormat="1" ht="19.7" customHeight="1" x14ac:dyDescent="0.2">
      <c r="A114" s="90">
        <v>43051</v>
      </c>
      <c r="B114" s="85" t="s">
        <v>5170</v>
      </c>
      <c r="C114" s="85" t="s">
        <v>7203</v>
      </c>
      <c r="D114" s="95">
        <v>-234896.17</v>
      </c>
      <c r="E114" s="85" t="s">
        <v>7203</v>
      </c>
      <c r="F114" s="95">
        <v>-3962.4325250000002</v>
      </c>
      <c r="G114" s="95">
        <v>-234896.17</v>
      </c>
    </row>
    <row r="115" spans="1:7" s="84" customFormat="1" ht="19.7" customHeight="1" x14ac:dyDescent="0.2">
      <c r="A115" s="92">
        <v>43051</v>
      </c>
      <c r="B115" s="86" t="s">
        <v>5170</v>
      </c>
      <c r="C115" s="86" t="s">
        <v>15</v>
      </c>
      <c r="D115" s="93">
        <v>425421.67</v>
      </c>
      <c r="E115" s="86" t="s">
        <v>15</v>
      </c>
      <c r="F115" s="93">
        <v>425421.67</v>
      </c>
      <c r="G115" s="93">
        <v>25219336.934935998</v>
      </c>
    </row>
    <row r="116" spans="1:7" s="84" customFormat="1" ht="19.7" customHeight="1" x14ac:dyDescent="0.2">
      <c r="A116" s="90">
        <v>43051</v>
      </c>
      <c r="B116" s="85" t="s">
        <v>5179</v>
      </c>
      <c r="C116" s="85" t="s">
        <v>7420</v>
      </c>
      <c r="D116" s="91">
        <v>0.38</v>
      </c>
      <c r="E116" s="85" t="s">
        <v>7420</v>
      </c>
      <c r="F116" s="91">
        <v>0.50234100000000004</v>
      </c>
      <c r="G116" s="91">
        <v>29.779176</v>
      </c>
    </row>
    <row r="117" spans="1:7" s="84" customFormat="1" ht="19.7" customHeight="1" x14ac:dyDescent="0.2">
      <c r="A117" s="92">
        <v>43051</v>
      </c>
      <c r="B117" s="86" t="s">
        <v>5179</v>
      </c>
      <c r="C117" s="86" t="s">
        <v>7203</v>
      </c>
      <c r="D117" s="94">
        <v>-15264.64</v>
      </c>
      <c r="E117" s="86" t="s">
        <v>7203</v>
      </c>
      <c r="F117" s="94">
        <v>-257.49720000000002</v>
      </c>
      <c r="G117" s="94">
        <v>-15264.64</v>
      </c>
    </row>
    <row r="118" spans="1:7" s="84" customFormat="1" ht="19.7" customHeight="1" x14ac:dyDescent="0.2">
      <c r="A118" s="90">
        <v>43051</v>
      </c>
      <c r="B118" s="85" t="s">
        <v>5179</v>
      </c>
      <c r="C118" s="85" t="s">
        <v>15</v>
      </c>
      <c r="D118" s="91">
        <v>62720.19</v>
      </c>
      <c r="E118" s="85" t="s">
        <v>15</v>
      </c>
      <c r="F118" s="91">
        <v>62720.19</v>
      </c>
      <c r="G118" s="91">
        <v>3718103.0393520002</v>
      </c>
    </row>
    <row r="119" spans="1:7" s="84" customFormat="1" ht="19.7" customHeight="1" x14ac:dyDescent="0.2">
      <c r="A119" s="92">
        <v>43051</v>
      </c>
      <c r="B119" s="86" t="s">
        <v>5188</v>
      </c>
      <c r="C119" s="86" t="s">
        <v>7749</v>
      </c>
      <c r="D119" s="93">
        <v>36.57</v>
      </c>
      <c r="E119" s="86" t="s">
        <v>7749</v>
      </c>
      <c r="F119" s="93">
        <v>42.642456000000003</v>
      </c>
      <c r="G119" s="93">
        <v>2527.8789059999999</v>
      </c>
    </row>
    <row r="120" spans="1:7" s="84" customFormat="1" ht="19.7" customHeight="1" x14ac:dyDescent="0.2">
      <c r="A120" s="90">
        <v>43051</v>
      </c>
      <c r="B120" s="85" t="s">
        <v>5188</v>
      </c>
      <c r="C120" s="85" t="s">
        <v>7203</v>
      </c>
      <c r="D120" s="95">
        <v>-87647.9</v>
      </c>
      <c r="E120" s="85" t="s">
        <v>7203</v>
      </c>
      <c r="F120" s="95">
        <v>-1478.5208700000001</v>
      </c>
      <c r="G120" s="95">
        <v>-87647.9</v>
      </c>
    </row>
    <row r="121" spans="1:7" s="84" customFormat="1" ht="19.7" customHeight="1" x14ac:dyDescent="0.2">
      <c r="A121" s="92">
        <v>43051</v>
      </c>
      <c r="B121" s="86" t="s">
        <v>5190</v>
      </c>
      <c r="C121" s="86" t="s">
        <v>7203</v>
      </c>
      <c r="D121" s="93">
        <v>2540577.02</v>
      </c>
      <c r="E121" s="86" t="s">
        <v>7203</v>
      </c>
      <c r="F121" s="93">
        <v>42856.658817000003</v>
      </c>
      <c r="G121" s="93">
        <v>2540577.02</v>
      </c>
    </row>
    <row r="122" spans="1:7" s="84" customFormat="1" ht="19.7" customHeight="1" x14ac:dyDescent="0.2">
      <c r="A122" s="90">
        <v>43051</v>
      </c>
      <c r="B122" s="85" t="s">
        <v>5190</v>
      </c>
      <c r="C122" s="85" t="s">
        <v>15</v>
      </c>
      <c r="D122" s="91">
        <v>3260.94</v>
      </c>
      <c r="E122" s="85" t="s">
        <v>15</v>
      </c>
      <c r="F122" s="91">
        <v>3260.94</v>
      </c>
      <c r="G122" s="91">
        <v>193311.131952</v>
      </c>
    </row>
    <row r="123" spans="1:7" s="84" customFormat="1" ht="19.7" customHeight="1" x14ac:dyDescent="0.2">
      <c r="A123" s="92">
        <v>43051</v>
      </c>
      <c r="B123" s="86" t="s">
        <v>5191</v>
      </c>
      <c r="C123" s="86" t="s">
        <v>7203</v>
      </c>
      <c r="D123" s="93">
        <v>13186.12</v>
      </c>
      <c r="E123" s="86" t="s">
        <v>7203</v>
      </c>
      <c r="F123" s="93">
        <v>222.43492000000001</v>
      </c>
      <c r="G123" s="93">
        <v>13186.12</v>
      </c>
    </row>
    <row r="124" spans="1:7" s="84" customFormat="1" ht="19.7" customHeight="1" x14ac:dyDescent="0.2">
      <c r="A124" s="90">
        <v>43051</v>
      </c>
      <c r="B124" s="85" t="s">
        <v>5194</v>
      </c>
      <c r="C124" s="85" t="s">
        <v>7420</v>
      </c>
      <c r="D124" s="91">
        <v>0.39</v>
      </c>
      <c r="E124" s="85" t="s">
        <v>7420</v>
      </c>
      <c r="F124" s="91">
        <v>0.51556100000000005</v>
      </c>
      <c r="G124" s="91">
        <v>30.562868999999999</v>
      </c>
    </row>
    <row r="125" spans="1:7" s="84" customFormat="1" ht="19.7" customHeight="1" x14ac:dyDescent="0.2">
      <c r="A125" s="92">
        <v>43051</v>
      </c>
      <c r="B125" s="86" t="s">
        <v>5194</v>
      </c>
      <c r="C125" s="86" t="s">
        <v>7203</v>
      </c>
      <c r="D125" s="93">
        <v>2840467.63</v>
      </c>
      <c r="E125" s="86" t="s">
        <v>7203</v>
      </c>
      <c r="F125" s="93">
        <v>47915.473982000003</v>
      </c>
      <c r="G125" s="93">
        <v>2840467.63</v>
      </c>
    </row>
    <row r="126" spans="1:7" s="84" customFormat="1" ht="19.7" customHeight="1" x14ac:dyDescent="0.2">
      <c r="A126" s="90">
        <v>43051</v>
      </c>
      <c r="B126" s="85" t="s">
        <v>5194</v>
      </c>
      <c r="C126" s="85" t="s">
        <v>15</v>
      </c>
      <c r="D126" s="91">
        <v>688949.35</v>
      </c>
      <c r="E126" s="85" t="s">
        <v>15</v>
      </c>
      <c r="F126" s="91">
        <v>688949.35</v>
      </c>
      <c r="G126" s="91">
        <v>40841468.62748</v>
      </c>
    </row>
    <row r="127" spans="1:7" s="84" customFormat="1" ht="19.7" customHeight="1" x14ac:dyDescent="0.2">
      <c r="A127" s="92">
        <v>43051</v>
      </c>
      <c r="B127" s="86" t="s">
        <v>5199</v>
      </c>
      <c r="C127" s="86" t="s">
        <v>7749</v>
      </c>
      <c r="D127" s="93">
        <v>84619.28</v>
      </c>
      <c r="E127" s="86" t="s">
        <v>7749</v>
      </c>
      <c r="F127" s="93">
        <v>98670.329618999996</v>
      </c>
      <c r="G127" s="93">
        <v>5849256.0760779995</v>
      </c>
    </row>
    <row r="128" spans="1:7" s="84" customFormat="1" ht="19.7" customHeight="1" x14ac:dyDescent="0.2">
      <c r="A128" s="90">
        <v>43051</v>
      </c>
      <c r="B128" s="85" t="s">
        <v>5199</v>
      </c>
      <c r="C128" s="85" t="s">
        <v>7203</v>
      </c>
      <c r="D128" s="95">
        <v>-6764.49</v>
      </c>
      <c r="E128" s="85" t="s">
        <v>7203</v>
      </c>
      <c r="F128" s="95">
        <v>-114.10929</v>
      </c>
      <c r="G128" s="95">
        <v>-6764.49</v>
      </c>
    </row>
    <row r="129" spans="1:7" s="84" customFormat="1" ht="19.7" customHeight="1" x14ac:dyDescent="0.2">
      <c r="A129" s="92">
        <v>43051</v>
      </c>
      <c r="B129" s="86" t="s">
        <v>5199</v>
      </c>
      <c r="C129" s="86" t="s">
        <v>15</v>
      </c>
      <c r="D129" s="93">
        <v>60649.81</v>
      </c>
      <c r="E129" s="86" t="s">
        <v>15</v>
      </c>
      <c r="F129" s="93">
        <v>60649.81</v>
      </c>
      <c r="G129" s="93">
        <v>3595369.2566479999</v>
      </c>
    </row>
    <row r="130" spans="1:7" s="84" customFormat="1" ht="19.7" customHeight="1" x14ac:dyDescent="0.2">
      <c r="A130" s="90">
        <v>43051</v>
      </c>
      <c r="B130" s="85" t="s">
        <v>5202</v>
      </c>
      <c r="C130" s="85" t="s">
        <v>7203</v>
      </c>
      <c r="D130" s="95">
        <v>-10000</v>
      </c>
      <c r="E130" s="85" t="s">
        <v>7203</v>
      </c>
      <c r="F130" s="95">
        <v>-168.688682</v>
      </c>
      <c r="G130" s="95">
        <v>-10000</v>
      </c>
    </row>
    <row r="131" spans="1:7" s="84" customFormat="1" ht="19.7" customHeight="1" x14ac:dyDescent="0.2">
      <c r="A131" s="92">
        <v>43051</v>
      </c>
      <c r="B131" s="86" t="s">
        <v>5202</v>
      </c>
      <c r="C131" s="86" t="s">
        <v>15</v>
      </c>
      <c r="D131" s="93">
        <v>728943.15</v>
      </c>
      <c r="E131" s="86" t="s">
        <v>15</v>
      </c>
      <c r="F131" s="93">
        <v>728943.15</v>
      </c>
      <c r="G131" s="93">
        <v>43212333.086520001</v>
      </c>
    </row>
    <row r="132" spans="1:7" s="84" customFormat="1" ht="19.7" customHeight="1" x14ac:dyDescent="0.2">
      <c r="A132" s="90">
        <v>43051</v>
      </c>
      <c r="B132" s="85" t="s">
        <v>5205</v>
      </c>
      <c r="C132" s="85" t="s">
        <v>7420</v>
      </c>
      <c r="D132" s="91">
        <v>4503.87</v>
      </c>
      <c r="E132" s="85" t="s">
        <v>7420</v>
      </c>
      <c r="F132" s="91">
        <v>5953.8930120000005</v>
      </c>
      <c r="G132" s="91">
        <v>352951.540866</v>
      </c>
    </row>
    <row r="133" spans="1:7" s="84" customFormat="1" ht="19.7" customHeight="1" x14ac:dyDescent="0.2">
      <c r="A133" s="92">
        <v>43051</v>
      </c>
      <c r="B133" s="86" t="s">
        <v>5205</v>
      </c>
      <c r="C133" s="86" t="s">
        <v>7203</v>
      </c>
      <c r="D133" s="94">
        <v>-340221.98</v>
      </c>
      <c r="E133" s="86" t="s">
        <v>7203</v>
      </c>
      <c r="F133" s="94">
        <v>-5739.1597279999996</v>
      </c>
      <c r="G133" s="94">
        <v>-340221.98</v>
      </c>
    </row>
    <row r="134" spans="1:7" s="84" customFormat="1" ht="19.7" customHeight="1" x14ac:dyDescent="0.2">
      <c r="A134" s="90">
        <v>43051</v>
      </c>
      <c r="B134" s="85" t="s">
        <v>5205</v>
      </c>
      <c r="C134" s="85" t="s">
        <v>15</v>
      </c>
      <c r="D134" s="91">
        <v>368115.7</v>
      </c>
      <c r="E134" s="85" t="s">
        <v>15</v>
      </c>
      <c r="F134" s="91">
        <v>368115.7</v>
      </c>
      <c r="G134" s="91">
        <v>21822193.188560002</v>
      </c>
    </row>
    <row r="135" spans="1:7" s="84" customFormat="1" ht="19.7" customHeight="1" x14ac:dyDescent="0.2">
      <c r="A135" s="92">
        <v>43051</v>
      </c>
      <c r="B135" s="86" t="s">
        <v>5206</v>
      </c>
      <c r="C135" s="86" t="s">
        <v>7203</v>
      </c>
      <c r="D135" s="94">
        <v>-6999.45</v>
      </c>
      <c r="E135" s="86" t="s">
        <v>7203</v>
      </c>
      <c r="F135" s="94">
        <v>-118.072799</v>
      </c>
      <c r="G135" s="94">
        <v>-6999.45</v>
      </c>
    </row>
    <row r="136" spans="1:7" s="84" customFormat="1" ht="19.7" customHeight="1" x14ac:dyDescent="0.2">
      <c r="A136" s="90">
        <v>43051</v>
      </c>
      <c r="B136" s="85" t="s">
        <v>5206</v>
      </c>
      <c r="C136" s="85" t="s">
        <v>15</v>
      </c>
      <c r="D136" s="91">
        <v>3087.4199999999801</v>
      </c>
      <c r="E136" s="85" t="s">
        <v>15</v>
      </c>
      <c r="F136" s="91">
        <v>3087.4199999999801</v>
      </c>
      <c r="G136" s="91">
        <v>183024.72753599999</v>
      </c>
    </row>
    <row r="137" spans="1:7" s="84" customFormat="1" ht="19.7" customHeight="1" x14ac:dyDescent="0.2">
      <c r="A137" s="92">
        <v>43051</v>
      </c>
      <c r="B137" s="86" t="s">
        <v>5211</v>
      </c>
      <c r="C137" s="86" t="s">
        <v>7749</v>
      </c>
      <c r="D137" s="93">
        <v>704.64</v>
      </c>
      <c r="E137" s="86" t="s">
        <v>7749</v>
      </c>
      <c r="F137" s="93">
        <v>821.645623</v>
      </c>
      <c r="G137" s="93">
        <v>48707.809847999997</v>
      </c>
    </row>
    <row r="138" spans="1:7" s="84" customFormat="1" ht="19.7" customHeight="1" x14ac:dyDescent="0.2">
      <c r="A138" s="90">
        <v>43051</v>
      </c>
      <c r="B138" s="85" t="s">
        <v>5211</v>
      </c>
      <c r="C138" s="85" t="s">
        <v>7203</v>
      </c>
      <c r="D138" s="91">
        <v>77705.78</v>
      </c>
      <c r="E138" s="85" t="s">
        <v>7203</v>
      </c>
      <c r="F138" s="91">
        <v>1310.8085590000001</v>
      </c>
      <c r="G138" s="91">
        <v>77705.78</v>
      </c>
    </row>
    <row r="139" spans="1:7" s="84" customFormat="1" ht="19.7" customHeight="1" x14ac:dyDescent="0.2">
      <c r="A139" s="92">
        <v>43051</v>
      </c>
      <c r="B139" s="86" t="s">
        <v>5211</v>
      </c>
      <c r="C139" s="86" t="s">
        <v>15</v>
      </c>
      <c r="D139" s="93">
        <v>7592.28</v>
      </c>
      <c r="E139" s="86" t="s">
        <v>15</v>
      </c>
      <c r="F139" s="93">
        <v>7592.28</v>
      </c>
      <c r="G139" s="93">
        <v>450076.43222399999</v>
      </c>
    </row>
    <row r="140" spans="1:7" s="84" customFormat="1" ht="19.7" customHeight="1" x14ac:dyDescent="0.2">
      <c r="A140" s="90">
        <v>43051</v>
      </c>
      <c r="B140" s="85" t="s">
        <v>5214</v>
      </c>
      <c r="C140" s="85" t="s">
        <v>7203</v>
      </c>
      <c r="D140" s="91">
        <v>4751584.4400000004</v>
      </c>
      <c r="E140" s="85" t="s">
        <v>7203</v>
      </c>
      <c r="F140" s="91">
        <v>80153.851500000004</v>
      </c>
      <c r="G140" s="91">
        <v>4751584.4400000004</v>
      </c>
    </row>
    <row r="141" spans="1:7" s="84" customFormat="1" ht="19.7" customHeight="1" x14ac:dyDescent="0.2">
      <c r="A141" s="92">
        <v>43051</v>
      </c>
      <c r="B141" s="86" t="s">
        <v>5217</v>
      </c>
      <c r="C141" s="86" t="s">
        <v>7901</v>
      </c>
      <c r="D141" s="93">
        <v>56560</v>
      </c>
      <c r="E141" s="86" t="s">
        <v>7901</v>
      </c>
      <c r="F141" s="93">
        <v>44616.234125000003</v>
      </c>
      <c r="G141" s="93">
        <v>2644886.0519170002</v>
      </c>
    </row>
    <row r="142" spans="1:7" s="84" customFormat="1" ht="19.7" customHeight="1" x14ac:dyDescent="0.2">
      <c r="A142" s="90">
        <v>43051</v>
      </c>
      <c r="B142" s="85" t="s">
        <v>5217</v>
      </c>
      <c r="C142" s="85" t="s">
        <v>7203</v>
      </c>
      <c r="D142" s="91">
        <v>1693.2</v>
      </c>
      <c r="E142" s="85" t="s">
        <v>7203</v>
      </c>
      <c r="F142" s="91">
        <v>28.562367999999999</v>
      </c>
      <c r="G142" s="91">
        <v>1693.2</v>
      </c>
    </row>
    <row r="143" spans="1:7" s="84" customFormat="1" ht="19.7" customHeight="1" x14ac:dyDescent="0.2">
      <c r="A143" s="92">
        <v>43051</v>
      </c>
      <c r="B143" s="86" t="s">
        <v>5217</v>
      </c>
      <c r="C143" s="86" t="s">
        <v>15</v>
      </c>
      <c r="D143" s="93">
        <v>498970.94</v>
      </c>
      <c r="E143" s="86" t="s">
        <v>15</v>
      </c>
      <c r="F143" s="93">
        <v>498970.94</v>
      </c>
      <c r="G143" s="93">
        <v>29579396.499952</v>
      </c>
    </row>
    <row r="144" spans="1:7" s="84" customFormat="1" ht="19.7" customHeight="1" x14ac:dyDescent="0.2">
      <c r="A144" s="90">
        <v>43051</v>
      </c>
      <c r="B144" s="85" t="s">
        <v>5220</v>
      </c>
      <c r="C144" s="85" t="s">
        <v>7203</v>
      </c>
      <c r="D144" s="95">
        <v>-515650.7</v>
      </c>
      <c r="E144" s="85" t="s">
        <v>7203</v>
      </c>
      <c r="F144" s="95">
        <v>-8698.4436779999996</v>
      </c>
      <c r="G144" s="95">
        <v>-515650.7</v>
      </c>
    </row>
    <row r="145" spans="1:7" s="84" customFormat="1" ht="19.7" customHeight="1" x14ac:dyDescent="0.2">
      <c r="A145" s="92">
        <v>43051</v>
      </c>
      <c r="B145" s="86" t="s">
        <v>5220</v>
      </c>
      <c r="C145" s="86" t="s">
        <v>15</v>
      </c>
      <c r="D145" s="93">
        <v>4586.8100000000004</v>
      </c>
      <c r="E145" s="86" t="s">
        <v>15</v>
      </c>
      <c r="F145" s="93">
        <v>4586.8100000000004</v>
      </c>
      <c r="G145" s="93">
        <v>271909.76624800003</v>
      </c>
    </row>
    <row r="146" spans="1:7" s="84" customFormat="1" ht="19.7" customHeight="1" x14ac:dyDescent="0.2">
      <c r="A146" s="90">
        <v>43051</v>
      </c>
      <c r="B146" s="85" t="s">
        <v>5231</v>
      </c>
      <c r="C146" s="85" t="s">
        <v>7749</v>
      </c>
      <c r="D146" s="91">
        <v>1970.93</v>
      </c>
      <c r="E146" s="85" t="s">
        <v>7749</v>
      </c>
      <c r="F146" s="91">
        <v>2298.2033499999998</v>
      </c>
      <c r="G146" s="91">
        <v>136239.333151</v>
      </c>
    </row>
    <row r="147" spans="1:7" s="84" customFormat="1" ht="19.7" customHeight="1" x14ac:dyDescent="0.2">
      <c r="A147" s="92">
        <v>43051</v>
      </c>
      <c r="B147" s="86" t="s">
        <v>5231</v>
      </c>
      <c r="C147" s="86" t="s">
        <v>7203</v>
      </c>
      <c r="D147" s="93">
        <v>50921.26</v>
      </c>
      <c r="E147" s="86" t="s">
        <v>7203</v>
      </c>
      <c r="F147" s="93">
        <v>858.98402199999998</v>
      </c>
      <c r="G147" s="93">
        <v>50921.26</v>
      </c>
    </row>
    <row r="148" spans="1:7" s="84" customFormat="1" ht="19.7" customHeight="1" x14ac:dyDescent="0.2">
      <c r="A148" s="90">
        <v>43051</v>
      </c>
      <c r="B148" s="85" t="s">
        <v>5234</v>
      </c>
      <c r="C148" s="85" t="s">
        <v>7749</v>
      </c>
      <c r="D148" s="91">
        <v>5216.33</v>
      </c>
      <c r="E148" s="85" t="s">
        <v>7749</v>
      </c>
      <c r="F148" s="91">
        <v>6082.5027170000003</v>
      </c>
      <c r="G148" s="91">
        <v>360575.62706600002</v>
      </c>
    </row>
    <row r="149" spans="1:7" s="84" customFormat="1" ht="19.7" customHeight="1" x14ac:dyDescent="0.2">
      <c r="A149" s="92">
        <v>43051</v>
      </c>
      <c r="B149" s="86" t="s">
        <v>5234</v>
      </c>
      <c r="C149" s="86" t="s">
        <v>7203</v>
      </c>
      <c r="D149" s="93">
        <v>10317964.09</v>
      </c>
      <c r="E149" s="86" t="s">
        <v>7203</v>
      </c>
      <c r="F149" s="93">
        <v>174052.37598000001</v>
      </c>
      <c r="G149" s="93">
        <v>10317964.09</v>
      </c>
    </row>
    <row r="150" spans="1:7" s="84" customFormat="1" ht="19.7" customHeight="1" x14ac:dyDescent="0.2">
      <c r="A150" s="90">
        <v>43051</v>
      </c>
      <c r="B150" s="85" t="s">
        <v>5234</v>
      </c>
      <c r="C150" s="85" t="s">
        <v>15</v>
      </c>
      <c r="D150" s="91">
        <v>2024.29</v>
      </c>
      <c r="E150" s="85" t="s">
        <v>15</v>
      </c>
      <c r="F150" s="91">
        <v>2024.29</v>
      </c>
      <c r="G150" s="91">
        <v>120001.53063199999</v>
      </c>
    </row>
    <row r="151" spans="1:7" s="84" customFormat="1" ht="19.7" customHeight="1" x14ac:dyDescent="0.2">
      <c r="A151" s="92">
        <v>43051</v>
      </c>
      <c r="B151" s="86" t="s">
        <v>5239</v>
      </c>
      <c r="C151" s="86" t="s">
        <v>7420</v>
      </c>
      <c r="D151" s="93">
        <v>2286.29</v>
      </c>
      <c r="E151" s="86" t="s">
        <v>7420</v>
      </c>
      <c r="F151" s="93">
        <v>3022.362114</v>
      </c>
      <c r="G151" s="93">
        <v>179168.044008</v>
      </c>
    </row>
    <row r="152" spans="1:7" s="84" customFormat="1" ht="19.7" customHeight="1" x14ac:dyDescent="0.2">
      <c r="A152" s="90">
        <v>43051</v>
      </c>
      <c r="B152" s="85" t="s">
        <v>5239</v>
      </c>
      <c r="C152" s="85" t="s">
        <v>7203</v>
      </c>
      <c r="D152" s="91">
        <v>148997.65</v>
      </c>
      <c r="E152" s="85" t="s">
        <v>7203</v>
      </c>
      <c r="F152" s="91">
        <v>2513.4217149999999</v>
      </c>
      <c r="G152" s="91">
        <v>148997.65</v>
      </c>
    </row>
    <row r="153" spans="1:7" s="84" customFormat="1" ht="19.7" customHeight="1" x14ac:dyDescent="0.2">
      <c r="A153" s="92">
        <v>43051</v>
      </c>
      <c r="B153" s="86" t="s">
        <v>5239</v>
      </c>
      <c r="C153" s="86" t="s">
        <v>15</v>
      </c>
      <c r="D153" s="93">
        <v>37182.620000000003</v>
      </c>
      <c r="E153" s="86" t="s">
        <v>15</v>
      </c>
      <c r="F153" s="93">
        <v>37182.620000000003</v>
      </c>
      <c r="G153" s="93">
        <v>2204215.459696</v>
      </c>
    </row>
    <row r="154" spans="1:7" s="84" customFormat="1" ht="19.7" customHeight="1" x14ac:dyDescent="0.2">
      <c r="A154" s="90">
        <v>43051</v>
      </c>
      <c r="B154" s="85" t="s">
        <v>5245</v>
      </c>
      <c r="C154" s="85" t="s">
        <v>7749</v>
      </c>
      <c r="D154" s="91">
        <v>30005.599999999999</v>
      </c>
      <c r="E154" s="85" t="s">
        <v>7749</v>
      </c>
      <c r="F154" s="91">
        <v>34988.036325000001</v>
      </c>
      <c r="G154" s="91">
        <v>2074118.7837749999</v>
      </c>
    </row>
    <row r="155" spans="1:7" s="84" customFormat="1" ht="19.7" customHeight="1" x14ac:dyDescent="0.2">
      <c r="A155" s="92">
        <v>43051</v>
      </c>
      <c r="B155" s="86" t="s">
        <v>5245</v>
      </c>
      <c r="C155" s="86" t="s">
        <v>7203</v>
      </c>
      <c r="D155" s="94">
        <v>-21392.43</v>
      </c>
      <c r="E155" s="86" t="s">
        <v>7203</v>
      </c>
      <c r="F155" s="94">
        <v>-360.86608100000001</v>
      </c>
      <c r="G155" s="94">
        <v>-21392.43</v>
      </c>
    </row>
    <row r="156" spans="1:7" s="84" customFormat="1" ht="19.7" customHeight="1" x14ac:dyDescent="0.2">
      <c r="A156" s="90">
        <v>43051</v>
      </c>
      <c r="B156" s="85" t="s">
        <v>5245</v>
      </c>
      <c r="C156" s="85" t="s">
        <v>15</v>
      </c>
      <c r="D156" s="91">
        <v>74813.61</v>
      </c>
      <c r="E156" s="85" t="s">
        <v>15</v>
      </c>
      <c r="F156" s="91">
        <v>74813.61</v>
      </c>
      <c r="G156" s="91">
        <v>4435010.6516880002</v>
      </c>
    </row>
    <row r="157" spans="1:7" s="84" customFormat="1" ht="19.7" customHeight="1" x14ac:dyDescent="0.2">
      <c r="A157" s="92">
        <v>43051</v>
      </c>
      <c r="B157" s="86" t="s">
        <v>5270</v>
      </c>
      <c r="C157" s="86" t="s">
        <v>7272</v>
      </c>
      <c r="D157" s="93">
        <v>4036.3</v>
      </c>
      <c r="E157" s="86" t="s">
        <v>7272</v>
      </c>
      <c r="F157" s="93">
        <v>4056.582915</v>
      </c>
      <c r="G157" s="93">
        <v>240477.48046799999</v>
      </c>
    </row>
    <row r="158" spans="1:7" s="84" customFormat="1" ht="19.7" customHeight="1" x14ac:dyDescent="0.2">
      <c r="A158" s="90">
        <v>43051</v>
      </c>
      <c r="B158" s="85" t="s">
        <v>5270</v>
      </c>
      <c r="C158" s="85" t="s">
        <v>7749</v>
      </c>
      <c r="D158" s="91">
        <v>2991.88</v>
      </c>
      <c r="E158" s="85" t="s">
        <v>7749</v>
      </c>
      <c r="F158" s="91">
        <v>3488.6823169999998</v>
      </c>
      <c r="G158" s="91">
        <v>206811.87869799999</v>
      </c>
    </row>
    <row r="159" spans="1:7" s="84" customFormat="1" ht="19.7" customHeight="1" x14ac:dyDescent="0.2">
      <c r="A159" s="92">
        <v>43051</v>
      </c>
      <c r="B159" s="86" t="s">
        <v>5270</v>
      </c>
      <c r="C159" s="86" t="s">
        <v>7420</v>
      </c>
      <c r="D159" s="93">
        <v>1396.02</v>
      </c>
      <c r="E159" s="86" t="s">
        <v>7420</v>
      </c>
      <c r="F159" s="93">
        <v>1845.4692789999999</v>
      </c>
      <c r="G159" s="93">
        <v>109400.895235</v>
      </c>
    </row>
    <row r="160" spans="1:7" s="84" customFormat="1" ht="19.7" customHeight="1" x14ac:dyDescent="0.2">
      <c r="A160" s="90">
        <v>43051</v>
      </c>
      <c r="B160" s="85" t="s">
        <v>5270</v>
      </c>
      <c r="C160" s="85" t="s">
        <v>7203</v>
      </c>
      <c r="D160" s="91">
        <v>163878.59</v>
      </c>
      <c r="E160" s="85" t="s">
        <v>7203</v>
      </c>
      <c r="F160" s="91">
        <v>2764.4463300000002</v>
      </c>
      <c r="G160" s="91">
        <v>163878.59</v>
      </c>
    </row>
    <row r="161" spans="1:7" s="84" customFormat="1" ht="19.7" customHeight="1" x14ac:dyDescent="0.2">
      <c r="A161" s="92">
        <v>43051</v>
      </c>
      <c r="B161" s="86" t="s">
        <v>5270</v>
      </c>
      <c r="C161" s="86" t="s">
        <v>15</v>
      </c>
      <c r="D161" s="93">
        <v>304033.59999999998</v>
      </c>
      <c r="E161" s="86" t="s">
        <v>15</v>
      </c>
      <c r="F161" s="93">
        <v>304033.59999999998</v>
      </c>
      <c r="G161" s="93">
        <v>18023355.034880001</v>
      </c>
    </row>
    <row r="162" spans="1:7" s="84" customFormat="1" ht="19.7" customHeight="1" x14ac:dyDescent="0.2">
      <c r="A162" s="90">
        <v>43051</v>
      </c>
      <c r="B162" s="85" t="s">
        <v>5281</v>
      </c>
      <c r="C162" s="85" t="s">
        <v>7203</v>
      </c>
      <c r="D162" s="95">
        <v>-566467.93999999994</v>
      </c>
      <c r="E162" s="85" t="s">
        <v>7203</v>
      </c>
      <c r="F162" s="95">
        <v>-9555.6730000000007</v>
      </c>
      <c r="G162" s="95">
        <v>-566467.93999999994</v>
      </c>
    </row>
    <row r="163" spans="1:7" s="84" customFormat="1" ht="19.7" customHeight="1" x14ac:dyDescent="0.2">
      <c r="A163" s="92">
        <v>43051</v>
      </c>
      <c r="B163" s="86" t="s">
        <v>5281</v>
      </c>
      <c r="C163" s="86" t="s">
        <v>15</v>
      </c>
      <c r="D163" s="93">
        <v>25189.56</v>
      </c>
      <c r="E163" s="86" t="s">
        <v>15</v>
      </c>
      <c r="F163" s="93">
        <v>25189.56</v>
      </c>
      <c r="G163" s="93">
        <v>1493257.2684480001</v>
      </c>
    </row>
    <row r="164" spans="1:7" s="84" customFormat="1" ht="19.7" customHeight="1" x14ac:dyDescent="0.2">
      <c r="A164" s="90">
        <v>43051</v>
      </c>
      <c r="B164" s="85" t="s">
        <v>5286</v>
      </c>
      <c r="C164" s="85" t="s">
        <v>7203</v>
      </c>
      <c r="D164" s="95">
        <v>-133378.23999999999</v>
      </c>
      <c r="E164" s="85" t="s">
        <v>7203</v>
      </c>
      <c r="F164" s="95">
        <v>-2249.9399469999998</v>
      </c>
      <c r="G164" s="95">
        <v>-133378.23999999999</v>
      </c>
    </row>
    <row r="165" spans="1:7" s="84" customFormat="1" ht="19.7" customHeight="1" x14ac:dyDescent="0.2">
      <c r="A165" s="92">
        <v>43051</v>
      </c>
      <c r="B165" s="86" t="s">
        <v>5286</v>
      </c>
      <c r="C165" s="86" t="s">
        <v>15</v>
      </c>
      <c r="D165" s="93">
        <v>870658.53</v>
      </c>
      <c r="E165" s="86" t="s">
        <v>15</v>
      </c>
      <c r="F165" s="93">
        <v>870658.53</v>
      </c>
      <c r="G165" s="93">
        <v>51613334.185223997</v>
      </c>
    </row>
    <row r="166" spans="1:7" s="84" customFormat="1" ht="19.7" customHeight="1" x14ac:dyDescent="0.2">
      <c r="A166" s="90">
        <v>43051</v>
      </c>
      <c r="B166" s="85" t="s">
        <v>5287</v>
      </c>
      <c r="C166" s="85" t="s">
        <v>7203</v>
      </c>
      <c r="D166" s="95">
        <v>-40388.120000000003</v>
      </c>
      <c r="E166" s="85" t="s">
        <v>7203</v>
      </c>
      <c r="F166" s="95">
        <v>-681.301872</v>
      </c>
      <c r="G166" s="95">
        <v>-40388.120000000003</v>
      </c>
    </row>
    <row r="167" spans="1:7" s="84" customFormat="1" ht="19.7" customHeight="1" x14ac:dyDescent="0.2">
      <c r="A167" s="92">
        <v>43051</v>
      </c>
      <c r="B167" s="86" t="s">
        <v>5288</v>
      </c>
      <c r="C167" s="86" t="s">
        <v>7203</v>
      </c>
      <c r="D167" s="94">
        <v>-9637.66</v>
      </c>
      <c r="E167" s="86" t="s">
        <v>7203</v>
      </c>
      <c r="F167" s="94">
        <v>-162.57641599999999</v>
      </c>
      <c r="G167" s="94">
        <v>-9637.66</v>
      </c>
    </row>
    <row r="168" spans="1:7" s="84" customFormat="1" ht="19.7" customHeight="1" x14ac:dyDescent="0.2">
      <c r="A168" s="90">
        <v>43051</v>
      </c>
      <c r="B168" s="85" t="s">
        <v>5288</v>
      </c>
      <c r="C168" s="85" t="s">
        <v>15</v>
      </c>
      <c r="D168" s="91">
        <v>244680.35</v>
      </c>
      <c r="E168" s="85" t="s">
        <v>15</v>
      </c>
      <c r="F168" s="91">
        <v>244680.35</v>
      </c>
      <c r="G168" s="91">
        <v>14504846.892279999</v>
      </c>
    </row>
    <row r="169" spans="1:7" s="84" customFormat="1" ht="19.7" customHeight="1" x14ac:dyDescent="0.2">
      <c r="A169" s="92">
        <v>43051</v>
      </c>
      <c r="B169" s="86" t="s">
        <v>5293</v>
      </c>
      <c r="C169" s="86" t="s">
        <v>7749</v>
      </c>
      <c r="D169" s="93">
        <v>1021.49</v>
      </c>
      <c r="E169" s="86" t="s">
        <v>7749</v>
      </c>
      <c r="F169" s="93">
        <v>1191.1086339999999</v>
      </c>
      <c r="G169" s="93">
        <v>70609.872709999996</v>
      </c>
    </row>
    <row r="170" spans="1:7" s="84" customFormat="1" ht="19.7" customHeight="1" x14ac:dyDescent="0.2">
      <c r="A170" s="90">
        <v>43051</v>
      </c>
      <c r="B170" s="85" t="s">
        <v>5293</v>
      </c>
      <c r="C170" s="85" t="s">
        <v>7420</v>
      </c>
      <c r="D170" s="91">
        <v>9</v>
      </c>
      <c r="E170" s="85" t="s">
        <v>7420</v>
      </c>
      <c r="F170" s="91">
        <v>11.897554</v>
      </c>
      <c r="G170" s="91">
        <v>705.29651899999999</v>
      </c>
    </row>
    <row r="171" spans="1:7" s="84" customFormat="1" ht="19.7" customHeight="1" x14ac:dyDescent="0.2">
      <c r="A171" s="92">
        <v>43051</v>
      </c>
      <c r="B171" s="86" t="s">
        <v>5293</v>
      </c>
      <c r="C171" s="86" t="s">
        <v>7203</v>
      </c>
      <c r="D171" s="94">
        <v>-100428.66</v>
      </c>
      <c r="E171" s="86" t="s">
        <v>7203</v>
      </c>
      <c r="F171" s="94">
        <v>-1694.117825</v>
      </c>
      <c r="G171" s="94">
        <v>-100428.66</v>
      </c>
    </row>
    <row r="172" spans="1:7" s="84" customFormat="1" ht="19.7" customHeight="1" x14ac:dyDescent="0.2">
      <c r="A172" s="90">
        <v>43051</v>
      </c>
      <c r="B172" s="85" t="s">
        <v>5293</v>
      </c>
      <c r="C172" s="85" t="s">
        <v>15</v>
      </c>
      <c r="D172" s="91">
        <v>9077.26</v>
      </c>
      <c r="E172" s="85" t="s">
        <v>15</v>
      </c>
      <c r="F172" s="91">
        <v>9077.26</v>
      </c>
      <c r="G172" s="91">
        <v>538107.23460800003</v>
      </c>
    </row>
    <row r="173" spans="1:7" s="84" customFormat="1" ht="19.7" customHeight="1" x14ac:dyDescent="0.2">
      <c r="A173" s="92">
        <v>43051</v>
      </c>
      <c r="B173" s="86" t="s">
        <v>5304</v>
      </c>
      <c r="C173" s="86" t="s">
        <v>7203</v>
      </c>
      <c r="D173" s="94">
        <v>-4000</v>
      </c>
      <c r="E173" s="86" t="s">
        <v>7203</v>
      </c>
      <c r="F173" s="94">
        <v>-67.475472999999994</v>
      </c>
      <c r="G173" s="94">
        <v>-4000</v>
      </c>
    </row>
    <row r="174" spans="1:7" s="84" customFormat="1" ht="19.7" customHeight="1" x14ac:dyDescent="0.2">
      <c r="A174" s="90">
        <v>43051</v>
      </c>
      <c r="B174" s="85" t="s">
        <v>5309</v>
      </c>
      <c r="C174" s="85" t="s">
        <v>7420</v>
      </c>
      <c r="D174" s="91">
        <v>1998.15</v>
      </c>
      <c r="E174" s="85" t="s">
        <v>7420</v>
      </c>
      <c r="F174" s="91">
        <v>2641.4553089999999</v>
      </c>
      <c r="G174" s="91">
        <v>156587.58388200001</v>
      </c>
    </row>
    <row r="175" spans="1:7" s="84" customFormat="1" ht="19.7" customHeight="1" x14ac:dyDescent="0.2">
      <c r="A175" s="92">
        <v>43051</v>
      </c>
      <c r="B175" s="86" t="s">
        <v>5309</v>
      </c>
      <c r="C175" s="86" t="s">
        <v>7203</v>
      </c>
      <c r="D175" s="94">
        <v>-560041.26</v>
      </c>
      <c r="E175" s="86" t="s">
        <v>7203</v>
      </c>
      <c r="F175" s="94">
        <v>-9447.2621830000007</v>
      </c>
      <c r="G175" s="94">
        <v>-560041.26</v>
      </c>
    </row>
    <row r="176" spans="1:7" s="84" customFormat="1" ht="19.7" customHeight="1" x14ac:dyDescent="0.2">
      <c r="A176" s="90">
        <v>43051</v>
      </c>
      <c r="B176" s="85" t="s">
        <v>5309</v>
      </c>
      <c r="C176" s="85" t="s">
        <v>15</v>
      </c>
      <c r="D176" s="91">
        <v>37328.5</v>
      </c>
      <c r="E176" s="85" t="s">
        <v>15</v>
      </c>
      <c r="F176" s="91">
        <v>37328.5</v>
      </c>
      <c r="G176" s="91">
        <v>2212863.3428000002</v>
      </c>
    </row>
    <row r="177" spans="1:7" s="84" customFormat="1" ht="19.7" customHeight="1" x14ac:dyDescent="0.2">
      <c r="A177" s="92">
        <v>43051</v>
      </c>
      <c r="B177" s="86" t="s">
        <v>5312</v>
      </c>
      <c r="C177" s="86" t="s">
        <v>7749</v>
      </c>
      <c r="D177" s="93">
        <v>779.75</v>
      </c>
      <c r="E177" s="86" t="s">
        <v>7749</v>
      </c>
      <c r="F177" s="93">
        <v>909.22765500000003</v>
      </c>
      <c r="G177" s="93">
        <v>53899.742770999997</v>
      </c>
    </row>
    <row r="178" spans="1:7" s="84" customFormat="1" ht="19.7" customHeight="1" x14ac:dyDescent="0.2">
      <c r="A178" s="90">
        <v>43051</v>
      </c>
      <c r="B178" s="85" t="s">
        <v>5312</v>
      </c>
      <c r="C178" s="85" t="s">
        <v>7420</v>
      </c>
      <c r="D178" s="91">
        <v>823.1</v>
      </c>
      <c r="E178" s="85" t="s">
        <v>7420</v>
      </c>
      <c r="F178" s="91">
        <v>1088.0974220000001</v>
      </c>
      <c r="G178" s="91">
        <v>64503.285653999999</v>
      </c>
    </row>
    <row r="179" spans="1:7" s="84" customFormat="1" ht="19.7" customHeight="1" x14ac:dyDescent="0.2">
      <c r="A179" s="92">
        <v>43051</v>
      </c>
      <c r="B179" s="86" t="s">
        <v>5312</v>
      </c>
      <c r="C179" s="86" t="s">
        <v>7203</v>
      </c>
      <c r="D179" s="94">
        <v>-19447.060000000001</v>
      </c>
      <c r="E179" s="86" t="s">
        <v>7203</v>
      </c>
      <c r="F179" s="94">
        <v>-328.049892</v>
      </c>
      <c r="G179" s="94">
        <v>-19447.060000000001</v>
      </c>
    </row>
    <row r="180" spans="1:7" s="84" customFormat="1" ht="19.7" customHeight="1" x14ac:dyDescent="0.2">
      <c r="A180" s="90">
        <v>43051</v>
      </c>
      <c r="B180" s="85" t="s">
        <v>5312</v>
      </c>
      <c r="C180" s="85" t="s">
        <v>15</v>
      </c>
      <c r="D180" s="91">
        <v>583.33000000000004</v>
      </c>
      <c r="E180" s="85" t="s">
        <v>15</v>
      </c>
      <c r="F180" s="91">
        <v>583.33000000000004</v>
      </c>
      <c r="G180" s="91">
        <v>34580.269064</v>
      </c>
    </row>
    <row r="181" spans="1:7" s="84" customFormat="1" ht="19.7" customHeight="1" x14ac:dyDescent="0.2">
      <c r="A181" s="92">
        <v>43051</v>
      </c>
      <c r="B181" s="86" t="s">
        <v>5319</v>
      </c>
      <c r="C181" s="86" t="s">
        <v>7420</v>
      </c>
      <c r="D181" s="93">
        <v>1340.06</v>
      </c>
      <c r="E181" s="86" t="s">
        <v>7420</v>
      </c>
      <c r="F181" s="93">
        <v>1771.4929320000001</v>
      </c>
      <c r="G181" s="93">
        <v>105015.518203</v>
      </c>
    </row>
    <row r="182" spans="1:7" s="84" customFormat="1" ht="19.7" customHeight="1" x14ac:dyDescent="0.2">
      <c r="A182" s="90">
        <v>43051</v>
      </c>
      <c r="B182" s="85" t="s">
        <v>5319</v>
      </c>
      <c r="C182" s="85" t="s">
        <v>7203</v>
      </c>
      <c r="D182" s="95">
        <v>-215316.69</v>
      </c>
      <c r="E182" s="85" t="s">
        <v>7203</v>
      </c>
      <c r="F182" s="95">
        <v>-3632.148858</v>
      </c>
      <c r="G182" s="95">
        <v>-215316.69</v>
      </c>
    </row>
    <row r="183" spans="1:7" s="84" customFormat="1" ht="19.7" customHeight="1" x14ac:dyDescent="0.2">
      <c r="A183" s="92">
        <v>43051</v>
      </c>
      <c r="B183" s="86" t="s">
        <v>5319</v>
      </c>
      <c r="C183" s="86" t="s">
        <v>15</v>
      </c>
      <c r="D183" s="93">
        <v>69016.11</v>
      </c>
      <c r="E183" s="86" t="s">
        <v>15</v>
      </c>
      <c r="F183" s="93">
        <v>69016.11</v>
      </c>
      <c r="G183" s="93">
        <v>4091330.2136880001</v>
      </c>
    </row>
    <row r="184" spans="1:7" s="84" customFormat="1" ht="19.7" customHeight="1" x14ac:dyDescent="0.2">
      <c r="A184" s="90">
        <v>43051</v>
      </c>
      <c r="B184" s="85" t="s">
        <v>5320</v>
      </c>
      <c r="C184" s="85" t="s">
        <v>7749</v>
      </c>
      <c r="D184" s="91">
        <v>1366319.38</v>
      </c>
      <c r="E184" s="85" t="s">
        <v>7749</v>
      </c>
      <c r="F184" s="91">
        <v>1593197.006516</v>
      </c>
      <c r="G184" s="91">
        <v>94445993.103873998</v>
      </c>
    </row>
    <row r="185" spans="1:7" s="84" customFormat="1" ht="19.7" customHeight="1" x14ac:dyDescent="0.2">
      <c r="A185" s="92">
        <v>43051</v>
      </c>
      <c r="B185" s="86" t="s">
        <v>5320</v>
      </c>
      <c r="C185" s="86" t="s">
        <v>7203</v>
      </c>
      <c r="D185" s="94">
        <v>-307346.11</v>
      </c>
      <c r="E185" s="86" t="s">
        <v>7203</v>
      </c>
      <c r="F185" s="94">
        <v>-5184.5810110000002</v>
      </c>
      <c r="G185" s="94">
        <v>-307346.11</v>
      </c>
    </row>
    <row r="186" spans="1:7" s="84" customFormat="1" ht="19.7" customHeight="1" x14ac:dyDescent="0.2">
      <c r="A186" s="90">
        <v>43051</v>
      </c>
      <c r="B186" s="85" t="s">
        <v>5320</v>
      </c>
      <c r="C186" s="85" t="s">
        <v>15</v>
      </c>
      <c r="D186" s="91">
        <v>135839.6</v>
      </c>
      <c r="E186" s="85" t="s">
        <v>15</v>
      </c>
      <c r="F186" s="91">
        <v>135839.6</v>
      </c>
      <c r="G186" s="91">
        <v>8052680.1596799996</v>
      </c>
    </row>
    <row r="187" spans="1:7" s="84" customFormat="1" ht="19.7" customHeight="1" x14ac:dyDescent="0.2">
      <c r="A187" s="92">
        <v>43051</v>
      </c>
      <c r="B187" s="86" t="s">
        <v>5327</v>
      </c>
      <c r="C187" s="86" t="s">
        <v>7203</v>
      </c>
      <c r="D187" s="94">
        <v>-135806.84</v>
      </c>
      <c r="E187" s="86" t="s">
        <v>7203</v>
      </c>
      <c r="F187" s="94">
        <v>-2290.9076799999998</v>
      </c>
      <c r="G187" s="94">
        <v>-135806.84</v>
      </c>
    </row>
    <row r="188" spans="1:7" s="84" customFormat="1" ht="19.7" customHeight="1" x14ac:dyDescent="0.2">
      <c r="A188" s="90">
        <v>43051</v>
      </c>
      <c r="B188" s="85" t="s">
        <v>5327</v>
      </c>
      <c r="C188" s="85" t="s">
        <v>15</v>
      </c>
      <c r="D188" s="91">
        <v>134968.88</v>
      </c>
      <c r="E188" s="85" t="s">
        <v>15</v>
      </c>
      <c r="F188" s="91">
        <v>134968.88</v>
      </c>
      <c r="G188" s="91">
        <v>8001063.181504</v>
      </c>
    </row>
    <row r="189" spans="1:7" s="84" customFormat="1" ht="19.7" customHeight="1" x14ac:dyDescent="0.2">
      <c r="A189" s="92">
        <v>43051</v>
      </c>
      <c r="B189" s="86" t="s">
        <v>5330</v>
      </c>
      <c r="C189" s="86" t="s">
        <v>7749</v>
      </c>
      <c r="D189" s="93">
        <v>1305.33</v>
      </c>
      <c r="E189" s="86" t="s">
        <v>7749</v>
      </c>
      <c r="F189" s="93">
        <v>1522.0803269999999</v>
      </c>
      <c r="G189" s="93">
        <v>90230.139448999995</v>
      </c>
    </row>
    <row r="190" spans="1:7" s="84" customFormat="1" ht="19.7" customHeight="1" x14ac:dyDescent="0.2">
      <c r="A190" s="90">
        <v>43051</v>
      </c>
      <c r="B190" s="85" t="s">
        <v>5330</v>
      </c>
      <c r="C190" s="85" t="s">
        <v>7203</v>
      </c>
      <c r="D190" s="91">
        <v>7324.25</v>
      </c>
      <c r="E190" s="85" t="s">
        <v>7203</v>
      </c>
      <c r="F190" s="91">
        <v>123.55180799999999</v>
      </c>
      <c r="G190" s="91">
        <v>7324.25</v>
      </c>
    </row>
    <row r="191" spans="1:7" s="84" customFormat="1" ht="19.7" customHeight="1" x14ac:dyDescent="0.2">
      <c r="A191" s="92">
        <v>43051</v>
      </c>
      <c r="B191" s="86" t="s">
        <v>5333</v>
      </c>
      <c r="C191" s="86" t="s">
        <v>7203</v>
      </c>
      <c r="D191" s="94">
        <v>-18000</v>
      </c>
      <c r="E191" s="86" t="s">
        <v>7203</v>
      </c>
      <c r="F191" s="94">
        <v>-303.63962700000002</v>
      </c>
      <c r="G191" s="94">
        <v>-18000</v>
      </c>
    </row>
    <row r="192" spans="1:7" s="84" customFormat="1" ht="19.7" customHeight="1" x14ac:dyDescent="0.2">
      <c r="A192" s="90">
        <v>43051</v>
      </c>
      <c r="B192" s="85" t="s">
        <v>5333</v>
      </c>
      <c r="C192" s="85" t="s">
        <v>15</v>
      </c>
      <c r="D192" s="91">
        <v>21179.59</v>
      </c>
      <c r="E192" s="85" t="s">
        <v>15</v>
      </c>
      <c r="F192" s="91">
        <v>21179.59</v>
      </c>
      <c r="G192" s="91">
        <v>1255543.0388720001</v>
      </c>
    </row>
    <row r="193" spans="1:7" s="84" customFormat="1" ht="19.7" customHeight="1" x14ac:dyDescent="0.2">
      <c r="A193" s="92">
        <v>43051</v>
      </c>
      <c r="B193" s="86" t="s">
        <v>5334</v>
      </c>
      <c r="C193" s="86" t="s">
        <v>7203</v>
      </c>
      <c r="D193" s="94">
        <v>-639021.74</v>
      </c>
      <c r="E193" s="86" t="s">
        <v>7203</v>
      </c>
      <c r="F193" s="94">
        <v>-10779.573488</v>
      </c>
      <c r="G193" s="94">
        <v>-639021.74</v>
      </c>
    </row>
    <row r="194" spans="1:7" s="84" customFormat="1" ht="19.7" customHeight="1" x14ac:dyDescent="0.2">
      <c r="A194" s="90">
        <v>43051</v>
      </c>
      <c r="B194" s="85" t="s">
        <v>5334</v>
      </c>
      <c r="C194" s="85" t="s">
        <v>15</v>
      </c>
      <c r="D194" s="91">
        <v>9129.5499999999993</v>
      </c>
      <c r="E194" s="85" t="s">
        <v>15</v>
      </c>
      <c r="F194" s="91">
        <v>9129.5499999999993</v>
      </c>
      <c r="G194" s="91">
        <v>541207.02763999999</v>
      </c>
    </row>
    <row r="195" spans="1:7" s="84" customFormat="1" ht="19.7" customHeight="1" x14ac:dyDescent="0.2">
      <c r="A195" s="92">
        <v>43051</v>
      </c>
      <c r="B195" s="86" t="s">
        <v>5343</v>
      </c>
      <c r="C195" s="86" t="s">
        <v>7420</v>
      </c>
      <c r="D195" s="93">
        <v>2575.67</v>
      </c>
      <c r="E195" s="86" t="s">
        <v>7420</v>
      </c>
      <c r="F195" s="93">
        <v>3404.9081379999998</v>
      </c>
      <c r="G195" s="93">
        <v>201845.67834700001</v>
      </c>
    </row>
    <row r="196" spans="1:7" s="84" customFormat="1" ht="19.7" customHeight="1" x14ac:dyDescent="0.2">
      <c r="A196" s="90">
        <v>43051</v>
      </c>
      <c r="B196" s="85" t="s">
        <v>5343</v>
      </c>
      <c r="C196" s="85" t="s">
        <v>7203</v>
      </c>
      <c r="D196" s="91">
        <v>4193623.7</v>
      </c>
      <c r="E196" s="85" t="s">
        <v>7203</v>
      </c>
      <c r="F196" s="91">
        <v>70741.685333999994</v>
      </c>
      <c r="G196" s="91">
        <v>4193623.7</v>
      </c>
    </row>
    <row r="197" spans="1:7" s="84" customFormat="1" ht="19.7" customHeight="1" x14ac:dyDescent="0.2">
      <c r="A197" s="92">
        <v>43051</v>
      </c>
      <c r="B197" s="86" t="s">
        <v>5343</v>
      </c>
      <c r="C197" s="86" t="s">
        <v>15</v>
      </c>
      <c r="D197" s="93">
        <v>1185426.33</v>
      </c>
      <c r="E197" s="86" t="s">
        <v>15</v>
      </c>
      <c r="F197" s="93">
        <v>1185426.33</v>
      </c>
      <c r="G197" s="93">
        <v>70273021.183464006</v>
      </c>
    </row>
    <row r="198" spans="1:7" s="84" customFormat="1" ht="19.7" customHeight="1" x14ac:dyDescent="0.2">
      <c r="A198" s="90">
        <v>43051</v>
      </c>
      <c r="B198" s="85" t="s">
        <v>5344</v>
      </c>
      <c r="C198" s="85" t="s">
        <v>7749</v>
      </c>
      <c r="D198" s="91">
        <v>7.36</v>
      </c>
      <c r="E198" s="85" t="s">
        <v>7749</v>
      </c>
      <c r="F198" s="91">
        <v>8.5821299999999994</v>
      </c>
      <c r="G198" s="91">
        <v>508.75553200000002</v>
      </c>
    </row>
    <row r="199" spans="1:7" s="84" customFormat="1" ht="19.7" customHeight="1" x14ac:dyDescent="0.2">
      <c r="A199" s="92">
        <v>43051</v>
      </c>
      <c r="B199" s="86" t="s">
        <v>5344</v>
      </c>
      <c r="C199" s="86" t="s">
        <v>7203</v>
      </c>
      <c r="D199" s="94">
        <v>-3297.42</v>
      </c>
      <c r="E199" s="86" t="s">
        <v>7203</v>
      </c>
      <c r="F199" s="94">
        <v>-55.623742999999997</v>
      </c>
      <c r="G199" s="94">
        <v>-3297.42</v>
      </c>
    </row>
    <row r="200" spans="1:7" s="84" customFormat="1" ht="19.7" customHeight="1" x14ac:dyDescent="0.2">
      <c r="A200" s="90">
        <v>43051</v>
      </c>
      <c r="B200" s="85" t="s">
        <v>5344</v>
      </c>
      <c r="C200" s="85" t="s">
        <v>15</v>
      </c>
      <c r="D200" s="91">
        <v>4827.8</v>
      </c>
      <c r="E200" s="85" t="s">
        <v>15</v>
      </c>
      <c r="F200" s="91">
        <v>4827.8</v>
      </c>
      <c r="G200" s="91">
        <v>286195.84623999998</v>
      </c>
    </row>
    <row r="201" spans="1:7" s="84" customFormat="1" ht="19.7" customHeight="1" x14ac:dyDescent="0.2">
      <c r="A201" s="92">
        <v>43051</v>
      </c>
      <c r="B201" s="86" t="s">
        <v>5349</v>
      </c>
      <c r="C201" s="86" t="s">
        <v>7749</v>
      </c>
      <c r="D201" s="93">
        <v>157</v>
      </c>
      <c r="E201" s="86" t="s">
        <v>7749</v>
      </c>
      <c r="F201" s="93">
        <v>183.069884</v>
      </c>
      <c r="G201" s="93">
        <v>10852.529178999999</v>
      </c>
    </row>
    <row r="202" spans="1:7" s="84" customFormat="1" ht="19.7" customHeight="1" x14ac:dyDescent="0.2">
      <c r="A202" s="90">
        <v>43051</v>
      </c>
      <c r="B202" s="85" t="s">
        <v>5349</v>
      </c>
      <c r="C202" s="85" t="s">
        <v>7420</v>
      </c>
      <c r="D202" s="91">
        <v>1645.02</v>
      </c>
      <c r="E202" s="85" t="s">
        <v>7420</v>
      </c>
      <c r="F202" s="91">
        <v>2174.634943</v>
      </c>
      <c r="G202" s="91">
        <v>128914.09912899999</v>
      </c>
    </row>
    <row r="203" spans="1:7" s="84" customFormat="1" ht="19.7" customHeight="1" x14ac:dyDescent="0.2">
      <c r="A203" s="92">
        <v>43051</v>
      </c>
      <c r="B203" s="86" t="s">
        <v>5349</v>
      </c>
      <c r="C203" s="86" t="s">
        <v>7203</v>
      </c>
      <c r="D203" s="94">
        <v>-507253.71</v>
      </c>
      <c r="E203" s="86" t="s">
        <v>7203</v>
      </c>
      <c r="F203" s="94">
        <v>-8556.7959609999998</v>
      </c>
      <c r="G203" s="94">
        <v>-507253.71</v>
      </c>
    </row>
    <row r="204" spans="1:7" s="84" customFormat="1" ht="19.7" customHeight="1" x14ac:dyDescent="0.2">
      <c r="A204" s="90">
        <v>43051</v>
      </c>
      <c r="B204" s="85" t="s">
        <v>5349</v>
      </c>
      <c r="C204" s="85" t="s">
        <v>15</v>
      </c>
      <c r="D204" s="91">
        <v>53360.26</v>
      </c>
      <c r="E204" s="85" t="s">
        <v>15</v>
      </c>
      <c r="F204" s="91">
        <v>53360.26</v>
      </c>
      <c r="G204" s="91">
        <v>3163238.9010080001</v>
      </c>
    </row>
    <row r="205" spans="1:7" s="84" customFormat="1" ht="19.7" customHeight="1" x14ac:dyDescent="0.2">
      <c r="A205" s="92">
        <v>43051</v>
      </c>
      <c r="B205" s="86" t="s">
        <v>5350</v>
      </c>
      <c r="C205" s="86" t="s">
        <v>7203</v>
      </c>
      <c r="D205" s="93">
        <v>24098682.940000001</v>
      </c>
      <c r="E205" s="86" t="s">
        <v>7203</v>
      </c>
      <c r="F205" s="93">
        <v>406517.50549900002</v>
      </c>
      <c r="G205" s="93">
        <v>24098682.940000001</v>
      </c>
    </row>
    <row r="206" spans="1:7" s="84" customFormat="1" ht="19.7" customHeight="1" x14ac:dyDescent="0.2">
      <c r="A206" s="90">
        <v>43051</v>
      </c>
      <c r="B206" s="85" t="s">
        <v>5351</v>
      </c>
      <c r="C206" s="85" t="s">
        <v>7749</v>
      </c>
      <c r="D206" s="91">
        <v>1.56</v>
      </c>
      <c r="E206" s="85" t="s">
        <v>7749</v>
      </c>
      <c r="F206" s="91">
        <v>1.8190379999999999</v>
      </c>
      <c r="G206" s="91">
        <v>107.834028</v>
      </c>
    </row>
    <row r="207" spans="1:7" s="84" customFormat="1" ht="19.7" customHeight="1" x14ac:dyDescent="0.2">
      <c r="A207" s="92">
        <v>43051</v>
      </c>
      <c r="B207" s="86" t="s">
        <v>5351</v>
      </c>
      <c r="C207" s="86" t="s">
        <v>15</v>
      </c>
      <c r="D207" s="93">
        <v>469522.7</v>
      </c>
      <c r="E207" s="86" t="s">
        <v>15</v>
      </c>
      <c r="F207" s="93">
        <v>469522.7</v>
      </c>
      <c r="G207" s="93">
        <v>27833681.274160001</v>
      </c>
    </row>
    <row r="208" spans="1:7" s="84" customFormat="1" ht="19.7" customHeight="1" x14ac:dyDescent="0.2">
      <c r="A208" s="90">
        <v>43051</v>
      </c>
      <c r="B208" s="85" t="s">
        <v>5372</v>
      </c>
      <c r="C208" s="85" t="s">
        <v>7420</v>
      </c>
      <c r="D208" s="91">
        <v>15393.53</v>
      </c>
      <c r="E208" s="85" t="s">
        <v>7420</v>
      </c>
      <c r="F208" s="91">
        <v>20349.484043</v>
      </c>
      <c r="G208" s="91">
        <v>1206333.6936560001</v>
      </c>
    </row>
    <row r="209" spans="1:7" s="84" customFormat="1" ht="19.7" customHeight="1" x14ac:dyDescent="0.2">
      <c r="A209" s="92">
        <v>43051</v>
      </c>
      <c r="B209" s="86" t="s">
        <v>5372</v>
      </c>
      <c r="C209" s="86" t="s">
        <v>7203</v>
      </c>
      <c r="D209" s="93">
        <v>9118196.4499999993</v>
      </c>
      <c r="E209" s="86" t="s">
        <v>7203</v>
      </c>
      <c r="F209" s="93">
        <v>153813.653831</v>
      </c>
      <c r="G209" s="93">
        <v>9118196.4499999993</v>
      </c>
    </row>
    <row r="210" spans="1:7" s="84" customFormat="1" ht="19.7" customHeight="1" x14ac:dyDescent="0.2">
      <c r="A210" s="90">
        <v>43051</v>
      </c>
      <c r="B210" s="85" t="s">
        <v>5372</v>
      </c>
      <c r="C210" s="85" t="s">
        <v>15</v>
      </c>
      <c r="D210" s="91">
        <v>2704642.39</v>
      </c>
      <c r="E210" s="85" t="s">
        <v>15</v>
      </c>
      <c r="F210" s="91">
        <v>2704642.39</v>
      </c>
      <c r="G210" s="91">
        <v>160333364.59311199</v>
      </c>
    </row>
    <row r="211" spans="1:7" s="84" customFormat="1" ht="19.7" customHeight="1" x14ac:dyDescent="0.2">
      <c r="A211" s="92">
        <v>43051</v>
      </c>
      <c r="B211" s="86" t="s">
        <v>5373</v>
      </c>
      <c r="C211" s="86" t="s">
        <v>7203</v>
      </c>
      <c r="D211" s="93">
        <v>138231.95000000001</v>
      </c>
      <c r="E211" s="86" t="s">
        <v>7203</v>
      </c>
      <c r="F211" s="93">
        <v>2331.8165410000001</v>
      </c>
      <c r="G211" s="93">
        <v>138231.95000000001</v>
      </c>
    </row>
    <row r="212" spans="1:7" s="84" customFormat="1" ht="19.7" customHeight="1" x14ac:dyDescent="0.2">
      <c r="A212" s="90">
        <v>43051</v>
      </c>
      <c r="B212" s="85" t="s">
        <v>5373</v>
      </c>
      <c r="C212" s="85" t="s">
        <v>15</v>
      </c>
      <c r="D212" s="91">
        <v>1554153.21</v>
      </c>
      <c r="E212" s="85" t="s">
        <v>15</v>
      </c>
      <c r="F212" s="91">
        <v>1554153.21</v>
      </c>
      <c r="G212" s="91">
        <v>92131445.611368001</v>
      </c>
    </row>
    <row r="213" spans="1:7" s="84" customFormat="1" ht="19.7" customHeight="1" x14ac:dyDescent="0.2">
      <c r="A213" s="92">
        <v>43051</v>
      </c>
      <c r="B213" s="86" t="s">
        <v>5422</v>
      </c>
      <c r="C213" s="86" t="s">
        <v>7203</v>
      </c>
      <c r="D213" s="93">
        <v>791461.79</v>
      </c>
      <c r="E213" s="86" t="s">
        <v>7203</v>
      </c>
      <c r="F213" s="93">
        <v>13351.064595</v>
      </c>
      <c r="G213" s="93">
        <v>791461.79</v>
      </c>
    </row>
    <row r="214" spans="1:7" s="84" customFormat="1" ht="19.7" customHeight="1" x14ac:dyDescent="0.2">
      <c r="A214" s="90">
        <v>43051</v>
      </c>
      <c r="B214" s="85" t="s">
        <v>5422</v>
      </c>
      <c r="C214" s="85" t="s">
        <v>15</v>
      </c>
      <c r="D214" s="91">
        <v>59340.01</v>
      </c>
      <c r="E214" s="85" t="s">
        <v>15</v>
      </c>
      <c r="F214" s="91">
        <v>59340.01</v>
      </c>
      <c r="G214" s="91">
        <v>3517723.2648080001</v>
      </c>
    </row>
    <row r="215" spans="1:7" s="84" customFormat="1" ht="19.7" customHeight="1" x14ac:dyDescent="0.2">
      <c r="A215" s="92">
        <v>43051</v>
      </c>
      <c r="B215" s="86" t="s">
        <v>5446</v>
      </c>
      <c r="C215" s="86" t="s">
        <v>7203</v>
      </c>
      <c r="D215" s="94">
        <v>-391093.21</v>
      </c>
      <c r="E215" s="86" t="s">
        <v>7203</v>
      </c>
      <c r="F215" s="94">
        <v>-6597.2997999999998</v>
      </c>
      <c r="G215" s="94">
        <v>-391093.21</v>
      </c>
    </row>
    <row r="216" spans="1:7" s="84" customFormat="1" ht="19.7" customHeight="1" x14ac:dyDescent="0.2">
      <c r="A216" s="90">
        <v>43051</v>
      </c>
      <c r="B216" s="85" t="s">
        <v>5446</v>
      </c>
      <c r="C216" s="85" t="s">
        <v>15</v>
      </c>
      <c r="D216" s="91">
        <v>78460</v>
      </c>
      <c r="E216" s="85" t="s">
        <v>15</v>
      </c>
      <c r="F216" s="91">
        <v>78460</v>
      </c>
      <c r="G216" s="91">
        <v>4651171.568</v>
      </c>
    </row>
    <row r="217" spans="1:7" s="84" customFormat="1" ht="19.7" customHeight="1" x14ac:dyDescent="0.2">
      <c r="A217" s="92">
        <v>43051</v>
      </c>
      <c r="B217" s="86" t="s">
        <v>5449</v>
      </c>
      <c r="C217" s="86" t="s">
        <v>7203</v>
      </c>
      <c r="D217" s="94">
        <v>-11999.38</v>
      </c>
      <c r="E217" s="86" t="s">
        <v>7203</v>
      </c>
      <c r="F217" s="94">
        <v>-202.41595899999999</v>
      </c>
      <c r="G217" s="94">
        <v>-11999.38</v>
      </c>
    </row>
    <row r="218" spans="1:7" s="84" customFormat="1" ht="19.7" customHeight="1" x14ac:dyDescent="0.2">
      <c r="A218" s="90">
        <v>43051</v>
      </c>
      <c r="B218" s="85" t="s">
        <v>5462</v>
      </c>
      <c r="C218" s="85" t="s">
        <v>7749</v>
      </c>
      <c r="D218" s="91">
        <v>88294.94</v>
      </c>
      <c r="E218" s="85" t="s">
        <v>7749</v>
      </c>
      <c r="F218" s="91">
        <v>102956.33375200001</v>
      </c>
      <c r="G218" s="91">
        <v>6103333.8298859997</v>
      </c>
    </row>
    <row r="219" spans="1:7" s="84" customFormat="1" ht="19.7" customHeight="1" x14ac:dyDescent="0.2">
      <c r="A219" s="92">
        <v>43051</v>
      </c>
      <c r="B219" s="86" t="s">
        <v>5462</v>
      </c>
      <c r="C219" s="86" t="s">
        <v>7203</v>
      </c>
      <c r="D219" s="94">
        <v>-219728.9</v>
      </c>
      <c r="E219" s="86" t="s">
        <v>7203</v>
      </c>
      <c r="F219" s="94">
        <v>-3706.577847</v>
      </c>
      <c r="G219" s="94">
        <v>-219728.9</v>
      </c>
    </row>
    <row r="220" spans="1:7" s="84" customFormat="1" ht="19.7" customHeight="1" x14ac:dyDescent="0.2">
      <c r="A220" s="90">
        <v>43051</v>
      </c>
      <c r="B220" s="85" t="s">
        <v>5462</v>
      </c>
      <c r="C220" s="85" t="s">
        <v>15</v>
      </c>
      <c r="D220" s="91">
        <v>28146.16</v>
      </c>
      <c r="E220" s="85" t="s">
        <v>15</v>
      </c>
      <c r="F220" s="91">
        <v>28146.16</v>
      </c>
      <c r="G220" s="91">
        <v>1668526.881728</v>
      </c>
    </row>
    <row r="221" spans="1:7" s="84" customFormat="1" ht="19.7" customHeight="1" x14ac:dyDescent="0.2">
      <c r="A221" s="92">
        <v>43051</v>
      </c>
      <c r="B221" s="86" t="s">
        <v>5464</v>
      </c>
      <c r="C221" s="86" t="s">
        <v>7420</v>
      </c>
      <c r="D221" s="93">
        <v>1313.97</v>
      </c>
      <c r="E221" s="86" t="s">
        <v>7420</v>
      </c>
      <c r="F221" s="93">
        <v>1737.003244</v>
      </c>
      <c r="G221" s="93">
        <v>102970.941907</v>
      </c>
    </row>
    <row r="222" spans="1:7" s="84" customFormat="1" ht="19.7" customHeight="1" x14ac:dyDescent="0.2">
      <c r="A222" s="90">
        <v>43051</v>
      </c>
      <c r="B222" s="85" t="s">
        <v>5464</v>
      </c>
      <c r="C222" s="85" t="s">
        <v>7203</v>
      </c>
      <c r="D222" s="91">
        <v>45082342.159999996</v>
      </c>
      <c r="E222" s="85" t="s">
        <v>7203</v>
      </c>
      <c r="F222" s="91">
        <v>760488.08652999997</v>
      </c>
      <c r="G222" s="91">
        <v>45082342.159999996</v>
      </c>
    </row>
    <row r="223" spans="1:7" s="84" customFormat="1" ht="19.7" customHeight="1" x14ac:dyDescent="0.2">
      <c r="A223" s="92">
        <v>43051</v>
      </c>
      <c r="B223" s="86" t="s">
        <v>5464</v>
      </c>
      <c r="C223" s="86" t="s">
        <v>15</v>
      </c>
      <c r="D223" s="93">
        <v>606.20000000000005</v>
      </c>
      <c r="E223" s="86" t="s">
        <v>15</v>
      </c>
      <c r="F223" s="93">
        <v>606.20000000000005</v>
      </c>
      <c r="G223" s="93">
        <v>35936.020960000002</v>
      </c>
    </row>
    <row r="224" spans="1:7" s="84" customFormat="1" ht="19.7" customHeight="1" x14ac:dyDescent="0.2">
      <c r="A224" s="90">
        <v>43051</v>
      </c>
      <c r="B224" s="85" t="s">
        <v>5465</v>
      </c>
      <c r="C224" s="85" t="s">
        <v>7203</v>
      </c>
      <c r="D224" s="91">
        <v>264081.91999999998</v>
      </c>
      <c r="E224" s="85" t="s">
        <v>7203</v>
      </c>
      <c r="F224" s="91">
        <v>4454.7630939999999</v>
      </c>
      <c r="G224" s="91">
        <v>264081.91999999998</v>
      </c>
    </row>
    <row r="225" spans="1:7" s="84" customFormat="1" ht="19.7" customHeight="1" x14ac:dyDescent="0.2">
      <c r="A225" s="92">
        <v>43051</v>
      </c>
      <c r="B225" s="86" t="s">
        <v>5466</v>
      </c>
      <c r="C225" s="86" t="s">
        <v>7203</v>
      </c>
      <c r="D225" s="93">
        <v>4855995.5199999996</v>
      </c>
      <c r="E225" s="86" t="s">
        <v>7203</v>
      </c>
      <c r="F225" s="93">
        <v>81915.148243999996</v>
      </c>
      <c r="G225" s="93">
        <v>4855995.5199999996</v>
      </c>
    </row>
    <row r="226" spans="1:7" s="84" customFormat="1" ht="19.7" customHeight="1" x14ac:dyDescent="0.2">
      <c r="A226" s="90">
        <v>43051</v>
      </c>
      <c r="B226" s="85" t="s">
        <v>5466</v>
      </c>
      <c r="C226" s="85" t="s">
        <v>15</v>
      </c>
      <c r="D226" s="91">
        <v>7406.82</v>
      </c>
      <c r="E226" s="85" t="s">
        <v>15</v>
      </c>
      <c r="F226" s="91">
        <v>7406.82</v>
      </c>
      <c r="G226" s="91">
        <v>439082.21505599999</v>
      </c>
    </row>
    <row r="227" spans="1:7" s="84" customFormat="1" ht="19.7" customHeight="1" x14ac:dyDescent="0.2">
      <c r="A227" s="92">
        <v>43051</v>
      </c>
      <c r="B227" s="86" t="s">
        <v>5468</v>
      </c>
      <c r="C227" s="86" t="s">
        <v>7749</v>
      </c>
      <c r="D227" s="94">
        <v>-2039048.39</v>
      </c>
      <c r="E227" s="86" t="s">
        <v>7749</v>
      </c>
      <c r="F227" s="94">
        <v>-2377632.8131200001</v>
      </c>
      <c r="G227" s="94">
        <v>-140947975.268004</v>
      </c>
    </row>
    <row r="228" spans="1:7" s="84" customFormat="1" ht="19.7" customHeight="1" x14ac:dyDescent="0.2">
      <c r="A228" s="90">
        <v>43051</v>
      </c>
      <c r="B228" s="85" t="s">
        <v>5468</v>
      </c>
      <c r="C228" s="85" t="s">
        <v>7203</v>
      </c>
      <c r="D228" s="95">
        <v>-20009.37</v>
      </c>
      <c r="E228" s="85" t="s">
        <v>7203</v>
      </c>
      <c r="F228" s="95">
        <v>-337.53542499999998</v>
      </c>
      <c r="G228" s="95">
        <v>-20009.37</v>
      </c>
    </row>
    <row r="229" spans="1:7" s="84" customFormat="1" ht="19.7" customHeight="1" x14ac:dyDescent="0.2">
      <c r="A229" s="92">
        <v>43051</v>
      </c>
      <c r="B229" s="86" t="s">
        <v>5468</v>
      </c>
      <c r="C229" s="86" t="s">
        <v>15</v>
      </c>
      <c r="D229" s="93">
        <v>1793.93</v>
      </c>
      <c r="E229" s="86" t="s">
        <v>15</v>
      </c>
      <c r="F229" s="93">
        <v>1793.93</v>
      </c>
      <c r="G229" s="93">
        <v>106345.60554400001</v>
      </c>
    </row>
    <row r="230" spans="1:7" s="84" customFormat="1" ht="19.7" customHeight="1" x14ac:dyDescent="0.2">
      <c r="A230" s="90">
        <v>43051</v>
      </c>
      <c r="B230" s="85" t="s">
        <v>5469</v>
      </c>
      <c r="C230" s="85" t="s">
        <v>7203</v>
      </c>
      <c r="D230" s="91">
        <v>17488498.120000001</v>
      </c>
      <c r="E230" s="85" t="s">
        <v>7203</v>
      </c>
      <c r="F230" s="91">
        <v>295011.16921399999</v>
      </c>
      <c r="G230" s="91">
        <v>17488498.120000001</v>
      </c>
    </row>
    <row r="231" spans="1:7" s="84" customFormat="1" ht="19.7" customHeight="1" x14ac:dyDescent="0.2">
      <c r="A231" s="92">
        <v>43051</v>
      </c>
      <c r="B231" s="86" t="s">
        <v>5469</v>
      </c>
      <c r="C231" s="86" t="s">
        <v>15</v>
      </c>
      <c r="D231" s="93">
        <v>21096.25</v>
      </c>
      <c r="E231" s="86" t="s">
        <v>15</v>
      </c>
      <c r="F231" s="93">
        <v>21096.25</v>
      </c>
      <c r="G231" s="93">
        <v>1250602.577</v>
      </c>
    </row>
    <row r="232" spans="1:7" s="84" customFormat="1" ht="19.7" customHeight="1" x14ac:dyDescent="0.2">
      <c r="A232" s="90">
        <v>43051</v>
      </c>
      <c r="B232" s="85" t="s">
        <v>5470</v>
      </c>
      <c r="C232" s="85" t="s">
        <v>7749</v>
      </c>
      <c r="D232" s="91">
        <v>257.58999999999997</v>
      </c>
      <c r="E232" s="85" t="s">
        <v>7749</v>
      </c>
      <c r="F232" s="91">
        <v>300.36287499999997</v>
      </c>
      <c r="G232" s="91">
        <v>17805.751520000002</v>
      </c>
    </row>
    <row r="233" spans="1:7" s="84" customFormat="1" ht="19.7" customHeight="1" x14ac:dyDescent="0.2">
      <c r="A233" s="92">
        <v>43051</v>
      </c>
      <c r="B233" s="86" t="s">
        <v>5470</v>
      </c>
      <c r="C233" s="86" t="s">
        <v>7203</v>
      </c>
      <c r="D233" s="94">
        <v>-27411.66</v>
      </c>
      <c r="E233" s="86" t="s">
        <v>7203</v>
      </c>
      <c r="F233" s="94">
        <v>-462.40367900000001</v>
      </c>
      <c r="G233" s="94">
        <v>-27411.66</v>
      </c>
    </row>
    <row r="234" spans="1:7" s="84" customFormat="1" ht="19.7" customHeight="1" x14ac:dyDescent="0.2">
      <c r="A234" s="90">
        <v>43051</v>
      </c>
      <c r="B234" s="85" t="s">
        <v>5471</v>
      </c>
      <c r="C234" s="85" t="s">
        <v>7749</v>
      </c>
      <c r="D234" s="91">
        <v>63824.28</v>
      </c>
      <c r="E234" s="85" t="s">
        <v>7749</v>
      </c>
      <c r="F234" s="91">
        <v>74422.315401999993</v>
      </c>
      <c r="G234" s="91">
        <v>4411814.3948830003</v>
      </c>
    </row>
    <row r="235" spans="1:7" s="84" customFormat="1" ht="19.7" customHeight="1" x14ac:dyDescent="0.2">
      <c r="A235" s="92">
        <v>43051</v>
      </c>
      <c r="B235" s="86" t="s">
        <v>5471</v>
      </c>
      <c r="C235" s="86" t="s">
        <v>7203</v>
      </c>
      <c r="D235" s="94">
        <v>-1099034.68</v>
      </c>
      <c r="E235" s="86" t="s">
        <v>7203</v>
      </c>
      <c r="F235" s="94">
        <v>-18539.471127000001</v>
      </c>
      <c r="G235" s="94">
        <v>-1099034.68</v>
      </c>
    </row>
    <row r="236" spans="1:7" s="84" customFormat="1" ht="19.7" customHeight="1" x14ac:dyDescent="0.2">
      <c r="A236" s="90">
        <v>43051</v>
      </c>
      <c r="B236" s="85" t="s">
        <v>5471</v>
      </c>
      <c r="C236" s="85" t="s">
        <v>15</v>
      </c>
      <c r="D236" s="91">
        <v>95076.15</v>
      </c>
      <c r="E236" s="85" t="s">
        <v>15</v>
      </c>
      <c r="F236" s="91">
        <v>95076.15</v>
      </c>
      <c r="G236" s="91">
        <v>5636190.2329200003</v>
      </c>
    </row>
    <row r="237" spans="1:7" s="84" customFormat="1" ht="19.7" customHeight="1" x14ac:dyDescent="0.2">
      <c r="A237" s="92">
        <v>43051</v>
      </c>
      <c r="B237" s="86" t="s">
        <v>5478</v>
      </c>
      <c r="C237" s="86" t="s">
        <v>7203</v>
      </c>
      <c r="D237" s="93">
        <v>133639.54</v>
      </c>
      <c r="E237" s="86" t="s">
        <v>7203</v>
      </c>
      <c r="F237" s="93">
        <v>2254.3477819999998</v>
      </c>
      <c r="G237" s="93">
        <v>133639.54</v>
      </c>
    </row>
    <row r="238" spans="1:7" s="84" customFormat="1" ht="19.7" customHeight="1" x14ac:dyDescent="0.2">
      <c r="A238" s="90">
        <v>43051</v>
      </c>
      <c r="B238" s="85" t="s">
        <v>5480</v>
      </c>
      <c r="C238" s="85" t="s">
        <v>7203</v>
      </c>
      <c r="D238" s="91">
        <v>279730.53000000003</v>
      </c>
      <c r="E238" s="85" t="s">
        <v>7203</v>
      </c>
      <c r="F238" s="91">
        <v>4718.7374330000002</v>
      </c>
      <c r="G238" s="91">
        <v>279730.53000000003</v>
      </c>
    </row>
    <row r="239" spans="1:7" s="84" customFormat="1" ht="19.7" customHeight="1" x14ac:dyDescent="0.2">
      <c r="A239" s="92">
        <v>43051</v>
      </c>
      <c r="B239" s="86" t="s">
        <v>5480</v>
      </c>
      <c r="C239" s="86" t="s">
        <v>15</v>
      </c>
      <c r="D239" s="93">
        <v>2216.09</v>
      </c>
      <c r="E239" s="86" t="s">
        <v>15</v>
      </c>
      <c r="F239" s="93">
        <v>2216.09</v>
      </c>
      <c r="G239" s="93">
        <v>131371.58807200001</v>
      </c>
    </row>
    <row r="240" spans="1:7" s="84" customFormat="1" ht="19.7" customHeight="1" x14ac:dyDescent="0.2">
      <c r="A240" s="90">
        <v>43051</v>
      </c>
      <c r="B240" s="85" t="s">
        <v>5483</v>
      </c>
      <c r="C240" s="85" t="s">
        <v>7749</v>
      </c>
      <c r="D240" s="91">
        <v>124166.54</v>
      </c>
      <c r="E240" s="85" t="s">
        <v>7749</v>
      </c>
      <c r="F240" s="91">
        <v>144784.420636</v>
      </c>
      <c r="G240" s="91">
        <v>8582936.2828390002</v>
      </c>
    </row>
    <row r="241" spans="1:7" s="84" customFormat="1" ht="19.7" customHeight="1" x14ac:dyDescent="0.2">
      <c r="A241" s="92">
        <v>43051</v>
      </c>
      <c r="B241" s="86" t="s">
        <v>5483</v>
      </c>
      <c r="C241" s="86" t="s">
        <v>7203</v>
      </c>
      <c r="D241" s="93">
        <v>0.73</v>
      </c>
      <c r="E241" s="86" t="s">
        <v>7203</v>
      </c>
      <c r="F241" s="93">
        <v>1.2314E-2</v>
      </c>
      <c r="G241" s="93">
        <v>0.73</v>
      </c>
    </row>
    <row r="242" spans="1:7" s="84" customFormat="1" ht="19.7" customHeight="1" x14ac:dyDescent="0.2">
      <c r="A242" s="90">
        <v>43051</v>
      </c>
      <c r="B242" s="85" t="s">
        <v>5483</v>
      </c>
      <c r="C242" s="85" t="s">
        <v>15</v>
      </c>
      <c r="D242" s="91">
        <v>126065.28</v>
      </c>
      <c r="E242" s="85" t="s">
        <v>15</v>
      </c>
      <c r="F242" s="91">
        <v>126065.28</v>
      </c>
      <c r="G242" s="91">
        <v>7473250.6506239995</v>
      </c>
    </row>
    <row r="243" spans="1:7" s="84" customFormat="1" ht="19.7" customHeight="1" x14ac:dyDescent="0.2">
      <c r="A243" s="92">
        <v>43051</v>
      </c>
      <c r="B243" s="86" t="s">
        <v>5488</v>
      </c>
      <c r="C243" s="86" t="s">
        <v>7420</v>
      </c>
      <c r="D243" s="93">
        <v>6127.67</v>
      </c>
      <c r="E243" s="86" t="s">
        <v>7420</v>
      </c>
      <c r="F243" s="93">
        <v>8100.4761669999998</v>
      </c>
      <c r="G243" s="93">
        <v>480202.70756100002</v>
      </c>
    </row>
    <row r="244" spans="1:7" s="84" customFormat="1" ht="19.7" customHeight="1" x14ac:dyDescent="0.2">
      <c r="A244" s="90">
        <v>43051</v>
      </c>
      <c r="B244" s="85" t="s">
        <v>5488</v>
      </c>
      <c r="C244" s="85" t="s">
        <v>7203</v>
      </c>
      <c r="D244" s="95">
        <v>-1026624.52</v>
      </c>
      <c r="E244" s="85" t="s">
        <v>7203</v>
      </c>
      <c r="F244" s="95">
        <v>-17317.993684000001</v>
      </c>
      <c r="G244" s="95">
        <v>-1026624.52</v>
      </c>
    </row>
    <row r="245" spans="1:7" s="84" customFormat="1" ht="19.7" customHeight="1" x14ac:dyDescent="0.2">
      <c r="A245" s="92">
        <v>43051</v>
      </c>
      <c r="B245" s="86" t="s">
        <v>5488</v>
      </c>
      <c r="C245" s="86" t="s">
        <v>15</v>
      </c>
      <c r="D245" s="93">
        <v>555604.23</v>
      </c>
      <c r="E245" s="86" t="s">
        <v>15</v>
      </c>
      <c r="F245" s="93">
        <v>555604.23</v>
      </c>
      <c r="G245" s="93">
        <v>32936663.237783998</v>
      </c>
    </row>
    <row r="246" spans="1:7" s="84" customFormat="1" ht="19.7" customHeight="1" x14ac:dyDescent="0.2">
      <c r="A246" s="90">
        <v>43051</v>
      </c>
      <c r="B246" s="85" t="s">
        <v>5491</v>
      </c>
      <c r="C246" s="85" t="s">
        <v>7749</v>
      </c>
      <c r="D246" s="91">
        <v>55515.27</v>
      </c>
      <c r="E246" s="85" t="s">
        <v>7749</v>
      </c>
      <c r="F246" s="91">
        <v>64733.592507000001</v>
      </c>
      <c r="G246" s="91">
        <v>3837459.1506889998</v>
      </c>
    </row>
    <row r="247" spans="1:7" s="84" customFormat="1" ht="19.7" customHeight="1" x14ac:dyDescent="0.2">
      <c r="A247" s="92">
        <v>43051</v>
      </c>
      <c r="B247" s="86" t="s">
        <v>5491</v>
      </c>
      <c r="C247" s="86" t="s">
        <v>7203</v>
      </c>
      <c r="D247" s="94">
        <v>-203431.38</v>
      </c>
      <c r="E247" s="86" t="s">
        <v>7203</v>
      </c>
      <c r="F247" s="94">
        <v>-3431.6571300000001</v>
      </c>
      <c r="G247" s="94">
        <v>-203431.38</v>
      </c>
    </row>
    <row r="248" spans="1:7" s="84" customFormat="1" ht="19.7" customHeight="1" x14ac:dyDescent="0.2">
      <c r="A248" s="90">
        <v>43051</v>
      </c>
      <c r="B248" s="85" t="s">
        <v>5491</v>
      </c>
      <c r="C248" s="85" t="s">
        <v>15</v>
      </c>
      <c r="D248" s="91">
        <v>286030.32</v>
      </c>
      <c r="E248" s="85" t="s">
        <v>15</v>
      </c>
      <c r="F248" s="91">
        <v>286030.32</v>
      </c>
      <c r="G248" s="91">
        <v>16956106.193856001</v>
      </c>
    </row>
    <row r="249" spans="1:7" s="84" customFormat="1" ht="19.7" customHeight="1" x14ac:dyDescent="0.2">
      <c r="A249" s="92">
        <v>43051</v>
      </c>
      <c r="B249" s="86" t="s">
        <v>5492</v>
      </c>
      <c r="C249" s="86" t="s">
        <v>7203</v>
      </c>
      <c r="D249" s="93">
        <v>1621402.31</v>
      </c>
      <c r="E249" s="86" t="s">
        <v>7203</v>
      </c>
      <c r="F249" s="93">
        <v>27351.221812</v>
      </c>
      <c r="G249" s="93">
        <v>1621402.31</v>
      </c>
    </row>
    <row r="250" spans="1:7" s="84" customFormat="1" ht="19.7" customHeight="1" x14ac:dyDescent="0.2">
      <c r="A250" s="90">
        <v>43051</v>
      </c>
      <c r="B250" s="85" t="s">
        <v>5492</v>
      </c>
      <c r="C250" s="85" t="s">
        <v>15</v>
      </c>
      <c r="D250" s="91">
        <v>616</v>
      </c>
      <c r="E250" s="85" t="s">
        <v>15</v>
      </c>
      <c r="F250" s="91">
        <v>616</v>
      </c>
      <c r="G250" s="91">
        <v>36516.972800000003</v>
      </c>
    </row>
    <row r="251" spans="1:7" s="84" customFormat="1" ht="19.7" customHeight="1" x14ac:dyDescent="0.2">
      <c r="A251" s="92">
        <v>43051</v>
      </c>
      <c r="B251" s="86" t="s">
        <v>5497</v>
      </c>
      <c r="C251" s="86" t="s">
        <v>7203</v>
      </c>
      <c r="D251" s="94">
        <v>-274511.28000000003</v>
      </c>
      <c r="E251" s="86" t="s">
        <v>7203</v>
      </c>
      <c r="F251" s="94">
        <v>-4630.6945919999998</v>
      </c>
      <c r="G251" s="94">
        <v>-274511.28000000003</v>
      </c>
    </row>
    <row r="252" spans="1:7" s="84" customFormat="1" ht="19.7" customHeight="1" x14ac:dyDescent="0.2">
      <c r="A252" s="90">
        <v>43051</v>
      </c>
      <c r="B252" s="85" t="s">
        <v>5497</v>
      </c>
      <c r="C252" s="85" t="s">
        <v>15</v>
      </c>
      <c r="D252" s="91">
        <v>418.75</v>
      </c>
      <c r="E252" s="85" t="s">
        <v>15</v>
      </c>
      <c r="F252" s="91">
        <v>418.75</v>
      </c>
      <c r="G252" s="91">
        <v>24823.834999999999</v>
      </c>
    </row>
    <row r="253" spans="1:7" s="84" customFormat="1" ht="19.7" customHeight="1" x14ac:dyDescent="0.2">
      <c r="A253" s="92">
        <v>43051</v>
      </c>
      <c r="B253" s="86" t="s">
        <v>5498</v>
      </c>
      <c r="C253" s="86" t="s">
        <v>7420</v>
      </c>
      <c r="D253" s="93">
        <v>1384.44</v>
      </c>
      <c r="E253" s="86" t="s">
        <v>7420</v>
      </c>
      <c r="F253" s="93">
        <v>1830.1610929999999</v>
      </c>
      <c r="G253" s="93">
        <v>108493.413722</v>
      </c>
    </row>
    <row r="254" spans="1:7" s="84" customFormat="1" ht="19.7" customHeight="1" x14ac:dyDescent="0.2">
      <c r="A254" s="90">
        <v>43051</v>
      </c>
      <c r="B254" s="85" t="s">
        <v>5498</v>
      </c>
      <c r="C254" s="85" t="s">
        <v>7203</v>
      </c>
      <c r="D254" s="95">
        <v>-90485.58</v>
      </c>
      <c r="E254" s="85" t="s">
        <v>7203</v>
      </c>
      <c r="F254" s="95">
        <v>-1526.38932</v>
      </c>
      <c r="G254" s="95">
        <v>-90485.58</v>
      </c>
    </row>
    <row r="255" spans="1:7" s="84" customFormat="1" ht="19.7" customHeight="1" x14ac:dyDescent="0.2">
      <c r="A255" s="92">
        <v>43051</v>
      </c>
      <c r="B255" s="86" t="s">
        <v>5498</v>
      </c>
      <c r="C255" s="86" t="s">
        <v>15</v>
      </c>
      <c r="D255" s="93">
        <v>1802.34</v>
      </c>
      <c r="E255" s="86" t="s">
        <v>15</v>
      </c>
      <c r="F255" s="93">
        <v>1802.34</v>
      </c>
      <c r="G255" s="93">
        <v>106844.157072</v>
      </c>
    </row>
    <row r="256" spans="1:7" s="84" customFormat="1" ht="19.7" customHeight="1" x14ac:dyDescent="0.2">
      <c r="A256" s="90">
        <v>43051</v>
      </c>
      <c r="B256" s="85" t="s">
        <v>5499</v>
      </c>
      <c r="C256" s="85" t="s">
        <v>7749</v>
      </c>
      <c r="D256" s="91">
        <v>972.56</v>
      </c>
      <c r="E256" s="85" t="s">
        <v>7749</v>
      </c>
      <c r="F256" s="91">
        <v>1134.053797</v>
      </c>
      <c r="G256" s="91">
        <v>67227.616328999997</v>
      </c>
    </row>
    <row r="257" spans="1:7" s="84" customFormat="1" ht="19.7" customHeight="1" x14ac:dyDescent="0.2">
      <c r="A257" s="92">
        <v>43051</v>
      </c>
      <c r="B257" s="86" t="s">
        <v>5499</v>
      </c>
      <c r="C257" s="86" t="s">
        <v>7203</v>
      </c>
      <c r="D257" s="93">
        <v>2324671.7999999998</v>
      </c>
      <c r="E257" s="86" t="s">
        <v>7203</v>
      </c>
      <c r="F257" s="93">
        <v>39214.582124</v>
      </c>
      <c r="G257" s="93">
        <v>2324671.7999999998</v>
      </c>
    </row>
    <row r="258" spans="1:7" s="84" customFormat="1" ht="19.7" customHeight="1" x14ac:dyDescent="0.2">
      <c r="A258" s="90">
        <v>43051</v>
      </c>
      <c r="B258" s="85" t="s">
        <v>5499</v>
      </c>
      <c r="C258" s="85" t="s">
        <v>15</v>
      </c>
      <c r="D258" s="91">
        <v>8.6</v>
      </c>
      <c r="E258" s="85" t="s">
        <v>15</v>
      </c>
      <c r="F258" s="91">
        <v>8.6</v>
      </c>
      <c r="G258" s="91">
        <v>509.81488000000002</v>
      </c>
    </row>
    <row r="259" spans="1:7" s="84" customFormat="1" ht="19.7" customHeight="1" x14ac:dyDescent="0.2">
      <c r="A259" s="92">
        <v>43051</v>
      </c>
      <c r="B259" s="86" t="s">
        <v>5500</v>
      </c>
      <c r="C259" s="86" t="s">
        <v>7203</v>
      </c>
      <c r="D259" s="94">
        <v>-12999.03</v>
      </c>
      <c r="E259" s="86" t="s">
        <v>7203</v>
      </c>
      <c r="F259" s="94">
        <v>-219.27892299999999</v>
      </c>
      <c r="G259" s="94">
        <v>-12999.03</v>
      </c>
    </row>
    <row r="260" spans="1:7" s="84" customFormat="1" ht="19.7" customHeight="1" x14ac:dyDescent="0.2">
      <c r="A260" s="90">
        <v>43051</v>
      </c>
      <c r="B260" s="85" t="s">
        <v>5500</v>
      </c>
      <c r="C260" s="85" t="s">
        <v>15</v>
      </c>
      <c r="D260" s="91">
        <v>23969.82</v>
      </c>
      <c r="E260" s="85" t="s">
        <v>15</v>
      </c>
      <c r="F260" s="91">
        <v>23969.82</v>
      </c>
      <c r="G260" s="91">
        <v>1420950.105456</v>
      </c>
    </row>
    <row r="261" spans="1:7" s="84" customFormat="1" ht="19.7" customHeight="1" x14ac:dyDescent="0.2">
      <c r="A261" s="92">
        <v>43051</v>
      </c>
      <c r="B261" s="86" t="s">
        <v>5501</v>
      </c>
      <c r="C261" s="86" t="s">
        <v>7203</v>
      </c>
      <c r="D261" s="94">
        <v>-592779.38</v>
      </c>
      <c r="E261" s="86" t="s">
        <v>7203</v>
      </c>
      <c r="F261" s="94">
        <v>-9999.5172120000007</v>
      </c>
      <c r="G261" s="94">
        <v>-592779.38</v>
      </c>
    </row>
    <row r="262" spans="1:7" s="84" customFormat="1" ht="19.7" customHeight="1" x14ac:dyDescent="0.2">
      <c r="A262" s="90">
        <v>43051</v>
      </c>
      <c r="B262" s="85" t="s">
        <v>5502</v>
      </c>
      <c r="C262" s="85" t="s">
        <v>7203</v>
      </c>
      <c r="D262" s="91">
        <v>1329789.78</v>
      </c>
      <c r="E262" s="85" t="s">
        <v>7203</v>
      </c>
      <c r="F262" s="91">
        <v>22432.048488</v>
      </c>
      <c r="G262" s="91">
        <v>1329789.78</v>
      </c>
    </row>
    <row r="263" spans="1:7" s="84" customFormat="1" ht="19.7" customHeight="1" x14ac:dyDescent="0.2">
      <c r="A263" s="92">
        <v>43051</v>
      </c>
      <c r="B263" s="86" t="s">
        <v>5504</v>
      </c>
      <c r="C263" s="86" t="s">
        <v>7203</v>
      </c>
      <c r="D263" s="93">
        <v>910556.69</v>
      </c>
      <c r="E263" s="86" t="s">
        <v>7203</v>
      </c>
      <c r="F263" s="93">
        <v>15360.060761999999</v>
      </c>
      <c r="G263" s="93">
        <v>910556.69</v>
      </c>
    </row>
    <row r="264" spans="1:7" s="84" customFormat="1" ht="19.7" customHeight="1" x14ac:dyDescent="0.2">
      <c r="A264" s="90">
        <v>43051</v>
      </c>
      <c r="B264" s="85" t="s">
        <v>5511</v>
      </c>
      <c r="C264" s="85" t="s">
        <v>7203</v>
      </c>
      <c r="D264" s="91">
        <v>3791068.84</v>
      </c>
      <c r="E264" s="85" t="s">
        <v>7203</v>
      </c>
      <c r="F264" s="91">
        <v>63951.040472000001</v>
      </c>
      <c r="G264" s="91">
        <v>3791068.84</v>
      </c>
    </row>
    <row r="265" spans="1:7" s="84" customFormat="1" ht="19.7" customHeight="1" x14ac:dyDescent="0.2">
      <c r="A265" s="92">
        <v>43051</v>
      </c>
      <c r="B265" s="86" t="s">
        <v>5513</v>
      </c>
      <c r="C265" s="86" t="s">
        <v>7749</v>
      </c>
      <c r="D265" s="93">
        <v>9106.75</v>
      </c>
      <c r="E265" s="86" t="s">
        <v>7749</v>
      </c>
      <c r="F265" s="93">
        <v>10618.927793999999</v>
      </c>
      <c r="G265" s="93">
        <v>629498.53477100004</v>
      </c>
    </row>
    <row r="266" spans="1:7" s="84" customFormat="1" ht="19.7" customHeight="1" x14ac:dyDescent="0.2">
      <c r="A266" s="90">
        <v>43051</v>
      </c>
      <c r="B266" s="85" t="s">
        <v>5513</v>
      </c>
      <c r="C266" s="85" t="s">
        <v>7420</v>
      </c>
      <c r="D266" s="91">
        <v>4619.79</v>
      </c>
      <c r="E266" s="85" t="s">
        <v>7420</v>
      </c>
      <c r="F266" s="91">
        <v>6107.1335090000002</v>
      </c>
      <c r="G266" s="91">
        <v>362035.76011999999</v>
      </c>
    </row>
    <row r="267" spans="1:7" s="84" customFormat="1" ht="19.7" customHeight="1" x14ac:dyDescent="0.2">
      <c r="A267" s="92">
        <v>43051</v>
      </c>
      <c r="B267" s="86" t="s">
        <v>5513</v>
      </c>
      <c r="C267" s="86" t="s">
        <v>7203</v>
      </c>
      <c r="D267" s="93">
        <v>2992308.49</v>
      </c>
      <c r="E267" s="86" t="s">
        <v>7203</v>
      </c>
      <c r="F267" s="93">
        <v>50476.857430999997</v>
      </c>
      <c r="G267" s="93">
        <v>2992308.49</v>
      </c>
    </row>
    <row r="268" spans="1:7" s="84" customFormat="1" ht="19.7" customHeight="1" x14ac:dyDescent="0.2">
      <c r="A268" s="90">
        <v>43051</v>
      </c>
      <c r="B268" s="85" t="s">
        <v>5513</v>
      </c>
      <c r="C268" s="85" t="s">
        <v>15</v>
      </c>
      <c r="D268" s="91">
        <v>320133.11</v>
      </c>
      <c r="E268" s="85" t="s">
        <v>15</v>
      </c>
      <c r="F268" s="91">
        <v>320133.11</v>
      </c>
      <c r="G268" s="91">
        <v>18977746.867288001</v>
      </c>
    </row>
    <row r="269" spans="1:7" s="84" customFormat="1" ht="19.7" customHeight="1" x14ac:dyDescent="0.2">
      <c r="A269" s="92">
        <v>43051</v>
      </c>
      <c r="B269" s="86" t="s">
        <v>5514</v>
      </c>
      <c r="C269" s="86" t="s">
        <v>7203</v>
      </c>
      <c r="D269" s="94">
        <v>-865919.37</v>
      </c>
      <c r="E269" s="86" t="s">
        <v>7203</v>
      </c>
      <c r="F269" s="94">
        <v>-14607.079696000001</v>
      </c>
      <c r="G269" s="94">
        <v>-865919.37</v>
      </c>
    </row>
    <row r="270" spans="1:7" s="84" customFormat="1" ht="19.7" customHeight="1" x14ac:dyDescent="0.2">
      <c r="A270" s="90">
        <v>43051</v>
      </c>
      <c r="B270" s="85" t="s">
        <v>5514</v>
      </c>
      <c r="C270" s="85" t="s">
        <v>15</v>
      </c>
      <c r="D270" s="91">
        <v>125719.28</v>
      </c>
      <c r="E270" s="85" t="s">
        <v>15</v>
      </c>
      <c r="F270" s="91">
        <v>125719.28</v>
      </c>
      <c r="G270" s="91">
        <v>7452739.4938239995</v>
      </c>
    </row>
    <row r="271" spans="1:7" s="84" customFormat="1" ht="19.7" customHeight="1" x14ac:dyDescent="0.2">
      <c r="A271" s="92">
        <v>43051</v>
      </c>
      <c r="B271" s="86" t="s">
        <v>5515</v>
      </c>
      <c r="C271" s="86" t="s">
        <v>7203</v>
      </c>
      <c r="D271" s="94">
        <v>-5200</v>
      </c>
      <c r="E271" s="86" t="s">
        <v>7203</v>
      </c>
      <c r="F271" s="94">
        <v>-87.718114</v>
      </c>
      <c r="G271" s="94">
        <v>-5200</v>
      </c>
    </row>
    <row r="272" spans="1:7" s="84" customFormat="1" ht="19.7" customHeight="1" x14ac:dyDescent="0.2">
      <c r="A272" s="90">
        <v>43051</v>
      </c>
      <c r="B272" s="85" t="s">
        <v>5515</v>
      </c>
      <c r="C272" s="85" t="s">
        <v>15</v>
      </c>
      <c r="D272" s="91">
        <v>613.41999999999996</v>
      </c>
      <c r="E272" s="85" t="s">
        <v>15</v>
      </c>
      <c r="F272" s="91">
        <v>613.41999999999996</v>
      </c>
      <c r="G272" s="91">
        <v>36364.028336000003</v>
      </c>
    </row>
    <row r="273" spans="1:7" s="84" customFormat="1" ht="19.7" customHeight="1" x14ac:dyDescent="0.2">
      <c r="A273" s="92">
        <v>43051</v>
      </c>
      <c r="B273" s="86" t="s">
        <v>5516</v>
      </c>
      <c r="C273" s="86" t="s">
        <v>7749</v>
      </c>
      <c r="D273" s="93">
        <v>119.31</v>
      </c>
      <c r="E273" s="86" t="s">
        <v>7749</v>
      </c>
      <c r="F273" s="93">
        <v>139.12145100000001</v>
      </c>
      <c r="G273" s="93">
        <v>8247.2309120000009</v>
      </c>
    </row>
    <row r="274" spans="1:7" s="84" customFormat="1" ht="19.7" customHeight="1" x14ac:dyDescent="0.2">
      <c r="A274" s="90">
        <v>43051</v>
      </c>
      <c r="B274" s="85" t="s">
        <v>5516</v>
      </c>
      <c r="C274" s="85" t="s">
        <v>7420</v>
      </c>
      <c r="D274" s="91">
        <v>1310.86</v>
      </c>
      <c r="E274" s="85" t="s">
        <v>7420</v>
      </c>
      <c r="F274" s="91">
        <v>1732.8919780000001</v>
      </c>
      <c r="G274" s="91">
        <v>102727.222769</v>
      </c>
    </row>
    <row r="275" spans="1:7" s="84" customFormat="1" ht="19.7" customHeight="1" x14ac:dyDescent="0.2">
      <c r="A275" s="92">
        <v>43051</v>
      </c>
      <c r="B275" s="86" t="s">
        <v>5516</v>
      </c>
      <c r="C275" s="86" t="s">
        <v>7203</v>
      </c>
      <c r="D275" s="94">
        <v>-443261.04</v>
      </c>
      <c r="E275" s="86" t="s">
        <v>7203</v>
      </c>
      <c r="F275" s="94">
        <v>-7477.3120470000003</v>
      </c>
      <c r="G275" s="94">
        <v>-443261.04</v>
      </c>
    </row>
    <row r="276" spans="1:7" s="84" customFormat="1" ht="19.7" customHeight="1" x14ac:dyDescent="0.2">
      <c r="A276" s="90">
        <v>43051</v>
      </c>
      <c r="B276" s="85" t="s">
        <v>5516</v>
      </c>
      <c r="C276" s="85" t="s">
        <v>15</v>
      </c>
      <c r="D276" s="91">
        <v>1690952.9</v>
      </c>
      <c r="E276" s="85" t="s">
        <v>15</v>
      </c>
      <c r="F276" s="91">
        <v>1690952.9</v>
      </c>
      <c r="G276" s="91">
        <v>100241040.67432</v>
      </c>
    </row>
    <row r="277" spans="1:7" s="84" customFormat="1" ht="19.7" customHeight="1" x14ac:dyDescent="0.2">
      <c r="A277" s="92">
        <v>43051</v>
      </c>
      <c r="B277" s="86" t="s">
        <v>5517</v>
      </c>
      <c r="C277" s="86" t="s">
        <v>7749</v>
      </c>
      <c r="D277" s="93">
        <v>1500</v>
      </c>
      <c r="E277" s="86" t="s">
        <v>7749</v>
      </c>
      <c r="F277" s="93">
        <v>1749.0753219999999</v>
      </c>
      <c r="G277" s="93">
        <v>103686.584348</v>
      </c>
    </row>
    <row r="278" spans="1:7" s="84" customFormat="1" ht="19.7" customHeight="1" x14ac:dyDescent="0.2">
      <c r="A278" s="90">
        <v>43051</v>
      </c>
      <c r="B278" s="85" t="s">
        <v>5517</v>
      </c>
      <c r="C278" s="85" t="s">
        <v>7203</v>
      </c>
      <c r="D278" s="95">
        <v>-114458.73</v>
      </c>
      <c r="E278" s="85" t="s">
        <v>7203</v>
      </c>
      <c r="F278" s="95">
        <v>-1930.789227</v>
      </c>
      <c r="G278" s="95">
        <v>-114458.73</v>
      </c>
    </row>
    <row r="279" spans="1:7" s="84" customFormat="1" ht="19.7" customHeight="1" x14ac:dyDescent="0.2">
      <c r="A279" s="92">
        <v>43051</v>
      </c>
      <c r="B279" s="86" t="s">
        <v>5517</v>
      </c>
      <c r="C279" s="86" t="s">
        <v>15</v>
      </c>
      <c r="D279" s="93">
        <v>3000</v>
      </c>
      <c r="E279" s="86" t="s">
        <v>15</v>
      </c>
      <c r="F279" s="93">
        <v>3000</v>
      </c>
      <c r="G279" s="93">
        <v>177842.4</v>
      </c>
    </row>
    <row r="280" spans="1:7" s="84" customFormat="1" ht="19.7" customHeight="1" x14ac:dyDescent="0.2">
      <c r="A280" s="90">
        <v>43051</v>
      </c>
      <c r="B280" s="85" t="s">
        <v>5518</v>
      </c>
      <c r="C280" s="85" t="s">
        <v>7203</v>
      </c>
      <c r="D280" s="91">
        <v>314597.65999999997</v>
      </c>
      <c r="E280" s="85" t="s">
        <v>7203</v>
      </c>
      <c r="F280" s="91">
        <v>5306.9064520000002</v>
      </c>
      <c r="G280" s="91">
        <v>314597.65999999997</v>
      </c>
    </row>
    <row r="281" spans="1:7" s="84" customFormat="1" ht="19.7" customHeight="1" x14ac:dyDescent="0.2">
      <c r="A281" s="92">
        <v>43051</v>
      </c>
      <c r="B281" s="86" t="s">
        <v>5519</v>
      </c>
      <c r="C281" s="86" t="s">
        <v>7203</v>
      </c>
      <c r="D281" s="93">
        <v>126711</v>
      </c>
      <c r="E281" s="86" t="s">
        <v>7203</v>
      </c>
      <c r="F281" s="93">
        <v>2137.4711550000002</v>
      </c>
      <c r="G281" s="93">
        <v>126711</v>
      </c>
    </row>
    <row r="282" spans="1:7" s="84" customFormat="1" ht="19.7" customHeight="1" x14ac:dyDescent="0.2">
      <c r="A282" s="90">
        <v>43051</v>
      </c>
      <c r="B282" s="85" t="s">
        <v>5531</v>
      </c>
      <c r="C282" s="85" t="s">
        <v>7203</v>
      </c>
      <c r="D282" s="95">
        <v>-46734.53</v>
      </c>
      <c r="E282" s="85" t="s">
        <v>7203</v>
      </c>
      <c r="F282" s="95">
        <v>-788.35862599999996</v>
      </c>
      <c r="G282" s="95">
        <v>-46734.53</v>
      </c>
    </row>
    <row r="283" spans="1:7" s="84" customFormat="1" ht="19.7" customHeight="1" x14ac:dyDescent="0.2">
      <c r="A283" s="92">
        <v>43051</v>
      </c>
      <c r="B283" s="86" t="s">
        <v>5531</v>
      </c>
      <c r="C283" s="86" t="s">
        <v>15</v>
      </c>
      <c r="D283" s="93">
        <v>0.36</v>
      </c>
      <c r="E283" s="86" t="s">
        <v>15</v>
      </c>
      <c r="F283" s="93">
        <v>0.36</v>
      </c>
      <c r="G283" s="93">
        <v>21.341087999999999</v>
      </c>
    </row>
    <row r="284" spans="1:7" s="84" customFormat="1" ht="19.7" customHeight="1" x14ac:dyDescent="0.2">
      <c r="A284" s="90">
        <v>43051</v>
      </c>
      <c r="B284" s="85" t="s">
        <v>5532</v>
      </c>
      <c r="C284" s="85" t="s">
        <v>7420</v>
      </c>
      <c r="D284" s="91">
        <v>1.32</v>
      </c>
      <c r="E284" s="85" t="s">
        <v>7420</v>
      </c>
      <c r="F284" s="91">
        <v>1.7449749999999999</v>
      </c>
      <c r="G284" s="91">
        <v>103.44351399999999</v>
      </c>
    </row>
    <row r="285" spans="1:7" s="84" customFormat="1" ht="19.7" customHeight="1" x14ac:dyDescent="0.2">
      <c r="A285" s="92">
        <v>43051</v>
      </c>
      <c r="B285" s="86" t="s">
        <v>5532</v>
      </c>
      <c r="C285" s="86" t="s">
        <v>7203</v>
      </c>
      <c r="D285" s="93">
        <v>7896668.7000000002</v>
      </c>
      <c r="E285" s="86" t="s">
        <v>7203</v>
      </c>
      <c r="F285" s="93">
        <v>133207.863255</v>
      </c>
      <c r="G285" s="93">
        <v>7896668.7000000002</v>
      </c>
    </row>
    <row r="286" spans="1:7" s="84" customFormat="1" ht="19.7" customHeight="1" x14ac:dyDescent="0.2">
      <c r="A286" s="90">
        <v>43051</v>
      </c>
      <c r="B286" s="85" t="s">
        <v>5532</v>
      </c>
      <c r="C286" s="85" t="s">
        <v>15</v>
      </c>
      <c r="D286" s="91">
        <v>20646.72</v>
      </c>
      <c r="E286" s="85" t="s">
        <v>15</v>
      </c>
      <c r="F286" s="91">
        <v>20646.72</v>
      </c>
      <c r="G286" s="91">
        <v>1223954.078976</v>
      </c>
    </row>
    <row r="287" spans="1:7" s="84" customFormat="1" ht="19.7" customHeight="1" x14ac:dyDescent="0.2">
      <c r="A287" s="92">
        <v>43051</v>
      </c>
      <c r="B287" s="86" t="s">
        <v>5539</v>
      </c>
      <c r="C287" s="86" t="s">
        <v>7272</v>
      </c>
      <c r="D287" s="93">
        <v>24952.14</v>
      </c>
      <c r="E287" s="86" t="s">
        <v>7272</v>
      </c>
      <c r="F287" s="93">
        <v>25077.527638</v>
      </c>
      <c r="G287" s="93">
        <v>1486615.9004029999</v>
      </c>
    </row>
    <row r="288" spans="1:7" s="84" customFormat="1" ht="19.7" customHeight="1" x14ac:dyDescent="0.2">
      <c r="A288" s="90">
        <v>43051</v>
      </c>
      <c r="B288" s="85" t="s">
        <v>5539</v>
      </c>
      <c r="C288" s="85" t="s">
        <v>7203</v>
      </c>
      <c r="D288" s="95">
        <v>-248980.35</v>
      </c>
      <c r="E288" s="85" t="s">
        <v>7203</v>
      </c>
      <c r="F288" s="95">
        <v>-4200.0167000000001</v>
      </c>
      <c r="G288" s="95">
        <v>-248980.35</v>
      </c>
    </row>
    <row r="289" spans="1:7" s="84" customFormat="1" ht="19.7" customHeight="1" x14ac:dyDescent="0.2">
      <c r="A289" s="92">
        <v>43051</v>
      </c>
      <c r="B289" s="86" t="s">
        <v>5539</v>
      </c>
      <c r="C289" s="86" t="s">
        <v>15</v>
      </c>
      <c r="D289" s="93">
        <v>156.63</v>
      </c>
      <c r="E289" s="86" t="s">
        <v>15</v>
      </c>
      <c r="F289" s="93">
        <v>156.63</v>
      </c>
      <c r="G289" s="93">
        <v>9285.1517039999999</v>
      </c>
    </row>
    <row r="290" spans="1:7" s="84" customFormat="1" ht="19.7" customHeight="1" x14ac:dyDescent="0.2">
      <c r="A290" s="90">
        <v>43051</v>
      </c>
      <c r="B290" s="85" t="s">
        <v>5548</v>
      </c>
      <c r="C290" s="85" t="s">
        <v>7420</v>
      </c>
      <c r="D290" s="91">
        <v>1484.04</v>
      </c>
      <c r="E290" s="85" t="s">
        <v>7420</v>
      </c>
      <c r="F290" s="91">
        <v>1961.8273589999999</v>
      </c>
      <c r="G290" s="91">
        <v>116298.695303</v>
      </c>
    </row>
    <row r="291" spans="1:7" s="84" customFormat="1" ht="19.7" customHeight="1" x14ac:dyDescent="0.2">
      <c r="A291" s="92">
        <v>43051</v>
      </c>
      <c r="B291" s="86" t="s">
        <v>5548</v>
      </c>
      <c r="C291" s="86" t="s">
        <v>7203</v>
      </c>
      <c r="D291" s="93">
        <v>709897.72</v>
      </c>
      <c r="E291" s="86" t="s">
        <v>7203</v>
      </c>
      <c r="F291" s="93">
        <v>11975.171050000001</v>
      </c>
      <c r="G291" s="93">
        <v>709897.72</v>
      </c>
    </row>
    <row r="292" spans="1:7" s="84" customFormat="1" ht="19.7" customHeight="1" x14ac:dyDescent="0.2">
      <c r="A292" s="90">
        <v>43051</v>
      </c>
      <c r="B292" s="85" t="s">
        <v>5548</v>
      </c>
      <c r="C292" s="85" t="s">
        <v>15</v>
      </c>
      <c r="D292" s="91">
        <v>60876.53</v>
      </c>
      <c r="E292" s="85" t="s">
        <v>15</v>
      </c>
      <c r="F292" s="91">
        <v>60876.53</v>
      </c>
      <c r="G292" s="91">
        <v>3608809.3996239998</v>
      </c>
    </row>
    <row r="293" spans="1:7" s="84" customFormat="1" ht="19.7" customHeight="1" x14ac:dyDescent="0.2">
      <c r="A293" s="92">
        <v>43051</v>
      </c>
      <c r="B293" s="86" t="s">
        <v>5549</v>
      </c>
      <c r="C293" s="86" t="s">
        <v>7203</v>
      </c>
      <c r="D293" s="93">
        <v>8647459.7699999996</v>
      </c>
      <c r="E293" s="86" t="s">
        <v>7203</v>
      </c>
      <c r="F293" s="93">
        <v>145872.85883499999</v>
      </c>
      <c r="G293" s="93">
        <v>8647459.7699999996</v>
      </c>
    </row>
    <row r="294" spans="1:7" s="84" customFormat="1" ht="19.7" customHeight="1" x14ac:dyDescent="0.2">
      <c r="A294" s="90">
        <v>43051</v>
      </c>
      <c r="B294" s="85" t="s">
        <v>5561</v>
      </c>
      <c r="C294" s="85" t="s">
        <v>7203</v>
      </c>
      <c r="D294" s="91">
        <v>6355906.75</v>
      </c>
      <c r="E294" s="85" t="s">
        <v>7203</v>
      </c>
      <c r="F294" s="91">
        <v>107216.95304399999</v>
      </c>
      <c r="G294" s="91">
        <v>6355906.75</v>
      </c>
    </row>
    <row r="295" spans="1:7" s="84" customFormat="1" ht="19.7" customHeight="1" x14ac:dyDescent="0.2">
      <c r="A295" s="92">
        <v>43051</v>
      </c>
      <c r="B295" s="86" t="s">
        <v>5561</v>
      </c>
      <c r="C295" s="86" t="s">
        <v>15</v>
      </c>
      <c r="D295" s="93">
        <v>623.03</v>
      </c>
      <c r="E295" s="86" t="s">
        <v>15</v>
      </c>
      <c r="F295" s="93">
        <v>623.03</v>
      </c>
      <c r="G295" s="93">
        <v>36933.716824000003</v>
      </c>
    </row>
    <row r="296" spans="1:7" s="84" customFormat="1" ht="19.7" customHeight="1" x14ac:dyDescent="0.2">
      <c r="A296" s="90">
        <v>43051</v>
      </c>
      <c r="B296" s="85" t="s">
        <v>5567</v>
      </c>
      <c r="C296" s="85" t="s">
        <v>7749</v>
      </c>
      <c r="D296" s="91">
        <v>4824.8500000000004</v>
      </c>
      <c r="E296" s="85" t="s">
        <v>7749</v>
      </c>
      <c r="F296" s="91">
        <v>5626.0173789999999</v>
      </c>
      <c r="G296" s="91">
        <v>333514.81104100001</v>
      </c>
    </row>
    <row r="297" spans="1:7" s="84" customFormat="1" ht="19.7" customHeight="1" x14ac:dyDescent="0.2">
      <c r="A297" s="92">
        <v>43051</v>
      </c>
      <c r="B297" s="86" t="s">
        <v>5567</v>
      </c>
      <c r="C297" s="86" t="s">
        <v>7203</v>
      </c>
      <c r="D297" s="93">
        <v>296683.23</v>
      </c>
      <c r="E297" s="86" t="s">
        <v>7203</v>
      </c>
      <c r="F297" s="93">
        <v>5004.7102940000004</v>
      </c>
      <c r="G297" s="93">
        <v>296683.23</v>
      </c>
    </row>
    <row r="298" spans="1:7" s="84" customFormat="1" ht="19.7" customHeight="1" x14ac:dyDescent="0.2">
      <c r="A298" s="90">
        <v>43051</v>
      </c>
      <c r="B298" s="85" t="s">
        <v>7902</v>
      </c>
      <c r="C298" s="85" t="s">
        <v>7203</v>
      </c>
      <c r="D298" s="95">
        <v>-73977.039999999994</v>
      </c>
      <c r="E298" s="85" t="s">
        <v>7203</v>
      </c>
      <c r="F298" s="95">
        <v>-1247.9089349999999</v>
      </c>
      <c r="G298" s="95">
        <v>-73977.039999999994</v>
      </c>
    </row>
    <row r="299" spans="1:7" s="84" customFormat="1" ht="19.7" customHeight="1" x14ac:dyDescent="0.2">
      <c r="A299" s="92">
        <v>43051</v>
      </c>
      <c r="B299" s="86" t="s">
        <v>5568</v>
      </c>
      <c r="C299" s="86" t="s">
        <v>7203</v>
      </c>
      <c r="D299" s="94">
        <v>-3972</v>
      </c>
      <c r="E299" s="86" t="s">
        <v>7203</v>
      </c>
      <c r="F299" s="94">
        <v>-67.003144000000006</v>
      </c>
      <c r="G299" s="94">
        <v>-3972</v>
      </c>
    </row>
    <row r="300" spans="1:7" s="84" customFormat="1" ht="19.7" customHeight="1" x14ac:dyDescent="0.2">
      <c r="A300" s="90">
        <v>43051</v>
      </c>
      <c r="B300" s="85" t="s">
        <v>5571</v>
      </c>
      <c r="C300" s="85" t="s">
        <v>7420</v>
      </c>
      <c r="D300" s="91">
        <v>1254.96</v>
      </c>
      <c r="E300" s="85" t="s">
        <v>7420</v>
      </c>
      <c r="F300" s="91">
        <v>1658.994948</v>
      </c>
      <c r="G300" s="91">
        <v>98346.547713000007</v>
      </c>
    </row>
    <row r="301" spans="1:7" s="84" customFormat="1" ht="19.7" customHeight="1" x14ac:dyDescent="0.2">
      <c r="A301" s="92">
        <v>43051</v>
      </c>
      <c r="B301" s="86" t="s">
        <v>5571</v>
      </c>
      <c r="C301" s="86" t="s">
        <v>7203</v>
      </c>
      <c r="D301" s="93">
        <v>1435730.72</v>
      </c>
      <c r="E301" s="86" t="s">
        <v>7203</v>
      </c>
      <c r="F301" s="93">
        <v>24219.152238999999</v>
      </c>
      <c r="G301" s="93">
        <v>1435730.72</v>
      </c>
    </row>
    <row r="302" spans="1:7" s="84" customFormat="1" ht="19.7" customHeight="1" x14ac:dyDescent="0.2">
      <c r="A302" s="90">
        <v>43051</v>
      </c>
      <c r="B302" s="85" t="s">
        <v>5571</v>
      </c>
      <c r="C302" s="85" t="s">
        <v>15</v>
      </c>
      <c r="D302" s="91">
        <v>10278.870000000001</v>
      </c>
      <c r="E302" s="85" t="s">
        <v>15</v>
      </c>
      <c r="F302" s="91">
        <v>10278.870000000001</v>
      </c>
      <c r="G302" s="91">
        <v>609339.636696</v>
      </c>
    </row>
    <row r="303" spans="1:7" s="84" customFormat="1" ht="19.7" customHeight="1" x14ac:dyDescent="0.2">
      <c r="A303" s="92">
        <v>43051</v>
      </c>
      <c r="B303" s="86" t="s">
        <v>5590</v>
      </c>
      <c r="C303" s="86" t="s">
        <v>7203</v>
      </c>
      <c r="D303" s="94">
        <v>-63937.919999999998</v>
      </c>
      <c r="E303" s="86" t="s">
        <v>7203</v>
      </c>
      <c r="F303" s="94">
        <v>-1078.560344</v>
      </c>
      <c r="G303" s="94">
        <v>-63937.919999999998</v>
      </c>
    </row>
    <row r="304" spans="1:7" s="84" customFormat="1" ht="19.7" customHeight="1" x14ac:dyDescent="0.2">
      <c r="A304" s="90">
        <v>43051</v>
      </c>
      <c r="B304" s="85" t="s">
        <v>5590</v>
      </c>
      <c r="C304" s="85" t="s">
        <v>15</v>
      </c>
      <c r="D304" s="91">
        <v>250006.65</v>
      </c>
      <c r="E304" s="85" t="s">
        <v>15</v>
      </c>
      <c r="F304" s="91">
        <v>250006.65</v>
      </c>
      <c r="G304" s="91">
        <v>14820594.217320001</v>
      </c>
    </row>
    <row r="305" spans="1:7" s="84" customFormat="1" ht="19.7" customHeight="1" x14ac:dyDescent="0.2">
      <c r="A305" s="92">
        <v>43051</v>
      </c>
      <c r="B305" s="86" t="s">
        <v>5601</v>
      </c>
      <c r="C305" s="86" t="s">
        <v>7203</v>
      </c>
      <c r="D305" s="93">
        <v>1282898.2</v>
      </c>
      <c r="E305" s="86" t="s">
        <v>7203</v>
      </c>
      <c r="F305" s="93">
        <v>21641.040606999999</v>
      </c>
      <c r="G305" s="93">
        <v>1282898.2</v>
      </c>
    </row>
    <row r="306" spans="1:7" s="84" customFormat="1" ht="19.7" customHeight="1" x14ac:dyDescent="0.2">
      <c r="A306" s="90">
        <v>43051</v>
      </c>
      <c r="B306" s="85" t="s">
        <v>7903</v>
      </c>
      <c r="C306" s="85" t="s">
        <v>7203</v>
      </c>
      <c r="D306" s="91">
        <v>0.71</v>
      </c>
      <c r="E306" s="85" t="s">
        <v>7203</v>
      </c>
      <c r="F306" s="91">
        <v>1.1977E-2</v>
      </c>
      <c r="G306" s="91">
        <v>0.71</v>
      </c>
    </row>
    <row r="307" spans="1:7" s="84" customFormat="1" ht="19.7" customHeight="1" x14ac:dyDescent="0.2">
      <c r="A307" s="92">
        <v>43051</v>
      </c>
      <c r="B307" s="86" t="s">
        <v>7904</v>
      </c>
      <c r="C307" s="86" t="s">
        <v>7420</v>
      </c>
      <c r="D307" s="93">
        <v>1817.15</v>
      </c>
      <c r="E307" s="86" t="s">
        <v>7420</v>
      </c>
      <c r="F307" s="93">
        <v>2402.182276</v>
      </c>
      <c r="G307" s="93">
        <v>142403.287067</v>
      </c>
    </row>
    <row r="308" spans="1:7" s="84" customFormat="1" ht="19.7" customHeight="1" x14ac:dyDescent="0.2">
      <c r="A308" s="90">
        <v>43051</v>
      </c>
      <c r="B308" s="85" t="s">
        <v>7904</v>
      </c>
      <c r="C308" s="85" t="s">
        <v>7203</v>
      </c>
      <c r="D308" s="95">
        <v>-791471.33</v>
      </c>
      <c r="E308" s="85" t="s">
        <v>7203</v>
      </c>
      <c r="F308" s="95">
        <v>-13351.225523999999</v>
      </c>
      <c r="G308" s="95">
        <v>-791471.33</v>
      </c>
    </row>
    <row r="309" spans="1:7" s="84" customFormat="1" ht="19.7" customHeight="1" x14ac:dyDescent="0.2">
      <c r="A309" s="92">
        <v>43051</v>
      </c>
      <c r="B309" s="86" t="s">
        <v>5604</v>
      </c>
      <c r="C309" s="86" t="s">
        <v>7203</v>
      </c>
      <c r="D309" s="94">
        <v>-318127.75</v>
      </c>
      <c r="E309" s="86" t="s">
        <v>7203</v>
      </c>
      <c r="F309" s="94">
        <v>-5366.4550749999999</v>
      </c>
      <c r="G309" s="94">
        <v>-318127.75</v>
      </c>
    </row>
    <row r="310" spans="1:7" s="84" customFormat="1" ht="19.7" customHeight="1" x14ac:dyDescent="0.2">
      <c r="A310" s="90">
        <v>43051</v>
      </c>
      <c r="B310" s="85" t="s">
        <v>5604</v>
      </c>
      <c r="C310" s="85" t="s">
        <v>15</v>
      </c>
      <c r="D310" s="95">
        <v>-3498807.29</v>
      </c>
      <c r="E310" s="85" t="s">
        <v>15</v>
      </c>
      <c r="F310" s="95">
        <v>-3498807.29</v>
      </c>
      <c r="G310" s="95">
        <v>-207412095.197032</v>
      </c>
    </row>
    <row r="311" spans="1:7" s="84" customFormat="1" ht="19.7" customHeight="1" x14ac:dyDescent="0.2">
      <c r="A311" s="92">
        <v>43051</v>
      </c>
      <c r="B311" s="86" t="s">
        <v>5609</v>
      </c>
      <c r="C311" s="86" t="s">
        <v>7203</v>
      </c>
      <c r="D311" s="93">
        <v>14110099.460000001</v>
      </c>
      <c r="E311" s="86" t="s">
        <v>7203</v>
      </c>
      <c r="F311" s="93">
        <v>238021.40760599999</v>
      </c>
      <c r="G311" s="93">
        <v>14110099.460000001</v>
      </c>
    </row>
    <row r="312" spans="1:7" s="84" customFormat="1" ht="19.7" customHeight="1" x14ac:dyDescent="0.2">
      <c r="A312" s="90">
        <v>43051</v>
      </c>
      <c r="B312" s="85" t="s">
        <v>5609</v>
      </c>
      <c r="C312" s="85" t="s">
        <v>15</v>
      </c>
      <c r="D312" s="95">
        <v>-442659.09</v>
      </c>
      <c r="E312" s="85" t="s">
        <v>15</v>
      </c>
      <c r="F312" s="95">
        <v>-442659.09</v>
      </c>
      <c r="G312" s="95">
        <v>-26241184.982471999</v>
      </c>
    </row>
    <row r="313" spans="1:7" s="84" customFormat="1" ht="19.7" customHeight="1" x14ac:dyDescent="0.2">
      <c r="A313" s="92">
        <v>43051</v>
      </c>
      <c r="B313" s="86" t="s">
        <v>5610</v>
      </c>
      <c r="C313" s="86" t="s">
        <v>7749</v>
      </c>
      <c r="D313" s="93">
        <v>50.79</v>
      </c>
      <c r="E313" s="86" t="s">
        <v>7749</v>
      </c>
      <c r="F313" s="93">
        <v>59.223689999999998</v>
      </c>
      <c r="G313" s="93">
        <v>3510.827722</v>
      </c>
    </row>
    <row r="314" spans="1:7" s="84" customFormat="1" ht="19.7" customHeight="1" x14ac:dyDescent="0.2">
      <c r="A314" s="90">
        <v>43051</v>
      </c>
      <c r="B314" s="85" t="s">
        <v>5610</v>
      </c>
      <c r="C314" s="85" t="s">
        <v>7203</v>
      </c>
      <c r="D314" s="95">
        <v>-235203.98</v>
      </c>
      <c r="E314" s="85" t="s">
        <v>7203</v>
      </c>
      <c r="F314" s="95">
        <v>-3967.6249309999998</v>
      </c>
      <c r="G314" s="95">
        <v>-235203.98</v>
      </c>
    </row>
    <row r="315" spans="1:7" s="84" customFormat="1" ht="19.7" customHeight="1" x14ac:dyDescent="0.2">
      <c r="A315" s="92">
        <v>43051</v>
      </c>
      <c r="B315" s="86" t="s">
        <v>5610</v>
      </c>
      <c r="C315" s="86" t="s">
        <v>15</v>
      </c>
      <c r="D315" s="93">
        <v>436522.25</v>
      </c>
      <c r="E315" s="86" t="s">
        <v>15</v>
      </c>
      <c r="F315" s="93">
        <v>436522.25</v>
      </c>
      <c r="G315" s="93">
        <v>25877388.197799999</v>
      </c>
    </row>
    <row r="316" spans="1:7" s="84" customFormat="1" ht="19.7" customHeight="1" x14ac:dyDescent="0.2">
      <c r="A316" s="90">
        <v>43051</v>
      </c>
      <c r="B316" s="85" t="s">
        <v>7905</v>
      </c>
      <c r="C316" s="85" t="s">
        <v>7203</v>
      </c>
      <c r="D316" s="95">
        <v>-7500</v>
      </c>
      <c r="E316" s="85" t="s">
        <v>7203</v>
      </c>
      <c r="F316" s="95">
        <v>-126.51651099999999</v>
      </c>
      <c r="G316" s="95">
        <v>-7500</v>
      </c>
    </row>
    <row r="317" spans="1:7" s="84" customFormat="1" ht="19.7" customHeight="1" x14ac:dyDescent="0.2">
      <c r="A317" s="92">
        <v>43051</v>
      </c>
      <c r="B317" s="86" t="s">
        <v>5611</v>
      </c>
      <c r="C317" s="86" t="s">
        <v>7203</v>
      </c>
      <c r="D317" s="93">
        <v>8400.84</v>
      </c>
      <c r="E317" s="86" t="s">
        <v>7203</v>
      </c>
      <c r="F317" s="93">
        <v>141.71266199999999</v>
      </c>
      <c r="G317" s="93">
        <v>8400.84</v>
      </c>
    </row>
    <row r="318" spans="1:7" s="84" customFormat="1" ht="19.7" customHeight="1" x14ac:dyDescent="0.2">
      <c r="A318" s="90">
        <v>43051</v>
      </c>
      <c r="B318" s="85" t="s">
        <v>5611</v>
      </c>
      <c r="C318" s="85" t="s">
        <v>15</v>
      </c>
      <c r="D318" s="91">
        <v>106.53</v>
      </c>
      <c r="E318" s="85" t="s">
        <v>15</v>
      </c>
      <c r="F318" s="91">
        <v>106.53</v>
      </c>
      <c r="G318" s="91">
        <v>6315.1836240000002</v>
      </c>
    </row>
    <row r="319" spans="1:7" s="84" customFormat="1" ht="19.7" customHeight="1" x14ac:dyDescent="0.2">
      <c r="A319" s="92">
        <v>43051</v>
      </c>
      <c r="B319" s="86" t="s">
        <v>5612</v>
      </c>
      <c r="C319" s="86" t="s">
        <v>7203</v>
      </c>
      <c r="D319" s="94">
        <v>-352395.64</v>
      </c>
      <c r="E319" s="86" t="s">
        <v>7203</v>
      </c>
      <c r="F319" s="94">
        <v>-5944.5155930000001</v>
      </c>
      <c r="G319" s="94">
        <v>-352395.64</v>
      </c>
    </row>
    <row r="320" spans="1:7" s="84" customFormat="1" ht="19.7" customHeight="1" x14ac:dyDescent="0.2">
      <c r="A320" s="90">
        <v>43051</v>
      </c>
      <c r="B320" s="85" t="s">
        <v>5612</v>
      </c>
      <c r="C320" s="85" t="s">
        <v>15</v>
      </c>
      <c r="D320" s="91">
        <v>796.67</v>
      </c>
      <c r="E320" s="85" t="s">
        <v>15</v>
      </c>
      <c r="F320" s="91">
        <v>796.67</v>
      </c>
      <c r="G320" s="91">
        <v>47227.234936000001</v>
      </c>
    </row>
    <row r="321" spans="1:7" s="84" customFormat="1" ht="19.7" customHeight="1" x14ac:dyDescent="0.2">
      <c r="A321" s="92">
        <v>43051</v>
      </c>
      <c r="B321" s="86" t="s">
        <v>5613</v>
      </c>
      <c r="C321" s="86" t="s">
        <v>7749</v>
      </c>
      <c r="D321" s="93">
        <v>249.51</v>
      </c>
      <c r="E321" s="86" t="s">
        <v>7749</v>
      </c>
      <c r="F321" s="93">
        <v>290.94118900000001</v>
      </c>
      <c r="G321" s="93">
        <v>17247.226437000001</v>
      </c>
    </row>
    <row r="322" spans="1:7" s="84" customFormat="1" ht="19.7" customHeight="1" x14ac:dyDescent="0.2">
      <c r="A322" s="90">
        <v>43051</v>
      </c>
      <c r="B322" s="85" t="s">
        <v>5613</v>
      </c>
      <c r="C322" s="85" t="s">
        <v>7420</v>
      </c>
      <c r="D322" s="91">
        <v>1656.6</v>
      </c>
      <c r="E322" s="85" t="s">
        <v>7420</v>
      </c>
      <c r="F322" s="91">
        <v>2189.9431300000001</v>
      </c>
      <c r="G322" s="91">
        <v>129821.580701</v>
      </c>
    </row>
    <row r="323" spans="1:7" s="84" customFormat="1" ht="19.7" customHeight="1" x14ac:dyDescent="0.2">
      <c r="A323" s="92">
        <v>43051</v>
      </c>
      <c r="B323" s="86" t="s">
        <v>5613</v>
      </c>
      <c r="C323" s="86" t="s">
        <v>7203</v>
      </c>
      <c r="D323" s="93">
        <v>280929.12</v>
      </c>
      <c r="E323" s="86" t="s">
        <v>7203</v>
      </c>
      <c r="F323" s="93">
        <v>4738.9562889999997</v>
      </c>
      <c r="G323" s="93">
        <v>280929.12</v>
      </c>
    </row>
    <row r="324" spans="1:7" s="84" customFormat="1" ht="19.7" customHeight="1" x14ac:dyDescent="0.2">
      <c r="A324" s="90">
        <v>43051</v>
      </c>
      <c r="B324" s="85" t="s">
        <v>5613</v>
      </c>
      <c r="C324" s="85" t="s">
        <v>15</v>
      </c>
      <c r="D324" s="91">
        <v>246856.13</v>
      </c>
      <c r="E324" s="85" t="s">
        <v>15</v>
      </c>
      <c r="F324" s="91">
        <v>246856.13</v>
      </c>
      <c r="G324" s="91">
        <v>14633828.871304</v>
      </c>
    </row>
    <row r="325" spans="1:7" s="84" customFormat="1" ht="19.7" customHeight="1" x14ac:dyDescent="0.2">
      <c r="A325" s="92">
        <v>43051</v>
      </c>
      <c r="B325" s="86" t="s">
        <v>5616</v>
      </c>
      <c r="C325" s="86" t="s">
        <v>7749</v>
      </c>
      <c r="D325" s="93">
        <v>7.59</v>
      </c>
      <c r="E325" s="86" t="s">
        <v>7749</v>
      </c>
      <c r="F325" s="93">
        <v>8.8503209999999992</v>
      </c>
      <c r="G325" s="93">
        <v>524.65410899999995</v>
      </c>
    </row>
    <row r="326" spans="1:7" s="84" customFormat="1" ht="19.7" customHeight="1" x14ac:dyDescent="0.2">
      <c r="A326" s="90">
        <v>43051</v>
      </c>
      <c r="B326" s="85" t="s">
        <v>5616</v>
      </c>
      <c r="C326" s="85" t="s">
        <v>7203</v>
      </c>
      <c r="D326" s="95">
        <v>-897811.27</v>
      </c>
      <c r="E326" s="85" t="s">
        <v>7203</v>
      </c>
      <c r="F326" s="95">
        <v>-15145.059950999999</v>
      </c>
      <c r="G326" s="95">
        <v>-897811.27</v>
      </c>
    </row>
    <row r="327" spans="1:7" s="84" customFormat="1" ht="19.7" customHeight="1" x14ac:dyDescent="0.2">
      <c r="A327" s="92">
        <v>43051</v>
      </c>
      <c r="B327" s="86" t="s">
        <v>5616</v>
      </c>
      <c r="C327" s="86" t="s">
        <v>15</v>
      </c>
      <c r="D327" s="93">
        <v>865.22</v>
      </c>
      <c r="E327" s="86" t="s">
        <v>15</v>
      </c>
      <c r="F327" s="93">
        <v>865.22</v>
      </c>
      <c r="G327" s="93">
        <v>51290.933775999998</v>
      </c>
    </row>
    <row r="328" spans="1:7" s="84" customFormat="1" ht="19.7" customHeight="1" x14ac:dyDescent="0.2">
      <c r="A328" s="90">
        <v>43051</v>
      </c>
      <c r="B328" s="85" t="s">
        <v>5621</v>
      </c>
      <c r="C328" s="85" t="s">
        <v>7749</v>
      </c>
      <c r="D328" s="91">
        <v>42.33</v>
      </c>
      <c r="E328" s="85" t="s">
        <v>7749</v>
      </c>
      <c r="F328" s="91">
        <v>49.358905999999998</v>
      </c>
      <c r="G328" s="91">
        <v>2926.0354349999998</v>
      </c>
    </row>
    <row r="329" spans="1:7" s="84" customFormat="1" ht="19.7" customHeight="1" x14ac:dyDescent="0.2">
      <c r="A329" s="92">
        <v>43051</v>
      </c>
      <c r="B329" s="86" t="s">
        <v>5621</v>
      </c>
      <c r="C329" s="86" t="s">
        <v>7203</v>
      </c>
      <c r="D329" s="93">
        <v>447929.32</v>
      </c>
      <c r="E329" s="86" t="s">
        <v>7203</v>
      </c>
      <c r="F329" s="93">
        <v>7556.0606470000002</v>
      </c>
      <c r="G329" s="93">
        <v>447929.32</v>
      </c>
    </row>
    <row r="330" spans="1:7" s="84" customFormat="1" ht="19.7" customHeight="1" x14ac:dyDescent="0.2">
      <c r="A330" s="90">
        <v>43051</v>
      </c>
      <c r="B330" s="85" t="s">
        <v>5621</v>
      </c>
      <c r="C330" s="85" t="s">
        <v>15</v>
      </c>
      <c r="D330" s="91">
        <v>43366.15</v>
      </c>
      <c r="E330" s="85" t="s">
        <v>15</v>
      </c>
      <c r="F330" s="91">
        <v>43366.15</v>
      </c>
      <c r="G330" s="91">
        <v>2570780.0649199998</v>
      </c>
    </row>
    <row r="331" spans="1:7" s="84" customFormat="1" ht="19.7" customHeight="1" x14ac:dyDescent="0.2">
      <c r="A331" s="92">
        <v>43051</v>
      </c>
      <c r="B331" s="86" t="s">
        <v>5622</v>
      </c>
      <c r="C331" s="86" t="s">
        <v>7203</v>
      </c>
      <c r="D331" s="94">
        <v>-57077.54</v>
      </c>
      <c r="E331" s="86" t="s">
        <v>7203</v>
      </c>
      <c r="F331" s="94">
        <v>-962.83349699999997</v>
      </c>
      <c r="G331" s="94">
        <v>-57077.54</v>
      </c>
    </row>
    <row r="332" spans="1:7" s="84" customFormat="1" ht="19.7" customHeight="1" x14ac:dyDescent="0.2">
      <c r="A332" s="90">
        <v>43051</v>
      </c>
      <c r="B332" s="85" t="s">
        <v>5622</v>
      </c>
      <c r="C332" s="85" t="s">
        <v>15</v>
      </c>
      <c r="D332" s="91">
        <v>176.28</v>
      </c>
      <c r="E332" s="85" t="s">
        <v>15</v>
      </c>
      <c r="F332" s="91">
        <v>176.28</v>
      </c>
      <c r="G332" s="91">
        <v>10450.019424</v>
      </c>
    </row>
    <row r="333" spans="1:7" s="84" customFormat="1" ht="19.7" customHeight="1" x14ac:dyDescent="0.2">
      <c r="A333" s="92">
        <v>43051</v>
      </c>
      <c r="B333" s="86" t="s">
        <v>5623</v>
      </c>
      <c r="C333" s="86" t="s">
        <v>7420</v>
      </c>
      <c r="D333" s="93">
        <v>1334.64</v>
      </c>
      <c r="E333" s="86" t="s">
        <v>7420</v>
      </c>
      <c r="F333" s="93">
        <v>1764.3279600000001</v>
      </c>
      <c r="G333" s="93">
        <v>104590.772931</v>
      </c>
    </row>
    <row r="334" spans="1:7" s="84" customFormat="1" ht="19.7" customHeight="1" x14ac:dyDescent="0.2">
      <c r="A334" s="90">
        <v>43051</v>
      </c>
      <c r="B334" s="85" t="s">
        <v>5623</v>
      </c>
      <c r="C334" s="85" t="s">
        <v>7203</v>
      </c>
      <c r="D334" s="95">
        <v>-41275.56</v>
      </c>
      <c r="E334" s="85" t="s">
        <v>7203</v>
      </c>
      <c r="F334" s="95">
        <v>-696.27197999999999</v>
      </c>
      <c r="G334" s="95">
        <v>-41275.56</v>
      </c>
    </row>
    <row r="335" spans="1:7" s="84" customFormat="1" ht="19.7" customHeight="1" x14ac:dyDescent="0.2">
      <c r="A335" s="92">
        <v>43051</v>
      </c>
      <c r="B335" s="86" t="s">
        <v>5623</v>
      </c>
      <c r="C335" s="86" t="s">
        <v>15</v>
      </c>
      <c r="D335" s="93">
        <v>721</v>
      </c>
      <c r="E335" s="86" t="s">
        <v>15</v>
      </c>
      <c r="F335" s="93">
        <v>721</v>
      </c>
      <c r="G335" s="93">
        <v>42741.4568</v>
      </c>
    </row>
    <row r="336" spans="1:7" s="84" customFormat="1" ht="19.7" customHeight="1" x14ac:dyDescent="0.2">
      <c r="A336" s="90">
        <v>43051</v>
      </c>
      <c r="B336" s="85" t="s">
        <v>5624</v>
      </c>
      <c r="C336" s="85" t="s">
        <v>7203</v>
      </c>
      <c r="D336" s="91">
        <v>22561330.039999999</v>
      </c>
      <c r="E336" s="85" t="s">
        <v>7203</v>
      </c>
      <c r="F336" s="91">
        <v>380584.10210299998</v>
      </c>
      <c r="G336" s="91">
        <v>22561330.039999999</v>
      </c>
    </row>
    <row r="337" spans="1:7" s="84" customFormat="1" ht="19.7" customHeight="1" x14ac:dyDescent="0.2">
      <c r="A337" s="92">
        <v>43051</v>
      </c>
      <c r="B337" s="86" t="s">
        <v>5625</v>
      </c>
      <c r="C337" s="86" t="s">
        <v>7203</v>
      </c>
      <c r="D337" s="93">
        <v>0.2</v>
      </c>
      <c r="E337" s="86" t="s">
        <v>7203</v>
      </c>
      <c r="F337" s="93">
        <v>3.3739999999999998E-3</v>
      </c>
      <c r="G337" s="93">
        <v>0.2</v>
      </c>
    </row>
    <row r="338" spans="1:7" s="84" customFormat="1" ht="19.7" customHeight="1" x14ac:dyDescent="0.2">
      <c r="A338" s="90">
        <v>43051</v>
      </c>
      <c r="B338" s="85" t="s">
        <v>5626</v>
      </c>
      <c r="C338" s="85" t="s">
        <v>7749</v>
      </c>
      <c r="D338" s="91">
        <v>115.1</v>
      </c>
      <c r="E338" s="85" t="s">
        <v>7749</v>
      </c>
      <c r="F338" s="91">
        <v>134.21238</v>
      </c>
      <c r="G338" s="91">
        <v>7956.2172559999999</v>
      </c>
    </row>
    <row r="339" spans="1:7" s="84" customFormat="1" ht="19.7" customHeight="1" x14ac:dyDescent="0.2">
      <c r="A339" s="92">
        <v>43051</v>
      </c>
      <c r="B339" s="86" t="s">
        <v>5626</v>
      </c>
      <c r="C339" s="86" t="s">
        <v>7420</v>
      </c>
      <c r="D339" s="93">
        <v>2813.63</v>
      </c>
      <c r="E339" s="86" t="s">
        <v>7420</v>
      </c>
      <c r="F339" s="93">
        <v>3719.4794689999999</v>
      </c>
      <c r="G339" s="93">
        <v>220493.718506</v>
      </c>
    </row>
    <row r="340" spans="1:7" s="84" customFormat="1" ht="19.7" customHeight="1" x14ac:dyDescent="0.2">
      <c r="A340" s="90">
        <v>43051</v>
      </c>
      <c r="B340" s="85" t="s">
        <v>5626</v>
      </c>
      <c r="C340" s="85" t="s">
        <v>7203</v>
      </c>
      <c r="D340" s="95">
        <v>-10022.44</v>
      </c>
      <c r="E340" s="85" t="s">
        <v>7203</v>
      </c>
      <c r="F340" s="95">
        <v>-169.06721899999999</v>
      </c>
      <c r="G340" s="95">
        <v>-10022.44</v>
      </c>
    </row>
    <row r="341" spans="1:7" s="84" customFormat="1" ht="19.7" customHeight="1" x14ac:dyDescent="0.2">
      <c r="A341" s="92">
        <v>43051</v>
      </c>
      <c r="B341" s="86" t="s">
        <v>5626</v>
      </c>
      <c r="C341" s="86" t="s">
        <v>15</v>
      </c>
      <c r="D341" s="93">
        <v>81177.55</v>
      </c>
      <c r="E341" s="86" t="s">
        <v>15</v>
      </c>
      <c r="F341" s="93">
        <v>81177.55</v>
      </c>
      <c r="G341" s="93">
        <v>4812270.10604</v>
      </c>
    </row>
    <row r="342" spans="1:7" s="84" customFormat="1" ht="19.7" customHeight="1" x14ac:dyDescent="0.2">
      <c r="A342" s="90">
        <v>43051</v>
      </c>
      <c r="B342" s="85" t="s">
        <v>5629</v>
      </c>
      <c r="C342" s="85" t="s">
        <v>7420</v>
      </c>
      <c r="D342" s="91">
        <v>0.46</v>
      </c>
      <c r="E342" s="85" t="s">
        <v>7420</v>
      </c>
      <c r="F342" s="91">
        <v>0.608097</v>
      </c>
      <c r="G342" s="91">
        <v>36.048476999999998</v>
      </c>
    </row>
    <row r="343" spans="1:7" s="84" customFormat="1" ht="19.7" customHeight="1" x14ac:dyDescent="0.2">
      <c r="A343" s="92">
        <v>43051</v>
      </c>
      <c r="B343" s="86" t="s">
        <v>5629</v>
      </c>
      <c r="C343" s="86" t="s">
        <v>7203</v>
      </c>
      <c r="D343" s="93">
        <v>11229544.390000001</v>
      </c>
      <c r="E343" s="86" t="s">
        <v>7203</v>
      </c>
      <c r="F343" s="93">
        <v>189429.70388300001</v>
      </c>
      <c r="G343" s="93">
        <v>11229544.390000001</v>
      </c>
    </row>
    <row r="344" spans="1:7" s="84" customFormat="1" ht="19.7" customHeight="1" x14ac:dyDescent="0.2">
      <c r="A344" s="90">
        <v>43051</v>
      </c>
      <c r="B344" s="85" t="s">
        <v>5629</v>
      </c>
      <c r="C344" s="85" t="s">
        <v>15</v>
      </c>
      <c r="D344" s="91">
        <v>47982.83</v>
      </c>
      <c r="E344" s="85" t="s">
        <v>15</v>
      </c>
      <c r="F344" s="91">
        <v>47982.83</v>
      </c>
      <c r="G344" s="91">
        <v>2844460.5486639999</v>
      </c>
    </row>
    <row r="345" spans="1:7" s="84" customFormat="1" ht="19.7" customHeight="1" x14ac:dyDescent="0.2">
      <c r="A345" s="92">
        <v>43051</v>
      </c>
      <c r="B345" s="86" t="s">
        <v>5630</v>
      </c>
      <c r="C345" s="86" t="s">
        <v>7203</v>
      </c>
      <c r="D345" s="93">
        <v>19575313.300000001</v>
      </c>
      <c r="E345" s="86" t="s">
        <v>7203</v>
      </c>
      <c r="F345" s="93">
        <v>330213.37937400001</v>
      </c>
      <c r="G345" s="93">
        <v>19575313.300000001</v>
      </c>
    </row>
    <row r="346" spans="1:7" s="84" customFormat="1" ht="19.7" customHeight="1" x14ac:dyDescent="0.2">
      <c r="A346" s="90">
        <v>43051</v>
      </c>
      <c r="B346" s="85" t="s">
        <v>5630</v>
      </c>
      <c r="C346" s="85" t="s">
        <v>15</v>
      </c>
      <c r="D346" s="91">
        <v>17004.5</v>
      </c>
      <c r="E346" s="85" t="s">
        <v>15</v>
      </c>
      <c r="F346" s="91">
        <v>17004.5</v>
      </c>
      <c r="G346" s="91">
        <v>1008040.3636</v>
      </c>
    </row>
    <row r="347" spans="1:7" s="84" customFormat="1" ht="19.7" customHeight="1" x14ac:dyDescent="0.2">
      <c r="A347" s="92">
        <v>43051</v>
      </c>
      <c r="B347" s="86" t="s">
        <v>5633</v>
      </c>
      <c r="C347" s="86" t="s">
        <v>7203</v>
      </c>
      <c r="D347" s="93">
        <v>17913027.760000002</v>
      </c>
      <c r="E347" s="86" t="s">
        <v>7203</v>
      </c>
      <c r="F347" s="93">
        <v>302172.50374499999</v>
      </c>
      <c r="G347" s="93">
        <v>17913027.760000002</v>
      </c>
    </row>
    <row r="348" spans="1:7" s="84" customFormat="1" ht="19.7" customHeight="1" x14ac:dyDescent="0.2">
      <c r="A348" s="90">
        <v>43051</v>
      </c>
      <c r="B348" s="85" t="s">
        <v>5633</v>
      </c>
      <c r="C348" s="85" t="s">
        <v>15</v>
      </c>
      <c r="D348" s="91">
        <v>198600</v>
      </c>
      <c r="E348" s="85" t="s">
        <v>15</v>
      </c>
      <c r="F348" s="91">
        <v>198600</v>
      </c>
      <c r="G348" s="91">
        <v>11773166.880000001</v>
      </c>
    </row>
    <row r="349" spans="1:7" s="84" customFormat="1" ht="19.7" customHeight="1" x14ac:dyDescent="0.2">
      <c r="A349" s="92">
        <v>43051</v>
      </c>
      <c r="B349" s="86" t="s">
        <v>5634</v>
      </c>
      <c r="C349" s="86" t="s">
        <v>7203</v>
      </c>
      <c r="D349" s="93">
        <v>1332576.74</v>
      </c>
      <c r="E349" s="86" t="s">
        <v>7203</v>
      </c>
      <c r="F349" s="93">
        <v>22479.061349</v>
      </c>
      <c r="G349" s="93">
        <v>1332576.74</v>
      </c>
    </row>
    <row r="350" spans="1:7" s="84" customFormat="1" ht="19.7" customHeight="1" x14ac:dyDescent="0.2">
      <c r="A350" s="90">
        <v>43051</v>
      </c>
      <c r="B350" s="85" t="s">
        <v>5637</v>
      </c>
      <c r="C350" s="85" t="s">
        <v>7749</v>
      </c>
      <c r="D350" s="91">
        <v>115100</v>
      </c>
      <c r="E350" s="85" t="s">
        <v>7749</v>
      </c>
      <c r="F350" s="91">
        <v>134212.37972200001</v>
      </c>
      <c r="G350" s="91">
        <v>7956217.2398239998</v>
      </c>
    </row>
    <row r="351" spans="1:7" s="84" customFormat="1" ht="19.7" customHeight="1" x14ac:dyDescent="0.2">
      <c r="A351" s="92">
        <v>43051</v>
      </c>
      <c r="B351" s="86" t="s">
        <v>5637</v>
      </c>
      <c r="C351" s="86" t="s">
        <v>7203</v>
      </c>
      <c r="D351" s="94">
        <v>-469533.71</v>
      </c>
      <c r="E351" s="86" t="s">
        <v>7203</v>
      </c>
      <c r="F351" s="94">
        <v>-7920.502254</v>
      </c>
      <c r="G351" s="94">
        <v>-469533.71</v>
      </c>
    </row>
    <row r="352" spans="1:7" s="84" customFormat="1" ht="19.7" customHeight="1" x14ac:dyDescent="0.2">
      <c r="A352" s="90">
        <v>43051</v>
      </c>
      <c r="B352" s="85" t="s">
        <v>5637</v>
      </c>
      <c r="C352" s="85" t="s">
        <v>15</v>
      </c>
      <c r="D352" s="91">
        <v>381002.88</v>
      </c>
      <c r="E352" s="85" t="s">
        <v>15</v>
      </c>
      <c r="F352" s="91">
        <v>381002.88</v>
      </c>
      <c r="G352" s="91">
        <v>22586155.528703999</v>
      </c>
    </row>
    <row r="353" spans="1:7" s="84" customFormat="1" ht="19.7" customHeight="1" x14ac:dyDescent="0.2">
      <c r="A353" s="92">
        <v>43051</v>
      </c>
      <c r="B353" s="86" t="s">
        <v>5638</v>
      </c>
      <c r="C353" s="86" t="s">
        <v>7203</v>
      </c>
      <c r="D353" s="93">
        <v>27358617.359999999</v>
      </c>
      <c r="E353" s="86" t="s">
        <v>7203</v>
      </c>
      <c r="F353" s="93">
        <v>461508.909461</v>
      </c>
      <c r="G353" s="93">
        <v>27358617.359999999</v>
      </c>
    </row>
    <row r="354" spans="1:7" s="84" customFormat="1" ht="19.7" customHeight="1" x14ac:dyDescent="0.2">
      <c r="A354" s="90">
        <v>43051</v>
      </c>
      <c r="B354" s="85" t="s">
        <v>5640</v>
      </c>
      <c r="C354" s="85" t="s">
        <v>7420</v>
      </c>
      <c r="D354" s="91">
        <v>444.71</v>
      </c>
      <c r="E354" s="85" t="s">
        <v>7420</v>
      </c>
      <c r="F354" s="91">
        <v>587.88458800000001</v>
      </c>
      <c r="G354" s="91">
        <v>34850.268684000002</v>
      </c>
    </row>
    <row r="355" spans="1:7" s="84" customFormat="1" ht="19.7" customHeight="1" x14ac:dyDescent="0.2">
      <c r="A355" s="92">
        <v>43051</v>
      </c>
      <c r="B355" s="86" t="s">
        <v>5640</v>
      </c>
      <c r="C355" s="86" t="s">
        <v>7203</v>
      </c>
      <c r="D355" s="93">
        <v>6829.73</v>
      </c>
      <c r="E355" s="86" t="s">
        <v>7203</v>
      </c>
      <c r="F355" s="93">
        <v>115.20981500000001</v>
      </c>
      <c r="G355" s="93">
        <v>6829.73</v>
      </c>
    </row>
    <row r="356" spans="1:7" s="84" customFormat="1" ht="19.7" customHeight="1" x14ac:dyDescent="0.2">
      <c r="A356" s="90">
        <v>43051</v>
      </c>
      <c r="B356" s="85" t="s">
        <v>5640</v>
      </c>
      <c r="C356" s="85" t="s">
        <v>15</v>
      </c>
      <c r="D356" s="91">
        <v>4640.45</v>
      </c>
      <c r="E356" s="85" t="s">
        <v>15</v>
      </c>
      <c r="F356" s="91">
        <v>4640.45</v>
      </c>
      <c r="G356" s="91">
        <v>275089.58835999999</v>
      </c>
    </row>
    <row r="357" spans="1:7" s="84" customFormat="1" ht="19.7" customHeight="1" x14ac:dyDescent="0.2">
      <c r="A357" s="92">
        <v>43051</v>
      </c>
      <c r="B357" s="86" t="s">
        <v>5641</v>
      </c>
      <c r="C357" s="86" t="s">
        <v>7749</v>
      </c>
      <c r="D357" s="93">
        <v>5362</v>
      </c>
      <c r="E357" s="86" t="s">
        <v>7749</v>
      </c>
      <c r="F357" s="93">
        <v>6252.3612519999997</v>
      </c>
      <c r="G357" s="93">
        <v>370644.97690800001</v>
      </c>
    </row>
    <row r="358" spans="1:7" s="84" customFormat="1" ht="19.7" customHeight="1" x14ac:dyDescent="0.2">
      <c r="A358" s="90">
        <v>43051</v>
      </c>
      <c r="B358" s="85" t="s">
        <v>5641</v>
      </c>
      <c r="C358" s="85" t="s">
        <v>7420</v>
      </c>
      <c r="D358" s="91">
        <v>3506.25</v>
      </c>
      <c r="E358" s="85" t="s">
        <v>7420</v>
      </c>
      <c r="F358" s="91">
        <v>4635.0887949999997</v>
      </c>
      <c r="G358" s="91">
        <v>274771.77183899999</v>
      </c>
    </row>
    <row r="359" spans="1:7" s="84" customFormat="1" ht="19.7" customHeight="1" x14ac:dyDescent="0.2">
      <c r="A359" s="92">
        <v>43051</v>
      </c>
      <c r="B359" s="86" t="s">
        <v>5641</v>
      </c>
      <c r="C359" s="86" t="s">
        <v>7203</v>
      </c>
      <c r="D359" s="94">
        <v>-328900.47999999998</v>
      </c>
      <c r="E359" s="86" t="s">
        <v>7203</v>
      </c>
      <c r="F359" s="94">
        <v>-5548.1788370000004</v>
      </c>
      <c r="G359" s="94">
        <v>-328900.47999999998</v>
      </c>
    </row>
    <row r="360" spans="1:7" s="84" customFormat="1" ht="19.7" customHeight="1" x14ac:dyDescent="0.2">
      <c r="A360" s="90">
        <v>43051</v>
      </c>
      <c r="B360" s="85" t="s">
        <v>5641</v>
      </c>
      <c r="C360" s="85" t="s">
        <v>15</v>
      </c>
      <c r="D360" s="91">
        <v>5174.3100000000004</v>
      </c>
      <c r="E360" s="85" t="s">
        <v>15</v>
      </c>
      <c r="F360" s="91">
        <v>5174.3100000000004</v>
      </c>
      <c r="G360" s="91">
        <v>306737.236248</v>
      </c>
    </row>
    <row r="361" spans="1:7" s="84" customFormat="1" ht="19.7" customHeight="1" x14ac:dyDescent="0.2">
      <c r="A361" s="92">
        <v>43051</v>
      </c>
      <c r="B361" s="86" t="s">
        <v>5644</v>
      </c>
      <c r="C361" s="86" t="s">
        <v>7749</v>
      </c>
      <c r="D361" s="93">
        <v>1500</v>
      </c>
      <c r="E361" s="86" t="s">
        <v>7749</v>
      </c>
      <c r="F361" s="93">
        <v>1749.0753219999999</v>
      </c>
      <c r="G361" s="93">
        <v>103686.584348</v>
      </c>
    </row>
    <row r="362" spans="1:7" s="84" customFormat="1" ht="19.7" customHeight="1" x14ac:dyDescent="0.2">
      <c r="A362" s="90">
        <v>43051</v>
      </c>
      <c r="B362" s="85" t="s">
        <v>5644</v>
      </c>
      <c r="C362" s="85" t="s">
        <v>7203</v>
      </c>
      <c r="D362" s="91">
        <v>18167.96</v>
      </c>
      <c r="E362" s="85" t="s">
        <v>7203</v>
      </c>
      <c r="F362" s="91">
        <v>306.47292199999998</v>
      </c>
      <c r="G362" s="91">
        <v>18167.96</v>
      </c>
    </row>
    <row r="363" spans="1:7" s="84" customFormat="1" ht="19.7" customHeight="1" x14ac:dyDescent="0.2">
      <c r="A363" s="92">
        <v>43051</v>
      </c>
      <c r="B363" s="86" t="s">
        <v>5644</v>
      </c>
      <c r="C363" s="86" t="s">
        <v>15</v>
      </c>
      <c r="D363" s="93">
        <v>809.21</v>
      </c>
      <c r="E363" s="86" t="s">
        <v>15</v>
      </c>
      <c r="F363" s="93">
        <v>809.21</v>
      </c>
      <c r="G363" s="93">
        <v>47970.616168</v>
      </c>
    </row>
    <row r="364" spans="1:7" s="84" customFormat="1" ht="19.7" customHeight="1" x14ac:dyDescent="0.2">
      <c r="A364" s="90">
        <v>43051</v>
      </c>
      <c r="B364" s="85" t="s">
        <v>5645</v>
      </c>
      <c r="C364" s="85" t="s">
        <v>7420</v>
      </c>
      <c r="D364" s="91">
        <v>1225.08</v>
      </c>
      <c r="E364" s="85" t="s">
        <v>7420</v>
      </c>
      <c r="F364" s="91">
        <v>1619.4950679999999</v>
      </c>
      <c r="G364" s="91">
        <v>96004.963227</v>
      </c>
    </row>
    <row r="365" spans="1:7" s="84" customFormat="1" ht="19.7" customHeight="1" x14ac:dyDescent="0.2">
      <c r="A365" s="92">
        <v>43051</v>
      </c>
      <c r="B365" s="86" t="s">
        <v>5645</v>
      </c>
      <c r="C365" s="86" t="s">
        <v>7203</v>
      </c>
      <c r="D365" s="93">
        <v>23109456.82</v>
      </c>
      <c r="E365" s="86" t="s">
        <v>7203</v>
      </c>
      <c r="F365" s="93">
        <v>389830.38049399998</v>
      </c>
      <c r="G365" s="93">
        <v>23109456.82</v>
      </c>
    </row>
    <row r="366" spans="1:7" s="84" customFormat="1" ht="19.7" customHeight="1" x14ac:dyDescent="0.2">
      <c r="A366" s="90">
        <v>43051</v>
      </c>
      <c r="B366" s="85" t="s">
        <v>5646</v>
      </c>
      <c r="C366" s="85" t="s">
        <v>7203</v>
      </c>
      <c r="D366" s="91">
        <v>78461.440000000002</v>
      </c>
      <c r="E366" s="85" t="s">
        <v>7203</v>
      </c>
      <c r="F366" s="91">
        <v>1323.5556879999999</v>
      </c>
      <c r="G366" s="91">
        <v>78461.440000000002</v>
      </c>
    </row>
    <row r="367" spans="1:7" s="84" customFormat="1" ht="19.7" customHeight="1" x14ac:dyDescent="0.2">
      <c r="A367" s="92">
        <v>43051</v>
      </c>
      <c r="B367" s="86" t="s">
        <v>5647</v>
      </c>
      <c r="C367" s="86" t="s">
        <v>7203</v>
      </c>
      <c r="D367" s="93">
        <v>21471.48</v>
      </c>
      <c r="E367" s="86" t="s">
        <v>7203</v>
      </c>
      <c r="F367" s="93">
        <v>362.19956500000001</v>
      </c>
      <c r="G367" s="93">
        <v>21471.48</v>
      </c>
    </row>
    <row r="368" spans="1:7" s="84" customFormat="1" ht="19.7" customHeight="1" x14ac:dyDescent="0.2">
      <c r="A368" s="90">
        <v>43051</v>
      </c>
      <c r="B368" s="85" t="s">
        <v>5647</v>
      </c>
      <c r="C368" s="85" t="s">
        <v>15</v>
      </c>
      <c r="D368" s="91">
        <v>12461.39</v>
      </c>
      <c r="E368" s="85" t="s">
        <v>15</v>
      </c>
      <c r="F368" s="91">
        <v>12461.39</v>
      </c>
      <c r="G368" s="91">
        <v>738721.16831199999</v>
      </c>
    </row>
    <row r="369" spans="1:7" s="84" customFormat="1" ht="19.7" customHeight="1" x14ac:dyDescent="0.2">
      <c r="A369" s="92">
        <v>43051</v>
      </c>
      <c r="B369" s="86" t="s">
        <v>5648</v>
      </c>
      <c r="C369" s="86" t="s">
        <v>7203</v>
      </c>
      <c r="D369" s="93">
        <v>4592435.43</v>
      </c>
      <c r="E369" s="86" t="s">
        <v>7203</v>
      </c>
      <c r="F369" s="93">
        <v>77469.187831999996</v>
      </c>
      <c r="G369" s="93">
        <v>4592435.43</v>
      </c>
    </row>
    <row r="370" spans="1:7" s="84" customFormat="1" ht="19.7" customHeight="1" x14ac:dyDescent="0.2">
      <c r="A370" s="90">
        <v>43051</v>
      </c>
      <c r="B370" s="85" t="s">
        <v>5648</v>
      </c>
      <c r="C370" s="85" t="s">
        <v>15</v>
      </c>
      <c r="D370" s="91">
        <v>106927.29</v>
      </c>
      <c r="E370" s="85" t="s">
        <v>15</v>
      </c>
      <c r="F370" s="91">
        <v>106927.29</v>
      </c>
      <c r="G370" s="91">
        <v>6338735.2930319998</v>
      </c>
    </row>
    <row r="371" spans="1:7" s="84" customFormat="1" ht="19.7" customHeight="1" x14ac:dyDescent="0.2">
      <c r="A371" s="92">
        <v>43051</v>
      </c>
      <c r="B371" s="86" t="s">
        <v>5654</v>
      </c>
      <c r="C371" s="86" t="s">
        <v>7749</v>
      </c>
      <c r="D371" s="93">
        <v>364.78</v>
      </c>
      <c r="E371" s="86" t="s">
        <v>7749</v>
      </c>
      <c r="F371" s="93">
        <v>425.35179699999998</v>
      </c>
      <c r="G371" s="93">
        <v>25215.194808</v>
      </c>
    </row>
    <row r="372" spans="1:7" s="84" customFormat="1" ht="19.7" customHeight="1" x14ac:dyDescent="0.2">
      <c r="A372" s="90">
        <v>43051</v>
      </c>
      <c r="B372" s="85" t="s">
        <v>5654</v>
      </c>
      <c r="C372" s="85" t="s">
        <v>7203</v>
      </c>
      <c r="D372" s="95">
        <v>-963979.37</v>
      </c>
      <c r="E372" s="85" t="s">
        <v>7203</v>
      </c>
      <c r="F372" s="95">
        <v>-16261.240908</v>
      </c>
      <c r="G372" s="95">
        <v>-963979.37</v>
      </c>
    </row>
    <row r="373" spans="1:7" s="84" customFormat="1" ht="19.7" customHeight="1" x14ac:dyDescent="0.2">
      <c r="A373" s="92">
        <v>43051</v>
      </c>
      <c r="B373" s="86" t="s">
        <v>5654</v>
      </c>
      <c r="C373" s="86" t="s">
        <v>15</v>
      </c>
      <c r="D373" s="93">
        <v>115540.1</v>
      </c>
      <c r="E373" s="86" t="s">
        <v>15</v>
      </c>
      <c r="F373" s="93">
        <v>115540.1</v>
      </c>
      <c r="G373" s="93">
        <v>6849309.5600800002</v>
      </c>
    </row>
    <row r="374" spans="1:7" s="84" customFormat="1" ht="19.7" customHeight="1" x14ac:dyDescent="0.2">
      <c r="A374" s="90">
        <v>43051</v>
      </c>
      <c r="B374" s="85" t="s">
        <v>5657</v>
      </c>
      <c r="C374" s="85" t="s">
        <v>7203</v>
      </c>
      <c r="D374" s="91">
        <v>9045689.4399999995</v>
      </c>
      <c r="E374" s="85" t="s">
        <v>7203</v>
      </c>
      <c r="F374" s="91">
        <v>152590.54263700001</v>
      </c>
      <c r="G374" s="91">
        <v>9045689.4399999995</v>
      </c>
    </row>
    <row r="375" spans="1:7" s="84" customFormat="1" ht="19.7" customHeight="1" x14ac:dyDescent="0.2">
      <c r="A375" s="92">
        <v>43051</v>
      </c>
      <c r="B375" s="86" t="s">
        <v>5662</v>
      </c>
      <c r="C375" s="86" t="s">
        <v>7749</v>
      </c>
      <c r="D375" s="93">
        <v>5.21</v>
      </c>
      <c r="E375" s="86" t="s">
        <v>7749</v>
      </c>
      <c r="F375" s="93">
        <v>6.0751220000000004</v>
      </c>
      <c r="G375" s="93">
        <v>360.13809199999997</v>
      </c>
    </row>
    <row r="376" spans="1:7" s="84" customFormat="1" ht="19.7" customHeight="1" x14ac:dyDescent="0.2">
      <c r="A376" s="90">
        <v>43051</v>
      </c>
      <c r="B376" s="85" t="s">
        <v>5662</v>
      </c>
      <c r="C376" s="85" t="s">
        <v>7203</v>
      </c>
      <c r="D376" s="95">
        <v>-458690.18</v>
      </c>
      <c r="E376" s="85" t="s">
        <v>7203</v>
      </c>
      <c r="F376" s="95">
        <v>-7737.5841760000003</v>
      </c>
      <c r="G376" s="95">
        <v>-458690.18</v>
      </c>
    </row>
    <row r="377" spans="1:7" s="84" customFormat="1" ht="19.7" customHeight="1" x14ac:dyDescent="0.2">
      <c r="A377" s="92">
        <v>43051</v>
      </c>
      <c r="B377" s="86" t="s">
        <v>5662</v>
      </c>
      <c r="C377" s="86" t="s">
        <v>15</v>
      </c>
      <c r="D377" s="93">
        <v>2324.15</v>
      </c>
      <c r="E377" s="86" t="s">
        <v>15</v>
      </c>
      <c r="F377" s="93">
        <v>2324.15</v>
      </c>
      <c r="G377" s="93">
        <v>137777.47132000001</v>
      </c>
    </row>
    <row r="378" spans="1:7" s="84" customFormat="1" ht="28.7" customHeight="1" x14ac:dyDescent="0.2"/>
  </sheetData>
  <pageMargins left="0.7" right="0.7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37"/>
  <sheetViews>
    <sheetView workbookViewId="0"/>
  </sheetViews>
  <sheetFormatPr defaultRowHeight="15" x14ac:dyDescent="0.25"/>
  <cols>
    <col min="1" max="6" width="9.140625" style="5"/>
    <col min="7" max="16384" width="9.140625" style="3"/>
  </cols>
  <sheetData>
    <row r="1" spans="1:6" x14ac:dyDescent="0.25">
      <c r="A1" s="88" t="s">
        <v>7169</v>
      </c>
      <c r="B1" s="88" t="s">
        <v>7168</v>
      </c>
      <c r="C1" s="88" t="s">
        <v>4673</v>
      </c>
      <c r="D1" s="88" t="s">
        <v>4672</v>
      </c>
      <c r="E1" s="88" t="s">
        <v>4763</v>
      </c>
      <c r="F1" s="88" t="s">
        <v>4671</v>
      </c>
    </row>
    <row r="2" spans="1:6" x14ac:dyDescent="0.25">
      <c r="A2" s="89" t="s">
        <v>7036</v>
      </c>
      <c r="B2" s="89" t="s">
        <v>7035</v>
      </c>
      <c r="C2" s="89" t="s">
        <v>1095</v>
      </c>
      <c r="D2" s="89">
        <v>5</v>
      </c>
      <c r="E2" s="89">
        <v>1000</v>
      </c>
      <c r="F2" s="89" t="s">
        <v>4650</v>
      </c>
    </row>
    <row r="3" spans="1:6" x14ac:dyDescent="0.25">
      <c r="A3" s="89" t="s">
        <v>5109</v>
      </c>
      <c r="B3" s="89" t="s">
        <v>6892</v>
      </c>
      <c r="C3" s="89" t="s">
        <v>3371</v>
      </c>
      <c r="D3" s="89">
        <v>5</v>
      </c>
      <c r="E3" s="89">
        <v>1000</v>
      </c>
      <c r="F3" s="89" t="s">
        <v>4650</v>
      </c>
    </row>
    <row r="4" spans="1:6" x14ac:dyDescent="0.25">
      <c r="A4" s="89" t="s">
        <v>7170</v>
      </c>
      <c r="B4" s="89" t="s">
        <v>7171</v>
      </c>
      <c r="C4" s="89" t="s">
        <v>7172</v>
      </c>
      <c r="D4" s="89">
        <v>1</v>
      </c>
      <c r="E4" s="89">
        <v>1</v>
      </c>
      <c r="F4" s="89" t="s">
        <v>15</v>
      </c>
    </row>
    <row r="5" spans="1:6" x14ac:dyDescent="0.25">
      <c r="A5" s="89" t="s">
        <v>6466</v>
      </c>
      <c r="B5" s="89" t="s">
        <v>6465</v>
      </c>
      <c r="C5" s="89" t="s">
        <v>6464</v>
      </c>
      <c r="D5" s="89">
        <v>5</v>
      </c>
      <c r="E5" s="89">
        <v>1</v>
      </c>
      <c r="F5" s="89" t="s">
        <v>15</v>
      </c>
    </row>
    <row r="6" spans="1:6" x14ac:dyDescent="0.25">
      <c r="A6" s="89" t="s">
        <v>5059</v>
      </c>
      <c r="B6" s="89" t="s">
        <v>6847</v>
      </c>
      <c r="C6" s="89" t="s">
        <v>5060</v>
      </c>
      <c r="D6" s="89">
        <v>5</v>
      </c>
      <c r="E6" s="89">
        <v>1</v>
      </c>
      <c r="F6" s="89" t="s">
        <v>7749</v>
      </c>
    </row>
    <row r="7" spans="1:6" x14ac:dyDescent="0.25">
      <c r="A7" s="89" t="s">
        <v>7173</v>
      </c>
      <c r="B7" s="89" t="s">
        <v>7174</v>
      </c>
      <c r="C7" s="89" t="s">
        <v>7175</v>
      </c>
      <c r="D7" s="89">
        <v>1</v>
      </c>
      <c r="E7" s="89">
        <v>1</v>
      </c>
      <c r="F7" s="89" t="s">
        <v>15</v>
      </c>
    </row>
    <row r="8" spans="1:6" x14ac:dyDescent="0.25">
      <c r="A8" s="89" t="s">
        <v>5494</v>
      </c>
      <c r="B8" s="89" t="s">
        <v>6656</v>
      </c>
      <c r="C8" s="89" t="s">
        <v>1002</v>
      </c>
      <c r="D8" s="89">
        <v>5</v>
      </c>
      <c r="E8" s="89">
        <v>1000</v>
      </c>
      <c r="F8" s="89" t="s">
        <v>4650</v>
      </c>
    </row>
    <row r="9" spans="1:6" x14ac:dyDescent="0.25">
      <c r="A9" s="89" t="s">
        <v>6534</v>
      </c>
      <c r="B9" s="89" t="s">
        <v>6533</v>
      </c>
      <c r="C9" s="89" t="s">
        <v>2558</v>
      </c>
      <c r="D9" s="89">
        <v>5</v>
      </c>
      <c r="E9" s="89">
        <v>1000</v>
      </c>
      <c r="F9" s="89" t="s">
        <v>4650</v>
      </c>
    </row>
    <row r="10" spans="1:6" x14ac:dyDescent="0.25">
      <c r="A10" s="89" t="s">
        <v>6701</v>
      </c>
      <c r="B10" s="89" t="s">
        <v>6700</v>
      </c>
      <c r="C10" s="89" t="s">
        <v>6699</v>
      </c>
      <c r="D10" s="89">
        <v>5</v>
      </c>
      <c r="E10" s="89">
        <v>1</v>
      </c>
      <c r="F10" s="89" t="s">
        <v>7749</v>
      </c>
    </row>
    <row r="11" spans="1:6" x14ac:dyDescent="0.25">
      <c r="A11" s="89" t="s">
        <v>7138</v>
      </c>
      <c r="B11" s="89" t="s">
        <v>7137</v>
      </c>
      <c r="C11" s="89" t="s">
        <v>7136</v>
      </c>
      <c r="D11" s="89">
        <v>5</v>
      </c>
      <c r="E11" s="89">
        <v>1000</v>
      </c>
      <c r="F11" s="89" t="s">
        <v>4650</v>
      </c>
    </row>
    <row r="12" spans="1:6" x14ac:dyDescent="0.25">
      <c r="A12" s="89" t="s">
        <v>7002</v>
      </c>
      <c r="B12" s="89" t="s">
        <v>7001</v>
      </c>
      <c r="C12" s="89" t="s">
        <v>941</v>
      </c>
      <c r="D12" s="89">
        <v>5</v>
      </c>
      <c r="E12" s="89">
        <v>1000</v>
      </c>
      <c r="F12" s="89" t="s">
        <v>4650</v>
      </c>
    </row>
    <row r="13" spans="1:6" x14ac:dyDescent="0.25">
      <c r="A13" s="89" t="s">
        <v>5402</v>
      </c>
      <c r="B13" s="89" t="s">
        <v>6404</v>
      </c>
      <c r="C13" s="89" t="s">
        <v>5403</v>
      </c>
      <c r="D13" s="89">
        <v>5</v>
      </c>
      <c r="E13" s="89">
        <v>1</v>
      </c>
      <c r="F13" s="89" t="s">
        <v>15</v>
      </c>
    </row>
    <row r="14" spans="1:6" x14ac:dyDescent="0.25">
      <c r="A14" s="89" t="s">
        <v>7031</v>
      </c>
      <c r="B14" s="89" t="s">
        <v>7030</v>
      </c>
      <c r="C14" s="89" t="s">
        <v>7029</v>
      </c>
      <c r="D14" s="89">
        <v>5</v>
      </c>
      <c r="E14" s="89">
        <v>1</v>
      </c>
      <c r="F14" s="89" t="s">
        <v>15</v>
      </c>
    </row>
    <row r="15" spans="1:6" x14ac:dyDescent="0.25">
      <c r="A15" s="89" t="s">
        <v>5509</v>
      </c>
      <c r="B15" s="89" t="s">
        <v>6984</v>
      </c>
      <c r="C15" s="89" t="s">
        <v>3965</v>
      </c>
      <c r="D15" s="89">
        <v>5</v>
      </c>
      <c r="E15" s="89">
        <v>1000</v>
      </c>
      <c r="F15" s="89" t="s">
        <v>4650</v>
      </c>
    </row>
    <row r="16" spans="1:6" x14ac:dyDescent="0.25">
      <c r="A16" s="89" t="s">
        <v>5544</v>
      </c>
      <c r="B16" s="89" t="s">
        <v>7176</v>
      </c>
      <c r="C16" s="89" t="s">
        <v>5545</v>
      </c>
      <c r="D16" s="89">
        <v>1</v>
      </c>
      <c r="E16" s="89">
        <v>1</v>
      </c>
      <c r="F16" s="89" t="s">
        <v>7272</v>
      </c>
    </row>
    <row r="17" spans="1:6" x14ac:dyDescent="0.25">
      <c r="A17" s="89" t="s">
        <v>7177</v>
      </c>
      <c r="B17" s="89" t="s">
        <v>7178</v>
      </c>
      <c r="C17" s="89" t="s">
        <v>7179</v>
      </c>
      <c r="D17" s="89">
        <v>1</v>
      </c>
      <c r="E17" s="89">
        <v>1</v>
      </c>
      <c r="F17" s="89" t="s">
        <v>15</v>
      </c>
    </row>
    <row r="18" spans="1:6" x14ac:dyDescent="0.25">
      <c r="A18" s="89" t="s">
        <v>5189</v>
      </c>
      <c r="B18" s="89" t="s">
        <v>4740</v>
      </c>
      <c r="C18" s="89" t="s">
        <v>4741</v>
      </c>
      <c r="D18" s="89">
        <v>5</v>
      </c>
      <c r="E18" s="89">
        <v>1</v>
      </c>
      <c r="F18" s="89" t="s">
        <v>15</v>
      </c>
    </row>
    <row r="19" spans="1:6" x14ac:dyDescent="0.25">
      <c r="A19" s="89" t="s">
        <v>7180</v>
      </c>
      <c r="B19" s="89" t="s">
        <v>7181</v>
      </c>
      <c r="C19" s="89" t="s">
        <v>7182</v>
      </c>
      <c r="D19" s="89">
        <v>1</v>
      </c>
      <c r="E19" s="89">
        <v>1</v>
      </c>
      <c r="F19" s="89" t="s">
        <v>15</v>
      </c>
    </row>
    <row r="20" spans="1:6" x14ac:dyDescent="0.25">
      <c r="A20" s="89" t="s">
        <v>5595</v>
      </c>
      <c r="B20" s="89" t="s">
        <v>6416</v>
      </c>
      <c r="C20" s="89" t="s">
        <v>5596</v>
      </c>
      <c r="D20" s="89">
        <v>5</v>
      </c>
      <c r="E20" s="89">
        <v>1</v>
      </c>
      <c r="F20" s="89" t="s">
        <v>15</v>
      </c>
    </row>
    <row r="21" spans="1:6" x14ac:dyDescent="0.25">
      <c r="A21" s="89" t="s">
        <v>6459</v>
      </c>
      <c r="B21" s="89" t="s">
        <v>6458</v>
      </c>
      <c r="C21" s="89" t="s">
        <v>6457</v>
      </c>
      <c r="D21" s="89">
        <v>5</v>
      </c>
      <c r="E21" s="89">
        <v>1</v>
      </c>
      <c r="F21" s="89" t="s">
        <v>15</v>
      </c>
    </row>
    <row r="22" spans="1:6" x14ac:dyDescent="0.25">
      <c r="A22" s="89" t="s">
        <v>4812</v>
      </c>
      <c r="B22" s="89" t="s">
        <v>4666</v>
      </c>
      <c r="C22" s="89" t="s">
        <v>4675</v>
      </c>
      <c r="D22" s="89">
        <v>1</v>
      </c>
      <c r="E22" s="89">
        <v>1</v>
      </c>
      <c r="F22" s="89" t="s">
        <v>15</v>
      </c>
    </row>
    <row r="23" spans="1:6" x14ac:dyDescent="0.25">
      <c r="A23" s="89" t="s">
        <v>5495</v>
      </c>
      <c r="B23" s="89" t="s">
        <v>7139</v>
      </c>
      <c r="C23" s="89" t="s">
        <v>1006</v>
      </c>
      <c r="D23" s="89">
        <v>5</v>
      </c>
      <c r="E23" s="89">
        <v>1000</v>
      </c>
      <c r="F23" s="89" t="s">
        <v>4650</v>
      </c>
    </row>
    <row r="24" spans="1:6" x14ac:dyDescent="0.25">
      <c r="A24" s="89" t="s">
        <v>7183</v>
      </c>
      <c r="B24" s="89" t="s">
        <v>7184</v>
      </c>
      <c r="C24" s="89" t="s">
        <v>429</v>
      </c>
      <c r="D24" s="89">
        <v>1</v>
      </c>
      <c r="E24" s="89">
        <v>1</v>
      </c>
      <c r="F24" s="89" t="s">
        <v>4650</v>
      </c>
    </row>
    <row r="25" spans="1:6" x14ac:dyDescent="0.25">
      <c r="A25" s="89" t="s">
        <v>7185</v>
      </c>
      <c r="B25" s="89" t="s">
        <v>7186</v>
      </c>
      <c r="C25" s="89" t="s">
        <v>7187</v>
      </c>
      <c r="D25" s="89">
        <v>1</v>
      </c>
      <c r="E25" s="89">
        <v>1</v>
      </c>
      <c r="F25" s="89" t="s">
        <v>7663</v>
      </c>
    </row>
    <row r="26" spans="1:6" x14ac:dyDescent="0.25">
      <c r="A26" s="89" t="s">
        <v>7188</v>
      </c>
      <c r="B26" s="89" t="s">
        <v>7189</v>
      </c>
      <c r="C26" s="89" t="s">
        <v>7190</v>
      </c>
      <c r="D26" s="89">
        <v>1</v>
      </c>
      <c r="E26" s="89">
        <v>1</v>
      </c>
      <c r="F26" s="89" t="s">
        <v>15</v>
      </c>
    </row>
    <row r="27" spans="1:6" x14ac:dyDescent="0.25">
      <c r="A27" s="89" t="s">
        <v>5102</v>
      </c>
      <c r="B27" s="89" t="s">
        <v>7191</v>
      </c>
      <c r="C27" s="89" t="s">
        <v>5103</v>
      </c>
      <c r="D27" s="89">
        <v>1</v>
      </c>
      <c r="E27" s="89">
        <v>1</v>
      </c>
      <c r="F27" s="89" t="s">
        <v>15</v>
      </c>
    </row>
    <row r="28" spans="1:6" x14ac:dyDescent="0.25">
      <c r="A28" s="89" t="s">
        <v>5619</v>
      </c>
      <c r="B28" s="89" t="s">
        <v>6985</v>
      </c>
      <c r="C28" s="89" t="s">
        <v>1826</v>
      </c>
      <c r="D28" s="89">
        <v>5</v>
      </c>
      <c r="E28" s="89">
        <v>1000</v>
      </c>
      <c r="F28" s="89" t="s">
        <v>4650</v>
      </c>
    </row>
    <row r="29" spans="1:6" x14ac:dyDescent="0.25">
      <c r="A29" s="89" t="s">
        <v>5354</v>
      </c>
      <c r="B29" s="89" t="s">
        <v>7192</v>
      </c>
      <c r="C29" s="89" t="s">
        <v>5355</v>
      </c>
      <c r="D29" s="89">
        <v>1</v>
      </c>
      <c r="E29" s="89">
        <v>1</v>
      </c>
      <c r="F29" s="89" t="s">
        <v>15</v>
      </c>
    </row>
    <row r="30" spans="1:6" x14ac:dyDescent="0.25">
      <c r="A30" s="89" t="s">
        <v>6873</v>
      </c>
      <c r="B30" s="89" t="s">
        <v>6872</v>
      </c>
      <c r="C30" s="89" t="s">
        <v>6871</v>
      </c>
      <c r="D30" s="89">
        <v>5</v>
      </c>
      <c r="E30" s="89">
        <v>1</v>
      </c>
      <c r="F30" s="89" t="s">
        <v>15</v>
      </c>
    </row>
    <row r="31" spans="1:6" x14ac:dyDescent="0.25">
      <c r="A31" s="89" t="s">
        <v>5277</v>
      </c>
      <c r="B31" s="89" t="s">
        <v>7193</v>
      </c>
      <c r="C31" s="89" t="s">
        <v>5278</v>
      </c>
      <c r="D31" s="89">
        <v>1</v>
      </c>
      <c r="E31" s="89">
        <v>1</v>
      </c>
      <c r="F31" s="89" t="s">
        <v>7749</v>
      </c>
    </row>
    <row r="32" spans="1:6" x14ac:dyDescent="0.25">
      <c r="A32" s="89" t="s">
        <v>4871</v>
      </c>
      <c r="B32" s="89" t="s">
        <v>6609</v>
      </c>
      <c r="C32" s="89" t="s">
        <v>4872</v>
      </c>
      <c r="D32" s="89">
        <v>5</v>
      </c>
      <c r="E32" s="89">
        <v>1</v>
      </c>
      <c r="F32" s="89" t="s">
        <v>15</v>
      </c>
    </row>
    <row r="33" spans="1:6" x14ac:dyDescent="0.25">
      <c r="A33" s="89" t="s">
        <v>6578</v>
      </c>
      <c r="B33" s="89" t="s">
        <v>6577</v>
      </c>
      <c r="C33" s="89" t="s">
        <v>3980</v>
      </c>
      <c r="D33" s="89">
        <v>5</v>
      </c>
      <c r="E33" s="89">
        <v>1000</v>
      </c>
      <c r="F33" s="89" t="s">
        <v>4650</v>
      </c>
    </row>
    <row r="34" spans="1:6" x14ac:dyDescent="0.25">
      <c r="A34" s="89" t="s">
        <v>5127</v>
      </c>
      <c r="B34" s="89" t="s">
        <v>6832</v>
      </c>
      <c r="C34" s="89" t="s">
        <v>4529</v>
      </c>
      <c r="D34" s="89">
        <v>5</v>
      </c>
      <c r="E34" s="89">
        <v>1000</v>
      </c>
      <c r="F34" s="89" t="s">
        <v>4650</v>
      </c>
    </row>
    <row r="35" spans="1:6" x14ac:dyDescent="0.25">
      <c r="A35" s="89" t="s">
        <v>5066</v>
      </c>
      <c r="B35" s="89" t="s">
        <v>6398</v>
      </c>
      <c r="C35" s="89" t="s">
        <v>26</v>
      </c>
      <c r="D35" s="89">
        <v>5</v>
      </c>
      <c r="E35" s="89">
        <v>1000</v>
      </c>
      <c r="F35" s="89" t="s">
        <v>4650</v>
      </c>
    </row>
    <row r="36" spans="1:6" x14ac:dyDescent="0.25">
      <c r="A36" s="89" t="s">
        <v>5655</v>
      </c>
      <c r="B36" s="89" t="s">
        <v>7061</v>
      </c>
      <c r="C36" s="89" t="s">
        <v>5656</v>
      </c>
      <c r="D36" s="89">
        <v>5</v>
      </c>
      <c r="E36" s="89">
        <v>1</v>
      </c>
      <c r="F36" s="89" t="s">
        <v>15</v>
      </c>
    </row>
    <row r="37" spans="1:6" x14ac:dyDescent="0.25">
      <c r="A37" s="89" t="s">
        <v>7194</v>
      </c>
      <c r="B37" s="89" t="s">
        <v>7195</v>
      </c>
      <c r="C37" s="89" t="s">
        <v>7196</v>
      </c>
      <c r="D37" s="89">
        <v>1</v>
      </c>
      <c r="E37" s="89">
        <v>1</v>
      </c>
      <c r="F37" s="89" t="s">
        <v>15</v>
      </c>
    </row>
    <row r="38" spans="1:6" x14ac:dyDescent="0.25">
      <c r="A38" s="89" t="s">
        <v>6807</v>
      </c>
      <c r="B38" s="89" t="s">
        <v>6806</v>
      </c>
      <c r="C38" s="89" t="s">
        <v>6805</v>
      </c>
      <c r="D38" s="89">
        <v>5</v>
      </c>
      <c r="E38" s="89">
        <v>1</v>
      </c>
      <c r="F38" s="89" t="s">
        <v>15</v>
      </c>
    </row>
    <row r="39" spans="1:6" x14ac:dyDescent="0.25">
      <c r="A39" s="89" t="s">
        <v>6543</v>
      </c>
      <c r="B39" s="89" t="s">
        <v>6542</v>
      </c>
      <c r="C39" s="89" t="s">
        <v>6541</v>
      </c>
      <c r="D39" s="89">
        <v>5</v>
      </c>
      <c r="E39" s="89">
        <v>1</v>
      </c>
      <c r="F39" s="89" t="s">
        <v>15</v>
      </c>
    </row>
    <row r="40" spans="1:6" x14ac:dyDescent="0.25">
      <c r="A40" s="89" t="s">
        <v>5302</v>
      </c>
      <c r="B40" s="89" t="s">
        <v>6608</v>
      </c>
      <c r="C40" s="89" t="s">
        <v>5303</v>
      </c>
      <c r="D40" s="89">
        <v>5</v>
      </c>
      <c r="E40" s="89">
        <v>1</v>
      </c>
      <c r="F40" s="89" t="s">
        <v>15</v>
      </c>
    </row>
    <row r="41" spans="1:6" x14ac:dyDescent="0.25">
      <c r="A41" s="89" t="s">
        <v>7197</v>
      </c>
      <c r="B41" s="89" t="s">
        <v>7198</v>
      </c>
      <c r="C41" s="89" t="s">
        <v>7199</v>
      </c>
      <c r="D41" s="89">
        <v>1</v>
      </c>
      <c r="E41" s="89">
        <v>1</v>
      </c>
      <c r="F41" s="89" t="s">
        <v>15</v>
      </c>
    </row>
    <row r="42" spans="1:6" x14ac:dyDescent="0.25">
      <c r="A42" s="89" t="s">
        <v>5649</v>
      </c>
      <c r="B42" s="89" t="s">
        <v>6803</v>
      </c>
      <c r="C42" s="89" t="s">
        <v>976</v>
      </c>
      <c r="D42" s="89">
        <v>5</v>
      </c>
      <c r="E42" s="89">
        <v>1000</v>
      </c>
      <c r="F42" s="89" t="s">
        <v>4650</v>
      </c>
    </row>
    <row r="43" spans="1:6" x14ac:dyDescent="0.25">
      <c r="A43" s="89" t="s">
        <v>5004</v>
      </c>
      <c r="B43" s="89" t="s">
        <v>6562</v>
      </c>
      <c r="C43" s="89" t="s">
        <v>5005</v>
      </c>
      <c r="D43" s="89">
        <v>5</v>
      </c>
      <c r="E43" s="89">
        <v>1</v>
      </c>
      <c r="F43" s="89" t="s">
        <v>15</v>
      </c>
    </row>
    <row r="44" spans="1:6" x14ac:dyDescent="0.25">
      <c r="A44" s="89" t="s">
        <v>5252</v>
      </c>
      <c r="B44" s="89" t="s">
        <v>6655</v>
      </c>
      <c r="C44" s="89" t="s">
        <v>5253</v>
      </c>
      <c r="D44" s="89">
        <v>5</v>
      </c>
      <c r="E44" s="89">
        <v>1</v>
      </c>
      <c r="F44" s="89" t="s">
        <v>15</v>
      </c>
    </row>
    <row r="45" spans="1:6" x14ac:dyDescent="0.25">
      <c r="A45" s="89" t="s">
        <v>7200</v>
      </c>
      <c r="B45" s="89" t="s">
        <v>7201</v>
      </c>
      <c r="C45" s="89" t="s">
        <v>235</v>
      </c>
      <c r="D45" s="89">
        <v>1</v>
      </c>
      <c r="E45" s="89">
        <v>1</v>
      </c>
      <c r="F45" s="89" t="s">
        <v>4650</v>
      </c>
    </row>
    <row r="46" spans="1:6" x14ac:dyDescent="0.25">
      <c r="A46" s="89" t="s">
        <v>5384</v>
      </c>
      <c r="B46" s="89" t="s">
        <v>7202</v>
      </c>
      <c r="C46" s="89" t="s">
        <v>5385</v>
      </c>
      <c r="D46" s="89">
        <v>1</v>
      </c>
      <c r="E46" s="89">
        <v>1</v>
      </c>
      <c r="F46" s="89" t="s">
        <v>15</v>
      </c>
    </row>
    <row r="47" spans="1:6" x14ac:dyDescent="0.25">
      <c r="A47" s="89" t="s">
        <v>6698</v>
      </c>
      <c r="B47" s="89" t="s">
        <v>6697</v>
      </c>
      <c r="C47" s="89" t="s">
        <v>6696</v>
      </c>
      <c r="D47" s="89">
        <v>5</v>
      </c>
      <c r="E47" s="89">
        <v>1000</v>
      </c>
      <c r="F47" s="89" t="s">
        <v>4650</v>
      </c>
    </row>
    <row r="48" spans="1:6" x14ac:dyDescent="0.25">
      <c r="A48" s="89" t="s">
        <v>4986</v>
      </c>
      <c r="B48" s="89" t="s">
        <v>6839</v>
      </c>
      <c r="C48" s="89" t="s">
        <v>4987</v>
      </c>
      <c r="D48" s="89">
        <v>5</v>
      </c>
      <c r="E48" s="89">
        <v>1</v>
      </c>
      <c r="F48" s="89" t="s">
        <v>15</v>
      </c>
    </row>
    <row r="49" spans="1:6" x14ac:dyDescent="0.25">
      <c r="A49" s="89" t="s">
        <v>5496</v>
      </c>
      <c r="B49" s="89" t="s">
        <v>4746</v>
      </c>
      <c r="C49" s="89" t="s">
        <v>1763</v>
      </c>
      <c r="D49" s="89">
        <v>5</v>
      </c>
      <c r="E49" s="89">
        <v>1000</v>
      </c>
      <c r="F49" s="89" t="s">
        <v>4650</v>
      </c>
    </row>
    <row r="50" spans="1:6" x14ac:dyDescent="0.25">
      <c r="A50" s="89" t="s">
        <v>5282</v>
      </c>
      <c r="B50" s="89" t="s">
        <v>6915</v>
      </c>
      <c r="C50" s="89" t="s">
        <v>5283</v>
      </c>
      <c r="D50" s="89">
        <v>5</v>
      </c>
      <c r="E50" s="89">
        <v>1</v>
      </c>
      <c r="F50" s="89" t="s">
        <v>15</v>
      </c>
    </row>
    <row r="51" spans="1:6" x14ac:dyDescent="0.25">
      <c r="A51" s="89" t="s">
        <v>6521</v>
      </c>
      <c r="B51" s="89" t="s">
        <v>6520</v>
      </c>
      <c r="C51" s="89" t="s">
        <v>6519</v>
      </c>
      <c r="D51" s="89">
        <v>5</v>
      </c>
      <c r="E51" s="89">
        <v>1</v>
      </c>
      <c r="F51" s="89" t="s">
        <v>15</v>
      </c>
    </row>
    <row r="52" spans="1:6" x14ac:dyDescent="0.25">
      <c r="A52" s="89" t="s">
        <v>4913</v>
      </c>
      <c r="B52" s="89" t="s">
        <v>6857</v>
      </c>
      <c r="C52" s="89" t="s">
        <v>4914</v>
      </c>
      <c r="D52" s="89">
        <v>5</v>
      </c>
      <c r="E52" s="89">
        <v>1</v>
      </c>
      <c r="F52" s="89" t="s">
        <v>15</v>
      </c>
    </row>
    <row r="53" spans="1:6" x14ac:dyDescent="0.25">
      <c r="A53" s="89" t="s">
        <v>4996</v>
      </c>
      <c r="B53" s="89" t="s">
        <v>6954</v>
      </c>
      <c r="C53" s="89" t="s">
        <v>4997</v>
      </c>
      <c r="D53" s="89">
        <v>5</v>
      </c>
      <c r="E53" s="89">
        <v>1</v>
      </c>
      <c r="F53" s="89" t="s">
        <v>15</v>
      </c>
    </row>
    <row r="54" spans="1:6" x14ac:dyDescent="0.25">
      <c r="A54" s="89" t="s">
        <v>5077</v>
      </c>
      <c r="B54" s="89" t="s">
        <v>6632</v>
      </c>
      <c r="C54" s="89" t="s">
        <v>2054</v>
      </c>
      <c r="D54" s="89">
        <v>5</v>
      </c>
      <c r="E54" s="89">
        <v>1000</v>
      </c>
      <c r="F54" s="89" t="s">
        <v>4650</v>
      </c>
    </row>
    <row r="55" spans="1:6" x14ac:dyDescent="0.25">
      <c r="A55" s="89" t="s">
        <v>7203</v>
      </c>
      <c r="B55" s="89" t="s">
        <v>7203</v>
      </c>
      <c r="C55" s="89" t="s">
        <v>7204</v>
      </c>
      <c r="D55" s="89">
        <v>10</v>
      </c>
      <c r="E55" s="89">
        <v>1</v>
      </c>
      <c r="F55" s="89" t="s">
        <v>4650</v>
      </c>
    </row>
    <row r="56" spans="1:6" x14ac:dyDescent="0.25">
      <c r="A56" s="89" t="s">
        <v>5011</v>
      </c>
      <c r="B56" s="89" t="s">
        <v>6983</v>
      </c>
      <c r="C56" s="89" t="s">
        <v>24</v>
      </c>
      <c r="D56" s="89">
        <v>5</v>
      </c>
      <c r="E56" s="89">
        <v>1000</v>
      </c>
      <c r="F56" s="89" t="s">
        <v>4650</v>
      </c>
    </row>
    <row r="57" spans="1:6" x14ac:dyDescent="0.25">
      <c r="A57" s="89" t="s">
        <v>5055</v>
      </c>
      <c r="B57" s="89" t="s">
        <v>6986</v>
      </c>
      <c r="C57" s="89" t="s">
        <v>5056</v>
      </c>
      <c r="D57" s="89">
        <v>5</v>
      </c>
      <c r="E57" s="89">
        <v>1</v>
      </c>
      <c r="F57" s="89" t="s">
        <v>15</v>
      </c>
    </row>
    <row r="58" spans="1:6" x14ac:dyDescent="0.25">
      <c r="A58" s="89" t="s">
        <v>5099</v>
      </c>
      <c r="B58" s="89" t="s">
        <v>7205</v>
      </c>
      <c r="C58" s="89" t="s">
        <v>491</v>
      </c>
      <c r="D58" s="89">
        <v>1</v>
      </c>
      <c r="E58" s="89">
        <v>1</v>
      </c>
      <c r="F58" s="89" t="s">
        <v>4650</v>
      </c>
    </row>
    <row r="59" spans="1:6" x14ac:dyDescent="0.25">
      <c r="A59" s="89" t="s">
        <v>5237</v>
      </c>
      <c r="B59" s="89" t="s">
        <v>7206</v>
      </c>
      <c r="C59" s="89" t="s">
        <v>5238</v>
      </c>
      <c r="D59" s="89">
        <v>1</v>
      </c>
      <c r="E59" s="89">
        <v>1</v>
      </c>
      <c r="F59" s="89" t="s">
        <v>15</v>
      </c>
    </row>
    <row r="60" spans="1:6" x14ac:dyDescent="0.25">
      <c r="A60" s="89" t="s">
        <v>6829</v>
      </c>
      <c r="B60" s="89" t="s">
        <v>6828</v>
      </c>
      <c r="C60" s="89" t="s">
        <v>6827</v>
      </c>
      <c r="D60" s="89">
        <v>5</v>
      </c>
      <c r="E60" s="89">
        <v>1</v>
      </c>
      <c r="F60" s="89" t="s">
        <v>15</v>
      </c>
    </row>
    <row r="61" spans="1:6" x14ac:dyDescent="0.25">
      <c r="A61" s="89" t="s">
        <v>5305</v>
      </c>
      <c r="B61" s="89" t="s">
        <v>7044</v>
      </c>
      <c r="C61" s="89" t="s">
        <v>1364</v>
      </c>
      <c r="D61" s="89">
        <v>5</v>
      </c>
      <c r="E61" s="89">
        <v>1000</v>
      </c>
      <c r="F61" s="89" t="s">
        <v>4650</v>
      </c>
    </row>
    <row r="62" spans="1:6" x14ac:dyDescent="0.25">
      <c r="A62" s="89" t="s">
        <v>5289</v>
      </c>
      <c r="B62" s="89" t="s">
        <v>7060</v>
      </c>
      <c r="C62" s="89" t="s">
        <v>5290</v>
      </c>
      <c r="D62" s="89">
        <v>5</v>
      </c>
      <c r="E62" s="89">
        <v>1</v>
      </c>
      <c r="F62" s="89" t="s">
        <v>15</v>
      </c>
    </row>
    <row r="63" spans="1:6" x14ac:dyDescent="0.25">
      <c r="A63" s="89" t="s">
        <v>6729</v>
      </c>
      <c r="B63" s="89" t="s">
        <v>6728</v>
      </c>
      <c r="C63" s="89" t="s">
        <v>3560</v>
      </c>
      <c r="D63" s="89">
        <v>5</v>
      </c>
      <c r="E63" s="89">
        <v>1000</v>
      </c>
      <c r="F63" s="89" t="s">
        <v>4650</v>
      </c>
    </row>
    <row r="64" spans="1:6" x14ac:dyDescent="0.25">
      <c r="A64" s="89" t="s">
        <v>4811</v>
      </c>
      <c r="B64" s="89" t="s">
        <v>4658</v>
      </c>
      <c r="C64" s="89" t="s">
        <v>4659</v>
      </c>
      <c r="D64" s="89">
        <v>1</v>
      </c>
      <c r="E64" s="89">
        <v>1</v>
      </c>
      <c r="F64" s="89" t="s">
        <v>4690</v>
      </c>
    </row>
    <row r="65" spans="1:6" x14ac:dyDescent="0.25">
      <c r="A65" s="89" t="s">
        <v>5345</v>
      </c>
      <c r="B65" s="89" t="s">
        <v>6631</v>
      </c>
      <c r="C65" s="89" t="s">
        <v>5346</v>
      </c>
      <c r="D65" s="89">
        <v>5</v>
      </c>
      <c r="E65" s="89">
        <v>1</v>
      </c>
      <c r="F65" s="89" t="s">
        <v>15</v>
      </c>
    </row>
    <row r="66" spans="1:6" x14ac:dyDescent="0.25">
      <c r="A66" s="89" t="s">
        <v>5472</v>
      </c>
      <c r="B66" s="89" t="s">
        <v>6681</v>
      </c>
      <c r="C66" s="89" t="s">
        <v>5473</v>
      </c>
      <c r="D66" s="89">
        <v>5</v>
      </c>
      <c r="E66" s="89">
        <v>1</v>
      </c>
      <c r="F66" s="89" t="s">
        <v>7749</v>
      </c>
    </row>
    <row r="67" spans="1:6" x14ac:dyDescent="0.25">
      <c r="A67" s="89" t="s">
        <v>5537</v>
      </c>
      <c r="B67" s="89" t="s">
        <v>7207</v>
      </c>
      <c r="C67" s="89" t="s">
        <v>5538</v>
      </c>
      <c r="D67" s="89">
        <v>1</v>
      </c>
      <c r="E67" s="89">
        <v>1</v>
      </c>
      <c r="F67" s="89" t="s">
        <v>15</v>
      </c>
    </row>
    <row r="68" spans="1:6" x14ac:dyDescent="0.25">
      <c r="A68" s="89" t="s">
        <v>5140</v>
      </c>
      <c r="B68" s="89" t="s">
        <v>7208</v>
      </c>
      <c r="C68" s="89" t="s">
        <v>138</v>
      </c>
      <c r="D68" s="89">
        <v>1</v>
      </c>
      <c r="E68" s="89">
        <v>1</v>
      </c>
      <c r="F68" s="89" t="s">
        <v>4650</v>
      </c>
    </row>
    <row r="69" spans="1:6" x14ac:dyDescent="0.25">
      <c r="A69" s="89" t="s">
        <v>6445</v>
      </c>
      <c r="B69" s="89" t="s">
        <v>6444</v>
      </c>
      <c r="C69" s="89" t="s">
        <v>6443</v>
      </c>
      <c r="D69" s="89">
        <v>5</v>
      </c>
      <c r="E69" s="89">
        <v>1</v>
      </c>
      <c r="F69" s="89" t="s">
        <v>15</v>
      </c>
    </row>
    <row r="70" spans="1:6" x14ac:dyDescent="0.25">
      <c r="A70" s="89" t="s">
        <v>7209</v>
      </c>
      <c r="B70" s="89" t="s">
        <v>7210</v>
      </c>
      <c r="C70" s="89" t="s">
        <v>7211</v>
      </c>
      <c r="D70" s="89">
        <v>1</v>
      </c>
      <c r="E70" s="89">
        <v>1</v>
      </c>
      <c r="F70" s="89" t="s">
        <v>15</v>
      </c>
    </row>
    <row r="71" spans="1:6" x14ac:dyDescent="0.25">
      <c r="A71" s="89" t="s">
        <v>4919</v>
      </c>
      <c r="B71" s="89" t="s">
        <v>7212</v>
      </c>
      <c r="C71" s="89" t="s">
        <v>694</v>
      </c>
      <c r="D71" s="89">
        <v>1</v>
      </c>
      <c r="E71" s="89">
        <v>1</v>
      </c>
      <c r="F71" s="89" t="s">
        <v>4650</v>
      </c>
    </row>
    <row r="72" spans="1:6" x14ac:dyDescent="0.25">
      <c r="A72" s="89" t="s">
        <v>5482</v>
      </c>
      <c r="B72" s="89" t="s">
        <v>6887</v>
      </c>
      <c r="C72" s="89" t="s">
        <v>2705</v>
      </c>
      <c r="D72" s="89">
        <v>5</v>
      </c>
      <c r="E72" s="89">
        <v>1000</v>
      </c>
      <c r="F72" s="89" t="s">
        <v>4650</v>
      </c>
    </row>
    <row r="73" spans="1:6" x14ac:dyDescent="0.25">
      <c r="A73" s="89" t="s">
        <v>5420</v>
      </c>
      <c r="B73" s="89" t="s">
        <v>7213</v>
      </c>
      <c r="C73" s="89" t="s">
        <v>5421</v>
      </c>
      <c r="D73" s="89">
        <v>1</v>
      </c>
      <c r="E73" s="89">
        <v>1</v>
      </c>
      <c r="F73" s="89" t="s">
        <v>15</v>
      </c>
    </row>
    <row r="74" spans="1:6" x14ac:dyDescent="0.25">
      <c r="A74" s="89" t="s">
        <v>5307</v>
      </c>
      <c r="B74" s="89" t="s">
        <v>7059</v>
      </c>
      <c r="C74" s="89" t="s">
        <v>1841</v>
      </c>
      <c r="D74" s="89">
        <v>5</v>
      </c>
      <c r="E74" s="89">
        <v>1000</v>
      </c>
      <c r="F74" s="89" t="s">
        <v>4650</v>
      </c>
    </row>
    <row r="75" spans="1:6" x14ac:dyDescent="0.25">
      <c r="A75" s="89" t="s">
        <v>4903</v>
      </c>
      <c r="B75" s="89" t="s">
        <v>7135</v>
      </c>
      <c r="C75" s="89" t="s">
        <v>4904</v>
      </c>
      <c r="D75" s="89">
        <v>5</v>
      </c>
      <c r="E75" s="89">
        <v>1</v>
      </c>
      <c r="F75" s="89" t="s">
        <v>15</v>
      </c>
    </row>
    <row r="76" spans="1:6" x14ac:dyDescent="0.25">
      <c r="A76" s="89" t="s">
        <v>5316</v>
      </c>
      <c r="B76" s="89" t="s">
        <v>6987</v>
      </c>
      <c r="C76" s="89" t="s">
        <v>4109</v>
      </c>
      <c r="D76" s="89">
        <v>5</v>
      </c>
      <c r="E76" s="89">
        <v>1000</v>
      </c>
      <c r="F76" s="89" t="s">
        <v>4650</v>
      </c>
    </row>
    <row r="77" spans="1:6" x14ac:dyDescent="0.25">
      <c r="A77" s="89" t="s">
        <v>5000</v>
      </c>
      <c r="B77" s="89" t="s">
        <v>6950</v>
      </c>
      <c r="C77" s="89" t="s">
        <v>5001</v>
      </c>
      <c r="D77" s="89">
        <v>5</v>
      </c>
      <c r="E77" s="89">
        <v>1</v>
      </c>
      <c r="F77" s="89" t="s">
        <v>15</v>
      </c>
    </row>
    <row r="78" spans="1:6" x14ac:dyDescent="0.25">
      <c r="A78" s="89" t="s">
        <v>7217</v>
      </c>
      <c r="B78" s="89" t="s">
        <v>7218</v>
      </c>
      <c r="C78" s="89" t="s">
        <v>7219</v>
      </c>
      <c r="D78" s="89">
        <v>1</v>
      </c>
      <c r="E78" s="89">
        <v>1</v>
      </c>
      <c r="F78" s="89" t="s">
        <v>15</v>
      </c>
    </row>
    <row r="79" spans="1:6" x14ac:dyDescent="0.25">
      <c r="A79" s="89" t="s">
        <v>7214</v>
      </c>
      <c r="B79" s="89" t="s">
        <v>7215</v>
      </c>
      <c r="C79" s="89" t="s">
        <v>7216</v>
      </c>
      <c r="D79" s="89">
        <v>1</v>
      </c>
      <c r="E79" s="89">
        <v>1</v>
      </c>
      <c r="F79" s="89" t="s">
        <v>7749</v>
      </c>
    </row>
    <row r="80" spans="1:6" x14ac:dyDescent="0.25">
      <c r="A80" s="89" t="s">
        <v>5360</v>
      </c>
      <c r="B80" s="89" t="s">
        <v>7220</v>
      </c>
      <c r="C80" s="89" t="s">
        <v>5361</v>
      </c>
      <c r="D80" s="89">
        <v>1</v>
      </c>
      <c r="E80" s="89">
        <v>1</v>
      </c>
      <c r="F80" s="89" t="s">
        <v>15</v>
      </c>
    </row>
    <row r="81" spans="1:6" x14ac:dyDescent="0.25">
      <c r="A81" s="89" t="s">
        <v>7221</v>
      </c>
      <c r="B81" s="89" t="s">
        <v>7222</v>
      </c>
      <c r="C81" s="89" t="s">
        <v>7223</v>
      </c>
      <c r="D81" s="89">
        <v>1</v>
      </c>
      <c r="E81" s="89">
        <v>1</v>
      </c>
      <c r="F81" s="89" t="s">
        <v>15</v>
      </c>
    </row>
    <row r="82" spans="1:6" x14ac:dyDescent="0.25">
      <c r="A82" s="89" t="s">
        <v>5098</v>
      </c>
      <c r="B82" s="89" t="s">
        <v>6468</v>
      </c>
      <c r="C82" s="89" t="s">
        <v>2753</v>
      </c>
      <c r="D82" s="89">
        <v>5</v>
      </c>
      <c r="E82" s="89">
        <v>1000</v>
      </c>
      <c r="F82" s="89" t="s">
        <v>4650</v>
      </c>
    </row>
    <row r="83" spans="1:6" x14ac:dyDescent="0.25">
      <c r="A83" s="89" t="s">
        <v>7224</v>
      </c>
      <c r="B83" s="89" t="s">
        <v>7225</v>
      </c>
      <c r="C83" s="89" t="s">
        <v>7225</v>
      </c>
      <c r="D83" s="89">
        <v>10</v>
      </c>
      <c r="E83" s="89">
        <v>1</v>
      </c>
      <c r="F83" s="89" t="s">
        <v>4650</v>
      </c>
    </row>
    <row r="84" spans="1:6" x14ac:dyDescent="0.25">
      <c r="A84" s="89" t="s">
        <v>6675</v>
      </c>
      <c r="B84" s="89" t="s">
        <v>6674</v>
      </c>
      <c r="C84" s="89" t="s">
        <v>6673</v>
      </c>
      <c r="D84" s="89">
        <v>5</v>
      </c>
      <c r="E84" s="89">
        <v>1</v>
      </c>
      <c r="F84" s="89" t="s">
        <v>7749</v>
      </c>
    </row>
    <row r="85" spans="1:6" x14ac:dyDescent="0.25">
      <c r="A85" s="89" t="s">
        <v>4880</v>
      </c>
      <c r="B85" s="89" t="s">
        <v>7226</v>
      </c>
      <c r="C85" s="89" t="s">
        <v>4881</v>
      </c>
      <c r="D85" s="89">
        <v>1</v>
      </c>
      <c r="E85" s="89">
        <v>1</v>
      </c>
      <c r="F85" s="89" t="s">
        <v>15</v>
      </c>
    </row>
    <row r="86" spans="1:6" x14ac:dyDescent="0.25">
      <c r="A86" s="89" t="s">
        <v>7227</v>
      </c>
      <c r="B86" s="89" t="s">
        <v>7228</v>
      </c>
      <c r="C86" s="89" t="s">
        <v>7229</v>
      </c>
      <c r="D86" s="89">
        <v>1</v>
      </c>
      <c r="E86" s="89">
        <v>1</v>
      </c>
      <c r="F86" s="89" t="s">
        <v>15</v>
      </c>
    </row>
    <row r="87" spans="1:6" x14ac:dyDescent="0.25">
      <c r="A87" s="89" t="s">
        <v>7230</v>
      </c>
      <c r="B87" s="89" t="s">
        <v>7231</v>
      </c>
      <c r="C87" s="89" t="s">
        <v>7232</v>
      </c>
      <c r="D87" s="89">
        <v>1</v>
      </c>
      <c r="E87" s="89">
        <v>1</v>
      </c>
      <c r="F87" s="89" t="s">
        <v>15</v>
      </c>
    </row>
    <row r="88" spans="1:6" x14ac:dyDescent="0.25">
      <c r="A88" s="89" t="s">
        <v>4924</v>
      </c>
      <c r="B88" s="89" t="s">
        <v>7233</v>
      </c>
      <c r="C88" s="89" t="s">
        <v>829</v>
      </c>
      <c r="D88" s="89">
        <v>1</v>
      </c>
      <c r="E88" s="89">
        <v>1</v>
      </c>
      <c r="F88" s="89" t="s">
        <v>4650</v>
      </c>
    </row>
    <row r="89" spans="1:6" x14ac:dyDescent="0.25">
      <c r="A89" s="89" t="s">
        <v>7234</v>
      </c>
      <c r="B89" s="89" t="s">
        <v>7235</v>
      </c>
      <c r="C89" s="89" t="s">
        <v>7235</v>
      </c>
      <c r="D89" s="89">
        <v>15</v>
      </c>
      <c r="E89" s="89">
        <v>10</v>
      </c>
      <c r="F89" s="89" t="s">
        <v>4650</v>
      </c>
    </row>
    <row r="90" spans="1:6" x14ac:dyDescent="0.25">
      <c r="A90" s="89" t="s">
        <v>5256</v>
      </c>
      <c r="B90" s="89" t="s">
        <v>7236</v>
      </c>
      <c r="C90" s="89" t="s">
        <v>5257</v>
      </c>
      <c r="D90" s="89">
        <v>1</v>
      </c>
      <c r="E90" s="89">
        <v>1</v>
      </c>
      <c r="F90" s="89" t="s">
        <v>15</v>
      </c>
    </row>
    <row r="91" spans="1:6" x14ac:dyDescent="0.25">
      <c r="A91" s="89" t="s">
        <v>6453</v>
      </c>
      <c r="B91" s="89" t="s">
        <v>6452</v>
      </c>
      <c r="C91" s="89" t="s">
        <v>6451</v>
      </c>
      <c r="D91" s="89">
        <v>5</v>
      </c>
      <c r="E91" s="89">
        <v>1</v>
      </c>
      <c r="F91" s="89" t="s">
        <v>15</v>
      </c>
    </row>
    <row r="92" spans="1:6" x14ac:dyDescent="0.25">
      <c r="A92" s="89" t="s">
        <v>5014</v>
      </c>
      <c r="B92" s="89" t="s">
        <v>7237</v>
      </c>
      <c r="C92" s="89" t="s">
        <v>5015</v>
      </c>
      <c r="D92" s="89">
        <v>1</v>
      </c>
      <c r="E92" s="89">
        <v>1</v>
      </c>
      <c r="F92" s="89" t="s">
        <v>15</v>
      </c>
    </row>
    <row r="93" spans="1:6" x14ac:dyDescent="0.25">
      <c r="A93" s="89" t="s">
        <v>5197</v>
      </c>
      <c r="B93" s="89" t="s">
        <v>7105</v>
      </c>
      <c r="C93" s="89" t="s">
        <v>1004</v>
      </c>
      <c r="D93" s="89">
        <v>5</v>
      </c>
      <c r="E93" s="89">
        <v>500</v>
      </c>
      <c r="F93" s="89" t="s">
        <v>4650</v>
      </c>
    </row>
    <row r="94" spans="1:6" x14ac:dyDescent="0.25">
      <c r="A94" s="89" t="s">
        <v>7238</v>
      </c>
      <c r="B94" s="89" t="s">
        <v>7239</v>
      </c>
      <c r="C94" s="89" t="s">
        <v>7240</v>
      </c>
      <c r="D94" s="89">
        <v>1</v>
      </c>
      <c r="E94" s="89">
        <v>1</v>
      </c>
      <c r="F94" s="89" t="s">
        <v>15</v>
      </c>
    </row>
    <row r="95" spans="1:6" x14ac:dyDescent="0.25">
      <c r="A95" s="89" t="s">
        <v>4917</v>
      </c>
      <c r="B95" s="89" t="s">
        <v>7241</v>
      </c>
      <c r="C95" s="89" t="s">
        <v>742</v>
      </c>
      <c r="D95" s="89">
        <v>1</v>
      </c>
      <c r="E95" s="89">
        <v>1</v>
      </c>
      <c r="F95" s="89" t="s">
        <v>4650</v>
      </c>
    </row>
    <row r="96" spans="1:6" x14ac:dyDescent="0.25">
      <c r="A96" s="89" t="s">
        <v>7242</v>
      </c>
      <c r="B96" s="89" t="s">
        <v>7243</v>
      </c>
      <c r="C96" s="89" t="s">
        <v>871</v>
      </c>
      <c r="D96" s="89">
        <v>1</v>
      </c>
      <c r="E96" s="89">
        <v>1</v>
      </c>
      <c r="F96" s="89" t="s">
        <v>4650</v>
      </c>
    </row>
    <row r="97" spans="1:6" x14ac:dyDescent="0.25">
      <c r="A97" s="89" t="s">
        <v>5232</v>
      </c>
      <c r="B97" s="89" t="s">
        <v>6885</v>
      </c>
      <c r="C97" s="89" t="s">
        <v>5233</v>
      </c>
      <c r="D97" s="89">
        <v>5</v>
      </c>
      <c r="E97" s="89">
        <v>1</v>
      </c>
      <c r="F97" s="89" t="s">
        <v>15</v>
      </c>
    </row>
    <row r="98" spans="1:6" x14ac:dyDescent="0.25">
      <c r="A98" s="89" t="s">
        <v>4909</v>
      </c>
      <c r="B98" s="89" t="s">
        <v>4771</v>
      </c>
      <c r="C98" s="89" t="s">
        <v>286</v>
      </c>
      <c r="D98" s="89">
        <v>1</v>
      </c>
      <c r="E98" s="89">
        <v>1</v>
      </c>
      <c r="F98" s="89" t="s">
        <v>4650</v>
      </c>
    </row>
    <row r="99" spans="1:6" x14ac:dyDescent="0.25">
      <c r="A99" s="89" t="s">
        <v>6993</v>
      </c>
      <c r="B99" s="89" t="s">
        <v>6992</v>
      </c>
      <c r="C99" s="89" t="s">
        <v>6991</v>
      </c>
      <c r="D99" s="89">
        <v>5</v>
      </c>
      <c r="E99" s="89">
        <v>1</v>
      </c>
      <c r="F99" s="89" t="s">
        <v>15</v>
      </c>
    </row>
    <row r="100" spans="1:6" x14ac:dyDescent="0.25">
      <c r="A100" s="89" t="s">
        <v>7133</v>
      </c>
      <c r="B100" s="89" t="s">
        <v>7132</v>
      </c>
      <c r="C100" s="89" t="s">
        <v>1811</v>
      </c>
      <c r="D100" s="89">
        <v>5</v>
      </c>
      <c r="E100" s="89">
        <v>1000</v>
      </c>
      <c r="F100" s="89" t="s">
        <v>4650</v>
      </c>
    </row>
    <row r="101" spans="1:6" x14ac:dyDescent="0.25">
      <c r="A101" s="89" t="s">
        <v>6573</v>
      </c>
      <c r="B101" s="89" t="s">
        <v>6572</v>
      </c>
      <c r="C101" s="89" t="s">
        <v>6571</v>
      </c>
      <c r="D101" s="89">
        <v>5</v>
      </c>
      <c r="E101" s="89">
        <v>1</v>
      </c>
      <c r="F101" s="89" t="s">
        <v>15</v>
      </c>
    </row>
    <row r="102" spans="1:6" x14ac:dyDescent="0.25">
      <c r="A102" s="89" t="s">
        <v>7096</v>
      </c>
      <c r="B102" s="89" t="s">
        <v>7095</v>
      </c>
      <c r="C102" s="89" t="s">
        <v>7094</v>
      </c>
      <c r="D102" s="89">
        <v>5</v>
      </c>
      <c r="E102" s="89">
        <v>1</v>
      </c>
      <c r="F102" s="89" t="s">
        <v>15</v>
      </c>
    </row>
    <row r="103" spans="1:6" x14ac:dyDescent="0.25">
      <c r="A103" s="89" t="s">
        <v>7244</v>
      </c>
      <c r="B103" s="89" t="s">
        <v>7245</v>
      </c>
      <c r="C103" s="89" t="s">
        <v>7246</v>
      </c>
      <c r="D103" s="89">
        <v>1</v>
      </c>
      <c r="E103" s="89">
        <v>1</v>
      </c>
      <c r="F103" s="89" t="s">
        <v>4650</v>
      </c>
    </row>
    <row r="104" spans="1:6" x14ac:dyDescent="0.25">
      <c r="A104" s="89" t="s">
        <v>4922</v>
      </c>
      <c r="B104" s="89" t="s">
        <v>7247</v>
      </c>
      <c r="C104" s="89" t="s">
        <v>4923</v>
      </c>
      <c r="D104" s="89">
        <v>1</v>
      </c>
      <c r="E104" s="89">
        <v>1</v>
      </c>
      <c r="F104" s="89" t="s">
        <v>15</v>
      </c>
    </row>
    <row r="105" spans="1:6" x14ac:dyDescent="0.25">
      <c r="A105" s="89" t="s">
        <v>4815</v>
      </c>
      <c r="B105" s="89" t="s">
        <v>4764</v>
      </c>
      <c r="C105" s="89" t="s">
        <v>4676</v>
      </c>
      <c r="D105" s="89">
        <v>1</v>
      </c>
      <c r="E105" s="89">
        <v>1</v>
      </c>
      <c r="F105" s="89" t="s">
        <v>15</v>
      </c>
    </row>
    <row r="106" spans="1:6" x14ac:dyDescent="0.25">
      <c r="A106" s="89" t="s">
        <v>5193</v>
      </c>
      <c r="B106" s="89" t="s">
        <v>6958</v>
      </c>
      <c r="C106" s="89" t="s">
        <v>1036</v>
      </c>
      <c r="D106" s="89">
        <v>5</v>
      </c>
      <c r="E106" s="89">
        <v>1</v>
      </c>
      <c r="F106" s="89" t="s">
        <v>4650</v>
      </c>
    </row>
    <row r="107" spans="1:6" x14ac:dyDescent="0.25">
      <c r="A107" s="89" t="s">
        <v>5560</v>
      </c>
      <c r="B107" s="89" t="s">
        <v>6676</v>
      </c>
      <c r="C107" s="89" t="s">
        <v>2129</v>
      </c>
      <c r="D107" s="89">
        <v>5</v>
      </c>
      <c r="E107" s="89">
        <v>1000</v>
      </c>
      <c r="F107" s="89" t="s">
        <v>4650</v>
      </c>
    </row>
    <row r="108" spans="1:6" x14ac:dyDescent="0.25">
      <c r="A108" s="89" t="s">
        <v>5412</v>
      </c>
      <c r="B108" s="89" t="s">
        <v>7248</v>
      </c>
      <c r="C108" s="89" t="s">
        <v>5413</v>
      </c>
      <c r="D108" s="89">
        <v>1</v>
      </c>
      <c r="E108" s="89">
        <v>1</v>
      </c>
      <c r="F108" s="89" t="s">
        <v>15</v>
      </c>
    </row>
    <row r="109" spans="1:6" x14ac:dyDescent="0.25">
      <c r="A109" s="89" t="s">
        <v>5456</v>
      </c>
      <c r="B109" s="89" t="s">
        <v>6654</v>
      </c>
      <c r="C109" s="89" t="s">
        <v>5457</v>
      </c>
      <c r="D109" s="89">
        <v>5</v>
      </c>
      <c r="E109" s="89">
        <v>1</v>
      </c>
      <c r="F109" s="89" t="s">
        <v>15</v>
      </c>
    </row>
    <row r="110" spans="1:6" x14ac:dyDescent="0.25">
      <c r="A110" s="89" t="s">
        <v>5563</v>
      </c>
      <c r="B110" s="89" t="s">
        <v>6680</v>
      </c>
      <c r="C110" s="89" t="s">
        <v>4571</v>
      </c>
      <c r="D110" s="89">
        <v>5</v>
      </c>
      <c r="E110" s="89">
        <v>1000</v>
      </c>
      <c r="F110" s="89" t="s">
        <v>4650</v>
      </c>
    </row>
    <row r="111" spans="1:6" x14ac:dyDescent="0.25">
      <c r="A111" s="89" t="s">
        <v>5120</v>
      </c>
      <c r="B111" s="89" t="s">
        <v>7249</v>
      </c>
      <c r="C111" s="89" t="s">
        <v>48</v>
      </c>
      <c r="D111" s="89">
        <v>1</v>
      </c>
      <c r="E111" s="89">
        <v>1</v>
      </c>
      <c r="F111" s="89" t="s">
        <v>15</v>
      </c>
    </row>
    <row r="112" spans="1:6" x14ac:dyDescent="0.25">
      <c r="A112" s="89" t="s">
        <v>7253</v>
      </c>
      <c r="B112" s="89" t="s">
        <v>7254</v>
      </c>
      <c r="C112" s="89" t="s">
        <v>7255</v>
      </c>
      <c r="D112" s="89">
        <v>1</v>
      </c>
      <c r="E112" s="89">
        <v>1</v>
      </c>
      <c r="F112" s="89" t="s">
        <v>15</v>
      </c>
    </row>
    <row r="113" spans="1:6" x14ac:dyDescent="0.25">
      <c r="A113" s="89" t="s">
        <v>7250</v>
      </c>
      <c r="B113" s="89" t="s">
        <v>7251</v>
      </c>
      <c r="C113" s="89" t="s">
        <v>7252</v>
      </c>
      <c r="D113" s="89">
        <v>1</v>
      </c>
      <c r="E113" s="89">
        <v>1</v>
      </c>
      <c r="F113" s="89" t="s">
        <v>7749</v>
      </c>
    </row>
    <row r="114" spans="1:6" x14ac:dyDescent="0.25">
      <c r="A114" s="89" t="s">
        <v>5339</v>
      </c>
      <c r="B114" s="89" t="s">
        <v>7167</v>
      </c>
      <c r="C114" s="89" t="s">
        <v>5340</v>
      </c>
      <c r="D114" s="89">
        <v>5</v>
      </c>
      <c r="E114" s="89">
        <v>1</v>
      </c>
      <c r="F114" s="89" t="s">
        <v>15</v>
      </c>
    </row>
    <row r="115" spans="1:6" x14ac:dyDescent="0.25">
      <c r="A115" s="89" t="s">
        <v>5366</v>
      </c>
      <c r="B115" s="89" t="s">
        <v>7256</v>
      </c>
      <c r="C115" s="89" t="s">
        <v>5367</v>
      </c>
      <c r="D115" s="89">
        <v>1</v>
      </c>
      <c r="E115" s="89">
        <v>1</v>
      </c>
      <c r="F115" s="89" t="s">
        <v>15</v>
      </c>
    </row>
    <row r="116" spans="1:6" x14ac:dyDescent="0.25">
      <c r="A116" s="89" t="s">
        <v>6976</v>
      </c>
      <c r="B116" s="89" t="s">
        <v>6975</v>
      </c>
      <c r="C116" s="89" t="s">
        <v>6974</v>
      </c>
      <c r="D116" s="89">
        <v>5</v>
      </c>
      <c r="E116" s="89">
        <v>1</v>
      </c>
      <c r="F116" s="89" t="s">
        <v>15</v>
      </c>
    </row>
    <row r="117" spans="1:6" x14ac:dyDescent="0.25">
      <c r="A117" s="89" t="s">
        <v>5198</v>
      </c>
      <c r="B117" s="89" t="s">
        <v>6385</v>
      </c>
      <c r="C117" s="89" t="s">
        <v>27</v>
      </c>
      <c r="D117" s="89">
        <v>5</v>
      </c>
      <c r="E117" s="89">
        <v>1000</v>
      </c>
      <c r="F117" s="89" t="s">
        <v>4650</v>
      </c>
    </row>
    <row r="118" spans="1:6" x14ac:dyDescent="0.25">
      <c r="A118" s="89" t="s">
        <v>7257</v>
      </c>
      <c r="B118" s="89" t="s">
        <v>7258</v>
      </c>
      <c r="C118" s="89" t="s">
        <v>619</v>
      </c>
      <c r="D118" s="89">
        <v>1</v>
      </c>
      <c r="E118" s="89">
        <v>1</v>
      </c>
      <c r="F118" s="89" t="s">
        <v>4650</v>
      </c>
    </row>
    <row r="119" spans="1:6" x14ac:dyDescent="0.25">
      <c r="A119" s="89" t="s">
        <v>7259</v>
      </c>
      <c r="B119" s="89" t="s">
        <v>7260</v>
      </c>
      <c r="C119" s="89" t="s">
        <v>7260</v>
      </c>
      <c r="D119" s="89">
        <v>15</v>
      </c>
      <c r="E119" s="89">
        <v>0.02</v>
      </c>
      <c r="F119" s="89" t="s">
        <v>15</v>
      </c>
    </row>
    <row r="120" spans="1:6" x14ac:dyDescent="0.25">
      <c r="A120" s="89" t="s">
        <v>7261</v>
      </c>
      <c r="B120" s="89" t="s">
        <v>7262</v>
      </c>
      <c r="C120" s="89" t="s">
        <v>7263</v>
      </c>
      <c r="D120" s="89">
        <v>1</v>
      </c>
      <c r="E120" s="89">
        <v>1</v>
      </c>
      <c r="F120" s="89" t="s">
        <v>15</v>
      </c>
    </row>
    <row r="121" spans="1:6" x14ac:dyDescent="0.25">
      <c r="A121" s="89" t="s">
        <v>5088</v>
      </c>
      <c r="B121" s="89" t="s">
        <v>7264</v>
      </c>
      <c r="C121" s="89" t="s">
        <v>5089</v>
      </c>
      <c r="D121" s="89">
        <v>1</v>
      </c>
      <c r="E121" s="89">
        <v>1</v>
      </c>
      <c r="F121" s="89" t="s">
        <v>15</v>
      </c>
    </row>
    <row r="122" spans="1:6" x14ac:dyDescent="0.25">
      <c r="A122" s="89" t="s">
        <v>5057</v>
      </c>
      <c r="B122" s="89" t="s">
        <v>6910</v>
      </c>
      <c r="C122" s="89" t="s">
        <v>5058</v>
      </c>
      <c r="D122" s="89">
        <v>5</v>
      </c>
      <c r="E122" s="89">
        <v>1</v>
      </c>
      <c r="F122" s="89" t="s">
        <v>15</v>
      </c>
    </row>
    <row r="123" spans="1:6" x14ac:dyDescent="0.25">
      <c r="A123" s="89" t="s">
        <v>6456</v>
      </c>
      <c r="B123" s="89" t="s">
        <v>6455</v>
      </c>
      <c r="C123" s="89" t="s">
        <v>6454</v>
      </c>
      <c r="D123" s="89">
        <v>5</v>
      </c>
      <c r="E123" s="89">
        <v>1</v>
      </c>
      <c r="F123" s="89" t="s">
        <v>15</v>
      </c>
    </row>
    <row r="124" spans="1:6" x14ac:dyDescent="0.25">
      <c r="A124" s="89" t="s">
        <v>5157</v>
      </c>
      <c r="B124" s="89" t="s">
        <v>6469</v>
      </c>
      <c r="C124" s="89" t="s">
        <v>5158</v>
      </c>
      <c r="D124" s="89">
        <v>5</v>
      </c>
      <c r="E124" s="89">
        <v>1</v>
      </c>
      <c r="F124" s="89" t="s">
        <v>15</v>
      </c>
    </row>
    <row r="125" spans="1:6" x14ac:dyDescent="0.25">
      <c r="A125" s="89" t="s">
        <v>7265</v>
      </c>
      <c r="B125" s="89" t="s">
        <v>7266</v>
      </c>
      <c r="C125" s="89" t="s">
        <v>7266</v>
      </c>
      <c r="D125" s="89">
        <v>15</v>
      </c>
      <c r="E125" s="89">
        <v>10</v>
      </c>
      <c r="F125" s="89" t="s">
        <v>4650</v>
      </c>
    </row>
    <row r="126" spans="1:6" x14ac:dyDescent="0.25">
      <c r="A126" s="89" t="s">
        <v>7267</v>
      </c>
      <c r="B126" s="89" t="s">
        <v>7268</v>
      </c>
      <c r="C126" s="89" t="s">
        <v>7269</v>
      </c>
      <c r="D126" s="89">
        <v>1</v>
      </c>
      <c r="E126" s="89">
        <v>1</v>
      </c>
      <c r="F126" s="89" t="s">
        <v>15</v>
      </c>
    </row>
    <row r="127" spans="1:6" x14ac:dyDescent="0.25">
      <c r="A127" s="89" t="s">
        <v>5078</v>
      </c>
      <c r="B127" s="89" t="s">
        <v>7270</v>
      </c>
      <c r="C127" s="89" t="s">
        <v>5079</v>
      </c>
      <c r="D127" s="89">
        <v>1</v>
      </c>
      <c r="E127" s="89">
        <v>1</v>
      </c>
      <c r="F127" s="89" t="s">
        <v>4690</v>
      </c>
    </row>
    <row r="128" spans="1:6" x14ac:dyDescent="0.25">
      <c r="A128" s="89" t="s">
        <v>5347</v>
      </c>
      <c r="B128" s="89" t="s">
        <v>6727</v>
      </c>
      <c r="C128" s="89" t="s">
        <v>5348</v>
      </c>
      <c r="D128" s="89">
        <v>5</v>
      </c>
      <c r="E128" s="89">
        <v>1</v>
      </c>
      <c r="F128" s="89" t="s">
        <v>15</v>
      </c>
    </row>
    <row r="129" spans="1:6" x14ac:dyDescent="0.25">
      <c r="A129" s="89" t="s">
        <v>5452</v>
      </c>
      <c r="B129" s="89" t="s">
        <v>7126</v>
      </c>
      <c r="C129" s="89" t="s">
        <v>5453</v>
      </c>
      <c r="D129" s="89">
        <v>5</v>
      </c>
      <c r="E129" s="89">
        <v>200000</v>
      </c>
      <c r="F129" s="89" t="s">
        <v>15</v>
      </c>
    </row>
    <row r="130" spans="1:6" x14ac:dyDescent="0.25">
      <c r="A130" s="89" t="s">
        <v>7271</v>
      </c>
      <c r="B130" s="89" t="s">
        <v>4767</v>
      </c>
      <c r="C130" s="89" t="s">
        <v>625</v>
      </c>
      <c r="D130" s="89">
        <v>1</v>
      </c>
      <c r="E130" s="89">
        <v>1</v>
      </c>
      <c r="F130" s="89" t="s">
        <v>4650</v>
      </c>
    </row>
    <row r="131" spans="1:6" x14ac:dyDescent="0.25">
      <c r="A131" s="89" t="s">
        <v>5335</v>
      </c>
      <c r="B131" s="89" t="s">
        <v>7014</v>
      </c>
      <c r="C131" s="89" t="s">
        <v>5336</v>
      </c>
      <c r="D131" s="89">
        <v>5</v>
      </c>
      <c r="E131" s="89">
        <v>1</v>
      </c>
      <c r="F131" s="89" t="s">
        <v>15</v>
      </c>
    </row>
    <row r="132" spans="1:6" x14ac:dyDescent="0.25">
      <c r="A132" s="89" t="s">
        <v>7272</v>
      </c>
      <c r="B132" s="89" t="s">
        <v>7273</v>
      </c>
      <c r="C132" s="89" t="s">
        <v>7274</v>
      </c>
      <c r="D132" s="89">
        <v>10</v>
      </c>
      <c r="E132" s="89">
        <v>1</v>
      </c>
      <c r="F132" s="89" t="s">
        <v>4650</v>
      </c>
    </row>
    <row r="133" spans="1:6" x14ac:dyDescent="0.25">
      <c r="A133" s="89" t="s">
        <v>4798</v>
      </c>
      <c r="B133" s="89" t="s">
        <v>7275</v>
      </c>
      <c r="C133" s="89" t="s">
        <v>45</v>
      </c>
      <c r="D133" s="89">
        <v>1</v>
      </c>
      <c r="E133" s="89">
        <v>1</v>
      </c>
      <c r="F133" s="89" t="s">
        <v>4650</v>
      </c>
    </row>
    <row r="134" spans="1:6" x14ac:dyDescent="0.25">
      <c r="A134" s="89" t="s">
        <v>5096</v>
      </c>
      <c r="B134" s="89" t="s">
        <v>6489</v>
      </c>
      <c r="C134" s="89" t="s">
        <v>5097</v>
      </c>
      <c r="D134" s="89">
        <v>5</v>
      </c>
      <c r="E134" s="89">
        <v>1</v>
      </c>
      <c r="F134" s="89" t="s">
        <v>15</v>
      </c>
    </row>
    <row r="135" spans="1:6" x14ac:dyDescent="0.25">
      <c r="A135" s="89" t="s">
        <v>5578</v>
      </c>
      <c r="B135" s="89" t="s">
        <v>6364</v>
      </c>
      <c r="C135" s="89" t="s">
        <v>2594</v>
      </c>
      <c r="D135" s="89">
        <v>5</v>
      </c>
      <c r="E135" s="89">
        <v>1000</v>
      </c>
      <c r="F135" s="89" t="s">
        <v>4650</v>
      </c>
    </row>
    <row r="136" spans="1:6" x14ac:dyDescent="0.25">
      <c r="A136" s="89" t="s">
        <v>6672</v>
      </c>
      <c r="B136" s="89" t="s">
        <v>6671</v>
      </c>
      <c r="C136" s="89" t="s">
        <v>6670</v>
      </c>
      <c r="D136" s="89">
        <v>5</v>
      </c>
      <c r="E136" s="89">
        <v>1</v>
      </c>
      <c r="F136" s="89" t="s">
        <v>15</v>
      </c>
    </row>
    <row r="137" spans="1:6" x14ac:dyDescent="0.25">
      <c r="A137" s="89" t="s">
        <v>6473</v>
      </c>
      <c r="B137" s="89" t="s">
        <v>6472</v>
      </c>
      <c r="C137" s="89" t="s">
        <v>3662</v>
      </c>
      <c r="D137" s="89">
        <v>5</v>
      </c>
      <c r="E137" s="89">
        <v>1000</v>
      </c>
      <c r="F137" s="89" t="s">
        <v>4650</v>
      </c>
    </row>
    <row r="138" spans="1:6" x14ac:dyDescent="0.25">
      <c r="A138" s="89" t="s">
        <v>6450</v>
      </c>
      <c r="B138" s="89" t="s">
        <v>6449</v>
      </c>
      <c r="C138" s="89" t="s">
        <v>6448</v>
      </c>
      <c r="D138" s="89">
        <v>5</v>
      </c>
      <c r="E138" s="89">
        <v>1</v>
      </c>
      <c r="F138" s="89" t="s">
        <v>15</v>
      </c>
    </row>
    <row r="139" spans="1:6" x14ac:dyDescent="0.25">
      <c r="A139" s="89" t="s">
        <v>5431</v>
      </c>
      <c r="B139" s="89" t="s">
        <v>6537</v>
      </c>
      <c r="C139" s="89" t="s">
        <v>5432</v>
      </c>
      <c r="D139" s="89">
        <v>5</v>
      </c>
      <c r="E139" s="89">
        <v>1</v>
      </c>
      <c r="F139" s="89" t="s">
        <v>15</v>
      </c>
    </row>
    <row r="140" spans="1:6" x14ac:dyDescent="0.25">
      <c r="A140" s="89" t="s">
        <v>7276</v>
      </c>
      <c r="B140" s="89" t="s">
        <v>4736</v>
      </c>
      <c r="C140" s="89" t="s">
        <v>4736</v>
      </c>
      <c r="D140" s="89">
        <v>15</v>
      </c>
      <c r="E140" s="89">
        <v>1</v>
      </c>
      <c r="F140" s="89" t="s">
        <v>4650</v>
      </c>
    </row>
    <row r="141" spans="1:6" x14ac:dyDescent="0.25">
      <c r="A141" s="89" t="s">
        <v>6371</v>
      </c>
      <c r="B141" s="89" t="s">
        <v>6370</v>
      </c>
      <c r="C141" s="89" t="s">
        <v>6369</v>
      </c>
      <c r="D141" s="89">
        <v>5</v>
      </c>
      <c r="E141" s="89">
        <v>1</v>
      </c>
      <c r="F141" s="89" t="s">
        <v>15</v>
      </c>
    </row>
    <row r="142" spans="1:6" x14ac:dyDescent="0.25">
      <c r="A142" s="89" t="s">
        <v>6437</v>
      </c>
      <c r="B142" s="89" t="s">
        <v>6436</v>
      </c>
      <c r="C142" s="89" t="s">
        <v>6435</v>
      </c>
      <c r="D142" s="89">
        <v>5</v>
      </c>
      <c r="E142" s="89">
        <v>1</v>
      </c>
      <c r="F142" s="89" t="s">
        <v>15</v>
      </c>
    </row>
    <row r="143" spans="1:6" x14ac:dyDescent="0.25">
      <c r="A143" s="89" t="s">
        <v>5574</v>
      </c>
      <c r="B143" s="89" t="s">
        <v>6405</v>
      </c>
      <c r="C143" s="89" t="s">
        <v>5575</v>
      </c>
      <c r="D143" s="89">
        <v>5</v>
      </c>
      <c r="E143" s="89">
        <v>1000</v>
      </c>
      <c r="F143" s="89" t="s">
        <v>4650</v>
      </c>
    </row>
    <row r="144" spans="1:6" x14ac:dyDescent="0.25">
      <c r="A144" s="89" t="s">
        <v>5215</v>
      </c>
      <c r="B144" s="89" t="s">
        <v>6940</v>
      </c>
      <c r="C144" s="89" t="s">
        <v>5216</v>
      </c>
      <c r="D144" s="89">
        <v>5</v>
      </c>
      <c r="E144" s="89">
        <v>1</v>
      </c>
      <c r="F144" s="89" t="s">
        <v>15</v>
      </c>
    </row>
    <row r="145" spans="1:6" x14ac:dyDescent="0.25">
      <c r="A145" s="89" t="s">
        <v>6925</v>
      </c>
      <c r="B145" s="89" t="s">
        <v>6924</v>
      </c>
      <c r="C145" s="89" t="s">
        <v>6923</v>
      </c>
      <c r="D145" s="89">
        <v>5</v>
      </c>
      <c r="E145" s="89">
        <v>1</v>
      </c>
      <c r="F145" s="89" t="s">
        <v>15</v>
      </c>
    </row>
    <row r="146" spans="1:6" x14ac:dyDescent="0.25">
      <c r="A146" s="89" t="s">
        <v>5450</v>
      </c>
      <c r="B146" s="89" t="s">
        <v>6802</v>
      </c>
      <c r="C146" s="89" t="s">
        <v>5451</v>
      </c>
      <c r="D146" s="89">
        <v>5</v>
      </c>
      <c r="E146" s="89">
        <v>1</v>
      </c>
      <c r="F146" s="89" t="s">
        <v>15</v>
      </c>
    </row>
    <row r="147" spans="1:6" x14ac:dyDescent="0.25">
      <c r="A147" s="89" t="s">
        <v>6817</v>
      </c>
      <c r="B147" s="89" t="s">
        <v>6816</v>
      </c>
      <c r="C147" s="89" t="s">
        <v>6815</v>
      </c>
      <c r="D147" s="89">
        <v>5</v>
      </c>
      <c r="E147" s="89">
        <v>1</v>
      </c>
      <c r="F147" s="89" t="s">
        <v>15</v>
      </c>
    </row>
    <row r="148" spans="1:6" x14ac:dyDescent="0.25">
      <c r="A148" s="89" t="s">
        <v>6505</v>
      </c>
      <c r="B148" s="89" t="s">
        <v>6504</v>
      </c>
      <c r="C148" s="89" t="s">
        <v>6503</v>
      </c>
      <c r="D148" s="89">
        <v>5</v>
      </c>
      <c r="E148" s="89">
        <v>1</v>
      </c>
      <c r="F148" s="89" t="s">
        <v>15</v>
      </c>
    </row>
    <row r="149" spans="1:6" x14ac:dyDescent="0.25">
      <c r="A149" s="89" t="s">
        <v>4927</v>
      </c>
      <c r="B149" s="89" t="s">
        <v>7277</v>
      </c>
      <c r="C149" s="89" t="s">
        <v>4928</v>
      </c>
      <c r="D149" s="89">
        <v>1</v>
      </c>
      <c r="E149" s="89">
        <v>1</v>
      </c>
      <c r="F149" s="89" t="s">
        <v>7749</v>
      </c>
    </row>
    <row r="150" spans="1:6" x14ac:dyDescent="0.25">
      <c r="A150" s="89" t="s">
        <v>6913</v>
      </c>
      <c r="B150" s="89" t="s">
        <v>6912</v>
      </c>
      <c r="C150" s="89" t="s">
        <v>6911</v>
      </c>
      <c r="D150" s="89">
        <v>5</v>
      </c>
      <c r="E150" s="89">
        <v>1</v>
      </c>
      <c r="F150" s="89" t="s">
        <v>7749</v>
      </c>
    </row>
    <row r="151" spans="1:6" x14ac:dyDescent="0.25">
      <c r="A151" s="89" t="s">
        <v>5182</v>
      </c>
      <c r="B151" s="89" t="s">
        <v>6536</v>
      </c>
      <c r="C151" s="89" t="s">
        <v>5183</v>
      </c>
      <c r="D151" s="89">
        <v>5</v>
      </c>
      <c r="E151" s="89">
        <v>1</v>
      </c>
      <c r="F151" s="89" t="s">
        <v>15</v>
      </c>
    </row>
    <row r="152" spans="1:6" x14ac:dyDescent="0.25">
      <c r="A152" s="89" t="s">
        <v>7278</v>
      </c>
      <c r="B152" s="89" t="s">
        <v>7279</v>
      </c>
      <c r="C152" s="89" t="s">
        <v>7280</v>
      </c>
      <c r="D152" s="89">
        <v>1</v>
      </c>
      <c r="E152" s="89">
        <v>1</v>
      </c>
      <c r="F152" s="89" t="s">
        <v>4650</v>
      </c>
    </row>
    <row r="153" spans="1:6" x14ac:dyDescent="0.25">
      <c r="A153" s="89" t="s">
        <v>7281</v>
      </c>
      <c r="B153" s="89" t="s">
        <v>7282</v>
      </c>
      <c r="C153" s="89" t="s">
        <v>7283</v>
      </c>
      <c r="D153" s="89">
        <v>1</v>
      </c>
      <c r="E153" s="89">
        <v>1</v>
      </c>
      <c r="F153" s="89" t="s">
        <v>15</v>
      </c>
    </row>
    <row r="154" spans="1:6" x14ac:dyDescent="0.25">
      <c r="A154" s="89" t="s">
        <v>6419</v>
      </c>
      <c r="B154" s="89" t="s">
        <v>6418</v>
      </c>
      <c r="C154" s="89" t="s">
        <v>6417</v>
      </c>
      <c r="D154" s="89">
        <v>5</v>
      </c>
      <c r="E154" s="89">
        <v>1</v>
      </c>
      <c r="F154" s="89" t="s">
        <v>15</v>
      </c>
    </row>
    <row r="155" spans="1:6" x14ac:dyDescent="0.25">
      <c r="A155" s="89" t="s">
        <v>7284</v>
      </c>
      <c r="B155" s="89" t="s">
        <v>7285</v>
      </c>
      <c r="C155" s="89" t="s">
        <v>7285</v>
      </c>
      <c r="D155" s="89">
        <v>15</v>
      </c>
      <c r="E155" s="89">
        <v>0.02</v>
      </c>
      <c r="F155" s="89" t="s">
        <v>15</v>
      </c>
    </row>
    <row r="156" spans="1:6" x14ac:dyDescent="0.25">
      <c r="A156" s="89" t="s">
        <v>4819</v>
      </c>
      <c r="B156" s="89" t="s">
        <v>6361</v>
      </c>
      <c r="C156" s="89" t="s">
        <v>4820</v>
      </c>
      <c r="D156" s="89">
        <v>5</v>
      </c>
      <c r="E156" s="89">
        <v>1</v>
      </c>
      <c r="F156" s="89" t="s">
        <v>15</v>
      </c>
    </row>
    <row r="157" spans="1:6" x14ac:dyDescent="0.25">
      <c r="A157" s="89" t="s">
        <v>7017</v>
      </c>
      <c r="B157" s="89" t="s">
        <v>7016</v>
      </c>
      <c r="C157" s="89" t="s">
        <v>7015</v>
      </c>
      <c r="D157" s="89">
        <v>5</v>
      </c>
      <c r="E157" s="89">
        <v>1</v>
      </c>
      <c r="F157" s="89" t="s">
        <v>15</v>
      </c>
    </row>
    <row r="158" spans="1:6" x14ac:dyDescent="0.25">
      <c r="A158" s="89" t="s">
        <v>7286</v>
      </c>
      <c r="B158" s="89" t="s">
        <v>7287</v>
      </c>
      <c r="C158" s="89" t="s">
        <v>7288</v>
      </c>
      <c r="D158" s="89">
        <v>1</v>
      </c>
      <c r="E158" s="89">
        <v>1</v>
      </c>
      <c r="F158" s="89" t="s">
        <v>7749</v>
      </c>
    </row>
    <row r="159" spans="1:6" x14ac:dyDescent="0.25">
      <c r="A159" s="89" t="s">
        <v>5551</v>
      </c>
      <c r="B159" s="89" t="s">
        <v>7134</v>
      </c>
      <c r="C159" s="89" t="s">
        <v>2474</v>
      </c>
      <c r="D159" s="89">
        <v>5</v>
      </c>
      <c r="E159" s="89">
        <v>1000</v>
      </c>
      <c r="F159" s="89" t="s">
        <v>4650</v>
      </c>
    </row>
    <row r="160" spans="1:6" x14ac:dyDescent="0.25">
      <c r="A160" s="89" t="s">
        <v>7289</v>
      </c>
      <c r="B160" s="89" t="s">
        <v>7290</v>
      </c>
      <c r="C160" s="89" t="s">
        <v>7291</v>
      </c>
      <c r="D160" s="89">
        <v>1</v>
      </c>
      <c r="E160" s="89">
        <v>1</v>
      </c>
      <c r="F160" s="89" t="s">
        <v>15</v>
      </c>
    </row>
    <row r="161" spans="1:6" x14ac:dyDescent="0.25">
      <c r="A161" s="89" t="s">
        <v>5589</v>
      </c>
      <c r="B161" s="89" t="s">
        <v>7085</v>
      </c>
      <c r="C161" s="89" t="s">
        <v>4349</v>
      </c>
      <c r="D161" s="89">
        <v>5</v>
      </c>
      <c r="E161" s="89">
        <v>1000</v>
      </c>
      <c r="F161" s="89" t="s">
        <v>4650</v>
      </c>
    </row>
    <row r="162" spans="1:6" x14ac:dyDescent="0.25">
      <c r="A162" s="89" t="s">
        <v>7292</v>
      </c>
      <c r="B162" s="89" t="s">
        <v>7293</v>
      </c>
      <c r="C162" s="89" t="s">
        <v>7294</v>
      </c>
      <c r="D162" s="89">
        <v>1</v>
      </c>
      <c r="E162" s="89">
        <v>1</v>
      </c>
      <c r="F162" s="89" t="s">
        <v>15</v>
      </c>
    </row>
    <row r="163" spans="1:6" x14ac:dyDescent="0.25">
      <c r="A163" s="89" t="s">
        <v>7295</v>
      </c>
      <c r="B163" s="89" t="s">
        <v>7296</v>
      </c>
      <c r="C163" s="89" t="s">
        <v>7297</v>
      </c>
      <c r="D163" s="89">
        <v>1</v>
      </c>
      <c r="E163" s="89">
        <v>1</v>
      </c>
      <c r="F163" s="89" t="s">
        <v>7420</v>
      </c>
    </row>
    <row r="164" spans="1:6" x14ac:dyDescent="0.25">
      <c r="A164" s="89" t="s">
        <v>4930</v>
      </c>
      <c r="B164" s="89" t="s">
        <v>7081</v>
      </c>
      <c r="C164" s="89" t="s">
        <v>4931</v>
      </c>
      <c r="D164" s="89">
        <v>5</v>
      </c>
      <c r="E164" s="89">
        <v>1</v>
      </c>
      <c r="F164" s="89" t="s">
        <v>15</v>
      </c>
    </row>
    <row r="165" spans="1:6" x14ac:dyDescent="0.25">
      <c r="A165" s="89" t="s">
        <v>7298</v>
      </c>
      <c r="B165" s="89" t="s">
        <v>7299</v>
      </c>
      <c r="C165" s="89" t="s">
        <v>7300</v>
      </c>
      <c r="D165" s="89">
        <v>1</v>
      </c>
      <c r="E165" s="89">
        <v>1</v>
      </c>
      <c r="F165" s="89" t="s">
        <v>15</v>
      </c>
    </row>
    <row r="166" spans="1:6" x14ac:dyDescent="0.25">
      <c r="A166" s="89" t="s">
        <v>6528</v>
      </c>
      <c r="B166" s="89" t="s">
        <v>6527</v>
      </c>
      <c r="C166" s="89" t="s">
        <v>6526</v>
      </c>
      <c r="D166" s="89">
        <v>5</v>
      </c>
      <c r="E166" s="89">
        <v>1</v>
      </c>
      <c r="F166" s="89" t="s">
        <v>15</v>
      </c>
    </row>
    <row r="167" spans="1:6" x14ac:dyDescent="0.25">
      <c r="A167" s="89" t="s">
        <v>6540</v>
      </c>
      <c r="B167" s="89" t="s">
        <v>6539</v>
      </c>
      <c r="C167" s="89" t="s">
        <v>6538</v>
      </c>
      <c r="D167" s="89">
        <v>5</v>
      </c>
      <c r="E167" s="89">
        <v>1</v>
      </c>
      <c r="F167" s="89" t="s">
        <v>15</v>
      </c>
    </row>
    <row r="168" spans="1:6" x14ac:dyDescent="0.25">
      <c r="A168" s="89" t="s">
        <v>6590</v>
      </c>
      <c r="B168" s="89" t="s">
        <v>6589</v>
      </c>
      <c r="C168" s="89" t="s">
        <v>6588</v>
      </c>
      <c r="D168" s="89">
        <v>5</v>
      </c>
      <c r="E168" s="89">
        <v>1</v>
      </c>
      <c r="F168" s="89" t="s">
        <v>4650</v>
      </c>
    </row>
    <row r="169" spans="1:6" x14ac:dyDescent="0.25">
      <c r="A169" s="89" t="s">
        <v>7301</v>
      </c>
      <c r="B169" s="89" t="s">
        <v>7302</v>
      </c>
      <c r="C169" s="89" t="s">
        <v>7303</v>
      </c>
      <c r="D169" s="89">
        <v>1</v>
      </c>
      <c r="E169" s="89">
        <v>1</v>
      </c>
      <c r="F169" s="89" t="s">
        <v>7749</v>
      </c>
    </row>
    <row r="170" spans="1:6" x14ac:dyDescent="0.25">
      <c r="A170" s="89" t="s">
        <v>5489</v>
      </c>
      <c r="B170" s="89" t="s">
        <v>7304</v>
      </c>
      <c r="C170" s="89" t="s">
        <v>5490</v>
      </c>
      <c r="D170" s="89">
        <v>1</v>
      </c>
      <c r="E170" s="89">
        <v>1</v>
      </c>
      <c r="F170" s="89" t="s">
        <v>15</v>
      </c>
    </row>
    <row r="171" spans="1:6" x14ac:dyDescent="0.25">
      <c r="A171" s="89" t="s">
        <v>5382</v>
      </c>
      <c r="B171" s="89" t="s">
        <v>7305</v>
      </c>
      <c r="C171" s="89" t="s">
        <v>5383</v>
      </c>
      <c r="D171" s="89">
        <v>1</v>
      </c>
      <c r="E171" s="89">
        <v>1</v>
      </c>
      <c r="F171" s="89" t="s">
        <v>15</v>
      </c>
    </row>
    <row r="172" spans="1:6" x14ac:dyDescent="0.25">
      <c r="A172" s="89" t="s">
        <v>7306</v>
      </c>
      <c r="B172" s="89" t="s">
        <v>7307</v>
      </c>
      <c r="C172" s="89" t="s">
        <v>7308</v>
      </c>
      <c r="D172" s="89">
        <v>1</v>
      </c>
      <c r="E172" s="89">
        <v>1</v>
      </c>
      <c r="F172" s="89" t="s">
        <v>15</v>
      </c>
    </row>
    <row r="173" spans="1:6" x14ac:dyDescent="0.25">
      <c r="A173" s="89" t="s">
        <v>4854</v>
      </c>
      <c r="B173" s="89" t="s">
        <v>6679</v>
      </c>
      <c r="C173" s="89" t="s">
        <v>4855</v>
      </c>
      <c r="D173" s="89">
        <v>5</v>
      </c>
      <c r="E173" s="89">
        <v>1</v>
      </c>
      <c r="F173" s="89" t="s">
        <v>15</v>
      </c>
    </row>
    <row r="174" spans="1:6" x14ac:dyDescent="0.25">
      <c r="A174" s="89" t="s">
        <v>4866</v>
      </c>
      <c r="B174" s="89" t="s">
        <v>4766</v>
      </c>
      <c r="C174" s="89" t="s">
        <v>99</v>
      </c>
      <c r="D174" s="89">
        <v>1</v>
      </c>
      <c r="E174" s="89">
        <v>1</v>
      </c>
      <c r="F174" s="89" t="s">
        <v>4650</v>
      </c>
    </row>
    <row r="175" spans="1:6" x14ac:dyDescent="0.25">
      <c r="A175" s="89" t="s">
        <v>7309</v>
      </c>
      <c r="B175" s="89" t="s">
        <v>7310</v>
      </c>
      <c r="C175" s="89" t="s">
        <v>7311</v>
      </c>
      <c r="D175" s="89">
        <v>1</v>
      </c>
      <c r="E175" s="89">
        <v>1</v>
      </c>
      <c r="F175" s="89" t="s">
        <v>15</v>
      </c>
    </row>
    <row r="176" spans="1:6" x14ac:dyDescent="0.25">
      <c r="A176" s="89" t="s">
        <v>7312</v>
      </c>
      <c r="B176" s="89" t="s">
        <v>7313</v>
      </c>
      <c r="C176" s="89" t="s">
        <v>7314</v>
      </c>
      <c r="D176" s="89">
        <v>1</v>
      </c>
      <c r="E176" s="89">
        <v>1</v>
      </c>
      <c r="F176" s="89" t="s">
        <v>7749</v>
      </c>
    </row>
    <row r="177" spans="1:6" x14ac:dyDescent="0.25">
      <c r="A177" s="89" t="s">
        <v>5080</v>
      </c>
      <c r="B177" s="89" t="s">
        <v>7018</v>
      </c>
      <c r="C177" s="89" t="s">
        <v>1895</v>
      </c>
      <c r="D177" s="89">
        <v>5</v>
      </c>
      <c r="E177" s="89">
        <v>1000</v>
      </c>
      <c r="F177" s="89" t="s">
        <v>4650</v>
      </c>
    </row>
    <row r="178" spans="1:6" x14ac:dyDescent="0.25">
      <c r="A178" s="89" t="s">
        <v>4937</v>
      </c>
      <c r="B178" s="89" t="s">
        <v>7009</v>
      </c>
      <c r="C178" s="89" t="s">
        <v>4938</v>
      </c>
      <c r="D178" s="89">
        <v>5</v>
      </c>
      <c r="E178" s="89">
        <v>1</v>
      </c>
      <c r="F178" s="89" t="s">
        <v>7749</v>
      </c>
    </row>
    <row r="179" spans="1:6" x14ac:dyDescent="0.25">
      <c r="A179" s="89" t="s">
        <v>6901</v>
      </c>
      <c r="B179" s="89" t="s">
        <v>6900</v>
      </c>
      <c r="C179" s="89" t="s">
        <v>6899</v>
      </c>
      <c r="D179" s="89">
        <v>5</v>
      </c>
      <c r="E179" s="89">
        <v>1</v>
      </c>
      <c r="F179" s="89" t="s">
        <v>4690</v>
      </c>
    </row>
    <row r="180" spans="1:6" x14ac:dyDescent="0.25">
      <c r="A180" s="89" t="s">
        <v>5404</v>
      </c>
      <c r="B180" s="89" t="s">
        <v>7315</v>
      </c>
      <c r="C180" s="89" t="s">
        <v>5405</v>
      </c>
      <c r="D180" s="89">
        <v>1</v>
      </c>
      <c r="E180" s="89">
        <v>1</v>
      </c>
      <c r="F180" s="89" t="s">
        <v>15</v>
      </c>
    </row>
    <row r="181" spans="1:6" x14ac:dyDescent="0.25">
      <c r="A181" s="89" t="s">
        <v>5243</v>
      </c>
      <c r="B181" s="89" t="s">
        <v>6535</v>
      </c>
      <c r="C181" s="89" t="s">
        <v>5244</v>
      </c>
      <c r="D181" s="89">
        <v>5</v>
      </c>
      <c r="E181" s="89">
        <v>1</v>
      </c>
      <c r="F181" s="89" t="s">
        <v>15</v>
      </c>
    </row>
    <row r="182" spans="1:6" x14ac:dyDescent="0.25">
      <c r="A182" s="89" t="s">
        <v>5527</v>
      </c>
      <c r="B182" s="89" t="s">
        <v>7316</v>
      </c>
      <c r="C182" s="89" t="s">
        <v>610</v>
      </c>
      <c r="D182" s="89">
        <v>1</v>
      </c>
      <c r="E182" s="89">
        <v>1</v>
      </c>
      <c r="F182" s="89" t="s">
        <v>4650</v>
      </c>
    </row>
    <row r="183" spans="1:6" x14ac:dyDescent="0.25">
      <c r="A183" s="89" t="s">
        <v>6798</v>
      </c>
      <c r="B183" s="89" t="s">
        <v>6797</v>
      </c>
      <c r="C183" s="89" t="s">
        <v>6796</v>
      </c>
      <c r="D183" s="89">
        <v>5</v>
      </c>
      <c r="E183" s="89">
        <v>1</v>
      </c>
      <c r="F183" s="89" t="s">
        <v>15</v>
      </c>
    </row>
    <row r="184" spans="1:6" x14ac:dyDescent="0.25">
      <c r="A184" s="89" t="s">
        <v>6759</v>
      </c>
      <c r="B184" s="89" t="s">
        <v>6758</v>
      </c>
      <c r="C184" s="89" t="s">
        <v>6757</v>
      </c>
      <c r="D184" s="89">
        <v>5</v>
      </c>
      <c r="E184" s="89">
        <v>1</v>
      </c>
      <c r="F184" s="89" t="s">
        <v>15</v>
      </c>
    </row>
    <row r="185" spans="1:6" x14ac:dyDescent="0.25">
      <c r="A185" s="89" t="s">
        <v>4857</v>
      </c>
      <c r="B185" s="89" t="s">
        <v>6888</v>
      </c>
      <c r="C185" s="89" t="s">
        <v>4858</v>
      </c>
      <c r="D185" s="89">
        <v>5</v>
      </c>
      <c r="E185" s="89">
        <v>1</v>
      </c>
      <c r="F185" s="89" t="s">
        <v>15</v>
      </c>
    </row>
    <row r="186" spans="1:6" x14ac:dyDescent="0.25">
      <c r="A186" s="89" t="s">
        <v>5585</v>
      </c>
      <c r="B186" s="89" t="s">
        <v>6703</v>
      </c>
      <c r="C186" s="89" t="s">
        <v>4079</v>
      </c>
      <c r="D186" s="89">
        <v>5</v>
      </c>
      <c r="E186" s="89">
        <v>1000</v>
      </c>
      <c r="F186" s="89" t="s">
        <v>4650</v>
      </c>
    </row>
    <row r="187" spans="1:6" x14ac:dyDescent="0.25">
      <c r="A187" s="89" t="s">
        <v>6597</v>
      </c>
      <c r="B187" s="89" t="s">
        <v>6596</v>
      </c>
      <c r="C187" s="89" t="s">
        <v>6595</v>
      </c>
      <c r="D187" s="89">
        <v>5</v>
      </c>
      <c r="E187" s="89">
        <v>1</v>
      </c>
      <c r="F187" s="89" t="s">
        <v>15</v>
      </c>
    </row>
    <row r="188" spans="1:6" x14ac:dyDescent="0.25">
      <c r="A188" s="89" t="s">
        <v>5554</v>
      </c>
      <c r="B188" s="89" t="s">
        <v>6582</v>
      </c>
      <c r="C188" s="89" t="s">
        <v>2702</v>
      </c>
      <c r="D188" s="89">
        <v>5</v>
      </c>
      <c r="E188" s="89">
        <v>1000</v>
      </c>
      <c r="F188" s="89" t="s">
        <v>4650</v>
      </c>
    </row>
    <row r="189" spans="1:6" x14ac:dyDescent="0.25">
      <c r="A189" s="89" t="s">
        <v>6558</v>
      </c>
      <c r="B189" s="89" t="s">
        <v>6557</v>
      </c>
      <c r="C189" s="89" t="s">
        <v>6556</v>
      </c>
      <c r="D189" s="89">
        <v>5</v>
      </c>
      <c r="E189" s="89">
        <v>1</v>
      </c>
      <c r="F189" s="89" t="s">
        <v>15</v>
      </c>
    </row>
    <row r="190" spans="1:6" x14ac:dyDescent="0.25">
      <c r="A190" s="89" t="s">
        <v>6811</v>
      </c>
      <c r="B190" s="89" t="s">
        <v>6810</v>
      </c>
      <c r="C190" s="89" t="s">
        <v>6809</v>
      </c>
      <c r="D190" s="89">
        <v>5</v>
      </c>
      <c r="E190" s="89">
        <v>1000</v>
      </c>
      <c r="F190" s="89" t="s">
        <v>4650</v>
      </c>
    </row>
    <row r="191" spans="1:6" x14ac:dyDescent="0.25">
      <c r="A191" s="89" t="s">
        <v>5294</v>
      </c>
      <c r="B191" s="89" t="s">
        <v>6804</v>
      </c>
      <c r="C191" s="89" t="s">
        <v>5295</v>
      </c>
      <c r="D191" s="89">
        <v>5</v>
      </c>
      <c r="E191" s="89">
        <v>1</v>
      </c>
      <c r="F191" s="89" t="s">
        <v>15</v>
      </c>
    </row>
    <row r="192" spans="1:6" x14ac:dyDescent="0.25">
      <c r="A192" s="89" t="s">
        <v>5583</v>
      </c>
      <c r="B192" s="89" t="s">
        <v>7032</v>
      </c>
      <c r="C192" s="89" t="s">
        <v>5584</v>
      </c>
      <c r="D192" s="89">
        <v>5</v>
      </c>
      <c r="E192" s="89">
        <v>1000</v>
      </c>
      <c r="F192" s="89" t="s">
        <v>4650</v>
      </c>
    </row>
    <row r="193" spans="1:6" x14ac:dyDescent="0.25">
      <c r="A193" s="89" t="s">
        <v>5618</v>
      </c>
      <c r="B193" s="89" t="s">
        <v>6402</v>
      </c>
      <c r="C193" s="89" t="s">
        <v>1892</v>
      </c>
      <c r="D193" s="89">
        <v>5</v>
      </c>
      <c r="E193" s="89">
        <v>1000</v>
      </c>
      <c r="F193" s="89" t="s">
        <v>4650</v>
      </c>
    </row>
    <row r="194" spans="1:6" x14ac:dyDescent="0.25">
      <c r="A194" s="89" t="s">
        <v>5331</v>
      </c>
      <c r="B194" s="89" t="s">
        <v>6965</v>
      </c>
      <c r="C194" s="89" t="s">
        <v>960</v>
      </c>
      <c r="D194" s="89">
        <v>5</v>
      </c>
      <c r="E194" s="89">
        <v>1000</v>
      </c>
      <c r="F194" s="89" t="s">
        <v>4650</v>
      </c>
    </row>
    <row r="195" spans="1:6" x14ac:dyDescent="0.25">
      <c r="A195" s="89" t="s">
        <v>7317</v>
      </c>
      <c r="B195" s="89" t="s">
        <v>7318</v>
      </c>
      <c r="C195" s="89" t="s">
        <v>790</v>
      </c>
      <c r="D195" s="89">
        <v>1</v>
      </c>
      <c r="E195" s="89">
        <v>1</v>
      </c>
      <c r="F195" s="89" t="s">
        <v>4650</v>
      </c>
    </row>
    <row r="196" spans="1:6" x14ac:dyDescent="0.25">
      <c r="A196" s="89" t="s">
        <v>5650</v>
      </c>
      <c r="B196" s="89" t="s">
        <v>6615</v>
      </c>
      <c r="C196" s="89" t="s">
        <v>982</v>
      </c>
      <c r="D196" s="89">
        <v>5</v>
      </c>
      <c r="E196" s="89">
        <v>1000</v>
      </c>
      <c r="F196" s="89" t="s">
        <v>4650</v>
      </c>
    </row>
    <row r="197" spans="1:6" x14ac:dyDescent="0.25">
      <c r="A197" s="89" t="s">
        <v>5443</v>
      </c>
      <c r="B197" s="89" t="s">
        <v>6413</v>
      </c>
      <c r="C197" s="89" t="s">
        <v>5444</v>
      </c>
      <c r="D197" s="89">
        <v>5</v>
      </c>
      <c r="E197" s="89">
        <v>1000</v>
      </c>
      <c r="F197" s="89" t="s">
        <v>4650</v>
      </c>
    </row>
    <row r="198" spans="1:6" x14ac:dyDescent="0.25">
      <c r="A198" s="89" t="s">
        <v>5620</v>
      </c>
      <c r="B198" s="89" t="s">
        <v>6617</v>
      </c>
      <c r="C198" s="89" t="s">
        <v>1622</v>
      </c>
      <c r="D198" s="89">
        <v>5</v>
      </c>
      <c r="E198" s="89">
        <v>1000</v>
      </c>
      <c r="F198" s="89" t="s">
        <v>4650</v>
      </c>
    </row>
    <row r="199" spans="1:6" x14ac:dyDescent="0.25">
      <c r="A199" s="89" t="s">
        <v>7039</v>
      </c>
      <c r="B199" s="89" t="s">
        <v>7038</v>
      </c>
      <c r="C199" s="89" t="s">
        <v>7037</v>
      </c>
      <c r="D199" s="89">
        <v>5</v>
      </c>
      <c r="E199" s="89">
        <v>1</v>
      </c>
      <c r="F199" s="89" t="s">
        <v>15</v>
      </c>
    </row>
    <row r="200" spans="1:6" x14ac:dyDescent="0.25">
      <c r="A200" s="89" t="s">
        <v>7319</v>
      </c>
      <c r="B200" s="89" t="s">
        <v>7320</v>
      </c>
      <c r="C200" s="89" t="s">
        <v>7320</v>
      </c>
      <c r="D200" s="89">
        <v>15</v>
      </c>
      <c r="E200" s="89">
        <v>0.02</v>
      </c>
      <c r="F200" s="89" t="s">
        <v>15</v>
      </c>
    </row>
    <row r="201" spans="1:6" x14ac:dyDescent="0.25">
      <c r="A201" s="89" t="s">
        <v>4821</v>
      </c>
      <c r="B201" s="89" t="s">
        <v>4665</v>
      </c>
      <c r="C201" s="89" t="s">
        <v>42</v>
      </c>
      <c r="D201" s="89">
        <v>1</v>
      </c>
      <c r="E201" s="89">
        <v>1</v>
      </c>
      <c r="F201" s="89" t="s">
        <v>4690</v>
      </c>
    </row>
    <row r="202" spans="1:6" x14ac:dyDescent="0.25">
      <c r="A202" s="89" t="s">
        <v>5388</v>
      </c>
      <c r="B202" s="89" t="s">
        <v>7321</v>
      </c>
      <c r="C202" s="89" t="s">
        <v>5389</v>
      </c>
      <c r="D202" s="89">
        <v>1</v>
      </c>
      <c r="E202" s="89">
        <v>1</v>
      </c>
      <c r="F202" s="89" t="s">
        <v>15</v>
      </c>
    </row>
    <row r="203" spans="1:6" x14ac:dyDescent="0.25">
      <c r="A203" s="89" t="s">
        <v>7322</v>
      </c>
      <c r="B203" s="89" t="s">
        <v>7323</v>
      </c>
      <c r="C203" s="89" t="s">
        <v>7324</v>
      </c>
      <c r="D203" s="89">
        <v>1</v>
      </c>
      <c r="E203" s="89">
        <v>1</v>
      </c>
      <c r="F203" s="89" t="s">
        <v>15</v>
      </c>
    </row>
    <row r="204" spans="1:6" x14ac:dyDescent="0.25">
      <c r="A204" s="89" t="s">
        <v>6594</v>
      </c>
      <c r="B204" s="89" t="s">
        <v>6593</v>
      </c>
      <c r="C204" s="89" t="s">
        <v>6592</v>
      </c>
      <c r="D204" s="89">
        <v>5</v>
      </c>
      <c r="E204" s="89">
        <v>1</v>
      </c>
      <c r="F204" s="89" t="s">
        <v>4650</v>
      </c>
    </row>
    <row r="205" spans="1:6" x14ac:dyDescent="0.25">
      <c r="A205" s="89" t="s">
        <v>7325</v>
      </c>
      <c r="B205" s="89" t="s">
        <v>7326</v>
      </c>
      <c r="C205" s="89" t="s">
        <v>7327</v>
      </c>
      <c r="D205" s="89">
        <v>1</v>
      </c>
      <c r="E205" s="89">
        <v>1</v>
      </c>
      <c r="F205" s="89" t="s">
        <v>7420</v>
      </c>
    </row>
    <row r="206" spans="1:6" x14ac:dyDescent="0.25">
      <c r="A206" s="89" t="s">
        <v>7328</v>
      </c>
      <c r="B206" s="89" t="s">
        <v>7329</v>
      </c>
      <c r="C206" s="89" t="s">
        <v>7330</v>
      </c>
      <c r="D206" s="89">
        <v>1</v>
      </c>
      <c r="E206" s="89">
        <v>1</v>
      </c>
      <c r="F206" s="89" t="s">
        <v>15</v>
      </c>
    </row>
    <row r="207" spans="1:6" x14ac:dyDescent="0.25">
      <c r="A207" s="89" t="s">
        <v>5362</v>
      </c>
      <c r="B207" s="89" t="s">
        <v>7331</v>
      </c>
      <c r="C207" s="89" t="s">
        <v>5363</v>
      </c>
      <c r="D207" s="89">
        <v>1</v>
      </c>
      <c r="E207" s="89">
        <v>1</v>
      </c>
      <c r="F207" s="89" t="s">
        <v>15</v>
      </c>
    </row>
    <row r="208" spans="1:6" x14ac:dyDescent="0.25">
      <c r="A208" s="89" t="s">
        <v>5588</v>
      </c>
      <c r="B208" s="89" t="s">
        <v>7098</v>
      </c>
      <c r="C208" s="89" t="s">
        <v>4229</v>
      </c>
      <c r="D208" s="89">
        <v>5</v>
      </c>
      <c r="E208" s="89">
        <v>1000</v>
      </c>
      <c r="F208" s="89" t="s">
        <v>4650</v>
      </c>
    </row>
    <row r="209" spans="1:6" x14ac:dyDescent="0.25">
      <c r="A209" s="89" t="s">
        <v>5587</v>
      </c>
      <c r="B209" s="89" t="s">
        <v>6782</v>
      </c>
      <c r="C209" s="89" t="s">
        <v>3956</v>
      </c>
      <c r="D209" s="89">
        <v>5</v>
      </c>
      <c r="E209" s="89">
        <v>1000</v>
      </c>
      <c r="F209" s="89" t="s">
        <v>4650</v>
      </c>
    </row>
    <row r="210" spans="1:6" x14ac:dyDescent="0.25">
      <c r="A210" s="89" t="s">
        <v>5524</v>
      </c>
      <c r="B210" s="89" t="s">
        <v>7332</v>
      </c>
      <c r="C210" s="89" t="s">
        <v>36</v>
      </c>
      <c r="D210" s="89">
        <v>1</v>
      </c>
      <c r="E210" s="89">
        <v>1</v>
      </c>
      <c r="F210" s="89" t="s">
        <v>4650</v>
      </c>
    </row>
    <row r="211" spans="1:6" x14ac:dyDescent="0.25">
      <c r="A211" s="89" t="s">
        <v>5130</v>
      </c>
      <c r="B211" s="89" t="s">
        <v>6616</v>
      </c>
      <c r="C211" s="89" t="s">
        <v>3971</v>
      </c>
      <c r="D211" s="89">
        <v>5</v>
      </c>
      <c r="E211" s="89">
        <v>1000</v>
      </c>
      <c r="F211" s="89" t="s">
        <v>4650</v>
      </c>
    </row>
    <row r="212" spans="1:6" x14ac:dyDescent="0.25">
      <c r="A212" s="89" t="s">
        <v>6607</v>
      </c>
      <c r="B212" s="89" t="s">
        <v>6606</v>
      </c>
      <c r="C212" s="89" t="s">
        <v>6605</v>
      </c>
      <c r="D212" s="89">
        <v>5</v>
      </c>
      <c r="E212" s="89">
        <v>1</v>
      </c>
      <c r="F212" s="89" t="s">
        <v>7749</v>
      </c>
    </row>
    <row r="213" spans="1:6" x14ac:dyDescent="0.25">
      <c r="A213" s="89" t="s">
        <v>5094</v>
      </c>
      <c r="B213" s="89" t="s">
        <v>7333</v>
      </c>
      <c r="C213" s="89" t="s">
        <v>5095</v>
      </c>
      <c r="D213" s="89">
        <v>1</v>
      </c>
      <c r="E213" s="89">
        <v>1</v>
      </c>
      <c r="F213" s="89" t="s">
        <v>15</v>
      </c>
    </row>
    <row r="214" spans="1:6" x14ac:dyDescent="0.25">
      <c r="A214" s="89" t="s">
        <v>5562</v>
      </c>
      <c r="B214" s="89" t="s">
        <v>6360</v>
      </c>
      <c r="C214" s="89" t="s">
        <v>1433</v>
      </c>
      <c r="D214" s="89">
        <v>5</v>
      </c>
      <c r="E214" s="89">
        <v>1000</v>
      </c>
      <c r="F214" s="89" t="s">
        <v>4650</v>
      </c>
    </row>
    <row r="215" spans="1:6" x14ac:dyDescent="0.25">
      <c r="A215" s="89" t="s">
        <v>7334</v>
      </c>
      <c r="B215" s="89" t="s">
        <v>7335</v>
      </c>
      <c r="C215" s="89" t="s">
        <v>390</v>
      </c>
      <c r="D215" s="89">
        <v>1</v>
      </c>
      <c r="E215" s="89">
        <v>1</v>
      </c>
      <c r="F215" s="89" t="s">
        <v>4650</v>
      </c>
    </row>
    <row r="216" spans="1:6" x14ac:dyDescent="0.25">
      <c r="A216" s="89" t="s">
        <v>5308</v>
      </c>
      <c r="B216" s="89" t="s">
        <v>6890</v>
      </c>
      <c r="C216" s="89" t="s">
        <v>1610</v>
      </c>
      <c r="D216" s="89">
        <v>5</v>
      </c>
      <c r="E216" s="89">
        <v>1000</v>
      </c>
      <c r="F216" s="89" t="s">
        <v>4650</v>
      </c>
    </row>
    <row r="217" spans="1:6" x14ac:dyDescent="0.25">
      <c r="A217" s="89" t="s">
        <v>5358</v>
      </c>
      <c r="B217" s="89" t="s">
        <v>7336</v>
      </c>
      <c r="C217" s="89" t="s">
        <v>5359</v>
      </c>
      <c r="D217" s="89">
        <v>1</v>
      </c>
      <c r="E217" s="89">
        <v>1</v>
      </c>
      <c r="F217" s="89" t="s">
        <v>15</v>
      </c>
    </row>
    <row r="218" spans="1:6" x14ac:dyDescent="0.25">
      <c r="A218" s="89" t="s">
        <v>6555</v>
      </c>
      <c r="B218" s="89" t="s">
        <v>6554</v>
      </c>
      <c r="C218" s="89" t="s">
        <v>6553</v>
      </c>
      <c r="D218" s="89">
        <v>5</v>
      </c>
      <c r="E218" s="89">
        <v>1</v>
      </c>
      <c r="F218" s="89" t="s">
        <v>15</v>
      </c>
    </row>
    <row r="219" spans="1:6" x14ac:dyDescent="0.25">
      <c r="A219" s="89" t="s">
        <v>5073</v>
      </c>
      <c r="B219" s="89" t="s">
        <v>7337</v>
      </c>
      <c r="C219" s="89" t="s">
        <v>129</v>
      </c>
      <c r="D219" s="89">
        <v>1</v>
      </c>
      <c r="E219" s="89">
        <v>1</v>
      </c>
      <c r="F219" s="89" t="s">
        <v>4650</v>
      </c>
    </row>
    <row r="220" spans="1:6" x14ac:dyDescent="0.25">
      <c r="A220" s="89" t="s">
        <v>4888</v>
      </c>
      <c r="B220" s="89" t="s">
        <v>4677</v>
      </c>
      <c r="C220" s="89" t="s">
        <v>29</v>
      </c>
      <c r="D220" s="89">
        <v>1</v>
      </c>
      <c r="E220" s="89">
        <v>1</v>
      </c>
      <c r="F220" s="89" t="s">
        <v>4650</v>
      </c>
    </row>
    <row r="221" spans="1:6" x14ac:dyDescent="0.25">
      <c r="A221" s="89" t="s">
        <v>7338</v>
      </c>
      <c r="B221" s="89" t="s">
        <v>4786</v>
      </c>
      <c r="C221" s="89" t="s">
        <v>4786</v>
      </c>
      <c r="D221" s="89">
        <v>15</v>
      </c>
      <c r="E221" s="89">
        <v>0.02</v>
      </c>
      <c r="F221" s="89" t="s">
        <v>15</v>
      </c>
    </row>
    <row r="222" spans="1:6" x14ac:dyDescent="0.25">
      <c r="A222" s="89" t="s">
        <v>5484</v>
      </c>
      <c r="B222" s="89" t="s">
        <v>7339</v>
      </c>
      <c r="C222" s="89" t="s">
        <v>5485</v>
      </c>
      <c r="D222" s="89">
        <v>1</v>
      </c>
      <c r="E222" s="89">
        <v>1</v>
      </c>
      <c r="F222" s="89" t="s">
        <v>7749</v>
      </c>
    </row>
    <row r="223" spans="1:6" x14ac:dyDescent="0.25">
      <c r="A223" s="89" t="s">
        <v>7340</v>
      </c>
      <c r="B223" s="89" t="s">
        <v>7341</v>
      </c>
      <c r="C223" s="89" t="s">
        <v>7342</v>
      </c>
      <c r="D223" s="89">
        <v>1</v>
      </c>
      <c r="E223" s="89">
        <v>1</v>
      </c>
      <c r="F223" s="89" t="s">
        <v>15</v>
      </c>
    </row>
    <row r="224" spans="1:6" x14ac:dyDescent="0.25">
      <c r="A224" s="89" t="s">
        <v>5631</v>
      </c>
      <c r="B224" s="89" t="s">
        <v>6380</v>
      </c>
      <c r="C224" s="89" t="s">
        <v>5632</v>
      </c>
      <c r="D224" s="89">
        <v>5</v>
      </c>
      <c r="E224" s="89">
        <v>1</v>
      </c>
      <c r="F224" s="89" t="s">
        <v>4650</v>
      </c>
    </row>
    <row r="225" spans="1:6" x14ac:dyDescent="0.25">
      <c r="A225" s="89" t="s">
        <v>4952</v>
      </c>
      <c r="B225" s="89" t="s">
        <v>6494</v>
      </c>
      <c r="C225" s="89" t="s">
        <v>4953</v>
      </c>
      <c r="D225" s="89">
        <v>5</v>
      </c>
      <c r="E225" s="89">
        <v>1</v>
      </c>
      <c r="F225" s="89" t="s">
        <v>15</v>
      </c>
    </row>
    <row r="226" spans="1:6" x14ac:dyDescent="0.25">
      <c r="A226" s="89" t="s">
        <v>5565</v>
      </c>
      <c r="B226" s="89" t="s">
        <v>6688</v>
      </c>
      <c r="C226" s="89" t="s">
        <v>4061</v>
      </c>
      <c r="D226" s="89">
        <v>5</v>
      </c>
      <c r="E226" s="89">
        <v>1000</v>
      </c>
      <c r="F226" s="89" t="s">
        <v>4650</v>
      </c>
    </row>
    <row r="227" spans="1:6" x14ac:dyDescent="0.25">
      <c r="A227" s="89" t="s">
        <v>4859</v>
      </c>
      <c r="B227" s="89" t="s">
        <v>7062</v>
      </c>
      <c r="C227" s="89" t="s">
        <v>4860</v>
      </c>
      <c r="D227" s="89">
        <v>5</v>
      </c>
      <c r="E227" s="89">
        <v>1</v>
      </c>
      <c r="F227" s="89" t="s">
        <v>15</v>
      </c>
    </row>
    <row r="228" spans="1:6" x14ac:dyDescent="0.25">
      <c r="A228" s="89" t="s">
        <v>4816</v>
      </c>
      <c r="B228" s="89" t="s">
        <v>7343</v>
      </c>
      <c r="C228" s="89" t="s">
        <v>4817</v>
      </c>
      <c r="D228" s="89">
        <v>1</v>
      </c>
      <c r="E228" s="89">
        <v>1</v>
      </c>
      <c r="F228" s="89" t="s">
        <v>15</v>
      </c>
    </row>
    <row r="229" spans="1:6" x14ac:dyDescent="0.25">
      <c r="A229" s="89" t="s">
        <v>6638</v>
      </c>
      <c r="B229" s="89" t="s">
        <v>6637</v>
      </c>
      <c r="C229" s="89" t="s">
        <v>6636</v>
      </c>
      <c r="D229" s="89">
        <v>5</v>
      </c>
      <c r="E229" s="89">
        <v>1000</v>
      </c>
      <c r="F229" s="89" t="s">
        <v>4650</v>
      </c>
    </row>
    <row r="230" spans="1:6" x14ac:dyDescent="0.25">
      <c r="A230" s="89" t="s">
        <v>5581</v>
      </c>
      <c r="B230" s="89" t="s">
        <v>6429</v>
      </c>
      <c r="C230" s="89" t="s">
        <v>3341</v>
      </c>
      <c r="D230" s="89">
        <v>5</v>
      </c>
      <c r="E230" s="89">
        <v>1000</v>
      </c>
      <c r="F230" s="89" t="s">
        <v>4650</v>
      </c>
    </row>
    <row r="231" spans="1:6" x14ac:dyDescent="0.25">
      <c r="A231" s="89" t="s">
        <v>5576</v>
      </c>
      <c r="B231" s="89" t="s">
        <v>6363</v>
      </c>
      <c r="C231" s="89" t="s">
        <v>1838</v>
      </c>
      <c r="D231" s="89">
        <v>5</v>
      </c>
      <c r="E231" s="89">
        <v>400</v>
      </c>
      <c r="F231" s="89" t="s">
        <v>4650</v>
      </c>
    </row>
    <row r="232" spans="1:6" x14ac:dyDescent="0.25">
      <c r="A232" s="89" t="s">
        <v>7344</v>
      </c>
      <c r="B232" s="89" t="s">
        <v>7345</v>
      </c>
      <c r="C232" s="89" t="s">
        <v>147</v>
      </c>
      <c r="D232" s="89">
        <v>1</v>
      </c>
      <c r="E232" s="89">
        <v>1</v>
      </c>
      <c r="F232" s="89" t="s">
        <v>4650</v>
      </c>
    </row>
    <row r="233" spans="1:6" x14ac:dyDescent="0.25">
      <c r="A233" s="89" t="s">
        <v>7346</v>
      </c>
      <c r="B233" s="89" t="s">
        <v>7347</v>
      </c>
      <c r="C233" s="89" t="s">
        <v>7348</v>
      </c>
      <c r="D233" s="89">
        <v>1</v>
      </c>
      <c r="E233" s="89">
        <v>1</v>
      </c>
      <c r="F233" s="89" t="s">
        <v>15</v>
      </c>
    </row>
    <row r="234" spans="1:6" x14ac:dyDescent="0.25">
      <c r="A234" s="89" t="s">
        <v>5669</v>
      </c>
      <c r="B234" s="89" t="s">
        <v>7349</v>
      </c>
      <c r="C234" s="89" t="s">
        <v>5670</v>
      </c>
      <c r="D234" s="89">
        <v>1</v>
      </c>
      <c r="E234" s="89">
        <v>1</v>
      </c>
      <c r="F234" s="89" t="s">
        <v>15</v>
      </c>
    </row>
    <row r="235" spans="1:6" x14ac:dyDescent="0.25">
      <c r="A235" s="89" t="s">
        <v>5378</v>
      </c>
      <c r="B235" s="89" t="s">
        <v>7350</v>
      </c>
      <c r="C235" s="89" t="s">
        <v>5379</v>
      </c>
      <c r="D235" s="89">
        <v>1</v>
      </c>
      <c r="E235" s="89">
        <v>1</v>
      </c>
      <c r="F235" s="89" t="s">
        <v>15</v>
      </c>
    </row>
    <row r="236" spans="1:6" x14ac:dyDescent="0.25">
      <c r="A236" s="89" t="s">
        <v>5145</v>
      </c>
      <c r="B236" s="89" t="s">
        <v>6830</v>
      </c>
      <c r="C236" s="89" t="s">
        <v>5146</v>
      </c>
      <c r="D236" s="89">
        <v>5</v>
      </c>
      <c r="E236" s="89">
        <v>1</v>
      </c>
      <c r="F236" s="89" t="s">
        <v>15</v>
      </c>
    </row>
    <row r="237" spans="1:6" x14ac:dyDescent="0.25">
      <c r="A237" s="89" t="s">
        <v>5317</v>
      </c>
      <c r="B237" s="89" t="s">
        <v>6928</v>
      </c>
      <c r="C237" s="89" t="s">
        <v>5318</v>
      </c>
      <c r="D237" s="89">
        <v>5</v>
      </c>
      <c r="E237" s="89">
        <v>1</v>
      </c>
      <c r="F237" s="89" t="s">
        <v>15</v>
      </c>
    </row>
    <row r="238" spans="1:6" x14ac:dyDescent="0.25">
      <c r="A238" s="89" t="s">
        <v>7351</v>
      </c>
      <c r="B238" s="89" t="s">
        <v>7352</v>
      </c>
      <c r="C238" s="89" t="s">
        <v>7353</v>
      </c>
      <c r="D238" s="89">
        <v>1</v>
      </c>
      <c r="E238" s="89">
        <v>1</v>
      </c>
      <c r="F238" s="89" t="s">
        <v>15</v>
      </c>
    </row>
    <row r="239" spans="1:6" x14ac:dyDescent="0.25">
      <c r="A239" s="89" t="s">
        <v>7074</v>
      </c>
      <c r="B239" s="89" t="s">
        <v>7073</v>
      </c>
      <c r="C239" s="89" t="s">
        <v>7072</v>
      </c>
      <c r="D239" s="89">
        <v>5</v>
      </c>
      <c r="E239" s="89">
        <v>1</v>
      </c>
      <c r="F239" s="89" t="s">
        <v>15</v>
      </c>
    </row>
    <row r="240" spans="1:6" x14ac:dyDescent="0.25">
      <c r="A240" s="89" t="s">
        <v>7354</v>
      </c>
      <c r="B240" s="89" t="s">
        <v>7355</v>
      </c>
      <c r="C240" s="89" t="s">
        <v>7356</v>
      </c>
      <c r="D240" s="89">
        <v>1</v>
      </c>
      <c r="E240" s="89">
        <v>1</v>
      </c>
      <c r="F240" s="89" t="s">
        <v>15</v>
      </c>
    </row>
    <row r="241" spans="1:6" x14ac:dyDescent="0.25">
      <c r="A241" s="89" t="s">
        <v>5184</v>
      </c>
      <c r="B241" s="89" t="s">
        <v>6711</v>
      </c>
      <c r="C241" s="89" t="s">
        <v>5185</v>
      </c>
      <c r="D241" s="89">
        <v>5</v>
      </c>
      <c r="E241" s="89">
        <v>1</v>
      </c>
      <c r="F241" s="89" t="s">
        <v>15</v>
      </c>
    </row>
    <row r="242" spans="1:6" x14ac:dyDescent="0.25">
      <c r="A242" s="89" t="s">
        <v>6525</v>
      </c>
      <c r="B242" s="89" t="s">
        <v>6524</v>
      </c>
      <c r="C242" s="89" t="s">
        <v>6523</v>
      </c>
      <c r="D242" s="89">
        <v>5</v>
      </c>
      <c r="E242" s="89">
        <v>1</v>
      </c>
      <c r="F242" s="89" t="s">
        <v>15</v>
      </c>
    </row>
    <row r="243" spans="1:6" x14ac:dyDescent="0.25">
      <c r="A243" s="89" t="s">
        <v>5526</v>
      </c>
      <c r="B243" s="89" t="s">
        <v>7357</v>
      </c>
      <c r="C243" s="89" t="s">
        <v>607</v>
      </c>
      <c r="D243" s="89">
        <v>1</v>
      </c>
      <c r="E243" s="89">
        <v>1</v>
      </c>
      <c r="F243" s="89" t="s">
        <v>4650</v>
      </c>
    </row>
    <row r="244" spans="1:6" x14ac:dyDescent="0.25">
      <c r="A244" s="89" t="s">
        <v>6552</v>
      </c>
      <c r="B244" s="89" t="s">
        <v>6551</v>
      </c>
      <c r="C244" s="89" t="s">
        <v>6550</v>
      </c>
      <c r="D244" s="89">
        <v>5</v>
      </c>
      <c r="E244" s="89">
        <v>1</v>
      </c>
      <c r="F244" s="89" t="s">
        <v>7749</v>
      </c>
    </row>
    <row r="245" spans="1:6" x14ac:dyDescent="0.25">
      <c r="A245" s="89" t="s">
        <v>5268</v>
      </c>
      <c r="B245" s="89" t="s">
        <v>6658</v>
      </c>
      <c r="C245" s="89" t="s">
        <v>5269</v>
      </c>
      <c r="D245" s="89">
        <v>5</v>
      </c>
      <c r="E245" s="89">
        <v>1</v>
      </c>
      <c r="F245" s="89" t="s">
        <v>15</v>
      </c>
    </row>
    <row r="246" spans="1:6" x14ac:dyDescent="0.25">
      <c r="A246" s="89" t="s">
        <v>7358</v>
      </c>
      <c r="B246" s="89" t="s">
        <v>7359</v>
      </c>
      <c r="C246" s="89" t="s">
        <v>7360</v>
      </c>
      <c r="D246" s="89">
        <v>1</v>
      </c>
      <c r="E246" s="89">
        <v>1</v>
      </c>
      <c r="F246" s="89" t="s">
        <v>15</v>
      </c>
    </row>
    <row r="247" spans="1:6" x14ac:dyDescent="0.25">
      <c r="A247" s="89" t="s">
        <v>4830</v>
      </c>
      <c r="B247" s="89" t="s">
        <v>7361</v>
      </c>
      <c r="C247" s="89" t="s">
        <v>7361</v>
      </c>
      <c r="D247" s="89">
        <v>15</v>
      </c>
      <c r="E247" s="89">
        <v>1</v>
      </c>
      <c r="F247" s="89" t="s">
        <v>4650</v>
      </c>
    </row>
    <row r="248" spans="1:6" x14ac:dyDescent="0.25">
      <c r="A248" s="89" t="s">
        <v>4956</v>
      </c>
      <c r="B248" s="89" t="s">
        <v>7362</v>
      </c>
      <c r="C248" s="89" t="s">
        <v>4957</v>
      </c>
      <c r="D248" s="89">
        <v>1</v>
      </c>
      <c r="E248" s="89">
        <v>1</v>
      </c>
      <c r="F248" s="89" t="s">
        <v>15</v>
      </c>
    </row>
    <row r="249" spans="1:6" x14ac:dyDescent="0.25">
      <c r="A249" s="89" t="s">
        <v>4910</v>
      </c>
      <c r="B249" s="89" t="s">
        <v>4772</v>
      </c>
      <c r="C249" s="89" t="s">
        <v>366</v>
      </c>
      <c r="D249" s="89">
        <v>1</v>
      </c>
      <c r="E249" s="89">
        <v>1</v>
      </c>
      <c r="F249" s="89" t="s">
        <v>4650</v>
      </c>
    </row>
    <row r="250" spans="1:6" x14ac:dyDescent="0.25">
      <c r="A250" s="89" t="s">
        <v>6721</v>
      </c>
      <c r="B250" s="89" t="s">
        <v>6720</v>
      </c>
      <c r="C250" s="89" t="s">
        <v>6719</v>
      </c>
      <c r="D250" s="89">
        <v>5</v>
      </c>
      <c r="E250" s="89">
        <v>1000</v>
      </c>
      <c r="F250" s="89" t="s">
        <v>4650</v>
      </c>
    </row>
    <row r="251" spans="1:6" x14ac:dyDescent="0.25">
      <c r="A251" s="89" t="s">
        <v>7363</v>
      </c>
      <c r="B251" s="89" t="s">
        <v>7364</v>
      </c>
      <c r="C251" s="89" t="s">
        <v>7365</v>
      </c>
      <c r="D251" s="89">
        <v>1</v>
      </c>
      <c r="E251" s="89">
        <v>1</v>
      </c>
      <c r="F251" s="89" t="s">
        <v>15</v>
      </c>
    </row>
    <row r="252" spans="1:6" x14ac:dyDescent="0.25">
      <c r="A252" s="89" t="s">
        <v>5118</v>
      </c>
      <c r="B252" s="89" t="s">
        <v>6734</v>
      </c>
      <c r="C252" s="89" t="s">
        <v>5119</v>
      </c>
      <c r="D252" s="89">
        <v>5</v>
      </c>
      <c r="E252" s="89">
        <v>1</v>
      </c>
      <c r="F252" s="89" t="s">
        <v>4650</v>
      </c>
    </row>
    <row r="253" spans="1:6" x14ac:dyDescent="0.25">
      <c r="A253" s="89" t="s">
        <v>5315</v>
      </c>
      <c r="B253" s="89" t="s">
        <v>6567</v>
      </c>
      <c r="C253" s="89" t="s">
        <v>3491</v>
      </c>
      <c r="D253" s="89">
        <v>5</v>
      </c>
      <c r="E253" s="89">
        <v>1000</v>
      </c>
      <c r="F253" s="89" t="s">
        <v>4650</v>
      </c>
    </row>
    <row r="254" spans="1:6" x14ac:dyDescent="0.25">
      <c r="A254" s="89" t="s">
        <v>7366</v>
      </c>
      <c r="B254" s="89" t="s">
        <v>7367</v>
      </c>
      <c r="C254" s="89" t="s">
        <v>7368</v>
      </c>
      <c r="D254" s="89">
        <v>1</v>
      </c>
      <c r="E254" s="89">
        <v>1</v>
      </c>
      <c r="F254" s="89" t="s">
        <v>7749</v>
      </c>
    </row>
    <row r="255" spans="1:6" x14ac:dyDescent="0.25">
      <c r="A255" s="89" t="s">
        <v>6707</v>
      </c>
      <c r="B255" s="89" t="s">
        <v>6706</v>
      </c>
      <c r="C255" s="89" t="s">
        <v>6705</v>
      </c>
      <c r="D255" s="89">
        <v>5</v>
      </c>
      <c r="E255" s="89">
        <v>1</v>
      </c>
      <c r="F255" s="89" t="s">
        <v>15</v>
      </c>
    </row>
    <row r="256" spans="1:6" x14ac:dyDescent="0.25">
      <c r="A256" s="89" t="s">
        <v>5416</v>
      </c>
      <c r="B256" s="89" t="s">
        <v>7097</v>
      </c>
      <c r="C256" s="89" t="s">
        <v>5417</v>
      </c>
      <c r="D256" s="89">
        <v>5</v>
      </c>
      <c r="E256" s="89">
        <v>1</v>
      </c>
      <c r="F256" s="89" t="s">
        <v>15</v>
      </c>
    </row>
    <row r="257" spans="1:6" x14ac:dyDescent="0.25">
      <c r="A257" s="89" t="s">
        <v>5024</v>
      </c>
      <c r="B257" s="89" t="s">
        <v>6808</v>
      </c>
      <c r="C257" s="89" t="s">
        <v>5025</v>
      </c>
      <c r="D257" s="89">
        <v>5</v>
      </c>
      <c r="E257" s="89">
        <v>1</v>
      </c>
      <c r="F257" s="89" t="s">
        <v>15</v>
      </c>
    </row>
    <row r="258" spans="1:6" x14ac:dyDescent="0.25">
      <c r="A258" s="89" t="s">
        <v>6600</v>
      </c>
      <c r="B258" s="89" t="s">
        <v>6599</v>
      </c>
      <c r="C258" s="89" t="s">
        <v>2687</v>
      </c>
      <c r="D258" s="89">
        <v>5</v>
      </c>
      <c r="E258" s="89">
        <v>1000</v>
      </c>
      <c r="F258" s="89" t="s">
        <v>4650</v>
      </c>
    </row>
    <row r="259" spans="1:6" x14ac:dyDescent="0.25">
      <c r="A259" s="89" t="s">
        <v>6862</v>
      </c>
      <c r="B259" s="89" t="s">
        <v>6861</v>
      </c>
      <c r="C259" s="89" t="s">
        <v>3125</v>
      </c>
      <c r="D259" s="89">
        <v>5</v>
      </c>
      <c r="E259" s="89">
        <v>1000</v>
      </c>
      <c r="F259" s="89" t="s">
        <v>4650</v>
      </c>
    </row>
    <row r="260" spans="1:6" x14ac:dyDescent="0.25">
      <c r="A260" s="89" t="s">
        <v>5429</v>
      </c>
      <c r="B260" s="89" t="s">
        <v>7369</v>
      </c>
      <c r="C260" s="89" t="s">
        <v>5430</v>
      </c>
      <c r="D260" s="89">
        <v>1</v>
      </c>
      <c r="E260" s="89">
        <v>1</v>
      </c>
      <c r="F260" s="89" t="s">
        <v>15</v>
      </c>
    </row>
    <row r="261" spans="1:6" x14ac:dyDescent="0.25">
      <c r="A261" s="89" t="s">
        <v>5593</v>
      </c>
      <c r="B261" s="89" t="s">
        <v>7117</v>
      </c>
      <c r="C261" s="89" t="s">
        <v>5594</v>
      </c>
      <c r="D261" s="89">
        <v>5</v>
      </c>
      <c r="E261" s="89">
        <v>1</v>
      </c>
      <c r="F261" s="89" t="s">
        <v>15</v>
      </c>
    </row>
    <row r="262" spans="1:6" x14ac:dyDescent="0.25">
      <c r="A262" s="89" t="s">
        <v>5195</v>
      </c>
      <c r="B262" s="89" t="s">
        <v>7149</v>
      </c>
      <c r="C262" s="89" t="s">
        <v>964</v>
      </c>
      <c r="D262" s="89">
        <v>5</v>
      </c>
      <c r="E262" s="89">
        <v>1000</v>
      </c>
      <c r="F262" s="89" t="s">
        <v>4650</v>
      </c>
    </row>
    <row r="263" spans="1:6" x14ac:dyDescent="0.25">
      <c r="A263" s="89" t="s">
        <v>7370</v>
      </c>
      <c r="B263" s="89" t="s">
        <v>7371</v>
      </c>
      <c r="C263" s="89" t="s">
        <v>7372</v>
      </c>
      <c r="D263" s="89">
        <v>1</v>
      </c>
      <c r="E263" s="89">
        <v>1</v>
      </c>
      <c r="F263" s="89" t="s">
        <v>15</v>
      </c>
    </row>
    <row r="264" spans="1:6" x14ac:dyDescent="0.25">
      <c r="A264" s="89" t="s">
        <v>5460</v>
      </c>
      <c r="B264" s="89" t="s">
        <v>6712</v>
      </c>
      <c r="C264" s="89" t="s">
        <v>5461</v>
      </c>
      <c r="D264" s="89">
        <v>5</v>
      </c>
      <c r="E264" s="89">
        <v>1</v>
      </c>
      <c r="F264" s="89" t="s">
        <v>15</v>
      </c>
    </row>
    <row r="265" spans="1:6" x14ac:dyDescent="0.25">
      <c r="A265" s="89" t="s">
        <v>6814</v>
      </c>
      <c r="B265" s="89" t="s">
        <v>6813</v>
      </c>
      <c r="C265" s="89" t="s">
        <v>6812</v>
      </c>
      <c r="D265" s="89">
        <v>5</v>
      </c>
      <c r="E265" s="89">
        <v>1</v>
      </c>
      <c r="F265" s="89" t="s">
        <v>15</v>
      </c>
    </row>
    <row r="266" spans="1:6" x14ac:dyDescent="0.25">
      <c r="A266" s="89" t="s">
        <v>6906</v>
      </c>
      <c r="B266" s="89" t="s">
        <v>6905</v>
      </c>
      <c r="C266" s="89" t="s">
        <v>2681</v>
      </c>
      <c r="D266" s="89">
        <v>5</v>
      </c>
      <c r="E266" s="89">
        <v>1000</v>
      </c>
      <c r="F266" s="89" t="s">
        <v>4650</v>
      </c>
    </row>
    <row r="267" spans="1:6" x14ac:dyDescent="0.25">
      <c r="A267" s="89" t="s">
        <v>5493</v>
      </c>
      <c r="B267" s="89" t="s">
        <v>7106</v>
      </c>
      <c r="C267" s="89" t="s">
        <v>948</v>
      </c>
      <c r="D267" s="89">
        <v>5</v>
      </c>
      <c r="E267" s="89">
        <v>1000</v>
      </c>
      <c r="F267" s="89" t="s">
        <v>4650</v>
      </c>
    </row>
    <row r="268" spans="1:6" x14ac:dyDescent="0.25">
      <c r="A268" s="89" t="s">
        <v>5035</v>
      </c>
      <c r="B268" s="89" t="s">
        <v>6474</v>
      </c>
      <c r="C268" s="89" t="s">
        <v>5036</v>
      </c>
      <c r="D268" s="89">
        <v>5</v>
      </c>
      <c r="E268" s="89">
        <v>1</v>
      </c>
      <c r="F268" s="89" t="s">
        <v>15</v>
      </c>
    </row>
    <row r="269" spans="1:6" x14ac:dyDescent="0.25">
      <c r="A269" s="89" t="s">
        <v>6407</v>
      </c>
      <c r="B269" s="89" t="s">
        <v>6406</v>
      </c>
      <c r="C269" s="89" t="s">
        <v>1293</v>
      </c>
      <c r="D269" s="89">
        <v>5</v>
      </c>
      <c r="E269" s="89">
        <v>1000</v>
      </c>
      <c r="F269" s="89" t="s">
        <v>4650</v>
      </c>
    </row>
    <row r="270" spans="1:6" x14ac:dyDescent="0.25">
      <c r="A270" s="89" t="s">
        <v>5636</v>
      </c>
      <c r="B270" s="89" t="s">
        <v>6434</v>
      </c>
      <c r="C270" s="89" t="s">
        <v>1625</v>
      </c>
      <c r="D270" s="89">
        <v>5</v>
      </c>
      <c r="E270" s="89">
        <v>1000</v>
      </c>
      <c r="F270" s="89" t="s">
        <v>4650</v>
      </c>
    </row>
    <row r="271" spans="1:6" x14ac:dyDescent="0.25">
      <c r="A271" s="89" t="s">
        <v>6463</v>
      </c>
      <c r="B271" s="89" t="s">
        <v>6462</v>
      </c>
      <c r="C271" s="89" t="s">
        <v>6461</v>
      </c>
      <c r="D271" s="89">
        <v>5</v>
      </c>
      <c r="E271" s="89">
        <v>1</v>
      </c>
      <c r="F271" s="89" t="s">
        <v>15</v>
      </c>
    </row>
    <row r="272" spans="1:6" x14ac:dyDescent="0.25">
      <c r="A272" s="89" t="s">
        <v>5223</v>
      </c>
      <c r="B272" s="89" t="s">
        <v>7373</v>
      </c>
      <c r="C272" s="89" t="s">
        <v>5224</v>
      </c>
      <c r="D272" s="89">
        <v>1</v>
      </c>
      <c r="E272" s="89">
        <v>1</v>
      </c>
      <c r="F272" s="89" t="s">
        <v>15</v>
      </c>
    </row>
    <row r="273" spans="1:6" x14ac:dyDescent="0.25">
      <c r="A273" s="89" t="s">
        <v>5051</v>
      </c>
      <c r="B273" s="89" t="s">
        <v>7131</v>
      </c>
      <c r="C273" s="89" t="s">
        <v>5052</v>
      </c>
      <c r="D273" s="89">
        <v>5</v>
      </c>
      <c r="E273" s="89">
        <v>1</v>
      </c>
      <c r="F273" s="89" t="s">
        <v>7749</v>
      </c>
    </row>
    <row r="274" spans="1:6" x14ac:dyDescent="0.25">
      <c r="A274" s="89" t="s">
        <v>7374</v>
      </c>
      <c r="B274" s="89" t="s">
        <v>7375</v>
      </c>
      <c r="C274" s="89" t="s">
        <v>7376</v>
      </c>
      <c r="D274" s="89">
        <v>1</v>
      </c>
      <c r="E274" s="89">
        <v>1</v>
      </c>
      <c r="F274" s="89" t="s">
        <v>15</v>
      </c>
    </row>
    <row r="275" spans="1:6" x14ac:dyDescent="0.25">
      <c r="A275" s="89" t="s">
        <v>5328</v>
      </c>
      <c r="B275" s="89" t="s">
        <v>6390</v>
      </c>
      <c r="C275" s="89" t="s">
        <v>5329</v>
      </c>
      <c r="D275" s="89">
        <v>5</v>
      </c>
      <c r="E275" s="89">
        <v>1</v>
      </c>
      <c r="F275" s="89" t="s">
        <v>15</v>
      </c>
    </row>
    <row r="276" spans="1:6" x14ac:dyDescent="0.25">
      <c r="A276" s="89" t="s">
        <v>5313</v>
      </c>
      <c r="B276" s="89" t="s">
        <v>7377</v>
      </c>
      <c r="C276" s="89" t="s">
        <v>5314</v>
      </c>
      <c r="D276" s="89">
        <v>1</v>
      </c>
      <c r="E276" s="89">
        <v>1</v>
      </c>
      <c r="F276" s="89" t="s">
        <v>4690</v>
      </c>
    </row>
    <row r="277" spans="1:6" x14ac:dyDescent="0.25">
      <c r="A277" s="89" t="s">
        <v>5591</v>
      </c>
      <c r="B277" s="89" t="s">
        <v>7116</v>
      </c>
      <c r="C277" s="89" t="s">
        <v>5592</v>
      </c>
      <c r="D277" s="89">
        <v>5</v>
      </c>
      <c r="E277" s="89">
        <v>1</v>
      </c>
      <c r="F277" s="89" t="s">
        <v>15</v>
      </c>
    </row>
    <row r="278" spans="1:6" x14ac:dyDescent="0.25">
      <c r="A278" s="89" t="s">
        <v>7378</v>
      </c>
      <c r="B278" s="89" t="s">
        <v>7379</v>
      </c>
      <c r="C278" s="89" t="s">
        <v>7380</v>
      </c>
      <c r="D278" s="89">
        <v>1</v>
      </c>
      <c r="E278" s="89">
        <v>1</v>
      </c>
      <c r="F278" s="89" t="s">
        <v>15</v>
      </c>
    </row>
    <row r="279" spans="1:6" x14ac:dyDescent="0.25">
      <c r="A279" s="89" t="s">
        <v>5028</v>
      </c>
      <c r="B279" s="89" t="s">
        <v>6996</v>
      </c>
      <c r="C279" s="89" t="s">
        <v>5029</v>
      </c>
      <c r="D279" s="89">
        <v>5</v>
      </c>
      <c r="E279" s="89">
        <v>1</v>
      </c>
      <c r="F279" s="89" t="s">
        <v>15</v>
      </c>
    </row>
    <row r="280" spans="1:6" x14ac:dyDescent="0.25">
      <c r="A280" s="89" t="s">
        <v>7381</v>
      </c>
      <c r="B280" s="89" t="s">
        <v>7382</v>
      </c>
      <c r="C280" s="89" t="s">
        <v>7383</v>
      </c>
      <c r="D280" s="89">
        <v>1</v>
      </c>
      <c r="E280" s="89">
        <v>1</v>
      </c>
      <c r="F280" s="89" t="s">
        <v>15</v>
      </c>
    </row>
    <row r="281" spans="1:6" x14ac:dyDescent="0.25">
      <c r="A281" s="89" t="s">
        <v>7384</v>
      </c>
      <c r="B281" s="89" t="s">
        <v>7385</v>
      </c>
      <c r="C281" s="89" t="s">
        <v>883</v>
      </c>
      <c r="D281" s="89">
        <v>1</v>
      </c>
      <c r="E281" s="89">
        <v>1</v>
      </c>
      <c r="F281" s="89" t="s">
        <v>4650</v>
      </c>
    </row>
    <row r="282" spans="1:6" x14ac:dyDescent="0.25">
      <c r="A282" s="89" t="s">
        <v>6884</v>
      </c>
      <c r="B282" s="89" t="s">
        <v>6883</v>
      </c>
      <c r="C282" s="89" t="s">
        <v>6882</v>
      </c>
      <c r="D282" s="89">
        <v>5</v>
      </c>
      <c r="E282" s="89">
        <v>1</v>
      </c>
      <c r="F282" s="89" t="s">
        <v>15</v>
      </c>
    </row>
    <row r="283" spans="1:6" x14ac:dyDescent="0.25">
      <c r="A283" s="89" t="s">
        <v>5081</v>
      </c>
      <c r="B283" s="89" t="s">
        <v>6781</v>
      </c>
      <c r="C283" s="89" t="s">
        <v>1871</v>
      </c>
      <c r="D283" s="89">
        <v>5</v>
      </c>
      <c r="E283" s="89">
        <v>1000</v>
      </c>
      <c r="F283" s="89" t="s">
        <v>4650</v>
      </c>
    </row>
    <row r="284" spans="1:6" x14ac:dyDescent="0.25">
      <c r="A284" s="89" t="s">
        <v>5093</v>
      </c>
      <c r="B284" s="89" t="s">
        <v>7386</v>
      </c>
      <c r="C284" s="89" t="s">
        <v>447</v>
      </c>
      <c r="D284" s="89">
        <v>1</v>
      </c>
      <c r="E284" s="89">
        <v>1</v>
      </c>
      <c r="F284" s="89" t="s">
        <v>4650</v>
      </c>
    </row>
    <row r="285" spans="1:6" x14ac:dyDescent="0.25">
      <c r="A285" s="89" t="s">
        <v>4915</v>
      </c>
      <c r="B285" s="89" t="s">
        <v>4770</v>
      </c>
      <c r="C285" s="89" t="s">
        <v>226</v>
      </c>
      <c r="D285" s="89">
        <v>1</v>
      </c>
      <c r="E285" s="89">
        <v>1</v>
      </c>
      <c r="F285" s="89" t="s">
        <v>4650</v>
      </c>
    </row>
    <row r="286" spans="1:6" x14ac:dyDescent="0.25">
      <c r="A286" s="89" t="s">
        <v>5227</v>
      </c>
      <c r="B286" s="89" t="s">
        <v>7387</v>
      </c>
      <c r="C286" s="89" t="s">
        <v>5228</v>
      </c>
      <c r="D286" s="89">
        <v>1</v>
      </c>
      <c r="E286" s="89">
        <v>1</v>
      </c>
      <c r="F286" s="89" t="s">
        <v>15</v>
      </c>
    </row>
    <row r="287" spans="1:6" x14ac:dyDescent="0.25">
      <c r="A287" s="89" t="s">
        <v>5337</v>
      </c>
      <c r="B287" s="89" t="s">
        <v>7043</v>
      </c>
      <c r="C287" s="89" t="s">
        <v>5338</v>
      </c>
      <c r="D287" s="89">
        <v>5</v>
      </c>
      <c r="E287" s="89">
        <v>1</v>
      </c>
      <c r="F287" s="89" t="s">
        <v>15</v>
      </c>
    </row>
    <row r="288" spans="1:6" x14ac:dyDescent="0.25">
      <c r="A288" s="89" t="s">
        <v>5100</v>
      </c>
      <c r="B288" s="89" t="s">
        <v>7388</v>
      </c>
      <c r="C288" s="89" t="s">
        <v>5101</v>
      </c>
      <c r="D288" s="89">
        <v>1</v>
      </c>
      <c r="E288" s="89">
        <v>1</v>
      </c>
      <c r="F288" s="89" t="s">
        <v>15</v>
      </c>
    </row>
    <row r="289" spans="1:6" x14ac:dyDescent="0.25">
      <c r="A289" s="89" t="s">
        <v>7389</v>
      </c>
      <c r="B289" s="89" t="s">
        <v>7390</v>
      </c>
      <c r="C289" s="89" t="s">
        <v>7390</v>
      </c>
      <c r="D289" s="89">
        <v>15</v>
      </c>
      <c r="E289" s="89">
        <v>1</v>
      </c>
      <c r="F289" s="89" t="s">
        <v>15</v>
      </c>
    </row>
    <row r="290" spans="1:6" x14ac:dyDescent="0.25">
      <c r="A290" s="89" t="s">
        <v>6576</v>
      </c>
      <c r="B290" s="89" t="s">
        <v>6575</v>
      </c>
      <c r="C290" s="89" t="s">
        <v>6574</v>
      </c>
      <c r="D290" s="89">
        <v>5</v>
      </c>
      <c r="E290" s="89">
        <v>1</v>
      </c>
      <c r="F290" s="89" t="s">
        <v>15</v>
      </c>
    </row>
    <row r="291" spans="1:6" x14ac:dyDescent="0.25">
      <c r="A291" s="89" t="s">
        <v>5117</v>
      </c>
      <c r="B291" s="89" t="s">
        <v>6960</v>
      </c>
      <c r="C291" s="89" t="s">
        <v>1628</v>
      </c>
      <c r="D291" s="89">
        <v>5</v>
      </c>
      <c r="E291" s="89">
        <v>1000</v>
      </c>
      <c r="F291" s="89" t="s">
        <v>4650</v>
      </c>
    </row>
    <row r="292" spans="1:6" x14ac:dyDescent="0.25">
      <c r="A292" s="89" t="s">
        <v>4945</v>
      </c>
      <c r="B292" s="89" t="s">
        <v>7019</v>
      </c>
      <c r="C292" s="89" t="s">
        <v>4946</v>
      </c>
      <c r="D292" s="89">
        <v>5</v>
      </c>
      <c r="E292" s="89">
        <v>1</v>
      </c>
      <c r="F292" s="89" t="s">
        <v>15</v>
      </c>
    </row>
    <row r="293" spans="1:6" x14ac:dyDescent="0.25">
      <c r="A293" s="89" t="s">
        <v>7391</v>
      </c>
      <c r="B293" s="89" t="s">
        <v>7392</v>
      </c>
      <c r="C293" s="89" t="s">
        <v>7393</v>
      </c>
      <c r="D293" s="89">
        <v>1</v>
      </c>
      <c r="E293" s="89">
        <v>1</v>
      </c>
      <c r="F293" s="89" t="s">
        <v>15</v>
      </c>
    </row>
    <row r="294" spans="1:6" x14ac:dyDescent="0.25">
      <c r="A294" s="89" t="s">
        <v>6794</v>
      </c>
      <c r="B294" s="89" t="s">
        <v>6793</v>
      </c>
      <c r="C294" s="89" t="s">
        <v>6792</v>
      </c>
      <c r="D294" s="89">
        <v>5</v>
      </c>
      <c r="E294" s="89">
        <v>1</v>
      </c>
      <c r="F294" s="89" t="s">
        <v>15</v>
      </c>
    </row>
    <row r="295" spans="1:6" x14ac:dyDescent="0.25">
      <c r="A295" s="89" t="s">
        <v>5579</v>
      </c>
      <c r="B295" s="89" t="s">
        <v>7076</v>
      </c>
      <c r="C295" s="89" t="s">
        <v>3008</v>
      </c>
      <c r="D295" s="89">
        <v>5</v>
      </c>
      <c r="E295" s="89">
        <v>1000</v>
      </c>
      <c r="F295" s="89" t="s">
        <v>4650</v>
      </c>
    </row>
    <row r="296" spans="1:6" x14ac:dyDescent="0.25">
      <c r="A296" s="89" t="s">
        <v>5341</v>
      </c>
      <c r="B296" s="89" t="s">
        <v>6755</v>
      </c>
      <c r="C296" s="89" t="s">
        <v>5342</v>
      </c>
      <c r="D296" s="89">
        <v>5</v>
      </c>
      <c r="E296" s="89">
        <v>1</v>
      </c>
      <c r="F296" s="89" t="s">
        <v>15</v>
      </c>
    </row>
    <row r="297" spans="1:6" x14ac:dyDescent="0.25">
      <c r="A297" s="89" t="s">
        <v>5439</v>
      </c>
      <c r="B297" s="89" t="s">
        <v>7148</v>
      </c>
      <c r="C297" s="89" t="s">
        <v>5440</v>
      </c>
      <c r="D297" s="89">
        <v>5</v>
      </c>
      <c r="E297" s="89">
        <v>1</v>
      </c>
      <c r="F297" s="89" t="s">
        <v>15</v>
      </c>
    </row>
    <row r="298" spans="1:6" x14ac:dyDescent="0.25">
      <c r="A298" s="89" t="s">
        <v>7394</v>
      </c>
      <c r="B298" s="89" t="s">
        <v>7395</v>
      </c>
      <c r="C298" s="89" t="s">
        <v>7396</v>
      </c>
      <c r="D298" s="89">
        <v>1</v>
      </c>
      <c r="E298" s="89">
        <v>1</v>
      </c>
      <c r="F298" s="89" t="s">
        <v>15</v>
      </c>
    </row>
    <row r="299" spans="1:6" x14ac:dyDescent="0.25">
      <c r="A299" s="89" t="s">
        <v>7397</v>
      </c>
      <c r="B299" s="89" t="s">
        <v>7398</v>
      </c>
      <c r="C299" s="89" t="s">
        <v>847</v>
      </c>
      <c r="D299" s="89">
        <v>1</v>
      </c>
      <c r="E299" s="89">
        <v>1</v>
      </c>
      <c r="F299" s="89" t="s">
        <v>4650</v>
      </c>
    </row>
    <row r="300" spans="1:6" x14ac:dyDescent="0.25">
      <c r="A300" s="89" t="s">
        <v>5173</v>
      </c>
      <c r="B300" s="89" t="s">
        <v>6602</v>
      </c>
      <c r="C300" s="89" t="s">
        <v>5174</v>
      </c>
      <c r="D300" s="89">
        <v>5</v>
      </c>
      <c r="E300" s="89">
        <v>1</v>
      </c>
      <c r="F300" s="89" t="s">
        <v>15</v>
      </c>
    </row>
    <row r="301" spans="1:6" x14ac:dyDescent="0.25">
      <c r="A301" s="89" t="s">
        <v>4895</v>
      </c>
      <c r="B301" s="89" t="s">
        <v>7399</v>
      </c>
      <c r="C301" s="89" t="s">
        <v>144</v>
      </c>
      <c r="D301" s="89">
        <v>1</v>
      </c>
      <c r="E301" s="89">
        <v>1</v>
      </c>
      <c r="F301" s="89" t="s">
        <v>4650</v>
      </c>
    </row>
    <row r="302" spans="1:6" x14ac:dyDescent="0.25">
      <c r="A302" s="89" t="s">
        <v>5177</v>
      </c>
      <c r="B302" s="89" t="s">
        <v>7400</v>
      </c>
      <c r="C302" s="89" t="s">
        <v>5178</v>
      </c>
      <c r="D302" s="89">
        <v>1</v>
      </c>
      <c r="E302" s="89">
        <v>1</v>
      </c>
      <c r="F302" s="89" t="s">
        <v>15</v>
      </c>
    </row>
    <row r="303" spans="1:6" x14ac:dyDescent="0.25">
      <c r="A303" s="89" t="s">
        <v>6754</v>
      </c>
      <c r="B303" s="89" t="s">
        <v>6753</v>
      </c>
      <c r="C303" s="89" t="s">
        <v>6752</v>
      </c>
      <c r="D303" s="89">
        <v>5</v>
      </c>
      <c r="E303" s="89">
        <v>1</v>
      </c>
      <c r="F303" s="89" t="s">
        <v>15</v>
      </c>
    </row>
    <row r="304" spans="1:6" x14ac:dyDescent="0.25">
      <c r="A304" s="89" t="s">
        <v>7401</v>
      </c>
      <c r="B304" s="89" t="s">
        <v>7402</v>
      </c>
      <c r="C304" s="89" t="s">
        <v>7403</v>
      </c>
      <c r="D304" s="89">
        <v>1</v>
      </c>
      <c r="E304" s="89">
        <v>1</v>
      </c>
      <c r="F304" s="89" t="s">
        <v>7749</v>
      </c>
    </row>
    <row r="305" spans="1:6" x14ac:dyDescent="0.25">
      <c r="A305" s="89" t="s">
        <v>6397</v>
      </c>
      <c r="B305" s="89" t="s">
        <v>6396</v>
      </c>
      <c r="C305" s="89" t="s">
        <v>6395</v>
      </c>
      <c r="D305" s="89">
        <v>5</v>
      </c>
      <c r="E305" s="89">
        <v>1</v>
      </c>
      <c r="F305" s="89" t="s">
        <v>4650</v>
      </c>
    </row>
    <row r="306" spans="1:6" x14ac:dyDescent="0.25">
      <c r="A306" s="89" t="s">
        <v>7404</v>
      </c>
      <c r="B306" s="89" t="s">
        <v>7405</v>
      </c>
      <c r="C306" s="89" t="s">
        <v>7406</v>
      </c>
      <c r="D306" s="89">
        <v>1</v>
      </c>
      <c r="E306" s="89">
        <v>1</v>
      </c>
      <c r="F306" s="89" t="s">
        <v>7420</v>
      </c>
    </row>
    <row r="307" spans="1:6" x14ac:dyDescent="0.25">
      <c r="A307" s="89" t="s">
        <v>7147</v>
      </c>
      <c r="B307" s="89" t="s">
        <v>7146</v>
      </c>
      <c r="C307" s="89" t="s">
        <v>7145</v>
      </c>
      <c r="D307" s="89">
        <v>5</v>
      </c>
      <c r="E307" s="89">
        <v>1</v>
      </c>
      <c r="F307" s="89" t="s">
        <v>15</v>
      </c>
    </row>
    <row r="308" spans="1:6" x14ac:dyDescent="0.25">
      <c r="A308" s="89" t="s">
        <v>5582</v>
      </c>
      <c r="B308" s="89" t="s">
        <v>6994</v>
      </c>
      <c r="C308" s="89" t="s">
        <v>3455</v>
      </c>
      <c r="D308" s="89">
        <v>5</v>
      </c>
      <c r="E308" s="89">
        <v>1000</v>
      </c>
      <c r="F308" s="89" t="s">
        <v>4650</v>
      </c>
    </row>
    <row r="309" spans="1:6" x14ac:dyDescent="0.25">
      <c r="A309" s="89" t="s">
        <v>5151</v>
      </c>
      <c r="B309" s="89" t="s">
        <v>7407</v>
      </c>
      <c r="C309" s="89" t="s">
        <v>5152</v>
      </c>
      <c r="D309" s="89">
        <v>1</v>
      </c>
      <c r="E309" s="89">
        <v>1</v>
      </c>
      <c r="F309" s="89" t="s">
        <v>15</v>
      </c>
    </row>
    <row r="310" spans="1:6" x14ac:dyDescent="0.25">
      <c r="A310" s="89" t="s">
        <v>7408</v>
      </c>
      <c r="B310" s="89" t="s">
        <v>7409</v>
      </c>
      <c r="C310" s="89" t="s">
        <v>7410</v>
      </c>
      <c r="D310" s="89">
        <v>1</v>
      </c>
      <c r="E310" s="89">
        <v>1</v>
      </c>
      <c r="F310" s="89" t="s">
        <v>15</v>
      </c>
    </row>
    <row r="311" spans="1:6" x14ac:dyDescent="0.25">
      <c r="A311" s="89" t="s">
        <v>7411</v>
      </c>
      <c r="B311" s="89" t="s">
        <v>7412</v>
      </c>
      <c r="C311" s="89" t="s">
        <v>7413</v>
      </c>
      <c r="D311" s="89">
        <v>1</v>
      </c>
      <c r="E311" s="89">
        <v>1</v>
      </c>
      <c r="F311" s="89" t="s">
        <v>15</v>
      </c>
    </row>
    <row r="312" spans="1:6" x14ac:dyDescent="0.25">
      <c r="A312" s="89" t="s">
        <v>5124</v>
      </c>
      <c r="B312" s="89" t="s">
        <v>7122</v>
      </c>
      <c r="C312" s="89" t="s">
        <v>5125</v>
      </c>
      <c r="D312" s="89">
        <v>5</v>
      </c>
      <c r="E312" s="89">
        <v>1</v>
      </c>
      <c r="F312" s="89" t="s">
        <v>15</v>
      </c>
    </row>
    <row r="313" spans="1:6" x14ac:dyDescent="0.25">
      <c r="A313" s="89" t="s">
        <v>5529</v>
      </c>
      <c r="B313" s="89" t="s">
        <v>7414</v>
      </c>
      <c r="C313" s="89" t="s">
        <v>5530</v>
      </c>
      <c r="D313" s="89">
        <v>1</v>
      </c>
      <c r="E313" s="89">
        <v>1</v>
      </c>
      <c r="F313" s="89" t="s">
        <v>4650</v>
      </c>
    </row>
    <row r="314" spans="1:6" x14ac:dyDescent="0.25">
      <c r="A314" s="89" t="s">
        <v>4809</v>
      </c>
      <c r="B314" s="89" t="s">
        <v>4670</v>
      </c>
      <c r="C314" s="89" t="s">
        <v>30</v>
      </c>
      <c r="D314" s="89">
        <v>1</v>
      </c>
      <c r="E314" s="89">
        <v>1</v>
      </c>
      <c r="F314" s="89" t="s">
        <v>4650</v>
      </c>
    </row>
    <row r="315" spans="1:6" x14ac:dyDescent="0.25">
      <c r="A315" s="89" t="s">
        <v>5141</v>
      </c>
      <c r="B315" s="89" t="s">
        <v>6403</v>
      </c>
      <c r="C315" s="89" t="s">
        <v>5142</v>
      </c>
      <c r="D315" s="89">
        <v>5</v>
      </c>
      <c r="E315" s="89">
        <v>1</v>
      </c>
      <c r="F315" s="89" t="s">
        <v>15</v>
      </c>
    </row>
    <row r="316" spans="1:6" x14ac:dyDescent="0.25">
      <c r="A316" s="89" t="s">
        <v>4861</v>
      </c>
      <c r="B316" s="89" t="s">
        <v>7084</v>
      </c>
      <c r="C316" s="89" t="s">
        <v>4862</v>
      </c>
      <c r="D316" s="89">
        <v>5</v>
      </c>
      <c r="E316" s="89">
        <v>1</v>
      </c>
      <c r="F316" s="89" t="s">
        <v>15</v>
      </c>
    </row>
    <row r="317" spans="1:6" x14ac:dyDescent="0.25">
      <c r="A317" s="89" t="s">
        <v>5476</v>
      </c>
      <c r="B317" s="89" t="s">
        <v>7166</v>
      </c>
      <c r="C317" s="89" t="s">
        <v>5477</v>
      </c>
      <c r="D317" s="89">
        <v>5</v>
      </c>
      <c r="E317" s="89">
        <v>1</v>
      </c>
      <c r="F317" s="89" t="s">
        <v>15</v>
      </c>
    </row>
    <row r="318" spans="1:6" x14ac:dyDescent="0.25">
      <c r="A318" s="89" t="s">
        <v>6800</v>
      </c>
      <c r="B318" s="89" t="s">
        <v>6799</v>
      </c>
      <c r="C318" s="89" t="s">
        <v>1048</v>
      </c>
      <c r="D318" s="89">
        <v>5</v>
      </c>
      <c r="E318" s="89">
        <v>1</v>
      </c>
      <c r="F318" s="89" t="s">
        <v>15</v>
      </c>
    </row>
    <row r="319" spans="1:6" x14ac:dyDescent="0.25">
      <c r="A319" s="89" t="s">
        <v>7415</v>
      </c>
      <c r="B319" s="89" t="s">
        <v>7416</v>
      </c>
      <c r="C319" s="89" t="s">
        <v>7417</v>
      </c>
      <c r="D319" s="89">
        <v>1</v>
      </c>
      <c r="E319" s="89">
        <v>1</v>
      </c>
      <c r="F319" s="89" t="s">
        <v>7749</v>
      </c>
    </row>
    <row r="320" spans="1:6" x14ac:dyDescent="0.25">
      <c r="A320" s="89" t="s">
        <v>7418</v>
      </c>
      <c r="B320" s="89" t="s">
        <v>7419</v>
      </c>
      <c r="C320" s="89" t="s">
        <v>461</v>
      </c>
      <c r="D320" s="89">
        <v>1</v>
      </c>
      <c r="E320" s="89">
        <v>1</v>
      </c>
      <c r="F320" s="89" t="s">
        <v>4650</v>
      </c>
    </row>
    <row r="321" spans="1:6" x14ac:dyDescent="0.25">
      <c r="A321" s="89" t="s">
        <v>7420</v>
      </c>
      <c r="B321" s="89" t="s">
        <v>7421</v>
      </c>
      <c r="C321" s="89" t="s">
        <v>7422</v>
      </c>
      <c r="D321" s="89">
        <v>10</v>
      </c>
      <c r="E321" s="89">
        <v>1</v>
      </c>
      <c r="F321" s="89" t="s">
        <v>4650</v>
      </c>
    </row>
    <row r="322" spans="1:6" x14ac:dyDescent="0.25">
      <c r="A322" s="89" t="s">
        <v>5153</v>
      </c>
      <c r="B322" s="89" t="s">
        <v>6389</v>
      </c>
      <c r="C322" s="89" t="s">
        <v>5154</v>
      </c>
      <c r="D322" s="89">
        <v>5</v>
      </c>
      <c r="E322" s="89">
        <v>1</v>
      </c>
      <c r="F322" s="89" t="s">
        <v>15</v>
      </c>
    </row>
    <row r="323" spans="1:6" x14ac:dyDescent="0.25">
      <c r="A323" s="89" t="s">
        <v>5321</v>
      </c>
      <c r="B323" s="89" t="s">
        <v>6496</v>
      </c>
      <c r="C323" s="89" t="s">
        <v>5322</v>
      </c>
      <c r="D323" s="89">
        <v>5</v>
      </c>
      <c r="E323" s="89">
        <v>1</v>
      </c>
      <c r="F323" s="89" t="s">
        <v>15</v>
      </c>
    </row>
    <row r="324" spans="1:6" x14ac:dyDescent="0.25">
      <c r="A324" s="89" t="s">
        <v>5550</v>
      </c>
      <c r="B324" s="89" t="s">
        <v>6756</v>
      </c>
      <c r="C324" s="89" t="s">
        <v>1472</v>
      </c>
      <c r="D324" s="89">
        <v>5</v>
      </c>
      <c r="E324" s="89">
        <v>1000</v>
      </c>
      <c r="F324" s="89" t="s">
        <v>4650</v>
      </c>
    </row>
    <row r="325" spans="1:6" x14ac:dyDescent="0.25">
      <c r="A325" s="89" t="s">
        <v>6791</v>
      </c>
      <c r="B325" s="89" t="s">
        <v>6790</v>
      </c>
      <c r="C325" s="89" t="s">
        <v>6789</v>
      </c>
      <c r="D325" s="89">
        <v>5</v>
      </c>
      <c r="E325" s="89">
        <v>1</v>
      </c>
      <c r="F325" s="89" t="s">
        <v>15</v>
      </c>
    </row>
    <row r="326" spans="1:6" x14ac:dyDescent="0.25">
      <c r="A326" s="89" t="s">
        <v>7423</v>
      </c>
      <c r="B326" s="89" t="s">
        <v>7424</v>
      </c>
      <c r="C326" s="89" t="s">
        <v>7425</v>
      </c>
      <c r="D326" s="89">
        <v>1</v>
      </c>
      <c r="E326" s="89">
        <v>1</v>
      </c>
      <c r="F326" s="89" t="s">
        <v>15</v>
      </c>
    </row>
    <row r="327" spans="1:6" x14ac:dyDescent="0.25">
      <c r="A327" s="89" t="s">
        <v>7426</v>
      </c>
      <c r="B327" s="89" t="s">
        <v>4723</v>
      </c>
      <c r="C327" s="89" t="s">
        <v>4723</v>
      </c>
      <c r="D327" s="89">
        <v>15</v>
      </c>
      <c r="E327" s="89">
        <v>10</v>
      </c>
      <c r="F327" s="89" t="s">
        <v>15</v>
      </c>
    </row>
    <row r="328" spans="1:6" x14ac:dyDescent="0.25">
      <c r="A328" s="89" t="s">
        <v>5520</v>
      </c>
      <c r="B328" s="89" t="s">
        <v>7427</v>
      </c>
      <c r="C328" s="89" t="s">
        <v>5521</v>
      </c>
      <c r="D328" s="89">
        <v>1</v>
      </c>
      <c r="E328" s="89">
        <v>1</v>
      </c>
      <c r="F328" s="89" t="s">
        <v>4650</v>
      </c>
    </row>
    <row r="329" spans="1:6" x14ac:dyDescent="0.25">
      <c r="A329" s="89" t="s">
        <v>7144</v>
      </c>
      <c r="B329" s="89" t="s">
        <v>7143</v>
      </c>
      <c r="C329" s="89" t="s">
        <v>7142</v>
      </c>
      <c r="D329" s="89">
        <v>5</v>
      </c>
      <c r="E329" s="89">
        <v>1</v>
      </c>
      <c r="F329" s="89" t="s">
        <v>15</v>
      </c>
    </row>
    <row r="330" spans="1:6" x14ac:dyDescent="0.25">
      <c r="A330" s="89" t="s">
        <v>5553</v>
      </c>
      <c r="B330" s="89" t="s">
        <v>6613</v>
      </c>
      <c r="C330" s="89" t="s">
        <v>2678</v>
      </c>
      <c r="D330" s="89">
        <v>5</v>
      </c>
      <c r="E330" s="89">
        <v>1000</v>
      </c>
      <c r="F330" s="89" t="s">
        <v>4650</v>
      </c>
    </row>
    <row r="331" spans="1:6" x14ac:dyDescent="0.25">
      <c r="A331" s="89" t="s">
        <v>5162</v>
      </c>
      <c r="B331" s="89" t="s">
        <v>7428</v>
      </c>
      <c r="C331" s="89" t="s">
        <v>5163</v>
      </c>
      <c r="D331" s="89">
        <v>1</v>
      </c>
      <c r="E331" s="89">
        <v>1</v>
      </c>
      <c r="F331" s="89" t="s">
        <v>15</v>
      </c>
    </row>
    <row r="332" spans="1:6" x14ac:dyDescent="0.25">
      <c r="A332" s="89" t="s">
        <v>7431</v>
      </c>
      <c r="B332" s="89" t="s">
        <v>7432</v>
      </c>
      <c r="C332" s="89" t="s">
        <v>7433</v>
      </c>
      <c r="D332" s="89">
        <v>1</v>
      </c>
      <c r="E332" s="89">
        <v>1</v>
      </c>
      <c r="F332" s="89" t="s">
        <v>15</v>
      </c>
    </row>
    <row r="333" spans="1:6" x14ac:dyDescent="0.25">
      <c r="A333" s="89" t="s">
        <v>7429</v>
      </c>
      <c r="B333" s="89" t="s">
        <v>7430</v>
      </c>
      <c r="C333" s="89" t="s">
        <v>7430</v>
      </c>
      <c r="D333" s="89">
        <v>15</v>
      </c>
      <c r="E333" s="89">
        <v>1</v>
      </c>
      <c r="F333" s="89" t="s">
        <v>15</v>
      </c>
    </row>
    <row r="334" spans="1:6" x14ac:dyDescent="0.25">
      <c r="A334" s="89" t="s">
        <v>7434</v>
      </c>
      <c r="B334" s="89" t="s">
        <v>7435</v>
      </c>
      <c r="C334" s="89" t="s">
        <v>7435</v>
      </c>
      <c r="D334" s="89">
        <v>15</v>
      </c>
      <c r="E334" s="89">
        <v>1</v>
      </c>
      <c r="F334" s="89" t="s">
        <v>4650</v>
      </c>
    </row>
    <row r="335" spans="1:6" x14ac:dyDescent="0.25">
      <c r="A335" s="89" t="s">
        <v>7436</v>
      </c>
      <c r="B335" s="89" t="s">
        <v>7437</v>
      </c>
      <c r="C335" s="89" t="s">
        <v>7438</v>
      </c>
      <c r="D335" s="89">
        <v>1</v>
      </c>
      <c r="E335" s="89">
        <v>1</v>
      </c>
      <c r="F335" s="89" t="s">
        <v>15</v>
      </c>
    </row>
    <row r="336" spans="1:6" x14ac:dyDescent="0.25">
      <c r="A336" s="89" t="s">
        <v>6748</v>
      </c>
      <c r="B336" s="89" t="s">
        <v>6747</v>
      </c>
      <c r="C336" s="89" t="s">
        <v>6746</v>
      </c>
      <c r="D336" s="89">
        <v>5</v>
      </c>
      <c r="E336" s="89">
        <v>1</v>
      </c>
      <c r="F336" s="89" t="s">
        <v>4650</v>
      </c>
    </row>
    <row r="337" spans="1:6" x14ac:dyDescent="0.25">
      <c r="A337" s="89" t="s">
        <v>6425</v>
      </c>
      <c r="B337" s="89" t="s">
        <v>6424</v>
      </c>
      <c r="C337" s="89" t="s">
        <v>6423</v>
      </c>
      <c r="D337" s="89">
        <v>5</v>
      </c>
      <c r="E337" s="89">
        <v>1</v>
      </c>
      <c r="F337" s="89" t="s">
        <v>15</v>
      </c>
    </row>
    <row r="338" spans="1:6" x14ac:dyDescent="0.25">
      <c r="A338" s="89" t="s">
        <v>5577</v>
      </c>
      <c r="B338" s="89" t="s">
        <v>6880</v>
      </c>
      <c r="C338" s="89" t="s">
        <v>1856</v>
      </c>
      <c r="D338" s="89">
        <v>5</v>
      </c>
      <c r="E338" s="89">
        <v>1000</v>
      </c>
      <c r="F338" s="89" t="s">
        <v>4650</v>
      </c>
    </row>
    <row r="339" spans="1:6" x14ac:dyDescent="0.25">
      <c r="A339" s="89" t="s">
        <v>5076</v>
      </c>
      <c r="B339" s="89" t="s">
        <v>7127</v>
      </c>
      <c r="C339" s="89" t="s">
        <v>2051</v>
      </c>
      <c r="D339" s="89">
        <v>5</v>
      </c>
      <c r="E339" s="89">
        <v>1000</v>
      </c>
      <c r="F339" s="89" t="s">
        <v>4650</v>
      </c>
    </row>
    <row r="340" spans="1:6" x14ac:dyDescent="0.25">
      <c r="A340" s="89" t="s">
        <v>6481</v>
      </c>
      <c r="B340" s="89" t="s">
        <v>6480</v>
      </c>
      <c r="C340" s="89" t="s">
        <v>6479</v>
      </c>
      <c r="D340" s="89">
        <v>5</v>
      </c>
      <c r="E340" s="89">
        <v>1</v>
      </c>
      <c r="F340" s="89" t="s">
        <v>15</v>
      </c>
    </row>
    <row r="341" spans="1:6" x14ac:dyDescent="0.25">
      <c r="A341" s="89" t="s">
        <v>7439</v>
      </c>
      <c r="B341" s="89" t="s">
        <v>7440</v>
      </c>
      <c r="C341" s="89" t="s">
        <v>7441</v>
      </c>
      <c r="D341" s="89">
        <v>1</v>
      </c>
      <c r="E341" s="89">
        <v>1</v>
      </c>
      <c r="F341" s="89" t="s">
        <v>15</v>
      </c>
    </row>
    <row r="342" spans="1:6" x14ac:dyDescent="0.25">
      <c r="A342" s="89" t="s">
        <v>5661</v>
      </c>
      <c r="B342" s="89" t="s">
        <v>6433</v>
      </c>
      <c r="C342" s="89" t="s">
        <v>4331</v>
      </c>
      <c r="D342" s="89">
        <v>5</v>
      </c>
      <c r="E342" s="89">
        <v>1000</v>
      </c>
      <c r="F342" s="89" t="s">
        <v>4650</v>
      </c>
    </row>
    <row r="343" spans="1:6" x14ac:dyDescent="0.25">
      <c r="A343" s="89" t="s">
        <v>5159</v>
      </c>
      <c r="B343" s="89" t="s">
        <v>7442</v>
      </c>
      <c r="C343" s="89" t="s">
        <v>673</v>
      </c>
      <c r="D343" s="89">
        <v>1</v>
      </c>
      <c r="E343" s="89">
        <v>1</v>
      </c>
      <c r="F343" s="89" t="s">
        <v>4650</v>
      </c>
    </row>
    <row r="344" spans="1:6" x14ac:dyDescent="0.25">
      <c r="A344" s="89" t="s">
        <v>5147</v>
      </c>
      <c r="B344" s="89" t="s">
        <v>7443</v>
      </c>
      <c r="C344" s="89" t="s">
        <v>5148</v>
      </c>
      <c r="D344" s="89">
        <v>1</v>
      </c>
      <c r="E344" s="89">
        <v>1</v>
      </c>
      <c r="F344" s="89" t="s">
        <v>15</v>
      </c>
    </row>
    <row r="345" spans="1:6" x14ac:dyDescent="0.25">
      <c r="A345" s="89" t="s">
        <v>5414</v>
      </c>
      <c r="B345" s="89" t="s">
        <v>7444</v>
      </c>
      <c r="C345" s="89" t="s">
        <v>5415</v>
      </c>
      <c r="D345" s="89">
        <v>1</v>
      </c>
      <c r="E345" s="89">
        <v>1</v>
      </c>
      <c r="F345" s="89" t="s">
        <v>15</v>
      </c>
    </row>
    <row r="346" spans="1:6" x14ac:dyDescent="0.25">
      <c r="A346" s="89" t="s">
        <v>5332</v>
      </c>
      <c r="B346" s="89" t="s">
        <v>6914</v>
      </c>
      <c r="C346" s="89" t="s">
        <v>968</v>
      </c>
      <c r="D346" s="89">
        <v>5</v>
      </c>
      <c r="E346" s="89">
        <v>1000</v>
      </c>
      <c r="F346" s="89" t="s">
        <v>4650</v>
      </c>
    </row>
    <row r="347" spans="1:6" x14ac:dyDescent="0.25">
      <c r="A347" s="89" t="s">
        <v>7445</v>
      </c>
      <c r="B347" s="89" t="s">
        <v>7446</v>
      </c>
      <c r="C347" s="89" t="s">
        <v>7446</v>
      </c>
      <c r="D347" s="89">
        <v>1</v>
      </c>
      <c r="E347" s="89">
        <v>1</v>
      </c>
      <c r="F347" s="89" t="s">
        <v>4690</v>
      </c>
    </row>
    <row r="348" spans="1:6" x14ac:dyDescent="0.25">
      <c r="A348" s="89" t="s">
        <v>5212</v>
      </c>
      <c r="B348" s="89" t="s">
        <v>6881</v>
      </c>
      <c r="C348" s="89" t="s">
        <v>5213</v>
      </c>
      <c r="D348" s="89">
        <v>5</v>
      </c>
      <c r="E348" s="89">
        <v>1</v>
      </c>
      <c r="F348" s="89" t="s">
        <v>15</v>
      </c>
    </row>
    <row r="349" spans="1:6" x14ac:dyDescent="0.25">
      <c r="A349" s="89" t="s">
        <v>5306</v>
      </c>
      <c r="B349" s="89" t="s">
        <v>6532</v>
      </c>
      <c r="C349" s="89" t="s">
        <v>2057</v>
      </c>
      <c r="D349" s="89">
        <v>5</v>
      </c>
      <c r="E349" s="89">
        <v>1000</v>
      </c>
      <c r="F349" s="89" t="s">
        <v>4650</v>
      </c>
    </row>
    <row r="350" spans="1:6" x14ac:dyDescent="0.25">
      <c r="A350" s="89" t="s">
        <v>6949</v>
      </c>
      <c r="B350" s="89" t="s">
        <v>6948</v>
      </c>
      <c r="C350" s="89" t="s">
        <v>6947</v>
      </c>
      <c r="D350" s="89">
        <v>5</v>
      </c>
      <c r="E350" s="89">
        <v>1</v>
      </c>
      <c r="F350" s="89" t="s">
        <v>15</v>
      </c>
    </row>
    <row r="351" spans="1:6" x14ac:dyDescent="0.25">
      <c r="A351" s="89" t="s">
        <v>7447</v>
      </c>
      <c r="B351" s="89" t="s">
        <v>7448</v>
      </c>
      <c r="C351" s="89" t="s">
        <v>7449</v>
      </c>
      <c r="D351" s="89">
        <v>1</v>
      </c>
      <c r="E351" s="89">
        <v>1</v>
      </c>
      <c r="F351" s="89" t="s">
        <v>15</v>
      </c>
    </row>
    <row r="352" spans="1:6" x14ac:dyDescent="0.25">
      <c r="A352" s="89" t="s">
        <v>7450</v>
      </c>
      <c r="B352" s="89" t="s">
        <v>7451</v>
      </c>
      <c r="C352" s="89" t="s">
        <v>7452</v>
      </c>
      <c r="D352" s="89">
        <v>1</v>
      </c>
      <c r="E352" s="89">
        <v>1</v>
      </c>
      <c r="F352" s="89" t="s">
        <v>7749</v>
      </c>
    </row>
    <row r="353" spans="1:6" x14ac:dyDescent="0.25">
      <c r="A353" s="89" t="s">
        <v>5572</v>
      </c>
      <c r="B353" s="89" t="s">
        <v>6785</v>
      </c>
      <c r="C353" s="89" t="s">
        <v>5573</v>
      </c>
      <c r="D353" s="89">
        <v>5</v>
      </c>
      <c r="E353" s="89">
        <v>1000</v>
      </c>
      <c r="F353" s="89" t="s">
        <v>4650</v>
      </c>
    </row>
    <row r="354" spans="1:6" x14ac:dyDescent="0.25">
      <c r="A354" s="89" t="s">
        <v>7456</v>
      </c>
      <c r="B354" s="89" t="s">
        <v>4722</v>
      </c>
      <c r="C354" s="89" t="s">
        <v>4722</v>
      </c>
      <c r="D354" s="89">
        <v>15</v>
      </c>
      <c r="E354" s="89">
        <v>10</v>
      </c>
      <c r="F354" s="89" t="s">
        <v>15</v>
      </c>
    </row>
    <row r="355" spans="1:6" x14ac:dyDescent="0.25">
      <c r="A355" s="89" t="s">
        <v>7453</v>
      </c>
      <c r="B355" s="89" t="s">
        <v>7454</v>
      </c>
      <c r="C355" s="89" t="s">
        <v>7455</v>
      </c>
      <c r="D355" s="89">
        <v>1</v>
      </c>
      <c r="E355" s="89">
        <v>1</v>
      </c>
      <c r="F355" s="89" t="s">
        <v>15</v>
      </c>
    </row>
    <row r="356" spans="1:6" x14ac:dyDescent="0.25">
      <c r="A356" s="89" t="s">
        <v>6843</v>
      </c>
      <c r="B356" s="89" t="s">
        <v>6842</v>
      </c>
      <c r="C356" s="89" t="s">
        <v>6841</v>
      </c>
      <c r="D356" s="89">
        <v>5</v>
      </c>
      <c r="E356" s="89">
        <v>1</v>
      </c>
      <c r="F356" s="89" t="s">
        <v>15</v>
      </c>
    </row>
    <row r="357" spans="1:6" x14ac:dyDescent="0.25">
      <c r="A357" s="89" t="s">
        <v>7457</v>
      </c>
      <c r="B357" s="89" t="s">
        <v>7458</v>
      </c>
      <c r="C357" s="89" t="s">
        <v>7459</v>
      </c>
      <c r="D357" s="89">
        <v>1</v>
      </c>
      <c r="E357" s="89">
        <v>1</v>
      </c>
      <c r="F357" s="89" t="s">
        <v>7749</v>
      </c>
    </row>
    <row r="358" spans="1:6" x14ac:dyDescent="0.25">
      <c r="A358" s="89" t="s">
        <v>6687</v>
      </c>
      <c r="B358" s="89" t="s">
        <v>6686</v>
      </c>
      <c r="C358" s="89" t="s">
        <v>6685</v>
      </c>
      <c r="D358" s="89">
        <v>5</v>
      </c>
      <c r="E358" s="89">
        <v>1</v>
      </c>
      <c r="F358" s="89" t="s">
        <v>15</v>
      </c>
    </row>
    <row r="359" spans="1:6" x14ac:dyDescent="0.25">
      <c r="A359" s="89" t="s">
        <v>4932</v>
      </c>
      <c r="B359" s="89" t="s">
        <v>6391</v>
      </c>
      <c r="C359" s="89" t="s">
        <v>4933</v>
      </c>
      <c r="D359" s="89">
        <v>5</v>
      </c>
      <c r="E359" s="89">
        <v>1000</v>
      </c>
      <c r="F359" s="89" t="s">
        <v>4650</v>
      </c>
    </row>
    <row r="360" spans="1:6" x14ac:dyDescent="0.25">
      <c r="A360" s="89" t="s">
        <v>7140</v>
      </c>
      <c r="B360" s="89" t="s">
        <v>4692</v>
      </c>
      <c r="C360" s="89" t="s">
        <v>4693</v>
      </c>
      <c r="D360" s="89">
        <v>5</v>
      </c>
      <c r="E360" s="89">
        <v>1</v>
      </c>
      <c r="F360" s="89" t="s">
        <v>15</v>
      </c>
    </row>
    <row r="361" spans="1:6" x14ac:dyDescent="0.25">
      <c r="A361" s="89" t="s">
        <v>5203</v>
      </c>
      <c r="B361" s="89" t="s">
        <v>6414</v>
      </c>
      <c r="C361" s="89" t="s">
        <v>5204</v>
      </c>
      <c r="D361" s="89">
        <v>5</v>
      </c>
      <c r="E361" s="89">
        <v>1</v>
      </c>
      <c r="F361" s="89" t="s">
        <v>15</v>
      </c>
    </row>
    <row r="362" spans="1:6" x14ac:dyDescent="0.25">
      <c r="A362" s="89" t="s">
        <v>7460</v>
      </c>
      <c r="B362" s="89" t="s">
        <v>7461</v>
      </c>
      <c r="C362" s="89" t="s">
        <v>7462</v>
      </c>
      <c r="D362" s="89">
        <v>1</v>
      </c>
      <c r="E362" s="89">
        <v>1</v>
      </c>
      <c r="F362" s="89" t="s">
        <v>15</v>
      </c>
    </row>
    <row r="363" spans="1:6" x14ac:dyDescent="0.25">
      <c r="A363" s="89" t="s">
        <v>5031</v>
      </c>
      <c r="B363" s="89" t="s">
        <v>6801</v>
      </c>
      <c r="C363" s="89" t="s">
        <v>5032</v>
      </c>
      <c r="D363" s="89">
        <v>5</v>
      </c>
      <c r="E363" s="89">
        <v>1</v>
      </c>
      <c r="F363" s="89" t="s">
        <v>15</v>
      </c>
    </row>
    <row r="364" spans="1:6" x14ac:dyDescent="0.25">
      <c r="A364" s="89" t="s">
        <v>6394</v>
      </c>
      <c r="B364" s="89" t="s">
        <v>6393</v>
      </c>
      <c r="C364" s="89" t="s">
        <v>6392</v>
      </c>
      <c r="D364" s="89">
        <v>5</v>
      </c>
      <c r="E364" s="89">
        <v>1</v>
      </c>
      <c r="F364" s="89" t="s">
        <v>15</v>
      </c>
    </row>
    <row r="365" spans="1:6" x14ac:dyDescent="0.25">
      <c r="A365" s="89" t="s">
        <v>4920</v>
      </c>
      <c r="B365" s="89" t="s">
        <v>7463</v>
      </c>
      <c r="C365" s="89" t="s">
        <v>4921</v>
      </c>
      <c r="D365" s="89">
        <v>1</v>
      </c>
      <c r="E365" s="89">
        <v>1</v>
      </c>
      <c r="F365" s="89" t="s">
        <v>15</v>
      </c>
    </row>
    <row r="366" spans="1:6" x14ac:dyDescent="0.25">
      <c r="A366" s="89" t="s">
        <v>4992</v>
      </c>
      <c r="B366" s="89" t="s">
        <v>7467</v>
      </c>
      <c r="C366" s="89" t="s">
        <v>4993</v>
      </c>
      <c r="D366" s="89">
        <v>1</v>
      </c>
      <c r="E366" s="89">
        <v>1</v>
      </c>
      <c r="F366" s="89" t="s">
        <v>4690</v>
      </c>
    </row>
    <row r="367" spans="1:6" x14ac:dyDescent="0.25">
      <c r="A367" s="89" t="s">
        <v>7464</v>
      </c>
      <c r="B367" s="89" t="s">
        <v>7465</v>
      </c>
      <c r="C367" s="89" t="s">
        <v>7466</v>
      </c>
      <c r="D367" s="89">
        <v>1</v>
      </c>
      <c r="E367" s="89">
        <v>1</v>
      </c>
      <c r="F367" s="89" t="s">
        <v>15</v>
      </c>
    </row>
    <row r="368" spans="1:6" x14ac:dyDescent="0.25">
      <c r="A368" s="89" t="s">
        <v>7112</v>
      </c>
      <c r="B368" s="89" t="s">
        <v>7111</v>
      </c>
      <c r="C368" s="89" t="s">
        <v>7110</v>
      </c>
      <c r="D368" s="89">
        <v>5</v>
      </c>
      <c r="E368" s="89">
        <v>1</v>
      </c>
      <c r="F368" s="89" t="s">
        <v>15</v>
      </c>
    </row>
    <row r="369" spans="1:6" x14ac:dyDescent="0.25">
      <c r="A369" s="89" t="s">
        <v>5020</v>
      </c>
      <c r="B369" s="89" t="s">
        <v>6896</v>
      </c>
      <c r="C369" s="89" t="s">
        <v>2879</v>
      </c>
      <c r="D369" s="89">
        <v>5</v>
      </c>
      <c r="E369" s="89">
        <v>1000</v>
      </c>
      <c r="F369" s="89" t="s">
        <v>4650</v>
      </c>
    </row>
    <row r="370" spans="1:6" x14ac:dyDescent="0.25">
      <c r="A370" s="89" t="s">
        <v>5084</v>
      </c>
      <c r="B370" s="89" t="s">
        <v>7120</v>
      </c>
      <c r="C370" s="89" t="s">
        <v>5085</v>
      </c>
      <c r="D370" s="89">
        <v>5</v>
      </c>
      <c r="E370" s="89">
        <v>1</v>
      </c>
      <c r="F370" s="89" t="s">
        <v>15</v>
      </c>
    </row>
    <row r="371" spans="1:6" x14ac:dyDescent="0.25">
      <c r="A371" s="89" t="s">
        <v>6745</v>
      </c>
      <c r="B371" s="89" t="s">
        <v>6744</v>
      </c>
      <c r="C371" s="89" t="s">
        <v>6743</v>
      </c>
      <c r="D371" s="89">
        <v>5</v>
      </c>
      <c r="E371" s="89">
        <v>1</v>
      </c>
      <c r="F371" s="89" t="s">
        <v>15</v>
      </c>
    </row>
    <row r="372" spans="1:6" x14ac:dyDescent="0.25">
      <c r="A372" s="89" t="s">
        <v>4873</v>
      </c>
      <c r="B372" s="89" t="s">
        <v>6692</v>
      </c>
      <c r="C372" s="89" t="s">
        <v>4874</v>
      </c>
      <c r="D372" s="89">
        <v>5</v>
      </c>
      <c r="E372" s="89">
        <v>1</v>
      </c>
      <c r="F372" s="89" t="s">
        <v>15</v>
      </c>
    </row>
    <row r="373" spans="1:6" x14ac:dyDescent="0.25">
      <c r="A373" s="89" t="s">
        <v>7468</v>
      </c>
      <c r="B373" s="89" t="s">
        <v>7469</v>
      </c>
      <c r="C373" s="89" t="s">
        <v>7470</v>
      </c>
      <c r="D373" s="89">
        <v>1</v>
      </c>
      <c r="E373" s="89">
        <v>1</v>
      </c>
      <c r="F373" s="89" t="s">
        <v>7749</v>
      </c>
    </row>
    <row r="374" spans="1:6" x14ac:dyDescent="0.25">
      <c r="A374" s="89" t="s">
        <v>7047</v>
      </c>
      <c r="B374" s="89" t="s">
        <v>7046</v>
      </c>
      <c r="C374" s="89" t="s">
        <v>7045</v>
      </c>
      <c r="D374" s="89">
        <v>5</v>
      </c>
      <c r="E374" s="89">
        <v>1</v>
      </c>
      <c r="F374" s="89" t="s">
        <v>15</v>
      </c>
    </row>
    <row r="375" spans="1:6" x14ac:dyDescent="0.25">
      <c r="A375" s="89" t="s">
        <v>6566</v>
      </c>
      <c r="B375" s="89" t="s">
        <v>6565</v>
      </c>
      <c r="C375" s="89" t="s">
        <v>6564</v>
      </c>
      <c r="D375" s="89">
        <v>5</v>
      </c>
      <c r="E375" s="89">
        <v>1</v>
      </c>
      <c r="F375" s="89" t="s">
        <v>15</v>
      </c>
    </row>
    <row r="376" spans="1:6" x14ac:dyDescent="0.25">
      <c r="A376" s="89" t="s">
        <v>4905</v>
      </c>
      <c r="B376" s="89" t="s">
        <v>4678</v>
      </c>
      <c r="C376" s="89" t="s">
        <v>220</v>
      </c>
      <c r="D376" s="89">
        <v>1</v>
      </c>
      <c r="E376" s="89">
        <v>1</v>
      </c>
      <c r="F376" s="89" t="s">
        <v>4650</v>
      </c>
    </row>
    <row r="377" spans="1:6" x14ac:dyDescent="0.25">
      <c r="A377" s="89" t="s">
        <v>5394</v>
      </c>
      <c r="B377" s="89" t="s">
        <v>7471</v>
      </c>
      <c r="C377" s="89" t="s">
        <v>5395</v>
      </c>
      <c r="D377" s="89">
        <v>1</v>
      </c>
      <c r="E377" s="89">
        <v>1</v>
      </c>
      <c r="F377" s="89" t="s">
        <v>15</v>
      </c>
    </row>
    <row r="378" spans="1:6" x14ac:dyDescent="0.25">
      <c r="A378" s="89" t="s">
        <v>6428</v>
      </c>
      <c r="B378" s="89" t="s">
        <v>6427</v>
      </c>
      <c r="C378" s="89" t="s">
        <v>6426</v>
      </c>
      <c r="D378" s="89">
        <v>5</v>
      </c>
      <c r="E378" s="89">
        <v>1</v>
      </c>
      <c r="F378" s="89" t="s">
        <v>15</v>
      </c>
    </row>
    <row r="379" spans="1:6" x14ac:dyDescent="0.25">
      <c r="A379" s="89" t="s">
        <v>5617</v>
      </c>
      <c r="B379" s="89" t="s">
        <v>6669</v>
      </c>
      <c r="C379" s="89" t="s">
        <v>970</v>
      </c>
      <c r="D379" s="89">
        <v>5</v>
      </c>
      <c r="E379" s="89">
        <v>1000</v>
      </c>
      <c r="F379" s="89" t="s">
        <v>4650</v>
      </c>
    </row>
    <row r="380" spans="1:6" x14ac:dyDescent="0.25">
      <c r="A380" s="89" t="s">
        <v>7472</v>
      </c>
      <c r="B380" s="89" t="s">
        <v>7473</v>
      </c>
      <c r="C380" s="89" t="s">
        <v>7473</v>
      </c>
      <c r="D380" s="89">
        <v>10</v>
      </c>
      <c r="E380" s="89">
        <v>1</v>
      </c>
      <c r="F380" s="89" t="s">
        <v>15</v>
      </c>
    </row>
    <row r="381" spans="1:6" x14ac:dyDescent="0.25">
      <c r="A381" s="89" t="s">
        <v>7474</v>
      </c>
      <c r="B381" s="89" t="s">
        <v>7475</v>
      </c>
      <c r="C381" s="89" t="s">
        <v>7476</v>
      </c>
      <c r="D381" s="89">
        <v>1</v>
      </c>
      <c r="E381" s="89">
        <v>1</v>
      </c>
      <c r="F381" s="89" t="s">
        <v>15</v>
      </c>
    </row>
    <row r="382" spans="1:6" x14ac:dyDescent="0.25">
      <c r="A382" s="89" t="s">
        <v>4803</v>
      </c>
      <c r="B382" s="89" t="s">
        <v>4727</v>
      </c>
      <c r="C382" s="89" t="s">
        <v>39</v>
      </c>
      <c r="D382" s="89">
        <v>1</v>
      </c>
      <c r="E382" s="89">
        <v>1</v>
      </c>
      <c r="F382" s="89" t="s">
        <v>15</v>
      </c>
    </row>
    <row r="383" spans="1:6" x14ac:dyDescent="0.25">
      <c r="A383" s="89" t="s">
        <v>7477</v>
      </c>
      <c r="B383" s="89" t="s">
        <v>7478</v>
      </c>
      <c r="C383" s="89" t="s">
        <v>7479</v>
      </c>
      <c r="D383" s="89">
        <v>10</v>
      </c>
      <c r="E383" s="89">
        <v>1</v>
      </c>
      <c r="F383" s="89" t="s">
        <v>4650</v>
      </c>
    </row>
    <row r="384" spans="1:6" x14ac:dyDescent="0.25">
      <c r="A384" s="89" t="s">
        <v>6990</v>
      </c>
      <c r="B384" s="89" t="s">
        <v>6989</v>
      </c>
      <c r="C384" s="89" t="s">
        <v>6988</v>
      </c>
      <c r="D384" s="89">
        <v>5</v>
      </c>
      <c r="E384" s="89">
        <v>1</v>
      </c>
      <c r="F384" s="89" t="s">
        <v>15</v>
      </c>
    </row>
    <row r="385" spans="1:6" x14ac:dyDescent="0.25">
      <c r="A385" s="89" t="s">
        <v>7480</v>
      </c>
      <c r="B385" s="89" t="s">
        <v>7481</v>
      </c>
      <c r="C385" s="89" t="s">
        <v>676</v>
      </c>
      <c r="D385" s="89">
        <v>1</v>
      </c>
      <c r="E385" s="89">
        <v>1</v>
      </c>
      <c r="F385" s="89" t="s">
        <v>4650</v>
      </c>
    </row>
    <row r="386" spans="1:6" x14ac:dyDescent="0.25">
      <c r="A386" s="89" t="s">
        <v>7482</v>
      </c>
      <c r="B386" s="89" t="s">
        <v>7483</v>
      </c>
      <c r="C386" s="89" t="s">
        <v>7484</v>
      </c>
      <c r="D386" s="89">
        <v>10</v>
      </c>
      <c r="E386" s="89">
        <v>1</v>
      </c>
      <c r="F386" s="89" t="s">
        <v>4650</v>
      </c>
    </row>
    <row r="387" spans="1:6" x14ac:dyDescent="0.25">
      <c r="A387" s="89" t="s">
        <v>4813</v>
      </c>
      <c r="B387" s="89" t="s">
        <v>6995</v>
      </c>
      <c r="C387" s="89" t="s">
        <v>2573</v>
      </c>
      <c r="D387" s="89">
        <v>5</v>
      </c>
      <c r="E387" s="89">
        <v>1000</v>
      </c>
      <c r="F387" s="89" t="s">
        <v>4650</v>
      </c>
    </row>
    <row r="388" spans="1:6" x14ac:dyDescent="0.25">
      <c r="A388" s="89" t="s">
        <v>5642</v>
      </c>
      <c r="B388" s="89" t="s">
        <v>6714</v>
      </c>
      <c r="C388" s="89" t="s">
        <v>5643</v>
      </c>
      <c r="D388" s="89">
        <v>5</v>
      </c>
      <c r="E388" s="89">
        <v>1</v>
      </c>
      <c r="F388" s="89" t="s">
        <v>7420</v>
      </c>
    </row>
    <row r="389" spans="1:6" x14ac:dyDescent="0.25">
      <c r="A389" s="89" t="s">
        <v>6788</v>
      </c>
      <c r="B389" s="89" t="s">
        <v>6787</v>
      </c>
      <c r="C389" s="89" t="s">
        <v>6786</v>
      </c>
      <c r="D389" s="89">
        <v>5</v>
      </c>
      <c r="E389" s="89">
        <v>1</v>
      </c>
      <c r="F389" s="89" t="s">
        <v>4650</v>
      </c>
    </row>
    <row r="390" spans="1:6" x14ac:dyDescent="0.25">
      <c r="A390" s="89" t="s">
        <v>5463</v>
      </c>
      <c r="B390" s="89" t="s">
        <v>6678</v>
      </c>
      <c r="C390" s="89" t="s">
        <v>4782</v>
      </c>
      <c r="D390" s="89">
        <v>5</v>
      </c>
      <c r="E390" s="89">
        <v>1</v>
      </c>
      <c r="F390" s="89" t="s">
        <v>15</v>
      </c>
    </row>
    <row r="391" spans="1:6" x14ac:dyDescent="0.25">
      <c r="A391" s="89" t="s">
        <v>7159</v>
      </c>
      <c r="B391" s="89" t="s">
        <v>7158</v>
      </c>
      <c r="C391" s="89" t="s">
        <v>7157</v>
      </c>
      <c r="D391" s="89">
        <v>5</v>
      </c>
      <c r="E391" s="89">
        <v>1</v>
      </c>
      <c r="F391" s="89" t="s">
        <v>15</v>
      </c>
    </row>
    <row r="392" spans="1:6" x14ac:dyDescent="0.25">
      <c r="A392" s="89" t="s">
        <v>7485</v>
      </c>
      <c r="B392" s="89" t="s">
        <v>7486</v>
      </c>
      <c r="C392" s="89" t="s">
        <v>7487</v>
      </c>
      <c r="D392" s="89">
        <v>1</v>
      </c>
      <c r="E392" s="89">
        <v>1</v>
      </c>
      <c r="F392" s="89" t="s">
        <v>15</v>
      </c>
    </row>
    <row r="393" spans="1:6" x14ac:dyDescent="0.25">
      <c r="A393" s="89" t="s">
        <v>4886</v>
      </c>
      <c r="B393" s="89" t="s">
        <v>7488</v>
      </c>
      <c r="C393" s="89" t="s">
        <v>4887</v>
      </c>
      <c r="D393" s="89">
        <v>1</v>
      </c>
      <c r="E393" s="89">
        <v>1</v>
      </c>
      <c r="F393" s="89" t="s">
        <v>15</v>
      </c>
    </row>
    <row r="394" spans="1:6" x14ac:dyDescent="0.25">
      <c r="A394" s="89" t="s">
        <v>5108</v>
      </c>
      <c r="B394" s="89" t="s">
        <v>6495</v>
      </c>
      <c r="C394" s="89" t="s">
        <v>3602</v>
      </c>
      <c r="D394" s="89">
        <v>5</v>
      </c>
      <c r="E394" s="89">
        <v>1000</v>
      </c>
      <c r="F394" s="89" t="s">
        <v>4650</v>
      </c>
    </row>
    <row r="395" spans="1:6" x14ac:dyDescent="0.25">
      <c r="A395" s="89" t="s">
        <v>7489</v>
      </c>
      <c r="B395" s="89" t="s">
        <v>7490</v>
      </c>
      <c r="C395" s="89" t="s">
        <v>7491</v>
      </c>
      <c r="D395" s="89">
        <v>1</v>
      </c>
      <c r="E395" s="89">
        <v>1</v>
      </c>
      <c r="F395" s="89" t="s">
        <v>15</v>
      </c>
    </row>
    <row r="396" spans="1:6" x14ac:dyDescent="0.25">
      <c r="A396" s="89" t="s">
        <v>7492</v>
      </c>
      <c r="B396" s="89" t="s">
        <v>7493</v>
      </c>
      <c r="C396" s="89" t="s">
        <v>7494</v>
      </c>
      <c r="D396" s="89">
        <v>1</v>
      </c>
      <c r="E396" s="89">
        <v>1</v>
      </c>
      <c r="F396" s="89" t="s">
        <v>4690</v>
      </c>
    </row>
    <row r="397" spans="1:6" x14ac:dyDescent="0.25">
      <c r="A397" s="89" t="s">
        <v>5053</v>
      </c>
      <c r="B397" s="89" t="s">
        <v>6878</v>
      </c>
      <c r="C397" s="89" t="s">
        <v>5054</v>
      </c>
      <c r="D397" s="89">
        <v>5</v>
      </c>
      <c r="E397" s="89">
        <v>1</v>
      </c>
      <c r="F397" s="89" t="s">
        <v>7749</v>
      </c>
    </row>
    <row r="398" spans="1:6" x14ac:dyDescent="0.25">
      <c r="A398" s="89" t="s">
        <v>4818</v>
      </c>
      <c r="B398" s="89" t="s">
        <v>4769</v>
      </c>
      <c r="C398" s="89" t="s">
        <v>494</v>
      </c>
      <c r="D398" s="89">
        <v>1</v>
      </c>
      <c r="E398" s="89">
        <v>1</v>
      </c>
      <c r="F398" s="89" t="s">
        <v>4650</v>
      </c>
    </row>
    <row r="399" spans="1:6" x14ac:dyDescent="0.25">
      <c r="A399" s="89" t="s">
        <v>7495</v>
      </c>
      <c r="B399" s="89" t="s">
        <v>7496</v>
      </c>
      <c r="C399" s="89" t="s">
        <v>7497</v>
      </c>
      <c r="D399" s="89">
        <v>1</v>
      </c>
      <c r="E399" s="89">
        <v>1</v>
      </c>
      <c r="F399" s="89" t="s">
        <v>4650</v>
      </c>
    </row>
    <row r="400" spans="1:6" x14ac:dyDescent="0.25">
      <c r="A400" s="89" t="s">
        <v>7498</v>
      </c>
      <c r="B400" s="89" t="s">
        <v>7499</v>
      </c>
      <c r="C400" s="89" t="s">
        <v>7500</v>
      </c>
      <c r="D400" s="89">
        <v>1</v>
      </c>
      <c r="E400" s="89">
        <v>1</v>
      </c>
      <c r="F400" s="89" t="s">
        <v>4650</v>
      </c>
    </row>
    <row r="401" spans="1:6" x14ac:dyDescent="0.25">
      <c r="A401" s="89" t="s">
        <v>7501</v>
      </c>
      <c r="B401" s="89" t="s">
        <v>7502</v>
      </c>
      <c r="C401" s="89" t="s">
        <v>7503</v>
      </c>
      <c r="D401" s="89">
        <v>1</v>
      </c>
      <c r="E401" s="89">
        <v>1</v>
      </c>
      <c r="F401" s="89" t="s">
        <v>15</v>
      </c>
    </row>
    <row r="402" spans="1:6" x14ac:dyDescent="0.25">
      <c r="A402" s="89" t="s">
        <v>6742</v>
      </c>
      <c r="B402" s="89" t="s">
        <v>6741</v>
      </c>
      <c r="C402" s="89" t="s">
        <v>6740</v>
      </c>
      <c r="D402" s="89">
        <v>5</v>
      </c>
      <c r="E402" s="89">
        <v>1</v>
      </c>
      <c r="F402" s="89" t="s">
        <v>15</v>
      </c>
    </row>
    <row r="403" spans="1:6" x14ac:dyDescent="0.25">
      <c r="A403" s="89" t="s">
        <v>4841</v>
      </c>
      <c r="B403" s="89" t="s">
        <v>6863</v>
      </c>
      <c r="C403" s="89" t="s">
        <v>4842</v>
      </c>
      <c r="D403" s="89">
        <v>5</v>
      </c>
      <c r="E403" s="89">
        <v>1</v>
      </c>
      <c r="F403" s="89" t="s">
        <v>15</v>
      </c>
    </row>
    <row r="404" spans="1:6" x14ac:dyDescent="0.25">
      <c r="A404" s="89" t="s">
        <v>7504</v>
      </c>
      <c r="B404" s="89" t="s">
        <v>7505</v>
      </c>
      <c r="C404" s="89" t="s">
        <v>7506</v>
      </c>
      <c r="D404" s="89">
        <v>1</v>
      </c>
      <c r="E404" s="89">
        <v>1</v>
      </c>
      <c r="F404" s="89" t="s">
        <v>15</v>
      </c>
    </row>
    <row r="405" spans="1:6" x14ac:dyDescent="0.25">
      <c r="A405" s="89" t="s">
        <v>4824</v>
      </c>
      <c r="B405" s="89" t="s">
        <v>4649</v>
      </c>
      <c r="C405" s="89" t="s">
        <v>4674</v>
      </c>
      <c r="D405" s="89">
        <v>1</v>
      </c>
      <c r="E405" s="89">
        <v>1</v>
      </c>
      <c r="F405" s="89" t="s">
        <v>15</v>
      </c>
    </row>
    <row r="406" spans="1:6" x14ac:dyDescent="0.25">
      <c r="A406" s="89" t="s">
        <v>6531</v>
      </c>
      <c r="B406" s="89" t="s">
        <v>6530</v>
      </c>
      <c r="C406" s="89" t="s">
        <v>6529</v>
      </c>
      <c r="D406" s="89">
        <v>5</v>
      </c>
      <c r="E406" s="89">
        <v>1</v>
      </c>
      <c r="F406" s="89" t="s">
        <v>7749</v>
      </c>
    </row>
    <row r="407" spans="1:6" x14ac:dyDescent="0.25">
      <c r="A407" s="89" t="s">
        <v>5566</v>
      </c>
      <c r="B407" s="89" t="s">
        <v>7082</v>
      </c>
      <c r="C407" s="89" t="s">
        <v>4172</v>
      </c>
      <c r="D407" s="89">
        <v>5</v>
      </c>
      <c r="E407" s="89">
        <v>1000</v>
      </c>
      <c r="F407" s="89" t="s">
        <v>4650</v>
      </c>
    </row>
    <row r="408" spans="1:6" x14ac:dyDescent="0.25">
      <c r="A408" s="89" t="s">
        <v>6737</v>
      </c>
      <c r="B408" s="89" t="s">
        <v>6736</v>
      </c>
      <c r="C408" s="89" t="s">
        <v>6735</v>
      </c>
      <c r="D408" s="89">
        <v>5</v>
      </c>
      <c r="E408" s="89">
        <v>1</v>
      </c>
      <c r="F408" s="89" t="s">
        <v>15</v>
      </c>
    </row>
    <row r="409" spans="1:6" x14ac:dyDescent="0.25">
      <c r="A409" s="89" t="s">
        <v>5229</v>
      </c>
      <c r="B409" s="89" t="s">
        <v>7164</v>
      </c>
      <c r="C409" s="89" t="s">
        <v>5230</v>
      </c>
      <c r="D409" s="89">
        <v>5</v>
      </c>
      <c r="E409" s="89">
        <v>1</v>
      </c>
      <c r="F409" s="89" t="s">
        <v>15</v>
      </c>
    </row>
    <row r="410" spans="1:6" x14ac:dyDescent="0.25">
      <c r="A410" s="89" t="s">
        <v>7507</v>
      </c>
      <c r="B410" s="89" t="s">
        <v>7508</v>
      </c>
      <c r="C410" s="89" t="s">
        <v>321</v>
      </c>
      <c r="D410" s="89">
        <v>1</v>
      </c>
      <c r="E410" s="89">
        <v>1</v>
      </c>
      <c r="F410" s="89" t="s">
        <v>4650</v>
      </c>
    </row>
    <row r="411" spans="1:6" x14ac:dyDescent="0.25">
      <c r="A411" s="89" t="s">
        <v>7089</v>
      </c>
      <c r="B411" s="89" t="s">
        <v>7088</v>
      </c>
      <c r="C411" s="89" t="s">
        <v>7087</v>
      </c>
      <c r="D411" s="89">
        <v>5</v>
      </c>
      <c r="E411" s="89">
        <v>1</v>
      </c>
      <c r="F411" s="89" t="s">
        <v>15</v>
      </c>
    </row>
    <row r="412" spans="1:6" x14ac:dyDescent="0.25">
      <c r="A412" s="89" t="s">
        <v>5406</v>
      </c>
      <c r="B412" s="89" t="s">
        <v>7509</v>
      </c>
      <c r="C412" s="89" t="s">
        <v>5407</v>
      </c>
      <c r="D412" s="89">
        <v>1</v>
      </c>
      <c r="E412" s="89">
        <v>1</v>
      </c>
      <c r="F412" s="89" t="s">
        <v>15</v>
      </c>
    </row>
    <row r="413" spans="1:6" x14ac:dyDescent="0.25">
      <c r="A413" s="89" t="s">
        <v>7510</v>
      </c>
      <c r="B413" s="89" t="s">
        <v>7511</v>
      </c>
      <c r="C413" s="89" t="s">
        <v>820</v>
      </c>
      <c r="D413" s="89">
        <v>1</v>
      </c>
      <c r="E413" s="89">
        <v>1</v>
      </c>
      <c r="F413" s="89" t="s">
        <v>4650</v>
      </c>
    </row>
    <row r="414" spans="1:6" x14ac:dyDescent="0.25">
      <c r="A414" s="89" t="s">
        <v>5072</v>
      </c>
      <c r="B414" s="89" t="s">
        <v>6877</v>
      </c>
      <c r="C414" s="89" t="s">
        <v>974</v>
      </c>
      <c r="D414" s="89">
        <v>5</v>
      </c>
      <c r="E414" s="89">
        <v>1000</v>
      </c>
      <c r="F414" s="89" t="s">
        <v>4650</v>
      </c>
    </row>
    <row r="415" spans="1:6" x14ac:dyDescent="0.25">
      <c r="A415" s="89" t="s">
        <v>5370</v>
      </c>
      <c r="B415" s="89" t="s">
        <v>7512</v>
      </c>
      <c r="C415" s="89" t="s">
        <v>5371</v>
      </c>
      <c r="D415" s="89">
        <v>1</v>
      </c>
      <c r="E415" s="89">
        <v>1</v>
      </c>
      <c r="F415" s="89" t="s">
        <v>15</v>
      </c>
    </row>
    <row r="416" spans="1:6" x14ac:dyDescent="0.25">
      <c r="A416" s="89" t="s">
        <v>6860</v>
      </c>
      <c r="B416" s="89" t="s">
        <v>6859</v>
      </c>
      <c r="C416" s="89" t="s">
        <v>6858</v>
      </c>
      <c r="D416" s="89">
        <v>5</v>
      </c>
      <c r="E416" s="89">
        <v>1</v>
      </c>
      <c r="F416" s="89" t="s">
        <v>15</v>
      </c>
    </row>
    <row r="417" spans="1:6" x14ac:dyDescent="0.25">
      <c r="A417" s="89" t="s">
        <v>6648</v>
      </c>
      <c r="B417" s="89" t="s">
        <v>6647</v>
      </c>
      <c r="C417" s="89" t="s">
        <v>6646</v>
      </c>
      <c r="D417" s="89">
        <v>5</v>
      </c>
      <c r="E417" s="89">
        <v>1000</v>
      </c>
      <c r="F417" s="89" t="s">
        <v>4650</v>
      </c>
    </row>
    <row r="418" spans="1:6" x14ac:dyDescent="0.25">
      <c r="A418" s="89" t="s">
        <v>7513</v>
      </c>
      <c r="B418" s="89" t="s">
        <v>7514</v>
      </c>
      <c r="C418" s="89" t="s">
        <v>7515</v>
      </c>
      <c r="D418" s="89">
        <v>1</v>
      </c>
      <c r="E418" s="89">
        <v>1</v>
      </c>
      <c r="F418" s="89" t="s">
        <v>15</v>
      </c>
    </row>
    <row r="419" spans="1:6" x14ac:dyDescent="0.25">
      <c r="A419" s="89" t="s">
        <v>7516</v>
      </c>
      <c r="B419" s="89" t="s">
        <v>7517</v>
      </c>
      <c r="C419" s="89" t="s">
        <v>7518</v>
      </c>
      <c r="D419" s="89">
        <v>1</v>
      </c>
      <c r="E419" s="89">
        <v>1</v>
      </c>
      <c r="F419" s="89" t="s">
        <v>15</v>
      </c>
    </row>
    <row r="420" spans="1:6" x14ac:dyDescent="0.25">
      <c r="A420" s="89" t="s">
        <v>6411</v>
      </c>
      <c r="B420" s="89" t="s">
        <v>6410</v>
      </c>
      <c r="C420" s="89" t="s">
        <v>6409</v>
      </c>
      <c r="D420" s="89">
        <v>5</v>
      </c>
      <c r="E420" s="89">
        <v>1</v>
      </c>
      <c r="F420" s="89" t="s">
        <v>15</v>
      </c>
    </row>
    <row r="421" spans="1:6" x14ac:dyDescent="0.25">
      <c r="A421" s="89" t="s">
        <v>5408</v>
      </c>
      <c r="B421" s="89" t="s">
        <v>7519</v>
      </c>
      <c r="C421" s="89" t="s">
        <v>5409</v>
      </c>
      <c r="D421" s="89">
        <v>1</v>
      </c>
      <c r="E421" s="89">
        <v>1</v>
      </c>
      <c r="F421" s="89" t="s">
        <v>15</v>
      </c>
    </row>
    <row r="422" spans="1:6" x14ac:dyDescent="0.25">
      <c r="A422" s="89" t="s">
        <v>7520</v>
      </c>
      <c r="B422" s="89" t="s">
        <v>7521</v>
      </c>
      <c r="C422" s="89" t="s">
        <v>7522</v>
      </c>
      <c r="D422" s="89">
        <v>1</v>
      </c>
      <c r="E422" s="89">
        <v>1</v>
      </c>
      <c r="F422" s="89" t="s">
        <v>7749</v>
      </c>
    </row>
    <row r="423" spans="1:6" x14ac:dyDescent="0.25">
      <c r="A423" s="89" t="s">
        <v>4827</v>
      </c>
      <c r="B423" s="89" t="s">
        <v>7523</v>
      </c>
      <c r="C423" s="89" t="s">
        <v>7523</v>
      </c>
      <c r="D423" s="89">
        <v>15</v>
      </c>
      <c r="E423" s="89">
        <v>10</v>
      </c>
      <c r="F423" s="89" t="s">
        <v>15</v>
      </c>
    </row>
    <row r="424" spans="1:6" x14ac:dyDescent="0.25">
      <c r="A424" s="89" t="s">
        <v>7524</v>
      </c>
      <c r="B424" s="89" t="s">
        <v>7525</v>
      </c>
      <c r="C424" s="89" t="s">
        <v>7526</v>
      </c>
      <c r="D424" s="89">
        <v>1</v>
      </c>
      <c r="E424" s="89">
        <v>1</v>
      </c>
      <c r="F424" s="89" t="s">
        <v>7749</v>
      </c>
    </row>
    <row r="425" spans="1:6" x14ac:dyDescent="0.25">
      <c r="A425" s="89" t="s">
        <v>6570</v>
      </c>
      <c r="B425" s="89" t="s">
        <v>6569</v>
      </c>
      <c r="C425" s="89" t="s">
        <v>6568</v>
      </c>
      <c r="D425" s="89">
        <v>5</v>
      </c>
      <c r="E425" s="89">
        <v>1</v>
      </c>
      <c r="F425" s="89" t="s">
        <v>4650</v>
      </c>
    </row>
    <row r="426" spans="1:6" x14ac:dyDescent="0.25">
      <c r="A426" s="89" t="s">
        <v>5115</v>
      </c>
      <c r="B426" s="89" t="s">
        <v>6586</v>
      </c>
      <c r="C426" s="89" t="s">
        <v>1068</v>
      </c>
      <c r="D426" s="89">
        <v>5</v>
      </c>
      <c r="E426" s="89">
        <v>1000</v>
      </c>
      <c r="F426" s="89" t="s">
        <v>4650</v>
      </c>
    </row>
    <row r="427" spans="1:6" x14ac:dyDescent="0.25">
      <c r="A427" s="89" t="s">
        <v>5049</v>
      </c>
      <c r="B427" s="89" t="s">
        <v>6713</v>
      </c>
      <c r="C427" s="89" t="s">
        <v>5050</v>
      </c>
      <c r="D427" s="89">
        <v>5</v>
      </c>
      <c r="E427" s="89">
        <v>1</v>
      </c>
      <c r="F427" s="89" t="s">
        <v>15</v>
      </c>
    </row>
    <row r="428" spans="1:6" x14ac:dyDescent="0.25">
      <c r="A428" s="89" t="s">
        <v>4851</v>
      </c>
      <c r="B428" s="89" t="s">
        <v>4743</v>
      </c>
      <c r="C428" s="89" t="s">
        <v>4744</v>
      </c>
      <c r="D428" s="89">
        <v>5</v>
      </c>
      <c r="E428" s="89">
        <v>1</v>
      </c>
      <c r="F428" s="89" t="s">
        <v>15</v>
      </c>
    </row>
    <row r="429" spans="1:6" x14ac:dyDescent="0.25">
      <c r="A429" s="89" t="s">
        <v>7527</v>
      </c>
      <c r="B429" s="89" t="s">
        <v>4721</v>
      </c>
      <c r="C429" s="89" t="s">
        <v>4721</v>
      </c>
      <c r="D429" s="89">
        <v>15</v>
      </c>
      <c r="E429" s="89">
        <v>1</v>
      </c>
      <c r="F429" s="89" t="s">
        <v>4650</v>
      </c>
    </row>
    <row r="430" spans="1:6" x14ac:dyDescent="0.25">
      <c r="A430" s="89" t="s">
        <v>5200</v>
      </c>
      <c r="B430" s="89" t="s">
        <v>7528</v>
      </c>
      <c r="C430" s="89" t="s">
        <v>5201</v>
      </c>
      <c r="D430" s="89">
        <v>1</v>
      </c>
      <c r="E430" s="89">
        <v>1</v>
      </c>
      <c r="F430" s="89" t="s">
        <v>15</v>
      </c>
    </row>
    <row r="431" spans="1:6" x14ac:dyDescent="0.25">
      <c r="A431" s="89" t="s">
        <v>4882</v>
      </c>
      <c r="B431" s="89" t="s">
        <v>6939</v>
      </c>
      <c r="C431" s="89" t="s">
        <v>4883</v>
      </c>
      <c r="D431" s="89">
        <v>5</v>
      </c>
      <c r="E431" s="89">
        <v>1</v>
      </c>
      <c r="F431" s="89" t="s">
        <v>15</v>
      </c>
    </row>
    <row r="432" spans="1:6" x14ac:dyDescent="0.25">
      <c r="A432" s="89" t="s">
        <v>5155</v>
      </c>
      <c r="B432" s="89" t="s">
        <v>6563</v>
      </c>
      <c r="C432" s="89" t="s">
        <v>5156</v>
      </c>
      <c r="D432" s="89">
        <v>5</v>
      </c>
      <c r="E432" s="89">
        <v>1</v>
      </c>
      <c r="F432" s="89" t="s">
        <v>15</v>
      </c>
    </row>
    <row r="433" spans="1:6" x14ac:dyDescent="0.25">
      <c r="A433" s="89" t="s">
        <v>5192</v>
      </c>
      <c r="B433" s="89" t="s">
        <v>6460</v>
      </c>
      <c r="C433" s="89" t="s">
        <v>25</v>
      </c>
      <c r="D433" s="89">
        <v>5</v>
      </c>
      <c r="E433" s="89">
        <v>1000</v>
      </c>
      <c r="F433" s="89" t="s">
        <v>4650</v>
      </c>
    </row>
    <row r="434" spans="1:6" x14ac:dyDescent="0.25">
      <c r="A434" s="89" t="s">
        <v>7529</v>
      </c>
      <c r="B434" s="89" t="s">
        <v>7530</v>
      </c>
      <c r="C434" s="89" t="s">
        <v>7531</v>
      </c>
      <c r="D434" s="89">
        <v>1</v>
      </c>
      <c r="E434" s="89">
        <v>1</v>
      </c>
      <c r="F434" s="89" t="s">
        <v>15</v>
      </c>
    </row>
    <row r="435" spans="1:6" x14ac:dyDescent="0.25">
      <c r="A435" s="89" t="s">
        <v>5041</v>
      </c>
      <c r="B435" s="89" t="s">
        <v>7075</v>
      </c>
      <c r="C435" s="89" t="s">
        <v>5042</v>
      </c>
      <c r="D435" s="89">
        <v>5</v>
      </c>
      <c r="E435" s="89">
        <v>1</v>
      </c>
      <c r="F435" s="89" t="s">
        <v>7749</v>
      </c>
    </row>
    <row r="436" spans="1:6" x14ac:dyDescent="0.25">
      <c r="A436" s="89" t="s">
        <v>5653</v>
      </c>
      <c r="B436" s="89" t="s">
        <v>6952</v>
      </c>
      <c r="C436" s="89" t="s">
        <v>3212</v>
      </c>
      <c r="D436" s="89">
        <v>5</v>
      </c>
      <c r="E436" s="89">
        <v>1000</v>
      </c>
      <c r="F436" s="89" t="s">
        <v>4650</v>
      </c>
    </row>
    <row r="437" spans="1:6" x14ac:dyDescent="0.25">
      <c r="A437" s="89" t="s">
        <v>5474</v>
      </c>
      <c r="B437" s="89" t="s">
        <v>7532</v>
      </c>
      <c r="C437" s="89" t="s">
        <v>5475</v>
      </c>
      <c r="D437" s="89">
        <v>1</v>
      </c>
      <c r="E437" s="89">
        <v>1</v>
      </c>
      <c r="F437" s="89" t="s">
        <v>7749</v>
      </c>
    </row>
    <row r="438" spans="1:6" x14ac:dyDescent="0.25">
      <c r="A438" s="89" t="s">
        <v>7057</v>
      </c>
      <c r="B438" s="89" t="s">
        <v>7056</v>
      </c>
      <c r="C438" s="89" t="s">
        <v>7055</v>
      </c>
      <c r="D438" s="89">
        <v>5</v>
      </c>
      <c r="E438" s="89">
        <v>1</v>
      </c>
      <c r="F438" s="89" t="s">
        <v>15</v>
      </c>
    </row>
    <row r="439" spans="1:6" x14ac:dyDescent="0.25">
      <c r="A439" s="89" t="s">
        <v>7533</v>
      </c>
      <c r="B439" s="89" t="s">
        <v>7534</v>
      </c>
      <c r="C439" s="89" t="s">
        <v>7535</v>
      </c>
      <c r="D439" s="89">
        <v>1</v>
      </c>
      <c r="E439" s="89">
        <v>1</v>
      </c>
      <c r="F439" s="89" t="s">
        <v>15</v>
      </c>
    </row>
    <row r="440" spans="1:6" x14ac:dyDescent="0.25">
      <c r="A440" s="89" t="s">
        <v>5149</v>
      </c>
      <c r="B440" s="89" t="s">
        <v>6823</v>
      </c>
      <c r="C440" s="89" t="s">
        <v>5150</v>
      </c>
      <c r="D440" s="89">
        <v>5</v>
      </c>
      <c r="E440" s="89">
        <v>1</v>
      </c>
      <c r="F440" s="89" t="s">
        <v>15</v>
      </c>
    </row>
    <row r="441" spans="1:6" x14ac:dyDescent="0.25">
      <c r="A441" s="89" t="s">
        <v>6432</v>
      </c>
      <c r="B441" s="89" t="s">
        <v>6431</v>
      </c>
      <c r="C441" s="89" t="s">
        <v>6430</v>
      </c>
      <c r="D441" s="89">
        <v>5</v>
      </c>
      <c r="E441" s="89">
        <v>1</v>
      </c>
      <c r="F441" s="89" t="s">
        <v>15</v>
      </c>
    </row>
    <row r="442" spans="1:6" x14ac:dyDescent="0.25">
      <c r="A442" s="89" t="s">
        <v>6921</v>
      </c>
      <c r="B442" s="89" t="s">
        <v>6920</v>
      </c>
      <c r="C442" s="89" t="s">
        <v>6919</v>
      </c>
      <c r="D442" s="89">
        <v>5</v>
      </c>
      <c r="E442" s="89">
        <v>1</v>
      </c>
      <c r="F442" s="89" t="s">
        <v>15</v>
      </c>
    </row>
    <row r="443" spans="1:6" x14ac:dyDescent="0.25">
      <c r="A443" s="89" t="s">
        <v>7124</v>
      </c>
      <c r="B443" s="89" t="s">
        <v>7123</v>
      </c>
      <c r="C443" s="89" t="s">
        <v>4469</v>
      </c>
      <c r="D443" s="89">
        <v>5</v>
      </c>
      <c r="E443" s="89">
        <v>1000</v>
      </c>
      <c r="F443" s="89" t="s">
        <v>4650</v>
      </c>
    </row>
    <row r="444" spans="1:6" x14ac:dyDescent="0.25">
      <c r="A444" s="89" t="s">
        <v>4935</v>
      </c>
      <c r="B444" s="89" t="s">
        <v>7539</v>
      </c>
      <c r="C444" s="89" t="s">
        <v>4936</v>
      </c>
      <c r="D444" s="89">
        <v>1</v>
      </c>
      <c r="E444" s="89">
        <v>1</v>
      </c>
      <c r="F444" s="89" t="s">
        <v>7749</v>
      </c>
    </row>
    <row r="445" spans="1:6" x14ac:dyDescent="0.25">
      <c r="A445" s="89" t="s">
        <v>7536</v>
      </c>
      <c r="B445" s="89" t="s">
        <v>7537</v>
      </c>
      <c r="C445" s="89" t="s">
        <v>7538</v>
      </c>
      <c r="D445" s="89">
        <v>1</v>
      </c>
      <c r="E445" s="89">
        <v>1</v>
      </c>
      <c r="F445" s="89" t="s">
        <v>7749</v>
      </c>
    </row>
    <row r="446" spans="1:6" x14ac:dyDescent="0.25">
      <c r="A446" s="89" t="s">
        <v>5022</v>
      </c>
      <c r="B446" s="89" t="s">
        <v>6664</v>
      </c>
      <c r="C446" s="89" t="s">
        <v>5023</v>
      </c>
      <c r="D446" s="89">
        <v>5</v>
      </c>
      <c r="E446" s="89">
        <v>1</v>
      </c>
      <c r="F446" s="89" t="s">
        <v>15</v>
      </c>
    </row>
    <row r="447" spans="1:6" x14ac:dyDescent="0.25">
      <c r="A447" s="89" t="s">
        <v>5352</v>
      </c>
      <c r="B447" s="89" t="s">
        <v>7092</v>
      </c>
      <c r="C447" s="89" t="s">
        <v>5353</v>
      </c>
      <c r="D447" s="89">
        <v>5</v>
      </c>
      <c r="E447" s="89">
        <v>1</v>
      </c>
      <c r="F447" s="89" t="s">
        <v>15</v>
      </c>
    </row>
    <row r="448" spans="1:6" x14ac:dyDescent="0.25">
      <c r="A448" s="89" t="s">
        <v>5254</v>
      </c>
      <c r="B448" s="89" t="s">
        <v>7540</v>
      </c>
      <c r="C448" s="89" t="s">
        <v>5255</v>
      </c>
      <c r="D448" s="89">
        <v>1</v>
      </c>
      <c r="E448" s="89">
        <v>1</v>
      </c>
      <c r="F448" s="89" t="s">
        <v>15</v>
      </c>
    </row>
    <row r="449" spans="1:6" x14ac:dyDescent="0.25">
      <c r="A449" s="89" t="s">
        <v>6368</v>
      </c>
      <c r="B449" s="89" t="s">
        <v>6367</v>
      </c>
      <c r="C449" s="89" t="s">
        <v>6366</v>
      </c>
      <c r="D449" s="89">
        <v>5</v>
      </c>
      <c r="E449" s="89">
        <v>1</v>
      </c>
      <c r="F449" s="89" t="s">
        <v>15</v>
      </c>
    </row>
    <row r="450" spans="1:6" x14ac:dyDescent="0.25">
      <c r="A450" s="89" t="s">
        <v>5017</v>
      </c>
      <c r="B450" s="89" t="s">
        <v>7541</v>
      </c>
      <c r="C450" s="89" t="s">
        <v>5018</v>
      </c>
      <c r="D450" s="89">
        <v>1</v>
      </c>
      <c r="E450" s="89">
        <v>1</v>
      </c>
      <c r="F450" s="89" t="s">
        <v>15</v>
      </c>
    </row>
    <row r="451" spans="1:6" x14ac:dyDescent="0.25">
      <c r="A451" s="89" t="s">
        <v>5522</v>
      </c>
      <c r="B451" s="89" t="s">
        <v>7542</v>
      </c>
      <c r="C451" s="89" t="s">
        <v>280</v>
      </c>
      <c r="D451" s="89">
        <v>1</v>
      </c>
      <c r="E451" s="89">
        <v>1</v>
      </c>
      <c r="F451" s="89" t="s">
        <v>4650</v>
      </c>
    </row>
    <row r="452" spans="1:6" x14ac:dyDescent="0.25">
      <c r="A452" s="89" t="s">
        <v>4998</v>
      </c>
      <c r="B452" s="89" t="s">
        <v>7093</v>
      </c>
      <c r="C452" s="89" t="s">
        <v>4999</v>
      </c>
      <c r="D452" s="89">
        <v>5</v>
      </c>
      <c r="E452" s="89">
        <v>1</v>
      </c>
      <c r="F452" s="89" t="s">
        <v>15</v>
      </c>
    </row>
    <row r="453" spans="1:6" x14ac:dyDescent="0.25">
      <c r="A453" s="89" t="s">
        <v>7543</v>
      </c>
      <c r="B453" s="89" t="s">
        <v>7544</v>
      </c>
      <c r="C453" s="89" t="s">
        <v>7544</v>
      </c>
      <c r="D453" s="89">
        <v>15</v>
      </c>
      <c r="E453" s="89">
        <v>1</v>
      </c>
      <c r="F453" s="89" t="s">
        <v>4650</v>
      </c>
    </row>
    <row r="454" spans="1:6" x14ac:dyDescent="0.25">
      <c r="A454" s="89" t="s">
        <v>7545</v>
      </c>
      <c r="B454" s="89" t="s">
        <v>7546</v>
      </c>
      <c r="C454" s="89" t="s">
        <v>7547</v>
      </c>
      <c r="D454" s="89">
        <v>1</v>
      </c>
      <c r="E454" s="89">
        <v>1</v>
      </c>
      <c r="F454" s="89" t="s">
        <v>15</v>
      </c>
    </row>
    <row r="455" spans="1:6" x14ac:dyDescent="0.25">
      <c r="A455" s="89" t="s">
        <v>4963</v>
      </c>
      <c r="B455" s="89" t="s">
        <v>7086</v>
      </c>
      <c r="C455" s="89" t="s">
        <v>4964</v>
      </c>
      <c r="D455" s="89">
        <v>5</v>
      </c>
      <c r="E455" s="89">
        <v>1</v>
      </c>
      <c r="F455" s="89" t="s">
        <v>15</v>
      </c>
    </row>
    <row r="456" spans="1:6" x14ac:dyDescent="0.25">
      <c r="A456" s="89" t="s">
        <v>5250</v>
      </c>
      <c r="B456" s="89" t="s">
        <v>7548</v>
      </c>
      <c r="C456" s="89" t="s">
        <v>5251</v>
      </c>
      <c r="D456" s="89">
        <v>1</v>
      </c>
      <c r="E456" s="89">
        <v>1</v>
      </c>
      <c r="F456" s="89" t="s">
        <v>15</v>
      </c>
    </row>
    <row r="457" spans="1:6" x14ac:dyDescent="0.25">
      <c r="A457" s="89" t="s">
        <v>4650</v>
      </c>
      <c r="B457" s="89" t="s">
        <v>7549</v>
      </c>
      <c r="C457" s="89" t="s">
        <v>7550</v>
      </c>
      <c r="D457" s="89">
        <v>10</v>
      </c>
      <c r="E457" s="89">
        <v>1</v>
      </c>
      <c r="F457" s="89" t="s">
        <v>4650</v>
      </c>
    </row>
    <row r="458" spans="1:6" x14ac:dyDescent="0.25">
      <c r="A458" s="89" t="s">
        <v>5062</v>
      </c>
      <c r="B458" s="89" t="s">
        <v>7024</v>
      </c>
      <c r="C458" s="89" t="s">
        <v>5063</v>
      </c>
      <c r="D458" s="89">
        <v>5</v>
      </c>
      <c r="E458" s="89">
        <v>1</v>
      </c>
      <c r="F458" s="89" t="s">
        <v>15</v>
      </c>
    </row>
    <row r="459" spans="1:6" x14ac:dyDescent="0.25">
      <c r="A459" s="89" t="s">
        <v>5525</v>
      </c>
      <c r="B459" s="89" t="s">
        <v>7551</v>
      </c>
      <c r="C459" s="89" t="s">
        <v>517</v>
      </c>
      <c r="D459" s="89">
        <v>1</v>
      </c>
      <c r="E459" s="89">
        <v>1</v>
      </c>
      <c r="F459" s="89" t="s">
        <v>4650</v>
      </c>
    </row>
    <row r="460" spans="1:6" x14ac:dyDescent="0.25">
      <c r="A460" s="89" t="s">
        <v>6895</v>
      </c>
      <c r="B460" s="89" t="s">
        <v>6894</v>
      </c>
      <c r="C460" s="89" t="s">
        <v>6893</v>
      </c>
      <c r="D460" s="89">
        <v>5</v>
      </c>
      <c r="E460" s="89">
        <v>1</v>
      </c>
      <c r="F460" s="89" t="s">
        <v>15</v>
      </c>
    </row>
    <row r="461" spans="1:6" x14ac:dyDescent="0.25">
      <c r="A461" s="89" t="s">
        <v>7552</v>
      </c>
      <c r="B461" s="89" t="s">
        <v>7553</v>
      </c>
      <c r="C461" s="89" t="s">
        <v>7554</v>
      </c>
      <c r="D461" s="89">
        <v>1</v>
      </c>
      <c r="E461" s="89">
        <v>1</v>
      </c>
      <c r="F461" s="89" t="s">
        <v>15</v>
      </c>
    </row>
    <row r="462" spans="1:6" x14ac:dyDescent="0.25">
      <c r="A462" s="89" t="s">
        <v>7555</v>
      </c>
      <c r="B462" s="89" t="s">
        <v>7556</v>
      </c>
      <c r="C462" s="89" t="s">
        <v>7557</v>
      </c>
      <c r="D462" s="89">
        <v>1</v>
      </c>
      <c r="E462" s="89">
        <v>1</v>
      </c>
      <c r="F462" s="89" t="s">
        <v>15</v>
      </c>
    </row>
    <row r="463" spans="1:6" x14ac:dyDescent="0.25">
      <c r="A463" s="89" t="s">
        <v>4893</v>
      </c>
      <c r="B463" s="89" t="s">
        <v>7558</v>
      </c>
      <c r="C463" s="89" t="s">
        <v>604</v>
      </c>
      <c r="D463" s="89">
        <v>1</v>
      </c>
      <c r="E463" s="89">
        <v>1</v>
      </c>
      <c r="F463" s="89" t="s">
        <v>4650</v>
      </c>
    </row>
    <row r="464" spans="1:6" x14ac:dyDescent="0.25">
      <c r="A464" s="89" t="s">
        <v>5218</v>
      </c>
      <c r="B464" s="89" t="s">
        <v>6659</v>
      </c>
      <c r="C464" s="89" t="s">
        <v>5219</v>
      </c>
      <c r="D464" s="89">
        <v>5</v>
      </c>
      <c r="E464" s="89">
        <v>1</v>
      </c>
      <c r="F464" s="89" t="s">
        <v>15</v>
      </c>
    </row>
    <row r="465" spans="1:6" x14ac:dyDescent="0.25">
      <c r="A465" s="89" t="s">
        <v>6641</v>
      </c>
      <c r="B465" s="89" t="s">
        <v>6640</v>
      </c>
      <c r="C465" s="89" t="s">
        <v>6639</v>
      </c>
      <c r="D465" s="89">
        <v>5</v>
      </c>
      <c r="E465" s="89">
        <v>1</v>
      </c>
      <c r="F465" s="89" t="s">
        <v>4650</v>
      </c>
    </row>
    <row r="466" spans="1:6" x14ac:dyDescent="0.25">
      <c r="A466" s="89" t="s">
        <v>7559</v>
      </c>
      <c r="B466" s="89" t="s">
        <v>7560</v>
      </c>
      <c r="C466" s="89" t="s">
        <v>7561</v>
      </c>
      <c r="D466" s="89">
        <v>1</v>
      </c>
      <c r="E466" s="89">
        <v>1</v>
      </c>
      <c r="F466" s="89" t="s">
        <v>7749</v>
      </c>
    </row>
    <row r="467" spans="1:6" x14ac:dyDescent="0.25">
      <c r="A467" s="89" t="s">
        <v>5556</v>
      </c>
      <c r="B467" s="89" t="s">
        <v>6649</v>
      </c>
      <c r="C467" s="89" t="s">
        <v>3146</v>
      </c>
      <c r="D467" s="89">
        <v>5</v>
      </c>
      <c r="E467" s="89">
        <v>1000</v>
      </c>
      <c r="F467" s="89" t="s">
        <v>4650</v>
      </c>
    </row>
    <row r="468" spans="1:6" x14ac:dyDescent="0.25">
      <c r="A468" s="89" t="s">
        <v>5503</v>
      </c>
      <c r="B468" s="89" t="s">
        <v>7562</v>
      </c>
      <c r="C468" s="89" t="s">
        <v>679</v>
      </c>
      <c r="D468" s="89">
        <v>1</v>
      </c>
      <c r="E468" s="89">
        <v>1</v>
      </c>
      <c r="F468" s="89" t="s">
        <v>4650</v>
      </c>
    </row>
    <row r="469" spans="1:6" x14ac:dyDescent="0.25">
      <c r="A469" s="89" t="s">
        <v>6751</v>
      </c>
      <c r="B469" s="89" t="s">
        <v>6750</v>
      </c>
      <c r="C469" s="89" t="s">
        <v>6749</v>
      </c>
      <c r="D469" s="89">
        <v>5</v>
      </c>
      <c r="E469" s="89">
        <v>1</v>
      </c>
      <c r="F469" s="89" t="s">
        <v>15</v>
      </c>
    </row>
    <row r="470" spans="1:6" x14ac:dyDescent="0.25">
      <c r="A470" s="89" t="s">
        <v>5552</v>
      </c>
      <c r="B470" s="89" t="s">
        <v>6722</v>
      </c>
      <c r="C470" s="89" t="s">
        <v>2582</v>
      </c>
      <c r="D470" s="89">
        <v>5</v>
      </c>
      <c r="E470" s="89">
        <v>1000</v>
      </c>
      <c r="F470" s="89" t="s">
        <v>4650</v>
      </c>
    </row>
    <row r="471" spans="1:6" x14ac:dyDescent="0.25">
      <c r="A471" s="89" t="s">
        <v>5454</v>
      </c>
      <c r="B471" s="89" t="s">
        <v>6973</v>
      </c>
      <c r="C471" s="89" t="s">
        <v>5455</v>
      </c>
      <c r="D471" s="89">
        <v>5</v>
      </c>
      <c r="E471" s="89">
        <v>1</v>
      </c>
      <c r="F471" s="89" t="s">
        <v>15</v>
      </c>
    </row>
    <row r="472" spans="1:6" x14ac:dyDescent="0.25">
      <c r="A472" s="89" t="s">
        <v>5658</v>
      </c>
      <c r="B472" s="89" t="s">
        <v>6384</v>
      </c>
      <c r="C472" s="89" t="s">
        <v>2720</v>
      </c>
      <c r="D472" s="89">
        <v>5</v>
      </c>
      <c r="E472" s="89">
        <v>1000</v>
      </c>
      <c r="F472" s="89" t="s">
        <v>4650</v>
      </c>
    </row>
    <row r="473" spans="1:6" x14ac:dyDescent="0.25">
      <c r="A473" s="89" t="s">
        <v>5356</v>
      </c>
      <c r="B473" s="89" t="s">
        <v>6614</v>
      </c>
      <c r="C473" s="89" t="s">
        <v>5357</v>
      </c>
      <c r="D473" s="89">
        <v>5</v>
      </c>
      <c r="E473" s="89">
        <v>1</v>
      </c>
      <c r="F473" s="89" t="s">
        <v>15</v>
      </c>
    </row>
    <row r="474" spans="1:6" x14ac:dyDescent="0.25">
      <c r="A474" s="89" t="s">
        <v>4912</v>
      </c>
      <c r="B474" s="89" t="s">
        <v>4768</v>
      </c>
      <c r="C474" s="89" t="s">
        <v>28</v>
      </c>
      <c r="D474" s="89">
        <v>1</v>
      </c>
      <c r="E474" s="89">
        <v>1</v>
      </c>
      <c r="F474" s="89" t="s">
        <v>4650</v>
      </c>
    </row>
    <row r="475" spans="1:6" x14ac:dyDescent="0.25">
      <c r="A475" s="89" t="s">
        <v>5505</v>
      </c>
      <c r="B475" s="89" t="s">
        <v>7066</v>
      </c>
      <c r="C475" s="89" t="s">
        <v>5506</v>
      </c>
      <c r="D475" s="89">
        <v>5</v>
      </c>
      <c r="E475" s="89">
        <v>1000</v>
      </c>
      <c r="F475" s="89" t="s">
        <v>4650</v>
      </c>
    </row>
    <row r="476" spans="1:6" x14ac:dyDescent="0.25">
      <c r="A476" s="89" t="s">
        <v>5533</v>
      </c>
      <c r="B476" s="89" t="s">
        <v>7563</v>
      </c>
      <c r="C476" s="89" t="s">
        <v>5534</v>
      </c>
      <c r="D476" s="89">
        <v>1</v>
      </c>
      <c r="E476" s="89">
        <v>1</v>
      </c>
      <c r="F476" s="89" t="s">
        <v>15</v>
      </c>
    </row>
    <row r="477" spans="1:6" x14ac:dyDescent="0.25">
      <c r="A477" s="89" t="s">
        <v>7564</v>
      </c>
      <c r="B477" s="89" t="s">
        <v>7565</v>
      </c>
      <c r="C477" s="89" t="s">
        <v>7566</v>
      </c>
      <c r="D477" s="89">
        <v>1</v>
      </c>
      <c r="E477" s="89">
        <v>1</v>
      </c>
      <c r="F477" s="89" t="s">
        <v>7749</v>
      </c>
    </row>
    <row r="478" spans="1:6" x14ac:dyDescent="0.25">
      <c r="A478" s="89" t="s">
        <v>7065</v>
      </c>
      <c r="B478" s="89" t="s">
        <v>7064</v>
      </c>
      <c r="C478" s="89" t="s">
        <v>7063</v>
      </c>
      <c r="D478" s="89">
        <v>5</v>
      </c>
      <c r="E478" s="89">
        <v>1</v>
      </c>
      <c r="F478" s="89" t="s">
        <v>15</v>
      </c>
    </row>
    <row r="479" spans="1:6" x14ac:dyDescent="0.25">
      <c r="A479" s="89" t="s">
        <v>5396</v>
      </c>
      <c r="B479" s="89" t="s">
        <v>7567</v>
      </c>
      <c r="C479" s="89" t="s">
        <v>5397</v>
      </c>
      <c r="D479" s="89">
        <v>1</v>
      </c>
      <c r="E479" s="89">
        <v>1</v>
      </c>
      <c r="F479" s="89" t="s">
        <v>15</v>
      </c>
    </row>
    <row r="480" spans="1:6" x14ac:dyDescent="0.25">
      <c r="A480" s="89" t="s">
        <v>5113</v>
      </c>
      <c r="B480" s="89" t="s">
        <v>7121</v>
      </c>
      <c r="C480" s="89" t="s">
        <v>4667</v>
      </c>
      <c r="D480" s="89">
        <v>5</v>
      </c>
      <c r="E480" s="89">
        <v>1000</v>
      </c>
      <c r="F480" s="89" t="s">
        <v>4650</v>
      </c>
    </row>
    <row r="481" spans="1:6" x14ac:dyDescent="0.25">
      <c r="A481" s="89" t="s">
        <v>5558</v>
      </c>
      <c r="B481" s="89" t="s">
        <v>6922</v>
      </c>
      <c r="C481" s="89" t="s">
        <v>3158</v>
      </c>
      <c r="D481" s="89">
        <v>5</v>
      </c>
      <c r="E481" s="89">
        <v>1000</v>
      </c>
      <c r="F481" s="89" t="s">
        <v>4650</v>
      </c>
    </row>
    <row r="482" spans="1:6" x14ac:dyDescent="0.25">
      <c r="A482" s="89" t="s">
        <v>7568</v>
      </c>
      <c r="B482" s="89" t="s">
        <v>7569</v>
      </c>
      <c r="C482" s="89" t="s">
        <v>7570</v>
      </c>
      <c r="D482" s="89">
        <v>1</v>
      </c>
      <c r="E482" s="89">
        <v>1</v>
      </c>
      <c r="F482" s="89" t="s">
        <v>15</v>
      </c>
    </row>
    <row r="483" spans="1:6" x14ac:dyDescent="0.25">
      <c r="A483" s="89" t="s">
        <v>7571</v>
      </c>
      <c r="B483" s="89" t="s">
        <v>7572</v>
      </c>
      <c r="C483" s="89" t="s">
        <v>7573</v>
      </c>
      <c r="D483" s="89">
        <v>1</v>
      </c>
      <c r="E483" s="89">
        <v>1</v>
      </c>
      <c r="F483" s="89" t="s">
        <v>15</v>
      </c>
    </row>
    <row r="484" spans="1:6" x14ac:dyDescent="0.25">
      <c r="A484" s="89" t="s">
        <v>5557</v>
      </c>
      <c r="B484" s="89" t="s">
        <v>7091</v>
      </c>
      <c r="C484" s="89" t="s">
        <v>3155</v>
      </c>
      <c r="D484" s="89">
        <v>5</v>
      </c>
      <c r="E484" s="89">
        <v>1000</v>
      </c>
      <c r="F484" s="89" t="s">
        <v>4650</v>
      </c>
    </row>
    <row r="485" spans="1:6" x14ac:dyDescent="0.25">
      <c r="A485" s="89" t="s">
        <v>4836</v>
      </c>
      <c r="B485" s="89" t="s">
        <v>6718</v>
      </c>
      <c r="C485" s="89" t="s">
        <v>4837</v>
      </c>
      <c r="D485" s="89">
        <v>5</v>
      </c>
      <c r="E485" s="89">
        <v>1</v>
      </c>
      <c r="F485" s="89" t="s">
        <v>15</v>
      </c>
    </row>
    <row r="486" spans="1:6" x14ac:dyDescent="0.25">
      <c r="A486" s="89" t="s">
        <v>4947</v>
      </c>
      <c r="B486" s="89" t="s">
        <v>7574</v>
      </c>
      <c r="C486" s="89" t="s">
        <v>4948</v>
      </c>
      <c r="D486" s="89">
        <v>1</v>
      </c>
      <c r="E486" s="89">
        <v>1</v>
      </c>
      <c r="F486" s="89" t="s">
        <v>7749</v>
      </c>
    </row>
    <row r="487" spans="1:6" x14ac:dyDescent="0.25">
      <c r="A487" s="89" t="s">
        <v>5323</v>
      </c>
      <c r="B487" s="89" t="s">
        <v>6362</v>
      </c>
      <c r="C487" s="89" t="s">
        <v>5324</v>
      </c>
      <c r="D487" s="89">
        <v>5</v>
      </c>
      <c r="E487" s="89">
        <v>1</v>
      </c>
      <c r="F487" s="89" t="s">
        <v>15</v>
      </c>
    </row>
    <row r="488" spans="1:6" x14ac:dyDescent="0.25">
      <c r="A488" s="89" t="s">
        <v>6979</v>
      </c>
      <c r="B488" s="89" t="s">
        <v>6978</v>
      </c>
      <c r="C488" s="89" t="s">
        <v>6977</v>
      </c>
      <c r="D488" s="89">
        <v>5</v>
      </c>
      <c r="E488" s="89">
        <v>1000</v>
      </c>
      <c r="F488" s="89" t="s">
        <v>4650</v>
      </c>
    </row>
    <row r="489" spans="1:6" x14ac:dyDescent="0.25">
      <c r="A489" s="89" t="s">
        <v>5602</v>
      </c>
      <c r="B489" s="89" t="s">
        <v>7048</v>
      </c>
      <c r="C489" s="89" t="s">
        <v>3512</v>
      </c>
      <c r="D489" s="89">
        <v>5</v>
      </c>
      <c r="E489" s="89">
        <v>1000</v>
      </c>
      <c r="F489" s="89" t="s">
        <v>4650</v>
      </c>
    </row>
    <row r="490" spans="1:6" x14ac:dyDescent="0.25">
      <c r="A490" s="89" t="s">
        <v>7578</v>
      </c>
      <c r="B490" s="89" t="s">
        <v>7579</v>
      </c>
      <c r="C490" s="89" t="s">
        <v>7580</v>
      </c>
      <c r="D490" s="89">
        <v>1</v>
      </c>
      <c r="E490" s="89">
        <v>1</v>
      </c>
      <c r="F490" s="89" t="s">
        <v>4650</v>
      </c>
    </row>
    <row r="491" spans="1:6" x14ac:dyDescent="0.25">
      <c r="A491" s="89" t="s">
        <v>6972</v>
      </c>
      <c r="B491" s="89" t="s">
        <v>6971</v>
      </c>
      <c r="C491" s="89" t="s">
        <v>6970</v>
      </c>
      <c r="D491" s="89">
        <v>5</v>
      </c>
      <c r="E491" s="89">
        <v>1</v>
      </c>
      <c r="F491" s="89" t="s">
        <v>15</v>
      </c>
    </row>
    <row r="492" spans="1:6" x14ac:dyDescent="0.25">
      <c r="A492" s="89" t="s">
        <v>7575</v>
      </c>
      <c r="B492" s="89" t="s">
        <v>7576</v>
      </c>
      <c r="C492" s="89" t="s">
        <v>7577</v>
      </c>
      <c r="D492" s="89">
        <v>1</v>
      </c>
      <c r="E492" s="89">
        <v>1</v>
      </c>
      <c r="F492" s="89" t="s">
        <v>7749</v>
      </c>
    </row>
    <row r="493" spans="1:6" x14ac:dyDescent="0.25">
      <c r="A493" s="89" t="s">
        <v>4980</v>
      </c>
      <c r="B493" s="89" t="s">
        <v>7160</v>
      </c>
      <c r="C493" s="89" t="s">
        <v>4981</v>
      </c>
      <c r="D493" s="89">
        <v>5</v>
      </c>
      <c r="E493" s="89">
        <v>1</v>
      </c>
      <c r="F493" s="89" t="s">
        <v>15</v>
      </c>
    </row>
    <row r="494" spans="1:6" x14ac:dyDescent="0.25">
      <c r="A494" s="89" t="s">
        <v>4967</v>
      </c>
      <c r="B494" s="89" t="s">
        <v>6957</v>
      </c>
      <c r="C494" s="89" t="s">
        <v>4968</v>
      </c>
      <c r="D494" s="89">
        <v>5</v>
      </c>
      <c r="E494" s="89">
        <v>1</v>
      </c>
      <c r="F494" s="89" t="s">
        <v>15</v>
      </c>
    </row>
    <row r="495" spans="1:6" x14ac:dyDescent="0.25">
      <c r="A495" s="89" t="s">
        <v>7581</v>
      </c>
      <c r="B495" s="89" t="s">
        <v>7582</v>
      </c>
      <c r="C495" s="89" t="s">
        <v>7583</v>
      </c>
      <c r="D495" s="89">
        <v>1</v>
      </c>
      <c r="E495" s="89">
        <v>1</v>
      </c>
      <c r="F495" s="89" t="s">
        <v>4650</v>
      </c>
    </row>
    <row r="496" spans="1:6" x14ac:dyDescent="0.25">
      <c r="A496" s="89" t="s">
        <v>7584</v>
      </c>
      <c r="B496" s="89" t="s">
        <v>7585</v>
      </c>
      <c r="C496" s="89" t="s">
        <v>7586</v>
      </c>
      <c r="D496" s="89">
        <v>1</v>
      </c>
      <c r="E496" s="89">
        <v>1</v>
      </c>
      <c r="F496" s="89" t="s">
        <v>15</v>
      </c>
    </row>
    <row r="497" spans="1:6" x14ac:dyDescent="0.25">
      <c r="A497" s="89" t="s">
        <v>5586</v>
      </c>
      <c r="B497" s="89" t="s">
        <v>6467</v>
      </c>
      <c r="C497" s="89" t="s">
        <v>4082</v>
      </c>
      <c r="D497" s="89">
        <v>5</v>
      </c>
      <c r="E497" s="89">
        <v>1000</v>
      </c>
      <c r="F497" s="89" t="s">
        <v>4650</v>
      </c>
    </row>
    <row r="498" spans="1:6" x14ac:dyDescent="0.25">
      <c r="A498" s="89" t="s">
        <v>7587</v>
      </c>
      <c r="B498" s="89" t="s">
        <v>7588</v>
      </c>
      <c r="C498" s="89" t="s">
        <v>7589</v>
      </c>
      <c r="D498" s="89">
        <v>1</v>
      </c>
      <c r="E498" s="89">
        <v>1</v>
      </c>
      <c r="F498" s="89" t="s">
        <v>15</v>
      </c>
    </row>
    <row r="499" spans="1:6" x14ac:dyDescent="0.25">
      <c r="A499" s="89" t="s">
        <v>5386</v>
      </c>
      <c r="B499" s="89" t="s">
        <v>7025</v>
      </c>
      <c r="C499" s="89" t="s">
        <v>5387</v>
      </c>
      <c r="D499" s="89">
        <v>5</v>
      </c>
      <c r="E499" s="89">
        <v>1</v>
      </c>
      <c r="F499" s="89" t="s">
        <v>15</v>
      </c>
    </row>
    <row r="500" spans="1:6" x14ac:dyDescent="0.25">
      <c r="A500" s="89" t="s">
        <v>5639</v>
      </c>
      <c r="B500" s="89" t="s">
        <v>6818</v>
      </c>
      <c r="C500" s="89" t="s">
        <v>954</v>
      </c>
      <c r="D500" s="89">
        <v>5</v>
      </c>
      <c r="E500" s="89">
        <v>1000</v>
      </c>
      <c r="F500" s="89" t="s">
        <v>4650</v>
      </c>
    </row>
    <row r="501" spans="1:6" x14ac:dyDescent="0.25">
      <c r="A501" s="89" t="s">
        <v>4911</v>
      </c>
      <c r="B501" s="89" t="s">
        <v>7590</v>
      </c>
      <c r="C501" s="89" t="s">
        <v>405</v>
      </c>
      <c r="D501" s="89">
        <v>1</v>
      </c>
      <c r="E501" s="89">
        <v>1</v>
      </c>
      <c r="F501" s="89" t="s">
        <v>4650</v>
      </c>
    </row>
    <row r="502" spans="1:6" x14ac:dyDescent="0.25">
      <c r="A502" s="89" t="s">
        <v>7591</v>
      </c>
      <c r="B502" s="89" t="s">
        <v>7592</v>
      </c>
      <c r="C502" s="89" t="s">
        <v>7593</v>
      </c>
      <c r="D502" s="89">
        <v>1</v>
      </c>
      <c r="E502" s="89">
        <v>1</v>
      </c>
      <c r="F502" s="89" t="s">
        <v>7749</v>
      </c>
    </row>
    <row r="503" spans="1:6" x14ac:dyDescent="0.25">
      <c r="A503" s="89" t="s">
        <v>7152</v>
      </c>
      <c r="B503" s="89" t="s">
        <v>7151</v>
      </c>
      <c r="C503" s="89" t="s">
        <v>7150</v>
      </c>
      <c r="D503" s="89">
        <v>5</v>
      </c>
      <c r="E503" s="89">
        <v>1</v>
      </c>
      <c r="F503" s="89" t="s">
        <v>15</v>
      </c>
    </row>
    <row r="504" spans="1:6" x14ac:dyDescent="0.25">
      <c r="A504" s="89" t="s">
        <v>7594</v>
      </c>
      <c r="B504" s="89" t="s">
        <v>7595</v>
      </c>
      <c r="C504" s="89" t="s">
        <v>7595</v>
      </c>
      <c r="D504" s="89">
        <v>15</v>
      </c>
      <c r="E504" s="89">
        <v>0.02</v>
      </c>
      <c r="F504" s="89" t="s">
        <v>15</v>
      </c>
    </row>
    <row r="505" spans="1:6" x14ac:dyDescent="0.25">
      <c r="A505" s="89" t="s">
        <v>7596</v>
      </c>
      <c r="B505" s="89" t="s">
        <v>7597</v>
      </c>
      <c r="C505" s="89" t="s">
        <v>7598</v>
      </c>
      <c r="D505" s="89">
        <v>1</v>
      </c>
      <c r="E505" s="89">
        <v>1</v>
      </c>
      <c r="F505" s="89" t="s">
        <v>7749</v>
      </c>
    </row>
    <row r="506" spans="1:6" x14ac:dyDescent="0.25">
      <c r="A506" s="89" t="s">
        <v>7599</v>
      </c>
      <c r="B506" s="89" t="s">
        <v>7600</v>
      </c>
      <c r="C506" s="89" t="s">
        <v>7601</v>
      </c>
      <c r="D506" s="89">
        <v>1</v>
      </c>
      <c r="E506" s="89">
        <v>1</v>
      </c>
      <c r="F506" s="89" t="s">
        <v>15</v>
      </c>
    </row>
    <row r="507" spans="1:6" x14ac:dyDescent="0.25">
      <c r="A507" s="89" t="s">
        <v>5569</v>
      </c>
      <c r="B507" s="89" t="s">
        <v>7602</v>
      </c>
      <c r="C507" s="89" t="s">
        <v>5570</v>
      </c>
      <c r="D507" s="89">
        <v>1</v>
      </c>
      <c r="E507" s="89">
        <v>1</v>
      </c>
      <c r="F507" s="89" t="s">
        <v>15</v>
      </c>
    </row>
    <row r="508" spans="1:6" x14ac:dyDescent="0.25">
      <c r="A508" s="89" t="s">
        <v>5380</v>
      </c>
      <c r="B508" s="89" t="s">
        <v>7156</v>
      </c>
      <c r="C508" s="89" t="s">
        <v>5381</v>
      </c>
      <c r="D508" s="89">
        <v>5</v>
      </c>
      <c r="E508" s="89">
        <v>1</v>
      </c>
      <c r="F508" s="89" t="s">
        <v>15</v>
      </c>
    </row>
    <row r="509" spans="1:6" x14ac:dyDescent="0.25">
      <c r="A509" s="89" t="s">
        <v>5168</v>
      </c>
      <c r="B509" s="89" t="s">
        <v>7603</v>
      </c>
      <c r="C509" s="89" t="s">
        <v>5169</v>
      </c>
      <c r="D509" s="89">
        <v>1</v>
      </c>
      <c r="E509" s="89">
        <v>1</v>
      </c>
      <c r="F509" s="89" t="s">
        <v>15</v>
      </c>
    </row>
    <row r="510" spans="1:6" x14ac:dyDescent="0.25">
      <c r="A510" s="89" t="s">
        <v>5258</v>
      </c>
      <c r="B510" s="89" t="s">
        <v>6966</v>
      </c>
      <c r="C510" s="89" t="s">
        <v>5259</v>
      </c>
      <c r="D510" s="89">
        <v>5</v>
      </c>
      <c r="E510" s="89">
        <v>1</v>
      </c>
      <c r="F510" s="89" t="s">
        <v>15</v>
      </c>
    </row>
    <row r="511" spans="1:6" x14ac:dyDescent="0.25">
      <c r="A511" s="89" t="s">
        <v>4889</v>
      </c>
      <c r="B511" s="89" t="s">
        <v>7604</v>
      </c>
      <c r="C511" s="89" t="s">
        <v>438</v>
      </c>
      <c r="D511" s="89">
        <v>1</v>
      </c>
      <c r="E511" s="89">
        <v>1</v>
      </c>
      <c r="F511" s="89" t="s">
        <v>4650</v>
      </c>
    </row>
    <row r="512" spans="1:6" x14ac:dyDescent="0.25">
      <c r="A512" s="89" t="s">
        <v>6440</v>
      </c>
      <c r="B512" s="89" t="s">
        <v>6439</v>
      </c>
      <c r="C512" s="89" t="s">
        <v>6438</v>
      </c>
      <c r="D512" s="89">
        <v>5</v>
      </c>
      <c r="E512" s="89">
        <v>1</v>
      </c>
      <c r="F512" s="89" t="s">
        <v>15</v>
      </c>
    </row>
    <row r="513" spans="1:6" x14ac:dyDescent="0.25">
      <c r="A513" s="89" t="s">
        <v>4834</v>
      </c>
      <c r="B513" s="89" t="s">
        <v>7606</v>
      </c>
      <c r="C513" s="89" t="s">
        <v>51</v>
      </c>
      <c r="D513" s="89">
        <v>1</v>
      </c>
      <c r="E513" s="89">
        <v>1</v>
      </c>
      <c r="F513" s="89" t="s">
        <v>15</v>
      </c>
    </row>
    <row r="514" spans="1:6" x14ac:dyDescent="0.25">
      <c r="A514" s="89" t="s">
        <v>5667</v>
      </c>
      <c r="B514" s="89" t="s">
        <v>7605</v>
      </c>
      <c r="C514" s="89" t="s">
        <v>5668</v>
      </c>
      <c r="D514" s="89">
        <v>1</v>
      </c>
      <c r="E514" s="89">
        <v>1</v>
      </c>
      <c r="F514" s="89" t="s">
        <v>7749</v>
      </c>
    </row>
    <row r="515" spans="1:6" x14ac:dyDescent="0.25">
      <c r="A515" s="89" t="s">
        <v>5009</v>
      </c>
      <c r="B515" s="89" t="s">
        <v>6587</v>
      </c>
      <c r="C515" s="89" t="s">
        <v>5010</v>
      </c>
      <c r="D515" s="89">
        <v>5</v>
      </c>
      <c r="E515" s="89">
        <v>1000</v>
      </c>
      <c r="F515" s="89" t="s">
        <v>4650</v>
      </c>
    </row>
    <row r="516" spans="1:6" x14ac:dyDescent="0.25">
      <c r="A516" s="89" t="s">
        <v>5043</v>
      </c>
      <c r="B516" s="89" t="s">
        <v>7118</v>
      </c>
      <c r="C516" s="89" t="s">
        <v>5044</v>
      </c>
      <c r="D516" s="89">
        <v>5</v>
      </c>
      <c r="E516" s="89">
        <v>1</v>
      </c>
      <c r="F516" s="89" t="s">
        <v>15</v>
      </c>
    </row>
    <row r="517" spans="1:6" x14ac:dyDescent="0.25">
      <c r="A517" s="89" t="s">
        <v>7607</v>
      </c>
      <c r="B517" s="89" t="s">
        <v>7608</v>
      </c>
      <c r="C517" s="89" t="s">
        <v>7608</v>
      </c>
      <c r="D517" s="89">
        <v>15</v>
      </c>
      <c r="E517" s="89">
        <v>1</v>
      </c>
      <c r="F517" s="89" t="s">
        <v>4650</v>
      </c>
    </row>
    <row r="518" spans="1:6" x14ac:dyDescent="0.25">
      <c r="A518" s="89" t="s">
        <v>5423</v>
      </c>
      <c r="B518" s="89" t="s">
        <v>7609</v>
      </c>
      <c r="C518" s="89" t="s">
        <v>5424</v>
      </c>
      <c r="D518" s="89">
        <v>1</v>
      </c>
      <c r="E518" s="89">
        <v>1</v>
      </c>
      <c r="F518" s="89" t="s">
        <v>15</v>
      </c>
    </row>
    <row r="519" spans="1:6" x14ac:dyDescent="0.25">
      <c r="A519" s="89" t="s">
        <v>5528</v>
      </c>
      <c r="B519" s="89" t="s">
        <v>7610</v>
      </c>
      <c r="C519" s="89" t="s">
        <v>709</v>
      </c>
      <c r="D519" s="89">
        <v>1</v>
      </c>
      <c r="E519" s="89">
        <v>1</v>
      </c>
      <c r="F519" s="89" t="s">
        <v>4650</v>
      </c>
    </row>
    <row r="520" spans="1:6" x14ac:dyDescent="0.25">
      <c r="A520" s="89" t="s">
        <v>7611</v>
      </c>
      <c r="B520" s="89" t="s">
        <v>4751</v>
      </c>
      <c r="C520" s="89" t="s">
        <v>4751</v>
      </c>
      <c r="D520" s="89">
        <v>15</v>
      </c>
      <c r="E520" s="89">
        <v>10</v>
      </c>
      <c r="F520" s="89" t="s">
        <v>15</v>
      </c>
    </row>
    <row r="521" spans="1:6" x14ac:dyDescent="0.25">
      <c r="A521" s="89" t="s">
        <v>5104</v>
      </c>
      <c r="B521" s="89" t="s">
        <v>6618</v>
      </c>
      <c r="C521" s="89" t="s">
        <v>3170</v>
      </c>
      <c r="D521" s="89">
        <v>5</v>
      </c>
      <c r="E521" s="89">
        <v>1000</v>
      </c>
      <c r="F521" s="89" t="s">
        <v>4650</v>
      </c>
    </row>
    <row r="522" spans="1:6" x14ac:dyDescent="0.25">
      <c r="A522" s="89" t="s">
        <v>4863</v>
      </c>
      <c r="B522" s="89" t="s">
        <v>6668</v>
      </c>
      <c r="C522" s="89" t="s">
        <v>4864</v>
      </c>
      <c r="D522" s="89">
        <v>5</v>
      </c>
      <c r="E522" s="89">
        <v>1</v>
      </c>
      <c r="F522" s="89" t="s">
        <v>15</v>
      </c>
    </row>
    <row r="523" spans="1:6" x14ac:dyDescent="0.25">
      <c r="A523" s="89" t="s">
        <v>5652</v>
      </c>
      <c r="B523" s="89" t="s">
        <v>6660</v>
      </c>
      <c r="C523" s="89" t="s">
        <v>3191</v>
      </c>
      <c r="D523" s="89">
        <v>5</v>
      </c>
      <c r="E523" s="89">
        <v>1000</v>
      </c>
      <c r="F523" s="89" t="s">
        <v>4650</v>
      </c>
    </row>
    <row r="524" spans="1:6" x14ac:dyDescent="0.25">
      <c r="A524" s="89" t="s">
        <v>5663</v>
      </c>
      <c r="B524" s="89" t="s">
        <v>7612</v>
      </c>
      <c r="C524" s="89" t="s">
        <v>5664</v>
      </c>
      <c r="D524" s="89">
        <v>1</v>
      </c>
      <c r="E524" s="89">
        <v>1</v>
      </c>
      <c r="F524" s="89" t="s">
        <v>7749</v>
      </c>
    </row>
    <row r="525" spans="1:6" x14ac:dyDescent="0.25">
      <c r="A525" s="89" t="s">
        <v>5171</v>
      </c>
      <c r="B525" s="89" t="s">
        <v>6408</v>
      </c>
      <c r="C525" s="89" t="s">
        <v>5172</v>
      </c>
      <c r="D525" s="89">
        <v>5</v>
      </c>
      <c r="E525" s="89">
        <v>1</v>
      </c>
      <c r="F525" s="89" t="s">
        <v>15</v>
      </c>
    </row>
    <row r="526" spans="1:6" x14ac:dyDescent="0.25">
      <c r="A526" s="89" t="s">
        <v>7028</v>
      </c>
      <c r="B526" s="89" t="s">
        <v>7027</v>
      </c>
      <c r="C526" s="89" t="s">
        <v>7026</v>
      </c>
      <c r="D526" s="89">
        <v>5</v>
      </c>
      <c r="E526" s="89">
        <v>1</v>
      </c>
      <c r="F526" s="89" t="s">
        <v>15</v>
      </c>
    </row>
    <row r="527" spans="1:6" x14ac:dyDescent="0.25">
      <c r="A527" s="89" t="s">
        <v>6964</v>
      </c>
      <c r="B527" s="89" t="s">
        <v>6963</v>
      </c>
      <c r="C527" s="89" t="s">
        <v>6962</v>
      </c>
      <c r="D527" s="89">
        <v>5</v>
      </c>
      <c r="E527" s="89">
        <v>1</v>
      </c>
      <c r="F527" s="89" t="s">
        <v>15</v>
      </c>
    </row>
    <row r="528" spans="1:6" x14ac:dyDescent="0.25">
      <c r="A528" s="89" t="s">
        <v>5437</v>
      </c>
      <c r="B528" s="89" t="s">
        <v>7613</v>
      </c>
      <c r="C528" s="89" t="s">
        <v>5438</v>
      </c>
      <c r="D528" s="89">
        <v>1</v>
      </c>
      <c r="E528" s="89">
        <v>1</v>
      </c>
      <c r="F528" s="89" t="s">
        <v>15</v>
      </c>
    </row>
    <row r="529" spans="1:6" x14ac:dyDescent="0.25">
      <c r="A529" s="89" t="s">
        <v>4892</v>
      </c>
      <c r="B529" s="89" t="s">
        <v>7614</v>
      </c>
      <c r="C529" s="89" t="s">
        <v>568</v>
      </c>
      <c r="D529" s="89">
        <v>1</v>
      </c>
      <c r="E529" s="89">
        <v>1</v>
      </c>
      <c r="F529" s="89" t="s">
        <v>4650</v>
      </c>
    </row>
    <row r="530" spans="1:6" x14ac:dyDescent="0.25">
      <c r="A530" s="89" t="s">
        <v>6999</v>
      </c>
      <c r="B530" s="89" t="s">
        <v>6998</v>
      </c>
      <c r="C530" s="89" t="s">
        <v>6997</v>
      </c>
      <c r="D530" s="89">
        <v>5</v>
      </c>
      <c r="E530" s="89">
        <v>1</v>
      </c>
      <c r="F530" s="89" t="s">
        <v>15</v>
      </c>
    </row>
    <row r="531" spans="1:6" x14ac:dyDescent="0.25">
      <c r="A531" s="89" t="s">
        <v>5242</v>
      </c>
      <c r="B531" s="89" t="s">
        <v>6956</v>
      </c>
      <c r="C531" s="89" t="s">
        <v>4698</v>
      </c>
      <c r="D531" s="89">
        <v>5</v>
      </c>
      <c r="E531" s="89">
        <v>1</v>
      </c>
      <c r="F531" s="89" t="s">
        <v>15</v>
      </c>
    </row>
    <row r="532" spans="1:6" x14ac:dyDescent="0.25">
      <c r="A532" s="89" t="s">
        <v>7615</v>
      </c>
      <c r="B532" s="89" t="s">
        <v>7616</v>
      </c>
      <c r="C532" s="89" t="s">
        <v>7616</v>
      </c>
      <c r="D532" s="89">
        <v>15</v>
      </c>
      <c r="E532" s="89">
        <v>10</v>
      </c>
      <c r="F532" s="89" t="s">
        <v>4650</v>
      </c>
    </row>
    <row r="533" spans="1:6" x14ac:dyDescent="0.25">
      <c r="A533" s="89" t="s">
        <v>7617</v>
      </c>
      <c r="B533" s="89" t="s">
        <v>7618</v>
      </c>
      <c r="C533" s="89" t="s">
        <v>7618</v>
      </c>
      <c r="D533" s="89">
        <v>15</v>
      </c>
      <c r="E533" s="89">
        <v>0.02</v>
      </c>
      <c r="F533" s="89" t="s">
        <v>15</v>
      </c>
    </row>
    <row r="534" spans="1:6" x14ac:dyDescent="0.25">
      <c r="A534" s="89" t="s">
        <v>6876</v>
      </c>
      <c r="B534" s="89" t="s">
        <v>6875</v>
      </c>
      <c r="C534" s="89" t="s">
        <v>6874</v>
      </c>
      <c r="D534" s="89">
        <v>5</v>
      </c>
      <c r="E534" s="89">
        <v>1</v>
      </c>
      <c r="F534" s="89" t="s">
        <v>7749</v>
      </c>
    </row>
    <row r="535" spans="1:6" x14ac:dyDescent="0.25">
      <c r="A535" s="89" t="s">
        <v>7619</v>
      </c>
      <c r="B535" s="89" t="s">
        <v>7620</v>
      </c>
      <c r="C535" s="89" t="s">
        <v>7621</v>
      </c>
      <c r="D535" s="89">
        <v>1</v>
      </c>
      <c r="E535" s="89">
        <v>1</v>
      </c>
      <c r="F535" s="89" t="s">
        <v>7749</v>
      </c>
    </row>
    <row r="536" spans="1:6" x14ac:dyDescent="0.25">
      <c r="A536" s="89" t="s">
        <v>6478</v>
      </c>
      <c r="B536" s="89" t="s">
        <v>6477</v>
      </c>
      <c r="C536" s="89" t="s">
        <v>6476</v>
      </c>
      <c r="D536" s="89">
        <v>5</v>
      </c>
      <c r="E536" s="89">
        <v>1</v>
      </c>
      <c r="F536" s="89" t="s">
        <v>15</v>
      </c>
    </row>
    <row r="537" spans="1:6" x14ac:dyDescent="0.25">
      <c r="A537" s="89" t="s">
        <v>6508</v>
      </c>
      <c r="B537" s="89" t="s">
        <v>6507</v>
      </c>
      <c r="C537" s="89" t="s">
        <v>6506</v>
      </c>
      <c r="D537" s="89">
        <v>5</v>
      </c>
      <c r="E537" s="89">
        <v>1</v>
      </c>
      <c r="F537" s="89" t="s">
        <v>15</v>
      </c>
    </row>
    <row r="538" spans="1:6" x14ac:dyDescent="0.25">
      <c r="A538" s="89" t="s">
        <v>5614</v>
      </c>
      <c r="B538" s="89" t="s">
        <v>6653</v>
      </c>
      <c r="C538" s="89" t="s">
        <v>5615</v>
      </c>
      <c r="D538" s="89">
        <v>5</v>
      </c>
      <c r="E538" s="89">
        <v>1</v>
      </c>
      <c r="F538" s="89" t="s">
        <v>7420</v>
      </c>
    </row>
    <row r="539" spans="1:6" x14ac:dyDescent="0.25">
      <c r="A539" s="89" t="s">
        <v>6773</v>
      </c>
      <c r="B539" s="89" t="s">
        <v>6772</v>
      </c>
      <c r="C539" s="89" t="s">
        <v>3134</v>
      </c>
      <c r="D539" s="89">
        <v>5</v>
      </c>
      <c r="E539" s="89">
        <v>1000</v>
      </c>
      <c r="F539" s="89" t="s">
        <v>4650</v>
      </c>
    </row>
    <row r="540" spans="1:6" x14ac:dyDescent="0.25">
      <c r="A540" s="89" t="s">
        <v>4867</v>
      </c>
      <c r="B540" s="89" t="s">
        <v>7622</v>
      </c>
      <c r="C540" s="89" t="s">
        <v>473</v>
      </c>
      <c r="D540" s="89">
        <v>1</v>
      </c>
      <c r="E540" s="89">
        <v>1</v>
      </c>
      <c r="F540" s="89" t="s">
        <v>4650</v>
      </c>
    </row>
    <row r="541" spans="1:6" x14ac:dyDescent="0.25">
      <c r="A541" s="89" t="s">
        <v>5441</v>
      </c>
      <c r="B541" s="89" t="s">
        <v>7623</v>
      </c>
      <c r="C541" s="89" t="s">
        <v>5442</v>
      </c>
      <c r="D541" s="89">
        <v>1</v>
      </c>
      <c r="E541" s="89">
        <v>1</v>
      </c>
      <c r="F541" s="89" t="s">
        <v>15</v>
      </c>
    </row>
    <row r="542" spans="1:6" x14ac:dyDescent="0.25">
      <c r="A542" s="89" t="s">
        <v>7624</v>
      </c>
      <c r="B542" s="89" t="s">
        <v>7625</v>
      </c>
      <c r="C542" s="89" t="s">
        <v>7626</v>
      </c>
      <c r="D542" s="89">
        <v>1</v>
      </c>
      <c r="E542" s="89">
        <v>1</v>
      </c>
      <c r="F542" s="89" t="s">
        <v>15</v>
      </c>
    </row>
    <row r="543" spans="1:6" x14ac:dyDescent="0.25">
      <c r="A543" s="89" t="s">
        <v>6909</v>
      </c>
      <c r="B543" s="89" t="s">
        <v>6908</v>
      </c>
      <c r="C543" s="89" t="s">
        <v>6907</v>
      </c>
      <c r="D543" s="89">
        <v>5</v>
      </c>
      <c r="E543" s="89">
        <v>1</v>
      </c>
      <c r="F543" s="89" t="s">
        <v>15</v>
      </c>
    </row>
    <row r="544" spans="1:6" x14ac:dyDescent="0.25">
      <c r="A544" s="89" t="s">
        <v>6400</v>
      </c>
      <c r="B544" s="89" t="s">
        <v>6399</v>
      </c>
      <c r="C544" s="89" t="s">
        <v>4679</v>
      </c>
      <c r="D544" s="89">
        <v>5</v>
      </c>
      <c r="E544" s="89">
        <v>1000</v>
      </c>
      <c r="F544" s="89" t="s">
        <v>4650</v>
      </c>
    </row>
    <row r="545" spans="1:6" x14ac:dyDescent="0.25">
      <c r="A545" s="89" t="s">
        <v>7627</v>
      </c>
      <c r="B545" s="89" t="s">
        <v>7628</v>
      </c>
      <c r="C545" s="89" t="s">
        <v>7629</v>
      </c>
      <c r="D545" s="89">
        <v>1</v>
      </c>
      <c r="E545" s="89">
        <v>1</v>
      </c>
      <c r="F545" s="89" t="s">
        <v>15</v>
      </c>
    </row>
    <row r="546" spans="1:6" x14ac:dyDescent="0.25">
      <c r="A546" s="89" t="s">
        <v>5047</v>
      </c>
      <c r="B546" s="89" t="s">
        <v>7067</v>
      </c>
      <c r="C546" s="89" t="s">
        <v>5048</v>
      </c>
      <c r="D546" s="89">
        <v>5</v>
      </c>
      <c r="E546" s="89">
        <v>1</v>
      </c>
      <c r="F546" s="89" t="s">
        <v>15</v>
      </c>
    </row>
    <row r="547" spans="1:6" x14ac:dyDescent="0.25">
      <c r="A547" s="89" t="s">
        <v>7630</v>
      </c>
      <c r="B547" s="89" t="s">
        <v>7631</v>
      </c>
      <c r="C547" s="89" t="s">
        <v>7632</v>
      </c>
      <c r="D547" s="89">
        <v>1</v>
      </c>
      <c r="E547" s="89">
        <v>1</v>
      </c>
      <c r="F547" s="89" t="s">
        <v>7749</v>
      </c>
    </row>
    <row r="548" spans="1:6" x14ac:dyDescent="0.25">
      <c r="A548" s="89" t="s">
        <v>4916</v>
      </c>
      <c r="B548" s="89" t="s">
        <v>7633</v>
      </c>
      <c r="C548" s="89" t="s">
        <v>712</v>
      </c>
      <c r="D548" s="89">
        <v>1</v>
      </c>
      <c r="E548" s="89">
        <v>1</v>
      </c>
      <c r="F548" s="89" t="s">
        <v>4650</v>
      </c>
    </row>
    <row r="549" spans="1:6" x14ac:dyDescent="0.25">
      <c r="A549" s="89" t="s">
        <v>4958</v>
      </c>
      <c r="B549" s="89" t="s">
        <v>7634</v>
      </c>
      <c r="C549" s="89" t="s">
        <v>4959</v>
      </c>
      <c r="D549" s="89">
        <v>1</v>
      </c>
      <c r="E549" s="89">
        <v>1</v>
      </c>
      <c r="F549" s="89" t="s">
        <v>15</v>
      </c>
    </row>
    <row r="550" spans="1:6" x14ac:dyDescent="0.25">
      <c r="A550" s="89" t="s">
        <v>5012</v>
      </c>
      <c r="B550" s="89" t="s">
        <v>7635</v>
      </c>
      <c r="C550" s="89" t="s">
        <v>5013</v>
      </c>
      <c r="D550" s="89">
        <v>1</v>
      </c>
      <c r="E550" s="89">
        <v>1</v>
      </c>
      <c r="F550" s="89" t="s">
        <v>15</v>
      </c>
    </row>
    <row r="551" spans="1:6" x14ac:dyDescent="0.25">
      <c r="A551" s="89" t="s">
        <v>5240</v>
      </c>
      <c r="B551" s="89" t="s">
        <v>6831</v>
      </c>
      <c r="C551" s="89" t="s">
        <v>5241</v>
      </c>
      <c r="D551" s="89">
        <v>5</v>
      </c>
      <c r="E551" s="89">
        <v>1</v>
      </c>
      <c r="F551" s="89" t="s">
        <v>15</v>
      </c>
    </row>
    <row r="552" spans="1:6" x14ac:dyDescent="0.25">
      <c r="A552" s="89" t="s">
        <v>5479</v>
      </c>
      <c r="B552" s="89" t="s">
        <v>7125</v>
      </c>
      <c r="C552" s="89" t="s">
        <v>2603</v>
      </c>
      <c r="D552" s="89">
        <v>5</v>
      </c>
      <c r="E552" s="89">
        <v>1000</v>
      </c>
      <c r="F552" s="89" t="s">
        <v>4650</v>
      </c>
    </row>
    <row r="553" spans="1:6" x14ac:dyDescent="0.25">
      <c r="A553" s="89" t="s">
        <v>5555</v>
      </c>
      <c r="B553" s="89" t="s">
        <v>7141</v>
      </c>
      <c r="C553" s="89" t="s">
        <v>3089</v>
      </c>
      <c r="D553" s="89">
        <v>5</v>
      </c>
      <c r="E553" s="89">
        <v>1000</v>
      </c>
      <c r="F553" s="89" t="s">
        <v>4650</v>
      </c>
    </row>
    <row r="554" spans="1:6" x14ac:dyDescent="0.25">
      <c r="A554" s="89" t="s">
        <v>4807</v>
      </c>
      <c r="B554" s="89" t="s">
        <v>6886</v>
      </c>
      <c r="C554" s="89" t="s">
        <v>4808</v>
      </c>
      <c r="D554" s="89">
        <v>5</v>
      </c>
      <c r="E554" s="89">
        <v>1</v>
      </c>
      <c r="F554" s="89" t="s">
        <v>15</v>
      </c>
    </row>
    <row r="555" spans="1:6" x14ac:dyDescent="0.25">
      <c r="A555" s="89" t="s">
        <v>5246</v>
      </c>
      <c r="B555" s="89" t="s">
        <v>6779</v>
      </c>
      <c r="C555" s="89" t="s">
        <v>5247</v>
      </c>
      <c r="D555" s="89">
        <v>5</v>
      </c>
      <c r="E555" s="89">
        <v>1</v>
      </c>
      <c r="F555" s="89" t="s">
        <v>15</v>
      </c>
    </row>
    <row r="556" spans="1:6" x14ac:dyDescent="0.25">
      <c r="A556" s="89" t="s">
        <v>5665</v>
      </c>
      <c r="B556" s="89" t="s">
        <v>7636</v>
      </c>
      <c r="C556" s="89" t="s">
        <v>5666</v>
      </c>
      <c r="D556" s="89">
        <v>1</v>
      </c>
      <c r="E556" s="89">
        <v>1</v>
      </c>
      <c r="F556" s="89" t="s">
        <v>7749</v>
      </c>
    </row>
    <row r="557" spans="1:6" x14ac:dyDescent="0.25">
      <c r="A557" s="89" t="s">
        <v>6383</v>
      </c>
      <c r="B557" s="89" t="s">
        <v>6382</v>
      </c>
      <c r="C557" s="89" t="s">
        <v>6381</v>
      </c>
      <c r="D557" s="89">
        <v>5</v>
      </c>
      <c r="E557" s="89">
        <v>1</v>
      </c>
      <c r="F557" s="89" t="s">
        <v>7749</v>
      </c>
    </row>
    <row r="558" spans="1:6" x14ac:dyDescent="0.25">
      <c r="A558" s="89" t="s">
        <v>5481</v>
      </c>
      <c r="B558" s="89" t="s">
        <v>6493</v>
      </c>
      <c r="C558" s="89" t="s">
        <v>4532</v>
      </c>
      <c r="D558" s="89">
        <v>5</v>
      </c>
      <c r="E558" s="89">
        <v>1000</v>
      </c>
      <c r="F558" s="89" t="s">
        <v>4650</v>
      </c>
    </row>
    <row r="559" spans="1:6" x14ac:dyDescent="0.25">
      <c r="A559" s="89" t="s">
        <v>5067</v>
      </c>
      <c r="B559" s="89" t="s">
        <v>6420</v>
      </c>
      <c r="C559" s="89" t="s">
        <v>5068</v>
      </c>
      <c r="D559" s="89">
        <v>5</v>
      </c>
      <c r="E559" s="89">
        <v>1</v>
      </c>
      <c r="F559" s="89" t="s">
        <v>15</v>
      </c>
    </row>
    <row r="560" spans="1:6" x14ac:dyDescent="0.25">
      <c r="A560" s="89" t="s">
        <v>5445</v>
      </c>
      <c r="B560" s="89" t="s">
        <v>7637</v>
      </c>
      <c r="C560" s="89" t="s">
        <v>159</v>
      </c>
      <c r="D560" s="89">
        <v>1</v>
      </c>
      <c r="E560" s="89">
        <v>1</v>
      </c>
      <c r="F560" s="89" t="s">
        <v>4650</v>
      </c>
    </row>
    <row r="561" spans="1:6" x14ac:dyDescent="0.25">
      <c r="A561" s="89" t="s">
        <v>5279</v>
      </c>
      <c r="B561" s="89" t="s">
        <v>7638</v>
      </c>
      <c r="C561" s="89" t="s">
        <v>5280</v>
      </c>
      <c r="D561" s="89">
        <v>1</v>
      </c>
      <c r="E561" s="89">
        <v>1</v>
      </c>
      <c r="F561" s="89" t="s">
        <v>4690</v>
      </c>
    </row>
    <row r="562" spans="1:6" x14ac:dyDescent="0.25">
      <c r="A562" s="89" t="s">
        <v>6838</v>
      </c>
      <c r="B562" s="89" t="s">
        <v>6837</v>
      </c>
      <c r="C562" s="89" t="s">
        <v>6836</v>
      </c>
      <c r="D562" s="89">
        <v>5</v>
      </c>
      <c r="E562" s="89">
        <v>1</v>
      </c>
      <c r="F562" s="89" t="s">
        <v>7749</v>
      </c>
    </row>
    <row r="563" spans="1:6" x14ac:dyDescent="0.25">
      <c r="A563" s="89" t="s">
        <v>6667</v>
      </c>
      <c r="B563" s="89" t="s">
        <v>6666</v>
      </c>
      <c r="C563" s="89" t="s">
        <v>6665</v>
      </c>
      <c r="D563" s="89">
        <v>5</v>
      </c>
      <c r="E563" s="89">
        <v>1</v>
      </c>
      <c r="F563" s="89" t="s">
        <v>15</v>
      </c>
    </row>
    <row r="564" spans="1:6" x14ac:dyDescent="0.25">
      <c r="A564" s="89" t="s">
        <v>7642</v>
      </c>
      <c r="B564" s="89" t="s">
        <v>7643</v>
      </c>
      <c r="C564" s="89" t="s">
        <v>7644</v>
      </c>
      <c r="D564" s="89">
        <v>1</v>
      </c>
      <c r="E564" s="89">
        <v>1</v>
      </c>
      <c r="F564" s="89" t="s">
        <v>15</v>
      </c>
    </row>
    <row r="565" spans="1:6" x14ac:dyDescent="0.25">
      <c r="A565" s="89" t="s">
        <v>7639</v>
      </c>
      <c r="B565" s="89" t="s">
        <v>7640</v>
      </c>
      <c r="C565" s="89" t="s">
        <v>7641</v>
      </c>
      <c r="D565" s="89">
        <v>1</v>
      </c>
      <c r="E565" s="89">
        <v>1</v>
      </c>
      <c r="F565" s="89" t="s">
        <v>15</v>
      </c>
    </row>
    <row r="566" spans="1:6" x14ac:dyDescent="0.25">
      <c r="A566" s="89" t="s">
        <v>6621</v>
      </c>
      <c r="B566" s="89" t="s">
        <v>6620</v>
      </c>
      <c r="C566" s="89" t="s">
        <v>6619</v>
      </c>
      <c r="D566" s="89">
        <v>5</v>
      </c>
      <c r="E566" s="89">
        <v>1</v>
      </c>
      <c r="F566" s="89" t="s">
        <v>15</v>
      </c>
    </row>
    <row r="567" spans="1:6" x14ac:dyDescent="0.25">
      <c r="A567" s="89" t="s">
        <v>7645</v>
      </c>
      <c r="B567" s="89" t="s">
        <v>7646</v>
      </c>
      <c r="C567" s="89" t="s">
        <v>7646</v>
      </c>
      <c r="D567" s="89">
        <v>15</v>
      </c>
      <c r="E567" s="89">
        <v>1</v>
      </c>
      <c r="F567" s="89" t="s">
        <v>4650</v>
      </c>
    </row>
    <row r="568" spans="1:6" x14ac:dyDescent="0.25">
      <c r="A568" s="89" t="s">
        <v>5374</v>
      </c>
      <c r="B568" s="89" t="s">
        <v>7647</v>
      </c>
      <c r="C568" s="89" t="s">
        <v>5375</v>
      </c>
      <c r="D568" s="89">
        <v>1</v>
      </c>
      <c r="E568" s="89">
        <v>1</v>
      </c>
      <c r="F568" s="89" t="s">
        <v>4690</v>
      </c>
    </row>
    <row r="569" spans="1:6" x14ac:dyDescent="0.25">
      <c r="A569" s="89" t="s">
        <v>5458</v>
      </c>
      <c r="B569" s="89" t="s">
        <v>6482</v>
      </c>
      <c r="C569" s="89" t="s">
        <v>5459</v>
      </c>
      <c r="D569" s="89">
        <v>5</v>
      </c>
      <c r="E569" s="89">
        <v>1</v>
      </c>
      <c r="F569" s="89" t="s">
        <v>15</v>
      </c>
    </row>
    <row r="570" spans="1:6" x14ac:dyDescent="0.25">
      <c r="A570" s="89" t="s">
        <v>7648</v>
      </c>
      <c r="B570" s="89" t="s">
        <v>7649</v>
      </c>
      <c r="C570" s="89" t="s">
        <v>7649</v>
      </c>
      <c r="D570" s="89">
        <v>15</v>
      </c>
      <c r="E570" s="89">
        <v>10</v>
      </c>
      <c r="F570" s="89" t="s">
        <v>15</v>
      </c>
    </row>
    <row r="571" spans="1:6" x14ac:dyDescent="0.25">
      <c r="A571" s="89" t="s">
        <v>4847</v>
      </c>
      <c r="B571" s="89" t="s">
        <v>4733</v>
      </c>
      <c r="C571" s="89" t="s">
        <v>369</v>
      </c>
      <c r="D571" s="89">
        <v>1</v>
      </c>
      <c r="E571" s="89">
        <v>1</v>
      </c>
      <c r="F571" s="89" t="s">
        <v>4650</v>
      </c>
    </row>
    <row r="572" spans="1:6" x14ac:dyDescent="0.25">
      <c r="A572" s="89" t="s">
        <v>7650</v>
      </c>
      <c r="B572" s="89" t="s">
        <v>4776</v>
      </c>
      <c r="C572" s="89" t="s">
        <v>4776</v>
      </c>
      <c r="D572" s="89">
        <v>15</v>
      </c>
      <c r="E572" s="89">
        <v>1</v>
      </c>
      <c r="F572" s="89" t="s">
        <v>4650</v>
      </c>
    </row>
    <row r="573" spans="1:6" x14ac:dyDescent="0.25">
      <c r="A573" s="89" t="s">
        <v>4890</v>
      </c>
      <c r="B573" s="89" t="s">
        <v>7651</v>
      </c>
      <c r="C573" s="89" t="s">
        <v>886</v>
      </c>
      <c r="D573" s="89">
        <v>1</v>
      </c>
      <c r="E573" s="89">
        <v>1</v>
      </c>
      <c r="F573" s="89" t="s">
        <v>4650</v>
      </c>
    </row>
    <row r="574" spans="1:6" x14ac:dyDescent="0.25">
      <c r="A574" s="89" t="s">
        <v>4848</v>
      </c>
      <c r="B574" s="89" t="s">
        <v>4729</v>
      </c>
      <c r="C574" s="89" t="s">
        <v>511</v>
      </c>
      <c r="D574" s="89">
        <v>1</v>
      </c>
      <c r="E574" s="89">
        <v>1</v>
      </c>
      <c r="F574" s="89" t="s">
        <v>4650</v>
      </c>
    </row>
    <row r="575" spans="1:6" x14ac:dyDescent="0.25">
      <c r="A575" s="89" t="s">
        <v>6691</v>
      </c>
      <c r="B575" s="89" t="s">
        <v>6690</v>
      </c>
      <c r="C575" s="89" t="s">
        <v>6689</v>
      </c>
      <c r="D575" s="89">
        <v>5</v>
      </c>
      <c r="E575" s="89">
        <v>1</v>
      </c>
      <c r="F575" s="89" t="s">
        <v>15</v>
      </c>
    </row>
    <row r="576" spans="1:6" x14ac:dyDescent="0.25">
      <c r="A576" s="89" t="s">
        <v>6725</v>
      </c>
      <c r="B576" s="89" t="s">
        <v>6724</v>
      </c>
      <c r="C576" s="89" t="s">
        <v>6723</v>
      </c>
      <c r="D576" s="89">
        <v>5</v>
      </c>
      <c r="E576" s="89">
        <v>1</v>
      </c>
      <c r="F576" s="89" t="s">
        <v>15</v>
      </c>
    </row>
    <row r="577" spans="1:6" x14ac:dyDescent="0.25">
      <c r="A577" s="89" t="s">
        <v>4984</v>
      </c>
      <c r="B577" s="89" t="s">
        <v>6657</v>
      </c>
      <c r="C577" s="89" t="s">
        <v>4985</v>
      </c>
      <c r="D577" s="89">
        <v>5</v>
      </c>
      <c r="E577" s="89">
        <v>1</v>
      </c>
      <c r="F577" s="89" t="s">
        <v>15</v>
      </c>
    </row>
    <row r="578" spans="1:6" x14ac:dyDescent="0.25">
      <c r="A578" s="89" t="s">
        <v>7652</v>
      </c>
      <c r="B578" s="89" t="s">
        <v>7653</v>
      </c>
      <c r="C578" s="89" t="s">
        <v>7654</v>
      </c>
      <c r="D578" s="89">
        <v>1</v>
      </c>
      <c r="E578" s="89">
        <v>1</v>
      </c>
      <c r="F578" s="89" t="s">
        <v>15</v>
      </c>
    </row>
    <row r="579" spans="1:6" x14ac:dyDescent="0.25">
      <c r="A579" s="89" t="s">
        <v>6918</v>
      </c>
      <c r="B579" s="89" t="s">
        <v>6917</v>
      </c>
      <c r="C579" s="89" t="s">
        <v>6916</v>
      </c>
      <c r="D579" s="89">
        <v>5</v>
      </c>
      <c r="E579" s="89">
        <v>1</v>
      </c>
      <c r="F579" s="89" t="s">
        <v>15</v>
      </c>
    </row>
    <row r="580" spans="1:6" x14ac:dyDescent="0.25">
      <c r="A580" s="89" t="s">
        <v>4852</v>
      </c>
      <c r="B580" s="89" t="s">
        <v>7083</v>
      </c>
      <c r="C580" s="89" t="s">
        <v>4853</v>
      </c>
      <c r="D580" s="89">
        <v>5</v>
      </c>
      <c r="E580" s="89">
        <v>1</v>
      </c>
      <c r="F580" s="89" t="s">
        <v>15</v>
      </c>
    </row>
    <row r="581" spans="1:6" x14ac:dyDescent="0.25">
      <c r="A581" s="89" t="s">
        <v>6515</v>
      </c>
      <c r="B581" s="89" t="s">
        <v>6514</v>
      </c>
      <c r="C581" s="89" t="s">
        <v>6513</v>
      </c>
      <c r="D581" s="89">
        <v>5</v>
      </c>
      <c r="E581" s="89">
        <v>1</v>
      </c>
      <c r="F581" s="89" t="s">
        <v>15</v>
      </c>
    </row>
    <row r="582" spans="1:6" x14ac:dyDescent="0.25">
      <c r="A582" s="89" t="s">
        <v>4822</v>
      </c>
      <c r="B582" s="89" t="s">
        <v>7655</v>
      </c>
      <c r="C582" s="89" t="s">
        <v>613</v>
      </c>
      <c r="D582" s="89">
        <v>1</v>
      </c>
      <c r="E582" s="89">
        <v>1</v>
      </c>
      <c r="F582" s="89" t="s">
        <v>4650</v>
      </c>
    </row>
    <row r="583" spans="1:6" x14ac:dyDescent="0.25">
      <c r="A583" s="89" t="s">
        <v>7656</v>
      </c>
      <c r="B583" s="89" t="s">
        <v>7657</v>
      </c>
      <c r="C583" s="89" t="s">
        <v>7657</v>
      </c>
      <c r="D583" s="89">
        <v>15</v>
      </c>
      <c r="E583" s="89">
        <v>1</v>
      </c>
      <c r="F583" s="89" t="s">
        <v>4650</v>
      </c>
    </row>
    <row r="584" spans="1:6" x14ac:dyDescent="0.25">
      <c r="A584" s="89" t="s">
        <v>5129</v>
      </c>
      <c r="B584" s="89" t="s">
        <v>4710</v>
      </c>
      <c r="C584" s="89" t="s">
        <v>4646</v>
      </c>
      <c r="D584" s="89">
        <v>5</v>
      </c>
      <c r="E584" s="89">
        <v>1000</v>
      </c>
      <c r="F584" s="89" t="s">
        <v>4650</v>
      </c>
    </row>
    <row r="585" spans="1:6" x14ac:dyDescent="0.25">
      <c r="A585" s="89" t="s">
        <v>7658</v>
      </c>
      <c r="B585" s="89" t="s">
        <v>7659</v>
      </c>
      <c r="C585" s="89" t="s">
        <v>7660</v>
      </c>
      <c r="D585" s="89">
        <v>1</v>
      </c>
      <c r="E585" s="89">
        <v>1</v>
      </c>
      <c r="F585" s="89" t="s">
        <v>15</v>
      </c>
    </row>
    <row r="586" spans="1:6" x14ac:dyDescent="0.25">
      <c r="A586" s="89" t="s">
        <v>5368</v>
      </c>
      <c r="B586" s="89" t="s">
        <v>7661</v>
      </c>
      <c r="C586" s="89" t="s">
        <v>5369</v>
      </c>
      <c r="D586" s="89">
        <v>1</v>
      </c>
      <c r="E586" s="89">
        <v>1</v>
      </c>
      <c r="F586" s="89" t="s">
        <v>15</v>
      </c>
    </row>
    <row r="587" spans="1:6" x14ac:dyDescent="0.25">
      <c r="A587" s="89" t="s">
        <v>5175</v>
      </c>
      <c r="B587" s="89" t="s">
        <v>7662</v>
      </c>
      <c r="C587" s="89" t="s">
        <v>5176</v>
      </c>
      <c r="D587" s="89">
        <v>1</v>
      </c>
      <c r="E587" s="89">
        <v>1</v>
      </c>
      <c r="F587" s="89" t="s">
        <v>7749</v>
      </c>
    </row>
    <row r="588" spans="1:6" x14ac:dyDescent="0.25">
      <c r="A588" s="89" t="s">
        <v>7115</v>
      </c>
      <c r="B588" s="89" t="s">
        <v>7114</v>
      </c>
      <c r="C588" s="89" t="s">
        <v>7113</v>
      </c>
      <c r="D588" s="89">
        <v>5</v>
      </c>
      <c r="E588" s="89">
        <v>1</v>
      </c>
      <c r="F588" s="89" t="s">
        <v>15</v>
      </c>
    </row>
    <row r="589" spans="1:6" x14ac:dyDescent="0.25">
      <c r="A589" s="89" t="s">
        <v>5266</v>
      </c>
      <c r="B589" s="89" t="s">
        <v>6446</v>
      </c>
      <c r="C589" s="89" t="s">
        <v>5267</v>
      </c>
      <c r="D589" s="89">
        <v>5</v>
      </c>
      <c r="E589" s="89">
        <v>1</v>
      </c>
      <c r="F589" s="89" t="s">
        <v>15</v>
      </c>
    </row>
    <row r="590" spans="1:6" x14ac:dyDescent="0.25">
      <c r="A590" s="89" t="s">
        <v>7663</v>
      </c>
      <c r="B590" s="89" t="s">
        <v>7664</v>
      </c>
      <c r="C590" s="89" t="s">
        <v>7665</v>
      </c>
      <c r="D590" s="89">
        <v>10</v>
      </c>
      <c r="E590" s="89">
        <v>1</v>
      </c>
      <c r="F590" s="89" t="s">
        <v>4650</v>
      </c>
    </row>
    <row r="591" spans="1:6" x14ac:dyDescent="0.25">
      <c r="A591" s="89" t="s">
        <v>4899</v>
      </c>
      <c r="B591" s="89" t="s">
        <v>7666</v>
      </c>
      <c r="C591" s="89" t="s">
        <v>4900</v>
      </c>
      <c r="D591" s="89">
        <v>1</v>
      </c>
      <c r="E591" s="89">
        <v>1</v>
      </c>
      <c r="F591" s="89" t="s">
        <v>4690</v>
      </c>
    </row>
    <row r="592" spans="1:6" x14ac:dyDescent="0.25">
      <c r="A592" s="89" t="s">
        <v>4801</v>
      </c>
      <c r="B592" s="89" t="s">
        <v>7667</v>
      </c>
      <c r="C592" s="89" t="s">
        <v>4802</v>
      </c>
      <c r="D592" s="89">
        <v>1</v>
      </c>
      <c r="E592" s="89">
        <v>1</v>
      </c>
      <c r="F592" s="89" t="s">
        <v>15</v>
      </c>
    </row>
    <row r="593" spans="1:6" x14ac:dyDescent="0.25">
      <c r="A593" s="89" t="s">
        <v>4961</v>
      </c>
      <c r="B593" s="89" t="s">
        <v>6625</v>
      </c>
      <c r="C593" s="89" t="s">
        <v>4962</v>
      </c>
      <c r="D593" s="89">
        <v>5</v>
      </c>
      <c r="E593" s="89">
        <v>1</v>
      </c>
      <c r="F593" s="89" t="s">
        <v>15</v>
      </c>
    </row>
    <row r="594" spans="1:6" x14ac:dyDescent="0.25">
      <c r="A594" s="89" t="s">
        <v>5325</v>
      </c>
      <c r="B594" s="89" t="s">
        <v>6475</v>
      </c>
      <c r="C594" s="89" t="s">
        <v>5326</v>
      </c>
      <c r="D594" s="89">
        <v>5</v>
      </c>
      <c r="E594" s="89">
        <v>1</v>
      </c>
      <c r="F594" s="89" t="s">
        <v>15</v>
      </c>
    </row>
    <row r="595" spans="1:6" x14ac:dyDescent="0.25">
      <c r="A595" s="89" t="s">
        <v>6856</v>
      </c>
      <c r="B595" s="89" t="s">
        <v>6855</v>
      </c>
      <c r="C595" s="89" t="s">
        <v>6854</v>
      </c>
      <c r="D595" s="89">
        <v>5</v>
      </c>
      <c r="E595" s="89">
        <v>1</v>
      </c>
      <c r="F595" s="89" t="s">
        <v>15</v>
      </c>
    </row>
    <row r="596" spans="1:6" x14ac:dyDescent="0.25">
      <c r="A596" s="89" t="s">
        <v>6982</v>
      </c>
      <c r="B596" s="89" t="s">
        <v>6981</v>
      </c>
      <c r="C596" s="89" t="s">
        <v>6980</v>
      </c>
      <c r="D596" s="89">
        <v>5</v>
      </c>
      <c r="E596" s="89">
        <v>1</v>
      </c>
      <c r="F596" s="89" t="s">
        <v>15</v>
      </c>
    </row>
    <row r="597" spans="1:6" x14ac:dyDescent="0.25">
      <c r="A597" s="89" t="s">
        <v>7668</v>
      </c>
      <c r="B597" s="89" t="s">
        <v>7669</v>
      </c>
      <c r="C597" s="89" t="s">
        <v>7670</v>
      </c>
      <c r="D597" s="89">
        <v>1</v>
      </c>
      <c r="E597" s="89">
        <v>1</v>
      </c>
      <c r="F597" s="89" t="s">
        <v>15</v>
      </c>
    </row>
    <row r="598" spans="1:6" x14ac:dyDescent="0.25">
      <c r="A598" s="89" t="s">
        <v>6778</v>
      </c>
      <c r="B598" s="89" t="s">
        <v>6777</v>
      </c>
      <c r="C598" s="89" t="s">
        <v>1760</v>
      </c>
      <c r="D598" s="89">
        <v>5</v>
      </c>
      <c r="E598" s="89">
        <v>1000</v>
      </c>
      <c r="F598" s="89" t="s">
        <v>4650</v>
      </c>
    </row>
    <row r="599" spans="1:6" x14ac:dyDescent="0.25">
      <c r="A599" s="89" t="s">
        <v>7069</v>
      </c>
      <c r="B599" s="89" t="s">
        <v>7068</v>
      </c>
      <c r="C599" s="89" t="s">
        <v>3509</v>
      </c>
      <c r="D599" s="89">
        <v>5</v>
      </c>
      <c r="E599" s="89">
        <v>1000</v>
      </c>
      <c r="F599" s="89" t="s">
        <v>4650</v>
      </c>
    </row>
    <row r="600" spans="1:6" x14ac:dyDescent="0.25">
      <c r="A600" s="89" t="s">
        <v>7155</v>
      </c>
      <c r="B600" s="89" t="s">
        <v>7154</v>
      </c>
      <c r="C600" s="89" t="s">
        <v>7153</v>
      </c>
      <c r="D600" s="89">
        <v>5</v>
      </c>
      <c r="E600" s="89">
        <v>1</v>
      </c>
      <c r="F600" s="89" t="s">
        <v>15</v>
      </c>
    </row>
    <row r="601" spans="1:6" x14ac:dyDescent="0.25">
      <c r="A601" s="89" t="s">
        <v>7671</v>
      </c>
      <c r="B601" s="89" t="s">
        <v>7672</v>
      </c>
      <c r="C601" s="89" t="s">
        <v>7673</v>
      </c>
      <c r="D601" s="89">
        <v>1</v>
      </c>
      <c r="E601" s="89">
        <v>1</v>
      </c>
      <c r="F601" s="89" t="s">
        <v>15</v>
      </c>
    </row>
    <row r="602" spans="1:6" x14ac:dyDescent="0.25">
      <c r="A602" s="89" t="s">
        <v>6776</v>
      </c>
      <c r="B602" s="89" t="s">
        <v>6775</v>
      </c>
      <c r="C602" s="89" t="s">
        <v>6774</v>
      </c>
      <c r="D602" s="89">
        <v>5</v>
      </c>
      <c r="E602" s="89">
        <v>1</v>
      </c>
      <c r="F602" s="89" t="s">
        <v>15</v>
      </c>
    </row>
    <row r="603" spans="1:6" x14ac:dyDescent="0.25">
      <c r="A603" s="89" t="s">
        <v>5425</v>
      </c>
      <c r="B603" s="89" t="s">
        <v>7674</v>
      </c>
      <c r="C603" s="89" t="s">
        <v>5426</v>
      </c>
      <c r="D603" s="89">
        <v>1</v>
      </c>
      <c r="E603" s="89">
        <v>1</v>
      </c>
      <c r="F603" s="89" t="s">
        <v>15</v>
      </c>
    </row>
    <row r="604" spans="1:6" x14ac:dyDescent="0.25">
      <c r="A604" s="89" t="s">
        <v>5033</v>
      </c>
      <c r="B604" s="89" t="s">
        <v>7675</v>
      </c>
      <c r="C604" s="89" t="s">
        <v>5034</v>
      </c>
      <c r="D604" s="89">
        <v>1</v>
      </c>
      <c r="E604" s="89">
        <v>1</v>
      </c>
      <c r="F604" s="89" t="s">
        <v>15</v>
      </c>
    </row>
    <row r="605" spans="1:6" x14ac:dyDescent="0.25">
      <c r="A605" s="89" t="s">
        <v>6946</v>
      </c>
      <c r="B605" s="89" t="s">
        <v>6945</v>
      </c>
      <c r="C605" s="89" t="s">
        <v>6944</v>
      </c>
      <c r="D605" s="89">
        <v>5</v>
      </c>
      <c r="E605" s="89">
        <v>1</v>
      </c>
      <c r="F605" s="89" t="s">
        <v>15</v>
      </c>
    </row>
    <row r="606" spans="1:6" x14ac:dyDescent="0.25">
      <c r="A606" s="89" t="s">
        <v>4884</v>
      </c>
      <c r="B606" s="89" t="s">
        <v>6780</v>
      </c>
      <c r="C606" s="89" t="s">
        <v>4885</v>
      </c>
      <c r="D606" s="89">
        <v>5</v>
      </c>
      <c r="E606" s="89">
        <v>1000</v>
      </c>
      <c r="F606" s="89" t="s">
        <v>4650</v>
      </c>
    </row>
    <row r="607" spans="1:6" x14ac:dyDescent="0.25">
      <c r="A607" s="89" t="s">
        <v>6866</v>
      </c>
      <c r="B607" s="89" t="s">
        <v>6865</v>
      </c>
      <c r="C607" s="89" t="s">
        <v>6864</v>
      </c>
      <c r="D607" s="89">
        <v>5</v>
      </c>
      <c r="E607" s="89">
        <v>1</v>
      </c>
      <c r="F607" s="89" t="s">
        <v>15</v>
      </c>
    </row>
    <row r="608" spans="1:6" x14ac:dyDescent="0.25">
      <c r="A608" s="89" t="s">
        <v>7676</v>
      </c>
      <c r="B608" s="89" t="s">
        <v>7677</v>
      </c>
      <c r="C608" s="89" t="s">
        <v>7678</v>
      </c>
      <c r="D608" s="89">
        <v>1</v>
      </c>
      <c r="E608" s="89">
        <v>1</v>
      </c>
      <c r="F608" s="89" t="s">
        <v>15</v>
      </c>
    </row>
    <row r="609" spans="1:6" x14ac:dyDescent="0.25">
      <c r="A609" s="89" t="s">
        <v>6502</v>
      </c>
      <c r="B609" s="89" t="s">
        <v>6501</v>
      </c>
      <c r="C609" s="89" t="s">
        <v>6500</v>
      </c>
      <c r="D609" s="89">
        <v>5</v>
      </c>
      <c r="E609" s="89">
        <v>1</v>
      </c>
      <c r="F609" s="89" t="s">
        <v>15</v>
      </c>
    </row>
    <row r="610" spans="1:6" x14ac:dyDescent="0.25">
      <c r="A610" s="89" t="s">
        <v>7679</v>
      </c>
      <c r="B610" s="89" t="s">
        <v>7680</v>
      </c>
      <c r="C610" s="89" t="s">
        <v>7681</v>
      </c>
      <c r="D610" s="89">
        <v>1</v>
      </c>
      <c r="E610" s="89">
        <v>1</v>
      </c>
      <c r="F610" s="89" t="s">
        <v>15</v>
      </c>
    </row>
    <row r="611" spans="1:6" x14ac:dyDescent="0.25">
      <c r="A611" s="89" t="s">
        <v>4941</v>
      </c>
      <c r="B611" s="89" t="s">
        <v>7090</v>
      </c>
      <c r="C611" s="89" t="s">
        <v>4942</v>
      </c>
      <c r="D611" s="89">
        <v>5</v>
      </c>
      <c r="E611" s="89">
        <v>1</v>
      </c>
      <c r="F611" s="89" t="s">
        <v>7749</v>
      </c>
    </row>
    <row r="612" spans="1:6" x14ac:dyDescent="0.25">
      <c r="A612" s="89" t="s">
        <v>5559</v>
      </c>
      <c r="B612" s="89" t="s">
        <v>6447</v>
      </c>
      <c r="C612" s="89" t="s">
        <v>4094</v>
      </c>
      <c r="D612" s="89">
        <v>5</v>
      </c>
      <c r="E612" s="89">
        <v>1000</v>
      </c>
      <c r="F612" s="89" t="s">
        <v>4650</v>
      </c>
    </row>
    <row r="613" spans="1:6" x14ac:dyDescent="0.25">
      <c r="A613" s="89" t="s">
        <v>6853</v>
      </c>
      <c r="B613" s="89" t="s">
        <v>6852</v>
      </c>
      <c r="C613" s="89" t="s">
        <v>6851</v>
      </c>
      <c r="D613" s="89">
        <v>5</v>
      </c>
      <c r="E613" s="89">
        <v>1</v>
      </c>
      <c r="F613" s="89" t="s">
        <v>15</v>
      </c>
    </row>
    <row r="614" spans="1:6" x14ac:dyDescent="0.25">
      <c r="A614" s="89" t="s">
        <v>7682</v>
      </c>
      <c r="B614" s="89" t="s">
        <v>7683</v>
      </c>
      <c r="C614" s="89" t="s">
        <v>7684</v>
      </c>
      <c r="D614" s="89">
        <v>1</v>
      </c>
      <c r="E614" s="89">
        <v>1</v>
      </c>
      <c r="F614" s="89" t="s">
        <v>15</v>
      </c>
    </row>
    <row r="615" spans="1:6" x14ac:dyDescent="0.25">
      <c r="A615" s="89" t="s">
        <v>5260</v>
      </c>
      <c r="B615" s="89" t="s">
        <v>6365</v>
      </c>
      <c r="C615" s="89" t="s">
        <v>5261</v>
      </c>
      <c r="D615" s="89">
        <v>5</v>
      </c>
      <c r="E615" s="89">
        <v>1</v>
      </c>
      <c r="F615" s="89" t="s">
        <v>15</v>
      </c>
    </row>
    <row r="616" spans="1:6" x14ac:dyDescent="0.25">
      <c r="A616" s="89" t="s">
        <v>5659</v>
      </c>
      <c r="B616" s="89" t="s">
        <v>6733</v>
      </c>
      <c r="C616" s="89" t="s">
        <v>5660</v>
      </c>
      <c r="D616" s="89">
        <v>5</v>
      </c>
      <c r="E616" s="89">
        <v>1000</v>
      </c>
      <c r="F616" s="89" t="s">
        <v>4650</v>
      </c>
    </row>
    <row r="617" spans="1:6" x14ac:dyDescent="0.25">
      <c r="A617" s="89" t="s">
        <v>7685</v>
      </c>
      <c r="B617" s="89" t="s">
        <v>7686</v>
      </c>
      <c r="C617" s="89" t="s">
        <v>622</v>
      </c>
      <c r="D617" s="89">
        <v>1</v>
      </c>
      <c r="E617" s="89">
        <v>1</v>
      </c>
      <c r="F617" s="89" t="s">
        <v>4650</v>
      </c>
    </row>
    <row r="618" spans="1:6" x14ac:dyDescent="0.25">
      <c r="A618" s="89" t="s">
        <v>4978</v>
      </c>
      <c r="B618" s="89" t="s">
        <v>6412</v>
      </c>
      <c r="C618" s="89" t="s">
        <v>4979</v>
      </c>
      <c r="D618" s="89">
        <v>5</v>
      </c>
      <c r="E618" s="89">
        <v>1</v>
      </c>
      <c r="F618" s="89" t="s">
        <v>15</v>
      </c>
    </row>
    <row r="619" spans="1:6" x14ac:dyDescent="0.25">
      <c r="A619" s="89" t="s">
        <v>5002</v>
      </c>
      <c r="B619" s="89" t="s">
        <v>7687</v>
      </c>
      <c r="C619" s="89" t="s">
        <v>5003</v>
      </c>
      <c r="D619" s="89">
        <v>1</v>
      </c>
      <c r="E619" s="89">
        <v>1</v>
      </c>
      <c r="F619" s="89" t="s">
        <v>4690</v>
      </c>
    </row>
    <row r="620" spans="1:6" x14ac:dyDescent="0.25">
      <c r="A620" s="89" t="s">
        <v>7688</v>
      </c>
      <c r="B620" s="89" t="s">
        <v>7689</v>
      </c>
      <c r="C620" s="89" t="s">
        <v>141</v>
      </c>
      <c r="D620" s="89">
        <v>1</v>
      </c>
      <c r="E620" s="89">
        <v>1</v>
      </c>
      <c r="F620" s="89" t="s">
        <v>4650</v>
      </c>
    </row>
    <row r="621" spans="1:6" x14ac:dyDescent="0.25">
      <c r="A621" s="89" t="s">
        <v>7690</v>
      </c>
      <c r="B621" s="89" t="s">
        <v>7691</v>
      </c>
      <c r="C621" s="89" t="s">
        <v>7692</v>
      </c>
      <c r="D621" s="89">
        <v>1</v>
      </c>
      <c r="E621" s="89">
        <v>1</v>
      </c>
      <c r="F621" s="89" t="s">
        <v>15</v>
      </c>
    </row>
    <row r="622" spans="1:6" x14ac:dyDescent="0.25">
      <c r="A622" s="89" t="s">
        <v>7693</v>
      </c>
      <c r="B622" s="89" t="s">
        <v>7694</v>
      </c>
      <c r="C622" s="89" t="s">
        <v>7694</v>
      </c>
      <c r="D622" s="89">
        <v>15</v>
      </c>
      <c r="E622" s="89">
        <v>1</v>
      </c>
      <c r="F622" s="89" t="s">
        <v>4650</v>
      </c>
    </row>
    <row r="623" spans="1:6" x14ac:dyDescent="0.25">
      <c r="A623" s="89" t="s">
        <v>5433</v>
      </c>
      <c r="B623" s="89" t="s">
        <v>7695</v>
      </c>
      <c r="C623" s="89" t="s">
        <v>5434</v>
      </c>
      <c r="D623" s="89">
        <v>1</v>
      </c>
      <c r="E623" s="89">
        <v>1</v>
      </c>
      <c r="F623" s="89" t="s">
        <v>15</v>
      </c>
    </row>
    <row r="624" spans="1:6" x14ac:dyDescent="0.25">
      <c r="A624" s="89" t="s">
        <v>6717</v>
      </c>
      <c r="B624" s="89" t="s">
        <v>6716</v>
      </c>
      <c r="C624" s="89" t="s">
        <v>6715</v>
      </c>
      <c r="D624" s="89">
        <v>5</v>
      </c>
      <c r="E624" s="89">
        <v>1</v>
      </c>
      <c r="F624" s="89" t="s">
        <v>7749</v>
      </c>
    </row>
    <row r="625" spans="1:6" x14ac:dyDescent="0.25">
      <c r="A625" s="89" t="s">
        <v>5580</v>
      </c>
      <c r="B625" s="89" t="s">
        <v>6604</v>
      </c>
      <c r="C625" s="89" t="s">
        <v>3002</v>
      </c>
      <c r="D625" s="89">
        <v>5</v>
      </c>
      <c r="E625" s="89">
        <v>1000</v>
      </c>
      <c r="F625" s="89" t="s">
        <v>4650</v>
      </c>
    </row>
    <row r="626" spans="1:6" x14ac:dyDescent="0.25">
      <c r="A626" s="89" t="s">
        <v>5111</v>
      </c>
      <c r="B626" s="89" t="s">
        <v>7699</v>
      </c>
      <c r="C626" s="89" t="s">
        <v>649</v>
      </c>
      <c r="D626" s="89">
        <v>1</v>
      </c>
      <c r="E626" s="89">
        <v>1</v>
      </c>
      <c r="F626" s="89" t="s">
        <v>4650</v>
      </c>
    </row>
    <row r="627" spans="1:6" x14ac:dyDescent="0.25">
      <c r="A627" s="89" t="s">
        <v>7696</v>
      </c>
      <c r="B627" s="89" t="s">
        <v>7697</v>
      </c>
      <c r="C627" s="89" t="s">
        <v>7698</v>
      </c>
      <c r="D627" s="89">
        <v>1</v>
      </c>
      <c r="E627" s="89">
        <v>1</v>
      </c>
      <c r="F627" s="89" t="s">
        <v>15</v>
      </c>
    </row>
    <row r="628" spans="1:6" x14ac:dyDescent="0.25">
      <c r="A628" s="89" t="s">
        <v>5376</v>
      </c>
      <c r="B628" s="89" t="s">
        <v>7700</v>
      </c>
      <c r="C628" s="89" t="s">
        <v>5377</v>
      </c>
      <c r="D628" s="89">
        <v>1</v>
      </c>
      <c r="E628" s="89">
        <v>1</v>
      </c>
      <c r="F628" s="89" t="s">
        <v>15</v>
      </c>
    </row>
    <row r="629" spans="1:6" x14ac:dyDescent="0.25">
      <c r="A629" s="89" t="s">
        <v>7701</v>
      </c>
      <c r="B629" s="89" t="s">
        <v>7702</v>
      </c>
      <c r="C629" s="89" t="s">
        <v>7703</v>
      </c>
      <c r="D629" s="89">
        <v>1</v>
      </c>
      <c r="E629" s="89">
        <v>1</v>
      </c>
      <c r="F629" s="89" t="s">
        <v>15</v>
      </c>
    </row>
    <row r="630" spans="1:6" x14ac:dyDescent="0.25">
      <c r="A630" s="89" t="s">
        <v>7042</v>
      </c>
      <c r="B630" s="89" t="s">
        <v>7041</v>
      </c>
      <c r="C630" s="89" t="s">
        <v>7040</v>
      </c>
      <c r="D630" s="89">
        <v>5</v>
      </c>
      <c r="E630" s="89">
        <v>1</v>
      </c>
      <c r="F630" s="89" t="s">
        <v>15</v>
      </c>
    </row>
    <row r="631" spans="1:6" x14ac:dyDescent="0.25">
      <c r="A631" s="89" t="s">
        <v>7704</v>
      </c>
      <c r="B631" s="89" t="s">
        <v>7705</v>
      </c>
      <c r="C631" s="89" t="s">
        <v>7706</v>
      </c>
      <c r="D631" s="89">
        <v>1</v>
      </c>
      <c r="E631" s="89">
        <v>1</v>
      </c>
      <c r="F631" s="89" t="s">
        <v>15</v>
      </c>
    </row>
    <row r="632" spans="1:6" x14ac:dyDescent="0.25">
      <c r="A632" s="89" t="s">
        <v>5390</v>
      </c>
      <c r="B632" s="89" t="s">
        <v>7707</v>
      </c>
      <c r="C632" s="89" t="s">
        <v>5391</v>
      </c>
      <c r="D632" s="89">
        <v>1</v>
      </c>
      <c r="E632" s="89">
        <v>1</v>
      </c>
      <c r="F632" s="89" t="s">
        <v>15</v>
      </c>
    </row>
    <row r="633" spans="1:6" x14ac:dyDescent="0.25">
      <c r="A633" s="89" t="s">
        <v>7708</v>
      </c>
      <c r="B633" s="89" t="s">
        <v>7709</v>
      </c>
      <c r="C633" s="89" t="s">
        <v>7710</v>
      </c>
      <c r="D633" s="89">
        <v>1</v>
      </c>
      <c r="E633" s="89">
        <v>1</v>
      </c>
      <c r="F633" s="89" t="s">
        <v>7477</v>
      </c>
    </row>
    <row r="634" spans="1:6" x14ac:dyDescent="0.25">
      <c r="A634" s="89" t="s">
        <v>5092</v>
      </c>
      <c r="B634" s="89" t="s">
        <v>6783</v>
      </c>
      <c r="C634" s="89" t="s">
        <v>2645</v>
      </c>
      <c r="D634" s="89">
        <v>5</v>
      </c>
      <c r="E634" s="89">
        <v>1000</v>
      </c>
      <c r="F634" s="89" t="s">
        <v>4650</v>
      </c>
    </row>
    <row r="635" spans="1:6" x14ac:dyDescent="0.25">
      <c r="A635" s="89" t="s">
        <v>7711</v>
      </c>
      <c r="B635" s="89" t="s">
        <v>7712</v>
      </c>
      <c r="C635" s="89" t="s">
        <v>7713</v>
      </c>
      <c r="D635" s="89">
        <v>1</v>
      </c>
      <c r="E635" s="89">
        <v>1</v>
      </c>
      <c r="F635" s="89" t="s">
        <v>15</v>
      </c>
    </row>
    <row r="636" spans="1:6" x14ac:dyDescent="0.25">
      <c r="A636" s="89" t="s">
        <v>4955</v>
      </c>
      <c r="B636" s="89" t="s">
        <v>7714</v>
      </c>
      <c r="C636" s="89" t="s">
        <v>126</v>
      </c>
      <c r="D636" s="89">
        <v>1</v>
      </c>
      <c r="E636" s="89">
        <v>1</v>
      </c>
      <c r="F636" s="89" t="s">
        <v>4650</v>
      </c>
    </row>
    <row r="637" spans="1:6" x14ac:dyDescent="0.25">
      <c r="A637" s="89" t="s">
        <v>5284</v>
      </c>
      <c r="B637" s="89" t="s">
        <v>6953</v>
      </c>
      <c r="C637" s="89" t="s">
        <v>5285</v>
      </c>
      <c r="D637" s="89">
        <v>5</v>
      </c>
      <c r="E637" s="89">
        <v>1</v>
      </c>
      <c r="F637" s="89" t="s">
        <v>15</v>
      </c>
    </row>
    <row r="638" spans="1:6" x14ac:dyDescent="0.25">
      <c r="A638" s="89" t="s">
        <v>7715</v>
      </c>
      <c r="B638" s="89" t="s">
        <v>4725</v>
      </c>
      <c r="C638" s="89" t="s">
        <v>4725</v>
      </c>
      <c r="D638" s="89">
        <v>15</v>
      </c>
      <c r="E638" s="89">
        <v>10</v>
      </c>
      <c r="F638" s="89" t="s">
        <v>15</v>
      </c>
    </row>
    <row r="639" spans="1:6" x14ac:dyDescent="0.25">
      <c r="A639" s="89" t="s">
        <v>4869</v>
      </c>
      <c r="B639" s="89" t="s">
        <v>6926</v>
      </c>
      <c r="C639" s="89" t="s">
        <v>4870</v>
      </c>
      <c r="D639" s="89">
        <v>5</v>
      </c>
      <c r="E639" s="89">
        <v>1</v>
      </c>
      <c r="F639" s="89" t="s">
        <v>15</v>
      </c>
    </row>
    <row r="640" spans="1:6" x14ac:dyDescent="0.25">
      <c r="A640" s="89" t="s">
        <v>4906</v>
      </c>
      <c r="B640" s="89" t="s">
        <v>7716</v>
      </c>
      <c r="C640" s="89" t="s">
        <v>4907</v>
      </c>
      <c r="D640" s="89">
        <v>1</v>
      </c>
      <c r="E640" s="89">
        <v>1</v>
      </c>
      <c r="F640" s="89" t="s">
        <v>15</v>
      </c>
    </row>
    <row r="641" spans="1:6" x14ac:dyDescent="0.25">
      <c r="A641" s="89" t="s">
        <v>6628</v>
      </c>
      <c r="B641" s="89" t="s">
        <v>6627</v>
      </c>
      <c r="C641" s="89" t="s">
        <v>6626</v>
      </c>
      <c r="D641" s="89">
        <v>5</v>
      </c>
      <c r="E641" s="89">
        <v>1</v>
      </c>
      <c r="F641" s="89" t="s">
        <v>15</v>
      </c>
    </row>
    <row r="642" spans="1:6" x14ac:dyDescent="0.25">
      <c r="A642" s="89" t="s">
        <v>5605</v>
      </c>
      <c r="B642" s="89" t="s">
        <v>6591</v>
      </c>
      <c r="C642" s="89" t="s">
        <v>5606</v>
      </c>
      <c r="D642" s="89">
        <v>5</v>
      </c>
      <c r="E642" s="89">
        <v>1</v>
      </c>
      <c r="F642" s="89" t="s">
        <v>15</v>
      </c>
    </row>
    <row r="643" spans="1:6" x14ac:dyDescent="0.25">
      <c r="A643" s="89" t="s">
        <v>5106</v>
      </c>
      <c r="B643" s="89" t="s">
        <v>6470</v>
      </c>
      <c r="C643" s="89" t="s">
        <v>5107</v>
      </c>
      <c r="D643" s="89">
        <v>5</v>
      </c>
      <c r="E643" s="89">
        <v>1</v>
      </c>
      <c r="F643" s="89" t="s">
        <v>4650</v>
      </c>
    </row>
    <row r="644" spans="1:6" x14ac:dyDescent="0.25">
      <c r="A644" s="89" t="s">
        <v>5410</v>
      </c>
      <c r="B644" s="89" t="s">
        <v>7717</v>
      </c>
      <c r="C644" s="89" t="s">
        <v>5411</v>
      </c>
      <c r="D644" s="89">
        <v>1</v>
      </c>
      <c r="E644" s="89">
        <v>1</v>
      </c>
      <c r="F644" s="89" t="s">
        <v>15</v>
      </c>
    </row>
    <row r="645" spans="1:6" x14ac:dyDescent="0.25">
      <c r="A645" s="89" t="s">
        <v>7718</v>
      </c>
      <c r="B645" s="89" t="s">
        <v>7719</v>
      </c>
      <c r="C645" s="89" t="s">
        <v>7720</v>
      </c>
      <c r="D645" s="89">
        <v>1</v>
      </c>
      <c r="E645" s="89">
        <v>1</v>
      </c>
      <c r="F645" s="89" t="s">
        <v>7272</v>
      </c>
    </row>
    <row r="646" spans="1:6" x14ac:dyDescent="0.25">
      <c r="A646" s="89" t="s">
        <v>7721</v>
      </c>
      <c r="B646" s="89" t="s">
        <v>7722</v>
      </c>
      <c r="C646" s="89" t="s">
        <v>7723</v>
      </c>
      <c r="D646" s="89">
        <v>1</v>
      </c>
      <c r="E646" s="89">
        <v>1</v>
      </c>
      <c r="F646" s="89" t="s">
        <v>15</v>
      </c>
    </row>
    <row r="647" spans="1:6" x14ac:dyDescent="0.25">
      <c r="A647" s="89" t="s">
        <v>5599</v>
      </c>
      <c r="B647" s="89" t="s">
        <v>7000</v>
      </c>
      <c r="C647" s="89" t="s">
        <v>5600</v>
      </c>
      <c r="D647" s="89">
        <v>5</v>
      </c>
      <c r="E647" s="89">
        <v>1</v>
      </c>
      <c r="F647" s="89" t="s">
        <v>15</v>
      </c>
    </row>
    <row r="648" spans="1:6" x14ac:dyDescent="0.25">
      <c r="A648" s="89" t="s">
        <v>5225</v>
      </c>
      <c r="B648" s="89" t="s">
        <v>7724</v>
      </c>
      <c r="C648" s="89" t="s">
        <v>5226</v>
      </c>
      <c r="D648" s="89">
        <v>1</v>
      </c>
      <c r="E648" s="89">
        <v>1</v>
      </c>
      <c r="F648" s="89" t="s">
        <v>7749</v>
      </c>
    </row>
    <row r="649" spans="1:6" x14ac:dyDescent="0.25">
      <c r="A649" s="89" t="s">
        <v>5006</v>
      </c>
      <c r="B649" s="89" t="s">
        <v>6795</v>
      </c>
      <c r="C649" s="89" t="s">
        <v>5007</v>
      </c>
      <c r="D649" s="89">
        <v>5</v>
      </c>
      <c r="E649" s="89">
        <v>1</v>
      </c>
      <c r="F649" s="89" t="s">
        <v>15</v>
      </c>
    </row>
    <row r="650" spans="1:6" x14ac:dyDescent="0.25">
      <c r="A650" s="89" t="s">
        <v>7080</v>
      </c>
      <c r="B650" s="89" t="s">
        <v>7079</v>
      </c>
      <c r="C650" s="89" t="s">
        <v>7078</v>
      </c>
      <c r="D650" s="89">
        <v>5</v>
      </c>
      <c r="E650" s="89">
        <v>1</v>
      </c>
      <c r="F650" s="89" t="s">
        <v>15</v>
      </c>
    </row>
    <row r="651" spans="1:6" x14ac:dyDescent="0.25">
      <c r="A651" s="89" t="s">
        <v>5160</v>
      </c>
      <c r="B651" s="89" t="s">
        <v>7725</v>
      </c>
      <c r="C651" s="89" t="s">
        <v>5161</v>
      </c>
      <c r="D651" s="89">
        <v>1</v>
      </c>
      <c r="E651" s="89">
        <v>1</v>
      </c>
      <c r="F651" s="89" t="s">
        <v>15</v>
      </c>
    </row>
    <row r="652" spans="1:6" x14ac:dyDescent="0.25">
      <c r="A652" s="89" t="s">
        <v>5635</v>
      </c>
      <c r="B652" s="89" t="s">
        <v>7726</v>
      </c>
      <c r="C652" s="89" t="s">
        <v>244</v>
      </c>
      <c r="D652" s="89">
        <v>1</v>
      </c>
      <c r="E652" s="89">
        <v>1</v>
      </c>
      <c r="F652" s="89" t="s">
        <v>4650</v>
      </c>
    </row>
    <row r="653" spans="1:6" x14ac:dyDescent="0.25">
      <c r="A653" s="89" t="s">
        <v>5196</v>
      </c>
      <c r="B653" s="89" t="s">
        <v>7010</v>
      </c>
      <c r="C653" s="89" t="s">
        <v>987</v>
      </c>
      <c r="D653" s="89">
        <v>5</v>
      </c>
      <c r="E653" s="89">
        <v>1000</v>
      </c>
      <c r="F653" s="89" t="s">
        <v>4650</v>
      </c>
    </row>
    <row r="654" spans="1:6" x14ac:dyDescent="0.25">
      <c r="A654" s="89" t="s">
        <v>7727</v>
      </c>
      <c r="B654" s="89" t="s">
        <v>7728</v>
      </c>
      <c r="C654" s="89" t="s">
        <v>7729</v>
      </c>
      <c r="D654" s="89">
        <v>1</v>
      </c>
      <c r="E654" s="89">
        <v>1</v>
      </c>
      <c r="F654" s="89" t="s">
        <v>15</v>
      </c>
    </row>
    <row r="655" spans="1:6" x14ac:dyDescent="0.25">
      <c r="A655" s="89" t="s">
        <v>7730</v>
      </c>
      <c r="B655" s="89" t="s">
        <v>7731</v>
      </c>
      <c r="C655" s="89" t="s">
        <v>7732</v>
      </c>
      <c r="D655" s="89">
        <v>1</v>
      </c>
      <c r="E655" s="89">
        <v>1</v>
      </c>
      <c r="F655" s="89" t="s">
        <v>15</v>
      </c>
    </row>
    <row r="656" spans="1:6" x14ac:dyDescent="0.25">
      <c r="A656" s="89" t="s">
        <v>4877</v>
      </c>
      <c r="B656" s="89" t="s">
        <v>7733</v>
      </c>
      <c r="C656" s="89" t="s">
        <v>4878</v>
      </c>
      <c r="D656" s="89">
        <v>1</v>
      </c>
      <c r="E656" s="89">
        <v>1</v>
      </c>
      <c r="F656" s="89" t="s">
        <v>4650</v>
      </c>
    </row>
    <row r="657" spans="1:6" x14ac:dyDescent="0.25">
      <c r="A657" s="89" t="s">
        <v>6969</v>
      </c>
      <c r="B657" s="89" t="s">
        <v>6968</v>
      </c>
      <c r="C657" s="89" t="s">
        <v>6967</v>
      </c>
      <c r="D657" s="89">
        <v>5</v>
      </c>
      <c r="E657" s="89">
        <v>1</v>
      </c>
      <c r="F657" s="89" t="s">
        <v>15</v>
      </c>
    </row>
    <row r="658" spans="1:6" x14ac:dyDescent="0.25">
      <c r="A658" s="89" t="s">
        <v>7734</v>
      </c>
      <c r="B658" s="89" t="s">
        <v>7735</v>
      </c>
      <c r="C658" s="89" t="s">
        <v>7736</v>
      </c>
      <c r="D658" s="89">
        <v>1</v>
      </c>
      <c r="E658" s="89">
        <v>1</v>
      </c>
      <c r="F658" s="89" t="s">
        <v>15</v>
      </c>
    </row>
    <row r="659" spans="1:6" x14ac:dyDescent="0.25">
      <c r="A659" s="89" t="s">
        <v>15</v>
      </c>
      <c r="B659" s="89" t="s">
        <v>7737</v>
      </c>
      <c r="C659" s="89" t="s">
        <v>7549</v>
      </c>
      <c r="D659" s="89">
        <v>10</v>
      </c>
      <c r="E659" s="89">
        <v>1</v>
      </c>
      <c r="F659" s="89" t="s">
        <v>4650</v>
      </c>
    </row>
    <row r="660" spans="1:6" x14ac:dyDescent="0.25">
      <c r="A660" s="89" t="s">
        <v>4970</v>
      </c>
      <c r="B660" s="89" t="s">
        <v>7738</v>
      </c>
      <c r="C660" s="89" t="s">
        <v>4971</v>
      </c>
      <c r="D660" s="89">
        <v>1</v>
      </c>
      <c r="E660" s="89">
        <v>1</v>
      </c>
      <c r="F660" s="89" t="s">
        <v>15</v>
      </c>
    </row>
    <row r="661" spans="1:6" x14ac:dyDescent="0.25">
      <c r="A661" s="89" t="s">
        <v>5392</v>
      </c>
      <c r="B661" s="89" t="s">
        <v>6401</v>
      </c>
      <c r="C661" s="89" t="s">
        <v>5393</v>
      </c>
      <c r="D661" s="89">
        <v>5</v>
      </c>
      <c r="E661" s="89">
        <v>1</v>
      </c>
      <c r="F661" s="89" t="s">
        <v>15</v>
      </c>
    </row>
    <row r="662" spans="1:6" x14ac:dyDescent="0.25">
      <c r="A662" s="89" t="s">
        <v>6561</v>
      </c>
      <c r="B662" s="89" t="s">
        <v>6560</v>
      </c>
      <c r="C662" s="89" t="s">
        <v>6559</v>
      </c>
      <c r="D662" s="89">
        <v>5</v>
      </c>
      <c r="E662" s="89">
        <v>1</v>
      </c>
      <c r="F662" s="89" t="s">
        <v>15</v>
      </c>
    </row>
    <row r="663" spans="1:6" x14ac:dyDescent="0.25">
      <c r="A663" s="89" t="s">
        <v>7739</v>
      </c>
      <c r="B663" s="89" t="s">
        <v>7740</v>
      </c>
      <c r="C663" s="89" t="s">
        <v>7741</v>
      </c>
      <c r="D663" s="89">
        <v>1</v>
      </c>
      <c r="E663" s="89">
        <v>1</v>
      </c>
      <c r="F663" s="89" t="s">
        <v>15</v>
      </c>
    </row>
    <row r="664" spans="1:6" x14ac:dyDescent="0.25">
      <c r="A664" s="89" t="s">
        <v>4939</v>
      </c>
      <c r="B664" s="89" t="s">
        <v>6601</v>
      </c>
      <c r="C664" s="89" t="s">
        <v>4940</v>
      </c>
      <c r="D664" s="89">
        <v>5</v>
      </c>
      <c r="E664" s="89">
        <v>1</v>
      </c>
      <c r="F664" s="89" t="s">
        <v>7749</v>
      </c>
    </row>
    <row r="665" spans="1:6" x14ac:dyDescent="0.25">
      <c r="A665" s="89" t="s">
        <v>6488</v>
      </c>
      <c r="B665" s="89" t="s">
        <v>6487</v>
      </c>
      <c r="C665" s="89" t="s">
        <v>6486</v>
      </c>
      <c r="D665" s="89">
        <v>5</v>
      </c>
      <c r="E665" s="89">
        <v>1</v>
      </c>
      <c r="F665" s="89" t="s">
        <v>15</v>
      </c>
    </row>
    <row r="666" spans="1:6" x14ac:dyDescent="0.25">
      <c r="A666" s="89" t="s">
        <v>5603</v>
      </c>
      <c r="B666" s="89" t="s">
        <v>6932</v>
      </c>
      <c r="C666" s="89" t="s">
        <v>3959</v>
      </c>
      <c r="D666" s="89">
        <v>5</v>
      </c>
      <c r="E666" s="89">
        <v>1000</v>
      </c>
      <c r="F666" s="89" t="s">
        <v>4650</v>
      </c>
    </row>
    <row r="667" spans="1:6" x14ac:dyDescent="0.25">
      <c r="A667" s="89" t="s">
        <v>4973</v>
      </c>
      <c r="B667" s="89" t="s">
        <v>4779</v>
      </c>
      <c r="C667" s="89" t="s">
        <v>23</v>
      </c>
      <c r="D667" s="89">
        <v>5</v>
      </c>
      <c r="E667" s="89">
        <v>1000</v>
      </c>
      <c r="F667" s="89" t="s">
        <v>4650</v>
      </c>
    </row>
    <row r="668" spans="1:6" x14ac:dyDescent="0.25">
      <c r="A668" s="89" t="s">
        <v>6549</v>
      </c>
      <c r="B668" s="89" t="s">
        <v>6548</v>
      </c>
      <c r="C668" s="89" t="s">
        <v>6547</v>
      </c>
      <c r="D668" s="89">
        <v>5</v>
      </c>
      <c r="E668" s="89">
        <v>1</v>
      </c>
      <c r="F668" s="89" t="s">
        <v>15</v>
      </c>
    </row>
    <row r="669" spans="1:6" x14ac:dyDescent="0.25">
      <c r="A669" s="89" t="s">
        <v>6645</v>
      </c>
      <c r="B669" s="89" t="s">
        <v>6644</v>
      </c>
      <c r="C669" s="89" t="s">
        <v>6643</v>
      </c>
      <c r="D669" s="89">
        <v>5</v>
      </c>
      <c r="E669" s="89">
        <v>1</v>
      </c>
      <c r="F669" s="89" t="s">
        <v>15</v>
      </c>
    </row>
    <row r="670" spans="1:6" x14ac:dyDescent="0.25">
      <c r="A670" s="89" t="s">
        <v>7742</v>
      </c>
      <c r="B670" s="89" t="s">
        <v>7743</v>
      </c>
      <c r="C670" s="89" t="s">
        <v>7744</v>
      </c>
      <c r="D670" s="89">
        <v>1</v>
      </c>
      <c r="E670" s="89">
        <v>1</v>
      </c>
      <c r="F670" s="89" t="s">
        <v>15</v>
      </c>
    </row>
    <row r="671" spans="1:6" x14ac:dyDescent="0.25">
      <c r="A671" s="89" t="s">
        <v>5542</v>
      </c>
      <c r="B671" s="89" t="s">
        <v>7745</v>
      </c>
      <c r="C671" s="89" t="s">
        <v>5543</v>
      </c>
      <c r="D671" s="89">
        <v>1</v>
      </c>
      <c r="E671" s="89">
        <v>1</v>
      </c>
      <c r="F671" s="89" t="s">
        <v>7272</v>
      </c>
    </row>
    <row r="672" spans="1:6" x14ac:dyDescent="0.25">
      <c r="A672" s="89" t="s">
        <v>5082</v>
      </c>
      <c r="B672" s="89" t="s">
        <v>6891</v>
      </c>
      <c r="C672" s="89" t="s">
        <v>1880</v>
      </c>
      <c r="D672" s="89">
        <v>5</v>
      </c>
      <c r="E672" s="89">
        <v>1000</v>
      </c>
      <c r="F672" s="89" t="s">
        <v>4650</v>
      </c>
    </row>
    <row r="673" spans="1:6" x14ac:dyDescent="0.25">
      <c r="A673" s="89" t="s">
        <v>7746</v>
      </c>
      <c r="B673" s="89" t="s">
        <v>7747</v>
      </c>
      <c r="C673" s="89" t="s">
        <v>7748</v>
      </c>
      <c r="D673" s="89">
        <v>1</v>
      </c>
      <c r="E673" s="89">
        <v>1</v>
      </c>
      <c r="F673" s="89" t="s">
        <v>15</v>
      </c>
    </row>
    <row r="674" spans="1:6" x14ac:dyDescent="0.25">
      <c r="A674" s="89" t="s">
        <v>4843</v>
      </c>
      <c r="B674" s="89" t="s">
        <v>7119</v>
      </c>
      <c r="C674" s="89" t="s">
        <v>4844</v>
      </c>
      <c r="D674" s="89">
        <v>5</v>
      </c>
      <c r="E674" s="89">
        <v>1</v>
      </c>
      <c r="F674" s="89" t="s">
        <v>15</v>
      </c>
    </row>
    <row r="675" spans="1:6" x14ac:dyDescent="0.25">
      <c r="A675" s="89" t="s">
        <v>5114</v>
      </c>
      <c r="B675" s="89" t="s">
        <v>6421</v>
      </c>
      <c r="C675" s="89" t="s">
        <v>4367</v>
      </c>
      <c r="D675" s="89">
        <v>5</v>
      </c>
      <c r="E675" s="89">
        <v>1000</v>
      </c>
      <c r="F675" s="89" t="s">
        <v>4650</v>
      </c>
    </row>
    <row r="676" spans="1:6" x14ac:dyDescent="0.25">
      <c r="A676" s="89" t="s">
        <v>5296</v>
      </c>
      <c r="B676" s="89" t="s">
        <v>7058</v>
      </c>
      <c r="C676" s="89" t="s">
        <v>5297</v>
      </c>
      <c r="D676" s="89">
        <v>5</v>
      </c>
      <c r="E676" s="89">
        <v>1</v>
      </c>
      <c r="F676" s="89" t="s">
        <v>7749</v>
      </c>
    </row>
    <row r="677" spans="1:6" x14ac:dyDescent="0.25">
      <c r="A677" s="89" t="s">
        <v>7008</v>
      </c>
      <c r="B677" s="89" t="s">
        <v>7007</v>
      </c>
      <c r="C677" s="89" t="s">
        <v>7006</v>
      </c>
      <c r="D677" s="89">
        <v>5</v>
      </c>
      <c r="E677" s="89">
        <v>1</v>
      </c>
      <c r="F677" s="89" t="s">
        <v>15</v>
      </c>
    </row>
    <row r="678" spans="1:6" x14ac:dyDescent="0.25">
      <c r="A678" s="89" t="s">
        <v>6492</v>
      </c>
      <c r="B678" s="89" t="s">
        <v>6491</v>
      </c>
      <c r="C678" s="89" t="s">
        <v>6490</v>
      </c>
      <c r="D678" s="89">
        <v>5</v>
      </c>
      <c r="E678" s="89">
        <v>1</v>
      </c>
      <c r="F678" s="89" t="s">
        <v>15</v>
      </c>
    </row>
    <row r="679" spans="1:6" x14ac:dyDescent="0.25">
      <c r="A679" s="89" t="s">
        <v>7749</v>
      </c>
      <c r="B679" s="89" t="s">
        <v>7750</v>
      </c>
      <c r="C679" s="89" t="s">
        <v>7751</v>
      </c>
      <c r="D679" s="89">
        <v>10</v>
      </c>
      <c r="E679" s="89">
        <v>1</v>
      </c>
      <c r="F679" s="89" t="s">
        <v>4650</v>
      </c>
    </row>
    <row r="680" spans="1:6" x14ac:dyDescent="0.25">
      <c r="A680" s="89" t="s">
        <v>5540</v>
      </c>
      <c r="B680" s="89" t="s">
        <v>6629</v>
      </c>
      <c r="C680" s="89" t="s">
        <v>5541</v>
      </c>
      <c r="D680" s="89">
        <v>5</v>
      </c>
      <c r="E680" s="89">
        <v>1</v>
      </c>
      <c r="F680" s="89" t="s">
        <v>7272</v>
      </c>
    </row>
    <row r="681" spans="1:6" x14ac:dyDescent="0.25">
      <c r="A681" s="89" t="s">
        <v>6710</v>
      </c>
      <c r="B681" s="89" t="s">
        <v>6709</v>
      </c>
      <c r="C681" s="89" t="s">
        <v>6708</v>
      </c>
      <c r="D681" s="89">
        <v>5</v>
      </c>
      <c r="E681" s="89">
        <v>1</v>
      </c>
      <c r="F681" s="89" t="s">
        <v>15</v>
      </c>
    </row>
    <row r="682" spans="1:6" x14ac:dyDescent="0.25">
      <c r="A682" s="89" t="s">
        <v>5310</v>
      </c>
      <c r="B682" s="89" t="s">
        <v>7752</v>
      </c>
      <c r="C682" s="89" t="s">
        <v>5311</v>
      </c>
      <c r="D682" s="89">
        <v>1</v>
      </c>
      <c r="E682" s="89">
        <v>1</v>
      </c>
      <c r="F682" s="89" t="s">
        <v>15</v>
      </c>
    </row>
    <row r="683" spans="1:6" x14ac:dyDescent="0.25">
      <c r="A683" s="89" t="s">
        <v>7753</v>
      </c>
      <c r="B683" s="89" t="s">
        <v>7754</v>
      </c>
      <c r="C683" s="89" t="s">
        <v>7755</v>
      </c>
      <c r="D683" s="89">
        <v>1</v>
      </c>
      <c r="E683" s="89">
        <v>1</v>
      </c>
      <c r="F683" s="89" t="s">
        <v>15</v>
      </c>
    </row>
    <row r="684" spans="1:6" x14ac:dyDescent="0.25">
      <c r="A684" s="89" t="s">
        <v>5298</v>
      </c>
      <c r="B684" s="89" t="s">
        <v>6867</v>
      </c>
      <c r="C684" s="89" t="s">
        <v>5299</v>
      </c>
      <c r="D684" s="89">
        <v>5</v>
      </c>
      <c r="E684" s="89">
        <v>1</v>
      </c>
      <c r="F684" s="89" t="s">
        <v>15</v>
      </c>
    </row>
    <row r="685" spans="1:6" x14ac:dyDescent="0.25">
      <c r="A685" s="89" t="s">
        <v>5083</v>
      </c>
      <c r="B685" s="89" t="s">
        <v>4777</v>
      </c>
      <c r="C685" s="89" t="s">
        <v>1835</v>
      </c>
      <c r="D685" s="89">
        <v>5</v>
      </c>
      <c r="E685" s="89">
        <v>1000</v>
      </c>
      <c r="F685" s="89" t="s">
        <v>4650</v>
      </c>
    </row>
    <row r="686" spans="1:6" x14ac:dyDescent="0.25">
      <c r="A686" s="89" t="s">
        <v>5069</v>
      </c>
      <c r="B686" s="89" t="s">
        <v>6422</v>
      </c>
      <c r="C686" s="89" t="s">
        <v>5070</v>
      </c>
      <c r="D686" s="89">
        <v>5</v>
      </c>
      <c r="E686" s="89">
        <v>1</v>
      </c>
      <c r="F686" s="89" t="s">
        <v>15</v>
      </c>
    </row>
    <row r="687" spans="1:6" x14ac:dyDescent="0.25">
      <c r="A687" s="89" t="s">
        <v>5039</v>
      </c>
      <c r="B687" s="89" t="s">
        <v>6889</v>
      </c>
      <c r="C687" s="89" t="s">
        <v>5040</v>
      </c>
      <c r="D687" s="89">
        <v>5</v>
      </c>
      <c r="E687" s="89">
        <v>1</v>
      </c>
      <c r="F687" s="89" t="s">
        <v>15</v>
      </c>
    </row>
    <row r="688" spans="1:6" x14ac:dyDescent="0.25">
      <c r="A688" s="89" t="s">
        <v>7101</v>
      </c>
      <c r="B688" s="89" t="s">
        <v>7100</v>
      </c>
      <c r="C688" s="89" t="s">
        <v>7099</v>
      </c>
      <c r="D688" s="89">
        <v>5</v>
      </c>
      <c r="E688" s="89">
        <v>1</v>
      </c>
      <c r="F688" s="89" t="s">
        <v>15</v>
      </c>
    </row>
    <row r="689" spans="1:6" x14ac:dyDescent="0.25">
      <c r="A689" s="89" t="s">
        <v>5427</v>
      </c>
      <c r="B689" s="89" t="s">
        <v>7756</v>
      </c>
      <c r="C689" s="89" t="s">
        <v>5428</v>
      </c>
      <c r="D689" s="89">
        <v>1</v>
      </c>
      <c r="E689" s="89">
        <v>1</v>
      </c>
      <c r="F689" s="89" t="s">
        <v>15</v>
      </c>
    </row>
    <row r="690" spans="1:6" x14ac:dyDescent="0.25">
      <c r="A690" s="89" t="s">
        <v>7757</v>
      </c>
      <c r="B690" s="89" t="s">
        <v>4774</v>
      </c>
      <c r="C690" s="89" t="s">
        <v>4774</v>
      </c>
      <c r="D690" s="89">
        <v>15</v>
      </c>
      <c r="E690" s="89">
        <v>10</v>
      </c>
      <c r="F690" s="89" t="s">
        <v>15</v>
      </c>
    </row>
    <row r="691" spans="1:6" x14ac:dyDescent="0.25">
      <c r="A691" s="89" t="s">
        <v>7758</v>
      </c>
      <c r="B691" s="89" t="s">
        <v>7759</v>
      </c>
      <c r="C691" s="89" t="s">
        <v>7759</v>
      </c>
      <c r="D691" s="89">
        <v>15</v>
      </c>
      <c r="E691" s="89">
        <v>10</v>
      </c>
      <c r="F691" s="89" t="s">
        <v>15</v>
      </c>
    </row>
    <row r="692" spans="1:6" x14ac:dyDescent="0.25">
      <c r="A692" s="89" t="s">
        <v>5364</v>
      </c>
      <c r="B692" s="89" t="s">
        <v>7760</v>
      </c>
      <c r="C692" s="89" t="s">
        <v>5365</v>
      </c>
      <c r="D692" s="89">
        <v>1</v>
      </c>
      <c r="E692" s="89">
        <v>1</v>
      </c>
      <c r="F692" s="89" t="s">
        <v>15</v>
      </c>
    </row>
    <row r="693" spans="1:6" x14ac:dyDescent="0.25">
      <c r="A693" s="89" t="s">
        <v>6826</v>
      </c>
      <c r="B693" s="89" t="s">
        <v>6825</v>
      </c>
      <c r="C693" s="89" t="s">
        <v>6824</v>
      </c>
      <c r="D693" s="89">
        <v>5</v>
      </c>
      <c r="E693" s="89">
        <v>1</v>
      </c>
      <c r="F693" s="89" t="s">
        <v>15</v>
      </c>
    </row>
    <row r="694" spans="1:6" x14ac:dyDescent="0.25">
      <c r="A694" s="89" t="s">
        <v>7761</v>
      </c>
      <c r="B694" s="89" t="s">
        <v>7762</v>
      </c>
      <c r="C694" s="89" t="s">
        <v>479</v>
      </c>
      <c r="D694" s="89">
        <v>1</v>
      </c>
      <c r="E694" s="89">
        <v>1</v>
      </c>
      <c r="F694" s="89" t="s">
        <v>4650</v>
      </c>
    </row>
    <row r="695" spans="1:6" x14ac:dyDescent="0.25">
      <c r="A695" s="89" t="s">
        <v>7763</v>
      </c>
      <c r="B695" s="89" t="s">
        <v>7764</v>
      </c>
      <c r="C695" s="89" t="s">
        <v>7765</v>
      </c>
      <c r="D695" s="89">
        <v>1</v>
      </c>
      <c r="E695" s="89">
        <v>1</v>
      </c>
      <c r="F695" s="89" t="s">
        <v>15</v>
      </c>
    </row>
    <row r="696" spans="1:6" x14ac:dyDescent="0.25">
      <c r="A696" s="89" t="s">
        <v>6835</v>
      </c>
      <c r="B696" s="89" t="s">
        <v>6834</v>
      </c>
      <c r="C696" s="89" t="s">
        <v>6833</v>
      </c>
      <c r="D696" s="89">
        <v>5</v>
      </c>
      <c r="E696" s="89">
        <v>1</v>
      </c>
      <c r="F696" s="89" t="s">
        <v>15</v>
      </c>
    </row>
    <row r="697" spans="1:6" x14ac:dyDescent="0.25">
      <c r="A697" s="89" t="s">
        <v>7766</v>
      </c>
      <c r="B697" s="89" t="s">
        <v>7767</v>
      </c>
      <c r="C697" s="89" t="s">
        <v>7768</v>
      </c>
      <c r="D697" s="89">
        <v>1</v>
      </c>
      <c r="E697" s="89">
        <v>1</v>
      </c>
      <c r="F697" s="89" t="s">
        <v>15</v>
      </c>
    </row>
    <row r="698" spans="1:6" x14ac:dyDescent="0.25">
      <c r="A698" s="89" t="s">
        <v>5128</v>
      </c>
      <c r="B698" s="89" t="s">
        <v>6522</v>
      </c>
      <c r="C698" s="89" t="s">
        <v>4683</v>
      </c>
      <c r="D698" s="89">
        <v>5</v>
      </c>
      <c r="E698" s="89">
        <v>1000</v>
      </c>
      <c r="F698" s="89" t="s">
        <v>4650</v>
      </c>
    </row>
    <row r="699" spans="1:6" x14ac:dyDescent="0.25">
      <c r="A699" s="89" t="s">
        <v>4849</v>
      </c>
      <c r="B699" s="89" t="s">
        <v>7769</v>
      </c>
      <c r="C699" s="89" t="s">
        <v>4850</v>
      </c>
      <c r="D699" s="89">
        <v>1</v>
      </c>
      <c r="E699" s="89">
        <v>1</v>
      </c>
      <c r="F699" s="89" t="s">
        <v>15</v>
      </c>
    </row>
    <row r="700" spans="1:6" x14ac:dyDescent="0.25">
      <c r="A700" s="89" t="s">
        <v>7770</v>
      </c>
      <c r="B700" s="89" t="s">
        <v>7771</v>
      </c>
      <c r="C700" s="89" t="s">
        <v>7772</v>
      </c>
      <c r="D700" s="89">
        <v>1</v>
      </c>
      <c r="E700" s="89">
        <v>1</v>
      </c>
      <c r="F700" s="89" t="s">
        <v>7749</v>
      </c>
    </row>
    <row r="701" spans="1:6" x14ac:dyDescent="0.25">
      <c r="A701" s="89" t="s">
        <v>7776</v>
      </c>
      <c r="B701" s="89" t="s">
        <v>4708</v>
      </c>
      <c r="C701" s="89" t="s">
        <v>4708</v>
      </c>
      <c r="D701" s="89">
        <v>15</v>
      </c>
      <c r="E701" s="89">
        <v>10</v>
      </c>
      <c r="F701" s="89" t="s">
        <v>15</v>
      </c>
    </row>
    <row r="702" spans="1:6" x14ac:dyDescent="0.25">
      <c r="A702" s="89" t="s">
        <v>7773</v>
      </c>
      <c r="B702" s="89" t="s">
        <v>7774</v>
      </c>
      <c r="C702" s="89" t="s">
        <v>7775</v>
      </c>
      <c r="D702" s="89">
        <v>1</v>
      </c>
      <c r="E702" s="89">
        <v>1</v>
      </c>
      <c r="F702" s="89" t="s">
        <v>15</v>
      </c>
    </row>
    <row r="703" spans="1:6" x14ac:dyDescent="0.25">
      <c r="A703" s="89" t="s">
        <v>6935</v>
      </c>
      <c r="B703" s="89" t="s">
        <v>6934</v>
      </c>
      <c r="C703" s="89" t="s">
        <v>6933</v>
      </c>
      <c r="D703" s="89">
        <v>5</v>
      </c>
      <c r="E703" s="89">
        <v>1</v>
      </c>
      <c r="F703" s="89" t="s">
        <v>15</v>
      </c>
    </row>
    <row r="704" spans="1:6" x14ac:dyDescent="0.25">
      <c r="A704" s="89" t="s">
        <v>5597</v>
      </c>
      <c r="B704" s="89" t="s">
        <v>6951</v>
      </c>
      <c r="C704" s="89" t="s">
        <v>5598</v>
      </c>
      <c r="D704" s="89">
        <v>5</v>
      </c>
      <c r="E704" s="89">
        <v>1</v>
      </c>
      <c r="F704" s="89" t="s">
        <v>15</v>
      </c>
    </row>
    <row r="705" spans="1:6" x14ac:dyDescent="0.25">
      <c r="A705" s="89" t="s">
        <v>5535</v>
      </c>
      <c r="B705" s="89" t="s">
        <v>7777</v>
      </c>
      <c r="C705" s="89" t="s">
        <v>5536</v>
      </c>
      <c r="D705" s="89">
        <v>1</v>
      </c>
      <c r="E705" s="89">
        <v>1</v>
      </c>
      <c r="F705" s="89" t="s">
        <v>7749</v>
      </c>
    </row>
    <row r="706" spans="1:6" x14ac:dyDescent="0.25">
      <c r="A706" s="89" t="s">
        <v>7778</v>
      </c>
      <c r="B706" s="89" t="s">
        <v>7779</v>
      </c>
      <c r="C706" s="89" t="s">
        <v>7779</v>
      </c>
      <c r="D706" s="89">
        <v>15</v>
      </c>
      <c r="E706" s="89">
        <v>0.02</v>
      </c>
      <c r="F706" s="89" t="s">
        <v>15</v>
      </c>
    </row>
    <row r="707" spans="1:6" x14ac:dyDescent="0.25">
      <c r="A707" s="89" t="s">
        <v>4976</v>
      </c>
      <c r="B707" s="89" t="s">
        <v>6704</v>
      </c>
      <c r="C707" s="89" t="s">
        <v>4977</v>
      </c>
      <c r="D707" s="89">
        <v>5</v>
      </c>
      <c r="E707" s="89">
        <v>1</v>
      </c>
      <c r="F707" s="89" t="s">
        <v>15</v>
      </c>
    </row>
    <row r="708" spans="1:6" x14ac:dyDescent="0.25">
      <c r="A708" s="89" t="s">
        <v>7005</v>
      </c>
      <c r="B708" s="89" t="s">
        <v>7004</v>
      </c>
      <c r="C708" s="89" t="s">
        <v>7003</v>
      </c>
      <c r="D708" s="89">
        <v>5</v>
      </c>
      <c r="E708" s="89">
        <v>1</v>
      </c>
      <c r="F708" s="89" t="s">
        <v>15</v>
      </c>
    </row>
    <row r="709" spans="1:6" x14ac:dyDescent="0.25">
      <c r="A709" s="89" t="s">
        <v>5122</v>
      </c>
      <c r="B709" s="89" t="s">
        <v>6738</v>
      </c>
      <c r="C709" s="89" t="s">
        <v>5123</v>
      </c>
      <c r="D709" s="89">
        <v>5</v>
      </c>
      <c r="E709" s="89">
        <v>1</v>
      </c>
      <c r="F709" s="89" t="s">
        <v>15</v>
      </c>
    </row>
    <row r="710" spans="1:6" x14ac:dyDescent="0.25">
      <c r="A710" s="89" t="s">
        <v>6898</v>
      </c>
      <c r="B710" s="89" t="s">
        <v>6897</v>
      </c>
      <c r="C710" s="89" t="s">
        <v>2774</v>
      </c>
      <c r="D710" s="89">
        <v>5</v>
      </c>
      <c r="E710" s="89">
        <v>1000</v>
      </c>
      <c r="F710" s="89" t="s">
        <v>4650</v>
      </c>
    </row>
    <row r="711" spans="1:6" x14ac:dyDescent="0.25">
      <c r="A711" s="89" t="s">
        <v>6768</v>
      </c>
      <c r="B711" s="89" t="s">
        <v>6767</v>
      </c>
      <c r="C711" s="89" t="s">
        <v>6766</v>
      </c>
      <c r="D711" s="89">
        <v>5</v>
      </c>
      <c r="E711" s="89">
        <v>1</v>
      </c>
      <c r="F711" s="89" t="s">
        <v>15</v>
      </c>
    </row>
    <row r="712" spans="1:6" x14ac:dyDescent="0.25">
      <c r="A712" s="89" t="s">
        <v>4839</v>
      </c>
      <c r="B712" s="89" t="s">
        <v>6471</v>
      </c>
      <c r="C712" s="89" t="s">
        <v>4840</v>
      </c>
      <c r="D712" s="89">
        <v>5</v>
      </c>
      <c r="E712" s="89">
        <v>1</v>
      </c>
      <c r="F712" s="89" t="s">
        <v>15</v>
      </c>
    </row>
    <row r="713" spans="1:6" x14ac:dyDescent="0.25">
      <c r="A713" s="89" t="s">
        <v>7781</v>
      </c>
      <c r="B713" s="89" t="s">
        <v>7782</v>
      </c>
      <c r="C713" s="89" t="s">
        <v>7783</v>
      </c>
      <c r="D713" s="89">
        <v>1</v>
      </c>
      <c r="E713" s="89">
        <v>1</v>
      </c>
      <c r="F713" s="89" t="s">
        <v>15</v>
      </c>
    </row>
    <row r="714" spans="1:6" x14ac:dyDescent="0.25">
      <c r="A714" s="89" t="s">
        <v>5221</v>
      </c>
      <c r="B714" s="89" t="s">
        <v>7780</v>
      </c>
      <c r="C714" s="89" t="s">
        <v>5222</v>
      </c>
      <c r="D714" s="89">
        <v>1</v>
      </c>
      <c r="E714" s="89">
        <v>1</v>
      </c>
      <c r="F714" s="89" t="s">
        <v>7272</v>
      </c>
    </row>
    <row r="715" spans="1:6" x14ac:dyDescent="0.25">
      <c r="A715" s="89" t="s">
        <v>4901</v>
      </c>
      <c r="B715" s="89" t="s">
        <v>7784</v>
      </c>
      <c r="C715" s="89" t="s">
        <v>4902</v>
      </c>
      <c r="D715" s="89">
        <v>1</v>
      </c>
      <c r="E715" s="89">
        <v>1</v>
      </c>
      <c r="F715" s="89" t="s">
        <v>15</v>
      </c>
    </row>
    <row r="716" spans="1:6" x14ac:dyDescent="0.25">
      <c r="A716" s="89" t="s">
        <v>5607</v>
      </c>
      <c r="B716" s="89" t="s">
        <v>6630</v>
      </c>
      <c r="C716" s="89" t="s">
        <v>5608</v>
      </c>
      <c r="D716" s="89">
        <v>5</v>
      </c>
      <c r="E716" s="89">
        <v>1</v>
      </c>
      <c r="F716" s="89" t="s">
        <v>15</v>
      </c>
    </row>
    <row r="717" spans="1:6" x14ac:dyDescent="0.25">
      <c r="A717" s="89" t="s">
        <v>6546</v>
      </c>
      <c r="B717" s="89" t="s">
        <v>6545</v>
      </c>
      <c r="C717" s="89" t="s">
        <v>6544</v>
      </c>
      <c r="D717" s="89">
        <v>5</v>
      </c>
      <c r="E717" s="89">
        <v>1</v>
      </c>
      <c r="F717" s="89" t="s">
        <v>15</v>
      </c>
    </row>
    <row r="718" spans="1:6" x14ac:dyDescent="0.25">
      <c r="A718" s="89" t="s">
        <v>6485</v>
      </c>
      <c r="B718" s="89" t="s">
        <v>6484</v>
      </c>
      <c r="C718" s="89" t="s">
        <v>6483</v>
      </c>
      <c r="D718" s="89">
        <v>5</v>
      </c>
      <c r="E718" s="89">
        <v>1</v>
      </c>
      <c r="F718" s="89" t="s">
        <v>15</v>
      </c>
    </row>
    <row r="719" spans="1:6" x14ac:dyDescent="0.25">
      <c r="A719" s="89" t="s">
        <v>7785</v>
      </c>
      <c r="B719" s="89" t="s">
        <v>7786</v>
      </c>
      <c r="C719" s="89" t="s">
        <v>7787</v>
      </c>
      <c r="D719" s="89">
        <v>1</v>
      </c>
      <c r="E719" s="89">
        <v>1</v>
      </c>
      <c r="F719" s="89" t="s">
        <v>15</v>
      </c>
    </row>
    <row r="720" spans="1:6" x14ac:dyDescent="0.25">
      <c r="A720" s="89" t="s">
        <v>4925</v>
      </c>
      <c r="B720" s="89" t="s">
        <v>7788</v>
      </c>
      <c r="C720" s="89" t="s">
        <v>4926</v>
      </c>
      <c r="D720" s="89">
        <v>1</v>
      </c>
      <c r="E720" s="89">
        <v>1</v>
      </c>
      <c r="F720" s="89" t="s">
        <v>15</v>
      </c>
    </row>
    <row r="721" spans="1:6" x14ac:dyDescent="0.25">
      <c r="A721" s="89" t="s">
        <v>5435</v>
      </c>
      <c r="B721" s="89" t="s">
        <v>6730</v>
      </c>
      <c r="C721" s="89" t="s">
        <v>5436</v>
      </c>
      <c r="D721" s="89">
        <v>5</v>
      </c>
      <c r="E721" s="89">
        <v>1</v>
      </c>
      <c r="F721" s="89" t="s">
        <v>15</v>
      </c>
    </row>
    <row r="722" spans="1:6" x14ac:dyDescent="0.25">
      <c r="A722" s="89" t="s">
        <v>6732</v>
      </c>
      <c r="B722" s="89" t="s">
        <v>6731</v>
      </c>
      <c r="C722" s="89" t="s">
        <v>3677</v>
      </c>
      <c r="D722" s="89">
        <v>5</v>
      </c>
      <c r="E722" s="89">
        <v>1000</v>
      </c>
      <c r="F722" s="89" t="s">
        <v>4650</v>
      </c>
    </row>
    <row r="723" spans="1:6" x14ac:dyDescent="0.25">
      <c r="A723" s="89" t="s">
        <v>7789</v>
      </c>
      <c r="B723" s="89" t="s">
        <v>7790</v>
      </c>
      <c r="C723" s="89" t="s">
        <v>7791</v>
      </c>
      <c r="D723" s="89">
        <v>1</v>
      </c>
      <c r="E723" s="89">
        <v>1</v>
      </c>
      <c r="F723" s="89" t="s">
        <v>7749</v>
      </c>
    </row>
    <row r="724" spans="1:6" x14ac:dyDescent="0.25">
      <c r="A724" s="89" t="s">
        <v>7792</v>
      </c>
      <c r="B724" s="89" t="s">
        <v>7793</v>
      </c>
      <c r="C724" s="89" t="s">
        <v>7794</v>
      </c>
      <c r="D724" s="89">
        <v>1</v>
      </c>
      <c r="E724" s="89">
        <v>1</v>
      </c>
      <c r="F724" s="89" t="s">
        <v>15</v>
      </c>
    </row>
    <row r="725" spans="1:6" x14ac:dyDescent="0.25">
      <c r="A725" s="89" t="s">
        <v>7795</v>
      </c>
      <c r="B725" s="89" t="s">
        <v>7796</v>
      </c>
      <c r="C725" s="89" t="s">
        <v>7797</v>
      </c>
      <c r="D725" s="89">
        <v>1</v>
      </c>
      <c r="E725" s="89">
        <v>1</v>
      </c>
      <c r="F725" s="89" t="s">
        <v>4650</v>
      </c>
    </row>
    <row r="726" spans="1:6" x14ac:dyDescent="0.25">
      <c r="A726" s="89" t="s">
        <v>6931</v>
      </c>
      <c r="B726" s="89" t="s">
        <v>6930</v>
      </c>
      <c r="C726" s="89" t="s">
        <v>6929</v>
      </c>
      <c r="D726" s="89">
        <v>5</v>
      </c>
      <c r="E726" s="89">
        <v>1</v>
      </c>
      <c r="F726" s="89" t="s">
        <v>15</v>
      </c>
    </row>
    <row r="727" spans="1:6" x14ac:dyDescent="0.25">
      <c r="A727" s="89" t="s">
        <v>5235</v>
      </c>
      <c r="B727" s="89" t="s">
        <v>7798</v>
      </c>
      <c r="C727" s="89" t="s">
        <v>5236</v>
      </c>
      <c r="D727" s="89">
        <v>1</v>
      </c>
      <c r="E727" s="89">
        <v>1</v>
      </c>
      <c r="F727" s="89" t="s">
        <v>15</v>
      </c>
    </row>
    <row r="728" spans="1:6" x14ac:dyDescent="0.25">
      <c r="A728" s="89" t="s">
        <v>5486</v>
      </c>
      <c r="B728" s="89" t="s">
        <v>7799</v>
      </c>
      <c r="C728" s="89" t="s">
        <v>5487</v>
      </c>
      <c r="D728" s="89">
        <v>1</v>
      </c>
      <c r="E728" s="89">
        <v>1</v>
      </c>
      <c r="F728" s="89" t="s">
        <v>15</v>
      </c>
    </row>
    <row r="729" spans="1:6" x14ac:dyDescent="0.25">
      <c r="A729" s="89" t="s">
        <v>7800</v>
      </c>
      <c r="B729" s="89" t="s">
        <v>7801</v>
      </c>
      <c r="C729" s="89" t="s">
        <v>7802</v>
      </c>
      <c r="D729" s="89">
        <v>1</v>
      </c>
      <c r="E729" s="89">
        <v>1</v>
      </c>
      <c r="F729" s="89" t="s">
        <v>15</v>
      </c>
    </row>
    <row r="730" spans="1:6" x14ac:dyDescent="0.25">
      <c r="A730" s="89" t="s">
        <v>5273</v>
      </c>
      <c r="B730" s="89" t="s">
        <v>7803</v>
      </c>
      <c r="C730" s="89" t="s">
        <v>5274</v>
      </c>
      <c r="D730" s="89">
        <v>1</v>
      </c>
      <c r="E730" s="89">
        <v>1</v>
      </c>
      <c r="F730" s="89" t="s">
        <v>15</v>
      </c>
    </row>
    <row r="731" spans="1:6" x14ac:dyDescent="0.25">
      <c r="A731" s="89" t="s">
        <v>5116</v>
      </c>
      <c r="B731" s="89" t="s">
        <v>7804</v>
      </c>
      <c r="C731" s="89" t="s">
        <v>817</v>
      </c>
      <c r="D731" s="89">
        <v>1</v>
      </c>
      <c r="E731" s="89">
        <v>1</v>
      </c>
      <c r="F731" s="89" t="s">
        <v>4650</v>
      </c>
    </row>
    <row r="732" spans="1:6" x14ac:dyDescent="0.25">
      <c r="A732" s="89" t="s">
        <v>6612</v>
      </c>
      <c r="B732" s="89" t="s">
        <v>6611</v>
      </c>
      <c r="C732" s="89" t="s">
        <v>6610</v>
      </c>
      <c r="D732" s="89">
        <v>5</v>
      </c>
      <c r="E732" s="89">
        <v>1</v>
      </c>
      <c r="F732" s="89" t="s">
        <v>15</v>
      </c>
    </row>
    <row r="733" spans="1:6" x14ac:dyDescent="0.25">
      <c r="A733" s="89" t="s">
        <v>7805</v>
      </c>
      <c r="B733" s="89" t="s">
        <v>7806</v>
      </c>
      <c r="C733" s="89" t="s">
        <v>7807</v>
      </c>
      <c r="D733" s="89">
        <v>1</v>
      </c>
      <c r="E733" s="89">
        <v>1</v>
      </c>
      <c r="F733" s="89" t="s">
        <v>15</v>
      </c>
    </row>
    <row r="734" spans="1:6" x14ac:dyDescent="0.25">
      <c r="A734" s="89" t="s">
        <v>4950</v>
      </c>
      <c r="B734" s="89" t="s">
        <v>6961</v>
      </c>
      <c r="C734" s="89" t="s">
        <v>4951</v>
      </c>
      <c r="D734" s="89">
        <v>5</v>
      </c>
      <c r="E734" s="89">
        <v>1</v>
      </c>
      <c r="F734" s="89" t="s">
        <v>7749</v>
      </c>
    </row>
    <row r="735" spans="1:6" x14ac:dyDescent="0.25">
      <c r="A735" s="89" t="s">
        <v>7808</v>
      </c>
      <c r="B735" s="89" t="s">
        <v>7809</v>
      </c>
      <c r="C735" s="89" t="s">
        <v>7810</v>
      </c>
      <c r="D735" s="89">
        <v>1</v>
      </c>
      <c r="E735" s="89">
        <v>1</v>
      </c>
      <c r="F735" s="89" t="s">
        <v>15</v>
      </c>
    </row>
    <row r="736" spans="1:6" x14ac:dyDescent="0.25">
      <c r="A736" s="89" t="s">
        <v>7051</v>
      </c>
      <c r="B736" s="89" t="s">
        <v>7050</v>
      </c>
      <c r="C736" s="89" t="s">
        <v>7049</v>
      </c>
      <c r="D736" s="89">
        <v>5</v>
      </c>
      <c r="E736" s="89">
        <v>1</v>
      </c>
      <c r="F736" s="89" t="s">
        <v>7420</v>
      </c>
    </row>
    <row r="737" spans="1:6" x14ac:dyDescent="0.25">
      <c r="A737" s="89" t="s">
        <v>6943</v>
      </c>
      <c r="B737" s="89" t="s">
        <v>6942</v>
      </c>
      <c r="C737" s="89" t="s">
        <v>6941</v>
      </c>
      <c r="D737" s="89">
        <v>5</v>
      </c>
      <c r="E737" s="89">
        <v>1</v>
      </c>
      <c r="F737" s="89" t="s">
        <v>7749</v>
      </c>
    </row>
    <row r="738" spans="1:6" x14ac:dyDescent="0.25">
      <c r="A738" s="89" t="s">
        <v>6518</v>
      </c>
      <c r="B738" s="89" t="s">
        <v>6517</v>
      </c>
      <c r="C738" s="89" t="s">
        <v>6516</v>
      </c>
      <c r="D738" s="89">
        <v>5</v>
      </c>
      <c r="E738" s="89">
        <v>1</v>
      </c>
      <c r="F738" s="89" t="s">
        <v>7749</v>
      </c>
    </row>
    <row r="739" spans="1:6" x14ac:dyDescent="0.25">
      <c r="A739" s="89" t="s">
        <v>5467</v>
      </c>
      <c r="B739" s="89" t="s">
        <v>7811</v>
      </c>
      <c r="C739" s="89" t="s">
        <v>787</v>
      </c>
      <c r="D739" s="89">
        <v>1</v>
      </c>
      <c r="E739" s="89">
        <v>1</v>
      </c>
      <c r="F739" s="89" t="s">
        <v>4650</v>
      </c>
    </row>
    <row r="740" spans="1:6" x14ac:dyDescent="0.25">
      <c r="A740" s="89" t="s">
        <v>5086</v>
      </c>
      <c r="B740" s="89" t="s">
        <v>6784</v>
      </c>
      <c r="C740" s="89" t="s">
        <v>5087</v>
      </c>
      <c r="D740" s="89">
        <v>5</v>
      </c>
      <c r="E740" s="89">
        <v>1</v>
      </c>
      <c r="F740" s="89" t="s">
        <v>15</v>
      </c>
    </row>
    <row r="741" spans="1:6" x14ac:dyDescent="0.25">
      <c r="A741" s="89" t="s">
        <v>7013</v>
      </c>
      <c r="B741" s="89" t="s">
        <v>7012</v>
      </c>
      <c r="C741" s="89" t="s">
        <v>7011</v>
      </c>
      <c r="D741" s="89">
        <v>5</v>
      </c>
      <c r="E741" s="89">
        <v>1</v>
      </c>
      <c r="F741" s="89" t="s">
        <v>15</v>
      </c>
    </row>
    <row r="742" spans="1:6" x14ac:dyDescent="0.25">
      <c r="A742" s="89" t="s">
        <v>5186</v>
      </c>
      <c r="B742" s="89" t="s">
        <v>7812</v>
      </c>
      <c r="C742" s="89" t="s">
        <v>5187</v>
      </c>
      <c r="D742" s="89">
        <v>1</v>
      </c>
      <c r="E742" s="89">
        <v>1</v>
      </c>
      <c r="F742" s="89" t="s">
        <v>7749</v>
      </c>
    </row>
    <row r="743" spans="1:6" x14ac:dyDescent="0.25">
      <c r="A743" s="89" t="s">
        <v>5180</v>
      </c>
      <c r="B743" s="89" t="s">
        <v>6642</v>
      </c>
      <c r="C743" s="89" t="s">
        <v>5181</v>
      </c>
      <c r="D743" s="89">
        <v>5</v>
      </c>
      <c r="E743" s="89">
        <v>1</v>
      </c>
      <c r="F743" s="89" t="s">
        <v>15</v>
      </c>
    </row>
    <row r="744" spans="1:6" x14ac:dyDescent="0.25">
      <c r="A744" s="89" t="s">
        <v>5271</v>
      </c>
      <c r="B744" s="89" t="s">
        <v>7813</v>
      </c>
      <c r="C744" s="89" t="s">
        <v>5272</v>
      </c>
      <c r="D744" s="89">
        <v>1</v>
      </c>
      <c r="E744" s="89">
        <v>1</v>
      </c>
      <c r="F744" s="89" t="s">
        <v>7272</v>
      </c>
    </row>
    <row r="745" spans="1:6" x14ac:dyDescent="0.25">
      <c r="A745" s="89" t="s">
        <v>7814</v>
      </c>
      <c r="B745" s="89" t="s">
        <v>7815</v>
      </c>
      <c r="C745" s="89" t="s">
        <v>7816</v>
      </c>
      <c r="D745" s="89">
        <v>1</v>
      </c>
      <c r="E745" s="89">
        <v>1</v>
      </c>
      <c r="F745" s="89" t="s">
        <v>7272</v>
      </c>
    </row>
    <row r="746" spans="1:6" x14ac:dyDescent="0.25">
      <c r="A746" s="89" t="s">
        <v>6870</v>
      </c>
      <c r="B746" s="89" t="s">
        <v>6869</v>
      </c>
      <c r="C746" s="89" t="s">
        <v>6868</v>
      </c>
      <c r="D746" s="89">
        <v>5</v>
      </c>
      <c r="E746" s="89">
        <v>1</v>
      </c>
      <c r="F746" s="89" t="s">
        <v>15</v>
      </c>
    </row>
    <row r="747" spans="1:6" x14ac:dyDescent="0.25">
      <c r="A747" s="89" t="s">
        <v>7817</v>
      </c>
      <c r="B747" s="89" t="s">
        <v>7818</v>
      </c>
      <c r="C747" s="89" t="s">
        <v>7819</v>
      </c>
      <c r="D747" s="89">
        <v>1</v>
      </c>
      <c r="E747" s="89">
        <v>1</v>
      </c>
      <c r="F747" s="89" t="s">
        <v>15</v>
      </c>
    </row>
    <row r="748" spans="1:6" x14ac:dyDescent="0.25">
      <c r="A748" s="89" t="s">
        <v>7130</v>
      </c>
      <c r="B748" s="89" t="s">
        <v>7129</v>
      </c>
      <c r="C748" s="89" t="s">
        <v>7128</v>
      </c>
      <c r="D748" s="89">
        <v>5</v>
      </c>
      <c r="E748" s="89">
        <v>1</v>
      </c>
      <c r="F748" s="89" t="s">
        <v>15</v>
      </c>
    </row>
    <row r="749" spans="1:6" x14ac:dyDescent="0.25">
      <c r="A749" s="89" t="s">
        <v>6762</v>
      </c>
      <c r="B749" s="89" t="s">
        <v>6761</v>
      </c>
      <c r="C749" s="89" t="s">
        <v>6760</v>
      </c>
      <c r="D749" s="89">
        <v>5</v>
      </c>
      <c r="E749" s="89">
        <v>1</v>
      </c>
      <c r="F749" s="89" t="s">
        <v>15</v>
      </c>
    </row>
    <row r="750" spans="1:6" x14ac:dyDescent="0.25">
      <c r="A750" s="89" t="s">
        <v>7820</v>
      </c>
      <c r="B750" s="89" t="s">
        <v>7821</v>
      </c>
      <c r="C750" s="89" t="s">
        <v>7822</v>
      </c>
      <c r="D750" s="89">
        <v>1</v>
      </c>
      <c r="E750" s="89">
        <v>1</v>
      </c>
      <c r="F750" s="89" t="s">
        <v>7749</v>
      </c>
    </row>
    <row r="751" spans="1:6" x14ac:dyDescent="0.25">
      <c r="A751" s="89" t="s">
        <v>7824</v>
      </c>
      <c r="B751" s="89" t="s">
        <v>7825</v>
      </c>
      <c r="C751" s="89" t="s">
        <v>7826</v>
      </c>
      <c r="D751" s="89">
        <v>1</v>
      </c>
      <c r="E751" s="89">
        <v>1</v>
      </c>
      <c r="F751" s="89" t="s">
        <v>15</v>
      </c>
    </row>
    <row r="752" spans="1:6" x14ac:dyDescent="0.25">
      <c r="A752" s="89" t="s">
        <v>4943</v>
      </c>
      <c r="B752" s="89" t="s">
        <v>7823</v>
      </c>
      <c r="C752" s="89" t="s">
        <v>4944</v>
      </c>
      <c r="D752" s="89">
        <v>1</v>
      </c>
      <c r="E752" s="89">
        <v>1</v>
      </c>
      <c r="F752" s="89" t="s">
        <v>7749</v>
      </c>
    </row>
    <row r="753" spans="1:6" x14ac:dyDescent="0.25">
      <c r="A753" s="89" t="s">
        <v>7163</v>
      </c>
      <c r="B753" s="89" t="s">
        <v>7162</v>
      </c>
      <c r="C753" s="89" t="s">
        <v>7161</v>
      </c>
      <c r="D753" s="89">
        <v>5</v>
      </c>
      <c r="E753" s="89">
        <v>1</v>
      </c>
      <c r="F753" s="89" t="s">
        <v>15</v>
      </c>
    </row>
    <row r="754" spans="1:6" x14ac:dyDescent="0.25">
      <c r="A754" s="89" t="s">
        <v>7827</v>
      </c>
      <c r="B754" s="89" t="s">
        <v>7828</v>
      </c>
      <c r="C754" s="89" t="s">
        <v>7829</v>
      </c>
      <c r="D754" s="89">
        <v>1</v>
      </c>
      <c r="E754" s="89">
        <v>1</v>
      </c>
      <c r="F754" s="89" t="s">
        <v>15</v>
      </c>
    </row>
    <row r="755" spans="1:6" x14ac:dyDescent="0.25">
      <c r="A755" s="89" t="s">
        <v>6634</v>
      </c>
      <c r="B755" s="89" t="s">
        <v>6633</v>
      </c>
      <c r="C755" s="89" t="s">
        <v>3101</v>
      </c>
      <c r="D755" s="89">
        <v>5</v>
      </c>
      <c r="E755" s="89">
        <v>1000</v>
      </c>
      <c r="F755" s="89" t="s">
        <v>4650</v>
      </c>
    </row>
    <row r="756" spans="1:6" x14ac:dyDescent="0.25">
      <c r="A756" s="89" t="s">
        <v>5090</v>
      </c>
      <c r="B756" s="89" t="s">
        <v>7830</v>
      </c>
      <c r="C756" s="89" t="s">
        <v>5091</v>
      </c>
      <c r="D756" s="89">
        <v>1</v>
      </c>
      <c r="E756" s="89">
        <v>1</v>
      </c>
      <c r="F756" s="89" t="s">
        <v>15</v>
      </c>
    </row>
    <row r="757" spans="1:6" x14ac:dyDescent="0.25">
      <c r="A757" s="89" t="s">
        <v>6498</v>
      </c>
      <c r="B757" s="89" t="s">
        <v>6497</v>
      </c>
      <c r="C757" s="89" t="s">
        <v>1051</v>
      </c>
      <c r="D757" s="89">
        <v>5</v>
      </c>
      <c r="E757" s="89">
        <v>1000</v>
      </c>
      <c r="F757" s="89" t="s">
        <v>15</v>
      </c>
    </row>
    <row r="758" spans="1:6" x14ac:dyDescent="0.25">
      <c r="A758" s="89" t="s">
        <v>6652</v>
      </c>
      <c r="B758" s="89" t="s">
        <v>6651</v>
      </c>
      <c r="C758" s="89" t="s">
        <v>6650</v>
      </c>
      <c r="D758" s="89">
        <v>5</v>
      </c>
      <c r="E758" s="89">
        <v>1</v>
      </c>
      <c r="F758" s="89" t="s">
        <v>15</v>
      </c>
    </row>
    <row r="759" spans="1:6" x14ac:dyDescent="0.25">
      <c r="A759" s="89" t="s">
        <v>7831</v>
      </c>
      <c r="B759" s="89" t="s">
        <v>7832</v>
      </c>
      <c r="C759" s="89" t="s">
        <v>7833</v>
      </c>
      <c r="D759" s="89">
        <v>1</v>
      </c>
      <c r="E759" s="89">
        <v>1</v>
      </c>
      <c r="F759" s="89" t="s">
        <v>15</v>
      </c>
    </row>
    <row r="760" spans="1:6" x14ac:dyDescent="0.25">
      <c r="A760" s="89" t="s">
        <v>7834</v>
      </c>
      <c r="B760" s="89" t="s">
        <v>7835</v>
      </c>
      <c r="C760" s="89" t="s">
        <v>7836</v>
      </c>
      <c r="D760" s="89">
        <v>1</v>
      </c>
      <c r="E760" s="89">
        <v>1</v>
      </c>
      <c r="F760" s="89" t="s">
        <v>7749</v>
      </c>
    </row>
    <row r="761" spans="1:6" x14ac:dyDescent="0.25">
      <c r="A761" s="89" t="s">
        <v>4896</v>
      </c>
      <c r="B761" s="89" t="s">
        <v>7837</v>
      </c>
      <c r="C761" s="89" t="s">
        <v>4897</v>
      </c>
      <c r="D761" s="89">
        <v>1</v>
      </c>
      <c r="E761" s="89">
        <v>1</v>
      </c>
      <c r="F761" s="89" t="s">
        <v>15</v>
      </c>
    </row>
    <row r="762" spans="1:6" x14ac:dyDescent="0.25">
      <c r="A762" s="89" t="s">
        <v>7838</v>
      </c>
      <c r="B762" s="89" t="s">
        <v>7839</v>
      </c>
      <c r="C762" s="89" t="s">
        <v>7840</v>
      </c>
      <c r="D762" s="89">
        <v>1</v>
      </c>
      <c r="E762" s="89">
        <v>1</v>
      </c>
      <c r="F762" s="89" t="s">
        <v>15</v>
      </c>
    </row>
    <row r="763" spans="1:6" x14ac:dyDescent="0.25">
      <c r="A763" s="89" t="s">
        <v>5275</v>
      </c>
      <c r="B763" s="89" t="s">
        <v>6769</v>
      </c>
      <c r="C763" s="89" t="s">
        <v>5276</v>
      </c>
      <c r="D763" s="89">
        <v>5</v>
      </c>
      <c r="E763" s="89">
        <v>1</v>
      </c>
      <c r="F763" s="89" t="s">
        <v>15</v>
      </c>
    </row>
    <row r="764" spans="1:6" x14ac:dyDescent="0.25">
      <c r="A764" s="89" t="s">
        <v>7841</v>
      </c>
      <c r="B764" s="89" t="s">
        <v>7842</v>
      </c>
      <c r="C764" s="89" t="s">
        <v>7842</v>
      </c>
      <c r="D764" s="89">
        <v>15</v>
      </c>
      <c r="E764" s="89">
        <v>1</v>
      </c>
      <c r="F764" s="89" t="s">
        <v>4650</v>
      </c>
    </row>
    <row r="765" spans="1:6" x14ac:dyDescent="0.25">
      <c r="A765" s="89" t="s">
        <v>7054</v>
      </c>
      <c r="B765" s="89" t="s">
        <v>7053</v>
      </c>
      <c r="C765" s="89" t="s">
        <v>7052</v>
      </c>
      <c r="D765" s="89">
        <v>5</v>
      </c>
      <c r="E765" s="89">
        <v>1</v>
      </c>
      <c r="F765" s="89" t="s">
        <v>15</v>
      </c>
    </row>
    <row r="766" spans="1:6" x14ac:dyDescent="0.25">
      <c r="A766" s="89" t="s">
        <v>7843</v>
      </c>
      <c r="B766" s="89" t="s">
        <v>7844</v>
      </c>
      <c r="C766" s="89" t="s">
        <v>7845</v>
      </c>
      <c r="D766" s="89">
        <v>1</v>
      </c>
      <c r="E766" s="89">
        <v>1</v>
      </c>
      <c r="F766" s="89" t="s">
        <v>4650</v>
      </c>
    </row>
    <row r="767" spans="1:6" x14ac:dyDescent="0.25">
      <c r="A767" s="89" t="s">
        <v>5037</v>
      </c>
      <c r="B767" s="89" t="s">
        <v>6726</v>
      </c>
      <c r="C767" s="89" t="s">
        <v>5038</v>
      </c>
      <c r="D767" s="89">
        <v>5</v>
      </c>
      <c r="E767" s="89">
        <v>1</v>
      </c>
      <c r="F767" s="89" t="s">
        <v>15</v>
      </c>
    </row>
    <row r="768" spans="1:6" x14ac:dyDescent="0.25">
      <c r="A768" s="89" t="s">
        <v>5398</v>
      </c>
      <c r="B768" s="89" t="s">
        <v>7846</v>
      </c>
      <c r="C768" s="89" t="s">
        <v>5399</v>
      </c>
      <c r="D768" s="89">
        <v>1</v>
      </c>
      <c r="E768" s="89">
        <v>1</v>
      </c>
      <c r="F768" s="89" t="s">
        <v>15</v>
      </c>
    </row>
    <row r="769" spans="1:6" x14ac:dyDescent="0.25">
      <c r="A769" s="89" t="s">
        <v>7847</v>
      </c>
      <c r="B769" s="89" t="s">
        <v>7848</v>
      </c>
      <c r="C769" s="89" t="s">
        <v>7849</v>
      </c>
      <c r="D769" s="89">
        <v>1</v>
      </c>
      <c r="E769" s="89">
        <v>1</v>
      </c>
      <c r="F769" s="89" t="s">
        <v>4650</v>
      </c>
    </row>
    <row r="770" spans="1:6" x14ac:dyDescent="0.25">
      <c r="A770" s="89" t="s">
        <v>4982</v>
      </c>
      <c r="B770" s="89" t="s">
        <v>6927</v>
      </c>
      <c r="C770" s="89" t="s">
        <v>4983</v>
      </c>
      <c r="D770" s="89">
        <v>5</v>
      </c>
      <c r="E770" s="89">
        <v>1000</v>
      </c>
      <c r="F770" s="89" t="s">
        <v>4650</v>
      </c>
    </row>
    <row r="771" spans="1:6" x14ac:dyDescent="0.25">
      <c r="A771" s="89" t="s">
        <v>7850</v>
      </c>
      <c r="B771" s="89" t="s">
        <v>7851</v>
      </c>
      <c r="C771" s="89" t="s">
        <v>7852</v>
      </c>
      <c r="D771" s="89">
        <v>1</v>
      </c>
      <c r="E771" s="89">
        <v>1</v>
      </c>
      <c r="F771" s="89" t="s">
        <v>15</v>
      </c>
    </row>
    <row r="772" spans="1:6" x14ac:dyDescent="0.25">
      <c r="A772" s="89" t="s">
        <v>4845</v>
      </c>
      <c r="B772" s="89" t="s">
        <v>6840</v>
      </c>
      <c r="C772" s="89" t="s">
        <v>4846</v>
      </c>
      <c r="D772" s="89">
        <v>5</v>
      </c>
      <c r="E772" s="89">
        <v>1</v>
      </c>
      <c r="F772" s="89" t="s">
        <v>15</v>
      </c>
    </row>
    <row r="773" spans="1:6" x14ac:dyDescent="0.25">
      <c r="A773" s="89" t="s">
        <v>7853</v>
      </c>
      <c r="B773" s="89" t="s">
        <v>7854</v>
      </c>
      <c r="C773" s="89" t="s">
        <v>7855</v>
      </c>
      <c r="D773" s="89">
        <v>1</v>
      </c>
      <c r="E773" s="89">
        <v>1</v>
      </c>
      <c r="F773" s="89" t="s">
        <v>15</v>
      </c>
    </row>
    <row r="774" spans="1:6" x14ac:dyDescent="0.25">
      <c r="A774" s="89" t="s">
        <v>6938</v>
      </c>
      <c r="B774" s="89" t="s">
        <v>6937</v>
      </c>
      <c r="C774" s="89" t="s">
        <v>6936</v>
      </c>
      <c r="D774" s="89">
        <v>5</v>
      </c>
      <c r="E774" s="89">
        <v>1</v>
      </c>
      <c r="F774" s="89" t="s">
        <v>15</v>
      </c>
    </row>
    <row r="775" spans="1:6" x14ac:dyDescent="0.25">
      <c r="A775" s="89" t="s">
        <v>5651</v>
      </c>
      <c r="B775" s="89" t="s">
        <v>6677</v>
      </c>
      <c r="C775" s="89" t="s">
        <v>984</v>
      </c>
      <c r="D775" s="89">
        <v>5</v>
      </c>
      <c r="E775" s="89">
        <v>1000</v>
      </c>
      <c r="F775" s="89" t="s">
        <v>4650</v>
      </c>
    </row>
    <row r="776" spans="1:6" x14ac:dyDescent="0.25">
      <c r="A776" s="89" t="s">
        <v>6388</v>
      </c>
      <c r="B776" s="89" t="s">
        <v>6387</v>
      </c>
      <c r="C776" s="89" t="s">
        <v>6386</v>
      </c>
      <c r="D776" s="89">
        <v>5</v>
      </c>
      <c r="E776" s="89">
        <v>1</v>
      </c>
      <c r="F776" s="89" t="s">
        <v>15</v>
      </c>
    </row>
    <row r="777" spans="1:6" x14ac:dyDescent="0.25">
      <c r="A777" s="89" t="s">
        <v>4994</v>
      </c>
      <c r="B777" s="89" t="s">
        <v>7856</v>
      </c>
      <c r="C777" s="89" t="s">
        <v>4995</v>
      </c>
      <c r="D777" s="89">
        <v>1</v>
      </c>
      <c r="E777" s="89">
        <v>1</v>
      </c>
      <c r="F777" s="89" t="s">
        <v>4690</v>
      </c>
    </row>
    <row r="778" spans="1:6" x14ac:dyDescent="0.25">
      <c r="A778" s="89" t="s">
        <v>4975</v>
      </c>
      <c r="B778" s="89" t="s">
        <v>4712</v>
      </c>
      <c r="C778" s="89" t="s">
        <v>939</v>
      </c>
      <c r="D778" s="89">
        <v>5</v>
      </c>
      <c r="E778" s="89">
        <v>1000</v>
      </c>
      <c r="F778" s="89" t="s">
        <v>4650</v>
      </c>
    </row>
    <row r="779" spans="1:6" x14ac:dyDescent="0.25">
      <c r="A779" s="89" t="s">
        <v>6585</v>
      </c>
      <c r="B779" s="89" t="s">
        <v>6584</v>
      </c>
      <c r="C779" s="89" t="s">
        <v>6583</v>
      </c>
      <c r="D779" s="89">
        <v>5</v>
      </c>
      <c r="E779" s="89">
        <v>1000</v>
      </c>
      <c r="F779" s="89" t="s">
        <v>4650</v>
      </c>
    </row>
    <row r="780" spans="1:6" x14ac:dyDescent="0.25">
      <c r="A780" s="89" t="s">
        <v>6771</v>
      </c>
      <c r="B780" s="89" t="s">
        <v>6770</v>
      </c>
      <c r="C780" s="89" t="s">
        <v>22</v>
      </c>
      <c r="D780" s="89">
        <v>5</v>
      </c>
      <c r="E780" s="89">
        <v>1000</v>
      </c>
      <c r="F780" s="89" t="s">
        <v>4650</v>
      </c>
    </row>
    <row r="781" spans="1:6" x14ac:dyDescent="0.25">
      <c r="A781" s="89" t="s">
        <v>5262</v>
      </c>
      <c r="B781" s="89" t="s">
        <v>6955</v>
      </c>
      <c r="C781" s="89" t="s">
        <v>5263</v>
      </c>
      <c r="D781" s="89">
        <v>5</v>
      </c>
      <c r="E781" s="89">
        <v>1</v>
      </c>
      <c r="F781" s="89" t="s">
        <v>15</v>
      </c>
    </row>
    <row r="782" spans="1:6" x14ac:dyDescent="0.25">
      <c r="A782" s="89" t="s">
        <v>5400</v>
      </c>
      <c r="B782" s="89" t="s">
        <v>7857</v>
      </c>
      <c r="C782" s="89" t="s">
        <v>5401</v>
      </c>
      <c r="D782" s="89">
        <v>1</v>
      </c>
      <c r="E782" s="89">
        <v>1</v>
      </c>
      <c r="F782" s="89" t="s">
        <v>15</v>
      </c>
    </row>
    <row r="783" spans="1:6" x14ac:dyDescent="0.25">
      <c r="A783" s="89" t="s">
        <v>5291</v>
      </c>
      <c r="B783" s="89" t="s">
        <v>6879</v>
      </c>
      <c r="C783" s="89" t="s">
        <v>5292</v>
      </c>
      <c r="D783" s="89">
        <v>5</v>
      </c>
      <c r="E783" s="89">
        <v>1</v>
      </c>
      <c r="F783" s="89" t="s">
        <v>15</v>
      </c>
    </row>
    <row r="784" spans="1:6" x14ac:dyDescent="0.25">
      <c r="A784" s="89" t="s">
        <v>5627</v>
      </c>
      <c r="B784" s="89" t="s">
        <v>7858</v>
      </c>
      <c r="C784" s="89" t="s">
        <v>5628</v>
      </c>
      <c r="D784" s="89">
        <v>1</v>
      </c>
      <c r="E784" s="89">
        <v>1</v>
      </c>
      <c r="F784" s="89" t="s">
        <v>7272</v>
      </c>
    </row>
    <row r="785" spans="1:6" x14ac:dyDescent="0.25">
      <c r="A785" s="89" t="s">
        <v>4965</v>
      </c>
      <c r="B785" s="89" t="s">
        <v>6959</v>
      </c>
      <c r="C785" s="89" t="s">
        <v>4966</v>
      </c>
      <c r="D785" s="89">
        <v>5</v>
      </c>
      <c r="E785" s="89">
        <v>1</v>
      </c>
      <c r="F785" s="89" t="s">
        <v>15</v>
      </c>
    </row>
    <row r="786" spans="1:6" x14ac:dyDescent="0.25">
      <c r="A786" s="89" t="s">
        <v>7859</v>
      </c>
      <c r="B786" s="89" t="s">
        <v>7860</v>
      </c>
      <c r="C786" s="89" t="s">
        <v>7861</v>
      </c>
      <c r="D786" s="89">
        <v>1</v>
      </c>
      <c r="E786" s="89">
        <v>1</v>
      </c>
      <c r="F786" s="89" t="s">
        <v>15</v>
      </c>
    </row>
    <row r="787" spans="1:6" x14ac:dyDescent="0.25">
      <c r="A787" s="89" t="s">
        <v>7862</v>
      </c>
      <c r="B787" s="89" t="s">
        <v>7863</v>
      </c>
      <c r="C787" s="89" t="s">
        <v>7864</v>
      </c>
      <c r="D787" s="89">
        <v>1</v>
      </c>
      <c r="E787" s="89">
        <v>1</v>
      </c>
      <c r="F787" s="89" t="s">
        <v>15</v>
      </c>
    </row>
    <row r="788" spans="1:6" x14ac:dyDescent="0.25">
      <c r="A788" s="89" t="s">
        <v>6904</v>
      </c>
      <c r="B788" s="89" t="s">
        <v>6903</v>
      </c>
      <c r="C788" s="89" t="s">
        <v>6902</v>
      </c>
      <c r="D788" s="89">
        <v>5</v>
      </c>
      <c r="E788" s="89">
        <v>1</v>
      </c>
      <c r="F788" s="89" t="s">
        <v>15</v>
      </c>
    </row>
    <row r="789" spans="1:6" x14ac:dyDescent="0.25">
      <c r="A789" s="89" t="s">
        <v>6821</v>
      </c>
      <c r="B789" s="89" t="s">
        <v>6820</v>
      </c>
      <c r="C789" s="89" t="s">
        <v>6819</v>
      </c>
      <c r="D789" s="89">
        <v>5</v>
      </c>
      <c r="E789" s="89">
        <v>1</v>
      </c>
      <c r="F789" s="89" t="s">
        <v>4650</v>
      </c>
    </row>
    <row r="790" spans="1:6" x14ac:dyDescent="0.25">
      <c r="A790" s="89" t="s">
        <v>5546</v>
      </c>
      <c r="B790" s="89" t="s">
        <v>6512</v>
      </c>
      <c r="C790" s="89" t="s">
        <v>5547</v>
      </c>
      <c r="D790" s="89">
        <v>5</v>
      </c>
      <c r="E790" s="89">
        <v>1</v>
      </c>
      <c r="F790" s="89" t="s">
        <v>7272</v>
      </c>
    </row>
    <row r="791" spans="1:6" x14ac:dyDescent="0.25">
      <c r="A791" s="89" t="s">
        <v>6359</v>
      </c>
      <c r="B791" s="89" t="s">
        <v>6358</v>
      </c>
      <c r="C791" s="89" t="s">
        <v>6357</v>
      </c>
      <c r="D791" s="89">
        <v>5</v>
      </c>
      <c r="E791" s="89">
        <v>1</v>
      </c>
      <c r="F791" s="89" t="s">
        <v>15</v>
      </c>
    </row>
    <row r="792" spans="1:6" x14ac:dyDescent="0.25">
      <c r="A792" s="89" t="s">
        <v>7865</v>
      </c>
      <c r="B792" s="89" t="s">
        <v>7866</v>
      </c>
      <c r="C792" s="89" t="s">
        <v>7867</v>
      </c>
      <c r="D792" s="89">
        <v>1</v>
      </c>
      <c r="E792" s="89">
        <v>1</v>
      </c>
      <c r="F792" s="89" t="s">
        <v>15</v>
      </c>
    </row>
    <row r="793" spans="1:6" x14ac:dyDescent="0.25">
      <c r="A793" s="89" t="s">
        <v>5300</v>
      </c>
      <c r="B793" s="89" t="s">
        <v>6415</v>
      </c>
      <c r="C793" s="89" t="s">
        <v>5301</v>
      </c>
      <c r="D793" s="89">
        <v>5</v>
      </c>
      <c r="E793" s="89">
        <v>1</v>
      </c>
      <c r="F793" s="89" t="s">
        <v>7272</v>
      </c>
    </row>
    <row r="794" spans="1:6" x14ac:dyDescent="0.25">
      <c r="A794" s="89" t="s">
        <v>6379</v>
      </c>
      <c r="B794" s="89" t="s">
        <v>6378</v>
      </c>
      <c r="C794" s="89" t="s">
        <v>6377</v>
      </c>
      <c r="D794" s="89">
        <v>5</v>
      </c>
      <c r="E794" s="89">
        <v>1</v>
      </c>
      <c r="F794" s="89" t="s">
        <v>15</v>
      </c>
    </row>
    <row r="795" spans="1:6" x14ac:dyDescent="0.25">
      <c r="A795" s="89" t="s">
        <v>7868</v>
      </c>
      <c r="B795" s="89" t="s">
        <v>7869</v>
      </c>
      <c r="C795" s="89" t="s">
        <v>7870</v>
      </c>
      <c r="D795" s="89">
        <v>1</v>
      </c>
      <c r="E795" s="89">
        <v>1</v>
      </c>
      <c r="F795" s="89" t="s">
        <v>15</v>
      </c>
    </row>
    <row r="796" spans="1:6" x14ac:dyDescent="0.25">
      <c r="A796" s="89" t="s">
        <v>5026</v>
      </c>
      <c r="B796" s="89" t="s">
        <v>6822</v>
      </c>
      <c r="C796" s="89" t="s">
        <v>5027</v>
      </c>
      <c r="D796" s="89">
        <v>5</v>
      </c>
      <c r="E796" s="89">
        <v>1</v>
      </c>
      <c r="F796" s="89" t="s">
        <v>15</v>
      </c>
    </row>
    <row r="797" spans="1:6" x14ac:dyDescent="0.25">
      <c r="A797" s="89" t="s">
        <v>5248</v>
      </c>
      <c r="B797" s="89" t="s">
        <v>6682</v>
      </c>
      <c r="C797" s="89" t="s">
        <v>5249</v>
      </c>
      <c r="D797" s="89">
        <v>5</v>
      </c>
      <c r="E797" s="89">
        <v>1</v>
      </c>
      <c r="F797" s="89" t="s">
        <v>15</v>
      </c>
    </row>
    <row r="798" spans="1:6" x14ac:dyDescent="0.25">
      <c r="A798" s="89" t="s">
        <v>6846</v>
      </c>
      <c r="B798" s="89" t="s">
        <v>6845</v>
      </c>
      <c r="C798" s="89" t="s">
        <v>6844</v>
      </c>
      <c r="D798" s="89">
        <v>5</v>
      </c>
      <c r="E798" s="89">
        <v>1</v>
      </c>
      <c r="F798" s="89" t="s">
        <v>15</v>
      </c>
    </row>
    <row r="799" spans="1:6" x14ac:dyDescent="0.25">
      <c r="A799" s="89" t="s">
        <v>6695</v>
      </c>
      <c r="B799" s="89" t="s">
        <v>6694</v>
      </c>
      <c r="C799" s="89" t="s">
        <v>6693</v>
      </c>
      <c r="D799" s="89">
        <v>5</v>
      </c>
      <c r="E799" s="89">
        <v>1</v>
      </c>
      <c r="F799" s="89" t="s">
        <v>4650</v>
      </c>
    </row>
    <row r="800" spans="1:6" x14ac:dyDescent="0.25">
      <c r="A800" s="89" t="s">
        <v>5564</v>
      </c>
      <c r="B800" s="89" t="s">
        <v>7023</v>
      </c>
      <c r="C800" s="89" t="s">
        <v>3260</v>
      </c>
      <c r="D800" s="89">
        <v>5</v>
      </c>
      <c r="E800" s="89">
        <v>1000</v>
      </c>
      <c r="F800" s="89" t="s">
        <v>15</v>
      </c>
    </row>
    <row r="801" spans="1:6" x14ac:dyDescent="0.25">
      <c r="A801" s="89" t="s">
        <v>7871</v>
      </c>
      <c r="B801" s="89" t="s">
        <v>7872</v>
      </c>
      <c r="C801" s="89" t="s">
        <v>7872</v>
      </c>
      <c r="D801" s="89">
        <v>15</v>
      </c>
      <c r="E801" s="89">
        <v>1</v>
      </c>
      <c r="F801" s="89" t="s">
        <v>4650</v>
      </c>
    </row>
    <row r="802" spans="1:6" x14ac:dyDescent="0.25">
      <c r="A802" s="89" t="s">
        <v>7034</v>
      </c>
      <c r="B802" s="89" t="s">
        <v>7033</v>
      </c>
      <c r="C802" s="89" t="s">
        <v>1059</v>
      </c>
      <c r="D802" s="89">
        <v>5</v>
      </c>
      <c r="E802" s="89">
        <v>1</v>
      </c>
      <c r="F802" s="89" t="s">
        <v>15</v>
      </c>
    </row>
    <row r="803" spans="1:6" x14ac:dyDescent="0.25">
      <c r="A803" s="89" t="s">
        <v>7109</v>
      </c>
      <c r="B803" s="89" t="s">
        <v>7108</v>
      </c>
      <c r="C803" s="89" t="s">
        <v>7107</v>
      </c>
      <c r="D803" s="89">
        <v>5</v>
      </c>
      <c r="E803" s="89">
        <v>1</v>
      </c>
      <c r="F803" s="89" t="s">
        <v>7749</v>
      </c>
    </row>
    <row r="804" spans="1:6" x14ac:dyDescent="0.25">
      <c r="A804" s="89" t="s">
        <v>5074</v>
      </c>
      <c r="B804" s="89" t="s">
        <v>7873</v>
      </c>
      <c r="C804" s="89" t="s">
        <v>5075</v>
      </c>
      <c r="D804" s="89">
        <v>1</v>
      </c>
      <c r="E804" s="89">
        <v>1</v>
      </c>
      <c r="F804" s="89" t="s">
        <v>7749</v>
      </c>
    </row>
    <row r="805" spans="1:6" x14ac:dyDescent="0.25">
      <c r="A805" s="89" t="s">
        <v>6442</v>
      </c>
      <c r="B805" s="89" t="s">
        <v>6441</v>
      </c>
      <c r="C805" s="89" t="s">
        <v>1619</v>
      </c>
      <c r="D805" s="89">
        <v>5</v>
      </c>
      <c r="E805" s="89">
        <v>1000</v>
      </c>
      <c r="F805" s="89" t="s">
        <v>4650</v>
      </c>
    </row>
    <row r="806" spans="1:6" x14ac:dyDescent="0.25">
      <c r="A806" s="89" t="s">
        <v>5447</v>
      </c>
      <c r="B806" s="89" t="s">
        <v>6603</v>
      </c>
      <c r="C806" s="89" t="s">
        <v>5448</v>
      </c>
      <c r="D806" s="89">
        <v>5</v>
      </c>
      <c r="E806" s="89">
        <v>1</v>
      </c>
      <c r="F806" s="89" t="s">
        <v>15</v>
      </c>
    </row>
    <row r="807" spans="1:6" x14ac:dyDescent="0.25">
      <c r="A807" s="89" t="s">
        <v>7874</v>
      </c>
      <c r="B807" s="89" t="s">
        <v>7875</v>
      </c>
      <c r="C807" s="89" t="s">
        <v>7876</v>
      </c>
      <c r="D807" s="89">
        <v>1</v>
      </c>
      <c r="E807" s="89">
        <v>1</v>
      </c>
      <c r="F807" s="89" t="s">
        <v>15</v>
      </c>
    </row>
    <row r="808" spans="1:6" x14ac:dyDescent="0.25">
      <c r="A808" s="89" t="s">
        <v>4805</v>
      </c>
      <c r="B808" s="89" t="s">
        <v>4738</v>
      </c>
      <c r="C808" s="89" t="s">
        <v>31</v>
      </c>
      <c r="D808" s="89">
        <v>5</v>
      </c>
      <c r="E808" s="89">
        <v>1</v>
      </c>
      <c r="F808" s="89" t="s">
        <v>15</v>
      </c>
    </row>
    <row r="809" spans="1:6" x14ac:dyDescent="0.25">
      <c r="A809" s="89" t="s">
        <v>5264</v>
      </c>
      <c r="B809" s="89" t="s">
        <v>7877</v>
      </c>
      <c r="C809" s="89" t="s">
        <v>5265</v>
      </c>
      <c r="D809" s="89">
        <v>1</v>
      </c>
      <c r="E809" s="89">
        <v>1</v>
      </c>
      <c r="F809" s="89" t="s">
        <v>15</v>
      </c>
    </row>
    <row r="810" spans="1:6" x14ac:dyDescent="0.25">
      <c r="A810" s="89" t="s">
        <v>7878</v>
      </c>
      <c r="B810" s="89" t="s">
        <v>7879</v>
      </c>
      <c r="C810" s="89" t="s">
        <v>7880</v>
      </c>
      <c r="D810" s="89">
        <v>1</v>
      </c>
      <c r="E810" s="89">
        <v>1</v>
      </c>
      <c r="F810" s="89" t="s">
        <v>15</v>
      </c>
    </row>
    <row r="811" spans="1:6" x14ac:dyDescent="0.25">
      <c r="A811" s="89" t="s">
        <v>7071</v>
      </c>
      <c r="B811" s="89" t="s">
        <v>7070</v>
      </c>
      <c r="C811" s="89" t="s">
        <v>2357</v>
      </c>
      <c r="D811" s="89">
        <v>5</v>
      </c>
      <c r="E811" s="89">
        <v>1000</v>
      </c>
      <c r="F811" s="89" t="s">
        <v>4650</v>
      </c>
    </row>
    <row r="812" spans="1:6" x14ac:dyDescent="0.25">
      <c r="A812" s="89" t="s">
        <v>7881</v>
      </c>
      <c r="B812" s="89" t="s">
        <v>7882</v>
      </c>
      <c r="C812" s="89" t="s">
        <v>7882</v>
      </c>
      <c r="D812" s="89">
        <v>15</v>
      </c>
      <c r="E812" s="89">
        <v>10</v>
      </c>
      <c r="F812" s="89" t="s">
        <v>4650</v>
      </c>
    </row>
    <row r="813" spans="1:6" x14ac:dyDescent="0.25">
      <c r="A813" s="89" t="s">
        <v>5207</v>
      </c>
      <c r="B813" s="89" t="s">
        <v>7077</v>
      </c>
      <c r="C813" s="89" t="s">
        <v>5208</v>
      </c>
      <c r="D813" s="89">
        <v>5</v>
      </c>
      <c r="E813" s="89">
        <v>200000</v>
      </c>
      <c r="F813" s="89" t="s">
        <v>15</v>
      </c>
    </row>
    <row r="814" spans="1:6" x14ac:dyDescent="0.25">
      <c r="A814" s="89" t="s">
        <v>7883</v>
      </c>
      <c r="B814" s="89" t="s">
        <v>7884</v>
      </c>
      <c r="C814" s="89" t="s">
        <v>7885</v>
      </c>
      <c r="D814" s="89">
        <v>1</v>
      </c>
      <c r="E814" s="89">
        <v>1</v>
      </c>
      <c r="F814" s="89" t="s">
        <v>15</v>
      </c>
    </row>
    <row r="815" spans="1:6" x14ac:dyDescent="0.25">
      <c r="A815" s="89" t="s">
        <v>5110</v>
      </c>
      <c r="B815" s="89" t="s">
        <v>6635</v>
      </c>
      <c r="C815" s="89" t="s">
        <v>3989</v>
      </c>
      <c r="D815" s="89">
        <v>5</v>
      </c>
      <c r="E815" s="89">
        <v>1000</v>
      </c>
      <c r="F815" s="89" t="s">
        <v>4650</v>
      </c>
    </row>
    <row r="816" spans="1:6" x14ac:dyDescent="0.25">
      <c r="A816" s="89" t="s">
        <v>7886</v>
      </c>
      <c r="B816" s="89" t="s">
        <v>7887</v>
      </c>
      <c r="C816" s="89" t="s">
        <v>7888</v>
      </c>
      <c r="D816" s="89">
        <v>1</v>
      </c>
      <c r="E816" s="89">
        <v>1</v>
      </c>
      <c r="F816" s="89" t="s">
        <v>15</v>
      </c>
    </row>
    <row r="817" spans="1:6" x14ac:dyDescent="0.25">
      <c r="A817" s="89" t="s">
        <v>5507</v>
      </c>
      <c r="B817" s="89" t="s">
        <v>6499</v>
      </c>
      <c r="C817" s="89" t="s">
        <v>5508</v>
      </c>
      <c r="D817" s="89">
        <v>5</v>
      </c>
      <c r="E817" s="89">
        <v>1000</v>
      </c>
      <c r="F817" s="89" t="s">
        <v>4650</v>
      </c>
    </row>
    <row r="818" spans="1:6" x14ac:dyDescent="0.25">
      <c r="A818" s="89" t="s">
        <v>6684</v>
      </c>
      <c r="B818" s="89" t="s">
        <v>6683</v>
      </c>
      <c r="C818" s="89" t="s">
        <v>3176</v>
      </c>
      <c r="D818" s="89">
        <v>5</v>
      </c>
      <c r="E818" s="89">
        <v>1000</v>
      </c>
      <c r="F818" s="89" t="s">
        <v>4650</v>
      </c>
    </row>
    <row r="819" spans="1:6" x14ac:dyDescent="0.25">
      <c r="A819" s="89" t="s">
        <v>6376</v>
      </c>
      <c r="B819" s="89" t="s">
        <v>6375</v>
      </c>
      <c r="C819" s="89" t="s">
        <v>4097</v>
      </c>
      <c r="D819" s="89">
        <v>5</v>
      </c>
      <c r="E819" s="89">
        <v>1000</v>
      </c>
      <c r="F819" s="89" t="s">
        <v>4650</v>
      </c>
    </row>
    <row r="820" spans="1:6" x14ac:dyDescent="0.25">
      <c r="A820" s="89" t="s">
        <v>6581</v>
      </c>
      <c r="B820" s="89" t="s">
        <v>6580</v>
      </c>
      <c r="C820" s="89" t="s">
        <v>6579</v>
      </c>
      <c r="D820" s="89">
        <v>5</v>
      </c>
      <c r="E820" s="89">
        <v>1</v>
      </c>
      <c r="F820" s="89" t="s">
        <v>15</v>
      </c>
    </row>
    <row r="821" spans="1:6" x14ac:dyDescent="0.25">
      <c r="A821" s="89" t="s">
        <v>6374</v>
      </c>
      <c r="B821" s="89" t="s">
        <v>6373</v>
      </c>
      <c r="C821" s="89" t="s">
        <v>6372</v>
      </c>
      <c r="D821" s="89">
        <v>5</v>
      </c>
      <c r="E821" s="89">
        <v>1</v>
      </c>
      <c r="F821" s="89" t="s">
        <v>15</v>
      </c>
    </row>
    <row r="822" spans="1:6" x14ac:dyDescent="0.25">
      <c r="A822" s="89" t="s">
        <v>6511</v>
      </c>
      <c r="B822" s="89" t="s">
        <v>6510</v>
      </c>
      <c r="C822" s="89" t="s">
        <v>6509</v>
      </c>
      <c r="D822" s="89">
        <v>5</v>
      </c>
      <c r="E822" s="89">
        <v>1</v>
      </c>
      <c r="F822" s="89" t="s">
        <v>15</v>
      </c>
    </row>
    <row r="823" spans="1:6" x14ac:dyDescent="0.25">
      <c r="A823" s="89" t="s">
        <v>5112</v>
      </c>
      <c r="B823" s="89" t="s">
        <v>7889</v>
      </c>
      <c r="C823" s="89" t="s">
        <v>721</v>
      </c>
      <c r="D823" s="89">
        <v>1</v>
      </c>
      <c r="E823" s="89">
        <v>1</v>
      </c>
      <c r="F823" s="89" t="s">
        <v>4650</v>
      </c>
    </row>
    <row r="824" spans="1:6" x14ac:dyDescent="0.25">
      <c r="A824" s="89" t="s">
        <v>6624</v>
      </c>
      <c r="B824" s="89" t="s">
        <v>6623</v>
      </c>
      <c r="C824" s="89" t="s">
        <v>6622</v>
      </c>
      <c r="D824" s="89">
        <v>5</v>
      </c>
      <c r="E824" s="89">
        <v>1</v>
      </c>
      <c r="F824" s="89" t="s">
        <v>15</v>
      </c>
    </row>
    <row r="825" spans="1:6" x14ac:dyDescent="0.25">
      <c r="A825" s="89" t="s">
        <v>7890</v>
      </c>
      <c r="B825" s="89" t="s">
        <v>7891</v>
      </c>
      <c r="C825" s="89" t="s">
        <v>595</v>
      </c>
      <c r="D825" s="89">
        <v>1</v>
      </c>
      <c r="E825" s="89">
        <v>1</v>
      </c>
      <c r="F825" s="89" t="s">
        <v>4650</v>
      </c>
    </row>
    <row r="826" spans="1:6" x14ac:dyDescent="0.25">
      <c r="A826" s="89" t="s">
        <v>5045</v>
      </c>
      <c r="B826" s="89" t="s">
        <v>6739</v>
      </c>
      <c r="C826" s="89" t="s">
        <v>5046</v>
      </c>
      <c r="D826" s="89">
        <v>5</v>
      </c>
      <c r="E826" s="89">
        <v>1</v>
      </c>
      <c r="F826" s="89" t="s">
        <v>15</v>
      </c>
    </row>
    <row r="827" spans="1:6" x14ac:dyDescent="0.25">
      <c r="A827" s="89" t="s">
        <v>5418</v>
      </c>
      <c r="B827" s="89" t="s">
        <v>7165</v>
      </c>
      <c r="C827" s="89" t="s">
        <v>5419</v>
      </c>
      <c r="D827" s="89">
        <v>5</v>
      </c>
      <c r="E827" s="89">
        <v>1</v>
      </c>
      <c r="F827" s="89" t="s">
        <v>15</v>
      </c>
    </row>
    <row r="828" spans="1:6" x14ac:dyDescent="0.25">
      <c r="A828" s="89" t="s">
        <v>5512</v>
      </c>
      <c r="B828" s="89" t="s">
        <v>7892</v>
      </c>
      <c r="C828" s="89" t="s">
        <v>500</v>
      </c>
      <c r="D828" s="89">
        <v>1</v>
      </c>
      <c r="E828" s="89">
        <v>1</v>
      </c>
      <c r="F828" s="89" t="s">
        <v>4650</v>
      </c>
    </row>
    <row r="829" spans="1:6" x14ac:dyDescent="0.25">
      <c r="A829" s="89" t="s">
        <v>5510</v>
      </c>
      <c r="B829" s="89" t="s">
        <v>6598</v>
      </c>
      <c r="C829" s="89" t="s">
        <v>1589</v>
      </c>
      <c r="D829" s="89">
        <v>5</v>
      </c>
      <c r="E829" s="89">
        <v>1000</v>
      </c>
      <c r="F829" s="89" t="s">
        <v>4650</v>
      </c>
    </row>
    <row r="830" spans="1:6" x14ac:dyDescent="0.25">
      <c r="A830" s="89" t="s">
        <v>7104</v>
      </c>
      <c r="B830" s="89" t="s">
        <v>7103</v>
      </c>
      <c r="C830" s="89" t="s">
        <v>7102</v>
      </c>
      <c r="D830" s="89">
        <v>5</v>
      </c>
      <c r="E830" s="89">
        <v>1000</v>
      </c>
      <c r="F830" s="89" t="s">
        <v>4650</v>
      </c>
    </row>
    <row r="831" spans="1:6" x14ac:dyDescent="0.25">
      <c r="A831" s="89" t="s">
        <v>5105</v>
      </c>
      <c r="B831" s="89" t="s">
        <v>7894</v>
      </c>
      <c r="C831" s="89" t="s">
        <v>553</v>
      </c>
      <c r="D831" s="89">
        <v>1</v>
      </c>
      <c r="E831" s="89">
        <v>1</v>
      </c>
      <c r="F831" s="89" t="s">
        <v>4650</v>
      </c>
    </row>
    <row r="832" spans="1:6" x14ac:dyDescent="0.25">
      <c r="A832" s="89" t="s">
        <v>7893</v>
      </c>
      <c r="B832" s="89" t="s">
        <v>4709</v>
      </c>
      <c r="C832" s="89" t="s">
        <v>4709</v>
      </c>
      <c r="D832" s="89">
        <v>15</v>
      </c>
      <c r="E832" s="89">
        <v>1</v>
      </c>
      <c r="F832" s="89" t="s">
        <v>4650</v>
      </c>
    </row>
    <row r="833" spans="1:6" x14ac:dyDescent="0.25">
      <c r="A833" s="89" t="s">
        <v>7022</v>
      </c>
      <c r="B833" s="89" t="s">
        <v>7021</v>
      </c>
      <c r="C833" s="89" t="s">
        <v>7020</v>
      </c>
      <c r="D833" s="89">
        <v>5</v>
      </c>
      <c r="E833" s="89">
        <v>1</v>
      </c>
      <c r="F833" s="89" t="s">
        <v>15</v>
      </c>
    </row>
    <row r="834" spans="1:6" x14ac:dyDescent="0.25">
      <c r="A834" s="89" t="s">
        <v>6765</v>
      </c>
      <c r="B834" s="89" t="s">
        <v>6764</v>
      </c>
      <c r="C834" s="89" t="s">
        <v>6763</v>
      </c>
      <c r="D834" s="89">
        <v>5</v>
      </c>
      <c r="E834" s="89">
        <v>1</v>
      </c>
      <c r="F834" s="89" t="s">
        <v>15</v>
      </c>
    </row>
    <row r="835" spans="1:6" x14ac:dyDescent="0.25">
      <c r="A835" s="89" t="s">
        <v>6850</v>
      </c>
      <c r="B835" s="89" t="s">
        <v>6849</v>
      </c>
      <c r="C835" s="89" t="s">
        <v>6848</v>
      </c>
      <c r="D835" s="89">
        <v>5</v>
      </c>
      <c r="E835" s="89">
        <v>1</v>
      </c>
      <c r="F835" s="89" t="s">
        <v>15</v>
      </c>
    </row>
    <row r="836" spans="1:6" x14ac:dyDescent="0.25">
      <c r="A836" s="89" t="s">
        <v>5209</v>
      </c>
      <c r="B836" s="89" t="s">
        <v>6702</v>
      </c>
      <c r="C836" s="89" t="s">
        <v>5210</v>
      </c>
      <c r="D836" s="89">
        <v>5</v>
      </c>
      <c r="E836" s="89">
        <v>1</v>
      </c>
      <c r="F836" s="89" t="s">
        <v>15</v>
      </c>
    </row>
    <row r="837" spans="1:6" x14ac:dyDescent="0.25">
      <c r="A837" s="89" t="s">
        <v>6663</v>
      </c>
      <c r="B837" s="89" t="s">
        <v>6662</v>
      </c>
      <c r="C837" s="89" t="s">
        <v>6661</v>
      </c>
      <c r="D837" s="89">
        <v>5</v>
      </c>
      <c r="E837" s="89">
        <v>1</v>
      </c>
      <c r="F837" s="89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3"/>
  <sheetViews>
    <sheetView topLeftCell="A42" workbookViewId="0">
      <selection activeCell="A59" sqref="A59"/>
    </sheetView>
  </sheetViews>
  <sheetFormatPr defaultRowHeight="12.75" x14ac:dyDescent="0.2"/>
  <cols>
    <col min="1" max="1" width="15.42578125" style="87" customWidth="1"/>
    <col min="2" max="2" width="17.140625" style="87" customWidth="1"/>
    <col min="3" max="3" width="79" style="87" customWidth="1"/>
    <col min="4" max="4" width="105.5703125" style="87" customWidth="1"/>
    <col min="5" max="5" width="4.7109375" style="87" customWidth="1"/>
    <col min="6" max="16384" width="9.140625" style="87"/>
  </cols>
  <sheetData>
    <row r="1" spans="1:4" s="84" customFormat="1" ht="24" customHeight="1" x14ac:dyDescent="0.2">
      <c r="A1" s="83" t="s">
        <v>4791</v>
      </c>
      <c r="B1" s="83" t="s">
        <v>20</v>
      </c>
      <c r="C1" s="83" t="s">
        <v>5671</v>
      </c>
      <c r="D1" s="83" t="s">
        <v>5672</v>
      </c>
    </row>
    <row r="2" spans="1:4" s="84" customFormat="1" ht="19.7" customHeight="1" x14ac:dyDescent="0.2">
      <c r="A2" s="85" t="s">
        <v>4973</v>
      </c>
      <c r="B2" s="85" t="s">
        <v>23</v>
      </c>
      <c r="C2" s="85" t="s">
        <v>937</v>
      </c>
      <c r="D2" s="85" t="s">
        <v>5673</v>
      </c>
    </row>
    <row r="3" spans="1:4" s="84" customFormat="1" ht="19.7" customHeight="1" x14ac:dyDescent="0.2">
      <c r="A3" s="86" t="s">
        <v>4975</v>
      </c>
      <c r="B3" s="86" t="s">
        <v>939</v>
      </c>
      <c r="C3" s="86" t="s">
        <v>940</v>
      </c>
      <c r="D3" s="86" t="s">
        <v>5674</v>
      </c>
    </row>
    <row r="4" spans="1:4" s="84" customFormat="1" ht="19.7" customHeight="1" x14ac:dyDescent="0.2">
      <c r="A4" s="85" t="s">
        <v>5192</v>
      </c>
      <c r="B4" s="85" t="s">
        <v>25</v>
      </c>
      <c r="C4" s="85" t="s">
        <v>943</v>
      </c>
      <c r="D4" s="85" t="s">
        <v>5675</v>
      </c>
    </row>
    <row r="5" spans="1:4" s="84" customFormat="1" ht="19.7" customHeight="1" x14ac:dyDescent="0.2">
      <c r="A5" s="86" t="s">
        <v>5066</v>
      </c>
      <c r="B5" s="86" t="s">
        <v>26</v>
      </c>
      <c r="C5" s="86" t="s">
        <v>944</v>
      </c>
      <c r="D5" s="86" t="s">
        <v>5676</v>
      </c>
    </row>
    <row r="6" spans="1:4" s="84" customFormat="1" ht="19.7" customHeight="1" x14ac:dyDescent="0.2">
      <c r="A6" s="85" t="s">
        <v>5493</v>
      </c>
      <c r="B6" s="85" t="s">
        <v>948</v>
      </c>
      <c r="C6" s="85" t="s">
        <v>949</v>
      </c>
      <c r="D6" s="85" t="s">
        <v>5677</v>
      </c>
    </row>
    <row r="7" spans="1:4" s="84" customFormat="1" ht="19.7" customHeight="1" x14ac:dyDescent="0.2">
      <c r="A7" s="86" t="s">
        <v>5639</v>
      </c>
      <c r="B7" s="86" t="s">
        <v>954</v>
      </c>
      <c r="C7" s="86" t="s">
        <v>955</v>
      </c>
      <c r="D7" s="86" t="s">
        <v>5678</v>
      </c>
    </row>
    <row r="8" spans="1:4" s="84" customFormat="1" ht="19.7" customHeight="1" x14ac:dyDescent="0.2">
      <c r="A8" s="85" t="s">
        <v>5331</v>
      </c>
      <c r="B8" s="85" t="s">
        <v>960</v>
      </c>
      <c r="C8" s="85" t="s">
        <v>961</v>
      </c>
      <c r="D8" s="85" t="s">
        <v>5679</v>
      </c>
    </row>
    <row r="9" spans="1:4" s="84" customFormat="1" ht="19.7" customHeight="1" x14ac:dyDescent="0.2">
      <c r="A9" s="86" t="s">
        <v>5195</v>
      </c>
      <c r="B9" s="86" t="s">
        <v>964</v>
      </c>
      <c r="C9" s="86" t="s">
        <v>965</v>
      </c>
      <c r="D9" s="86" t="s">
        <v>5680</v>
      </c>
    </row>
    <row r="10" spans="1:4" s="84" customFormat="1" ht="19.7" customHeight="1" x14ac:dyDescent="0.2">
      <c r="A10" s="85" t="s">
        <v>5332</v>
      </c>
      <c r="B10" s="85" t="s">
        <v>968</v>
      </c>
      <c r="C10" s="85" t="s">
        <v>969</v>
      </c>
      <c r="D10" s="85" t="s">
        <v>5681</v>
      </c>
    </row>
    <row r="11" spans="1:4" s="84" customFormat="1" ht="19.7" customHeight="1" x14ac:dyDescent="0.2">
      <c r="A11" s="86" t="s">
        <v>5617</v>
      </c>
      <c r="B11" s="86" t="s">
        <v>970</v>
      </c>
      <c r="C11" s="86" t="s">
        <v>971</v>
      </c>
      <c r="D11" s="86" t="s">
        <v>5682</v>
      </c>
    </row>
    <row r="12" spans="1:4" s="84" customFormat="1" ht="19.7" customHeight="1" x14ac:dyDescent="0.2">
      <c r="A12" s="85" t="s">
        <v>5072</v>
      </c>
      <c r="B12" s="85" t="s">
        <v>974</v>
      </c>
      <c r="C12" s="85" t="s">
        <v>975</v>
      </c>
      <c r="D12" s="85" t="s">
        <v>5683</v>
      </c>
    </row>
    <row r="13" spans="1:4" s="84" customFormat="1" ht="19.7" customHeight="1" x14ac:dyDescent="0.2">
      <c r="A13" s="86" t="s">
        <v>5009</v>
      </c>
      <c r="B13" s="86" t="s">
        <v>5010</v>
      </c>
      <c r="C13" s="86" t="s">
        <v>5684</v>
      </c>
      <c r="D13" s="86" t="s">
        <v>5685</v>
      </c>
    </row>
    <row r="14" spans="1:4" s="84" customFormat="1" ht="19.7" customHeight="1" x14ac:dyDescent="0.2">
      <c r="A14" s="85" t="s">
        <v>5649</v>
      </c>
      <c r="B14" s="85" t="s">
        <v>976</v>
      </c>
      <c r="C14" s="85" t="s">
        <v>977</v>
      </c>
      <c r="D14" s="85" t="s">
        <v>5686</v>
      </c>
    </row>
    <row r="15" spans="1:4" s="84" customFormat="1" ht="19.7" customHeight="1" x14ac:dyDescent="0.2">
      <c r="A15" s="86" t="s">
        <v>5650</v>
      </c>
      <c r="B15" s="86" t="s">
        <v>982</v>
      </c>
      <c r="C15" s="86" t="s">
        <v>983</v>
      </c>
      <c r="D15" s="86" t="s">
        <v>5687</v>
      </c>
    </row>
    <row r="16" spans="1:4" s="84" customFormat="1" ht="19.7" customHeight="1" x14ac:dyDescent="0.2">
      <c r="A16" s="85" t="s">
        <v>5651</v>
      </c>
      <c r="B16" s="85" t="s">
        <v>984</v>
      </c>
      <c r="C16" s="85" t="s">
        <v>985</v>
      </c>
      <c r="D16" s="85" t="s">
        <v>5688</v>
      </c>
    </row>
    <row r="17" spans="1:4" s="84" customFormat="1" ht="19.7" customHeight="1" x14ac:dyDescent="0.2">
      <c r="A17" s="86" t="s">
        <v>5011</v>
      </c>
      <c r="B17" s="86" t="s">
        <v>24</v>
      </c>
      <c r="C17" s="86" t="s">
        <v>986</v>
      </c>
      <c r="D17" s="86" t="s">
        <v>5689</v>
      </c>
    </row>
    <row r="18" spans="1:4" s="84" customFormat="1" ht="19.7" customHeight="1" x14ac:dyDescent="0.2">
      <c r="A18" s="85" t="s">
        <v>5196</v>
      </c>
      <c r="B18" s="85" t="s">
        <v>987</v>
      </c>
      <c r="C18" s="85" t="s">
        <v>988</v>
      </c>
      <c r="D18" s="85" t="s">
        <v>5690</v>
      </c>
    </row>
    <row r="19" spans="1:4" s="84" customFormat="1" ht="19.7" customHeight="1" x14ac:dyDescent="0.2">
      <c r="A19" s="86" t="s">
        <v>5494</v>
      </c>
      <c r="B19" s="86" t="s">
        <v>1002</v>
      </c>
      <c r="C19" s="86" t="s">
        <v>5691</v>
      </c>
      <c r="D19" s="86" t="s">
        <v>5692</v>
      </c>
    </row>
    <row r="20" spans="1:4" s="84" customFormat="1" ht="19.7" customHeight="1" x14ac:dyDescent="0.2">
      <c r="A20" s="85" t="s">
        <v>5197</v>
      </c>
      <c r="B20" s="85" t="s">
        <v>1004</v>
      </c>
      <c r="C20" s="85" t="s">
        <v>5693</v>
      </c>
      <c r="D20" s="85" t="s">
        <v>5694</v>
      </c>
    </row>
    <row r="21" spans="1:4" s="84" customFormat="1" ht="19.7" customHeight="1" x14ac:dyDescent="0.2">
      <c r="A21" s="86" t="s">
        <v>5495</v>
      </c>
      <c r="B21" s="86" t="s">
        <v>1006</v>
      </c>
      <c r="C21" s="86" t="s">
        <v>5695</v>
      </c>
      <c r="D21" s="86" t="s">
        <v>5696</v>
      </c>
    </row>
    <row r="22" spans="1:4" s="84" customFormat="1" ht="19.7" customHeight="1" x14ac:dyDescent="0.2">
      <c r="A22" s="85" t="s">
        <v>4876</v>
      </c>
      <c r="B22" s="85" t="s">
        <v>45</v>
      </c>
      <c r="C22" s="85" t="s">
        <v>5697</v>
      </c>
      <c r="D22" s="85" t="s">
        <v>5698</v>
      </c>
    </row>
    <row r="23" spans="1:4" s="84" customFormat="1" ht="19.7" customHeight="1" x14ac:dyDescent="0.2">
      <c r="A23" s="86" t="s">
        <v>4798</v>
      </c>
      <c r="B23" s="86" t="s">
        <v>45</v>
      </c>
      <c r="C23" s="86" t="s">
        <v>5697</v>
      </c>
      <c r="D23" s="86" t="s">
        <v>5699</v>
      </c>
    </row>
    <row r="24" spans="1:4" s="84" customFormat="1" ht="19.7" customHeight="1" x14ac:dyDescent="0.2">
      <c r="A24" s="85" t="s">
        <v>5012</v>
      </c>
      <c r="B24" s="85" t="s">
        <v>5013</v>
      </c>
      <c r="C24" s="85" t="s">
        <v>5700</v>
      </c>
      <c r="D24" s="85" t="s">
        <v>5701</v>
      </c>
    </row>
    <row r="25" spans="1:4" s="84" customFormat="1" ht="19.7" customHeight="1" x14ac:dyDescent="0.2">
      <c r="A25" s="86" t="s">
        <v>5423</v>
      </c>
      <c r="B25" s="86" t="s">
        <v>5424</v>
      </c>
      <c r="C25" s="86" t="s">
        <v>5702</v>
      </c>
      <c r="D25" s="86" t="s">
        <v>5702</v>
      </c>
    </row>
    <row r="26" spans="1:4" s="84" customFormat="1" ht="19.7" customHeight="1" x14ac:dyDescent="0.2">
      <c r="A26" s="85" t="s">
        <v>5335</v>
      </c>
      <c r="B26" s="85" t="s">
        <v>5336</v>
      </c>
      <c r="C26" s="85" t="s">
        <v>5703</v>
      </c>
      <c r="D26" s="85" t="s">
        <v>5703</v>
      </c>
    </row>
    <row r="27" spans="1:4" s="84" customFormat="1" ht="19.7" customHeight="1" x14ac:dyDescent="0.2">
      <c r="A27" s="86" t="s">
        <v>4935</v>
      </c>
      <c r="B27" s="86" t="s">
        <v>4936</v>
      </c>
      <c r="C27" s="86" t="s">
        <v>5704</v>
      </c>
      <c r="D27" s="86" t="s">
        <v>5704</v>
      </c>
    </row>
    <row r="28" spans="1:4" s="84" customFormat="1" ht="19.7" customHeight="1" x14ac:dyDescent="0.2">
      <c r="A28" s="85" t="s">
        <v>4919</v>
      </c>
      <c r="B28" s="85" t="s">
        <v>694</v>
      </c>
      <c r="C28" s="85" t="s">
        <v>5705</v>
      </c>
      <c r="D28" s="85" t="s">
        <v>5706</v>
      </c>
    </row>
    <row r="29" spans="1:4" s="84" customFormat="1" ht="19.7" customHeight="1" x14ac:dyDescent="0.2">
      <c r="A29" s="86" t="s">
        <v>5463</v>
      </c>
      <c r="B29" s="86" t="s">
        <v>4782</v>
      </c>
      <c r="C29" s="86" t="s">
        <v>5707</v>
      </c>
      <c r="D29" s="86" t="s">
        <v>5708</v>
      </c>
    </row>
    <row r="30" spans="1:4" s="84" customFormat="1" ht="19.7" customHeight="1" x14ac:dyDescent="0.2">
      <c r="A30" s="85" t="s">
        <v>4955</v>
      </c>
      <c r="B30" s="85" t="s">
        <v>126</v>
      </c>
      <c r="C30" s="85" t="s">
        <v>5709</v>
      </c>
      <c r="D30" s="85" t="s">
        <v>5710</v>
      </c>
    </row>
    <row r="31" spans="1:4" s="84" customFormat="1" ht="19.7" customHeight="1" x14ac:dyDescent="0.2">
      <c r="A31" s="86" t="s">
        <v>4801</v>
      </c>
      <c r="B31" s="86" t="s">
        <v>4802</v>
      </c>
      <c r="C31" s="86" t="s">
        <v>5711</v>
      </c>
      <c r="D31" s="86" t="s">
        <v>5712</v>
      </c>
    </row>
    <row r="32" spans="1:4" s="84" customFormat="1" ht="19.7" customHeight="1" x14ac:dyDescent="0.2">
      <c r="A32" s="85" t="s">
        <v>4803</v>
      </c>
      <c r="B32" s="85" t="s">
        <v>39</v>
      </c>
      <c r="C32" s="85" t="s">
        <v>5713</v>
      </c>
      <c r="D32" s="85" t="s">
        <v>5713</v>
      </c>
    </row>
    <row r="33" spans="1:4" s="84" customFormat="1" ht="19.7" customHeight="1" x14ac:dyDescent="0.2">
      <c r="A33" s="86" t="s">
        <v>4976</v>
      </c>
      <c r="B33" s="86" t="s">
        <v>4977</v>
      </c>
      <c r="C33" s="86" t="s">
        <v>5714</v>
      </c>
      <c r="D33" s="86" t="s">
        <v>5715</v>
      </c>
    </row>
    <row r="34" spans="1:4" s="84" customFormat="1" ht="19.7" customHeight="1" x14ac:dyDescent="0.2">
      <c r="A34" s="85" t="s">
        <v>5198</v>
      </c>
      <c r="B34" s="85" t="s">
        <v>27</v>
      </c>
      <c r="C34" s="85" t="s">
        <v>5716</v>
      </c>
      <c r="D34" s="85" t="s">
        <v>5717</v>
      </c>
    </row>
    <row r="35" spans="1:4" s="84" customFormat="1" ht="19.7" customHeight="1" x14ac:dyDescent="0.2">
      <c r="A35" s="86" t="s">
        <v>5203</v>
      </c>
      <c r="B35" s="86" t="s">
        <v>5204</v>
      </c>
      <c r="C35" s="86" t="s">
        <v>5718</v>
      </c>
      <c r="D35" s="86" t="s">
        <v>5719</v>
      </c>
    </row>
    <row r="36" spans="1:4" s="84" customFormat="1" ht="19.7" customHeight="1" x14ac:dyDescent="0.2">
      <c r="A36" s="85" t="s">
        <v>5246</v>
      </c>
      <c r="B36" s="85" t="s">
        <v>5247</v>
      </c>
      <c r="C36" s="85" t="s">
        <v>5720</v>
      </c>
      <c r="D36" s="85" t="s">
        <v>5721</v>
      </c>
    </row>
    <row r="37" spans="1:4" s="84" customFormat="1" ht="19.7" customHeight="1" x14ac:dyDescent="0.2">
      <c r="A37" s="86" t="s">
        <v>5248</v>
      </c>
      <c r="B37" s="86" t="s">
        <v>5249</v>
      </c>
      <c r="C37" s="86" t="s">
        <v>5722</v>
      </c>
      <c r="D37" s="86" t="s">
        <v>5723</v>
      </c>
    </row>
    <row r="38" spans="1:4" s="84" customFormat="1" ht="19.7" customHeight="1" x14ac:dyDescent="0.2">
      <c r="A38" s="85" t="s">
        <v>4866</v>
      </c>
      <c r="B38" s="85" t="s">
        <v>99</v>
      </c>
      <c r="C38" s="85" t="s">
        <v>5724</v>
      </c>
      <c r="D38" s="85" t="s">
        <v>5725</v>
      </c>
    </row>
    <row r="39" spans="1:4" s="84" customFormat="1" ht="19.7" customHeight="1" x14ac:dyDescent="0.2">
      <c r="A39" s="86" t="s">
        <v>4920</v>
      </c>
      <c r="B39" s="86" t="s">
        <v>4921</v>
      </c>
      <c r="C39" s="86" t="s">
        <v>5726</v>
      </c>
      <c r="D39" s="86" t="s">
        <v>5726</v>
      </c>
    </row>
    <row r="40" spans="1:4" s="84" customFormat="1" ht="19.7" customHeight="1" x14ac:dyDescent="0.2">
      <c r="A40" s="85" t="s">
        <v>5134</v>
      </c>
      <c r="B40" s="85" t="s">
        <v>5135</v>
      </c>
      <c r="C40" s="85" t="s">
        <v>5727</v>
      </c>
      <c r="D40" s="85" t="s">
        <v>5727</v>
      </c>
    </row>
    <row r="41" spans="1:4" s="84" customFormat="1" ht="19.7" customHeight="1" x14ac:dyDescent="0.2">
      <c r="A41" s="86" t="s">
        <v>5328</v>
      </c>
      <c r="B41" s="86" t="s">
        <v>5329</v>
      </c>
      <c r="C41" s="86" t="s">
        <v>5728</v>
      </c>
      <c r="D41" s="86" t="s">
        <v>5728</v>
      </c>
    </row>
    <row r="42" spans="1:4" s="84" customFormat="1" ht="19.7" customHeight="1" x14ac:dyDescent="0.2">
      <c r="A42" s="85" t="s">
        <v>5136</v>
      </c>
      <c r="B42" s="85" t="s">
        <v>5137</v>
      </c>
      <c r="C42" s="85" t="s">
        <v>5729</v>
      </c>
      <c r="D42" s="85" t="s">
        <v>5729</v>
      </c>
    </row>
    <row r="43" spans="1:4" s="84" customFormat="1" ht="19.7" customHeight="1" x14ac:dyDescent="0.2">
      <c r="A43" s="86" t="s">
        <v>5221</v>
      </c>
      <c r="B43" s="86" t="s">
        <v>5222</v>
      </c>
      <c r="C43" s="86" t="s">
        <v>5730</v>
      </c>
      <c r="D43" s="86" t="s">
        <v>5731</v>
      </c>
    </row>
    <row r="44" spans="1:4" s="84" customFormat="1" ht="19.7" customHeight="1" x14ac:dyDescent="0.2">
      <c r="A44" s="85" t="s">
        <v>5374</v>
      </c>
      <c r="B44" s="85" t="s">
        <v>5375</v>
      </c>
      <c r="C44" s="85" t="s">
        <v>5732</v>
      </c>
      <c r="D44" s="85" t="s">
        <v>5732</v>
      </c>
    </row>
    <row r="45" spans="1:4" s="84" customFormat="1" ht="19.7" customHeight="1" x14ac:dyDescent="0.2">
      <c r="A45" s="86" t="s">
        <v>5240</v>
      </c>
      <c r="B45" s="86" t="s">
        <v>5241</v>
      </c>
      <c r="C45" s="86" t="s">
        <v>5733</v>
      </c>
      <c r="D45" s="86" t="s">
        <v>5733</v>
      </c>
    </row>
    <row r="46" spans="1:4" s="84" customFormat="1" ht="19.7" customHeight="1" x14ac:dyDescent="0.2">
      <c r="A46" s="85" t="s">
        <v>5250</v>
      </c>
      <c r="B46" s="85" t="s">
        <v>5251</v>
      </c>
      <c r="C46" s="85" t="s">
        <v>5734</v>
      </c>
      <c r="D46" s="85" t="s">
        <v>5735</v>
      </c>
    </row>
    <row r="47" spans="1:4" s="84" customFormat="1" ht="19.7" customHeight="1" x14ac:dyDescent="0.2">
      <c r="A47" s="86" t="s">
        <v>5305</v>
      </c>
      <c r="B47" s="86" t="s">
        <v>1364</v>
      </c>
      <c r="C47" s="86" t="s">
        <v>5736</v>
      </c>
      <c r="D47" s="86" t="s">
        <v>5737</v>
      </c>
    </row>
    <row r="48" spans="1:4" s="84" customFormat="1" ht="19.7" customHeight="1" x14ac:dyDescent="0.2">
      <c r="A48" s="85" t="s">
        <v>4895</v>
      </c>
      <c r="B48" s="85" t="s">
        <v>144</v>
      </c>
      <c r="C48" s="85" t="s">
        <v>5738</v>
      </c>
      <c r="D48" s="85" t="s">
        <v>5739</v>
      </c>
    </row>
    <row r="49" spans="1:4" s="84" customFormat="1" ht="19.7" customHeight="1" x14ac:dyDescent="0.2">
      <c r="A49" s="86" t="s">
        <v>4992</v>
      </c>
      <c r="B49" s="86" t="s">
        <v>4993</v>
      </c>
      <c r="C49" s="86" t="s">
        <v>5740</v>
      </c>
      <c r="D49" s="86" t="s">
        <v>5740</v>
      </c>
    </row>
    <row r="50" spans="1:4" s="84" customFormat="1" ht="19.7" customHeight="1" x14ac:dyDescent="0.2">
      <c r="A50" s="85" t="s">
        <v>5180</v>
      </c>
      <c r="B50" s="85" t="s">
        <v>5181</v>
      </c>
      <c r="C50" s="85" t="s">
        <v>5741</v>
      </c>
      <c r="D50" s="85" t="s">
        <v>5742</v>
      </c>
    </row>
    <row r="51" spans="1:4" s="84" customFormat="1" ht="19.7" customHeight="1" x14ac:dyDescent="0.2">
      <c r="A51" s="86" t="s">
        <v>5138</v>
      </c>
      <c r="B51" s="86" t="s">
        <v>5139</v>
      </c>
      <c r="C51" s="86" t="s">
        <v>5743</v>
      </c>
      <c r="D51" s="86" t="s">
        <v>5743</v>
      </c>
    </row>
    <row r="52" spans="1:4" s="84" customFormat="1" ht="19.7" customHeight="1" x14ac:dyDescent="0.2">
      <c r="A52" s="85" t="s">
        <v>5425</v>
      </c>
      <c r="B52" s="85" t="s">
        <v>5426</v>
      </c>
      <c r="C52" s="85" t="s">
        <v>5744</v>
      </c>
      <c r="D52" s="85" t="s">
        <v>5744</v>
      </c>
    </row>
    <row r="53" spans="1:4" s="84" customFormat="1" ht="19.7" customHeight="1" x14ac:dyDescent="0.2">
      <c r="A53" s="86" t="s">
        <v>5550</v>
      </c>
      <c r="B53" s="86" t="s">
        <v>1472</v>
      </c>
      <c r="C53" s="86" t="s">
        <v>5745</v>
      </c>
      <c r="D53" s="86" t="s">
        <v>5746</v>
      </c>
    </row>
    <row r="54" spans="1:4" s="84" customFormat="1" ht="19.7" customHeight="1" x14ac:dyDescent="0.2">
      <c r="A54" s="85" t="s">
        <v>5562</v>
      </c>
      <c r="B54" s="85" t="s">
        <v>1433</v>
      </c>
      <c r="C54" s="85" t="s">
        <v>5747</v>
      </c>
      <c r="D54" s="85" t="s">
        <v>5748</v>
      </c>
    </row>
    <row r="55" spans="1:4" s="84" customFormat="1" ht="19.7" customHeight="1" x14ac:dyDescent="0.2">
      <c r="A55" s="86" t="s">
        <v>5140</v>
      </c>
      <c r="B55" s="86" t="s">
        <v>138</v>
      </c>
      <c r="C55" s="86" t="s">
        <v>5749</v>
      </c>
      <c r="D55" s="86" t="s">
        <v>5750</v>
      </c>
    </row>
    <row r="56" spans="1:4" s="84" customFormat="1" ht="19.7" customHeight="1" x14ac:dyDescent="0.2">
      <c r="A56" s="85" t="s">
        <v>5427</v>
      </c>
      <c r="B56" s="85" t="s">
        <v>5428</v>
      </c>
      <c r="C56" s="85" t="s">
        <v>5751</v>
      </c>
      <c r="D56" s="85" t="s">
        <v>5751</v>
      </c>
    </row>
    <row r="57" spans="1:4" s="84" customFormat="1" ht="19.7" customHeight="1" x14ac:dyDescent="0.2">
      <c r="A57" s="86" t="s">
        <v>5376</v>
      </c>
      <c r="B57" s="86" t="s">
        <v>5377</v>
      </c>
      <c r="C57" s="86" t="s">
        <v>5752</v>
      </c>
      <c r="D57" s="86" t="s">
        <v>5753</v>
      </c>
    </row>
    <row r="58" spans="1:4" s="84" customFormat="1" ht="19.7" customHeight="1" x14ac:dyDescent="0.2">
      <c r="A58" s="85" t="s">
        <v>5313</v>
      </c>
      <c r="B58" s="85" t="s">
        <v>5314</v>
      </c>
      <c r="C58" s="85" t="s">
        <v>5754</v>
      </c>
      <c r="D58" s="85" t="s">
        <v>5755</v>
      </c>
    </row>
    <row r="59" spans="1:4" s="84" customFormat="1" ht="19.7" customHeight="1" x14ac:dyDescent="0.2">
      <c r="A59" s="86" t="s">
        <v>4827</v>
      </c>
      <c r="B59" s="86" t="s">
        <v>4828</v>
      </c>
      <c r="C59" s="86" t="s">
        <v>5756</v>
      </c>
      <c r="D59" s="86" t="s">
        <v>5757</v>
      </c>
    </row>
    <row r="60" spans="1:4" s="84" customFormat="1" ht="19.7" customHeight="1" x14ac:dyDescent="0.2">
      <c r="A60" s="85" t="s">
        <v>5073</v>
      </c>
      <c r="B60" s="85" t="s">
        <v>129</v>
      </c>
      <c r="C60" s="85" t="s">
        <v>5758</v>
      </c>
      <c r="D60" s="85" t="s">
        <v>5759</v>
      </c>
    </row>
    <row r="61" spans="1:4" s="84" customFormat="1" ht="19.7" customHeight="1" x14ac:dyDescent="0.2">
      <c r="A61" s="86" t="s">
        <v>5484</v>
      </c>
      <c r="B61" s="86" t="s">
        <v>5485</v>
      </c>
      <c r="C61" s="86" t="s">
        <v>5760</v>
      </c>
      <c r="D61" s="86" t="s">
        <v>5760</v>
      </c>
    </row>
    <row r="62" spans="1:4" s="84" customFormat="1" ht="19.7" customHeight="1" x14ac:dyDescent="0.2">
      <c r="A62" s="85" t="s">
        <v>5378</v>
      </c>
      <c r="B62" s="85" t="s">
        <v>5379</v>
      </c>
      <c r="C62" s="85" t="s">
        <v>5761</v>
      </c>
      <c r="D62" s="85" t="s">
        <v>5762</v>
      </c>
    </row>
    <row r="63" spans="1:4" s="84" customFormat="1" ht="19.7" customHeight="1" x14ac:dyDescent="0.2">
      <c r="A63" s="86" t="s">
        <v>5289</v>
      </c>
      <c r="B63" s="86" t="s">
        <v>5290</v>
      </c>
      <c r="C63" s="86" t="s">
        <v>5763</v>
      </c>
      <c r="D63" s="86" t="s">
        <v>5763</v>
      </c>
    </row>
    <row r="64" spans="1:4" s="84" customFormat="1" ht="19.7" customHeight="1" x14ac:dyDescent="0.2">
      <c r="A64" s="85" t="s">
        <v>5563</v>
      </c>
      <c r="B64" s="85" t="s">
        <v>4571</v>
      </c>
      <c r="C64" s="85" t="s">
        <v>5764</v>
      </c>
      <c r="D64" s="85" t="s">
        <v>5765</v>
      </c>
    </row>
    <row r="65" spans="1:4" s="84" customFormat="1" ht="19.7" customHeight="1" x14ac:dyDescent="0.2">
      <c r="A65" s="86" t="s">
        <v>5503</v>
      </c>
      <c r="B65" s="86" t="s">
        <v>679</v>
      </c>
      <c r="C65" s="86" t="s">
        <v>5766</v>
      </c>
      <c r="D65" s="86" t="s">
        <v>5767</v>
      </c>
    </row>
    <row r="66" spans="1:4" s="84" customFormat="1" ht="19.7" customHeight="1" x14ac:dyDescent="0.2">
      <c r="A66" s="85" t="s">
        <v>5380</v>
      </c>
      <c r="B66" s="85" t="s">
        <v>5381</v>
      </c>
      <c r="C66" s="85" t="s">
        <v>5768</v>
      </c>
      <c r="D66" s="85" t="s">
        <v>5768</v>
      </c>
    </row>
    <row r="67" spans="1:4" s="84" customFormat="1" ht="19.7" customHeight="1" x14ac:dyDescent="0.2">
      <c r="A67" s="86" t="s">
        <v>5447</v>
      </c>
      <c r="B67" s="86" t="s">
        <v>5448</v>
      </c>
      <c r="C67" s="86" t="s">
        <v>5769</v>
      </c>
      <c r="D67" s="86" t="s">
        <v>5769</v>
      </c>
    </row>
    <row r="68" spans="1:4" s="84" customFormat="1" ht="19.7" customHeight="1" x14ac:dyDescent="0.2">
      <c r="A68" s="85" t="s">
        <v>5223</v>
      </c>
      <c r="B68" s="85" t="s">
        <v>5224</v>
      </c>
      <c r="C68" s="85" t="s">
        <v>5770</v>
      </c>
      <c r="D68" s="85" t="s">
        <v>5770</v>
      </c>
    </row>
    <row r="69" spans="1:4" s="84" customFormat="1" ht="19.7" customHeight="1" x14ac:dyDescent="0.2">
      <c r="A69" s="86" t="s">
        <v>4896</v>
      </c>
      <c r="B69" s="86" t="s">
        <v>4897</v>
      </c>
      <c r="C69" s="86" t="s">
        <v>5771</v>
      </c>
      <c r="D69" s="86" t="s">
        <v>5771</v>
      </c>
    </row>
    <row r="70" spans="1:4" s="84" customFormat="1" ht="19.7" customHeight="1" x14ac:dyDescent="0.2">
      <c r="A70" s="85" t="s">
        <v>5591</v>
      </c>
      <c r="B70" s="85" t="s">
        <v>5592</v>
      </c>
      <c r="C70" s="85" t="s">
        <v>5772</v>
      </c>
      <c r="D70" s="85" t="s">
        <v>5772</v>
      </c>
    </row>
    <row r="71" spans="1:4" s="84" customFormat="1" ht="19.7" customHeight="1" x14ac:dyDescent="0.2">
      <c r="A71" s="86" t="s">
        <v>5235</v>
      </c>
      <c r="B71" s="86" t="s">
        <v>5236</v>
      </c>
      <c r="C71" s="86" t="s">
        <v>5773</v>
      </c>
      <c r="D71" s="86" t="s">
        <v>5773</v>
      </c>
    </row>
    <row r="72" spans="1:4" s="84" customFormat="1" ht="19.7" customHeight="1" x14ac:dyDescent="0.2">
      <c r="A72" s="85" t="s">
        <v>4877</v>
      </c>
      <c r="B72" s="85" t="s">
        <v>4878</v>
      </c>
      <c r="C72" s="85" t="s">
        <v>5774</v>
      </c>
      <c r="D72" s="85" t="s">
        <v>5775</v>
      </c>
    </row>
    <row r="73" spans="1:4" s="84" customFormat="1" ht="19.7" customHeight="1" x14ac:dyDescent="0.2">
      <c r="A73" s="86" t="s">
        <v>4961</v>
      </c>
      <c r="B73" s="86" t="s">
        <v>4962</v>
      </c>
      <c r="C73" s="86" t="s">
        <v>5776</v>
      </c>
      <c r="D73" s="86" t="s">
        <v>5776</v>
      </c>
    </row>
    <row r="74" spans="1:4" s="84" customFormat="1" ht="19.7" customHeight="1" x14ac:dyDescent="0.2">
      <c r="A74" s="85" t="s">
        <v>5450</v>
      </c>
      <c r="B74" s="85" t="s">
        <v>5451</v>
      </c>
      <c r="C74" s="85" t="s">
        <v>5777</v>
      </c>
      <c r="D74" s="85" t="s">
        <v>5777</v>
      </c>
    </row>
    <row r="75" spans="1:4" s="84" customFormat="1" ht="19.7" customHeight="1" x14ac:dyDescent="0.2">
      <c r="A75" s="86" t="s">
        <v>5271</v>
      </c>
      <c r="B75" s="86" t="s">
        <v>5272</v>
      </c>
      <c r="C75" s="86" t="s">
        <v>5778</v>
      </c>
      <c r="D75" s="86" t="s">
        <v>5779</v>
      </c>
    </row>
    <row r="76" spans="1:4" s="84" customFormat="1" ht="19.7" customHeight="1" x14ac:dyDescent="0.2">
      <c r="A76" s="85" t="s">
        <v>5225</v>
      </c>
      <c r="B76" s="85" t="s">
        <v>5226</v>
      </c>
      <c r="C76" s="85" t="s">
        <v>5780</v>
      </c>
      <c r="D76" s="85" t="s">
        <v>5780</v>
      </c>
    </row>
    <row r="77" spans="1:4" s="84" customFormat="1" ht="19.7" customHeight="1" x14ac:dyDescent="0.2">
      <c r="A77" s="86" t="s">
        <v>5382</v>
      </c>
      <c r="B77" s="86" t="s">
        <v>5383</v>
      </c>
      <c r="C77" s="86" t="s">
        <v>5781</v>
      </c>
      <c r="D77" s="86" t="s">
        <v>5781</v>
      </c>
    </row>
    <row r="78" spans="1:4" s="84" customFormat="1" ht="19.7" customHeight="1" x14ac:dyDescent="0.2">
      <c r="A78" s="85" t="s">
        <v>5031</v>
      </c>
      <c r="B78" s="85" t="s">
        <v>5032</v>
      </c>
      <c r="C78" s="85" t="s">
        <v>5782</v>
      </c>
      <c r="D78" s="85" t="s">
        <v>5782</v>
      </c>
    </row>
    <row r="79" spans="1:4" s="84" customFormat="1" ht="19.7" customHeight="1" x14ac:dyDescent="0.2">
      <c r="A79" s="86" t="s">
        <v>5074</v>
      </c>
      <c r="B79" s="86" t="s">
        <v>5075</v>
      </c>
      <c r="C79" s="86" t="s">
        <v>5783</v>
      </c>
      <c r="D79" s="86" t="s">
        <v>5783</v>
      </c>
    </row>
    <row r="80" spans="1:4" s="84" customFormat="1" ht="19.7" customHeight="1" x14ac:dyDescent="0.2">
      <c r="A80" s="85" t="s">
        <v>5352</v>
      </c>
      <c r="B80" s="85" t="s">
        <v>5353</v>
      </c>
      <c r="C80" s="85" t="s">
        <v>5784</v>
      </c>
      <c r="D80" s="85" t="s">
        <v>5785</v>
      </c>
    </row>
    <row r="81" spans="1:4" s="84" customFormat="1" ht="19.7" customHeight="1" x14ac:dyDescent="0.2">
      <c r="A81" s="86" t="s">
        <v>5252</v>
      </c>
      <c r="B81" s="86" t="s">
        <v>5253</v>
      </c>
      <c r="C81" s="86" t="s">
        <v>5786</v>
      </c>
      <c r="D81" s="86" t="s">
        <v>5787</v>
      </c>
    </row>
    <row r="82" spans="1:4" s="84" customFormat="1" ht="19.7" customHeight="1" x14ac:dyDescent="0.2">
      <c r="A82" s="85" t="s">
        <v>4937</v>
      </c>
      <c r="B82" s="85" t="s">
        <v>4938</v>
      </c>
      <c r="C82" s="85" t="s">
        <v>5788</v>
      </c>
      <c r="D82" s="85" t="s">
        <v>5789</v>
      </c>
    </row>
    <row r="83" spans="1:4" s="84" customFormat="1" ht="19.7" customHeight="1" x14ac:dyDescent="0.2">
      <c r="A83" s="86" t="s">
        <v>5384</v>
      </c>
      <c r="B83" s="86" t="s">
        <v>5385</v>
      </c>
      <c r="C83" s="86" t="s">
        <v>5790</v>
      </c>
      <c r="D83" s="86" t="s">
        <v>5791</v>
      </c>
    </row>
    <row r="84" spans="1:4" s="84" customFormat="1" ht="19.7" customHeight="1" x14ac:dyDescent="0.2">
      <c r="A84" s="85" t="s">
        <v>5635</v>
      </c>
      <c r="B84" s="85" t="s">
        <v>244</v>
      </c>
      <c r="C84" s="85" t="s">
        <v>5792</v>
      </c>
      <c r="D84" s="85" t="s">
        <v>5793</v>
      </c>
    </row>
    <row r="85" spans="1:4" s="84" customFormat="1" ht="19.7" customHeight="1" x14ac:dyDescent="0.2">
      <c r="A85" s="86" t="s">
        <v>4930</v>
      </c>
      <c r="B85" s="86" t="s">
        <v>4931</v>
      </c>
      <c r="C85" s="86" t="s">
        <v>5794</v>
      </c>
      <c r="D85" s="86" t="s">
        <v>5795</v>
      </c>
    </row>
    <row r="86" spans="1:4" s="84" customFormat="1" ht="19.7" customHeight="1" x14ac:dyDescent="0.2">
      <c r="A86" s="85" t="s">
        <v>5386</v>
      </c>
      <c r="B86" s="85" t="s">
        <v>5387</v>
      </c>
      <c r="C86" s="85" t="s">
        <v>5796</v>
      </c>
      <c r="D86" s="85" t="s">
        <v>5796</v>
      </c>
    </row>
    <row r="87" spans="1:4" s="84" customFormat="1" ht="19.7" customHeight="1" x14ac:dyDescent="0.2">
      <c r="A87" s="86" t="s">
        <v>5354</v>
      </c>
      <c r="B87" s="86" t="s">
        <v>5355</v>
      </c>
      <c r="C87" s="86" t="s">
        <v>5797</v>
      </c>
      <c r="D87" s="86" t="s">
        <v>5798</v>
      </c>
    </row>
    <row r="88" spans="1:4" s="84" customFormat="1" ht="19.7" customHeight="1" x14ac:dyDescent="0.2">
      <c r="A88" s="85" t="s">
        <v>5294</v>
      </c>
      <c r="B88" s="85" t="s">
        <v>5295</v>
      </c>
      <c r="C88" s="85" t="s">
        <v>5799</v>
      </c>
      <c r="D88" s="85" t="s">
        <v>5799</v>
      </c>
    </row>
    <row r="89" spans="1:4" s="84" customFormat="1" ht="19.7" customHeight="1" x14ac:dyDescent="0.2">
      <c r="A89" s="86" t="s">
        <v>5345</v>
      </c>
      <c r="B89" s="86" t="s">
        <v>5346</v>
      </c>
      <c r="C89" s="86" t="s">
        <v>5800</v>
      </c>
      <c r="D89" s="86" t="s">
        <v>5800</v>
      </c>
    </row>
    <row r="90" spans="1:4" s="84" customFormat="1" ht="19.7" customHeight="1" x14ac:dyDescent="0.2">
      <c r="A90" s="85" t="s">
        <v>5356</v>
      </c>
      <c r="B90" s="85" t="s">
        <v>5357</v>
      </c>
      <c r="C90" s="85" t="s">
        <v>5801</v>
      </c>
      <c r="D90" s="85" t="s">
        <v>5801</v>
      </c>
    </row>
    <row r="91" spans="1:4" s="84" customFormat="1" ht="19.7" customHeight="1" x14ac:dyDescent="0.2">
      <c r="A91" s="86" t="s">
        <v>5215</v>
      </c>
      <c r="B91" s="86" t="s">
        <v>5216</v>
      </c>
      <c r="C91" s="86" t="s">
        <v>5802</v>
      </c>
      <c r="D91" s="86" t="s">
        <v>5802</v>
      </c>
    </row>
    <row r="92" spans="1:4" s="84" customFormat="1" ht="19.7" customHeight="1" x14ac:dyDescent="0.2">
      <c r="A92" s="85" t="s">
        <v>5472</v>
      </c>
      <c r="B92" s="85" t="s">
        <v>5473</v>
      </c>
      <c r="C92" s="85" t="s">
        <v>5803</v>
      </c>
      <c r="D92" s="85" t="s">
        <v>5803</v>
      </c>
    </row>
    <row r="93" spans="1:4" s="84" customFormat="1" ht="19.7" customHeight="1" x14ac:dyDescent="0.2">
      <c r="A93" s="86" t="s">
        <v>4939</v>
      </c>
      <c r="B93" s="86" t="s">
        <v>4940</v>
      </c>
      <c r="C93" s="86" t="s">
        <v>5804</v>
      </c>
      <c r="D93" s="86" t="s">
        <v>5804</v>
      </c>
    </row>
    <row r="94" spans="1:4" s="84" customFormat="1" ht="19.7" customHeight="1" x14ac:dyDescent="0.2">
      <c r="A94" s="85" t="s">
        <v>5296</v>
      </c>
      <c r="B94" s="85" t="s">
        <v>5297</v>
      </c>
      <c r="C94" s="85" t="s">
        <v>5805</v>
      </c>
      <c r="D94" s="85" t="s">
        <v>5805</v>
      </c>
    </row>
    <row r="95" spans="1:4" s="84" customFormat="1" ht="19.7" customHeight="1" x14ac:dyDescent="0.2">
      <c r="A95" s="86" t="s">
        <v>4836</v>
      </c>
      <c r="B95" s="86" t="s">
        <v>4837</v>
      </c>
      <c r="C95" s="86" t="s">
        <v>5806</v>
      </c>
      <c r="D95" s="86" t="s">
        <v>5806</v>
      </c>
    </row>
    <row r="96" spans="1:4" s="84" customFormat="1" ht="19.7" customHeight="1" x14ac:dyDescent="0.2">
      <c r="A96" s="85" t="s">
        <v>4869</v>
      </c>
      <c r="B96" s="85" t="s">
        <v>4870</v>
      </c>
      <c r="C96" s="85" t="s">
        <v>5807</v>
      </c>
      <c r="D96" s="85" t="s">
        <v>5807</v>
      </c>
    </row>
    <row r="97" spans="1:4" s="84" customFormat="1" ht="19.7" customHeight="1" x14ac:dyDescent="0.2">
      <c r="A97" s="86" t="s">
        <v>5171</v>
      </c>
      <c r="B97" s="86" t="s">
        <v>5172</v>
      </c>
      <c r="C97" s="86" t="s">
        <v>5808</v>
      </c>
      <c r="D97" s="86" t="s">
        <v>5808</v>
      </c>
    </row>
    <row r="98" spans="1:4" s="84" customFormat="1" ht="19.7" customHeight="1" x14ac:dyDescent="0.2">
      <c r="A98" s="85" t="s">
        <v>5337</v>
      </c>
      <c r="B98" s="85" t="s">
        <v>5338</v>
      </c>
      <c r="C98" s="85" t="s">
        <v>5809</v>
      </c>
      <c r="D98" s="85" t="s">
        <v>5809</v>
      </c>
    </row>
    <row r="99" spans="1:4" s="84" customFormat="1" ht="19.7" customHeight="1" x14ac:dyDescent="0.2">
      <c r="A99" s="86" t="s">
        <v>5033</v>
      </c>
      <c r="B99" s="86" t="s">
        <v>5034</v>
      </c>
      <c r="C99" s="86" t="s">
        <v>5810</v>
      </c>
      <c r="D99" s="86" t="s">
        <v>5811</v>
      </c>
    </row>
    <row r="100" spans="1:4" s="84" customFormat="1" ht="19.7" customHeight="1" x14ac:dyDescent="0.2">
      <c r="A100" s="85" t="s">
        <v>5429</v>
      </c>
      <c r="B100" s="85" t="s">
        <v>5430</v>
      </c>
      <c r="C100" s="85" t="s">
        <v>5812</v>
      </c>
      <c r="D100" s="85" t="s">
        <v>5812</v>
      </c>
    </row>
    <row r="101" spans="1:4" s="84" customFormat="1" ht="19.7" customHeight="1" x14ac:dyDescent="0.2">
      <c r="A101" s="86" t="s">
        <v>5533</v>
      </c>
      <c r="B101" s="86" t="s">
        <v>5534</v>
      </c>
      <c r="C101" s="86" t="s">
        <v>5813</v>
      </c>
      <c r="D101" s="86" t="s">
        <v>5814</v>
      </c>
    </row>
    <row r="102" spans="1:4" s="84" customFormat="1" ht="19.7" customHeight="1" x14ac:dyDescent="0.2">
      <c r="A102" s="85" t="s">
        <v>5035</v>
      </c>
      <c r="B102" s="85" t="s">
        <v>5036</v>
      </c>
      <c r="C102" s="85" t="s">
        <v>5815</v>
      </c>
      <c r="D102" s="85" t="s">
        <v>5815</v>
      </c>
    </row>
    <row r="103" spans="1:4" s="84" customFormat="1" ht="19.7" customHeight="1" x14ac:dyDescent="0.2">
      <c r="A103" s="86" t="s">
        <v>5388</v>
      </c>
      <c r="B103" s="86" t="s">
        <v>5389</v>
      </c>
      <c r="C103" s="86" t="s">
        <v>5816</v>
      </c>
      <c r="D103" s="86" t="s">
        <v>5816</v>
      </c>
    </row>
    <row r="104" spans="1:4" s="84" customFormat="1" ht="19.7" customHeight="1" x14ac:dyDescent="0.2">
      <c r="A104" s="85" t="s">
        <v>4857</v>
      </c>
      <c r="B104" s="85" t="s">
        <v>4858</v>
      </c>
      <c r="C104" s="85" t="s">
        <v>5817</v>
      </c>
      <c r="D104" s="85" t="s">
        <v>5817</v>
      </c>
    </row>
    <row r="105" spans="1:4" s="84" customFormat="1" ht="19.7" customHeight="1" x14ac:dyDescent="0.2">
      <c r="A105" s="86" t="s">
        <v>5390</v>
      </c>
      <c r="B105" s="86" t="s">
        <v>5391</v>
      </c>
      <c r="C105" s="86" t="s">
        <v>5818</v>
      </c>
      <c r="D105" s="86" t="s">
        <v>5819</v>
      </c>
    </row>
    <row r="106" spans="1:4" s="84" customFormat="1" ht="19.7" customHeight="1" x14ac:dyDescent="0.2">
      <c r="A106" s="85" t="s">
        <v>4880</v>
      </c>
      <c r="B106" s="85" t="s">
        <v>4881</v>
      </c>
      <c r="C106" s="85" t="s">
        <v>5820</v>
      </c>
      <c r="D106" s="85" t="s">
        <v>5820</v>
      </c>
    </row>
    <row r="107" spans="1:4" s="84" customFormat="1" ht="19.7" customHeight="1" x14ac:dyDescent="0.2">
      <c r="A107" s="86" t="s">
        <v>5193</v>
      </c>
      <c r="B107" s="86" t="s">
        <v>1036</v>
      </c>
      <c r="C107" s="86" t="s">
        <v>5821</v>
      </c>
      <c r="D107" s="86" t="s">
        <v>5822</v>
      </c>
    </row>
    <row r="108" spans="1:4" s="84" customFormat="1" ht="19.7" customHeight="1" x14ac:dyDescent="0.2">
      <c r="A108" s="85" t="s">
        <v>5452</v>
      </c>
      <c r="B108" s="85" t="s">
        <v>5453</v>
      </c>
      <c r="C108" s="85" t="s">
        <v>5823</v>
      </c>
      <c r="D108" s="85" t="s">
        <v>5824</v>
      </c>
    </row>
    <row r="109" spans="1:4" s="84" customFormat="1" ht="19.7" customHeight="1" x14ac:dyDescent="0.2">
      <c r="A109" s="86" t="s">
        <v>4805</v>
      </c>
      <c r="B109" s="86" t="s">
        <v>31</v>
      </c>
      <c r="C109" s="86" t="s">
        <v>5825</v>
      </c>
      <c r="D109" s="86" t="s">
        <v>5826</v>
      </c>
    </row>
    <row r="110" spans="1:4" s="84" customFormat="1" ht="19.7" customHeight="1" x14ac:dyDescent="0.2">
      <c r="A110" s="85" t="s">
        <v>5207</v>
      </c>
      <c r="B110" s="85" t="s">
        <v>5208</v>
      </c>
      <c r="C110" s="85" t="s">
        <v>5827</v>
      </c>
      <c r="D110" s="85" t="s">
        <v>5828</v>
      </c>
    </row>
    <row r="111" spans="1:4" s="84" customFormat="1" ht="19.7" customHeight="1" x14ac:dyDescent="0.2">
      <c r="A111" s="86" t="s">
        <v>4859</v>
      </c>
      <c r="B111" s="86" t="s">
        <v>4860</v>
      </c>
      <c r="C111" s="86" t="s">
        <v>5829</v>
      </c>
      <c r="D111" s="86" t="s">
        <v>5830</v>
      </c>
    </row>
    <row r="112" spans="1:4" s="84" customFormat="1" ht="19.7" customHeight="1" x14ac:dyDescent="0.2">
      <c r="A112" s="85" t="s">
        <v>5358</v>
      </c>
      <c r="B112" s="85" t="s">
        <v>5359</v>
      </c>
      <c r="C112" s="85" t="s">
        <v>5831</v>
      </c>
      <c r="D112" s="85" t="s">
        <v>5832</v>
      </c>
    </row>
    <row r="113" spans="1:4" s="84" customFormat="1" ht="19.7" customHeight="1" x14ac:dyDescent="0.2">
      <c r="A113" s="86" t="s">
        <v>5182</v>
      </c>
      <c r="B113" s="86" t="s">
        <v>5183</v>
      </c>
      <c r="C113" s="86" t="s">
        <v>5833</v>
      </c>
      <c r="D113" s="86" t="s">
        <v>5833</v>
      </c>
    </row>
    <row r="114" spans="1:4" s="84" customFormat="1" ht="19.7" customHeight="1" x14ac:dyDescent="0.2">
      <c r="A114" s="85" t="s">
        <v>4839</v>
      </c>
      <c r="B114" s="85" t="s">
        <v>4840</v>
      </c>
      <c r="C114" s="85" t="s">
        <v>5834</v>
      </c>
      <c r="D114" s="85" t="s">
        <v>5834</v>
      </c>
    </row>
    <row r="115" spans="1:4" s="84" customFormat="1" ht="19.7" customHeight="1" x14ac:dyDescent="0.2">
      <c r="A115" s="86" t="s">
        <v>5067</v>
      </c>
      <c r="B115" s="86" t="s">
        <v>5068</v>
      </c>
      <c r="C115" s="86" t="s">
        <v>5835</v>
      </c>
      <c r="D115" s="86" t="s">
        <v>5835</v>
      </c>
    </row>
    <row r="116" spans="1:4" s="84" customFormat="1" ht="19.7" customHeight="1" x14ac:dyDescent="0.2">
      <c r="A116" s="85" t="s">
        <v>5631</v>
      </c>
      <c r="B116" s="85" t="s">
        <v>5632</v>
      </c>
      <c r="C116" s="85" t="s">
        <v>5836</v>
      </c>
      <c r="D116" s="85" t="s">
        <v>5836</v>
      </c>
    </row>
    <row r="117" spans="1:4" s="84" customFormat="1" ht="19.7" customHeight="1" x14ac:dyDescent="0.2">
      <c r="A117" s="86" t="s">
        <v>4841</v>
      </c>
      <c r="B117" s="86" t="s">
        <v>4842</v>
      </c>
      <c r="C117" s="86" t="s">
        <v>5837</v>
      </c>
      <c r="D117" s="86" t="s">
        <v>5837</v>
      </c>
    </row>
    <row r="118" spans="1:4" s="84" customFormat="1" ht="19.7" customHeight="1" x14ac:dyDescent="0.2">
      <c r="A118" s="85" t="s">
        <v>4941</v>
      </c>
      <c r="B118" s="85" t="s">
        <v>4942</v>
      </c>
      <c r="C118" s="85" t="s">
        <v>5838</v>
      </c>
      <c r="D118" s="85" t="s">
        <v>5838</v>
      </c>
    </row>
    <row r="119" spans="1:4" s="84" customFormat="1" ht="19.7" customHeight="1" x14ac:dyDescent="0.2">
      <c r="A119" s="86" t="s">
        <v>5593</v>
      </c>
      <c r="B119" s="86" t="s">
        <v>5594</v>
      </c>
      <c r="C119" s="86" t="s">
        <v>5839</v>
      </c>
      <c r="D119" s="86" t="s">
        <v>5839</v>
      </c>
    </row>
    <row r="120" spans="1:4" s="84" customFormat="1" ht="19.7" customHeight="1" x14ac:dyDescent="0.2">
      <c r="A120" s="85" t="s">
        <v>5173</v>
      </c>
      <c r="B120" s="85" t="s">
        <v>5174</v>
      </c>
      <c r="C120" s="85" t="s">
        <v>5840</v>
      </c>
      <c r="D120" s="85" t="s">
        <v>5840</v>
      </c>
    </row>
    <row r="121" spans="1:4" s="84" customFormat="1" ht="19.7" customHeight="1" x14ac:dyDescent="0.2">
      <c r="A121" s="86" t="s">
        <v>4978</v>
      </c>
      <c r="B121" s="86" t="s">
        <v>4979</v>
      </c>
      <c r="C121" s="86" t="s">
        <v>5841</v>
      </c>
      <c r="D121" s="86" t="s">
        <v>5842</v>
      </c>
    </row>
    <row r="122" spans="1:4" s="84" customFormat="1" ht="19.7" customHeight="1" x14ac:dyDescent="0.2">
      <c r="A122" s="85" t="s">
        <v>4845</v>
      </c>
      <c r="B122" s="85" t="s">
        <v>4846</v>
      </c>
      <c r="C122" s="85" t="s">
        <v>5843</v>
      </c>
      <c r="D122" s="85" t="s">
        <v>5844</v>
      </c>
    </row>
    <row r="123" spans="1:4" s="84" customFormat="1" ht="19.7" customHeight="1" x14ac:dyDescent="0.2">
      <c r="A123" s="86" t="s">
        <v>4882</v>
      </c>
      <c r="B123" s="86" t="s">
        <v>4883</v>
      </c>
      <c r="C123" s="86" t="s">
        <v>5845</v>
      </c>
      <c r="D123" s="86" t="s">
        <v>5846</v>
      </c>
    </row>
    <row r="124" spans="1:4" s="84" customFormat="1" ht="19.7" customHeight="1" x14ac:dyDescent="0.2">
      <c r="A124" s="85" t="s">
        <v>5037</v>
      </c>
      <c r="B124" s="85" t="s">
        <v>5038</v>
      </c>
      <c r="C124" s="85" t="s">
        <v>5847</v>
      </c>
      <c r="D124" s="85" t="s">
        <v>5847</v>
      </c>
    </row>
    <row r="125" spans="1:4" s="84" customFormat="1" ht="19.7" customHeight="1" x14ac:dyDescent="0.2">
      <c r="A125" s="86" t="s">
        <v>5076</v>
      </c>
      <c r="B125" s="86" t="s">
        <v>2051</v>
      </c>
      <c r="C125" s="86" t="s">
        <v>5848</v>
      </c>
      <c r="D125" s="86" t="s">
        <v>5849</v>
      </c>
    </row>
    <row r="126" spans="1:4" s="84" customFormat="1" ht="19.7" customHeight="1" x14ac:dyDescent="0.2">
      <c r="A126" s="85" t="s">
        <v>5077</v>
      </c>
      <c r="B126" s="85" t="s">
        <v>2054</v>
      </c>
      <c r="C126" s="85" t="s">
        <v>5850</v>
      </c>
      <c r="D126" s="85" t="s">
        <v>5851</v>
      </c>
    </row>
    <row r="127" spans="1:4" s="84" customFormat="1" ht="19.7" customHeight="1" x14ac:dyDescent="0.2">
      <c r="A127" s="86" t="s">
        <v>5306</v>
      </c>
      <c r="B127" s="86" t="s">
        <v>2057</v>
      </c>
      <c r="C127" s="86" t="s">
        <v>5852</v>
      </c>
      <c r="D127" s="86" t="s">
        <v>5853</v>
      </c>
    </row>
    <row r="128" spans="1:4" s="84" customFormat="1" ht="19.7" customHeight="1" x14ac:dyDescent="0.2">
      <c r="A128" s="85" t="s">
        <v>4899</v>
      </c>
      <c r="B128" s="85" t="s">
        <v>4900</v>
      </c>
      <c r="C128" s="85" t="s">
        <v>5854</v>
      </c>
      <c r="D128" s="85" t="s">
        <v>5854</v>
      </c>
    </row>
    <row r="129" spans="1:4" s="84" customFormat="1" ht="19.7" customHeight="1" x14ac:dyDescent="0.2">
      <c r="A129" s="86" t="s">
        <v>5078</v>
      </c>
      <c r="B129" s="86" t="s">
        <v>5079</v>
      </c>
      <c r="C129" s="86" t="s">
        <v>5855</v>
      </c>
      <c r="D129" s="86" t="s">
        <v>5856</v>
      </c>
    </row>
    <row r="130" spans="1:4" s="84" customFormat="1" ht="19.7" customHeight="1" x14ac:dyDescent="0.2">
      <c r="A130" s="85" t="s">
        <v>5454</v>
      </c>
      <c r="B130" s="85" t="s">
        <v>5455</v>
      </c>
      <c r="C130" s="85" t="s">
        <v>5857</v>
      </c>
      <c r="D130" s="85" t="s">
        <v>5857</v>
      </c>
    </row>
    <row r="131" spans="1:4" s="84" customFormat="1" ht="19.7" customHeight="1" x14ac:dyDescent="0.2">
      <c r="A131" s="86" t="s">
        <v>5039</v>
      </c>
      <c r="B131" s="86" t="s">
        <v>5040</v>
      </c>
      <c r="C131" s="86" t="s">
        <v>5858</v>
      </c>
      <c r="D131" s="86" t="s">
        <v>5858</v>
      </c>
    </row>
    <row r="132" spans="1:4" s="84" customFormat="1" ht="19.7" customHeight="1" x14ac:dyDescent="0.2">
      <c r="A132" s="85" t="s">
        <v>4901</v>
      </c>
      <c r="B132" s="85" t="s">
        <v>4902</v>
      </c>
      <c r="C132" s="85" t="s">
        <v>5859</v>
      </c>
      <c r="D132" s="85" t="s">
        <v>5859</v>
      </c>
    </row>
    <row r="133" spans="1:4" s="84" customFormat="1" ht="19.7" customHeight="1" x14ac:dyDescent="0.2">
      <c r="A133" s="86" t="s">
        <v>5572</v>
      </c>
      <c r="B133" s="86" t="s">
        <v>5573</v>
      </c>
      <c r="C133" s="86" t="s">
        <v>5860</v>
      </c>
      <c r="D133" s="86" t="s">
        <v>5861</v>
      </c>
    </row>
    <row r="134" spans="1:4" s="84" customFormat="1" ht="19.7" customHeight="1" x14ac:dyDescent="0.2">
      <c r="A134" s="85" t="s">
        <v>5574</v>
      </c>
      <c r="B134" s="85" t="s">
        <v>5575</v>
      </c>
      <c r="C134" s="85" t="s">
        <v>5862</v>
      </c>
      <c r="D134" s="85" t="s">
        <v>5863</v>
      </c>
    </row>
    <row r="135" spans="1:4" s="84" customFormat="1" ht="19.7" customHeight="1" x14ac:dyDescent="0.2">
      <c r="A135" s="86" t="s">
        <v>4884</v>
      </c>
      <c r="B135" s="86" t="s">
        <v>4885</v>
      </c>
      <c r="C135" s="86" t="s">
        <v>5864</v>
      </c>
      <c r="D135" s="86" t="s">
        <v>5865</v>
      </c>
    </row>
    <row r="136" spans="1:4" s="84" customFormat="1" ht="19.7" customHeight="1" x14ac:dyDescent="0.2">
      <c r="A136" s="85" t="s">
        <v>5127</v>
      </c>
      <c r="B136" s="85" t="s">
        <v>4529</v>
      </c>
      <c r="C136" s="85" t="s">
        <v>5866</v>
      </c>
      <c r="D136" s="85" t="s">
        <v>5867</v>
      </c>
    </row>
    <row r="137" spans="1:4" s="84" customFormat="1" ht="19.7" customHeight="1" x14ac:dyDescent="0.2">
      <c r="A137" s="86" t="s">
        <v>5431</v>
      </c>
      <c r="B137" s="86" t="s">
        <v>5432</v>
      </c>
      <c r="C137" s="86" t="s">
        <v>5868</v>
      </c>
      <c r="D137" s="86" t="s">
        <v>5868</v>
      </c>
    </row>
    <row r="138" spans="1:4" s="84" customFormat="1" ht="19.7" customHeight="1" x14ac:dyDescent="0.2">
      <c r="A138" s="85" t="s">
        <v>5392</v>
      </c>
      <c r="B138" s="85" t="s">
        <v>5393</v>
      </c>
      <c r="C138" s="85" t="s">
        <v>5869</v>
      </c>
      <c r="D138" s="85" t="s">
        <v>5869</v>
      </c>
    </row>
    <row r="139" spans="1:4" s="84" customFormat="1" ht="19.7" customHeight="1" x14ac:dyDescent="0.2">
      <c r="A139" s="86" t="s">
        <v>5394</v>
      </c>
      <c r="B139" s="86" t="s">
        <v>5395</v>
      </c>
      <c r="C139" s="86" t="s">
        <v>5870</v>
      </c>
      <c r="D139" s="86" t="s">
        <v>5871</v>
      </c>
    </row>
    <row r="140" spans="1:4" s="84" customFormat="1" ht="19.7" customHeight="1" x14ac:dyDescent="0.2">
      <c r="A140" s="85" t="s">
        <v>5321</v>
      </c>
      <c r="B140" s="85" t="s">
        <v>5322</v>
      </c>
      <c r="C140" s="85" t="s">
        <v>5872</v>
      </c>
      <c r="D140" s="85" t="s">
        <v>5872</v>
      </c>
    </row>
    <row r="141" spans="1:4" s="84" customFormat="1" ht="19.7" customHeight="1" x14ac:dyDescent="0.2">
      <c r="A141" s="86" t="s">
        <v>5323</v>
      </c>
      <c r="B141" s="86" t="s">
        <v>5324</v>
      </c>
      <c r="C141" s="86" t="s">
        <v>5873</v>
      </c>
      <c r="D141" s="86" t="s">
        <v>5873</v>
      </c>
    </row>
    <row r="142" spans="1:4" s="84" customFormat="1" ht="19.7" customHeight="1" x14ac:dyDescent="0.2">
      <c r="A142" s="85" t="s">
        <v>5396</v>
      </c>
      <c r="B142" s="85" t="s">
        <v>5397</v>
      </c>
      <c r="C142" s="85" t="s">
        <v>5874</v>
      </c>
      <c r="D142" s="85" t="s">
        <v>5875</v>
      </c>
    </row>
    <row r="143" spans="1:4" s="84" customFormat="1" ht="19.7" customHeight="1" x14ac:dyDescent="0.2">
      <c r="A143" s="86" t="s">
        <v>5486</v>
      </c>
      <c r="B143" s="86" t="s">
        <v>5487</v>
      </c>
      <c r="C143" s="86" t="s">
        <v>5876</v>
      </c>
      <c r="D143" s="86" t="s">
        <v>5876</v>
      </c>
    </row>
    <row r="144" spans="1:4" s="84" customFormat="1" ht="19.7" customHeight="1" x14ac:dyDescent="0.2">
      <c r="A144" s="85" t="s">
        <v>4980</v>
      </c>
      <c r="B144" s="85" t="s">
        <v>4981</v>
      </c>
      <c r="C144" s="85" t="s">
        <v>5877</v>
      </c>
      <c r="D144" s="85" t="s">
        <v>5878</v>
      </c>
    </row>
    <row r="145" spans="1:4" s="84" customFormat="1" ht="19.7" customHeight="1" x14ac:dyDescent="0.2">
      <c r="A145" s="86" t="s">
        <v>5141</v>
      </c>
      <c r="B145" s="86" t="s">
        <v>5142</v>
      </c>
      <c r="C145" s="86" t="s">
        <v>5879</v>
      </c>
      <c r="D145" s="86" t="s">
        <v>5880</v>
      </c>
    </row>
    <row r="146" spans="1:4" s="84" customFormat="1" ht="19.7" customHeight="1" x14ac:dyDescent="0.2">
      <c r="A146" s="85" t="s">
        <v>4807</v>
      </c>
      <c r="B146" s="85" t="s">
        <v>4808</v>
      </c>
      <c r="C146" s="85" t="s">
        <v>5881</v>
      </c>
      <c r="D146" s="85" t="s">
        <v>5882</v>
      </c>
    </row>
    <row r="147" spans="1:4" s="84" customFormat="1" ht="19.7" customHeight="1" x14ac:dyDescent="0.2">
      <c r="A147" s="86" t="s">
        <v>5282</v>
      </c>
      <c r="B147" s="86" t="s">
        <v>5283</v>
      </c>
      <c r="C147" s="86" t="s">
        <v>5883</v>
      </c>
      <c r="D147" s="86" t="s">
        <v>5884</v>
      </c>
    </row>
    <row r="148" spans="1:4" s="84" customFormat="1" ht="19.7" customHeight="1" x14ac:dyDescent="0.2">
      <c r="A148" s="85" t="s">
        <v>5618</v>
      </c>
      <c r="B148" s="85" t="s">
        <v>1892</v>
      </c>
      <c r="C148" s="85" t="s">
        <v>5885</v>
      </c>
      <c r="D148" s="85" t="s">
        <v>5886</v>
      </c>
    </row>
    <row r="149" spans="1:4" s="84" customFormat="1" ht="19.7" customHeight="1" x14ac:dyDescent="0.2">
      <c r="A149" s="86" t="s">
        <v>5080</v>
      </c>
      <c r="B149" s="86" t="s">
        <v>1895</v>
      </c>
      <c r="C149" s="86" t="s">
        <v>5887</v>
      </c>
      <c r="D149" s="86" t="s">
        <v>5888</v>
      </c>
    </row>
    <row r="150" spans="1:4" s="84" customFormat="1" ht="19.7" customHeight="1" x14ac:dyDescent="0.2">
      <c r="A150" s="85" t="s">
        <v>4809</v>
      </c>
      <c r="B150" s="85" t="s">
        <v>30</v>
      </c>
      <c r="C150" s="85" t="s">
        <v>5889</v>
      </c>
      <c r="D150" s="85" t="s">
        <v>5890</v>
      </c>
    </row>
    <row r="151" spans="1:4" s="84" customFormat="1" ht="19.7" customHeight="1" x14ac:dyDescent="0.2">
      <c r="A151" s="86" t="s">
        <v>5022</v>
      </c>
      <c r="B151" s="86" t="s">
        <v>5023</v>
      </c>
      <c r="C151" s="86" t="s">
        <v>5891</v>
      </c>
      <c r="D151" s="86" t="s">
        <v>5892</v>
      </c>
    </row>
    <row r="152" spans="1:4" s="84" customFormat="1" ht="19.7" customHeight="1" x14ac:dyDescent="0.2">
      <c r="A152" s="85" t="s">
        <v>5081</v>
      </c>
      <c r="B152" s="85" t="s">
        <v>1871</v>
      </c>
      <c r="C152" s="85" t="s">
        <v>5893</v>
      </c>
      <c r="D152" s="85" t="s">
        <v>5894</v>
      </c>
    </row>
    <row r="153" spans="1:4" s="84" customFormat="1" ht="19.7" customHeight="1" x14ac:dyDescent="0.2">
      <c r="A153" s="86" t="s">
        <v>5082</v>
      </c>
      <c r="B153" s="86" t="s">
        <v>1880</v>
      </c>
      <c r="C153" s="86" t="s">
        <v>5895</v>
      </c>
      <c r="D153" s="86" t="s">
        <v>5896</v>
      </c>
    </row>
    <row r="154" spans="1:4" s="84" customFormat="1" ht="19.7" customHeight="1" x14ac:dyDescent="0.2">
      <c r="A154" s="85" t="s">
        <v>5189</v>
      </c>
      <c r="B154" s="85" t="s">
        <v>4741</v>
      </c>
      <c r="C154" s="85" t="s">
        <v>5897</v>
      </c>
      <c r="D154" s="85" t="s">
        <v>5898</v>
      </c>
    </row>
    <row r="155" spans="1:4" s="84" customFormat="1" ht="19.7" customHeight="1" x14ac:dyDescent="0.2">
      <c r="A155" s="86" t="s">
        <v>5642</v>
      </c>
      <c r="B155" s="86" t="s">
        <v>5643</v>
      </c>
      <c r="C155" s="86" t="s">
        <v>5899</v>
      </c>
      <c r="D155" s="86" t="s">
        <v>5899</v>
      </c>
    </row>
    <row r="156" spans="1:4" s="84" customFormat="1" ht="19.7" customHeight="1" x14ac:dyDescent="0.2">
      <c r="A156" s="85" t="s">
        <v>5041</v>
      </c>
      <c r="B156" s="85" t="s">
        <v>5042</v>
      </c>
      <c r="C156" s="85" t="s">
        <v>5900</v>
      </c>
      <c r="D156" s="85" t="s">
        <v>5901</v>
      </c>
    </row>
    <row r="157" spans="1:4" s="84" customFormat="1" ht="19.7" customHeight="1" x14ac:dyDescent="0.2">
      <c r="A157" s="86" t="s">
        <v>5310</v>
      </c>
      <c r="B157" s="86" t="s">
        <v>5311</v>
      </c>
      <c r="C157" s="86" t="s">
        <v>5902</v>
      </c>
      <c r="D157" s="86" t="s">
        <v>5903</v>
      </c>
    </row>
    <row r="158" spans="1:4" s="84" customFormat="1" ht="19.7" customHeight="1" x14ac:dyDescent="0.2">
      <c r="A158" s="85" t="s">
        <v>5433</v>
      </c>
      <c r="B158" s="85" t="s">
        <v>5434</v>
      </c>
      <c r="C158" s="85" t="s">
        <v>5904</v>
      </c>
      <c r="D158" s="85" t="s">
        <v>5905</v>
      </c>
    </row>
    <row r="159" spans="1:4" s="84" customFormat="1" ht="19.7" customHeight="1" x14ac:dyDescent="0.2">
      <c r="A159" s="86" t="s">
        <v>5043</v>
      </c>
      <c r="B159" s="86" t="s">
        <v>5044</v>
      </c>
      <c r="C159" s="86" t="s">
        <v>5906</v>
      </c>
      <c r="D159" s="86" t="s">
        <v>5907</v>
      </c>
    </row>
    <row r="160" spans="1:4" s="84" customFormat="1" ht="19.7" customHeight="1" x14ac:dyDescent="0.2">
      <c r="A160" s="85" t="s">
        <v>5655</v>
      </c>
      <c r="B160" s="85" t="s">
        <v>5656</v>
      </c>
      <c r="C160" s="85" t="s">
        <v>5908</v>
      </c>
      <c r="D160" s="85" t="s">
        <v>5908</v>
      </c>
    </row>
    <row r="161" spans="1:4" s="84" customFormat="1" ht="19.7" customHeight="1" x14ac:dyDescent="0.2">
      <c r="A161" s="86" t="s">
        <v>4970</v>
      </c>
      <c r="B161" s="86" t="s">
        <v>4971</v>
      </c>
      <c r="C161" s="86" t="s">
        <v>5909</v>
      </c>
      <c r="D161" s="86" t="s">
        <v>5910</v>
      </c>
    </row>
    <row r="162" spans="1:4" s="84" customFormat="1" ht="19.7" customHeight="1" x14ac:dyDescent="0.2">
      <c r="A162" s="85" t="s">
        <v>5254</v>
      </c>
      <c r="B162" s="85" t="s">
        <v>5255</v>
      </c>
      <c r="C162" s="85" t="s">
        <v>5911</v>
      </c>
      <c r="D162" s="85" t="s">
        <v>5912</v>
      </c>
    </row>
    <row r="163" spans="1:4" s="84" customFormat="1" ht="19.7" customHeight="1" x14ac:dyDescent="0.2">
      <c r="A163" s="86" t="s">
        <v>5237</v>
      </c>
      <c r="B163" s="86" t="s">
        <v>5238</v>
      </c>
      <c r="C163" s="86" t="s">
        <v>5913</v>
      </c>
      <c r="D163" s="86" t="s">
        <v>5913</v>
      </c>
    </row>
    <row r="164" spans="1:4" s="84" customFormat="1" ht="19.7" customHeight="1" x14ac:dyDescent="0.2">
      <c r="A164" s="85" t="s">
        <v>4903</v>
      </c>
      <c r="B164" s="85" t="s">
        <v>4904</v>
      </c>
      <c r="C164" s="85" t="s">
        <v>5914</v>
      </c>
      <c r="D164" s="85" t="s">
        <v>5915</v>
      </c>
    </row>
    <row r="165" spans="1:4" s="84" customFormat="1" ht="19.7" customHeight="1" x14ac:dyDescent="0.2">
      <c r="A165" s="86" t="s">
        <v>4886</v>
      </c>
      <c r="B165" s="86" t="s">
        <v>4887</v>
      </c>
      <c r="C165" s="86" t="s">
        <v>5916</v>
      </c>
      <c r="D165" s="86" t="s">
        <v>5916</v>
      </c>
    </row>
    <row r="166" spans="1:4" s="84" customFormat="1" ht="19.7" customHeight="1" x14ac:dyDescent="0.2">
      <c r="A166" s="85" t="s">
        <v>5143</v>
      </c>
      <c r="B166" s="85" t="s">
        <v>5144</v>
      </c>
      <c r="C166" s="85" t="s">
        <v>5917</v>
      </c>
      <c r="D166" s="85" t="s">
        <v>5917</v>
      </c>
    </row>
    <row r="167" spans="1:4" s="84" customFormat="1" ht="19.7" customHeight="1" x14ac:dyDescent="0.2">
      <c r="A167" s="86" t="s">
        <v>4905</v>
      </c>
      <c r="B167" s="86" t="s">
        <v>220</v>
      </c>
      <c r="C167" s="86" t="s">
        <v>5918</v>
      </c>
      <c r="D167" s="86" t="s">
        <v>5919</v>
      </c>
    </row>
    <row r="168" spans="1:4" s="84" customFormat="1" ht="19.7" customHeight="1" x14ac:dyDescent="0.2">
      <c r="A168" s="85" t="s">
        <v>5496</v>
      </c>
      <c r="B168" s="85" t="s">
        <v>1763</v>
      </c>
      <c r="C168" s="85" t="s">
        <v>5920</v>
      </c>
      <c r="D168" s="85" t="s">
        <v>5921</v>
      </c>
    </row>
    <row r="169" spans="1:4" s="84" customFormat="1" ht="19.7" customHeight="1" x14ac:dyDescent="0.2">
      <c r="A169" s="86" t="s">
        <v>5398</v>
      </c>
      <c r="B169" s="86" t="s">
        <v>5399</v>
      </c>
      <c r="C169" s="86" t="s">
        <v>5922</v>
      </c>
      <c r="D169" s="86" t="s">
        <v>5923</v>
      </c>
    </row>
    <row r="170" spans="1:4" s="84" customFormat="1" ht="19.7" customHeight="1" x14ac:dyDescent="0.2">
      <c r="A170" s="85" t="s">
        <v>5505</v>
      </c>
      <c r="B170" s="85" t="s">
        <v>5506</v>
      </c>
      <c r="C170" s="85" t="s">
        <v>5924</v>
      </c>
      <c r="D170" s="85" t="s">
        <v>5925</v>
      </c>
    </row>
    <row r="171" spans="1:4" s="84" customFormat="1" ht="19.7" customHeight="1" x14ac:dyDescent="0.2">
      <c r="A171" s="86" t="s">
        <v>5145</v>
      </c>
      <c r="B171" s="86" t="s">
        <v>5146</v>
      </c>
      <c r="C171" s="86" t="s">
        <v>5926</v>
      </c>
      <c r="D171" s="86" t="s">
        <v>5926</v>
      </c>
    </row>
    <row r="172" spans="1:4" s="84" customFormat="1" ht="19.7" customHeight="1" x14ac:dyDescent="0.2">
      <c r="A172" s="85" t="s">
        <v>4994</v>
      </c>
      <c r="B172" s="85" t="s">
        <v>4995</v>
      </c>
      <c r="C172" s="85" t="s">
        <v>5927</v>
      </c>
      <c r="D172" s="85" t="s">
        <v>5927</v>
      </c>
    </row>
    <row r="173" spans="1:4" s="84" customFormat="1" ht="19.7" customHeight="1" x14ac:dyDescent="0.2">
      <c r="A173" s="86" t="s">
        <v>5456</v>
      </c>
      <c r="B173" s="86" t="s">
        <v>5457</v>
      </c>
      <c r="C173" s="86" t="s">
        <v>5928</v>
      </c>
      <c r="D173" s="86" t="s">
        <v>5928</v>
      </c>
    </row>
    <row r="174" spans="1:4" s="84" customFormat="1" ht="19.7" customHeight="1" x14ac:dyDescent="0.2">
      <c r="A174" s="85" t="s">
        <v>5619</v>
      </c>
      <c r="B174" s="85" t="s">
        <v>1826</v>
      </c>
      <c r="C174" s="85" t="s">
        <v>5929</v>
      </c>
      <c r="D174" s="85" t="s">
        <v>5930</v>
      </c>
    </row>
    <row r="175" spans="1:4" s="84" customFormat="1" ht="19.7" customHeight="1" x14ac:dyDescent="0.2">
      <c r="A175" s="86" t="s">
        <v>5083</v>
      </c>
      <c r="B175" s="86" t="s">
        <v>1835</v>
      </c>
      <c r="C175" s="86" t="s">
        <v>5931</v>
      </c>
      <c r="D175" s="86" t="s">
        <v>5932</v>
      </c>
    </row>
    <row r="176" spans="1:4" s="84" customFormat="1" ht="19.7" customHeight="1" x14ac:dyDescent="0.2">
      <c r="A176" s="85" t="s">
        <v>5507</v>
      </c>
      <c r="B176" s="85" t="s">
        <v>5508</v>
      </c>
      <c r="C176" s="85" t="s">
        <v>5933</v>
      </c>
      <c r="D176" s="85" t="s">
        <v>5934</v>
      </c>
    </row>
    <row r="177" spans="1:4" s="84" customFormat="1" ht="19.7" customHeight="1" x14ac:dyDescent="0.2">
      <c r="A177" s="86" t="s">
        <v>5576</v>
      </c>
      <c r="B177" s="86" t="s">
        <v>1838</v>
      </c>
      <c r="C177" s="86" t="s">
        <v>5935</v>
      </c>
      <c r="D177" s="86" t="s">
        <v>5936</v>
      </c>
    </row>
    <row r="178" spans="1:4" s="84" customFormat="1" ht="19.7" customHeight="1" x14ac:dyDescent="0.2">
      <c r="A178" s="85" t="s">
        <v>5307</v>
      </c>
      <c r="B178" s="85" t="s">
        <v>1841</v>
      </c>
      <c r="C178" s="85" t="s">
        <v>5937</v>
      </c>
      <c r="D178" s="85" t="s">
        <v>5938</v>
      </c>
    </row>
    <row r="179" spans="1:4" s="84" customFormat="1" ht="19.7" customHeight="1" x14ac:dyDescent="0.2">
      <c r="A179" s="86" t="s">
        <v>5577</v>
      </c>
      <c r="B179" s="86" t="s">
        <v>1856</v>
      </c>
      <c r="C179" s="86" t="s">
        <v>5939</v>
      </c>
      <c r="D179" s="86" t="s">
        <v>5940</v>
      </c>
    </row>
    <row r="180" spans="1:4" s="84" customFormat="1" ht="19.7" customHeight="1" x14ac:dyDescent="0.2">
      <c r="A180" s="85" t="s">
        <v>5339</v>
      </c>
      <c r="B180" s="85" t="s">
        <v>5340</v>
      </c>
      <c r="C180" s="85" t="s">
        <v>5941</v>
      </c>
      <c r="D180" s="85" t="s">
        <v>5941</v>
      </c>
    </row>
    <row r="181" spans="1:4" s="84" customFormat="1" ht="19.7" customHeight="1" x14ac:dyDescent="0.2">
      <c r="A181" s="86" t="s">
        <v>4996</v>
      </c>
      <c r="B181" s="86" t="s">
        <v>4997</v>
      </c>
      <c r="C181" s="86" t="s">
        <v>5942</v>
      </c>
      <c r="D181" s="86" t="s">
        <v>5942</v>
      </c>
    </row>
    <row r="182" spans="1:4" s="84" customFormat="1" ht="19.7" customHeight="1" x14ac:dyDescent="0.2">
      <c r="A182" s="85" t="s">
        <v>5663</v>
      </c>
      <c r="B182" s="85" t="s">
        <v>5664</v>
      </c>
      <c r="C182" s="85" t="s">
        <v>5943</v>
      </c>
      <c r="D182" s="85" t="s">
        <v>5943</v>
      </c>
    </row>
    <row r="183" spans="1:4" s="84" customFormat="1" ht="19.7" customHeight="1" x14ac:dyDescent="0.2">
      <c r="A183" s="86" t="s">
        <v>5084</v>
      </c>
      <c r="B183" s="86" t="s">
        <v>5085</v>
      </c>
      <c r="C183" s="86" t="s">
        <v>5944</v>
      </c>
      <c r="D183" s="86" t="s">
        <v>5945</v>
      </c>
    </row>
    <row r="184" spans="1:4" s="84" customFormat="1" ht="19.7" customHeight="1" x14ac:dyDescent="0.2">
      <c r="A184" s="85" t="s">
        <v>5086</v>
      </c>
      <c r="B184" s="85" t="s">
        <v>5087</v>
      </c>
      <c r="C184" s="85" t="s">
        <v>5946</v>
      </c>
      <c r="D184" s="85" t="s">
        <v>5947</v>
      </c>
    </row>
    <row r="185" spans="1:4" s="84" customFormat="1" ht="19.7" customHeight="1" x14ac:dyDescent="0.2">
      <c r="A185" s="86" t="s">
        <v>5045</v>
      </c>
      <c r="B185" s="86" t="s">
        <v>5046</v>
      </c>
      <c r="C185" s="86" t="s">
        <v>5948</v>
      </c>
      <c r="D185" s="86" t="s">
        <v>5948</v>
      </c>
    </row>
    <row r="186" spans="1:4" s="84" customFormat="1" ht="19.7" customHeight="1" x14ac:dyDescent="0.2">
      <c r="A186" s="85" t="s">
        <v>4963</v>
      </c>
      <c r="B186" s="85" t="s">
        <v>4964</v>
      </c>
      <c r="C186" s="85" t="s">
        <v>5949</v>
      </c>
      <c r="D186" s="85" t="s">
        <v>5950</v>
      </c>
    </row>
    <row r="187" spans="1:4" s="84" customFormat="1" ht="19.7" customHeight="1" x14ac:dyDescent="0.2">
      <c r="A187" s="86" t="s">
        <v>5400</v>
      </c>
      <c r="B187" s="86" t="s">
        <v>5401</v>
      </c>
      <c r="C187" s="86" t="s">
        <v>5951</v>
      </c>
      <c r="D187" s="86" t="s">
        <v>5952</v>
      </c>
    </row>
    <row r="188" spans="1:4" s="84" customFormat="1" ht="19.7" customHeight="1" x14ac:dyDescent="0.2">
      <c r="A188" s="85" t="s">
        <v>5481</v>
      </c>
      <c r="B188" s="85" t="s">
        <v>4532</v>
      </c>
      <c r="C188" s="85" t="s">
        <v>5953</v>
      </c>
      <c r="D188" s="85" t="s">
        <v>5954</v>
      </c>
    </row>
    <row r="189" spans="1:4" s="84" customFormat="1" ht="19.7" customHeight="1" x14ac:dyDescent="0.2">
      <c r="A189" s="86" t="s">
        <v>5256</v>
      </c>
      <c r="B189" s="86" t="s">
        <v>5257</v>
      </c>
      <c r="C189" s="86" t="s">
        <v>5955</v>
      </c>
      <c r="D189" s="86" t="s">
        <v>5956</v>
      </c>
    </row>
    <row r="190" spans="1:4" s="84" customFormat="1" ht="19.7" customHeight="1" x14ac:dyDescent="0.2">
      <c r="A190" s="85" t="s">
        <v>5175</v>
      </c>
      <c r="B190" s="85" t="s">
        <v>5176</v>
      </c>
      <c r="C190" s="85" t="s">
        <v>5957</v>
      </c>
      <c r="D190" s="85" t="s">
        <v>5957</v>
      </c>
    </row>
    <row r="191" spans="1:4" s="84" customFormat="1" ht="19.7" customHeight="1" x14ac:dyDescent="0.2">
      <c r="A191" s="86" t="s">
        <v>4811</v>
      </c>
      <c r="B191" s="86" t="s">
        <v>4659</v>
      </c>
      <c r="C191" s="86" t="s">
        <v>5958</v>
      </c>
      <c r="D191" s="86" t="s">
        <v>5959</v>
      </c>
    </row>
    <row r="192" spans="1:4" s="84" customFormat="1" ht="19.7" customHeight="1" x14ac:dyDescent="0.2">
      <c r="A192" s="85" t="s">
        <v>4906</v>
      </c>
      <c r="B192" s="85" t="s">
        <v>4907</v>
      </c>
      <c r="C192" s="85" t="s">
        <v>5957</v>
      </c>
      <c r="D192" s="85" t="s">
        <v>5957</v>
      </c>
    </row>
    <row r="193" spans="1:4" s="84" customFormat="1" ht="19.7" customHeight="1" x14ac:dyDescent="0.2">
      <c r="A193" s="86" t="s">
        <v>5088</v>
      </c>
      <c r="B193" s="86" t="s">
        <v>5089</v>
      </c>
      <c r="C193" s="86" t="s">
        <v>5960</v>
      </c>
      <c r="D193" s="86" t="s">
        <v>5960</v>
      </c>
    </row>
    <row r="194" spans="1:4" s="84" customFormat="1" ht="19.7" customHeight="1" x14ac:dyDescent="0.2">
      <c r="A194" s="85" t="s">
        <v>5360</v>
      </c>
      <c r="B194" s="85" t="s">
        <v>5361</v>
      </c>
      <c r="C194" s="85" t="s">
        <v>5961</v>
      </c>
      <c r="D194" s="85" t="s">
        <v>5962</v>
      </c>
    </row>
    <row r="195" spans="1:4" s="84" customFormat="1" ht="19.7" customHeight="1" x14ac:dyDescent="0.2">
      <c r="A195" s="86" t="s">
        <v>5520</v>
      </c>
      <c r="B195" s="86" t="s">
        <v>5521</v>
      </c>
      <c r="C195" s="86" t="s">
        <v>5963</v>
      </c>
      <c r="D195" s="86" t="s">
        <v>5964</v>
      </c>
    </row>
    <row r="196" spans="1:4" s="84" customFormat="1" ht="19.7" customHeight="1" x14ac:dyDescent="0.2">
      <c r="A196" s="85" t="s">
        <v>4943</v>
      </c>
      <c r="B196" s="85" t="s">
        <v>4944</v>
      </c>
      <c r="C196" s="85" t="s">
        <v>5965</v>
      </c>
      <c r="D196" s="85" t="s">
        <v>5965</v>
      </c>
    </row>
    <row r="197" spans="1:4" s="84" customFormat="1" ht="19.7" customHeight="1" x14ac:dyDescent="0.2">
      <c r="A197" s="86" t="s">
        <v>5605</v>
      </c>
      <c r="B197" s="86" t="s">
        <v>5606</v>
      </c>
      <c r="C197" s="86" t="s">
        <v>5966</v>
      </c>
      <c r="D197" s="86" t="s">
        <v>5966</v>
      </c>
    </row>
    <row r="198" spans="1:4" s="84" customFormat="1" ht="19.7" customHeight="1" x14ac:dyDescent="0.2">
      <c r="A198" s="85" t="s">
        <v>5665</v>
      </c>
      <c r="B198" s="85" t="s">
        <v>5666</v>
      </c>
      <c r="C198" s="85" t="s">
        <v>5967</v>
      </c>
      <c r="D198" s="85" t="s">
        <v>5968</v>
      </c>
    </row>
    <row r="199" spans="1:4" s="84" customFormat="1" ht="19.7" customHeight="1" x14ac:dyDescent="0.2">
      <c r="A199" s="86" t="s">
        <v>4945</v>
      </c>
      <c r="B199" s="86" t="s">
        <v>4946</v>
      </c>
      <c r="C199" s="86" t="s">
        <v>5969</v>
      </c>
      <c r="D199" s="86" t="s">
        <v>5970</v>
      </c>
    </row>
    <row r="200" spans="1:4" s="84" customFormat="1" ht="19.7" customHeight="1" x14ac:dyDescent="0.2">
      <c r="A200" s="85" t="s">
        <v>5522</v>
      </c>
      <c r="B200" s="85" t="s">
        <v>280</v>
      </c>
      <c r="C200" s="85" t="s">
        <v>5971</v>
      </c>
      <c r="D200" s="85" t="s">
        <v>5972</v>
      </c>
    </row>
    <row r="201" spans="1:4" s="84" customFormat="1" ht="19.7" customHeight="1" x14ac:dyDescent="0.2">
      <c r="A201" s="86" t="s">
        <v>5523</v>
      </c>
      <c r="B201" s="86" t="s">
        <v>280</v>
      </c>
      <c r="C201" s="86" t="s">
        <v>5971</v>
      </c>
      <c r="D201" s="86" t="s">
        <v>5972</v>
      </c>
    </row>
    <row r="202" spans="1:4" s="84" customFormat="1" ht="19.7" customHeight="1" x14ac:dyDescent="0.2">
      <c r="A202" s="85" t="s">
        <v>5122</v>
      </c>
      <c r="B202" s="85" t="s">
        <v>5123</v>
      </c>
      <c r="C202" s="85" t="s">
        <v>5973</v>
      </c>
      <c r="D202" s="85" t="s">
        <v>5973</v>
      </c>
    </row>
    <row r="203" spans="1:4" s="84" customFormat="1" ht="19.7" customHeight="1" x14ac:dyDescent="0.2">
      <c r="A203" s="86" t="s">
        <v>5362</v>
      </c>
      <c r="B203" s="86" t="s">
        <v>5363</v>
      </c>
      <c r="C203" s="86" t="s">
        <v>5974</v>
      </c>
      <c r="D203" s="86" t="s">
        <v>5975</v>
      </c>
    </row>
    <row r="204" spans="1:4" s="84" customFormat="1" ht="19.7" customHeight="1" x14ac:dyDescent="0.2">
      <c r="A204" s="85" t="s">
        <v>4861</v>
      </c>
      <c r="B204" s="85" t="s">
        <v>4862</v>
      </c>
      <c r="C204" s="85" t="s">
        <v>5976</v>
      </c>
      <c r="D204" s="85" t="s">
        <v>5977</v>
      </c>
    </row>
    <row r="205" spans="1:4" s="84" customFormat="1" ht="19.7" customHeight="1" x14ac:dyDescent="0.2">
      <c r="A205" s="86" t="s">
        <v>5551</v>
      </c>
      <c r="B205" s="86" t="s">
        <v>2474</v>
      </c>
      <c r="C205" s="86" t="s">
        <v>5978</v>
      </c>
      <c r="D205" s="86" t="s">
        <v>5979</v>
      </c>
    </row>
    <row r="206" spans="1:4" s="84" customFormat="1" ht="19.7" customHeight="1" x14ac:dyDescent="0.2">
      <c r="A206" s="85" t="s">
        <v>5298</v>
      </c>
      <c r="B206" s="85" t="s">
        <v>5299</v>
      </c>
      <c r="C206" s="85" t="s">
        <v>5980</v>
      </c>
      <c r="D206" s="85" t="s">
        <v>5981</v>
      </c>
    </row>
    <row r="207" spans="1:4" s="84" customFormat="1" ht="19.7" customHeight="1" x14ac:dyDescent="0.2">
      <c r="A207" s="86" t="s">
        <v>5090</v>
      </c>
      <c r="B207" s="86" t="s">
        <v>5091</v>
      </c>
      <c r="C207" s="86" t="s">
        <v>5982</v>
      </c>
      <c r="D207" s="86" t="s">
        <v>5982</v>
      </c>
    </row>
    <row r="208" spans="1:4" s="84" customFormat="1" ht="19.7" customHeight="1" x14ac:dyDescent="0.2">
      <c r="A208" s="85" t="s">
        <v>5458</v>
      </c>
      <c r="B208" s="85" t="s">
        <v>5459</v>
      </c>
      <c r="C208" s="85" t="s">
        <v>5983</v>
      </c>
      <c r="D208" s="85" t="s">
        <v>5984</v>
      </c>
    </row>
    <row r="209" spans="1:4" s="84" customFormat="1" ht="19.7" customHeight="1" x14ac:dyDescent="0.2">
      <c r="A209" s="86" t="s">
        <v>4909</v>
      </c>
      <c r="B209" s="86" t="s">
        <v>286</v>
      </c>
      <c r="C209" s="86" t="s">
        <v>5985</v>
      </c>
      <c r="D209" s="86" t="s">
        <v>5986</v>
      </c>
    </row>
    <row r="210" spans="1:4" s="84" customFormat="1" ht="19.7" customHeight="1" x14ac:dyDescent="0.2">
      <c r="A210" s="85" t="s">
        <v>4812</v>
      </c>
      <c r="B210" s="85" t="s">
        <v>4675</v>
      </c>
      <c r="C210" s="85" t="s">
        <v>5987</v>
      </c>
      <c r="D210" s="85" t="s">
        <v>5987</v>
      </c>
    </row>
    <row r="211" spans="1:4" s="84" customFormat="1" ht="19.7" customHeight="1" x14ac:dyDescent="0.2">
      <c r="A211" s="86" t="s">
        <v>5364</v>
      </c>
      <c r="B211" s="86" t="s">
        <v>5365</v>
      </c>
      <c r="C211" s="86" t="s">
        <v>5988</v>
      </c>
      <c r="D211" s="86" t="s">
        <v>5988</v>
      </c>
    </row>
    <row r="212" spans="1:4" s="84" customFormat="1" ht="19.7" customHeight="1" x14ac:dyDescent="0.2">
      <c r="A212" s="85" t="s">
        <v>5242</v>
      </c>
      <c r="B212" s="85" t="s">
        <v>4698</v>
      </c>
      <c r="C212" s="85" t="s">
        <v>5989</v>
      </c>
      <c r="D212" s="85" t="s">
        <v>5990</v>
      </c>
    </row>
    <row r="213" spans="1:4" s="84" customFormat="1" ht="19.7" customHeight="1" x14ac:dyDescent="0.2">
      <c r="A213" s="86" t="s">
        <v>5667</v>
      </c>
      <c r="B213" s="86" t="s">
        <v>5668</v>
      </c>
      <c r="C213" s="86" t="s">
        <v>5991</v>
      </c>
      <c r="D213" s="86" t="s">
        <v>5991</v>
      </c>
    </row>
    <row r="214" spans="1:4" s="84" customFormat="1" ht="19.7" customHeight="1" x14ac:dyDescent="0.2">
      <c r="A214" s="85" t="s">
        <v>5540</v>
      </c>
      <c r="B214" s="85" t="s">
        <v>5541</v>
      </c>
      <c r="C214" s="85" t="s">
        <v>5992</v>
      </c>
      <c r="D214" s="85" t="s">
        <v>5992</v>
      </c>
    </row>
    <row r="215" spans="1:4" s="84" customFormat="1" ht="19.7" customHeight="1" x14ac:dyDescent="0.2">
      <c r="A215" s="86" t="s">
        <v>5578</v>
      </c>
      <c r="B215" s="86" t="s">
        <v>2594</v>
      </c>
      <c r="C215" s="86" t="s">
        <v>5993</v>
      </c>
      <c r="D215" s="86" t="s">
        <v>5994</v>
      </c>
    </row>
    <row r="216" spans="1:4" s="84" customFormat="1" ht="19.7" customHeight="1" x14ac:dyDescent="0.2">
      <c r="A216" s="85" t="s">
        <v>5479</v>
      </c>
      <c r="B216" s="85" t="s">
        <v>2603</v>
      </c>
      <c r="C216" s="85" t="s">
        <v>5995</v>
      </c>
      <c r="D216" s="85" t="s">
        <v>5996</v>
      </c>
    </row>
    <row r="217" spans="1:4" s="84" customFormat="1" ht="19.7" customHeight="1" x14ac:dyDescent="0.2">
      <c r="A217" s="86" t="s">
        <v>4847</v>
      </c>
      <c r="B217" s="86" t="s">
        <v>369</v>
      </c>
      <c r="C217" s="86" t="s">
        <v>5997</v>
      </c>
      <c r="D217" s="86" t="s">
        <v>5998</v>
      </c>
    </row>
    <row r="218" spans="1:4" s="84" customFormat="1" ht="19.7" customHeight="1" x14ac:dyDescent="0.2">
      <c r="A218" s="85" t="s">
        <v>5535</v>
      </c>
      <c r="B218" s="85" t="s">
        <v>5536</v>
      </c>
      <c r="C218" s="85" t="s">
        <v>5999</v>
      </c>
      <c r="D218" s="85" t="s">
        <v>6000</v>
      </c>
    </row>
    <row r="219" spans="1:4" s="84" customFormat="1" ht="19.7" customHeight="1" x14ac:dyDescent="0.2">
      <c r="A219" s="86" t="s">
        <v>4813</v>
      </c>
      <c r="B219" s="86" t="s">
        <v>2573</v>
      </c>
      <c r="C219" s="86" t="s">
        <v>6001</v>
      </c>
      <c r="D219" s="86" t="s">
        <v>6002</v>
      </c>
    </row>
    <row r="220" spans="1:4" s="84" customFormat="1" ht="19.7" customHeight="1" x14ac:dyDescent="0.2">
      <c r="A220" s="85" t="s">
        <v>4910</v>
      </c>
      <c r="B220" s="85" t="s">
        <v>366</v>
      </c>
      <c r="C220" s="85" t="s">
        <v>6003</v>
      </c>
      <c r="D220" s="85" t="s">
        <v>6004</v>
      </c>
    </row>
    <row r="221" spans="1:4" s="84" customFormat="1" ht="19.7" customHeight="1" x14ac:dyDescent="0.2">
      <c r="A221" s="86" t="s">
        <v>5669</v>
      </c>
      <c r="B221" s="86" t="s">
        <v>5670</v>
      </c>
      <c r="C221" s="86" t="s">
        <v>6005</v>
      </c>
      <c r="D221" s="86" t="s">
        <v>6005</v>
      </c>
    </row>
    <row r="222" spans="1:4" s="84" customFormat="1" ht="19.7" customHeight="1" x14ac:dyDescent="0.2">
      <c r="A222" s="85" t="s">
        <v>5552</v>
      </c>
      <c r="B222" s="85" t="s">
        <v>2582</v>
      </c>
      <c r="C222" s="85" t="s">
        <v>6006</v>
      </c>
      <c r="D222" s="85" t="s">
        <v>6007</v>
      </c>
    </row>
    <row r="223" spans="1:4" s="84" customFormat="1" ht="19.7" customHeight="1" x14ac:dyDescent="0.2">
      <c r="A223" s="86" t="s">
        <v>5435</v>
      </c>
      <c r="B223" s="86" t="s">
        <v>5436</v>
      </c>
      <c r="C223" s="86" t="s">
        <v>6008</v>
      </c>
      <c r="D223" s="86" t="s">
        <v>6009</v>
      </c>
    </row>
    <row r="224" spans="1:4" s="84" customFormat="1" ht="19.7" customHeight="1" x14ac:dyDescent="0.2">
      <c r="A224" s="85" t="s">
        <v>5147</v>
      </c>
      <c r="B224" s="85" t="s">
        <v>5148</v>
      </c>
      <c r="C224" s="85" t="s">
        <v>6010</v>
      </c>
      <c r="D224" s="85" t="s">
        <v>6010</v>
      </c>
    </row>
    <row r="225" spans="1:4" s="84" customFormat="1" ht="19.7" customHeight="1" x14ac:dyDescent="0.2">
      <c r="A225" s="86" t="s">
        <v>5537</v>
      </c>
      <c r="B225" s="86" t="s">
        <v>5538</v>
      </c>
      <c r="C225" s="86" t="s">
        <v>6011</v>
      </c>
      <c r="D225" s="86" t="s">
        <v>6012</v>
      </c>
    </row>
    <row r="226" spans="1:4" s="84" customFormat="1" ht="19.7" customHeight="1" x14ac:dyDescent="0.2">
      <c r="A226" s="85" t="s">
        <v>4815</v>
      </c>
      <c r="B226" s="85" t="s">
        <v>4676</v>
      </c>
      <c r="C226" s="85" t="s">
        <v>6013</v>
      </c>
      <c r="D226" s="85" t="s">
        <v>6014</v>
      </c>
    </row>
    <row r="227" spans="1:4" s="84" customFormat="1" ht="19.7" customHeight="1" x14ac:dyDescent="0.2">
      <c r="A227" s="86" t="s">
        <v>4911</v>
      </c>
      <c r="B227" s="86" t="s">
        <v>405</v>
      </c>
      <c r="C227" s="86" t="s">
        <v>6015</v>
      </c>
      <c r="D227" s="86" t="s">
        <v>6016</v>
      </c>
    </row>
    <row r="228" spans="1:4" s="84" customFormat="1" ht="19.7" customHeight="1" x14ac:dyDescent="0.2">
      <c r="A228" s="85" t="s">
        <v>5437</v>
      </c>
      <c r="B228" s="85" t="s">
        <v>5438</v>
      </c>
      <c r="C228" s="85" t="s">
        <v>6017</v>
      </c>
      <c r="D228" s="85" t="s">
        <v>6018</v>
      </c>
    </row>
    <row r="229" spans="1:4" s="84" customFormat="1" ht="19.7" customHeight="1" x14ac:dyDescent="0.2">
      <c r="A229" s="86" t="s">
        <v>5092</v>
      </c>
      <c r="B229" s="86" t="s">
        <v>2645</v>
      </c>
      <c r="C229" s="86" t="s">
        <v>6019</v>
      </c>
      <c r="D229" s="86" t="s">
        <v>6020</v>
      </c>
    </row>
    <row r="230" spans="1:4" s="84" customFormat="1" ht="19.7" customHeight="1" x14ac:dyDescent="0.2">
      <c r="A230" s="85" t="s">
        <v>5149</v>
      </c>
      <c r="B230" s="85" t="s">
        <v>5150</v>
      </c>
      <c r="C230" s="85" t="s">
        <v>6021</v>
      </c>
      <c r="D230" s="85" t="s">
        <v>6022</v>
      </c>
    </row>
    <row r="231" spans="1:4" s="84" customFormat="1" ht="19.7" customHeight="1" x14ac:dyDescent="0.2">
      <c r="A231" s="86" t="s">
        <v>5607</v>
      </c>
      <c r="B231" s="86" t="s">
        <v>5608</v>
      </c>
      <c r="C231" s="86" t="s">
        <v>6023</v>
      </c>
      <c r="D231" s="86" t="s">
        <v>6023</v>
      </c>
    </row>
    <row r="232" spans="1:4" s="84" customFormat="1" ht="19.7" customHeight="1" x14ac:dyDescent="0.2">
      <c r="A232" s="85" t="s">
        <v>4888</v>
      </c>
      <c r="B232" s="85" t="s">
        <v>29</v>
      </c>
      <c r="C232" s="85" t="s">
        <v>6024</v>
      </c>
      <c r="D232" s="85" t="s">
        <v>6025</v>
      </c>
    </row>
    <row r="233" spans="1:4" s="84" customFormat="1" ht="19.7" customHeight="1" x14ac:dyDescent="0.2">
      <c r="A233" s="86" t="s">
        <v>5093</v>
      </c>
      <c r="B233" s="86" t="s">
        <v>447</v>
      </c>
      <c r="C233" s="86" t="s">
        <v>6026</v>
      </c>
      <c r="D233" s="86" t="s">
        <v>6027</v>
      </c>
    </row>
    <row r="234" spans="1:4" s="84" customFormat="1" ht="19.7" customHeight="1" x14ac:dyDescent="0.2">
      <c r="A234" s="85" t="s">
        <v>5094</v>
      </c>
      <c r="B234" s="85" t="s">
        <v>5095</v>
      </c>
      <c r="C234" s="85" t="s">
        <v>6028</v>
      </c>
      <c r="D234" s="85" t="s">
        <v>6028</v>
      </c>
    </row>
    <row r="235" spans="1:4" s="84" customFormat="1" ht="19.7" customHeight="1" x14ac:dyDescent="0.2">
      <c r="A235" s="86" t="s">
        <v>5096</v>
      </c>
      <c r="B235" s="86" t="s">
        <v>5097</v>
      </c>
      <c r="C235" s="86" t="s">
        <v>6029</v>
      </c>
      <c r="D235" s="86" t="s">
        <v>6030</v>
      </c>
    </row>
    <row r="236" spans="1:4" s="84" customFormat="1" ht="19.7" customHeight="1" x14ac:dyDescent="0.2">
      <c r="A236" s="85" t="s">
        <v>5553</v>
      </c>
      <c r="B236" s="85" t="s">
        <v>2678</v>
      </c>
      <c r="C236" s="85" t="s">
        <v>6031</v>
      </c>
      <c r="D236" s="85" t="s">
        <v>6032</v>
      </c>
    </row>
    <row r="237" spans="1:4" s="84" customFormat="1" ht="19.7" customHeight="1" x14ac:dyDescent="0.2">
      <c r="A237" s="86" t="s">
        <v>5017</v>
      </c>
      <c r="B237" s="86" t="s">
        <v>5018</v>
      </c>
      <c r="C237" s="86" t="s">
        <v>6033</v>
      </c>
      <c r="D237" s="86" t="s">
        <v>6033</v>
      </c>
    </row>
    <row r="238" spans="1:4" s="84" customFormat="1" ht="19.7" customHeight="1" x14ac:dyDescent="0.2">
      <c r="A238" s="85" t="s">
        <v>5658</v>
      </c>
      <c r="B238" s="85" t="s">
        <v>2720</v>
      </c>
      <c r="C238" s="85" t="s">
        <v>6034</v>
      </c>
      <c r="D238" s="85" t="s">
        <v>6035</v>
      </c>
    </row>
    <row r="239" spans="1:4" s="84" customFormat="1" ht="19.7" customHeight="1" x14ac:dyDescent="0.2">
      <c r="A239" s="86" t="s">
        <v>4867</v>
      </c>
      <c r="B239" s="86" t="s">
        <v>473</v>
      </c>
      <c r="C239" s="86" t="s">
        <v>475</v>
      </c>
      <c r="D239" s="86" t="s">
        <v>6036</v>
      </c>
    </row>
    <row r="240" spans="1:4" s="84" customFormat="1" ht="19.7" customHeight="1" x14ac:dyDescent="0.2">
      <c r="A240" s="85" t="s">
        <v>5273</v>
      </c>
      <c r="B240" s="85" t="s">
        <v>5274</v>
      </c>
      <c r="C240" s="85" t="s">
        <v>6037</v>
      </c>
      <c r="D240" s="85" t="s">
        <v>6037</v>
      </c>
    </row>
    <row r="241" spans="1:4" s="84" customFormat="1" ht="19.7" customHeight="1" x14ac:dyDescent="0.2">
      <c r="A241" s="86" t="s">
        <v>5020</v>
      </c>
      <c r="B241" s="86" t="s">
        <v>2879</v>
      </c>
      <c r="C241" s="86" t="s">
        <v>6038</v>
      </c>
      <c r="D241" s="86" t="s">
        <v>6039</v>
      </c>
    </row>
    <row r="242" spans="1:4" s="84" customFormat="1" ht="19.7" customHeight="1" x14ac:dyDescent="0.2">
      <c r="A242" s="85" t="s">
        <v>5554</v>
      </c>
      <c r="B242" s="85" t="s">
        <v>2702</v>
      </c>
      <c r="C242" s="85" t="s">
        <v>6040</v>
      </c>
      <c r="D242" s="85" t="s">
        <v>6041</v>
      </c>
    </row>
    <row r="243" spans="1:4" s="84" customFormat="1" ht="19.7" customHeight="1" x14ac:dyDescent="0.2">
      <c r="A243" s="86" t="s">
        <v>5482</v>
      </c>
      <c r="B243" s="86" t="s">
        <v>2705</v>
      </c>
      <c r="C243" s="86" t="s">
        <v>6042</v>
      </c>
      <c r="D243" s="86" t="s">
        <v>6043</v>
      </c>
    </row>
    <row r="244" spans="1:4" s="84" customFormat="1" ht="19.7" customHeight="1" x14ac:dyDescent="0.2">
      <c r="A244" s="85" t="s">
        <v>5200</v>
      </c>
      <c r="B244" s="85" t="s">
        <v>5201</v>
      </c>
      <c r="C244" s="85" t="s">
        <v>6044</v>
      </c>
      <c r="D244" s="85" t="s">
        <v>6044</v>
      </c>
    </row>
    <row r="245" spans="1:4" s="84" customFormat="1" ht="19.7" customHeight="1" x14ac:dyDescent="0.2">
      <c r="A245" s="86" t="s">
        <v>4863</v>
      </c>
      <c r="B245" s="86" t="s">
        <v>4864</v>
      </c>
      <c r="C245" s="86" t="s">
        <v>6045</v>
      </c>
      <c r="D245" s="86" t="s">
        <v>6045</v>
      </c>
    </row>
    <row r="246" spans="1:4" s="84" customFormat="1" ht="19.7" customHeight="1" x14ac:dyDescent="0.2">
      <c r="A246" s="85" t="s">
        <v>5402</v>
      </c>
      <c r="B246" s="85" t="s">
        <v>5403</v>
      </c>
      <c r="C246" s="85" t="s">
        <v>6046</v>
      </c>
      <c r="D246" s="85" t="s">
        <v>6046</v>
      </c>
    </row>
    <row r="247" spans="1:4" s="84" customFormat="1" ht="19.7" customHeight="1" x14ac:dyDescent="0.2">
      <c r="A247" s="86" t="s">
        <v>5524</v>
      </c>
      <c r="B247" s="86" t="s">
        <v>36</v>
      </c>
      <c r="C247" s="86" t="s">
        <v>6047</v>
      </c>
      <c r="D247" s="86" t="s">
        <v>6048</v>
      </c>
    </row>
    <row r="248" spans="1:4" s="84" customFormat="1" ht="19.7" customHeight="1" x14ac:dyDescent="0.2">
      <c r="A248" s="85" t="s">
        <v>4998</v>
      </c>
      <c r="B248" s="85" t="s">
        <v>4999</v>
      </c>
      <c r="C248" s="85" t="s">
        <v>6049</v>
      </c>
      <c r="D248" s="85" t="s">
        <v>6049</v>
      </c>
    </row>
    <row r="249" spans="1:4" s="84" customFormat="1" ht="19.7" customHeight="1" x14ac:dyDescent="0.2">
      <c r="A249" s="86" t="s">
        <v>5047</v>
      </c>
      <c r="B249" s="86" t="s">
        <v>5048</v>
      </c>
      <c r="C249" s="86" t="s">
        <v>6050</v>
      </c>
      <c r="D249" s="86" t="s">
        <v>6050</v>
      </c>
    </row>
    <row r="250" spans="1:4" s="84" customFormat="1" ht="19.7" customHeight="1" x14ac:dyDescent="0.2">
      <c r="A250" s="85" t="s">
        <v>5098</v>
      </c>
      <c r="B250" s="85" t="s">
        <v>2753</v>
      </c>
      <c r="C250" s="85" t="s">
        <v>6051</v>
      </c>
      <c r="D250" s="85" t="s">
        <v>6052</v>
      </c>
    </row>
    <row r="251" spans="1:4" s="84" customFormat="1" ht="19.7" customHeight="1" x14ac:dyDescent="0.2">
      <c r="A251" s="86" t="s">
        <v>5439</v>
      </c>
      <c r="B251" s="86" t="s">
        <v>5440</v>
      </c>
      <c r="C251" s="86" t="s">
        <v>6053</v>
      </c>
      <c r="D251" s="86" t="s">
        <v>6054</v>
      </c>
    </row>
    <row r="252" spans="1:4" s="84" customFormat="1" ht="19.7" customHeight="1" x14ac:dyDescent="0.2">
      <c r="A252" s="85" t="s">
        <v>4889</v>
      </c>
      <c r="B252" s="85" t="s">
        <v>438</v>
      </c>
      <c r="C252" s="85" t="s">
        <v>6055</v>
      </c>
      <c r="D252" s="85" t="s">
        <v>6056</v>
      </c>
    </row>
    <row r="253" spans="1:4" s="84" customFormat="1" ht="19.7" customHeight="1" x14ac:dyDescent="0.2">
      <c r="A253" s="86" t="s">
        <v>4816</v>
      </c>
      <c r="B253" s="86" t="s">
        <v>4817</v>
      </c>
      <c r="C253" s="86" t="s">
        <v>6057</v>
      </c>
      <c r="D253" s="86" t="s">
        <v>6057</v>
      </c>
    </row>
    <row r="254" spans="1:4" s="84" customFormat="1" ht="19.7" customHeight="1" x14ac:dyDescent="0.2">
      <c r="A254" s="85" t="s">
        <v>5404</v>
      </c>
      <c r="B254" s="85" t="s">
        <v>5405</v>
      </c>
      <c r="C254" s="85" t="s">
        <v>6058</v>
      </c>
      <c r="D254" s="85" t="s">
        <v>6058</v>
      </c>
    </row>
    <row r="255" spans="1:4" s="84" customFormat="1" ht="19.7" customHeight="1" x14ac:dyDescent="0.2">
      <c r="A255" s="86" t="s">
        <v>5069</v>
      </c>
      <c r="B255" s="86" t="s">
        <v>5070</v>
      </c>
      <c r="C255" s="86" t="s">
        <v>6059</v>
      </c>
      <c r="D255" s="86" t="s">
        <v>6060</v>
      </c>
    </row>
    <row r="256" spans="1:4" s="84" customFormat="1" ht="19.7" customHeight="1" x14ac:dyDescent="0.2">
      <c r="A256" s="85" t="s">
        <v>5151</v>
      </c>
      <c r="B256" s="85" t="s">
        <v>5152</v>
      </c>
      <c r="C256" s="85" t="s">
        <v>6061</v>
      </c>
      <c r="D256" s="85" t="s">
        <v>6061</v>
      </c>
    </row>
    <row r="257" spans="1:4" s="84" customFormat="1" ht="19.7" customHeight="1" x14ac:dyDescent="0.2">
      <c r="A257" s="86" t="s">
        <v>5099</v>
      </c>
      <c r="B257" s="86" t="s">
        <v>491</v>
      </c>
      <c r="C257" s="86" t="s">
        <v>6062</v>
      </c>
      <c r="D257" s="86" t="s">
        <v>6063</v>
      </c>
    </row>
    <row r="258" spans="1:4" s="84" customFormat="1" ht="19.7" customHeight="1" x14ac:dyDescent="0.2">
      <c r="A258" s="85" t="s">
        <v>4818</v>
      </c>
      <c r="B258" s="85" t="s">
        <v>494</v>
      </c>
      <c r="C258" s="85" t="s">
        <v>6064</v>
      </c>
      <c r="D258" s="85" t="s">
        <v>6065</v>
      </c>
    </row>
    <row r="259" spans="1:4" s="84" customFormat="1" ht="19.7" customHeight="1" x14ac:dyDescent="0.2">
      <c r="A259" s="86" t="s">
        <v>5512</v>
      </c>
      <c r="B259" s="86" t="s">
        <v>500</v>
      </c>
      <c r="C259" s="86" t="s">
        <v>6066</v>
      </c>
      <c r="D259" s="86" t="s">
        <v>6067</v>
      </c>
    </row>
    <row r="260" spans="1:4" s="84" customFormat="1" ht="19.7" customHeight="1" x14ac:dyDescent="0.2">
      <c r="A260" s="85" t="s">
        <v>4912</v>
      </c>
      <c r="B260" s="85" t="s">
        <v>28</v>
      </c>
      <c r="C260" s="85" t="s">
        <v>6068</v>
      </c>
      <c r="D260" s="85" t="s">
        <v>6069</v>
      </c>
    </row>
    <row r="261" spans="1:4" s="84" customFormat="1" ht="19.7" customHeight="1" x14ac:dyDescent="0.2">
      <c r="A261" s="86" t="s">
        <v>4819</v>
      </c>
      <c r="B261" s="86" t="s">
        <v>4820</v>
      </c>
      <c r="C261" s="86" t="s">
        <v>6070</v>
      </c>
      <c r="D261" s="86" t="s">
        <v>6071</v>
      </c>
    </row>
    <row r="262" spans="1:4" s="84" customFormat="1" ht="19.7" customHeight="1" x14ac:dyDescent="0.2">
      <c r="A262" s="85" t="s">
        <v>4843</v>
      </c>
      <c r="B262" s="85" t="s">
        <v>4844</v>
      </c>
      <c r="C262" s="85" t="s">
        <v>6072</v>
      </c>
      <c r="D262" s="85" t="s">
        <v>6073</v>
      </c>
    </row>
    <row r="263" spans="1:4" s="84" customFormat="1" ht="19.7" customHeight="1" x14ac:dyDescent="0.2">
      <c r="A263" s="86" t="s">
        <v>5595</v>
      </c>
      <c r="B263" s="86" t="s">
        <v>5596</v>
      </c>
      <c r="C263" s="86" t="s">
        <v>6074</v>
      </c>
      <c r="D263" s="86" t="s">
        <v>6074</v>
      </c>
    </row>
    <row r="264" spans="1:4" s="84" customFormat="1" ht="19.7" customHeight="1" x14ac:dyDescent="0.2">
      <c r="A264" s="85" t="s">
        <v>5284</v>
      </c>
      <c r="B264" s="85" t="s">
        <v>5285</v>
      </c>
      <c r="C264" s="85" t="s">
        <v>6075</v>
      </c>
      <c r="D264" s="85" t="s">
        <v>6076</v>
      </c>
    </row>
    <row r="265" spans="1:4" s="84" customFormat="1" ht="19.7" customHeight="1" x14ac:dyDescent="0.2">
      <c r="A265" s="86" t="s">
        <v>5542</v>
      </c>
      <c r="B265" s="86" t="s">
        <v>5543</v>
      </c>
      <c r="C265" s="86" t="s">
        <v>6077</v>
      </c>
      <c r="D265" s="86" t="s">
        <v>6077</v>
      </c>
    </row>
    <row r="266" spans="1:4" s="84" customFormat="1" ht="19.7" customHeight="1" x14ac:dyDescent="0.2">
      <c r="A266" s="85" t="s">
        <v>5153</v>
      </c>
      <c r="B266" s="85" t="s">
        <v>5154</v>
      </c>
      <c r="C266" s="85" t="s">
        <v>6078</v>
      </c>
      <c r="D266" s="85" t="s">
        <v>6079</v>
      </c>
    </row>
    <row r="267" spans="1:4" s="84" customFormat="1" ht="19.7" customHeight="1" x14ac:dyDescent="0.2">
      <c r="A267" s="86" t="s">
        <v>5406</v>
      </c>
      <c r="B267" s="86" t="s">
        <v>5407</v>
      </c>
      <c r="C267" s="86" t="s">
        <v>6080</v>
      </c>
      <c r="D267" s="86" t="s">
        <v>6081</v>
      </c>
    </row>
    <row r="268" spans="1:4" s="84" customFormat="1" ht="19.7" customHeight="1" x14ac:dyDescent="0.2">
      <c r="A268" s="85" t="s">
        <v>5408</v>
      </c>
      <c r="B268" s="85" t="s">
        <v>5409</v>
      </c>
      <c r="C268" s="85" t="s">
        <v>6082</v>
      </c>
      <c r="D268" s="85" t="s">
        <v>6082</v>
      </c>
    </row>
    <row r="269" spans="1:4" s="84" customFormat="1" ht="19.7" customHeight="1" x14ac:dyDescent="0.2">
      <c r="A269" s="86" t="s">
        <v>4848</v>
      </c>
      <c r="B269" s="86" t="s">
        <v>511</v>
      </c>
      <c r="C269" s="86" t="s">
        <v>6083</v>
      </c>
      <c r="D269" s="86" t="s">
        <v>6084</v>
      </c>
    </row>
    <row r="270" spans="1:4" s="84" customFormat="1" ht="19.7" customHeight="1" x14ac:dyDescent="0.2">
      <c r="A270" s="85" t="s">
        <v>4922</v>
      </c>
      <c r="B270" s="85" t="s">
        <v>4923</v>
      </c>
      <c r="C270" s="85" t="s">
        <v>6085</v>
      </c>
      <c r="D270" s="85" t="s">
        <v>6085</v>
      </c>
    </row>
    <row r="271" spans="1:4" s="84" customFormat="1" ht="19.7" customHeight="1" x14ac:dyDescent="0.2">
      <c r="A271" s="86" t="s">
        <v>4982</v>
      </c>
      <c r="B271" s="86" t="s">
        <v>4983</v>
      </c>
      <c r="C271" s="86" t="s">
        <v>6086</v>
      </c>
      <c r="D271" s="86" t="s">
        <v>6087</v>
      </c>
    </row>
    <row r="272" spans="1:4" s="84" customFormat="1" ht="19.7" customHeight="1" x14ac:dyDescent="0.2">
      <c r="A272" s="85" t="s">
        <v>5579</v>
      </c>
      <c r="B272" s="85" t="s">
        <v>3008</v>
      </c>
      <c r="C272" s="85" t="s">
        <v>6088</v>
      </c>
      <c r="D272" s="85" t="s">
        <v>6089</v>
      </c>
    </row>
    <row r="273" spans="1:4" s="84" customFormat="1" ht="19.7" customHeight="1" x14ac:dyDescent="0.2">
      <c r="A273" s="86" t="s">
        <v>5580</v>
      </c>
      <c r="B273" s="86" t="s">
        <v>3002</v>
      </c>
      <c r="C273" s="86" t="s">
        <v>6090</v>
      </c>
      <c r="D273" s="86" t="s">
        <v>6091</v>
      </c>
    </row>
    <row r="274" spans="1:4" s="84" customFormat="1" ht="19.7" customHeight="1" x14ac:dyDescent="0.2">
      <c r="A274" s="85" t="s">
        <v>5525</v>
      </c>
      <c r="B274" s="85" t="s">
        <v>517</v>
      </c>
      <c r="C274" s="85" t="s">
        <v>6092</v>
      </c>
      <c r="D274" s="85" t="s">
        <v>6093</v>
      </c>
    </row>
    <row r="275" spans="1:4" s="84" customFormat="1" ht="19.7" customHeight="1" x14ac:dyDescent="0.2">
      <c r="A275" s="86" t="s">
        <v>4849</v>
      </c>
      <c r="B275" s="86" t="s">
        <v>4850</v>
      </c>
      <c r="C275" s="86" t="s">
        <v>6094</v>
      </c>
      <c r="D275" s="86" t="s">
        <v>6094</v>
      </c>
    </row>
    <row r="276" spans="1:4" s="84" customFormat="1" ht="19.7" customHeight="1" x14ac:dyDescent="0.2">
      <c r="A276" s="85" t="s">
        <v>4947</v>
      </c>
      <c r="B276" s="85" t="s">
        <v>4948</v>
      </c>
      <c r="C276" s="85" t="s">
        <v>6095</v>
      </c>
      <c r="D276" s="85" t="s">
        <v>6095</v>
      </c>
    </row>
    <row r="277" spans="1:4" s="84" customFormat="1" ht="19.7" customHeight="1" x14ac:dyDescent="0.2">
      <c r="A277" s="86" t="s">
        <v>5177</v>
      </c>
      <c r="B277" s="86" t="s">
        <v>5178</v>
      </c>
      <c r="C277" s="86" t="s">
        <v>6096</v>
      </c>
      <c r="D277" s="86" t="s">
        <v>6096</v>
      </c>
    </row>
    <row r="278" spans="1:4" s="84" customFormat="1" ht="19.7" customHeight="1" x14ac:dyDescent="0.2">
      <c r="A278" s="85" t="s">
        <v>5410</v>
      </c>
      <c r="B278" s="85" t="s">
        <v>5411</v>
      </c>
      <c r="C278" s="85" t="s">
        <v>6097</v>
      </c>
      <c r="D278" s="85" t="s">
        <v>6098</v>
      </c>
    </row>
    <row r="279" spans="1:4" s="84" customFormat="1" ht="19.7" customHeight="1" x14ac:dyDescent="0.2">
      <c r="A279" s="86" t="s">
        <v>5555</v>
      </c>
      <c r="B279" s="86" t="s">
        <v>3089</v>
      </c>
      <c r="C279" s="86" t="s">
        <v>6099</v>
      </c>
      <c r="D279" s="86" t="s">
        <v>6100</v>
      </c>
    </row>
    <row r="280" spans="1:4" s="84" customFormat="1" ht="19.7" customHeight="1" x14ac:dyDescent="0.2">
      <c r="A280" s="85" t="s">
        <v>5341</v>
      </c>
      <c r="B280" s="85" t="s">
        <v>5342</v>
      </c>
      <c r="C280" s="85" t="s">
        <v>6101</v>
      </c>
      <c r="D280" s="85" t="s">
        <v>6101</v>
      </c>
    </row>
    <row r="281" spans="1:4" s="84" customFormat="1" ht="19.7" customHeight="1" x14ac:dyDescent="0.2">
      <c r="A281" s="86" t="s">
        <v>5049</v>
      </c>
      <c r="B281" s="86" t="s">
        <v>5050</v>
      </c>
      <c r="C281" s="86" t="s">
        <v>6102</v>
      </c>
      <c r="D281" s="86" t="s">
        <v>6102</v>
      </c>
    </row>
    <row r="282" spans="1:4" s="84" customFormat="1" ht="19.7" customHeight="1" x14ac:dyDescent="0.2">
      <c r="A282" s="85" t="s">
        <v>5597</v>
      </c>
      <c r="B282" s="85" t="s">
        <v>5598</v>
      </c>
      <c r="C282" s="85" t="s">
        <v>6103</v>
      </c>
      <c r="D282" s="85" t="s">
        <v>6103</v>
      </c>
    </row>
    <row r="283" spans="1:4" s="84" customFormat="1" ht="19.7" customHeight="1" x14ac:dyDescent="0.2">
      <c r="A283" s="86" t="s">
        <v>5155</v>
      </c>
      <c r="B283" s="86" t="s">
        <v>5156</v>
      </c>
      <c r="C283" s="86" t="s">
        <v>6104</v>
      </c>
      <c r="D283" s="86" t="s">
        <v>6105</v>
      </c>
    </row>
    <row r="284" spans="1:4" s="84" customFormat="1" ht="19.7" customHeight="1" x14ac:dyDescent="0.2">
      <c r="A284" s="85" t="s">
        <v>5000</v>
      </c>
      <c r="B284" s="85" t="s">
        <v>5001</v>
      </c>
      <c r="C284" s="85" t="s">
        <v>6106</v>
      </c>
      <c r="D284" s="85" t="s">
        <v>6106</v>
      </c>
    </row>
    <row r="285" spans="1:4" s="84" customFormat="1" ht="19.7" customHeight="1" x14ac:dyDescent="0.2">
      <c r="A285" s="86" t="s">
        <v>5184</v>
      </c>
      <c r="B285" s="86" t="s">
        <v>5185</v>
      </c>
      <c r="C285" s="86" t="s">
        <v>6107</v>
      </c>
      <c r="D285" s="86" t="s">
        <v>6107</v>
      </c>
    </row>
    <row r="286" spans="1:4" s="84" customFormat="1" ht="19.7" customHeight="1" x14ac:dyDescent="0.2">
      <c r="A286" s="85" t="s">
        <v>5258</v>
      </c>
      <c r="B286" s="85" t="s">
        <v>5259</v>
      </c>
      <c r="C286" s="85" t="s">
        <v>6108</v>
      </c>
      <c r="D286" s="85" t="s">
        <v>6108</v>
      </c>
    </row>
    <row r="287" spans="1:4" s="84" customFormat="1" ht="19.7" customHeight="1" x14ac:dyDescent="0.2">
      <c r="A287" s="86" t="s">
        <v>4950</v>
      </c>
      <c r="B287" s="86" t="s">
        <v>4951</v>
      </c>
      <c r="C287" s="86" t="s">
        <v>6109</v>
      </c>
      <c r="D287" s="86" t="s">
        <v>6109</v>
      </c>
    </row>
    <row r="288" spans="1:4" s="84" customFormat="1" ht="19.7" customHeight="1" x14ac:dyDescent="0.2">
      <c r="A288" s="85" t="s">
        <v>5291</v>
      </c>
      <c r="B288" s="85" t="s">
        <v>5292</v>
      </c>
      <c r="C288" s="85" t="s">
        <v>6110</v>
      </c>
      <c r="D288" s="85" t="s">
        <v>6110</v>
      </c>
    </row>
    <row r="289" spans="1:4" s="84" customFormat="1" ht="19.7" customHeight="1" x14ac:dyDescent="0.2">
      <c r="A289" s="86" t="s">
        <v>5051</v>
      </c>
      <c r="B289" s="86" t="s">
        <v>5052</v>
      </c>
      <c r="C289" s="86" t="s">
        <v>6111</v>
      </c>
      <c r="D289" s="86" t="s">
        <v>6111</v>
      </c>
    </row>
    <row r="290" spans="1:4" s="84" customFormat="1" ht="19.7" customHeight="1" x14ac:dyDescent="0.2">
      <c r="A290" s="85" t="s">
        <v>4965</v>
      </c>
      <c r="B290" s="85" t="s">
        <v>4966</v>
      </c>
      <c r="C290" s="85" t="s">
        <v>6112</v>
      </c>
      <c r="D290" s="85" t="s">
        <v>6112</v>
      </c>
    </row>
    <row r="291" spans="1:4" s="84" customFormat="1" ht="19.7" customHeight="1" x14ac:dyDescent="0.2">
      <c r="A291" s="86" t="s">
        <v>5053</v>
      </c>
      <c r="B291" s="86" t="s">
        <v>5054</v>
      </c>
      <c r="C291" s="86" t="s">
        <v>6113</v>
      </c>
      <c r="D291" s="86" t="s">
        <v>6113</v>
      </c>
    </row>
    <row r="292" spans="1:4" s="84" customFormat="1" ht="19.7" customHeight="1" x14ac:dyDescent="0.2">
      <c r="A292" s="85" t="s">
        <v>5441</v>
      </c>
      <c r="B292" s="85" t="s">
        <v>5442</v>
      </c>
      <c r="C292" s="85" t="s">
        <v>6114</v>
      </c>
      <c r="D292" s="85" t="s">
        <v>6114</v>
      </c>
    </row>
    <row r="293" spans="1:4" s="84" customFormat="1" ht="19.7" customHeight="1" x14ac:dyDescent="0.2">
      <c r="A293" s="86" t="s">
        <v>5157</v>
      </c>
      <c r="B293" s="86" t="s">
        <v>5158</v>
      </c>
      <c r="C293" s="86" t="s">
        <v>6115</v>
      </c>
      <c r="D293" s="86" t="s">
        <v>6115</v>
      </c>
    </row>
    <row r="294" spans="1:4" s="84" customFormat="1" ht="19.7" customHeight="1" x14ac:dyDescent="0.2">
      <c r="A294" s="85" t="s">
        <v>5024</v>
      </c>
      <c r="B294" s="85" t="s">
        <v>5025</v>
      </c>
      <c r="C294" s="85" t="s">
        <v>6116</v>
      </c>
      <c r="D294" s="85" t="s">
        <v>6117</v>
      </c>
    </row>
    <row r="295" spans="1:4" s="84" customFormat="1" ht="19.7" customHeight="1" x14ac:dyDescent="0.2">
      <c r="A295" s="86" t="s">
        <v>4913</v>
      </c>
      <c r="B295" s="86" t="s">
        <v>4914</v>
      </c>
      <c r="C295" s="86" t="s">
        <v>6118</v>
      </c>
      <c r="D295" s="86" t="s">
        <v>6118</v>
      </c>
    </row>
    <row r="296" spans="1:4" s="84" customFormat="1" ht="19.7" customHeight="1" x14ac:dyDescent="0.2">
      <c r="A296" s="85" t="s">
        <v>5100</v>
      </c>
      <c r="B296" s="85" t="s">
        <v>5101</v>
      </c>
      <c r="C296" s="85" t="s">
        <v>6119</v>
      </c>
      <c r="D296" s="85" t="s">
        <v>6120</v>
      </c>
    </row>
    <row r="297" spans="1:4" s="84" customFormat="1" ht="19.7" customHeight="1" x14ac:dyDescent="0.2">
      <c r="A297" s="86" t="s">
        <v>5102</v>
      </c>
      <c r="B297" s="86" t="s">
        <v>5103</v>
      </c>
      <c r="C297" s="86" t="s">
        <v>6121</v>
      </c>
      <c r="D297" s="86" t="s">
        <v>6122</v>
      </c>
    </row>
    <row r="298" spans="1:4" s="84" customFormat="1" ht="19.7" customHeight="1" x14ac:dyDescent="0.2">
      <c r="A298" s="85" t="s">
        <v>4924</v>
      </c>
      <c r="B298" s="85" t="s">
        <v>829</v>
      </c>
      <c r="C298" s="85" t="s">
        <v>6123</v>
      </c>
      <c r="D298" s="85" t="s">
        <v>6124</v>
      </c>
    </row>
    <row r="299" spans="1:4" s="84" customFormat="1" ht="19.7" customHeight="1" x14ac:dyDescent="0.2">
      <c r="A299" s="86" t="s">
        <v>4956</v>
      </c>
      <c r="B299" s="86" t="s">
        <v>4957</v>
      </c>
      <c r="C299" s="86" t="s">
        <v>6125</v>
      </c>
      <c r="D299" s="86" t="s">
        <v>6125</v>
      </c>
    </row>
    <row r="300" spans="1:4" s="84" customFormat="1" ht="19.7" customHeight="1" x14ac:dyDescent="0.2">
      <c r="A300" s="85" t="s">
        <v>5556</v>
      </c>
      <c r="B300" s="85" t="s">
        <v>3146</v>
      </c>
      <c r="C300" s="85" t="s">
        <v>6126</v>
      </c>
      <c r="D300" s="85" t="s">
        <v>6127</v>
      </c>
    </row>
    <row r="301" spans="1:4" s="84" customFormat="1" ht="19.7" customHeight="1" x14ac:dyDescent="0.2">
      <c r="A301" s="86" t="s">
        <v>5557</v>
      </c>
      <c r="B301" s="86" t="s">
        <v>3155</v>
      </c>
      <c r="C301" s="86" t="s">
        <v>6128</v>
      </c>
      <c r="D301" s="86" t="s">
        <v>6129</v>
      </c>
    </row>
    <row r="302" spans="1:4" s="84" customFormat="1" ht="19.7" customHeight="1" x14ac:dyDescent="0.2">
      <c r="A302" s="85" t="s">
        <v>5128</v>
      </c>
      <c r="B302" s="85" t="s">
        <v>4683</v>
      </c>
      <c r="C302" s="85" t="s">
        <v>6130</v>
      </c>
      <c r="D302" s="85" t="s">
        <v>6131</v>
      </c>
    </row>
    <row r="303" spans="1:4" s="84" customFormat="1" ht="19.7" customHeight="1" x14ac:dyDescent="0.2">
      <c r="A303" s="86" t="s">
        <v>5558</v>
      </c>
      <c r="B303" s="86" t="s">
        <v>3158</v>
      </c>
      <c r="C303" s="86" t="s">
        <v>6132</v>
      </c>
      <c r="D303" s="86" t="s">
        <v>6133</v>
      </c>
    </row>
    <row r="304" spans="1:4" s="84" customFormat="1" ht="19.7" customHeight="1" x14ac:dyDescent="0.2">
      <c r="A304" s="85" t="s">
        <v>5652</v>
      </c>
      <c r="B304" s="85" t="s">
        <v>3191</v>
      </c>
      <c r="C304" s="85" t="s">
        <v>6134</v>
      </c>
      <c r="D304" s="85" t="s">
        <v>6135</v>
      </c>
    </row>
    <row r="305" spans="1:4" s="84" customFormat="1" ht="19.7" customHeight="1" x14ac:dyDescent="0.2">
      <c r="A305" s="86" t="s">
        <v>5104</v>
      </c>
      <c r="B305" s="86" t="s">
        <v>3170</v>
      </c>
      <c r="C305" s="86" t="s">
        <v>6136</v>
      </c>
      <c r="D305" s="86" t="s">
        <v>6137</v>
      </c>
    </row>
    <row r="306" spans="1:4" s="84" customFormat="1" ht="19.7" customHeight="1" x14ac:dyDescent="0.2">
      <c r="A306" s="85" t="s">
        <v>4892</v>
      </c>
      <c r="B306" s="85" t="s">
        <v>568</v>
      </c>
      <c r="C306" s="85" t="s">
        <v>6138</v>
      </c>
      <c r="D306" s="85" t="s">
        <v>6139</v>
      </c>
    </row>
    <row r="307" spans="1:4" s="84" customFormat="1" ht="19.7" customHeight="1" x14ac:dyDescent="0.2">
      <c r="A307" s="86" t="s">
        <v>4821</v>
      </c>
      <c r="B307" s="86" t="s">
        <v>42</v>
      </c>
      <c r="C307" s="86" t="s">
        <v>6140</v>
      </c>
      <c r="D307" s="86" t="s">
        <v>6141</v>
      </c>
    </row>
    <row r="308" spans="1:4" s="84" customFormat="1" ht="19.7" customHeight="1" x14ac:dyDescent="0.2">
      <c r="A308" s="85" t="s">
        <v>5260</v>
      </c>
      <c r="B308" s="85" t="s">
        <v>5261</v>
      </c>
      <c r="C308" s="85" t="s">
        <v>6142</v>
      </c>
      <c r="D308" s="85" t="s">
        <v>6142</v>
      </c>
    </row>
    <row r="309" spans="1:4" s="84" customFormat="1" ht="19.7" customHeight="1" x14ac:dyDescent="0.2">
      <c r="A309" s="86" t="s">
        <v>4984</v>
      </c>
      <c r="B309" s="86" t="s">
        <v>4985</v>
      </c>
      <c r="C309" s="86" t="s">
        <v>6143</v>
      </c>
      <c r="D309" s="86" t="s">
        <v>6144</v>
      </c>
    </row>
    <row r="310" spans="1:4" s="84" customFormat="1" ht="19.7" customHeight="1" x14ac:dyDescent="0.2">
      <c r="A310" s="85" t="s">
        <v>5564</v>
      </c>
      <c r="B310" s="85" t="s">
        <v>3260</v>
      </c>
      <c r="C310" s="85" t="s">
        <v>6145</v>
      </c>
      <c r="D310" s="85" t="s">
        <v>6146</v>
      </c>
    </row>
    <row r="311" spans="1:4" s="84" customFormat="1" ht="19.7" customHeight="1" x14ac:dyDescent="0.2">
      <c r="A311" s="86" t="s">
        <v>5105</v>
      </c>
      <c r="B311" s="86" t="s">
        <v>553</v>
      </c>
      <c r="C311" s="86" t="s">
        <v>6147</v>
      </c>
      <c r="D311" s="86" t="s">
        <v>6148</v>
      </c>
    </row>
    <row r="312" spans="1:4" s="84" customFormat="1" ht="19.7" customHeight="1" x14ac:dyDescent="0.2">
      <c r="A312" s="85" t="s">
        <v>5412</v>
      </c>
      <c r="B312" s="85" t="s">
        <v>5413</v>
      </c>
      <c r="C312" s="85" t="s">
        <v>6149</v>
      </c>
      <c r="D312" s="85" t="s">
        <v>6150</v>
      </c>
    </row>
    <row r="313" spans="1:4" s="84" customFormat="1" ht="19.7" customHeight="1" x14ac:dyDescent="0.2">
      <c r="A313" s="86" t="s">
        <v>4834</v>
      </c>
      <c r="B313" s="86" t="s">
        <v>51</v>
      </c>
      <c r="C313" s="86" t="s">
        <v>6151</v>
      </c>
      <c r="D313" s="86" t="s">
        <v>6151</v>
      </c>
    </row>
    <row r="314" spans="1:4" s="84" customFormat="1" ht="19.7" customHeight="1" x14ac:dyDescent="0.2">
      <c r="A314" s="85" t="s">
        <v>5275</v>
      </c>
      <c r="B314" s="85" t="s">
        <v>5276</v>
      </c>
      <c r="C314" s="85" t="s">
        <v>6152</v>
      </c>
      <c r="D314" s="85" t="s">
        <v>6152</v>
      </c>
    </row>
    <row r="315" spans="1:4" s="84" customFormat="1" ht="19.7" customHeight="1" x14ac:dyDescent="0.2">
      <c r="A315" s="86" t="s">
        <v>5186</v>
      </c>
      <c r="B315" s="86" t="s">
        <v>5187</v>
      </c>
      <c r="C315" s="86" t="s">
        <v>6153</v>
      </c>
      <c r="D315" s="86" t="s">
        <v>6154</v>
      </c>
    </row>
    <row r="316" spans="1:4" s="84" customFormat="1" ht="19.7" customHeight="1" x14ac:dyDescent="0.2">
      <c r="A316" s="85" t="s">
        <v>5581</v>
      </c>
      <c r="B316" s="85" t="s">
        <v>3341</v>
      </c>
      <c r="C316" s="85" t="s">
        <v>6155</v>
      </c>
      <c r="D316" s="85" t="s">
        <v>6156</v>
      </c>
    </row>
    <row r="317" spans="1:4" s="84" customFormat="1" ht="19.7" customHeight="1" x14ac:dyDescent="0.2">
      <c r="A317" s="86" t="s">
        <v>5262</v>
      </c>
      <c r="B317" s="86" t="s">
        <v>5263</v>
      </c>
      <c r="C317" s="86" t="s">
        <v>6157</v>
      </c>
      <c r="D317" s="86" t="s">
        <v>6158</v>
      </c>
    </row>
    <row r="318" spans="1:4" s="84" customFormat="1" ht="19.7" customHeight="1" x14ac:dyDescent="0.2">
      <c r="A318" s="85" t="s">
        <v>5582</v>
      </c>
      <c r="B318" s="85" t="s">
        <v>3455</v>
      </c>
      <c r="C318" s="85" t="s">
        <v>6159</v>
      </c>
      <c r="D318" s="85" t="s">
        <v>6160</v>
      </c>
    </row>
    <row r="319" spans="1:4" s="84" customFormat="1" ht="19.7" customHeight="1" x14ac:dyDescent="0.2">
      <c r="A319" s="86" t="s">
        <v>5544</v>
      </c>
      <c r="B319" s="86" t="s">
        <v>5545</v>
      </c>
      <c r="C319" s="86" t="s">
        <v>6161</v>
      </c>
      <c r="D319" s="86" t="s">
        <v>6161</v>
      </c>
    </row>
    <row r="320" spans="1:4" s="84" customFormat="1" ht="19.7" customHeight="1" x14ac:dyDescent="0.2">
      <c r="A320" s="85" t="s">
        <v>5583</v>
      </c>
      <c r="B320" s="85" t="s">
        <v>5584</v>
      </c>
      <c r="C320" s="85" t="s">
        <v>6162</v>
      </c>
      <c r="D320" s="85" t="s">
        <v>6163</v>
      </c>
    </row>
    <row r="321" spans="1:4" s="84" customFormat="1" ht="19.7" customHeight="1" x14ac:dyDescent="0.2">
      <c r="A321" s="86" t="s">
        <v>4893</v>
      </c>
      <c r="B321" s="86" t="s">
        <v>604</v>
      </c>
      <c r="C321" s="86" t="s">
        <v>6164</v>
      </c>
      <c r="D321" s="86" t="s">
        <v>6165</v>
      </c>
    </row>
    <row r="322" spans="1:4" s="84" customFormat="1" ht="19.7" customHeight="1" x14ac:dyDescent="0.2">
      <c r="A322" s="85" t="s">
        <v>5443</v>
      </c>
      <c r="B322" s="85" t="s">
        <v>5444</v>
      </c>
      <c r="C322" s="85" t="s">
        <v>6166</v>
      </c>
      <c r="D322" s="85" t="s">
        <v>6167</v>
      </c>
    </row>
    <row r="323" spans="1:4" s="84" customFormat="1" ht="19.7" customHeight="1" x14ac:dyDescent="0.2">
      <c r="A323" s="86" t="s">
        <v>5232</v>
      </c>
      <c r="B323" s="86" t="s">
        <v>5233</v>
      </c>
      <c r="C323" s="86" t="s">
        <v>6168</v>
      </c>
      <c r="D323" s="86" t="s">
        <v>6169</v>
      </c>
    </row>
    <row r="324" spans="1:4" s="84" customFormat="1" ht="19.7" customHeight="1" x14ac:dyDescent="0.2">
      <c r="A324" s="85" t="s">
        <v>5614</v>
      </c>
      <c r="B324" s="85" t="s">
        <v>5615</v>
      </c>
      <c r="C324" s="85" t="s">
        <v>6170</v>
      </c>
      <c r="D324" s="85" t="s">
        <v>6171</v>
      </c>
    </row>
    <row r="325" spans="1:4" s="84" customFormat="1" ht="19.7" customHeight="1" x14ac:dyDescent="0.2">
      <c r="A325" s="86" t="s">
        <v>5315</v>
      </c>
      <c r="B325" s="86" t="s">
        <v>3491</v>
      </c>
      <c r="C325" s="86" t="s">
        <v>6172</v>
      </c>
      <c r="D325" s="86" t="s">
        <v>6173</v>
      </c>
    </row>
    <row r="326" spans="1:4" s="84" customFormat="1" ht="19.7" customHeight="1" x14ac:dyDescent="0.2">
      <c r="A326" s="85" t="s">
        <v>5602</v>
      </c>
      <c r="B326" s="85" t="s">
        <v>3512</v>
      </c>
      <c r="C326" s="85" t="s">
        <v>6174</v>
      </c>
      <c r="D326" s="85" t="s">
        <v>6175</v>
      </c>
    </row>
    <row r="327" spans="1:4" s="84" customFormat="1" ht="19.7" customHeight="1" x14ac:dyDescent="0.2">
      <c r="A327" s="86" t="s">
        <v>5129</v>
      </c>
      <c r="B327" s="86" t="s">
        <v>4646</v>
      </c>
      <c r="C327" s="86" t="s">
        <v>6176</v>
      </c>
      <c r="D327" s="86" t="s">
        <v>6177</v>
      </c>
    </row>
    <row r="328" spans="1:4" s="84" customFormat="1" ht="19.7" customHeight="1" x14ac:dyDescent="0.2">
      <c r="A328" s="85" t="s">
        <v>5526</v>
      </c>
      <c r="B328" s="85" t="s">
        <v>607</v>
      </c>
      <c r="C328" s="85" t="s">
        <v>6178</v>
      </c>
      <c r="D328" s="85" t="s">
        <v>6179</v>
      </c>
    </row>
    <row r="329" spans="1:4" s="84" customFormat="1" ht="19.7" customHeight="1" x14ac:dyDescent="0.2">
      <c r="A329" s="86" t="s">
        <v>5527</v>
      </c>
      <c r="B329" s="86" t="s">
        <v>610</v>
      </c>
      <c r="C329" s="86" t="s">
        <v>6180</v>
      </c>
      <c r="D329" s="86" t="s">
        <v>6181</v>
      </c>
    </row>
    <row r="330" spans="1:4" s="84" customFormat="1" ht="19.7" customHeight="1" x14ac:dyDescent="0.2">
      <c r="A330" s="85" t="s">
        <v>4822</v>
      </c>
      <c r="B330" s="85" t="s">
        <v>613</v>
      </c>
      <c r="C330" s="85" t="s">
        <v>6182</v>
      </c>
      <c r="D330" s="85" t="s">
        <v>6183</v>
      </c>
    </row>
    <row r="331" spans="1:4" s="84" customFormat="1" ht="19.7" customHeight="1" x14ac:dyDescent="0.2">
      <c r="A331" s="86" t="s">
        <v>5002</v>
      </c>
      <c r="B331" s="86" t="s">
        <v>5003</v>
      </c>
      <c r="C331" s="86" t="s">
        <v>6184</v>
      </c>
      <c r="D331" s="86" t="s">
        <v>6184</v>
      </c>
    </row>
    <row r="332" spans="1:4" s="84" customFormat="1" ht="19.7" customHeight="1" x14ac:dyDescent="0.2">
      <c r="A332" s="85" t="s">
        <v>5212</v>
      </c>
      <c r="B332" s="85" t="s">
        <v>5213</v>
      </c>
      <c r="C332" s="85" t="s">
        <v>6185</v>
      </c>
      <c r="D332" s="85" t="s">
        <v>6185</v>
      </c>
    </row>
    <row r="333" spans="1:4" s="84" customFormat="1" ht="19.7" customHeight="1" x14ac:dyDescent="0.2">
      <c r="A333" s="86" t="s">
        <v>5243</v>
      </c>
      <c r="B333" s="86" t="s">
        <v>5244</v>
      </c>
      <c r="C333" s="86" t="s">
        <v>6186</v>
      </c>
      <c r="D333" s="86" t="s">
        <v>6186</v>
      </c>
    </row>
    <row r="334" spans="1:4" s="84" customFormat="1" ht="19.7" customHeight="1" x14ac:dyDescent="0.2">
      <c r="A334" s="85" t="s">
        <v>5653</v>
      </c>
      <c r="B334" s="85" t="s">
        <v>3212</v>
      </c>
      <c r="C334" s="85" t="s">
        <v>6187</v>
      </c>
      <c r="D334" s="85" t="s">
        <v>6188</v>
      </c>
    </row>
    <row r="335" spans="1:4" s="84" customFormat="1" ht="19.7" customHeight="1" x14ac:dyDescent="0.2">
      <c r="A335" s="86" t="s">
        <v>5300</v>
      </c>
      <c r="B335" s="86" t="s">
        <v>5301</v>
      </c>
      <c r="C335" s="86" t="s">
        <v>6189</v>
      </c>
      <c r="D335" s="86" t="s">
        <v>6190</v>
      </c>
    </row>
    <row r="336" spans="1:4" s="84" customFormat="1" ht="19.7" customHeight="1" x14ac:dyDescent="0.2">
      <c r="A336" s="85" t="s">
        <v>5106</v>
      </c>
      <c r="B336" s="85" t="s">
        <v>5107</v>
      </c>
      <c r="C336" s="85" t="s">
        <v>6191</v>
      </c>
      <c r="D336" s="85" t="s">
        <v>6192</v>
      </c>
    </row>
    <row r="337" spans="1:4" s="84" customFormat="1" ht="19.7" customHeight="1" x14ac:dyDescent="0.2">
      <c r="A337" s="86" t="s">
        <v>4967</v>
      </c>
      <c r="B337" s="86" t="s">
        <v>4968</v>
      </c>
      <c r="C337" s="86" t="s">
        <v>6193</v>
      </c>
      <c r="D337" s="86" t="s">
        <v>6194</v>
      </c>
    </row>
    <row r="338" spans="1:4" s="84" customFormat="1" ht="19.7" customHeight="1" x14ac:dyDescent="0.2">
      <c r="A338" s="85" t="s">
        <v>5108</v>
      </c>
      <c r="B338" s="85" t="s">
        <v>3602</v>
      </c>
      <c r="C338" s="85" t="s">
        <v>6195</v>
      </c>
      <c r="D338" s="85" t="s">
        <v>6196</v>
      </c>
    </row>
    <row r="339" spans="1:4" s="84" customFormat="1" ht="19.7" customHeight="1" x14ac:dyDescent="0.2">
      <c r="A339" s="86" t="s">
        <v>5218</v>
      </c>
      <c r="B339" s="86" t="s">
        <v>5219</v>
      </c>
      <c r="C339" s="86" t="s">
        <v>6197</v>
      </c>
      <c r="D339" s="86" t="s">
        <v>6197</v>
      </c>
    </row>
    <row r="340" spans="1:4" s="84" customFormat="1" ht="19.7" customHeight="1" x14ac:dyDescent="0.2">
      <c r="A340" s="85" t="s">
        <v>5659</v>
      </c>
      <c r="B340" s="85" t="s">
        <v>5660</v>
      </c>
      <c r="C340" s="85" t="s">
        <v>6198</v>
      </c>
      <c r="D340" s="85" t="s">
        <v>6199</v>
      </c>
    </row>
    <row r="341" spans="1:4" s="84" customFormat="1" ht="19.7" customHeight="1" x14ac:dyDescent="0.2">
      <c r="A341" s="86" t="s">
        <v>5109</v>
      </c>
      <c r="B341" s="86" t="s">
        <v>3371</v>
      </c>
      <c r="C341" s="86" t="s">
        <v>6200</v>
      </c>
      <c r="D341" s="86" t="s">
        <v>6201</v>
      </c>
    </row>
    <row r="342" spans="1:4" s="84" customFormat="1" ht="19.7" customHeight="1" x14ac:dyDescent="0.2">
      <c r="A342" s="85" t="s">
        <v>5325</v>
      </c>
      <c r="B342" s="85" t="s">
        <v>5326</v>
      </c>
      <c r="C342" s="85" t="s">
        <v>6202</v>
      </c>
      <c r="D342" s="85" t="s">
        <v>6202</v>
      </c>
    </row>
    <row r="343" spans="1:4" s="84" customFormat="1" ht="19.7" customHeight="1" x14ac:dyDescent="0.2">
      <c r="A343" s="86" t="s">
        <v>5159</v>
      </c>
      <c r="B343" s="86" t="s">
        <v>673</v>
      </c>
      <c r="C343" s="86" t="s">
        <v>6203</v>
      </c>
      <c r="D343" s="86" t="s">
        <v>6204</v>
      </c>
    </row>
    <row r="344" spans="1:4" s="84" customFormat="1" ht="19.7" customHeight="1" x14ac:dyDescent="0.2">
      <c r="A344" s="85" t="s">
        <v>5209</v>
      </c>
      <c r="B344" s="85" t="s">
        <v>5210</v>
      </c>
      <c r="C344" s="85" t="s">
        <v>6205</v>
      </c>
      <c r="D344" s="85" t="s">
        <v>6206</v>
      </c>
    </row>
    <row r="345" spans="1:4" s="84" customFormat="1" ht="19.7" customHeight="1" x14ac:dyDescent="0.2">
      <c r="A345" s="86" t="s">
        <v>5026</v>
      </c>
      <c r="B345" s="86" t="s">
        <v>5027</v>
      </c>
      <c r="C345" s="86" t="s">
        <v>6207</v>
      </c>
      <c r="D345" s="86" t="s">
        <v>6208</v>
      </c>
    </row>
    <row r="346" spans="1:4" s="84" customFormat="1" ht="19.7" customHeight="1" x14ac:dyDescent="0.2">
      <c r="A346" s="85" t="s">
        <v>4851</v>
      </c>
      <c r="B346" s="85" t="s">
        <v>4744</v>
      </c>
      <c r="C346" s="85" t="s">
        <v>6209</v>
      </c>
      <c r="D346" s="85" t="s">
        <v>6210</v>
      </c>
    </row>
    <row r="347" spans="1:4" s="84" customFormat="1" ht="19.7" customHeight="1" x14ac:dyDescent="0.2">
      <c r="A347" s="86" t="s">
        <v>4932</v>
      </c>
      <c r="B347" s="86" t="s">
        <v>4933</v>
      </c>
      <c r="C347" s="86" t="s">
        <v>6211</v>
      </c>
      <c r="D347" s="86" t="s">
        <v>6212</v>
      </c>
    </row>
    <row r="348" spans="1:4" s="84" customFormat="1" ht="19.7" customHeight="1" x14ac:dyDescent="0.2">
      <c r="A348" s="85" t="s">
        <v>4925</v>
      </c>
      <c r="B348" s="85" t="s">
        <v>4926</v>
      </c>
      <c r="C348" s="85" t="s">
        <v>6213</v>
      </c>
      <c r="D348" s="85" t="s">
        <v>6213</v>
      </c>
    </row>
    <row r="349" spans="1:4" s="84" customFormat="1" ht="19.7" customHeight="1" x14ac:dyDescent="0.2">
      <c r="A349" s="86" t="s">
        <v>5160</v>
      </c>
      <c r="B349" s="86" t="s">
        <v>5161</v>
      </c>
      <c r="C349" s="86" t="s">
        <v>6214</v>
      </c>
      <c r="D349" s="86" t="s">
        <v>6214</v>
      </c>
    </row>
    <row r="350" spans="1:4" s="84" customFormat="1" ht="19.7" customHeight="1" x14ac:dyDescent="0.2">
      <c r="A350" s="85" t="s">
        <v>5004</v>
      </c>
      <c r="B350" s="85" t="s">
        <v>5005</v>
      </c>
      <c r="C350" s="85" t="s">
        <v>6215</v>
      </c>
      <c r="D350" s="85" t="s">
        <v>6216</v>
      </c>
    </row>
    <row r="351" spans="1:4" s="84" customFormat="1" ht="19.7" customHeight="1" x14ac:dyDescent="0.2">
      <c r="A351" s="86" t="s">
        <v>5569</v>
      </c>
      <c r="B351" s="86" t="s">
        <v>5570</v>
      </c>
      <c r="C351" s="86" t="s">
        <v>6217</v>
      </c>
      <c r="D351" s="86" t="s">
        <v>6217</v>
      </c>
    </row>
    <row r="352" spans="1:4" s="84" customFormat="1" ht="19.7" customHeight="1" x14ac:dyDescent="0.2">
      <c r="A352" s="85" t="s">
        <v>4830</v>
      </c>
      <c r="B352" s="85" t="s">
        <v>4831</v>
      </c>
      <c r="C352" s="85" t="s">
        <v>6218</v>
      </c>
      <c r="D352" s="85" t="s">
        <v>6219</v>
      </c>
    </row>
    <row r="353" spans="1:4" s="84" customFormat="1" ht="19.7" customHeight="1" x14ac:dyDescent="0.2">
      <c r="A353" s="86" t="s">
        <v>4915</v>
      </c>
      <c r="B353" s="86" t="s">
        <v>226</v>
      </c>
      <c r="C353" s="86" t="s">
        <v>6220</v>
      </c>
      <c r="D353" s="86" t="s">
        <v>6221</v>
      </c>
    </row>
    <row r="354" spans="1:4" s="84" customFormat="1" ht="19.7" customHeight="1" x14ac:dyDescent="0.2">
      <c r="A354" s="85" t="s">
        <v>5055</v>
      </c>
      <c r="B354" s="85" t="s">
        <v>5056</v>
      </c>
      <c r="C354" s="85" t="s">
        <v>6222</v>
      </c>
      <c r="D354" s="85" t="s">
        <v>6222</v>
      </c>
    </row>
    <row r="355" spans="1:4" s="84" customFormat="1" ht="19.7" customHeight="1" x14ac:dyDescent="0.2">
      <c r="A355" s="86" t="s">
        <v>5565</v>
      </c>
      <c r="B355" s="86" t="s">
        <v>4061</v>
      </c>
      <c r="C355" s="86" t="s">
        <v>6223</v>
      </c>
      <c r="D355" s="86" t="s">
        <v>6224</v>
      </c>
    </row>
    <row r="356" spans="1:4" s="84" customFormat="1" ht="19.7" customHeight="1" x14ac:dyDescent="0.2">
      <c r="A356" s="85" t="s">
        <v>5585</v>
      </c>
      <c r="B356" s="85" t="s">
        <v>4079</v>
      </c>
      <c r="C356" s="85" t="s">
        <v>6225</v>
      </c>
      <c r="D356" s="85" t="s">
        <v>6226</v>
      </c>
    </row>
    <row r="357" spans="1:4" s="84" customFormat="1" ht="19.7" customHeight="1" x14ac:dyDescent="0.2">
      <c r="A357" s="86" t="s">
        <v>5586</v>
      </c>
      <c r="B357" s="86" t="s">
        <v>4082</v>
      </c>
      <c r="C357" s="86" t="s">
        <v>6227</v>
      </c>
      <c r="D357" s="86" t="s">
        <v>6228</v>
      </c>
    </row>
    <row r="358" spans="1:4" s="84" customFormat="1" ht="19.7" customHeight="1" x14ac:dyDescent="0.2">
      <c r="A358" s="85" t="s">
        <v>5559</v>
      </c>
      <c r="B358" s="85" t="s">
        <v>4094</v>
      </c>
      <c r="C358" s="85" t="s">
        <v>6229</v>
      </c>
      <c r="D358" s="85" t="s">
        <v>6230</v>
      </c>
    </row>
    <row r="359" spans="1:4" s="84" customFormat="1" ht="19.7" customHeight="1" x14ac:dyDescent="0.2">
      <c r="A359" s="86" t="s">
        <v>5528</v>
      </c>
      <c r="B359" s="86" t="s">
        <v>709</v>
      </c>
      <c r="C359" s="86" t="s">
        <v>6231</v>
      </c>
      <c r="D359" s="86" t="s">
        <v>6232</v>
      </c>
    </row>
    <row r="360" spans="1:4" s="84" customFormat="1" ht="19.7" customHeight="1" x14ac:dyDescent="0.2">
      <c r="A360" s="85" t="s">
        <v>4916</v>
      </c>
      <c r="B360" s="85" t="s">
        <v>712</v>
      </c>
      <c r="C360" s="85" t="s">
        <v>6233</v>
      </c>
      <c r="D360" s="85" t="s">
        <v>6234</v>
      </c>
    </row>
    <row r="361" spans="1:4" s="84" customFormat="1" ht="19.7" customHeight="1" x14ac:dyDescent="0.2">
      <c r="A361" s="86" t="s">
        <v>5599</v>
      </c>
      <c r="B361" s="86" t="s">
        <v>5600</v>
      </c>
      <c r="C361" s="86" t="s">
        <v>6235</v>
      </c>
      <c r="D361" s="86" t="s">
        <v>6235</v>
      </c>
    </row>
    <row r="362" spans="1:4" s="84" customFormat="1" ht="19.7" customHeight="1" x14ac:dyDescent="0.2">
      <c r="A362" s="85" t="s">
        <v>5347</v>
      </c>
      <c r="B362" s="85" t="s">
        <v>5348</v>
      </c>
      <c r="C362" s="85" t="s">
        <v>6236</v>
      </c>
      <c r="D362" s="85" t="s">
        <v>6236</v>
      </c>
    </row>
    <row r="363" spans="1:4" s="84" customFormat="1" ht="19.7" customHeight="1" x14ac:dyDescent="0.2">
      <c r="A363" s="86" t="s">
        <v>5316</v>
      </c>
      <c r="B363" s="86" t="s">
        <v>4109</v>
      </c>
      <c r="C363" s="86" t="s">
        <v>6237</v>
      </c>
      <c r="D363" s="86" t="s">
        <v>6238</v>
      </c>
    </row>
    <row r="364" spans="1:4" s="84" customFormat="1" ht="19.7" customHeight="1" x14ac:dyDescent="0.2">
      <c r="A364" s="85" t="s">
        <v>5587</v>
      </c>
      <c r="B364" s="85" t="s">
        <v>3956</v>
      </c>
      <c r="C364" s="85" t="s">
        <v>6239</v>
      </c>
      <c r="D364" s="85" t="s">
        <v>6240</v>
      </c>
    </row>
    <row r="365" spans="1:4" s="84" customFormat="1" ht="19.7" customHeight="1" x14ac:dyDescent="0.2">
      <c r="A365" s="86" t="s">
        <v>5603</v>
      </c>
      <c r="B365" s="86" t="s">
        <v>3959</v>
      </c>
      <c r="C365" s="86" t="s">
        <v>6241</v>
      </c>
      <c r="D365" s="86" t="s">
        <v>6242</v>
      </c>
    </row>
    <row r="366" spans="1:4" s="84" customFormat="1" ht="19.7" customHeight="1" x14ac:dyDescent="0.2">
      <c r="A366" s="85" t="s">
        <v>5509</v>
      </c>
      <c r="B366" s="85" t="s">
        <v>3965</v>
      </c>
      <c r="C366" s="85" t="s">
        <v>6243</v>
      </c>
      <c r="D366" s="85" t="s">
        <v>6244</v>
      </c>
    </row>
    <row r="367" spans="1:4" s="84" customFormat="1" ht="19.7" customHeight="1" x14ac:dyDescent="0.2">
      <c r="A367" s="86" t="s">
        <v>5130</v>
      </c>
      <c r="B367" s="86" t="s">
        <v>3971</v>
      </c>
      <c r="C367" s="86" t="s">
        <v>6245</v>
      </c>
      <c r="D367" s="86" t="s">
        <v>6246</v>
      </c>
    </row>
    <row r="368" spans="1:4" s="84" customFormat="1" ht="19.7" customHeight="1" x14ac:dyDescent="0.2">
      <c r="A368" s="85" t="s">
        <v>5162</v>
      </c>
      <c r="B368" s="85" t="s">
        <v>5163</v>
      </c>
      <c r="C368" s="85" t="s">
        <v>6247</v>
      </c>
      <c r="D368" s="85" t="s">
        <v>6247</v>
      </c>
    </row>
    <row r="369" spans="1:4" s="84" customFormat="1" ht="19.7" customHeight="1" x14ac:dyDescent="0.2">
      <c r="A369" s="86" t="s">
        <v>5057</v>
      </c>
      <c r="B369" s="86" t="s">
        <v>5058</v>
      </c>
      <c r="C369" s="86" t="s">
        <v>6248</v>
      </c>
      <c r="D369" s="86" t="s">
        <v>6248</v>
      </c>
    </row>
    <row r="370" spans="1:4" s="84" customFormat="1" ht="19.7" customHeight="1" x14ac:dyDescent="0.2">
      <c r="A370" s="85" t="s">
        <v>5110</v>
      </c>
      <c r="B370" s="85" t="s">
        <v>3989</v>
      </c>
      <c r="C370" s="85" t="s">
        <v>6249</v>
      </c>
      <c r="D370" s="85" t="s">
        <v>6250</v>
      </c>
    </row>
    <row r="371" spans="1:4" s="84" customFormat="1" ht="19.7" customHeight="1" x14ac:dyDescent="0.2">
      <c r="A371" s="86" t="s">
        <v>5111</v>
      </c>
      <c r="B371" s="86" t="s">
        <v>649</v>
      </c>
      <c r="C371" s="86" t="s">
        <v>6251</v>
      </c>
      <c r="D371" s="86" t="s">
        <v>6252</v>
      </c>
    </row>
    <row r="372" spans="1:4" s="84" customFormat="1" ht="19.7" customHeight="1" x14ac:dyDescent="0.2">
      <c r="A372" s="85" t="s">
        <v>4927</v>
      </c>
      <c r="B372" s="85" t="s">
        <v>4928</v>
      </c>
      <c r="C372" s="85" t="s">
        <v>6253</v>
      </c>
      <c r="D372" s="85" t="s">
        <v>6254</v>
      </c>
    </row>
    <row r="373" spans="1:4" s="84" customFormat="1" ht="19.7" customHeight="1" x14ac:dyDescent="0.2">
      <c r="A373" s="86" t="s">
        <v>5474</v>
      </c>
      <c r="B373" s="86" t="s">
        <v>5475</v>
      </c>
      <c r="C373" s="86" t="s">
        <v>6255</v>
      </c>
      <c r="D373" s="86" t="s">
        <v>6256</v>
      </c>
    </row>
    <row r="374" spans="1:4" s="84" customFormat="1" ht="19.7" customHeight="1" x14ac:dyDescent="0.2">
      <c r="A374" s="85" t="s">
        <v>5467</v>
      </c>
      <c r="B374" s="85" t="s">
        <v>787</v>
      </c>
      <c r="C374" s="85" t="s">
        <v>6257</v>
      </c>
      <c r="D374" s="85" t="s">
        <v>6258</v>
      </c>
    </row>
    <row r="375" spans="1:4" s="84" customFormat="1" ht="19.7" customHeight="1" x14ac:dyDescent="0.2">
      <c r="A375" s="86" t="s">
        <v>5264</v>
      </c>
      <c r="B375" s="86" t="s">
        <v>5265</v>
      </c>
      <c r="C375" s="86" t="s">
        <v>6259</v>
      </c>
      <c r="D375" s="86" t="s">
        <v>6260</v>
      </c>
    </row>
    <row r="376" spans="1:4" s="84" customFormat="1" ht="19.7" customHeight="1" x14ac:dyDescent="0.2">
      <c r="A376" s="85" t="s">
        <v>5168</v>
      </c>
      <c r="B376" s="85" t="s">
        <v>5169</v>
      </c>
      <c r="C376" s="85" t="s">
        <v>6261</v>
      </c>
      <c r="D376" s="85" t="s">
        <v>6261</v>
      </c>
    </row>
    <row r="377" spans="1:4" s="84" customFormat="1" ht="19.7" customHeight="1" x14ac:dyDescent="0.2">
      <c r="A377" s="86" t="s">
        <v>5277</v>
      </c>
      <c r="B377" s="86" t="s">
        <v>5278</v>
      </c>
      <c r="C377" s="86" t="s">
        <v>6262</v>
      </c>
      <c r="D377" s="86" t="s">
        <v>6262</v>
      </c>
    </row>
    <row r="378" spans="1:4" s="84" customFormat="1" ht="19.7" customHeight="1" x14ac:dyDescent="0.2">
      <c r="A378" s="85" t="s">
        <v>5489</v>
      </c>
      <c r="B378" s="85" t="s">
        <v>5490</v>
      </c>
      <c r="C378" s="85" t="s">
        <v>6263</v>
      </c>
      <c r="D378" s="85" t="s">
        <v>6263</v>
      </c>
    </row>
    <row r="379" spans="1:4" s="84" customFormat="1" ht="19.7" customHeight="1" x14ac:dyDescent="0.2">
      <c r="A379" s="86" t="s">
        <v>5112</v>
      </c>
      <c r="B379" s="86" t="s">
        <v>721</v>
      </c>
      <c r="C379" s="86" t="s">
        <v>6264</v>
      </c>
      <c r="D379" s="86" t="s">
        <v>6265</v>
      </c>
    </row>
    <row r="380" spans="1:4" s="84" customFormat="1" ht="19.7" customHeight="1" x14ac:dyDescent="0.2">
      <c r="A380" s="85" t="s">
        <v>5529</v>
      </c>
      <c r="B380" s="85" t="s">
        <v>5530</v>
      </c>
      <c r="C380" s="85" t="s">
        <v>6266</v>
      </c>
      <c r="D380" s="85" t="s">
        <v>6267</v>
      </c>
    </row>
    <row r="381" spans="1:4" s="84" customFormat="1" ht="19.7" customHeight="1" x14ac:dyDescent="0.2">
      <c r="A381" s="86" t="s">
        <v>4852</v>
      </c>
      <c r="B381" s="86" t="s">
        <v>4853</v>
      </c>
      <c r="C381" s="86" t="s">
        <v>6268</v>
      </c>
      <c r="D381" s="86" t="s">
        <v>6268</v>
      </c>
    </row>
    <row r="382" spans="1:4" s="84" customFormat="1" ht="19.7" customHeight="1" x14ac:dyDescent="0.2">
      <c r="A382" s="85" t="s">
        <v>5113</v>
      </c>
      <c r="B382" s="85" t="s">
        <v>4667</v>
      </c>
      <c r="C382" s="85" t="s">
        <v>6269</v>
      </c>
      <c r="D382" s="85" t="s">
        <v>6270</v>
      </c>
    </row>
    <row r="383" spans="1:4" s="84" customFormat="1" ht="19.7" customHeight="1" x14ac:dyDescent="0.2">
      <c r="A383" s="86" t="s">
        <v>4854</v>
      </c>
      <c r="B383" s="86" t="s">
        <v>4855</v>
      </c>
      <c r="C383" s="86" t="s">
        <v>6271</v>
      </c>
      <c r="D383" s="86" t="s">
        <v>6272</v>
      </c>
    </row>
    <row r="384" spans="1:4" s="84" customFormat="1" ht="19.7" customHeight="1" x14ac:dyDescent="0.2">
      <c r="A384" s="85" t="s">
        <v>5566</v>
      </c>
      <c r="B384" s="85" t="s">
        <v>4172</v>
      </c>
      <c r="C384" s="85" t="s">
        <v>6273</v>
      </c>
      <c r="D384" s="85" t="s">
        <v>6274</v>
      </c>
    </row>
    <row r="385" spans="1:4" s="84" customFormat="1" ht="19.7" customHeight="1" x14ac:dyDescent="0.2">
      <c r="A385" s="86" t="s">
        <v>4958</v>
      </c>
      <c r="B385" s="86" t="s">
        <v>4959</v>
      </c>
      <c r="C385" s="86" t="s">
        <v>6275</v>
      </c>
      <c r="D385" s="86" t="s">
        <v>6275</v>
      </c>
    </row>
    <row r="386" spans="1:4" s="84" customFormat="1" ht="19.7" customHeight="1" x14ac:dyDescent="0.2">
      <c r="A386" s="85" t="s">
        <v>5588</v>
      </c>
      <c r="B386" s="85" t="s">
        <v>4229</v>
      </c>
      <c r="C386" s="85" t="s">
        <v>6276</v>
      </c>
      <c r="D386" s="85" t="s">
        <v>6277</v>
      </c>
    </row>
    <row r="387" spans="1:4" s="84" customFormat="1" ht="19.7" customHeight="1" x14ac:dyDescent="0.2">
      <c r="A387" s="86" t="s">
        <v>5661</v>
      </c>
      <c r="B387" s="86" t="s">
        <v>4331</v>
      </c>
      <c r="C387" s="86" t="s">
        <v>6278</v>
      </c>
      <c r="D387" s="86" t="s">
        <v>6279</v>
      </c>
    </row>
    <row r="388" spans="1:4" s="84" customFormat="1" ht="19.7" customHeight="1" x14ac:dyDescent="0.2">
      <c r="A388" s="85" t="s">
        <v>5589</v>
      </c>
      <c r="B388" s="85" t="s">
        <v>4349</v>
      </c>
      <c r="C388" s="85" t="s">
        <v>6280</v>
      </c>
      <c r="D388" s="85" t="s">
        <v>6281</v>
      </c>
    </row>
    <row r="389" spans="1:4" s="84" customFormat="1" ht="19.7" customHeight="1" x14ac:dyDescent="0.2">
      <c r="A389" s="86" t="s">
        <v>5414</v>
      </c>
      <c r="B389" s="86" t="s">
        <v>5415</v>
      </c>
      <c r="C389" s="86" t="s">
        <v>6282</v>
      </c>
      <c r="D389" s="86" t="s">
        <v>6282</v>
      </c>
    </row>
    <row r="390" spans="1:4" s="84" customFormat="1" ht="19.7" customHeight="1" x14ac:dyDescent="0.2">
      <c r="A390" s="85" t="s">
        <v>4917</v>
      </c>
      <c r="B390" s="85" t="s">
        <v>742</v>
      </c>
      <c r="C390" s="85" t="s">
        <v>6283</v>
      </c>
      <c r="D390" s="85" t="s">
        <v>6284</v>
      </c>
    </row>
    <row r="391" spans="1:4" s="84" customFormat="1" ht="19.7" customHeight="1" x14ac:dyDescent="0.2">
      <c r="A391" s="86" t="s">
        <v>5114</v>
      </c>
      <c r="B391" s="86" t="s">
        <v>4367</v>
      </c>
      <c r="C391" s="86" t="s">
        <v>6285</v>
      </c>
      <c r="D391" s="86" t="s">
        <v>6286</v>
      </c>
    </row>
    <row r="392" spans="1:4" s="84" customFormat="1" ht="19.7" customHeight="1" x14ac:dyDescent="0.2">
      <c r="A392" s="85" t="s">
        <v>5302</v>
      </c>
      <c r="B392" s="85" t="s">
        <v>5303</v>
      </c>
      <c r="C392" s="85" t="s">
        <v>6287</v>
      </c>
      <c r="D392" s="85" t="s">
        <v>6287</v>
      </c>
    </row>
    <row r="393" spans="1:4" s="84" customFormat="1" ht="19.7" customHeight="1" x14ac:dyDescent="0.2">
      <c r="A393" s="86" t="s">
        <v>5164</v>
      </c>
      <c r="B393" s="86" t="s">
        <v>5165</v>
      </c>
      <c r="C393" s="86" t="s">
        <v>6288</v>
      </c>
      <c r="D393" s="86" t="s">
        <v>6288</v>
      </c>
    </row>
    <row r="394" spans="1:4" s="84" customFormat="1" ht="19.7" customHeight="1" x14ac:dyDescent="0.2">
      <c r="A394" s="85" t="s">
        <v>5279</v>
      </c>
      <c r="B394" s="85" t="s">
        <v>5280</v>
      </c>
      <c r="C394" s="85" t="s">
        <v>6289</v>
      </c>
      <c r="D394" s="85" t="s">
        <v>6289</v>
      </c>
    </row>
    <row r="395" spans="1:4" s="84" customFormat="1" ht="19.7" customHeight="1" x14ac:dyDescent="0.2">
      <c r="A395" s="86" t="s">
        <v>5266</v>
      </c>
      <c r="B395" s="86" t="s">
        <v>5267</v>
      </c>
      <c r="C395" s="86" t="s">
        <v>6290</v>
      </c>
      <c r="D395" s="86" t="s">
        <v>6291</v>
      </c>
    </row>
    <row r="396" spans="1:4" s="84" customFormat="1" ht="19.7" customHeight="1" x14ac:dyDescent="0.2">
      <c r="A396" s="85" t="s">
        <v>5460</v>
      </c>
      <c r="B396" s="85" t="s">
        <v>5461</v>
      </c>
      <c r="C396" s="85" t="s">
        <v>6292</v>
      </c>
      <c r="D396" s="85" t="s">
        <v>6292</v>
      </c>
    </row>
    <row r="397" spans="1:4" s="84" customFormat="1" ht="19.7" customHeight="1" x14ac:dyDescent="0.2">
      <c r="A397" s="86" t="s">
        <v>5124</v>
      </c>
      <c r="B397" s="86" t="s">
        <v>5125</v>
      </c>
      <c r="C397" s="86" t="s">
        <v>6293</v>
      </c>
      <c r="D397" s="86" t="s">
        <v>6293</v>
      </c>
    </row>
    <row r="398" spans="1:4" s="84" customFormat="1" ht="19.7" customHeight="1" x14ac:dyDescent="0.2">
      <c r="A398" s="85" t="s">
        <v>5416</v>
      </c>
      <c r="B398" s="85" t="s">
        <v>5417</v>
      </c>
      <c r="C398" s="85" t="s">
        <v>6294</v>
      </c>
      <c r="D398" s="85" t="s">
        <v>6294</v>
      </c>
    </row>
    <row r="399" spans="1:4" s="84" customFormat="1" ht="19.7" customHeight="1" x14ac:dyDescent="0.2">
      <c r="A399" s="86" t="s">
        <v>4890</v>
      </c>
      <c r="B399" s="86" t="s">
        <v>886</v>
      </c>
      <c r="C399" s="86" t="s">
        <v>6295</v>
      </c>
      <c r="D399" s="86" t="s">
        <v>6296</v>
      </c>
    </row>
    <row r="400" spans="1:4" s="84" customFormat="1" ht="19.7" customHeight="1" x14ac:dyDescent="0.2">
      <c r="A400" s="85" t="s">
        <v>5115</v>
      </c>
      <c r="B400" s="85" t="s">
        <v>1068</v>
      </c>
      <c r="C400" s="85" t="s">
        <v>6297</v>
      </c>
      <c r="D400" s="85" t="s">
        <v>6298</v>
      </c>
    </row>
    <row r="401" spans="1:4" s="84" customFormat="1" ht="19.7" customHeight="1" x14ac:dyDescent="0.2">
      <c r="A401" s="86" t="s">
        <v>5116</v>
      </c>
      <c r="B401" s="86" t="s">
        <v>817</v>
      </c>
      <c r="C401" s="86" t="s">
        <v>6299</v>
      </c>
      <c r="D401" s="86" t="s">
        <v>6300</v>
      </c>
    </row>
    <row r="402" spans="1:4" s="84" customFormat="1" ht="19.7" customHeight="1" x14ac:dyDescent="0.2">
      <c r="A402" s="85" t="s">
        <v>5268</v>
      </c>
      <c r="B402" s="85" t="s">
        <v>5269</v>
      </c>
      <c r="C402" s="85" t="s">
        <v>6301</v>
      </c>
      <c r="D402" s="85" t="s">
        <v>6302</v>
      </c>
    </row>
    <row r="403" spans="1:4" s="84" customFormat="1" ht="19.7" customHeight="1" x14ac:dyDescent="0.2">
      <c r="A403" s="86" t="s">
        <v>4871</v>
      </c>
      <c r="B403" s="86" t="s">
        <v>4872</v>
      </c>
      <c r="C403" s="86" t="s">
        <v>6303</v>
      </c>
      <c r="D403" s="86" t="s">
        <v>6304</v>
      </c>
    </row>
    <row r="404" spans="1:4" s="84" customFormat="1" ht="19.7" customHeight="1" x14ac:dyDescent="0.2">
      <c r="A404" s="85" t="s">
        <v>5062</v>
      </c>
      <c r="B404" s="85" t="s">
        <v>5063</v>
      </c>
      <c r="C404" s="85" t="s">
        <v>6305</v>
      </c>
      <c r="D404" s="85" t="s">
        <v>6306</v>
      </c>
    </row>
    <row r="405" spans="1:4" s="84" customFormat="1" ht="19.7" customHeight="1" x14ac:dyDescent="0.2">
      <c r="A405" s="86" t="s">
        <v>5059</v>
      </c>
      <c r="B405" s="86" t="s">
        <v>5060</v>
      </c>
      <c r="C405" s="86" t="s">
        <v>6307</v>
      </c>
      <c r="D405" s="86" t="s">
        <v>6308</v>
      </c>
    </row>
    <row r="406" spans="1:4" s="84" customFormat="1" ht="19.7" customHeight="1" x14ac:dyDescent="0.2">
      <c r="A406" s="85" t="s">
        <v>5620</v>
      </c>
      <c r="B406" s="85" t="s">
        <v>1622</v>
      </c>
      <c r="C406" s="85" t="s">
        <v>6309</v>
      </c>
      <c r="D406" s="85" t="s">
        <v>6310</v>
      </c>
    </row>
    <row r="407" spans="1:4" s="84" customFormat="1" ht="19.7" customHeight="1" x14ac:dyDescent="0.2">
      <c r="A407" s="86" t="s">
        <v>5636</v>
      </c>
      <c r="B407" s="86" t="s">
        <v>1625</v>
      </c>
      <c r="C407" s="86" t="s">
        <v>6311</v>
      </c>
      <c r="D407" s="86" t="s">
        <v>6312</v>
      </c>
    </row>
    <row r="408" spans="1:4" s="84" customFormat="1" ht="19.7" customHeight="1" x14ac:dyDescent="0.2">
      <c r="A408" s="85" t="s">
        <v>5117</v>
      </c>
      <c r="B408" s="85" t="s">
        <v>1628</v>
      </c>
      <c r="C408" s="85" t="s">
        <v>6313</v>
      </c>
      <c r="D408" s="85" t="s">
        <v>6314</v>
      </c>
    </row>
    <row r="409" spans="1:4" s="84" customFormat="1" ht="19.7" customHeight="1" x14ac:dyDescent="0.2">
      <c r="A409" s="86" t="s">
        <v>5308</v>
      </c>
      <c r="B409" s="86" t="s">
        <v>1610</v>
      </c>
      <c r="C409" s="86" t="s">
        <v>6315</v>
      </c>
      <c r="D409" s="86" t="s">
        <v>6316</v>
      </c>
    </row>
    <row r="410" spans="1:4" s="84" customFormat="1" ht="19.7" customHeight="1" x14ac:dyDescent="0.2">
      <c r="A410" s="85" t="s">
        <v>5510</v>
      </c>
      <c r="B410" s="85" t="s">
        <v>1589</v>
      </c>
      <c r="C410" s="85" t="s">
        <v>6317</v>
      </c>
      <c r="D410" s="85" t="s">
        <v>6318</v>
      </c>
    </row>
    <row r="411" spans="1:4" s="84" customFormat="1" ht="19.7" customHeight="1" x14ac:dyDescent="0.2">
      <c r="A411" s="86" t="s">
        <v>4986</v>
      </c>
      <c r="B411" s="86" t="s">
        <v>4987</v>
      </c>
      <c r="C411" s="86" t="s">
        <v>6319</v>
      </c>
      <c r="D411" s="86" t="s">
        <v>6319</v>
      </c>
    </row>
    <row r="412" spans="1:4" s="84" customFormat="1" ht="19.7" customHeight="1" x14ac:dyDescent="0.2">
      <c r="A412" s="85" t="s">
        <v>4952</v>
      </c>
      <c r="B412" s="85" t="s">
        <v>4953</v>
      </c>
      <c r="C412" s="85" t="s">
        <v>6320</v>
      </c>
      <c r="D412" s="85" t="s">
        <v>6321</v>
      </c>
    </row>
    <row r="413" spans="1:4" s="84" customFormat="1" ht="19.7" customHeight="1" x14ac:dyDescent="0.2">
      <c r="A413" s="86" t="s">
        <v>4824</v>
      </c>
      <c r="B413" s="86" t="s">
        <v>4674</v>
      </c>
      <c r="C413" s="86" t="s">
        <v>6322</v>
      </c>
      <c r="D413" s="86" t="s">
        <v>6322</v>
      </c>
    </row>
    <row r="414" spans="1:4" s="84" customFormat="1" ht="19.7" customHeight="1" x14ac:dyDescent="0.2">
      <c r="A414" s="85" t="s">
        <v>5227</v>
      </c>
      <c r="B414" s="85" t="s">
        <v>5228</v>
      </c>
      <c r="C414" s="85" t="s">
        <v>6323</v>
      </c>
      <c r="D414" s="85" t="s">
        <v>6323</v>
      </c>
    </row>
    <row r="415" spans="1:4" s="84" customFormat="1" ht="19.7" customHeight="1" x14ac:dyDescent="0.2">
      <c r="A415" s="86" t="s">
        <v>5118</v>
      </c>
      <c r="B415" s="86" t="s">
        <v>5119</v>
      </c>
      <c r="C415" s="86" t="s">
        <v>6324</v>
      </c>
      <c r="D415" s="86" t="s">
        <v>6325</v>
      </c>
    </row>
    <row r="416" spans="1:4" s="84" customFormat="1" ht="19.7" customHeight="1" x14ac:dyDescent="0.2">
      <c r="A416" s="85" t="s">
        <v>5006</v>
      </c>
      <c r="B416" s="85" t="s">
        <v>5007</v>
      </c>
      <c r="C416" s="85" t="s">
        <v>6326</v>
      </c>
      <c r="D416" s="85" t="s">
        <v>6327</v>
      </c>
    </row>
    <row r="417" spans="1:4" s="84" customFormat="1" ht="19.7" customHeight="1" x14ac:dyDescent="0.2">
      <c r="A417" s="86" t="s">
        <v>5366</v>
      </c>
      <c r="B417" s="86" t="s">
        <v>5367</v>
      </c>
      <c r="C417" s="86" t="s">
        <v>6328</v>
      </c>
      <c r="D417" s="86" t="s">
        <v>6328</v>
      </c>
    </row>
    <row r="418" spans="1:4" s="84" customFormat="1" ht="19.7" customHeight="1" x14ac:dyDescent="0.2">
      <c r="A418" s="85" t="s">
        <v>5418</v>
      </c>
      <c r="B418" s="85" t="s">
        <v>5419</v>
      </c>
      <c r="C418" s="85" t="s">
        <v>6329</v>
      </c>
      <c r="D418" s="85" t="s">
        <v>6330</v>
      </c>
    </row>
    <row r="419" spans="1:4" s="84" customFormat="1" ht="19.7" customHeight="1" x14ac:dyDescent="0.2">
      <c r="A419" s="86" t="s">
        <v>4873</v>
      </c>
      <c r="B419" s="86" t="s">
        <v>4874</v>
      </c>
      <c r="C419" s="86" t="s">
        <v>6331</v>
      </c>
      <c r="D419" s="86" t="s">
        <v>6332</v>
      </c>
    </row>
    <row r="420" spans="1:4" s="84" customFormat="1" ht="19.7" customHeight="1" x14ac:dyDescent="0.2">
      <c r="A420" s="85" t="s">
        <v>5028</v>
      </c>
      <c r="B420" s="85" t="s">
        <v>5029</v>
      </c>
      <c r="C420" s="85" t="s">
        <v>6333</v>
      </c>
      <c r="D420" s="85" t="s">
        <v>6334</v>
      </c>
    </row>
    <row r="421" spans="1:4" s="84" customFormat="1" ht="19.7" customHeight="1" x14ac:dyDescent="0.2">
      <c r="A421" s="86" t="s">
        <v>5317</v>
      </c>
      <c r="B421" s="86" t="s">
        <v>5318</v>
      </c>
      <c r="C421" s="86" t="s">
        <v>6335</v>
      </c>
      <c r="D421" s="86" t="s">
        <v>6336</v>
      </c>
    </row>
    <row r="422" spans="1:4" s="84" customFormat="1" ht="19.7" customHeight="1" x14ac:dyDescent="0.2">
      <c r="A422" s="85" t="s">
        <v>5445</v>
      </c>
      <c r="B422" s="85" t="s">
        <v>159</v>
      </c>
      <c r="C422" s="85" t="s">
        <v>6337</v>
      </c>
      <c r="D422" s="85" t="s">
        <v>6338</v>
      </c>
    </row>
    <row r="423" spans="1:4" s="84" customFormat="1" ht="19.7" customHeight="1" x14ac:dyDescent="0.2">
      <c r="A423" s="86" t="s">
        <v>5420</v>
      </c>
      <c r="B423" s="86" t="s">
        <v>5421</v>
      </c>
      <c r="C423" s="86" t="s">
        <v>6339</v>
      </c>
      <c r="D423" s="86" t="s">
        <v>6340</v>
      </c>
    </row>
    <row r="424" spans="1:4" s="84" customFormat="1" ht="19.7" customHeight="1" x14ac:dyDescent="0.2">
      <c r="A424" s="85" t="s">
        <v>5014</v>
      </c>
      <c r="B424" s="85" t="s">
        <v>5015</v>
      </c>
      <c r="C424" s="85" t="s">
        <v>6341</v>
      </c>
      <c r="D424" s="85" t="s">
        <v>6342</v>
      </c>
    </row>
    <row r="425" spans="1:4" s="84" customFormat="1" ht="19.7" customHeight="1" x14ac:dyDescent="0.2">
      <c r="A425" s="86" t="s">
        <v>5368</v>
      </c>
      <c r="B425" s="86" t="s">
        <v>5369</v>
      </c>
      <c r="C425" s="86" t="s">
        <v>6343</v>
      </c>
      <c r="D425" s="86" t="s">
        <v>6343</v>
      </c>
    </row>
    <row r="426" spans="1:4" s="84" customFormat="1" ht="19.7" customHeight="1" x14ac:dyDescent="0.2">
      <c r="A426" s="85" t="s">
        <v>5229</v>
      </c>
      <c r="B426" s="85" t="s">
        <v>5230</v>
      </c>
      <c r="C426" s="85" t="s">
        <v>6344</v>
      </c>
      <c r="D426" s="85" t="s">
        <v>6345</v>
      </c>
    </row>
    <row r="427" spans="1:4" s="84" customFormat="1" ht="19.7" customHeight="1" x14ac:dyDescent="0.2">
      <c r="A427" s="86" t="s">
        <v>5370</v>
      </c>
      <c r="B427" s="86" t="s">
        <v>5371</v>
      </c>
      <c r="C427" s="86" t="s">
        <v>6346</v>
      </c>
      <c r="D427" s="86" t="s">
        <v>6347</v>
      </c>
    </row>
    <row r="428" spans="1:4" s="84" customFormat="1" ht="19.7" customHeight="1" x14ac:dyDescent="0.2">
      <c r="A428" s="85" t="s">
        <v>5120</v>
      </c>
      <c r="B428" s="85" t="s">
        <v>48</v>
      </c>
      <c r="C428" s="85" t="s">
        <v>6348</v>
      </c>
      <c r="D428" s="85" t="s">
        <v>6349</v>
      </c>
    </row>
    <row r="429" spans="1:4" s="84" customFormat="1" ht="19.7" customHeight="1" x14ac:dyDescent="0.2">
      <c r="A429" s="86" t="s">
        <v>5546</v>
      </c>
      <c r="B429" s="86" t="s">
        <v>5547</v>
      </c>
      <c r="C429" s="86" t="s">
        <v>6350</v>
      </c>
      <c r="D429" s="86" t="s">
        <v>6350</v>
      </c>
    </row>
    <row r="430" spans="1:4" s="84" customFormat="1" ht="19.7" customHeight="1" x14ac:dyDescent="0.2">
      <c r="A430" s="85" t="s">
        <v>5476</v>
      </c>
      <c r="B430" s="85" t="s">
        <v>5477</v>
      </c>
      <c r="C430" s="85" t="s">
        <v>6351</v>
      </c>
      <c r="D430" s="85" t="s">
        <v>6352</v>
      </c>
    </row>
    <row r="431" spans="1:4" s="84" customFormat="1" ht="19.7" customHeight="1" x14ac:dyDescent="0.2">
      <c r="A431" s="86" t="s">
        <v>5560</v>
      </c>
      <c r="B431" s="86" t="s">
        <v>2129</v>
      </c>
      <c r="C431" s="86" t="s">
        <v>6353</v>
      </c>
      <c r="D431" s="86" t="s">
        <v>6354</v>
      </c>
    </row>
    <row r="432" spans="1:4" s="84" customFormat="1" ht="19.7" customHeight="1" x14ac:dyDescent="0.2">
      <c r="A432" s="85" t="s">
        <v>5627</v>
      </c>
      <c r="B432" s="85" t="s">
        <v>5628</v>
      </c>
      <c r="C432" s="85" t="s">
        <v>6355</v>
      </c>
      <c r="D432" s="85" t="s">
        <v>6356</v>
      </c>
    </row>
    <row r="433" s="84" customFormat="1" ht="28.7" customHeight="1" x14ac:dyDescent="0.2"/>
  </sheetData>
  <pageMargins left="0.7" right="0.7" top="0.75" bottom="0.75" header="0.3" footer="0.3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58"/>
  <sheetViews>
    <sheetView topLeftCell="A1527" workbookViewId="0">
      <selection activeCell="C1559" sqref="C1559"/>
    </sheetView>
  </sheetViews>
  <sheetFormatPr defaultRowHeight="15" x14ac:dyDescent="0.25"/>
  <cols>
    <col min="1" max="1" width="21" customWidth="1"/>
    <col min="2" max="2" width="33.140625" customWidth="1"/>
    <col min="3" max="3" width="20.140625" customWidth="1"/>
    <col min="4" max="4" width="28.28515625" customWidth="1"/>
  </cols>
  <sheetData>
    <row r="1" spans="1:4" x14ac:dyDescent="0.25">
      <c r="A1" t="s">
        <v>33</v>
      </c>
      <c r="C1" t="s">
        <v>34</v>
      </c>
      <c r="D1" t="s">
        <v>35</v>
      </c>
    </row>
    <row r="2" spans="1:4" x14ac:dyDescent="0.25">
      <c r="A2" t="s">
        <v>36</v>
      </c>
      <c r="B2" s="1" t="s">
        <v>37</v>
      </c>
      <c r="C2" t="s">
        <v>38</v>
      </c>
      <c r="D2" s="1" t="s">
        <v>37</v>
      </c>
    </row>
    <row r="3" spans="1:4" x14ac:dyDescent="0.25">
      <c r="A3" t="s">
        <v>39</v>
      </c>
      <c r="B3" t="s">
        <v>40</v>
      </c>
      <c r="C3" t="s">
        <v>41</v>
      </c>
      <c r="D3" t="s">
        <v>40</v>
      </c>
    </row>
    <row r="4" spans="1:4" x14ac:dyDescent="0.25">
      <c r="A4" t="s">
        <v>42</v>
      </c>
      <c r="B4" t="s">
        <v>43</v>
      </c>
      <c r="C4" t="s">
        <v>44</v>
      </c>
      <c r="D4" t="s">
        <v>43</v>
      </c>
    </row>
    <row r="5" spans="1:4" x14ac:dyDescent="0.25">
      <c r="A5" t="s">
        <v>45</v>
      </c>
      <c r="B5" t="s">
        <v>46</v>
      </c>
      <c r="C5" t="s">
        <v>47</v>
      </c>
      <c r="D5" t="s">
        <v>46</v>
      </c>
    </row>
    <row r="6" spans="1:4" x14ac:dyDescent="0.25">
      <c r="A6" t="s">
        <v>48</v>
      </c>
      <c r="B6" t="s">
        <v>49</v>
      </c>
      <c r="C6" t="s">
        <v>50</v>
      </c>
      <c r="D6" t="s">
        <v>49</v>
      </c>
    </row>
    <row r="7" spans="1:4" x14ac:dyDescent="0.25">
      <c r="A7" t="s">
        <v>51</v>
      </c>
      <c r="B7" t="s">
        <v>52</v>
      </c>
      <c r="C7" t="s">
        <v>53</v>
      </c>
      <c r="D7" t="s">
        <v>52</v>
      </c>
    </row>
    <row r="8" spans="1:4" x14ac:dyDescent="0.25">
      <c r="A8" t="s">
        <v>54</v>
      </c>
      <c r="B8" t="s">
        <v>55</v>
      </c>
      <c r="C8" t="s">
        <v>56</v>
      </c>
      <c r="D8" t="s">
        <v>55</v>
      </c>
    </row>
    <row r="9" spans="1:4" x14ac:dyDescent="0.25">
      <c r="A9" t="s">
        <v>57</v>
      </c>
      <c r="B9" t="s">
        <v>58</v>
      </c>
      <c r="C9" t="s">
        <v>59</v>
      </c>
      <c r="D9" t="s">
        <v>58</v>
      </c>
    </row>
    <row r="10" spans="1:4" x14ac:dyDescent="0.25">
      <c r="A10" t="s">
        <v>60</v>
      </c>
      <c r="B10" t="s">
        <v>61</v>
      </c>
      <c r="C10" t="s">
        <v>62</v>
      </c>
      <c r="D10" t="s">
        <v>61</v>
      </c>
    </row>
    <row r="11" spans="1:4" x14ac:dyDescent="0.25">
      <c r="A11" t="s">
        <v>63</v>
      </c>
      <c r="B11" t="s">
        <v>64</v>
      </c>
      <c r="C11" t="s">
        <v>65</v>
      </c>
      <c r="D11" t="s">
        <v>64</v>
      </c>
    </row>
    <row r="12" spans="1:4" x14ac:dyDescent="0.25">
      <c r="A12" t="s">
        <v>66</v>
      </c>
      <c r="B12" t="s">
        <v>67</v>
      </c>
      <c r="C12" t="s">
        <v>68</v>
      </c>
      <c r="D12" t="s">
        <v>67</v>
      </c>
    </row>
    <row r="13" spans="1:4" x14ac:dyDescent="0.25">
      <c r="A13" t="s">
        <v>69</v>
      </c>
      <c r="B13" t="s">
        <v>70</v>
      </c>
      <c r="C13" t="s">
        <v>71</v>
      </c>
      <c r="D13" t="s">
        <v>70</v>
      </c>
    </row>
    <row r="14" spans="1:4" x14ac:dyDescent="0.25">
      <c r="A14" t="s">
        <v>72</v>
      </c>
      <c r="B14" t="s">
        <v>73</v>
      </c>
      <c r="C14" t="s">
        <v>74</v>
      </c>
      <c r="D14" t="s">
        <v>73</v>
      </c>
    </row>
    <row r="15" spans="1:4" x14ac:dyDescent="0.25">
      <c r="A15" t="s">
        <v>75</v>
      </c>
      <c r="B15" t="s">
        <v>76</v>
      </c>
      <c r="C15" t="s">
        <v>77</v>
      </c>
      <c r="D15" t="s">
        <v>76</v>
      </c>
    </row>
    <row r="16" spans="1:4" x14ac:dyDescent="0.25">
      <c r="A16" t="s">
        <v>78</v>
      </c>
      <c r="B16" t="s">
        <v>79</v>
      </c>
      <c r="C16" t="s">
        <v>80</v>
      </c>
      <c r="D16" t="s">
        <v>79</v>
      </c>
    </row>
    <row r="17" spans="1:4" x14ac:dyDescent="0.25">
      <c r="A17" t="s">
        <v>81</v>
      </c>
      <c r="B17" t="s">
        <v>82</v>
      </c>
      <c r="C17" t="s">
        <v>83</v>
      </c>
      <c r="D17" t="s">
        <v>82</v>
      </c>
    </row>
    <row r="18" spans="1:4" x14ac:dyDescent="0.25">
      <c r="A18" t="s">
        <v>84</v>
      </c>
      <c r="B18" t="s">
        <v>85</v>
      </c>
      <c r="C18" t="s">
        <v>86</v>
      </c>
      <c r="D18" t="s">
        <v>85</v>
      </c>
    </row>
    <row r="19" spans="1:4" x14ac:dyDescent="0.25">
      <c r="A19" t="s">
        <v>87</v>
      </c>
      <c r="B19" t="s">
        <v>88</v>
      </c>
      <c r="C19" t="s">
        <v>89</v>
      </c>
      <c r="D19" t="s">
        <v>88</v>
      </c>
    </row>
    <row r="20" spans="1:4" x14ac:dyDescent="0.25">
      <c r="A20" t="s">
        <v>90</v>
      </c>
      <c r="B20" t="s">
        <v>91</v>
      </c>
      <c r="C20" t="s">
        <v>92</v>
      </c>
      <c r="D20" t="s">
        <v>91</v>
      </c>
    </row>
    <row r="21" spans="1:4" x14ac:dyDescent="0.25">
      <c r="A21" t="s">
        <v>93</v>
      </c>
      <c r="B21" t="s">
        <v>94</v>
      </c>
      <c r="C21" t="s">
        <v>95</v>
      </c>
      <c r="D21" t="s">
        <v>94</v>
      </c>
    </row>
    <row r="22" spans="1:4" x14ac:dyDescent="0.25">
      <c r="A22" t="s">
        <v>96</v>
      </c>
      <c r="B22" t="s">
        <v>97</v>
      </c>
      <c r="C22" t="s">
        <v>98</v>
      </c>
      <c r="D22" t="s">
        <v>97</v>
      </c>
    </row>
    <row r="23" spans="1:4" x14ac:dyDescent="0.25">
      <c r="A23" t="s">
        <v>99</v>
      </c>
      <c r="B23" t="s">
        <v>100</v>
      </c>
      <c r="C23" t="s">
        <v>101</v>
      </c>
      <c r="D23" t="s">
        <v>100</v>
      </c>
    </row>
    <row r="24" spans="1:4" x14ac:dyDescent="0.25">
      <c r="A24" t="s">
        <v>102</v>
      </c>
      <c r="B24" t="s">
        <v>103</v>
      </c>
      <c r="C24" t="s">
        <v>104</v>
      </c>
      <c r="D24" t="s">
        <v>103</v>
      </c>
    </row>
    <row r="25" spans="1:4" x14ac:dyDescent="0.25">
      <c r="A25" t="s">
        <v>105</v>
      </c>
      <c r="B25" t="s">
        <v>106</v>
      </c>
      <c r="C25" t="s">
        <v>107</v>
      </c>
      <c r="D25" t="s">
        <v>106</v>
      </c>
    </row>
    <row r="26" spans="1:4" x14ac:dyDescent="0.25">
      <c r="A26" t="s">
        <v>108</v>
      </c>
      <c r="B26" t="s">
        <v>109</v>
      </c>
      <c r="C26" t="s">
        <v>110</v>
      </c>
      <c r="D26" t="s">
        <v>109</v>
      </c>
    </row>
    <row r="27" spans="1:4" x14ac:dyDescent="0.25">
      <c r="A27" t="s">
        <v>111</v>
      </c>
      <c r="B27" t="s">
        <v>112</v>
      </c>
      <c r="C27" t="s">
        <v>113</v>
      </c>
      <c r="D27" t="s">
        <v>112</v>
      </c>
    </row>
    <row r="28" spans="1:4" x14ac:dyDescent="0.25">
      <c r="A28" t="s">
        <v>114</v>
      </c>
      <c r="B28" t="s">
        <v>115</v>
      </c>
      <c r="C28" t="s">
        <v>116</v>
      </c>
      <c r="D28" t="s">
        <v>115</v>
      </c>
    </row>
    <row r="29" spans="1:4" x14ac:dyDescent="0.25">
      <c r="A29" t="s">
        <v>117</v>
      </c>
      <c r="B29" t="s">
        <v>118</v>
      </c>
      <c r="C29" t="s">
        <v>119</v>
      </c>
      <c r="D29" t="s">
        <v>118</v>
      </c>
    </row>
    <row r="30" spans="1:4" x14ac:dyDescent="0.25">
      <c r="A30" t="s">
        <v>120</v>
      </c>
      <c r="B30" t="s">
        <v>121</v>
      </c>
      <c r="C30" t="s">
        <v>122</v>
      </c>
      <c r="D30" t="s">
        <v>121</v>
      </c>
    </row>
    <row r="31" spans="1:4" x14ac:dyDescent="0.25">
      <c r="A31" t="s">
        <v>123</v>
      </c>
      <c r="B31" t="s">
        <v>124</v>
      </c>
      <c r="C31" t="s">
        <v>125</v>
      </c>
      <c r="D31" t="s">
        <v>124</v>
      </c>
    </row>
    <row r="32" spans="1:4" x14ac:dyDescent="0.25">
      <c r="A32" t="s">
        <v>126</v>
      </c>
      <c r="B32" t="s">
        <v>127</v>
      </c>
      <c r="C32" t="s">
        <v>128</v>
      </c>
      <c r="D32" t="s">
        <v>127</v>
      </c>
    </row>
    <row r="33" spans="1:4" x14ac:dyDescent="0.25">
      <c r="A33" t="s">
        <v>129</v>
      </c>
      <c r="B33" t="s">
        <v>130</v>
      </c>
      <c r="C33" t="s">
        <v>131</v>
      </c>
      <c r="D33" t="s">
        <v>130</v>
      </c>
    </row>
    <row r="34" spans="1:4" x14ac:dyDescent="0.25">
      <c r="A34" t="s">
        <v>132</v>
      </c>
      <c r="B34" t="s">
        <v>133</v>
      </c>
      <c r="C34" t="s">
        <v>134</v>
      </c>
      <c r="D34" t="s">
        <v>133</v>
      </c>
    </row>
    <row r="35" spans="1:4" x14ac:dyDescent="0.25">
      <c r="A35" t="s">
        <v>135</v>
      </c>
      <c r="B35" t="s">
        <v>136</v>
      </c>
      <c r="C35" t="s">
        <v>137</v>
      </c>
      <c r="D35" t="s">
        <v>136</v>
      </c>
    </row>
    <row r="36" spans="1:4" x14ac:dyDescent="0.25">
      <c r="A36" t="s">
        <v>138</v>
      </c>
      <c r="B36" t="s">
        <v>139</v>
      </c>
      <c r="C36" t="s">
        <v>140</v>
      </c>
      <c r="D36" t="s">
        <v>139</v>
      </c>
    </row>
    <row r="37" spans="1:4" x14ac:dyDescent="0.25">
      <c r="A37" t="s">
        <v>141</v>
      </c>
      <c r="B37" t="s">
        <v>142</v>
      </c>
      <c r="C37" t="s">
        <v>143</v>
      </c>
      <c r="D37" t="s">
        <v>142</v>
      </c>
    </row>
    <row r="38" spans="1:4" x14ac:dyDescent="0.25">
      <c r="A38" t="s">
        <v>144</v>
      </c>
      <c r="B38" t="s">
        <v>145</v>
      </c>
      <c r="C38" t="s">
        <v>146</v>
      </c>
      <c r="D38" t="s">
        <v>145</v>
      </c>
    </row>
    <row r="39" spans="1:4" x14ac:dyDescent="0.25">
      <c r="A39" t="s">
        <v>147</v>
      </c>
      <c r="B39" t="s">
        <v>148</v>
      </c>
      <c r="C39" t="s">
        <v>149</v>
      </c>
      <c r="D39" t="s">
        <v>148</v>
      </c>
    </row>
    <row r="40" spans="1:4" x14ac:dyDescent="0.25">
      <c r="A40" t="s">
        <v>150</v>
      </c>
      <c r="B40" t="s">
        <v>151</v>
      </c>
      <c r="C40" t="s">
        <v>152</v>
      </c>
      <c r="D40" t="s">
        <v>151</v>
      </c>
    </row>
    <row r="41" spans="1:4" x14ac:dyDescent="0.25">
      <c r="A41" t="s">
        <v>153</v>
      </c>
      <c r="B41" t="s">
        <v>154</v>
      </c>
      <c r="C41" t="s">
        <v>155</v>
      </c>
      <c r="D41" t="s">
        <v>154</v>
      </c>
    </row>
    <row r="42" spans="1:4" x14ac:dyDescent="0.25">
      <c r="A42" t="s">
        <v>156</v>
      </c>
      <c r="B42" t="s">
        <v>157</v>
      </c>
      <c r="C42" t="s">
        <v>158</v>
      </c>
      <c r="D42" t="s">
        <v>157</v>
      </c>
    </row>
    <row r="43" spans="1:4" x14ac:dyDescent="0.25">
      <c r="A43" t="s">
        <v>159</v>
      </c>
      <c r="B43" t="s">
        <v>160</v>
      </c>
      <c r="C43" t="s">
        <v>161</v>
      </c>
      <c r="D43" t="s">
        <v>160</v>
      </c>
    </row>
    <row r="44" spans="1:4" x14ac:dyDescent="0.25">
      <c r="A44" t="s">
        <v>162</v>
      </c>
      <c r="B44" t="s">
        <v>163</v>
      </c>
      <c r="C44" t="s">
        <v>164</v>
      </c>
      <c r="D44" t="s">
        <v>163</v>
      </c>
    </row>
    <row r="45" spans="1:4" x14ac:dyDescent="0.25">
      <c r="A45" t="s">
        <v>165</v>
      </c>
      <c r="B45" t="s">
        <v>166</v>
      </c>
      <c r="C45" t="s">
        <v>167</v>
      </c>
      <c r="D45" t="s">
        <v>166</v>
      </c>
    </row>
    <row r="46" spans="1:4" x14ac:dyDescent="0.25">
      <c r="A46" t="s">
        <v>168</v>
      </c>
      <c r="B46" t="s">
        <v>169</v>
      </c>
      <c r="C46" t="s">
        <v>170</v>
      </c>
      <c r="D46" t="s">
        <v>169</v>
      </c>
    </row>
    <row r="47" spans="1:4" x14ac:dyDescent="0.25">
      <c r="A47" t="s">
        <v>171</v>
      </c>
      <c r="B47" t="s">
        <v>172</v>
      </c>
      <c r="C47" t="s">
        <v>173</v>
      </c>
      <c r="D47" t="s">
        <v>172</v>
      </c>
    </row>
    <row r="48" spans="1:4" x14ac:dyDescent="0.25">
      <c r="A48" t="s">
        <v>174</v>
      </c>
      <c r="B48" t="s">
        <v>175</v>
      </c>
      <c r="C48" t="s">
        <v>176</v>
      </c>
      <c r="D48" t="s">
        <v>175</v>
      </c>
    </row>
    <row r="49" spans="1:4" x14ac:dyDescent="0.25">
      <c r="A49" t="s">
        <v>177</v>
      </c>
      <c r="B49" t="s">
        <v>178</v>
      </c>
      <c r="C49" t="s">
        <v>179</v>
      </c>
      <c r="D49" t="s">
        <v>178</v>
      </c>
    </row>
    <row r="50" spans="1:4" x14ac:dyDescent="0.25">
      <c r="A50" t="s">
        <v>180</v>
      </c>
      <c r="B50" t="s">
        <v>181</v>
      </c>
      <c r="C50" t="s">
        <v>182</v>
      </c>
      <c r="D50" t="s">
        <v>181</v>
      </c>
    </row>
    <row r="51" spans="1:4" x14ac:dyDescent="0.25">
      <c r="A51" t="s">
        <v>183</v>
      </c>
      <c r="B51" t="s">
        <v>184</v>
      </c>
      <c r="C51" t="s">
        <v>182</v>
      </c>
      <c r="D51" t="s">
        <v>184</v>
      </c>
    </row>
    <row r="52" spans="1:4" x14ac:dyDescent="0.25">
      <c r="A52" t="s">
        <v>185</v>
      </c>
      <c r="B52" t="s">
        <v>186</v>
      </c>
      <c r="C52" t="s">
        <v>187</v>
      </c>
      <c r="D52" t="s">
        <v>186</v>
      </c>
    </row>
    <row r="53" spans="1:4" x14ac:dyDescent="0.25">
      <c r="A53" t="s">
        <v>188</v>
      </c>
      <c r="B53" t="s">
        <v>189</v>
      </c>
      <c r="C53" t="s">
        <v>190</v>
      </c>
      <c r="D53" t="s">
        <v>189</v>
      </c>
    </row>
    <row r="54" spans="1:4" x14ac:dyDescent="0.25">
      <c r="A54" t="s">
        <v>191</v>
      </c>
      <c r="B54" t="s">
        <v>192</v>
      </c>
      <c r="C54" t="s">
        <v>193</v>
      </c>
      <c r="D54" t="s">
        <v>192</v>
      </c>
    </row>
    <row r="55" spans="1:4" x14ac:dyDescent="0.25">
      <c r="A55" t="s">
        <v>194</v>
      </c>
      <c r="B55" t="s">
        <v>195</v>
      </c>
      <c r="C55" t="s">
        <v>196</v>
      </c>
      <c r="D55" t="s">
        <v>195</v>
      </c>
    </row>
    <row r="56" spans="1:4" x14ac:dyDescent="0.25">
      <c r="A56" t="s">
        <v>197</v>
      </c>
      <c r="B56" t="s">
        <v>198</v>
      </c>
      <c r="C56" t="s">
        <v>199</v>
      </c>
      <c r="D56" t="s">
        <v>198</v>
      </c>
    </row>
    <row r="57" spans="1:4" x14ac:dyDescent="0.25">
      <c r="A57" t="s">
        <v>200</v>
      </c>
      <c r="B57" t="s">
        <v>201</v>
      </c>
      <c r="C57" t="s">
        <v>202</v>
      </c>
      <c r="D57" t="s">
        <v>201</v>
      </c>
    </row>
    <row r="58" spans="1:4" x14ac:dyDescent="0.25">
      <c r="A58" t="s">
        <v>203</v>
      </c>
      <c r="B58" t="s">
        <v>204</v>
      </c>
      <c r="C58" t="s">
        <v>205</v>
      </c>
      <c r="D58" t="s">
        <v>204</v>
      </c>
    </row>
    <row r="59" spans="1:4" x14ac:dyDescent="0.25">
      <c r="A59" t="s">
        <v>206</v>
      </c>
      <c r="B59" t="s">
        <v>207</v>
      </c>
      <c r="C59" t="s">
        <v>208</v>
      </c>
      <c r="D59" t="s">
        <v>207</v>
      </c>
    </row>
    <row r="60" spans="1:4" x14ac:dyDescent="0.25">
      <c r="A60" t="s">
        <v>209</v>
      </c>
      <c r="B60" t="s">
        <v>210</v>
      </c>
      <c r="C60" t="s">
        <v>211</v>
      </c>
      <c r="D60" t="s">
        <v>210</v>
      </c>
    </row>
    <row r="61" spans="1:4" x14ac:dyDescent="0.25">
      <c r="A61" t="s">
        <v>30</v>
      </c>
      <c r="B61" t="s">
        <v>212</v>
      </c>
      <c r="C61" t="s">
        <v>213</v>
      </c>
      <c r="D61" t="s">
        <v>212</v>
      </c>
    </row>
    <row r="62" spans="1:4" x14ac:dyDescent="0.25">
      <c r="A62" t="s">
        <v>214</v>
      </c>
      <c r="B62" t="s">
        <v>215</v>
      </c>
      <c r="C62" t="s">
        <v>216</v>
      </c>
      <c r="D62" t="s">
        <v>215</v>
      </c>
    </row>
    <row r="63" spans="1:4" x14ac:dyDescent="0.25">
      <c r="A63" t="s">
        <v>217</v>
      </c>
      <c r="B63" t="s">
        <v>218</v>
      </c>
      <c r="C63" t="s">
        <v>219</v>
      </c>
      <c r="D63" t="s">
        <v>218</v>
      </c>
    </row>
    <row r="64" spans="1:4" x14ac:dyDescent="0.25">
      <c r="A64" t="s">
        <v>220</v>
      </c>
      <c r="B64" t="s">
        <v>221</v>
      </c>
      <c r="C64" t="s">
        <v>222</v>
      </c>
      <c r="D64" t="s">
        <v>221</v>
      </c>
    </row>
    <row r="65" spans="1:4" x14ac:dyDescent="0.25">
      <c r="A65" t="s">
        <v>223</v>
      </c>
      <c r="B65" t="s">
        <v>224</v>
      </c>
      <c r="C65" t="s">
        <v>225</v>
      </c>
      <c r="D65" t="s">
        <v>224</v>
      </c>
    </row>
    <row r="66" spans="1:4" x14ac:dyDescent="0.25">
      <c r="A66" t="s">
        <v>226</v>
      </c>
      <c r="B66" t="s">
        <v>227</v>
      </c>
      <c r="C66" t="s">
        <v>228</v>
      </c>
      <c r="D66" t="s">
        <v>227</v>
      </c>
    </row>
    <row r="67" spans="1:4" x14ac:dyDescent="0.25">
      <c r="A67" t="s">
        <v>229</v>
      </c>
      <c r="B67" t="s">
        <v>230</v>
      </c>
      <c r="C67" t="s">
        <v>231</v>
      </c>
      <c r="D67" t="s">
        <v>230</v>
      </c>
    </row>
    <row r="68" spans="1:4" x14ac:dyDescent="0.25">
      <c r="A68" t="s">
        <v>232</v>
      </c>
      <c r="B68" t="s">
        <v>233</v>
      </c>
      <c r="C68" t="s">
        <v>234</v>
      </c>
      <c r="D68" t="s">
        <v>233</v>
      </c>
    </row>
    <row r="69" spans="1:4" x14ac:dyDescent="0.25">
      <c r="A69" t="s">
        <v>235</v>
      </c>
      <c r="B69" t="s">
        <v>236</v>
      </c>
      <c r="C69" t="s">
        <v>237</v>
      </c>
      <c r="D69" t="s">
        <v>236</v>
      </c>
    </row>
    <row r="70" spans="1:4" x14ac:dyDescent="0.25">
      <c r="A70" t="s">
        <v>238</v>
      </c>
      <c r="B70" t="s">
        <v>239</v>
      </c>
      <c r="C70" t="s">
        <v>240</v>
      </c>
      <c r="D70" t="s">
        <v>239</v>
      </c>
    </row>
    <row r="71" spans="1:4" x14ac:dyDescent="0.25">
      <c r="A71" t="s">
        <v>241</v>
      </c>
      <c r="B71" t="s">
        <v>242</v>
      </c>
      <c r="C71" t="s">
        <v>243</v>
      </c>
      <c r="D71" t="s">
        <v>242</v>
      </c>
    </row>
    <row r="72" spans="1:4" x14ac:dyDescent="0.25">
      <c r="A72" t="s">
        <v>244</v>
      </c>
      <c r="B72" t="s">
        <v>245</v>
      </c>
      <c r="C72" t="s">
        <v>246</v>
      </c>
      <c r="D72" t="s">
        <v>245</v>
      </c>
    </row>
    <row r="73" spans="1:4" x14ac:dyDescent="0.25">
      <c r="A73" t="s">
        <v>247</v>
      </c>
      <c r="B73" t="s">
        <v>248</v>
      </c>
      <c r="C73" t="s">
        <v>249</v>
      </c>
      <c r="D73" t="s">
        <v>248</v>
      </c>
    </row>
    <row r="74" spans="1:4" x14ac:dyDescent="0.25">
      <c r="A74" t="s">
        <v>250</v>
      </c>
      <c r="B74" t="s">
        <v>251</v>
      </c>
      <c r="C74" t="s">
        <v>252</v>
      </c>
      <c r="D74" t="s">
        <v>251</v>
      </c>
    </row>
    <row r="75" spans="1:4" x14ac:dyDescent="0.25">
      <c r="A75" t="s">
        <v>253</v>
      </c>
      <c r="B75" t="s">
        <v>254</v>
      </c>
      <c r="C75" t="s">
        <v>255</v>
      </c>
      <c r="D75" t="s">
        <v>254</v>
      </c>
    </row>
    <row r="76" spans="1:4" x14ac:dyDescent="0.25">
      <c r="A76" t="s">
        <v>256</v>
      </c>
      <c r="B76" t="s">
        <v>257</v>
      </c>
      <c r="C76" t="s">
        <v>258</v>
      </c>
      <c r="D76" t="s">
        <v>257</v>
      </c>
    </row>
    <row r="77" spans="1:4" x14ac:dyDescent="0.25">
      <c r="A77" t="s">
        <v>259</v>
      </c>
      <c r="B77" t="s">
        <v>260</v>
      </c>
      <c r="C77" t="s">
        <v>261</v>
      </c>
      <c r="D77" t="s">
        <v>260</v>
      </c>
    </row>
    <row r="78" spans="1:4" x14ac:dyDescent="0.25">
      <c r="A78" t="s">
        <v>262</v>
      </c>
      <c r="B78" t="s">
        <v>263</v>
      </c>
      <c r="C78" t="s">
        <v>264</v>
      </c>
      <c r="D78" t="s">
        <v>263</v>
      </c>
    </row>
    <row r="79" spans="1:4" x14ac:dyDescent="0.25">
      <c r="A79" t="s">
        <v>265</v>
      </c>
      <c r="B79" t="s">
        <v>266</v>
      </c>
      <c r="C79" t="s">
        <v>267</v>
      </c>
      <c r="D79" t="s">
        <v>266</v>
      </c>
    </row>
    <row r="80" spans="1:4" x14ac:dyDescent="0.25">
      <c r="A80" t="s">
        <v>268</v>
      </c>
      <c r="B80" t="s">
        <v>269</v>
      </c>
      <c r="C80" t="s">
        <v>270</v>
      </c>
      <c r="D80" t="s">
        <v>269</v>
      </c>
    </row>
    <row r="81" spans="1:4" x14ac:dyDescent="0.25">
      <c r="A81" t="s">
        <v>271</v>
      </c>
      <c r="B81" t="s">
        <v>272</v>
      </c>
      <c r="C81" t="s">
        <v>273</v>
      </c>
      <c r="D81" t="s">
        <v>272</v>
      </c>
    </row>
    <row r="82" spans="1:4" x14ac:dyDescent="0.25">
      <c r="A82" t="s">
        <v>274</v>
      </c>
      <c r="B82" t="s">
        <v>275</v>
      </c>
      <c r="C82" t="s">
        <v>276</v>
      </c>
      <c r="D82" t="s">
        <v>275</v>
      </c>
    </row>
    <row r="83" spans="1:4" x14ac:dyDescent="0.25">
      <c r="A83" t="s">
        <v>277</v>
      </c>
      <c r="B83" t="s">
        <v>278</v>
      </c>
      <c r="C83" t="s">
        <v>279</v>
      </c>
      <c r="D83" t="s">
        <v>278</v>
      </c>
    </row>
    <row r="84" spans="1:4" x14ac:dyDescent="0.25">
      <c r="A84" t="s">
        <v>280</v>
      </c>
      <c r="B84" t="s">
        <v>281</v>
      </c>
      <c r="C84" t="s">
        <v>282</v>
      </c>
      <c r="D84" t="s">
        <v>281</v>
      </c>
    </row>
    <row r="85" spans="1:4" x14ac:dyDescent="0.25">
      <c r="A85" t="s">
        <v>283</v>
      </c>
      <c r="B85" t="s">
        <v>284</v>
      </c>
      <c r="C85" t="s">
        <v>285</v>
      </c>
      <c r="D85" t="s">
        <v>284</v>
      </c>
    </row>
    <row r="86" spans="1:4" x14ac:dyDescent="0.25">
      <c r="A86" t="s">
        <v>286</v>
      </c>
      <c r="B86" t="s">
        <v>287</v>
      </c>
      <c r="C86" t="s">
        <v>288</v>
      </c>
      <c r="D86" t="s">
        <v>287</v>
      </c>
    </row>
    <row r="87" spans="1:4" x14ac:dyDescent="0.25">
      <c r="A87" t="s">
        <v>289</v>
      </c>
      <c r="B87" t="s">
        <v>290</v>
      </c>
      <c r="C87" t="s">
        <v>291</v>
      </c>
      <c r="D87" t="s">
        <v>290</v>
      </c>
    </row>
    <row r="88" spans="1:4" x14ac:dyDescent="0.25">
      <c r="A88" t="s">
        <v>292</v>
      </c>
      <c r="B88" t="s">
        <v>293</v>
      </c>
      <c r="C88" t="s">
        <v>294</v>
      </c>
      <c r="D88" t="s">
        <v>293</v>
      </c>
    </row>
    <row r="89" spans="1:4" x14ac:dyDescent="0.25">
      <c r="A89" t="s">
        <v>295</v>
      </c>
      <c r="B89" t="s">
        <v>296</v>
      </c>
      <c r="C89" t="s">
        <v>297</v>
      </c>
      <c r="D89" t="s">
        <v>296</v>
      </c>
    </row>
    <row r="90" spans="1:4" x14ac:dyDescent="0.25">
      <c r="A90" t="s">
        <v>298</v>
      </c>
      <c r="B90" t="s">
        <v>299</v>
      </c>
      <c r="C90" t="s">
        <v>297</v>
      </c>
      <c r="D90" t="s">
        <v>299</v>
      </c>
    </row>
    <row r="91" spans="1:4" x14ac:dyDescent="0.25">
      <c r="A91" t="s">
        <v>300</v>
      </c>
      <c r="B91" t="s">
        <v>301</v>
      </c>
      <c r="C91" t="s">
        <v>302</v>
      </c>
      <c r="D91" t="s">
        <v>301</v>
      </c>
    </row>
    <row r="92" spans="1:4" x14ac:dyDescent="0.25">
      <c r="A92" t="s">
        <v>303</v>
      </c>
      <c r="B92" t="s">
        <v>304</v>
      </c>
      <c r="C92" t="s">
        <v>305</v>
      </c>
      <c r="D92" t="s">
        <v>304</v>
      </c>
    </row>
    <row r="93" spans="1:4" x14ac:dyDescent="0.25">
      <c r="A93" t="s">
        <v>306</v>
      </c>
      <c r="B93" t="s">
        <v>307</v>
      </c>
      <c r="C93" t="s">
        <v>308</v>
      </c>
      <c r="D93" t="s">
        <v>307</v>
      </c>
    </row>
    <row r="94" spans="1:4" x14ac:dyDescent="0.25">
      <c r="A94" t="s">
        <v>309</v>
      </c>
      <c r="B94" t="s">
        <v>310</v>
      </c>
      <c r="C94" t="s">
        <v>311</v>
      </c>
      <c r="D94" t="s">
        <v>310</v>
      </c>
    </row>
    <row r="95" spans="1:4" x14ac:dyDescent="0.25">
      <c r="A95" t="s">
        <v>312</v>
      </c>
      <c r="B95" t="s">
        <v>313</v>
      </c>
      <c r="C95" t="s">
        <v>314</v>
      </c>
      <c r="D95" t="s">
        <v>313</v>
      </c>
    </row>
    <row r="96" spans="1:4" x14ac:dyDescent="0.25">
      <c r="A96" t="s">
        <v>315</v>
      </c>
      <c r="B96" t="s">
        <v>316</v>
      </c>
      <c r="C96" t="s">
        <v>317</v>
      </c>
      <c r="D96" t="s">
        <v>316</v>
      </c>
    </row>
    <row r="97" spans="1:4" x14ac:dyDescent="0.25">
      <c r="A97" t="s">
        <v>318</v>
      </c>
      <c r="B97" t="s">
        <v>319</v>
      </c>
      <c r="C97" t="s">
        <v>320</v>
      </c>
      <c r="D97" t="s">
        <v>319</v>
      </c>
    </row>
    <row r="98" spans="1:4" x14ac:dyDescent="0.25">
      <c r="A98" t="s">
        <v>321</v>
      </c>
      <c r="B98" t="s">
        <v>322</v>
      </c>
      <c r="C98" t="s">
        <v>323</v>
      </c>
      <c r="D98" t="s">
        <v>322</v>
      </c>
    </row>
    <row r="99" spans="1:4" x14ac:dyDescent="0.25">
      <c r="A99" t="s">
        <v>324</v>
      </c>
      <c r="B99" t="s">
        <v>325</v>
      </c>
      <c r="C99" t="s">
        <v>326</v>
      </c>
      <c r="D99" t="s">
        <v>325</v>
      </c>
    </row>
    <row r="100" spans="1:4" x14ac:dyDescent="0.25">
      <c r="A100" t="s">
        <v>327</v>
      </c>
      <c r="B100" t="s">
        <v>328</v>
      </c>
      <c r="C100" t="s">
        <v>329</v>
      </c>
      <c r="D100" t="s">
        <v>328</v>
      </c>
    </row>
    <row r="101" spans="1:4" x14ac:dyDescent="0.25">
      <c r="A101" t="s">
        <v>330</v>
      </c>
      <c r="B101" t="s">
        <v>331</v>
      </c>
      <c r="C101" t="s">
        <v>332</v>
      </c>
      <c r="D101" t="s">
        <v>331</v>
      </c>
    </row>
    <row r="102" spans="1:4" x14ac:dyDescent="0.25">
      <c r="A102" t="s">
        <v>333</v>
      </c>
      <c r="B102" t="s">
        <v>334</v>
      </c>
      <c r="C102" t="s">
        <v>335</v>
      </c>
      <c r="D102" t="s">
        <v>334</v>
      </c>
    </row>
    <row r="103" spans="1:4" x14ac:dyDescent="0.25">
      <c r="A103" t="s">
        <v>336</v>
      </c>
      <c r="B103" t="s">
        <v>337</v>
      </c>
      <c r="C103" t="s">
        <v>338</v>
      </c>
      <c r="D103" t="s">
        <v>337</v>
      </c>
    </row>
    <row r="104" spans="1:4" x14ac:dyDescent="0.25">
      <c r="A104" t="s">
        <v>339</v>
      </c>
      <c r="B104" t="s">
        <v>340</v>
      </c>
      <c r="C104" t="s">
        <v>341</v>
      </c>
      <c r="D104" t="s">
        <v>340</v>
      </c>
    </row>
    <row r="105" spans="1:4" x14ac:dyDescent="0.25">
      <c r="A105" t="s">
        <v>342</v>
      </c>
      <c r="B105" t="s">
        <v>343</v>
      </c>
      <c r="C105" t="s">
        <v>344</v>
      </c>
      <c r="D105" t="s">
        <v>343</v>
      </c>
    </row>
    <row r="106" spans="1:4" x14ac:dyDescent="0.25">
      <c r="A106" t="s">
        <v>345</v>
      </c>
      <c r="B106" t="s">
        <v>346</v>
      </c>
      <c r="C106" t="s">
        <v>347</v>
      </c>
      <c r="D106" t="s">
        <v>346</v>
      </c>
    </row>
    <row r="107" spans="1:4" x14ac:dyDescent="0.25">
      <c r="A107" t="s">
        <v>348</v>
      </c>
      <c r="B107" t="s">
        <v>349</v>
      </c>
      <c r="C107" t="s">
        <v>350</v>
      </c>
      <c r="D107" t="s">
        <v>349</v>
      </c>
    </row>
    <row r="108" spans="1:4" x14ac:dyDescent="0.25">
      <c r="A108" t="s">
        <v>351</v>
      </c>
      <c r="B108" t="s">
        <v>352</v>
      </c>
      <c r="C108" t="s">
        <v>353</v>
      </c>
      <c r="D108" t="s">
        <v>352</v>
      </c>
    </row>
    <row r="109" spans="1:4" x14ac:dyDescent="0.25">
      <c r="A109" t="s">
        <v>354</v>
      </c>
      <c r="B109" t="s">
        <v>355</v>
      </c>
      <c r="C109" t="s">
        <v>356</v>
      </c>
      <c r="D109" t="s">
        <v>355</v>
      </c>
    </row>
    <row r="110" spans="1:4" x14ac:dyDescent="0.25">
      <c r="A110" t="s">
        <v>357</v>
      </c>
      <c r="B110" t="s">
        <v>358</v>
      </c>
      <c r="C110" t="s">
        <v>359</v>
      </c>
      <c r="D110" t="s">
        <v>358</v>
      </c>
    </row>
    <row r="111" spans="1:4" x14ac:dyDescent="0.25">
      <c r="A111" t="s">
        <v>360</v>
      </c>
      <c r="B111" t="s">
        <v>361</v>
      </c>
      <c r="C111" t="s">
        <v>362</v>
      </c>
      <c r="D111" t="s">
        <v>361</v>
      </c>
    </row>
    <row r="112" spans="1:4" x14ac:dyDescent="0.25">
      <c r="A112" t="s">
        <v>363</v>
      </c>
      <c r="B112" t="s">
        <v>364</v>
      </c>
      <c r="C112" t="s">
        <v>365</v>
      </c>
      <c r="D112" t="s">
        <v>364</v>
      </c>
    </row>
    <row r="113" spans="1:4" x14ac:dyDescent="0.25">
      <c r="A113" t="s">
        <v>366</v>
      </c>
      <c r="B113" t="s">
        <v>367</v>
      </c>
      <c r="C113" t="s">
        <v>368</v>
      </c>
      <c r="D113" t="s">
        <v>367</v>
      </c>
    </row>
    <row r="114" spans="1:4" x14ac:dyDescent="0.25">
      <c r="A114" t="s">
        <v>369</v>
      </c>
      <c r="B114" t="s">
        <v>370</v>
      </c>
      <c r="C114" t="s">
        <v>371</v>
      </c>
      <c r="D114" t="s">
        <v>370</v>
      </c>
    </row>
    <row r="115" spans="1:4" x14ac:dyDescent="0.25">
      <c r="A115" t="s">
        <v>372</v>
      </c>
      <c r="B115" t="s">
        <v>373</v>
      </c>
      <c r="C115" t="s">
        <v>374</v>
      </c>
      <c r="D115" t="s">
        <v>373</v>
      </c>
    </row>
    <row r="116" spans="1:4" x14ac:dyDescent="0.25">
      <c r="A116" t="s">
        <v>375</v>
      </c>
      <c r="B116" t="s">
        <v>376</v>
      </c>
      <c r="C116" t="s">
        <v>377</v>
      </c>
      <c r="D116" t="s">
        <v>376</v>
      </c>
    </row>
    <row r="117" spans="1:4" x14ac:dyDescent="0.25">
      <c r="A117" t="s">
        <v>378</v>
      </c>
      <c r="B117" t="s">
        <v>379</v>
      </c>
      <c r="C117" t="s">
        <v>380</v>
      </c>
      <c r="D117" t="s">
        <v>379</v>
      </c>
    </row>
    <row r="118" spans="1:4" x14ac:dyDescent="0.25">
      <c r="A118" t="s">
        <v>381</v>
      </c>
      <c r="B118" t="s">
        <v>382</v>
      </c>
      <c r="C118" t="s">
        <v>383</v>
      </c>
      <c r="D118" t="s">
        <v>382</v>
      </c>
    </row>
    <row r="119" spans="1:4" x14ac:dyDescent="0.25">
      <c r="A119" t="s">
        <v>384</v>
      </c>
      <c r="B119" t="s">
        <v>385</v>
      </c>
      <c r="C119" t="s">
        <v>386</v>
      </c>
      <c r="D119" t="s">
        <v>385</v>
      </c>
    </row>
    <row r="120" spans="1:4" x14ac:dyDescent="0.25">
      <c r="A120" t="s">
        <v>387</v>
      </c>
      <c r="B120" t="s">
        <v>388</v>
      </c>
      <c r="C120" t="s">
        <v>389</v>
      </c>
      <c r="D120" t="s">
        <v>388</v>
      </c>
    </row>
    <row r="121" spans="1:4" x14ac:dyDescent="0.25">
      <c r="A121" t="s">
        <v>390</v>
      </c>
      <c r="B121" t="s">
        <v>391</v>
      </c>
      <c r="C121" t="s">
        <v>392</v>
      </c>
      <c r="D121" t="s">
        <v>391</v>
      </c>
    </row>
    <row r="122" spans="1:4" x14ac:dyDescent="0.25">
      <c r="A122" t="s">
        <v>393</v>
      </c>
      <c r="B122" t="s">
        <v>394</v>
      </c>
      <c r="C122" t="s">
        <v>395</v>
      </c>
      <c r="D122" t="s">
        <v>394</v>
      </c>
    </row>
    <row r="123" spans="1:4" x14ac:dyDescent="0.25">
      <c r="A123" t="s">
        <v>396</v>
      </c>
      <c r="B123" t="s">
        <v>397</v>
      </c>
      <c r="C123" t="s">
        <v>398</v>
      </c>
      <c r="D123" t="s">
        <v>397</v>
      </c>
    </row>
    <row r="124" spans="1:4" x14ac:dyDescent="0.25">
      <c r="A124" t="s">
        <v>399</v>
      </c>
      <c r="B124" t="s">
        <v>400</v>
      </c>
      <c r="C124" t="s">
        <v>401</v>
      </c>
      <c r="D124" t="s">
        <v>400</v>
      </c>
    </row>
    <row r="125" spans="1:4" x14ac:dyDescent="0.25">
      <c r="A125" t="s">
        <v>402</v>
      </c>
      <c r="B125" t="s">
        <v>403</v>
      </c>
      <c r="C125" t="s">
        <v>404</v>
      </c>
      <c r="D125" t="s">
        <v>403</v>
      </c>
    </row>
    <row r="126" spans="1:4" x14ac:dyDescent="0.25">
      <c r="A126" t="s">
        <v>405</v>
      </c>
      <c r="B126" t="s">
        <v>406</v>
      </c>
      <c r="C126" t="s">
        <v>407</v>
      </c>
      <c r="D126" t="s">
        <v>406</v>
      </c>
    </row>
    <row r="127" spans="1:4" x14ac:dyDescent="0.25">
      <c r="A127" t="s">
        <v>408</v>
      </c>
      <c r="B127" t="s">
        <v>409</v>
      </c>
      <c r="C127" t="s">
        <v>410</v>
      </c>
      <c r="D127" t="s">
        <v>409</v>
      </c>
    </row>
    <row r="128" spans="1:4" x14ac:dyDescent="0.25">
      <c r="A128" t="s">
        <v>411</v>
      </c>
      <c r="B128" t="s">
        <v>412</v>
      </c>
      <c r="C128" t="s">
        <v>413</v>
      </c>
      <c r="D128" t="s">
        <v>412</v>
      </c>
    </row>
    <row r="129" spans="1:4" x14ac:dyDescent="0.25">
      <c r="A129" t="s">
        <v>414</v>
      </c>
      <c r="B129" t="s">
        <v>415</v>
      </c>
      <c r="C129" t="s">
        <v>416</v>
      </c>
      <c r="D129" t="s">
        <v>415</v>
      </c>
    </row>
    <row r="130" spans="1:4" x14ac:dyDescent="0.25">
      <c r="A130" t="s">
        <v>417</v>
      </c>
      <c r="B130" t="s">
        <v>418</v>
      </c>
      <c r="C130" t="s">
        <v>419</v>
      </c>
      <c r="D130" t="s">
        <v>418</v>
      </c>
    </row>
    <row r="131" spans="1:4" x14ac:dyDescent="0.25">
      <c r="A131" t="s">
        <v>420</v>
      </c>
      <c r="B131" t="s">
        <v>421</v>
      </c>
      <c r="C131" t="s">
        <v>422</v>
      </c>
      <c r="D131" t="s">
        <v>421</v>
      </c>
    </row>
    <row r="132" spans="1:4" x14ac:dyDescent="0.25">
      <c r="A132" t="s">
        <v>423</v>
      </c>
      <c r="B132" t="s">
        <v>424</v>
      </c>
      <c r="C132" t="s">
        <v>425</v>
      </c>
      <c r="D132" t="s">
        <v>424</v>
      </c>
    </row>
    <row r="133" spans="1:4" x14ac:dyDescent="0.25">
      <c r="A133" t="s">
        <v>426</v>
      </c>
      <c r="B133" t="s">
        <v>427</v>
      </c>
      <c r="C133" t="s">
        <v>428</v>
      </c>
      <c r="D133" t="s">
        <v>427</v>
      </c>
    </row>
    <row r="134" spans="1:4" x14ac:dyDescent="0.25">
      <c r="A134" t="s">
        <v>429</v>
      </c>
      <c r="B134" t="s">
        <v>430</v>
      </c>
      <c r="C134" t="s">
        <v>431</v>
      </c>
      <c r="D134" t="s">
        <v>430</v>
      </c>
    </row>
    <row r="135" spans="1:4" x14ac:dyDescent="0.25">
      <c r="A135" t="s">
        <v>432</v>
      </c>
      <c r="B135" t="s">
        <v>433</v>
      </c>
      <c r="C135" t="s">
        <v>434</v>
      </c>
      <c r="D135" t="s">
        <v>433</v>
      </c>
    </row>
    <row r="136" spans="1:4" x14ac:dyDescent="0.25">
      <c r="A136" t="s">
        <v>435</v>
      </c>
      <c r="B136" t="s">
        <v>436</v>
      </c>
      <c r="C136" t="s">
        <v>437</v>
      </c>
      <c r="D136" t="s">
        <v>436</v>
      </c>
    </row>
    <row r="137" spans="1:4" x14ac:dyDescent="0.25">
      <c r="A137" t="s">
        <v>438</v>
      </c>
      <c r="B137" t="s">
        <v>439</v>
      </c>
      <c r="C137" t="s">
        <v>440</v>
      </c>
      <c r="D137" t="s">
        <v>439</v>
      </c>
    </row>
    <row r="138" spans="1:4" x14ac:dyDescent="0.25">
      <c r="A138" t="s">
        <v>441</v>
      </c>
      <c r="B138" t="s">
        <v>442</v>
      </c>
      <c r="C138" t="s">
        <v>443</v>
      </c>
      <c r="D138" t="s">
        <v>442</v>
      </c>
    </row>
    <row r="139" spans="1:4" x14ac:dyDescent="0.25">
      <c r="A139" t="s">
        <v>444</v>
      </c>
      <c r="B139" t="s">
        <v>445</v>
      </c>
      <c r="C139" t="s">
        <v>446</v>
      </c>
      <c r="D139" t="s">
        <v>445</v>
      </c>
    </row>
    <row r="140" spans="1:4" x14ac:dyDescent="0.25">
      <c r="A140" t="s">
        <v>447</v>
      </c>
      <c r="B140" t="s">
        <v>448</v>
      </c>
      <c r="C140" t="s">
        <v>449</v>
      </c>
      <c r="D140" t="s">
        <v>448</v>
      </c>
    </row>
    <row r="141" spans="1:4" x14ac:dyDescent="0.25">
      <c r="A141" t="s">
        <v>450</v>
      </c>
      <c r="B141" t="s">
        <v>451</v>
      </c>
      <c r="C141" t="s">
        <v>452</v>
      </c>
      <c r="D141" t="s">
        <v>451</v>
      </c>
    </row>
    <row r="142" spans="1:4" x14ac:dyDescent="0.25">
      <c r="A142" t="s">
        <v>29</v>
      </c>
      <c r="B142" t="s">
        <v>453</v>
      </c>
      <c r="C142" t="s">
        <v>454</v>
      </c>
      <c r="D142" t="s">
        <v>453</v>
      </c>
    </row>
    <row r="143" spans="1:4" x14ac:dyDescent="0.25">
      <c r="A143" t="s">
        <v>455</v>
      </c>
      <c r="B143" t="s">
        <v>456</v>
      </c>
      <c r="C143" t="s">
        <v>457</v>
      </c>
      <c r="D143" t="s">
        <v>456</v>
      </c>
    </row>
    <row r="144" spans="1:4" x14ac:dyDescent="0.25">
      <c r="A144" t="s">
        <v>458</v>
      </c>
      <c r="B144" t="s">
        <v>459</v>
      </c>
      <c r="C144" t="s">
        <v>460</v>
      </c>
      <c r="D144" t="s">
        <v>459</v>
      </c>
    </row>
    <row r="145" spans="1:4" x14ac:dyDescent="0.25">
      <c r="A145" t="s">
        <v>461</v>
      </c>
      <c r="B145" t="s">
        <v>462</v>
      </c>
      <c r="C145" t="s">
        <v>463</v>
      </c>
      <c r="D145" t="s">
        <v>462</v>
      </c>
    </row>
    <row r="146" spans="1:4" x14ac:dyDescent="0.25">
      <c r="A146" t="s">
        <v>464</v>
      </c>
      <c r="B146" t="s">
        <v>465</v>
      </c>
      <c r="C146" t="s">
        <v>466</v>
      </c>
      <c r="D146" t="s">
        <v>465</v>
      </c>
    </row>
    <row r="147" spans="1:4" x14ac:dyDescent="0.25">
      <c r="A147" t="s">
        <v>467</v>
      </c>
      <c r="B147" t="s">
        <v>468</v>
      </c>
      <c r="C147" t="s">
        <v>469</v>
      </c>
      <c r="D147" t="s">
        <v>468</v>
      </c>
    </row>
    <row r="148" spans="1:4" x14ac:dyDescent="0.25">
      <c r="A148" t="s">
        <v>470</v>
      </c>
      <c r="B148" t="s">
        <v>471</v>
      </c>
      <c r="C148" t="s">
        <v>472</v>
      </c>
      <c r="D148" t="s">
        <v>471</v>
      </c>
    </row>
    <row r="149" spans="1:4" x14ac:dyDescent="0.25">
      <c r="A149" t="s">
        <v>473</v>
      </c>
      <c r="B149" t="s">
        <v>474</v>
      </c>
      <c r="C149" t="s">
        <v>475</v>
      </c>
      <c r="D149" t="s">
        <v>474</v>
      </c>
    </row>
    <row r="150" spans="1:4" x14ac:dyDescent="0.25">
      <c r="A150" t="s">
        <v>476</v>
      </c>
      <c r="B150" t="s">
        <v>477</v>
      </c>
      <c r="C150" t="s">
        <v>478</v>
      </c>
      <c r="D150" t="s">
        <v>477</v>
      </c>
    </row>
    <row r="151" spans="1:4" x14ac:dyDescent="0.25">
      <c r="A151" t="s">
        <v>479</v>
      </c>
      <c r="B151" t="s">
        <v>480</v>
      </c>
      <c r="C151" t="s">
        <v>481</v>
      </c>
      <c r="D151" t="s">
        <v>480</v>
      </c>
    </row>
    <row r="152" spans="1:4" x14ac:dyDescent="0.25">
      <c r="A152" t="s">
        <v>482</v>
      </c>
      <c r="B152" t="s">
        <v>483</v>
      </c>
      <c r="C152" t="s">
        <v>484</v>
      </c>
      <c r="D152" t="s">
        <v>483</v>
      </c>
    </row>
    <row r="153" spans="1:4" x14ac:dyDescent="0.25">
      <c r="A153" t="s">
        <v>485</v>
      </c>
      <c r="B153" t="s">
        <v>486</v>
      </c>
      <c r="C153" t="s">
        <v>487</v>
      </c>
      <c r="D153" t="s">
        <v>486</v>
      </c>
    </row>
    <row r="154" spans="1:4" x14ac:dyDescent="0.25">
      <c r="A154" t="s">
        <v>488</v>
      </c>
      <c r="B154" t="s">
        <v>489</v>
      </c>
      <c r="C154" t="s">
        <v>490</v>
      </c>
      <c r="D154" t="s">
        <v>489</v>
      </c>
    </row>
    <row r="155" spans="1:4" x14ac:dyDescent="0.25">
      <c r="A155" t="s">
        <v>491</v>
      </c>
      <c r="B155" t="s">
        <v>492</v>
      </c>
      <c r="C155" t="s">
        <v>493</v>
      </c>
      <c r="D155" t="s">
        <v>492</v>
      </c>
    </row>
    <row r="156" spans="1:4" x14ac:dyDescent="0.25">
      <c r="A156" t="s">
        <v>494</v>
      </c>
      <c r="B156" t="s">
        <v>495</v>
      </c>
      <c r="C156" t="s">
        <v>496</v>
      </c>
      <c r="D156" t="s">
        <v>495</v>
      </c>
    </row>
    <row r="157" spans="1:4" x14ac:dyDescent="0.25">
      <c r="A157" t="s">
        <v>497</v>
      </c>
      <c r="B157" t="s">
        <v>498</v>
      </c>
      <c r="C157" t="s">
        <v>499</v>
      </c>
      <c r="D157" t="s">
        <v>498</v>
      </c>
    </row>
    <row r="158" spans="1:4" x14ac:dyDescent="0.25">
      <c r="A158" t="s">
        <v>500</v>
      </c>
      <c r="B158" t="s">
        <v>501</v>
      </c>
      <c r="C158" t="s">
        <v>502</v>
      </c>
      <c r="D158" t="s">
        <v>501</v>
      </c>
    </row>
    <row r="159" spans="1:4" x14ac:dyDescent="0.25">
      <c r="A159" t="s">
        <v>28</v>
      </c>
      <c r="B159" t="s">
        <v>503</v>
      </c>
      <c r="C159" t="s">
        <v>504</v>
      </c>
      <c r="D159" t="s">
        <v>503</v>
      </c>
    </row>
    <row r="160" spans="1:4" x14ac:dyDescent="0.25">
      <c r="A160" t="s">
        <v>505</v>
      </c>
      <c r="B160" t="s">
        <v>506</v>
      </c>
      <c r="C160" t="s">
        <v>507</v>
      </c>
      <c r="D160" t="s">
        <v>506</v>
      </c>
    </row>
    <row r="161" spans="1:4" x14ac:dyDescent="0.25">
      <c r="A161" t="s">
        <v>508</v>
      </c>
      <c r="B161" t="s">
        <v>509</v>
      </c>
      <c r="C161" t="s">
        <v>510</v>
      </c>
      <c r="D161" t="s">
        <v>509</v>
      </c>
    </row>
    <row r="162" spans="1:4" x14ac:dyDescent="0.25">
      <c r="A162" t="s">
        <v>511</v>
      </c>
      <c r="B162" t="s">
        <v>512</v>
      </c>
      <c r="C162" t="s">
        <v>513</v>
      </c>
      <c r="D162" t="s">
        <v>512</v>
      </c>
    </row>
    <row r="163" spans="1:4" x14ac:dyDescent="0.25">
      <c r="A163" t="s">
        <v>514</v>
      </c>
      <c r="B163" t="s">
        <v>515</v>
      </c>
      <c r="C163" t="s">
        <v>516</v>
      </c>
      <c r="D163" t="s">
        <v>515</v>
      </c>
    </row>
    <row r="164" spans="1:4" x14ac:dyDescent="0.25">
      <c r="A164" t="s">
        <v>517</v>
      </c>
      <c r="B164" t="s">
        <v>518</v>
      </c>
      <c r="C164" t="s">
        <v>519</v>
      </c>
      <c r="D164" t="s">
        <v>518</v>
      </c>
    </row>
    <row r="165" spans="1:4" x14ac:dyDescent="0.25">
      <c r="A165" t="s">
        <v>520</v>
      </c>
      <c r="B165" t="s">
        <v>521</v>
      </c>
      <c r="C165" t="s">
        <v>522</v>
      </c>
      <c r="D165" t="s">
        <v>521</v>
      </c>
    </row>
    <row r="166" spans="1:4" x14ac:dyDescent="0.25">
      <c r="A166" t="s">
        <v>523</v>
      </c>
      <c r="B166" t="s">
        <v>524</v>
      </c>
      <c r="C166" t="s">
        <v>525</v>
      </c>
      <c r="D166" t="s">
        <v>524</v>
      </c>
    </row>
    <row r="167" spans="1:4" x14ac:dyDescent="0.25">
      <c r="A167" t="s">
        <v>526</v>
      </c>
      <c r="B167" t="s">
        <v>527</v>
      </c>
      <c r="C167" t="s">
        <v>528</v>
      </c>
      <c r="D167" t="s">
        <v>527</v>
      </c>
    </row>
    <row r="168" spans="1:4" x14ac:dyDescent="0.25">
      <c r="A168" t="s">
        <v>529</v>
      </c>
      <c r="B168" t="s">
        <v>530</v>
      </c>
      <c r="C168" t="s">
        <v>531</v>
      </c>
      <c r="D168" t="s">
        <v>530</v>
      </c>
    </row>
    <row r="169" spans="1:4" x14ac:dyDescent="0.25">
      <c r="A169" t="s">
        <v>532</v>
      </c>
      <c r="B169" t="s">
        <v>533</v>
      </c>
      <c r="C169" t="s">
        <v>534</v>
      </c>
      <c r="D169" t="s">
        <v>533</v>
      </c>
    </row>
    <row r="170" spans="1:4" x14ac:dyDescent="0.25">
      <c r="A170" t="s">
        <v>535</v>
      </c>
      <c r="B170" t="s">
        <v>536</v>
      </c>
      <c r="C170" t="s">
        <v>537</v>
      </c>
      <c r="D170" t="s">
        <v>536</v>
      </c>
    </row>
    <row r="171" spans="1:4" x14ac:dyDescent="0.25">
      <c r="A171" t="s">
        <v>538</v>
      </c>
      <c r="B171" t="s">
        <v>539</v>
      </c>
      <c r="C171" t="s">
        <v>540</v>
      </c>
      <c r="D171" t="s">
        <v>539</v>
      </c>
    </row>
    <row r="172" spans="1:4" x14ac:dyDescent="0.25">
      <c r="A172" t="s">
        <v>541</v>
      </c>
      <c r="B172" t="s">
        <v>542</v>
      </c>
      <c r="C172" t="s">
        <v>543</v>
      </c>
      <c r="D172" t="s">
        <v>542</v>
      </c>
    </row>
    <row r="173" spans="1:4" x14ac:dyDescent="0.25">
      <c r="A173" t="s">
        <v>544</v>
      </c>
      <c r="B173" t="s">
        <v>545</v>
      </c>
      <c r="C173" t="s">
        <v>546</v>
      </c>
      <c r="D173" t="s">
        <v>545</v>
      </c>
    </row>
    <row r="174" spans="1:4" x14ac:dyDescent="0.25">
      <c r="A174" t="s">
        <v>547</v>
      </c>
      <c r="B174" t="s">
        <v>548</v>
      </c>
      <c r="C174" t="s">
        <v>549</v>
      </c>
      <c r="D174" t="s">
        <v>548</v>
      </c>
    </row>
    <row r="175" spans="1:4" x14ac:dyDescent="0.25">
      <c r="A175" t="s">
        <v>550</v>
      </c>
      <c r="B175" t="s">
        <v>551</v>
      </c>
      <c r="C175" t="s">
        <v>552</v>
      </c>
      <c r="D175" t="s">
        <v>551</v>
      </c>
    </row>
    <row r="176" spans="1:4" x14ac:dyDescent="0.25">
      <c r="A176" t="s">
        <v>553</v>
      </c>
      <c r="B176" t="s">
        <v>554</v>
      </c>
      <c r="C176" t="s">
        <v>555</v>
      </c>
      <c r="D176" t="s">
        <v>554</v>
      </c>
    </row>
    <row r="177" spans="1:4" x14ac:dyDescent="0.25">
      <c r="A177" t="s">
        <v>556</v>
      </c>
      <c r="B177" t="s">
        <v>557</v>
      </c>
      <c r="C177" t="s">
        <v>558</v>
      </c>
      <c r="D177" t="s">
        <v>557</v>
      </c>
    </row>
    <row r="178" spans="1:4" x14ac:dyDescent="0.25">
      <c r="A178" t="s">
        <v>559</v>
      </c>
      <c r="B178" t="s">
        <v>560</v>
      </c>
      <c r="C178" t="s">
        <v>561</v>
      </c>
      <c r="D178" t="s">
        <v>560</v>
      </c>
    </row>
    <row r="179" spans="1:4" x14ac:dyDescent="0.25">
      <c r="A179" t="s">
        <v>562</v>
      </c>
      <c r="B179" t="s">
        <v>563</v>
      </c>
      <c r="C179" t="s">
        <v>564</v>
      </c>
      <c r="D179" t="s">
        <v>563</v>
      </c>
    </row>
    <row r="180" spans="1:4" x14ac:dyDescent="0.25">
      <c r="A180" t="s">
        <v>565</v>
      </c>
      <c r="B180" t="s">
        <v>566</v>
      </c>
      <c r="C180" t="s">
        <v>567</v>
      </c>
      <c r="D180" t="s">
        <v>566</v>
      </c>
    </row>
    <row r="181" spans="1:4" x14ac:dyDescent="0.25">
      <c r="A181" t="s">
        <v>568</v>
      </c>
      <c r="B181" t="s">
        <v>569</v>
      </c>
      <c r="C181" t="s">
        <v>570</v>
      </c>
      <c r="D181" t="s">
        <v>569</v>
      </c>
    </row>
    <row r="182" spans="1:4" x14ac:dyDescent="0.25">
      <c r="A182" t="s">
        <v>571</v>
      </c>
      <c r="B182" t="s">
        <v>572</v>
      </c>
      <c r="C182" t="s">
        <v>573</v>
      </c>
      <c r="D182" t="s">
        <v>572</v>
      </c>
    </row>
    <row r="183" spans="1:4" x14ac:dyDescent="0.25">
      <c r="A183" t="s">
        <v>574</v>
      </c>
      <c r="B183" t="s">
        <v>575</v>
      </c>
      <c r="C183" t="s">
        <v>576</v>
      </c>
      <c r="D183" t="s">
        <v>575</v>
      </c>
    </row>
    <row r="184" spans="1:4" x14ac:dyDescent="0.25">
      <c r="A184" t="s">
        <v>577</v>
      </c>
      <c r="B184" t="s">
        <v>578</v>
      </c>
      <c r="C184" t="s">
        <v>579</v>
      </c>
      <c r="D184" t="s">
        <v>578</v>
      </c>
    </row>
    <row r="185" spans="1:4" x14ac:dyDescent="0.25">
      <c r="A185" t="s">
        <v>580</v>
      </c>
      <c r="B185" t="s">
        <v>581</v>
      </c>
      <c r="C185" t="s">
        <v>582</v>
      </c>
      <c r="D185" t="s">
        <v>581</v>
      </c>
    </row>
    <row r="186" spans="1:4" x14ac:dyDescent="0.25">
      <c r="A186" t="s">
        <v>583</v>
      </c>
      <c r="B186" t="s">
        <v>584</v>
      </c>
      <c r="C186" t="s">
        <v>585</v>
      </c>
      <c r="D186" t="s">
        <v>584</v>
      </c>
    </row>
    <row r="187" spans="1:4" x14ac:dyDescent="0.25">
      <c r="A187" t="s">
        <v>586</v>
      </c>
      <c r="B187" t="s">
        <v>587</v>
      </c>
      <c r="C187" t="s">
        <v>588</v>
      </c>
      <c r="D187" t="s">
        <v>587</v>
      </c>
    </row>
    <row r="188" spans="1:4" x14ac:dyDescent="0.25">
      <c r="A188" t="s">
        <v>589</v>
      </c>
      <c r="B188" t="s">
        <v>590</v>
      </c>
      <c r="C188" t="s">
        <v>591</v>
      </c>
      <c r="D188" t="s">
        <v>590</v>
      </c>
    </row>
    <row r="189" spans="1:4" x14ac:dyDescent="0.25">
      <c r="A189" t="s">
        <v>592</v>
      </c>
      <c r="B189" t="s">
        <v>593</v>
      </c>
      <c r="C189" t="s">
        <v>594</v>
      </c>
      <c r="D189" t="s">
        <v>593</v>
      </c>
    </row>
    <row r="190" spans="1:4" x14ac:dyDescent="0.25">
      <c r="A190" t="s">
        <v>595</v>
      </c>
      <c r="B190" t="s">
        <v>596</v>
      </c>
      <c r="C190" t="s">
        <v>597</v>
      </c>
      <c r="D190" t="s">
        <v>596</v>
      </c>
    </row>
    <row r="191" spans="1:4" x14ac:dyDescent="0.25">
      <c r="A191" t="s">
        <v>598</v>
      </c>
      <c r="B191" t="s">
        <v>599</v>
      </c>
      <c r="C191" t="s">
        <v>600</v>
      </c>
      <c r="D191" t="s">
        <v>599</v>
      </c>
    </row>
    <row r="192" spans="1:4" x14ac:dyDescent="0.25">
      <c r="A192" t="s">
        <v>601</v>
      </c>
      <c r="B192" t="s">
        <v>602</v>
      </c>
      <c r="C192" t="s">
        <v>603</v>
      </c>
      <c r="D192" t="s">
        <v>602</v>
      </c>
    </row>
    <row r="193" spans="1:4" x14ac:dyDescent="0.25">
      <c r="A193" t="s">
        <v>604</v>
      </c>
      <c r="B193" t="s">
        <v>605</v>
      </c>
      <c r="C193" t="s">
        <v>606</v>
      </c>
      <c r="D193" t="s">
        <v>605</v>
      </c>
    </row>
    <row r="194" spans="1:4" x14ac:dyDescent="0.25">
      <c r="A194" t="s">
        <v>607</v>
      </c>
      <c r="B194" t="s">
        <v>608</v>
      </c>
      <c r="C194" t="s">
        <v>609</v>
      </c>
      <c r="D194" t="s">
        <v>608</v>
      </c>
    </row>
    <row r="195" spans="1:4" x14ac:dyDescent="0.25">
      <c r="A195" t="s">
        <v>610</v>
      </c>
      <c r="B195" t="s">
        <v>611</v>
      </c>
      <c r="C195" t="s">
        <v>612</v>
      </c>
      <c r="D195" t="s">
        <v>611</v>
      </c>
    </row>
    <row r="196" spans="1:4" x14ac:dyDescent="0.25">
      <c r="A196" t="s">
        <v>613</v>
      </c>
      <c r="B196" t="s">
        <v>614</v>
      </c>
      <c r="C196" t="s">
        <v>615</v>
      </c>
      <c r="D196" t="s">
        <v>614</v>
      </c>
    </row>
    <row r="197" spans="1:4" x14ac:dyDescent="0.25">
      <c r="A197" t="s">
        <v>616</v>
      </c>
      <c r="B197" t="s">
        <v>617</v>
      </c>
      <c r="C197" t="s">
        <v>618</v>
      </c>
      <c r="D197" t="s">
        <v>617</v>
      </c>
    </row>
    <row r="198" spans="1:4" x14ac:dyDescent="0.25">
      <c r="A198" t="s">
        <v>619</v>
      </c>
      <c r="B198" t="s">
        <v>620</v>
      </c>
      <c r="C198" t="s">
        <v>621</v>
      </c>
      <c r="D198" t="s">
        <v>620</v>
      </c>
    </row>
    <row r="199" spans="1:4" x14ac:dyDescent="0.25">
      <c r="A199" t="s">
        <v>622</v>
      </c>
      <c r="B199" t="s">
        <v>623</v>
      </c>
      <c r="C199" t="s">
        <v>624</v>
      </c>
      <c r="D199" t="s">
        <v>623</v>
      </c>
    </row>
    <row r="200" spans="1:4" x14ac:dyDescent="0.25">
      <c r="A200" t="s">
        <v>625</v>
      </c>
      <c r="B200" t="s">
        <v>626</v>
      </c>
      <c r="C200" t="s">
        <v>627</v>
      </c>
      <c r="D200" t="s">
        <v>626</v>
      </c>
    </row>
    <row r="201" spans="1:4" x14ac:dyDescent="0.25">
      <c r="A201" t="s">
        <v>628</v>
      </c>
      <c r="B201" t="s">
        <v>629</v>
      </c>
      <c r="C201" t="s">
        <v>630</v>
      </c>
      <c r="D201" t="s">
        <v>629</v>
      </c>
    </row>
    <row r="202" spans="1:4" x14ac:dyDescent="0.25">
      <c r="A202" t="s">
        <v>631</v>
      </c>
      <c r="B202" t="s">
        <v>632</v>
      </c>
      <c r="C202" t="s">
        <v>633</v>
      </c>
      <c r="D202" t="s">
        <v>632</v>
      </c>
    </row>
    <row r="203" spans="1:4" x14ac:dyDescent="0.25">
      <c r="A203" t="s">
        <v>634</v>
      </c>
      <c r="B203" t="s">
        <v>635</v>
      </c>
      <c r="C203" t="s">
        <v>636</v>
      </c>
      <c r="D203" t="s">
        <v>635</v>
      </c>
    </row>
    <row r="204" spans="1:4" x14ac:dyDescent="0.25">
      <c r="A204" t="s">
        <v>637</v>
      </c>
      <c r="B204" t="s">
        <v>638</v>
      </c>
      <c r="C204" t="s">
        <v>639</v>
      </c>
      <c r="D204" t="s">
        <v>638</v>
      </c>
    </row>
    <row r="205" spans="1:4" x14ac:dyDescent="0.25">
      <c r="A205" t="s">
        <v>640</v>
      </c>
      <c r="B205" t="s">
        <v>641</v>
      </c>
      <c r="C205" t="s">
        <v>642</v>
      </c>
      <c r="D205" t="s">
        <v>641</v>
      </c>
    </row>
    <row r="206" spans="1:4" x14ac:dyDescent="0.25">
      <c r="A206" t="s">
        <v>643</v>
      </c>
      <c r="B206" t="s">
        <v>644</v>
      </c>
      <c r="C206" t="s">
        <v>645</v>
      </c>
      <c r="D206" t="s">
        <v>644</v>
      </c>
    </row>
    <row r="207" spans="1:4" x14ac:dyDescent="0.25">
      <c r="A207" t="s">
        <v>646</v>
      </c>
      <c r="B207" t="s">
        <v>647</v>
      </c>
      <c r="C207" t="s">
        <v>648</v>
      </c>
      <c r="D207" t="s">
        <v>647</v>
      </c>
    </row>
    <row r="208" spans="1:4" x14ac:dyDescent="0.25">
      <c r="A208" t="s">
        <v>649</v>
      </c>
      <c r="B208" t="s">
        <v>650</v>
      </c>
      <c r="C208" t="s">
        <v>651</v>
      </c>
      <c r="D208" t="s">
        <v>650</v>
      </c>
    </row>
    <row r="209" spans="1:4" x14ac:dyDescent="0.25">
      <c r="A209" t="s">
        <v>652</v>
      </c>
      <c r="B209" t="s">
        <v>653</v>
      </c>
      <c r="C209" t="s">
        <v>654</v>
      </c>
      <c r="D209" t="s">
        <v>653</v>
      </c>
    </row>
    <row r="210" spans="1:4" x14ac:dyDescent="0.25">
      <c r="A210" t="s">
        <v>655</v>
      </c>
      <c r="B210" t="s">
        <v>656</v>
      </c>
      <c r="C210" t="s">
        <v>657</v>
      </c>
      <c r="D210" t="s">
        <v>656</v>
      </c>
    </row>
    <row r="211" spans="1:4" x14ac:dyDescent="0.25">
      <c r="A211" t="s">
        <v>658</v>
      </c>
      <c r="B211" t="s">
        <v>659</v>
      </c>
      <c r="C211" t="s">
        <v>660</v>
      </c>
      <c r="D211" t="s">
        <v>659</v>
      </c>
    </row>
    <row r="212" spans="1:4" x14ac:dyDescent="0.25">
      <c r="A212" t="s">
        <v>661</v>
      </c>
      <c r="B212" t="s">
        <v>662</v>
      </c>
      <c r="C212" t="s">
        <v>663</v>
      </c>
      <c r="D212" t="s">
        <v>662</v>
      </c>
    </row>
    <row r="213" spans="1:4" x14ac:dyDescent="0.25">
      <c r="A213" t="s">
        <v>664</v>
      </c>
      <c r="B213" t="s">
        <v>665</v>
      </c>
      <c r="C213" t="s">
        <v>666</v>
      </c>
      <c r="D213" t="s">
        <v>665</v>
      </c>
    </row>
    <row r="214" spans="1:4" x14ac:dyDescent="0.25">
      <c r="A214" t="s">
        <v>667</v>
      </c>
      <c r="B214" t="s">
        <v>668</v>
      </c>
      <c r="C214" t="s">
        <v>669</v>
      </c>
      <c r="D214" t="s">
        <v>668</v>
      </c>
    </row>
    <row r="215" spans="1:4" x14ac:dyDescent="0.25">
      <c r="A215" t="s">
        <v>670</v>
      </c>
      <c r="B215" t="s">
        <v>671</v>
      </c>
      <c r="C215" t="s">
        <v>672</v>
      </c>
      <c r="D215" t="s">
        <v>671</v>
      </c>
    </row>
    <row r="216" spans="1:4" x14ac:dyDescent="0.25">
      <c r="A216" t="s">
        <v>673</v>
      </c>
      <c r="B216" t="s">
        <v>674</v>
      </c>
      <c r="C216" t="s">
        <v>675</v>
      </c>
      <c r="D216" t="s">
        <v>674</v>
      </c>
    </row>
    <row r="217" spans="1:4" x14ac:dyDescent="0.25">
      <c r="A217" t="s">
        <v>676</v>
      </c>
      <c r="B217" t="s">
        <v>677</v>
      </c>
      <c r="C217" t="s">
        <v>678</v>
      </c>
      <c r="D217" t="s">
        <v>677</v>
      </c>
    </row>
    <row r="218" spans="1:4" x14ac:dyDescent="0.25">
      <c r="A218" t="s">
        <v>679</v>
      </c>
      <c r="B218" t="s">
        <v>680</v>
      </c>
      <c r="C218" t="s">
        <v>681</v>
      </c>
      <c r="D218" t="s">
        <v>680</v>
      </c>
    </row>
    <row r="219" spans="1:4" x14ac:dyDescent="0.25">
      <c r="A219" t="s">
        <v>682</v>
      </c>
      <c r="B219" t="s">
        <v>683</v>
      </c>
      <c r="C219" t="s">
        <v>684</v>
      </c>
      <c r="D219" t="s">
        <v>683</v>
      </c>
    </row>
    <row r="220" spans="1:4" x14ac:dyDescent="0.25">
      <c r="A220" t="s">
        <v>685</v>
      </c>
      <c r="B220" t="s">
        <v>686</v>
      </c>
      <c r="C220" t="s">
        <v>687</v>
      </c>
      <c r="D220" t="s">
        <v>686</v>
      </c>
    </row>
    <row r="221" spans="1:4" x14ac:dyDescent="0.25">
      <c r="A221" t="s">
        <v>688</v>
      </c>
      <c r="B221" t="s">
        <v>689</v>
      </c>
      <c r="C221" t="s">
        <v>690</v>
      </c>
      <c r="D221" t="s">
        <v>689</v>
      </c>
    </row>
    <row r="222" spans="1:4" x14ac:dyDescent="0.25">
      <c r="A222" t="s">
        <v>691</v>
      </c>
      <c r="B222" t="s">
        <v>692</v>
      </c>
      <c r="C222" t="s">
        <v>693</v>
      </c>
      <c r="D222" t="s">
        <v>692</v>
      </c>
    </row>
    <row r="223" spans="1:4" x14ac:dyDescent="0.25">
      <c r="A223" t="s">
        <v>694</v>
      </c>
      <c r="B223" t="s">
        <v>695</v>
      </c>
      <c r="C223" t="s">
        <v>696</v>
      </c>
      <c r="D223" t="s">
        <v>695</v>
      </c>
    </row>
    <row r="224" spans="1:4" x14ac:dyDescent="0.25">
      <c r="A224" t="s">
        <v>697</v>
      </c>
      <c r="B224" t="s">
        <v>698</v>
      </c>
      <c r="C224" t="s">
        <v>699</v>
      </c>
      <c r="D224" t="s">
        <v>698</v>
      </c>
    </row>
    <row r="225" spans="1:4" x14ac:dyDescent="0.25">
      <c r="A225" t="s">
        <v>700</v>
      </c>
      <c r="B225" t="s">
        <v>701</v>
      </c>
      <c r="C225" t="s">
        <v>702</v>
      </c>
      <c r="D225" t="s">
        <v>701</v>
      </c>
    </row>
    <row r="226" spans="1:4" x14ac:dyDescent="0.25">
      <c r="A226" t="s">
        <v>703</v>
      </c>
      <c r="B226" t="s">
        <v>704</v>
      </c>
      <c r="C226" t="s">
        <v>705</v>
      </c>
      <c r="D226" t="s">
        <v>704</v>
      </c>
    </row>
    <row r="227" spans="1:4" x14ac:dyDescent="0.25">
      <c r="A227" t="s">
        <v>706</v>
      </c>
      <c r="B227" t="s">
        <v>707</v>
      </c>
      <c r="C227" t="s">
        <v>708</v>
      </c>
      <c r="D227" t="s">
        <v>707</v>
      </c>
    </row>
    <row r="228" spans="1:4" x14ac:dyDescent="0.25">
      <c r="A228" t="s">
        <v>709</v>
      </c>
      <c r="B228" t="s">
        <v>710</v>
      </c>
      <c r="C228" t="s">
        <v>711</v>
      </c>
      <c r="D228" t="s">
        <v>710</v>
      </c>
    </row>
    <row r="229" spans="1:4" x14ac:dyDescent="0.25">
      <c r="A229" t="s">
        <v>712</v>
      </c>
      <c r="B229" t="s">
        <v>713</v>
      </c>
      <c r="C229" t="s">
        <v>714</v>
      </c>
      <c r="D229" t="s">
        <v>713</v>
      </c>
    </row>
    <row r="230" spans="1:4" x14ac:dyDescent="0.25">
      <c r="A230" t="s">
        <v>715</v>
      </c>
      <c r="B230" t="s">
        <v>716</v>
      </c>
      <c r="C230" t="s">
        <v>717</v>
      </c>
      <c r="D230" t="s">
        <v>716</v>
      </c>
    </row>
    <row r="231" spans="1:4" x14ac:dyDescent="0.25">
      <c r="A231" t="s">
        <v>718</v>
      </c>
      <c r="B231" t="s">
        <v>719</v>
      </c>
      <c r="C231" t="s">
        <v>720</v>
      </c>
      <c r="D231" t="s">
        <v>719</v>
      </c>
    </row>
    <row r="232" spans="1:4" x14ac:dyDescent="0.25">
      <c r="A232" t="s">
        <v>721</v>
      </c>
      <c r="B232" t="s">
        <v>722</v>
      </c>
      <c r="C232" t="s">
        <v>723</v>
      </c>
      <c r="D232" t="s">
        <v>722</v>
      </c>
    </row>
    <row r="233" spans="1:4" x14ac:dyDescent="0.25">
      <c r="A233" t="s">
        <v>724</v>
      </c>
      <c r="B233" t="s">
        <v>725</v>
      </c>
      <c r="C233" t="s">
        <v>726</v>
      </c>
      <c r="D233" t="s">
        <v>725</v>
      </c>
    </row>
    <row r="234" spans="1:4" x14ac:dyDescent="0.25">
      <c r="A234" t="s">
        <v>727</v>
      </c>
      <c r="B234" t="s">
        <v>728</v>
      </c>
      <c r="C234" t="s">
        <v>729</v>
      </c>
      <c r="D234" t="s">
        <v>728</v>
      </c>
    </row>
    <row r="235" spans="1:4" x14ac:dyDescent="0.25">
      <c r="A235" t="s">
        <v>730</v>
      </c>
      <c r="B235" t="s">
        <v>731</v>
      </c>
      <c r="C235" t="s">
        <v>732</v>
      </c>
      <c r="D235" t="s">
        <v>731</v>
      </c>
    </row>
    <row r="236" spans="1:4" x14ac:dyDescent="0.25">
      <c r="A236" t="s">
        <v>733</v>
      </c>
      <c r="B236" t="s">
        <v>734</v>
      </c>
      <c r="C236" t="s">
        <v>735</v>
      </c>
      <c r="D236" t="s">
        <v>734</v>
      </c>
    </row>
    <row r="237" spans="1:4" x14ac:dyDescent="0.25">
      <c r="A237" t="s">
        <v>736</v>
      </c>
      <c r="B237" t="s">
        <v>737</v>
      </c>
      <c r="C237" t="s">
        <v>738</v>
      </c>
      <c r="D237" t="s">
        <v>737</v>
      </c>
    </row>
    <row r="238" spans="1:4" x14ac:dyDescent="0.25">
      <c r="A238" t="s">
        <v>739</v>
      </c>
      <c r="B238" t="s">
        <v>740</v>
      </c>
      <c r="C238" t="s">
        <v>741</v>
      </c>
      <c r="D238" t="s">
        <v>740</v>
      </c>
    </row>
    <row r="239" spans="1:4" x14ac:dyDescent="0.25">
      <c r="A239" t="s">
        <v>742</v>
      </c>
      <c r="B239" t="s">
        <v>743</v>
      </c>
      <c r="C239" t="s">
        <v>744</v>
      </c>
      <c r="D239" t="s">
        <v>743</v>
      </c>
    </row>
    <row r="240" spans="1:4" x14ac:dyDescent="0.25">
      <c r="A240" t="s">
        <v>745</v>
      </c>
      <c r="B240" t="s">
        <v>746</v>
      </c>
      <c r="C240" t="s">
        <v>747</v>
      </c>
      <c r="D240" t="s">
        <v>746</v>
      </c>
    </row>
    <row r="241" spans="1:4" x14ac:dyDescent="0.25">
      <c r="A241" t="s">
        <v>748</v>
      </c>
      <c r="B241" t="s">
        <v>749</v>
      </c>
      <c r="C241" t="s">
        <v>750</v>
      </c>
      <c r="D241" t="s">
        <v>749</v>
      </c>
    </row>
    <row r="242" spans="1:4" x14ac:dyDescent="0.25">
      <c r="A242" t="s">
        <v>751</v>
      </c>
      <c r="B242" t="s">
        <v>752</v>
      </c>
      <c r="C242" t="s">
        <v>753</v>
      </c>
      <c r="D242" t="s">
        <v>752</v>
      </c>
    </row>
    <row r="243" spans="1:4" x14ac:dyDescent="0.25">
      <c r="A243" t="s">
        <v>754</v>
      </c>
      <c r="B243" t="s">
        <v>755</v>
      </c>
      <c r="C243" t="s">
        <v>756</v>
      </c>
      <c r="D243" t="s">
        <v>755</v>
      </c>
    </row>
    <row r="244" spans="1:4" x14ac:dyDescent="0.25">
      <c r="A244" t="s">
        <v>757</v>
      </c>
      <c r="B244" t="s">
        <v>758</v>
      </c>
      <c r="C244" t="s">
        <v>759</v>
      </c>
      <c r="D244" t="s">
        <v>758</v>
      </c>
    </row>
    <row r="245" spans="1:4" x14ac:dyDescent="0.25">
      <c r="A245" t="s">
        <v>760</v>
      </c>
      <c r="B245" t="s">
        <v>761</v>
      </c>
      <c r="C245" t="s">
        <v>762</v>
      </c>
      <c r="D245" t="s">
        <v>761</v>
      </c>
    </row>
    <row r="246" spans="1:4" x14ac:dyDescent="0.25">
      <c r="A246" t="s">
        <v>763</v>
      </c>
      <c r="B246" t="s">
        <v>764</v>
      </c>
      <c r="C246" t="s">
        <v>765</v>
      </c>
      <c r="D246" t="s">
        <v>764</v>
      </c>
    </row>
    <row r="247" spans="1:4" x14ac:dyDescent="0.25">
      <c r="A247" t="s">
        <v>766</v>
      </c>
      <c r="B247" t="s">
        <v>767</v>
      </c>
      <c r="C247" t="s">
        <v>768</v>
      </c>
      <c r="D247" t="s">
        <v>767</v>
      </c>
    </row>
    <row r="248" spans="1:4" x14ac:dyDescent="0.25">
      <c r="A248" t="s">
        <v>769</v>
      </c>
      <c r="B248" t="s">
        <v>770</v>
      </c>
      <c r="C248" t="s">
        <v>771</v>
      </c>
      <c r="D248" t="s">
        <v>770</v>
      </c>
    </row>
    <row r="249" spans="1:4" x14ac:dyDescent="0.25">
      <c r="A249" t="s">
        <v>772</v>
      </c>
      <c r="B249" t="s">
        <v>773</v>
      </c>
      <c r="C249" t="s">
        <v>774</v>
      </c>
      <c r="D249" t="s">
        <v>773</v>
      </c>
    </row>
    <row r="250" spans="1:4" x14ac:dyDescent="0.25">
      <c r="A250" t="s">
        <v>775</v>
      </c>
      <c r="B250" t="s">
        <v>776</v>
      </c>
      <c r="C250" t="s">
        <v>777</v>
      </c>
      <c r="D250" t="s">
        <v>776</v>
      </c>
    </row>
    <row r="251" spans="1:4" x14ac:dyDescent="0.25">
      <c r="A251" t="s">
        <v>778</v>
      </c>
      <c r="B251" t="s">
        <v>779</v>
      </c>
      <c r="C251" t="s">
        <v>780</v>
      </c>
      <c r="D251" t="s">
        <v>779</v>
      </c>
    </row>
    <row r="252" spans="1:4" x14ac:dyDescent="0.25">
      <c r="A252" t="s">
        <v>781</v>
      </c>
      <c r="B252" t="s">
        <v>782</v>
      </c>
      <c r="C252" t="s">
        <v>783</v>
      </c>
      <c r="D252" t="s">
        <v>782</v>
      </c>
    </row>
    <row r="253" spans="1:4" x14ac:dyDescent="0.25">
      <c r="A253" t="s">
        <v>784</v>
      </c>
      <c r="B253" t="s">
        <v>785</v>
      </c>
      <c r="C253" t="s">
        <v>786</v>
      </c>
      <c r="D253" t="s">
        <v>785</v>
      </c>
    </row>
    <row r="254" spans="1:4" x14ac:dyDescent="0.25">
      <c r="A254" t="s">
        <v>787</v>
      </c>
      <c r="B254" t="s">
        <v>788</v>
      </c>
      <c r="C254" t="s">
        <v>789</v>
      </c>
      <c r="D254" t="s">
        <v>788</v>
      </c>
    </row>
    <row r="255" spans="1:4" x14ac:dyDescent="0.25">
      <c r="A255" t="s">
        <v>790</v>
      </c>
      <c r="B255" t="s">
        <v>791</v>
      </c>
      <c r="C255" t="s">
        <v>792</v>
      </c>
      <c r="D255" t="s">
        <v>791</v>
      </c>
    </row>
    <row r="256" spans="1:4" x14ac:dyDescent="0.25">
      <c r="A256" t="s">
        <v>793</v>
      </c>
      <c r="B256" t="s">
        <v>794</v>
      </c>
      <c r="C256" t="s">
        <v>795</v>
      </c>
      <c r="D256" t="s">
        <v>794</v>
      </c>
    </row>
    <row r="257" spans="1:4" x14ac:dyDescent="0.25">
      <c r="A257" t="s">
        <v>796</v>
      </c>
      <c r="B257" t="s">
        <v>797</v>
      </c>
      <c r="C257" t="s">
        <v>798</v>
      </c>
      <c r="D257" t="s">
        <v>797</v>
      </c>
    </row>
    <row r="258" spans="1:4" x14ac:dyDescent="0.25">
      <c r="A258" t="s">
        <v>799</v>
      </c>
      <c r="B258" t="s">
        <v>800</v>
      </c>
      <c r="C258" t="s">
        <v>801</v>
      </c>
      <c r="D258" t="s">
        <v>800</v>
      </c>
    </row>
    <row r="259" spans="1:4" x14ac:dyDescent="0.25">
      <c r="A259" t="s">
        <v>802</v>
      </c>
      <c r="B259" t="s">
        <v>803</v>
      </c>
      <c r="C259" t="s">
        <v>804</v>
      </c>
      <c r="D259" t="s">
        <v>803</v>
      </c>
    </row>
    <row r="260" spans="1:4" x14ac:dyDescent="0.25">
      <c r="A260" t="s">
        <v>805</v>
      </c>
      <c r="B260" t="s">
        <v>806</v>
      </c>
      <c r="C260" t="s">
        <v>807</v>
      </c>
      <c r="D260" t="s">
        <v>806</v>
      </c>
    </row>
    <row r="261" spans="1:4" x14ac:dyDescent="0.25">
      <c r="A261" t="s">
        <v>808</v>
      </c>
      <c r="B261" t="s">
        <v>809</v>
      </c>
      <c r="C261" t="s">
        <v>810</v>
      </c>
      <c r="D261" t="s">
        <v>809</v>
      </c>
    </row>
    <row r="262" spans="1:4" x14ac:dyDescent="0.25">
      <c r="A262" t="s">
        <v>811</v>
      </c>
      <c r="B262" t="s">
        <v>812</v>
      </c>
      <c r="C262" t="s">
        <v>813</v>
      </c>
      <c r="D262" t="s">
        <v>812</v>
      </c>
    </row>
    <row r="263" spans="1:4" x14ac:dyDescent="0.25">
      <c r="A263" t="s">
        <v>814</v>
      </c>
      <c r="B263" t="s">
        <v>815</v>
      </c>
      <c r="C263" t="s">
        <v>816</v>
      </c>
      <c r="D263" t="s">
        <v>815</v>
      </c>
    </row>
    <row r="264" spans="1:4" x14ac:dyDescent="0.25">
      <c r="A264" t="s">
        <v>817</v>
      </c>
      <c r="B264" t="s">
        <v>818</v>
      </c>
      <c r="C264" t="s">
        <v>819</v>
      </c>
      <c r="D264" t="s">
        <v>818</v>
      </c>
    </row>
    <row r="265" spans="1:4" x14ac:dyDescent="0.25">
      <c r="A265" t="s">
        <v>820</v>
      </c>
      <c r="B265" t="s">
        <v>821</v>
      </c>
      <c r="C265" t="s">
        <v>822</v>
      </c>
      <c r="D265" t="s">
        <v>821</v>
      </c>
    </row>
    <row r="266" spans="1:4" x14ac:dyDescent="0.25">
      <c r="A266" t="s">
        <v>823</v>
      </c>
      <c r="B266" t="s">
        <v>824</v>
      </c>
      <c r="C266" t="s">
        <v>825</v>
      </c>
      <c r="D266" t="s">
        <v>824</v>
      </c>
    </row>
    <row r="267" spans="1:4" x14ac:dyDescent="0.25">
      <c r="A267" t="s">
        <v>826</v>
      </c>
      <c r="B267" t="s">
        <v>827</v>
      </c>
      <c r="C267" t="s">
        <v>828</v>
      </c>
      <c r="D267" t="s">
        <v>827</v>
      </c>
    </row>
    <row r="268" spans="1:4" x14ac:dyDescent="0.25">
      <c r="A268" t="s">
        <v>829</v>
      </c>
      <c r="B268" t="s">
        <v>830</v>
      </c>
      <c r="C268" t="s">
        <v>831</v>
      </c>
      <c r="D268" t="s">
        <v>830</v>
      </c>
    </row>
    <row r="269" spans="1:4" x14ac:dyDescent="0.25">
      <c r="A269" t="s">
        <v>832</v>
      </c>
      <c r="B269" t="s">
        <v>833</v>
      </c>
      <c r="C269" t="s">
        <v>834</v>
      </c>
      <c r="D269" t="s">
        <v>833</v>
      </c>
    </row>
    <row r="270" spans="1:4" x14ac:dyDescent="0.25">
      <c r="A270" t="s">
        <v>835</v>
      </c>
      <c r="B270" t="s">
        <v>836</v>
      </c>
      <c r="C270" t="s">
        <v>837</v>
      </c>
      <c r="D270" t="s">
        <v>836</v>
      </c>
    </row>
    <row r="271" spans="1:4" x14ac:dyDescent="0.25">
      <c r="A271" t="s">
        <v>838</v>
      </c>
      <c r="B271" t="s">
        <v>839</v>
      </c>
      <c r="C271" t="s">
        <v>840</v>
      </c>
      <c r="D271" t="s">
        <v>839</v>
      </c>
    </row>
    <row r="272" spans="1:4" x14ac:dyDescent="0.25">
      <c r="A272" t="s">
        <v>841</v>
      </c>
      <c r="B272" t="s">
        <v>842</v>
      </c>
      <c r="C272" t="s">
        <v>843</v>
      </c>
      <c r="D272" t="s">
        <v>842</v>
      </c>
    </row>
    <row r="273" spans="1:4" x14ac:dyDescent="0.25">
      <c r="A273" t="s">
        <v>844</v>
      </c>
      <c r="B273" t="s">
        <v>845</v>
      </c>
      <c r="C273" t="s">
        <v>846</v>
      </c>
      <c r="D273" t="s">
        <v>845</v>
      </c>
    </row>
    <row r="274" spans="1:4" x14ac:dyDescent="0.25">
      <c r="A274" t="s">
        <v>847</v>
      </c>
      <c r="B274" t="s">
        <v>848</v>
      </c>
      <c r="C274" t="s">
        <v>849</v>
      </c>
      <c r="D274" t="s">
        <v>848</v>
      </c>
    </row>
    <row r="275" spans="1:4" x14ac:dyDescent="0.25">
      <c r="A275" t="s">
        <v>850</v>
      </c>
      <c r="B275" t="s">
        <v>851</v>
      </c>
      <c r="C275" t="s">
        <v>852</v>
      </c>
      <c r="D275" t="s">
        <v>851</v>
      </c>
    </row>
    <row r="276" spans="1:4" x14ac:dyDescent="0.25">
      <c r="A276" t="s">
        <v>853</v>
      </c>
      <c r="B276" t="s">
        <v>854</v>
      </c>
      <c r="C276" t="s">
        <v>855</v>
      </c>
      <c r="D276" t="s">
        <v>854</v>
      </c>
    </row>
    <row r="277" spans="1:4" x14ac:dyDescent="0.25">
      <c r="A277" t="s">
        <v>856</v>
      </c>
      <c r="B277" t="s">
        <v>857</v>
      </c>
      <c r="C277" t="s">
        <v>858</v>
      </c>
      <c r="D277" t="s">
        <v>857</v>
      </c>
    </row>
    <row r="278" spans="1:4" x14ac:dyDescent="0.25">
      <c r="A278" t="s">
        <v>859</v>
      </c>
      <c r="B278" t="s">
        <v>860</v>
      </c>
      <c r="C278" t="s">
        <v>861</v>
      </c>
      <c r="D278" t="s">
        <v>860</v>
      </c>
    </row>
    <row r="279" spans="1:4" x14ac:dyDescent="0.25">
      <c r="A279" t="s">
        <v>862</v>
      </c>
      <c r="B279" t="s">
        <v>863</v>
      </c>
      <c r="C279" t="s">
        <v>864</v>
      </c>
      <c r="D279" t="s">
        <v>863</v>
      </c>
    </row>
    <row r="280" spans="1:4" x14ac:dyDescent="0.25">
      <c r="A280" t="s">
        <v>865</v>
      </c>
      <c r="B280" t="s">
        <v>866</v>
      </c>
      <c r="C280" t="s">
        <v>867</v>
      </c>
      <c r="D280" t="s">
        <v>866</v>
      </c>
    </row>
    <row r="281" spans="1:4" x14ac:dyDescent="0.25">
      <c r="A281" t="s">
        <v>868</v>
      </c>
      <c r="B281" t="s">
        <v>869</v>
      </c>
      <c r="C281" t="s">
        <v>870</v>
      </c>
      <c r="D281" t="s">
        <v>869</v>
      </c>
    </row>
    <row r="282" spans="1:4" x14ac:dyDescent="0.25">
      <c r="A282" t="s">
        <v>871</v>
      </c>
      <c r="B282" t="s">
        <v>872</v>
      </c>
      <c r="C282" t="s">
        <v>873</v>
      </c>
      <c r="D282" t="s">
        <v>872</v>
      </c>
    </row>
    <row r="283" spans="1:4" x14ac:dyDescent="0.25">
      <c r="A283" t="s">
        <v>874</v>
      </c>
      <c r="B283" t="s">
        <v>875</v>
      </c>
      <c r="C283" t="s">
        <v>876</v>
      </c>
      <c r="D283" t="s">
        <v>875</v>
      </c>
    </row>
    <row r="284" spans="1:4" x14ac:dyDescent="0.25">
      <c r="A284" t="s">
        <v>877</v>
      </c>
      <c r="B284" t="s">
        <v>878</v>
      </c>
      <c r="C284" t="s">
        <v>879</v>
      </c>
      <c r="D284" t="s">
        <v>878</v>
      </c>
    </row>
    <row r="285" spans="1:4" x14ac:dyDescent="0.25">
      <c r="A285" t="s">
        <v>880</v>
      </c>
      <c r="B285" t="s">
        <v>881</v>
      </c>
      <c r="C285" t="s">
        <v>882</v>
      </c>
      <c r="D285" t="s">
        <v>881</v>
      </c>
    </row>
    <row r="286" spans="1:4" x14ac:dyDescent="0.25">
      <c r="A286" t="s">
        <v>883</v>
      </c>
      <c r="B286" t="s">
        <v>884</v>
      </c>
      <c r="C286" t="s">
        <v>885</v>
      </c>
      <c r="D286" t="s">
        <v>884</v>
      </c>
    </row>
    <row r="287" spans="1:4" x14ac:dyDescent="0.25">
      <c r="A287" t="s">
        <v>886</v>
      </c>
      <c r="B287" t="s">
        <v>887</v>
      </c>
      <c r="C287" t="s">
        <v>888</v>
      </c>
      <c r="D287" t="s">
        <v>887</v>
      </c>
    </row>
    <row r="288" spans="1:4" x14ac:dyDescent="0.25">
      <c r="A288" t="s">
        <v>889</v>
      </c>
      <c r="B288" t="s">
        <v>890</v>
      </c>
      <c r="C288" t="s">
        <v>891</v>
      </c>
      <c r="D288" t="s">
        <v>890</v>
      </c>
    </row>
    <row r="289" spans="1:4" x14ac:dyDescent="0.25">
      <c r="A289" t="s">
        <v>892</v>
      </c>
      <c r="B289" t="s">
        <v>893</v>
      </c>
      <c r="C289" t="s">
        <v>894</v>
      </c>
      <c r="D289" t="s">
        <v>893</v>
      </c>
    </row>
    <row r="290" spans="1:4" x14ac:dyDescent="0.25">
      <c r="A290" t="s">
        <v>895</v>
      </c>
      <c r="B290" t="s">
        <v>896</v>
      </c>
      <c r="C290" t="s">
        <v>897</v>
      </c>
      <c r="D290" t="s">
        <v>896</v>
      </c>
    </row>
    <row r="291" spans="1:4" x14ac:dyDescent="0.25">
      <c r="A291" t="s">
        <v>898</v>
      </c>
      <c r="B291" t="s">
        <v>899</v>
      </c>
      <c r="C291" t="s">
        <v>900</v>
      </c>
      <c r="D291" t="s">
        <v>899</v>
      </c>
    </row>
    <row r="292" spans="1:4" x14ac:dyDescent="0.25">
      <c r="A292" t="s">
        <v>901</v>
      </c>
      <c r="B292" t="s">
        <v>902</v>
      </c>
      <c r="C292" t="s">
        <v>903</v>
      </c>
      <c r="D292" t="s">
        <v>902</v>
      </c>
    </row>
    <row r="293" spans="1:4" x14ac:dyDescent="0.25">
      <c r="A293" t="s">
        <v>904</v>
      </c>
      <c r="B293" t="s">
        <v>905</v>
      </c>
      <c r="C293" t="s">
        <v>906</v>
      </c>
      <c r="D293" t="s">
        <v>905</v>
      </c>
    </row>
    <row r="294" spans="1:4" x14ac:dyDescent="0.25">
      <c r="A294" t="s">
        <v>907</v>
      </c>
      <c r="B294" t="s">
        <v>908</v>
      </c>
      <c r="C294" t="s">
        <v>909</v>
      </c>
      <c r="D294" t="s">
        <v>908</v>
      </c>
    </row>
    <row r="295" spans="1:4" x14ac:dyDescent="0.25">
      <c r="A295" t="s">
        <v>910</v>
      </c>
      <c r="B295" t="s">
        <v>911</v>
      </c>
      <c r="C295" t="s">
        <v>912</v>
      </c>
      <c r="D295" t="s">
        <v>911</v>
      </c>
    </row>
    <row r="296" spans="1:4" x14ac:dyDescent="0.25">
      <c r="A296" t="s">
        <v>913</v>
      </c>
      <c r="B296" t="s">
        <v>914</v>
      </c>
      <c r="C296" t="s">
        <v>915</v>
      </c>
      <c r="D296" t="s">
        <v>914</v>
      </c>
    </row>
    <row r="297" spans="1:4" x14ac:dyDescent="0.25">
      <c r="A297" t="s">
        <v>916</v>
      </c>
      <c r="B297" t="s">
        <v>917</v>
      </c>
      <c r="C297" t="s">
        <v>918</v>
      </c>
      <c r="D297" t="s">
        <v>917</v>
      </c>
    </row>
    <row r="298" spans="1:4" x14ac:dyDescent="0.25">
      <c r="A298" t="s">
        <v>919</v>
      </c>
      <c r="B298" t="s">
        <v>920</v>
      </c>
      <c r="C298" t="s">
        <v>921</v>
      </c>
      <c r="D298" t="s">
        <v>920</v>
      </c>
    </row>
    <row r="299" spans="1:4" x14ac:dyDescent="0.25">
      <c r="A299" t="s">
        <v>922</v>
      </c>
      <c r="B299" t="s">
        <v>923</v>
      </c>
      <c r="C299" t="s">
        <v>924</v>
      </c>
      <c r="D299" t="s">
        <v>923</v>
      </c>
    </row>
    <row r="300" spans="1:4" x14ac:dyDescent="0.25">
      <c r="A300" t="s">
        <v>925</v>
      </c>
      <c r="B300" t="s">
        <v>926</v>
      </c>
      <c r="C300" t="s">
        <v>927</v>
      </c>
      <c r="D300" t="s">
        <v>926</v>
      </c>
    </row>
    <row r="301" spans="1:4" x14ac:dyDescent="0.25">
      <c r="A301" t="s">
        <v>928</v>
      </c>
      <c r="B301" t="s">
        <v>929</v>
      </c>
      <c r="C301" t="s">
        <v>930</v>
      </c>
      <c r="D301" t="s">
        <v>929</v>
      </c>
    </row>
    <row r="302" spans="1:4" x14ac:dyDescent="0.25">
      <c r="A302" t="s">
        <v>931</v>
      </c>
      <c r="B302" t="s">
        <v>932</v>
      </c>
      <c r="C302" t="s">
        <v>933</v>
      </c>
      <c r="D302" t="s">
        <v>932</v>
      </c>
    </row>
    <row r="303" spans="1:4" x14ac:dyDescent="0.25">
      <c r="A303" t="s">
        <v>934</v>
      </c>
      <c r="B303" t="s">
        <v>935</v>
      </c>
      <c r="C303" t="s">
        <v>936</v>
      </c>
      <c r="D303" t="s">
        <v>935</v>
      </c>
    </row>
    <row r="304" spans="1:4" x14ac:dyDescent="0.25">
      <c r="A304" t="s">
        <v>23</v>
      </c>
      <c r="B304" t="s">
        <v>937</v>
      </c>
      <c r="C304" t="s">
        <v>938</v>
      </c>
      <c r="D304" t="s">
        <v>937</v>
      </c>
    </row>
    <row r="305" spans="1:4" x14ac:dyDescent="0.25">
      <c r="A305" t="s">
        <v>939</v>
      </c>
      <c r="B305" t="s">
        <v>940</v>
      </c>
      <c r="C305" t="s">
        <v>938</v>
      </c>
      <c r="D305" t="s">
        <v>940</v>
      </c>
    </row>
    <row r="306" spans="1:4" x14ac:dyDescent="0.25">
      <c r="A306" t="s">
        <v>941</v>
      </c>
      <c r="B306" t="s">
        <v>942</v>
      </c>
      <c r="C306" t="s">
        <v>938</v>
      </c>
      <c r="D306" t="s">
        <v>942</v>
      </c>
    </row>
    <row r="307" spans="1:4" x14ac:dyDescent="0.25">
      <c r="A307" t="s">
        <v>25</v>
      </c>
      <c r="B307" t="s">
        <v>943</v>
      </c>
      <c r="C307" t="s">
        <v>938</v>
      </c>
      <c r="D307" t="s">
        <v>943</v>
      </c>
    </row>
    <row r="308" spans="1:4" x14ac:dyDescent="0.25">
      <c r="A308" t="s">
        <v>26</v>
      </c>
      <c r="B308" t="s">
        <v>944</v>
      </c>
      <c r="C308" t="s">
        <v>938</v>
      </c>
      <c r="D308" t="s">
        <v>944</v>
      </c>
    </row>
    <row r="309" spans="1:4" x14ac:dyDescent="0.25">
      <c r="A309" t="s">
        <v>945</v>
      </c>
      <c r="B309" t="s">
        <v>946</v>
      </c>
      <c r="C309" t="s">
        <v>938</v>
      </c>
      <c r="D309" t="s">
        <v>946</v>
      </c>
    </row>
    <row r="310" spans="1:4" x14ac:dyDescent="0.25">
      <c r="A310" t="s">
        <v>22</v>
      </c>
      <c r="B310" t="s">
        <v>947</v>
      </c>
      <c r="C310" t="s">
        <v>938</v>
      </c>
      <c r="D310" t="s">
        <v>947</v>
      </c>
    </row>
    <row r="311" spans="1:4" x14ac:dyDescent="0.25">
      <c r="A311" t="s">
        <v>948</v>
      </c>
      <c r="B311" t="s">
        <v>949</v>
      </c>
      <c r="C311" t="s">
        <v>938</v>
      </c>
      <c r="D311" t="s">
        <v>949</v>
      </c>
    </row>
    <row r="312" spans="1:4" x14ac:dyDescent="0.25">
      <c r="A312" t="s">
        <v>950</v>
      </c>
      <c r="B312" t="s">
        <v>951</v>
      </c>
      <c r="C312" t="s">
        <v>938</v>
      </c>
      <c r="D312" t="s">
        <v>951</v>
      </c>
    </row>
    <row r="313" spans="1:4" x14ac:dyDescent="0.25">
      <c r="A313" t="s">
        <v>952</v>
      </c>
      <c r="B313" t="s">
        <v>953</v>
      </c>
      <c r="C313" t="s">
        <v>938</v>
      </c>
      <c r="D313" t="s">
        <v>953</v>
      </c>
    </row>
    <row r="314" spans="1:4" x14ac:dyDescent="0.25">
      <c r="A314" t="s">
        <v>954</v>
      </c>
      <c r="B314" t="s">
        <v>955</v>
      </c>
      <c r="C314" t="s">
        <v>938</v>
      </c>
      <c r="D314" t="s">
        <v>955</v>
      </c>
    </row>
    <row r="315" spans="1:4" x14ac:dyDescent="0.25">
      <c r="A315" t="s">
        <v>956</v>
      </c>
      <c r="B315" t="s">
        <v>957</v>
      </c>
      <c r="C315" t="s">
        <v>938</v>
      </c>
      <c r="D315" t="s">
        <v>957</v>
      </c>
    </row>
    <row r="316" spans="1:4" x14ac:dyDescent="0.25">
      <c r="A316" t="s">
        <v>958</v>
      </c>
      <c r="B316" t="s">
        <v>959</v>
      </c>
      <c r="C316" t="s">
        <v>938</v>
      </c>
      <c r="D316" t="s">
        <v>959</v>
      </c>
    </row>
    <row r="317" spans="1:4" x14ac:dyDescent="0.25">
      <c r="A317" t="s">
        <v>960</v>
      </c>
      <c r="B317" t="s">
        <v>961</v>
      </c>
      <c r="C317" t="s">
        <v>938</v>
      </c>
      <c r="D317" t="s">
        <v>961</v>
      </c>
    </row>
    <row r="318" spans="1:4" x14ac:dyDescent="0.25">
      <c r="A318" t="s">
        <v>962</v>
      </c>
      <c r="B318" t="s">
        <v>963</v>
      </c>
      <c r="C318" t="s">
        <v>938</v>
      </c>
      <c r="D318" t="s">
        <v>963</v>
      </c>
    </row>
    <row r="319" spans="1:4" x14ac:dyDescent="0.25">
      <c r="A319" t="s">
        <v>964</v>
      </c>
      <c r="B319" t="s">
        <v>965</v>
      </c>
      <c r="C319" t="s">
        <v>938</v>
      </c>
      <c r="D319" t="s">
        <v>965</v>
      </c>
    </row>
    <row r="320" spans="1:4" x14ac:dyDescent="0.25">
      <c r="A320" t="s">
        <v>966</v>
      </c>
      <c r="B320" t="s">
        <v>967</v>
      </c>
      <c r="C320" t="s">
        <v>938</v>
      </c>
      <c r="D320" t="s">
        <v>967</v>
      </c>
    </row>
    <row r="321" spans="1:4" x14ac:dyDescent="0.25">
      <c r="A321" t="s">
        <v>968</v>
      </c>
      <c r="B321" t="s">
        <v>969</v>
      </c>
      <c r="C321" t="s">
        <v>938</v>
      </c>
      <c r="D321" t="s">
        <v>969</v>
      </c>
    </row>
    <row r="322" spans="1:4" x14ac:dyDescent="0.25">
      <c r="A322" t="s">
        <v>970</v>
      </c>
      <c r="B322" t="s">
        <v>971</v>
      </c>
      <c r="C322" t="s">
        <v>938</v>
      </c>
      <c r="D322" t="s">
        <v>971</v>
      </c>
    </row>
    <row r="323" spans="1:4" x14ac:dyDescent="0.25">
      <c r="A323" t="s">
        <v>972</v>
      </c>
      <c r="B323" t="s">
        <v>973</v>
      </c>
      <c r="C323" t="s">
        <v>938</v>
      </c>
      <c r="D323" t="s">
        <v>973</v>
      </c>
    </row>
    <row r="324" spans="1:4" x14ac:dyDescent="0.25">
      <c r="A324" t="s">
        <v>974</v>
      </c>
      <c r="B324" t="s">
        <v>975</v>
      </c>
      <c r="C324" t="s">
        <v>938</v>
      </c>
      <c r="D324" t="s">
        <v>975</v>
      </c>
    </row>
    <row r="325" spans="1:4" x14ac:dyDescent="0.25">
      <c r="A325" t="s">
        <v>976</v>
      </c>
      <c r="B325" t="s">
        <v>977</v>
      </c>
      <c r="C325" t="s">
        <v>938</v>
      </c>
      <c r="D325" t="s">
        <v>977</v>
      </c>
    </row>
    <row r="326" spans="1:4" x14ac:dyDescent="0.25">
      <c r="A326" t="s">
        <v>978</v>
      </c>
      <c r="B326" t="s">
        <v>979</v>
      </c>
      <c r="C326" t="s">
        <v>938</v>
      </c>
      <c r="D326" t="s">
        <v>979</v>
      </c>
    </row>
    <row r="327" spans="1:4" x14ac:dyDescent="0.25">
      <c r="A327" t="s">
        <v>980</v>
      </c>
      <c r="B327" t="s">
        <v>981</v>
      </c>
      <c r="C327" t="s">
        <v>938</v>
      </c>
      <c r="D327" t="s">
        <v>981</v>
      </c>
    </row>
    <row r="328" spans="1:4" x14ac:dyDescent="0.25">
      <c r="A328" t="s">
        <v>982</v>
      </c>
      <c r="B328" t="s">
        <v>983</v>
      </c>
      <c r="C328" t="s">
        <v>938</v>
      </c>
      <c r="D328" t="s">
        <v>983</v>
      </c>
    </row>
    <row r="329" spans="1:4" x14ac:dyDescent="0.25">
      <c r="A329" t="s">
        <v>984</v>
      </c>
      <c r="B329" t="s">
        <v>985</v>
      </c>
      <c r="C329" t="s">
        <v>938</v>
      </c>
      <c r="D329" t="s">
        <v>985</v>
      </c>
    </row>
    <row r="330" spans="1:4" x14ac:dyDescent="0.25">
      <c r="A330" t="s">
        <v>24</v>
      </c>
      <c r="B330" t="s">
        <v>986</v>
      </c>
      <c r="C330" t="s">
        <v>938</v>
      </c>
      <c r="D330" t="s">
        <v>986</v>
      </c>
    </row>
    <row r="331" spans="1:4" x14ac:dyDescent="0.25">
      <c r="A331" t="s">
        <v>987</v>
      </c>
      <c r="B331" t="s">
        <v>988</v>
      </c>
      <c r="C331" t="s">
        <v>938</v>
      </c>
      <c r="D331" t="s">
        <v>988</v>
      </c>
    </row>
    <row r="332" spans="1:4" x14ac:dyDescent="0.25">
      <c r="A332" t="s">
        <v>989</v>
      </c>
      <c r="B332" t="s">
        <v>990</v>
      </c>
      <c r="C332" t="s">
        <v>991</v>
      </c>
      <c r="D332" t="s">
        <v>990</v>
      </c>
    </row>
    <row r="333" spans="1:4" x14ac:dyDescent="0.25">
      <c r="A333" t="s">
        <v>992</v>
      </c>
      <c r="B333" t="s">
        <v>993</v>
      </c>
      <c r="C333" t="s">
        <v>991</v>
      </c>
      <c r="D333" t="s">
        <v>993</v>
      </c>
    </row>
    <row r="334" spans="1:4" x14ac:dyDescent="0.25">
      <c r="A334" t="s">
        <v>994</v>
      </c>
      <c r="B334" t="s">
        <v>995</v>
      </c>
      <c r="C334" t="s">
        <v>991</v>
      </c>
      <c r="D334" t="s">
        <v>995</v>
      </c>
    </row>
    <row r="335" spans="1:4" x14ac:dyDescent="0.25">
      <c r="A335" t="s">
        <v>996</v>
      </c>
      <c r="B335" t="s">
        <v>997</v>
      </c>
      <c r="C335" t="s">
        <v>991</v>
      </c>
      <c r="D335" t="s">
        <v>997</v>
      </c>
    </row>
    <row r="336" spans="1:4" x14ac:dyDescent="0.25">
      <c r="A336" t="s">
        <v>998</v>
      </c>
      <c r="B336" t="s">
        <v>999</v>
      </c>
      <c r="C336" t="s">
        <v>991</v>
      </c>
      <c r="D336" t="s">
        <v>999</v>
      </c>
    </row>
    <row r="337" spans="1:4" x14ac:dyDescent="0.25">
      <c r="A337" t="s">
        <v>1000</v>
      </c>
      <c r="B337" t="s">
        <v>1001</v>
      </c>
      <c r="C337" t="s">
        <v>991</v>
      </c>
      <c r="D337" t="s">
        <v>1001</v>
      </c>
    </row>
    <row r="338" spans="1:4" x14ac:dyDescent="0.25">
      <c r="A338" t="s">
        <v>1002</v>
      </c>
      <c r="B338" t="s">
        <v>1003</v>
      </c>
      <c r="C338" t="s">
        <v>991</v>
      </c>
      <c r="D338" t="s">
        <v>1003</v>
      </c>
    </row>
    <row r="339" spans="1:4" x14ac:dyDescent="0.25">
      <c r="A339" t="s">
        <v>1004</v>
      </c>
      <c r="B339" t="s">
        <v>1005</v>
      </c>
      <c r="C339" t="s">
        <v>991</v>
      </c>
      <c r="D339" t="s">
        <v>1005</v>
      </c>
    </row>
    <row r="340" spans="1:4" x14ac:dyDescent="0.25">
      <c r="A340" t="s">
        <v>1006</v>
      </c>
      <c r="B340" t="s">
        <v>1007</v>
      </c>
      <c r="C340" t="s">
        <v>991</v>
      </c>
      <c r="D340" t="s">
        <v>1007</v>
      </c>
    </row>
    <row r="341" spans="1:4" x14ac:dyDescent="0.25">
      <c r="A341" t="s">
        <v>1008</v>
      </c>
      <c r="B341" t="s">
        <v>1009</v>
      </c>
      <c r="C341" t="s">
        <v>991</v>
      </c>
      <c r="D341" t="s">
        <v>1009</v>
      </c>
    </row>
    <row r="342" spans="1:4" x14ac:dyDescent="0.25">
      <c r="A342" t="s">
        <v>1010</v>
      </c>
      <c r="B342" t="s">
        <v>1011</v>
      </c>
      <c r="C342" t="s">
        <v>991</v>
      </c>
      <c r="D342" t="s">
        <v>1011</v>
      </c>
    </row>
    <row r="343" spans="1:4" x14ac:dyDescent="0.25">
      <c r="A343" t="s">
        <v>1012</v>
      </c>
      <c r="B343" t="s">
        <v>1013</v>
      </c>
      <c r="C343" t="s">
        <v>1014</v>
      </c>
      <c r="D343" t="s">
        <v>1013</v>
      </c>
    </row>
    <row r="344" spans="1:4" x14ac:dyDescent="0.25">
      <c r="A344" t="s">
        <v>1015</v>
      </c>
      <c r="B344" t="s">
        <v>1016</v>
      </c>
      <c r="C344" t="s">
        <v>1017</v>
      </c>
      <c r="D344" t="s">
        <v>1016</v>
      </c>
    </row>
    <row r="345" spans="1:4" x14ac:dyDescent="0.25">
      <c r="A345" t="s">
        <v>1018</v>
      </c>
      <c r="B345" t="s">
        <v>1019</v>
      </c>
      <c r="C345" t="s">
        <v>1020</v>
      </c>
      <c r="D345" t="s">
        <v>1019</v>
      </c>
    </row>
    <row r="346" spans="1:4" x14ac:dyDescent="0.25">
      <c r="A346" t="s">
        <v>1021</v>
      </c>
      <c r="B346" t="s">
        <v>1022</v>
      </c>
      <c r="C346" t="s">
        <v>1023</v>
      </c>
      <c r="D346" t="s">
        <v>1022</v>
      </c>
    </row>
    <row r="347" spans="1:4" x14ac:dyDescent="0.25">
      <c r="A347" t="s">
        <v>1024</v>
      </c>
      <c r="B347" t="s">
        <v>1025</v>
      </c>
      <c r="C347" t="s">
        <v>1026</v>
      </c>
      <c r="D347" t="s">
        <v>1025</v>
      </c>
    </row>
    <row r="348" spans="1:4" x14ac:dyDescent="0.25">
      <c r="A348" t="s">
        <v>1027</v>
      </c>
      <c r="B348" t="s">
        <v>1028</v>
      </c>
      <c r="C348" t="s">
        <v>1029</v>
      </c>
      <c r="D348" t="s">
        <v>1028</v>
      </c>
    </row>
    <row r="349" spans="1:4" x14ac:dyDescent="0.25">
      <c r="A349" t="s">
        <v>1030</v>
      </c>
      <c r="B349" t="s">
        <v>1031</v>
      </c>
      <c r="C349" t="s">
        <v>1032</v>
      </c>
      <c r="D349" t="s">
        <v>1031</v>
      </c>
    </row>
    <row r="350" spans="1:4" x14ac:dyDescent="0.25">
      <c r="A350" t="s">
        <v>1033</v>
      </c>
      <c r="B350" t="s">
        <v>1034</v>
      </c>
      <c r="C350" t="s">
        <v>1035</v>
      </c>
      <c r="D350" t="s">
        <v>1034</v>
      </c>
    </row>
    <row r="351" spans="1:4" x14ac:dyDescent="0.25">
      <c r="A351" t="s">
        <v>1036</v>
      </c>
      <c r="B351" t="s">
        <v>1037</v>
      </c>
      <c r="C351" t="s">
        <v>1038</v>
      </c>
      <c r="D351" t="s">
        <v>1037</v>
      </c>
    </row>
    <row r="352" spans="1:4" x14ac:dyDescent="0.25">
      <c r="A352" t="s">
        <v>1039</v>
      </c>
      <c r="B352" t="s">
        <v>1040</v>
      </c>
      <c r="C352" t="s">
        <v>1041</v>
      </c>
      <c r="D352" t="s">
        <v>1040</v>
      </c>
    </row>
    <row r="353" spans="1:4" x14ac:dyDescent="0.25">
      <c r="A353" t="s">
        <v>1042</v>
      </c>
      <c r="B353" t="s">
        <v>1043</v>
      </c>
      <c r="C353" t="s">
        <v>1044</v>
      </c>
      <c r="D353" t="s">
        <v>1043</v>
      </c>
    </row>
    <row r="354" spans="1:4" x14ac:dyDescent="0.25">
      <c r="A354" t="s">
        <v>1045</v>
      </c>
      <c r="B354" t="s">
        <v>1046</v>
      </c>
      <c r="C354" t="s">
        <v>1047</v>
      </c>
      <c r="D354" t="s">
        <v>1046</v>
      </c>
    </row>
    <row r="355" spans="1:4" x14ac:dyDescent="0.25">
      <c r="A355" t="s">
        <v>1048</v>
      </c>
      <c r="B355" t="s">
        <v>1049</v>
      </c>
      <c r="C355" t="s">
        <v>1050</v>
      </c>
      <c r="D355" t="s">
        <v>1049</v>
      </c>
    </row>
    <row r="356" spans="1:4" x14ac:dyDescent="0.25">
      <c r="A356" t="s">
        <v>1051</v>
      </c>
      <c r="B356" t="s">
        <v>1052</v>
      </c>
      <c r="C356" t="s">
        <v>1053</v>
      </c>
      <c r="D356" t="s">
        <v>1052</v>
      </c>
    </row>
    <row r="357" spans="1:4" x14ac:dyDescent="0.25">
      <c r="A357" t="s">
        <v>31</v>
      </c>
      <c r="B357" t="s">
        <v>1054</v>
      </c>
      <c r="C357" t="s">
        <v>1055</v>
      </c>
      <c r="D357" t="s">
        <v>1054</v>
      </c>
    </row>
    <row r="358" spans="1:4" x14ac:dyDescent="0.25">
      <c r="A358" t="s">
        <v>1056</v>
      </c>
      <c r="B358" t="s">
        <v>1057</v>
      </c>
      <c r="C358" t="s">
        <v>1058</v>
      </c>
      <c r="D358" t="s">
        <v>1057</v>
      </c>
    </row>
    <row r="359" spans="1:4" x14ac:dyDescent="0.25">
      <c r="A359" t="s">
        <v>1059</v>
      </c>
      <c r="B359" t="s">
        <v>1060</v>
      </c>
      <c r="C359" t="s">
        <v>1061</v>
      </c>
      <c r="D359" t="s">
        <v>1060</v>
      </c>
    </row>
    <row r="360" spans="1:4" x14ac:dyDescent="0.25">
      <c r="A360" t="s">
        <v>1062</v>
      </c>
      <c r="B360" t="s">
        <v>1063</v>
      </c>
      <c r="C360" t="s">
        <v>1064</v>
      </c>
      <c r="D360" t="s">
        <v>1063</v>
      </c>
    </row>
    <row r="361" spans="1:4" x14ac:dyDescent="0.25">
      <c r="A361" t="s">
        <v>1065</v>
      </c>
      <c r="B361" t="s">
        <v>1066</v>
      </c>
      <c r="C361" t="s">
        <v>1067</v>
      </c>
      <c r="D361" t="s">
        <v>1066</v>
      </c>
    </row>
    <row r="362" spans="1:4" x14ac:dyDescent="0.25">
      <c r="A362" t="s">
        <v>1068</v>
      </c>
      <c r="B362" t="s">
        <v>1069</v>
      </c>
      <c r="C362" t="s">
        <v>1070</v>
      </c>
      <c r="D362" t="s">
        <v>1069</v>
      </c>
    </row>
    <row r="363" spans="1:4" x14ac:dyDescent="0.25">
      <c r="A363" t="s">
        <v>1071</v>
      </c>
      <c r="B363" t="s">
        <v>1072</v>
      </c>
      <c r="C363" t="s">
        <v>1073</v>
      </c>
      <c r="D363" t="s">
        <v>1072</v>
      </c>
    </row>
    <row r="364" spans="1:4" x14ac:dyDescent="0.25">
      <c r="A364" t="s">
        <v>1074</v>
      </c>
      <c r="B364" t="s">
        <v>1075</v>
      </c>
      <c r="C364" t="s">
        <v>1076</v>
      </c>
      <c r="D364" t="s">
        <v>1075</v>
      </c>
    </row>
    <row r="365" spans="1:4" x14ac:dyDescent="0.25">
      <c r="A365" t="s">
        <v>1077</v>
      </c>
      <c r="B365" t="s">
        <v>1078</v>
      </c>
      <c r="C365" t="s">
        <v>1079</v>
      </c>
      <c r="D365" t="s">
        <v>1078</v>
      </c>
    </row>
    <row r="366" spans="1:4" x14ac:dyDescent="0.25">
      <c r="A366" t="s">
        <v>1080</v>
      </c>
      <c r="B366" t="s">
        <v>1081</v>
      </c>
      <c r="C366" t="s">
        <v>1082</v>
      </c>
      <c r="D366" t="s">
        <v>1081</v>
      </c>
    </row>
    <row r="367" spans="1:4" x14ac:dyDescent="0.25">
      <c r="A367" t="s">
        <v>1083</v>
      </c>
      <c r="B367" t="s">
        <v>1084</v>
      </c>
      <c r="C367" t="s">
        <v>1085</v>
      </c>
      <c r="D367" t="s">
        <v>1084</v>
      </c>
    </row>
    <row r="368" spans="1:4" x14ac:dyDescent="0.25">
      <c r="A368" t="s">
        <v>1086</v>
      </c>
      <c r="B368" t="s">
        <v>1087</v>
      </c>
      <c r="C368" t="s">
        <v>1088</v>
      </c>
      <c r="D368" t="s">
        <v>1087</v>
      </c>
    </row>
    <row r="369" spans="1:4" x14ac:dyDescent="0.25">
      <c r="A369" t="s">
        <v>1089</v>
      </c>
      <c r="B369" t="s">
        <v>1090</v>
      </c>
      <c r="C369" t="s">
        <v>1091</v>
      </c>
      <c r="D369" t="s">
        <v>1090</v>
      </c>
    </row>
    <row r="370" spans="1:4" x14ac:dyDescent="0.25">
      <c r="A370" t="s">
        <v>1092</v>
      </c>
      <c r="B370" t="s">
        <v>1093</v>
      </c>
      <c r="C370" t="s">
        <v>1094</v>
      </c>
      <c r="D370" t="s">
        <v>1093</v>
      </c>
    </row>
    <row r="371" spans="1:4" x14ac:dyDescent="0.25">
      <c r="A371" t="s">
        <v>1095</v>
      </c>
      <c r="B371" t="s">
        <v>1096</v>
      </c>
      <c r="C371" t="s">
        <v>1097</v>
      </c>
      <c r="D371" t="s">
        <v>1096</v>
      </c>
    </row>
    <row r="372" spans="1:4" x14ac:dyDescent="0.25">
      <c r="A372" t="s">
        <v>1098</v>
      </c>
      <c r="B372" t="s">
        <v>1099</v>
      </c>
      <c r="C372" t="s">
        <v>1100</v>
      </c>
      <c r="D372" t="s">
        <v>1099</v>
      </c>
    </row>
    <row r="373" spans="1:4" x14ac:dyDescent="0.25">
      <c r="A373" t="s">
        <v>1101</v>
      </c>
      <c r="B373" t="s">
        <v>1102</v>
      </c>
      <c r="C373" t="s">
        <v>1103</v>
      </c>
      <c r="D373" t="s">
        <v>1102</v>
      </c>
    </row>
    <row r="374" spans="1:4" x14ac:dyDescent="0.25">
      <c r="A374" t="s">
        <v>1104</v>
      </c>
      <c r="B374" t="s">
        <v>1105</v>
      </c>
      <c r="C374" t="s">
        <v>1106</v>
      </c>
      <c r="D374" t="s">
        <v>1105</v>
      </c>
    </row>
    <row r="375" spans="1:4" x14ac:dyDescent="0.25">
      <c r="A375" t="s">
        <v>1107</v>
      </c>
      <c r="B375" t="s">
        <v>1108</v>
      </c>
      <c r="C375" t="s">
        <v>1109</v>
      </c>
      <c r="D375" t="s">
        <v>1108</v>
      </c>
    </row>
    <row r="376" spans="1:4" x14ac:dyDescent="0.25">
      <c r="A376" t="s">
        <v>1110</v>
      </c>
      <c r="B376" t="s">
        <v>1111</v>
      </c>
      <c r="C376" t="s">
        <v>1112</v>
      </c>
      <c r="D376" t="s">
        <v>1111</v>
      </c>
    </row>
    <row r="377" spans="1:4" x14ac:dyDescent="0.25">
      <c r="A377" t="s">
        <v>1113</v>
      </c>
      <c r="B377" t="s">
        <v>1114</v>
      </c>
      <c r="C377" t="s">
        <v>1115</v>
      </c>
      <c r="D377" t="s">
        <v>1114</v>
      </c>
    </row>
    <row r="378" spans="1:4" x14ac:dyDescent="0.25">
      <c r="A378" t="s">
        <v>1116</v>
      </c>
      <c r="B378" t="s">
        <v>1117</v>
      </c>
      <c r="C378" t="s">
        <v>1118</v>
      </c>
      <c r="D378" t="s">
        <v>1117</v>
      </c>
    </row>
    <row r="379" spans="1:4" x14ac:dyDescent="0.25">
      <c r="A379" t="s">
        <v>1119</v>
      </c>
      <c r="B379" t="s">
        <v>1120</v>
      </c>
      <c r="C379" t="s">
        <v>1121</v>
      </c>
      <c r="D379" t="s">
        <v>1120</v>
      </c>
    </row>
    <row r="380" spans="1:4" x14ac:dyDescent="0.25">
      <c r="A380" t="s">
        <v>1122</v>
      </c>
      <c r="B380" t="s">
        <v>1123</v>
      </c>
      <c r="C380" t="s">
        <v>1124</v>
      </c>
      <c r="D380" t="s">
        <v>1123</v>
      </c>
    </row>
    <row r="381" spans="1:4" x14ac:dyDescent="0.25">
      <c r="A381" t="s">
        <v>1125</v>
      </c>
      <c r="B381" t="s">
        <v>1126</v>
      </c>
      <c r="C381" t="s">
        <v>1127</v>
      </c>
      <c r="D381" t="s">
        <v>1126</v>
      </c>
    </row>
    <row r="382" spans="1:4" x14ac:dyDescent="0.25">
      <c r="A382" t="s">
        <v>1128</v>
      </c>
      <c r="B382" t="s">
        <v>1129</v>
      </c>
      <c r="C382" t="s">
        <v>1130</v>
      </c>
      <c r="D382" t="s">
        <v>1129</v>
      </c>
    </row>
    <row r="383" spans="1:4" x14ac:dyDescent="0.25">
      <c r="A383" t="s">
        <v>1131</v>
      </c>
      <c r="B383" t="s">
        <v>1132</v>
      </c>
      <c r="C383" t="s">
        <v>1133</v>
      </c>
      <c r="D383" t="s">
        <v>1132</v>
      </c>
    </row>
    <row r="384" spans="1:4" x14ac:dyDescent="0.25">
      <c r="A384" t="s">
        <v>1134</v>
      </c>
      <c r="B384" t="s">
        <v>1135</v>
      </c>
      <c r="C384" t="s">
        <v>1136</v>
      </c>
      <c r="D384" t="s">
        <v>1135</v>
      </c>
    </row>
    <row r="385" spans="1:4" x14ac:dyDescent="0.25">
      <c r="A385" t="s">
        <v>1137</v>
      </c>
      <c r="B385" t="s">
        <v>1138</v>
      </c>
      <c r="C385" t="s">
        <v>1139</v>
      </c>
      <c r="D385" t="s">
        <v>1138</v>
      </c>
    </row>
    <row r="386" spans="1:4" x14ac:dyDescent="0.25">
      <c r="A386" t="s">
        <v>1140</v>
      </c>
      <c r="B386" t="s">
        <v>1141</v>
      </c>
      <c r="C386" t="s">
        <v>1142</v>
      </c>
      <c r="D386" t="s">
        <v>1141</v>
      </c>
    </row>
    <row r="387" spans="1:4" x14ac:dyDescent="0.25">
      <c r="A387" t="s">
        <v>1143</v>
      </c>
      <c r="B387" t="s">
        <v>1144</v>
      </c>
      <c r="C387" t="s">
        <v>1145</v>
      </c>
      <c r="D387" t="s">
        <v>1144</v>
      </c>
    </row>
    <row r="388" spans="1:4" x14ac:dyDescent="0.25">
      <c r="A388" t="s">
        <v>1146</v>
      </c>
      <c r="B388" t="s">
        <v>1147</v>
      </c>
      <c r="C388" t="s">
        <v>1148</v>
      </c>
      <c r="D388" t="s">
        <v>1147</v>
      </c>
    </row>
    <row r="389" spans="1:4" x14ac:dyDescent="0.25">
      <c r="A389" t="s">
        <v>1149</v>
      </c>
      <c r="B389" t="s">
        <v>1150</v>
      </c>
      <c r="C389" t="s">
        <v>1151</v>
      </c>
      <c r="D389" t="s">
        <v>1150</v>
      </c>
    </row>
    <row r="390" spans="1:4" x14ac:dyDescent="0.25">
      <c r="A390" t="s">
        <v>1152</v>
      </c>
      <c r="B390" t="s">
        <v>1153</v>
      </c>
      <c r="C390" t="s">
        <v>1154</v>
      </c>
      <c r="D390" t="s">
        <v>1153</v>
      </c>
    </row>
    <row r="391" spans="1:4" x14ac:dyDescent="0.25">
      <c r="A391" t="s">
        <v>1155</v>
      </c>
      <c r="B391" t="s">
        <v>1156</v>
      </c>
      <c r="C391" t="s">
        <v>1157</v>
      </c>
      <c r="D391" t="s">
        <v>1156</v>
      </c>
    </row>
    <row r="392" spans="1:4" x14ac:dyDescent="0.25">
      <c r="A392" t="s">
        <v>1158</v>
      </c>
      <c r="B392" t="s">
        <v>1159</v>
      </c>
      <c r="C392" t="s">
        <v>1160</v>
      </c>
      <c r="D392" t="s">
        <v>1159</v>
      </c>
    </row>
    <row r="393" spans="1:4" x14ac:dyDescent="0.25">
      <c r="A393" t="s">
        <v>1161</v>
      </c>
      <c r="B393" t="s">
        <v>1162</v>
      </c>
      <c r="C393" t="s">
        <v>1163</v>
      </c>
      <c r="D393" t="s">
        <v>1162</v>
      </c>
    </row>
    <row r="394" spans="1:4" x14ac:dyDescent="0.25">
      <c r="A394" t="s">
        <v>1164</v>
      </c>
      <c r="B394" t="s">
        <v>1165</v>
      </c>
      <c r="C394" t="s">
        <v>1166</v>
      </c>
      <c r="D394" t="s">
        <v>1165</v>
      </c>
    </row>
    <row r="395" spans="1:4" x14ac:dyDescent="0.25">
      <c r="A395" t="s">
        <v>1167</v>
      </c>
      <c r="B395" t="s">
        <v>1168</v>
      </c>
      <c r="C395" t="s">
        <v>1169</v>
      </c>
      <c r="D395" t="s">
        <v>1168</v>
      </c>
    </row>
    <row r="396" spans="1:4" x14ac:dyDescent="0.25">
      <c r="A396" t="s">
        <v>1170</v>
      </c>
      <c r="B396" t="s">
        <v>1171</v>
      </c>
      <c r="C396" t="s">
        <v>1172</v>
      </c>
      <c r="D396" t="s">
        <v>1171</v>
      </c>
    </row>
    <row r="397" spans="1:4" x14ac:dyDescent="0.25">
      <c r="A397" t="s">
        <v>1173</v>
      </c>
      <c r="B397" t="s">
        <v>1174</v>
      </c>
      <c r="C397" t="s">
        <v>1175</v>
      </c>
      <c r="D397" t="s">
        <v>1174</v>
      </c>
    </row>
    <row r="398" spans="1:4" x14ac:dyDescent="0.25">
      <c r="A398" t="s">
        <v>1176</v>
      </c>
      <c r="B398" t="s">
        <v>1177</v>
      </c>
      <c r="C398" t="s">
        <v>1178</v>
      </c>
      <c r="D398" t="s">
        <v>1177</v>
      </c>
    </row>
    <row r="399" spans="1:4" x14ac:dyDescent="0.25">
      <c r="A399" t="s">
        <v>1179</v>
      </c>
      <c r="B399" t="s">
        <v>1180</v>
      </c>
      <c r="C399" t="s">
        <v>1181</v>
      </c>
      <c r="D399" t="s">
        <v>1180</v>
      </c>
    </row>
    <row r="400" spans="1:4" x14ac:dyDescent="0.25">
      <c r="A400" t="s">
        <v>1182</v>
      </c>
      <c r="B400" t="s">
        <v>1183</v>
      </c>
      <c r="C400" t="s">
        <v>1184</v>
      </c>
      <c r="D400" t="s">
        <v>1183</v>
      </c>
    </row>
    <row r="401" spans="1:4" x14ac:dyDescent="0.25">
      <c r="A401" t="s">
        <v>1185</v>
      </c>
      <c r="B401" t="s">
        <v>1186</v>
      </c>
      <c r="C401" t="s">
        <v>1187</v>
      </c>
      <c r="D401" t="s">
        <v>1186</v>
      </c>
    </row>
    <row r="402" spans="1:4" x14ac:dyDescent="0.25">
      <c r="A402" t="s">
        <v>1188</v>
      </c>
      <c r="B402" t="s">
        <v>1189</v>
      </c>
      <c r="C402" t="s">
        <v>1190</v>
      </c>
      <c r="D402" t="s">
        <v>1189</v>
      </c>
    </row>
    <row r="403" spans="1:4" x14ac:dyDescent="0.25">
      <c r="A403" t="s">
        <v>1191</v>
      </c>
      <c r="B403" t="s">
        <v>1192</v>
      </c>
      <c r="C403" t="s">
        <v>1193</v>
      </c>
      <c r="D403" t="s">
        <v>1192</v>
      </c>
    </row>
    <row r="404" spans="1:4" x14ac:dyDescent="0.25">
      <c r="A404" t="s">
        <v>1194</v>
      </c>
      <c r="B404" t="s">
        <v>1195</v>
      </c>
      <c r="C404" t="s">
        <v>1196</v>
      </c>
      <c r="D404" t="s">
        <v>1195</v>
      </c>
    </row>
    <row r="405" spans="1:4" x14ac:dyDescent="0.25">
      <c r="A405" t="s">
        <v>1197</v>
      </c>
      <c r="B405" t="s">
        <v>1198</v>
      </c>
      <c r="C405" t="s">
        <v>1199</v>
      </c>
      <c r="D405" t="s">
        <v>1198</v>
      </c>
    </row>
    <row r="406" spans="1:4" x14ac:dyDescent="0.25">
      <c r="A406" t="s">
        <v>1200</v>
      </c>
      <c r="B406" t="s">
        <v>1201</v>
      </c>
      <c r="C406" t="s">
        <v>1202</v>
      </c>
      <c r="D406" t="s">
        <v>1201</v>
      </c>
    </row>
    <row r="407" spans="1:4" x14ac:dyDescent="0.25">
      <c r="A407" t="s">
        <v>1203</v>
      </c>
      <c r="B407" t="s">
        <v>1204</v>
      </c>
      <c r="C407" t="s">
        <v>1205</v>
      </c>
      <c r="D407" t="s">
        <v>1204</v>
      </c>
    </row>
    <row r="408" spans="1:4" x14ac:dyDescent="0.25">
      <c r="A408" t="s">
        <v>1206</v>
      </c>
      <c r="B408" t="s">
        <v>1207</v>
      </c>
      <c r="C408" t="s">
        <v>1208</v>
      </c>
      <c r="D408" t="s">
        <v>1207</v>
      </c>
    </row>
    <row r="409" spans="1:4" x14ac:dyDescent="0.25">
      <c r="A409" t="s">
        <v>1209</v>
      </c>
      <c r="B409" t="s">
        <v>1210</v>
      </c>
      <c r="C409" t="s">
        <v>1211</v>
      </c>
      <c r="D409" t="s">
        <v>1210</v>
      </c>
    </row>
    <row r="410" spans="1:4" x14ac:dyDescent="0.25">
      <c r="A410" t="s">
        <v>1212</v>
      </c>
      <c r="B410" t="s">
        <v>1213</v>
      </c>
      <c r="C410" t="s">
        <v>1214</v>
      </c>
      <c r="D410" t="s">
        <v>1213</v>
      </c>
    </row>
    <row r="411" spans="1:4" x14ac:dyDescent="0.25">
      <c r="A411" t="s">
        <v>1215</v>
      </c>
      <c r="B411" t="s">
        <v>1216</v>
      </c>
      <c r="C411" t="s">
        <v>1217</v>
      </c>
      <c r="D411" t="s">
        <v>1216</v>
      </c>
    </row>
    <row r="412" spans="1:4" x14ac:dyDescent="0.25">
      <c r="A412" t="s">
        <v>1218</v>
      </c>
      <c r="B412" t="s">
        <v>1219</v>
      </c>
      <c r="C412" t="s">
        <v>1220</v>
      </c>
      <c r="D412" t="s">
        <v>1219</v>
      </c>
    </row>
    <row r="413" spans="1:4" x14ac:dyDescent="0.25">
      <c r="A413" t="s">
        <v>1221</v>
      </c>
      <c r="B413" t="s">
        <v>1222</v>
      </c>
      <c r="C413" t="s">
        <v>1223</v>
      </c>
      <c r="D413" t="s">
        <v>1222</v>
      </c>
    </row>
    <row r="414" spans="1:4" x14ac:dyDescent="0.25">
      <c r="A414" t="s">
        <v>1224</v>
      </c>
      <c r="B414" t="s">
        <v>1225</v>
      </c>
      <c r="C414" t="s">
        <v>1226</v>
      </c>
      <c r="D414" t="s">
        <v>1225</v>
      </c>
    </row>
    <row r="415" spans="1:4" x14ac:dyDescent="0.25">
      <c r="A415" t="s">
        <v>1227</v>
      </c>
      <c r="B415" t="s">
        <v>1228</v>
      </c>
      <c r="C415" t="s">
        <v>1229</v>
      </c>
      <c r="D415" t="s">
        <v>1228</v>
      </c>
    </row>
    <row r="416" spans="1:4" x14ac:dyDescent="0.25">
      <c r="A416" t="s">
        <v>1230</v>
      </c>
      <c r="B416" t="s">
        <v>1231</v>
      </c>
      <c r="C416" t="s">
        <v>1232</v>
      </c>
      <c r="D416" t="s">
        <v>1231</v>
      </c>
    </row>
    <row r="417" spans="1:4" x14ac:dyDescent="0.25">
      <c r="A417" t="s">
        <v>1233</v>
      </c>
      <c r="B417" t="s">
        <v>1234</v>
      </c>
      <c r="C417" t="s">
        <v>1235</v>
      </c>
      <c r="D417" t="s">
        <v>1234</v>
      </c>
    </row>
    <row r="418" spans="1:4" x14ac:dyDescent="0.25">
      <c r="A418" t="s">
        <v>1236</v>
      </c>
      <c r="B418" t="s">
        <v>1237</v>
      </c>
      <c r="C418" t="s">
        <v>1238</v>
      </c>
      <c r="D418" t="s">
        <v>1237</v>
      </c>
    </row>
    <row r="419" spans="1:4" x14ac:dyDescent="0.25">
      <c r="A419" t="s">
        <v>1239</v>
      </c>
      <c r="B419" t="s">
        <v>1240</v>
      </c>
      <c r="C419" t="s">
        <v>1241</v>
      </c>
      <c r="D419" t="s">
        <v>1240</v>
      </c>
    </row>
    <row r="420" spans="1:4" x14ac:dyDescent="0.25">
      <c r="A420" t="s">
        <v>1242</v>
      </c>
      <c r="B420" t="s">
        <v>1243</v>
      </c>
      <c r="C420" t="s">
        <v>1244</v>
      </c>
      <c r="D420" t="s">
        <v>1243</v>
      </c>
    </row>
    <row r="421" spans="1:4" x14ac:dyDescent="0.25">
      <c r="A421" t="s">
        <v>1245</v>
      </c>
      <c r="B421" t="s">
        <v>1246</v>
      </c>
      <c r="C421" t="s">
        <v>1247</v>
      </c>
      <c r="D421" t="s">
        <v>1246</v>
      </c>
    </row>
    <row r="422" spans="1:4" x14ac:dyDescent="0.25">
      <c r="A422" t="s">
        <v>1248</v>
      </c>
      <c r="B422" t="s">
        <v>1249</v>
      </c>
      <c r="C422" t="s">
        <v>1250</v>
      </c>
      <c r="D422" t="s">
        <v>1249</v>
      </c>
    </row>
    <row r="423" spans="1:4" x14ac:dyDescent="0.25">
      <c r="A423" t="s">
        <v>1251</v>
      </c>
      <c r="B423" t="s">
        <v>1252</v>
      </c>
      <c r="C423" t="s">
        <v>1253</v>
      </c>
      <c r="D423" t="s">
        <v>1252</v>
      </c>
    </row>
    <row r="424" spans="1:4" x14ac:dyDescent="0.25">
      <c r="A424" t="s">
        <v>1254</v>
      </c>
      <c r="B424" t="s">
        <v>1255</v>
      </c>
      <c r="C424" t="s">
        <v>1256</v>
      </c>
      <c r="D424" t="s">
        <v>1255</v>
      </c>
    </row>
    <row r="425" spans="1:4" x14ac:dyDescent="0.25">
      <c r="A425" t="s">
        <v>1257</v>
      </c>
      <c r="B425" t="s">
        <v>1258</v>
      </c>
      <c r="C425" t="s">
        <v>1259</v>
      </c>
      <c r="D425" t="s">
        <v>1258</v>
      </c>
    </row>
    <row r="426" spans="1:4" x14ac:dyDescent="0.25">
      <c r="A426" t="s">
        <v>1260</v>
      </c>
      <c r="B426" t="s">
        <v>1261</v>
      </c>
      <c r="C426" t="s">
        <v>1262</v>
      </c>
      <c r="D426" t="s">
        <v>1261</v>
      </c>
    </row>
    <row r="427" spans="1:4" x14ac:dyDescent="0.25">
      <c r="A427" t="s">
        <v>1263</v>
      </c>
      <c r="B427" t="s">
        <v>1264</v>
      </c>
      <c r="C427" t="s">
        <v>1265</v>
      </c>
      <c r="D427" t="s">
        <v>1264</v>
      </c>
    </row>
    <row r="428" spans="1:4" x14ac:dyDescent="0.25">
      <c r="A428" t="s">
        <v>1266</v>
      </c>
      <c r="B428" t="s">
        <v>1267</v>
      </c>
      <c r="C428" t="s">
        <v>1268</v>
      </c>
      <c r="D428" t="s">
        <v>1267</v>
      </c>
    </row>
    <row r="429" spans="1:4" x14ac:dyDescent="0.25">
      <c r="A429" t="s">
        <v>1269</v>
      </c>
      <c r="B429" t="s">
        <v>1270</v>
      </c>
      <c r="C429" t="s">
        <v>1271</v>
      </c>
      <c r="D429" t="s">
        <v>1270</v>
      </c>
    </row>
    <row r="430" spans="1:4" x14ac:dyDescent="0.25">
      <c r="A430" t="s">
        <v>1272</v>
      </c>
      <c r="B430" t="s">
        <v>1273</v>
      </c>
      <c r="C430" t="s">
        <v>1274</v>
      </c>
      <c r="D430" t="s">
        <v>1273</v>
      </c>
    </row>
    <row r="431" spans="1:4" x14ac:dyDescent="0.25">
      <c r="A431" t="s">
        <v>1275</v>
      </c>
      <c r="B431" t="s">
        <v>1276</v>
      </c>
      <c r="C431" t="s">
        <v>1277</v>
      </c>
      <c r="D431" t="s">
        <v>1276</v>
      </c>
    </row>
    <row r="432" spans="1:4" x14ac:dyDescent="0.25">
      <c r="A432" t="s">
        <v>1278</v>
      </c>
      <c r="B432" t="s">
        <v>1279</v>
      </c>
      <c r="C432" t="s">
        <v>1280</v>
      </c>
      <c r="D432" t="s">
        <v>1279</v>
      </c>
    </row>
    <row r="433" spans="1:4" x14ac:dyDescent="0.25">
      <c r="A433" t="s">
        <v>1281</v>
      </c>
      <c r="B433" t="s">
        <v>1282</v>
      </c>
      <c r="C433" t="s">
        <v>1283</v>
      </c>
      <c r="D433" t="s">
        <v>1282</v>
      </c>
    </row>
    <row r="434" spans="1:4" x14ac:dyDescent="0.25">
      <c r="A434" t="s">
        <v>1284</v>
      </c>
      <c r="B434" t="s">
        <v>1285</v>
      </c>
      <c r="C434" t="s">
        <v>1286</v>
      </c>
      <c r="D434" t="s">
        <v>1285</v>
      </c>
    </row>
    <row r="435" spans="1:4" x14ac:dyDescent="0.25">
      <c r="A435" t="s">
        <v>1287</v>
      </c>
      <c r="B435" t="s">
        <v>1288</v>
      </c>
      <c r="C435" t="s">
        <v>1289</v>
      </c>
      <c r="D435" t="s">
        <v>1288</v>
      </c>
    </row>
    <row r="436" spans="1:4" x14ac:dyDescent="0.25">
      <c r="A436" t="s">
        <v>1290</v>
      </c>
      <c r="B436" t="s">
        <v>1291</v>
      </c>
      <c r="C436" t="s">
        <v>1292</v>
      </c>
      <c r="D436" t="s">
        <v>1291</v>
      </c>
    </row>
    <row r="437" spans="1:4" x14ac:dyDescent="0.25">
      <c r="A437" t="s">
        <v>1293</v>
      </c>
      <c r="B437" t="s">
        <v>1294</v>
      </c>
      <c r="C437" t="s">
        <v>1295</v>
      </c>
      <c r="D437" t="s">
        <v>1294</v>
      </c>
    </row>
    <row r="438" spans="1:4" x14ac:dyDescent="0.25">
      <c r="A438" t="s">
        <v>1296</v>
      </c>
      <c r="B438" t="s">
        <v>1297</v>
      </c>
      <c r="C438" t="s">
        <v>1298</v>
      </c>
      <c r="D438" t="s">
        <v>1297</v>
      </c>
    </row>
    <row r="439" spans="1:4" x14ac:dyDescent="0.25">
      <c r="A439" t="s">
        <v>1299</v>
      </c>
      <c r="B439" t="s">
        <v>1300</v>
      </c>
      <c r="C439" t="s">
        <v>1301</v>
      </c>
      <c r="D439" t="s">
        <v>1300</v>
      </c>
    </row>
    <row r="440" spans="1:4" x14ac:dyDescent="0.25">
      <c r="A440" t="s">
        <v>27</v>
      </c>
      <c r="B440" t="s">
        <v>1302</v>
      </c>
      <c r="C440" t="s">
        <v>1303</v>
      </c>
      <c r="D440" t="s">
        <v>1302</v>
      </c>
    </row>
    <row r="441" spans="1:4" x14ac:dyDescent="0.25">
      <c r="A441" t="s">
        <v>1304</v>
      </c>
      <c r="B441" t="s">
        <v>1305</v>
      </c>
      <c r="C441" t="s">
        <v>1306</v>
      </c>
      <c r="D441" t="s">
        <v>1305</v>
      </c>
    </row>
    <row r="442" spans="1:4" x14ac:dyDescent="0.25">
      <c r="A442" t="s">
        <v>1307</v>
      </c>
      <c r="B442" t="s">
        <v>1308</v>
      </c>
      <c r="C442" t="s">
        <v>1309</v>
      </c>
      <c r="D442" t="s">
        <v>1308</v>
      </c>
    </row>
    <row r="443" spans="1:4" x14ac:dyDescent="0.25">
      <c r="A443" t="s">
        <v>1310</v>
      </c>
      <c r="B443" t="s">
        <v>1311</v>
      </c>
      <c r="C443" t="s">
        <v>1312</v>
      </c>
      <c r="D443" t="s">
        <v>1311</v>
      </c>
    </row>
    <row r="444" spans="1:4" x14ac:dyDescent="0.25">
      <c r="A444" t="s">
        <v>1313</v>
      </c>
      <c r="B444" t="s">
        <v>1314</v>
      </c>
      <c r="C444" t="s">
        <v>1315</v>
      </c>
      <c r="D444" t="s">
        <v>1314</v>
      </c>
    </row>
    <row r="445" spans="1:4" x14ac:dyDescent="0.25">
      <c r="A445" t="s">
        <v>1316</v>
      </c>
      <c r="B445" t="s">
        <v>1317</v>
      </c>
      <c r="C445" t="s">
        <v>1318</v>
      </c>
      <c r="D445" t="s">
        <v>1317</v>
      </c>
    </row>
    <row r="446" spans="1:4" x14ac:dyDescent="0.25">
      <c r="A446" t="s">
        <v>1319</v>
      </c>
      <c r="B446" t="s">
        <v>1320</v>
      </c>
      <c r="C446" t="s">
        <v>1321</v>
      </c>
      <c r="D446" t="s">
        <v>1320</v>
      </c>
    </row>
    <row r="447" spans="1:4" x14ac:dyDescent="0.25">
      <c r="A447" t="s">
        <v>1322</v>
      </c>
      <c r="B447" t="s">
        <v>1323</v>
      </c>
      <c r="C447" t="s">
        <v>1324</v>
      </c>
      <c r="D447" t="s">
        <v>1323</v>
      </c>
    </row>
    <row r="448" spans="1:4" x14ac:dyDescent="0.25">
      <c r="A448" t="s">
        <v>1325</v>
      </c>
      <c r="B448" t="s">
        <v>1326</v>
      </c>
      <c r="C448" t="s">
        <v>1327</v>
      </c>
      <c r="D448" t="s">
        <v>1326</v>
      </c>
    </row>
    <row r="449" spans="1:4" x14ac:dyDescent="0.25">
      <c r="A449" t="s">
        <v>1328</v>
      </c>
      <c r="B449" t="s">
        <v>1329</v>
      </c>
      <c r="C449" t="s">
        <v>1330</v>
      </c>
      <c r="D449" t="s">
        <v>1329</v>
      </c>
    </row>
    <row r="450" spans="1:4" x14ac:dyDescent="0.25">
      <c r="A450" t="s">
        <v>1331</v>
      </c>
      <c r="B450" t="s">
        <v>1332</v>
      </c>
      <c r="C450" t="s">
        <v>1333</v>
      </c>
      <c r="D450" t="s">
        <v>1332</v>
      </c>
    </row>
    <row r="451" spans="1:4" x14ac:dyDescent="0.25">
      <c r="A451" t="s">
        <v>1334</v>
      </c>
      <c r="B451" t="s">
        <v>1335</v>
      </c>
      <c r="C451" t="s">
        <v>1336</v>
      </c>
      <c r="D451" t="s">
        <v>1335</v>
      </c>
    </row>
    <row r="452" spans="1:4" x14ac:dyDescent="0.25">
      <c r="A452" t="s">
        <v>1337</v>
      </c>
      <c r="B452" t="s">
        <v>1338</v>
      </c>
      <c r="C452" t="s">
        <v>1339</v>
      </c>
      <c r="D452" t="s">
        <v>1338</v>
      </c>
    </row>
    <row r="453" spans="1:4" x14ac:dyDescent="0.25">
      <c r="A453" t="s">
        <v>1340</v>
      </c>
      <c r="B453" t="s">
        <v>1341</v>
      </c>
      <c r="C453" t="s">
        <v>1342</v>
      </c>
      <c r="D453" t="s">
        <v>1341</v>
      </c>
    </row>
    <row r="454" spans="1:4" x14ac:dyDescent="0.25">
      <c r="A454" t="s">
        <v>1343</v>
      </c>
      <c r="B454" t="s">
        <v>1344</v>
      </c>
      <c r="C454" t="s">
        <v>1345</v>
      </c>
      <c r="D454" t="s">
        <v>1344</v>
      </c>
    </row>
    <row r="455" spans="1:4" x14ac:dyDescent="0.25">
      <c r="A455" t="s">
        <v>1346</v>
      </c>
      <c r="B455" t="s">
        <v>1347</v>
      </c>
      <c r="C455" t="s">
        <v>1348</v>
      </c>
      <c r="D455" t="s">
        <v>1347</v>
      </c>
    </row>
    <row r="456" spans="1:4" x14ac:dyDescent="0.25">
      <c r="A456" t="s">
        <v>1349</v>
      </c>
      <c r="B456" t="s">
        <v>1350</v>
      </c>
      <c r="C456" t="s">
        <v>1351</v>
      </c>
      <c r="D456" t="s">
        <v>1350</v>
      </c>
    </row>
    <row r="457" spans="1:4" x14ac:dyDescent="0.25">
      <c r="A457" t="s">
        <v>1352</v>
      </c>
      <c r="B457" t="s">
        <v>1353</v>
      </c>
      <c r="C457" t="s">
        <v>1354</v>
      </c>
      <c r="D457" t="s">
        <v>1353</v>
      </c>
    </row>
    <row r="458" spans="1:4" x14ac:dyDescent="0.25">
      <c r="A458" t="s">
        <v>1355</v>
      </c>
      <c r="B458" t="s">
        <v>1356</v>
      </c>
      <c r="C458" t="s">
        <v>1357</v>
      </c>
      <c r="D458" t="s">
        <v>1356</v>
      </c>
    </row>
    <row r="459" spans="1:4" x14ac:dyDescent="0.25">
      <c r="A459" t="s">
        <v>1358</v>
      </c>
      <c r="B459" t="s">
        <v>1359</v>
      </c>
      <c r="C459" t="s">
        <v>1360</v>
      </c>
      <c r="D459" t="s">
        <v>1359</v>
      </c>
    </row>
    <row r="460" spans="1:4" x14ac:dyDescent="0.25">
      <c r="A460" t="s">
        <v>1361</v>
      </c>
      <c r="B460" t="s">
        <v>1362</v>
      </c>
      <c r="C460" t="s">
        <v>1363</v>
      </c>
      <c r="D460" t="s">
        <v>1362</v>
      </c>
    </row>
    <row r="461" spans="1:4" x14ac:dyDescent="0.25">
      <c r="A461" t="s">
        <v>1364</v>
      </c>
      <c r="B461" t="s">
        <v>1365</v>
      </c>
      <c r="C461" t="s">
        <v>1366</v>
      </c>
      <c r="D461" t="s">
        <v>1365</v>
      </c>
    </row>
    <row r="462" spans="1:4" x14ac:dyDescent="0.25">
      <c r="A462" t="s">
        <v>1367</v>
      </c>
      <c r="B462" t="s">
        <v>1368</v>
      </c>
      <c r="C462" t="s">
        <v>1369</v>
      </c>
      <c r="D462" t="s">
        <v>1368</v>
      </c>
    </row>
    <row r="463" spans="1:4" x14ac:dyDescent="0.25">
      <c r="A463" t="s">
        <v>1370</v>
      </c>
      <c r="B463" t="s">
        <v>1371</v>
      </c>
      <c r="C463" t="s">
        <v>1372</v>
      </c>
      <c r="D463" t="s">
        <v>1371</v>
      </c>
    </row>
    <row r="464" spans="1:4" x14ac:dyDescent="0.25">
      <c r="A464" t="s">
        <v>1373</v>
      </c>
      <c r="B464" t="s">
        <v>1374</v>
      </c>
      <c r="C464" t="s">
        <v>1375</v>
      </c>
      <c r="D464" t="s">
        <v>1374</v>
      </c>
    </row>
    <row r="465" spans="1:4" x14ac:dyDescent="0.25">
      <c r="A465" t="s">
        <v>1376</v>
      </c>
      <c r="B465" t="s">
        <v>1377</v>
      </c>
      <c r="C465" t="s">
        <v>1378</v>
      </c>
      <c r="D465" t="s">
        <v>1377</v>
      </c>
    </row>
    <row r="466" spans="1:4" x14ac:dyDescent="0.25">
      <c r="A466" t="s">
        <v>1379</v>
      </c>
      <c r="B466" t="s">
        <v>1380</v>
      </c>
      <c r="C466" t="s">
        <v>1381</v>
      </c>
      <c r="D466" t="s">
        <v>1380</v>
      </c>
    </row>
    <row r="467" spans="1:4" x14ac:dyDescent="0.25">
      <c r="A467" t="s">
        <v>1382</v>
      </c>
      <c r="B467" t="s">
        <v>1383</v>
      </c>
      <c r="C467" t="s">
        <v>1384</v>
      </c>
      <c r="D467" t="s">
        <v>1383</v>
      </c>
    </row>
    <row r="468" spans="1:4" x14ac:dyDescent="0.25">
      <c r="A468" t="s">
        <v>1385</v>
      </c>
      <c r="B468" t="s">
        <v>1386</v>
      </c>
      <c r="C468" t="s">
        <v>1387</v>
      </c>
      <c r="D468" t="s">
        <v>1386</v>
      </c>
    </row>
    <row r="469" spans="1:4" x14ac:dyDescent="0.25">
      <c r="A469" t="s">
        <v>1388</v>
      </c>
      <c r="B469" t="s">
        <v>1389</v>
      </c>
      <c r="C469" t="s">
        <v>1390</v>
      </c>
      <c r="D469" t="s">
        <v>1389</v>
      </c>
    </row>
    <row r="470" spans="1:4" x14ac:dyDescent="0.25">
      <c r="A470" t="s">
        <v>1391</v>
      </c>
      <c r="B470" t="s">
        <v>1392</v>
      </c>
      <c r="C470" t="s">
        <v>1393</v>
      </c>
      <c r="D470" t="s">
        <v>1392</v>
      </c>
    </row>
    <row r="471" spans="1:4" x14ac:dyDescent="0.25">
      <c r="A471" t="s">
        <v>1394</v>
      </c>
      <c r="B471" t="s">
        <v>1395</v>
      </c>
      <c r="C471" t="s">
        <v>1396</v>
      </c>
      <c r="D471" t="s">
        <v>1395</v>
      </c>
    </row>
    <row r="472" spans="1:4" x14ac:dyDescent="0.25">
      <c r="A472" t="s">
        <v>1397</v>
      </c>
      <c r="B472" t="s">
        <v>1398</v>
      </c>
      <c r="C472" t="s">
        <v>1399</v>
      </c>
      <c r="D472" t="s">
        <v>1398</v>
      </c>
    </row>
    <row r="473" spans="1:4" x14ac:dyDescent="0.25">
      <c r="A473" t="s">
        <v>1400</v>
      </c>
      <c r="B473" t="s">
        <v>1401</v>
      </c>
      <c r="C473" t="s">
        <v>1402</v>
      </c>
      <c r="D473" t="s">
        <v>1401</v>
      </c>
    </row>
    <row r="474" spans="1:4" x14ac:dyDescent="0.25">
      <c r="A474" t="s">
        <v>1403</v>
      </c>
      <c r="B474" t="s">
        <v>1404</v>
      </c>
      <c r="C474" t="s">
        <v>1405</v>
      </c>
      <c r="D474" t="s">
        <v>1404</v>
      </c>
    </row>
    <row r="475" spans="1:4" x14ac:dyDescent="0.25">
      <c r="A475" t="s">
        <v>1406</v>
      </c>
      <c r="B475" t="s">
        <v>1407</v>
      </c>
      <c r="C475" t="s">
        <v>1408</v>
      </c>
      <c r="D475" t="s">
        <v>1407</v>
      </c>
    </row>
    <row r="476" spans="1:4" x14ac:dyDescent="0.25">
      <c r="A476" t="s">
        <v>1409</v>
      </c>
      <c r="B476" t="s">
        <v>1410</v>
      </c>
      <c r="C476" t="s">
        <v>1411</v>
      </c>
      <c r="D476" t="s">
        <v>1410</v>
      </c>
    </row>
    <row r="477" spans="1:4" x14ac:dyDescent="0.25">
      <c r="A477" t="s">
        <v>1412</v>
      </c>
      <c r="B477" t="s">
        <v>1413</v>
      </c>
      <c r="C477" t="s">
        <v>1414</v>
      </c>
      <c r="D477" t="s">
        <v>1413</v>
      </c>
    </row>
    <row r="478" spans="1:4" x14ac:dyDescent="0.25">
      <c r="A478" t="s">
        <v>1415</v>
      </c>
      <c r="B478" t="s">
        <v>1416</v>
      </c>
      <c r="C478" t="s">
        <v>1417</v>
      </c>
      <c r="D478" t="s">
        <v>1416</v>
      </c>
    </row>
    <row r="479" spans="1:4" x14ac:dyDescent="0.25">
      <c r="A479" t="s">
        <v>1418</v>
      </c>
      <c r="B479" t="s">
        <v>1419</v>
      </c>
      <c r="C479" t="s">
        <v>1420</v>
      </c>
      <c r="D479" t="s">
        <v>1419</v>
      </c>
    </row>
    <row r="480" spans="1:4" x14ac:dyDescent="0.25">
      <c r="A480" t="s">
        <v>1421</v>
      </c>
      <c r="B480" t="s">
        <v>1422</v>
      </c>
      <c r="C480" t="s">
        <v>1423</v>
      </c>
      <c r="D480" t="s">
        <v>1422</v>
      </c>
    </row>
    <row r="481" spans="1:4" x14ac:dyDescent="0.25">
      <c r="A481" t="s">
        <v>1424</v>
      </c>
      <c r="B481" t="s">
        <v>1425</v>
      </c>
      <c r="C481" t="s">
        <v>1426</v>
      </c>
      <c r="D481" t="s">
        <v>1425</v>
      </c>
    </row>
    <row r="482" spans="1:4" x14ac:dyDescent="0.25">
      <c r="A482" t="s">
        <v>1427</v>
      </c>
      <c r="B482" t="s">
        <v>1428</v>
      </c>
      <c r="C482" t="s">
        <v>1429</v>
      </c>
      <c r="D482" t="s">
        <v>1428</v>
      </c>
    </row>
    <row r="483" spans="1:4" x14ac:dyDescent="0.25">
      <c r="A483" t="s">
        <v>1430</v>
      </c>
      <c r="B483" t="s">
        <v>1431</v>
      </c>
      <c r="C483" t="s">
        <v>1432</v>
      </c>
      <c r="D483" t="s">
        <v>1431</v>
      </c>
    </row>
    <row r="484" spans="1:4" x14ac:dyDescent="0.25">
      <c r="A484" t="s">
        <v>1433</v>
      </c>
      <c r="B484" t="s">
        <v>1434</v>
      </c>
      <c r="C484" t="s">
        <v>1435</v>
      </c>
      <c r="D484" t="s">
        <v>1434</v>
      </c>
    </row>
    <row r="485" spans="1:4" x14ac:dyDescent="0.25">
      <c r="A485" t="s">
        <v>1436</v>
      </c>
      <c r="B485" t="s">
        <v>1437</v>
      </c>
      <c r="C485" t="s">
        <v>1438</v>
      </c>
      <c r="D485" t="s">
        <v>1437</v>
      </c>
    </row>
    <row r="486" spans="1:4" x14ac:dyDescent="0.25">
      <c r="A486" t="s">
        <v>1439</v>
      </c>
      <c r="B486" t="s">
        <v>1440</v>
      </c>
      <c r="C486" t="s">
        <v>1441</v>
      </c>
      <c r="D486" t="s">
        <v>1440</v>
      </c>
    </row>
    <row r="487" spans="1:4" x14ac:dyDescent="0.25">
      <c r="A487" t="s">
        <v>1442</v>
      </c>
      <c r="B487" t="s">
        <v>1443</v>
      </c>
      <c r="C487" t="s">
        <v>1444</v>
      </c>
      <c r="D487" t="s">
        <v>1443</v>
      </c>
    </row>
    <row r="488" spans="1:4" x14ac:dyDescent="0.25">
      <c r="A488" t="s">
        <v>1445</v>
      </c>
      <c r="B488" t="s">
        <v>1446</v>
      </c>
      <c r="C488" t="s">
        <v>1447</v>
      </c>
      <c r="D488" t="s">
        <v>1446</v>
      </c>
    </row>
    <row r="489" spans="1:4" x14ac:dyDescent="0.25">
      <c r="A489" t="s">
        <v>1448</v>
      </c>
      <c r="B489" t="s">
        <v>1449</v>
      </c>
      <c r="C489" t="s">
        <v>1450</v>
      </c>
      <c r="D489" t="s">
        <v>1449</v>
      </c>
    </row>
    <row r="490" spans="1:4" x14ac:dyDescent="0.25">
      <c r="A490" t="s">
        <v>1451</v>
      </c>
      <c r="B490" t="s">
        <v>1452</v>
      </c>
      <c r="C490" t="s">
        <v>1453</v>
      </c>
      <c r="D490" t="s">
        <v>1452</v>
      </c>
    </row>
    <row r="491" spans="1:4" x14ac:dyDescent="0.25">
      <c r="A491" t="s">
        <v>1454</v>
      </c>
      <c r="B491" t="s">
        <v>1455</v>
      </c>
      <c r="C491" t="s">
        <v>1456</v>
      </c>
      <c r="D491" t="s">
        <v>1455</v>
      </c>
    </row>
    <row r="492" spans="1:4" x14ac:dyDescent="0.25">
      <c r="A492" t="s">
        <v>1457</v>
      </c>
      <c r="B492" t="s">
        <v>1458</v>
      </c>
      <c r="C492" t="s">
        <v>1459</v>
      </c>
      <c r="D492" t="s">
        <v>1458</v>
      </c>
    </row>
    <row r="493" spans="1:4" x14ac:dyDescent="0.25">
      <c r="A493" t="s">
        <v>1460</v>
      </c>
      <c r="B493" t="s">
        <v>1461</v>
      </c>
      <c r="C493" t="s">
        <v>1462</v>
      </c>
      <c r="D493" t="s">
        <v>1461</v>
      </c>
    </row>
    <row r="494" spans="1:4" x14ac:dyDescent="0.25">
      <c r="A494" t="s">
        <v>1463</v>
      </c>
      <c r="B494" t="s">
        <v>1464</v>
      </c>
      <c r="C494" t="s">
        <v>1465</v>
      </c>
      <c r="D494" t="s">
        <v>1464</v>
      </c>
    </row>
    <row r="495" spans="1:4" x14ac:dyDescent="0.25">
      <c r="A495" t="s">
        <v>1466</v>
      </c>
      <c r="B495" t="s">
        <v>1467</v>
      </c>
      <c r="C495" t="s">
        <v>1468</v>
      </c>
      <c r="D495" t="s">
        <v>1467</v>
      </c>
    </row>
    <row r="496" spans="1:4" x14ac:dyDescent="0.25">
      <c r="A496" t="s">
        <v>1469</v>
      </c>
      <c r="B496" t="s">
        <v>1470</v>
      </c>
      <c r="C496" t="s">
        <v>1471</v>
      </c>
      <c r="D496" t="s">
        <v>1470</v>
      </c>
    </row>
    <row r="497" spans="1:4" x14ac:dyDescent="0.25">
      <c r="A497" t="s">
        <v>1472</v>
      </c>
      <c r="B497" t="s">
        <v>1473</v>
      </c>
      <c r="C497" t="s">
        <v>1474</v>
      </c>
      <c r="D497" t="s">
        <v>1473</v>
      </c>
    </row>
    <row r="498" spans="1:4" x14ac:dyDescent="0.25">
      <c r="A498" t="s">
        <v>1475</v>
      </c>
      <c r="B498" t="s">
        <v>1476</v>
      </c>
      <c r="C498" t="s">
        <v>1477</v>
      </c>
      <c r="D498" t="s">
        <v>1476</v>
      </c>
    </row>
    <row r="499" spans="1:4" x14ac:dyDescent="0.25">
      <c r="A499" t="s">
        <v>1478</v>
      </c>
      <c r="B499" t="s">
        <v>1479</v>
      </c>
      <c r="C499" t="s">
        <v>1480</v>
      </c>
      <c r="D499" t="s">
        <v>1479</v>
      </c>
    </row>
    <row r="500" spans="1:4" x14ac:dyDescent="0.25">
      <c r="A500" t="s">
        <v>1481</v>
      </c>
      <c r="B500" t="s">
        <v>1482</v>
      </c>
      <c r="C500" t="s">
        <v>1483</v>
      </c>
      <c r="D500" t="s">
        <v>1482</v>
      </c>
    </row>
    <row r="501" spans="1:4" x14ac:dyDescent="0.25">
      <c r="A501" t="s">
        <v>1484</v>
      </c>
      <c r="B501" t="s">
        <v>1485</v>
      </c>
      <c r="C501" t="s">
        <v>1486</v>
      </c>
      <c r="D501" t="s">
        <v>1485</v>
      </c>
    </row>
    <row r="502" spans="1:4" x14ac:dyDescent="0.25">
      <c r="A502" t="s">
        <v>1487</v>
      </c>
      <c r="B502" t="s">
        <v>1488</v>
      </c>
      <c r="C502" t="s">
        <v>1489</v>
      </c>
      <c r="D502" t="s">
        <v>1488</v>
      </c>
    </row>
    <row r="503" spans="1:4" x14ac:dyDescent="0.25">
      <c r="A503" t="s">
        <v>1490</v>
      </c>
      <c r="B503" t="s">
        <v>1491</v>
      </c>
      <c r="C503" t="s">
        <v>1492</v>
      </c>
      <c r="D503" t="s">
        <v>1491</v>
      </c>
    </row>
    <row r="504" spans="1:4" x14ac:dyDescent="0.25">
      <c r="A504" t="s">
        <v>1493</v>
      </c>
      <c r="B504" t="s">
        <v>1494</v>
      </c>
      <c r="C504" t="s">
        <v>1495</v>
      </c>
      <c r="D504" t="s">
        <v>1494</v>
      </c>
    </row>
    <row r="505" spans="1:4" x14ac:dyDescent="0.25">
      <c r="A505" t="s">
        <v>1496</v>
      </c>
      <c r="B505" t="s">
        <v>1497</v>
      </c>
      <c r="C505" t="s">
        <v>1498</v>
      </c>
      <c r="D505" t="s">
        <v>1497</v>
      </c>
    </row>
    <row r="506" spans="1:4" x14ac:dyDescent="0.25">
      <c r="A506" t="s">
        <v>1499</v>
      </c>
      <c r="B506" t="s">
        <v>1500</v>
      </c>
      <c r="C506" t="s">
        <v>1501</v>
      </c>
      <c r="D506" t="s">
        <v>1500</v>
      </c>
    </row>
    <row r="507" spans="1:4" x14ac:dyDescent="0.25">
      <c r="A507" t="s">
        <v>1502</v>
      </c>
      <c r="B507" t="s">
        <v>1503</v>
      </c>
      <c r="C507" t="s">
        <v>1504</v>
      </c>
      <c r="D507" t="s">
        <v>1503</v>
      </c>
    </row>
    <row r="508" spans="1:4" x14ac:dyDescent="0.25">
      <c r="A508" t="s">
        <v>1505</v>
      </c>
      <c r="B508" t="s">
        <v>1506</v>
      </c>
      <c r="C508" t="s">
        <v>1507</v>
      </c>
      <c r="D508" t="s">
        <v>1506</v>
      </c>
    </row>
    <row r="509" spans="1:4" x14ac:dyDescent="0.25">
      <c r="A509" t="s">
        <v>1508</v>
      </c>
      <c r="B509" t="s">
        <v>1509</v>
      </c>
      <c r="C509" t="s">
        <v>1510</v>
      </c>
      <c r="D509" t="s">
        <v>1509</v>
      </c>
    </row>
    <row r="510" spans="1:4" x14ac:dyDescent="0.25">
      <c r="A510" t="s">
        <v>1511</v>
      </c>
      <c r="B510" t="s">
        <v>1512</v>
      </c>
      <c r="C510" t="s">
        <v>1513</v>
      </c>
      <c r="D510" t="s">
        <v>1512</v>
      </c>
    </row>
    <row r="511" spans="1:4" x14ac:dyDescent="0.25">
      <c r="A511" t="s">
        <v>1514</v>
      </c>
      <c r="B511" t="s">
        <v>1515</v>
      </c>
      <c r="C511" t="s">
        <v>1516</v>
      </c>
      <c r="D511" t="s">
        <v>1515</v>
      </c>
    </row>
    <row r="512" spans="1:4" x14ac:dyDescent="0.25">
      <c r="A512" t="s">
        <v>1517</v>
      </c>
      <c r="B512" t="s">
        <v>1518</v>
      </c>
      <c r="C512" t="s">
        <v>1519</v>
      </c>
      <c r="D512" t="s">
        <v>1518</v>
      </c>
    </row>
    <row r="513" spans="1:4" x14ac:dyDescent="0.25">
      <c r="A513" t="s">
        <v>1520</v>
      </c>
      <c r="B513" t="s">
        <v>1521</v>
      </c>
      <c r="C513" t="s">
        <v>1522</v>
      </c>
      <c r="D513" t="s">
        <v>1521</v>
      </c>
    </row>
    <row r="514" spans="1:4" x14ac:dyDescent="0.25">
      <c r="A514" t="s">
        <v>1523</v>
      </c>
      <c r="B514" t="s">
        <v>1524</v>
      </c>
      <c r="C514" t="s">
        <v>1525</v>
      </c>
      <c r="D514" t="s">
        <v>1524</v>
      </c>
    </row>
    <row r="515" spans="1:4" x14ac:dyDescent="0.25">
      <c r="A515" t="s">
        <v>1526</v>
      </c>
      <c r="B515" t="s">
        <v>1527</v>
      </c>
      <c r="C515" t="s">
        <v>1528</v>
      </c>
      <c r="D515" t="s">
        <v>1527</v>
      </c>
    </row>
    <row r="516" spans="1:4" x14ac:dyDescent="0.25">
      <c r="A516" t="s">
        <v>1529</v>
      </c>
      <c r="B516" t="s">
        <v>1530</v>
      </c>
      <c r="C516" t="s">
        <v>1531</v>
      </c>
      <c r="D516" t="s">
        <v>1530</v>
      </c>
    </row>
    <row r="517" spans="1:4" x14ac:dyDescent="0.25">
      <c r="A517" t="s">
        <v>1532</v>
      </c>
      <c r="B517" t="s">
        <v>1533</v>
      </c>
      <c r="C517" t="s">
        <v>1534</v>
      </c>
      <c r="D517" t="s">
        <v>1533</v>
      </c>
    </row>
    <row r="518" spans="1:4" x14ac:dyDescent="0.25">
      <c r="A518" t="s">
        <v>1535</v>
      </c>
      <c r="B518" t="s">
        <v>1536</v>
      </c>
      <c r="C518" t="s">
        <v>1537</v>
      </c>
      <c r="D518" t="s">
        <v>1536</v>
      </c>
    </row>
    <row r="519" spans="1:4" x14ac:dyDescent="0.25">
      <c r="A519" t="s">
        <v>1538</v>
      </c>
      <c r="B519" t="s">
        <v>1539</v>
      </c>
      <c r="C519" t="s">
        <v>1540</v>
      </c>
      <c r="D519" t="s">
        <v>1539</v>
      </c>
    </row>
    <row r="520" spans="1:4" x14ac:dyDescent="0.25">
      <c r="A520" t="s">
        <v>1541</v>
      </c>
      <c r="B520" t="s">
        <v>1542</v>
      </c>
      <c r="C520" t="s">
        <v>1543</v>
      </c>
      <c r="D520" t="s">
        <v>1542</v>
      </c>
    </row>
    <row r="521" spans="1:4" x14ac:dyDescent="0.25">
      <c r="A521" t="s">
        <v>1544</v>
      </c>
      <c r="B521" t="s">
        <v>1545</v>
      </c>
      <c r="C521" t="s">
        <v>1546</v>
      </c>
      <c r="D521" t="s">
        <v>1545</v>
      </c>
    </row>
    <row r="522" spans="1:4" x14ac:dyDescent="0.25">
      <c r="A522" t="s">
        <v>1547</v>
      </c>
      <c r="B522" t="s">
        <v>1548</v>
      </c>
      <c r="C522" t="s">
        <v>1549</v>
      </c>
      <c r="D522" t="s">
        <v>1548</v>
      </c>
    </row>
    <row r="523" spans="1:4" x14ac:dyDescent="0.25">
      <c r="A523" t="s">
        <v>1550</v>
      </c>
      <c r="B523" t="s">
        <v>1551</v>
      </c>
      <c r="C523" t="s">
        <v>1552</v>
      </c>
      <c r="D523" t="s">
        <v>1551</v>
      </c>
    </row>
    <row r="524" spans="1:4" x14ac:dyDescent="0.25">
      <c r="A524" t="s">
        <v>1553</v>
      </c>
      <c r="B524" t="s">
        <v>1554</v>
      </c>
      <c r="C524" t="s">
        <v>1555</v>
      </c>
      <c r="D524" t="s">
        <v>1554</v>
      </c>
    </row>
    <row r="525" spans="1:4" x14ac:dyDescent="0.25">
      <c r="A525" t="s">
        <v>1556</v>
      </c>
      <c r="B525" t="s">
        <v>1557</v>
      </c>
      <c r="C525" t="s">
        <v>1558</v>
      </c>
      <c r="D525" t="s">
        <v>1557</v>
      </c>
    </row>
    <row r="526" spans="1:4" x14ac:dyDescent="0.25">
      <c r="A526" t="s">
        <v>1559</v>
      </c>
      <c r="B526" t="s">
        <v>1560</v>
      </c>
      <c r="C526" t="s">
        <v>1561</v>
      </c>
      <c r="D526" t="s">
        <v>1560</v>
      </c>
    </row>
    <row r="527" spans="1:4" x14ac:dyDescent="0.25">
      <c r="A527" t="s">
        <v>1562</v>
      </c>
      <c r="B527" t="s">
        <v>1563</v>
      </c>
      <c r="C527" t="s">
        <v>1564</v>
      </c>
      <c r="D527" t="s">
        <v>1563</v>
      </c>
    </row>
    <row r="528" spans="1:4" x14ac:dyDescent="0.25">
      <c r="A528" t="s">
        <v>1565</v>
      </c>
      <c r="B528" t="s">
        <v>1566</v>
      </c>
      <c r="C528" t="s">
        <v>1567</v>
      </c>
      <c r="D528" t="s">
        <v>1566</v>
      </c>
    </row>
    <row r="529" spans="1:4" x14ac:dyDescent="0.25">
      <c r="A529" t="s">
        <v>1568</v>
      </c>
      <c r="B529" t="s">
        <v>1569</v>
      </c>
      <c r="C529" t="s">
        <v>1570</v>
      </c>
      <c r="D529" t="s">
        <v>1569</v>
      </c>
    </row>
    <row r="530" spans="1:4" x14ac:dyDescent="0.25">
      <c r="A530" t="s">
        <v>1571</v>
      </c>
      <c r="B530" t="s">
        <v>1572</v>
      </c>
      <c r="C530" t="s">
        <v>1573</v>
      </c>
      <c r="D530" t="s">
        <v>1572</v>
      </c>
    </row>
    <row r="531" spans="1:4" x14ac:dyDescent="0.25">
      <c r="A531" t="s">
        <v>1574</v>
      </c>
      <c r="B531" t="s">
        <v>1575</v>
      </c>
      <c r="C531" t="s">
        <v>1576</v>
      </c>
      <c r="D531" t="s">
        <v>1575</v>
      </c>
    </row>
    <row r="532" spans="1:4" x14ac:dyDescent="0.25">
      <c r="A532" t="s">
        <v>1577</v>
      </c>
      <c r="B532" t="s">
        <v>1578</v>
      </c>
      <c r="C532" t="s">
        <v>1579</v>
      </c>
      <c r="D532" t="s">
        <v>1578</v>
      </c>
    </row>
    <row r="533" spans="1:4" x14ac:dyDescent="0.25">
      <c r="A533" t="s">
        <v>1580</v>
      </c>
      <c r="B533" t="s">
        <v>1581</v>
      </c>
      <c r="C533" t="s">
        <v>1582</v>
      </c>
      <c r="D533" t="s">
        <v>1581</v>
      </c>
    </row>
    <row r="534" spans="1:4" x14ac:dyDescent="0.25">
      <c r="A534" t="s">
        <v>1583</v>
      </c>
      <c r="B534" t="s">
        <v>1584</v>
      </c>
      <c r="C534" t="s">
        <v>1585</v>
      </c>
      <c r="D534" t="s">
        <v>1584</v>
      </c>
    </row>
    <row r="535" spans="1:4" x14ac:dyDescent="0.25">
      <c r="A535" t="s">
        <v>1586</v>
      </c>
      <c r="B535" t="s">
        <v>1587</v>
      </c>
      <c r="C535" t="s">
        <v>1588</v>
      </c>
      <c r="D535" t="s">
        <v>1587</v>
      </c>
    </row>
    <row r="536" spans="1:4" x14ac:dyDescent="0.25">
      <c r="A536" t="s">
        <v>1589</v>
      </c>
      <c r="B536" t="s">
        <v>1590</v>
      </c>
      <c r="C536" t="s">
        <v>1591</v>
      </c>
      <c r="D536" t="s">
        <v>1590</v>
      </c>
    </row>
    <row r="537" spans="1:4" x14ac:dyDescent="0.25">
      <c r="A537" t="s">
        <v>1592</v>
      </c>
      <c r="B537" t="s">
        <v>1593</v>
      </c>
      <c r="C537" t="s">
        <v>1594</v>
      </c>
      <c r="D537" t="s">
        <v>1593</v>
      </c>
    </row>
    <row r="538" spans="1:4" x14ac:dyDescent="0.25">
      <c r="A538" t="s">
        <v>1595</v>
      </c>
      <c r="B538" t="s">
        <v>1596</v>
      </c>
      <c r="C538" t="s">
        <v>1597</v>
      </c>
      <c r="D538" t="s">
        <v>1596</v>
      </c>
    </row>
    <row r="539" spans="1:4" x14ac:dyDescent="0.25">
      <c r="A539" t="s">
        <v>1598</v>
      </c>
      <c r="B539" t="s">
        <v>1599</v>
      </c>
      <c r="C539" t="s">
        <v>1600</v>
      </c>
      <c r="D539" t="s">
        <v>1599</v>
      </c>
    </row>
    <row r="540" spans="1:4" x14ac:dyDescent="0.25">
      <c r="A540" t="s">
        <v>1601</v>
      </c>
      <c r="B540" t="s">
        <v>1602</v>
      </c>
      <c r="C540" t="s">
        <v>1603</v>
      </c>
      <c r="D540" t="s">
        <v>1602</v>
      </c>
    </row>
    <row r="541" spans="1:4" x14ac:dyDescent="0.25">
      <c r="A541" t="s">
        <v>1604</v>
      </c>
      <c r="B541" t="s">
        <v>1605</v>
      </c>
      <c r="C541" t="s">
        <v>1606</v>
      </c>
      <c r="D541" t="s">
        <v>1605</v>
      </c>
    </row>
    <row r="542" spans="1:4" x14ac:dyDescent="0.25">
      <c r="A542" t="s">
        <v>1607</v>
      </c>
      <c r="B542" t="s">
        <v>1608</v>
      </c>
      <c r="C542" t="s">
        <v>1609</v>
      </c>
      <c r="D542" t="s">
        <v>1608</v>
      </c>
    </row>
    <row r="543" spans="1:4" x14ac:dyDescent="0.25">
      <c r="A543" t="s">
        <v>1610</v>
      </c>
      <c r="B543" t="s">
        <v>1611</v>
      </c>
      <c r="C543" t="s">
        <v>1612</v>
      </c>
      <c r="D543" t="s">
        <v>1611</v>
      </c>
    </row>
    <row r="544" spans="1:4" x14ac:dyDescent="0.25">
      <c r="A544" t="s">
        <v>1613</v>
      </c>
      <c r="B544" t="s">
        <v>1614</v>
      </c>
      <c r="C544" t="s">
        <v>1615</v>
      </c>
      <c r="D544" t="s">
        <v>1614</v>
      </c>
    </row>
    <row r="545" spans="1:4" x14ac:dyDescent="0.25">
      <c r="A545" t="s">
        <v>1616</v>
      </c>
      <c r="B545" t="s">
        <v>1617</v>
      </c>
      <c r="C545" t="s">
        <v>1618</v>
      </c>
      <c r="D545" t="s">
        <v>1617</v>
      </c>
    </row>
    <row r="546" spans="1:4" x14ac:dyDescent="0.25">
      <c r="A546" t="s">
        <v>1619</v>
      </c>
      <c r="B546" t="s">
        <v>1620</v>
      </c>
      <c r="C546" t="s">
        <v>1621</v>
      </c>
      <c r="D546" t="s">
        <v>1620</v>
      </c>
    </row>
    <row r="547" spans="1:4" x14ac:dyDescent="0.25">
      <c r="A547" t="s">
        <v>1622</v>
      </c>
      <c r="B547" t="s">
        <v>1623</v>
      </c>
      <c r="C547" t="s">
        <v>1624</v>
      </c>
      <c r="D547" t="s">
        <v>1623</v>
      </c>
    </row>
    <row r="548" spans="1:4" x14ac:dyDescent="0.25">
      <c r="A548" t="s">
        <v>1625</v>
      </c>
      <c r="B548" t="s">
        <v>1626</v>
      </c>
      <c r="C548" t="s">
        <v>1627</v>
      </c>
      <c r="D548" t="s">
        <v>1626</v>
      </c>
    </row>
    <row r="549" spans="1:4" x14ac:dyDescent="0.25">
      <c r="A549" t="s">
        <v>1628</v>
      </c>
      <c r="B549" t="s">
        <v>1629</v>
      </c>
      <c r="C549" t="s">
        <v>1630</v>
      </c>
      <c r="D549" t="s">
        <v>1629</v>
      </c>
    </row>
    <row r="550" spans="1:4" x14ac:dyDescent="0.25">
      <c r="A550" t="s">
        <v>1631</v>
      </c>
      <c r="B550" t="s">
        <v>1632</v>
      </c>
      <c r="C550" t="s">
        <v>1633</v>
      </c>
      <c r="D550" t="s">
        <v>1632</v>
      </c>
    </row>
    <row r="551" spans="1:4" x14ac:dyDescent="0.25">
      <c r="A551" t="s">
        <v>1634</v>
      </c>
      <c r="B551" t="s">
        <v>1635</v>
      </c>
      <c r="C551" t="s">
        <v>1636</v>
      </c>
      <c r="D551" t="s">
        <v>1635</v>
      </c>
    </row>
    <row r="552" spans="1:4" x14ac:dyDescent="0.25">
      <c r="A552" t="s">
        <v>1637</v>
      </c>
      <c r="B552" t="s">
        <v>1638</v>
      </c>
      <c r="C552" t="s">
        <v>1639</v>
      </c>
      <c r="D552" t="s">
        <v>1638</v>
      </c>
    </row>
    <row r="553" spans="1:4" x14ac:dyDescent="0.25">
      <c r="A553" t="s">
        <v>1640</v>
      </c>
      <c r="B553" t="s">
        <v>1641</v>
      </c>
      <c r="C553" t="s">
        <v>1642</v>
      </c>
      <c r="D553" t="s">
        <v>1641</v>
      </c>
    </row>
    <row r="554" spans="1:4" x14ac:dyDescent="0.25">
      <c r="A554" t="s">
        <v>1643</v>
      </c>
      <c r="B554" t="s">
        <v>1644</v>
      </c>
      <c r="C554" t="s">
        <v>1645</v>
      </c>
      <c r="D554" t="s">
        <v>1644</v>
      </c>
    </row>
    <row r="555" spans="1:4" x14ac:dyDescent="0.25">
      <c r="A555" t="s">
        <v>1646</v>
      </c>
      <c r="B555" t="s">
        <v>1647</v>
      </c>
      <c r="C555" t="s">
        <v>1648</v>
      </c>
      <c r="D555" t="s">
        <v>1647</v>
      </c>
    </row>
    <row r="556" spans="1:4" x14ac:dyDescent="0.25">
      <c r="A556" t="s">
        <v>1649</v>
      </c>
      <c r="B556" t="s">
        <v>1650</v>
      </c>
      <c r="C556" t="s">
        <v>1651</v>
      </c>
      <c r="D556" t="s">
        <v>1650</v>
      </c>
    </row>
    <row r="557" spans="1:4" x14ac:dyDescent="0.25">
      <c r="A557" t="s">
        <v>1652</v>
      </c>
      <c r="B557" t="s">
        <v>1653</v>
      </c>
      <c r="C557" t="s">
        <v>1654</v>
      </c>
      <c r="D557" t="s">
        <v>1653</v>
      </c>
    </row>
    <row r="558" spans="1:4" x14ac:dyDescent="0.25">
      <c r="A558" t="s">
        <v>1655</v>
      </c>
      <c r="B558" t="s">
        <v>1656</v>
      </c>
      <c r="C558" t="s">
        <v>1657</v>
      </c>
      <c r="D558" t="s">
        <v>1656</v>
      </c>
    </row>
    <row r="559" spans="1:4" x14ac:dyDescent="0.25">
      <c r="A559" t="s">
        <v>1658</v>
      </c>
      <c r="B559" t="s">
        <v>1659</v>
      </c>
      <c r="C559" t="s">
        <v>1660</v>
      </c>
      <c r="D559" t="s">
        <v>1659</v>
      </c>
    </row>
    <row r="560" spans="1:4" x14ac:dyDescent="0.25">
      <c r="A560" t="s">
        <v>1661</v>
      </c>
      <c r="B560" t="s">
        <v>1662</v>
      </c>
      <c r="C560" t="s">
        <v>1663</v>
      </c>
      <c r="D560" t="s">
        <v>1662</v>
      </c>
    </row>
    <row r="561" spans="1:4" x14ac:dyDescent="0.25">
      <c r="A561" t="s">
        <v>1664</v>
      </c>
      <c r="B561" t="s">
        <v>1665</v>
      </c>
      <c r="C561" t="s">
        <v>1666</v>
      </c>
      <c r="D561" t="s">
        <v>1665</v>
      </c>
    </row>
    <row r="562" spans="1:4" x14ac:dyDescent="0.25">
      <c r="A562" t="s">
        <v>1667</v>
      </c>
      <c r="B562" t="s">
        <v>1668</v>
      </c>
      <c r="C562" t="s">
        <v>1669</v>
      </c>
      <c r="D562" t="s">
        <v>1668</v>
      </c>
    </row>
    <row r="563" spans="1:4" x14ac:dyDescent="0.25">
      <c r="A563" t="s">
        <v>1670</v>
      </c>
      <c r="B563" t="s">
        <v>1671</v>
      </c>
      <c r="C563" t="s">
        <v>1672</v>
      </c>
      <c r="D563" t="s">
        <v>1671</v>
      </c>
    </row>
    <row r="564" spans="1:4" x14ac:dyDescent="0.25">
      <c r="A564" t="s">
        <v>1673</v>
      </c>
      <c r="B564" t="s">
        <v>1674</v>
      </c>
      <c r="C564" t="s">
        <v>1675</v>
      </c>
      <c r="D564" t="s">
        <v>1674</v>
      </c>
    </row>
    <row r="565" spans="1:4" x14ac:dyDescent="0.25">
      <c r="A565" t="s">
        <v>1676</v>
      </c>
      <c r="B565" t="s">
        <v>1677</v>
      </c>
      <c r="C565" t="s">
        <v>1678</v>
      </c>
      <c r="D565" t="s">
        <v>1677</v>
      </c>
    </row>
    <row r="566" spans="1:4" x14ac:dyDescent="0.25">
      <c r="A566" t="s">
        <v>1679</v>
      </c>
      <c r="B566" t="s">
        <v>1680</v>
      </c>
      <c r="C566" t="s">
        <v>1681</v>
      </c>
      <c r="D566" t="s">
        <v>1680</v>
      </c>
    </row>
    <row r="567" spans="1:4" x14ac:dyDescent="0.25">
      <c r="A567" t="s">
        <v>1682</v>
      </c>
      <c r="B567" t="s">
        <v>1683</v>
      </c>
      <c r="C567" t="s">
        <v>1684</v>
      </c>
      <c r="D567" t="s">
        <v>1683</v>
      </c>
    </row>
    <row r="568" spans="1:4" x14ac:dyDescent="0.25">
      <c r="A568" t="s">
        <v>1685</v>
      </c>
      <c r="B568" t="s">
        <v>1686</v>
      </c>
      <c r="C568" t="s">
        <v>1687</v>
      </c>
      <c r="D568" t="s">
        <v>1686</v>
      </c>
    </row>
    <row r="569" spans="1:4" x14ac:dyDescent="0.25">
      <c r="A569" t="s">
        <v>1688</v>
      </c>
      <c r="B569" t="s">
        <v>1689</v>
      </c>
      <c r="C569" t="s">
        <v>1690</v>
      </c>
      <c r="D569" t="s">
        <v>1689</v>
      </c>
    </row>
    <row r="570" spans="1:4" x14ac:dyDescent="0.25">
      <c r="A570" t="s">
        <v>1691</v>
      </c>
      <c r="B570" t="s">
        <v>1692</v>
      </c>
      <c r="C570" t="s">
        <v>1693</v>
      </c>
      <c r="D570" t="s">
        <v>1692</v>
      </c>
    </row>
    <row r="571" spans="1:4" x14ac:dyDescent="0.25">
      <c r="A571" t="s">
        <v>1694</v>
      </c>
      <c r="B571" t="s">
        <v>1695</v>
      </c>
      <c r="C571" t="s">
        <v>1696</v>
      </c>
      <c r="D571" t="s">
        <v>1695</v>
      </c>
    </row>
    <row r="572" spans="1:4" x14ac:dyDescent="0.25">
      <c r="A572" t="s">
        <v>1697</v>
      </c>
      <c r="B572" t="s">
        <v>1698</v>
      </c>
      <c r="C572" t="s">
        <v>1699</v>
      </c>
      <c r="D572" t="s">
        <v>1698</v>
      </c>
    </row>
    <row r="573" spans="1:4" x14ac:dyDescent="0.25">
      <c r="A573" t="s">
        <v>1700</v>
      </c>
      <c r="B573" t="s">
        <v>1701</v>
      </c>
      <c r="C573" t="s">
        <v>1702</v>
      </c>
      <c r="D573" t="s">
        <v>1701</v>
      </c>
    </row>
    <row r="574" spans="1:4" x14ac:dyDescent="0.25">
      <c r="A574" t="s">
        <v>1703</v>
      </c>
      <c r="B574" t="s">
        <v>1704</v>
      </c>
      <c r="C574" t="s">
        <v>1705</v>
      </c>
      <c r="D574" t="s">
        <v>1704</v>
      </c>
    </row>
    <row r="575" spans="1:4" x14ac:dyDescent="0.25">
      <c r="A575" t="s">
        <v>1706</v>
      </c>
      <c r="B575" t="s">
        <v>1707</v>
      </c>
      <c r="C575" t="s">
        <v>1708</v>
      </c>
      <c r="D575" t="s">
        <v>1707</v>
      </c>
    </row>
    <row r="576" spans="1:4" x14ac:dyDescent="0.25">
      <c r="A576" t="s">
        <v>1709</v>
      </c>
      <c r="B576" t="s">
        <v>1710</v>
      </c>
      <c r="C576" t="s">
        <v>1711</v>
      </c>
      <c r="D576" t="s">
        <v>1710</v>
      </c>
    </row>
    <row r="577" spans="1:4" x14ac:dyDescent="0.25">
      <c r="A577" t="s">
        <v>1712</v>
      </c>
      <c r="B577" t="s">
        <v>1713</v>
      </c>
      <c r="C577" t="s">
        <v>1714</v>
      </c>
      <c r="D577" t="s">
        <v>1713</v>
      </c>
    </row>
    <row r="578" spans="1:4" x14ac:dyDescent="0.25">
      <c r="A578" t="s">
        <v>1715</v>
      </c>
      <c r="B578" t="s">
        <v>1716</v>
      </c>
      <c r="C578" t="s">
        <v>1717</v>
      </c>
      <c r="D578" t="s">
        <v>1716</v>
      </c>
    </row>
    <row r="579" spans="1:4" x14ac:dyDescent="0.25">
      <c r="A579" t="s">
        <v>1718</v>
      </c>
      <c r="B579" t="s">
        <v>1719</v>
      </c>
      <c r="C579" t="s">
        <v>1720</v>
      </c>
      <c r="D579" t="s">
        <v>1719</v>
      </c>
    </row>
    <row r="580" spans="1:4" x14ac:dyDescent="0.25">
      <c r="A580" t="s">
        <v>1721</v>
      </c>
      <c r="B580" t="s">
        <v>1722</v>
      </c>
      <c r="C580" t="s">
        <v>1723</v>
      </c>
      <c r="D580" t="s">
        <v>1722</v>
      </c>
    </row>
    <row r="581" spans="1:4" x14ac:dyDescent="0.25">
      <c r="A581" t="s">
        <v>1724</v>
      </c>
      <c r="B581" t="s">
        <v>1725</v>
      </c>
      <c r="C581" t="s">
        <v>1726</v>
      </c>
      <c r="D581" t="s">
        <v>1725</v>
      </c>
    </row>
    <row r="582" spans="1:4" x14ac:dyDescent="0.25">
      <c r="A582" t="s">
        <v>1727</v>
      </c>
      <c r="B582" t="s">
        <v>1728</v>
      </c>
      <c r="C582" t="s">
        <v>1729</v>
      </c>
      <c r="D582" t="s">
        <v>1728</v>
      </c>
    </row>
    <row r="583" spans="1:4" x14ac:dyDescent="0.25">
      <c r="A583" t="s">
        <v>1730</v>
      </c>
      <c r="B583" t="s">
        <v>1731</v>
      </c>
      <c r="C583" t="s">
        <v>1732</v>
      </c>
      <c r="D583" t="s">
        <v>1731</v>
      </c>
    </row>
    <row r="584" spans="1:4" x14ac:dyDescent="0.25">
      <c r="A584" t="s">
        <v>1733</v>
      </c>
      <c r="B584" t="s">
        <v>1734</v>
      </c>
      <c r="C584" t="s">
        <v>1735</v>
      </c>
      <c r="D584" t="s">
        <v>1734</v>
      </c>
    </row>
    <row r="585" spans="1:4" x14ac:dyDescent="0.25">
      <c r="A585" t="s">
        <v>1736</v>
      </c>
      <c r="B585" t="s">
        <v>1737</v>
      </c>
      <c r="C585" t="s">
        <v>1738</v>
      </c>
      <c r="D585" t="s">
        <v>1737</v>
      </c>
    </row>
    <row r="586" spans="1:4" x14ac:dyDescent="0.25">
      <c r="A586" t="s">
        <v>1739</v>
      </c>
      <c r="B586" t="s">
        <v>1740</v>
      </c>
      <c r="C586" t="s">
        <v>1741</v>
      </c>
      <c r="D586" t="s">
        <v>1740</v>
      </c>
    </row>
    <row r="587" spans="1:4" x14ac:dyDescent="0.25">
      <c r="A587" t="s">
        <v>1742</v>
      </c>
      <c r="B587" t="s">
        <v>1743</v>
      </c>
      <c r="C587" t="s">
        <v>1744</v>
      </c>
      <c r="D587" t="s">
        <v>1743</v>
      </c>
    </row>
    <row r="588" spans="1:4" x14ac:dyDescent="0.25">
      <c r="A588" t="s">
        <v>1745</v>
      </c>
      <c r="B588" t="s">
        <v>1746</v>
      </c>
      <c r="C588" t="s">
        <v>1747</v>
      </c>
      <c r="D588" t="s">
        <v>1746</v>
      </c>
    </row>
    <row r="589" spans="1:4" x14ac:dyDescent="0.25">
      <c r="A589" t="s">
        <v>1748</v>
      </c>
      <c r="B589" t="s">
        <v>1749</v>
      </c>
      <c r="C589" t="s">
        <v>1750</v>
      </c>
      <c r="D589" t="s">
        <v>1749</v>
      </c>
    </row>
    <row r="590" spans="1:4" x14ac:dyDescent="0.25">
      <c r="A590" t="s">
        <v>1751</v>
      </c>
      <c r="B590" t="s">
        <v>1752</v>
      </c>
      <c r="C590" t="s">
        <v>1753</v>
      </c>
      <c r="D590" t="s">
        <v>1752</v>
      </c>
    </row>
    <row r="591" spans="1:4" x14ac:dyDescent="0.25">
      <c r="A591" t="s">
        <v>1754</v>
      </c>
      <c r="B591" t="s">
        <v>1755</v>
      </c>
      <c r="C591" t="s">
        <v>1756</v>
      </c>
      <c r="D591" t="s">
        <v>1755</v>
      </c>
    </row>
    <row r="592" spans="1:4" x14ac:dyDescent="0.25">
      <c r="A592" t="s">
        <v>1757</v>
      </c>
      <c r="B592" t="s">
        <v>1758</v>
      </c>
      <c r="C592" t="s">
        <v>1759</v>
      </c>
      <c r="D592" t="s">
        <v>1758</v>
      </c>
    </row>
    <row r="593" spans="1:4" x14ac:dyDescent="0.25">
      <c r="A593" t="s">
        <v>1760</v>
      </c>
      <c r="B593" t="s">
        <v>1761</v>
      </c>
      <c r="C593" t="s">
        <v>1762</v>
      </c>
      <c r="D593" t="s">
        <v>1761</v>
      </c>
    </row>
    <row r="594" spans="1:4" x14ac:dyDescent="0.25">
      <c r="A594" t="s">
        <v>1763</v>
      </c>
      <c r="B594" t="s">
        <v>1764</v>
      </c>
      <c r="C594" t="s">
        <v>1765</v>
      </c>
      <c r="D594" t="s">
        <v>1764</v>
      </c>
    </row>
    <row r="595" spans="1:4" x14ac:dyDescent="0.25">
      <c r="A595" t="s">
        <v>1766</v>
      </c>
      <c r="B595" t="s">
        <v>1767</v>
      </c>
      <c r="C595" t="s">
        <v>1768</v>
      </c>
      <c r="D595" t="s">
        <v>1767</v>
      </c>
    </row>
    <row r="596" spans="1:4" x14ac:dyDescent="0.25">
      <c r="A596" t="s">
        <v>1769</v>
      </c>
      <c r="B596" t="s">
        <v>1770</v>
      </c>
      <c r="C596" t="s">
        <v>1771</v>
      </c>
      <c r="D596" t="s">
        <v>1770</v>
      </c>
    </row>
    <row r="597" spans="1:4" x14ac:dyDescent="0.25">
      <c r="A597" t="s">
        <v>1772</v>
      </c>
      <c r="B597" t="s">
        <v>1773</v>
      </c>
      <c r="C597" t="s">
        <v>1774</v>
      </c>
      <c r="D597" t="s">
        <v>1773</v>
      </c>
    </row>
    <row r="598" spans="1:4" x14ac:dyDescent="0.25">
      <c r="A598" t="s">
        <v>1775</v>
      </c>
      <c r="B598" t="s">
        <v>1776</v>
      </c>
      <c r="C598" t="s">
        <v>1777</v>
      </c>
      <c r="D598" t="s">
        <v>1776</v>
      </c>
    </row>
    <row r="599" spans="1:4" x14ac:dyDescent="0.25">
      <c r="A599" t="s">
        <v>1778</v>
      </c>
      <c r="B599" t="s">
        <v>1779</v>
      </c>
      <c r="C599" t="s">
        <v>1780</v>
      </c>
      <c r="D599" t="s">
        <v>1779</v>
      </c>
    </row>
    <row r="600" spans="1:4" x14ac:dyDescent="0.25">
      <c r="A600" t="s">
        <v>1781</v>
      </c>
      <c r="B600" t="s">
        <v>1782</v>
      </c>
      <c r="C600" t="s">
        <v>1783</v>
      </c>
      <c r="D600" t="s">
        <v>1782</v>
      </c>
    </row>
    <row r="601" spans="1:4" x14ac:dyDescent="0.25">
      <c r="A601" t="s">
        <v>1784</v>
      </c>
      <c r="B601" t="s">
        <v>1785</v>
      </c>
      <c r="C601" t="s">
        <v>1786</v>
      </c>
      <c r="D601" t="s">
        <v>1785</v>
      </c>
    </row>
    <row r="602" spans="1:4" x14ac:dyDescent="0.25">
      <c r="A602" t="s">
        <v>1787</v>
      </c>
      <c r="B602" t="s">
        <v>1788</v>
      </c>
      <c r="C602" t="s">
        <v>1789</v>
      </c>
      <c r="D602" t="s">
        <v>1788</v>
      </c>
    </row>
    <row r="603" spans="1:4" x14ac:dyDescent="0.25">
      <c r="A603" t="s">
        <v>1790</v>
      </c>
      <c r="B603" t="s">
        <v>1791</v>
      </c>
      <c r="C603" t="s">
        <v>1792</v>
      </c>
      <c r="D603" t="s">
        <v>1791</v>
      </c>
    </row>
    <row r="604" spans="1:4" x14ac:dyDescent="0.25">
      <c r="A604" t="s">
        <v>1793</v>
      </c>
      <c r="B604" t="s">
        <v>1794</v>
      </c>
      <c r="C604" t="s">
        <v>1795</v>
      </c>
      <c r="D604" t="s">
        <v>1794</v>
      </c>
    </row>
    <row r="605" spans="1:4" x14ac:dyDescent="0.25">
      <c r="A605" t="s">
        <v>1796</v>
      </c>
      <c r="B605" t="s">
        <v>1797</v>
      </c>
      <c r="C605" t="s">
        <v>1798</v>
      </c>
      <c r="D605" t="s">
        <v>1797</v>
      </c>
    </row>
    <row r="606" spans="1:4" x14ac:dyDescent="0.25">
      <c r="A606" t="s">
        <v>1799</v>
      </c>
      <c r="B606" t="s">
        <v>1800</v>
      </c>
      <c r="C606" t="s">
        <v>1801</v>
      </c>
      <c r="D606" t="s">
        <v>1800</v>
      </c>
    </row>
    <row r="607" spans="1:4" x14ac:dyDescent="0.25">
      <c r="A607" t="s">
        <v>1802</v>
      </c>
      <c r="B607" t="s">
        <v>1803</v>
      </c>
      <c r="C607" t="s">
        <v>1804</v>
      </c>
      <c r="D607" t="s">
        <v>1803</v>
      </c>
    </row>
    <row r="608" spans="1:4" x14ac:dyDescent="0.25">
      <c r="A608" t="s">
        <v>1805</v>
      </c>
      <c r="B608" t="s">
        <v>1806</v>
      </c>
      <c r="C608" t="s">
        <v>1807</v>
      </c>
      <c r="D608" t="s">
        <v>1806</v>
      </c>
    </row>
    <row r="609" spans="1:4" x14ac:dyDescent="0.25">
      <c r="A609" t="s">
        <v>1808</v>
      </c>
      <c r="B609" t="s">
        <v>1809</v>
      </c>
      <c r="C609" t="s">
        <v>1810</v>
      </c>
      <c r="D609" t="s">
        <v>1809</v>
      </c>
    </row>
    <row r="610" spans="1:4" x14ac:dyDescent="0.25">
      <c r="A610" t="s">
        <v>1811</v>
      </c>
      <c r="B610" t="s">
        <v>1812</v>
      </c>
      <c r="C610" t="s">
        <v>1813</v>
      </c>
      <c r="D610" t="s">
        <v>1812</v>
      </c>
    </row>
    <row r="611" spans="1:4" x14ac:dyDescent="0.25">
      <c r="A611" t="s">
        <v>1814</v>
      </c>
      <c r="B611" t="s">
        <v>1815</v>
      </c>
      <c r="C611" t="s">
        <v>1816</v>
      </c>
      <c r="D611" t="s">
        <v>1815</v>
      </c>
    </row>
    <row r="612" spans="1:4" x14ac:dyDescent="0.25">
      <c r="A612" t="s">
        <v>1817</v>
      </c>
      <c r="B612" t="s">
        <v>1818</v>
      </c>
      <c r="C612" t="s">
        <v>1819</v>
      </c>
      <c r="D612" t="s">
        <v>1818</v>
      </c>
    </row>
    <row r="613" spans="1:4" x14ac:dyDescent="0.25">
      <c r="A613" t="s">
        <v>1820</v>
      </c>
      <c r="B613" t="s">
        <v>1821</v>
      </c>
      <c r="C613" t="s">
        <v>1822</v>
      </c>
      <c r="D613" t="s">
        <v>1821</v>
      </c>
    </row>
    <row r="614" spans="1:4" x14ac:dyDescent="0.25">
      <c r="A614" t="s">
        <v>1823</v>
      </c>
      <c r="B614" t="s">
        <v>1824</v>
      </c>
      <c r="C614" t="s">
        <v>1825</v>
      </c>
      <c r="D614" t="s">
        <v>1824</v>
      </c>
    </row>
    <row r="615" spans="1:4" x14ac:dyDescent="0.25">
      <c r="A615" t="s">
        <v>1826</v>
      </c>
      <c r="B615" t="s">
        <v>1827</v>
      </c>
      <c r="C615" t="s">
        <v>1828</v>
      </c>
      <c r="D615" t="s">
        <v>1827</v>
      </c>
    </row>
    <row r="616" spans="1:4" x14ac:dyDescent="0.25">
      <c r="A616" t="s">
        <v>1829</v>
      </c>
      <c r="B616" t="s">
        <v>1830</v>
      </c>
      <c r="C616" t="s">
        <v>1831</v>
      </c>
      <c r="D616" t="s">
        <v>1830</v>
      </c>
    </row>
    <row r="617" spans="1:4" x14ac:dyDescent="0.25">
      <c r="A617" t="s">
        <v>1832</v>
      </c>
      <c r="B617" t="s">
        <v>1833</v>
      </c>
      <c r="C617" t="s">
        <v>1834</v>
      </c>
      <c r="D617" t="s">
        <v>1833</v>
      </c>
    </row>
    <row r="618" spans="1:4" x14ac:dyDescent="0.25">
      <c r="A618" t="s">
        <v>1835</v>
      </c>
      <c r="B618" t="s">
        <v>1836</v>
      </c>
      <c r="C618" t="s">
        <v>1837</v>
      </c>
      <c r="D618" t="s">
        <v>1836</v>
      </c>
    </row>
    <row r="619" spans="1:4" x14ac:dyDescent="0.25">
      <c r="A619" t="s">
        <v>1838</v>
      </c>
      <c r="B619" t="s">
        <v>1839</v>
      </c>
      <c r="C619" t="s">
        <v>1840</v>
      </c>
      <c r="D619" t="s">
        <v>1839</v>
      </c>
    </row>
    <row r="620" spans="1:4" x14ac:dyDescent="0.25">
      <c r="A620" t="s">
        <v>1841</v>
      </c>
      <c r="B620" t="s">
        <v>1842</v>
      </c>
      <c r="C620" t="s">
        <v>1843</v>
      </c>
      <c r="D620" t="s">
        <v>1842</v>
      </c>
    </row>
    <row r="621" spans="1:4" x14ac:dyDescent="0.25">
      <c r="A621" t="s">
        <v>1844</v>
      </c>
      <c r="B621" t="s">
        <v>1845</v>
      </c>
      <c r="C621" t="s">
        <v>1846</v>
      </c>
      <c r="D621" t="s">
        <v>1845</v>
      </c>
    </row>
    <row r="622" spans="1:4" x14ac:dyDescent="0.25">
      <c r="A622" t="s">
        <v>1847</v>
      </c>
      <c r="B622" t="s">
        <v>1848</v>
      </c>
      <c r="C622" t="s">
        <v>1849</v>
      </c>
      <c r="D622" t="s">
        <v>1848</v>
      </c>
    </row>
    <row r="623" spans="1:4" x14ac:dyDescent="0.25">
      <c r="A623" t="s">
        <v>1850</v>
      </c>
      <c r="B623" t="s">
        <v>1851</v>
      </c>
      <c r="C623" t="s">
        <v>1852</v>
      </c>
      <c r="D623" t="s">
        <v>1851</v>
      </c>
    </row>
    <row r="624" spans="1:4" x14ac:dyDescent="0.25">
      <c r="A624" t="s">
        <v>1853</v>
      </c>
      <c r="B624" t="s">
        <v>1854</v>
      </c>
      <c r="C624" t="s">
        <v>1855</v>
      </c>
      <c r="D624" t="s">
        <v>1854</v>
      </c>
    </row>
    <row r="625" spans="1:4" x14ac:dyDescent="0.25">
      <c r="A625" t="s">
        <v>1856</v>
      </c>
      <c r="B625" t="s">
        <v>1857</v>
      </c>
      <c r="C625" t="s">
        <v>1858</v>
      </c>
      <c r="D625" t="s">
        <v>1857</v>
      </c>
    </row>
    <row r="626" spans="1:4" x14ac:dyDescent="0.25">
      <c r="A626" t="s">
        <v>1859</v>
      </c>
      <c r="B626" t="s">
        <v>1860</v>
      </c>
      <c r="C626" t="s">
        <v>1861</v>
      </c>
      <c r="D626" t="s">
        <v>1860</v>
      </c>
    </row>
    <row r="627" spans="1:4" x14ac:dyDescent="0.25">
      <c r="A627" t="s">
        <v>1862</v>
      </c>
      <c r="B627" t="s">
        <v>1863</v>
      </c>
      <c r="C627" t="s">
        <v>1864</v>
      </c>
      <c r="D627" t="s">
        <v>1863</v>
      </c>
    </row>
    <row r="628" spans="1:4" x14ac:dyDescent="0.25">
      <c r="A628" t="s">
        <v>1865</v>
      </c>
      <c r="B628" t="s">
        <v>1866</v>
      </c>
      <c r="C628" t="s">
        <v>1867</v>
      </c>
      <c r="D628" t="s">
        <v>1866</v>
      </c>
    </row>
    <row r="629" spans="1:4" x14ac:dyDescent="0.25">
      <c r="A629" t="s">
        <v>1868</v>
      </c>
      <c r="B629" t="s">
        <v>1869</v>
      </c>
      <c r="C629" t="s">
        <v>1870</v>
      </c>
      <c r="D629" t="s">
        <v>1869</v>
      </c>
    </row>
    <row r="630" spans="1:4" x14ac:dyDescent="0.25">
      <c r="A630" t="s">
        <v>1871</v>
      </c>
      <c r="B630" t="s">
        <v>1872</v>
      </c>
      <c r="C630" t="s">
        <v>1873</v>
      </c>
      <c r="D630" t="s">
        <v>1872</v>
      </c>
    </row>
    <row r="631" spans="1:4" x14ac:dyDescent="0.25">
      <c r="A631" t="s">
        <v>1874</v>
      </c>
      <c r="B631" t="s">
        <v>1875</v>
      </c>
      <c r="C631" t="s">
        <v>1876</v>
      </c>
      <c r="D631" t="s">
        <v>1875</v>
      </c>
    </row>
    <row r="632" spans="1:4" x14ac:dyDescent="0.25">
      <c r="A632" t="s">
        <v>1877</v>
      </c>
      <c r="B632" t="s">
        <v>1878</v>
      </c>
      <c r="C632" t="s">
        <v>1879</v>
      </c>
      <c r="D632" t="s">
        <v>1878</v>
      </c>
    </row>
    <row r="633" spans="1:4" x14ac:dyDescent="0.25">
      <c r="A633" t="s">
        <v>1880</v>
      </c>
      <c r="B633" t="s">
        <v>1881</v>
      </c>
      <c r="C633" t="s">
        <v>1882</v>
      </c>
      <c r="D633" t="s">
        <v>1881</v>
      </c>
    </row>
    <row r="634" spans="1:4" x14ac:dyDescent="0.25">
      <c r="A634" t="s">
        <v>1883</v>
      </c>
      <c r="B634" t="s">
        <v>1884</v>
      </c>
      <c r="C634" t="s">
        <v>1885</v>
      </c>
      <c r="D634" t="s">
        <v>1884</v>
      </c>
    </row>
    <row r="635" spans="1:4" x14ac:dyDescent="0.25">
      <c r="A635" t="s">
        <v>1886</v>
      </c>
      <c r="B635" t="s">
        <v>1887</v>
      </c>
      <c r="C635" t="s">
        <v>1888</v>
      </c>
      <c r="D635" t="s">
        <v>1887</v>
      </c>
    </row>
    <row r="636" spans="1:4" x14ac:dyDescent="0.25">
      <c r="A636" t="s">
        <v>1889</v>
      </c>
      <c r="B636" t="s">
        <v>1890</v>
      </c>
      <c r="C636" t="s">
        <v>1891</v>
      </c>
      <c r="D636" t="s">
        <v>1890</v>
      </c>
    </row>
    <row r="637" spans="1:4" x14ac:dyDescent="0.25">
      <c r="A637" t="s">
        <v>1892</v>
      </c>
      <c r="B637" t="s">
        <v>1893</v>
      </c>
      <c r="C637" t="s">
        <v>1894</v>
      </c>
      <c r="D637" t="s">
        <v>1893</v>
      </c>
    </row>
    <row r="638" spans="1:4" x14ac:dyDescent="0.25">
      <c r="A638" t="s">
        <v>1895</v>
      </c>
      <c r="B638" t="s">
        <v>1896</v>
      </c>
      <c r="C638" t="s">
        <v>1897</v>
      </c>
      <c r="D638" t="s">
        <v>1896</v>
      </c>
    </row>
    <row r="639" spans="1:4" x14ac:dyDescent="0.25">
      <c r="A639" t="s">
        <v>1898</v>
      </c>
      <c r="B639" t="s">
        <v>1899</v>
      </c>
      <c r="C639" t="s">
        <v>1900</v>
      </c>
      <c r="D639" t="s">
        <v>1899</v>
      </c>
    </row>
    <row r="640" spans="1:4" x14ac:dyDescent="0.25">
      <c r="A640" t="s">
        <v>1901</v>
      </c>
      <c r="B640" t="s">
        <v>1902</v>
      </c>
      <c r="C640" t="s">
        <v>1903</v>
      </c>
      <c r="D640" t="s">
        <v>1902</v>
      </c>
    </row>
    <row r="641" spans="1:4" x14ac:dyDescent="0.25">
      <c r="A641" t="s">
        <v>1904</v>
      </c>
      <c r="B641" t="s">
        <v>1905</v>
      </c>
      <c r="C641" t="s">
        <v>1906</v>
      </c>
      <c r="D641" t="s">
        <v>1905</v>
      </c>
    </row>
    <row r="642" spans="1:4" x14ac:dyDescent="0.25">
      <c r="A642" t="s">
        <v>1907</v>
      </c>
      <c r="B642" t="s">
        <v>1908</v>
      </c>
      <c r="C642" t="s">
        <v>1909</v>
      </c>
      <c r="D642" t="s">
        <v>1908</v>
      </c>
    </row>
    <row r="643" spans="1:4" x14ac:dyDescent="0.25">
      <c r="A643" t="s">
        <v>1910</v>
      </c>
      <c r="B643" t="s">
        <v>1911</v>
      </c>
      <c r="C643" t="s">
        <v>1912</v>
      </c>
      <c r="D643" t="s">
        <v>1911</v>
      </c>
    </row>
    <row r="644" spans="1:4" x14ac:dyDescent="0.25">
      <c r="A644" t="s">
        <v>1913</v>
      </c>
      <c r="B644" t="s">
        <v>1914</v>
      </c>
      <c r="C644" t="s">
        <v>1915</v>
      </c>
      <c r="D644" t="s">
        <v>1914</v>
      </c>
    </row>
    <row r="645" spans="1:4" x14ac:dyDescent="0.25">
      <c r="A645" t="s">
        <v>1916</v>
      </c>
      <c r="B645" t="s">
        <v>1917</v>
      </c>
      <c r="C645" t="s">
        <v>1918</v>
      </c>
      <c r="D645" t="s">
        <v>1917</v>
      </c>
    </row>
    <row r="646" spans="1:4" x14ac:dyDescent="0.25">
      <c r="A646" t="s">
        <v>1919</v>
      </c>
      <c r="B646" t="s">
        <v>1920</v>
      </c>
      <c r="C646" t="s">
        <v>1921</v>
      </c>
      <c r="D646" t="s">
        <v>1920</v>
      </c>
    </row>
    <row r="647" spans="1:4" x14ac:dyDescent="0.25">
      <c r="A647" t="s">
        <v>1922</v>
      </c>
      <c r="B647" t="s">
        <v>1923</v>
      </c>
      <c r="C647" t="s">
        <v>1924</v>
      </c>
      <c r="D647" t="s">
        <v>1923</v>
      </c>
    </row>
    <row r="648" spans="1:4" x14ac:dyDescent="0.25">
      <c r="A648" t="s">
        <v>1925</v>
      </c>
      <c r="B648" t="s">
        <v>1926</v>
      </c>
      <c r="C648" t="s">
        <v>1927</v>
      </c>
      <c r="D648" t="s">
        <v>1926</v>
      </c>
    </row>
    <row r="649" spans="1:4" x14ac:dyDescent="0.25">
      <c r="A649" t="s">
        <v>1928</v>
      </c>
      <c r="B649" t="s">
        <v>1929</v>
      </c>
      <c r="C649" t="s">
        <v>1930</v>
      </c>
      <c r="D649" t="s">
        <v>1929</v>
      </c>
    </row>
    <row r="650" spans="1:4" x14ac:dyDescent="0.25">
      <c r="A650" t="s">
        <v>1931</v>
      </c>
      <c r="B650" t="s">
        <v>1932</v>
      </c>
      <c r="C650" t="s">
        <v>1933</v>
      </c>
      <c r="D650" t="s">
        <v>1932</v>
      </c>
    </row>
    <row r="651" spans="1:4" x14ac:dyDescent="0.25">
      <c r="A651" t="s">
        <v>1934</v>
      </c>
      <c r="B651" t="s">
        <v>1935</v>
      </c>
      <c r="C651" t="s">
        <v>1936</v>
      </c>
      <c r="D651" t="s">
        <v>1935</v>
      </c>
    </row>
    <row r="652" spans="1:4" x14ac:dyDescent="0.25">
      <c r="A652" t="s">
        <v>1937</v>
      </c>
      <c r="B652" t="s">
        <v>1938</v>
      </c>
      <c r="C652" t="s">
        <v>1939</v>
      </c>
      <c r="D652" t="s">
        <v>1938</v>
      </c>
    </row>
    <row r="653" spans="1:4" x14ac:dyDescent="0.25">
      <c r="A653" t="s">
        <v>1940</v>
      </c>
      <c r="B653" t="s">
        <v>1941</v>
      </c>
      <c r="C653" t="s">
        <v>1942</v>
      </c>
      <c r="D653" t="s">
        <v>1941</v>
      </c>
    </row>
    <row r="654" spans="1:4" x14ac:dyDescent="0.25">
      <c r="A654" t="s">
        <v>1943</v>
      </c>
      <c r="B654" t="s">
        <v>1944</v>
      </c>
      <c r="C654" t="s">
        <v>1945</v>
      </c>
      <c r="D654" t="s">
        <v>1944</v>
      </c>
    </row>
    <row r="655" spans="1:4" x14ac:dyDescent="0.25">
      <c r="A655" t="s">
        <v>1946</v>
      </c>
      <c r="B655" t="s">
        <v>1947</v>
      </c>
      <c r="C655" t="s">
        <v>1948</v>
      </c>
      <c r="D655" t="s">
        <v>1947</v>
      </c>
    </row>
    <row r="656" spans="1:4" x14ac:dyDescent="0.25">
      <c r="A656" t="s">
        <v>1949</v>
      </c>
      <c r="B656" t="s">
        <v>1950</v>
      </c>
      <c r="C656" t="s">
        <v>1951</v>
      </c>
      <c r="D656" t="s">
        <v>1950</v>
      </c>
    </row>
    <row r="657" spans="1:4" x14ac:dyDescent="0.25">
      <c r="A657" t="s">
        <v>1952</v>
      </c>
      <c r="B657" t="s">
        <v>1953</v>
      </c>
      <c r="C657" t="s">
        <v>1954</v>
      </c>
      <c r="D657" t="s">
        <v>1953</v>
      </c>
    </row>
    <row r="658" spans="1:4" x14ac:dyDescent="0.25">
      <c r="A658" t="s">
        <v>1955</v>
      </c>
      <c r="B658" t="s">
        <v>1956</v>
      </c>
      <c r="C658" t="s">
        <v>1957</v>
      </c>
      <c r="D658" t="s">
        <v>1956</v>
      </c>
    </row>
    <row r="659" spans="1:4" x14ac:dyDescent="0.25">
      <c r="A659" t="s">
        <v>1958</v>
      </c>
      <c r="B659" t="s">
        <v>1959</v>
      </c>
      <c r="C659" t="s">
        <v>1960</v>
      </c>
      <c r="D659" t="s">
        <v>1959</v>
      </c>
    </row>
    <row r="660" spans="1:4" x14ac:dyDescent="0.25">
      <c r="A660" t="s">
        <v>1961</v>
      </c>
      <c r="B660" t="s">
        <v>1962</v>
      </c>
      <c r="C660" t="s">
        <v>1963</v>
      </c>
      <c r="D660" t="s">
        <v>1962</v>
      </c>
    </row>
    <row r="661" spans="1:4" x14ac:dyDescent="0.25">
      <c r="A661" t="s">
        <v>1964</v>
      </c>
      <c r="B661" t="s">
        <v>1965</v>
      </c>
      <c r="C661" t="s">
        <v>1966</v>
      </c>
      <c r="D661" t="s">
        <v>1965</v>
      </c>
    </row>
    <row r="662" spans="1:4" x14ac:dyDescent="0.25">
      <c r="A662" t="s">
        <v>1967</v>
      </c>
      <c r="B662" t="s">
        <v>1968</v>
      </c>
      <c r="C662" t="s">
        <v>1969</v>
      </c>
      <c r="D662" t="s">
        <v>1968</v>
      </c>
    </row>
    <row r="663" spans="1:4" x14ac:dyDescent="0.25">
      <c r="A663" t="s">
        <v>1970</v>
      </c>
      <c r="B663" t="s">
        <v>1971</v>
      </c>
      <c r="C663" t="s">
        <v>1972</v>
      </c>
      <c r="D663" t="s">
        <v>1971</v>
      </c>
    </row>
    <row r="664" spans="1:4" x14ac:dyDescent="0.25">
      <c r="A664" t="s">
        <v>1973</v>
      </c>
      <c r="B664" t="s">
        <v>1974</v>
      </c>
      <c r="C664" t="s">
        <v>1975</v>
      </c>
      <c r="D664" t="s">
        <v>1974</v>
      </c>
    </row>
    <row r="665" spans="1:4" x14ac:dyDescent="0.25">
      <c r="A665" t="s">
        <v>1976</v>
      </c>
      <c r="B665" t="s">
        <v>1977</v>
      </c>
      <c r="C665" t="s">
        <v>1978</v>
      </c>
      <c r="D665" t="s">
        <v>1977</v>
      </c>
    </row>
    <row r="666" spans="1:4" x14ac:dyDescent="0.25">
      <c r="A666" t="s">
        <v>1979</v>
      </c>
      <c r="B666" t="s">
        <v>1980</v>
      </c>
      <c r="C666" t="s">
        <v>1981</v>
      </c>
      <c r="D666" t="s">
        <v>1980</v>
      </c>
    </row>
    <row r="667" spans="1:4" x14ac:dyDescent="0.25">
      <c r="A667" t="s">
        <v>1982</v>
      </c>
      <c r="B667" t="s">
        <v>1983</v>
      </c>
      <c r="C667" t="s">
        <v>1984</v>
      </c>
      <c r="D667" t="s">
        <v>1983</v>
      </c>
    </row>
    <row r="668" spans="1:4" x14ac:dyDescent="0.25">
      <c r="A668" t="s">
        <v>1985</v>
      </c>
      <c r="B668" t="s">
        <v>1986</v>
      </c>
      <c r="C668" t="s">
        <v>1987</v>
      </c>
      <c r="D668" t="s">
        <v>1986</v>
      </c>
    </row>
    <row r="669" spans="1:4" x14ac:dyDescent="0.25">
      <c r="A669" t="s">
        <v>1988</v>
      </c>
      <c r="B669" t="s">
        <v>1989</v>
      </c>
      <c r="C669" t="s">
        <v>1990</v>
      </c>
      <c r="D669" t="s">
        <v>1989</v>
      </c>
    </row>
    <row r="670" spans="1:4" x14ac:dyDescent="0.25">
      <c r="A670" t="s">
        <v>1991</v>
      </c>
      <c r="B670" t="s">
        <v>1992</v>
      </c>
      <c r="C670" t="s">
        <v>1993</v>
      </c>
      <c r="D670" t="s">
        <v>1992</v>
      </c>
    </row>
    <row r="671" spans="1:4" x14ac:dyDescent="0.25">
      <c r="A671" t="s">
        <v>1994</v>
      </c>
      <c r="B671" t="s">
        <v>1995</v>
      </c>
      <c r="C671" t="s">
        <v>1996</v>
      </c>
      <c r="D671" t="s">
        <v>1995</v>
      </c>
    </row>
    <row r="672" spans="1:4" x14ac:dyDescent="0.25">
      <c r="A672" t="s">
        <v>1997</v>
      </c>
      <c r="B672" t="s">
        <v>1998</v>
      </c>
      <c r="C672" t="s">
        <v>1999</v>
      </c>
      <c r="D672" t="s">
        <v>1998</v>
      </c>
    </row>
    <row r="673" spans="1:4" x14ac:dyDescent="0.25">
      <c r="A673" t="s">
        <v>2000</v>
      </c>
      <c r="B673" t="s">
        <v>2001</v>
      </c>
      <c r="C673" t="s">
        <v>2002</v>
      </c>
      <c r="D673" t="s">
        <v>2001</v>
      </c>
    </row>
    <row r="674" spans="1:4" x14ac:dyDescent="0.25">
      <c r="A674" t="s">
        <v>2003</v>
      </c>
      <c r="B674" t="s">
        <v>2004</v>
      </c>
      <c r="C674" t="s">
        <v>2005</v>
      </c>
      <c r="D674" t="s">
        <v>2004</v>
      </c>
    </row>
    <row r="675" spans="1:4" x14ac:dyDescent="0.25">
      <c r="A675" t="s">
        <v>2006</v>
      </c>
      <c r="B675" t="s">
        <v>2007</v>
      </c>
      <c r="C675" t="s">
        <v>2008</v>
      </c>
      <c r="D675" t="s">
        <v>2007</v>
      </c>
    </row>
    <row r="676" spans="1:4" x14ac:dyDescent="0.25">
      <c r="A676" t="s">
        <v>2009</v>
      </c>
      <c r="B676" t="s">
        <v>2010</v>
      </c>
      <c r="C676" t="s">
        <v>2011</v>
      </c>
      <c r="D676" t="s">
        <v>2010</v>
      </c>
    </row>
    <row r="677" spans="1:4" x14ac:dyDescent="0.25">
      <c r="A677" t="s">
        <v>2012</v>
      </c>
      <c r="B677" t="s">
        <v>2013</v>
      </c>
      <c r="C677" t="s">
        <v>2014</v>
      </c>
      <c r="D677" t="s">
        <v>2013</v>
      </c>
    </row>
    <row r="678" spans="1:4" x14ac:dyDescent="0.25">
      <c r="A678" t="s">
        <v>2015</v>
      </c>
      <c r="B678" t="s">
        <v>2016</v>
      </c>
      <c r="C678" t="s">
        <v>2017</v>
      </c>
      <c r="D678" t="s">
        <v>2016</v>
      </c>
    </row>
    <row r="679" spans="1:4" x14ac:dyDescent="0.25">
      <c r="A679" t="s">
        <v>2018</v>
      </c>
      <c r="B679" t="s">
        <v>2019</v>
      </c>
      <c r="C679" t="s">
        <v>2020</v>
      </c>
      <c r="D679" t="s">
        <v>2019</v>
      </c>
    </row>
    <row r="680" spans="1:4" x14ac:dyDescent="0.25">
      <c r="A680" t="s">
        <v>2021</v>
      </c>
      <c r="B680" t="s">
        <v>2022</v>
      </c>
      <c r="C680" t="s">
        <v>2023</v>
      </c>
      <c r="D680" t="s">
        <v>2022</v>
      </c>
    </row>
    <row r="681" spans="1:4" x14ac:dyDescent="0.25">
      <c r="A681" t="s">
        <v>2024</v>
      </c>
      <c r="B681" t="s">
        <v>2025</v>
      </c>
      <c r="C681" t="s">
        <v>2026</v>
      </c>
      <c r="D681" t="s">
        <v>2025</v>
      </c>
    </row>
    <row r="682" spans="1:4" x14ac:dyDescent="0.25">
      <c r="A682" t="s">
        <v>2027</v>
      </c>
      <c r="B682" t="s">
        <v>2028</v>
      </c>
      <c r="C682" t="s">
        <v>2029</v>
      </c>
      <c r="D682" t="s">
        <v>2028</v>
      </c>
    </row>
    <row r="683" spans="1:4" x14ac:dyDescent="0.25">
      <c r="A683" t="s">
        <v>2030</v>
      </c>
      <c r="B683" t="s">
        <v>2031</v>
      </c>
      <c r="C683" t="s">
        <v>2032</v>
      </c>
      <c r="D683" t="s">
        <v>2031</v>
      </c>
    </row>
    <row r="684" spans="1:4" x14ac:dyDescent="0.25">
      <c r="A684" t="s">
        <v>2033</v>
      </c>
      <c r="B684" t="s">
        <v>2034</v>
      </c>
      <c r="C684" t="s">
        <v>2035</v>
      </c>
      <c r="D684" t="s">
        <v>2034</v>
      </c>
    </row>
    <row r="685" spans="1:4" x14ac:dyDescent="0.25">
      <c r="A685" t="s">
        <v>2036</v>
      </c>
      <c r="B685" t="s">
        <v>2037</v>
      </c>
      <c r="C685" t="s">
        <v>2038</v>
      </c>
      <c r="D685" t="s">
        <v>2037</v>
      </c>
    </row>
    <row r="686" spans="1:4" x14ac:dyDescent="0.25">
      <c r="A686" t="s">
        <v>2039</v>
      </c>
      <c r="B686" t="s">
        <v>2040</v>
      </c>
      <c r="C686" t="s">
        <v>2041</v>
      </c>
      <c r="D686" t="s">
        <v>2040</v>
      </c>
    </row>
    <row r="687" spans="1:4" x14ac:dyDescent="0.25">
      <c r="A687" t="s">
        <v>2042</v>
      </c>
      <c r="B687" t="s">
        <v>2043</v>
      </c>
      <c r="C687" t="s">
        <v>2044</v>
      </c>
      <c r="D687" t="s">
        <v>2043</v>
      </c>
    </row>
    <row r="688" spans="1:4" x14ac:dyDescent="0.25">
      <c r="A688" t="s">
        <v>2045</v>
      </c>
      <c r="B688" t="s">
        <v>2046</v>
      </c>
      <c r="C688" t="s">
        <v>2047</v>
      </c>
      <c r="D688" t="s">
        <v>2046</v>
      </c>
    </row>
    <row r="689" spans="1:4" x14ac:dyDescent="0.25">
      <c r="A689" t="s">
        <v>2048</v>
      </c>
      <c r="B689" t="s">
        <v>2049</v>
      </c>
      <c r="C689" t="s">
        <v>2050</v>
      </c>
      <c r="D689" t="s">
        <v>2049</v>
      </c>
    </row>
    <row r="690" spans="1:4" x14ac:dyDescent="0.25">
      <c r="A690" t="s">
        <v>2051</v>
      </c>
      <c r="B690" t="s">
        <v>2052</v>
      </c>
      <c r="C690" t="s">
        <v>2053</v>
      </c>
      <c r="D690" t="s">
        <v>2052</v>
      </c>
    </row>
    <row r="691" spans="1:4" x14ac:dyDescent="0.25">
      <c r="A691" t="s">
        <v>2054</v>
      </c>
      <c r="B691" t="s">
        <v>2055</v>
      </c>
      <c r="C691" t="s">
        <v>2056</v>
      </c>
      <c r="D691" t="s">
        <v>2055</v>
      </c>
    </row>
    <row r="692" spans="1:4" x14ac:dyDescent="0.25">
      <c r="A692" t="s">
        <v>2057</v>
      </c>
      <c r="B692" t="s">
        <v>2058</v>
      </c>
      <c r="C692" t="s">
        <v>2059</v>
      </c>
      <c r="D692" t="s">
        <v>2058</v>
      </c>
    </row>
    <row r="693" spans="1:4" x14ac:dyDescent="0.25">
      <c r="A693" t="s">
        <v>2060</v>
      </c>
      <c r="B693" t="s">
        <v>2061</v>
      </c>
      <c r="C693" t="s">
        <v>2062</v>
      </c>
      <c r="D693" t="s">
        <v>2061</v>
      </c>
    </row>
    <row r="694" spans="1:4" x14ac:dyDescent="0.25">
      <c r="A694" t="s">
        <v>2063</v>
      </c>
      <c r="B694" t="s">
        <v>2064</v>
      </c>
      <c r="C694" t="s">
        <v>2065</v>
      </c>
      <c r="D694" t="s">
        <v>2064</v>
      </c>
    </row>
    <row r="695" spans="1:4" x14ac:dyDescent="0.25">
      <c r="A695" t="s">
        <v>2066</v>
      </c>
      <c r="B695" t="s">
        <v>2067</v>
      </c>
      <c r="C695" t="s">
        <v>2068</v>
      </c>
      <c r="D695" t="s">
        <v>2067</v>
      </c>
    </row>
    <row r="696" spans="1:4" x14ac:dyDescent="0.25">
      <c r="A696" t="s">
        <v>2069</v>
      </c>
      <c r="B696" t="s">
        <v>2070</v>
      </c>
      <c r="C696" t="s">
        <v>2071</v>
      </c>
      <c r="D696" t="s">
        <v>2070</v>
      </c>
    </row>
    <row r="697" spans="1:4" x14ac:dyDescent="0.25">
      <c r="A697" t="s">
        <v>2072</v>
      </c>
      <c r="B697" t="s">
        <v>2073</v>
      </c>
      <c r="C697" t="s">
        <v>2074</v>
      </c>
      <c r="D697" t="s">
        <v>2073</v>
      </c>
    </row>
    <row r="698" spans="1:4" x14ac:dyDescent="0.25">
      <c r="A698" t="s">
        <v>2075</v>
      </c>
      <c r="B698" t="s">
        <v>2076</v>
      </c>
      <c r="C698" t="s">
        <v>2077</v>
      </c>
      <c r="D698" t="s">
        <v>2076</v>
      </c>
    </row>
    <row r="699" spans="1:4" x14ac:dyDescent="0.25">
      <c r="A699" t="s">
        <v>2078</v>
      </c>
      <c r="B699" t="s">
        <v>2079</v>
      </c>
      <c r="C699" t="s">
        <v>2080</v>
      </c>
      <c r="D699" t="s">
        <v>2079</v>
      </c>
    </row>
    <row r="700" spans="1:4" x14ac:dyDescent="0.25">
      <c r="A700" t="s">
        <v>2081</v>
      </c>
      <c r="B700" t="s">
        <v>2082</v>
      </c>
      <c r="C700" t="s">
        <v>2083</v>
      </c>
      <c r="D700" t="s">
        <v>2082</v>
      </c>
    </row>
    <row r="701" spans="1:4" x14ac:dyDescent="0.25">
      <c r="A701" t="s">
        <v>2084</v>
      </c>
      <c r="B701" t="s">
        <v>2085</v>
      </c>
      <c r="C701" t="s">
        <v>2086</v>
      </c>
      <c r="D701" t="s">
        <v>2085</v>
      </c>
    </row>
    <row r="702" spans="1:4" x14ac:dyDescent="0.25">
      <c r="A702" t="s">
        <v>2087</v>
      </c>
      <c r="B702" t="s">
        <v>2088</v>
      </c>
      <c r="C702" t="s">
        <v>2089</v>
      </c>
      <c r="D702" t="s">
        <v>2088</v>
      </c>
    </row>
    <row r="703" spans="1:4" x14ac:dyDescent="0.25">
      <c r="A703" t="s">
        <v>2090</v>
      </c>
      <c r="B703" t="s">
        <v>2091</v>
      </c>
      <c r="C703" t="s">
        <v>2092</v>
      </c>
      <c r="D703" t="s">
        <v>2091</v>
      </c>
    </row>
    <row r="704" spans="1:4" x14ac:dyDescent="0.25">
      <c r="A704" t="s">
        <v>2093</v>
      </c>
      <c r="B704" t="s">
        <v>2094</v>
      </c>
      <c r="C704" t="s">
        <v>2095</v>
      </c>
      <c r="D704" t="s">
        <v>2094</v>
      </c>
    </row>
    <row r="705" spans="1:4" x14ac:dyDescent="0.25">
      <c r="A705" t="s">
        <v>2096</v>
      </c>
      <c r="B705" t="s">
        <v>2097</v>
      </c>
      <c r="C705" t="s">
        <v>2098</v>
      </c>
      <c r="D705" t="s">
        <v>2097</v>
      </c>
    </row>
    <row r="706" spans="1:4" x14ac:dyDescent="0.25">
      <c r="A706" t="s">
        <v>2099</v>
      </c>
      <c r="B706" t="s">
        <v>2100</v>
      </c>
      <c r="C706" t="s">
        <v>2101</v>
      </c>
      <c r="D706" t="s">
        <v>2100</v>
      </c>
    </row>
    <row r="707" spans="1:4" x14ac:dyDescent="0.25">
      <c r="A707" t="s">
        <v>2102</v>
      </c>
      <c r="B707" t="s">
        <v>2103</v>
      </c>
      <c r="C707" t="s">
        <v>2104</v>
      </c>
      <c r="D707" t="s">
        <v>2103</v>
      </c>
    </row>
    <row r="708" spans="1:4" x14ac:dyDescent="0.25">
      <c r="A708" t="s">
        <v>2105</v>
      </c>
      <c r="B708" t="s">
        <v>2106</v>
      </c>
      <c r="C708" t="s">
        <v>2107</v>
      </c>
      <c r="D708" t="s">
        <v>2106</v>
      </c>
    </row>
    <row r="709" spans="1:4" x14ac:dyDescent="0.25">
      <c r="A709" t="s">
        <v>2108</v>
      </c>
      <c r="B709" t="s">
        <v>2109</v>
      </c>
      <c r="C709" t="s">
        <v>2110</v>
      </c>
      <c r="D709" t="s">
        <v>2109</v>
      </c>
    </row>
    <row r="710" spans="1:4" x14ac:dyDescent="0.25">
      <c r="A710" t="s">
        <v>2111</v>
      </c>
      <c r="B710" t="s">
        <v>2112</v>
      </c>
      <c r="C710" t="s">
        <v>2113</v>
      </c>
      <c r="D710" t="s">
        <v>2112</v>
      </c>
    </row>
    <row r="711" spans="1:4" x14ac:dyDescent="0.25">
      <c r="A711" t="s">
        <v>2114</v>
      </c>
      <c r="B711" t="s">
        <v>2115</v>
      </c>
      <c r="C711" t="s">
        <v>2116</v>
      </c>
      <c r="D711" t="s">
        <v>2115</v>
      </c>
    </row>
    <row r="712" spans="1:4" x14ac:dyDescent="0.25">
      <c r="A712" t="s">
        <v>2117</v>
      </c>
      <c r="B712" t="s">
        <v>2118</v>
      </c>
      <c r="C712" t="s">
        <v>2119</v>
      </c>
      <c r="D712" t="s">
        <v>2118</v>
      </c>
    </row>
    <row r="713" spans="1:4" x14ac:dyDescent="0.25">
      <c r="A713" t="s">
        <v>2120</v>
      </c>
      <c r="B713" t="s">
        <v>2121</v>
      </c>
      <c r="C713" t="s">
        <v>2122</v>
      </c>
      <c r="D713" t="s">
        <v>2121</v>
      </c>
    </row>
    <row r="714" spans="1:4" x14ac:dyDescent="0.25">
      <c r="A714" t="s">
        <v>2123</v>
      </c>
      <c r="B714" t="s">
        <v>2124</v>
      </c>
      <c r="C714" t="s">
        <v>2125</v>
      </c>
      <c r="D714" t="s">
        <v>2124</v>
      </c>
    </row>
    <row r="715" spans="1:4" x14ac:dyDescent="0.25">
      <c r="A715" t="s">
        <v>2126</v>
      </c>
      <c r="B715" t="s">
        <v>2127</v>
      </c>
      <c r="C715" t="s">
        <v>2128</v>
      </c>
      <c r="D715" t="s">
        <v>2127</v>
      </c>
    </row>
    <row r="716" spans="1:4" x14ac:dyDescent="0.25">
      <c r="A716" t="s">
        <v>2129</v>
      </c>
      <c r="B716" t="s">
        <v>2130</v>
      </c>
      <c r="C716" t="s">
        <v>2131</v>
      </c>
      <c r="D716" t="s">
        <v>2130</v>
      </c>
    </row>
    <row r="717" spans="1:4" x14ac:dyDescent="0.25">
      <c r="A717" t="s">
        <v>2132</v>
      </c>
      <c r="B717" t="s">
        <v>2133</v>
      </c>
      <c r="C717" t="s">
        <v>2134</v>
      </c>
      <c r="D717" t="s">
        <v>2133</v>
      </c>
    </row>
    <row r="718" spans="1:4" x14ac:dyDescent="0.25">
      <c r="A718" t="s">
        <v>2135</v>
      </c>
      <c r="B718" t="s">
        <v>2136</v>
      </c>
      <c r="C718" t="s">
        <v>2137</v>
      </c>
      <c r="D718" t="s">
        <v>2136</v>
      </c>
    </row>
    <row r="719" spans="1:4" x14ac:dyDescent="0.25">
      <c r="A719" t="s">
        <v>2138</v>
      </c>
      <c r="B719" t="s">
        <v>2139</v>
      </c>
      <c r="C719" t="s">
        <v>2140</v>
      </c>
      <c r="D719" t="s">
        <v>2139</v>
      </c>
    </row>
    <row r="720" spans="1:4" x14ac:dyDescent="0.25">
      <c r="A720" t="s">
        <v>2141</v>
      </c>
      <c r="B720" t="s">
        <v>2142</v>
      </c>
      <c r="C720" t="s">
        <v>2143</v>
      </c>
      <c r="D720" t="s">
        <v>2142</v>
      </c>
    </row>
    <row r="721" spans="1:4" x14ac:dyDescent="0.25">
      <c r="A721" t="s">
        <v>2144</v>
      </c>
      <c r="B721" t="s">
        <v>2145</v>
      </c>
      <c r="C721" t="s">
        <v>2146</v>
      </c>
      <c r="D721" t="s">
        <v>2145</v>
      </c>
    </row>
    <row r="722" spans="1:4" x14ac:dyDescent="0.25">
      <c r="A722" t="s">
        <v>2147</v>
      </c>
      <c r="B722" t="s">
        <v>2148</v>
      </c>
      <c r="C722" t="s">
        <v>2149</v>
      </c>
      <c r="D722" t="s">
        <v>2148</v>
      </c>
    </row>
    <row r="723" spans="1:4" x14ac:dyDescent="0.25">
      <c r="A723" t="s">
        <v>2150</v>
      </c>
      <c r="B723" t="s">
        <v>2151</v>
      </c>
      <c r="C723" t="s">
        <v>2152</v>
      </c>
      <c r="D723" t="s">
        <v>2151</v>
      </c>
    </row>
    <row r="724" spans="1:4" x14ac:dyDescent="0.25">
      <c r="A724" t="s">
        <v>2153</v>
      </c>
      <c r="B724" t="s">
        <v>2154</v>
      </c>
      <c r="C724" t="s">
        <v>2155</v>
      </c>
      <c r="D724" t="s">
        <v>2154</v>
      </c>
    </row>
    <row r="725" spans="1:4" x14ac:dyDescent="0.25">
      <c r="A725" t="s">
        <v>2156</v>
      </c>
      <c r="B725" t="s">
        <v>2157</v>
      </c>
      <c r="C725" t="s">
        <v>2158</v>
      </c>
      <c r="D725" t="s">
        <v>2157</v>
      </c>
    </row>
    <row r="726" spans="1:4" x14ac:dyDescent="0.25">
      <c r="A726" t="s">
        <v>2159</v>
      </c>
      <c r="B726" t="s">
        <v>2160</v>
      </c>
      <c r="C726" t="s">
        <v>2161</v>
      </c>
      <c r="D726" t="s">
        <v>2160</v>
      </c>
    </row>
    <row r="727" spans="1:4" x14ac:dyDescent="0.25">
      <c r="A727" t="s">
        <v>2162</v>
      </c>
      <c r="B727" t="s">
        <v>2163</v>
      </c>
      <c r="C727" t="s">
        <v>2164</v>
      </c>
      <c r="D727" t="s">
        <v>2163</v>
      </c>
    </row>
    <row r="728" spans="1:4" x14ac:dyDescent="0.25">
      <c r="A728" t="s">
        <v>2165</v>
      </c>
      <c r="B728" t="s">
        <v>2166</v>
      </c>
      <c r="C728" t="s">
        <v>2167</v>
      </c>
      <c r="D728" t="s">
        <v>2166</v>
      </c>
    </row>
    <row r="729" spans="1:4" x14ac:dyDescent="0.25">
      <c r="A729" t="s">
        <v>2168</v>
      </c>
      <c r="B729" t="s">
        <v>2169</v>
      </c>
      <c r="C729" t="s">
        <v>2170</v>
      </c>
      <c r="D729" t="s">
        <v>2169</v>
      </c>
    </row>
    <row r="730" spans="1:4" x14ac:dyDescent="0.25">
      <c r="A730" t="s">
        <v>2171</v>
      </c>
      <c r="B730" t="s">
        <v>2172</v>
      </c>
      <c r="C730" t="s">
        <v>2173</v>
      </c>
      <c r="D730" t="s">
        <v>2172</v>
      </c>
    </row>
    <row r="731" spans="1:4" x14ac:dyDescent="0.25">
      <c r="A731" t="s">
        <v>2174</v>
      </c>
      <c r="B731" t="s">
        <v>2175</v>
      </c>
      <c r="C731" t="s">
        <v>2176</v>
      </c>
      <c r="D731" t="s">
        <v>2175</v>
      </c>
    </row>
    <row r="732" spans="1:4" x14ac:dyDescent="0.25">
      <c r="A732" t="s">
        <v>2177</v>
      </c>
      <c r="B732" t="s">
        <v>2178</v>
      </c>
      <c r="C732" t="s">
        <v>2179</v>
      </c>
      <c r="D732" t="s">
        <v>2178</v>
      </c>
    </row>
    <row r="733" spans="1:4" x14ac:dyDescent="0.25">
      <c r="A733" t="s">
        <v>2180</v>
      </c>
      <c r="B733" t="s">
        <v>2181</v>
      </c>
      <c r="C733" t="s">
        <v>2182</v>
      </c>
      <c r="D733" t="s">
        <v>2181</v>
      </c>
    </row>
    <row r="734" spans="1:4" x14ac:dyDescent="0.25">
      <c r="A734" t="s">
        <v>2183</v>
      </c>
      <c r="B734" t="s">
        <v>2184</v>
      </c>
      <c r="C734" t="s">
        <v>2185</v>
      </c>
      <c r="D734" t="s">
        <v>2184</v>
      </c>
    </row>
    <row r="735" spans="1:4" x14ac:dyDescent="0.25">
      <c r="A735" t="s">
        <v>2186</v>
      </c>
      <c r="B735" t="s">
        <v>2187</v>
      </c>
      <c r="C735" t="s">
        <v>2188</v>
      </c>
      <c r="D735" t="s">
        <v>2187</v>
      </c>
    </row>
    <row r="736" spans="1:4" x14ac:dyDescent="0.25">
      <c r="A736" t="s">
        <v>2189</v>
      </c>
      <c r="B736" t="s">
        <v>2190</v>
      </c>
      <c r="C736" t="s">
        <v>2191</v>
      </c>
      <c r="D736" t="s">
        <v>2190</v>
      </c>
    </row>
    <row r="737" spans="1:4" x14ac:dyDescent="0.25">
      <c r="A737" t="s">
        <v>2192</v>
      </c>
      <c r="B737" t="s">
        <v>2193</v>
      </c>
      <c r="C737" t="s">
        <v>2194</v>
      </c>
      <c r="D737" t="s">
        <v>2193</v>
      </c>
    </row>
    <row r="738" spans="1:4" x14ac:dyDescent="0.25">
      <c r="A738" t="s">
        <v>2195</v>
      </c>
      <c r="B738" t="s">
        <v>2196</v>
      </c>
      <c r="C738" t="s">
        <v>2197</v>
      </c>
      <c r="D738" t="s">
        <v>2196</v>
      </c>
    </row>
    <row r="739" spans="1:4" x14ac:dyDescent="0.25">
      <c r="A739" t="s">
        <v>2198</v>
      </c>
      <c r="B739" t="s">
        <v>2199</v>
      </c>
      <c r="C739" t="s">
        <v>2200</v>
      </c>
      <c r="D739" t="s">
        <v>2199</v>
      </c>
    </row>
    <row r="740" spans="1:4" x14ac:dyDescent="0.25">
      <c r="A740" t="s">
        <v>2201</v>
      </c>
      <c r="B740" t="s">
        <v>2202</v>
      </c>
      <c r="C740" t="s">
        <v>2203</v>
      </c>
      <c r="D740" t="s">
        <v>2202</v>
      </c>
    </row>
    <row r="741" spans="1:4" x14ac:dyDescent="0.25">
      <c r="A741" t="s">
        <v>2204</v>
      </c>
      <c r="B741" t="s">
        <v>2205</v>
      </c>
      <c r="C741" t="s">
        <v>2206</v>
      </c>
      <c r="D741" t="s">
        <v>2205</v>
      </c>
    </row>
    <row r="742" spans="1:4" x14ac:dyDescent="0.25">
      <c r="A742" t="s">
        <v>2207</v>
      </c>
      <c r="B742" t="s">
        <v>2208</v>
      </c>
      <c r="C742" t="s">
        <v>2209</v>
      </c>
      <c r="D742" t="s">
        <v>2208</v>
      </c>
    </row>
    <row r="743" spans="1:4" x14ac:dyDescent="0.25">
      <c r="A743" t="s">
        <v>2210</v>
      </c>
      <c r="B743" t="s">
        <v>2211</v>
      </c>
      <c r="C743" t="s">
        <v>2212</v>
      </c>
      <c r="D743" t="s">
        <v>2211</v>
      </c>
    </row>
    <row r="744" spans="1:4" x14ac:dyDescent="0.25">
      <c r="A744" t="s">
        <v>2213</v>
      </c>
      <c r="B744" t="s">
        <v>2214</v>
      </c>
      <c r="C744" t="s">
        <v>2215</v>
      </c>
      <c r="D744" t="s">
        <v>2214</v>
      </c>
    </row>
    <row r="745" spans="1:4" x14ac:dyDescent="0.25">
      <c r="A745" t="s">
        <v>2216</v>
      </c>
      <c r="B745" t="s">
        <v>2217</v>
      </c>
      <c r="C745" t="s">
        <v>2218</v>
      </c>
      <c r="D745" t="s">
        <v>2217</v>
      </c>
    </row>
    <row r="746" spans="1:4" x14ac:dyDescent="0.25">
      <c r="A746" t="s">
        <v>2219</v>
      </c>
      <c r="B746" t="s">
        <v>2220</v>
      </c>
      <c r="C746" t="s">
        <v>2221</v>
      </c>
      <c r="D746" t="s">
        <v>2220</v>
      </c>
    </row>
    <row r="747" spans="1:4" x14ac:dyDescent="0.25">
      <c r="A747" t="s">
        <v>2222</v>
      </c>
      <c r="B747" t="s">
        <v>2223</v>
      </c>
      <c r="C747" t="s">
        <v>2224</v>
      </c>
      <c r="D747" t="s">
        <v>2223</v>
      </c>
    </row>
    <row r="748" spans="1:4" x14ac:dyDescent="0.25">
      <c r="A748" t="s">
        <v>2225</v>
      </c>
      <c r="B748" t="s">
        <v>2226</v>
      </c>
      <c r="C748" t="s">
        <v>2227</v>
      </c>
      <c r="D748" t="s">
        <v>2226</v>
      </c>
    </row>
    <row r="749" spans="1:4" x14ac:dyDescent="0.25">
      <c r="A749" t="s">
        <v>2228</v>
      </c>
      <c r="B749" t="s">
        <v>2229</v>
      </c>
      <c r="C749" t="s">
        <v>2230</v>
      </c>
      <c r="D749" t="s">
        <v>2229</v>
      </c>
    </row>
    <row r="750" spans="1:4" x14ac:dyDescent="0.25">
      <c r="A750" t="s">
        <v>2231</v>
      </c>
      <c r="B750" t="s">
        <v>2232</v>
      </c>
      <c r="C750" t="s">
        <v>2233</v>
      </c>
      <c r="D750" t="s">
        <v>2232</v>
      </c>
    </row>
    <row r="751" spans="1:4" x14ac:dyDescent="0.25">
      <c r="A751" t="s">
        <v>2234</v>
      </c>
      <c r="B751" t="s">
        <v>2235</v>
      </c>
      <c r="C751" t="s">
        <v>2236</v>
      </c>
      <c r="D751" t="s">
        <v>2235</v>
      </c>
    </row>
    <row r="752" spans="1:4" x14ac:dyDescent="0.25">
      <c r="A752" t="s">
        <v>2237</v>
      </c>
      <c r="B752" t="s">
        <v>2238</v>
      </c>
      <c r="C752" t="s">
        <v>2239</v>
      </c>
      <c r="D752" t="s">
        <v>2238</v>
      </c>
    </row>
    <row r="753" spans="1:4" x14ac:dyDescent="0.25">
      <c r="A753" t="s">
        <v>2240</v>
      </c>
      <c r="B753" t="s">
        <v>2241</v>
      </c>
      <c r="C753" t="s">
        <v>2242</v>
      </c>
      <c r="D753" t="s">
        <v>2241</v>
      </c>
    </row>
    <row r="754" spans="1:4" x14ac:dyDescent="0.25">
      <c r="A754" t="s">
        <v>2243</v>
      </c>
      <c r="B754" t="s">
        <v>2244</v>
      </c>
      <c r="C754" t="s">
        <v>2245</v>
      </c>
      <c r="D754" t="s">
        <v>2244</v>
      </c>
    </row>
    <row r="755" spans="1:4" x14ac:dyDescent="0.25">
      <c r="A755" t="s">
        <v>2246</v>
      </c>
      <c r="B755" t="s">
        <v>2247</v>
      </c>
      <c r="C755" t="s">
        <v>2248</v>
      </c>
      <c r="D755" t="s">
        <v>2247</v>
      </c>
    </row>
    <row r="756" spans="1:4" x14ac:dyDescent="0.25">
      <c r="A756" t="s">
        <v>2249</v>
      </c>
      <c r="B756" t="s">
        <v>2250</v>
      </c>
      <c r="C756" t="s">
        <v>2251</v>
      </c>
      <c r="D756" t="s">
        <v>2250</v>
      </c>
    </row>
    <row r="757" spans="1:4" x14ac:dyDescent="0.25">
      <c r="A757" t="s">
        <v>2252</v>
      </c>
      <c r="B757" t="s">
        <v>2253</v>
      </c>
      <c r="C757" t="s">
        <v>2254</v>
      </c>
      <c r="D757" t="s">
        <v>2253</v>
      </c>
    </row>
    <row r="758" spans="1:4" x14ac:dyDescent="0.25">
      <c r="A758" t="s">
        <v>2255</v>
      </c>
      <c r="B758" t="s">
        <v>2256</v>
      </c>
      <c r="C758" t="s">
        <v>2257</v>
      </c>
      <c r="D758" t="s">
        <v>2256</v>
      </c>
    </row>
    <row r="759" spans="1:4" x14ac:dyDescent="0.25">
      <c r="A759" t="s">
        <v>2258</v>
      </c>
      <c r="B759" t="s">
        <v>2259</v>
      </c>
      <c r="C759" t="s">
        <v>2260</v>
      </c>
      <c r="D759" t="s">
        <v>2259</v>
      </c>
    </row>
    <row r="760" spans="1:4" x14ac:dyDescent="0.25">
      <c r="A760" t="s">
        <v>2261</v>
      </c>
      <c r="B760" t="s">
        <v>2262</v>
      </c>
      <c r="C760" t="s">
        <v>2263</v>
      </c>
      <c r="D760" t="s">
        <v>2262</v>
      </c>
    </row>
    <row r="761" spans="1:4" x14ac:dyDescent="0.25">
      <c r="A761" t="s">
        <v>2264</v>
      </c>
      <c r="B761" t="s">
        <v>2265</v>
      </c>
      <c r="C761" t="s">
        <v>2266</v>
      </c>
      <c r="D761" t="s">
        <v>2265</v>
      </c>
    </row>
    <row r="762" spans="1:4" x14ac:dyDescent="0.25">
      <c r="A762" t="s">
        <v>2267</v>
      </c>
      <c r="B762" t="s">
        <v>2268</v>
      </c>
      <c r="C762" t="s">
        <v>2269</v>
      </c>
      <c r="D762" t="s">
        <v>2268</v>
      </c>
    </row>
    <row r="763" spans="1:4" x14ac:dyDescent="0.25">
      <c r="A763" t="s">
        <v>2270</v>
      </c>
      <c r="B763" t="s">
        <v>2271</v>
      </c>
      <c r="C763" t="s">
        <v>2272</v>
      </c>
      <c r="D763" t="s">
        <v>2271</v>
      </c>
    </row>
    <row r="764" spans="1:4" x14ac:dyDescent="0.25">
      <c r="A764" t="s">
        <v>2273</v>
      </c>
      <c r="B764" t="s">
        <v>2274</v>
      </c>
      <c r="C764" t="s">
        <v>2275</v>
      </c>
      <c r="D764" t="s">
        <v>2274</v>
      </c>
    </row>
    <row r="765" spans="1:4" x14ac:dyDescent="0.25">
      <c r="A765" t="s">
        <v>2276</v>
      </c>
      <c r="B765" t="s">
        <v>2277</v>
      </c>
      <c r="C765" t="s">
        <v>2278</v>
      </c>
      <c r="D765" t="s">
        <v>2277</v>
      </c>
    </row>
    <row r="766" spans="1:4" x14ac:dyDescent="0.25">
      <c r="A766" t="s">
        <v>2279</v>
      </c>
      <c r="B766" t="s">
        <v>2280</v>
      </c>
      <c r="C766" t="s">
        <v>2281</v>
      </c>
      <c r="D766" t="s">
        <v>2280</v>
      </c>
    </row>
    <row r="767" spans="1:4" x14ac:dyDescent="0.25">
      <c r="A767" t="s">
        <v>2282</v>
      </c>
      <c r="B767" t="s">
        <v>2283</v>
      </c>
      <c r="C767" t="s">
        <v>2284</v>
      </c>
      <c r="D767" t="s">
        <v>2283</v>
      </c>
    </row>
    <row r="768" spans="1:4" x14ac:dyDescent="0.25">
      <c r="A768" t="s">
        <v>2285</v>
      </c>
      <c r="B768" t="s">
        <v>2286</v>
      </c>
      <c r="C768" t="s">
        <v>2287</v>
      </c>
      <c r="D768" t="s">
        <v>2286</v>
      </c>
    </row>
    <row r="769" spans="1:4" x14ac:dyDescent="0.25">
      <c r="A769" t="s">
        <v>2288</v>
      </c>
      <c r="B769" t="s">
        <v>2289</v>
      </c>
      <c r="C769" t="s">
        <v>2290</v>
      </c>
      <c r="D769" t="s">
        <v>2289</v>
      </c>
    </row>
    <row r="770" spans="1:4" x14ac:dyDescent="0.25">
      <c r="A770" t="s">
        <v>2291</v>
      </c>
      <c r="B770" t="s">
        <v>2292</v>
      </c>
      <c r="C770" t="s">
        <v>2293</v>
      </c>
      <c r="D770" t="s">
        <v>2292</v>
      </c>
    </row>
    <row r="771" spans="1:4" x14ac:dyDescent="0.25">
      <c r="A771" t="s">
        <v>2294</v>
      </c>
      <c r="B771" t="s">
        <v>2295</v>
      </c>
      <c r="C771" t="s">
        <v>2296</v>
      </c>
      <c r="D771" t="s">
        <v>2295</v>
      </c>
    </row>
    <row r="772" spans="1:4" x14ac:dyDescent="0.25">
      <c r="A772" t="s">
        <v>2297</v>
      </c>
      <c r="B772" t="s">
        <v>2298</v>
      </c>
      <c r="C772" t="s">
        <v>2299</v>
      </c>
      <c r="D772" t="s">
        <v>2298</v>
      </c>
    </row>
    <row r="773" spans="1:4" x14ac:dyDescent="0.25">
      <c r="A773" t="s">
        <v>2300</v>
      </c>
      <c r="B773" t="s">
        <v>2301</v>
      </c>
      <c r="C773" t="s">
        <v>2302</v>
      </c>
      <c r="D773" t="s">
        <v>2301</v>
      </c>
    </row>
    <row r="774" spans="1:4" x14ac:dyDescent="0.25">
      <c r="A774" t="s">
        <v>2303</v>
      </c>
      <c r="B774" t="s">
        <v>2304</v>
      </c>
      <c r="C774" t="s">
        <v>2305</v>
      </c>
      <c r="D774" t="s">
        <v>2304</v>
      </c>
    </row>
    <row r="775" spans="1:4" x14ac:dyDescent="0.25">
      <c r="A775" t="s">
        <v>2306</v>
      </c>
      <c r="B775" t="s">
        <v>2307</v>
      </c>
      <c r="C775" t="s">
        <v>2308</v>
      </c>
      <c r="D775" t="s">
        <v>2307</v>
      </c>
    </row>
    <row r="776" spans="1:4" x14ac:dyDescent="0.25">
      <c r="A776" t="s">
        <v>2309</v>
      </c>
      <c r="B776" t="s">
        <v>2310</v>
      </c>
      <c r="C776" t="s">
        <v>2311</v>
      </c>
      <c r="D776" t="s">
        <v>2310</v>
      </c>
    </row>
    <row r="777" spans="1:4" x14ac:dyDescent="0.25">
      <c r="A777" t="s">
        <v>2312</v>
      </c>
      <c r="B777" t="s">
        <v>2313</v>
      </c>
      <c r="C777" t="s">
        <v>2314</v>
      </c>
      <c r="D777" t="s">
        <v>2313</v>
      </c>
    </row>
    <row r="778" spans="1:4" x14ac:dyDescent="0.25">
      <c r="A778" t="s">
        <v>2315</v>
      </c>
      <c r="B778" t="s">
        <v>2316</v>
      </c>
      <c r="C778" t="s">
        <v>2317</v>
      </c>
      <c r="D778" t="s">
        <v>2316</v>
      </c>
    </row>
    <row r="779" spans="1:4" x14ac:dyDescent="0.25">
      <c r="A779" t="s">
        <v>2318</v>
      </c>
      <c r="B779" t="s">
        <v>2319</v>
      </c>
      <c r="C779" t="s">
        <v>2320</v>
      </c>
      <c r="D779" t="s">
        <v>2319</v>
      </c>
    </row>
    <row r="780" spans="1:4" x14ac:dyDescent="0.25">
      <c r="A780" t="s">
        <v>2321</v>
      </c>
      <c r="B780" t="s">
        <v>2322</v>
      </c>
      <c r="C780" t="s">
        <v>2323</v>
      </c>
      <c r="D780" t="s">
        <v>2322</v>
      </c>
    </row>
    <row r="781" spans="1:4" x14ac:dyDescent="0.25">
      <c r="A781" t="s">
        <v>2324</v>
      </c>
      <c r="B781" t="s">
        <v>2325</v>
      </c>
      <c r="C781" t="s">
        <v>2326</v>
      </c>
      <c r="D781" t="s">
        <v>2325</v>
      </c>
    </row>
    <row r="782" spans="1:4" x14ac:dyDescent="0.25">
      <c r="A782" t="s">
        <v>2327</v>
      </c>
      <c r="B782" t="s">
        <v>2328</v>
      </c>
      <c r="C782" t="s">
        <v>2329</v>
      </c>
      <c r="D782" t="s">
        <v>2328</v>
      </c>
    </row>
    <row r="783" spans="1:4" x14ac:dyDescent="0.25">
      <c r="A783" t="s">
        <v>2330</v>
      </c>
      <c r="B783" t="s">
        <v>2331</v>
      </c>
      <c r="C783" t="s">
        <v>2332</v>
      </c>
      <c r="D783" t="s">
        <v>2331</v>
      </c>
    </row>
    <row r="784" spans="1:4" x14ac:dyDescent="0.25">
      <c r="A784" t="s">
        <v>2333</v>
      </c>
      <c r="B784" t="s">
        <v>2334</v>
      </c>
      <c r="C784" t="s">
        <v>2335</v>
      </c>
      <c r="D784" t="s">
        <v>2334</v>
      </c>
    </row>
    <row r="785" spans="1:4" x14ac:dyDescent="0.25">
      <c r="A785" t="s">
        <v>2336</v>
      </c>
      <c r="B785" t="s">
        <v>2337</v>
      </c>
      <c r="C785" t="s">
        <v>2338</v>
      </c>
      <c r="D785" t="s">
        <v>2337</v>
      </c>
    </row>
    <row r="786" spans="1:4" x14ac:dyDescent="0.25">
      <c r="A786" t="s">
        <v>2339</v>
      </c>
      <c r="B786" t="s">
        <v>2340</v>
      </c>
      <c r="C786" t="s">
        <v>2341</v>
      </c>
      <c r="D786" t="s">
        <v>2340</v>
      </c>
    </row>
    <row r="787" spans="1:4" x14ac:dyDescent="0.25">
      <c r="A787" t="s">
        <v>2342</v>
      </c>
      <c r="B787" t="s">
        <v>2343</v>
      </c>
      <c r="C787" t="s">
        <v>2344</v>
      </c>
      <c r="D787" t="s">
        <v>2343</v>
      </c>
    </row>
    <row r="788" spans="1:4" x14ac:dyDescent="0.25">
      <c r="A788" t="s">
        <v>2345</v>
      </c>
      <c r="B788" t="s">
        <v>2346</v>
      </c>
      <c r="C788" t="s">
        <v>2347</v>
      </c>
      <c r="D788" t="s">
        <v>2346</v>
      </c>
    </row>
    <row r="789" spans="1:4" x14ac:dyDescent="0.25">
      <c r="A789" t="s">
        <v>2348</v>
      </c>
      <c r="B789" t="s">
        <v>2349</v>
      </c>
      <c r="C789" t="s">
        <v>2350</v>
      </c>
      <c r="D789" t="s">
        <v>2349</v>
      </c>
    </row>
    <row r="790" spans="1:4" x14ac:dyDescent="0.25">
      <c r="A790" t="s">
        <v>2351</v>
      </c>
      <c r="B790" t="s">
        <v>2352</v>
      </c>
      <c r="C790" t="s">
        <v>2353</v>
      </c>
      <c r="D790" t="s">
        <v>2352</v>
      </c>
    </row>
    <row r="791" spans="1:4" x14ac:dyDescent="0.25">
      <c r="A791" t="s">
        <v>2354</v>
      </c>
      <c r="B791" t="s">
        <v>2355</v>
      </c>
      <c r="C791" t="s">
        <v>2356</v>
      </c>
      <c r="D791" t="s">
        <v>2355</v>
      </c>
    </row>
    <row r="792" spans="1:4" x14ac:dyDescent="0.25">
      <c r="A792" t="s">
        <v>2357</v>
      </c>
      <c r="B792" t="s">
        <v>2358</v>
      </c>
      <c r="C792" t="s">
        <v>2359</v>
      </c>
      <c r="D792" t="s">
        <v>2358</v>
      </c>
    </row>
    <row r="793" spans="1:4" x14ac:dyDescent="0.25">
      <c r="A793" t="s">
        <v>2360</v>
      </c>
      <c r="B793" t="s">
        <v>2361</v>
      </c>
      <c r="C793" t="s">
        <v>2362</v>
      </c>
      <c r="D793" t="s">
        <v>2361</v>
      </c>
    </row>
    <row r="794" spans="1:4" x14ac:dyDescent="0.25">
      <c r="A794" t="s">
        <v>2363</v>
      </c>
      <c r="B794" t="s">
        <v>2364</v>
      </c>
      <c r="C794" t="s">
        <v>2365</v>
      </c>
      <c r="D794" t="s">
        <v>2364</v>
      </c>
    </row>
    <row r="795" spans="1:4" x14ac:dyDescent="0.25">
      <c r="A795" t="s">
        <v>2366</v>
      </c>
      <c r="B795" t="s">
        <v>2367</v>
      </c>
      <c r="C795" t="s">
        <v>2368</v>
      </c>
      <c r="D795" t="s">
        <v>2367</v>
      </c>
    </row>
    <row r="796" spans="1:4" x14ac:dyDescent="0.25">
      <c r="A796" t="s">
        <v>2369</v>
      </c>
      <c r="B796" t="s">
        <v>2370</v>
      </c>
      <c r="C796" t="s">
        <v>2371</v>
      </c>
      <c r="D796" t="s">
        <v>2370</v>
      </c>
    </row>
    <row r="797" spans="1:4" x14ac:dyDescent="0.25">
      <c r="A797" t="s">
        <v>2372</v>
      </c>
      <c r="B797" t="s">
        <v>2373</v>
      </c>
      <c r="C797" t="s">
        <v>2374</v>
      </c>
      <c r="D797" t="s">
        <v>2373</v>
      </c>
    </row>
    <row r="798" spans="1:4" x14ac:dyDescent="0.25">
      <c r="A798" t="s">
        <v>2375</v>
      </c>
      <c r="B798" t="s">
        <v>2376</v>
      </c>
      <c r="C798" t="s">
        <v>2377</v>
      </c>
      <c r="D798" t="s">
        <v>2376</v>
      </c>
    </row>
    <row r="799" spans="1:4" x14ac:dyDescent="0.25">
      <c r="A799" t="s">
        <v>2378</v>
      </c>
      <c r="B799" t="s">
        <v>2379</v>
      </c>
      <c r="C799" t="s">
        <v>2380</v>
      </c>
      <c r="D799" t="s">
        <v>2379</v>
      </c>
    </row>
    <row r="800" spans="1:4" x14ac:dyDescent="0.25">
      <c r="A800" t="s">
        <v>2381</v>
      </c>
      <c r="B800" t="s">
        <v>2382</v>
      </c>
      <c r="C800" t="s">
        <v>2383</v>
      </c>
      <c r="D800" t="s">
        <v>2382</v>
      </c>
    </row>
    <row r="801" spans="1:4" x14ac:dyDescent="0.25">
      <c r="A801" t="s">
        <v>2384</v>
      </c>
      <c r="B801" t="s">
        <v>2385</v>
      </c>
      <c r="C801" t="s">
        <v>2386</v>
      </c>
      <c r="D801" t="s">
        <v>2385</v>
      </c>
    </row>
    <row r="802" spans="1:4" x14ac:dyDescent="0.25">
      <c r="A802" t="s">
        <v>2387</v>
      </c>
      <c r="B802" t="s">
        <v>2388</v>
      </c>
      <c r="C802" t="s">
        <v>2389</v>
      </c>
      <c r="D802" t="s">
        <v>2388</v>
      </c>
    </row>
    <row r="803" spans="1:4" x14ac:dyDescent="0.25">
      <c r="A803" t="s">
        <v>2390</v>
      </c>
      <c r="B803" t="s">
        <v>2391</v>
      </c>
      <c r="C803" t="s">
        <v>2392</v>
      </c>
      <c r="D803" t="s">
        <v>2391</v>
      </c>
    </row>
    <row r="804" spans="1:4" x14ac:dyDescent="0.25">
      <c r="A804" t="s">
        <v>2393</v>
      </c>
      <c r="B804" t="s">
        <v>2394</v>
      </c>
      <c r="C804" t="s">
        <v>2395</v>
      </c>
      <c r="D804" t="s">
        <v>2394</v>
      </c>
    </row>
    <row r="805" spans="1:4" x14ac:dyDescent="0.25">
      <c r="A805" t="s">
        <v>2396</v>
      </c>
      <c r="B805" t="s">
        <v>2397</v>
      </c>
      <c r="C805" t="s">
        <v>2398</v>
      </c>
      <c r="D805" t="s">
        <v>2397</v>
      </c>
    </row>
    <row r="806" spans="1:4" x14ac:dyDescent="0.25">
      <c r="A806" t="s">
        <v>2399</v>
      </c>
      <c r="B806" t="s">
        <v>2400</v>
      </c>
      <c r="C806" t="s">
        <v>2401</v>
      </c>
      <c r="D806" t="s">
        <v>2400</v>
      </c>
    </row>
    <row r="807" spans="1:4" x14ac:dyDescent="0.25">
      <c r="A807" t="s">
        <v>2402</v>
      </c>
      <c r="B807" t="s">
        <v>2403</v>
      </c>
      <c r="C807" t="s">
        <v>2404</v>
      </c>
      <c r="D807" t="s">
        <v>2403</v>
      </c>
    </row>
    <row r="808" spans="1:4" x14ac:dyDescent="0.25">
      <c r="A808" t="s">
        <v>2405</v>
      </c>
      <c r="B808" t="s">
        <v>2406</v>
      </c>
      <c r="C808" t="s">
        <v>2407</v>
      </c>
      <c r="D808" t="s">
        <v>2406</v>
      </c>
    </row>
    <row r="809" spans="1:4" x14ac:dyDescent="0.25">
      <c r="A809" t="s">
        <v>2408</v>
      </c>
      <c r="B809" t="s">
        <v>2409</v>
      </c>
      <c r="C809" t="s">
        <v>2410</v>
      </c>
      <c r="D809" t="s">
        <v>2409</v>
      </c>
    </row>
    <row r="810" spans="1:4" x14ac:dyDescent="0.25">
      <c r="A810" t="s">
        <v>2411</v>
      </c>
      <c r="B810" t="s">
        <v>2412</v>
      </c>
      <c r="C810" t="s">
        <v>2413</v>
      </c>
      <c r="D810" t="s">
        <v>2412</v>
      </c>
    </row>
    <row r="811" spans="1:4" x14ac:dyDescent="0.25">
      <c r="A811" t="s">
        <v>2414</v>
      </c>
      <c r="B811" t="s">
        <v>2415</v>
      </c>
      <c r="C811" t="s">
        <v>2416</v>
      </c>
      <c r="D811" t="s">
        <v>2415</v>
      </c>
    </row>
    <row r="812" spans="1:4" x14ac:dyDescent="0.25">
      <c r="A812" t="s">
        <v>2417</v>
      </c>
      <c r="B812" t="s">
        <v>2418</v>
      </c>
      <c r="C812" t="s">
        <v>2419</v>
      </c>
      <c r="D812" t="s">
        <v>2418</v>
      </c>
    </row>
    <row r="813" spans="1:4" x14ac:dyDescent="0.25">
      <c r="A813" t="s">
        <v>2420</v>
      </c>
      <c r="B813" t="s">
        <v>2421</v>
      </c>
      <c r="C813" t="s">
        <v>2422</v>
      </c>
      <c r="D813" t="s">
        <v>2421</v>
      </c>
    </row>
    <row r="814" spans="1:4" x14ac:dyDescent="0.25">
      <c r="A814" t="s">
        <v>2423</v>
      </c>
      <c r="B814" t="s">
        <v>2424</v>
      </c>
      <c r="C814" t="s">
        <v>2425</v>
      </c>
      <c r="D814" t="s">
        <v>2424</v>
      </c>
    </row>
    <row r="815" spans="1:4" x14ac:dyDescent="0.25">
      <c r="A815" t="s">
        <v>2426</v>
      </c>
      <c r="B815" t="s">
        <v>2427</v>
      </c>
      <c r="C815" t="s">
        <v>2428</v>
      </c>
      <c r="D815" t="s">
        <v>2427</v>
      </c>
    </row>
    <row r="816" spans="1:4" x14ac:dyDescent="0.25">
      <c r="A816" t="s">
        <v>2429</v>
      </c>
      <c r="B816" t="s">
        <v>2430</v>
      </c>
      <c r="C816" t="s">
        <v>2431</v>
      </c>
      <c r="D816" t="s">
        <v>2430</v>
      </c>
    </row>
    <row r="817" spans="1:4" x14ac:dyDescent="0.25">
      <c r="A817" t="s">
        <v>2432</v>
      </c>
      <c r="B817" t="s">
        <v>2433</v>
      </c>
      <c r="C817" t="s">
        <v>2434</v>
      </c>
      <c r="D817" t="s">
        <v>2433</v>
      </c>
    </row>
    <row r="818" spans="1:4" x14ac:dyDescent="0.25">
      <c r="A818" t="s">
        <v>2435</v>
      </c>
      <c r="B818" t="s">
        <v>2436</v>
      </c>
      <c r="C818" t="s">
        <v>2437</v>
      </c>
      <c r="D818" t="s">
        <v>2436</v>
      </c>
    </row>
    <row r="819" spans="1:4" x14ac:dyDescent="0.25">
      <c r="A819" t="s">
        <v>2438</v>
      </c>
      <c r="B819" t="s">
        <v>2439</v>
      </c>
      <c r="C819" t="s">
        <v>2440</v>
      </c>
      <c r="D819" t="s">
        <v>2439</v>
      </c>
    </row>
    <row r="820" spans="1:4" x14ac:dyDescent="0.25">
      <c r="A820" t="s">
        <v>2441</v>
      </c>
      <c r="B820" t="s">
        <v>2442</v>
      </c>
      <c r="C820" t="s">
        <v>2443</v>
      </c>
      <c r="D820" t="s">
        <v>2442</v>
      </c>
    </row>
    <row r="821" spans="1:4" x14ac:dyDescent="0.25">
      <c r="A821" t="s">
        <v>2444</v>
      </c>
      <c r="B821" t="s">
        <v>2445</v>
      </c>
      <c r="C821" t="s">
        <v>2446</v>
      </c>
      <c r="D821" t="s">
        <v>2445</v>
      </c>
    </row>
    <row r="822" spans="1:4" x14ac:dyDescent="0.25">
      <c r="A822" t="s">
        <v>2447</v>
      </c>
      <c r="B822" t="s">
        <v>2448</v>
      </c>
      <c r="C822" t="s">
        <v>2449</v>
      </c>
      <c r="D822" t="s">
        <v>2448</v>
      </c>
    </row>
    <row r="823" spans="1:4" x14ac:dyDescent="0.25">
      <c r="A823" t="s">
        <v>2450</v>
      </c>
      <c r="B823" t="s">
        <v>2451</v>
      </c>
      <c r="C823" t="s">
        <v>2452</v>
      </c>
      <c r="D823" t="s">
        <v>2451</v>
      </c>
    </row>
    <row r="824" spans="1:4" x14ac:dyDescent="0.25">
      <c r="A824" t="s">
        <v>2453</v>
      </c>
      <c r="B824" t="s">
        <v>2454</v>
      </c>
      <c r="C824" t="s">
        <v>2455</v>
      </c>
      <c r="D824" t="s">
        <v>2454</v>
      </c>
    </row>
    <row r="825" spans="1:4" x14ac:dyDescent="0.25">
      <c r="A825" t="s">
        <v>2456</v>
      </c>
      <c r="B825" t="s">
        <v>2457</v>
      </c>
      <c r="C825" t="s">
        <v>2458</v>
      </c>
      <c r="D825" t="s">
        <v>2457</v>
      </c>
    </row>
    <row r="826" spans="1:4" x14ac:dyDescent="0.25">
      <c r="A826" t="s">
        <v>2459</v>
      </c>
      <c r="B826" t="s">
        <v>2460</v>
      </c>
      <c r="C826" t="s">
        <v>2461</v>
      </c>
      <c r="D826" t="s">
        <v>2460</v>
      </c>
    </row>
    <row r="827" spans="1:4" x14ac:dyDescent="0.25">
      <c r="A827" t="s">
        <v>2462</v>
      </c>
      <c r="B827" t="s">
        <v>2463</v>
      </c>
      <c r="C827" t="s">
        <v>2464</v>
      </c>
      <c r="D827" t="s">
        <v>2463</v>
      </c>
    </row>
    <row r="828" spans="1:4" x14ac:dyDescent="0.25">
      <c r="A828" t="s">
        <v>2465</v>
      </c>
      <c r="B828" t="s">
        <v>2466</v>
      </c>
      <c r="C828" t="s">
        <v>2467</v>
      </c>
      <c r="D828" t="s">
        <v>2466</v>
      </c>
    </row>
    <row r="829" spans="1:4" x14ac:dyDescent="0.25">
      <c r="A829" t="s">
        <v>2468</v>
      </c>
      <c r="B829" t="s">
        <v>2469</v>
      </c>
      <c r="C829" t="s">
        <v>2470</v>
      </c>
      <c r="D829" t="s">
        <v>2469</v>
      </c>
    </row>
    <row r="830" spans="1:4" x14ac:dyDescent="0.25">
      <c r="A830" t="s">
        <v>2471</v>
      </c>
      <c r="B830" t="s">
        <v>2472</v>
      </c>
      <c r="C830" t="s">
        <v>2473</v>
      </c>
      <c r="D830" t="s">
        <v>2472</v>
      </c>
    </row>
    <row r="831" spans="1:4" x14ac:dyDescent="0.25">
      <c r="A831" t="s">
        <v>2474</v>
      </c>
      <c r="B831" t="s">
        <v>2475</v>
      </c>
      <c r="C831" t="s">
        <v>2476</v>
      </c>
      <c r="D831" t="s">
        <v>2475</v>
      </c>
    </row>
    <row r="832" spans="1:4" x14ac:dyDescent="0.25">
      <c r="A832" t="s">
        <v>2477</v>
      </c>
      <c r="B832" t="s">
        <v>2478</v>
      </c>
      <c r="C832" t="s">
        <v>2479</v>
      </c>
      <c r="D832" t="s">
        <v>2478</v>
      </c>
    </row>
    <row r="833" spans="1:4" x14ac:dyDescent="0.25">
      <c r="A833" t="s">
        <v>2480</v>
      </c>
      <c r="B833" t="s">
        <v>2481</v>
      </c>
      <c r="C833" t="s">
        <v>2482</v>
      </c>
      <c r="D833" t="s">
        <v>2481</v>
      </c>
    </row>
    <row r="834" spans="1:4" x14ac:dyDescent="0.25">
      <c r="A834" t="s">
        <v>2483</v>
      </c>
      <c r="B834" t="s">
        <v>2484</v>
      </c>
      <c r="C834" t="s">
        <v>2485</v>
      </c>
      <c r="D834" t="s">
        <v>2484</v>
      </c>
    </row>
    <row r="835" spans="1:4" x14ac:dyDescent="0.25">
      <c r="A835" t="s">
        <v>2486</v>
      </c>
      <c r="B835" t="s">
        <v>2487</v>
      </c>
      <c r="C835" t="s">
        <v>2488</v>
      </c>
      <c r="D835" t="s">
        <v>2487</v>
      </c>
    </row>
    <row r="836" spans="1:4" x14ac:dyDescent="0.25">
      <c r="A836" t="s">
        <v>2489</v>
      </c>
      <c r="B836" t="s">
        <v>2490</v>
      </c>
      <c r="C836" t="s">
        <v>2491</v>
      </c>
      <c r="D836" t="s">
        <v>2490</v>
      </c>
    </row>
    <row r="837" spans="1:4" x14ac:dyDescent="0.25">
      <c r="A837" t="s">
        <v>2492</v>
      </c>
      <c r="B837" t="s">
        <v>2493</v>
      </c>
      <c r="C837" t="s">
        <v>2494</v>
      </c>
      <c r="D837" t="s">
        <v>2493</v>
      </c>
    </row>
    <row r="838" spans="1:4" x14ac:dyDescent="0.25">
      <c r="A838" t="s">
        <v>2495</v>
      </c>
      <c r="B838" t="s">
        <v>2496</v>
      </c>
      <c r="C838" t="s">
        <v>2497</v>
      </c>
      <c r="D838" t="s">
        <v>2496</v>
      </c>
    </row>
    <row r="839" spans="1:4" x14ac:dyDescent="0.25">
      <c r="A839" t="s">
        <v>2498</v>
      </c>
      <c r="B839" t="s">
        <v>2499</v>
      </c>
      <c r="C839" t="s">
        <v>2500</v>
      </c>
      <c r="D839" t="s">
        <v>2499</v>
      </c>
    </row>
    <row r="840" spans="1:4" x14ac:dyDescent="0.25">
      <c r="A840" t="s">
        <v>2501</v>
      </c>
      <c r="B840" t="s">
        <v>2502</v>
      </c>
      <c r="C840" t="s">
        <v>2503</v>
      </c>
      <c r="D840" t="s">
        <v>2502</v>
      </c>
    </row>
    <row r="841" spans="1:4" x14ac:dyDescent="0.25">
      <c r="A841" t="s">
        <v>2504</v>
      </c>
      <c r="B841" t="s">
        <v>2505</v>
      </c>
      <c r="C841" t="s">
        <v>2506</v>
      </c>
      <c r="D841" t="s">
        <v>2505</v>
      </c>
    </row>
    <row r="842" spans="1:4" x14ac:dyDescent="0.25">
      <c r="A842" t="s">
        <v>2507</v>
      </c>
      <c r="B842" t="s">
        <v>2508</v>
      </c>
      <c r="C842" t="s">
        <v>2509</v>
      </c>
      <c r="D842" t="s">
        <v>2508</v>
      </c>
    </row>
    <row r="843" spans="1:4" x14ac:dyDescent="0.25">
      <c r="A843" t="s">
        <v>2510</v>
      </c>
      <c r="B843" t="s">
        <v>2511</v>
      </c>
      <c r="C843" t="s">
        <v>2512</v>
      </c>
      <c r="D843" t="s">
        <v>2511</v>
      </c>
    </row>
    <row r="844" spans="1:4" x14ac:dyDescent="0.25">
      <c r="A844" t="s">
        <v>2513</v>
      </c>
      <c r="B844" t="s">
        <v>2514</v>
      </c>
      <c r="C844" t="s">
        <v>2515</v>
      </c>
      <c r="D844" t="s">
        <v>2514</v>
      </c>
    </row>
    <row r="845" spans="1:4" x14ac:dyDescent="0.25">
      <c r="A845" t="s">
        <v>2516</v>
      </c>
      <c r="B845" t="s">
        <v>2517</v>
      </c>
      <c r="C845" t="s">
        <v>2518</v>
      </c>
      <c r="D845" t="s">
        <v>2517</v>
      </c>
    </row>
    <row r="846" spans="1:4" x14ac:dyDescent="0.25">
      <c r="A846" t="s">
        <v>2519</v>
      </c>
      <c r="B846" t="s">
        <v>2520</v>
      </c>
      <c r="C846" t="s">
        <v>2521</v>
      </c>
      <c r="D846" t="s">
        <v>2520</v>
      </c>
    </row>
    <row r="847" spans="1:4" x14ac:dyDescent="0.25">
      <c r="A847" t="s">
        <v>2522</v>
      </c>
      <c r="B847" t="s">
        <v>2523</v>
      </c>
      <c r="C847" t="s">
        <v>2524</v>
      </c>
      <c r="D847" t="s">
        <v>2523</v>
      </c>
    </row>
    <row r="848" spans="1:4" x14ac:dyDescent="0.25">
      <c r="A848" t="s">
        <v>2525</v>
      </c>
      <c r="B848" t="s">
        <v>2526</v>
      </c>
      <c r="C848" t="s">
        <v>2527</v>
      </c>
      <c r="D848" t="s">
        <v>2526</v>
      </c>
    </row>
    <row r="849" spans="1:4" x14ac:dyDescent="0.25">
      <c r="A849" t="s">
        <v>2528</v>
      </c>
      <c r="B849" t="s">
        <v>2529</v>
      </c>
      <c r="C849" t="s">
        <v>2530</v>
      </c>
      <c r="D849" t="s">
        <v>2529</v>
      </c>
    </row>
    <row r="850" spans="1:4" x14ac:dyDescent="0.25">
      <c r="A850" t="s">
        <v>2531</v>
      </c>
      <c r="B850" t="s">
        <v>2532</v>
      </c>
      <c r="C850" t="s">
        <v>2533</v>
      </c>
      <c r="D850" t="s">
        <v>2532</v>
      </c>
    </row>
    <row r="851" spans="1:4" x14ac:dyDescent="0.25">
      <c r="A851" t="s">
        <v>2534</v>
      </c>
      <c r="B851" t="s">
        <v>2535</v>
      </c>
      <c r="C851" t="s">
        <v>2536</v>
      </c>
      <c r="D851" t="s">
        <v>2535</v>
      </c>
    </row>
    <row r="852" spans="1:4" x14ac:dyDescent="0.25">
      <c r="A852" t="s">
        <v>2537</v>
      </c>
      <c r="B852" t="s">
        <v>2538</v>
      </c>
      <c r="C852" t="s">
        <v>2539</v>
      </c>
      <c r="D852" t="s">
        <v>2538</v>
      </c>
    </row>
    <row r="853" spans="1:4" x14ac:dyDescent="0.25">
      <c r="A853" t="s">
        <v>2540</v>
      </c>
      <c r="B853" t="s">
        <v>2541</v>
      </c>
      <c r="C853" t="s">
        <v>2542</v>
      </c>
      <c r="D853" t="s">
        <v>2541</v>
      </c>
    </row>
    <row r="854" spans="1:4" x14ac:dyDescent="0.25">
      <c r="A854" t="s">
        <v>2543</v>
      </c>
      <c r="B854" t="s">
        <v>2544</v>
      </c>
      <c r="C854" t="s">
        <v>2545</v>
      </c>
      <c r="D854" t="s">
        <v>2544</v>
      </c>
    </row>
    <row r="855" spans="1:4" x14ac:dyDescent="0.25">
      <c r="A855" t="s">
        <v>2546</v>
      </c>
      <c r="B855" t="s">
        <v>2547</v>
      </c>
      <c r="C855" t="s">
        <v>2548</v>
      </c>
      <c r="D855" t="s">
        <v>2547</v>
      </c>
    </row>
    <row r="856" spans="1:4" x14ac:dyDescent="0.25">
      <c r="A856" t="s">
        <v>2549</v>
      </c>
      <c r="B856" t="s">
        <v>2550</v>
      </c>
      <c r="C856" t="s">
        <v>2551</v>
      </c>
      <c r="D856" t="s">
        <v>2550</v>
      </c>
    </row>
    <row r="857" spans="1:4" x14ac:dyDescent="0.25">
      <c r="A857" t="s">
        <v>2552</v>
      </c>
      <c r="B857" t="s">
        <v>2553</v>
      </c>
      <c r="C857" t="s">
        <v>2554</v>
      </c>
      <c r="D857" t="s">
        <v>2553</v>
      </c>
    </row>
    <row r="858" spans="1:4" x14ac:dyDescent="0.25">
      <c r="A858" t="s">
        <v>2555</v>
      </c>
      <c r="B858" t="s">
        <v>2556</v>
      </c>
      <c r="C858" t="s">
        <v>2557</v>
      </c>
      <c r="D858" t="s">
        <v>2556</v>
      </c>
    </row>
    <row r="859" spans="1:4" x14ac:dyDescent="0.25">
      <c r="A859" t="s">
        <v>2558</v>
      </c>
      <c r="B859" t="s">
        <v>2559</v>
      </c>
      <c r="C859" t="s">
        <v>2560</v>
      </c>
      <c r="D859" t="s">
        <v>2559</v>
      </c>
    </row>
    <row r="860" spans="1:4" x14ac:dyDescent="0.25">
      <c r="A860" t="s">
        <v>2561</v>
      </c>
      <c r="B860" t="s">
        <v>2562</v>
      </c>
      <c r="C860" t="s">
        <v>2563</v>
      </c>
      <c r="D860" t="s">
        <v>2562</v>
      </c>
    </row>
    <row r="861" spans="1:4" x14ac:dyDescent="0.25">
      <c r="A861" t="s">
        <v>2564</v>
      </c>
      <c r="B861" t="s">
        <v>2565</v>
      </c>
      <c r="C861" t="s">
        <v>2566</v>
      </c>
      <c r="D861" t="s">
        <v>2565</v>
      </c>
    </row>
    <row r="862" spans="1:4" x14ac:dyDescent="0.25">
      <c r="A862" t="s">
        <v>2567</v>
      </c>
      <c r="B862" t="s">
        <v>2568</v>
      </c>
      <c r="C862" t="s">
        <v>2569</v>
      </c>
      <c r="D862" t="s">
        <v>2568</v>
      </c>
    </row>
    <row r="863" spans="1:4" x14ac:dyDescent="0.25">
      <c r="A863" t="s">
        <v>2570</v>
      </c>
      <c r="B863" t="s">
        <v>2571</v>
      </c>
      <c r="C863" t="s">
        <v>2572</v>
      </c>
      <c r="D863" t="s">
        <v>2571</v>
      </c>
    </row>
    <row r="864" spans="1:4" x14ac:dyDescent="0.25">
      <c r="A864" t="s">
        <v>2573</v>
      </c>
      <c r="B864" t="s">
        <v>2574</v>
      </c>
      <c r="C864" t="s">
        <v>2575</v>
      </c>
      <c r="D864" t="s">
        <v>2574</v>
      </c>
    </row>
    <row r="865" spans="1:4" x14ac:dyDescent="0.25">
      <c r="A865" t="s">
        <v>2576</v>
      </c>
      <c r="B865" t="s">
        <v>2577</v>
      </c>
      <c r="C865" t="s">
        <v>2578</v>
      </c>
      <c r="D865" t="s">
        <v>2577</v>
      </c>
    </row>
    <row r="866" spans="1:4" x14ac:dyDescent="0.25">
      <c r="A866" t="s">
        <v>2579</v>
      </c>
      <c r="B866" t="s">
        <v>2580</v>
      </c>
      <c r="C866" t="s">
        <v>2581</v>
      </c>
      <c r="D866" t="s">
        <v>2580</v>
      </c>
    </row>
    <row r="867" spans="1:4" x14ac:dyDescent="0.25">
      <c r="A867" t="s">
        <v>2582</v>
      </c>
      <c r="B867" t="s">
        <v>2583</v>
      </c>
      <c r="C867" t="s">
        <v>2584</v>
      </c>
      <c r="D867" t="s">
        <v>2583</v>
      </c>
    </row>
    <row r="868" spans="1:4" x14ac:dyDescent="0.25">
      <c r="A868" t="s">
        <v>2585</v>
      </c>
      <c r="B868" t="s">
        <v>2586</v>
      </c>
      <c r="C868" t="s">
        <v>2587</v>
      </c>
      <c r="D868" t="s">
        <v>2586</v>
      </c>
    </row>
    <row r="869" spans="1:4" x14ac:dyDescent="0.25">
      <c r="A869" t="s">
        <v>2588</v>
      </c>
      <c r="B869" t="s">
        <v>2589</v>
      </c>
      <c r="C869" t="s">
        <v>2590</v>
      </c>
      <c r="D869" t="s">
        <v>2589</v>
      </c>
    </row>
    <row r="870" spans="1:4" x14ac:dyDescent="0.25">
      <c r="A870" t="s">
        <v>2591</v>
      </c>
      <c r="B870" t="s">
        <v>2592</v>
      </c>
      <c r="C870" t="s">
        <v>2593</v>
      </c>
      <c r="D870" t="s">
        <v>2592</v>
      </c>
    </row>
    <row r="871" spans="1:4" x14ac:dyDescent="0.25">
      <c r="A871" t="s">
        <v>2594</v>
      </c>
      <c r="B871" t="s">
        <v>2595</v>
      </c>
      <c r="C871" t="s">
        <v>2596</v>
      </c>
      <c r="D871" t="s">
        <v>2595</v>
      </c>
    </row>
    <row r="872" spans="1:4" x14ac:dyDescent="0.25">
      <c r="A872" t="s">
        <v>2597</v>
      </c>
      <c r="B872" t="s">
        <v>2598</v>
      </c>
      <c r="C872" t="s">
        <v>2599</v>
      </c>
      <c r="D872" t="s">
        <v>2598</v>
      </c>
    </row>
    <row r="873" spans="1:4" x14ac:dyDescent="0.25">
      <c r="A873" t="s">
        <v>2600</v>
      </c>
      <c r="B873" t="s">
        <v>2601</v>
      </c>
      <c r="C873" t="s">
        <v>2602</v>
      </c>
      <c r="D873" t="s">
        <v>2601</v>
      </c>
    </row>
    <row r="874" spans="1:4" x14ac:dyDescent="0.25">
      <c r="A874" t="s">
        <v>2603</v>
      </c>
      <c r="B874" t="s">
        <v>2604</v>
      </c>
      <c r="C874" t="s">
        <v>2605</v>
      </c>
      <c r="D874" t="s">
        <v>2604</v>
      </c>
    </row>
    <row r="875" spans="1:4" x14ac:dyDescent="0.25">
      <c r="A875" t="s">
        <v>2606</v>
      </c>
      <c r="B875" t="s">
        <v>2607</v>
      </c>
      <c r="C875" t="s">
        <v>2608</v>
      </c>
      <c r="D875" t="s">
        <v>2607</v>
      </c>
    </row>
    <row r="876" spans="1:4" x14ac:dyDescent="0.25">
      <c r="A876" t="s">
        <v>2609</v>
      </c>
      <c r="B876" t="s">
        <v>2610</v>
      </c>
      <c r="C876" t="s">
        <v>2611</v>
      </c>
      <c r="D876" t="s">
        <v>2610</v>
      </c>
    </row>
    <row r="877" spans="1:4" x14ac:dyDescent="0.25">
      <c r="A877" t="s">
        <v>2612</v>
      </c>
      <c r="B877" t="s">
        <v>2613</v>
      </c>
      <c r="C877" t="s">
        <v>2614</v>
      </c>
      <c r="D877" t="s">
        <v>2613</v>
      </c>
    </row>
    <row r="878" spans="1:4" x14ac:dyDescent="0.25">
      <c r="A878" t="s">
        <v>2615</v>
      </c>
      <c r="B878" t="s">
        <v>2616</v>
      </c>
      <c r="C878" t="s">
        <v>2617</v>
      </c>
      <c r="D878" t="s">
        <v>2616</v>
      </c>
    </row>
    <row r="879" spans="1:4" x14ac:dyDescent="0.25">
      <c r="A879" t="s">
        <v>2618</v>
      </c>
      <c r="B879" t="s">
        <v>2619</v>
      </c>
      <c r="C879" t="s">
        <v>2620</v>
      </c>
      <c r="D879" t="s">
        <v>2619</v>
      </c>
    </row>
    <row r="880" spans="1:4" x14ac:dyDescent="0.25">
      <c r="A880" t="s">
        <v>2621</v>
      </c>
      <c r="B880" t="s">
        <v>2622</v>
      </c>
      <c r="C880" t="s">
        <v>2623</v>
      </c>
      <c r="D880" t="s">
        <v>2622</v>
      </c>
    </row>
    <row r="881" spans="1:4" x14ac:dyDescent="0.25">
      <c r="A881" t="s">
        <v>2624</v>
      </c>
      <c r="B881" t="s">
        <v>2625</v>
      </c>
      <c r="C881" t="s">
        <v>2626</v>
      </c>
      <c r="D881" t="s">
        <v>2625</v>
      </c>
    </row>
    <row r="882" spans="1:4" x14ac:dyDescent="0.25">
      <c r="A882" t="s">
        <v>2627</v>
      </c>
      <c r="B882" t="s">
        <v>2628</v>
      </c>
      <c r="C882" t="s">
        <v>2629</v>
      </c>
      <c r="D882" t="s">
        <v>2628</v>
      </c>
    </row>
    <row r="883" spans="1:4" x14ac:dyDescent="0.25">
      <c r="A883" t="s">
        <v>2630</v>
      </c>
      <c r="B883" t="s">
        <v>2631</v>
      </c>
      <c r="C883" t="s">
        <v>2632</v>
      </c>
      <c r="D883" t="s">
        <v>2631</v>
      </c>
    </row>
    <row r="884" spans="1:4" x14ac:dyDescent="0.25">
      <c r="A884" t="s">
        <v>2633</v>
      </c>
      <c r="B884" t="s">
        <v>2634</v>
      </c>
      <c r="C884" t="s">
        <v>2635</v>
      </c>
      <c r="D884" t="s">
        <v>2634</v>
      </c>
    </row>
    <row r="885" spans="1:4" x14ac:dyDescent="0.25">
      <c r="A885" t="s">
        <v>2636</v>
      </c>
      <c r="B885" t="s">
        <v>2637</v>
      </c>
      <c r="C885" t="s">
        <v>2638</v>
      </c>
      <c r="D885" t="s">
        <v>2637</v>
      </c>
    </row>
    <row r="886" spans="1:4" x14ac:dyDescent="0.25">
      <c r="A886" t="s">
        <v>2639</v>
      </c>
      <c r="B886" t="s">
        <v>2640</v>
      </c>
      <c r="C886" t="s">
        <v>2641</v>
      </c>
      <c r="D886" t="s">
        <v>2640</v>
      </c>
    </row>
    <row r="887" spans="1:4" x14ac:dyDescent="0.25">
      <c r="A887" t="s">
        <v>2642</v>
      </c>
      <c r="B887" t="s">
        <v>2643</v>
      </c>
      <c r="C887" t="s">
        <v>2644</v>
      </c>
      <c r="D887" t="s">
        <v>2643</v>
      </c>
    </row>
    <row r="888" spans="1:4" x14ac:dyDescent="0.25">
      <c r="A888" t="s">
        <v>2645</v>
      </c>
      <c r="B888" t="s">
        <v>2646</v>
      </c>
      <c r="C888" t="s">
        <v>2647</v>
      </c>
      <c r="D888" t="s">
        <v>2646</v>
      </c>
    </row>
    <row r="889" spans="1:4" x14ac:dyDescent="0.25">
      <c r="A889" t="s">
        <v>2648</v>
      </c>
      <c r="B889" t="s">
        <v>2649</v>
      </c>
      <c r="C889" t="s">
        <v>2650</v>
      </c>
      <c r="D889" t="s">
        <v>2649</v>
      </c>
    </row>
    <row r="890" spans="1:4" x14ac:dyDescent="0.25">
      <c r="A890" t="s">
        <v>2651</v>
      </c>
      <c r="B890" t="s">
        <v>2652</v>
      </c>
      <c r="C890" t="s">
        <v>2653</v>
      </c>
      <c r="D890" t="s">
        <v>2652</v>
      </c>
    </row>
    <row r="891" spans="1:4" x14ac:dyDescent="0.25">
      <c r="A891" t="s">
        <v>2654</v>
      </c>
      <c r="B891" t="s">
        <v>2655</v>
      </c>
      <c r="C891" t="s">
        <v>2656</v>
      </c>
      <c r="D891" t="s">
        <v>2655</v>
      </c>
    </row>
    <row r="892" spans="1:4" x14ac:dyDescent="0.25">
      <c r="A892" t="s">
        <v>2657</v>
      </c>
      <c r="B892" t="s">
        <v>2658</v>
      </c>
      <c r="C892" t="s">
        <v>2659</v>
      </c>
      <c r="D892" t="s">
        <v>2658</v>
      </c>
    </row>
    <row r="893" spans="1:4" x14ac:dyDescent="0.25">
      <c r="A893" t="s">
        <v>2660</v>
      </c>
      <c r="B893" t="s">
        <v>2661</v>
      </c>
      <c r="C893" t="s">
        <v>2662</v>
      </c>
      <c r="D893" t="s">
        <v>2661</v>
      </c>
    </row>
    <row r="894" spans="1:4" x14ac:dyDescent="0.25">
      <c r="A894" t="s">
        <v>2663</v>
      </c>
      <c r="B894" t="s">
        <v>2664</v>
      </c>
      <c r="C894" t="s">
        <v>2665</v>
      </c>
      <c r="D894" t="s">
        <v>2664</v>
      </c>
    </row>
    <row r="895" spans="1:4" x14ac:dyDescent="0.25">
      <c r="A895" t="s">
        <v>2666</v>
      </c>
      <c r="B895" t="s">
        <v>2667</v>
      </c>
      <c r="C895" t="s">
        <v>2668</v>
      </c>
      <c r="D895" t="s">
        <v>2667</v>
      </c>
    </row>
    <row r="896" spans="1:4" x14ac:dyDescent="0.25">
      <c r="A896" t="s">
        <v>2669</v>
      </c>
      <c r="B896" t="s">
        <v>2670</v>
      </c>
      <c r="C896" t="s">
        <v>2671</v>
      </c>
      <c r="D896" t="s">
        <v>2670</v>
      </c>
    </row>
    <row r="897" spans="1:4" x14ac:dyDescent="0.25">
      <c r="A897" t="s">
        <v>2672</v>
      </c>
      <c r="B897" t="s">
        <v>2673</v>
      </c>
      <c r="C897" t="s">
        <v>2674</v>
      </c>
      <c r="D897" t="s">
        <v>2673</v>
      </c>
    </row>
    <row r="898" spans="1:4" x14ac:dyDescent="0.25">
      <c r="A898" t="s">
        <v>2675</v>
      </c>
      <c r="B898" t="s">
        <v>2676</v>
      </c>
      <c r="C898" t="s">
        <v>2677</v>
      </c>
      <c r="D898" t="s">
        <v>2676</v>
      </c>
    </row>
    <row r="899" spans="1:4" x14ac:dyDescent="0.25">
      <c r="A899" t="s">
        <v>2678</v>
      </c>
      <c r="B899" t="s">
        <v>2679</v>
      </c>
      <c r="C899" t="s">
        <v>2680</v>
      </c>
      <c r="D899" t="s">
        <v>2679</v>
      </c>
    </row>
    <row r="900" spans="1:4" x14ac:dyDescent="0.25">
      <c r="A900" t="s">
        <v>2681</v>
      </c>
      <c r="B900" t="s">
        <v>2682</v>
      </c>
      <c r="C900" t="s">
        <v>2683</v>
      </c>
      <c r="D900" t="s">
        <v>2682</v>
      </c>
    </row>
    <row r="901" spans="1:4" x14ac:dyDescent="0.25">
      <c r="A901" t="s">
        <v>2684</v>
      </c>
      <c r="B901" t="s">
        <v>2685</v>
      </c>
      <c r="C901" t="s">
        <v>2686</v>
      </c>
      <c r="D901" t="s">
        <v>2685</v>
      </c>
    </row>
    <row r="902" spans="1:4" x14ac:dyDescent="0.25">
      <c r="A902" t="s">
        <v>2687</v>
      </c>
      <c r="B902" t="s">
        <v>2688</v>
      </c>
      <c r="C902" t="s">
        <v>2689</v>
      </c>
      <c r="D902" t="s">
        <v>2688</v>
      </c>
    </row>
    <row r="903" spans="1:4" x14ac:dyDescent="0.25">
      <c r="A903" t="s">
        <v>2690</v>
      </c>
      <c r="B903" t="s">
        <v>2691</v>
      </c>
      <c r="C903" t="s">
        <v>2692</v>
      </c>
      <c r="D903" t="s">
        <v>2691</v>
      </c>
    </row>
    <row r="904" spans="1:4" x14ac:dyDescent="0.25">
      <c r="A904" t="s">
        <v>2693</v>
      </c>
      <c r="B904" t="s">
        <v>2694</v>
      </c>
      <c r="C904" t="s">
        <v>2695</v>
      </c>
      <c r="D904" t="s">
        <v>2694</v>
      </c>
    </row>
    <row r="905" spans="1:4" x14ac:dyDescent="0.25">
      <c r="A905" t="s">
        <v>2696</v>
      </c>
      <c r="B905" t="s">
        <v>2697</v>
      </c>
      <c r="C905" t="s">
        <v>2698</v>
      </c>
      <c r="D905" t="s">
        <v>2697</v>
      </c>
    </row>
    <row r="906" spans="1:4" x14ac:dyDescent="0.25">
      <c r="A906" t="s">
        <v>2699</v>
      </c>
      <c r="B906" t="s">
        <v>2700</v>
      </c>
      <c r="C906" t="s">
        <v>2701</v>
      </c>
      <c r="D906" t="s">
        <v>2700</v>
      </c>
    </row>
    <row r="907" spans="1:4" x14ac:dyDescent="0.25">
      <c r="A907" t="s">
        <v>2702</v>
      </c>
      <c r="B907" t="s">
        <v>2703</v>
      </c>
      <c r="C907" t="s">
        <v>2704</v>
      </c>
      <c r="D907" t="s">
        <v>2703</v>
      </c>
    </row>
    <row r="908" spans="1:4" x14ac:dyDescent="0.25">
      <c r="A908" t="s">
        <v>2705</v>
      </c>
      <c r="B908" t="s">
        <v>2706</v>
      </c>
      <c r="C908" t="s">
        <v>2707</v>
      </c>
      <c r="D908" t="s">
        <v>2706</v>
      </c>
    </row>
    <row r="909" spans="1:4" x14ac:dyDescent="0.25">
      <c r="A909" t="s">
        <v>2708</v>
      </c>
      <c r="B909" t="s">
        <v>2709</v>
      </c>
      <c r="C909" t="s">
        <v>2710</v>
      </c>
      <c r="D909" t="s">
        <v>2709</v>
      </c>
    </row>
    <row r="910" spans="1:4" x14ac:dyDescent="0.25">
      <c r="A910" t="s">
        <v>2711</v>
      </c>
      <c r="B910" t="s">
        <v>2712</v>
      </c>
      <c r="C910" t="s">
        <v>2713</v>
      </c>
      <c r="D910" t="s">
        <v>2712</v>
      </c>
    </row>
    <row r="911" spans="1:4" x14ac:dyDescent="0.25">
      <c r="A911" t="s">
        <v>2714</v>
      </c>
      <c r="B911" t="s">
        <v>2715</v>
      </c>
      <c r="C911" t="s">
        <v>2716</v>
      </c>
      <c r="D911" t="s">
        <v>2715</v>
      </c>
    </row>
    <row r="912" spans="1:4" x14ac:dyDescent="0.25">
      <c r="A912" t="s">
        <v>2717</v>
      </c>
      <c r="B912" t="s">
        <v>2718</v>
      </c>
      <c r="C912" t="s">
        <v>2719</v>
      </c>
      <c r="D912" t="s">
        <v>2718</v>
      </c>
    </row>
    <row r="913" spans="1:4" x14ac:dyDescent="0.25">
      <c r="A913" t="s">
        <v>2720</v>
      </c>
      <c r="B913" t="s">
        <v>2721</v>
      </c>
      <c r="C913" t="s">
        <v>2722</v>
      </c>
      <c r="D913" t="s">
        <v>2721</v>
      </c>
    </row>
    <row r="914" spans="1:4" x14ac:dyDescent="0.25">
      <c r="A914" t="s">
        <v>2723</v>
      </c>
      <c r="B914" t="s">
        <v>2724</v>
      </c>
      <c r="C914" t="s">
        <v>2725</v>
      </c>
      <c r="D914" t="s">
        <v>2724</v>
      </c>
    </row>
    <row r="915" spans="1:4" x14ac:dyDescent="0.25">
      <c r="A915" t="s">
        <v>2726</v>
      </c>
      <c r="B915" t="s">
        <v>2727</v>
      </c>
      <c r="C915" t="s">
        <v>2728</v>
      </c>
      <c r="D915" t="s">
        <v>2727</v>
      </c>
    </row>
    <row r="916" spans="1:4" x14ac:dyDescent="0.25">
      <c r="A916" t="s">
        <v>2729</v>
      </c>
      <c r="B916" t="s">
        <v>2730</v>
      </c>
      <c r="C916" t="s">
        <v>2731</v>
      </c>
      <c r="D916" t="s">
        <v>2730</v>
      </c>
    </row>
    <row r="917" spans="1:4" x14ac:dyDescent="0.25">
      <c r="A917" t="s">
        <v>2732</v>
      </c>
      <c r="B917" t="s">
        <v>2733</v>
      </c>
      <c r="C917" t="s">
        <v>2734</v>
      </c>
      <c r="D917" t="s">
        <v>2733</v>
      </c>
    </row>
    <row r="918" spans="1:4" x14ac:dyDescent="0.25">
      <c r="A918" t="s">
        <v>2735</v>
      </c>
      <c r="B918" t="s">
        <v>2736</v>
      </c>
      <c r="C918" t="s">
        <v>2737</v>
      </c>
      <c r="D918" t="s">
        <v>2736</v>
      </c>
    </row>
    <row r="919" spans="1:4" x14ac:dyDescent="0.25">
      <c r="A919" t="s">
        <v>2738</v>
      </c>
      <c r="B919" t="s">
        <v>2739</v>
      </c>
      <c r="C919" t="s">
        <v>2740</v>
      </c>
      <c r="D919" t="s">
        <v>2739</v>
      </c>
    </row>
    <row r="920" spans="1:4" x14ac:dyDescent="0.25">
      <c r="A920" t="s">
        <v>2741</v>
      </c>
      <c r="B920" t="s">
        <v>2742</v>
      </c>
      <c r="C920" t="s">
        <v>2743</v>
      </c>
      <c r="D920" t="s">
        <v>2742</v>
      </c>
    </row>
    <row r="921" spans="1:4" x14ac:dyDescent="0.25">
      <c r="A921" t="s">
        <v>2744</v>
      </c>
      <c r="B921" t="s">
        <v>2745</v>
      </c>
      <c r="C921" t="s">
        <v>2746</v>
      </c>
      <c r="D921" t="s">
        <v>2745</v>
      </c>
    </row>
    <row r="922" spans="1:4" x14ac:dyDescent="0.25">
      <c r="A922" t="s">
        <v>2747</v>
      </c>
      <c r="B922" t="s">
        <v>2748</v>
      </c>
      <c r="C922" t="s">
        <v>2749</v>
      </c>
      <c r="D922" t="s">
        <v>2748</v>
      </c>
    </row>
    <row r="923" spans="1:4" x14ac:dyDescent="0.25">
      <c r="A923" t="s">
        <v>2750</v>
      </c>
      <c r="B923" t="s">
        <v>2751</v>
      </c>
      <c r="C923" t="s">
        <v>2752</v>
      </c>
      <c r="D923" t="s">
        <v>2751</v>
      </c>
    </row>
    <row r="924" spans="1:4" x14ac:dyDescent="0.25">
      <c r="A924" t="s">
        <v>2753</v>
      </c>
      <c r="B924" t="s">
        <v>2754</v>
      </c>
      <c r="C924" t="s">
        <v>2755</v>
      </c>
      <c r="D924" t="s">
        <v>2754</v>
      </c>
    </row>
    <row r="925" spans="1:4" x14ac:dyDescent="0.25">
      <c r="A925" t="s">
        <v>2756</v>
      </c>
      <c r="B925" t="s">
        <v>2757</v>
      </c>
      <c r="C925" t="s">
        <v>2758</v>
      </c>
      <c r="D925" t="s">
        <v>2757</v>
      </c>
    </row>
    <row r="926" spans="1:4" x14ac:dyDescent="0.25">
      <c r="A926" t="s">
        <v>2759</v>
      </c>
      <c r="B926" t="s">
        <v>2760</v>
      </c>
      <c r="C926" t="s">
        <v>2761</v>
      </c>
      <c r="D926" t="s">
        <v>2760</v>
      </c>
    </row>
    <row r="927" spans="1:4" x14ac:dyDescent="0.25">
      <c r="A927" t="s">
        <v>2762</v>
      </c>
      <c r="B927" t="s">
        <v>2763</v>
      </c>
      <c r="C927" t="s">
        <v>2764</v>
      </c>
      <c r="D927" t="s">
        <v>2763</v>
      </c>
    </row>
    <row r="928" spans="1:4" x14ac:dyDescent="0.25">
      <c r="A928" t="s">
        <v>2765</v>
      </c>
      <c r="B928" t="s">
        <v>2766</v>
      </c>
      <c r="C928" t="s">
        <v>2767</v>
      </c>
      <c r="D928" t="s">
        <v>2766</v>
      </c>
    </row>
    <row r="929" spans="1:4" x14ac:dyDescent="0.25">
      <c r="A929" t="s">
        <v>2768</v>
      </c>
      <c r="B929" t="s">
        <v>2769</v>
      </c>
      <c r="C929" t="s">
        <v>2770</v>
      </c>
      <c r="D929" t="s">
        <v>2769</v>
      </c>
    </row>
    <row r="930" spans="1:4" x14ac:dyDescent="0.25">
      <c r="A930" t="s">
        <v>2771</v>
      </c>
      <c r="B930" t="s">
        <v>2772</v>
      </c>
      <c r="C930" t="s">
        <v>2773</v>
      </c>
      <c r="D930" t="s">
        <v>2772</v>
      </c>
    </row>
    <row r="931" spans="1:4" x14ac:dyDescent="0.25">
      <c r="A931" t="s">
        <v>2774</v>
      </c>
      <c r="B931" t="s">
        <v>2775</v>
      </c>
      <c r="C931" t="s">
        <v>2776</v>
      </c>
      <c r="D931" t="s">
        <v>2775</v>
      </c>
    </row>
    <row r="932" spans="1:4" x14ac:dyDescent="0.25">
      <c r="A932" t="s">
        <v>2777</v>
      </c>
      <c r="B932" t="s">
        <v>2778</v>
      </c>
      <c r="C932" t="s">
        <v>2779</v>
      </c>
      <c r="D932" t="s">
        <v>2778</v>
      </c>
    </row>
    <row r="933" spans="1:4" x14ac:dyDescent="0.25">
      <c r="A933" t="s">
        <v>2780</v>
      </c>
      <c r="B933" t="s">
        <v>2781</v>
      </c>
      <c r="C933" t="s">
        <v>2782</v>
      </c>
      <c r="D933" t="s">
        <v>2781</v>
      </c>
    </row>
    <row r="934" spans="1:4" x14ac:dyDescent="0.25">
      <c r="A934" t="s">
        <v>2783</v>
      </c>
      <c r="B934" t="s">
        <v>2784</v>
      </c>
      <c r="C934" t="s">
        <v>2785</v>
      </c>
      <c r="D934" t="s">
        <v>2784</v>
      </c>
    </row>
    <row r="935" spans="1:4" x14ac:dyDescent="0.25">
      <c r="A935" t="s">
        <v>2786</v>
      </c>
      <c r="B935" t="s">
        <v>2787</v>
      </c>
      <c r="C935" t="s">
        <v>2788</v>
      </c>
      <c r="D935" t="s">
        <v>2787</v>
      </c>
    </row>
    <row r="936" spans="1:4" x14ac:dyDescent="0.25">
      <c r="A936" t="s">
        <v>2789</v>
      </c>
      <c r="B936" t="s">
        <v>2790</v>
      </c>
      <c r="C936" t="s">
        <v>2791</v>
      </c>
      <c r="D936" t="s">
        <v>2790</v>
      </c>
    </row>
    <row r="937" spans="1:4" x14ac:dyDescent="0.25">
      <c r="A937" t="s">
        <v>2792</v>
      </c>
      <c r="B937" t="s">
        <v>2793</v>
      </c>
      <c r="C937" t="s">
        <v>2794</v>
      </c>
      <c r="D937" t="s">
        <v>2793</v>
      </c>
    </row>
    <row r="938" spans="1:4" x14ac:dyDescent="0.25">
      <c r="A938" t="s">
        <v>2795</v>
      </c>
      <c r="B938" t="s">
        <v>2796</v>
      </c>
      <c r="C938" t="s">
        <v>2797</v>
      </c>
      <c r="D938" t="s">
        <v>2796</v>
      </c>
    </row>
    <row r="939" spans="1:4" x14ac:dyDescent="0.25">
      <c r="A939" t="s">
        <v>2798</v>
      </c>
      <c r="B939" t="s">
        <v>2799</v>
      </c>
      <c r="C939" t="s">
        <v>2800</v>
      </c>
      <c r="D939" t="s">
        <v>2799</v>
      </c>
    </row>
    <row r="940" spans="1:4" x14ac:dyDescent="0.25">
      <c r="A940" t="s">
        <v>2801</v>
      </c>
      <c r="B940" t="s">
        <v>2802</v>
      </c>
      <c r="C940" t="s">
        <v>2803</v>
      </c>
      <c r="D940" t="s">
        <v>2802</v>
      </c>
    </row>
    <row r="941" spans="1:4" x14ac:dyDescent="0.25">
      <c r="A941" t="s">
        <v>2804</v>
      </c>
      <c r="B941" t="s">
        <v>2805</v>
      </c>
      <c r="C941" t="s">
        <v>2806</v>
      </c>
      <c r="D941" t="s">
        <v>2805</v>
      </c>
    </row>
    <row r="942" spans="1:4" x14ac:dyDescent="0.25">
      <c r="A942" t="s">
        <v>2807</v>
      </c>
      <c r="B942" t="s">
        <v>2808</v>
      </c>
      <c r="C942" t="s">
        <v>2809</v>
      </c>
      <c r="D942" t="s">
        <v>2808</v>
      </c>
    </row>
    <row r="943" spans="1:4" x14ac:dyDescent="0.25">
      <c r="A943" t="s">
        <v>2810</v>
      </c>
      <c r="B943" t="s">
        <v>2811</v>
      </c>
      <c r="C943" t="s">
        <v>2812</v>
      </c>
      <c r="D943" t="s">
        <v>2811</v>
      </c>
    </row>
    <row r="944" spans="1:4" x14ac:dyDescent="0.25">
      <c r="A944" t="s">
        <v>2813</v>
      </c>
      <c r="B944" t="s">
        <v>2814</v>
      </c>
      <c r="C944" t="s">
        <v>2815</v>
      </c>
      <c r="D944" t="s">
        <v>2814</v>
      </c>
    </row>
    <row r="945" spans="1:4" x14ac:dyDescent="0.25">
      <c r="A945" t="s">
        <v>2816</v>
      </c>
      <c r="B945" t="s">
        <v>2817</v>
      </c>
      <c r="C945" t="s">
        <v>2818</v>
      </c>
      <c r="D945" t="s">
        <v>2817</v>
      </c>
    </row>
    <row r="946" spans="1:4" x14ac:dyDescent="0.25">
      <c r="A946" t="s">
        <v>2819</v>
      </c>
      <c r="B946" t="s">
        <v>2820</v>
      </c>
      <c r="C946" t="s">
        <v>2821</v>
      </c>
      <c r="D946" t="s">
        <v>2820</v>
      </c>
    </row>
    <row r="947" spans="1:4" x14ac:dyDescent="0.25">
      <c r="A947" t="s">
        <v>2822</v>
      </c>
      <c r="B947" t="s">
        <v>2823</v>
      </c>
      <c r="C947" t="s">
        <v>2824</v>
      </c>
      <c r="D947" t="s">
        <v>2823</v>
      </c>
    </row>
    <row r="948" spans="1:4" x14ac:dyDescent="0.25">
      <c r="A948" t="s">
        <v>2825</v>
      </c>
      <c r="B948" t="s">
        <v>2826</v>
      </c>
      <c r="C948" t="s">
        <v>2827</v>
      </c>
      <c r="D948" t="s">
        <v>2826</v>
      </c>
    </row>
    <row r="949" spans="1:4" x14ac:dyDescent="0.25">
      <c r="A949" t="s">
        <v>2828</v>
      </c>
      <c r="B949" t="s">
        <v>2829</v>
      </c>
      <c r="C949" t="s">
        <v>2830</v>
      </c>
      <c r="D949" t="s">
        <v>2829</v>
      </c>
    </row>
    <row r="950" spans="1:4" x14ac:dyDescent="0.25">
      <c r="A950" t="s">
        <v>2831</v>
      </c>
      <c r="B950" t="s">
        <v>2832</v>
      </c>
      <c r="C950" t="s">
        <v>2833</v>
      </c>
      <c r="D950" t="s">
        <v>2832</v>
      </c>
    </row>
    <row r="951" spans="1:4" x14ac:dyDescent="0.25">
      <c r="A951" t="s">
        <v>2834</v>
      </c>
      <c r="B951" t="s">
        <v>2835</v>
      </c>
      <c r="C951" t="s">
        <v>2836</v>
      </c>
      <c r="D951" t="s">
        <v>2835</v>
      </c>
    </row>
    <row r="952" spans="1:4" x14ac:dyDescent="0.25">
      <c r="A952" t="s">
        <v>2837</v>
      </c>
      <c r="B952" t="s">
        <v>2838</v>
      </c>
      <c r="C952" t="s">
        <v>2839</v>
      </c>
      <c r="D952" t="s">
        <v>2838</v>
      </c>
    </row>
    <row r="953" spans="1:4" x14ac:dyDescent="0.25">
      <c r="A953" t="s">
        <v>2840</v>
      </c>
      <c r="B953" t="s">
        <v>2841</v>
      </c>
      <c r="C953" t="s">
        <v>2842</v>
      </c>
      <c r="D953" t="s">
        <v>2841</v>
      </c>
    </row>
    <row r="954" spans="1:4" x14ac:dyDescent="0.25">
      <c r="A954" t="s">
        <v>2843</v>
      </c>
      <c r="B954" t="s">
        <v>2844</v>
      </c>
      <c r="C954" t="s">
        <v>2845</v>
      </c>
      <c r="D954" t="s">
        <v>2844</v>
      </c>
    </row>
    <row r="955" spans="1:4" x14ac:dyDescent="0.25">
      <c r="A955" t="s">
        <v>2846</v>
      </c>
      <c r="B955" t="s">
        <v>2847</v>
      </c>
      <c r="C955" t="s">
        <v>2848</v>
      </c>
      <c r="D955" t="s">
        <v>2847</v>
      </c>
    </row>
    <row r="956" spans="1:4" x14ac:dyDescent="0.25">
      <c r="A956" t="s">
        <v>2849</v>
      </c>
      <c r="B956" t="s">
        <v>2850</v>
      </c>
      <c r="C956" t="s">
        <v>2851</v>
      </c>
      <c r="D956" t="s">
        <v>2850</v>
      </c>
    </row>
    <row r="957" spans="1:4" x14ac:dyDescent="0.25">
      <c r="A957" t="s">
        <v>2852</v>
      </c>
      <c r="B957" t="s">
        <v>2853</v>
      </c>
      <c r="C957" t="s">
        <v>2854</v>
      </c>
      <c r="D957" t="s">
        <v>2853</v>
      </c>
    </row>
    <row r="958" spans="1:4" x14ac:dyDescent="0.25">
      <c r="A958" t="s">
        <v>2855</v>
      </c>
      <c r="B958" t="s">
        <v>2856</v>
      </c>
      <c r="C958" t="s">
        <v>2857</v>
      </c>
      <c r="D958" t="s">
        <v>2856</v>
      </c>
    </row>
    <row r="959" spans="1:4" x14ac:dyDescent="0.25">
      <c r="A959" t="s">
        <v>2858</v>
      </c>
      <c r="B959" t="s">
        <v>2859</v>
      </c>
      <c r="C959" t="s">
        <v>2860</v>
      </c>
      <c r="D959" t="s">
        <v>2859</v>
      </c>
    </row>
    <row r="960" spans="1:4" x14ac:dyDescent="0.25">
      <c r="A960" t="s">
        <v>2861</v>
      </c>
      <c r="B960" t="s">
        <v>2862</v>
      </c>
      <c r="C960" t="s">
        <v>2863</v>
      </c>
      <c r="D960" t="s">
        <v>2862</v>
      </c>
    </row>
    <row r="961" spans="1:4" x14ac:dyDescent="0.25">
      <c r="A961" t="s">
        <v>2864</v>
      </c>
      <c r="B961" t="s">
        <v>2865</v>
      </c>
      <c r="C961" t="s">
        <v>2866</v>
      </c>
      <c r="D961" t="s">
        <v>2865</v>
      </c>
    </row>
    <row r="962" spans="1:4" x14ac:dyDescent="0.25">
      <c r="A962" t="s">
        <v>2867</v>
      </c>
      <c r="B962" t="s">
        <v>2868</v>
      </c>
      <c r="C962" t="s">
        <v>2869</v>
      </c>
      <c r="D962" t="s">
        <v>2868</v>
      </c>
    </row>
    <row r="963" spans="1:4" x14ac:dyDescent="0.25">
      <c r="A963" t="s">
        <v>2870</v>
      </c>
      <c r="B963" t="s">
        <v>2871</v>
      </c>
      <c r="C963" t="s">
        <v>2872</v>
      </c>
      <c r="D963" t="s">
        <v>2871</v>
      </c>
    </row>
    <row r="964" spans="1:4" x14ac:dyDescent="0.25">
      <c r="A964" t="s">
        <v>2873</v>
      </c>
      <c r="B964" t="s">
        <v>2874</v>
      </c>
      <c r="C964" t="s">
        <v>2875</v>
      </c>
      <c r="D964" t="s">
        <v>2874</v>
      </c>
    </row>
    <row r="965" spans="1:4" x14ac:dyDescent="0.25">
      <c r="A965" t="s">
        <v>2876</v>
      </c>
      <c r="B965" t="s">
        <v>2877</v>
      </c>
      <c r="C965" t="s">
        <v>2878</v>
      </c>
      <c r="D965" t="s">
        <v>2877</v>
      </c>
    </row>
    <row r="966" spans="1:4" x14ac:dyDescent="0.25">
      <c r="A966" t="s">
        <v>2879</v>
      </c>
      <c r="B966" t="s">
        <v>2880</v>
      </c>
      <c r="C966" t="s">
        <v>2881</v>
      </c>
      <c r="D966" t="s">
        <v>2880</v>
      </c>
    </row>
    <row r="967" spans="1:4" x14ac:dyDescent="0.25">
      <c r="A967" t="s">
        <v>2882</v>
      </c>
      <c r="B967" t="s">
        <v>2883</v>
      </c>
      <c r="C967" t="s">
        <v>2884</v>
      </c>
      <c r="D967" t="s">
        <v>2883</v>
      </c>
    </row>
    <row r="968" spans="1:4" x14ac:dyDescent="0.25">
      <c r="A968" t="s">
        <v>2885</v>
      </c>
      <c r="B968" t="s">
        <v>2886</v>
      </c>
      <c r="C968" t="s">
        <v>2887</v>
      </c>
      <c r="D968" t="s">
        <v>2886</v>
      </c>
    </row>
    <row r="969" spans="1:4" x14ac:dyDescent="0.25">
      <c r="A969" t="s">
        <v>2888</v>
      </c>
      <c r="B969" t="s">
        <v>2889</v>
      </c>
      <c r="C969" t="s">
        <v>2890</v>
      </c>
      <c r="D969" t="s">
        <v>2889</v>
      </c>
    </row>
    <row r="970" spans="1:4" x14ac:dyDescent="0.25">
      <c r="A970" t="s">
        <v>2891</v>
      </c>
      <c r="B970" t="s">
        <v>2892</v>
      </c>
      <c r="C970" t="s">
        <v>2893</v>
      </c>
      <c r="D970" t="s">
        <v>2892</v>
      </c>
    </row>
    <row r="971" spans="1:4" x14ac:dyDescent="0.25">
      <c r="A971" t="s">
        <v>2894</v>
      </c>
      <c r="B971" t="s">
        <v>2895</v>
      </c>
      <c r="C971" t="s">
        <v>2896</v>
      </c>
      <c r="D971" t="s">
        <v>2895</v>
      </c>
    </row>
    <row r="972" spans="1:4" x14ac:dyDescent="0.25">
      <c r="A972" t="s">
        <v>2897</v>
      </c>
      <c r="B972" t="s">
        <v>2898</v>
      </c>
      <c r="C972" t="s">
        <v>2899</v>
      </c>
      <c r="D972" t="s">
        <v>2898</v>
      </c>
    </row>
    <row r="973" spans="1:4" x14ac:dyDescent="0.25">
      <c r="A973" t="s">
        <v>2900</v>
      </c>
      <c r="B973" t="s">
        <v>2901</v>
      </c>
      <c r="C973" t="s">
        <v>2902</v>
      </c>
      <c r="D973" t="s">
        <v>2901</v>
      </c>
    </row>
    <row r="974" spans="1:4" x14ac:dyDescent="0.25">
      <c r="A974" t="s">
        <v>2903</v>
      </c>
      <c r="B974" t="s">
        <v>2904</v>
      </c>
      <c r="C974" t="s">
        <v>2905</v>
      </c>
      <c r="D974" t="s">
        <v>2904</v>
      </c>
    </row>
    <row r="975" spans="1:4" x14ac:dyDescent="0.25">
      <c r="A975" t="s">
        <v>2906</v>
      </c>
      <c r="B975" t="s">
        <v>2907</v>
      </c>
      <c r="C975" t="s">
        <v>2908</v>
      </c>
      <c r="D975" t="s">
        <v>2907</v>
      </c>
    </row>
    <row r="976" spans="1:4" x14ac:dyDescent="0.25">
      <c r="A976" t="s">
        <v>2909</v>
      </c>
      <c r="B976" t="s">
        <v>2910</v>
      </c>
      <c r="C976" t="s">
        <v>2911</v>
      </c>
      <c r="D976" t="s">
        <v>2910</v>
      </c>
    </row>
    <row r="977" spans="1:4" x14ac:dyDescent="0.25">
      <c r="A977" t="s">
        <v>2912</v>
      </c>
      <c r="B977" t="s">
        <v>2913</v>
      </c>
      <c r="C977" t="s">
        <v>2914</v>
      </c>
      <c r="D977" t="s">
        <v>2913</v>
      </c>
    </row>
    <row r="978" spans="1:4" x14ac:dyDescent="0.25">
      <c r="A978" t="s">
        <v>2915</v>
      </c>
      <c r="B978" t="s">
        <v>2916</v>
      </c>
      <c r="C978" t="s">
        <v>2917</v>
      </c>
      <c r="D978" t="s">
        <v>2916</v>
      </c>
    </row>
    <row r="979" spans="1:4" x14ac:dyDescent="0.25">
      <c r="A979" t="s">
        <v>2918</v>
      </c>
      <c r="B979" t="s">
        <v>2919</v>
      </c>
      <c r="C979" t="s">
        <v>2920</v>
      </c>
      <c r="D979" t="s">
        <v>2919</v>
      </c>
    </row>
    <row r="980" spans="1:4" x14ac:dyDescent="0.25">
      <c r="A980" t="s">
        <v>2921</v>
      </c>
      <c r="B980" t="s">
        <v>2922</v>
      </c>
      <c r="C980" t="s">
        <v>2923</v>
      </c>
      <c r="D980" t="s">
        <v>2922</v>
      </c>
    </row>
    <row r="981" spans="1:4" x14ac:dyDescent="0.25">
      <c r="A981" t="s">
        <v>2924</v>
      </c>
      <c r="B981" t="s">
        <v>2925</v>
      </c>
      <c r="C981" t="s">
        <v>2926</v>
      </c>
      <c r="D981" t="s">
        <v>2925</v>
      </c>
    </row>
    <row r="982" spans="1:4" x14ac:dyDescent="0.25">
      <c r="A982" t="s">
        <v>2927</v>
      </c>
      <c r="B982" t="s">
        <v>2928</v>
      </c>
      <c r="C982" t="s">
        <v>2929</v>
      </c>
      <c r="D982" t="s">
        <v>2928</v>
      </c>
    </row>
    <row r="983" spans="1:4" x14ac:dyDescent="0.25">
      <c r="A983" t="s">
        <v>2930</v>
      </c>
      <c r="B983" t="s">
        <v>2931</v>
      </c>
      <c r="C983" t="s">
        <v>2932</v>
      </c>
      <c r="D983" t="s">
        <v>2931</v>
      </c>
    </row>
    <row r="984" spans="1:4" x14ac:dyDescent="0.25">
      <c r="A984" t="s">
        <v>2933</v>
      </c>
      <c r="B984" t="s">
        <v>2934</v>
      </c>
      <c r="C984" t="s">
        <v>2935</v>
      </c>
      <c r="D984" t="s">
        <v>2934</v>
      </c>
    </row>
    <row r="985" spans="1:4" x14ac:dyDescent="0.25">
      <c r="A985" t="s">
        <v>2936</v>
      </c>
      <c r="B985" t="s">
        <v>2937</v>
      </c>
      <c r="C985" t="s">
        <v>2938</v>
      </c>
      <c r="D985" t="s">
        <v>2937</v>
      </c>
    </row>
    <row r="986" spans="1:4" x14ac:dyDescent="0.25">
      <c r="A986" t="s">
        <v>2939</v>
      </c>
      <c r="B986" t="s">
        <v>2940</v>
      </c>
      <c r="C986" t="s">
        <v>2941</v>
      </c>
      <c r="D986" t="s">
        <v>2940</v>
      </c>
    </row>
    <row r="987" spans="1:4" x14ac:dyDescent="0.25">
      <c r="A987" t="s">
        <v>2942</v>
      </c>
      <c r="B987" t="s">
        <v>2943</v>
      </c>
      <c r="C987" t="s">
        <v>2944</v>
      </c>
      <c r="D987" t="s">
        <v>2943</v>
      </c>
    </row>
    <row r="988" spans="1:4" x14ac:dyDescent="0.25">
      <c r="A988" t="s">
        <v>2945</v>
      </c>
      <c r="B988" t="s">
        <v>2946</v>
      </c>
      <c r="C988" t="s">
        <v>2947</v>
      </c>
      <c r="D988" t="s">
        <v>2946</v>
      </c>
    </row>
    <row r="989" spans="1:4" x14ac:dyDescent="0.25">
      <c r="A989" t="s">
        <v>2948</v>
      </c>
      <c r="B989" t="s">
        <v>2949</v>
      </c>
      <c r="C989" t="s">
        <v>2950</v>
      </c>
      <c r="D989" t="s">
        <v>2949</v>
      </c>
    </row>
    <row r="990" spans="1:4" x14ac:dyDescent="0.25">
      <c r="A990" t="s">
        <v>2951</v>
      </c>
      <c r="B990" t="s">
        <v>2952</v>
      </c>
      <c r="C990" t="s">
        <v>2953</v>
      </c>
      <c r="D990" t="s">
        <v>2952</v>
      </c>
    </row>
    <row r="991" spans="1:4" x14ac:dyDescent="0.25">
      <c r="A991" t="s">
        <v>2954</v>
      </c>
      <c r="B991" t="s">
        <v>2955</v>
      </c>
      <c r="C991" t="s">
        <v>2956</v>
      </c>
      <c r="D991" t="s">
        <v>2955</v>
      </c>
    </row>
    <row r="992" spans="1:4" x14ac:dyDescent="0.25">
      <c r="A992" t="s">
        <v>2957</v>
      </c>
      <c r="B992" t="s">
        <v>2958</v>
      </c>
      <c r="C992" t="s">
        <v>2959</v>
      </c>
      <c r="D992" t="s">
        <v>2958</v>
      </c>
    </row>
    <row r="993" spans="1:4" x14ac:dyDescent="0.25">
      <c r="A993" t="s">
        <v>2960</v>
      </c>
      <c r="B993" t="s">
        <v>2961</v>
      </c>
      <c r="C993" t="s">
        <v>2962</v>
      </c>
      <c r="D993" t="s">
        <v>2961</v>
      </c>
    </row>
    <row r="994" spans="1:4" x14ac:dyDescent="0.25">
      <c r="A994" t="s">
        <v>2963</v>
      </c>
      <c r="B994" t="s">
        <v>2964</v>
      </c>
      <c r="C994" t="s">
        <v>2965</v>
      </c>
      <c r="D994" t="s">
        <v>2964</v>
      </c>
    </row>
    <row r="995" spans="1:4" x14ac:dyDescent="0.25">
      <c r="A995" t="s">
        <v>2966</v>
      </c>
      <c r="B995" t="s">
        <v>2967</v>
      </c>
      <c r="C995" t="s">
        <v>2968</v>
      </c>
      <c r="D995" t="s">
        <v>2967</v>
      </c>
    </row>
    <row r="996" spans="1:4" x14ac:dyDescent="0.25">
      <c r="A996" t="s">
        <v>2969</v>
      </c>
      <c r="B996" t="s">
        <v>2970</v>
      </c>
      <c r="C996" t="s">
        <v>2971</v>
      </c>
      <c r="D996" t="s">
        <v>2970</v>
      </c>
    </row>
    <row r="997" spans="1:4" x14ac:dyDescent="0.25">
      <c r="A997" t="s">
        <v>2972</v>
      </c>
      <c r="B997" t="s">
        <v>2973</v>
      </c>
      <c r="C997" t="s">
        <v>2974</v>
      </c>
      <c r="D997" t="s">
        <v>2973</v>
      </c>
    </row>
    <row r="998" spans="1:4" x14ac:dyDescent="0.25">
      <c r="A998" t="s">
        <v>2975</v>
      </c>
      <c r="B998" t="s">
        <v>2976</v>
      </c>
      <c r="C998" t="s">
        <v>2977</v>
      </c>
      <c r="D998" t="s">
        <v>2976</v>
      </c>
    </row>
    <row r="999" spans="1:4" x14ac:dyDescent="0.25">
      <c r="A999" t="s">
        <v>2978</v>
      </c>
      <c r="B999" t="s">
        <v>2979</v>
      </c>
      <c r="C999" t="s">
        <v>2980</v>
      </c>
      <c r="D999" t="s">
        <v>2979</v>
      </c>
    </row>
    <row r="1000" spans="1:4" x14ac:dyDescent="0.25">
      <c r="A1000" t="s">
        <v>2981</v>
      </c>
      <c r="B1000" t="s">
        <v>2982</v>
      </c>
      <c r="C1000" t="s">
        <v>2983</v>
      </c>
      <c r="D1000" t="s">
        <v>2982</v>
      </c>
    </row>
    <row r="1001" spans="1:4" x14ac:dyDescent="0.25">
      <c r="A1001" t="s">
        <v>2984</v>
      </c>
      <c r="B1001" t="s">
        <v>2985</v>
      </c>
      <c r="C1001" t="s">
        <v>2986</v>
      </c>
      <c r="D1001" t="s">
        <v>2985</v>
      </c>
    </row>
    <row r="1002" spans="1:4" x14ac:dyDescent="0.25">
      <c r="A1002" t="s">
        <v>2987</v>
      </c>
      <c r="B1002" t="s">
        <v>2988</v>
      </c>
      <c r="C1002" t="s">
        <v>2989</v>
      </c>
      <c r="D1002" t="s">
        <v>2988</v>
      </c>
    </row>
    <row r="1003" spans="1:4" x14ac:dyDescent="0.25">
      <c r="A1003" t="s">
        <v>2990</v>
      </c>
      <c r="B1003" t="s">
        <v>2991</v>
      </c>
      <c r="C1003" t="s">
        <v>2992</v>
      </c>
      <c r="D1003" t="s">
        <v>2991</v>
      </c>
    </row>
    <row r="1004" spans="1:4" x14ac:dyDescent="0.25">
      <c r="A1004" t="s">
        <v>2993</v>
      </c>
      <c r="B1004" t="s">
        <v>2994</v>
      </c>
      <c r="C1004" t="s">
        <v>2995</v>
      </c>
      <c r="D1004" t="s">
        <v>2994</v>
      </c>
    </row>
    <row r="1005" spans="1:4" x14ac:dyDescent="0.25">
      <c r="A1005" t="s">
        <v>2996</v>
      </c>
      <c r="B1005" t="s">
        <v>2997</v>
      </c>
      <c r="C1005" t="s">
        <v>2998</v>
      </c>
      <c r="D1005" t="s">
        <v>2997</v>
      </c>
    </row>
    <row r="1006" spans="1:4" x14ac:dyDescent="0.25">
      <c r="A1006" t="s">
        <v>2999</v>
      </c>
      <c r="B1006" t="s">
        <v>3000</v>
      </c>
      <c r="C1006" t="s">
        <v>3001</v>
      </c>
      <c r="D1006" t="s">
        <v>3000</v>
      </c>
    </row>
    <row r="1007" spans="1:4" x14ac:dyDescent="0.25">
      <c r="A1007" t="s">
        <v>3002</v>
      </c>
      <c r="B1007" t="s">
        <v>3003</v>
      </c>
      <c r="C1007" t="s">
        <v>3004</v>
      </c>
      <c r="D1007" t="s">
        <v>3003</v>
      </c>
    </row>
    <row r="1008" spans="1:4" x14ac:dyDescent="0.25">
      <c r="A1008" t="s">
        <v>3005</v>
      </c>
      <c r="B1008" t="s">
        <v>3006</v>
      </c>
      <c r="C1008" t="s">
        <v>3007</v>
      </c>
      <c r="D1008" t="s">
        <v>3006</v>
      </c>
    </row>
    <row r="1009" spans="1:4" x14ac:dyDescent="0.25">
      <c r="A1009" t="s">
        <v>3008</v>
      </c>
      <c r="B1009" t="s">
        <v>3009</v>
      </c>
      <c r="C1009" t="s">
        <v>3010</v>
      </c>
      <c r="D1009" t="s">
        <v>3009</v>
      </c>
    </row>
    <row r="1010" spans="1:4" x14ac:dyDescent="0.25">
      <c r="A1010" t="s">
        <v>3011</v>
      </c>
      <c r="B1010" t="s">
        <v>3012</v>
      </c>
      <c r="C1010" t="s">
        <v>3013</v>
      </c>
      <c r="D1010" t="s">
        <v>3012</v>
      </c>
    </row>
    <row r="1011" spans="1:4" x14ac:dyDescent="0.25">
      <c r="A1011" t="s">
        <v>3014</v>
      </c>
      <c r="B1011" t="s">
        <v>3015</v>
      </c>
      <c r="C1011" t="s">
        <v>3016</v>
      </c>
      <c r="D1011" t="s">
        <v>3015</v>
      </c>
    </row>
    <row r="1012" spans="1:4" x14ac:dyDescent="0.25">
      <c r="A1012" t="s">
        <v>3017</v>
      </c>
      <c r="B1012" t="s">
        <v>3018</v>
      </c>
      <c r="C1012" t="s">
        <v>3019</v>
      </c>
      <c r="D1012" t="s">
        <v>3018</v>
      </c>
    </row>
    <row r="1013" spans="1:4" x14ac:dyDescent="0.25">
      <c r="A1013" t="s">
        <v>3020</v>
      </c>
      <c r="B1013" t="s">
        <v>3021</v>
      </c>
      <c r="C1013" t="s">
        <v>3022</v>
      </c>
      <c r="D1013" t="s">
        <v>3021</v>
      </c>
    </row>
    <row r="1014" spans="1:4" x14ac:dyDescent="0.25">
      <c r="A1014" t="s">
        <v>3023</v>
      </c>
      <c r="B1014" t="s">
        <v>3024</v>
      </c>
      <c r="C1014" t="s">
        <v>3025</v>
      </c>
      <c r="D1014" t="s">
        <v>3024</v>
      </c>
    </row>
    <row r="1015" spans="1:4" x14ac:dyDescent="0.25">
      <c r="A1015" t="s">
        <v>3026</v>
      </c>
      <c r="B1015" t="s">
        <v>3027</v>
      </c>
      <c r="C1015" t="s">
        <v>3028</v>
      </c>
      <c r="D1015" t="s">
        <v>3027</v>
      </c>
    </row>
    <row r="1016" spans="1:4" x14ac:dyDescent="0.25">
      <c r="A1016" t="s">
        <v>3029</v>
      </c>
      <c r="B1016" t="s">
        <v>3030</v>
      </c>
      <c r="C1016" t="s">
        <v>3031</v>
      </c>
      <c r="D1016" t="s">
        <v>3030</v>
      </c>
    </row>
    <row r="1017" spans="1:4" x14ac:dyDescent="0.25">
      <c r="A1017" t="s">
        <v>3032</v>
      </c>
      <c r="B1017" t="s">
        <v>3033</v>
      </c>
      <c r="C1017" t="s">
        <v>3034</v>
      </c>
      <c r="D1017" t="s">
        <v>3033</v>
      </c>
    </row>
    <row r="1018" spans="1:4" x14ac:dyDescent="0.25">
      <c r="A1018" t="s">
        <v>3035</v>
      </c>
      <c r="B1018" t="s">
        <v>3036</v>
      </c>
      <c r="C1018" t="s">
        <v>3037</v>
      </c>
      <c r="D1018" t="s">
        <v>3036</v>
      </c>
    </row>
    <row r="1019" spans="1:4" x14ac:dyDescent="0.25">
      <c r="A1019" t="s">
        <v>3038</v>
      </c>
      <c r="B1019" t="s">
        <v>3039</v>
      </c>
      <c r="C1019" t="s">
        <v>3040</v>
      </c>
      <c r="D1019" t="s">
        <v>3039</v>
      </c>
    </row>
    <row r="1020" spans="1:4" x14ac:dyDescent="0.25">
      <c r="A1020" t="s">
        <v>3041</v>
      </c>
      <c r="B1020" t="s">
        <v>3042</v>
      </c>
      <c r="C1020" t="s">
        <v>3043</v>
      </c>
      <c r="D1020" t="s">
        <v>3042</v>
      </c>
    </row>
    <row r="1021" spans="1:4" x14ac:dyDescent="0.25">
      <c r="A1021" t="s">
        <v>3044</v>
      </c>
      <c r="B1021" t="s">
        <v>3045</v>
      </c>
      <c r="C1021" t="s">
        <v>3046</v>
      </c>
      <c r="D1021" t="s">
        <v>3045</v>
      </c>
    </row>
    <row r="1022" spans="1:4" x14ac:dyDescent="0.25">
      <c r="A1022" t="s">
        <v>3047</v>
      </c>
      <c r="B1022" t="s">
        <v>3048</v>
      </c>
      <c r="C1022" t="s">
        <v>3049</v>
      </c>
      <c r="D1022" t="s">
        <v>3048</v>
      </c>
    </row>
    <row r="1023" spans="1:4" x14ac:dyDescent="0.25">
      <c r="A1023" t="s">
        <v>3050</v>
      </c>
      <c r="B1023" t="s">
        <v>3051</v>
      </c>
      <c r="C1023" t="s">
        <v>3052</v>
      </c>
      <c r="D1023" t="s">
        <v>3051</v>
      </c>
    </row>
    <row r="1024" spans="1:4" x14ac:dyDescent="0.25">
      <c r="A1024" t="s">
        <v>3053</v>
      </c>
      <c r="B1024" t="s">
        <v>3054</v>
      </c>
      <c r="C1024" t="s">
        <v>3055</v>
      </c>
      <c r="D1024" t="s">
        <v>3054</v>
      </c>
    </row>
    <row r="1025" spans="1:4" x14ac:dyDescent="0.25">
      <c r="A1025" t="s">
        <v>3056</v>
      </c>
      <c r="B1025" t="s">
        <v>3057</v>
      </c>
      <c r="C1025" t="s">
        <v>3058</v>
      </c>
      <c r="D1025" t="s">
        <v>3057</v>
      </c>
    </row>
    <row r="1026" spans="1:4" x14ac:dyDescent="0.25">
      <c r="A1026" t="s">
        <v>3059</v>
      </c>
      <c r="B1026" t="s">
        <v>3060</v>
      </c>
      <c r="C1026" t="s">
        <v>3061</v>
      </c>
      <c r="D1026" t="s">
        <v>3060</v>
      </c>
    </row>
    <row r="1027" spans="1:4" x14ac:dyDescent="0.25">
      <c r="A1027" t="s">
        <v>3062</v>
      </c>
      <c r="B1027" t="s">
        <v>3063</v>
      </c>
      <c r="C1027" t="s">
        <v>3064</v>
      </c>
      <c r="D1027" t="s">
        <v>3063</v>
      </c>
    </row>
    <row r="1028" spans="1:4" x14ac:dyDescent="0.25">
      <c r="A1028" t="s">
        <v>3065</v>
      </c>
      <c r="B1028" t="s">
        <v>3066</v>
      </c>
      <c r="C1028" t="s">
        <v>3067</v>
      </c>
      <c r="D1028" t="s">
        <v>3066</v>
      </c>
    </row>
    <row r="1029" spans="1:4" x14ac:dyDescent="0.25">
      <c r="A1029" t="s">
        <v>3068</v>
      </c>
      <c r="B1029" t="s">
        <v>3069</v>
      </c>
      <c r="C1029" t="s">
        <v>3070</v>
      </c>
      <c r="D1029" t="s">
        <v>3069</v>
      </c>
    </row>
    <row r="1030" spans="1:4" x14ac:dyDescent="0.25">
      <c r="A1030" t="s">
        <v>3071</v>
      </c>
      <c r="B1030" t="s">
        <v>3072</v>
      </c>
      <c r="C1030" t="s">
        <v>3073</v>
      </c>
      <c r="D1030" t="s">
        <v>3072</v>
      </c>
    </row>
    <row r="1031" spans="1:4" x14ac:dyDescent="0.25">
      <c r="A1031" t="s">
        <v>3074</v>
      </c>
      <c r="B1031" t="s">
        <v>3075</v>
      </c>
      <c r="C1031" t="s">
        <v>3076</v>
      </c>
      <c r="D1031" t="s">
        <v>3075</v>
      </c>
    </row>
    <row r="1032" spans="1:4" x14ac:dyDescent="0.25">
      <c r="A1032" t="s">
        <v>3077</v>
      </c>
      <c r="B1032" t="s">
        <v>3078</v>
      </c>
      <c r="C1032" t="s">
        <v>3079</v>
      </c>
      <c r="D1032" t="s">
        <v>3078</v>
      </c>
    </row>
    <row r="1033" spans="1:4" x14ac:dyDescent="0.25">
      <c r="A1033" t="s">
        <v>3080</v>
      </c>
      <c r="B1033" t="s">
        <v>3081</v>
      </c>
      <c r="C1033" t="s">
        <v>3082</v>
      </c>
      <c r="D1033" t="s">
        <v>3081</v>
      </c>
    </row>
    <row r="1034" spans="1:4" x14ac:dyDescent="0.25">
      <c r="A1034" t="s">
        <v>3083</v>
      </c>
      <c r="B1034" t="s">
        <v>3084</v>
      </c>
      <c r="C1034" t="s">
        <v>3085</v>
      </c>
      <c r="D1034" t="s">
        <v>3084</v>
      </c>
    </row>
    <row r="1035" spans="1:4" x14ac:dyDescent="0.25">
      <c r="A1035" t="s">
        <v>3086</v>
      </c>
      <c r="B1035" t="s">
        <v>3087</v>
      </c>
      <c r="C1035" t="s">
        <v>3088</v>
      </c>
      <c r="D1035" t="s">
        <v>3087</v>
      </c>
    </row>
    <row r="1036" spans="1:4" x14ac:dyDescent="0.25">
      <c r="A1036" t="s">
        <v>3089</v>
      </c>
      <c r="B1036" t="s">
        <v>3090</v>
      </c>
      <c r="C1036" t="s">
        <v>3091</v>
      </c>
      <c r="D1036" t="s">
        <v>3090</v>
      </c>
    </row>
    <row r="1037" spans="1:4" x14ac:dyDescent="0.25">
      <c r="A1037" t="s">
        <v>3092</v>
      </c>
      <c r="B1037" t="s">
        <v>3093</v>
      </c>
      <c r="C1037" t="s">
        <v>3094</v>
      </c>
      <c r="D1037" t="s">
        <v>3093</v>
      </c>
    </row>
    <row r="1038" spans="1:4" x14ac:dyDescent="0.25">
      <c r="A1038" t="s">
        <v>3095</v>
      </c>
      <c r="B1038" t="s">
        <v>3096</v>
      </c>
      <c r="C1038" t="s">
        <v>3097</v>
      </c>
      <c r="D1038" t="s">
        <v>3096</v>
      </c>
    </row>
    <row r="1039" spans="1:4" x14ac:dyDescent="0.25">
      <c r="A1039" t="s">
        <v>3098</v>
      </c>
      <c r="B1039" t="s">
        <v>3099</v>
      </c>
      <c r="C1039" t="s">
        <v>3100</v>
      </c>
      <c r="D1039" t="s">
        <v>3099</v>
      </c>
    </row>
    <row r="1040" spans="1:4" x14ac:dyDescent="0.25">
      <c r="A1040" t="s">
        <v>3101</v>
      </c>
      <c r="B1040" t="s">
        <v>3102</v>
      </c>
      <c r="C1040" t="s">
        <v>3103</v>
      </c>
      <c r="D1040" t="s">
        <v>3102</v>
      </c>
    </row>
    <row r="1041" spans="1:4" x14ac:dyDescent="0.25">
      <c r="A1041" t="s">
        <v>3104</v>
      </c>
      <c r="B1041" t="s">
        <v>3105</v>
      </c>
      <c r="C1041" t="s">
        <v>3106</v>
      </c>
      <c r="D1041" t="s">
        <v>3105</v>
      </c>
    </row>
    <row r="1042" spans="1:4" x14ac:dyDescent="0.25">
      <c r="A1042" t="s">
        <v>3107</v>
      </c>
      <c r="B1042" t="s">
        <v>3108</v>
      </c>
      <c r="C1042" t="s">
        <v>3109</v>
      </c>
      <c r="D1042" t="s">
        <v>3108</v>
      </c>
    </row>
    <row r="1043" spans="1:4" x14ac:dyDescent="0.25">
      <c r="A1043" t="s">
        <v>3110</v>
      </c>
      <c r="B1043" t="s">
        <v>3111</v>
      </c>
      <c r="C1043" t="s">
        <v>3112</v>
      </c>
      <c r="D1043" t="s">
        <v>3111</v>
      </c>
    </row>
    <row r="1044" spans="1:4" x14ac:dyDescent="0.25">
      <c r="A1044" t="s">
        <v>3113</v>
      </c>
      <c r="B1044" t="s">
        <v>3114</v>
      </c>
      <c r="C1044" t="s">
        <v>3115</v>
      </c>
      <c r="D1044" t="s">
        <v>3114</v>
      </c>
    </row>
    <row r="1045" spans="1:4" x14ac:dyDescent="0.25">
      <c r="A1045" t="s">
        <v>3116</v>
      </c>
      <c r="B1045" t="s">
        <v>3117</v>
      </c>
      <c r="C1045" t="s">
        <v>3118</v>
      </c>
      <c r="D1045" t="s">
        <v>3117</v>
      </c>
    </row>
    <row r="1046" spans="1:4" x14ac:dyDescent="0.25">
      <c r="A1046" t="s">
        <v>3119</v>
      </c>
      <c r="B1046" t="s">
        <v>3120</v>
      </c>
      <c r="C1046" t="s">
        <v>3121</v>
      </c>
      <c r="D1046" t="s">
        <v>3120</v>
      </c>
    </row>
    <row r="1047" spans="1:4" x14ac:dyDescent="0.25">
      <c r="A1047" t="s">
        <v>3122</v>
      </c>
      <c r="B1047" t="s">
        <v>3123</v>
      </c>
      <c r="C1047" t="s">
        <v>3124</v>
      </c>
      <c r="D1047" t="s">
        <v>3123</v>
      </c>
    </row>
    <row r="1048" spans="1:4" x14ac:dyDescent="0.25">
      <c r="A1048" t="s">
        <v>3125</v>
      </c>
      <c r="B1048" t="s">
        <v>3126</v>
      </c>
      <c r="C1048" t="s">
        <v>3127</v>
      </c>
      <c r="D1048" t="s">
        <v>3126</v>
      </c>
    </row>
    <row r="1049" spans="1:4" x14ac:dyDescent="0.25">
      <c r="A1049" t="s">
        <v>3128</v>
      </c>
      <c r="B1049" t="s">
        <v>3129</v>
      </c>
      <c r="C1049" t="s">
        <v>3130</v>
      </c>
      <c r="D1049" t="s">
        <v>3129</v>
      </c>
    </row>
    <row r="1050" spans="1:4" x14ac:dyDescent="0.25">
      <c r="A1050" t="s">
        <v>3131</v>
      </c>
      <c r="B1050" t="s">
        <v>3132</v>
      </c>
      <c r="C1050" t="s">
        <v>3133</v>
      </c>
      <c r="D1050" t="s">
        <v>3132</v>
      </c>
    </row>
    <row r="1051" spans="1:4" x14ac:dyDescent="0.25">
      <c r="A1051" t="s">
        <v>3134</v>
      </c>
      <c r="B1051" t="s">
        <v>3135</v>
      </c>
      <c r="C1051" t="s">
        <v>3136</v>
      </c>
      <c r="D1051" t="s">
        <v>3135</v>
      </c>
    </row>
    <row r="1052" spans="1:4" x14ac:dyDescent="0.25">
      <c r="A1052" t="s">
        <v>3137</v>
      </c>
      <c r="B1052" t="s">
        <v>3138</v>
      </c>
      <c r="C1052" t="s">
        <v>3139</v>
      </c>
      <c r="D1052" t="s">
        <v>3138</v>
      </c>
    </row>
    <row r="1053" spans="1:4" x14ac:dyDescent="0.25">
      <c r="A1053" t="s">
        <v>3140</v>
      </c>
      <c r="B1053" t="s">
        <v>3141</v>
      </c>
      <c r="C1053" t="s">
        <v>3142</v>
      </c>
      <c r="D1053" t="s">
        <v>3141</v>
      </c>
    </row>
    <row r="1054" spans="1:4" x14ac:dyDescent="0.25">
      <c r="A1054" t="s">
        <v>3143</v>
      </c>
      <c r="B1054" t="s">
        <v>3144</v>
      </c>
      <c r="C1054" t="s">
        <v>3145</v>
      </c>
      <c r="D1054" t="s">
        <v>3144</v>
      </c>
    </row>
    <row r="1055" spans="1:4" x14ac:dyDescent="0.25">
      <c r="A1055" t="s">
        <v>3146</v>
      </c>
      <c r="B1055" t="s">
        <v>3147</v>
      </c>
      <c r="C1055" t="s">
        <v>3148</v>
      </c>
      <c r="D1055" t="s">
        <v>3147</v>
      </c>
    </row>
    <row r="1056" spans="1:4" x14ac:dyDescent="0.25">
      <c r="A1056" t="s">
        <v>3149</v>
      </c>
      <c r="B1056" t="s">
        <v>3150</v>
      </c>
      <c r="C1056" t="s">
        <v>3151</v>
      </c>
      <c r="D1056" t="s">
        <v>3150</v>
      </c>
    </row>
    <row r="1057" spans="1:4" x14ac:dyDescent="0.25">
      <c r="A1057" t="s">
        <v>3152</v>
      </c>
      <c r="B1057" t="s">
        <v>3153</v>
      </c>
      <c r="C1057" t="s">
        <v>3154</v>
      </c>
      <c r="D1057" t="s">
        <v>3153</v>
      </c>
    </row>
    <row r="1058" spans="1:4" x14ac:dyDescent="0.25">
      <c r="A1058" t="s">
        <v>3155</v>
      </c>
      <c r="B1058" t="s">
        <v>3156</v>
      </c>
      <c r="C1058" t="s">
        <v>3157</v>
      </c>
      <c r="D1058" t="s">
        <v>3156</v>
      </c>
    </row>
    <row r="1059" spans="1:4" x14ac:dyDescent="0.25">
      <c r="A1059" t="s">
        <v>3158</v>
      </c>
      <c r="B1059" t="s">
        <v>3159</v>
      </c>
      <c r="C1059" t="s">
        <v>3160</v>
      </c>
      <c r="D1059" t="s">
        <v>3159</v>
      </c>
    </row>
    <row r="1060" spans="1:4" x14ac:dyDescent="0.25">
      <c r="A1060" t="s">
        <v>3161</v>
      </c>
      <c r="B1060" t="s">
        <v>3162</v>
      </c>
      <c r="C1060" t="s">
        <v>3163</v>
      </c>
      <c r="D1060" t="s">
        <v>3162</v>
      </c>
    </row>
    <row r="1061" spans="1:4" x14ac:dyDescent="0.25">
      <c r="A1061" t="s">
        <v>3164</v>
      </c>
      <c r="B1061" t="s">
        <v>3165</v>
      </c>
      <c r="C1061" t="s">
        <v>3166</v>
      </c>
      <c r="D1061" t="s">
        <v>3165</v>
      </c>
    </row>
    <row r="1062" spans="1:4" x14ac:dyDescent="0.25">
      <c r="A1062" t="s">
        <v>3167</v>
      </c>
      <c r="B1062" t="s">
        <v>3168</v>
      </c>
      <c r="C1062" t="s">
        <v>3169</v>
      </c>
      <c r="D1062" t="s">
        <v>3168</v>
      </c>
    </row>
    <row r="1063" spans="1:4" x14ac:dyDescent="0.25">
      <c r="A1063" t="s">
        <v>3170</v>
      </c>
      <c r="B1063" t="s">
        <v>3171</v>
      </c>
      <c r="C1063" t="s">
        <v>3172</v>
      </c>
      <c r="D1063" t="s">
        <v>3171</v>
      </c>
    </row>
    <row r="1064" spans="1:4" x14ac:dyDescent="0.25">
      <c r="A1064" t="s">
        <v>3173</v>
      </c>
      <c r="B1064" t="s">
        <v>3174</v>
      </c>
      <c r="C1064" t="s">
        <v>3175</v>
      </c>
      <c r="D1064" t="s">
        <v>3174</v>
      </c>
    </row>
    <row r="1065" spans="1:4" x14ac:dyDescent="0.25">
      <c r="A1065" t="s">
        <v>3176</v>
      </c>
      <c r="B1065" t="s">
        <v>3177</v>
      </c>
      <c r="C1065" t="s">
        <v>3178</v>
      </c>
      <c r="D1065" t="s">
        <v>3177</v>
      </c>
    </row>
    <row r="1066" spans="1:4" x14ac:dyDescent="0.25">
      <c r="A1066" t="s">
        <v>3179</v>
      </c>
      <c r="B1066" t="s">
        <v>3180</v>
      </c>
      <c r="C1066" t="s">
        <v>3181</v>
      </c>
      <c r="D1066" t="s">
        <v>3180</v>
      </c>
    </row>
    <row r="1067" spans="1:4" x14ac:dyDescent="0.25">
      <c r="A1067" t="s">
        <v>3182</v>
      </c>
      <c r="B1067" t="s">
        <v>3183</v>
      </c>
      <c r="C1067" t="s">
        <v>3184</v>
      </c>
      <c r="D1067" t="s">
        <v>3183</v>
      </c>
    </row>
    <row r="1068" spans="1:4" x14ac:dyDescent="0.25">
      <c r="A1068" t="s">
        <v>3185</v>
      </c>
      <c r="B1068" t="s">
        <v>3186</v>
      </c>
      <c r="C1068" t="s">
        <v>3187</v>
      </c>
      <c r="D1068" t="s">
        <v>3186</v>
      </c>
    </row>
    <row r="1069" spans="1:4" x14ac:dyDescent="0.25">
      <c r="A1069" t="s">
        <v>3188</v>
      </c>
      <c r="B1069" t="s">
        <v>3189</v>
      </c>
      <c r="C1069" t="s">
        <v>3190</v>
      </c>
      <c r="D1069" t="s">
        <v>3189</v>
      </c>
    </row>
    <row r="1070" spans="1:4" x14ac:dyDescent="0.25">
      <c r="A1070" t="s">
        <v>3191</v>
      </c>
      <c r="B1070" t="s">
        <v>3192</v>
      </c>
      <c r="C1070" t="s">
        <v>3193</v>
      </c>
      <c r="D1070" t="s">
        <v>3192</v>
      </c>
    </row>
    <row r="1071" spans="1:4" x14ac:dyDescent="0.25">
      <c r="A1071" t="s">
        <v>3194</v>
      </c>
      <c r="B1071" t="s">
        <v>3195</v>
      </c>
      <c r="C1071" t="s">
        <v>3196</v>
      </c>
      <c r="D1071" t="s">
        <v>3195</v>
      </c>
    </row>
    <row r="1072" spans="1:4" x14ac:dyDescent="0.25">
      <c r="A1072" t="s">
        <v>3197</v>
      </c>
      <c r="B1072" t="s">
        <v>3198</v>
      </c>
      <c r="C1072" t="s">
        <v>3199</v>
      </c>
      <c r="D1072" t="s">
        <v>3198</v>
      </c>
    </row>
    <row r="1073" spans="1:4" x14ac:dyDescent="0.25">
      <c r="A1073" t="s">
        <v>3200</v>
      </c>
      <c r="B1073" t="s">
        <v>3201</v>
      </c>
      <c r="C1073" t="s">
        <v>3202</v>
      </c>
      <c r="D1073" t="s">
        <v>3201</v>
      </c>
    </row>
    <row r="1074" spans="1:4" x14ac:dyDescent="0.25">
      <c r="A1074" t="s">
        <v>3203</v>
      </c>
      <c r="B1074" t="s">
        <v>3204</v>
      </c>
      <c r="C1074" t="s">
        <v>3205</v>
      </c>
      <c r="D1074" t="s">
        <v>3204</v>
      </c>
    </row>
    <row r="1075" spans="1:4" x14ac:dyDescent="0.25">
      <c r="A1075" t="s">
        <v>3206</v>
      </c>
      <c r="B1075" t="s">
        <v>3207</v>
      </c>
      <c r="C1075" t="s">
        <v>3208</v>
      </c>
      <c r="D1075" t="s">
        <v>3207</v>
      </c>
    </row>
    <row r="1076" spans="1:4" x14ac:dyDescent="0.25">
      <c r="A1076" t="s">
        <v>3209</v>
      </c>
      <c r="B1076" t="s">
        <v>3210</v>
      </c>
      <c r="C1076" t="s">
        <v>3211</v>
      </c>
      <c r="D1076" t="s">
        <v>3210</v>
      </c>
    </row>
    <row r="1077" spans="1:4" x14ac:dyDescent="0.25">
      <c r="A1077" t="s">
        <v>3212</v>
      </c>
      <c r="B1077" t="s">
        <v>3213</v>
      </c>
      <c r="C1077" t="s">
        <v>3214</v>
      </c>
      <c r="D1077" t="s">
        <v>3213</v>
      </c>
    </row>
    <row r="1078" spans="1:4" x14ac:dyDescent="0.25">
      <c r="A1078" t="s">
        <v>3215</v>
      </c>
      <c r="B1078" t="s">
        <v>3216</v>
      </c>
      <c r="C1078" t="s">
        <v>3217</v>
      </c>
      <c r="D1078" t="s">
        <v>3216</v>
      </c>
    </row>
    <row r="1079" spans="1:4" x14ac:dyDescent="0.25">
      <c r="A1079" t="s">
        <v>3218</v>
      </c>
      <c r="B1079" t="s">
        <v>3219</v>
      </c>
      <c r="C1079" t="s">
        <v>3220</v>
      </c>
      <c r="D1079" t="s">
        <v>3219</v>
      </c>
    </row>
    <row r="1080" spans="1:4" x14ac:dyDescent="0.25">
      <c r="A1080" t="s">
        <v>3221</v>
      </c>
      <c r="B1080" t="s">
        <v>3222</v>
      </c>
      <c r="C1080" t="s">
        <v>3223</v>
      </c>
      <c r="D1080" t="s">
        <v>3222</v>
      </c>
    </row>
    <row r="1081" spans="1:4" x14ac:dyDescent="0.25">
      <c r="A1081" t="s">
        <v>3224</v>
      </c>
      <c r="B1081" t="s">
        <v>3225</v>
      </c>
      <c r="C1081" t="s">
        <v>3226</v>
      </c>
      <c r="D1081" t="s">
        <v>3225</v>
      </c>
    </row>
    <row r="1082" spans="1:4" x14ac:dyDescent="0.25">
      <c r="A1082" t="s">
        <v>3227</v>
      </c>
      <c r="B1082" t="s">
        <v>3228</v>
      </c>
      <c r="C1082" t="s">
        <v>3229</v>
      </c>
      <c r="D1082" t="s">
        <v>3228</v>
      </c>
    </row>
    <row r="1083" spans="1:4" x14ac:dyDescent="0.25">
      <c r="A1083" t="s">
        <v>3230</v>
      </c>
      <c r="B1083" t="s">
        <v>3231</v>
      </c>
      <c r="C1083" t="s">
        <v>3232</v>
      </c>
      <c r="D1083" t="s">
        <v>3231</v>
      </c>
    </row>
    <row r="1084" spans="1:4" x14ac:dyDescent="0.25">
      <c r="A1084" t="s">
        <v>3233</v>
      </c>
      <c r="B1084" t="s">
        <v>3234</v>
      </c>
      <c r="C1084" t="s">
        <v>3235</v>
      </c>
      <c r="D1084" t="s">
        <v>3234</v>
      </c>
    </row>
    <row r="1085" spans="1:4" x14ac:dyDescent="0.25">
      <c r="A1085" t="s">
        <v>3236</v>
      </c>
      <c r="B1085" t="s">
        <v>3237</v>
      </c>
      <c r="C1085" t="s">
        <v>3238</v>
      </c>
      <c r="D1085" t="s">
        <v>3237</v>
      </c>
    </row>
    <row r="1086" spans="1:4" x14ac:dyDescent="0.25">
      <c r="A1086" t="s">
        <v>3239</v>
      </c>
      <c r="B1086" t="s">
        <v>3240</v>
      </c>
      <c r="C1086" t="s">
        <v>3241</v>
      </c>
      <c r="D1086" t="s">
        <v>3240</v>
      </c>
    </row>
    <row r="1087" spans="1:4" x14ac:dyDescent="0.25">
      <c r="A1087" t="s">
        <v>3242</v>
      </c>
      <c r="B1087" t="s">
        <v>3243</v>
      </c>
      <c r="C1087" t="s">
        <v>3244</v>
      </c>
      <c r="D1087" t="s">
        <v>3243</v>
      </c>
    </row>
    <row r="1088" spans="1:4" x14ac:dyDescent="0.25">
      <c r="A1088" t="s">
        <v>3245</v>
      </c>
      <c r="B1088" t="s">
        <v>3246</v>
      </c>
      <c r="C1088" t="s">
        <v>3247</v>
      </c>
      <c r="D1088" t="s">
        <v>3246</v>
      </c>
    </row>
    <row r="1089" spans="1:4" x14ac:dyDescent="0.25">
      <c r="A1089" t="s">
        <v>3248</v>
      </c>
      <c r="B1089" t="s">
        <v>3249</v>
      </c>
      <c r="C1089" t="s">
        <v>3250</v>
      </c>
      <c r="D1089" t="s">
        <v>3249</v>
      </c>
    </row>
    <row r="1090" spans="1:4" x14ac:dyDescent="0.25">
      <c r="A1090" t="s">
        <v>3251</v>
      </c>
      <c r="B1090" t="s">
        <v>3252</v>
      </c>
      <c r="C1090" t="s">
        <v>3253</v>
      </c>
      <c r="D1090" t="s">
        <v>3252</v>
      </c>
    </row>
    <row r="1091" spans="1:4" x14ac:dyDescent="0.25">
      <c r="A1091" t="s">
        <v>3254</v>
      </c>
      <c r="B1091" t="s">
        <v>3255</v>
      </c>
      <c r="C1091" t="s">
        <v>3256</v>
      </c>
      <c r="D1091" t="s">
        <v>3255</v>
      </c>
    </row>
    <row r="1092" spans="1:4" x14ac:dyDescent="0.25">
      <c r="A1092" t="s">
        <v>3257</v>
      </c>
      <c r="B1092" t="s">
        <v>3258</v>
      </c>
      <c r="C1092" t="s">
        <v>3259</v>
      </c>
      <c r="D1092" t="s">
        <v>3258</v>
      </c>
    </row>
    <row r="1093" spans="1:4" x14ac:dyDescent="0.25">
      <c r="A1093" t="s">
        <v>3260</v>
      </c>
      <c r="B1093" t="s">
        <v>3261</v>
      </c>
      <c r="C1093" t="s">
        <v>3262</v>
      </c>
      <c r="D1093" t="s">
        <v>3261</v>
      </c>
    </row>
    <row r="1094" spans="1:4" x14ac:dyDescent="0.25">
      <c r="A1094" t="s">
        <v>3263</v>
      </c>
      <c r="B1094" t="s">
        <v>3264</v>
      </c>
      <c r="C1094" t="s">
        <v>3265</v>
      </c>
      <c r="D1094" t="s">
        <v>3264</v>
      </c>
    </row>
    <row r="1095" spans="1:4" x14ac:dyDescent="0.25">
      <c r="A1095" t="s">
        <v>3266</v>
      </c>
      <c r="B1095" t="s">
        <v>3267</v>
      </c>
      <c r="C1095" t="s">
        <v>3268</v>
      </c>
      <c r="D1095" t="s">
        <v>3267</v>
      </c>
    </row>
    <row r="1096" spans="1:4" x14ac:dyDescent="0.25">
      <c r="A1096" t="s">
        <v>3269</v>
      </c>
      <c r="B1096" t="s">
        <v>3270</v>
      </c>
      <c r="C1096" t="s">
        <v>3271</v>
      </c>
      <c r="D1096" t="s">
        <v>3270</v>
      </c>
    </row>
    <row r="1097" spans="1:4" x14ac:dyDescent="0.25">
      <c r="A1097" t="s">
        <v>3272</v>
      </c>
      <c r="B1097" t="s">
        <v>3273</v>
      </c>
      <c r="C1097" t="s">
        <v>3274</v>
      </c>
      <c r="D1097" t="s">
        <v>3273</v>
      </c>
    </row>
    <row r="1098" spans="1:4" x14ac:dyDescent="0.25">
      <c r="A1098" t="s">
        <v>3275</v>
      </c>
      <c r="B1098" t="s">
        <v>3276</v>
      </c>
      <c r="C1098" t="s">
        <v>3277</v>
      </c>
      <c r="D1098" t="s">
        <v>3276</v>
      </c>
    </row>
    <row r="1099" spans="1:4" x14ac:dyDescent="0.25">
      <c r="A1099" t="s">
        <v>3278</v>
      </c>
      <c r="B1099" t="s">
        <v>3279</v>
      </c>
      <c r="C1099" t="s">
        <v>3280</v>
      </c>
      <c r="D1099" t="s">
        <v>3279</v>
      </c>
    </row>
    <row r="1100" spans="1:4" x14ac:dyDescent="0.25">
      <c r="A1100" t="s">
        <v>3281</v>
      </c>
      <c r="B1100" t="s">
        <v>3282</v>
      </c>
      <c r="C1100" t="s">
        <v>3283</v>
      </c>
      <c r="D1100" t="s">
        <v>3282</v>
      </c>
    </row>
    <row r="1101" spans="1:4" x14ac:dyDescent="0.25">
      <c r="A1101" t="s">
        <v>3284</v>
      </c>
      <c r="B1101" t="s">
        <v>3285</v>
      </c>
      <c r="C1101" t="s">
        <v>3286</v>
      </c>
      <c r="D1101" t="s">
        <v>3285</v>
      </c>
    </row>
    <row r="1102" spans="1:4" x14ac:dyDescent="0.25">
      <c r="A1102" t="s">
        <v>3287</v>
      </c>
      <c r="B1102" t="s">
        <v>3288</v>
      </c>
      <c r="C1102" t="s">
        <v>3289</v>
      </c>
      <c r="D1102" t="s">
        <v>3288</v>
      </c>
    </row>
    <row r="1103" spans="1:4" x14ac:dyDescent="0.25">
      <c r="A1103" t="s">
        <v>3290</v>
      </c>
      <c r="B1103" t="s">
        <v>3291</v>
      </c>
      <c r="C1103" t="s">
        <v>3292</v>
      </c>
      <c r="D1103" t="s">
        <v>3291</v>
      </c>
    </row>
    <row r="1104" spans="1:4" x14ac:dyDescent="0.25">
      <c r="A1104" t="s">
        <v>3293</v>
      </c>
      <c r="B1104" t="s">
        <v>3294</v>
      </c>
      <c r="C1104" t="s">
        <v>3295</v>
      </c>
      <c r="D1104" t="s">
        <v>3294</v>
      </c>
    </row>
    <row r="1105" spans="1:4" x14ac:dyDescent="0.25">
      <c r="A1105" t="s">
        <v>3296</v>
      </c>
      <c r="B1105" t="s">
        <v>3297</v>
      </c>
      <c r="C1105" t="s">
        <v>3298</v>
      </c>
      <c r="D1105" t="s">
        <v>3297</v>
      </c>
    </row>
    <row r="1106" spans="1:4" x14ac:dyDescent="0.25">
      <c r="A1106" t="s">
        <v>3299</v>
      </c>
      <c r="B1106" t="s">
        <v>3300</v>
      </c>
      <c r="C1106" t="s">
        <v>3301</v>
      </c>
      <c r="D1106" t="s">
        <v>3300</v>
      </c>
    </row>
    <row r="1107" spans="1:4" x14ac:dyDescent="0.25">
      <c r="A1107" t="s">
        <v>3302</v>
      </c>
      <c r="B1107" t="s">
        <v>3303</v>
      </c>
      <c r="C1107" t="s">
        <v>3304</v>
      </c>
      <c r="D1107" t="s">
        <v>3303</v>
      </c>
    </row>
    <row r="1108" spans="1:4" x14ac:dyDescent="0.25">
      <c r="A1108" t="s">
        <v>3305</v>
      </c>
      <c r="B1108" t="s">
        <v>3306</v>
      </c>
      <c r="C1108" t="s">
        <v>3307</v>
      </c>
      <c r="D1108" t="s">
        <v>3306</v>
      </c>
    </row>
    <row r="1109" spans="1:4" x14ac:dyDescent="0.25">
      <c r="A1109" t="s">
        <v>3308</v>
      </c>
      <c r="B1109" t="s">
        <v>3309</v>
      </c>
      <c r="C1109" t="s">
        <v>3310</v>
      </c>
      <c r="D1109" t="s">
        <v>3309</v>
      </c>
    </row>
    <row r="1110" spans="1:4" x14ac:dyDescent="0.25">
      <c r="A1110" t="s">
        <v>3311</v>
      </c>
      <c r="B1110" t="s">
        <v>3312</v>
      </c>
      <c r="C1110" t="s">
        <v>3313</v>
      </c>
      <c r="D1110" t="s">
        <v>3312</v>
      </c>
    </row>
    <row r="1111" spans="1:4" x14ac:dyDescent="0.25">
      <c r="A1111" t="s">
        <v>3314</v>
      </c>
      <c r="B1111" t="s">
        <v>3315</v>
      </c>
      <c r="C1111" t="s">
        <v>3316</v>
      </c>
      <c r="D1111" t="s">
        <v>3315</v>
      </c>
    </row>
    <row r="1112" spans="1:4" x14ac:dyDescent="0.25">
      <c r="A1112" t="s">
        <v>3317</v>
      </c>
      <c r="B1112" t="s">
        <v>3318</v>
      </c>
      <c r="C1112" t="s">
        <v>3319</v>
      </c>
      <c r="D1112" t="s">
        <v>3318</v>
      </c>
    </row>
    <row r="1113" spans="1:4" x14ac:dyDescent="0.25">
      <c r="A1113" t="s">
        <v>3320</v>
      </c>
      <c r="B1113" t="s">
        <v>3321</v>
      </c>
      <c r="C1113" t="s">
        <v>3322</v>
      </c>
      <c r="D1113" t="s">
        <v>3321</v>
      </c>
    </row>
    <row r="1114" spans="1:4" x14ac:dyDescent="0.25">
      <c r="A1114" t="s">
        <v>3323</v>
      </c>
      <c r="B1114" t="s">
        <v>3324</v>
      </c>
      <c r="C1114" t="s">
        <v>3325</v>
      </c>
      <c r="D1114" t="s">
        <v>3324</v>
      </c>
    </row>
    <row r="1115" spans="1:4" x14ac:dyDescent="0.25">
      <c r="A1115" t="s">
        <v>3326</v>
      </c>
      <c r="B1115" t="s">
        <v>3327</v>
      </c>
      <c r="C1115" t="s">
        <v>3328</v>
      </c>
      <c r="D1115" t="s">
        <v>3327</v>
      </c>
    </row>
    <row r="1116" spans="1:4" x14ac:dyDescent="0.25">
      <c r="A1116" t="s">
        <v>3329</v>
      </c>
      <c r="B1116" t="s">
        <v>3330</v>
      </c>
      <c r="C1116" t="s">
        <v>3331</v>
      </c>
      <c r="D1116" t="s">
        <v>3330</v>
      </c>
    </row>
    <row r="1117" spans="1:4" x14ac:dyDescent="0.25">
      <c r="A1117" t="s">
        <v>3332</v>
      </c>
      <c r="B1117" t="s">
        <v>3333</v>
      </c>
      <c r="C1117" t="s">
        <v>3334</v>
      </c>
      <c r="D1117" t="s">
        <v>3333</v>
      </c>
    </row>
    <row r="1118" spans="1:4" x14ac:dyDescent="0.25">
      <c r="A1118" t="s">
        <v>3335</v>
      </c>
      <c r="B1118" t="s">
        <v>3336</v>
      </c>
      <c r="C1118" t="s">
        <v>3337</v>
      </c>
      <c r="D1118" t="s">
        <v>3336</v>
      </c>
    </row>
    <row r="1119" spans="1:4" x14ac:dyDescent="0.25">
      <c r="A1119" t="s">
        <v>3338</v>
      </c>
      <c r="B1119" t="s">
        <v>3339</v>
      </c>
      <c r="C1119" t="s">
        <v>3340</v>
      </c>
      <c r="D1119" t="s">
        <v>3339</v>
      </c>
    </row>
    <row r="1120" spans="1:4" x14ac:dyDescent="0.25">
      <c r="A1120" t="s">
        <v>3341</v>
      </c>
      <c r="B1120" t="s">
        <v>3342</v>
      </c>
      <c r="C1120" t="s">
        <v>3343</v>
      </c>
      <c r="D1120" t="s">
        <v>3342</v>
      </c>
    </row>
    <row r="1121" spans="1:4" x14ac:dyDescent="0.25">
      <c r="A1121" t="s">
        <v>3344</v>
      </c>
      <c r="B1121" t="s">
        <v>3345</v>
      </c>
      <c r="C1121" t="s">
        <v>3346</v>
      </c>
      <c r="D1121" t="s">
        <v>3345</v>
      </c>
    </row>
    <row r="1122" spans="1:4" x14ac:dyDescent="0.25">
      <c r="A1122" t="s">
        <v>3347</v>
      </c>
      <c r="B1122" t="s">
        <v>3348</v>
      </c>
      <c r="C1122" t="s">
        <v>3349</v>
      </c>
      <c r="D1122" t="s">
        <v>3348</v>
      </c>
    </row>
    <row r="1123" spans="1:4" x14ac:dyDescent="0.25">
      <c r="A1123" t="s">
        <v>3350</v>
      </c>
      <c r="B1123" t="s">
        <v>3351</v>
      </c>
      <c r="C1123" t="s">
        <v>3352</v>
      </c>
      <c r="D1123" t="s">
        <v>3351</v>
      </c>
    </row>
    <row r="1124" spans="1:4" x14ac:dyDescent="0.25">
      <c r="A1124" t="s">
        <v>3353</v>
      </c>
      <c r="B1124" t="s">
        <v>3354</v>
      </c>
      <c r="C1124" t="s">
        <v>3355</v>
      </c>
      <c r="D1124" t="s">
        <v>3354</v>
      </c>
    </row>
    <row r="1125" spans="1:4" x14ac:dyDescent="0.25">
      <c r="A1125" t="s">
        <v>3356</v>
      </c>
      <c r="B1125" t="s">
        <v>3357</v>
      </c>
      <c r="C1125" t="s">
        <v>3358</v>
      </c>
      <c r="D1125" t="s">
        <v>3357</v>
      </c>
    </row>
    <row r="1126" spans="1:4" x14ac:dyDescent="0.25">
      <c r="A1126" t="s">
        <v>3359</v>
      </c>
      <c r="B1126" t="s">
        <v>3360</v>
      </c>
      <c r="C1126" t="s">
        <v>3361</v>
      </c>
      <c r="D1126" t="s">
        <v>3360</v>
      </c>
    </row>
    <row r="1127" spans="1:4" x14ac:dyDescent="0.25">
      <c r="A1127" t="s">
        <v>3362</v>
      </c>
      <c r="B1127" t="s">
        <v>3363</v>
      </c>
      <c r="C1127" t="s">
        <v>3364</v>
      </c>
      <c r="D1127" t="s">
        <v>3363</v>
      </c>
    </row>
    <row r="1128" spans="1:4" x14ac:dyDescent="0.25">
      <c r="A1128" t="s">
        <v>3365</v>
      </c>
      <c r="B1128" t="s">
        <v>3366</v>
      </c>
      <c r="C1128" t="s">
        <v>3367</v>
      </c>
      <c r="D1128" t="s">
        <v>3366</v>
      </c>
    </row>
    <row r="1129" spans="1:4" x14ac:dyDescent="0.25">
      <c r="A1129" t="s">
        <v>3368</v>
      </c>
      <c r="B1129" t="s">
        <v>3369</v>
      </c>
      <c r="C1129" t="s">
        <v>3370</v>
      </c>
      <c r="D1129" t="s">
        <v>3369</v>
      </c>
    </row>
    <row r="1130" spans="1:4" x14ac:dyDescent="0.25">
      <c r="A1130" t="s">
        <v>3371</v>
      </c>
      <c r="B1130" t="s">
        <v>3372</v>
      </c>
      <c r="C1130" t="s">
        <v>3373</v>
      </c>
      <c r="D1130" t="s">
        <v>3372</v>
      </c>
    </row>
    <row r="1131" spans="1:4" x14ac:dyDescent="0.25">
      <c r="A1131" t="s">
        <v>3374</v>
      </c>
      <c r="B1131" t="s">
        <v>3375</v>
      </c>
      <c r="C1131" t="s">
        <v>3376</v>
      </c>
      <c r="D1131" t="s">
        <v>3375</v>
      </c>
    </row>
    <row r="1132" spans="1:4" x14ac:dyDescent="0.25">
      <c r="A1132" t="s">
        <v>3377</v>
      </c>
      <c r="B1132" t="s">
        <v>3378</v>
      </c>
      <c r="C1132" t="s">
        <v>3379</v>
      </c>
      <c r="D1132" t="s">
        <v>3378</v>
      </c>
    </row>
    <row r="1133" spans="1:4" x14ac:dyDescent="0.25">
      <c r="A1133" t="s">
        <v>3380</v>
      </c>
      <c r="B1133" t="s">
        <v>3381</v>
      </c>
      <c r="C1133" t="s">
        <v>3382</v>
      </c>
      <c r="D1133" t="s">
        <v>3381</v>
      </c>
    </row>
    <row r="1134" spans="1:4" x14ac:dyDescent="0.25">
      <c r="A1134" t="s">
        <v>3383</v>
      </c>
      <c r="B1134" t="s">
        <v>3384</v>
      </c>
      <c r="C1134" t="s">
        <v>3385</v>
      </c>
      <c r="D1134" t="s">
        <v>3384</v>
      </c>
    </row>
    <row r="1135" spans="1:4" x14ac:dyDescent="0.25">
      <c r="A1135" t="s">
        <v>3386</v>
      </c>
      <c r="B1135" t="s">
        <v>3387</v>
      </c>
      <c r="C1135" t="s">
        <v>3388</v>
      </c>
      <c r="D1135" t="s">
        <v>3387</v>
      </c>
    </row>
    <row r="1136" spans="1:4" x14ac:dyDescent="0.25">
      <c r="A1136" t="s">
        <v>3389</v>
      </c>
      <c r="B1136" t="s">
        <v>3390</v>
      </c>
      <c r="C1136" t="s">
        <v>3391</v>
      </c>
      <c r="D1136" t="s">
        <v>3390</v>
      </c>
    </row>
    <row r="1137" spans="1:4" x14ac:dyDescent="0.25">
      <c r="A1137" t="s">
        <v>3392</v>
      </c>
      <c r="B1137" t="s">
        <v>3393</v>
      </c>
      <c r="C1137" t="s">
        <v>3394</v>
      </c>
      <c r="D1137" t="s">
        <v>3393</v>
      </c>
    </row>
    <row r="1138" spans="1:4" x14ac:dyDescent="0.25">
      <c r="A1138" t="s">
        <v>3395</v>
      </c>
      <c r="B1138" t="s">
        <v>3396</v>
      </c>
      <c r="C1138" t="s">
        <v>3397</v>
      </c>
      <c r="D1138" t="s">
        <v>3396</v>
      </c>
    </row>
    <row r="1139" spans="1:4" x14ac:dyDescent="0.25">
      <c r="A1139" t="s">
        <v>3398</v>
      </c>
      <c r="B1139" t="s">
        <v>3399</v>
      </c>
      <c r="C1139" t="s">
        <v>3400</v>
      </c>
      <c r="D1139" t="s">
        <v>3399</v>
      </c>
    </row>
    <row r="1140" spans="1:4" x14ac:dyDescent="0.25">
      <c r="A1140" t="s">
        <v>3401</v>
      </c>
      <c r="B1140" t="s">
        <v>3402</v>
      </c>
      <c r="C1140" t="s">
        <v>3403</v>
      </c>
      <c r="D1140" t="s">
        <v>3402</v>
      </c>
    </row>
    <row r="1141" spans="1:4" x14ac:dyDescent="0.25">
      <c r="A1141" t="s">
        <v>3404</v>
      </c>
      <c r="B1141" t="s">
        <v>3405</v>
      </c>
      <c r="C1141" t="s">
        <v>3406</v>
      </c>
      <c r="D1141" t="s">
        <v>3405</v>
      </c>
    </row>
    <row r="1142" spans="1:4" x14ac:dyDescent="0.25">
      <c r="A1142" t="s">
        <v>3407</v>
      </c>
      <c r="B1142" t="s">
        <v>3408</v>
      </c>
      <c r="C1142" t="s">
        <v>3409</v>
      </c>
      <c r="D1142" t="s">
        <v>3408</v>
      </c>
    </row>
    <row r="1143" spans="1:4" x14ac:dyDescent="0.25">
      <c r="A1143" t="s">
        <v>3410</v>
      </c>
      <c r="B1143" t="s">
        <v>3411</v>
      </c>
      <c r="C1143" t="s">
        <v>3412</v>
      </c>
      <c r="D1143" t="s">
        <v>3411</v>
      </c>
    </row>
    <row r="1144" spans="1:4" x14ac:dyDescent="0.25">
      <c r="A1144" t="s">
        <v>3413</v>
      </c>
      <c r="B1144" t="s">
        <v>3414</v>
      </c>
      <c r="C1144" t="s">
        <v>3415</v>
      </c>
      <c r="D1144" t="s">
        <v>3414</v>
      </c>
    </row>
    <row r="1145" spans="1:4" x14ac:dyDescent="0.25">
      <c r="A1145" t="s">
        <v>3416</v>
      </c>
      <c r="B1145" t="s">
        <v>3417</v>
      </c>
      <c r="C1145" t="s">
        <v>3418</v>
      </c>
      <c r="D1145" t="s">
        <v>3417</v>
      </c>
    </row>
    <row r="1146" spans="1:4" x14ac:dyDescent="0.25">
      <c r="A1146" t="s">
        <v>3419</v>
      </c>
      <c r="B1146" t="s">
        <v>3420</v>
      </c>
      <c r="C1146" t="s">
        <v>3421</v>
      </c>
      <c r="D1146" t="s">
        <v>3420</v>
      </c>
    </row>
    <row r="1147" spans="1:4" x14ac:dyDescent="0.25">
      <c r="A1147" t="s">
        <v>3422</v>
      </c>
      <c r="B1147" t="s">
        <v>3423</v>
      </c>
      <c r="C1147" t="s">
        <v>3424</v>
      </c>
      <c r="D1147" t="s">
        <v>3423</v>
      </c>
    </row>
    <row r="1148" spans="1:4" x14ac:dyDescent="0.25">
      <c r="A1148" t="s">
        <v>3425</v>
      </c>
      <c r="B1148" t="s">
        <v>3426</v>
      </c>
      <c r="C1148" t="s">
        <v>3427</v>
      </c>
      <c r="D1148" t="s">
        <v>3426</v>
      </c>
    </row>
    <row r="1149" spans="1:4" x14ac:dyDescent="0.25">
      <c r="A1149" t="s">
        <v>3428</v>
      </c>
      <c r="B1149" t="s">
        <v>3429</v>
      </c>
      <c r="C1149" t="s">
        <v>3430</v>
      </c>
      <c r="D1149" t="s">
        <v>3429</v>
      </c>
    </row>
    <row r="1150" spans="1:4" x14ac:dyDescent="0.25">
      <c r="A1150" t="s">
        <v>3431</v>
      </c>
      <c r="B1150" t="s">
        <v>3432</v>
      </c>
      <c r="C1150" t="s">
        <v>3433</v>
      </c>
      <c r="D1150" t="s">
        <v>3432</v>
      </c>
    </row>
    <row r="1151" spans="1:4" x14ac:dyDescent="0.25">
      <c r="A1151" t="s">
        <v>3434</v>
      </c>
      <c r="B1151" t="s">
        <v>3435</v>
      </c>
      <c r="C1151" t="s">
        <v>3436</v>
      </c>
      <c r="D1151" t="s">
        <v>3435</v>
      </c>
    </row>
    <row r="1152" spans="1:4" x14ac:dyDescent="0.25">
      <c r="A1152" t="s">
        <v>3437</v>
      </c>
      <c r="B1152" t="s">
        <v>3438</v>
      </c>
      <c r="C1152" t="s">
        <v>3439</v>
      </c>
      <c r="D1152" t="s">
        <v>3438</v>
      </c>
    </row>
    <row r="1153" spans="1:4" x14ac:dyDescent="0.25">
      <c r="A1153" t="s">
        <v>3440</v>
      </c>
      <c r="B1153" t="s">
        <v>3441</v>
      </c>
      <c r="C1153" t="s">
        <v>3442</v>
      </c>
      <c r="D1153" t="s">
        <v>3441</v>
      </c>
    </row>
    <row r="1154" spans="1:4" x14ac:dyDescent="0.25">
      <c r="A1154" t="s">
        <v>3443</v>
      </c>
      <c r="B1154" t="s">
        <v>3444</v>
      </c>
      <c r="C1154" t="s">
        <v>3445</v>
      </c>
      <c r="D1154" t="s">
        <v>3444</v>
      </c>
    </row>
    <row r="1155" spans="1:4" x14ac:dyDescent="0.25">
      <c r="A1155" t="s">
        <v>3446</v>
      </c>
      <c r="B1155" t="s">
        <v>3447</v>
      </c>
      <c r="C1155" t="s">
        <v>3448</v>
      </c>
      <c r="D1155" t="s">
        <v>3447</v>
      </c>
    </row>
    <row r="1156" spans="1:4" x14ac:dyDescent="0.25">
      <c r="A1156" t="s">
        <v>3449</v>
      </c>
      <c r="B1156" t="s">
        <v>3450</v>
      </c>
      <c r="C1156" t="s">
        <v>3451</v>
      </c>
      <c r="D1156" t="s">
        <v>3450</v>
      </c>
    </row>
    <row r="1157" spans="1:4" x14ac:dyDescent="0.25">
      <c r="A1157" t="s">
        <v>3452</v>
      </c>
      <c r="B1157" t="s">
        <v>3453</v>
      </c>
      <c r="C1157" t="s">
        <v>3454</v>
      </c>
      <c r="D1157" t="s">
        <v>3453</v>
      </c>
    </row>
    <row r="1158" spans="1:4" x14ac:dyDescent="0.25">
      <c r="A1158" t="s">
        <v>3455</v>
      </c>
      <c r="B1158" t="s">
        <v>3456</v>
      </c>
      <c r="C1158" t="s">
        <v>3457</v>
      </c>
      <c r="D1158" t="s">
        <v>3456</v>
      </c>
    </row>
    <row r="1159" spans="1:4" x14ac:dyDescent="0.25">
      <c r="A1159" t="s">
        <v>3458</v>
      </c>
      <c r="B1159" t="s">
        <v>3459</v>
      </c>
      <c r="C1159" t="s">
        <v>3460</v>
      </c>
      <c r="D1159" t="s">
        <v>3459</v>
      </c>
    </row>
    <row r="1160" spans="1:4" x14ac:dyDescent="0.25">
      <c r="A1160" t="s">
        <v>3461</v>
      </c>
      <c r="B1160" t="s">
        <v>3462</v>
      </c>
      <c r="C1160" t="s">
        <v>3463</v>
      </c>
      <c r="D1160" t="s">
        <v>3462</v>
      </c>
    </row>
    <row r="1161" spans="1:4" x14ac:dyDescent="0.25">
      <c r="A1161" t="s">
        <v>3464</v>
      </c>
      <c r="B1161" t="s">
        <v>3465</v>
      </c>
      <c r="C1161" t="s">
        <v>3466</v>
      </c>
      <c r="D1161" t="s">
        <v>3465</v>
      </c>
    </row>
    <row r="1162" spans="1:4" x14ac:dyDescent="0.25">
      <c r="A1162" t="s">
        <v>3467</v>
      </c>
      <c r="B1162" t="s">
        <v>3468</v>
      </c>
      <c r="C1162" t="s">
        <v>3469</v>
      </c>
      <c r="D1162" t="s">
        <v>3468</v>
      </c>
    </row>
    <row r="1163" spans="1:4" x14ac:dyDescent="0.25">
      <c r="A1163" t="s">
        <v>3470</v>
      </c>
      <c r="B1163" t="s">
        <v>3471</v>
      </c>
      <c r="C1163" t="s">
        <v>3472</v>
      </c>
      <c r="D1163" t="s">
        <v>3471</v>
      </c>
    </row>
    <row r="1164" spans="1:4" x14ac:dyDescent="0.25">
      <c r="A1164" t="s">
        <v>3473</v>
      </c>
      <c r="B1164" t="s">
        <v>3474</v>
      </c>
      <c r="C1164" t="s">
        <v>3475</v>
      </c>
      <c r="D1164" t="s">
        <v>3474</v>
      </c>
    </row>
    <row r="1165" spans="1:4" x14ac:dyDescent="0.25">
      <c r="A1165" t="s">
        <v>3476</v>
      </c>
      <c r="B1165" t="s">
        <v>3477</v>
      </c>
      <c r="C1165" t="s">
        <v>3478</v>
      </c>
      <c r="D1165" t="s">
        <v>3477</v>
      </c>
    </row>
    <row r="1166" spans="1:4" x14ac:dyDescent="0.25">
      <c r="A1166" t="s">
        <v>3479</v>
      </c>
      <c r="B1166" t="s">
        <v>3480</v>
      </c>
      <c r="C1166" t="s">
        <v>3481</v>
      </c>
      <c r="D1166" t="s">
        <v>3480</v>
      </c>
    </row>
    <row r="1167" spans="1:4" x14ac:dyDescent="0.25">
      <c r="A1167" t="s">
        <v>3482</v>
      </c>
      <c r="B1167" t="s">
        <v>3483</v>
      </c>
      <c r="C1167" t="s">
        <v>3484</v>
      </c>
      <c r="D1167" t="s">
        <v>3483</v>
      </c>
    </row>
    <row r="1168" spans="1:4" x14ac:dyDescent="0.25">
      <c r="A1168" t="s">
        <v>3485</v>
      </c>
      <c r="B1168" t="s">
        <v>3486</v>
      </c>
      <c r="C1168" t="s">
        <v>3487</v>
      </c>
      <c r="D1168" t="s">
        <v>3486</v>
      </c>
    </row>
    <row r="1169" spans="1:4" x14ac:dyDescent="0.25">
      <c r="A1169" t="s">
        <v>3488</v>
      </c>
      <c r="B1169" t="s">
        <v>3489</v>
      </c>
      <c r="C1169" t="s">
        <v>3490</v>
      </c>
      <c r="D1169" t="s">
        <v>3489</v>
      </c>
    </row>
    <row r="1170" spans="1:4" x14ac:dyDescent="0.25">
      <c r="A1170" t="s">
        <v>3491</v>
      </c>
      <c r="B1170" t="s">
        <v>3492</v>
      </c>
      <c r="C1170" t="s">
        <v>3493</v>
      </c>
      <c r="D1170" t="s">
        <v>3492</v>
      </c>
    </row>
    <row r="1171" spans="1:4" x14ac:dyDescent="0.25">
      <c r="A1171" t="s">
        <v>3494</v>
      </c>
      <c r="B1171" t="s">
        <v>3495</v>
      </c>
      <c r="C1171" t="s">
        <v>3496</v>
      </c>
      <c r="D1171" t="s">
        <v>3495</v>
      </c>
    </row>
    <row r="1172" spans="1:4" x14ac:dyDescent="0.25">
      <c r="A1172" t="s">
        <v>3497</v>
      </c>
      <c r="B1172" t="s">
        <v>3498</v>
      </c>
      <c r="C1172" t="s">
        <v>3499</v>
      </c>
      <c r="D1172" t="s">
        <v>3498</v>
      </c>
    </row>
    <row r="1173" spans="1:4" x14ac:dyDescent="0.25">
      <c r="A1173" t="s">
        <v>3500</v>
      </c>
      <c r="B1173" t="s">
        <v>3501</v>
      </c>
      <c r="C1173" t="s">
        <v>3502</v>
      </c>
      <c r="D1173" t="s">
        <v>3501</v>
      </c>
    </row>
    <row r="1174" spans="1:4" x14ac:dyDescent="0.25">
      <c r="A1174" t="s">
        <v>3503</v>
      </c>
      <c r="B1174" t="s">
        <v>3504</v>
      </c>
      <c r="C1174" t="s">
        <v>3505</v>
      </c>
      <c r="D1174" t="s">
        <v>3504</v>
      </c>
    </row>
    <row r="1175" spans="1:4" x14ac:dyDescent="0.25">
      <c r="A1175" t="s">
        <v>3506</v>
      </c>
      <c r="B1175" t="s">
        <v>3507</v>
      </c>
      <c r="C1175" t="s">
        <v>3508</v>
      </c>
      <c r="D1175" t="s">
        <v>3507</v>
      </c>
    </row>
    <row r="1176" spans="1:4" x14ac:dyDescent="0.25">
      <c r="A1176" t="s">
        <v>3509</v>
      </c>
      <c r="B1176" t="s">
        <v>3510</v>
      </c>
      <c r="C1176" t="s">
        <v>3511</v>
      </c>
      <c r="D1176" t="s">
        <v>3510</v>
      </c>
    </row>
    <row r="1177" spans="1:4" x14ac:dyDescent="0.25">
      <c r="A1177" t="s">
        <v>3512</v>
      </c>
      <c r="B1177" t="s">
        <v>3513</v>
      </c>
      <c r="C1177" t="s">
        <v>3514</v>
      </c>
      <c r="D1177" t="s">
        <v>3513</v>
      </c>
    </row>
    <row r="1178" spans="1:4" x14ac:dyDescent="0.25">
      <c r="A1178" t="s">
        <v>3515</v>
      </c>
      <c r="B1178" t="s">
        <v>3516</v>
      </c>
      <c r="C1178" t="s">
        <v>3517</v>
      </c>
      <c r="D1178" t="s">
        <v>3516</v>
      </c>
    </row>
    <row r="1179" spans="1:4" x14ac:dyDescent="0.25">
      <c r="A1179" t="s">
        <v>3518</v>
      </c>
      <c r="B1179" t="s">
        <v>3519</v>
      </c>
      <c r="C1179" t="s">
        <v>3520</v>
      </c>
      <c r="D1179" t="s">
        <v>3519</v>
      </c>
    </row>
    <row r="1180" spans="1:4" x14ac:dyDescent="0.25">
      <c r="A1180" t="s">
        <v>3521</v>
      </c>
      <c r="B1180" t="s">
        <v>3522</v>
      </c>
      <c r="C1180" t="s">
        <v>3523</v>
      </c>
      <c r="D1180" t="s">
        <v>3522</v>
      </c>
    </row>
    <row r="1181" spans="1:4" x14ac:dyDescent="0.25">
      <c r="A1181" t="s">
        <v>3524</v>
      </c>
      <c r="B1181" t="s">
        <v>3525</v>
      </c>
      <c r="C1181" t="s">
        <v>3526</v>
      </c>
      <c r="D1181" t="s">
        <v>3525</v>
      </c>
    </row>
    <row r="1182" spans="1:4" x14ac:dyDescent="0.25">
      <c r="A1182" t="s">
        <v>3527</v>
      </c>
      <c r="B1182" t="s">
        <v>3528</v>
      </c>
      <c r="C1182" t="s">
        <v>3529</v>
      </c>
      <c r="D1182" t="s">
        <v>3528</v>
      </c>
    </row>
    <row r="1183" spans="1:4" x14ac:dyDescent="0.25">
      <c r="A1183" t="s">
        <v>3530</v>
      </c>
      <c r="B1183" t="s">
        <v>3531</v>
      </c>
      <c r="C1183" t="s">
        <v>3532</v>
      </c>
      <c r="D1183" t="s">
        <v>3531</v>
      </c>
    </row>
    <row r="1184" spans="1:4" x14ac:dyDescent="0.25">
      <c r="A1184" t="s">
        <v>3533</v>
      </c>
      <c r="B1184" t="s">
        <v>3534</v>
      </c>
      <c r="C1184" t="s">
        <v>3535</v>
      </c>
      <c r="D1184" t="s">
        <v>3534</v>
      </c>
    </row>
    <row r="1185" spans="1:4" x14ac:dyDescent="0.25">
      <c r="A1185" t="s">
        <v>3536</v>
      </c>
      <c r="B1185" t="s">
        <v>3537</v>
      </c>
      <c r="C1185" t="s">
        <v>3538</v>
      </c>
      <c r="D1185" t="s">
        <v>3537</v>
      </c>
    </row>
    <row r="1186" spans="1:4" x14ac:dyDescent="0.25">
      <c r="A1186" t="s">
        <v>3539</v>
      </c>
      <c r="B1186" t="s">
        <v>3540</v>
      </c>
      <c r="C1186" t="s">
        <v>3541</v>
      </c>
      <c r="D1186" t="s">
        <v>3540</v>
      </c>
    </row>
    <row r="1187" spans="1:4" x14ac:dyDescent="0.25">
      <c r="A1187" t="s">
        <v>3542</v>
      </c>
      <c r="B1187" t="s">
        <v>3543</v>
      </c>
      <c r="C1187" t="s">
        <v>3544</v>
      </c>
      <c r="D1187" t="s">
        <v>3543</v>
      </c>
    </row>
    <row r="1188" spans="1:4" x14ac:dyDescent="0.25">
      <c r="A1188" t="s">
        <v>3545</v>
      </c>
      <c r="B1188" t="s">
        <v>3546</v>
      </c>
      <c r="C1188" t="s">
        <v>3547</v>
      </c>
      <c r="D1188" t="s">
        <v>3546</v>
      </c>
    </row>
    <row r="1189" spans="1:4" x14ac:dyDescent="0.25">
      <c r="A1189" t="s">
        <v>3548</v>
      </c>
      <c r="B1189" t="s">
        <v>3549</v>
      </c>
      <c r="C1189" t="s">
        <v>3550</v>
      </c>
      <c r="D1189" t="s">
        <v>3549</v>
      </c>
    </row>
    <row r="1190" spans="1:4" x14ac:dyDescent="0.25">
      <c r="A1190" t="s">
        <v>3551</v>
      </c>
      <c r="B1190" t="s">
        <v>3552</v>
      </c>
      <c r="C1190" t="s">
        <v>3553</v>
      </c>
      <c r="D1190" t="s">
        <v>3552</v>
      </c>
    </row>
    <row r="1191" spans="1:4" x14ac:dyDescent="0.25">
      <c r="A1191" t="s">
        <v>3554</v>
      </c>
      <c r="B1191" t="s">
        <v>3555</v>
      </c>
      <c r="C1191" t="s">
        <v>3556</v>
      </c>
      <c r="D1191" t="s">
        <v>3555</v>
      </c>
    </row>
    <row r="1192" spans="1:4" x14ac:dyDescent="0.25">
      <c r="A1192" t="s">
        <v>3557</v>
      </c>
      <c r="B1192" t="s">
        <v>3558</v>
      </c>
      <c r="C1192" t="s">
        <v>3559</v>
      </c>
      <c r="D1192" t="s">
        <v>3558</v>
      </c>
    </row>
    <row r="1193" spans="1:4" x14ac:dyDescent="0.25">
      <c r="A1193" t="s">
        <v>3560</v>
      </c>
      <c r="B1193" t="s">
        <v>3561</v>
      </c>
      <c r="C1193" t="s">
        <v>3562</v>
      </c>
      <c r="D1193" t="s">
        <v>3561</v>
      </c>
    </row>
    <row r="1194" spans="1:4" x14ac:dyDescent="0.25">
      <c r="A1194" t="s">
        <v>3563</v>
      </c>
      <c r="B1194" t="s">
        <v>3564</v>
      </c>
      <c r="C1194" t="s">
        <v>3565</v>
      </c>
      <c r="D1194" t="s">
        <v>3564</v>
      </c>
    </row>
    <row r="1195" spans="1:4" x14ac:dyDescent="0.25">
      <c r="A1195" t="s">
        <v>3566</v>
      </c>
      <c r="B1195" t="s">
        <v>3567</v>
      </c>
      <c r="C1195" t="s">
        <v>3568</v>
      </c>
      <c r="D1195" t="s">
        <v>3567</v>
      </c>
    </row>
    <row r="1196" spans="1:4" x14ac:dyDescent="0.25">
      <c r="A1196" t="s">
        <v>3569</v>
      </c>
      <c r="B1196" t="s">
        <v>3570</v>
      </c>
      <c r="C1196" t="s">
        <v>3571</v>
      </c>
      <c r="D1196" t="s">
        <v>3570</v>
      </c>
    </row>
    <row r="1197" spans="1:4" x14ac:dyDescent="0.25">
      <c r="A1197" t="s">
        <v>3572</v>
      </c>
      <c r="B1197" t="s">
        <v>3573</v>
      </c>
      <c r="C1197" t="s">
        <v>3574</v>
      </c>
      <c r="D1197" t="s">
        <v>3573</v>
      </c>
    </row>
    <row r="1198" spans="1:4" x14ac:dyDescent="0.25">
      <c r="A1198" t="s">
        <v>3575</v>
      </c>
      <c r="B1198" t="s">
        <v>3576</v>
      </c>
      <c r="C1198" t="s">
        <v>3577</v>
      </c>
      <c r="D1198" t="s">
        <v>3576</v>
      </c>
    </row>
    <row r="1199" spans="1:4" x14ac:dyDescent="0.25">
      <c r="A1199" t="s">
        <v>3578</v>
      </c>
      <c r="B1199" t="s">
        <v>3579</v>
      </c>
      <c r="C1199" t="s">
        <v>3580</v>
      </c>
      <c r="D1199" t="s">
        <v>3579</v>
      </c>
    </row>
    <row r="1200" spans="1:4" x14ac:dyDescent="0.25">
      <c r="A1200" t="s">
        <v>3581</v>
      </c>
      <c r="B1200" t="s">
        <v>3582</v>
      </c>
      <c r="C1200" t="s">
        <v>3583</v>
      </c>
      <c r="D1200" t="s">
        <v>3582</v>
      </c>
    </row>
    <row r="1201" spans="1:4" x14ac:dyDescent="0.25">
      <c r="A1201" t="s">
        <v>3584</v>
      </c>
      <c r="B1201" t="s">
        <v>3585</v>
      </c>
      <c r="C1201" t="s">
        <v>3586</v>
      </c>
      <c r="D1201" t="s">
        <v>3585</v>
      </c>
    </row>
    <row r="1202" spans="1:4" x14ac:dyDescent="0.25">
      <c r="A1202" t="s">
        <v>3587</v>
      </c>
      <c r="B1202" t="s">
        <v>3588</v>
      </c>
      <c r="C1202" t="s">
        <v>3589</v>
      </c>
      <c r="D1202" t="s">
        <v>3588</v>
      </c>
    </row>
    <row r="1203" spans="1:4" x14ac:dyDescent="0.25">
      <c r="A1203" t="s">
        <v>3590</v>
      </c>
      <c r="B1203" t="s">
        <v>3591</v>
      </c>
      <c r="C1203" t="s">
        <v>3592</v>
      </c>
      <c r="D1203" t="s">
        <v>3591</v>
      </c>
    </row>
    <row r="1204" spans="1:4" x14ac:dyDescent="0.25">
      <c r="A1204" t="s">
        <v>3593</v>
      </c>
      <c r="B1204" t="s">
        <v>3594</v>
      </c>
      <c r="C1204" t="s">
        <v>3595</v>
      </c>
      <c r="D1204" t="s">
        <v>3594</v>
      </c>
    </row>
    <row r="1205" spans="1:4" x14ac:dyDescent="0.25">
      <c r="A1205" t="s">
        <v>3596</v>
      </c>
      <c r="B1205" t="s">
        <v>3597</v>
      </c>
      <c r="C1205" t="s">
        <v>3598</v>
      </c>
      <c r="D1205" t="s">
        <v>3597</v>
      </c>
    </row>
    <row r="1206" spans="1:4" x14ac:dyDescent="0.25">
      <c r="A1206" t="s">
        <v>3599</v>
      </c>
      <c r="B1206" t="s">
        <v>3600</v>
      </c>
      <c r="C1206" t="s">
        <v>3601</v>
      </c>
      <c r="D1206" t="s">
        <v>3600</v>
      </c>
    </row>
    <row r="1207" spans="1:4" x14ac:dyDescent="0.25">
      <c r="A1207" t="s">
        <v>3602</v>
      </c>
      <c r="B1207" t="s">
        <v>3603</v>
      </c>
      <c r="C1207" t="s">
        <v>3604</v>
      </c>
      <c r="D1207" t="s">
        <v>3603</v>
      </c>
    </row>
    <row r="1208" spans="1:4" x14ac:dyDescent="0.25">
      <c r="A1208" t="s">
        <v>3605</v>
      </c>
      <c r="B1208" t="s">
        <v>3606</v>
      </c>
      <c r="C1208" t="s">
        <v>3607</v>
      </c>
      <c r="D1208" t="s">
        <v>3606</v>
      </c>
    </row>
    <row r="1209" spans="1:4" x14ac:dyDescent="0.25">
      <c r="A1209" t="s">
        <v>3608</v>
      </c>
      <c r="B1209" t="s">
        <v>3609</v>
      </c>
      <c r="C1209" t="s">
        <v>3610</v>
      </c>
      <c r="D1209" t="s">
        <v>3609</v>
      </c>
    </row>
    <row r="1210" spans="1:4" x14ac:dyDescent="0.25">
      <c r="A1210" t="s">
        <v>3611</v>
      </c>
      <c r="B1210" t="s">
        <v>3612</v>
      </c>
      <c r="C1210" t="s">
        <v>3613</v>
      </c>
      <c r="D1210" t="s">
        <v>3612</v>
      </c>
    </row>
    <row r="1211" spans="1:4" x14ac:dyDescent="0.25">
      <c r="A1211" t="s">
        <v>3614</v>
      </c>
      <c r="B1211" t="s">
        <v>3615</v>
      </c>
      <c r="C1211" t="s">
        <v>3616</v>
      </c>
      <c r="D1211" t="s">
        <v>3615</v>
      </c>
    </row>
    <row r="1212" spans="1:4" x14ac:dyDescent="0.25">
      <c r="A1212" t="s">
        <v>3617</v>
      </c>
      <c r="B1212" t="s">
        <v>3618</v>
      </c>
      <c r="C1212" t="s">
        <v>3619</v>
      </c>
      <c r="D1212" t="s">
        <v>3618</v>
      </c>
    </row>
    <row r="1213" spans="1:4" x14ac:dyDescent="0.25">
      <c r="A1213" t="s">
        <v>3620</v>
      </c>
      <c r="B1213" t="s">
        <v>3621</v>
      </c>
      <c r="C1213" t="s">
        <v>3622</v>
      </c>
      <c r="D1213" t="s">
        <v>3621</v>
      </c>
    </row>
    <row r="1214" spans="1:4" x14ac:dyDescent="0.25">
      <c r="A1214" t="s">
        <v>3623</v>
      </c>
      <c r="B1214" t="s">
        <v>3624</v>
      </c>
      <c r="C1214" t="s">
        <v>3625</v>
      </c>
      <c r="D1214" t="s">
        <v>3624</v>
      </c>
    </row>
    <row r="1215" spans="1:4" x14ac:dyDescent="0.25">
      <c r="A1215" t="s">
        <v>3626</v>
      </c>
      <c r="B1215" t="s">
        <v>3627</v>
      </c>
      <c r="C1215" t="s">
        <v>3628</v>
      </c>
      <c r="D1215" t="s">
        <v>3627</v>
      </c>
    </row>
    <row r="1216" spans="1:4" x14ac:dyDescent="0.25">
      <c r="A1216" t="s">
        <v>3629</v>
      </c>
      <c r="B1216" t="s">
        <v>3630</v>
      </c>
      <c r="C1216" t="s">
        <v>3631</v>
      </c>
      <c r="D1216" t="s">
        <v>3630</v>
      </c>
    </row>
    <row r="1217" spans="1:4" x14ac:dyDescent="0.25">
      <c r="A1217" t="s">
        <v>3632</v>
      </c>
      <c r="B1217" t="s">
        <v>3633</v>
      </c>
      <c r="C1217" t="s">
        <v>3634</v>
      </c>
      <c r="D1217" t="s">
        <v>3633</v>
      </c>
    </row>
    <row r="1218" spans="1:4" x14ac:dyDescent="0.25">
      <c r="A1218" t="s">
        <v>3635</v>
      </c>
      <c r="B1218" t="s">
        <v>3636</v>
      </c>
      <c r="C1218" t="s">
        <v>3637</v>
      </c>
      <c r="D1218" t="s">
        <v>3636</v>
      </c>
    </row>
    <row r="1219" spans="1:4" x14ac:dyDescent="0.25">
      <c r="A1219" t="s">
        <v>3638</v>
      </c>
      <c r="B1219" t="s">
        <v>3639</v>
      </c>
      <c r="C1219" t="s">
        <v>3640</v>
      </c>
      <c r="D1219" t="s">
        <v>3639</v>
      </c>
    </row>
    <row r="1220" spans="1:4" x14ac:dyDescent="0.25">
      <c r="A1220" t="s">
        <v>3641</v>
      </c>
      <c r="B1220" t="s">
        <v>3642</v>
      </c>
      <c r="C1220" t="s">
        <v>3643</v>
      </c>
      <c r="D1220" t="s">
        <v>3642</v>
      </c>
    </row>
    <row r="1221" spans="1:4" x14ac:dyDescent="0.25">
      <c r="A1221" t="s">
        <v>3644</v>
      </c>
      <c r="B1221" t="s">
        <v>3645</v>
      </c>
      <c r="C1221" t="s">
        <v>3646</v>
      </c>
      <c r="D1221" t="s">
        <v>3645</v>
      </c>
    </row>
    <row r="1222" spans="1:4" x14ac:dyDescent="0.25">
      <c r="A1222" t="s">
        <v>3647</v>
      </c>
      <c r="B1222" t="s">
        <v>3648</v>
      </c>
      <c r="C1222" t="s">
        <v>3649</v>
      </c>
      <c r="D1222" t="s">
        <v>3648</v>
      </c>
    </row>
    <row r="1223" spans="1:4" x14ac:dyDescent="0.25">
      <c r="A1223" t="s">
        <v>3650</v>
      </c>
      <c r="B1223" t="s">
        <v>3651</v>
      </c>
      <c r="C1223" t="s">
        <v>3652</v>
      </c>
      <c r="D1223" t="s">
        <v>3651</v>
      </c>
    </row>
    <row r="1224" spans="1:4" x14ac:dyDescent="0.25">
      <c r="A1224" t="s">
        <v>3653</v>
      </c>
      <c r="B1224" t="s">
        <v>3654</v>
      </c>
      <c r="C1224" t="s">
        <v>3655</v>
      </c>
      <c r="D1224" t="s">
        <v>3654</v>
      </c>
    </row>
    <row r="1225" spans="1:4" x14ac:dyDescent="0.25">
      <c r="A1225" t="s">
        <v>3656</v>
      </c>
      <c r="B1225" t="s">
        <v>3657</v>
      </c>
      <c r="C1225" t="s">
        <v>3658</v>
      </c>
      <c r="D1225" t="s">
        <v>3657</v>
      </c>
    </row>
    <row r="1226" spans="1:4" x14ac:dyDescent="0.25">
      <c r="A1226" t="s">
        <v>3659</v>
      </c>
      <c r="B1226" t="s">
        <v>3660</v>
      </c>
      <c r="C1226" t="s">
        <v>3661</v>
      </c>
      <c r="D1226" t="s">
        <v>3660</v>
      </c>
    </row>
    <row r="1227" spans="1:4" x14ac:dyDescent="0.25">
      <c r="A1227" t="s">
        <v>3662</v>
      </c>
      <c r="B1227" t="s">
        <v>3663</v>
      </c>
      <c r="C1227" t="s">
        <v>3664</v>
      </c>
      <c r="D1227" t="s">
        <v>3663</v>
      </c>
    </row>
    <row r="1228" spans="1:4" x14ac:dyDescent="0.25">
      <c r="A1228" t="s">
        <v>3665</v>
      </c>
      <c r="B1228" t="s">
        <v>3666</v>
      </c>
      <c r="C1228" t="s">
        <v>3667</v>
      </c>
      <c r="D1228" t="s">
        <v>3666</v>
      </c>
    </row>
    <row r="1229" spans="1:4" x14ac:dyDescent="0.25">
      <c r="A1229" t="s">
        <v>3668</v>
      </c>
      <c r="B1229" t="s">
        <v>3669</v>
      </c>
      <c r="C1229" t="s">
        <v>3670</v>
      </c>
      <c r="D1229" t="s">
        <v>3669</v>
      </c>
    </row>
    <row r="1230" spans="1:4" x14ac:dyDescent="0.25">
      <c r="A1230" t="s">
        <v>3671</v>
      </c>
      <c r="B1230" t="s">
        <v>3672</v>
      </c>
      <c r="C1230" t="s">
        <v>3673</v>
      </c>
      <c r="D1230" t="s">
        <v>3672</v>
      </c>
    </row>
    <row r="1231" spans="1:4" x14ac:dyDescent="0.25">
      <c r="A1231" t="s">
        <v>3674</v>
      </c>
      <c r="B1231" t="s">
        <v>3675</v>
      </c>
      <c r="C1231" t="s">
        <v>3676</v>
      </c>
      <c r="D1231" t="s">
        <v>3675</v>
      </c>
    </row>
    <row r="1232" spans="1:4" x14ac:dyDescent="0.25">
      <c r="A1232" t="s">
        <v>3677</v>
      </c>
      <c r="B1232" t="s">
        <v>3678</v>
      </c>
      <c r="C1232" t="s">
        <v>3679</v>
      </c>
      <c r="D1232" t="s">
        <v>3678</v>
      </c>
    </row>
    <row r="1233" spans="1:4" x14ac:dyDescent="0.25">
      <c r="A1233" t="s">
        <v>3680</v>
      </c>
      <c r="B1233" t="s">
        <v>3681</v>
      </c>
      <c r="C1233" t="s">
        <v>3682</v>
      </c>
      <c r="D1233" t="s">
        <v>3681</v>
      </c>
    </row>
    <row r="1234" spans="1:4" x14ac:dyDescent="0.25">
      <c r="A1234" t="s">
        <v>3683</v>
      </c>
      <c r="B1234" t="s">
        <v>3684</v>
      </c>
      <c r="C1234" t="s">
        <v>3685</v>
      </c>
      <c r="D1234" t="s">
        <v>3684</v>
      </c>
    </row>
    <row r="1235" spans="1:4" x14ac:dyDescent="0.25">
      <c r="A1235" t="s">
        <v>3686</v>
      </c>
      <c r="B1235" t="s">
        <v>3687</v>
      </c>
      <c r="C1235" t="s">
        <v>3688</v>
      </c>
      <c r="D1235" t="s">
        <v>3687</v>
      </c>
    </row>
    <row r="1236" spans="1:4" x14ac:dyDescent="0.25">
      <c r="A1236" t="s">
        <v>3689</v>
      </c>
      <c r="B1236" t="s">
        <v>3690</v>
      </c>
      <c r="C1236" t="s">
        <v>3691</v>
      </c>
      <c r="D1236" t="s">
        <v>3690</v>
      </c>
    </row>
    <row r="1237" spans="1:4" x14ac:dyDescent="0.25">
      <c r="A1237" t="s">
        <v>3692</v>
      </c>
      <c r="B1237" t="s">
        <v>3693</v>
      </c>
      <c r="C1237" t="s">
        <v>3694</v>
      </c>
      <c r="D1237" t="s">
        <v>3693</v>
      </c>
    </row>
    <row r="1238" spans="1:4" x14ac:dyDescent="0.25">
      <c r="A1238" t="s">
        <v>3695</v>
      </c>
      <c r="B1238" t="s">
        <v>3696</v>
      </c>
      <c r="C1238" t="s">
        <v>3697</v>
      </c>
      <c r="D1238" t="s">
        <v>3696</v>
      </c>
    </row>
    <row r="1239" spans="1:4" x14ac:dyDescent="0.25">
      <c r="A1239" t="s">
        <v>3698</v>
      </c>
      <c r="B1239" t="s">
        <v>3699</v>
      </c>
      <c r="C1239" t="s">
        <v>3700</v>
      </c>
      <c r="D1239" t="s">
        <v>3699</v>
      </c>
    </row>
    <row r="1240" spans="1:4" x14ac:dyDescent="0.25">
      <c r="A1240" t="s">
        <v>3701</v>
      </c>
      <c r="B1240" t="s">
        <v>3702</v>
      </c>
      <c r="C1240" t="s">
        <v>3703</v>
      </c>
      <c r="D1240" t="s">
        <v>3702</v>
      </c>
    </row>
    <row r="1241" spans="1:4" x14ac:dyDescent="0.25">
      <c r="A1241" t="s">
        <v>3704</v>
      </c>
      <c r="B1241" t="s">
        <v>3705</v>
      </c>
      <c r="C1241" t="s">
        <v>3706</v>
      </c>
      <c r="D1241" t="s">
        <v>3705</v>
      </c>
    </row>
    <row r="1242" spans="1:4" x14ac:dyDescent="0.25">
      <c r="A1242" t="s">
        <v>3707</v>
      </c>
      <c r="B1242" t="s">
        <v>3708</v>
      </c>
      <c r="C1242" t="s">
        <v>3709</v>
      </c>
      <c r="D1242" t="s">
        <v>3708</v>
      </c>
    </row>
    <row r="1243" spans="1:4" x14ac:dyDescent="0.25">
      <c r="A1243" t="s">
        <v>3710</v>
      </c>
      <c r="B1243" t="s">
        <v>3711</v>
      </c>
      <c r="C1243" t="s">
        <v>3712</v>
      </c>
      <c r="D1243" t="s">
        <v>3711</v>
      </c>
    </row>
    <row r="1244" spans="1:4" x14ac:dyDescent="0.25">
      <c r="A1244" t="s">
        <v>3713</v>
      </c>
      <c r="B1244" t="s">
        <v>3714</v>
      </c>
      <c r="C1244" t="s">
        <v>3715</v>
      </c>
      <c r="D1244" t="s">
        <v>3714</v>
      </c>
    </row>
    <row r="1245" spans="1:4" x14ac:dyDescent="0.25">
      <c r="A1245" t="s">
        <v>3716</v>
      </c>
      <c r="B1245" t="s">
        <v>3717</v>
      </c>
      <c r="C1245" t="s">
        <v>3718</v>
      </c>
      <c r="D1245" t="s">
        <v>3717</v>
      </c>
    </row>
    <row r="1246" spans="1:4" x14ac:dyDescent="0.25">
      <c r="A1246" t="s">
        <v>3719</v>
      </c>
      <c r="B1246" t="s">
        <v>3720</v>
      </c>
      <c r="C1246" t="s">
        <v>3721</v>
      </c>
      <c r="D1246" t="s">
        <v>3720</v>
      </c>
    </row>
    <row r="1247" spans="1:4" x14ac:dyDescent="0.25">
      <c r="A1247" t="s">
        <v>3722</v>
      </c>
      <c r="B1247" t="s">
        <v>3723</v>
      </c>
      <c r="C1247" t="s">
        <v>3724</v>
      </c>
      <c r="D1247" t="s">
        <v>3723</v>
      </c>
    </row>
    <row r="1248" spans="1:4" x14ac:dyDescent="0.25">
      <c r="A1248" t="s">
        <v>3725</v>
      </c>
      <c r="B1248" t="s">
        <v>3726</v>
      </c>
      <c r="C1248" t="s">
        <v>3727</v>
      </c>
      <c r="D1248" t="s">
        <v>3726</v>
      </c>
    </row>
    <row r="1249" spans="1:4" x14ac:dyDescent="0.25">
      <c r="A1249" t="s">
        <v>3728</v>
      </c>
      <c r="B1249" t="s">
        <v>3729</v>
      </c>
      <c r="C1249" t="s">
        <v>3730</v>
      </c>
      <c r="D1249" t="s">
        <v>3729</v>
      </c>
    </row>
    <row r="1250" spans="1:4" x14ac:dyDescent="0.25">
      <c r="A1250" t="s">
        <v>3731</v>
      </c>
      <c r="B1250" t="s">
        <v>3732</v>
      </c>
      <c r="C1250" t="s">
        <v>3733</v>
      </c>
      <c r="D1250" t="s">
        <v>3732</v>
      </c>
    </row>
    <row r="1251" spans="1:4" x14ac:dyDescent="0.25">
      <c r="A1251" t="s">
        <v>3734</v>
      </c>
      <c r="B1251" t="s">
        <v>3735</v>
      </c>
      <c r="C1251" t="s">
        <v>3736</v>
      </c>
      <c r="D1251" t="s">
        <v>3735</v>
      </c>
    </row>
    <row r="1252" spans="1:4" x14ac:dyDescent="0.25">
      <c r="A1252" t="s">
        <v>3737</v>
      </c>
      <c r="B1252" t="s">
        <v>3738</v>
      </c>
      <c r="C1252" t="s">
        <v>3739</v>
      </c>
      <c r="D1252" t="s">
        <v>3738</v>
      </c>
    </row>
    <row r="1253" spans="1:4" x14ac:dyDescent="0.25">
      <c r="A1253" t="s">
        <v>3740</v>
      </c>
      <c r="B1253" t="s">
        <v>3741</v>
      </c>
      <c r="C1253" t="s">
        <v>3742</v>
      </c>
      <c r="D1253" t="s">
        <v>3741</v>
      </c>
    </row>
    <row r="1254" spans="1:4" x14ac:dyDescent="0.25">
      <c r="A1254" t="s">
        <v>3743</v>
      </c>
      <c r="B1254" t="s">
        <v>3744</v>
      </c>
      <c r="C1254" t="s">
        <v>3745</v>
      </c>
      <c r="D1254" t="s">
        <v>3744</v>
      </c>
    </row>
    <row r="1255" spans="1:4" x14ac:dyDescent="0.25">
      <c r="A1255" t="s">
        <v>3746</v>
      </c>
      <c r="B1255" t="s">
        <v>3747</v>
      </c>
      <c r="C1255" t="s">
        <v>3748</v>
      </c>
      <c r="D1255" t="s">
        <v>3747</v>
      </c>
    </row>
    <row r="1256" spans="1:4" x14ac:dyDescent="0.25">
      <c r="A1256" t="s">
        <v>3749</v>
      </c>
      <c r="B1256" t="s">
        <v>3750</v>
      </c>
      <c r="C1256" t="s">
        <v>3751</v>
      </c>
      <c r="D1256" t="s">
        <v>3750</v>
      </c>
    </row>
    <row r="1257" spans="1:4" x14ac:dyDescent="0.25">
      <c r="A1257" t="s">
        <v>3752</v>
      </c>
      <c r="B1257" t="s">
        <v>3753</v>
      </c>
      <c r="C1257" t="s">
        <v>3754</v>
      </c>
      <c r="D1257" t="s">
        <v>3753</v>
      </c>
    </row>
    <row r="1258" spans="1:4" x14ac:dyDescent="0.25">
      <c r="A1258" t="s">
        <v>3755</v>
      </c>
      <c r="B1258" t="s">
        <v>3756</v>
      </c>
      <c r="C1258" t="s">
        <v>3757</v>
      </c>
      <c r="D1258" t="s">
        <v>3756</v>
      </c>
    </row>
    <row r="1259" spans="1:4" x14ac:dyDescent="0.25">
      <c r="A1259" t="s">
        <v>3758</v>
      </c>
      <c r="B1259" t="s">
        <v>3759</v>
      </c>
      <c r="C1259" t="s">
        <v>3760</v>
      </c>
      <c r="D1259" t="s">
        <v>3759</v>
      </c>
    </row>
    <row r="1260" spans="1:4" x14ac:dyDescent="0.25">
      <c r="A1260" t="s">
        <v>3761</v>
      </c>
      <c r="B1260" t="s">
        <v>3762</v>
      </c>
      <c r="C1260" t="s">
        <v>3763</v>
      </c>
      <c r="D1260" t="s">
        <v>3762</v>
      </c>
    </row>
    <row r="1261" spans="1:4" x14ac:dyDescent="0.25">
      <c r="A1261" t="s">
        <v>3764</v>
      </c>
      <c r="B1261" t="s">
        <v>3765</v>
      </c>
      <c r="C1261" t="s">
        <v>3766</v>
      </c>
      <c r="D1261" t="s">
        <v>3765</v>
      </c>
    </row>
    <row r="1262" spans="1:4" x14ac:dyDescent="0.25">
      <c r="A1262" t="s">
        <v>3767</v>
      </c>
      <c r="B1262" t="s">
        <v>3768</v>
      </c>
      <c r="C1262" t="s">
        <v>3769</v>
      </c>
      <c r="D1262" t="s">
        <v>3768</v>
      </c>
    </row>
    <row r="1263" spans="1:4" x14ac:dyDescent="0.25">
      <c r="A1263" t="s">
        <v>3770</v>
      </c>
      <c r="B1263" t="s">
        <v>3771</v>
      </c>
      <c r="C1263" t="s">
        <v>3772</v>
      </c>
      <c r="D1263" t="s">
        <v>3771</v>
      </c>
    </row>
    <row r="1264" spans="1:4" x14ac:dyDescent="0.25">
      <c r="A1264" t="s">
        <v>3773</v>
      </c>
      <c r="B1264" t="s">
        <v>3774</v>
      </c>
      <c r="C1264" t="s">
        <v>3775</v>
      </c>
      <c r="D1264" t="s">
        <v>3774</v>
      </c>
    </row>
    <row r="1265" spans="1:4" x14ac:dyDescent="0.25">
      <c r="A1265" t="s">
        <v>3776</v>
      </c>
      <c r="B1265" t="s">
        <v>3777</v>
      </c>
      <c r="C1265" t="s">
        <v>3778</v>
      </c>
      <c r="D1265" t="s">
        <v>3777</v>
      </c>
    </row>
    <row r="1266" spans="1:4" x14ac:dyDescent="0.25">
      <c r="A1266" t="s">
        <v>3779</v>
      </c>
      <c r="B1266" t="s">
        <v>3780</v>
      </c>
      <c r="C1266" t="s">
        <v>3781</v>
      </c>
      <c r="D1266" t="s">
        <v>3780</v>
      </c>
    </row>
    <row r="1267" spans="1:4" x14ac:dyDescent="0.25">
      <c r="A1267" t="s">
        <v>3782</v>
      </c>
      <c r="B1267" t="s">
        <v>3783</v>
      </c>
      <c r="C1267" t="s">
        <v>3784</v>
      </c>
      <c r="D1267" t="s">
        <v>3783</v>
      </c>
    </row>
    <row r="1268" spans="1:4" x14ac:dyDescent="0.25">
      <c r="A1268" t="s">
        <v>3785</v>
      </c>
      <c r="B1268" t="s">
        <v>3786</v>
      </c>
      <c r="C1268" t="s">
        <v>3787</v>
      </c>
      <c r="D1268" t="s">
        <v>3786</v>
      </c>
    </row>
    <row r="1269" spans="1:4" x14ac:dyDescent="0.25">
      <c r="A1269" t="s">
        <v>3788</v>
      </c>
      <c r="B1269" t="s">
        <v>3789</v>
      </c>
      <c r="C1269" t="s">
        <v>3790</v>
      </c>
      <c r="D1269" t="s">
        <v>3789</v>
      </c>
    </row>
    <row r="1270" spans="1:4" x14ac:dyDescent="0.25">
      <c r="A1270" t="s">
        <v>3791</v>
      </c>
      <c r="B1270" t="s">
        <v>3792</v>
      </c>
      <c r="C1270" t="s">
        <v>3793</v>
      </c>
      <c r="D1270" t="s">
        <v>3792</v>
      </c>
    </row>
    <row r="1271" spans="1:4" x14ac:dyDescent="0.25">
      <c r="A1271" t="s">
        <v>3794</v>
      </c>
      <c r="B1271" t="s">
        <v>3795</v>
      </c>
      <c r="C1271" t="s">
        <v>3796</v>
      </c>
      <c r="D1271" t="s">
        <v>3795</v>
      </c>
    </row>
    <row r="1272" spans="1:4" x14ac:dyDescent="0.25">
      <c r="A1272" t="s">
        <v>3797</v>
      </c>
      <c r="B1272" t="s">
        <v>3798</v>
      </c>
      <c r="C1272" t="s">
        <v>3799</v>
      </c>
      <c r="D1272" t="s">
        <v>3798</v>
      </c>
    </row>
    <row r="1273" spans="1:4" x14ac:dyDescent="0.25">
      <c r="A1273" t="s">
        <v>3800</v>
      </c>
      <c r="B1273" t="s">
        <v>3801</v>
      </c>
      <c r="C1273" t="s">
        <v>3802</v>
      </c>
      <c r="D1273" t="s">
        <v>3801</v>
      </c>
    </row>
    <row r="1274" spans="1:4" x14ac:dyDescent="0.25">
      <c r="A1274" t="s">
        <v>3803</v>
      </c>
      <c r="B1274" t="s">
        <v>3804</v>
      </c>
      <c r="C1274" t="s">
        <v>3805</v>
      </c>
      <c r="D1274" t="s">
        <v>3804</v>
      </c>
    </row>
    <row r="1275" spans="1:4" x14ac:dyDescent="0.25">
      <c r="A1275" t="s">
        <v>3806</v>
      </c>
      <c r="B1275" t="s">
        <v>3807</v>
      </c>
      <c r="C1275" t="s">
        <v>3808</v>
      </c>
      <c r="D1275" t="s">
        <v>3807</v>
      </c>
    </row>
    <row r="1276" spans="1:4" x14ac:dyDescent="0.25">
      <c r="A1276" t="s">
        <v>3809</v>
      </c>
      <c r="B1276" t="s">
        <v>3810</v>
      </c>
      <c r="C1276" t="s">
        <v>3811</v>
      </c>
      <c r="D1276" t="s">
        <v>3810</v>
      </c>
    </row>
    <row r="1277" spans="1:4" x14ac:dyDescent="0.25">
      <c r="A1277" t="s">
        <v>3812</v>
      </c>
      <c r="B1277" t="s">
        <v>3813</v>
      </c>
      <c r="C1277" t="s">
        <v>3814</v>
      </c>
      <c r="D1277" t="s">
        <v>3813</v>
      </c>
    </row>
    <row r="1278" spans="1:4" x14ac:dyDescent="0.25">
      <c r="A1278" t="s">
        <v>3815</v>
      </c>
      <c r="B1278" t="s">
        <v>3816</v>
      </c>
      <c r="C1278" t="s">
        <v>3817</v>
      </c>
      <c r="D1278" t="s">
        <v>3816</v>
      </c>
    </row>
    <row r="1279" spans="1:4" x14ac:dyDescent="0.25">
      <c r="A1279" t="s">
        <v>3818</v>
      </c>
      <c r="B1279" t="s">
        <v>3819</v>
      </c>
      <c r="C1279" t="s">
        <v>3820</v>
      </c>
      <c r="D1279" t="s">
        <v>3819</v>
      </c>
    </row>
    <row r="1280" spans="1:4" x14ac:dyDescent="0.25">
      <c r="A1280" t="s">
        <v>3821</v>
      </c>
      <c r="B1280" t="s">
        <v>3822</v>
      </c>
      <c r="C1280" t="s">
        <v>3823</v>
      </c>
      <c r="D1280" t="s">
        <v>3822</v>
      </c>
    </row>
    <row r="1281" spans="1:4" x14ac:dyDescent="0.25">
      <c r="A1281" t="s">
        <v>3824</v>
      </c>
      <c r="B1281" t="s">
        <v>3825</v>
      </c>
      <c r="C1281" t="s">
        <v>3826</v>
      </c>
      <c r="D1281" t="s">
        <v>3825</v>
      </c>
    </row>
    <row r="1282" spans="1:4" x14ac:dyDescent="0.25">
      <c r="A1282" t="s">
        <v>3827</v>
      </c>
      <c r="B1282" t="s">
        <v>3828</v>
      </c>
      <c r="C1282" t="s">
        <v>3829</v>
      </c>
      <c r="D1282" t="s">
        <v>3828</v>
      </c>
    </row>
    <row r="1283" spans="1:4" x14ac:dyDescent="0.25">
      <c r="A1283" t="s">
        <v>3830</v>
      </c>
      <c r="B1283" t="s">
        <v>3831</v>
      </c>
      <c r="C1283" t="s">
        <v>3832</v>
      </c>
      <c r="D1283" t="s">
        <v>3831</v>
      </c>
    </row>
    <row r="1284" spans="1:4" x14ac:dyDescent="0.25">
      <c r="A1284" t="s">
        <v>3833</v>
      </c>
      <c r="B1284" t="s">
        <v>3834</v>
      </c>
      <c r="C1284" t="s">
        <v>3835</v>
      </c>
      <c r="D1284" t="s">
        <v>3834</v>
      </c>
    </row>
    <row r="1285" spans="1:4" x14ac:dyDescent="0.25">
      <c r="A1285" t="s">
        <v>3836</v>
      </c>
      <c r="B1285" t="s">
        <v>3837</v>
      </c>
      <c r="C1285" t="s">
        <v>3838</v>
      </c>
      <c r="D1285" t="s">
        <v>3837</v>
      </c>
    </row>
    <row r="1286" spans="1:4" x14ac:dyDescent="0.25">
      <c r="A1286" t="s">
        <v>3839</v>
      </c>
      <c r="B1286" t="s">
        <v>3840</v>
      </c>
      <c r="C1286" t="s">
        <v>3841</v>
      </c>
      <c r="D1286" t="s">
        <v>3840</v>
      </c>
    </row>
    <row r="1287" spans="1:4" x14ac:dyDescent="0.25">
      <c r="A1287" t="s">
        <v>3842</v>
      </c>
      <c r="B1287" t="s">
        <v>3843</v>
      </c>
      <c r="C1287" t="s">
        <v>3844</v>
      </c>
      <c r="D1287" t="s">
        <v>3843</v>
      </c>
    </row>
    <row r="1288" spans="1:4" x14ac:dyDescent="0.25">
      <c r="A1288" t="s">
        <v>3845</v>
      </c>
      <c r="B1288" t="s">
        <v>3846</v>
      </c>
      <c r="C1288" t="s">
        <v>3847</v>
      </c>
      <c r="D1288" t="s">
        <v>3846</v>
      </c>
    </row>
    <row r="1289" spans="1:4" x14ac:dyDescent="0.25">
      <c r="A1289" t="s">
        <v>3848</v>
      </c>
      <c r="B1289" t="s">
        <v>3849</v>
      </c>
      <c r="C1289" t="s">
        <v>3850</v>
      </c>
      <c r="D1289" t="s">
        <v>3849</v>
      </c>
    </row>
    <row r="1290" spans="1:4" x14ac:dyDescent="0.25">
      <c r="A1290" t="s">
        <v>3851</v>
      </c>
      <c r="B1290" t="s">
        <v>3852</v>
      </c>
      <c r="C1290" t="s">
        <v>3853</v>
      </c>
      <c r="D1290" t="s">
        <v>3852</v>
      </c>
    </row>
    <row r="1291" spans="1:4" x14ac:dyDescent="0.25">
      <c r="A1291" t="s">
        <v>3854</v>
      </c>
      <c r="B1291" t="s">
        <v>3855</v>
      </c>
      <c r="C1291" t="s">
        <v>3856</v>
      </c>
      <c r="D1291" t="s">
        <v>3855</v>
      </c>
    </row>
    <row r="1292" spans="1:4" x14ac:dyDescent="0.25">
      <c r="A1292" t="s">
        <v>3857</v>
      </c>
      <c r="B1292" t="s">
        <v>3858</v>
      </c>
      <c r="C1292" t="s">
        <v>3859</v>
      </c>
      <c r="D1292" t="s">
        <v>3858</v>
      </c>
    </row>
    <row r="1293" spans="1:4" x14ac:dyDescent="0.25">
      <c r="A1293" t="s">
        <v>3860</v>
      </c>
      <c r="B1293" t="s">
        <v>3861</v>
      </c>
      <c r="C1293" t="s">
        <v>3862</v>
      </c>
      <c r="D1293" t="s">
        <v>3861</v>
      </c>
    </row>
    <row r="1294" spans="1:4" x14ac:dyDescent="0.25">
      <c r="A1294" t="s">
        <v>3863</v>
      </c>
      <c r="B1294" t="s">
        <v>3864</v>
      </c>
      <c r="C1294" t="s">
        <v>3865</v>
      </c>
      <c r="D1294" t="s">
        <v>3864</v>
      </c>
    </row>
    <row r="1295" spans="1:4" x14ac:dyDescent="0.25">
      <c r="A1295" t="s">
        <v>3866</v>
      </c>
      <c r="B1295" t="s">
        <v>3867</v>
      </c>
      <c r="C1295" t="s">
        <v>3868</v>
      </c>
      <c r="D1295" t="s">
        <v>3867</v>
      </c>
    </row>
    <row r="1296" spans="1:4" x14ac:dyDescent="0.25">
      <c r="A1296" t="s">
        <v>3869</v>
      </c>
      <c r="B1296" t="s">
        <v>3870</v>
      </c>
      <c r="C1296" t="s">
        <v>3871</v>
      </c>
      <c r="D1296" t="s">
        <v>3870</v>
      </c>
    </row>
    <row r="1297" spans="1:4" x14ac:dyDescent="0.25">
      <c r="A1297" t="s">
        <v>3872</v>
      </c>
      <c r="B1297" t="s">
        <v>3873</v>
      </c>
      <c r="C1297" t="s">
        <v>3874</v>
      </c>
      <c r="D1297" t="s">
        <v>3873</v>
      </c>
    </row>
    <row r="1298" spans="1:4" x14ac:dyDescent="0.25">
      <c r="A1298" t="s">
        <v>3875</v>
      </c>
      <c r="B1298" t="s">
        <v>3876</v>
      </c>
      <c r="C1298" t="s">
        <v>3877</v>
      </c>
      <c r="D1298" t="s">
        <v>3876</v>
      </c>
    </row>
    <row r="1299" spans="1:4" x14ac:dyDescent="0.25">
      <c r="A1299" t="s">
        <v>3878</v>
      </c>
      <c r="B1299" t="s">
        <v>3879</v>
      </c>
      <c r="C1299" t="s">
        <v>3880</v>
      </c>
      <c r="D1299" t="s">
        <v>3879</v>
      </c>
    </row>
    <row r="1300" spans="1:4" x14ac:dyDescent="0.25">
      <c r="A1300" t="s">
        <v>3881</v>
      </c>
      <c r="B1300" t="s">
        <v>3882</v>
      </c>
      <c r="C1300" t="s">
        <v>3883</v>
      </c>
      <c r="D1300" t="s">
        <v>3882</v>
      </c>
    </row>
    <row r="1301" spans="1:4" x14ac:dyDescent="0.25">
      <c r="A1301" t="s">
        <v>3884</v>
      </c>
      <c r="B1301" t="s">
        <v>3885</v>
      </c>
      <c r="C1301" t="s">
        <v>3886</v>
      </c>
      <c r="D1301" t="s">
        <v>3885</v>
      </c>
    </row>
    <row r="1302" spans="1:4" x14ac:dyDescent="0.25">
      <c r="A1302" t="s">
        <v>3887</v>
      </c>
      <c r="B1302" t="s">
        <v>3888</v>
      </c>
      <c r="C1302" t="s">
        <v>3889</v>
      </c>
      <c r="D1302" t="s">
        <v>3888</v>
      </c>
    </row>
    <row r="1303" spans="1:4" x14ac:dyDescent="0.25">
      <c r="A1303" t="s">
        <v>3890</v>
      </c>
      <c r="B1303" t="s">
        <v>3891</v>
      </c>
      <c r="C1303" t="s">
        <v>3892</v>
      </c>
      <c r="D1303" t="s">
        <v>3891</v>
      </c>
    </row>
    <row r="1304" spans="1:4" x14ac:dyDescent="0.25">
      <c r="A1304" t="s">
        <v>3893</v>
      </c>
      <c r="B1304" t="s">
        <v>3894</v>
      </c>
      <c r="C1304" t="s">
        <v>3895</v>
      </c>
      <c r="D1304" t="s">
        <v>3894</v>
      </c>
    </row>
    <row r="1305" spans="1:4" x14ac:dyDescent="0.25">
      <c r="A1305" t="s">
        <v>3896</v>
      </c>
      <c r="B1305" t="s">
        <v>3897</v>
      </c>
      <c r="C1305" t="s">
        <v>3898</v>
      </c>
      <c r="D1305" t="s">
        <v>3897</v>
      </c>
    </row>
    <row r="1306" spans="1:4" x14ac:dyDescent="0.25">
      <c r="A1306" t="s">
        <v>3899</v>
      </c>
      <c r="B1306" t="s">
        <v>3900</v>
      </c>
      <c r="C1306" t="s">
        <v>3901</v>
      </c>
      <c r="D1306" t="s">
        <v>3900</v>
      </c>
    </row>
    <row r="1307" spans="1:4" x14ac:dyDescent="0.25">
      <c r="A1307" t="s">
        <v>3902</v>
      </c>
      <c r="B1307" t="s">
        <v>3903</v>
      </c>
      <c r="C1307" t="s">
        <v>3904</v>
      </c>
      <c r="D1307" t="s">
        <v>3903</v>
      </c>
    </row>
    <row r="1308" spans="1:4" x14ac:dyDescent="0.25">
      <c r="A1308" t="s">
        <v>3905</v>
      </c>
      <c r="B1308" t="s">
        <v>3906</v>
      </c>
      <c r="C1308" t="s">
        <v>3907</v>
      </c>
      <c r="D1308" t="s">
        <v>3906</v>
      </c>
    </row>
    <row r="1309" spans="1:4" x14ac:dyDescent="0.25">
      <c r="A1309" t="s">
        <v>3908</v>
      </c>
      <c r="B1309" t="s">
        <v>3909</v>
      </c>
      <c r="C1309" t="s">
        <v>3910</v>
      </c>
      <c r="D1309" t="s">
        <v>3909</v>
      </c>
    </row>
    <row r="1310" spans="1:4" x14ac:dyDescent="0.25">
      <c r="A1310" t="s">
        <v>3911</v>
      </c>
      <c r="B1310" t="s">
        <v>3912</v>
      </c>
      <c r="C1310" t="s">
        <v>3913</v>
      </c>
      <c r="D1310" t="s">
        <v>3912</v>
      </c>
    </row>
    <row r="1311" spans="1:4" x14ac:dyDescent="0.25">
      <c r="A1311" t="s">
        <v>3914</v>
      </c>
      <c r="B1311" t="s">
        <v>3915</v>
      </c>
      <c r="C1311" t="s">
        <v>3916</v>
      </c>
      <c r="D1311" t="s">
        <v>3915</v>
      </c>
    </row>
    <row r="1312" spans="1:4" x14ac:dyDescent="0.25">
      <c r="A1312" t="s">
        <v>3917</v>
      </c>
      <c r="B1312" t="s">
        <v>3918</v>
      </c>
      <c r="C1312" t="s">
        <v>3919</v>
      </c>
      <c r="D1312" t="s">
        <v>3918</v>
      </c>
    </row>
    <row r="1313" spans="1:4" x14ac:dyDescent="0.25">
      <c r="A1313" t="s">
        <v>3920</v>
      </c>
      <c r="B1313" t="s">
        <v>3921</v>
      </c>
      <c r="C1313" t="s">
        <v>3922</v>
      </c>
      <c r="D1313" t="s">
        <v>3921</v>
      </c>
    </row>
    <row r="1314" spans="1:4" x14ac:dyDescent="0.25">
      <c r="A1314" t="s">
        <v>3923</v>
      </c>
      <c r="B1314" t="s">
        <v>3924</v>
      </c>
      <c r="C1314" t="s">
        <v>3925</v>
      </c>
      <c r="D1314" t="s">
        <v>3924</v>
      </c>
    </row>
    <row r="1315" spans="1:4" x14ac:dyDescent="0.25">
      <c r="A1315" t="s">
        <v>3926</v>
      </c>
      <c r="B1315" t="s">
        <v>3927</v>
      </c>
      <c r="C1315" t="s">
        <v>3928</v>
      </c>
      <c r="D1315" t="s">
        <v>3927</v>
      </c>
    </row>
    <row r="1316" spans="1:4" x14ac:dyDescent="0.25">
      <c r="A1316" t="s">
        <v>3929</v>
      </c>
      <c r="B1316" t="s">
        <v>3930</v>
      </c>
      <c r="C1316" t="s">
        <v>3931</v>
      </c>
      <c r="D1316" t="s">
        <v>3930</v>
      </c>
    </row>
    <row r="1317" spans="1:4" x14ac:dyDescent="0.25">
      <c r="A1317" t="s">
        <v>3932</v>
      </c>
      <c r="B1317" t="s">
        <v>3933</v>
      </c>
      <c r="C1317" t="s">
        <v>3934</v>
      </c>
      <c r="D1317" t="s">
        <v>3933</v>
      </c>
    </row>
    <row r="1318" spans="1:4" x14ac:dyDescent="0.25">
      <c r="A1318" t="s">
        <v>3935</v>
      </c>
      <c r="B1318" t="s">
        <v>3936</v>
      </c>
      <c r="C1318" t="s">
        <v>3937</v>
      </c>
      <c r="D1318" t="s">
        <v>3936</v>
      </c>
    </row>
    <row r="1319" spans="1:4" x14ac:dyDescent="0.25">
      <c r="A1319" t="s">
        <v>3938</v>
      </c>
      <c r="B1319" t="s">
        <v>3939</v>
      </c>
      <c r="C1319" t="s">
        <v>3940</v>
      </c>
      <c r="D1319" t="s">
        <v>3939</v>
      </c>
    </row>
    <row r="1320" spans="1:4" x14ac:dyDescent="0.25">
      <c r="A1320" t="s">
        <v>3941</v>
      </c>
      <c r="B1320" t="s">
        <v>3942</v>
      </c>
      <c r="C1320" t="s">
        <v>3943</v>
      </c>
      <c r="D1320" t="s">
        <v>3942</v>
      </c>
    </row>
    <row r="1321" spans="1:4" x14ac:dyDescent="0.25">
      <c r="A1321" t="s">
        <v>3944</v>
      </c>
      <c r="B1321" t="s">
        <v>3945</v>
      </c>
      <c r="C1321" t="s">
        <v>3946</v>
      </c>
      <c r="D1321" t="s">
        <v>3945</v>
      </c>
    </row>
    <row r="1322" spans="1:4" x14ac:dyDescent="0.25">
      <c r="A1322" t="s">
        <v>3947</v>
      </c>
      <c r="B1322" t="s">
        <v>3948</v>
      </c>
      <c r="C1322" t="s">
        <v>3949</v>
      </c>
      <c r="D1322" t="s">
        <v>3948</v>
      </c>
    </row>
    <row r="1323" spans="1:4" x14ac:dyDescent="0.25">
      <c r="A1323" t="s">
        <v>3950</v>
      </c>
      <c r="B1323" t="s">
        <v>3951</v>
      </c>
      <c r="C1323" t="s">
        <v>3952</v>
      </c>
      <c r="D1323" t="s">
        <v>3951</v>
      </c>
    </row>
    <row r="1324" spans="1:4" x14ac:dyDescent="0.25">
      <c r="A1324" t="s">
        <v>3953</v>
      </c>
      <c r="B1324" t="s">
        <v>3954</v>
      </c>
      <c r="C1324" t="s">
        <v>3955</v>
      </c>
      <c r="D1324" t="s">
        <v>3954</v>
      </c>
    </row>
    <row r="1325" spans="1:4" x14ac:dyDescent="0.25">
      <c r="A1325" t="s">
        <v>3956</v>
      </c>
      <c r="B1325" t="s">
        <v>3957</v>
      </c>
      <c r="C1325" t="s">
        <v>3958</v>
      </c>
      <c r="D1325" t="s">
        <v>3957</v>
      </c>
    </row>
    <row r="1326" spans="1:4" x14ac:dyDescent="0.25">
      <c r="A1326" t="s">
        <v>3959</v>
      </c>
      <c r="B1326" t="s">
        <v>3960</v>
      </c>
      <c r="C1326" t="s">
        <v>3961</v>
      </c>
      <c r="D1326" t="s">
        <v>3960</v>
      </c>
    </row>
    <row r="1327" spans="1:4" x14ac:dyDescent="0.25">
      <c r="A1327" t="s">
        <v>3962</v>
      </c>
      <c r="B1327" t="s">
        <v>3963</v>
      </c>
      <c r="C1327" t="s">
        <v>3964</v>
      </c>
      <c r="D1327" t="s">
        <v>3963</v>
      </c>
    </row>
    <row r="1328" spans="1:4" x14ac:dyDescent="0.25">
      <c r="A1328" t="s">
        <v>3965</v>
      </c>
      <c r="B1328" t="s">
        <v>3966</v>
      </c>
      <c r="C1328" t="s">
        <v>3967</v>
      </c>
      <c r="D1328" t="s">
        <v>3966</v>
      </c>
    </row>
    <row r="1329" spans="1:4" x14ac:dyDescent="0.25">
      <c r="A1329" t="s">
        <v>3968</v>
      </c>
      <c r="B1329" t="s">
        <v>3969</v>
      </c>
      <c r="C1329" t="s">
        <v>3970</v>
      </c>
      <c r="D1329" t="s">
        <v>3969</v>
      </c>
    </row>
    <row r="1330" spans="1:4" x14ac:dyDescent="0.25">
      <c r="A1330" t="s">
        <v>3971</v>
      </c>
      <c r="B1330" t="s">
        <v>3972</v>
      </c>
      <c r="C1330" t="s">
        <v>3973</v>
      </c>
      <c r="D1330" t="s">
        <v>3972</v>
      </c>
    </row>
    <row r="1331" spans="1:4" x14ac:dyDescent="0.25">
      <c r="A1331" t="s">
        <v>3974</v>
      </c>
      <c r="B1331" t="s">
        <v>3975</v>
      </c>
      <c r="C1331" t="s">
        <v>3976</v>
      </c>
      <c r="D1331" t="s">
        <v>3975</v>
      </c>
    </row>
    <row r="1332" spans="1:4" x14ac:dyDescent="0.25">
      <c r="A1332" t="s">
        <v>3977</v>
      </c>
      <c r="B1332" t="s">
        <v>3978</v>
      </c>
      <c r="C1332" t="s">
        <v>3979</v>
      </c>
      <c r="D1332" t="s">
        <v>3978</v>
      </c>
    </row>
    <row r="1333" spans="1:4" x14ac:dyDescent="0.25">
      <c r="A1333" t="s">
        <v>3980</v>
      </c>
      <c r="B1333" t="s">
        <v>3981</v>
      </c>
      <c r="C1333" t="s">
        <v>3982</v>
      </c>
      <c r="D1333" t="s">
        <v>3981</v>
      </c>
    </row>
    <row r="1334" spans="1:4" x14ac:dyDescent="0.25">
      <c r="A1334" t="s">
        <v>3983</v>
      </c>
      <c r="B1334" t="s">
        <v>3984</v>
      </c>
      <c r="C1334" t="s">
        <v>3985</v>
      </c>
      <c r="D1334" t="s">
        <v>3984</v>
      </c>
    </row>
    <row r="1335" spans="1:4" x14ac:dyDescent="0.25">
      <c r="A1335" t="s">
        <v>3986</v>
      </c>
      <c r="B1335" t="s">
        <v>3987</v>
      </c>
      <c r="C1335" t="s">
        <v>3988</v>
      </c>
      <c r="D1335" t="s">
        <v>3987</v>
      </c>
    </row>
    <row r="1336" spans="1:4" x14ac:dyDescent="0.25">
      <c r="A1336" t="s">
        <v>3989</v>
      </c>
      <c r="B1336" t="s">
        <v>3990</v>
      </c>
      <c r="C1336" t="s">
        <v>3991</v>
      </c>
      <c r="D1336" t="s">
        <v>3990</v>
      </c>
    </row>
    <row r="1337" spans="1:4" x14ac:dyDescent="0.25">
      <c r="A1337" t="s">
        <v>3992</v>
      </c>
      <c r="B1337" t="s">
        <v>3993</v>
      </c>
      <c r="C1337" t="s">
        <v>3994</v>
      </c>
      <c r="D1337" t="s">
        <v>3993</v>
      </c>
    </row>
    <row r="1338" spans="1:4" x14ac:dyDescent="0.25">
      <c r="A1338" t="s">
        <v>3995</v>
      </c>
      <c r="B1338" t="s">
        <v>3996</v>
      </c>
      <c r="C1338" t="s">
        <v>3997</v>
      </c>
      <c r="D1338" t="s">
        <v>3996</v>
      </c>
    </row>
    <row r="1339" spans="1:4" x14ac:dyDescent="0.25">
      <c r="A1339" t="s">
        <v>3998</v>
      </c>
      <c r="B1339" t="s">
        <v>3999</v>
      </c>
      <c r="C1339" t="s">
        <v>4000</v>
      </c>
      <c r="D1339" t="s">
        <v>3999</v>
      </c>
    </row>
    <row r="1340" spans="1:4" x14ac:dyDescent="0.25">
      <c r="A1340" t="s">
        <v>4001</v>
      </c>
      <c r="B1340" t="s">
        <v>4002</v>
      </c>
      <c r="C1340" t="s">
        <v>4003</v>
      </c>
      <c r="D1340" t="s">
        <v>4002</v>
      </c>
    </row>
    <row r="1341" spans="1:4" x14ac:dyDescent="0.25">
      <c r="A1341" t="s">
        <v>4004</v>
      </c>
      <c r="B1341" t="s">
        <v>4005</v>
      </c>
      <c r="C1341" t="s">
        <v>4006</v>
      </c>
      <c r="D1341" t="s">
        <v>4005</v>
      </c>
    </row>
    <row r="1342" spans="1:4" x14ac:dyDescent="0.25">
      <c r="A1342" t="s">
        <v>4007</v>
      </c>
      <c r="B1342" t="s">
        <v>4008</v>
      </c>
      <c r="C1342" t="s">
        <v>4009</v>
      </c>
      <c r="D1342" t="s">
        <v>4008</v>
      </c>
    </row>
    <row r="1343" spans="1:4" x14ac:dyDescent="0.25">
      <c r="A1343" t="s">
        <v>4010</v>
      </c>
      <c r="B1343" t="s">
        <v>4011</v>
      </c>
      <c r="C1343" t="s">
        <v>4012</v>
      </c>
      <c r="D1343" t="s">
        <v>4011</v>
      </c>
    </row>
    <row r="1344" spans="1:4" x14ac:dyDescent="0.25">
      <c r="A1344" t="s">
        <v>4013</v>
      </c>
      <c r="B1344" t="s">
        <v>4014</v>
      </c>
      <c r="C1344" t="s">
        <v>4015</v>
      </c>
      <c r="D1344" t="s">
        <v>4014</v>
      </c>
    </row>
    <row r="1345" spans="1:4" x14ac:dyDescent="0.25">
      <c r="A1345" t="s">
        <v>4016</v>
      </c>
      <c r="B1345" t="s">
        <v>4017</v>
      </c>
      <c r="C1345" t="s">
        <v>4018</v>
      </c>
      <c r="D1345" t="s">
        <v>4017</v>
      </c>
    </row>
    <row r="1346" spans="1:4" x14ac:dyDescent="0.25">
      <c r="A1346" t="s">
        <v>4019</v>
      </c>
      <c r="B1346" t="s">
        <v>4020</v>
      </c>
      <c r="C1346" t="s">
        <v>4021</v>
      </c>
      <c r="D1346" t="s">
        <v>4020</v>
      </c>
    </row>
    <row r="1347" spans="1:4" x14ac:dyDescent="0.25">
      <c r="A1347" t="s">
        <v>4022</v>
      </c>
      <c r="B1347" t="s">
        <v>4023</v>
      </c>
      <c r="C1347" t="s">
        <v>4024</v>
      </c>
      <c r="D1347" t="s">
        <v>4023</v>
      </c>
    </row>
    <row r="1348" spans="1:4" x14ac:dyDescent="0.25">
      <c r="A1348" t="s">
        <v>4025</v>
      </c>
      <c r="B1348" t="s">
        <v>4026</v>
      </c>
      <c r="C1348" t="s">
        <v>4027</v>
      </c>
      <c r="D1348" t="s">
        <v>4026</v>
      </c>
    </row>
    <row r="1349" spans="1:4" x14ac:dyDescent="0.25">
      <c r="A1349" t="s">
        <v>4028</v>
      </c>
      <c r="B1349" t="s">
        <v>4029</v>
      </c>
      <c r="C1349" t="s">
        <v>4030</v>
      </c>
      <c r="D1349" t="s">
        <v>4029</v>
      </c>
    </row>
    <row r="1350" spans="1:4" x14ac:dyDescent="0.25">
      <c r="A1350" t="s">
        <v>4031</v>
      </c>
      <c r="B1350" t="s">
        <v>4032</v>
      </c>
      <c r="C1350" t="s">
        <v>4033</v>
      </c>
      <c r="D1350" t="s">
        <v>4032</v>
      </c>
    </row>
    <row r="1351" spans="1:4" x14ac:dyDescent="0.25">
      <c r="A1351" t="s">
        <v>4034</v>
      </c>
      <c r="B1351" t="s">
        <v>4035</v>
      </c>
      <c r="C1351" t="s">
        <v>4036</v>
      </c>
      <c r="D1351" t="s">
        <v>4035</v>
      </c>
    </row>
    <row r="1352" spans="1:4" x14ac:dyDescent="0.25">
      <c r="A1352" t="s">
        <v>4037</v>
      </c>
      <c r="B1352" t="s">
        <v>4038</v>
      </c>
      <c r="C1352" t="s">
        <v>4039</v>
      </c>
      <c r="D1352" t="s">
        <v>4038</v>
      </c>
    </row>
    <row r="1353" spans="1:4" x14ac:dyDescent="0.25">
      <c r="A1353" t="s">
        <v>4040</v>
      </c>
      <c r="B1353" t="s">
        <v>4041</v>
      </c>
      <c r="C1353" t="s">
        <v>4042</v>
      </c>
      <c r="D1353" t="s">
        <v>4041</v>
      </c>
    </row>
    <row r="1354" spans="1:4" x14ac:dyDescent="0.25">
      <c r="A1354" t="s">
        <v>4043</v>
      </c>
      <c r="B1354" t="s">
        <v>4044</v>
      </c>
      <c r="C1354" t="s">
        <v>4045</v>
      </c>
      <c r="D1354" t="s">
        <v>4044</v>
      </c>
    </row>
    <row r="1355" spans="1:4" x14ac:dyDescent="0.25">
      <c r="A1355" t="s">
        <v>4046</v>
      </c>
      <c r="B1355" t="s">
        <v>4047</v>
      </c>
      <c r="C1355" t="s">
        <v>4048</v>
      </c>
      <c r="D1355" t="s">
        <v>4047</v>
      </c>
    </row>
    <row r="1356" spans="1:4" x14ac:dyDescent="0.25">
      <c r="A1356" t="s">
        <v>4049</v>
      </c>
      <c r="B1356" t="s">
        <v>4050</v>
      </c>
      <c r="C1356" t="s">
        <v>4051</v>
      </c>
      <c r="D1356" t="s">
        <v>4050</v>
      </c>
    </row>
    <row r="1357" spans="1:4" x14ac:dyDescent="0.25">
      <c r="A1357" t="s">
        <v>4052</v>
      </c>
      <c r="B1357" t="s">
        <v>4053</v>
      </c>
      <c r="C1357" t="s">
        <v>4054</v>
      </c>
      <c r="D1357" t="s">
        <v>4053</v>
      </c>
    </row>
    <row r="1358" spans="1:4" x14ac:dyDescent="0.25">
      <c r="A1358" t="s">
        <v>4055</v>
      </c>
      <c r="B1358" t="s">
        <v>4056</v>
      </c>
      <c r="C1358" t="s">
        <v>4057</v>
      </c>
      <c r="D1358" t="s">
        <v>4056</v>
      </c>
    </row>
    <row r="1359" spans="1:4" x14ac:dyDescent="0.25">
      <c r="A1359" t="s">
        <v>4058</v>
      </c>
      <c r="B1359" t="s">
        <v>4059</v>
      </c>
      <c r="C1359" t="s">
        <v>4060</v>
      </c>
      <c r="D1359" t="s">
        <v>4059</v>
      </c>
    </row>
    <row r="1360" spans="1:4" x14ac:dyDescent="0.25">
      <c r="A1360" t="s">
        <v>4061</v>
      </c>
      <c r="B1360" t="s">
        <v>4062</v>
      </c>
      <c r="C1360" t="s">
        <v>4063</v>
      </c>
      <c r="D1360" t="s">
        <v>4062</v>
      </c>
    </row>
    <row r="1361" spans="1:4" x14ac:dyDescent="0.25">
      <c r="A1361" t="s">
        <v>4064</v>
      </c>
      <c r="B1361" t="s">
        <v>4065</v>
      </c>
      <c r="C1361" t="s">
        <v>4066</v>
      </c>
      <c r="D1361" t="s">
        <v>4065</v>
      </c>
    </row>
    <row r="1362" spans="1:4" x14ac:dyDescent="0.25">
      <c r="A1362" t="s">
        <v>4067</v>
      </c>
      <c r="B1362" t="s">
        <v>4068</v>
      </c>
      <c r="C1362" t="s">
        <v>4069</v>
      </c>
      <c r="D1362" t="s">
        <v>4068</v>
      </c>
    </row>
    <row r="1363" spans="1:4" x14ac:dyDescent="0.25">
      <c r="A1363" t="s">
        <v>4070</v>
      </c>
      <c r="B1363" t="s">
        <v>4071</v>
      </c>
      <c r="C1363" t="s">
        <v>4072</v>
      </c>
      <c r="D1363" t="s">
        <v>4071</v>
      </c>
    </row>
    <row r="1364" spans="1:4" x14ac:dyDescent="0.25">
      <c r="A1364" t="s">
        <v>4073</v>
      </c>
      <c r="B1364" t="s">
        <v>4074</v>
      </c>
      <c r="C1364" t="s">
        <v>4075</v>
      </c>
      <c r="D1364" t="s">
        <v>4074</v>
      </c>
    </row>
    <row r="1365" spans="1:4" x14ac:dyDescent="0.25">
      <c r="A1365" t="s">
        <v>4076</v>
      </c>
      <c r="B1365" t="s">
        <v>4077</v>
      </c>
      <c r="C1365" t="s">
        <v>4078</v>
      </c>
      <c r="D1365" t="s">
        <v>4077</v>
      </c>
    </row>
    <row r="1366" spans="1:4" x14ac:dyDescent="0.25">
      <c r="A1366" t="s">
        <v>4079</v>
      </c>
      <c r="B1366" t="s">
        <v>4080</v>
      </c>
      <c r="C1366" t="s">
        <v>4081</v>
      </c>
      <c r="D1366" t="s">
        <v>4080</v>
      </c>
    </row>
    <row r="1367" spans="1:4" x14ac:dyDescent="0.25">
      <c r="A1367" t="s">
        <v>4082</v>
      </c>
      <c r="B1367" t="s">
        <v>4083</v>
      </c>
      <c r="C1367" t="s">
        <v>4084</v>
      </c>
      <c r="D1367" t="s">
        <v>4083</v>
      </c>
    </row>
    <row r="1368" spans="1:4" x14ac:dyDescent="0.25">
      <c r="A1368" t="s">
        <v>4085</v>
      </c>
      <c r="B1368" t="s">
        <v>4086</v>
      </c>
      <c r="C1368" t="s">
        <v>4087</v>
      </c>
      <c r="D1368" t="s">
        <v>4086</v>
      </c>
    </row>
    <row r="1369" spans="1:4" x14ac:dyDescent="0.25">
      <c r="A1369" t="s">
        <v>4088</v>
      </c>
      <c r="B1369" t="s">
        <v>4089</v>
      </c>
      <c r="C1369" t="s">
        <v>4090</v>
      </c>
      <c r="D1369" t="s">
        <v>4089</v>
      </c>
    </row>
    <row r="1370" spans="1:4" x14ac:dyDescent="0.25">
      <c r="A1370" t="s">
        <v>4091</v>
      </c>
      <c r="B1370" t="s">
        <v>4092</v>
      </c>
      <c r="C1370" t="s">
        <v>4093</v>
      </c>
      <c r="D1370" t="s">
        <v>4092</v>
      </c>
    </row>
    <row r="1371" spans="1:4" x14ac:dyDescent="0.25">
      <c r="A1371" t="s">
        <v>4094</v>
      </c>
      <c r="B1371" t="s">
        <v>4095</v>
      </c>
      <c r="C1371" t="s">
        <v>4096</v>
      </c>
      <c r="D1371" t="s">
        <v>4095</v>
      </c>
    </row>
    <row r="1372" spans="1:4" x14ac:dyDescent="0.25">
      <c r="A1372" t="s">
        <v>4097</v>
      </c>
      <c r="B1372" t="s">
        <v>4098</v>
      </c>
      <c r="C1372" t="s">
        <v>4099</v>
      </c>
      <c r="D1372" t="s">
        <v>4098</v>
      </c>
    </row>
    <row r="1373" spans="1:4" x14ac:dyDescent="0.25">
      <c r="A1373" t="s">
        <v>4100</v>
      </c>
      <c r="B1373" t="s">
        <v>4101</v>
      </c>
      <c r="C1373" t="s">
        <v>4102</v>
      </c>
      <c r="D1373" t="s">
        <v>4101</v>
      </c>
    </row>
    <row r="1374" spans="1:4" x14ac:dyDescent="0.25">
      <c r="A1374" t="s">
        <v>4103</v>
      </c>
      <c r="B1374" t="s">
        <v>4104</v>
      </c>
      <c r="C1374" t="s">
        <v>4105</v>
      </c>
      <c r="D1374" t="s">
        <v>4104</v>
      </c>
    </row>
    <row r="1375" spans="1:4" x14ac:dyDescent="0.25">
      <c r="A1375" t="s">
        <v>4106</v>
      </c>
      <c r="B1375" t="s">
        <v>4107</v>
      </c>
      <c r="C1375" t="s">
        <v>4108</v>
      </c>
      <c r="D1375" t="s">
        <v>4107</v>
      </c>
    </row>
    <row r="1376" spans="1:4" x14ac:dyDescent="0.25">
      <c r="A1376" t="s">
        <v>4109</v>
      </c>
      <c r="B1376" t="s">
        <v>4110</v>
      </c>
      <c r="C1376" t="s">
        <v>4111</v>
      </c>
      <c r="D1376" t="s">
        <v>4110</v>
      </c>
    </row>
    <row r="1377" spans="1:4" x14ac:dyDescent="0.25">
      <c r="A1377" t="s">
        <v>4112</v>
      </c>
      <c r="B1377" t="s">
        <v>4113</v>
      </c>
      <c r="C1377" t="s">
        <v>4114</v>
      </c>
      <c r="D1377" t="s">
        <v>4113</v>
      </c>
    </row>
    <row r="1378" spans="1:4" x14ac:dyDescent="0.25">
      <c r="A1378" t="s">
        <v>4115</v>
      </c>
      <c r="B1378" t="s">
        <v>4116</v>
      </c>
      <c r="C1378" t="s">
        <v>4117</v>
      </c>
      <c r="D1378" t="s">
        <v>4116</v>
      </c>
    </row>
    <row r="1379" spans="1:4" x14ac:dyDescent="0.25">
      <c r="A1379" t="s">
        <v>4118</v>
      </c>
      <c r="B1379" t="s">
        <v>4119</v>
      </c>
      <c r="C1379" t="s">
        <v>4120</v>
      </c>
      <c r="D1379" t="s">
        <v>4119</v>
      </c>
    </row>
    <row r="1380" spans="1:4" x14ac:dyDescent="0.25">
      <c r="A1380" t="s">
        <v>4121</v>
      </c>
      <c r="B1380" t="s">
        <v>4122</v>
      </c>
      <c r="C1380" t="s">
        <v>4123</v>
      </c>
      <c r="D1380" t="s">
        <v>4122</v>
      </c>
    </row>
    <row r="1381" spans="1:4" x14ac:dyDescent="0.25">
      <c r="A1381" t="s">
        <v>4124</v>
      </c>
      <c r="B1381" t="s">
        <v>4125</v>
      </c>
      <c r="C1381" t="s">
        <v>4126</v>
      </c>
      <c r="D1381" t="s">
        <v>4125</v>
      </c>
    </row>
    <row r="1382" spans="1:4" x14ac:dyDescent="0.25">
      <c r="A1382" t="s">
        <v>4127</v>
      </c>
      <c r="B1382" t="s">
        <v>4128</v>
      </c>
      <c r="C1382" t="s">
        <v>4129</v>
      </c>
      <c r="D1382" t="s">
        <v>4128</v>
      </c>
    </row>
    <row r="1383" spans="1:4" x14ac:dyDescent="0.25">
      <c r="A1383" t="s">
        <v>4130</v>
      </c>
      <c r="B1383" t="s">
        <v>4131</v>
      </c>
      <c r="C1383" t="s">
        <v>4132</v>
      </c>
      <c r="D1383" t="s">
        <v>4131</v>
      </c>
    </row>
    <row r="1384" spans="1:4" x14ac:dyDescent="0.25">
      <c r="A1384" t="s">
        <v>4133</v>
      </c>
      <c r="B1384" t="s">
        <v>4134</v>
      </c>
      <c r="C1384" t="s">
        <v>4135</v>
      </c>
      <c r="D1384" t="s">
        <v>4134</v>
      </c>
    </row>
    <row r="1385" spans="1:4" x14ac:dyDescent="0.25">
      <c r="A1385" t="s">
        <v>4136</v>
      </c>
      <c r="B1385" t="s">
        <v>4137</v>
      </c>
      <c r="C1385" t="s">
        <v>4138</v>
      </c>
      <c r="D1385" t="s">
        <v>4137</v>
      </c>
    </row>
    <row r="1386" spans="1:4" x14ac:dyDescent="0.25">
      <c r="A1386" t="s">
        <v>4139</v>
      </c>
      <c r="B1386" t="s">
        <v>4140</v>
      </c>
      <c r="C1386" t="s">
        <v>4141</v>
      </c>
      <c r="D1386" t="s">
        <v>4140</v>
      </c>
    </row>
    <row r="1387" spans="1:4" x14ac:dyDescent="0.25">
      <c r="A1387" t="s">
        <v>4142</v>
      </c>
      <c r="B1387" t="s">
        <v>4143</v>
      </c>
      <c r="C1387" t="s">
        <v>4144</v>
      </c>
      <c r="D1387" t="s">
        <v>4143</v>
      </c>
    </row>
    <row r="1388" spans="1:4" x14ac:dyDescent="0.25">
      <c r="A1388" t="s">
        <v>4145</v>
      </c>
      <c r="B1388" t="s">
        <v>4146</v>
      </c>
      <c r="C1388" t="s">
        <v>4147</v>
      </c>
      <c r="D1388" t="s">
        <v>4146</v>
      </c>
    </row>
    <row r="1389" spans="1:4" x14ac:dyDescent="0.25">
      <c r="A1389" t="s">
        <v>4148</v>
      </c>
      <c r="B1389" t="s">
        <v>4149</v>
      </c>
      <c r="C1389" t="s">
        <v>4150</v>
      </c>
      <c r="D1389" t="s">
        <v>4149</v>
      </c>
    </row>
    <row r="1390" spans="1:4" x14ac:dyDescent="0.25">
      <c r="A1390" t="s">
        <v>4151</v>
      </c>
      <c r="B1390" t="s">
        <v>4152</v>
      </c>
      <c r="C1390" t="s">
        <v>4153</v>
      </c>
      <c r="D1390" t="s">
        <v>4152</v>
      </c>
    </row>
    <row r="1391" spans="1:4" x14ac:dyDescent="0.25">
      <c r="A1391" t="s">
        <v>4154</v>
      </c>
      <c r="B1391" t="s">
        <v>4155</v>
      </c>
      <c r="C1391" t="s">
        <v>4156</v>
      </c>
      <c r="D1391" t="s">
        <v>4155</v>
      </c>
    </row>
    <row r="1392" spans="1:4" x14ac:dyDescent="0.25">
      <c r="A1392" t="s">
        <v>4157</v>
      </c>
      <c r="B1392" t="s">
        <v>4158</v>
      </c>
      <c r="C1392" t="s">
        <v>4159</v>
      </c>
      <c r="D1392" t="s">
        <v>4158</v>
      </c>
    </row>
    <row r="1393" spans="1:4" x14ac:dyDescent="0.25">
      <c r="A1393" t="s">
        <v>4160</v>
      </c>
      <c r="B1393" t="s">
        <v>4161</v>
      </c>
      <c r="C1393" t="s">
        <v>4162</v>
      </c>
      <c r="D1393" t="s">
        <v>4161</v>
      </c>
    </row>
    <row r="1394" spans="1:4" x14ac:dyDescent="0.25">
      <c r="A1394" t="s">
        <v>4163</v>
      </c>
      <c r="B1394" t="s">
        <v>4164</v>
      </c>
      <c r="C1394" t="s">
        <v>4165</v>
      </c>
      <c r="D1394" t="s">
        <v>4164</v>
      </c>
    </row>
    <row r="1395" spans="1:4" x14ac:dyDescent="0.25">
      <c r="A1395" t="s">
        <v>4166</v>
      </c>
      <c r="B1395" t="s">
        <v>4167</v>
      </c>
      <c r="C1395" t="s">
        <v>4168</v>
      </c>
      <c r="D1395" t="s">
        <v>4167</v>
      </c>
    </row>
    <row r="1396" spans="1:4" x14ac:dyDescent="0.25">
      <c r="A1396" t="s">
        <v>4169</v>
      </c>
      <c r="B1396" t="s">
        <v>4170</v>
      </c>
      <c r="C1396" t="s">
        <v>4171</v>
      </c>
      <c r="D1396" t="s">
        <v>4170</v>
      </c>
    </row>
    <row r="1397" spans="1:4" x14ac:dyDescent="0.25">
      <c r="A1397" t="s">
        <v>4172</v>
      </c>
      <c r="B1397" t="s">
        <v>4173</v>
      </c>
      <c r="C1397" t="s">
        <v>4174</v>
      </c>
      <c r="D1397" t="s">
        <v>4173</v>
      </c>
    </row>
    <row r="1398" spans="1:4" x14ac:dyDescent="0.25">
      <c r="A1398" t="s">
        <v>4175</v>
      </c>
      <c r="B1398" t="s">
        <v>4176</v>
      </c>
      <c r="C1398" t="s">
        <v>4177</v>
      </c>
      <c r="D1398" t="s">
        <v>4176</v>
      </c>
    </row>
    <row r="1399" spans="1:4" x14ac:dyDescent="0.25">
      <c r="A1399" t="s">
        <v>4178</v>
      </c>
      <c r="B1399" t="s">
        <v>4179</v>
      </c>
      <c r="C1399" t="s">
        <v>4180</v>
      </c>
      <c r="D1399" t="s">
        <v>4179</v>
      </c>
    </row>
    <row r="1400" spans="1:4" x14ac:dyDescent="0.25">
      <c r="A1400" t="s">
        <v>4181</v>
      </c>
      <c r="B1400" t="s">
        <v>4182</v>
      </c>
      <c r="C1400" t="s">
        <v>4183</v>
      </c>
      <c r="D1400" t="s">
        <v>4182</v>
      </c>
    </row>
    <row r="1401" spans="1:4" x14ac:dyDescent="0.25">
      <c r="A1401" t="s">
        <v>4184</v>
      </c>
      <c r="B1401" t="s">
        <v>4185</v>
      </c>
      <c r="C1401" t="s">
        <v>4186</v>
      </c>
      <c r="D1401" t="s">
        <v>4185</v>
      </c>
    </row>
    <row r="1402" spans="1:4" x14ac:dyDescent="0.25">
      <c r="A1402" t="s">
        <v>4187</v>
      </c>
      <c r="B1402" t="s">
        <v>4188</v>
      </c>
      <c r="C1402" t="s">
        <v>4189</v>
      </c>
      <c r="D1402" t="s">
        <v>4188</v>
      </c>
    </row>
    <row r="1403" spans="1:4" x14ac:dyDescent="0.25">
      <c r="A1403" t="s">
        <v>4190</v>
      </c>
      <c r="B1403" t="s">
        <v>4191</v>
      </c>
      <c r="C1403" t="s">
        <v>4192</v>
      </c>
      <c r="D1403" t="s">
        <v>4191</v>
      </c>
    </row>
    <row r="1404" spans="1:4" x14ac:dyDescent="0.25">
      <c r="A1404" t="s">
        <v>4193</v>
      </c>
      <c r="B1404" t="s">
        <v>4194</v>
      </c>
      <c r="C1404" t="s">
        <v>4195</v>
      </c>
      <c r="D1404" t="s">
        <v>4194</v>
      </c>
    </row>
    <row r="1405" spans="1:4" x14ac:dyDescent="0.25">
      <c r="A1405" t="s">
        <v>4196</v>
      </c>
      <c r="B1405" t="s">
        <v>4197</v>
      </c>
      <c r="C1405" t="s">
        <v>4198</v>
      </c>
      <c r="D1405" t="s">
        <v>4197</v>
      </c>
    </row>
    <row r="1406" spans="1:4" x14ac:dyDescent="0.25">
      <c r="A1406" t="s">
        <v>4199</v>
      </c>
      <c r="B1406" t="s">
        <v>4200</v>
      </c>
      <c r="C1406" t="s">
        <v>4201</v>
      </c>
      <c r="D1406" t="s">
        <v>4200</v>
      </c>
    </row>
    <row r="1407" spans="1:4" x14ac:dyDescent="0.25">
      <c r="A1407" t="s">
        <v>4202</v>
      </c>
      <c r="B1407" t="s">
        <v>4203</v>
      </c>
      <c r="C1407" t="s">
        <v>4204</v>
      </c>
      <c r="D1407" t="s">
        <v>4203</v>
      </c>
    </row>
    <row r="1408" spans="1:4" x14ac:dyDescent="0.25">
      <c r="A1408" t="s">
        <v>4205</v>
      </c>
      <c r="B1408" t="s">
        <v>4206</v>
      </c>
      <c r="C1408" t="s">
        <v>4207</v>
      </c>
      <c r="D1408" t="s">
        <v>4206</v>
      </c>
    </row>
    <row r="1409" spans="1:4" x14ac:dyDescent="0.25">
      <c r="A1409" t="s">
        <v>4208</v>
      </c>
      <c r="B1409" t="s">
        <v>4209</v>
      </c>
      <c r="C1409" t="s">
        <v>4210</v>
      </c>
      <c r="D1409" t="s">
        <v>4209</v>
      </c>
    </row>
    <row r="1410" spans="1:4" x14ac:dyDescent="0.25">
      <c r="A1410" t="s">
        <v>4211</v>
      </c>
      <c r="B1410" t="s">
        <v>4212</v>
      </c>
      <c r="C1410" t="s">
        <v>4213</v>
      </c>
      <c r="D1410" t="s">
        <v>4212</v>
      </c>
    </row>
    <row r="1411" spans="1:4" x14ac:dyDescent="0.25">
      <c r="A1411" t="s">
        <v>4214</v>
      </c>
      <c r="B1411" t="s">
        <v>4215</v>
      </c>
      <c r="C1411" t="s">
        <v>4216</v>
      </c>
      <c r="D1411" t="s">
        <v>4215</v>
      </c>
    </row>
    <row r="1412" spans="1:4" x14ac:dyDescent="0.25">
      <c r="A1412" t="s">
        <v>4217</v>
      </c>
      <c r="B1412" t="s">
        <v>4218</v>
      </c>
      <c r="C1412" t="s">
        <v>4219</v>
      </c>
      <c r="D1412" t="s">
        <v>4218</v>
      </c>
    </row>
    <row r="1413" spans="1:4" x14ac:dyDescent="0.25">
      <c r="A1413" t="s">
        <v>4220</v>
      </c>
      <c r="B1413" t="s">
        <v>4221</v>
      </c>
      <c r="C1413" t="s">
        <v>4222</v>
      </c>
      <c r="D1413" t="s">
        <v>4221</v>
      </c>
    </row>
    <row r="1414" spans="1:4" x14ac:dyDescent="0.25">
      <c r="A1414" t="s">
        <v>4223</v>
      </c>
      <c r="B1414" t="s">
        <v>4224</v>
      </c>
      <c r="C1414" t="s">
        <v>4225</v>
      </c>
      <c r="D1414" t="s">
        <v>4224</v>
      </c>
    </row>
    <row r="1415" spans="1:4" x14ac:dyDescent="0.25">
      <c r="A1415" t="s">
        <v>4226</v>
      </c>
      <c r="B1415" t="s">
        <v>4227</v>
      </c>
      <c r="C1415" t="s">
        <v>4228</v>
      </c>
      <c r="D1415" t="s">
        <v>4227</v>
      </c>
    </row>
    <row r="1416" spans="1:4" x14ac:dyDescent="0.25">
      <c r="A1416" t="s">
        <v>4229</v>
      </c>
      <c r="B1416" t="s">
        <v>4230</v>
      </c>
      <c r="C1416" t="s">
        <v>4231</v>
      </c>
      <c r="D1416" t="s">
        <v>4230</v>
      </c>
    </row>
    <row r="1417" spans="1:4" x14ac:dyDescent="0.25">
      <c r="A1417" t="s">
        <v>4232</v>
      </c>
      <c r="B1417" t="s">
        <v>4233</v>
      </c>
      <c r="C1417" t="s">
        <v>4234</v>
      </c>
      <c r="D1417" t="s">
        <v>4233</v>
      </c>
    </row>
    <row r="1418" spans="1:4" x14ac:dyDescent="0.25">
      <c r="A1418" t="s">
        <v>4235</v>
      </c>
      <c r="B1418" t="s">
        <v>4236</v>
      </c>
      <c r="C1418" t="s">
        <v>4237</v>
      </c>
      <c r="D1418" t="s">
        <v>4236</v>
      </c>
    </row>
    <row r="1419" spans="1:4" x14ac:dyDescent="0.25">
      <c r="A1419" t="s">
        <v>4238</v>
      </c>
      <c r="B1419" t="s">
        <v>4239</v>
      </c>
      <c r="C1419" t="s">
        <v>4240</v>
      </c>
      <c r="D1419" t="s">
        <v>4239</v>
      </c>
    </row>
    <row r="1420" spans="1:4" x14ac:dyDescent="0.25">
      <c r="A1420" t="s">
        <v>4241</v>
      </c>
      <c r="B1420" t="s">
        <v>4242</v>
      </c>
      <c r="C1420" t="s">
        <v>4243</v>
      </c>
      <c r="D1420" t="s">
        <v>4242</v>
      </c>
    </row>
    <row r="1421" spans="1:4" x14ac:dyDescent="0.25">
      <c r="A1421" t="s">
        <v>4244</v>
      </c>
      <c r="B1421" t="s">
        <v>4245</v>
      </c>
      <c r="C1421" t="s">
        <v>4246</v>
      </c>
      <c r="D1421" t="s">
        <v>4245</v>
      </c>
    </row>
    <row r="1422" spans="1:4" x14ac:dyDescent="0.25">
      <c r="A1422" t="s">
        <v>4247</v>
      </c>
      <c r="B1422" t="s">
        <v>4248</v>
      </c>
      <c r="C1422" t="s">
        <v>4249</v>
      </c>
      <c r="D1422" t="s">
        <v>4248</v>
      </c>
    </row>
    <row r="1423" spans="1:4" x14ac:dyDescent="0.25">
      <c r="A1423" t="s">
        <v>4250</v>
      </c>
      <c r="B1423" t="s">
        <v>4251</v>
      </c>
      <c r="C1423" t="s">
        <v>4252</v>
      </c>
      <c r="D1423" t="s">
        <v>4251</v>
      </c>
    </row>
    <row r="1424" spans="1:4" x14ac:dyDescent="0.25">
      <c r="A1424" t="s">
        <v>4253</v>
      </c>
      <c r="B1424" t="s">
        <v>4254</v>
      </c>
      <c r="C1424" t="s">
        <v>4255</v>
      </c>
      <c r="D1424" t="s">
        <v>4254</v>
      </c>
    </row>
    <row r="1425" spans="1:4" x14ac:dyDescent="0.25">
      <c r="A1425" t="s">
        <v>4256</v>
      </c>
      <c r="B1425" t="s">
        <v>4257</v>
      </c>
      <c r="C1425" t="s">
        <v>4258</v>
      </c>
      <c r="D1425" t="s">
        <v>4257</v>
      </c>
    </row>
    <row r="1426" spans="1:4" x14ac:dyDescent="0.25">
      <c r="A1426" t="s">
        <v>4259</v>
      </c>
      <c r="B1426" t="s">
        <v>4260</v>
      </c>
      <c r="C1426" t="s">
        <v>4261</v>
      </c>
      <c r="D1426" t="s">
        <v>4260</v>
      </c>
    </row>
    <row r="1427" spans="1:4" x14ac:dyDescent="0.25">
      <c r="A1427" t="s">
        <v>4262</v>
      </c>
      <c r="B1427" t="s">
        <v>4263</v>
      </c>
      <c r="C1427" t="s">
        <v>4264</v>
      </c>
      <c r="D1427" t="s">
        <v>4263</v>
      </c>
    </row>
    <row r="1428" spans="1:4" x14ac:dyDescent="0.25">
      <c r="A1428" t="s">
        <v>4265</v>
      </c>
      <c r="B1428" t="s">
        <v>4266</v>
      </c>
      <c r="C1428" t="s">
        <v>4267</v>
      </c>
      <c r="D1428" t="s">
        <v>4266</v>
      </c>
    </row>
    <row r="1429" spans="1:4" x14ac:dyDescent="0.25">
      <c r="A1429" t="s">
        <v>4268</v>
      </c>
      <c r="B1429" t="s">
        <v>4269</v>
      </c>
      <c r="C1429" t="s">
        <v>4270</v>
      </c>
      <c r="D1429" t="s">
        <v>4269</v>
      </c>
    </row>
    <row r="1430" spans="1:4" x14ac:dyDescent="0.25">
      <c r="A1430" t="s">
        <v>4271</v>
      </c>
      <c r="B1430" t="s">
        <v>4272</v>
      </c>
      <c r="C1430" t="s">
        <v>4273</v>
      </c>
      <c r="D1430" t="s">
        <v>4272</v>
      </c>
    </row>
    <row r="1431" spans="1:4" x14ac:dyDescent="0.25">
      <c r="A1431" t="s">
        <v>4274</v>
      </c>
      <c r="B1431" t="s">
        <v>4275</v>
      </c>
      <c r="C1431" t="s">
        <v>4276</v>
      </c>
      <c r="D1431" t="s">
        <v>4275</v>
      </c>
    </row>
    <row r="1432" spans="1:4" x14ac:dyDescent="0.25">
      <c r="A1432" t="s">
        <v>4277</v>
      </c>
      <c r="B1432" t="s">
        <v>4278</v>
      </c>
      <c r="C1432" t="s">
        <v>4279</v>
      </c>
      <c r="D1432" t="s">
        <v>4278</v>
      </c>
    </row>
    <row r="1433" spans="1:4" x14ac:dyDescent="0.25">
      <c r="A1433" t="s">
        <v>4280</v>
      </c>
      <c r="B1433" t="s">
        <v>4281</v>
      </c>
      <c r="C1433" t="s">
        <v>4282</v>
      </c>
      <c r="D1433" t="s">
        <v>4281</v>
      </c>
    </row>
    <row r="1434" spans="1:4" x14ac:dyDescent="0.25">
      <c r="A1434" t="s">
        <v>4283</v>
      </c>
      <c r="B1434" t="s">
        <v>4284</v>
      </c>
      <c r="C1434" t="s">
        <v>4285</v>
      </c>
      <c r="D1434" t="s">
        <v>4284</v>
      </c>
    </row>
    <row r="1435" spans="1:4" x14ac:dyDescent="0.25">
      <c r="A1435" t="s">
        <v>4286</v>
      </c>
      <c r="B1435" t="s">
        <v>4287</v>
      </c>
      <c r="C1435" t="s">
        <v>4288</v>
      </c>
      <c r="D1435" t="s">
        <v>4287</v>
      </c>
    </row>
    <row r="1436" spans="1:4" x14ac:dyDescent="0.25">
      <c r="A1436" t="s">
        <v>4289</v>
      </c>
      <c r="B1436" t="s">
        <v>4290</v>
      </c>
      <c r="C1436" t="s">
        <v>4291</v>
      </c>
      <c r="D1436" t="s">
        <v>4290</v>
      </c>
    </row>
    <row r="1437" spans="1:4" x14ac:dyDescent="0.25">
      <c r="A1437" t="s">
        <v>4292</v>
      </c>
      <c r="B1437" t="s">
        <v>4293</v>
      </c>
      <c r="C1437" t="s">
        <v>4294</v>
      </c>
      <c r="D1437" t="s">
        <v>4293</v>
      </c>
    </row>
    <row r="1438" spans="1:4" x14ac:dyDescent="0.25">
      <c r="A1438" t="s">
        <v>4295</v>
      </c>
      <c r="B1438" t="s">
        <v>4296</v>
      </c>
      <c r="C1438" t="s">
        <v>4297</v>
      </c>
      <c r="D1438" t="s">
        <v>4296</v>
      </c>
    </row>
    <row r="1439" spans="1:4" x14ac:dyDescent="0.25">
      <c r="A1439" t="s">
        <v>4298</v>
      </c>
      <c r="B1439" t="s">
        <v>4299</v>
      </c>
      <c r="C1439" t="s">
        <v>4300</v>
      </c>
      <c r="D1439" t="s">
        <v>4299</v>
      </c>
    </row>
    <row r="1440" spans="1:4" x14ac:dyDescent="0.25">
      <c r="A1440" t="s">
        <v>4301</v>
      </c>
      <c r="B1440" t="s">
        <v>4302</v>
      </c>
      <c r="C1440" t="s">
        <v>4303</v>
      </c>
      <c r="D1440" t="s">
        <v>4302</v>
      </c>
    </row>
    <row r="1441" spans="1:4" x14ac:dyDescent="0.25">
      <c r="A1441" t="s">
        <v>4304</v>
      </c>
      <c r="B1441" t="s">
        <v>4305</v>
      </c>
      <c r="C1441" t="s">
        <v>4306</v>
      </c>
      <c r="D1441" t="s">
        <v>4305</v>
      </c>
    </row>
    <row r="1442" spans="1:4" x14ac:dyDescent="0.25">
      <c r="A1442" t="s">
        <v>4307</v>
      </c>
      <c r="B1442" t="s">
        <v>4308</v>
      </c>
      <c r="C1442" t="s">
        <v>4309</v>
      </c>
      <c r="D1442" t="s">
        <v>4308</v>
      </c>
    </row>
    <row r="1443" spans="1:4" x14ac:dyDescent="0.25">
      <c r="A1443" t="s">
        <v>4310</v>
      </c>
      <c r="B1443" t="s">
        <v>4311</v>
      </c>
      <c r="C1443" t="s">
        <v>4312</v>
      </c>
      <c r="D1443" t="s">
        <v>4311</v>
      </c>
    </row>
    <row r="1444" spans="1:4" x14ac:dyDescent="0.25">
      <c r="A1444" t="s">
        <v>4313</v>
      </c>
      <c r="B1444" t="s">
        <v>4314</v>
      </c>
      <c r="C1444" t="s">
        <v>4315</v>
      </c>
      <c r="D1444" t="s">
        <v>4314</v>
      </c>
    </row>
    <row r="1445" spans="1:4" x14ac:dyDescent="0.25">
      <c r="A1445" t="s">
        <v>4316</v>
      </c>
      <c r="B1445" t="s">
        <v>4317</v>
      </c>
      <c r="C1445" t="s">
        <v>4318</v>
      </c>
      <c r="D1445" t="s">
        <v>4317</v>
      </c>
    </row>
    <row r="1446" spans="1:4" x14ac:dyDescent="0.25">
      <c r="A1446" t="s">
        <v>4319</v>
      </c>
      <c r="B1446" t="s">
        <v>4320</v>
      </c>
      <c r="C1446" t="s">
        <v>4321</v>
      </c>
      <c r="D1446" t="s">
        <v>4320</v>
      </c>
    </row>
    <row r="1447" spans="1:4" x14ac:dyDescent="0.25">
      <c r="A1447" t="s">
        <v>4322</v>
      </c>
      <c r="B1447" t="s">
        <v>4323</v>
      </c>
      <c r="C1447" t="s">
        <v>4324</v>
      </c>
      <c r="D1447" t="s">
        <v>4323</v>
      </c>
    </row>
    <row r="1448" spans="1:4" x14ac:dyDescent="0.25">
      <c r="A1448" t="s">
        <v>4325</v>
      </c>
      <c r="B1448" t="s">
        <v>4326</v>
      </c>
      <c r="C1448" t="s">
        <v>4327</v>
      </c>
      <c r="D1448" t="s">
        <v>4326</v>
      </c>
    </row>
    <row r="1449" spans="1:4" x14ac:dyDescent="0.25">
      <c r="A1449" t="s">
        <v>4328</v>
      </c>
      <c r="B1449" t="s">
        <v>4329</v>
      </c>
      <c r="C1449" t="s">
        <v>4330</v>
      </c>
      <c r="D1449" t="s">
        <v>4329</v>
      </c>
    </row>
    <row r="1450" spans="1:4" x14ac:dyDescent="0.25">
      <c r="A1450" t="s">
        <v>4331</v>
      </c>
      <c r="B1450" t="s">
        <v>4332</v>
      </c>
      <c r="C1450" t="s">
        <v>4333</v>
      </c>
      <c r="D1450" t="s">
        <v>4332</v>
      </c>
    </row>
    <row r="1451" spans="1:4" x14ac:dyDescent="0.25">
      <c r="A1451" t="s">
        <v>4334</v>
      </c>
      <c r="B1451" t="s">
        <v>4335</v>
      </c>
      <c r="C1451" t="s">
        <v>4336</v>
      </c>
      <c r="D1451" t="s">
        <v>4335</v>
      </c>
    </row>
    <row r="1452" spans="1:4" x14ac:dyDescent="0.25">
      <c r="A1452" t="s">
        <v>4337</v>
      </c>
      <c r="B1452" t="s">
        <v>4338</v>
      </c>
      <c r="C1452" t="s">
        <v>4339</v>
      </c>
      <c r="D1452" t="s">
        <v>4338</v>
      </c>
    </row>
    <row r="1453" spans="1:4" x14ac:dyDescent="0.25">
      <c r="A1453" t="s">
        <v>4340</v>
      </c>
      <c r="B1453" t="s">
        <v>4341</v>
      </c>
      <c r="C1453" t="s">
        <v>4342</v>
      </c>
      <c r="D1453" t="s">
        <v>4341</v>
      </c>
    </row>
    <row r="1454" spans="1:4" x14ac:dyDescent="0.25">
      <c r="A1454" t="s">
        <v>4343</v>
      </c>
      <c r="B1454" t="s">
        <v>4344</v>
      </c>
      <c r="C1454" t="s">
        <v>4345</v>
      </c>
      <c r="D1454" t="s">
        <v>4344</v>
      </c>
    </row>
    <row r="1455" spans="1:4" x14ac:dyDescent="0.25">
      <c r="A1455" t="s">
        <v>4346</v>
      </c>
      <c r="B1455" t="s">
        <v>4347</v>
      </c>
      <c r="C1455" t="s">
        <v>4348</v>
      </c>
      <c r="D1455" t="s">
        <v>4347</v>
      </c>
    </row>
    <row r="1456" spans="1:4" x14ac:dyDescent="0.25">
      <c r="A1456" t="s">
        <v>4349</v>
      </c>
      <c r="B1456" t="s">
        <v>4350</v>
      </c>
      <c r="C1456" t="s">
        <v>4351</v>
      </c>
      <c r="D1456" t="s">
        <v>4350</v>
      </c>
    </row>
    <row r="1457" spans="1:4" x14ac:dyDescent="0.25">
      <c r="A1457" t="s">
        <v>4352</v>
      </c>
      <c r="B1457" t="s">
        <v>4353</v>
      </c>
      <c r="C1457" t="s">
        <v>4354</v>
      </c>
      <c r="D1457" t="s">
        <v>4353</v>
      </c>
    </row>
    <row r="1458" spans="1:4" x14ac:dyDescent="0.25">
      <c r="A1458" t="s">
        <v>4355</v>
      </c>
      <c r="B1458" t="s">
        <v>4356</v>
      </c>
      <c r="C1458" t="s">
        <v>4357</v>
      </c>
      <c r="D1458" t="s">
        <v>4356</v>
      </c>
    </row>
    <row r="1459" spans="1:4" x14ac:dyDescent="0.25">
      <c r="A1459" t="s">
        <v>4358</v>
      </c>
      <c r="B1459" t="s">
        <v>4359</v>
      </c>
      <c r="C1459" t="s">
        <v>4360</v>
      </c>
      <c r="D1459" t="s">
        <v>4359</v>
      </c>
    </row>
    <row r="1460" spans="1:4" x14ac:dyDescent="0.25">
      <c r="A1460" t="s">
        <v>4361</v>
      </c>
      <c r="B1460" t="s">
        <v>4362</v>
      </c>
      <c r="C1460" t="s">
        <v>4363</v>
      </c>
      <c r="D1460" t="s">
        <v>4362</v>
      </c>
    </row>
    <row r="1461" spans="1:4" x14ac:dyDescent="0.25">
      <c r="A1461" t="s">
        <v>4364</v>
      </c>
      <c r="B1461" t="s">
        <v>4365</v>
      </c>
      <c r="C1461" t="s">
        <v>4366</v>
      </c>
      <c r="D1461" t="s">
        <v>4365</v>
      </c>
    </row>
    <row r="1462" spans="1:4" x14ac:dyDescent="0.25">
      <c r="A1462" t="s">
        <v>4367</v>
      </c>
      <c r="B1462" t="s">
        <v>4368</v>
      </c>
      <c r="C1462" t="s">
        <v>4369</v>
      </c>
      <c r="D1462" t="s">
        <v>4368</v>
      </c>
    </row>
    <row r="1463" spans="1:4" x14ac:dyDescent="0.25">
      <c r="A1463" t="s">
        <v>4370</v>
      </c>
      <c r="B1463" t="s">
        <v>4371</v>
      </c>
      <c r="C1463" t="s">
        <v>4372</v>
      </c>
      <c r="D1463" t="s">
        <v>4371</v>
      </c>
    </row>
    <row r="1464" spans="1:4" x14ac:dyDescent="0.25">
      <c r="A1464" t="s">
        <v>4373</v>
      </c>
      <c r="B1464" t="s">
        <v>4374</v>
      </c>
      <c r="C1464" t="s">
        <v>4375</v>
      </c>
      <c r="D1464" t="s">
        <v>4374</v>
      </c>
    </row>
    <row r="1465" spans="1:4" x14ac:dyDescent="0.25">
      <c r="A1465" t="s">
        <v>4376</v>
      </c>
      <c r="B1465" t="s">
        <v>4377</v>
      </c>
      <c r="C1465" t="s">
        <v>4378</v>
      </c>
      <c r="D1465" t="s">
        <v>4377</v>
      </c>
    </row>
    <row r="1466" spans="1:4" x14ac:dyDescent="0.25">
      <c r="A1466" t="s">
        <v>4379</v>
      </c>
      <c r="B1466" t="s">
        <v>4380</v>
      </c>
      <c r="C1466" t="s">
        <v>4381</v>
      </c>
      <c r="D1466" t="s">
        <v>4380</v>
      </c>
    </row>
    <row r="1467" spans="1:4" x14ac:dyDescent="0.25">
      <c r="A1467" t="s">
        <v>4382</v>
      </c>
      <c r="B1467" t="s">
        <v>4383</v>
      </c>
      <c r="C1467" t="s">
        <v>4384</v>
      </c>
      <c r="D1467" t="s">
        <v>4383</v>
      </c>
    </row>
    <row r="1468" spans="1:4" x14ac:dyDescent="0.25">
      <c r="A1468" t="s">
        <v>4385</v>
      </c>
      <c r="B1468" t="s">
        <v>4386</v>
      </c>
      <c r="C1468" t="s">
        <v>4387</v>
      </c>
      <c r="D1468" t="s">
        <v>4386</v>
      </c>
    </row>
    <row r="1469" spans="1:4" x14ac:dyDescent="0.25">
      <c r="A1469" t="s">
        <v>4388</v>
      </c>
      <c r="B1469" t="s">
        <v>4389</v>
      </c>
      <c r="C1469" t="s">
        <v>4390</v>
      </c>
      <c r="D1469" t="s">
        <v>4389</v>
      </c>
    </row>
    <row r="1470" spans="1:4" x14ac:dyDescent="0.25">
      <c r="A1470" t="s">
        <v>4391</v>
      </c>
      <c r="B1470" t="s">
        <v>4392</v>
      </c>
      <c r="C1470" t="s">
        <v>4393</v>
      </c>
      <c r="D1470" t="s">
        <v>4392</v>
      </c>
    </row>
    <row r="1471" spans="1:4" x14ac:dyDescent="0.25">
      <c r="A1471" t="s">
        <v>4394</v>
      </c>
      <c r="B1471" t="s">
        <v>4395</v>
      </c>
      <c r="C1471" t="s">
        <v>4396</v>
      </c>
      <c r="D1471" t="s">
        <v>4395</v>
      </c>
    </row>
    <row r="1472" spans="1:4" x14ac:dyDescent="0.25">
      <c r="A1472" t="s">
        <v>4397</v>
      </c>
      <c r="B1472" t="s">
        <v>4398</v>
      </c>
      <c r="C1472" t="s">
        <v>4399</v>
      </c>
      <c r="D1472" t="s">
        <v>4398</v>
      </c>
    </row>
    <row r="1473" spans="1:4" x14ac:dyDescent="0.25">
      <c r="A1473" t="s">
        <v>4400</v>
      </c>
      <c r="B1473" t="s">
        <v>4401</v>
      </c>
      <c r="C1473" t="s">
        <v>4402</v>
      </c>
      <c r="D1473" t="s">
        <v>4401</v>
      </c>
    </row>
    <row r="1474" spans="1:4" x14ac:dyDescent="0.25">
      <c r="A1474" t="s">
        <v>4403</v>
      </c>
      <c r="B1474" t="s">
        <v>4404</v>
      </c>
      <c r="C1474" t="s">
        <v>4405</v>
      </c>
      <c r="D1474" t="s">
        <v>4404</v>
      </c>
    </row>
    <row r="1475" spans="1:4" x14ac:dyDescent="0.25">
      <c r="A1475" t="s">
        <v>4406</v>
      </c>
      <c r="B1475" t="s">
        <v>4407</v>
      </c>
      <c r="C1475" t="s">
        <v>4408</v>
      </c>
      <c r="D1475" t="s">
        <v>4407</v>
      </c>
    </row>
    <row r="1476" spans="1:4" x14ac:dyDescent="0.25">
      <c r="A1476" t="s">
        <v>4409</v>
      </c>
      <c r="B1476" t="s">
        <v>4410</v>
      </c>
      <c r="C1476" t="s">
        <v>4411</v>
      </c>
      <c r="D1476" t="s">
        <v>4410</v>
      </c>
    </row>
    <row r="1477" spans="1:4" x14ac:dyDescent="0.25">
      <c r="A1477" t="s">
        <v>4412</v>
      </c>
      <c r="B1477" t="s">
        <v>4413</v>
      </c>
      <c r="C1477" t="s">
        <v>4414</v>
      </c>
      <c r="D1477" t="s">
        <v>4413</v>
      </c>
    </row>
    <row r="1478" spans="1:4" x14ac:dyDescent="0.25">
      <c r="A1478" t="s">
        <v>4415</v>
      </c>
      <c r="B1478" t="s">
        <v>4416</v>
      </c>
      <c r="C1478" t="s">
        <v>4417</v>
      </c>
      <c r="D1478" t="s">
        <v>4416</v>
      </c>
    </row>
    <row r="1479" spans="1:4" x14ac:dyDescent="0.25">
      <c r="A1479" t="s">
        <v>4418</v>
      </c>
      <c r="B1479" t="s">
        <v>4419</v>
      </c>
      <c r="C1479" t="s">
        <v>4420</v>
      </c>
      <c r="D1479" t="s">
        <v>4419</v>
      </c>
    </row>
    <row r="1480" spans="1:4" x14ac:dyDescent="0.25">
      <c r="A1480" t="s">
        <v>4421</v>
      </c>
      <c r="B1480" t="s">
        <v>4422</v>
      </c>
      <c r="C1480" t="s">
        <v>4423</v>
      </c>
      <c r="D1480" t="s">
        <v>4422</v>
      </c>
    </row>
    <row r="1481" spans="1:4" x14ac:dyDescent="0.25">
      <c r="A1481" t="s">
        <v>4424</v>
      </c>
      <c r="B1481" t="s">
        <v>4425</v>
      </c>
      <c r="C1481" t="s">
        <v>4426</v>
      </c>
      <c r="D1481" t="s">
        <v>4425</v>
      </c>
    </row>
    <row r="1482" spans="1:4" x14ac:dyDescent="0.25">
      <c r="A1482" t="s">
        <v>4427</v>
      </c>
      <c r="B1482" t="s">
        <v>4428</v>
      </c>
      <c r="C1482" t="s">
        <v>4429</v>
      </c>
      <c r="D1482" t="s">
        <v>4428</v>
      </c>
    </row>
    <row r="1483" spans="1:4" x14ac:dyDescent="0.25">
      <c r="A1483" t="s">
        <v>4430</v>
      </c>
      <c r="B1483" t="s">
        <v>4431</v>
      </c>
      <c r="C1483" t="s">
        <v>4432</v>
      </c>
      <c r="D1483" t="s">
        <v>4431</v>
      </c>
    </row>
    <row r="1484" spans="1:4" x14ac:dyDescent="0.25">
      <c r="A1484" t="s">
        <v>4433</v>
      </c>
      <c r="B1484" t="s">
        <v>4434</v>
      </c>
      <c r="C1484" t="s">
        <v>4435</v>
      </c>
      <c r="D1484" t="s">
        <v>4434</v>
      </c>
    </row>
    <row r="1485" spans="1:4" x14ac:dyDescent="0.25">
      <c r="A1485" t="s">
        <v>4436</v>
      </c>
      <c r="B1485" t="s">
        <v>4437</v>
      </c>
      <c r="C1485" t="s">
        <v>4438</v>
      </c>
      <c r="D1485" t="s">
        <v>4437</v>
      </c>
    </row>
    <row r="1486" spans="1:4" x14ac:dyDescent="0.25">
      <c r="A1486" t="s">
        <v>4439</v>
      </c>
      <c r="B1486" t="s">
        <v>4440</v>
      </c>
      <c r="C1486" t="s">
        <v>4441</v>
      </c>
      <c r="D1486" t="s">
        <v>4440</v>
      </c>
    </row>
    <row r="1487" spans="1:4" x14ac:dyDescent="0.25">
      <c r="A1487" t="s">
        <v>4442</v>
      </c>
      <c r="B1487" t="s">
        <v>4443</v>
      </c>
      <c r="C1487" t="s">
        <v>4444</v>
      </c>
      <c r="D1487" t="s">
        <v>4443</v>
      </c>
    </row>
    <row r="1488" spans="1:4" x14ac:dyDescent="0.25">
      <c r="A1488" t="s">
        <v>4445</v>
      </c>
      <c r="B1488" t="s">
        <v>4446</v>
      </c>
      <c r="C1488" t="s">
        <v>4447</v>
      </c>
      <c r="D1488" t="s">
        <v>4446</v>
      </c>
    </row>
    <row r="1489" spans="1:4" x14ac:dyDescent="0.25">
      <c r="A1489" t="s">
        <v>4448</v>
      </c>
      <c r="B1489" t="s">
        <v>4449</v>
      </c>
      <c r="C1489" t="s">
        <v>4450</v>
      </c>
      <c r="D1489" t="s">
        <v>4449</v>
      </c>
    </row>
    <row r="1490" spans="1:4" x14ac:dyDescent="0.25">
      <c r="A1490" t="s">
        <v>4451</v>
      </c>
      <c r="B1490" t="s">
        <v>4452</v>
      </c>
      <c r="C1490" t="s">
        <v>4453</v>
      </c>
      <c r="D1490" t="s">
        <v>4452</v>
      </c>
    </row>
    <row r="1491" spans="1:4" x14ac:dyDescent="0.25">
      <c r="A1491" t="s">
        <v>4454</v>
      </c>
      <c r="B1491" t="s">
        <v>4455</v>
      </c>
      <c r="C1491" t="s">
        <v>4456</v>
      </c>
      <c r="D1491" t="s">
        <v>4455</v>
      </c>
    </row>
    <row r="1492" spans="1:4" x14ac:dyDescent="0.25">
      <c r="A1492" t="s">
        <v>4457</v>
      </c>
      <c r="B1492" t="s">
        <v>4458</v>
      </c>
      <c r="C1492" t="s">
        <v>4459</v>
      </c>
      <c r="D1492" t="s">
        <v>4458</v>
      </c>
    </row>
    <row r="1493" spans="1:4" x14ac:dyDescent="0.25">
      <c r="A1493" t="s">
        <v>4460</v>
      </c>
      <c r="B1493" t="s">
        <v>4461</v>
      </c>
      <c r="C1493" t="s">
        <v>4462</v>
      </c>
      <c r="D1493" t="s">
        <v>4461</v>
      </c>
    </row>
    <row r="1494" spans="1:4" x14ac:dyDescent="0.25">
      <c r="A1494" t="s">
        <v>4463</v>
      </c>
      <c r="B1494" t="s">
        <v>4464</v>
      </c>
      <c r="C1494" t="s">
        <v>4465</v>
      </c>
      <c r="D1494" t="s">
        <v>4464</v>
      </c>
    </row>
    <row r="1495" spans="1:4" x14ac:dyDescent="0.25">
      <c r="A1495" t="s">
        <v>4466</v>
      </c>
      <c r="B1495" t="s">
        <v>4467</v>
      </c>
      <c r="C1495" t="s">
        <v>4468</v>
      </c>
      <c r="D1495" t="s">
        <v>4467</v>
      </c>
    </row>
    <row r="1496" spans="1:4" x14ac:dyDescent="0.25">
      <c r="A1496" t="s">
        <v>4469</v>
      </c>
      <c r="B1496" t="s">
        <v>4470</v>
      </c>
      <c r="C1496" t="s">
        <v>4471</v>
      </c>
      <c r="D1496" t="s">
        <v>4470</v>
      </c>
    </row>
    <row r="1497" spans="1:4" x14ac:dyDescent="0.25">
      <c r="A1497" t="s">
        <v>4472</v>
      </c>
      <c r="B1497" t="s">
        <v>4473</v>
      </c>
      <c r="C1497" t="s">
        <v>4474</v>
      </c>
      <c r="D1497" t="s">
        <v>4473</v>
      </c>
    </row>
    <row r="1498" spans="1:4" x14ac:dyDescent="0.25">
      <c r="A1498" t="s">
        <v>4475</v>
      </c>
      <c r="B1498" t="s">
        <v>4476</v>
      </c>
      <c r="C1498" t="s">
        <v>4477</v>
      </c>
      <c r="D1498" t="s">
        <v>4476</v>
      </c>
    </row>
    <row r="1499" spans="1:4" x14ac:dyDescent="0.25">
      <c r="A1499" t="s">
        <v>4478</v>
      </c>
      <c r="B1499" t="s">
        <v>4479</v>
      </c>
      <c r="C1499" t="s">
        <v>4480</v>
      </c>
      <c r="D1499" t="s">
        <v>4479</v>
      </c>
    </row>
    <row r="1500" spans="1:4" x14ac:dyDescent="0.25">
      <c r="A1500" t="s">
        <v>4481</v>
      </c>
      <c r="B1500" t="s">
        <v>4482</v>
      </c>
      <c r="C1500" t="s">
        <v>4483</v>
      </c>
      <c r="D1500" t="s">
        <v>4482</v>
      </c>
    </row>
    <row r="1501" spans="1:4" x14ac:dyDescent="0.25">
      <c r="A1501" t="s">
        <v>4484</v>
      </c>
      <c r="B1501" t="s">
        <v>4485</v>
      </c>
      <c r="C1501" t="s">
        <v>4486</v>
      </c>
      <c r="D1501" t="s">
        <v>4485</v>
      </c>
    </row>
    <row r="1502" spans="1:4" x14ac:dyDescent="0.25">
      <c r="A1502" t="s">
        <v>4487</v>
      </c>
      <c r="B1502" t="s">
        <v>4488</v>
      </c>
      <c r="C1502" t="s">
        <v>4489</v>
      </c>
      <c r="D1502" t="s">
        <v>4488</v>
      </c>
    </row>
    <row r="1503" spans="1:4" x14ac:dyDescent="0.25">
      <c r="A1503" t="s">
        <v>4490</v>
      </c>
      <c r="B1503" t="s">
        <v>4491</v>
      </c>
      <c r="C1503" t="s">
        <v>4492</v>
      </c>
      <c r="D1503" t="s">
        <v>4491</v>
      </c>
    </row>
    <row r="1504" spans="1:4" x14ac:dyDescent="0.25">
      <c r="A1504" t="s">
        <v>4493</v>
      </c>
      <c r="B1504" t="s">
        <v>4494</v>
      </c>
      <c r="C1504" t="s">
        <v>4495</v>
      </c>
      <c r="D1504" t="s">
        <v>4494</v>
      </c>
    </row>
    <row r="1505" spans="1:4" x14ac:dyDescent="0.25">
      <c r="A1505" t="s">
        <v>4496</v>
      </c>
      <c r="B1505" t="s">
        <v>4497</v>
      </c>
      <c r="C1505" t="s">
        <v>4498</v>
      </c>
      <c r="D1505" t="s">
        <v>4497</v>
      </c>
    </row>
    <row r="1506" spans="1:4" x14ac:dyDescent="0.25">
      <c r="A1506" t="s">
        <v>4499</v>
      </c>
      <c r="B1506" t="s">
        <v>4500</v>
      </c>
      <c r="C1506" t="s">
        <v>4501</v>
      </c>
      <c r="D1506" t="s">
        <v>4500</v>
      </c>
    </row>
    <row r="1507" spans="1:4" x14ac:dyDescent="0.25">
      <c r="A1507" t="s">
        <v>4502</v>
      </c>
      <c r="B1507" t="s">
        <v>4503</v>
      </c>
      <c r="C1507" t="s">
        <v>4504</v>
      </c>
      <c r="D1507" t="s">
        <v>4503</v>
      </c>
    </row>
    <row r="1508" spans="1:4" x14ac:dyDescent="0.25">
      <c r="A1508" t="s">
        <v>4505</v>
      </c>
      <c r="B1508" t="s">
        <v>4506</v>
      </c>
      <c r="C1508" t="s">
        <v>4507</v>
      </c>
      <c r="D1508" t="s">
        <v>4506</v>
      </c>
    </row>
    <row r="1509" spans="1:4" x14ac:dyDescent="0.25">
      <c r="A1509" t="s">
        <v>4508</v>
      </c>
      <c r="B1509" t="s">
        <v>4509</v>
      </c>
      <c r="C1509" t="s">
        <v>4510</v>
      </c>
      <c r="D1509" t="s">
        <v>4509</v>
      </c>
    </row>
    <row r="1510" spans="1:4" x14ac:dyDescent="0.25">
      <c r="A1510" t="s">
        <v>4511</v>
      </c>
      <c r="B1510" t="s">
        <v>4512</v>
      </c>
      <c r="C1510" t="s">
        <v>4513</v>
      </c>
      <c r="D1510" t="s">
        <v>4512</v>
      </c>
    </row>
    <row r="1511" spans="1:4" x14ac:dyDescent="0.25">
      <c r="A1511" t="s">
        <v>4514</v>
      </c>
      <c r="B1511" t="s">
        <v>4515</v>
      </c>
      <c r="C1511" t="s">
        <v>4516</v>
      </c>
      <c r="D1511" t="s">
        <v>4515</v>
      </c>
    </row>
    <row r="1512" spans="1:4" x14ac:dyDescent="0.25">
      <c r="A1512" t="s">
        <v>4517</v>
      </c>
      <c r="B1512" t="s">
        <v>4518</v>
      </c>
      <c r="C1512" t="s">
        <v>4519</v>
      </c>
      <c r="D1512" t="s">
        <v>4518</v>
      </c>
    </row>
    <row r="1513" spans="1:4" x14ac:dyDescent="0.25">
      <c r="A1513" t="s">
        <v>4520</v>
      </c>
      <c r="B1513" t="s">
        <v>4521</v>
      </c>
      <c r="C1513" t="s">
        <v>4522</v>
      </c>
      <c r="D1513" t="s">
        <v>4521</v>
      </c>
    </row>
    <row r="1514" spans="1:4" x14ac:dyDescent="0.25">
      <c r="A1514" t="s">
        <v>4523</v>
      </c>
      <c r="B1514" t="s">
        <v>4524</v>
      </c>
      <c r="C1514" t="s">
        <v>4525</v>
      </c>
      <c r="D1514" t="s">
        <v>4524</v>
      </c>
    </row>
    <row r="1515" spans="1:4" x14ac:dyDescent="0.25">
      <c r="A1515" t="s">
        <v>4526</v>
      </c>
      <c r="B1515" t="s">
        <v>4527</v>
      </c>
      <c r="C1515" t="s">
        <v>4528</v>
      </c>
      <c r="D1515" t="s">
        <v>4527</v>
      </c>
    </row>
    <row r="1516" spans="1:4" x14ac:dyDescent="0.25">
      <c r="A1516" t="s">
        <v>4529</v>
      </c>
      <c r="B1516" t="s">
        <v>4530</v>
      </c>
      <c r="C1516" t="s">
        <v>4531</v>
      </c>
      <c r="D1516" t="s">
        <v>4530</v>
      </c>
    </row>
    <row r="1517" spans="1:4" x14ac:dyDescent="0.25">
      <c r="A1517" t="s">
        <v>4532</v>
      </c>
      <c r="B1517" t="s">
        <v>4533</v>
      </c>
      <c r="C1517" t="s">
        <v>4534</v>
      </c>
      <c r="D1517" t="s">
        <v>4533</v>
      </c>
    </row>
    <row r="1518" spans="1:4" x14ac:dyDescent="0.25">
      <c r="A1518" t="s">
        <v>4535</v>
      </c>
      <c r="B1518" t="s">
        <v>4536</v>
      </c>
      <c r="C1518" t="s">
        <v>4537</v>
      </c>
      <c r="D1518" t="s">
        <v>4536</v>
      </c>
    </row>
    <row r="1519" spans="1:4" x14ac:dyDescent="0.25">
      <c r="A1519" t="s">
        <v>4538</v>
      </c>
      <c r="B1519" t="s">
        <v>4539</v>
      </c>
      <c r="C1519" t="s">
        <v>4540</v>
      </c>
      <c r="D1519" t="s">
        <v>4539</v>
      </c>
    </row>
    <row r="1520" spans="1:4" x14ac:dyDescent="0.25">
      <c r="A1520" t="s">
        <v>4541</v>
      </c>
      <c r="B1520" t="s">
        <v>4542</v>
      </c>
      <c r="C1520" t="s">
        <v>4543</v>
      </c>
      <c r="D1520" t="s">
        <v>4542</v>
      </c>
    </row>
    <row r="1521" spans="1:4" x14ac:dyDescent="0.25">
      <c r="A1521" t="s">
        <v>4544</v>
      </c>
      <c r="B1521" t="s">
        <v>4545</v>
      </c>
      <c r="C1521" t="s">
        <v>4546</v>
      </c>
      <c r="D1521" t="s">
        <v>4545</v>
      </c>
    </row>
    <row r="1522" spans="1:4" x14ac:dyDescent="0.25">
      <c r="A1522" t="s">
        <v>4547</v>
      </c>
      <c r="B1522" t="s">
        <v>4548</v>
      </c>
      <c r="C1522" t="s">
        <v>4549</v>
      </c>
      <c r="D1522" t="s">
        <v>4548</v>
      </c>
    </row>
    <row r="1523" spans="1:4" x14ac:dyDescent="0.25">
      <c r="A1523" t="s">
        <v>4550</v>
      </c>
      <c r="B1523" t="s">
        <v>4551</v>
      </c>
      <c r="C1523" t="s">
        <v>4552</v>
      </c>
      <c r="D1523" t="s">
        <v>4551</v>
      </c>
    </row>
    <row r="1524" spans="1:4" x14ac:dyDescent="0.25">
      <c r="A1524" t="s">
        <v>4553</v>
      </c>
      <c r="B1524" t="s">
        <v>4554</v>
      </c>
      <c r="C1524" t="s">
        <v>4555</v>
      </c>
      <c r="D1524" t="s">
        <v>4554</v>
      </c>
    </row>
    <row r="1525" spans="1:4" x14ac:dyDescent="0.25">
      <c r="A1525" t="s">
        <v>4556</v>
      </c>
      <c r="B1525" t="s">
        <v>4557</v>
      </c>
      <c r="C1525" t="s">
        <v>4558</v>
      </c>
      <c r="D1525" t="s">
        <v>4557</v>
      </c>
    </row>
    <row r="1526" spans="1:4" x14ac:dyDescent="0.25">
      <c r="A1526" t="s">
        <v>4559</v>
      </c>
      <c r="B1526" t="s">
        <v>4560</v>
      </c>
      <c r="C1526" t="s">
        <v>4561</v>
      </c>
      <c r="D1526" t="s">
        <v>4560</v>
      </c>
    </row>
    <row r="1527" spans="1:4" x14ac:dyDescent="0.25">
      <c r="A1527" t="s">
        <v>4562</v>
      </c>
      <c r="B1527" t="s">
        <v>4563</v>
      </c>
      <c r="C1527" t="s">
        <v>4564</v>
      </c>
      <c r="D1527" t="s">
        <v>4563</v>
      </c>
    </row>
    <row r="1528" spans="1:4" x14ac:dyDescent="0.25">
      <c r="A1528" t="s">
        <v>4565</v>
      </c>
      <c r="B1528" t="s">
        <v>4566</v>
      </c>
      <c r="C1528" t="s">
        <v>4567</v>
      </c>
      <c r="D1528" t="s">
        <v>4566</v>
      </c>
    </row>
    <row r="1529" spans="1:4" x14ac:dyDescent="0.25">
      <c r="A1529" t="s">
        <v>4568</v>
      </c>
      <c r="B1529" t="s">
        <v>4569</v>
      </c>
      <c r="C1529" t="s">
        <v>4570</v>
      </c>
      <c r="D1529" t="s">
        <v>4569</v>
      </c>
    </row>
    <row r="1530" spans="1:4" x14ac:dyDescent="0.25">
      <c r="A1530" t="s">
        <v>4571</v>
      </c>
      <c r="B1530" t="s">
        <v>4572</v>
      </c>
      <c r="C1530" t="s">
        <v>4573</v>
      </c>
      <c r="D1530" t="s">
        <v>4572</v>
      </c>
    </row>
    <row r="1531" spans="1:4" x14ac:dyDescent="0.25">
      <c r="A1531" t="s">
        <v>4574</v>
      </c>
      <c r="B1531" t="s">
        <v>4575</v>
      </c>
      <c r="C1531" t="s">
        <v>4576</v>
      </c>
      <c r="D1531" t="s">
        <v>4575</v>
      </c>
    </row>
    <row r="1532" spans="1:4" x14ac:dyDescent="0.25">
      <c r="A1532" t="s">
        <v>4577</v>
      </c>
      <c r="B1532" t="s">
        <v>4578</v>
      </c>
      <c r="C1532" t="s">
        <v>4579</v>
      </c>
      <c r="D1532" t="s">
        <v>4578</v>
      </c>
    </row>
    <row r="1533" spans="1:4" x14ac:dyDescent="0.25">
      <c r="A1533" t="s">
        <v>4580</v>
      </c>
      <c r="B1533" t="s">
        <v>4581</v>
      </c>
      <c r="C1533" t="s">
        <v>4582</v>
      </c>
      <c r="D1533" t="s">
        <v>4581</v>
      </c>
    </row>
    <row r="1534" spans="1:4" x14ac:dyDescent="0.25">
      <c r="A1534" t="s">
        <v>4583</v>
      </c>
      <c r="B1534" t="s">
        <v>4584</v>
      </c>
      <c r="C1534" t="s">
        <v>4585</v>
      </c>
      <c r="D1534" t="s">
        <v>4584</v>
      </c>
    </row>
    <row r="1535" spans="1:4" x14ac:dyDescent="0.25">
      <c r="A1535" t="s">
        <v>4586</v>
      </c>
      <c r="B1535" t="s">
        <v>4587</v>
      </c>
      <c r="C1535" t="s">
        <v>4588</v>
      </c>
      <c r="D1535" t="s">
        <v>4587</v>
      </c>
    </row>
    <row r="1536" spans="1:4" x14ac:dyDescent="0.25">
      <c r="A1536" t="s">
        <v>4589</v>
      </c>
      <c r="B1536" t="s">
        <v>4590</v>
      </c>
      <c r="C1536" t="s">
        <v>4591</v>
      </c>
      <c r="D1536" t="s">
        <v>4590</v>
      </c>
    </row>
    <row r="1537" spans="1:4" x14ac:dyDescent="0.25">
      <c r="A1537" t="s">
        <v>4592</v>
      </c>
      <c r="B1537" t="s">
        <v>4593</v>
      </c>
      <c r="C1537" t="s">
        <v>4594</v>
      </c>
      <c r="D1537" t="s">
        <v>4593</v>
      </c>
    </row>
    <row r="1538" spans="1:4" x14ac:dyDescent="0.25">
      <c r="A1538" t="s">
        <v>4595</v>
      </c>
      <c r="B1538" t="s">
        <v>4596</v>
      </c>
      <c r="C1538" t="s">
        <v>4597</v>
      </c>
      <c r="D1538" t="s">
        <v>4596</v>
      </c>
    </row>
    <row r="1539" spans="1:4" x14ac:dyDescent="0.25">
      <c r="A1539" t="s">
        <v>4598</v>
      </c>
      <c r="B1539" t="s">
        <v>4599</v>
      </c>
      <c r="C1539" t="s">
        <v>4600</v>
      </c>
      <c r="D1539" t="s">
        <v>4599</v>
      </c>
    </row>
    <row r="1540" spans="1:4" x14ac:dyDescent="0.25">
      <c r="A1540" t="s">
        <v>4601</v>
      </c>
      <c r="B1540" t="s">
        <v>4602</v>
      </c>
      <c r="C1540" t="s">
        <v>4603</v>
      </c>
      <c r="D1540" t="s">
        <v>4602</v>
      </c>
    </row>
    <row r="1541" spans="1:4" x14ac:dyDescent="0.25">
      <c r="A1541" t="s">
        <v>4604</v>
      </c>
      <c r="B1541" t="s">
        <v>4605</v>
      </c>
      <c r="C1541" t="s">
        <v>4606</v>
      </c>
      <c r="D1541" t="s">
        <v>4605</v>
      </c>
    </row>
    <row r="1542" spans="1:4" x14ac:dyDescent="0.25">
      <c r="A1542" t="s">
        <v>4607</v>
      </c>
      <c r="B1542" t="s">
        <v>4608</v>
      </c>
      <c r="C1542" t="s">
        <v>4609</v>
      </c>
      <c r="D1542" t="s">
        <v>4608</v>
      </c>
    </row>
    <row r="1543" spans="1:4" x14ac:dyDescent="0.25">
      <c r="A1543" t="s">
        <v>4610</v>
      </c>
      <c r="B1543" t="s">
        <v>4611</v>
      </c>
      <c r="C1543" t="s">
        <v>4612</v>
      </c>
      <c r="D1543" t="s">
        <v>4611</v>
      </c>
    </row>
    <row r="1544" spans="1:4" x14ac:dyDescent="0.25">
      <c r="A1544" t="s">
        <v>4613</v>
      </c>
      <c r="B1544" t="s">
        <v>4614</v>
      </c>
      <c r="C1544" t="s">
        <v>4615</v>
      </c>
      <c r="D1544" t="s">
        <v>4614</v>
      </c>
    </row>
    <row r="1545" spans="1:4" x14ac:dyDescent="0.25">
      <c r="A1545" t="s">
        <v>4616</v>
      </c>
      <c r="B1545" t="s">
        <v>4617</v>
      </c>
      <c r="C1545" t="s">
        <v>4618</v>
      </c>
      <c r="D1545" t="s">
        <v>4617</v>
      </c>
    </row>
    <row r="1546" spans="1:4" x14ac:dyDescent="0.25">
      <c r="A1546" t="s">
        <v>4619</v>
      </c>
      <c r="B1546" t="s">
        <v>4620</v>
      </c>
      <c r="C1546" t="s">
        <v>4621</v>
      </c>
      <c r="D1546" t="s">
        <v>4620</v>
      </c>
    </row>
    <row r="1547" spans="1:4" x14ac:dyDescent="0.25">
      <c r="A1547" t="s">
        <v>4622</v>
      </c>
      <c r="B1547" t="s">
        <v>4623</v>
      </c>
      <c r="C1547" t="s">
        <v>4624</v>
      </c>
      <c r="D1547" t="s">
        <v>4623</v>
      </c>
    </row>
    <row r="1548" spans="1:4" x14ac:dyDescent="0.25">
      <c r="A1548" t="s">
        <v>4625</v>
      </c>
      <c r="B1548" t="s">
        <v>4626</v>
      </c>
      <c r="C1548" t="s">
        <v>4627</v>
      </c>
      <c r="D1548" t="s">
        <v>4626</v>
      </c>
    </row>
    <row r="1549" spans="1:4" x14ac:dyDescent="0.25">
      <c r="A1549" t="s">
        <v>4628</v>
      </c>
      <c r="B1549" t="s">
        <v>4629</v>
      </c>
      <c r="C1549" t="s">
        <v>4630</v>
      </c>
      <c r="D1549" t="s">
        <v>4629</v>
      </c>
    </row>
    <row r="1550" spans="1:4" x14ac:dyDescent="0.25">
      <c r="A1550" t="s">
        <v>4631</v>
      </c>
      <c r="B1550" t="s">
        <v>4632</v>
      </c>
      <c r="C1550" t="s">
        <v>4633</v>
      </c>
      <c r="D1550" t="s">
        <v>4632</v>
      </c>
    </row>
    <row r="1551" spans="1:4" x14ac:dyDescent="0.25">
      <c r="A1551" t="s">
        <v>4634</v>
      </c>
      <c r="B1551" t="s">
        <v>4635</v>
      </c>
      <c r="C1551" t="s">
        <v>4636</v>
      </c>
      <c r="D1551" t="s">
        <v>4635</v>
      </c>
    </row>
    <row r="1552" spans="1:4" x14ac:dyDescent="0.25">
      <c r="A1552" t="s">
        <v>4637</v>
      </c>
      <c r="B1552" t="s">
        <v>4638</v>
      </c>
      <c r="C1552" t="s">
        <v>4639</v>
      </c>
      <c r="D1552" t="s">
        <v>4638</v>
      </c>
    </row>
    <row r="1553" spans="1:4" x14ac:dyDescent="0.25">
      <c r="A1553" t="s">
        <v>4640</v>
      </c>
      <c r="B1553" t="s">
        <v>4641</v>
      </c>
      <c r="C1553" t="s">
        <v>4642</v>
      </c>
      <c r="D1553" t="s">
        <v>4641</v>
      </c>
    </row>
    <row r="1554" spans="1:4" x14ac:dyDescent="0.25">
      <c r="A1554" t="s">
        <v>4643</v>
      </c>
      <c r="B1554" t="s">
        <v>4644</v>
      </c>
      <c r="C1554" t="s">
        <v>4645</v>
      </c>
      <c r="D1554" t="s">
        <v>4644</v>
      </c>
    </row>
    <row r="1555" spans="1:4" x14ac:dyDescent="0.25">
      <c r="A1555" t="s">
        <v>4646</v>
      </c>
      <c r="B1555" t="s">
        <v>4648</v>
      </c>
      <c r="C1555" t="s">
        <v>4648</v>
      </c>
      <c r="D1555" t="s">
        <v>4648</v>
      </c>
    </row>
    <row r="1556" spans="1:4" x14ac:dyDescent="0.25">
      <c r="A1556" t="s">
        <v>4667</v>
      </c>
      <c r="B1556" t="s">
        <v>4668</v>
      </c>
      <c r="C1556" t="s">
        <v>4668</v>
      </c>
      <c r="D1556" t="s">
        <v>4669</v>
      </c>
    </row>
    <row r="1557" spans="1:4" x14ac:dyDescent="0.25">
      <c r="A1557" t="s">
        <v>4679</v>
      </c>
      <c r="B1557" t="s">
        <v>4680</v>
      </c>
      <c r="C1557" t="s">
        <v>4680</v>
      </c>
      <c r="D1557" t="s">
        <v>4680</v>
      </c>
    </row>
    <row r="1558" spans="1:4" x14ac:dyDescent="0.25">
      <c r="A1558" t="s">
        <v>4683</v>
      </c>
      <c r="B1558" t="s">
        <v>4684</v>
      </c>
      <c r="C1558" t="s">
        <v>4684</v>
      </c>
      <c r="D1558" t="s">
        <v>4684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J12:S79"/>
  <sheetViews>
    <sheetView topLeftCell="A67" workbookViewId="0">
      <selection activeCell="L74" sqref="L74"/>
    </sheetView>
  </sheetViews>
  <sheetFormatPr defaultRowHeight="15" x14ac:dyDescent="0.25"/>
  <sheetData>
    <row r="12" spans="10:17" x14ac:dyDescent="0.25">
      <c r="J12">
        <v>1</v>
      </c>
      <c r="K12">
        <v>2</v>
      </c>
      <c r="L12">
        <v>3</v>
      </c>
      <c r="M12">
        <v>4</v>
      </c>
      <c r="N12">
        <v>5</v>
      </c>
      <c r="O12">
        <v>6</v>
      </c>
      <c r="P12">
        <v>7</v>
      </c>
      <c r="Q12">
        <v>8</v>
      </c>
    </row>
    <row r="13" spans="10:17" x14ac:dyDescent="0.25">
      <c r="J13" t="s">
        <v>4658</v>
      </c>
      <c r="K13">
        <v>2.5390446688596122E-2</v>
      </c>
      <c r="L13">
        <v>52208</v>
      </c>
      <c r="M13">
        <v>-107597.06871890154</v>
      </c>
      <c r="N13">
        <v>162.63707063556956</v>
      </c>
      <c r="O13">
        <v>137</v>
      </c>
      <c r="P13">
        <v>215</v>
      </c>
      <c r="Q13">
        <v>0.56934306569343063</v>
      </c>
    </row>
    <row r="14" spans="10:17" x14ac:dyDescent="0.25">
      <c r="J14" t="s">
        <v>4649</v>
      </c>
      <c r="K14">
        <v>1.3720531155982804E-2</v>
      </c>
      <c r="L14">
        <v>12500</v>
      </c>
      <c r="M14">
        <v>-50000</v>
      </c>
      <c r="N14">
        <v>4</v>
      </c>
      <c r="O14">
        <v>3.98</v>
      </c>
      <c r="P14">
        <v>5.4666666984558105</v>
      </c>
      <c r="Q14">
        <v>0.37353434634568106</v>
      </c>
    </row>
    <row r="15" spans="10:17" x14ac:dyDescent="0.25">
      <c r="J15" t="s">
        <v>4766</v>
      </c>
      <c r="K15">
        <v>4.0013249886732251E-2</v>
      </c>
      <c r="L15">
        <v>107950</v>
      </c>
      <c r="M15">
        <v>-160668.27535724238</v>
      </c>
      <c r="N15">
        <v>86.282384089856421</v>
      </c>
      <c r="O15">
        <v>80.209999999999994</v>
      </c>
      <c r="P15">
        <v>102.25390625</v>
      </c>
      <c r="Q15">
        <v>0.27482740618376766</v>
      </c>
    </row>
    <row r="16" spans="10:17" x14ac:dyDescent="0.25">
      <c r="J16" t="s">
        <v>4666</v>
      </c>
      <c r="K16">
        <v>1.4046790218445671E-2</v>
      </c>
      <c r="L16">
        <v>5300</v>
      </c>
      <c r="M16">
        <v>-51579.834964808673</v>
      </c>
      <c r="N16">
        <v>9.7320443329827686</v>
      </c>
      <c r="O16">
        <v>9.61</v>
      </c>
      <c r="P16">
        <v>11.819999694824219</v>
      </c>
      <c r="Q16">
        <v>0.22996875076214573</v>
      </c>
    </row>
    <row r="17" spans="10:17" x14ac:dyDescent="0.25">
      <c r="J17" t="s">
        <v>4678</v>
      </c>
      <c r="K17">
        <v>3.7347377997923814E-2</v>
      </c>
      <c r="L17">
        <v>923</v>
      </c>
      <c r="M17">
        <v>-138348.28553136202</v>
      </c>
      <c r="N17">
        <v>8709.4355059588306</v>
      </c>
      <c r="O17">
        <v>8756</v>
      </c>
      <c r="P17">
        <v>10569.388671875</v>
      </c>
      <c r="Q17">
        <v>0.20710240656407031</v>
      </c>
    </row>
    <row r="18" spans="10:17" x14ac:dyDescent="0.25">
      <c r="J18" t="s">
        <v>4764</v>
      </c>
      <c r="K18">
        <v>1.5572458125076764E-2</v>
      </c>
      <c r="L18">
        <v>1150</v>
      </c>
      <c r="M18">
        <v>-49288.285627517529</v>
      </c>
      <c r="N18">
        <v>42.859378806536988</v>
      </c>
      <c r="O18">
        <v>49.1</v>
      </c>
      <c r="P18">
        <v>59</v>
      </c>
      <c r="Q18">
        <v>0.20162932790224031</v>
      </c>
    </row>
    <row r="19" spans="10:17" x14ac:dyDescent="0.25">
      <c r="J19" t="s">
        <v>4772</v>
      </c>
      <c r="K19">
        <v>1.2475331157312607E-2</v>
      </c>
      <c r="L19">
        <v>3400</v>
      </c>
      <c r="M19">
        <v>-53855.47857832531</v>
      </c>
      <c r="N19">
        <v>899</v>
      </c>
      <c r="O19">
        <v>794</v>
      </c>
      <c r="P19">
        <v>950</v>
      </c>
      <c r="Q19">
        <v>0.19647355163727953</v>
      </c>
    </row>
    <row r="20" spans="10:17" x14ac:dyDescent="0.25">
      <c r="J20" t="s">
        <v>4729</v>
      </c>
      <c r="K20">
        <v>2.7267628359836874E-2</v>
      </c>
      <c r="L20">
        <v>9800</v>
      </c>
      <c r="M20">
        <v>-104300.83108869416</v>
      </c>
      <c r="N20">
        <v>619.0139918367347</v>
      </c>
      <c r="O20">
        <v>602.1</v>
      </c>
      <c r="P20">
        <v>701.17572021484375</v>
      </c>
      <c r="Q20">
        <v>0.164550274397681</v>
      </c>
    </row>
    <row r="21" spans="10:17" x14ac:dyDescent="0.25">
      <c r="J21" t="s">
        <v>4677</v>
      </c>
      <c r="K21">
        <v>1.2571266805121842E-2</v>
      </c>
      <c r="L21">
        <v>4700</v>
      </c>
      <c r="M21">
        <v>-52468.191815673294</v>
      </c>
      <c r="N21">
        <v>637.99869999999999</v>
      </c>
      <c r="O21">
        <v>578.79999999999995</v>
      </c>
      <c r="P21">
        <v>656.66668701171875</v>
      </c>
      <c r="Q21">
        <v>0.13453124915639036</v>
      </c>
    </row>
    <row r="22" spans="10:17" x14ac:dyDescent="0.25">
      <c r="J22" t="s">
        <v>4733</v>
      </c>
      <c r="K22">
        <v>1.362276956535851E-2</v>
      </c>
      <c r="L22">
        <v>1025</v>
      </c>
      <c r="M22">
        <v>-50114.962887707326</v>
      </c>
      <c r="N22">
        <v>2926</v>
      </c>
      <c r="O22">
        <v>2876</v>
      </c>
      <c r="P22">
        <v>3238.91845703125</v>
      </c>
      <c r="Q22">
        <v>0.12618861510126922</v>
      </c>
    </row>
    <row r="23" spans="10:17" x14ac:dyDescent="0.25">
      <c r="J23" t="s">
        <v>4670</v>
      </c>
      <c r="K23">
        <v>4.1145006790574111E-2</v>
      </c>
      <c r="L23">
        <v>75730</v>
      </c>
      <c r="M23">
        <v>-163065.38071400978</v>
      </c>
      <c r="N23">
        <v>125.38486698798363</v>
      </c>
      <c r="O23">
        <v>117.57</v>
      </c>
      <c r="P23">
        <v>130.15773010253906</v>
      </c>
      <c r="Q23">
        <v>0.10706583399284741</v>
      </c>
    </row>
    <row r="24" spans="10:17" x14ac:dyDescent="0.25">
      <c r="J24" t="s">
        <v>4727</v>
      </c>
      <c r="K24">
        <v>1.549054862249733E-2</v>
      </c>
      <c r="L24">
        <v>4760</v>
      </c>
      <c r="M24">
        <v>-49980</v>
      </c>
      <c r="N24">
        <v>10.5</v>
      </c>
      <c r="O24">
        <v>11.8</v>
      </c>
      <c r="P24">
        <v>12.960000038146973</v>
      </c>
      <c r="Q24">
        <v>9.8305087978556971E-2</v>
      </c>
    </row>
    <row r="25" spans="10:17" x14ac:dyDescent="0.25">
      <c r="J25" t="s">
        <v>4767</v>
      </c>
      <c r="K25">
        <v>1.8484710560546166E-2</v>
      </c>
      <c r="L25">
        <v>10000</v>
      </c>
      <c r="M25">
        <v>-50330.016162263943</v>
      </c>
      <c r="N25">
        <v>296.33236732673271</v>
      </c>
      <c r="O25">
        <v>400</v>
      </c>
      <c r="P25">
        <v>437.26089143287925</v>
      </c>
      <c r="Q25">
        <v>9.3152228582198182E-2</v>
      </c>
    </row>
    <row r="26" spans="10:17" x14ac:dyDescent="0.25">
      <c r="J26" t="s">
        <v>4665</v>
      </c>
      <c r="K26">
        <v>3.3807207866854476E-2</v>
      </c>
      <c r="L26">
        <v>10500</v>
      </c>
      <c r="M26">
        <v>-110590.0152735163</v>
      </c>
      <c r="N26">
        <v>839.43383442653078</v>
      </c>
      <c r="O26">
        <v>907</v>
      </c>
      <c r="P26">
        <v>954.59637451171875</v>
      </c>
      <c r="Q26">
        <v>5.247670839219265E-2</v>
      </c>
    </row>
    <row r="27" spans="10:17" x14ac:dyDescent="0.25">
      <c r="J27" t="s">
        <v>4770</v>
      </c>
      <c r="K27">
        <v>1.456297126213249E-2</v>
      </c>
      <c r="L27">
        <v>15350</v>
      </c>
      <c r="M27">
        <v>-52540.789724788636</v>
      </c>
      <c r="N27">
        <v>195.5</v>
      </c>
      <c r="O27">
        <v>205.3</v>
      </c>
      <c r="P27">
        <v>215.79345703125</v>
      </c>
      <c r="Q27">
        <v>5.1112796060643007E-2</v>
      </c>
    </row>
    <row r="28" spans="10:17" x14ac:dyDescent="0.25">
      <c r="J28" t="s">
        <v>4768</v>
      </c>
      <c r="K28">
        <v>1.6291407228984561E-2</v>
      </c>
      <c r="L28">
        <v>491000</v>
      </c>
      <c r="M28">
        <v>-52033.052980731125</v>
      </c>
      <c r="N28">
        <v>6.0959000000000003</v>
      </c>
      <c r="O28">
        <v>7.18</v>
      </c>
      <c r="P28">
        <v>0</v>
      </c>
      <c r="Q28">
        <v>0</v>
      </c>
    </row>
    <row r="29" spans="10:17" x14ac:dyDescent="0.25">
      <c r="J29" t="s">
        <v>4769</v>
      </c>
      <c r="K29">
        <v>1.6047524579026355E-2</v>
      </c>
      <c r="L29">
        <v>130500</v>
      </c>
      <c r="M29">
        <v>-77321.935669323735</v>
      </c>
      <c r="N29">
        <v>34.422600000000003</v>
      </c>
      <c r="O29">
        <v>26.61</v>
      </c>
      <c r="P29">
        <v>0</v>
      </c>
      <c r="Q29">
        <v>0</v>
      </c>
    </row>
    <row r="30" spans="10:17" x14ac:dyDescent="0.25">
      <c r="J30" t="s">
        <v>4771</v>
      </c>
      <c r="K30">
        <v>1.477852609315666E-2</v>
      </c>
      <c r="L30">
        <v>60000</v>
      </c>
      <c r="M30">
        <v>-52566.7315998099</v>
      </c>
      <c r="N30">
        <v>50.327126</v>
      </c>
      <c r="O30">
        <v>53.3</v>
      </c>
      <c r="P30">
        <v>0</v>
      </c>
      <c r="Q30">
        <v>0</v>
      </c>
    </row>
    <row r="70" spans="10:19" x14ac:dyDescent="0.25">
      <c r="J70">
        <v>1</v>
      </c>
      <c r="K70">
        <v>2</v>
      </c>
      <c r="L70">
        <v>3</v>
      </c>
      <c r="M70">
        <v>4</v>
      </c>
      <c r="N70">
        <v>5</v>
      </c>
      <c r="O70">
        <v>6</v>
      </c>
      <c r="P70">
        <v>7</v>
      </c>
      <c r="Q70">
        <v>8</v>
      </c>
      <c r="R70">
        <v>9</v>
      </c>
      <c r="S70">
        <v>10</v>
      </c>
    </row>
    <row r="71" spans="10:19" x14ac:dyDescent="0.25">
      <c r="J71" t="s">
        <v>4692</v>
      </c>
      <c r="K71">
        <v>1.3484455283228607E-2</v>
      </c>
      <c r="L71">
        <v>50000</v>
      </c>
      <c r="M71">
        <v>-47500</v>
      </c>
      <c r="N71">
        <v>95</v>
      </c>
      <c r="O71">
        <v>97.787999999999997</v>
      </c>
      <c r="P71">
        <v>0</v>
      </c>
      <c r="Q71">
        <v>0</v>
      </c>
      <c r="S71" t="s">
        <v>15</v>
      </c>
    </row>
    <row r="72" spans="10:19" x14ac:dyDescent="0.25">
      <c r="J72" t="s">
        <v>4743</v>
      </c>
      <c r="K72">
        <v>5.6092620208852619E-2</v>
      </c>
      <c r="L72">
        <v>200000</v>
      </c>
      <c r="M72">
        <v>-202420</v>
      </c>
      <c r="N72">
        <v>101.21</v>
      </c>
      <c r="O72">
        <v>101.69459999999999</v>
      </c>
      <c r="P72">
        <v>1.4443276796537448</v>
      </c>
      <c r="Q72">
        <v>4.3367934426269648E-2</v>
      </c>
      <c r="S72" t="s">
        <v>15</v>
      </c>
    </row>
    <row r="73" spans="10:19" x14ac:dyDescent="0.25">
      <c r="J73" t="s">
        <v>4740</v>
      </c>
      <c r="K73">
        <v>6.1040671217535029E-2</v>
      </c>
      <c r="L73">
        <v>200000</v>
      </c>
      <c r="M73">
        <v>-221220</v>
      </c>
      <c r="N73">
        <v>110.61</v>
      </c>
      <c r="O73">
        <v>110.6653</v>
      </c>
      <c r="P73">
        <v>3.941238051928484</v>
      </c>
      <c r="Q73">
        <v>3.9280554720938138E-2</v>
      </c>
      <c r="S73" t="s">
        <v>15</v>
      </c>
    </row>
    <row r="74" spans="10:19" x14ac:dyDescent="0.25">
      <c r="J74" t="s">
        <v>4738</v>
      </c>
      <c r="K74">
        <v>0.16569153085102012</v>
      </c>
      <c r="L74">
        <v>342000</v>
      </c>
      <c r="M74">
        <v>-598115.1</v>
      </c>
      <c r="N74">
        <v>174.88745614035088</v>
      </c>
      <c r="O74">
        <v>175.6695</v>
      </c>
      <c r="P74">
        <v>7.255807465366531</v>
      </c>
      <c r="Q74">
        <v>4.0574991000000005E-2</v>
      </c>
      <c r="S74" t="s">
        <v>15</v>
      </c>
    </row>
    <row r="75" spans="10:19" x14ac:dyDescent="0.25">
      <c r="J75" t="s">
        <v>4710</v>
      </c>
      <c r="K75">
        <v>6.425123649628442E-2</v>
      </c>
      <c r="L75">
        <v>13500</v>
      </c>
      <c r="M75">
        <v>-239455.53133408658</v>
      </c>
      <c r="N75">
        <v>100</v>
      </c>
      <c r="O75">
        <v>102.99</v>
      </c>
      <c r="P75">
        <v>0</v>
      </c>
      <c r="Q75">
        <v>0</v>
      </c>
      <c r="S75" t="s">
        <v>4650</v>
      </c>
    </row>
    <row r="76" spans="10:19" x14ac:dyDescent="0.25">
      <c r="J76" t="s">
        <v>4712</v>
      </c>
      <c r="K76">
        <v>3.1275806786009303E-2</v>
      </c>
      <c r="L76">
        <v>6590</v>
      </c>
      <c r="M76">
        <v>-116167.67298216392</v>
      </c>
      <c r="N76">
        <v>101.6</v>
      </c>
      <c r="O76">
        <v>102.7</v>
      </c>
      <c r="P76">
        <v>0.17828907293125193</v>
      </c>
      <c r="Q76">
        <v>8.4399999999999989E-2</v>
      </c>
      <c r="S76" t="s">
        <v>4650</v>
      </c>
    </row>
    <row r="77" spans="10:19" x14ac:dyDescent="0.25">
      <c r="J77" t="s">
        <v>4779</v>
      </c>
      <c r="K77">
        <v>4.6576849434936205E-3</v>
      </c>
      <c r="L77">
        <v>1000</v>
      </c>
      <c r="M77">
        <v>-16619.50640572968</v>
      </c>
      <c r="N77">
        <v>100.964</v>
      </c>
      <c r="O77">
        <v>100.79</v>
      </c>
      <c r="P77">
        <v>0.34425466237541363</v>
      </c>
      <c r="Q77">
        <v>8.1500000000000003E-2</v>
      </c>
      <c r="S77" t="s">
        <v>4650</v>
      </c>
    </row>
    <row r="78" spans="10:19" x14ac:dyDescent="0.25">
      <c r="J78" t="s">
        <v>4746</v>
      </c>
      <c r="K78">
        <v>6.4132703289814921E-2</v>
      </c>
      <c r="L78">
        <v>13500</v>
      </c>
      <c r="M78">
        <v>-232371.20180664305</v>
      </c>
      <c r="N78">
        <v>100</v>
      </c>
      <c r="O78">
        <v>102.8</v>
      </c>
      <c r="P78">
        <v>2.1605611615354192</v>
      </c>
      <c r="Q78">
        <v>9.6699999999999994E-2</v>
      </c>
      <c r="S78" t="s">
        <v>4650</v>
      </c>
    </row>
    <row r="79" spans="10:19" x14ac:dyDescent="0.25">
      <c r="J79" t="s">
        <v>4777</v>
      </c>
      <c r="K79">
        <v>6.7657506534829076E-2</v>
      </c>
      <c r="L79">
        <v>13500</v>
      </c>
      <c r="M79">
        <v>-236662.4034290257</v>
      </c>
      <c r="N79">
        <v>101.43</v>
      </c>
      <c r="O79">
        <v>108.45</v>
      </c>
      <c r="P79">
        <v>4.7800880303415285</v>
      </c>
      <c r="Q79">
        <v>9.6199999999999994E-2</v>
      </c>
      <c r="S79" t="s">
        <v>4650</v>
      </c>
    </row>
  </sheetData>
  <sortState ref="J71:S79">
    <sortCondition descending="1" ref="S71:S79"/>
    <sortCondition ref="P71:P79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F0"/>
    <pageSetUpPr fitToPage="1"/>
  </sheetPr>
  <dimension ref="A1:Y184"/>
  <sheetViews>
    <sheetView showGridLines="0" zoomScaleNormal="100" workbookViewId="0">
      <pane xSplit="4" ySplit="7" topLeftCell="E8" activePane="bottomRight" state="frozen"/>
      <selection activeCell="C18" sqref="C18"/>
      <selection pane="topRight" activeCell="C18" sqref="C18"/>
      <selection pane="bottomLeft" activeCell="C18" sqref="C18"/>
      <selection pane="bottomRight" sqref="A1:XFD1048576"/>
    </sheetView>
  </sheetViews>
  <sheetFormatPr defaultRowHeight="12.75" x14ac:dyDescent="0.2"/>
  <cols>
    <col min="1" max="1" width="3.5703125" style="28" customWidth="1"/>
    <col min="2" max="2" width="59.42578125" style="28" customWidth="1"/>
    <col min="3" max="3" width="15.42578125" style="28" customWidth="1"/>
    <col min="4" max="4" width="21" style="28" customWidth="1"/>
    <col min="5" max="6" width="10.140625" style="28" customWidth="1"/>
    <col min="7" max="7" width="13.28515625" style="28" hidden="1" customWidth="1"/>
    <col min="8" max="8" width="9.140625" style="28" bestFit="1" customWidth="1"/>
    <col min="9" max="9" width="9" style="28" customWidth="1"/>
    <col min="10" max="10" width="11.5703125" style="28" customWidth="1"/>
    <col min="11" max="11" width="12" style="28" customWidth="1"/>
    <col min="12" max="12" width="6.5703125" style="28" customWidth="1"/>
    <col min="13" max="13" width="8.28515625" style="28" customWidth="1"/>
    <col min="14" max="14" width="13.5703125" style="28" customWidth="1"/>
    <col min="15" max="15" width="11.28515625" style="28" customWidth="1"/>
    <col min="16" max="16" width="12.7109375" style="28" customWidth="1"/>
    <col min="17" max="17" width="15" style="28" customWidth="1"/>
    <col min="18" max="18" width="14.5703125" style="28" customWidth="1"/>
    <col min="19" max="19" width="12.5703125" style="28" customWidth="1"/>
    <col min="20" max="20" width="14.140625" style="28" customWidth="1"/>
    <col min="21" max="21" width="11.5703125" style="28" customWidth="1"/>
    <col min="22" max="22" width="13" style="28" customWidth="1"/>
    <col min="23" max="23" width="12.140625" style="28" customWidth="1"/>
    <col min="24" max="25" width="12.28515625" style="28" customWidth="1"/>
    <col min="26" max="16384" width="9.140625" style="28"/>
  </cols>
  <sheetData>
    <row r="1" spans="1:25" x14ac:dyDescent="0.2">
      <c r="K1" s="44"/>
      <c r="L1" s="44"/>
      <c r="M1" s="44"/>
      <c r="N1" s="44"/>
      <c r="O1" s="44"/>
      <c r="P1" s="44"/>
      <c r="Q1" s="44"/>
      <c r="R1" s="56" t="s">
        <v>4660</v>
      </c>
      <c r="S1" s="57"/>
      <c r="T1" s="57"/>
      <c r="U1" s="58"/>
    </row>
    <row r="2" spans="1:25" x14ac:dyDescent="0.2">
      <c r="B2" s="28" t="s">
        <v>14</v>
      </c>
      <c r="E2" s="4" t="s">
        <v>4762</v>
      </c>
      <c r="I2" s="44"/>
      <c r="K2" s="44"/>
      <c r="L2" s="44"/>
      <c r="M2" s="44"/>
      <c r="N2" s="44"/>
      <c r="O2" s="44"/>
      <c r="P2" s="44"/>
      <c r="Q2" s="44"/>
      <c r="R2" s="59" t="s">
        <v>4661</v>
      </c>
      <c r="S2" s="59" t="s">
        <v>4662</v>
      </c>
      <c r="T2" s="59" t="s">
        <v>4663</v>
      </c>
      <c r="U2" s="59" t="s">
        <v>4664</v>
      </c>
    </row>
    <row r="3" spans="1:25" x14ac:dyDescent="0.2">
      <c r="E3" s="42"/>
      <c r="I3" s="44"/>
      <c r="K3" s="44"/>
      <c r="L3" s="44"/>
      <c r="M3" s="44"/>
      <c r="N3" s="44"/>
      <c r="O3" s="44"/>
      <c r="P3" s="44"/>
      <c r="Q3" s="44"/>
      <c r="R3" s="60" t="e">
        <f ca="1">_xll.BDP(CONCATENATE(R2," Curncy"),"PX_LAST")</f>
        <v>#NAME?</v>
      </c>
      <c r="S3" s="60" t="e">
        <f ca="1">_xll.BDP(CONCATENATE(S2," Curncy"),"PX_LAST")</f>
        <v>#NAME?</v>
      </c>
      <c r="T3" s="60" t="e">
        <f ca="1">_xll.BDP(CONCATENATE(T2," Curncy"),"PX_LAST")</f>
        <v>#NAME?</v>
      </c>
      <c r="U3" s="60" t="e">
        <f ca="1">_xll.BDP(CONCATENATE(U2," Curncy"),"PX_LAST")</f>
        <v>#NAME?</v>
      </c>
    </row>
    <row r="4" spans="1:25" x14ac:dyDescent="0.2">
      <c r="H4" s="44"/>
      <c r="I4" s="48"/>
      <c r="K4" s="44"/>
      <c r="L4" s="44"/>
      <c r="M4" s="44"/>
      <c r="N4" s="44"/>
      <c r="O4" s="44"/>
      <c r="P4" s="44"/>
      <c r="Q4" s="44"/>
    </row>
    <row r="5" spans="1:25" hidden="1" x14ac:dyDescent="0.2">
      <c r="E5" s="42"/>
      <c r="H5" s="44"/>
      <c r="I5" s="42"/>
      <c r="K5" s="42"/>
      <c r="N5" s="47"/>
      <c r="O5" s="47"/>
    </row>
    <row r="6" spans="1:25" hidden="1" x14ac:dyDescent="0.2">
      <c r="E6" s="49"/>
      <c r="F6" s="49"/>
      <c r="N6" s="46"/>
      <c r="O6" s="46"/>
    </row>
    <row r="7" spans="1:25" s="10" customFormat="1" ht="76.5" x14ac:dyDescent="0.25">
      <c r="B7" s="6" t="s">
        <v>0</v>
      </c>
      <c r="C7" s="6" t="s">
        <v>20</v>
      </c>
      <c r="D7" s="7" t="s">
        <v>1</v>
      </c>
      <c r="E7" s="7" t="s">
        <v>2</v>
      </c>
      <c r="F7" s="7" t="s">
        <v>4647</v>
      </c>
      <c r="G7" s="7" t="s">
        <v>18</v>
      </c>
      <c r="H7" s="7" t="s">
        <v>3</v>
      </c>
      <c r="I7" s="7" t="s">
        <v>4</v>
      </c>
      <c r="J7" s="8" t="s">
        <v>5</v>
      </c>
      <c r="K7" s="8" t="s">
        <v>6</v>
      </c>
      <c r="L7" s="9" t="s">
        <v>7</v>
      </c>
      <c r="M7" s="7" t="s">
        <v>8</v>
      </c>
      <c r="N7" s="7" t="s">
        <v>9</v>
      </c>
      <c r="O7" s="7" t="s">
        <v>10</v>
      </c>
      <c r="P7" s="7" t="s">
        <v>4651</v>
      </c>
      <c r="Q7" s="7" t="s">
        <v>4652</v>
      </c>
      <c r="R7" s="7" t="s">
        <v>4653</v>
      </c>
      <c r="S7" s="7" t="s">
        <v>4654</v>
      </c>
      <c r="T7" s="7" t="s">
        <v>11</v>
      </c>
      <c r="U7" s="7" t="s">
        <v>12</v>
      </c>
      <c r="V7" s="7" t="s">
        <v>13</v>
      </c>
      <c r="W7" s="7" t="s">
        <v>4655</v>
      </c>
      <c r="X7" s="7" t="s">
        <v>4657</v>
      </c>
      <c r="Y7" s="7" t="s">
        <v>4656</v>
      </c>
    </row>
    <row r="8" spans="1:25" s="17" customFormat="1" ht="15" x14ac:dyDescent="0.25">
      <c r="A8" s="11"/>
      <c r="B8" s="11" t="s">
        <v>17</v>
      </c>
      <c r="C8" s="11"/>
      <c r="D8" s="5"/>
      <c r="E8" s="12"/>
      <c r="F8" s="12"/>
      <c r="G8" s="5"/>
      <c r="H8" s="5"/>
      <c r="I8" s="13"/>
      <c r="J8" s="14"/>
      <c r="K8" s="15"/>
      <c r="L8" s="14"/>
      <c r="M8" s="16"/>
      <c r="N8" s="12"/>
      <c r="O8" s="12"/>
      <c r="P8" s="40"/>
      <c r="Q8" s="40"/>
      <c r="R8" s="40"/>
      <c r="S8" s="40"/>
      <c r="T8" s="40"/>
      <c r="U8" s="40"/>
      <c r="V8" s="41"/>
      <c r="W8" s="41"/>
    </row>
    <row r="9" spans="1:25" s="17" customFormat="1" ht="15" customHeight="1" x14ac:dyDescent="0.25">
      <c r="B9" s="43" t="str">
        <f>IF(LEFT(C9,2) = "RU", VLOOKUP(C9,MICEX!$A$2:$D$1554,4,FALSE),VLOOKUP(C9,Instruments!B:C,2,FALSE))</f>
        <v>Ros Agro PLC (US7496552057)</v>
      </c>
      <c r="C9" s="43" t="str">
        <f>VLOOKUP(D9,Securities!B:C,2,FALSE)</f>
        <v>US7496552057</v>
      </c>
      <c r="D9" s="52" t="s">
        <v>4727</v>
      </c>
      <c r="E9" s="12" t="e">
        <f t="shared" ref="E9:E18" ca="1" si="0">S9/$S$182</f>
        <v>#N/A</v>
      </c>
      <c r="F9" s="40">
        <f>SUMIFS(positions!$E:$E,positions!$D:$D,C9,positions!B:B,'CLIENT (2)'!$E$2)</f>
        <v>0</v>
      </c>
      <c r="G9" s="40">
        <f t="shared" ref="G9:G18" si="1">$K$5-Q9</f>
        <v>0</v>
      </c>
      <c r="H9" s="53" t="e">
        <f ca="1">IF(M9="RUB",SUMIFS(positions!G:G,positions!B:B,'CLIENT (2)'!$E$2,positions!D:D,'CLIENT (2)'!C9),SUMIFS(positions!H:H,positions!B:B,'CLIENT (2)'!$E$2,positions!D:D,'CLIENT (2)'!C9))</f>
        <v>#NAME?</v>
      </c>
      <c r="I9" s="51" t="e">
        <f ca="1">IF(ISERR(_xll.BDP(D9,"PX_LAST")),VLOOKUP(C9,positions!$B:$C,2,FALSE),_xll.BDP(D9,"PX_LAST"))</f>
        <v>#N/A</v>
      </c>
      <c r="J9" s="14" t="e">
        <f ca="1">IF( C9 = "RU000A0JR5Z5", _xll.BDP("486 HK EQUITY","BEST_TARGET_PRICE")*_xll.BDP("USDRUB Curncy","PX_LAST")/_xll.BDP("HKD Curncy","PX_LAST")*10, IF(  OR(   _xll.BDP(D9,"BEST_TARGET_PRICE")="#N/A N/A", _xll.BDP(D9,"BEST_TARGET_PRICE")="#N/A Field Not Applicable"),0,_xll.BDP(D9,"BEST_TARGET_PRICE")))</f>
        <v>#NAME?</v>
      </c>
      <c r="K9" s="15" t="e">
        <f t="shared" ref="K9:K18" ca="1" si="2">IF(J9&gt;0,J9/I9-1,0)</f>
        <v>#NAME?</v>
      </c>
      <c r="L9" s="14" t="e">
        <f ca="1">IF(C9="RU000A0JR5Z5",_xll.BDP("486 HK EQUITY","EQY_REC_CONS"),IF(OR(_xll.BDP(D9,"EQY_REC_CONS")="#N/A Field Not Applicable",_xll.BDP(D9,"EQY_REC_CONS")="#N/A N/A"),0,_xll.BDP(D9,"EQY_REC_CONS")))</f>
        <v>#NAME?</v>
      </c>
      <c r="M9" s="16" t="e">
        <f ca="1">_xll.BDP(D9,"Currency")</f>
        <v>#NAME?</v>
      </c>
      <c r="N9" s="12">
        <f t="shared" ref="N9:O18" si="3">IF(P9&gt;0,R9/P9-1,0)</f>
        <v>0</v>
      </c>
      <c r="O9" s="12">
        <f t="shared" si="3"/>
        <v>0</v>
      </c>
      <c r="P9" s="40">
        <f>SUMIFS(positions!G:G,positions!B:B,$E$2,positions!D:D,'CLIENT (2)'!C9)*F9</f>
        <v>0</v>
      </c>
      <c r="Q9" s="40">
        <f>SUMIFS(positions!H:H,positions!B:B,$E$2,positions!D:D,'CLIENT (2)'!C9)*F9</f>
        <v>0</v>
      </c>
      <c r="R9" s="40" t="e">
        <f ca="1">F9*I9/IF(M9="RUB",1,_xll.BDP( CONCATENATE("RUB",UPPER(M9)," Curncy"), "PX_LAST"))/IF(M9="GBp",100,1)</f>
        <v>#N/A</v>
      </c>
      <c r="S9" s="40" t="e">
        <f ca="1">F9*I9/IF(M9="USD",1,_xll.BDP( CONCATENATE("USD",UPPER(M9)," Curncy"), "PX_LAST"))/IF(M9="GBp",100,1)</f>
        <v>#N/A</v>
      </c>
      <c r="T9" s="40" t="e">
        <f ca="1">R9-P9</f>
        <v>#N/A</v>
      </c>
      <c r="U9" s="40" t="e">
        <f ca="1">S9-Q9</f>
        <v>#N/A</v>
      </c>
      <c r="V9" s="41" t="e">
        <f ca="1">IF( OR(  _xll.BDP($D9,"EQY_DVD_YLD_EST")="#N/A Field Not Applicable", _xll.BDP($D9,"EQY_DVD_YLD_EST")="#N/A N/A"),IF(   OR(  _xll.BDP(D9,"YLD_CNV_MID")="#N/A Field Not Applicable", _xll.BDP(D9,"YLD_CNV_MID")="#N/A N/A"), 0,_xll.BDP(D9,"YLD_CNV_MID")),_xll.BDP($D9,"EQY_DVD_YLD_EST"))</f>
        <v>#NAME?</v>
      </c>
      <c r="W9" s="40" t="e">
        <f ca="1">F9*I9/IF(M9="USD",1,_xll.BDP( CONCATENATE("USD",UPPER(M9)," Curncy"), "PX_LAST"))/IF(M9="GBp",100,1)</f>
        <v>#N/A</v>
      </c>
      <c r="X9" s="54" t="e">
        <f ca="1">IF(  OR(   _xll.BDP($D9,"DVD_EX_DT")="#N/A N/A", _xll.BDP($D9,"DVD_EX_DT")="#N/A Field Not Applicable"),"",_xll.BDP($D9,"DVD_EX_DT"))</f>
        <v>#NAME?</v>
      </c>
      <c r="Y9" s="54" t="e">
        <f ca="1">IF(  OR(   _xll.BDP($D9,"BDVD_NEXT_EST_DECL_DT")="#N/A N/A", _xll.BDP($D9,"BDVD_NEXT_EST_DECL_DT")="#N/A Field Not Applicable"),"",_xll.BDP($D9,"BDVD_NEXT_EST_DECL_DT"))</f>
        <v>#NAME?</v>
      </c>
    </row>
    <row r="10" spans="1:25" s="17" customFormat="1" ht="15" customHeight="1" x14ac:dyDescent="0.25">
      <c r="B10" s="43" t="str">
        <f>IF(LEFT(C10,2) = "RU", VLOOKUP(C10,MICEX!$A$2:$D$1554,4,FALSE),VLOOKUP(C10,Instruments!B:C,2,FALSE))</f>
        <v>ГАЗПРОМ ао</v>
      </c>
      <c r="C10" s="43" t="str">
        <f>VLOOKUP(D10,Securities!B:C,2,FALSE)</f>
        <v>RU0007661625</v>
      </c>
      <c r="D10" s="52" t="s">
        <v>4670</v>
      </c>
      <c r="E10" s="12" t="e">
        <f t="shared" ca="1" si="0"/>
        <v>#N/A</v>
      </c>
      <c r="F10" s="40">
        <f>SUMIFS(positions!$E:$E,positions!$D:$D,C10,positions!B:B,'CLIENT (2)'!$E$2)</f>
        <v>0</v>
      </c>
      <c r="G10" s="40">
        <f t="shared" si="1"/>
        <v>0</v>
      </c>
      <c r="H10" s="53" t="e">
        <f ca="1">IF(M10="RUB",SUMIFS(positions!G:G,positions!B:B,'CLIENT (2)'!$E$2,positions!D:D,'CLIENT (2)'!C10),SUMIFS(positions!H:H,positions!B:B,'CLIENT (2)'!$E$2,positions!D:D,'CLIENT (2)'!C10))</f>
        <v>#NAME?</v>
      </c>
      <c r="I10" s="51" t="e">
        <f ca="1">IF(ISERR(_xll.BDP(D10,"PX_LAST")),VLOOKUP(C10,positions!$B:$C,2,FALSE),_xll.BDP(D10,"PX_LAST"))</f>
        <v>#N/A</v>
      </c>
      <c r="J10" s="14" t="e">
        <f ca="1">IF( C10 = "RU000A0JR5Z5", _xll.BDP("486 HK EQUITY","BEST_TARGET_PRICE")*_xll.BDP("USDRUB Curncy","PX_LAST")/_xll.BDP("HKD Curncy","PX_LAST")*10, IF(  OR(   _xll.BDP(D10,"BEST_TARGET_PRICE")="#N/A N/A", _xll.BDP(D10,"BEST_TARGET_PRICE")="#N/A Field Not Applicable"),0,_xll.BDP(D10,"BEST_TARGET_PRICE")))</f>
        <v>#NAME?</v>
      </c>
      <c r="K10" s="15" t="e">
        <f t="shared" ca="1" si="2"/>
        <v>#NAME?</v>
      </c>
      <c r="L10" s="14" t="e">
        <f ca="1">IF(C10="RU000A0JR5Z5",_xll.BDP("486 HK EQUITY","EQY_REC_CONS"),IF(OR(_xll.BDP(D10,"EQY_REC_CONS")="#N/A Field Not Applicable",_xll.BDP(D10,"EQY_REC_CONS")="#N/A N/A"),0,_xll.BDP(D10,"EQY_REC_CONS")))</f>
        <v>#NAME?</v>
      </c>
      <c r="M10" s="16" t="e">
        <f ca="1">_xll.BDP(D10,"Currency")</f>
        <v>#NAME?</v>
      </c>
      <c r="N10" s="12">
        <f t="shared" si="3"/>
        <v>0</v>
      </c>
      <c r="O10" s="12">
        <f t="shared" si="3"/>
        <v>0</v>
      </c>
      <c r="P10" s="40">
        <f>SUMIFS(positions!G:G,positions!B:B,$E$2,positions!D:D,'CLIENT (2)'!C10)*F10</f>
        <v>0</v>
      </c>
      <c r="Q10" s="40">
        <f>SUMIFS(positions!H:H,positions!B:B,$E$2,positions!D:D,'CLIENT (2)'!C10)*F10</f>
        <v>0</v>
      </c>
      <c r="R10" s="40" t="e">
        <f ca="1">F10*I10/IF(M10="RUB",1,_xll.BDP( CONCATENATE("RUB",UPPER(M10)," Curncy"), "PX_LAST"))/IF(M10="GBp",100,1)</f>
        <v>#N/A</v>
      </c>
      <c r="S10" s="40" t="e">
        <f ca="1">F10*I10/IF(M10="USD",1,_xll.BDP( CONCATENATE("USD",UPPER(M10)," Curncy"), "PX_LAST"))/IF(M10="GBp",100,1)</f>
        <v>#N/A</v>
      </c>
      <c r="T10" s="40" t="e">
        <f t="shared" ref="T10:U18" ca="1" si="4">R10-P10</f>
        <v>#N/A</v>
      </c>
      <c r="U10" s="40" t="e">
        <f t="shared" ca="1" si="4"/>
        <v>#N/A</v>
      </c>
      <c r="V10" s="41" t="e">
        <f ca="1">IF( OR(  _xll.BDP($D10,"EQY_DVD_YLD_EST")="#N/A Field Not Applicable", _xll.BDP($D10,"EQY_DVD_YLD_EST")="#N/A N/A"),IF(   OR(  _xll.BDP(D10,"YLD_CNV_MID")="#N/A Field Not Applicable", _xll.BDP(D10,"YLD_CNV_MID")="#N/A N/A"), 0,_xll.BDP(D10,"YLD_CNV_MID")),_xll.BDP($D10,"EQY_DVD_YLD_EST"))</f>
        <v>#NAME?</v>
      </c>
      <c r="W10" s="40" t="e">
        <f ca="1">F10*I10/IF(M10="USD",1,_xll.BDP( CONCATENATE("USD",UPPER(M10)," Curncy"), "PX_LAST"))/IF(M10="GBp",100,1)</f>
        <v>#N/A</v>
      </c>
      <c r="X10" s="54" t="e">
        <f ca="1">IF(  OR(   _xll.BDP($D10,"DVD_EX_DT")="#N/A N/A", _xll.BDP($D10,"DVD_EX_DT")="#N/A Field Not Applicable"),"",_xll.BDP($D10,"DVD_EX_DT"))</f>
        <v>#NAME?</v>
      </c>
      <c r="Y10" s="54" t="e">
        <f ca="1">IF(  OR(   _xll.BDP($D10,"BDVD_NEXT_EST_DECL_DT")="#N/A N/A", _xll.BDP($D10,"BDVD_NEXT_EST_DECL_DT")="#N/A Field Not Applicable"),"",_xll.BDP($D10,"BDVD_NEXT_EST_DECL_DT"))</f>
        <v>#NAME?</v>
      </c>
    </row>
    <row r="11" spans="1:25" s="17" customFormat="1" ht="15" customHeight="1" x14ac:dyDescent="0.25">
      <c r="B11" s="43" t="str">
        <f>IF(LEFT(C11,2) = "RU", VLOOKUP(C11,MICEX!$A$2:$D$1554,4,FALSE),VLOOKUP(C11,Instruments!B:C,2,FALSE))</f>
        <v>Highland Gold Mining Ltd (GB0032360173)</v>
      </c>
      <c r="C11" s="43" t="str">
        <f>VLOOKUP(D11,Securities!B:C,2,FALSE)</f>
        <v>GB0032360173</v>
      </c>
      <c r="D11" s="52" t="s">
        <v>4658</v>
      </c>
      <c r="E11" s="12" t="e">
        <f t="shared" ca="1" si="0"/>
        <v>#N/A</v>
      </c>
      <c r="F11" s="40">
        <f>SUMIFS(positions!$E:$E,positions!$D:$D,C11,positions!B:B,'CLIENT (2)'!$E$2)</f>
        <v>0</v>
      </c>
      <c r="G11" s="40">
        <f t="shared" si="1"/>
        <v>0</v>
      </c>
      <c r="H11" s="53" t="e">
        <f ca="1">IF(M11="RUB",SUMIFS(positions!G:G,positions!B:B,'CLIENT (2)'!$E$2,positions!D:D,'CLIENT (2)'!C11),SUMIFS(positions!H:H,positions!B:B,'CLIENT (2)'!$E$2,positions!D:D,'CLIENT (2)'!C11))</f>
        <v>#NAME?</v>
      </c>
      <c r="I11" s="51" t="e">
        <f ca="1">IF(ISERR(_xll.BDP(D11,"PX_LAST")),VLOOKUP(C11,positions!$B:$C,2,FALSE),_xll.BDP(D11,"PX_LAST"))</f>
        <v>#N/A</v>
      </c>
      <c r="J11" s="14" t="e">
        <f ca="1">IF( C11 = "RU000A0JR5Z5", _xll.BDP("486 HK EQUITY","BEST_TARGET_PRICE")*_xll.BDP("USDRUB Curncy","PX_LAST")/_xll.BDP("HKD Curncy","PX_LAST")*10, IF(  OR(   _xll.BDP(D11,"BEST_TARGET_PRICE")="#N/A N/A", _xll.BDP(D11,"BEST_TARGET_PRICE")="#N/A Field Not Applicable"),0,_xll.BDP(D11,"BEST_TARGET_PRICE")))</f>
        <v>#NAME?</v>
      </c>
      <c r="K11" s="15" t="e">
        <f t="shared" ca="1" si="2"/>
        <v>#NAME?</v>
      </c>
      <c r="L11" s="14" t="e">
        <f ca="1">IF(C11="RU000A0JR5Z5",_xll.BDP("486 HK EQUITY","EQY_REC_CONS"),IF(OR(_xll.BDP(D11,"EQY_REC_CONS")="#N/A Field Not Applicable",_xll.BDP(D11,"EQY_REC_CONS")="#N/A N/A"),0,_xll.BDP(D11,"EQY_REC_CONS")))</f>
        <v>#NAME?</v>
      </c>
      <c r="M11" s="16" t="e">
        <f ca="1">_xll.BDP(D11,"Currency")</f>
        <v>#NAME?</v>
      </c>
      <c r="N11" s="12">
        <f t="shared" si="3"/>
        <v>0</v>
      </c>
      <c r="O11" s="12">
        <f t="shared" si="3"/>
        <v>0</v>
      </c>
      <c r="P11" s="40">
        <f>SUMIFS(positions!G:G,positions!B:B,$E$2,positions!D:D,'CLIENT (2)'!C11)*F11</f>
        <v>0</v>
      </c>
      <c r="Q11" s="40">
        <f>SUMIFS(positions!H:H,positions!B:B,$E$2,positions!D:D,'CLIENT (2)'!C11)*F11</f>
        <v>0</v>
      </c>
      <c r="R11" s="40" t="e">
        <f ca="1">F11*I11/IF(M11="RUB",1,_xll.BDP( CONCATENATE("RUB",UPPER(M11)," Curncy"), "PX_LAST"))/IF(M11="GBp",100,1)</f>
        <v>#N/A</v>
      </c>
      <c r="S11" s="40" t="e">
        <f ca="1">F11*I11/IF(M11="USD",1,_xll.BDP( CONCATENATE("USD",UPPER(M11)," Curncy"), "PX_LAST"))/IF(M11="GBp",100,1)</f>
        <v>#N/A</v>
      </c>
      <c r="T11" s="40" t="e">
        <f t="shared" ca="1" si="4"/>
        <v>#N/A</v>
      </c>
      <c r="U11" s="40" t="e">
        <f t="shared" ca="1" si="4"/>
        <v>#N/A</v>
      </c>
      <c r="V11" s="41" t="e">
        <f ca="1">IF( OR(  _xll.BDP($D11,"EQY_DVD_YLD_EST")="#N/A Field Not Applicable", _xll.BDP($D11,"EQY_DVD_YLD_EST")="#N/A N/A"),IF(   OR(  _xll.BDP(D11,"YLD_CNV_MID")="#N/A Field Not Applicable", _xll.BDP(D11,"YLD_CNV_MID")="#N/A N/A"), 0,_xll.BDP(D11,"YLD_CNV_MID")),_xll.BDP($D11,"EQY_DVD_YLD_EST"))</f>
        <v>#NAME?</v>
      </c>
      <c r="W11" s="40" t="e">
        <f ca="1">F11*I11/IF(M11="USD",1,_xll.BDP( CONCATENATE("USD",UPPER(M11)," Curncy"), "PX_LAST"))/IF(M11="GBp",100,1)</f>
        <v>#N/A</v>
      </c>
      <c r="X11" s="54" t="e">
        <f ca="1">IF(  OR(   _xll.BDP($D11,"DVD_EX_DT")="#N/A N/A", _xll.BDP($D11,"DVD_EX_DT")="#N/A Field Not Applicable"),"",_xll.BDP($D11,"DVD_EX_DT"))</f>
        <v>#NAME?</v>
      </c>
      <c r="Y11" s="54" t="e">
        <f ca="1">IF(  OR(   _xll.BDP($D11,"BDVD_NEXT_EST_DECL_DT")="#N/A N/A", _xll.BDP($D11,"BDVD_NEXT_EST_DECL_DT")="#N/A Field Not Applicable"),"",_xll.BDP($D11,"BDVD_NEXT_EST_DECL_DT"))</f>
        <v>#NAME?</v>
      </c>
    </row>
    <row r="12" spans="1:25" s="17" customFormat="1" ht="15" customHeight="1" x14ac:dyDescent="0.25">
      <c r="B12" s="43" t="str">
        <f>IF(LEFT(C12,2) = "RU", VLOOKUP(C12,MICEX!$A$2:$D$1554,4,FALSE),VLOOKUP(C12,Instruments!B:C,2,FALSE))</f>
        <v>ЛУКОЙЛ</v>
      </c>
      <c r="C12" s="43" t="str">
        <f>VLOOKUP(D12,Securities!B:C,2,FALSE)</f>
        <v>RU0009024277</v>
      </c>
      <c r="D12" s="52" t="s">
        <v>4733</v>
      </c>
      <c r="E12" s="12" t="e">
        <f t="shared" ca="1" si="0"/>
        <v>#N/A</v>
      </c>
      <c r="F12" s="40">
        <f>SUMIFS(positions!$E:$E,positions!$D:$D,C12,positions!B:B,'CLIENT (2)'!$E$2)</f>
        <v>0</v>
      </c>
      <c r="G12" s="40">
        <f t="shared" si="1"/>
        <v>0</v>
      </c>
      <c r="H12" s="53" t="e">
        <f ca="1">IF(M12="RUB",SUMIFS(positions!G:G,positions!B:B,'CLIENT (2)'!$E$2,positions!D:D,'CLIENT (2)'!C12),SUMIFS(positions!H:H,positions!B:B,'CLIENT (2)'!$E$2,positions!D:D,'CLIENT (2)'!C12))</f>
        <v>#NAME?</v>
      </c>
      <c r="I12" s="51" t="e">
        <f ca="1">IF(ISERR(_xll.BDP(D12,"PX_LAST")),VLOOKUP(C12,positions!$B:$C,2,FALSE),_xll.BDP(D12,"PX_LAST"))</f>
        <v>#N/A</v>
      </c>
      <c r="J12" s="14" t="e">
        <f ca="1">IF( C12 = "RU000A0JR5Z5", _xll.BDP("486 HK EQUITY","BEST_TARGET_PRICE")*_xll.BDP("USDRUB Curncy","PX_LAST")/_xll.BDP("HKD Curncy","PX_LAST")*10, IF(  OR(   _xll.BDP(D12,"BEST_TARGET_PRICE")="#N/A N/A", _xll.BDP(D12,"BEST_TARGET_PRICE")="#N/A Field Not Applicable"),0,_xll.BDP(D12,"BEST_TARGET_PRICE")))</f>
        <v>#NAME?</v>
      </c>
      <c r="K12" s="15" t="e">
        <f t="shared" ca="1" si="2"/>
        <v>#NAME?</v>
      </c>
      <c r="L12" s="14" t="e">
        <f ca="1">IF(C12="RU000A0JR5Z5",_xll.BDP("486 HK EQUITY","EQY_REC_CONS"),IF(OR(_xll.BDP(D12,"EQY_REC_CONS")="#N/A Field Not Applicable",_xll.BDP(D12,"EQY_REC_CONS")="#N/A N/A"),0,_xll.BDP(D12,"EQY_REC_CONS")))</f>
        <v>#NAME?</v>
      </c>
      <c r="M12" s="16" t="e">
        <f ca="1">_xll.BDP(D12,"Currency")</f>
        <v>#NAME?</v>
      </c>
      <c r="N12" s="12">
        <f t="shared" si="3"/>
        <v>0</v>
      </c>
      <c r="O12" s="12">
        <f t="shared" si="3"/>
        <v>0</v>
      </c>
      <c r="P12" s="40">
        <f>SUMIFS(positions!G:G,positions!B:B,$E$2,positions!D:D,'CLIENT (2)'!C12)*F12</f>
        <v>0</v>
      </c>
      <c r="Q12" s="40">
        <f>SUMIFS(positions!H:H,positions!B:B,$E$2,positions!D:D,'CLIENT (2)'!C12)*F12</f>
        <v>0</v>
      </c>
      <c r="R12" s="40" t="e">
        <f ca="1">F12*I12/IF(M12="RUB",1,_xll.BDP( CONCATENATE("RUB",UPPER(M12)," Curncy"), "PX_LAST"))/IF(M12="GBp",100,1)</f>
        <v>#N/A</v>
      </c>
      <c r="S12" s="40" t="e">
        <f ca="1">F12*I12/IF(M12="USD",1,_xll.BDP( CONCATENATE("USD",UPPER(M12)," Curncy"), "PX_LAST"))/IF(M12="GBp",100,1)</f>
        <v>#N/A</v>
      </c>
      <c r="T12" s="40" t="e">
        <f t="shared" ca="1" si="4"/>
        <v>#N/A</v>
      </c>
      <c r="U12" s="40" t="e">
        <f t="shared" ca="1" si="4"/>
        <v>#N/A</v>
      </c>
      <c r="V12" s="41" t="e">
        <f ca="1">IF( OR(  _xll.BDP($D12,"EQY_DVD_YLD_EST")="#N/A Field Not Applicable", _xll.BDP($D12,"EQY_DVD_YLD_EST")="#N/A N/A"),IF(   OR(  _xll.BDP(D12,"YLD_CNV_MID")="#N/A Field Not Applicable", _xll.BDP(D12,"YLD_CNV_MID")="#N/A N/A"), 0,_xll.BDP(D12,"YLD_CNV_MID")),_xll.BDP($D12,"EQY_DVD_YLD_EST"))</f>
        <v>#NAME?</v>
      </c>
      <c r="W12" s="40" t="e">
        <f ca="1">F12*I12/IF(M12="USD",1,_xll.BDP( CONCATENATE("USD",UPPER(M12)," Curncy"), "PX_LAST"))/IF(M12="GBp",100,1)</f>
        <v>#N/A</v>
      </c>
      <c r="X12" s="54" t="e">
        <f ca="1">IF(  OR(   _xll.BDP($D12,"DVD_EX_DT")="#N/A N/A", _xll.BDP($D12,"DVD_EX_DT")="#N/A Field Not Applicable"),"",_xll.BDP($D12,"DVD_EX_DT"))</f>
        <v>#NAME?</v>
      </c>
      <c r="Y12" s="54" t="e">
        <f ca="1">IF(  OR(   _xll.BDP($D12,"BDVD_NEXT_EST_DECL_DT")="#N/A N/A", _xll.BDP($D12,"BDVD_NEXT_EST_DECL_DT")="#N/A Field Not Applicable"),"",_xll.BDP($D12,"BDVD_NEXT_EST_DECL_DT"))</f>
        <v>#NAME?</v>
      </c>
    </row>
    <row r="13" spans="1:25" s="17" customFormat="1" ht="15" customHeight="1" x14ac:dyDescent="0.25">
      <c r="B13" s="43" t="str">
        <f>IF(LEFT(C13,2) = "RU", VLOOKUP(C13,MICEX!$A$2:$D$1554,4,FALSE),VLOOKUP(C13,Instruments!B:C,2,FALSE))</f>
        <v>Luxoft Holding, Inc (VGG572791041)</v>
      </c>
      <c r="C13" s="43" t="str">
        <f>VLOOKUP(D13,Securities!B:C,2,FALSE)</f>
        <v>VGG572791041</v>
      </c>
      <c r="D13" s="52" t="s">
        <v>4764</v>
      </c>
      <c r="E13" s="12" t="e">
        <f t="shared" ca="1" si="0"/>
        <v>#N/A</v>
      </c>
      <c r="F13" s="40">
        <f>SUMIFS(positions!$E:$E,positions!$D:$D,C13,positions!B:B,'CLIENT (2)'!$E$2)</f>
        <v>0</v>
      </c>
      <c r="G13" s="40">
        <f t="shared" si="1"/>
        <v>0</v>
      </c>
      <c r="H13" s="53" t="e">
        <f ca="1">IF(M13="RUB",SUMIFS(positions!G:G,positions!B:B,'CLIENT (2)'!$E$2,positions!D:D,'CLIENT (2)'!C13),SUMIFS(positions!H:H,positions!B:B,'CLIENT (2)'!$E$2,positions!D:D,'CLIENT (2)'!C13))</f>
        <v>#NAME?</v>
      </c>
      <c r="I13" s="51" t="e">
        <f ca="1">IF(ISERR(_xll.BDP(D13,"PX_LAST")),VLOOKUP(C13,positions!$B:$C,2,FALSE),_xll.BDP(D13,"PX_LAST"))</f>
        <v>#N/A</v>
      </c>
      <c r="J13" s="14" t="e">
        <f ca="1">IF( C13 = "RU000A0JR5Z5", _xll.BDP("486 HK EQUITY","BEST_TARGET_PRICE")*_xll.BDP("USDRUB Curncy","PX_LAST")/_xll.BDP("HKD Curncy","PX_LAST")*10, IF(  OR(   _xll.BDP(D13,"BEST_TARGET_PRICE")="#N/A N/A", _xll.BDP(D13,"BEST_TARGET_PRICE")="#N/A Field Not Applicable"),0,_xll.BDP(D13,"BEST_TARGET_PRICE")))</f>
        <v>#NAME?</v>
      </c>
      <c r="K13" s="15" t="e">
        <f t="shared" ca="1" si="2"/>
        <v>#NAME?</v>
      </c>
      <c r="L13" s="14" t="e">
        <f ca="1">IF(C13="RU000A0JR5Z5",_xll.BDP("486 HK EQUITY","EQY_REC_CONS"),IF(OR(_xll.BDP(D13,"EQY_REC_CONS")="#N/A Field Not Applicable",_xll.BDP(D13,"EQY_REC_CONS")="#N/A N/A"),0,_xll.BDP(D13,"EQY_REC_CONS")))</f>
        <v>#NAME?</v>
      </c>
      <c r="M13" s="16" t="e">
        <f ca="1">_xll.BDP(D13,"Currency")</f>
        <v>#NAME?</v>
      </c>
      <c r="N13" s="12">
        <f t="shared" si="3"/>
        <v>0</v>
      </c>
      <c r="O13" s="12">
        <f t="shared" si="3"/>
        <v>0</v>
      </c>
      <c r="P13" s="40">
        <f>SUMIFS(positions!G:G,positions!B:B,$E$2,positions!D:D,'CLIENT (2)'!C13)*F13</f>
        <v>0</v>
      </c>
      <c r="Q13" s="40">
        <f>SUMIFS(positions!H:H,positions!B:B,$E$2,positions!D:D,'CLIENT (2)'!C13)*F13</f>
        <v>0</v>
      </c>
      <c r="R13" s="40" t="e">
        <f ca="1">F13*I13/IF(M13="RUB",1,_xll.BDP( CONCATENATE("RUB",UPPER(M13)," Curncy"), "PX_LAST"))/IF(M13="GBp",100,1)</f>
        <v>#N/A</v>
      </c>
      <c r="S13" s="40" t="e">
        <f ca="1">F13*I13/IF(M13="USD",1,_xll.BDP( CONCATENATE("USD",UPPER(M13)," Curncy"), "PX_LAST"))/IF(M13="GBp",100,1)</f>
        <v>#N/A</v>
      </c>
      <c r="T13" s="40" t="e">
        <f t="shared" ca="1" si="4"/>
        <v>#N/A</v>
      </c>
      <c r="U13" s="40" t="e">
        <f t="shared" ca="1" si="4"/>
        <v>#N/A</v>
      </c>
      <c r="V13" s="41" t="e">
        <f ca="1">IF( OR(  _xll.BDP($D13,"EQY_DVD_YLD_EST")="#N/A Field Not Applicable", _xll.BDP($D13,"EQY_DVD_YLD_EST")="#N/A N/A"),IF(   OR(  _xll.BDP(D13,"YLD_CNV_MID")="#N/A Field Not Applicable", _xll.BDP(D13,"YLD_CNV_MID")="#N/A N/A"), 0,_xll.BDP(D13,"YLD_CNV_MID")),_xll.BDP($D13,"EQY_DVD_YLD_EST"))</f>
        <v>#NAME?</v>
      </c>
      <c r="W13" s="40" t="e">
        <f ca="1">F13*I13/IF(M13="USD",1,_xll.BDP( CONCATENATE("USD",UPPER(M13)," Curncy"), "PX_LAST"))/IF(M13="GBp",100,1)</f>
        <v>#N/A</v>
      </c>
      <c r="X13" s="54" t="e">
        <f ca="1">IF(  OR(   _xll.BDP($D13,"DVD_EX_DT")="#N/A N/A", _xll.BDP($D13,"DVD_EX_DT")="#N/A Field Not Applicable"),"",_xll.BDP($D13,"DVD_EX_DT"))</f>
        <v>#NAME?</v>
      </c>
      <c r="Y13" s="54" t="e">
        <f ca="1">IF(  OR(   _xll.BDP($D13,"BDVD_NEXT_EST_DECL_DT")="#N/A N/A", _xll.BDP($D13,"BDVD_NEXT_EST_DECL_DT")="#N/A Field Not Applicable"),"",_xll.BDP($D13,"BDVD_NEXT_EST_DECL_DT"))</f>
        <v>#NAME?</v>
      </c>
    </row>
    <row r="14" spans="1:25" s="17" customFormat="1" ht="15" customHeight="1" x14ac:dyDescent="0.25">
      <c r="B14" s="43" t="str">
        <f>IF(LEFT(C14,2) = "RU", VLOOKUP(C14,MICEX!$A$2:$D$1554,4,FALSE),VLOOKUP(C14,Instruments!B:C,2,FALSE))</f>
        <v>Новатэк ао</v>
      </c>
      <c r="C14" s="43" t="str">
        <f>VLOOKUP(D14,Securities!B:C,2,FALSE)</f>
        <v>RU000A0DKVS5</v>
      </c>
      <c r="D14" s="52" t="s">
        <v>4729</v>
      </c>
      <c r="E14" s="12" t="e">
        <f t="shared" ca="1" si="0"/>
        <v>#N/A</v>
      </c>
      <c r="F14" s="40">
        <f>SUMIFS(positions!$E:$E,positions!$D:$D,C14,positions!B:B,'CLIENT (2)'!$E$2)</f>
        <v>0</v>
      </c>
      <c r="G14" s="40">
        <f t="shared" si="1"/>
        <v>0</v>
      </c>
      <c r="H14" s="53" t="e">
        <f ca="1">IF(M14="RUB",SUMIFS(positions!G:G,positions!B:B,'CLIENT (2)'!$E$2,positions!D:D,'CLIENT (2)'!C14),SUMIFS(positions!H:H,positions!B:B,'CLIENT (2)'!$E$2,positions!D:D,'CLIENT (2)'!C14))</f>
        <v>#NAME?</v>
      </c>
      <c r="I14" s="51" t="e">
        <f ca="1">IF(ISERR(_xll.BDP(D14,"PX_LAST")),VLOOKUP(C14,positions!$B:$C,2,FALSE),_xll.BDP(D14,"PX_LAST"))</f>
        <v>#N/A</v>
      </c>
      <c r="J14" s="14" t="e">
        <f ca="1">IF( C14 = "RU000A0JR5Z5", _xll.BDP("486 HK EQUITY","BEST_TARGET_PRICE")*_xll.BDP("USDRUB Curncy","PX_LAST")/_xll.BDP("HKD Curncy","PX_LAST")*10, IF(  OR(   _xll.BDP(D14,"BEST_TARGET_PRICE")="#N/A N/A", _xll.BDP(D14,"BEST_TARGET_PRICE")="#N/A Field Not Applicable"),0,_xll.BDP(D14,"BEST_TARGET_PRICE")))</f>
        <v>#NAME?</v>
      </c>
      <c r="K14" s="15" t="e">
        <f t="shared" ca="1" si="2"/>
        <v>#NAME?</v>
      </c>
      <c r="L14" s="14" t="e">
        <f ca="1">IF(C14="RU000A0JR5Z5",_xll.BDP("486 HK EQUITY","EQY_REC_CONS"),IF(OR(_xll.BDP(D14,"EQY_REC_CONS")="#N/A Field Not Applicable",_xll.BDP(D14,"EQY_REC_CONS")="#N/A N/A"),0,_xll.BDP(D14,"EQY_REC_CONS")))</f>
        <v>#NAME?</v>
      </c>
      <c r="M14" s="16" t="e">
        <f ca="1">_xll.BDP(D14,"Currency")</f>
        <v>#NAME?</v>
      </c>
      <c r="N14" s="12">
        <f t="shared" si="3"/>
        <v>0</v>
      </c>
      <c r="O14" s="12">
        <f t="shared" si="3"/>
        <v>0</v>
      </c>
      <c r="P14" s="40">
        <f>SUMIFS(positions!G:G,positions!B:B,$E$2,positions!D:D,'CLIENT (2)'!C14)*F14</f>
        <v>0</v>
      </c>
      <c r="Q14" s="40">
        <f>SUMIFS(positions!H:H,positions!B:B,$E$2,positions!D:D,'CLIENT (2)'!C14)*F14</f>
        <v>0</v>
      </c>
      <c r="R14" s="40" t="e">
        <f ca="1">F14*I14/IF(M14="RUB",1,_xll.BDP( CONCATENATE("RUB",UPPER(M14)," Curncy"), "PX_LAST"))/IF(M14="GBp",100,1)</f>
        <v>#N/A</v>
      </c>
      <c r="S14" s="40" t="e">
        <f ca="1">F14*I14/IF(M14="USD",1,_xll.BDP( CONCATENATE("USD",UPPER(M14)," Curncy"), "PX_LAST"))/IF(M14="GBp",100,1)</f>
        <v>#N/A</v>
      </c>
      <c r="T14" s="40" t="e">
        <f t="shared" ca="1" si="4"/>
        <v>#N/A</v>
      </c>
      <c r="U14" s="40" t="e">
        <f t="shared" ca="1" si="4"/>
        <v>#N/A</v>
      </c>
      <c r="V14" s="41" t="e">
        <f ca="1">IF( OR(  _xll.BDP($D14,"EQY_DVD_YLD_EST")="#N/A Field Not Applicable", _xll.BDP($D14,"EQY_DVD_YLD_EST")="#N/A N/A"),IF(   OR(  _xll.BDP(D14,"YLD_CNV_MID")="#N/A Field Not Applicable", _xll.BDP(D14,"YLD_CNV_MID")="#N/A N/A"), 0,_xll.BDP(D14,"YLD_CNV_MID")),_xll.BDP($D14,"EQY_DVD_YLD_EST"))</f>
        <v>#NAME?</v>
      </c>
      <c r="W14" s="40" t="e">
        <f ca="1">F14*I14/IF(M14="USD",1,_xll.BDP( CONCATENATE("USD",UPPER(M14)," Curncy"), "PX_LAST"))/IF(M14="GBp",100,1)</f>
        <v>#N/A</v>
      </c>
      <c r="X14" s="54" t="e">
        <f ca="1">IF(  OR(   _xll.BDP($D14,"DVD_EX_DT")="#N/A N/A", _xll.BDP($D14,"DVD_EX_DT")="#N/A Field Not Applicable"),"",_xll.BDP($D14,"DVD_EX_DT"))</f>
        <v>#NAME?</v>
      </c>
      <c r="Y14" s="54" t="e">
        <f ca="1">IF(  OR(   _xll.BDP($D14,"BDVD_NEXT_EST_DECL_DT")="#N/A N/A", _xll.BDP($D14,"BDVD_NEXT_EST_DECL_DT")="#N/A Field Not Applicable"),"",_xll.BDP($D14,"BDVD_NEXT_EST_DECL_DT"))</f>
        <v>#NAME?</v>
      </c>
    </row>
    <row r="15" spans="1:25" s="17" customFormat="1" ht="15" customHeight="1" x14ac:dyDescent="0.25">
      <c r="B15" s="43" t="str">
        <f>IF(LEFT(C15,2) = "RU", VLOOKUP(C15,MICEX!$A$2:$D$1554,4,FALSE),VLOOKUP(C15,Instruments!B:C,2,FALSE))</f>
        <v>GAZPROM ADR, (US3682872078)</v>
      </c>
      <c r="C15" s="43" t="str">
        <f>VLOOKUP(D15,Securities!B:C,2,FALSE)</f>
        <v>US3682872078</v>
      </c>
      <c r="D15" s="52" t="s">
        <v>7769</v>
      </c>
      <c r="E15" s="12" t="e">
        <f t="shared" ca="1" si="0"/>
        <v>#N/A</v>
      </c>
      <c r="F15" s="40">
        <f>SUMIFS(positions!$E:$E,positions!$D:$D,C15,positions!B:B,'CLIENT (2)'!$E$2)</f>
        <v>0</v>
      </c>
      <c r="G15" s="40">
        <f t="shared" si="1"/>
        <v>0</v>
      </c>
      <c r="H15" s="53" t="e">
        <f ca="1">IF(M15="RUB",SUMIFS(positions!G:G,positions!B:B,'CLIENT (2)'!$E$2,positions!D:D,'CLIENT (2)'!C15),SUMIFS(positions!H:H,positions!B:B,'CLIENT (2)'!$E$2,positions!D:D,'CLIENT (2)'!C15))</f>
        <v>#NAME?</v>
      </c>
      <c r="I15" s="51" t="e">
        <f ca="1">IF(ISERR(_xll.BDP(D15,"PX_LAST")),VLOOKUP(C15,positions!$B:$C,2,FALSE),_xll.BDP(D15,"PX_LAST"))</f>
        <v>#N/A</v>
      </c>
      <c r="J15" s="14" t="e">
        <f ca="1">IF( C15 = "RU000A0JR5Z5", _xll.BDP("486 HK EQUITY","BEST_TARGET_PRICE")*_xll.BDP("USDRUB Curncy","PX_LAST")/_xll.BDP("HKD Curncy","PX_LAST")*10, IF(  OR(   _xll.BDP(D15,"BEST_TARGET_PRICE")="#N/A N/A", _xll.BDP(D15,"BEST_TARGET_PRICE")="#N/A Field Not Applicable"),0,_xll.BDP(D15,"BEST_TARGET_PRICE")))</f>
        <v>#NAME?</v>
      </c>
      <c r="K15" s="15" t="e">
        <f t="shared" ca="1" si="2"/>
        <v>#NAME?</v>
      </c>
      <c r="L15" s="14" t="e">
        <f ca="1">IF(C15="RU000A0JR5Z5",_xll.BDP("486 HK EQUITY","EQY_REC_CONS"),IF(OR(_xll.BDP(D15,"EQY_REC_CONS")="#N/A Field Not Applicable",_xll.BDP(D15,"EQY_REC_CONS")="#N/A N/A"),0,_xll.BDP(D15,"EQY_REC_CONS")))</f>
        <v>#NAME?</v>
      </c>
      <c r="M15" s="16" t="e">
        <f ca="1">_xll.BDP(D15,"Currency")</f>
        <v>#NAME?</v>
      </c>
      <c r="N15" s="12">
        <f t="shared" si="3"/>
        <v>0</v>
      </c>
      <c r="O15" s="12">
        <f t="shared" si="3"/>
        <v>0</v>
      </c>
      <c r="P15" s="40">
        <f>SUMIFS(positions!G:G,positions!B:B,$E$2,positions!D:D,'CLIENT (2)'!C15)*F15</f>
        <v>0</v>
      </c>
      <c r="Q15" s="40">
        <f>SUMIFS(positions!H:H,positions!B:B,$E$2,positions!D:D,'CLIENT (2)'!C15)*F15</f>
        <v>0</v>
      </c>
      <c r="R15" s="40" t="e">
        <f ca="1">F15*I15/IF(M15="RUB",1,_xll.BDP( CONCATENATE("RUB",UPPER(M15)," Curncy"), "PX_LAST"))/IF(M15="GBp",100,1)</f>
        <v>#N/A</v>
      </c>
      <c r="S15" s="40" t="e">
        <f ca="1">F15*I15/IF(M15="USD",1,_xll.BDP( CONCATENATE("USD",UPPER(M15)," Curncy"), "PX_LAST"))/IF(M15="GBp",100,1)</f>
        <v>#N/A</v>
      </c>
      <c r="T15" s="40" t="e">
        <f t="shared" ca="1" si="4"/>
        <v>#N/A</v>
      </c>
      <c r="U15" s="40" t="e">
        <f t="shared" ca="1" si="4"/>
        <v>#N/A</v>
      </c>
      <c r="V15" s="41" t="e">
        <f ca="1">IF( OR(  _xll.BDP($D15,"EQY_DVD_YLD_EST")="#N/A Field Not Applicable", _xll.BDP($D15,"EQY_DVD_YLD_EST")="#N/A N/A"),IF(   OR(  _xll.BDP(D15,"YLD_CNV_MID")="#N/A Field Not Applicable", _xll.BDP(D15,"YLD_CNV_MID")="#N/A N/A"), 0,_xll.BDP(D15,"YLD_CNV_MID")),_xll.BDP($D15,"EQY_DVD_YLD_EST"))</f>
        <v>#NAME?</v>
      </c>
      <c r="W15" s="40" t="e">
        <f ca="1">F15*I15/IF(M15="USD",1,_xll.BDP( CONCATENATE("USD",UPPER(M15)," Curncy"), "PX_LAST"))/IF(M15="GBp",100,1)</f>
        <v>#N/A</v>
      </c>
      <c r="X15" s="54" t="e">
        <f ca="1">IF(  OR(   _xll.BDP($D15,"DVD_EX_DT")="#N/A N/A", _xll.BDP($D15,"DVD_EX_DT")="#N/A Field Not Applicable"),"",_xll.BDP($D15,"DVD_EX_DT"))</f>
        <v>#NAME?</v>
      </c>
      <c r="Y15" s="54" t="e">
        <f ca="1">IF(  OR(   _xll.BDP($D15,"BDVD_NEXT_EST_DECL_DT")="#N/A N/A", _xll.BDP($D15,"BDVD_NEXT_EST_DECL_DT")="#N/A Field Not Applicable"),"",_xll.BDP($D15,"BDVD_NEXT_EST_DECL_DT"))</f>
        <v>#NAME?</v>
      </c>
    </row>
    <row r="16" spans="1:25" s="17" customFormat="1" ht="15" customHeight="1" x14ac:dyDescent="0.25">
      <c r="B16" s="43" t="str">
        <f>IF(LEFT(C16,2) = "RU", VLOOKUP(C16,MICEX!$A$2:$D$1554,4,FALSE),VLOOKUP(C16,Instruments!B:C,2,FALSE))</f>
        <v>Polymetal International plc (JE00B6T5S470)</v>
      </c>
      <c r="C16" s="43" t="str">
        <f>VLOOKUP(D16,Securities!B:C,2,FALSE)</f>
        <v>JE00B6T5S470</v>
      </c>
      <c r="D16" s="52" t="s">
        <v>4665</v>
      </c>
      <c r="E16" s="12" t="e">
        <f t="shared" ca="1" si="0"/>
        <v>#N/A</v>
      </c>
      <c r="F16" s="40">
        <f>SUMIFS(positions!$E:$E,positions!$D:$D,C16,positions!B:B,'CLIENT (2)'!$E$2)</f>
        <v>0</v>
      </c>
      <c r="G16" s="40">
        <f t="shared" si="1"/>
        <v>0</v>
      </c>
      <c r="H16" s="53" t="e">
        <f ca="1">IF(M16="RUB",SUMIFS(positions!G:G,positions!B:B,'CLIENT (2)'!$E$2,positions!D:D,'CLIENT (2)'!C16),SUMIFS(positions!H:H,positions!B:B,'CLIENT (2)'!$E$2,positions!D:D,'CLIENT (2)'!C16))</f>
        <v>#NAME?</v>
      </c>
      <c r="I16" s="51" t="e">
        <f ca="1">IF(ISERR(_xll.BDP(D16,"PX_LAST")),VLOOKUP(C16,positions!$B:$C,2,FALSE),_xll.BDP(D16,"PX_LAST"))</f>
        <v>#N/A</v>
      </c>
      <c r="J16" s="14" t="e">
        <f ca="1">IF( C16 = "RU000A0JR5Z5", _xll.BDP("486 HK EQUITY","BEST_TARGET_PRICE")*_xll.BDP("USDRUB Curncy","PX_LAST")/_xll.BDP("HKD Curncy","PX_LAST")*10, IF(  OR(   _xll.BDP(D16,"BEST_TARGET_PRICE")="#N/A N/A", _xll.BDP(D16,"BEST_TARGET_PRICE")="#N/A Field Not Applicable"),0,_xll.BDP(D16,"BEST_TARGET_PRICE")))</f>
        <v>#NAME?</v>
      </c>
      <c r="K16" s="15" t="e">
        <f t="shared" ca="1" si="2"/>
        <v>#NAME?</v>
      </c>
      <c r="L16" s="14" t="e">
        <f ca="1">IF(C16="RU000A0JR5Z5",_xll.BDP("486 HK EQUITY","EQY_REC_CONS"),IF(OR(_xll.BDP(D16,"EQY_REC_CONS")="#N/A Field Not Applicable",_xll.BDP(D16,"EQY_REC_CONS")="#N/A N/A"),0,_xll.BDP(D16,"EQY_REC_CONS")))</f>
        <v>#NAME?</v>
      </c>
      <c r="M16" s="16" t="e">
        <f ca="1">_xll.BDP(D16,"Currency")</f>
        <v>#NAME?</v>
      </c>
      <c r="N16" s="12">
        <f t="shared" si="3"/>
        <v>0</v>
      </c>
      <c r="O16" s="12">
        <f t="shared" si="3"/>
        <v>0</v>
      </c>
      <c r="P16" s="40">
        <f>SUMIFS(positions!G:G,positions!B:B,$E$2,positions!D:D,'CLIENT (2)'!C16)*F16</f>
        <v>0</v>
      </c>
      <c r="Q16" s="40">
        <f>SUMIFS(positions!H:H,positions!B:B,$E$2,positions!D:D,'CLIENT (2)'!C16)*F16</f>
        <v>0</v>
      </c>
      <c r="R16" s="40" t="e">
        <f ca="1">F16*I16/IF(M16="RUB",1,_xll.BDP( CONCATENATE("RUB",UPPER(M16)," Curncy"), "PX_LAST"))/IF(M16="GBp",100,1)</f>
        <v>#N/A</v>
      </c>
      <c r="S16" s="40" t="e">
        <f ca="1">F16*I16/IF(M16="USD",1,_xll.BDP( CONCATENATE("USD",UPPER(M16)," Curncy"), "PX_LAST"))/IF(M16="GBp",100,1)</f>
        <v>#N/A</v>
      </c>
      <c r="T16" s="40" t="e">
        <f t="shared" ca="1" si="4"/>
        <v>#N/A</v>
      </c>
      <c r="U16" s="40" t="e">
        <f t="shared" ca="1" si="4"/>
        <v>#N/A</v>
      </c>
      <c r="V16" s="41" t="e">
        <f ca="1">IF( OR(  _xll.BDP($D16,"EQY_DVD_YLD_EST")="#N/A Field Not Applicable", _xll.BDP($D16,"EQY_DVD_YLD_EST")="#N/A N/A"),IF(   OR(  _xll.BDP(D16,"YLD_CNV_MID")="#N/A Field Not Applicable", _xll.BDP(D16,"YLD_CNV_MID")="#N/A N/A"), 0,_xll.BDP(D16,"YLD_CNV_MID")),_xll.BDP($D16,"EQY_DVD_YLD_EST"))</f>
        <v>#NAME?</v>
      </c>
      <c r="W16" s="40" t="e">
        <f ca="1">F16*I16/IF(M16="USD",1,_xll.BDP( CONCATENATE("USD",UPPER(M16)," Curncy"), "PX_LAST"))/IF(M16="GBp",100,1)</f>
        <v>#N/A</v>
      </c>
      <c r="X16" s="54" t="e">
        <f ca="1">IF(  OR(   _xll.BDP($D16,"DVD_EX_DT")="#N/A N/A", _xll.BDP($D16,"DVD_EX_DT")="#N/A Field Not Applicable"),"",_xll.BDP($D16,"DVD_EX_DT"))</f>
        <v>#NAME?</v>
      </c>
      <c r="Y16" s="54" t="e">
        <f ca="1">IF(  OR(   _xll.BDP($D16,"BDVD_NEXT_EST_DECL_DT")="#N/A N/A", _xll.BDP($D16,"BDVD_NEXT_EST_DECL_DT")="#N/A Field Not Applicable"),"",_xll.BDP($D16,"BDVD_NEXT_EST_DECL_DT"))</f>
        <v>#NAME?</v>
      </c>
    </row>
    <row r="17" spans="2:25" s="17" customFormat="1" ht="15" customHeight="1" x14ac:dyDescent="0.25">
      <c r="B17" s="43" t="str">
        <f>IF(LEFT(C17,2) = "RU", VLOOKUP(C17,MICEX!$A$2:$D$1554,4,FALSE),VLOOKUP(C17,Instruments!B:C,2,FALSE))</f>
        <v>QIWI PLC-SPONSORED ADR (US74735M1080)</v>
      </c>
      <c r="C17" s="43" t="str">
        <f>VLOOKUP(D17,Securities!B:C,2,FALSE)</f>
        <v>US74735M1080</v>
      </c>
      <c r="D17" s="52" t="s">
        <v>7606</v>
      </c>
      <c r="E17" s="12" t="e">
        <f t="shared" ca="1" si="0"/>
        <v>#N/A</v>
      </c>
      <c r="F17" s="40">
        <f>SUMIFS(positions!$E:$E,positions!$D:$D,C17,positions!B:B,'CLIENT (2)'!$E$2)</f>
        <v>0</v>
      </c>
      <c r="G17" s="40">
        <f t="shared" si="1"/>
        <v>0</v>
      </c>
      <c r="H17" s="53" t="e">
        <f ca="1">IF(M17="RUB",SUMIFS(positions!G:G,positions!B:B,'CLIENT (2)'!$E$2,positions!D:D,'CLIENT (2)'!C17),SUMIFS(positions!H:H,positions!B:B,'CLIENT (2)'!$E$2,positions!D:D,'CLIENT (2)'!C17))</f>
        <v>#NAME?</v>
      </c>
      <c r="I17" s="51" t="e">
        <f ca="1">IF(ISERR(_xll.BDP(D17,"PX_LAST")),VLOOKUP(C17,positions!$B:$C,2,FALSE),_xll.BDP(D17,"PX_LAST"))</f>
        <v>#N/A</v>
      </c>
      <c r="J17" s="14" t="e">
        <f ca="1">IF( C17 = "RU000A0JR5Z5", _xll.BDP("486 HK EQUITY","BEST_TARGET_PRICE")*_xll.BDP("USDRUB Curncy","PX_LAST")/_xll.BDP("HKD Curncy","PX_LAST")*10, IF(  OR(   _xll.BDP(D17,"BEST_TARGET_PRICE")="#N/A N/A", _xll.BDP(D17,"BEST_TARGET_PRICE")="#N/A Field Not Applicable"),0,_xll.BDP(D17,"BEST_TARGET_PRICE")))</f>
        <v>#NAME?</v>
      </c>
      <c r="K17" s="15" t="e">
        <f t="shared" ca="1" si="2"/>
        <v>#NAME?</v>
      </c>
      <c r="L17" s="14" t="e">
        <f ca="1">IF(C17="RU000A0JR5Z5",_xll.BDP("486 HK EQUITY","EQY_REC_CONS"),IF(OR(_xll.BDP(D17,"EQY_REC_CONS")="#N/A Field Not Applicable",_xll.BDP(D17,"EQY_REC_CONS")="#N/A N/A"),0,_xll.BDP(D17,"EQY_REC_CONS")))</f>
        <v>#NAME?</v>
      </c>
      <c r="M17" s="16" t="e">
        <f ca="1">_xll.BDP(D17,"Currency")</f>
        <v>#NAME?</v>
      </c>
      <c r="N17" s="12">
        <f t="shared" si="3"/>
        <v>0</v>
      </c>
      <c r="O17" s="12">
        <f t="shared" si="3"/>
        <v>0</v>
      </c>
      <c r="P17" s="40">
        <f>SUMIFS(positions!G:G,positions!B:B,$E$2,positions!D:D,'CLIENT (2)'!C17)*F17</f>
        <v>0</v>
      </c>
      <c r="Q17" s="40">
        <f>SUMIFS(positions!H:H,positions!B:B,$E$2,positions!D:D,'CLIENT (2)'!C17)*F17</f>
        <v>0</v>
      </c>
      <c r="R17" s="40" t="e">
        <f ca="1">F17*I17/IF(M17="RUB",1,_xll.BDP( CONCATENATE("RUB",UPPER(M17)," Curncy"), "PX_LAST"))/IF(M17="GBp",100,1)</f>
        <v>#N/A</v>
      </c>
      <c r="S17" s="40" t="e">
        <f ca="1">F17*I17/IF(M17="USD",1,_xll.BDP( CONCATENATE("USD",UPPER(M17)," Curncy"), "PX_LAST"))/IF(M17="GBp",100,1)</f>
        <v>#N/A</v>
      </c>
      <c r="T17" s="40" t="e">
        <f t="shared" ca="1" si="4"/>
        <v>#N/A</v>
      </c>
      <c r="U17" s="40" t="e">
        <f t="shared" ca="1" si="4"/>
        <v>#N/A</v>
      </c>
      <c r="V17" s="41" t="e">
        <f ca="1">IF( OR(  _xll.BDP($D17,"EQY_DVD_YLD_EST")="#N/A Field Not Applicable", _xll.BDP($D17,"EQY_DVD_YLD_EST")="#N/A N/A"),IF(   OR(  _xll.BDP(D17,"YLD_CNV_MID")="#N/A Field Not Applicable", _xll.BDP(D17,"YLD_CNV_MID")="#N/A N/A"), 0,_xll.BDP(D17,"YLD_CNV_MID")),_xll.BDP($D17,"EQY_DVD_YLD_EST"))</f>
        <v>#NAME?</v>
      </c>
      <c r="W17" s="40" t="e">
        <f ca="1">F17*I17/IF(M17="USD",1,_xll.BDP( CONCATENATE("USD",UPPER(M17)," Curncy"), "PX_LAST"))/IF(M17="GBp",100,1)</f>
        <v>#N/A</v>
      </c>
      <c r="X17" s="54" t="e">
        <f ca="1">IF(  OR(   _xll.BDP($D17,"DVD_EX_DT")="#N/A N/A", _xll.BDP($D17,"DVD_EX_DT")="#N/A Field Not Applicable"),"",_xll.BDP($D17,"DVD_EX_DT"))</f>
        <v>#NAME?</v>
      </c>
      <c r="Y17" s="54" t="e">
        <f ca="1">IF(  OR(   _xll.BDP($D17,"BDVD_NEXT_EST_DECL_DT")="#N/A N/A", _xll.BDP($D17,"BDVD_NEXT_EST_DECL_DT")="#N/A Field Not Applicable"),"",_xll.BDP($D17,"BDVD_NEXT_EST_DECL_DT"))</f>
        <v>#NAME?</v>
      </c>
    </row>
    <row r="18" spans="2:25" s="17" customFormat="1" ht="15" customHeight="1" x14ac:dyDescent="0.25">
      <c r="B18" s="43" t="str">
        <f>IF(LEFT(C18,2) = "RU", VLOOKUP(C18,MICEX!$A$2:$D$1554,4,FALSE),VLOOKUP(C18,Instruments!B:C,2,FALSE))</f>
        <v>VEON LTD.</v>
      </c>
      <c r="C18" s="43" t="str">
        <f>VLOOKUP(D18,Securities!B:C,2,FALSE)</f>
        <v>US91822M1062</v>
      </c>
      <c r="D18" s="52" t="s">
        <v>4649</v>
      </c>
      <c r="E18" s="12" t="e">
        <f t="shared" ca="1" si="0"/>
        <v>#N/A</v>
      </c>
      <c r="F18" s="40">
        <f>SUMIFS(positions!$E:$E,positions!$D:$D,C18,positions!B:B,'CLIENT (2)'!$E$2)</f>
        <v>0</v>
      </c>
      <c r="G18" s="40">
        <f t="shared" si="1"/>
        <v>0</v>
      </c>
      <c r="H18" s="53" t="e">
        <f ca="1">IF(M18="RUB",SUMIFS(positions!G:G,positions!B:B,'CLIENT (2)'!$E$2,positions!D:D,'CLIENT (2)'!C18),SUMIFS(positions!H:H,positions!B:B,'CLIENT (2)'!$E$2,positions!D:D,'CLIENT (2)'!C18))</f>
        <v>#NAME?</v>
      </c>
      <c r="I18" s="51" t="e">
        <f ca="1">IF(ISERR(_xll.BDP(D18,"PX_LAST")),VLOOKUP(C18,positions!$B:$C,2,FALSE),_xll.BDP(D18,"PX_LAST"))</f>
        <v>#N/A</v>
      </c>
      <c r="J18" s="14" t="e">
        <f ca="1">IF( C18 = "RU000A0JR5Z5", _xll.BDP("486 HK EQUITY","BEST_TARGET_PRICE")*_xll.BDP("USDRUB Curncy","PX_LAST")/_xll.BDP("HKD Curncy","PX_LAST")*10, IF(  OR(   _xll.BDP(D18,"BEST_TARGET_PRICE")="#N/A N/A", _xll.BDP(D18,"BEST_TARGET_PRICE")="#N/A Field Not Applicable"),0,_xll.BDP(D18,"BEST_TARGET_PRICE")))</f>
        <v>#NAME?</v>
      </c>
      <c r="K18" s="15" t="e">
        <f t="shared" ca="1" si="2"/>
        <v>#NAME?</v>
      </c>
      <c r="L18" s="14" t="e">
        <f ca="1">IF(C18="RU000A0JR5Z5",_xll.BDP("486 HK EQUITY","EQY_REC_CONS"),IF(OR(_xll.BDP(D18,"EQY_REC_CONS")="#N/A Field Not Applicable",_xll.BDP(D18,"EQY_REC_CONS")="#N/A N/A"),0,_xll.BDP(D18,"EQY_REC_CONS")))</f>
        <v>#NAME?</v>
      </c>
      <c r="M18" s="16" t="e">
        <f ca="1">_xll.BDP(D18,"Currency")</f>
        <v>#NAME?</v>
      </c>
      <c r="N18" s="12">
        <f t="shared" si="3"/>
        <v>0</v>
      </c>
      <c r="O18" s="12">
        <f t="shared" si="3"/>
        <v>0</v>
      </c>
      <c r="P18" s="40">
        <f>SUMIFS(positions!G:G,positions!B:B,$E$2,positions!D:D,'CLIENT (2)'!C18)*F18</f>
        <v>0</v>
      </c>
      <c r="Q18" s="40">
        <f>SUMIFS(positions!H:H,positions!B:B,$E$2,positions!D:D,'CLIENT (2)'!C18)*F18</f>
        <v>0</v>
      </c>
      <c r="R18" s="40" t="e">
        <f ca="1">F18*I18/IF(M18="RUB",1,_xll.BDP( CONCATENATE("RUB",UPPER(M18)," Curncy"), "PX_LAST"))/IF(M18="GBp",100,1)</f>
        <v>#N/A</v>
      </c>
      <c r="S18" s="40" t="e">
        <f ca="1">F18*I18/IF(M18="USD",1,_xll.BDP( CONCATENATE("USD",UPPER(M18)," Curncy"), "PX_LAST"))/IF(M18="GBp",100,1)</f>
        <v>#N/A</v>
      </c>
      <c r="T18" s="40" t="e">
        <f t="shared" ca="1" si="4"/>
        <v>#N/A</v>
      </c>
      <c r="U18" s="40" t="e">
        <f t="shared" ca="1" si="4"/>
        <v>#N/A</v>
      </c>
      <c r="V18" s="41" t="e">
        <f ca="1">IF( OR(  _xll.BDP($D18,"EQY_DVD_YLD_EST")="#N/A Field Not Applicable", _xll.BDP($D18,"EQY_DVD_YLD_EST")="#N/A N/A"),IF(   OR(  _xll.BDP(D18,"YLD_CNV_MID")="#N/A Field Not Applicable", _xll.BDP(D18,"YLD_CNV_MID")="#N/A N/A"), 0,_xll.BDP(D18,"YLD_CNV_MID")),_xll.BDP($D18,"EQY_DVD_YLD_EST"))</f>
        <v>#NAME?</v>
      </c>
      <c r="W18" s="40" t="e">
        <f ca="1">F18*I18/IF(M18="USD",1,_xll.BDP( CONCATENATE("USD",UPPER(M18)," Curncy"), "PX_LAST"))/IF(M18="GBp",100,1)</f>
        <v>#N/A</v>
      </c>
      <c r="X18" s="54" t="e">
        <f ca="1">IF(  OR(   _xll.BDP($D18,"DVD_EX_DT")="#N/A N/A", _xll.BDP($D18,"DVD_EX_DT")="#N/A Field Not Applicable"),"",_xll.BDP($D18,"DVD_EX_DT"))</f>
        <v>#NAME?</v>
      </c>
      <c r="Y18" s="54" t="e">
        <f ca="1">IF(  OR(   _xll.BDP($D18,"BDVD_NEXT_EST_DECL_DT")="#N/A N/A", _xll.BDP($D18,"BDVD_NEXT_EST_DECL_DT")="#N/A Field Not Applicable"),"",_xll.BDP($D18,"BDVD_NEXT_EST_DECL_DT"))</f>
        <v>#NAME?</v>
      </c>
    </row>
    <row r="19" spans="2:25" s="17" customFormat="1" ht="15" hidden="1" customHeight="1" x14ac:dyDescent="0.25">
      <c r="B19" s="43"/>
      <c r="C19" s="43"/>
      <c r="D19" s="52"/>
      <c r="E19" s="12"/>
      <c r="F19" s="40"/>
      <c r="G19" s="40"/>
      <c r="H19" s="53"/>
      <c r="I19" s="51"/>
      <c r="J19" s="14"/>
      <c r="K19" s="15"/>
      <c r="L19" s="14"/>
      <c r="M19" s="16"/>
      <c r="N19" s="12"/>
      <c r="O19" s="12"/>
      <c r="P19" s="40"/>
      <c r="Q19" s="40"/>
      <c r="R19" s="40"/>
      <c r="S19" s="40"/>
      <c r="T19" s="40"/>
      <c r="U19" s="40"/>
      <c r="V19" s="41"/>
      <c r="W19" s="40"/>
      <c r="X19" s="54"/>
      <c r="Y19" s="54"/>
    </row>
    <row r="20" spans="2:25" s="17" customFormat="1" ht="15" hidden="1" customHeight="1" x14ac:dyDescent="0.25">
      <c r="B20" s="43"/>
      <c r="C20" s="43"/>
      <c r="D20" s="52"/>
      <c r="E20" s="12"/>
      <c r="F20" s="40"/>
      <c r="G20" s="40"/>
      <c r="H20" s="53"/>
      <c r="I20" s="51"/>
      <c r="J20" s="14"/>
      <c r="K20" s="15"/>
      <c r="L20" s="14"/>
      <c r="M20" s="16"/>
      <c r="N20" s="12"/>
      <c r="O20" s="12"/>
      <c r="P20" s="40"/>
      <c r="Q20" s="40"/>
      <c r="R20" s="40"/>
      <c r="S20" s="40"/>
      <c r="T20" s="40"/>
      <c r="U20" s="40"/>
      <c r="V20" s="41"/>
      <c r="W20" s="40"/>
      <c r="X20" s="54"/>
      <c r="Y20" s="54"/>
    </row>
    <row r="21" spans="2:25" s="17" customFormat="1" ht="15" hidden="1" customHeight="1" x14ac:dyDescent="0.25">
      <c r="B21" s="43"/>
      <c r="C21" s="43"/>
      <c r="D21" s="52"/>
      <c r="E21" s="12"/>
      <c r="F21" s="40"/>
      <c r="G21" s="40"/>
      <c r="H21" s="53"/>
      <c r="I21" s="51"/>
      <c r="J21" s="14"/>
      <c r="K21" s="15"/>
      <c r="L21" s="14"/>
      <c r="M21" s="16"/>
      <c r="N21" s="12"/>
      <c r="O21" s="12"/>
      <c r="P21" s="40"/>
      <c r="Q21" s="40"/>
      <c r="R21" s="40"/>
      <c r="S21" s="40"/>
      <c r="T21" s="40"/>
      <c r="U21" s="40"/>
      <c r="V21" s="41"/>
      <c r="W21" s="40"/>
      <c r="X21" s="54"/>
      <c r="Y21" s="54"/>
    </row>
    <row r="22" spans="2:25" s="17" customFormat="1" ht="15" hidden="1" customHeight="1" x14ac:dyDescent="0.25">
      <c r="B22" s="43"/>
      <c r="C22" s="43"/>
      <c r="D22" s="52"/>
      <c r="E22" s="12"/>
      <c r="F22" s="40"/>
      <c r="G22" s="40"/>
      <c r="H22" s="53"/>
      <c r="I22" s="51"/>
      <c r="J22" s="14"/>
      <c r="K22" s="15"/>
      <c r="L22" s="14"/>
      <c r="M22" s="16"/>
      <c r="N22" s="12"/>
      <c r="O22" s="12"/>
      <c r="P22" s="40"/>
      <c r="Q22" s="40"/>
      <c r="R22" s="40"/>
      <c r="S22" s="40"/>
      <c r="T22" s="40"/>
      <c r="U22" s="40"/>
      <c r="V22" s="41"/>
      <c r="W22" s="40"/>
      <c r="X22" s="54"/>
      <c r="Y22" s="54"/>
    </row>
    <row r="23" spans="2:25" s="17" customFormat="1" ht="15" hidden="1" customHeight="1" x14ac:dyDescent="0.25">
      <c r="B23" s="43"/>
      <c r="C23" s="43"/>
      <c r="D23" s="52"/>
      <c r="E23" s="12"/>
      <c r="F23" s="40"/>
      <c r="G23" s="40"/>
      <c r="H23" s="53"/>
      <c r="I23" s="51"/>
      <c r="J23" s="14"/>
      <c r="K23" s="15"/>
      <c r="L23" s="14"/>
      <c r="M23" s="16"/>
      <c r="N23" s="12"/>
      <c r="O23" s="12"/>
      <c r="P23" s="40"/>
      <c r="Q23" s="40"/>
      <c r="R23" s="40"/>
      <c r="S23" s="40"/>
      <c r="T23" s="40"/>
      <c r="U23" s="40"/>
      <c r="V23" s="41"/>
      <c r="W23" s="40"/>
      <c r="X23" s="54"/>
      <c r="Y23" s="54"/>
    </row>
    <row r="24" spans="2:25" s="17" customFormat="1" ht="15" hidden="1" customHeight="1" x14ac:dyDescent="0.25">
      <c r="B24" s="43"/>
      <c r="C24" s="43"/>
      <c r="D24" s="5"/>
      <c r="E24" s="12"/>
      <c r="F24" s="40"/>
      <c r="G24" s="40"/>
      <c r="H24" s="53"/>
      <c r="I24" s="51"/>
      <c r="J24" s="14"/>
      <c r="K24" s="15"/>
      <c r="L24" s="14"/>
      <c r="M24" s="16"/>
      <c r="N24" s="12"/>
      <c r="O24" s="12"/>
      <c r="P24" s="40"/>
      <c r="Q24" s="40"/>
      <c r="R24" s="40"/>
      <c r="S24" s="40"/>
      <c r="T24" s="40"/>
      <c r="U24" s="40"/>
      <c r="V24" s="41"/>
      <c r="W24" s="40"/>
      <c r="X24" s="54"/>
      <c r="Y24" s="54"/>
    </row>
    <row r="25" spans="2:25" s="17" customFormat="1" ht="15" hidden="1" customHeight="1" x14ac:dyDescent="0.25">
      <c r="B25" s="43"/>
      <c r="C25" s="43"/>
      <c r="D25" s="5"/>
      <c r="E25" s="12"/>
      <c r="F25" s="40"/>
      <c r="G25" s="40"/>
      <c r="H25" s="53"/>
      <c r="I25" s="51"/>
      <c r="J25" s="14"/>
      <c r="K25" s="15"/>
      <c r="L25" s="14"/>
      <c r="M25" s="16"/>
      <c r="N25" s="12"/>
      <c r="O25" s="12"/>
      <c r="P25" s="40"/>
      <c r="Q25" s="40"/>
      <c r="R25" s="40"/>
      <c r="S25" s="40"/>
      <c r="T25" s="40"/>
      <c r="U25" s="40"/>
      <c r="V25" s="41"/>
      <c r="W25" s="40"/>
      <c r="X25" s="54"/>
      <c r="Y25" s="54"/>
    </row>
    <row r="26" spans="2:25" s="17" customFormat="1" ht="15" hidden="1" customHeight="1" x14ac:dyDescent="0.25">
      <c r="B26" s="43"/>
      <c r="C26" s="43"/>
      <c r="D26" s="5"/>
      <c r="E26" s="12"/>
      <c r="F26" s="40"/>
      <c r="G26" s="40"/>
      <c r="H26" s="53"/>
      <c r="I26" s="51"/>
      <c r="J26" s="14"/>
      <c r="K26" s="15"/>
      <c r="L26" s="14"/>
      <c r="M26" s="16"/>
      <c r="N26" s="12"/>
      <c r="O26" s="12"/>
      <c r="P26" s="40"/>
      <c r="Q26" s="40"/>
      <c r="R26" s="40"/>
      <c r="S26" s="40"/>
      <c r="T26" s="40"/>
      <c r="U26" s="40"/>
      <c r="V26" s="41"/>
      <c r="W26" s="40"/>
      <c r="X26" s="54"/>
      <c r="Y26" s="54"/>
    </row>
    <row r="27" spans="2:25" s="17" customFormat="1" ht="15" hidden="1" customHeight="1" x14ac:dyDescent="0.25">
      <c r="B27" s="43"/>
      <c r="C27" s="43"/>
      <c r="D27" s="5"/>
      <c r="E27" s="12"/>
      <c r="F27" s="40"/>
      <c r="G27" s="40"/>
      <c r="H27" s="53"/>
      <c r="I27" s="51"/>
      <c r="J27" s="14"/>
      <c r="K27" s="15"/>
      <c r="L27" s="14"/>
      <c r="M27" s="16"/>
      <c r="N27" s="12"/>
      <c r="O27" s="12"/>
      <c r="P27" s="40"/>
      <c r="Q27" s="40"/>
      <c r="R27" s="40"/>
      <c r="S27" s="40"/>
      <c r="T27" s="40"/>
      <c r="U27" s="40"/>
      <c r="V27" s="41"/>
      <c r="W27" s="40"/>
      <c r="X27" s="54"/>
      <c r="Y27" s="54"/>
    </row>
    <row r="28" spans="2:25" s="17" customFormat="1" ht="15" hidden="1" customHeight="1" x14ac:dyDescent="0.25">
      <c r="B28" s="43"/>
      <c r="C28" s="43"/>
      <c r="D28" s="5"/>
      <c r="E28" s="12"/>
      <c r="F28" s="40"/>
      <c r="G28" s="40"/>
      <c r="H28" s="53"/>
      <c r="I28" s="51"/>
      <c r="J28" s="14"/>
      <c r="K28" s="15"/>
      <c r="L28" s="14"/>
      <c r="M28" s="16"/>
      <c r="N28" s="12"/>
      <c r="O28" s="12"/>
      <c r="P28" s="40"/>
      <c r="Q28" s="40"/>
      <c r="R28" s="40"/>
      <c r="S28" s="40"/>
      <c r="T28" s="40"/>
      <c r="U28" s="40"/>
      <c r="V28" s="41"/>
      <c r="W28" s="40"/>
      <c r="X28" s="54"/>
      <c r="Y28" s="54"/>
    </row>
    <row r="29" spans="2:25" s="17" customFormat="1" ht="15" hidden="1" customHeight="1" x14ac:dyDescent="0.25">
      <c r="B29" s="43"/>
      <c r="C29" s="43"/>
      <c r="D29" s="5"/>
      <c r="E29" s="12"/>
      <c r="F29" s="40"/>
      <c r="G29" s="40"/>
      <c r="H29" s="53"/>
      <c r="I29" s="51"/>
      <c r="J29" s="14"/>
      <c r="K29" s="15"/>
      <c r="L29" s="14"/>
      <c r="M29" s="16"/>
      <c r="N29" s="12"/>
      <c r="O29" s="12"/>
      <c r="P29" s="40"/>
      <c r="Q29" s="40"/>
      <c r="R29" s="40"/>
      <c r="S29" s="40"/>
      <c r="T29" s="40"/>
      <c r="U29" s="40"/>
      <c r="V29" s="41"/>
      <c r="W29" s="40"/>
      <c r="X29" s="54"/>
      <c r="Y29" s="54"/>
    </row>
    <row r="30" spans="2:25" s="17" customFormat="1" ht="15" hidden="1" customHeight="1" x14ac:dyDescent="0.25">
      <c r="B30" s="43"/>
      <c r="C30" s="43"/>
      <c r="D30" s="5"/>
      <c r="E30" s="12"/>
      <c r="F30" s="40"/>
      <c r="G30" s="40"/>
      <c r="H30" s="53"/>
      <c r="I30" s="51"/>
      <c r="J30" s="14"/>
      <c r="K30" s="15"/>
      <c r="L30" s="14"/>
      <c r="M30" s="16"/>
      <c r="N30" s="12"/>
      <c r="O30" s="12"/>
      <c r="P30" s="40"/>
      <c r="Q30" s="40"/>
      <c r="R30" s="40"/>
      <c r="S30" s="40"/>
      <c r="T30" s="40"/>
      <c r="U30" s="40"/>
      <c r="V30" s="41"/>
      <c r="W30" s="40"/>
      <c r="X30" s="54"/>
      <c r="Y30" s="54"/>
    </row>
    <row r="31" spans="2:25" s="17" customFormat="1" ht="15" hidden="1" customHeight="1" x14ac:dyDescent="0.25">
      <c r="B31" s="43"/>
      <c r="C31" s="43"/>
      <c r="D31" s="5"/>
      <c r="E31" s="12"/>
      <c r="F31" s="40"/>
      <c r="G31" s="40"/>
      <c r="H31" s="53"/>
      <c r="I31" s="51"/>
      <c r="J31" s="14"/>
      <c r="K31" s="15"/>
      <c r="L31" s="14"/>
      <c r="M31" s="16"/>
      <c r="N31" s="12"/>
      <c r="O31" s="12"/>
      <c r="P31" s="40"/>
      <c r="Q31" s="40"/>
      <c r="R31" s="40"/>
      <c r="S31" s="40"/>
      <c r="T31" s="40"/>
      <c r="U31" s="40"/>
      <c r="V31" s="41"/>
      <c r="W31" s="40"/>
      <c r="X31" s="54"/>
      <c r="Y31" s="54"/>
    </row>
    <row r="32" spans="2:25" s="17" customFormat="1" ht="15" hidden="1" customHeight="1" x14ac:dyDescent="0.25">
      <c r="B32" s="43"/>
      <c r="C32" s="43"/>
      <c r="D32" s="5"/>
      <c r="E32" s="12"/>
      <c r="F32" s="40"/>
      <c r="G32" s="40"/>
      <c r="H32" s="53"/>
      <c r="I32" s="51"/>
      <c r="J32" s="14"/>
      <c r="K32" s="15"/>
      <c r="L32" s="14"/>
      <c r="M32" s="16"/>
      <c r="N32" s="12"/>
      <c r="O32" s="12"/>
      <c r="P32" s="40"/>
      <c r="Q32" s="40"/>
      <c r="R32" s="40"/>
      <c r="S32" s="40"/>
      <c r="T32" s="40"/>
      <c r="U32" s="40"/>
      <c r="V32" s="41"/>
      <c r="W32" s="40"/>
      <c r="X32" s="54"/>
      <c r="Y32" s="54"/>
    </row>
    <row r="33" spans="2:25" s="17" customFormat="1" ht="15" hidden="1" customHeight="1" x14ac:dyDescent="0.25">
      <c r="B33" s="43"/>
      <c r="C33" s="43"/>
      <c r="D33" s="5"/>
      <c r="E33" s="12"/>
      <c r="F33" s="40"/>
      <c r="G33" s="40"/>
      <c r="H33" s="53"/>
      <c r="I33" s="51"/>
      <c r="J33" s="14"/>
      <c r="K33" s="15"/>
      <c r="L33" s="14"/>
      <c r="M33" s="16"/>
      <c r="N33" s="12"/>
      <c r="O33" s="12"/>
      <c r="P33" s="40"/>
      <c r="Q33" s="40"/>
      <c r="R33" s="40"/>
      <c r="S33" s="40"/>
      <c r="T33" s="40"/>
      <c r="U33" s="40"/>
      <c r="V33" s="41"/>
      <c r="W33" s="40"/>
      <c r="X33" s="54"/>
      <c r="Y33" s="54"/>
    </row>
    <row r="34" spans="2:25" s="17" customFormat="1" ht="15" hidden="1" customHeight="1" x14ac:dyDescent="0.25">
      <c r="B34" s="43"/>
      <c r="C34" s="43"/>
      <c r="D34" s="5"/>
      <c r="E34" s="12"/>
      <c r="F34" s="40"/>
      <c r="G34" s="40"/>
      <c r="H34" s="53"/>
      <c r="I34" s="51"/>
      <c r="J34" s="14"/>
      <c r="K34" s="15"/>
      <c r="L34" s="14"/>
      <c r="M34" s="16"/>
      <c r="N34" s="12"/>
      <c r="O34" s="12"/>
      <c r="P34" s="40"/>
      <c r="Q34" s="40"/>
      <c r="R34" s="40"/>
      <c r="S34" s="40"/>
      <c r="T34" s="40"/>
      <c r="U34" s="40"/>
      <c r="V34" s="41"/>
      <c r="W34" s="40"/>
      <c r="X34" s="54"/>
      <c r="Y34" s="54"/>
    </row>
    <row r="35" spans="2:25" s="17" customFormat="1" ht="15" hidden="1" customHeight="1" x14ac:dyDescent="0.25">
      <c r="B35" s="43"/>
      <c r="C35" s="43"/>
      <c r="D35" s="5"/>
      <c r="E35" s="12"/>
      <c r="F35" s="40"/>
      <c r="G35" s="40"/>
      <c r="H35" s="53"/>
      <c r="I35" s="51"/>
      <c r="J35" s="14"/>
      <c r="K35" s="15"/>
      <c r="L35" s="14"/>
      <c r="M35" s="16"/>
      <c r="N35" s="12"/>
      <c r="O35" s="12"/>
      <c r="P35" s="40"/>
      <c r="Q35" s="40"/>
      <c r="R35" s="40"/>
      <c r="S35" s="40"/>
      <c r="T35" s="40"/>
      <c r="U35" s="40"/>
      <c r="V35" s="41"/>
      <c r="W35" s="40"/>
      <c r="X35" s="54"/>
      <c r="Y35" s="54"/>
    </row>
    <row r="36" spans="2:25" s="17" customFormat="1" ht="15" hidden="1" customHeight="1" x14ac:dyDescent="0.25">
      <c r="B36" s="43"/>
      <c r="C36" s="43"/>
      <c r="D36" s="5"/>
      <c r="E36" s="12"/>
      <c r="F36" s="40"/>
      <c r="G36" s="40"/>
      <c r="H36" s="53"/>
      <c r="I36" s="51"/>
      <c r="J36" s="14"/>
      <c r="K36" s="15"/>
      <c r="L36" s="14"/>
      <c r="M36" s="16"/>
      <c r="N36" s="12"/>
      <c r="O36" s="12"/>
      <c r="P36" s="40"/>
      <c r="Q36" s="40"/>
      <c r="R36" s="40"/>
      <c r="S36" s="40"/>
      <c r="T36" s="40"/>
      <c r="U36" s="40"/>
      <c r="V36" s="41"/>
      <c r="W36" s="40"/>
      <c r="X36" s="54"/>
      <c r="Y36" s="54"/>
    </row>
    <row r="37" spans="2:25" s="17" customFormat="1" ht="15" hidden="1" customHeight="1" x14ac:dyDescent="0.25">
      <c r="B37" s="43"/>
      <c r="C37" s="43"/>
      <c r="D37" s="5"/>
      <c r="E37" s="12"/>
      <c r="F37" s="40"/>
      <c r="G37" s="40"/>
      <c r="H37" s="53"/>
      <c r="I37" s="51"/>
      <c r="J37" s="14"/>
      <c r="K37" s="15"/>
      <c r="L37" s="14"/>
      <c r="M37" s="16"/>
      <c r="N37" s="12"/>
      <c r="O37" s="12"/>
      <c r="P37" s="40"/>
      <c r="Q37" s="40"/>
      <c r="R37" s="40"/>
      <c r="S37" s="40"/>
      <c r="T37" s="40"/>
      <c r="U37" s="40"/>
      <c r="V37" s="41"/>
      <c r="W37" s="40"/>
      <c r="X37" s="54"/>
      <c r="Y37" s="54"/>
    </row>
    <row r="38" spans="2:25" s="17" customFormat="1" ht="15" hidden="1" customHeight="1" x14ac:dyDescent="0.25">
      <c r="B38" s="43"/>
      <c r="C38" s="43"/>
      <c r="D38" s="5"/>
      <c r="E38" s="12"/>
      <c r="F38" s="40"/>
      <c r="G38" s="40"/>
      <c r="H38" s="53"/>
      <c r="I38" s="51"/>
      <c r="J38" s="14"/>
      <c r="K38" s="15"/>
      <c r="L38" s="14"/>
      <c r="M38" s="16"/>
      <c r="N38" s="12"/>
      <c r="O38" s="12"/>
      <c r="P38" s="40"/>
      <c r="Q38" s="40"/>
      <c r="R38" s="40"/>
      <c r="S38" s="40"/>
      <c r="T38" s="40"/>
      <c r="U38" s="40"/>
      <c r="V38" s="41"/>
      <c r="W38" s="40"/>
      <c r="X38" s="54"/>
      <c r="Y38" s="54"/>
    </row>
    <row r="39" spans="2:25" s="17" customFormat="1" ht="15" hidden="1" customHeight="1" x14ac:dyDescent="0.25">
      <c r="B39" s="43"/>
      <c r="C39" s="43"/>
      <c r="D39" s="5"/>
      <c r="E39" s="12"/>
      <c r="F39" s="40"/>
      <c r="G39" s="40"/>
      <c r="H39" s="53"/>
      <c r="I39" s="51"/>
      <c r="J39" s="14"/>
      <c r="K39" s="15"/>
      <c r="L39" s="14"/>
      <c r="M39" s="16"/>
      <c r="N39" s="12"/>
      <c r="O39" s="12"/>
      <c r="P39" s="40"/>
      <c r="Q39" s="40"/>
      <c r="R39" s="40"/>
      <c r="S39" s="40"/>
      <c r="T39" s="40"/>
      <c r="U39" s="40"/>
      <c r="V39" s="41"/>
      <c r="W39" s="40"/>
      <c r="X39" s="54"/>
      <c r="Y39" s="54"/>
    </row>
    <row r="40" spans="2:25" s="17" customFormat="1" ht="15" hidden="1" customHeight="1" x14ac:dyDescent="0.25">
      <c r="B40" s="43"/>
      <c r="C40" s="43"/>
      <c r="D40" s="5"/>
      <c r="E40" s="12"/>
      <c r="F40" s="40"/>
      <c r="G40" s="40"/>
      <c r="H40" s="53"/>
      <c r="I40" s="51"/>
      <c r="J40" s="14"/>
      <c r="K40" s="15"/>
      <c r="L40" s="14"/>
      <c r="M40" s="16"/>
      <c r="N40" s="12"/>
      <c r="O40" s="12"/>
      <c r="P40" s="40"/>
      <c r="Q40" s="40"/>
      <c r="R40" s="40"/>
      <c r="S40" s="40"/>
      <c r="T40" s="40"/>
      <c r="U40" s="40"/>
      <c r="V40" s="41"/>
      <c r="W40" s="40"/>
      <c r="X40" s="54"/>
      <c r="Y40" s="54"/>
    </row>
    <row r="41" spans="2:25" s="17" customFormat="1" ht="15" hidden="1" customHeight="1" x14ac:dyDescent="0.25">
      <c r="B41" s="43"/>
      <c r="C41" s="43"/>
      <c r="D41" s="5"/>
      <c r="E41" s="12"/>
      <c r="F41" s="40"/>
      <c r="G41" s="40"/>
      <c r="H41" s="53"/>
      <c r="I41" s="51"/>
      <c r="J41" s="14"/>
      <c r="K41" s="15"/>
      <c r="L41" s="14"/>
      <c r="M41" s="16"/>
      <c r="N41" s="12"/>
      <c r="O41" s="12"/>
      <c r="P41" s="40"/>
      <c r="Q41" s="40"/>
      <c r="R41" s="40"/>
      <c r="S41" s="40"/>
      <c r="T41" s="40"/>
      <c r="U41" s="40"/>
      <c r="V41" s="41"/>
      <c r="W41" s="40"/>
      <c r="X41" s="54"/>
      <c r="Y41" s="54"/>
    </row>
    <row r="42" spans="2:25" s="17" customFormat="1" ht="15" hidden="1" customHeight="1" x14ac:dyDescent="0.25">
      <c r="B42" s="43"/>
      <c r="C42" s="43"/>
      <c r="D42" s="5"/>
      <c r="E42" s="12"/>
      <c r="F42" s="40"/>
      <c r="G42" s="40"/>
      <c r="H42" s="53"/>
      <c r="I42" s="51"/>
      <c r="J42" s="14"/>
      <c r="K42" s="15"/>
      <c r="L42" s="14"/>
      <c r="M42" s="16"/>
      <c r="N42" s="12"/>
      <c r="O42" s="12"/>
      <c r="P42" s="40"/>
      <c r="Q42" s="40"/>
      <c r="R42" s="40"/>
      <c r="S42" s="40"/>
      <c r="T42" s="40"/>
      <c r="U42" s="40"/>
      <c r="V42" s="41"/>
      <c r="W42" s="40"/>
      <c r="X42" s="54"/>
      <c r="Y42" s="54"/>
    </row>
    <row r="43" spans="2:25" s="17" customFormat="1" ht="15" hidden="1" customHeight="1" x14ac:dyDescent="0.25">
      <c r="B43" s="43"/>
      <c r="C43" s="43"/>
      <c r="D43" s="5"/>
      <c r="E43" s="12"/>
      <c r="F43" s="40"/>
      <c r="G43" s="40"/>
      <c r="H43" s="53"/>
      <c r="I43" s="51"/>
      <c r="J43" s="14"/>
      <c r="K43" s="15"/>
      <c r="L43" s="14"/>
      <c r="M43" s="16"/>
      <c r="N43" s="12"/>
      <c r="O43" s="12"/>
      <c r="P43" s="40"/>
      <c r="Q43" s="40"/>
      <c r="R43" s="40"/>
      <c r="S43" s="40"/>
      <c r="T43" s="40"/>
      <c r="U43" s="40"/>
      <c r="V43" s="41"/>
      <c r="W43" s="40"/>
      <c r="X43" s="54"/>
      <c r="Y43" s="54"/>
    </row>
    <row r="44" spans="2:25" s="17" customFormat="1" ht="15" hidden="1" customHeight="1" x14ac:dyDescent="0.25">
      <c r="B44" s="43"/>
      <c r="C44" s="43"/>
      <c r="D44" s="5"/>
      <c r="E44" s="12"/>
      <c r="F44" s="40"/>
      <c r="G44" s="40"/>
      <c r="H44" s="53"/>
      <c r="I44" s="51"/>
      <c r="J44" s="14"/>
      <c r="K44" s="15"/>
      <c r="L44" s="14"/>
      <c r="M44" s="16"/>
      <c r="N44" s="12"/>
      <c r="O44" s="12"/>
      <c r="P44" s="40"/>
      <c r="Q44" s="40"/>
      <c r="R44" s="40"/>
      <c r="S44" s="40"/>
      <c r="T44" s="40"/>
      <c r="U44" s="40"/>
      <c r="V44" s="41"/>
      <c r="W44" s="40"/>
      <c r="X44" s="54"/>
      <c r="Y44" s="54"/>
    </row>
    <row r="45" spans="2:25" s="17" customFormat="1" ht="15" hidden="1" customHeight="1" x14ac:dyDescent="0.25">
      <c r="B45" s="43"/>
      <c r="C45" s="43"/>
      <c r="D45" s="5"/>
      <c r="E45" s="12"/>
      <c r="F45" s="40"/>
      <c r="G45" s="40"/>
      <c r="H45" s="53"/>
      <c r="I45" s="51"/>
      <c r="J45" s="14"/>
      <c r="K45" s="15"/>
      <c r="L45" s="14"/>
      <c r="M45" s="16"/>
      <c r="N45" s="12"/>
      <c r="O45" s="12"/>
      <c r="P45" s="40"/>
      <c r="Q45" s="40"/>
      <c r="R45" s="40"/>
      <c r="S45" s="40"/>
      <c r="T45" s="40"/>
      <c r="U45" s="40"/>
      <c r="V45" s="41"/>
      <c r="W45" s="40"/>
      <c r="X45" s="54"/>
      <c r="Y45" s="54"/>
    </row>
    <row r="46" spans="2:25" s="17" customFormat="1" ht="15" hidden="1" customHeight="1" x14ac:dyDescent="0.25">
      <c r="B46" s="43"/>
      <c r="C46" s="43"/>
      <c r="D46" s="5"/>
      <c r="E46" s="12"/>
      <c r="F46" s="40"/>
      <c r="G46" s="40"/>
      <c r="H46" s="53"/>
      <c r="I46" s="51"/>
      <c r="J46" s="14"/>
      <c r="K46" s="15"/>
      <c r="L46" s="14"/>
      <c r="M46" s="16"/>
      <c r="N46" s="12"/>
      <c r="O46" s="12"/>
      <c r="P46" s="40"/>
      <c r="Q46" s="40"/>
      <c r="R46" s="40"/>
      <c r="S46" s="40"/>
      <c r="T46" s="40"/>
      <c r="U46" s="40"/>
      <c r="V46" s="41"/>
      <c r="W46" s="40"/>
      <c r="X46" s="54"/>
      <c r="Y46" s="54"/>
    </row>
    <row r="47" spans="2:25" s="17" customFormat="1" ht="15" hidden="1" customHeight="1" x14ac:dyDescent="0.25">
      <c r="B47" s="43"/>
      <c r="C47" s="43"/>
      <c r="D47" s="5"/>
      <c r="E47" s="12"/>
      <c r="F47" s="40"/>
      <c r="G47" s="40"/>
      <c r="H47" s="53"/>
      <c r="I47" s="51"/>
      <c r="J47" s="14"/>
      <c r="K47" s="15"/>
      <c r="L47" s="14"/>
      <c r="M47" s="16"/>
      <c r="N47" s="12"/>
      <c r="O47" s="12"/>
      <c r="P47" s="40"/>
      <c r="Q47" s="40"/>
      <c r="R47" s="40"/>
      <c r="S47" s="40"/>
      <c r="T47" s="40"/>
      <c r="U47" s="40"/>
      <c r="V47" s="41"/>
      <c r="W47" s="40"/>
      <c r="X47" s="54"/>
      <c r="Y47" s="54"/>
    </row>
    <row r="48" spans="2:25" s="17" customFormat="1" ht="15" hidden="1" customHeight="1" x14ac:dyDescent="0.25">
      <c r="B48" s="43"/>
      <c r="C48" s="43"/>
      <c r="D48" s="5"/>
      <c r="E48" s="12"/>
      <c r="F48" s="40"/>
      <c r="G48" s="40"/>
      <c r="H48" s="53"/>
      <c r="I48" s="51"/>
      <c r="J48" s="14"/>
      <c r="K48" s="15"/>
      <c r="L48" s="14"/>
      <c r="M48" s="16"/>
      <c r="N48" s="12"/>
      <c r="O48" s="12"/>
      <c r="P48" s="40"/>
      <c r="Q48" s="40"/>
      <c r="R48" s="40"/>
      <c r="S48" s="40"/>
      <c r="T48" s="40"/>
      <c r="U48" s="40"/>
      <c r="V48" s="41"/>
      <c r="W48" s="40"/>
      <c r="X48" s="54"/>
      <c r="Y48" s="54"/>
    </row>
    <row r="49" spans="2:25" s="17" customFormat="1" ht="15" hidden="1" customHeight="1" x14ac:dyDescent="0.25">
      <c r="B49" s="43"/>
      <c r="C49" s="43"/>
      <c r="D49" s="5"/>
      <c r="E49" s="12"/>
      <c r="F49" s="40"/>
      <c r="G49" s="40"/>
      <c r="H49" s="53"/>
      <c r="I49" s="51"/>
      <c r="J49" s="14"/>
      <c r="K49" s="15"/>
      <c r="L49" s="14"/>
      <c r="M49" s="16"/>
      <c r="N49" s="12"/>
      <c r="O49" s="12"/>
      <c r="P49" s="40"/>
      <c r="Q49" s="40"/>
      <c r="R49" s="40"/>
      <c r="S49" s="40"/>
      <c r="T49" s="40"/>
      <c r="U49" s="40"/>
      <c r="V49" s="41"/>
      <c r="W49" s="40"/>
      <c r="X49" s="54"/>
      <c r="Y49" s="54"/>
    </row>
    <row r="50" spans="2:25" s="17" customFormat="1" ht="15" hidden="1" customHeight="1" x14ac:dyDescent="0.25">
      <c r="B50" s="43"/>
      <c r="C50" s="43"/>
      <c r="D50" s="5"/>
      <c r="E50" s="12"/>
      <c r="F50" s="40"/>
      <c r="G50" s="40"/>
      <c r="H50" s="53"/>
      <c r="I50" s="51"/>
      <c r="J50" s="14"/>
      <c r="K50" s="15"/>
      <c r="L50" s="14"/>
      <c r="M50" s="16"/>
      <c r="N50" s="12"/>
      <c r="O50" s="12"/>
      <c r="P50" s="40"/>
      <c r="Q50" s="40"/>
      <c r="R50" s="40"/>
      <c r="S50" s="40"/>
      <c r="T50" s="40"/>
      <c r="U50" s="40"/>
      <c r="V50" s="41"/>
      <c r="W50" s="40"/>
      <c r="X50" s="54"/>
      <c r="Y50" s="54"/>
    </row>
    <row r="51" spans="2:25" s="17" customFormat="1" ht="15" hidden="1" customHeight="1" x14ac:dyDescent="0.25">
      <c r="B51" s="43"/>
      <c r="C51" s="43"/>
      <c r="D51" s="5"/>
      <c r="E51" s="12"/>
      <c r="F51" s="40"/>
      <c r="G51" s="40"/>
      <c r="H51" s="53"/>
      <c r="I51" s="51"/>
      <c r="J51" s="14"/>
      <c r="K51" s="15"/>
      <c r="L51" s="14"/>
      <c r="M51" s="16"/>
      <c r="N51" s="12"/>
      <c r="O51" s="12"/>
      <c r="P51" s="40"/>
      <c r="Q51" s="40"/>
      <c r="R51" s="40"/>
      <c r="S51" s="40"/>
      <c r="T51" s="40"/>
      <c r="U51" s="40"/>
      <c r="V51" s="41"/>
      <c r="W51" s="40"/>
      <c r="X51" s="54"/>
      <c r="Y51" s="54"/>
    </row>
    <row r="52" spans="2:25" s="17" customFormat="1" ht="15" hidden="1" customHeight="1" x14ac:dyDescent="0.25">
      <c r="B52" s="43"/>
      <c r="C52" s="43"/>
      <c r="D52" s="5"/>
      <c r="E52" s="12"/>
      <c r="F52" s="40"/>
      <c r="G52" s="40"/>
      <c r="H52" s="53"/>
      <c r="I52" s="51"/>
      <c r="J52" s="14"/>
      <c r="K52" s="15"/>
      <c r="L52" s="14"/>
      <c r="M52" s="16"/>
      <c r="N52" s="12"/>
      <c r="O52" s="12"/>
      <c r="P52" s="40"/>
      <c r="Q52" s="40"/>
      <c r="R52" s="40"/>
      <c r="S52" s="40"/>
      <c r="T52" s="40"/>
      <c r="U52" s="40"/>
      <c r="V52" s="41"/>
      <c r="W52" s="40"/>
      <c r="X52" s="54"/>
      <c r="Y52" s="54"/>
    </row>
    <row r="53" spans="2:25" s="17" customFormat="1" ht="15" hidden="1" customHeight="1" x14ac:dyDescent="0.25">
      <c r="B53" s="43"/>
      <c r="C53" s="43"/>
      <c r="D53" s="5"/>
      <c r="E53" s="12"/>
      <c r="F53" s="40"/>
      <c r="G53" s="40"/>
      <c r="H53" s="53"/>
      <c r="I53" s="51"/>
      <c r="J53" s="14"/>
      <c r="K53" s="15"/>
      <c r="L53" s="14"/>
      <c r="M53" s="16"/>
      <c r="N53" s="12"/>
      <c r="O53" s="12"/>
      <c r="P53" s="40"/>
      <c r="Q53" s="40"/>
      <c r="R53" s="40"/>
      <c r="S53" s="40"/>
      <c r="T53" s="40"/>
      <c r="U53" s="40"/>
      <c r="V53" s="41"/>
      <c r="W53" s="40"/>
      <c r="X53" s="54"/>
      <c r="Y53" s="54"/>
    </row>
    <row r="54" spans="2:25" s="17" customFormat="1" ht="15" hidden="1" customHeight="1" x14ac:dyDescent="0.25">
      <c r="B54" s="43"/>
      <c r="C54" s="43"/>
      <c r="D54" s="5"/>
      <c r="E54" s="12"/>
      <c r="F54" s="40"/>
      <c r="G54" s="40"/>
      <c r="H54" s="53"/>
      <c r="I54" s="51"/>
      <c r="J54" s="14"/>
      <c r="K54" s="15"/>
      <c r="L54" s="14"/>
      <c r="M54" s="16"/>
      <c r="N54" s="12"/>
      <c r="O54" s="12"/>
      <c r="P54" s="40"/>
      <c r="Q54" s="40"/>
      <c r="R54" s="40"/>
      <c r="S54" s="40"/>
      <c r="T54" s="40"/>
      <c r="U54" s="40"/>
      <c r="V54" s="41"/>
      <c r="W54" s="40"/>
      <c r="X54" s="54"/>
      <c r="Y54" s="54"/>
    </row>
    <row r="55" spans="2:25" s="17" customFormat="1" ht="15" hidden="1" customHeight="1" x14ac:dyDescent="0.25">
      <c r="B55" s="43"/>
      <c r="C55" s="43"/>
      <c r="D55" s="5"/>
      <c r="E55" s="12"/>
      <c r="F55" s="40"/>
      <c r="G55" s="40"/>
      <c r="H55" s="53"/>
      <c r="I55" s="51"/>
      <c r="J55" s="14"/>
      <c r="K55" s="15"/>
      <c r="L55" s="14"/>
      <c r="M55" s="16"/>
      <c r="N55" s="12"/>
      <c r="O55" s="12"/>
      <c r="P55" s="40"/>
      <c r="Q55" s="40"/>
      <c r="R55" s="40"/>
      <c r="S55" s="40"/>
      <c r="T55" s="40"/>
      <c r="U55" s="40"/>
      <c r="V55" s="41"/>
      <c r="W55" s="40"/>
      <c r="X55" s="54"/>
      <c r="Y55" s="54"/>
    </row>
    <row r="56" spans="2:25" s="17" customFormat="1" ht="15" hidden="1" customHeight="1" x14ac:dyDescent="0.25">
      <c r="B56" s="43"/>
      <c r="C56" s="43"/>
      <c r="D56" s="5"/>
      <c r="E56" s="12"/>
      <c r="F56" s="40"/>
      <c r="G56" s="40"/>
      <c r="H56" s="53"/>
      <c r="I56" s="51"/>
      <c r="J56" s="14"/>
      <c r="K56" s="15"/>
      <c r="L56" s="14"/>
      <c r="M56" s="16"/>
      <c r="N56" s="12"/>
      <c r="O56" s="12"/>
      <c r="P56" s="40"/>
      <c r="Q56" s="40"/>
      <c r="R56" s="40"/>
      <c r="S56" s="40"/>
      <c r="T56" s="40"/>
      <c r="U56" s="40"/>
      <c r="V56" s="41"/>
      <c r="W56" s="40"/>
      <c r="X56" s="54"/>
      <c r="Y56" s="54"/>
    </row>
    <row r="57" spans="2:25" s="17" customFormat="1" ht="15" hidden="1" customHeight="1" x14ac:dyDescent="0.25">
      <c r="B57" s="43"/>
      <c r="C57" s="43"/>
      <c r="D57" s="5"/>
      <c r="E57" s="12"/>
      <c r="F57" s="40"/>
      <c r="G57" s="40"/>
      <c r="H57" s="53"/>
      <c r="I57" s="51"/>
      <c r="J57" s="14"/>
      <c r="K57" s="15"/>
      <c r="L57" s="14"/>
      <c r="M57" s="16"/>
      <c r="N57" s="12"/>
      <c r="O57" s="12"/>
      <c r="P57" s="40"/>
      <c r="Q57" s="40"/>
      <c r="R57" s="40"/>
      <c r="S57" s="40"/>
      <c r="T57" s="40"/>
      <c r="U57" s="40"/>
      <c r="V57" s="41"/>
      <c r="W57" s="40"/>
      <c r="X57" s="54"/>
      <c r="Y57" s="54"/>
    </row>
    <row r="58" spans="2:25" s="17" customFormat="1" ht="15" hidden="1" customHeight="1" x14ac:dyDescent="0.25">
      <c r="B58" s="43"/>
      <c r="C58" s="43"/>
      <c r="D58" s="5"/>
      <c r="E58" s="12"/>
      <c r="F58" s="40"/>
      <c r="G58" s="40"/>
      <c r="H58" s="53"/>
      <c r="I58" s="51"/>
      <c r="J58" s="14"/>
      <c r="K58" s="15"/>
      <c r="L58" s="14"/>
      <c r="M58" s="16"/>
      <c r="N58" s="12"/>
      <c r="O58" s="12"/>
      <c r="P58" s="40"/>
      <c r="Q58" s="40"/>
      <c r="R58" s="40"/>
      <c r="S58" s="40"/>
      <c r="T58" s="40"/>
      <c r="U58" s="40"/>
      <c r="V58" s="41"/>
      <c r="W58" s="40"/>
      <c r="X58" s="54"/>
      <c r="Y58" s="54"/>
    </row>
    <row r="59" spans="2:25" s="17" customFormat="1" ht="15" hidden="1" customHeight="1" x14ac:dyDescent="0.25">
      <c r="B59" s="43"/>
      <c r="C59" s="43"/>
      <c r="D59" s="5"/>
      <c r="E59" s="12"/>
      <c r="F59" s="40"/>
      <c r="G59" s="40"/>
      <c r="H59" s="53"/>
      <c r="I59" s="51"/>
      <c r="J59" s="14"/>
      <c r="K59" s="15"/>
      <c r="L59" s="14"/>
      <c r="M59" s="16"/>
      <c r="N59" s="12"/>
      <c r="O59" s="12"/>
      <c r="P59" s="40"/>
      <c r="Q59" s="40"/>
      <c r="R59" s="40"/>
      <c r="S59" s="40"/>
      <c r="T59" s="40"/>
      <c r="U59" s="40"/>
      <c r="V59" s="41"/>
      <c r="W59" s="40"/>
      <c r="X59" s="54"/>
      <c r="Y59" s="54"/>
    </row>
    <row r="60" spans="2:25" s="17" customFormat="1" ht="15" hidden="1" customHeight="1" x14ac:dyDescent="0.25">
      <c r="B60" s="43"/>
      <c r="C60" s="43"/>
      <c r="D60" s="5"/>
      <c r="E60" s="12"/>
      <c r="F60" s="40"/>
      <c r="G60" s="40"/>
      <c r="H60" s="53"/>
      <c r="I60" s="51"/>
      <c r="J60" s="14"/>
      <c r="K60" s="15"/>
      <c r="L60" s="14"/>
      <c r="M60" s="16"/>
      <c r="N60" s="12"/>
      <c r="O60" s="12"/>
      <c r="P60" s="40"/>
      <c r="Q60" s="40"/>
      <c r="R60" s="40"/>
      <c r="S60" s="40"/>
      <c r="T60" s="40"/>
      <c r="U60" s="40"/>
      <c r="V60" s="41"/>
      <c r="W60" s="40"/>
      <c r="X60" s="54"/>
      <c r="Y60" s="54"/>
    </row>
    <row r="61" spans="2:25" s="17" customFormat="1" ht="15" hidden="1" customHeight="1" x14ac:dyDescent="0.25">
      <c r="B61" s="43"/>
      <c r="C61" s="43"/>
      <c r="D61" s="5"/>
      <c r="E61" s="12"/>
      <c r="F61" s="40"/>
      <c r="G61" s="40"/>
      <c r="H61" s="53"/>
      <c r="I61" s="51"/>
      <c r="J61" s="14"/>
      <c r="K61" s="15"/>
      <c r="L61" s="14"/>
      <c r="M61" s="16"/>
      <c r="N61" s="12"/>
      <c r="O61" s="12"/>
      <c r="P61" s="40"/>
      <c r="Q61" s="40"/>
      <c r="R61" s="40"/>
      <c r="S61" s="40"/>
      <c r="T61" s="40"/>
      <c r="U61" s="40"/>
      <c r="V61" s="41"/>
      <c r="W61" s="40"/>
      <c r="X61" s="54"/>
      <c r="Y61" s="54"/>
    </row>
    <row r="62" spans="2:25" s="17" customFormat="1" ht="15" hidden="1" customHeight="1" x14ac:dyDescent="0.25">
      <c r="B62" s="43"/>
      <c r="C62" s="43"/>
      <c r="D62" s="5"/>
      <c r="E62" s="12"/>
      <c r="F62" s="40"/>
      <c r="G62" s="40"/>
      <c r="H62" s="53"/>
      <c r="I62" s="51"/>
      <c r="J62" s="14"/>
      <c r="K62" s="15"/>
      <c r="L62" s="14"/>
      <c r="M62" s="16"/>
      <c r="N62" s="12"/>
      <c r="O62" s="12"/>
      <c r="P62" s="40"/>
      <c r="Q62" s="40"/>
      <c r="R62" s="40"/>
      <c r="S62" s="40"/>
      <c r="T62" s="40"/>
      <c r="U62" s="40"/>
      <c r="V62" s="41"/>
      <c r="W62" s="40"/>
      <c r="X62" s="54"/>
      <c r="Y62" s="54"/>
    </row>
    <row r="63" spans="2:25" s="17" customFormat="1" ht="15" hidden="1" customHeight="1" x14ac:dyDescent="0.25">
      <c r="B63" s="43"/>
      <c r="C63" s="43"/>
      <c r="D63" s="5"/>
      <c r="E63" s="12"/>
      <c r="F63" s="40"/>
      <c r="G63" s="40"/>
      <c r="H63" s="53"/>
      <c r="I63" s="51"/>
      <c r="J63" s="14"/>
      <c r="K63" s="15"/>
      <c r="L63" s="14"/>
      <c r="M63" s="16"/>
      <c r="N63" s="12"/>
      <c r="O63" s="12"/>
      <c r="P63" s="40"/>
      <c r="Q63" s="40"/>
      <c r="R63" s="40"/>
      <c r="S63" s="40"/>
      <c r="T63" s="40"/>
      <c r="U63" s="40"/>
      <c r="V63" s="41"/>
      <c r="W63" s="40"/>
      <c r="X63" s="54"/>
      <c r="Y63" s="54"/>
    </row>
    <row r="64" spans="2:25" s="17" customFormat="1" ht="15" hidden="1" customHeight="1" x14ac:dyDescent="0.25">
      <c r="B64" s="43"/>
      <c r="C64" s="43"/>
      <c r="D64" s="5"/>
      <c r="E64" s="12"/>
      <c r="F64" s="40"/>
      <c r="G64" s="40"/>
      <c r="H64" s="53"/>
      <c r="I64" s="51"/>
      <c r="J64" s="14"/>
      <c r="K64" s="15"/>
      <c r="L64" s="14"/>
      <c r="M64" s="16"/>
      <c r="N64" s="12"/>
      <c r="O64" s="12"/>
      <c r="P64" s="40"/>
      <c r="Q64" s="40"/>
      <c r="R64" s="40"/>
      <c r="S64" s="40"/>
      <c r="T64" s="40"/>
      <c r="U64" s="40"/>
      <c r="V64" s="41"/>
      <c r="W64" s="40"/>
      <c r="X64" s="54"/>
      <c r="Y64" s="54"/>
    </row>
    <row r="65" spans="2:25" s="17" customFormat="1" ht="15" hidden="1" customHeight="1" x14ac:dyDescent="0.25">
      <c r="B65" s="43"/>
      <c r="C65" s="43"/>
      <c r="D65" s="5"/>
      <c r="E65" s="12"/>
      <c r="F65" s="40"/>
      <c r="G65" s="40"/>
      <c r="H65" s="53"/>
      <c r="I65" s="51"/>
      <c r="J65" s="14"/>
      <c r="K65" s="15"/>
      <c r="L65" s="14"/>
      <c r="M65" s="16"/>
      <c r="N65" s="12"/>
      <c r="O65" s="12"/>
      <c r="P65" s="40"/>
      <c r="Q65" s="40"/>
      <c r="R65" s="40"/>
      <c r="S65" s="40"/>
      <c r="T65" s="40"/>
      <c r="U65" s="40"/>
      <c r="V65" s="41"/>
      <c r="W65" s="40"/>
      <c r="X65" s="54"/>
      <c r="Y65" s="54"/>
    </row>
    <row r="66" spans="2:25" s="17" customFormat="1" ht="15" hidden="1" customHeight="1" x14ac:dyDescent="0.25">
      <c r="B66" s="43"/>
      <c r="C66" s="43"/>
      <c r="D66" s="5"/>
      <c r="E66" s="12"/>
      <c r="F66" s="40"/>
      <c r="G66" s="40"/>
      <c r="H66" s="53"/>
      <c r="I66" s="51"/>
      <c r="J66" s="14"/>
      <c r="K66" s="15"/>
      <c r="L66" s="14"/>
      <c r="M66" s="16"/>
      <c r="N66" s="12"/>
      <c r="O66" s="12"/>
      <c r="P66" s="40"/>
      <c r="Q66" s="40"/>
      <c r="R66" s="40"/>
      <c r="S66" s="40"/>
      <c r="T66" s="40"/>
      <c r="U66" s="40"/>
      <c r="V66" s="41"/>
      <c r="W66" s="40"/>
      <c r="X66" s="54"/>
      <c r="Y66" s="54"/>
    </row>
    <row r="67" spans="2:25" s="17" customFormat="1" ht="15" hidden="1" customHeight="1" x14ac:dyDescent="0.25">
      <c r="B67" s="43"/>
      <c r="C67" s="43"/>
      <c r="D67" s="5"/>
      <c r="E67" s="12"/>
      <c r="F67" s="40"/>
      <c r="G67" s="40"/>
      <c r="H67" s="53"/>
      <c r="I67" s="51"/>
      <c r="J67" s="14"/>
      <c r="K67" s="15"/>
      <c r="L67" s="14"/>
      <c r="M67" s="16"/>
      <c r="N67" s="12"/>
      <c r="O67" s="12"/>
      <c r="P67" s="40"/>
      <c r="Q67" s="40"/>
      <c r="R67" s="40"/>
      <c r="S67" s="40"/>
      <c r="T67" s="40"/>
      <c r="U67" s="40"/>
      <c r="V67" s="41"/>
      <c r="W67" s="40"/>
      <c r="X67" s="54"/>
      <c r="Y67" s="54"/>
    </row>
    <row r="68" spans="2:25" s="17" customFormat="1" ht="15" hidden="1" customHeight="1" x14ac:dyDescent="0.25">
      <c r="B68" s="43"/>
      <c r="C68" s="43"/>
      <c r="D68" s="5"/>
      <c r="E68" s="12"/>
      <c r="F68" s="40"/>
      <c r="G68" s="40"/>
      <c r="H68" s="53"/>
      <c r="I68" s="51"/>
      <c r="J68" s="14"/>
      <c r="K68" s="15"/>
      <c r="L68" s="14"/>
      <c r="M68" s="16"/>
      <c r="N68" s="12"/>
      <c r="O68" s="12"/>
      <c r="P68" s="40"/>
      <c r="Q68" s="40"/>
      <c r="R68" s="40"/>
      <c r="S68" s="40"/>
      <c r="T68" s="40"/>
      <c r="U68" s="40"/>
      <c r="V68" s="41"/>
      <c r="W68" s="40"/>
      <c r="X68" s="54"/>
      <c r="Y68" s="54"/>
    </row>
    <row r="69" spans="2:25" s="17" customFormat="1" ht="15" hidden="1" customHeight="1" x14ac:dyDescent="0.25">
      <c r="B69" s="43"/>
      <c r="C69" s="43"/>
      <c r="D69" s="5"/>
      <c r="E69" s="12"/>
      <c r="F69" s="40"/>
      <c r="G69" s="40"/>
      <c r="H69" s="53"/>
      <c r="I69" s="51"/>
      <c r="J69" s="14"/>
      <c r="K69" s="15"/>
      <c r="L69" s="14"/>
      <c r="M69" s="16"/>
      <c r="N69" s="12"/>
      <c r="O69" s="12"/>
      <c r="P69" s="40"/>
      <c r="Q69" s="40"/>
      <c r="R69" s="40"/>
      <c r="S69" s="40"/>
      <c r="T69" s="40"/>
      <c r="U69" s="40"/>
      <c r="V69" s="41"/>
      <c r="W69" s="40"/>
      <c r="X69" s="54"/>
      <c r="Y69" s="54"/>
    </row>
    <row r="70" spans="2:25" s="17" customFormat="1" ht="15" hidden="1" customHeight="1" x14ac:dyDescent="0.25">
      <c r="B70" s="43"/>
      <c r="C70" s="43"/>
      <c r="D70" s="5"/>
      <c r="E70" s="12"/>
      <c r="F70" s="40"/>
      <c r="G70" s="40"/>
      <c r="H70" s="53"/>
      <c r="I70" s="51"/>
      <c r="J70" s="14"/>
      <c r="K70" s="15"/>
      <c r="L70" s="14"/>
      <c r="M70" s="16"/>
      <c r="N70" s="12"/>
      <c r="O70" s="12"/>
      <c r="P70" s="40"/>
      <c r="Q70" s="40"/>
      <c r="R70" s="40"/>
      <c r="S70" s="40"/>
      <c r="T70" s="40"/>
      <c r="U70" s="40"/>
      <c r="V70" s="41"/>
      <c r="W70" s="40"/>
      <c r="X70" s="54"/>
      <c r="Y70" s="54"/>
    </row>
    <row r="71" spans="2:25" s="17" customFormat="1" ht="15" hidden="1" customHeight="1" x14ac:dyDescent="0.25">
      <c r="B71" s="43"/>
      <c r="C71" s="43"/>
      <c r="D71" s="5"/>
      <c r="E71" s="12"/>
      <c r="F71" s="40"/>
      <c r="G71" s="40"/>
      <c r="H71" s="53"/>
      <c r="I71" s="51"/>
      <c r="J71" s="14"/>
      <c r="K71" s="15"/>
      <c r="L71" s="14"/>
      <c r="M71" s="16"/>
      <c r="N71" s="12"/>
      <c r="O71" s="12"/>
      <c r="P71" s="40"/>
      <c r="Q71" s="40"/>
      <c r="R71" s="40"/>
      <c r="S71" s="40"/>
      <c r="T71" s="40"/>
      <c r="U71" s="40"/>
      <c r="V71" s="41"/>
      <c r="W71" s="40"/>
      <c r="X71" s="54"/>
      <c r="Y71" s="54"/>
    </row>
    <row r="72" spans="2:25" s="17" customFormat="1" ht="15" hidden="1" customHeight="1" x14ac:dyDescent="0.25">
      <c r="B72" s="43"/>
      <c r="C72" s="43"/>
      <c r="D72" s="5"/>
      <c r="E72" s="12"/>
      <c r="F72" s="40"/>
      <c r="G72" s="40"/>
      <c r="H72" s="53"/>
      <c r="I72" s="51"/>
      <c r="J72" s="14"/>
      <c r="K72" s="15"/>
      <c r="L72" s="14"/>
      <c r="M72" s="16"/>
      <c r="N72" s="12"/>
      <c r="O72" s="12"/>
      <c r="P72" s="40"/>
      <c r="Q72" s="40"/>
      <c r="R72" s="40"/>
      <c r="S72" s="40"/>
      <c r="T72" s="40"/>
      <c r="U72" s="40"/>
      <c r="V72" s="41"/>
      <c r="W72" s="40"/>
      <c r="X72" s="54"/>
      <c r="Y72" s="54"/>
    </row>
    <row r="73" spans="2:25" s="17" customFormat="1" ht="15" hidden="1" customHeight="1" x14ac:dyDescent="0.25">
      <c r="B73" s="43"/>
      <c r="C73" s="43"/>
      <c r="D73" s="5"/>
      <c r="E73" s="12"/>
      <c r="F73" s="40"/>
      <c r="G73" s="40"/>
      <c r="H73" s="53"/>
      <c r="I73" s="51"/>
      <c r="J73" s="14"/>
      <c r="K73" s="15"/>
      <c r="L73" s="14"/>
      <c r="M73" s="16"/>
      <c r="N73" s="12"/>
      <c r="O73" s="12"/>
      <c r="P73" s="40"/>
      <c r="Q73" s="40"/>
      <c r="R73" s="40"/>
      <c r="S73" s="40"/>
      <c r="T73" s="40"/>
      <c r="U73" s="40"/>
      <c r="V73" s="41"/>
      <c r="W73" s="40"/>
      <c r="X73" s="54"/>
      <c r="Y73" s="54"/>
    </row>
    <row r="74" spans="2:25" s="17" customFormat="1" ht="15" hidden="1" customHeight="1" x14ac:dyDescent="0.25">
      <c r="B74" s="43"/>
      <c r="C74" s="43"/>
      <c r="D74" s="5"/>
      <c r="E74" s="12"/>
      <c r="F74" s="40"/>
      <c r="G74" s="40"/>
      <c r="H74" s="53"/>
      <c r="I74" s="51"/>
      <c r="J74" s="14"/>
      <c r="K74" s="15"/>
      <c r="L74" s="14"/>
      <c r="M74" s="16"/>
      <c r="N74" s="12"/>
      <c r="O74" s="12"/>
      <c r="P74" s="40"/>
      <c r="Q74" s="40"/>
      <c r="R74" s="40"/>
      <c r="S74" s="40"/>
      <c r="T74" s="40"/>
      <c r="U74" s="40"/>
      <c r="V74" s="41"/>
      <c r="W74" s="40"/>
      <c r="X74" s="54"/>
      <c r="Y74" s="54"/>
    </row>
    <row r="75" spans="2:25" s="17" customFormat="1" ht="15" hidden="1" customHeight="1" x14ac:dyDescent="0.25">
      <c r="B75" s="43"/>
      <c r="C75" s="43"/>
      <c r="D75" s="5"/>
      <c r="E75" s="12"/>
      <c r="F75" s="40"/>
      <c r="G75" s="40"/>
      <c r="H75" s="53"/>
      <c r="I75" s="51"/>
      <c r="J75" s="14"/>
      <c r="K75" s="15"/>
      <c r="L75" s="14"/>
      <c r="M75" s="16"/>
      <c r="N75" s="12"/>
      <c r="O75" s="12"/>
      <c r="P75" s="40"/>
      <c r="Q75" s="40"/>
      <c r="R75" s="40"/>
      <c r="S75" s="40"/>
      <c r="T75" s="40"/>
      <c r="U75" s="40"/>
      <c r="V75" s="41"/>
      <c r="W75" s="40"/>
      <c r="X75" s="54"/>
      <c r="Y75" s="54"/>
    </row>
    <row r="76" spans="2:25" s="17" customFormat="1" ht="15" hidden="1" customHeight="1" x14ac:dyDescent="0.25">
      <c r="B76" s="43"/>
      <c r="C76" s="43"/>
      <c r="D76" s="5"/>
      <c r="E76" s="12"/>
      <c r="F76" s="40"/>
      <c r="G76" s="40"/>
      <c r="H76" s="53"/>
      <c r="I76" s="51"/>
      <c r="J76" s="14"/>
      <c r="K76" s="15"/>
      <c r="L76" s="14"/>
      <c r="M76" s="16"/>
      <c r="N76" s="12"/>
      <c r="O76" s="12"/>
      <c r="P76" s="40"/>
      <c r="Q76" s="40"/>
      <c r="R76" s="40"/>
      <c r="S76" s="40"/>
      <c r="T76" s="40"/>
      <c r="U76" s="40"/>
      <c r="V76" s="41"/>
      <c r="W76" s="40"/>
      <c r="X76" s="54"/>
      <c r="Y76" s="54"/>
    </row>
    <row r="77" spans="2:25" s="17" customFormat="1" ht="15" hidden="1" customHeight="1" x14ac:dyDescent="0.25">
      <c r="B77" s="43"/>
      <c r="C77" s="43"/>
      <c r="D77" s="5"/>
      <c r="E77" s="12"/>
      <c r="F77" s="40"/>
      <c r="G77" s="40"/>
      <c r="H77" s="53"/>
      <c r="I77" s="51"/>
      <c r="J77" s="14"/>
      <c r="K77" s="15"/>
      <c r="L77" s="14"/>
      <c r="M77" s="16"/>
      <c r="N77" s="12"/>
      <c r="O77" s="12"/>
      <c r="P77" s="40"/>
      <c r="Q77" s="40"/>
      <c r="R77" s="40"/>
      <c r="S77" s="40"/>
      <c r="T77" s="40"/>
      <c r="U77" s="40"/>
      <c r="V77" s="41"/>
      <c r="W77" s="40"/>
      <c r="X77" s="54"/>
      <c r="Y77" s="54"/>
    </row>
    <row r="78" spans="2:25" s="17" customFormat="1" ht="15" hidden="1" customHeight="1" x14ac:dyDescent="0.25">
      <c r="B78" s="43"/>
      <c r="C78" s="43"/>
      <c r="D78" s="5"/>
      <c r="E78" s="12"/>
      <c r="F78" s="40"/>
      <c r="G78" s="40"/>
      <c r="H78" s="53"/>
      <c r="I78" s="51"/>
      <c r="J78" s="14"/>
      <c r="K78" s="15"/>
      <c r="L78" s="14"/>
      <c r="M78" s="16"/>
      <c r="N78" s="12"/>
      <c r="O78" s="12"/>
      <c r="P78" s="40"/>
      <c r="Q78" s="40"/>
      <c r="R78" s="40"/>
      <c r="S78" s="40"/>
      <c r="T78" s="40"/>
      <c r="U78" s="40"/>
      <c r="V78" s="41"/>
      <c r="W78" s="40"/>
      <c r="X78" s="54"/>
      <c r="Y78" s="54"/>
    </row>
    <row r="79" spans="2:25" s="17" customFormat="1" ht="15" hidden="1" customHeight="1" x14ac:dyDescent="0.25">
      <c r="B79" s="43"/>
      <c r="C79" s="43"/>
      <c r="D79" s="5"/>
      <c r="E79" s="12"/>
      <c r="F79" s="40"/>
      <c r="G79" s="40"/>
      <c r="H79" s="53"/>
      <c r="I79" s="51"/>
      <c r="J79" s="14"/>
      <c r="K79" s="15"/>
      <c r="L79" s="14"/>
      <c r="M79" s="16"/>
      <c r="N79" s="12"/>
      <c r="O79" s="12"/>
      <c r="P79" s="40"/>
      <c r="Q79" s="40"/>
      <c r="R79" s="40"/>
      <c r="S79" s="40"/>
      <c r="T79" s="40"/>
      <c r="U79" s="40"/>
      <c r="V79" s="41"/>
      <c r="W79" s="40"/>
      <c r="X79" s="54"/>
      <c r="Y79" s="54"/>
    </row>
    <row r="80" spans="2:25" s="17" customFormat="1" ht="15" hidden="1" customHeight="1" x14ac:dyDescent="0.25">
      <c r="B80" s="43"/>
      <c r="C80" s="43"/>
      <c r="D80" s="5"/>
      <c r="E80" s="12"/>
      <c r="F80" s="40"/>
      <c r="G80" s="40"/>
      <c r="H80" s="53"/>
      <c r="I80" s="51"/>
      <c r="J80" s="14"/>
      <c r="K80" s="15"/>
      <c r="L80" s="14"/>
      <c r="M80" s="16"/>
      <c r="N80" s="12"/>
      <c r="O80" s="12"/>
      <c r="P80" s="40"/>
      <c r="Q80" s="40"/>
      <c r="R80" s="40"/>
      <c r="S80" s="40"/>
      <c r="T80" s="40"/>
      <c r="U80" s="40"/>
      <c r="V80" s="41"/>
      <c r="W80" s="40"/>
      <c r="X80" s="54"/>
      <c r="Y80" s="54"/>
    </row>
    <row r="81" spans="1:25" s="17" customFormat="1" ht="15" hidden="1" customHeight="1" x14ac:dyDescent="0.25">
      <c r="B81" s="43"/>
      <c r="C81" s="43"/>
      <c r="D81" s="5"/>
      <c r="E81" s="12"/>
      <c r="F81" s="40"/>
      <c r="G81" s="40"/>
      <c r="H81" s="53"/>
      <c r="I81" s="51"/>
      <c r="J81" s="14"/>
      <c r="K81" s="15"/>
      <c r="L81" s="14"/>
      <c r="M81" s="16"/>
      <c r="N81" s="12"/>
      <c r="O81" s="12"/>
      <c r="P81" s="40"/>
      <c r="Q81" s="40"/>
      <c r="R81" s="40"/>
      <c r="S81" s="40"/>
      <c r="T81" s="40"/>
      <c r="U81" s="40"/>
      <c r="V81" s="41"/>
      <c r="W81" s="40"/>
      <c r="X81" s="54"/>
      <c r="Y81" s="54"/>
    </row>
    <row r="82" spans="1:25" s="17" customFormat="1" ht="15" hidden="1" customHeight="1" x14ac:dyDescent="0.25">
      <c r="B82" s="43"/>
      <c r="C82" s="43"/>
      <c r="D82" s="5"/>
      <c r="E82" s="12"/>
      <c r="F82" s="40"/>
      <c r="G82" s="40"/>
      <c r="H82" s="53"/>
      <c r="I82" s="51"/>
      <c r="J82" s="14"/>
      <c r="K82" s="15"/>
      <c r="L82" s="14"/>
      <c r="M82" s="16"/>
      <c r="N82" s="12"/>
      <c r="O82" s="12"/>
      <c r="P82" s="40"/>
      <c r="Q82" s="40"/>
      <c r="R82" s="40"/>
      <c r="S82" s="40"/>
      <c r="T82" s="40"/>
      <c r="U82" s="40"/>
      <c r="V82" s="41"/>
      <c r="W82" s="40"/>
      <c r="X82" s="54"/>
      <c r="Y82" s="54"/>
    </row>
    <row r="83" spans="1:25" s="17" customFormat="1" ht="15" customHeight="1" x14ac:dyDescent="0.25">
      <c r="B83" s="43"/>
      <c r="C83" s="43"/>
      <c r="D83" s="5"/>
      <c r="E83" s="50" t="e">
        <f ca="1">SUM(E9:E82)</f>
        <v>#N/A</v>
      </c>
      <c r="F83" s="50"/>
      <c r="G83" s="40"/>
      <c r="H83" s="53"/>
      <c r="I83" s="13"/>
      <c r="J83" s="14"/>
      <c r="K83" s="15" t="e">
        <f ca="1">SUMPRODUCT(K9:K82,E9:E82)</f>
        <v>#NAME?</v>
      </c>
      <c r="L83" s="14"/>
      <c r="M83" s="16"/>
      <c r="N83" s="12" t="e">
        <f ca="1">SUMPRODUCT(N9:N82,E9:E82)</f>
        <v>#N/A</v>
      </c>
      <c r="O83" s="12" t="e">
        <f ca="1">SUMPRODUCT(O9:O82,E9:E82)</f>
        <v>#N/A</v>
      </c>
      <c r="P83" s="45">
        <f t="shared" ref="P83:U83" si="5">SUM(P9:P82)</f>
        <v>0</v>
      </c>
      <c r="Q83" s="45">
        <f t="shared" si="5"/>
        <v>0</v>
      </c>
      <c r="R83" s="45" t="e">
        <f t="shared" ca="1" si="5"/>
        <v>#N/A</v>
      </c>
      <c r="S83" s="45" t="e">
        <f t="shared" ca="1" si="5"/>
        <v>#N/A</v>
      </c>
      <c r="T83" s="45" t="e">
        <f t="shared" ca="1" si="5"/>
        <v>#N/A</v>
      </c>
      <c r="U83" s="45" t="e">
        <f t="shared" ca="1" si="5"/>
        <v>#N/A</v>
      </c>
      <c r="V83" s="41"/>
      <c r="W83" s="45" t="e">
        <f ca="1">SUM(W9:W82)</f>
        <v>#N/A</v>
      </c>
      <c r="X83" s="55"/>
      <c r="Y83" s="55"/>
    </row>
    <row r="84" spans="1:25" s="17" customFormat="1" ht="15" customHeight="1" x14ac:dyDescent="0.25">
      <c r="A84" s="11"/>
      <c r="B84" s="11" t="s">
        <v>16</v>
      </c>
      <c r="C84" s="11"/>
      <c r="D84" s="5"/>
      <c r="E84" s="12"/>
      <c r="F84" s="12"/>
      <c r="G84" s="5"/>
      <c r="H84" s="53"/>
      <c r="I84" s="13"/>
      <c r="J84" s="8" t="s">
        <v>21</v>
      </c>
      <c r="K84" s="8" t="s">
        <v>32</v>
      </c>
      <c r="L84" s="14"/>
      <c r="M84" s="16"/>
      <c r="N84" s="12"/>
      <c r="O84" s="12"/>
      <c r="P84" s="40"/>
      <c r="Q84" s="40"/>
      <c r="R84" s="40"/>
      <c r="S84" s="40"/>
      <c r="T84" s="40"/>
      <c r="U84" s="40"/>
      <c r="V84" s="41"/>
      <c r="W84" s="41"/>
      <c r="X84" s="55"/>
      <c r="Y84" s="55"/>
    </row>
    <row r="85" spans="1:25" s="17" customFormat="1" ht="15" customHeight="1" x14ac:dyDescent="0.25">
      <c r="B85" s="43" t="str">
        <f>IF(LEFT(C85,2) = "RU", VLOOKUP(C85,MICEX!$A$2:$D$1554,4,FALSE),VLOOKUP(C85,Instruments!B:C,2,FALSE))</f>
        <v>Bonds of Russia, 12.75%, 24/06/2028, XS0088543193</v>
      </c>
      <c r="C85" s="43" t="str">
        <f>VLOOKUP(D85,Securities!B:C,2,FALSE)</f>
        <v>XS0088543193</v>
      </c>
      <c r="D85" s="5" t="s">
        <v>4738</v>
      </c>
      <c r="E85" s="12" t="e">
        <f ca="1">S85/$S$182</f>
        <v>#NAME?</v>
      </c>
      <c r="F85" s="40">
        <f>SUMIFS(positions!$E:$E,positions!$D:$D,C85,positions!B:B,'CLIENT (2)'!$E$2)</f>
        <v>0</v>
      </c>
      <c r="G85" s="40">
        <f t="shared" ref="G85:G89" si="6">$K$5-Q85</f>
        <v>0</v>
      </c>
      <c r="H85" s="53" t="e">
        <f ca="1">IF(M85="RUB",SUMIFS(positions!G:G,positions!B:B,'CLIENT (2)'!$E$2,positions!D:D,'CLIENT (2)'!C85),SUMIFS(positions!H:H,positions!B:B,'CLIENT (2)'!$E$2,positions!D:D,'CLIENT (2)'!C85))</f>
        <v>#NAME?</v>
      </c>
      <c r="I85" s="51" t="e">
        <f ca="1">IF(_xll.BDP(D85,"PX_LAST")="#N/A N/A",100,_xll.BDP(D85,"PX_LAST"))</f>
        <v>#NAME?</v>
      </c>
      <c r="J85" s="14" t="e">
        <f ca="1">IF( _xll.BDP($D85,"DUR_MID") = "#N/A N/A", 0,  _xll.BDP($D85,"DUR_MID") )</f>
        <v>#NAME?</v>
      </c>
      <c r="K85" s="12" t="e">
        <f ca="1">IF( OR( _xll.BDP($D85,"YLD_CNV_MID")="#N/A Field Not Applicable",_xll.BDP($D85,"YLD_CNV_MID")= "#N/A N/A"), 0, _xll.BDP($D85,"YLD_CNV_MID")/100)</f>
        <v>#NAME?</v>
      </c>
      <c r="L85" s="14"/>
      <c r="M85" s="16" t="e">
        <f ca="1">_xll.BDP(D85,"Currency")</f>
        <v>#NAME?</v>
      </c>
      <c r="N85" s="12" t="e">
        <f ca="1">R85/P85-1</f>
        <v>#NAME?</v>
      </c>
      <c r="O85" s="12">
        <f>IF(Q85&gt;0,S85/Q85-1,0)</f>
        <v>0</v>
      </c>
      <c r="P85" s="40" t="e">
        <f ca="1">SUMIFS(positions!H:H,positions!B:B,$E$2,positions!D:D,'CLIENT (2)'!C85)*F85%*$R$3</f>
        <v>#NAME?</v>
      </c>
      <c r="Q85" s="40">
        <f>SUMIFS(positions!H:H,positions!B:B,$E$2,positions!D:D,'CLIENT (2)'!C85)*F85%</f>
        <v>0</v>
      </c>
      <c r="R85" s="40" t="e">
        <f ca="1">F85*I85/IF(M85="RUB",0.001,_xll.BDP( CONCATENATE("RUB",UPPER(M85)," Curncy"), "PX_LAST"))/IF(M85="GBp",100,1)*0.01</f>
        <v>#NAME?</v>
      </c>
      <c r="S85" s="40" t="e">
        <f ca="1">F85*I85/IF(M85="USD",1,_xll.BDP( CONCATENATE("USD",UPPER(M85)," Curncy"), "PX_LAST"))/IF(M85="GBp",100,1)*IF(M85="RUB",10,0.01)</f>
        <v>#NAME?</v>
      </c>
      <c r="T85" s="40" t="e">
        <f t="shared" ref="T85:U89" ca="1" si="7">R85-P85</f>
        <v>#NAME?</v>
      </c>
      <c r="U85" s="40" t="e">
        <f t="shared" ca="1" si="7"/>
        <v>#NAME?</v>
      </c>
      <c r="V85" s="41" t="e">
        <f ca="1">IF( OR(  _xll.BDP($D85,"EQY_DVD_YLD_EST")="#N/A Field Not Applicable", _xll.BDP($D85,"EQY_DVD_YLD_EST")="#N/A N/A"),IF(   OR(  _xll.BDP(D85,"YLD_CNV_MID")="#N/A Field Not Applicable", _xll.BDP(D85,"YLD_CNV_MID")="#N/A N/A"), 0,_xll.BDP(D85,"YLD_CNV_MID")),_xll.BDP($D85,"EQY_DVD_YLD_EST"))</f>
        <v>#NAME?</v>
      </c>
      <c r="W85" s="40" t="e">
        <f ca="1">F85*IF(_xll.BDP(D85,"PX_DIRTY_MID")="#N/A N/A",100,_xll.BDP(D85,"PX_DIRTY_MID"))/IF(M85="USD",1,_xll.BDP( CONCATENATE("USD",UPPER(M85)," Curncy"), "PX_LAST"))/IF(M85="GBp",100,1)*IF(M85="RUB",10,0.01)</f>
        <v>#NAME?</v>
      </c>
      <c r="X85" s="54" t="e">
        <f ca="1">IF(  OR(   _xll.BDP($D85,"NXT_CPN_DT")="#N/A N/A", _xll.BDP($D85,"NXT_CPN_DT")="#N/A Field Not Applicable"),"",_xll.BDP($D85,"NXT_CPN_DT"))</f>
        <v>#NAME?</v>
      </c>
      <c r="Y85" s="55"/>
    </row>
    <row r="86" spans="1:25" s="17" customFormat="1" ht="15" customHeight="1" x14ac:dyDescent="0.25">
      <c r="B86" s="43" t="str">
        <f>IF(LEFT(C86,2) = "RU", VLOOKUP(C86,MICEX!$A$2:$D$1554,4,FALSE),VLOOKUP(C86,Instruments!B:C,2,FALSE))</f>
        <v>Bonds of EVRAZ GROUP S.A., 8.25%, 28/01/2021, XS1319822752</v>
      </c>
      <c r="C86" s="43" t="str">
        <f>VLOOKUP(D86,Securities!B:C,2,FALSE)</f>
        <v>XS1319822752</v>
      </c>
      <c r="D86" s="5" t="s">
        <v>6840</v>
      </c>
      <c r="E86" s="12" t="e">
        <f t="shared" ref="E86:E89" ca="1" si="8">S86/$S$182</f>
        <v>#NAME?</v>
      </c>
      <c r="F86" s="40">
        <f>SUMIFS(positions!$E:$E,positions!$D:$D,C86,positions!B:B,'CLIENT (2)'!$E$2)</f>
        <v>0</v>
      </c>
      <c r="G86" s="40">
        <f t="shared" si="6"/>
        <v>0</v>
      </c>
      <c r="H86" s="53" t="e">
        <f ca="1">IF(M86="RUB",SUMIFS(positions!G:G,positions!B:B,'CLIENT (2)'!$E$2,positions!D:D,'CLIENT (2)'!C86),SUMIFS(positions!H:H,positions!B:B,'CLIENT (2)'!$E$2,positions!D:D,'CLIENT (2)'!C86))</f>
        <v>#NAME?</v>
      </c>
      <c r="I86" s="51" t="e">
        <f ca="1">IF(_xll.BDP(D86,"PX_LAST")="#N/A N/A",100,_xll.BDP(D86,"PX_LAST"))</f>
        <v>#NAME?</v>
      </c>
      <c r="J86" s="14" t="e">
        <f ca="1">IF( _xll.BDP($D86,"DUR_MID") = "#N/A N/A", 0,  _xll.BDP($D86,"DUR_MID") )</f>
        <v>#NAME?</v>
      </c>
      <c r="K86" s="12" t="e">
        <f ca="1">IF( OR( _xll.BDP($D86,"YLD_CNV_MID")="#N/A Field Not Applicable",_xll.BDP($D86,"YLD_CNV_MID")= "#N/A N/A"), 0, _xll.BDP($D86,"YLD_CNV_MID")/100)</f>
        <v>#NAME?</v>
      </c>
      <c r="L86" s="14"/>
      <c r="M86" s="16" t="e">
        <f ca="1">_xll.BDP(D86,"Currency")</f>
        <v>#NAME?</v>
      </c>
      <c r="N86" s="12" t="e">
        <f t="shared" ref="N86:N89" ca="1" si="9">R86/P86-1</f>
        <v>#NAME?</v>
      </c>
      <c r="O86" s="12">
        <f t="shared" ref="O86:O89" si="10">IF(Q86&gt;0,S86/Q86-1,0)</f>
        <v>0</v>
      </c>
      <c r="P86" s="40" t="e">
        <f ca="1">SUMIFS(positions!H:H,positions!B:B,$E$2,positions!D:D,'CLIENT (2)'!C86)*F86%*$R$3</f>
        <v>#NAME?</v>
      </c>
      <c r="Q86" s="40">
        <f>SUMIFS(positions!H:H,positions!B:B,$E$2,positions!D:D,'CLIENT (2)'!C86)*F86%</f>
        <v>0</v>
      </c>
      <c r="R86" s="40" t="e">
        <f ca="1">F86*I86/IF(M86="RUB",0.001,_xll.BDP( CONCATENATE("RUB",UPPER(M86)," Curncy"), "PX_LAST"))/IF(M86="GBp",100,1)*0.01</f>
        <v>#NAME?</v>
      </c>
      <c r="S86" s="40" t="e">
        <f ca="1">F86*I86/IF(M86="USD",1,_xll.BDP( CONCATENATE("USD",UPPER(M86)," Curncy"), "PX_LAST"))/IF(M86="GBp",100,1)*IF(M86="RUB",10,0.01)</f>
        <v>#NAME?</v>
      </c>
      <c r="T86" s="40" t="e">
        <f t="shared" ca="1" si="7"/>
        <v>#NAME?</v>
      </c>
      <c r="U86" s="40" t="e">
        <f t="shared" ca="1" si="7"/>
        <v>#NAME?</v>
      </c>
      <c r="V86" s="41" t="e">
        <f ca="1">IF( OR(  _xll.BDP($D86,"EQY_DVD_YLD_EST")="#N/A Field Not Applicable", _xll.BDP($D86,"EQY_DVD_YLD_EST")="#N/A N/A"),IF(   OR(  _xll.BDP(D86,"YLD_CNV_MID")="#N/A Field Not Applicable", _xll.BDP(D86,"YLD_CNV_MID")="#N/A N/A"), 0,_xll.BDP(D86,"YLD_CNV_MID")),_xll.BDP($D86,"EQY_DVD_YLD_EST"))</f>
        <v>#NAME?</v>
      </c>
      <c r="W86" s="40" t="e">
        <f ca="1">F86*IF(_xll.BDP(D86,"PX_DIRTY_MID")="#N/A N/A",100,_xll.BDP(D86,"PX_DIRTY_MID"))/IF(M86="USD",1,_xll.BDP( CONCATENATE("USD",UPPER(M86)," Curncy"), "PX_LAST"))/IF(M86="GBp",100,1)*IF(M86="RUB",10,0.01)</f>
        <v>#NAME?</v>
      </c>
      <c r="X86" s="54" t="e">
        <f ca="1">IF(  OR(   _xll.BDP($D86,"NXT_CPN_DT")="#N/A N/A", _xll.BDP($D86,"NXT_CPN_DT")="#N/A Field Not Applicable"),"",_xll.BDP($D86,"NXT_CPN_DT"))</f>
        <v>#NAME?</v>
      </c>
      <c r="Y86" s="55"/>
    </row>
    <row r="87" spans="1:25" s="17" customFormat="1" ht="15" customHeight="1" x14ac:dyDescent="0.25">
      <c r="B87" s="43" t="str">
        <f>IF(LEFT(C87,2) = "RU", VLOOKUP(C87,MICEX!$A$2:$D$1554,4,FALSE),VLOOKUP(C87,Instruments!B:C,2,FALSE))</f>
        <v>Bonds of SB CAPITAL S.A., 5.5%, 26/02/2024, XS1032750165</v>
      </c>
      <c r="C87" s="43" t="str">
        <f>VLOOKUP(D87,Securities!B:C,2,FALSE)</f>
        <v>XS1032750165</v>
      </c>
      <c r="D87" s="5" t="s">
        <v>4743</v>
      </c>
      <c r="E87" s="12" t="e">
        <f t="shared" ca="1" si="8"/>
        <v>#NAME?</v>
      </c>
      <c r="F87" s="40">
        <f>SUMIFS(positions!$E:$E,positions!$D:$D,C87,positions!B:B,'CLIENT (2)'!$E$2)</f>
        <v>0</v>
      </c>
      <c r="G87" s="40">
        <f t="shared" si="6"/>
        <v>0</v>
      </c>
      <c r="H87" s="53" t="e">
        <f ca="1">IF(M87="RUB",SUMIFS(positions!G:G,positions!B:B,'CLIENT (2)'!$E$2,positions!D:D,'CLIENT (2)'!C87),SUMIFS(positions!H:H,positions!B:B,'CLIENT (2)'!$E$2,positions!D:D,'CLIENT (2)'!C87))</f>
        <v>#NAME?</v>
      </c>
      <c r="I87" s="51" t="e">
        <f ca="1">IF(_xll.BDP(D87,"PX_LAST")="#N/A N/A",100,_xll.BDP(D87,"PX_LAST"))</f>
        <v>#NAME?</v>
      </c>
      <c r="J87" s="14" t="e">
        <f ca="1">IF( _xll.BDP($D87,"DUR_MID") = "#N/A N/A", 0,  _xll.BDP($D87,"DUR_MID") )</f>
        <v>#NAME?</v>
      </c>
      <c r="K87" s="12" t="e">
        <f ca="1">IF( OR( _xll.BDP($D87,"YLD_CNV_MID")="#N/A Field Not Applicable",_xll.BDP($D87,"YLD_CNV_MID")= "#N/A N/A"), 0, _xll.BDP($D87,"YLD_CNV_MID")/100)</f>
        <v>#NAME?</v>
      </c>
      <c r="L87" s="14"/>
      <c r="M87" s="16" t="e">
        <f ca="1">_xll.BDP(D87,"Currency")</f>
        <v>#NAME?</v>
      </c>
      <c r="N87" s="12" t="e">
        <f t="shared" ca="1" si="9"/>
        <v>#NAME?</v>
      </c>
      <c r="O87" s="12">
        <f t="shared" si="10"/>
        <v>0</v>
      </c>
      <c r="P87" s="40" t="e">
        <f ca="1">SUMIFS(positions!H:H,positions!B:B,$E$2,positions!D:D,'CLIENT (2)'!C87)*F87%*$R$3</f>
        <v>#NAME?</v>
      </c>
      <c r="Q87" s="40">
        <f>SUMIFS(positions!H:H,positions!B:B,$E$2,positions!D:D,'CLIENT (2)'!C87)*F87%</f>
        <v>0</v>
      </c>
      <c r="R87" s="40" t="e">
        <f ca="1">F87*I87/IF(M87="RUB",0.001,_xll.BDP( CONCATENATE("RUB",UPPER(M87)," Curncy"), "PX_LAST"))/IF(M87="GBp",100,1)*0.01</f>
        <v>#NAME?</v>
      </c>
      <c r="S87" s="40" t="e">
        <f ca="1">F87*I87/IF(M87="USD",1,_xll.BDP( CONCATENATE("USD",UPPER(M87)," Curncy"), "PX_LAST"))/IF(M87="GBp",100,1)*IF(M87="RUB",10,0.01)</f>
        <v>#NAME?</v>
      </c>
      <c r="T87" s="40" t="e">
        <f t="shared" ca="1" si="7"/>
        <v>#NAME?</v>
      </c>
      <c r="U87" s="40" t="e">
        <f t="shared" ca="1" si="7"/>
        <v>#NAME?</v>
      </c>
      <c r="V87" s="41" t="e">
        <f ca="1">IF( OR(  _xll.BDP($D87,"EQY_DVD_YLD_EST")="#N/A Field Not Applicable", _xll.BDP($D87,"EQY_DVD_YLD_EST")="#N/A N/A"),IF(   OR(  _xll.BDP(D87,"YLD_CNV_MID")="#N/A Field Not Applicable", _xll.BDP(D87,"YLD_CNV_MID")="#N/A N/A"), 0,_xll.BDP(D87,"YLD_CNV_MID")),_xll.BDP($D87,"EQY_DVD_YLD_EST"))</f>
        <v>#NAME?</v>
      </c>
      <c r="W87" s="40" t="e">
        <f ca="1">F87*IF(_xll.BDP(D87,"PX_DIRTY_MID")="#N/A N/A",100,_xll.BDP(D87,"PX_DIRTY_MID"))/IF(M87="USD",1,_xll.BDP( CONCATENATE("USD",UPPER(M87)," Curncy"), "PX_LAST"))/IF(M87="GBp",100,1)*IF(M87="RUB",10,0.01)</f>
        <v>#NAME?</v>
      </c>
      <c r="X87" s="54" t="e">
        <f ca="1">IF(  OR(   _xll.BDP($D87,"NXT_CPN_DT")="#N/A N/A", _xll.BDP($D87,"NXT_CPN_DT")="#N/A Field Not Applicable"),"",_xll.BDP($D87,"NXT_CPN_DT"))</f>
        <v>#NAME?</v>
      </c>
      <c r="Y87" s="55"/>
    </row>
    <row r="88" spans="1:25" s="17" customFormat="1" ht="15" customHeight="1" x14ac:dyDescent="0.25">
      <c r="B88" s="43" t="str">
        <f>IF(LEFT(C88,2) = "RU", VLOOKUP(C88,MICEX!$A$2:$D$1554,4,FALSE),VLOOKUP(C88,Instruments!B:C,2,FALSE))</f>
        <v>Eurobonds of TCS Finance, 9.25% Fix-to-Variable, Perpetual, XS1631338495</v>
      </c>
      <c r="C88" s="43" t="str">
        <f>VLOOKUP(D88,Securities!B:C,2,FALSE)</f>
        <v>XS1631338495</v>
      </c>
      <c r="D88" s="5" t="s">
        <v>7083</v>
      </c>
      <c r="E88" s="12" t="e">
        <f t="shared" ca="1" si="8"/>
        <v>#NAME?</v>
      </c>
      <c r="F88" s="40">
        <f>SUMIFS(positions!$E:$E,positions!$D:$D,C88,positions!B:B,'CLIENT (2)'!$E$2)</f>
        <v>0</v>
      </c>
      <c r="G88" s="40">
        <f t="shared" si="6"/>
        <v>0</v>
      </c>
      <c r="H88" s="53" t="e">
        <f ca="1">IF(M88="RUB",SUMIFS(positions!G:G,positions!B:B,'CLIENT (2)'!$E$2,positions!D:D,'CLIENT (2)'!C88),SUMIFS(positions!H:H,positions!B:B,'CLIENT (2)'!$E$2,positions!D:D,'CLIENT (2)'!C88))</f>
        <v>#NAME?</v>
      </c>
      <c r="I88" s="51" t="e">
        <f ca="1">IF(_xll.BDP(D88,"PX_LAST")="#N/A N/A",100,_xll.BDP(D88,"PX_LAST"))</f>
        <v>#NAME?</v>
      </c>
      <c r="J88" s="14" t="e">
        <f ca="1">IF( _xll.BDP($D88,"DUR_MID") = "#N/A N/A", 0,  _xll.BDP($D88,"DUR_MID") )</f>
        <v>#NAME?</v>
      </c>
      <c r="K88" s="12" t="e">
        <f ca="1">IF( OR( _xll.BDP($D88,"YLD_CNV_MID")="#N/A Field Not Applicable",_xll.BDP($D88,"YLD_CNV_MID")= "#N/A N/A"), 0, _xll.BDP($D88,"YLD_CNV_MID")/100)</f>
        <v>#NAME?</v>
      </c>
      <c r="L88" s="14"/>
      <c r="M88" s="16" t="e">
        <f ca="1">_xll.BDP(D88,"Currency")</f>
        <v>#NAME?</v>
      </c>
      <c r="N88" s="12" t="e">
        <f t="shared" ca="1" si="9"/>
        <v>#NAME?</v>
      </c>
      <c r="O88" s="12">
        <f t="shared" si="10"/>
        <v>0</v>
      </c>
      <c r="P88" s="40" t="e">
        <f ca="1">SUMIFS(positions!H:H,positions!B:B,$E$2,positions!D:D,'CLIENT (2)'!C88)*F88%*$R$3</f>
        <v>#NAME?</v>
      </c>
      <c r="Q88" s="40">
        <f>SUMIFS(positions!H:H,positions!B:B,$E$2,positions!D:D,'CLIENT (2)'!C88)*F88%</f>
        <v>0</v>
      </c>
      <c r="R88" s="40" t="e">
        <f ca="1">F88*I88/IF(M88="RUB",0.001,_xll.BDP( CONCATENATE("RUB",UPPER(M88)," Curncy"), "PX_LAST"))/IF(M88="GBp",100,1)*0.01</f>
        <v>#NAME?</v>
      </c>
      <c r="S88" s="40" t="e">
        <f ca="1">F88*I88/IF(M88="USD",1,_xll.BDP( CONCATENATE("USD",UPPER(M88)," Curncy"), "PX_LAST"))/IF(M88="GBp",100,1)*IF(M88="RUB",10,0.01)</f>
        <v>#NAME?</v>
      </c>
      <c r="T88" s="40" t="e">
        <f t="shared" ca="1" si="7"/>
        <v>#NAME?</v>
      </c>
      <c r="U88" s="40" t="e">
        <f t="shared" ca="1" si="7"/>
        <v>#NAME?</v>
      </c>
      <c r="V88" s="41" t="e">
        <f ca="1">IF( OR(  _xll.BDP($D88,"EQY_DVD_YLD_EST")="#N/A Field Not Applicable", _xll.BDP($D88,"EQY_DVD_YLD_EST")="#N/A N/A"),IF(   OR(  _xll.BDP(D88,"YLD_CNV_MID")="#N/A Field Not Applicable", _xll.BDP(D88,"YLD_CNV_MID")="#N/A N/A"), 0,_xll.BDP(D88,"YLD_CNV_MID")),_xll.BDP($D88,"EQY_DVD_YLD_EST"))</f>
        <v>#NAME?</v>
      </c>
      <c r="W88" s="40" t="e">
        <f ca="1">F88*IF(_xll.BDP(D88,"PX_DIRTY_MID")="#N/A N/A",100,_xll.BDP(D88,"PX_DIRTY_MID"))/IF(M88="USD",1,_xll.BDP( CONCATENATE("USD",UPPER(M88)," Curncy"), "PX_LAST"))/IF(M88="GBp",100,1)*IF(M88="RUB",10,0.01)</f>
        <v>#NAME?</v>
      </c>
      <c r="X88" s="54" t="e">
        <f ca="1">IF(  OR(   _xll.BDP($D88,"NXT_CPN_DT")="#N/A N/A", _xll.BDP($D88,"NXT_CPN_DT")="#N/A Field Not Applicable"),"",_xll.BDP($D88,"NXT_CPN_DT"))</f>
        <v>#NAME?</v>
      </c>
      <c r="Y88" s="55"/>
    </row>
    <row r="89" spans="1:25" s="62" customFormat="1" ht="15" customHeight="1" x14ac:dyDescent="0.25">
      <c r="B89" s="43" t="str">
        <f>IF(LEFT(C89,2) = "RU", VLOOKUP(C89,MICEX!$A$2:$D$1554,4,FALSE),VLOOKUP(C89,Instruments!B:C,2,FALSE))</f>
        <v>Bonds of TMK CAPITAL S.A., 6.75%, 03/04/2020, XS0911599701</v>
      </c>
      <c r="C89" s="43" t="str">
        <f>VLOOKUP(D89,Securities!B:C,2,FALSE)</f>
        <v>XS0911599701</v>
      </c>
      <c r="D89" s="64" t="s">
        <v>6679</v>
      </c>
      <c r="E89" s="12" t="e">
        <f t="shared" ca="1" si="8"/>
        <v>#NAME?</v>
      </c>
      <c r="F89" s="40">
        <f>SUMIFS(positions!$E:$E,positions!$D:$D,C89,positions!B:B,'CLIENT (2)'!$E$2)</f>
        <v>0</v>
      </c>
      <c r="G89" s="40">
        <f t="shared" si="6"/>
        <v>0</v>
      </c>
      <c r="H89" s="53" t="e">
        <f ca="1">IF(M89="RUB",SUMIFS(positions!G:G,positions!B:B,'CLIENT (2)'!$E$2,positions!D:D,'CLIENT (2)'!C89),SUMIFS(positions!H:H,positions!B:B,'CLIENT (2)'!$E$2,positions!D:D,'CLIENT (2)'!C89))</f>
        <v>#NAME?</v>
      </c>
      <c r="I89" s="51" t="e">
        <f ca="1">IF(_xll.BDP(D89,"PX_LAST")="#N/A N/A",100,_xll.BDP(D89,"PX_LAST"))</f>
        <v>#NAME?</v>
      </c>
      <c r="J89" s="14" t="e">
        <f ca="1">IF( _xll.BDP($D89,"DUR_MID") = "#N/A N/A", 0,  _xll.BDP($D89,"DUR_MID") )</f>
        <v>#NAME?</v>
      </c>
      <c r="K89" s="12" t="e">
        <f ca="1">IF( OR( _xll.BDP($D89,"YLD_CNV_MID")="#N/A Field Not Applicable",_xll.BDP($D89,"YLD_CNV_MID")= "#N/A N/A"), 0, _xll.BDP($D89,"YLD_CNV_MID")/100)</f>
        <v>#NAME?</v>
      </c>
      <c r="L89" s="14"/>
      <c r="M89" s="16" t="e">
        <f ca="1">_xll.BDP(D89,"Currency")</f>
        <v>#NAME?</v>
      </c>
      <c r="N89" s="12" t="e">
        <f t="shared" ca="1" si="9"/>
        <v>#NAME?</v>
      </c>
      <c r="O89" s="12">
        <f t="shared" si="10"/>
        <v>0</v>
      </c>
      <c r="P89" s="40" t="e">
        <f ca="1">SUMIFS(positions!H:H,positions!B:B,$E$2,positions!D:D,'CLIENT (2)'!C89)*F89%*$R$3</f>
        <v>#NAME?</v>
      </c>
      <c r="Q89" s="40">
        <f>SUMIFS(positions!H:H,positions!B:B,$E$2,positions!D:D,'CLIENT (2)'!C89)*F89%</f>
        <v>0</v>
      </c>
      <c r="R89" s="40" t="e">
        <f ca="1">F89*I89/IF(M89="RUB",0.001,_xll.BDP( CONCATENATE("RUB",UPPER(M89)," Curncy"), "PX_LAST"))/IF(M89="GBp",100,1)*0.01</f>
        <v>#NAME?</v>
      </c>
      <c r="S89" s="40" t="e">
        <f ca="1">F89*I89/IF(M89="USD",1,_xll.BDP( CONCATENATE("USD",UPPER(M89)," Curncy"), "PX_LAST"))/IF(M89="GBp",100,1)*IF(M89="RUB",10,0.01)</f>
        <v>#NAME?</v>
      </c>
      <c r="T89" s="40" t="e">
        <f t="shared" ca="1" si="7"/>
        <v>#NAME?</v>
      </c>
      <c r="U89" s="40" t="e">
        <f t="shared" ca="1" si="7"/>
        <v>#NAME?</v>
      </c>
      <c r="V89" s="41" t="e">
        <f ca="1">IF( OR(  _xll.BDP($D89,"EQY_DVD_YLD_EST")="#N/A Field Not Applicable", _xll.BDP($D89,"EQY_DVD_YLD_EST")="#N/A N/A"),IF(   OR(  _xll.BDP(D89,"YLD_CNV_MID")="#N/A Field Not Applicable", _xll.BDP(D89,"YLD_CNV_MID")="#N/A N/A"), 0,_xll.BDP(D89,"YLD_CNV_MID")),_xll.BDP($D89,"EQY_DVD_YLD_EST"))</f>
        <v>#NAME?</v>
      </c>
      <c r="W89" s="40" t="e">
        <f ca="1">F89*IF(_xll.BDP(D89,"PX_DIRTY_MID")="#N/A N/A",100,_xll.BDP(D89,"PX_DIRTY_MID"))/IF(M89="USD",1,_xll.BDP( CONCATENATE("USD",UPPER(M89)," Curncy"), "PX_LAST"))/IF(M89="GBp",100,1)*IF(M89="RUB",10,0.01)</f>
        <v>#NAME?</v>
      </c>
      <c r="X89" s="54" t="e">
        <f ca="1">IF(  OR(   _xll.BDP($D89,"NXT_CPN_DT")="#N/A N/A", _xll.BDP($D89,"NXT_CPN_DT")="#N/A Field Not Applicable"),"",_xll.BDP($D89,"NXT_CPN_DT"))</f>
        <v>#NAME?</v>
      </c>
      <c r="Y89" s="55"/>
    </row>
    <row r="90" spans="1:25" s="62" customFormat="1" ht="15" hidden="1" customHeight="1" x14ac:dyDescent="0.25">
      <c r="B90" s="43"/>
      <c r="C90" s="43"/>
      <c r="D90" s="64"/>
      <c r="E90" s="12"/>
      <c r="F90" s="40"/>
      <c r="G90" s="40"/>
      <c r="H90" s="53"/>
      <c r="I90" s="51"/>
      <c r="J90" s="14"/>
      <c r="K90" s="12"/>
      <c r="L90" s="14"/>
      <c r="M90" s="16"/>
      <c r="N90" s="12"/>
      <c r="O90" s="12"/>
      <c r="P90" s="40"/>
      <c r="Q90" s="40"/>
      <c r="R90" s="40"/>
      <c r="S90" s="40"/>
      <c r="T90" s="40"/>
      <c r="U90" s="40"/>
      <c r="V90" s="41"/>
      <c r="W90" s="40"/>
      <c r="X90" s="54"/>
      <c r="Y90" s="55"/>
    </row>
    <row r="91" spans="1:25" s="62" customFormat="1" ht="15" hidden="1" customHeight="1" x14ac:dyDescent="0.25">
      <c r="B91" s="43"/>
      <c r="C91" s="43"/>
      <c r="D91" s="64"/>
      <c r="E91" s="12"/>
      <c r="F91" s="40"/>
      <c r="G91" s="40"/>
      <c r="H91" s="53"/>
      <c r="I91" s="51"/>
      <c r="J91" s="14"/>
      <c r="K91" s="12"/>
      <c r="L91" s="14"/>
      <c r="M91" s="16"/>
      <c r="N91" s="12"/>
      <c r="O91" s="12"/>
      <c r="P91" s="40"/>
      <c r="Q91" s="40"/>
      <c r="R91" s="40"/>
      <c r="S91" s="40"/>
      <c r="T91" s="40"/>
      <c r="U91" s="40"/>
      <c r="V91" s="41"/>
      <c r="W91" s="40"/>
      <c r="X91" s="54"/>
      <c r="Y91" s="55"/>
    </row>
    <row r="92" spans="1:25" s="62" customFormat="1" ht="15" hidden="1" customHeight="1" x14ac:dyDescent="0.25">
      <c r="B92" s="43"/>
      <c r="C92" s="43"/>
      <c r="D92" s="64"/>
      <c r="E92" s="12"/>
      <c r="F92" s="40"/>
      <c r="G92" s="40"/>
      <c r="H92" s="53"/>
      <c r="I92" s="51"/>
      <c r="J92" s="14"/>
      <c r="K92" s="12"/>
      <c r="L92" s="14"/>
      <c r="M92" s="16"/>
      <c r="N92" s="12"/>
      <c r="O92" s="12"/>
      <c r="P92" s="40"/>
      <c r="Q92" s="40"/>
      <c r="R92" s="40"/>
      <c r="S92" s="40"/>
      <c r="T92" s="40"/>
      <c r="U92" s="40"/>
      <c r="V92" s="41"/>
      <c r="W92" s="40"/>
      <c r="X92" s="54"/>
      <c r="Y92" s="55"/>
    </row>
    <row r="93" spans="1:25" s="62" customFormat="1" ht="15" hidden="1" customHeight="1" x14ac:dyDescent="0.25">
      <c r="B93" s="43"/>
      <c r="C93" s="43"/>
      <c r="D93" s="64"/>
      <c r="E93" s="12"/>
      <c r="F93" s="40"/>
      <c r="G93" s="40"/>
      <c r="H93" s="53"/>
      <c r="I93" s="51"/>
      <c r="J93" s="14"/>
      <c r="K93" s="12"/>
      <c r="L93" s="14"/>
      <c r="M93" s="16"/>
      <c r="N93" s="12"/>
      <c r="O93" s="12"/>
      <c r="P93" s="40"/>
      <c r="Q93" s="40"/>
      <c r="R93" s="40"/>
      <c r="S93" s="40"/>
      <c r="T93" s="40"/>
      <c r="U93" s="40"/>
      <c r="V93" s="41"/>
      <c r="W93" s="40"/>
      <c r="X93" s="54"/>
      <c r="Y93" s="55"/>
    </row>
    <row r="94" spans="1:25" s="62" customFormat="1" ht="15" hidden="1" customHeight="1" x14ac:dyDescent="0.25">
      <c r="B94" s="43"/>
      <c r="C94" s="43"/>
      <c r="D94" s="64"/>
      <c r="E94" s="12"/>
      <c r="F94" s="40"/>
      <c r="G94" s="40"/>
      <c r="H94" s="53"/>
      <c r="I94" s="51"/>
      <c r="J94" s="14"/>
      <c r="K94" s="12"/>
      <c r="L94" s="14"/>
      <c r="M94" s="16"/>
      <c r="N94" s="12"/>
      <c r="O94" s="12"/>
      <c r="P94" s="40"/>
      <c r="Q94" s="40"/>
      <c r="R94" s="40"/>
      <c r="S94" s="40"/>
      <c r="T94" s="40"/>
      <c r="U94" s="40"/>
      <c r="V94" s="41"/>
      <c r="W94" s="40"/>
      <c r="X94" s="54"/>
      <c r="Y94" s="55"/>
    </row>
    <row r="95" spans="1:25" s="17" customFormat="1" ht="15" hidden="1" customHeight="1" x14ac:dyDescent="0.25">
      <c r="B95" s="43"/>
      <c r="C95" s="43"/>
      <c r="D95" s="5"/>
      <c r="E95" s="12"/>
      <c r="F95" s="40"/>
      <c r="G95" s="40"/>
      <c r="H95" s="53"/>
      <c r="I95" s="51"/>
      <c r="J95" s="14"/>
      <c r="K95" s="12"/>
      <c r="L95" s="14"/>
      <c r="M95" s="16"/>
      <c r="N95" s="12"/>
      <c r="O95" s="12"/>
      <c r="P95" s="40"/>
      <c r="Q95" s="40"/>
      <c r="R95" s="40"/>
      <c r="S95" s="40"/>
      <c r="T95" s="40"/>
      <c r="U95" s="40"/>
      <c r="V95" s="41"/>
      <c r="W95" s="40"/>
      <c r="X95" s="54"/>
      <c r="Y95" s="55"/>
    </row>
    <row r="96" spans="1:25" s="17" customFormat="1" ht="15" hidden="1" customHeight="1" x14ac:dyDescent="0.25">
      <c r="B96" s="43"/>
      <c r="C96" s="43"/>
      <c r="D96" s="5"/>
      <c r="E96" s="12"/>
      <c r="F96" s="40"/>
      <c r="G96" s="40"/>
      <c r="H96" s="53"/>
      <c r="I96" s="51"/>
      <c r="J96" s="14"/>
      <c r="K96" s="12"/>
      <c r="L96" s="14"/>
      <c r="M96" s="16"/>
      <c r="N96" s="12"/>
      <c r="O96" s="12"/>
      <c r="P96" s="40"/>
      <c r="Q96" s="40"/>
      <c r="R96" s="40"/>
      <c r="S96" s="40"/>
      <c r="T96" s="40"/>
      <c r="U96" s="40"/>
      <c r="V96" s="41"/>
      <c r="W96" s="40"/>
      <c r="X96" s="54"/>
      <c r="Y96" s="55"/>
    </row>
    <row r="97" spans="2:25" s="17" customFormat="1" ht="15" hidden="1" customHeight="1" x14ac:dyDescent="0.25">
      <c r="B97" s="43"/>
      <c r="C97" s="43"/>
      <c r="D97" s="52"/>
      <c r="E97" s="12"/>
      <c r="F97" s="40"/>
      <c r="G97" s="40"/>
      <c r="H97" s="53"/>
      <c r="I97" s="51"/>
      <c r="J97" s="14"/>
      <c r="K97" s="12"/>
      <c r="L97" s="14"/>
      <c r="M97" s="16"/>
      <c r="N97" s="12"/>
      <c r="O97" s="12"/>
      <c r="P97" s="40"/>
      <c r="Q97" s="40"/>
      <c r="R97" s="40"/>
      <c r="S97" s="40"/>
      <c r="T97" s="40"/>
      <c r="U97" s="40"/>
      <c r="V97" s="41"/>
      <c r="W97" s="40"/>
      <c r="X97" s="54"/>
      <c r="Y97" s="55"/>
    </row>
    <row r="98" spans="2:25" s="17" customFormat="1" ht="15" hidden="1" customHeight="1" x14ac:dyDescent="0.25">
      <c r="B98" s="43"/>
      <c r="C98" s="43"/>
      <c r="D98" s="52"/>
      <c r="E98" s="12"/>
      <c r="F98" s="40"/>
      <c r="G98" s="40"/>
      <c r="H98" s="53"/>
      <c r="I98" s="51"/>
      <c r="J98" s="14"/>
      <c r="K98" s="12"/>
      <c r="L98" s="14"/>
      <c r="M98" s="16"/>
      <c r="N98" s="12"/>
      <c r="O98" s="12"/>
      <c r="P98" s="40"/>
      <c r="Q98" s="40"/>
      <c r="R98" s="40"/>
      <c r="S98" s="40"/>
      <c r="T98" s="40"/>
      <c r="U98" s="40"/>
      <c r="V98" s="41"/>
      <c r="W98" s="40"/>
      <c r="X98" s="54"/>
      <c r="Y98" s="55"/>
    </row>
    <row r="99" spans="2:25" s="17" customFormat="1" ht="15" hidden="1" customHeight="1" x14ac:dyDescent="0.25">
      <c r="B99" s="43"/>
      <c r="C99" s="43"/>
      <c r="D99" s="52"/>
      <c r="E99" s="12"/>
      <c r="F99" s="40"/>
      <c r="G99" s="40"/>
      <c r="H99" s="53"/>
      <c r="I99" s="51"/>
      <c r="J99" s="14"/>
      <c r="K99" s="12"/>
      <c r="L99" s="14"/>
      <c r="M99" s="16"/>
      <c r="N99" s="12"/>
      <c r="O99" s="12"/>
      <c r="P99" s="40"/>
      <c r="Q99" s="40"/>
      <c r="R99" s="40"/>
      <c r="S99" s="40"/>
      <c r="T99" s="40"/>
      <c r="U99" s="40"/>
      <c r="V99" s="41"/>
      <c r="W99" s="40"/>
      <c r="X99" s="54"/>
      <c r="Y99" s="55"/>
    </row>
    <row r="100" spans="2:25" s="17" customFormat="1" ht="15" hidden="1" customHeight="1" x14ac:dyDescent="0.25">
      <c r="B100" s="43"/>
      <c r="C100" s="43"/>
      <c r="D100" s="52"/>
      <c r="E100" s="12"/>
      <c r="F100" s="40"/>
      <c r="G100" s="40"/>
      <c r="H100" s="53"/>
      <c r="I100" s="51"/>
      <c r="J100" s="14"/>
      <c r="K100" s="12"/>
      <c r="L100" s="14"/>
      <c r="M100" s="16"/>
      <c r="N100" s="12"/>
      <c r="O100" s="12"/>
      <c r="P100" s="40"/>
      <c r="Q100" s="40"/>
      <c r="R100" s="40"/>
      <c r="S100" s="40"/>
      <c r="T100" s="40"/>
      <c r="U100" s="40"/>
      <c r="V100" s="41"/>
      <c r="W100" s="40"/>
      <c r="X100" s="54"/>
      <c r="Y100" s="55"/>
    </row>
    <row r="101" spans="2:25" s="17" customFormat="1" ht="15" hidden="1" customHeight="1" x14ac:dyDescent="0.25">
      <c r="B101" s="43"/>
      <c r="C101" s="43"/>
      <c r="D101" s="52"/>
      <c r="E101" s="12"/>
      <c r="F101" s="40"/>
      <c r="G101" s="40"/>
      <c r="H101" s="53"/>
      <c r="I101" s="51"/>
      <c r="J101" s="14"/>
      <c r="K101" s="12"/>
      <c r="L101" s="14"/>
      <c r="M101" s="16"/>
      <c r="N101" s="12"/>
      <c r="O101" s="12"/>
      <c r="P101" s="40"/>
      <c r="Q101" s="40"/>
      <c r="R101" s="40"/>
      <c r="S101" s="40"/>
      <c r="T101" s="40"/>
      <c r="U101" s="40"/>
      <c r="V101" s="41"/>
      <c r="W101" s="40"/>
      <c r="X101" s="54"/>
      <c r="Y101" s="55"/>
    </row>
    <row r="102" spans="2:25" s="17" customFormat="1" ht="15" hidden="1" customHeight="1" x14ac:dyDescent="0.25">
      <c r="B102" s="43"/>
      <c r="C102" s="43"/>
      <c r="D102" s="52"/>
      <c r="E102" s="12"/>
      <c r="F102" s="40"/>
      <c r="G102" s="40"/>
      <c r="H102" s="53"/>
      <c r="I102" s="51"/>
      <c r="J102" s="14"/>
      <c r="K102" s="12"/>
      <c r="L102" s="14"/>
      <c r="M102" s="16"/>
      <c r="N102" s="12"/>
      <c r="O102" s="12"/>
      <c r="P102" s="40"/>
      <c r="Q102" s="40"/>
      <c r="R102" s="40"/>
      <c r="S102" s="40"/>
      <c r="T102" s="40"/>
      <c r="U102" s="40"/>
      <c r="V102" s="41"/>
      <c r="W102" s="40"/>
      <c r="X102" s="54"/>
      <c r="Y102" s="55"/>
    </row>
    <row r="103" spans="2:25" s="17" customFormat="1" ht="15" hidden="1" customHeight="1" x14ac:dyDescent="0.25">
      <c r="B103" s="43"/>
      <c r="C103" s="43"/>
      <c r="D103" s="5"/>
      <c r="E103" s="12"/>
      <c r="F103" s="40"/>
      <c r="G103" s="40"/>
      <c r="H103" s="53"/>
      <c r="I103" s="51"/>
      <c r="J103" s="14"/>
      <c r="K103" s="12"/>
      <c r="L103" s="14"/>
      <c r="M103" s="16"/>
      <c r="N103" s="12"/>
      <c r="O103" s="12"/>
      <c r="P103" s="40"/>
      <c r="Q103" s="40"/>
      <c r="R103" s="40"/>
      <c r="S103" s="40"/>
      <c r="T103" s="40"/>
      <c r="U103" s="40"/>
      <c r="V103" s="41"/>
      <c r="W103" s="40"/>
      <c r="X103" s="54"/>
      <c r="Y103" s="55"/>
    </row>
    <row r="104" spans="2:25" s="17" customFormat="1" ht="15" hidden="1" customHeight="1" x14ac:dyDescent="0.25">
      <c r="B104" s="43"/>
      <c r="C104" s="43"/>
      <c r="D104" s="5"/>
      <c r="E104" s="12"/>
      <c r="F104" s="40"/>
      <c r="G104" s="40"/>
      <c r="H104" s="53"/>
      <c r="I104" s="51"/>
      <c r="J104" s="14"/>
      <c r="K104" s="12"/>
      <c r="L104" s="14"/>
      <c r="M104" s="16"/>
      <c r="N104" s="12"/>
      <c r="O104" s="12"/>
      <c r="P104" s="40"/>
      <c r="Q104" s="40"/>
      <c r="R104" s="40"/>
      <c r="S104" s="40"/>
      <c r="T104" s="40"/>
      <c r="U104" s="40"/>
      <c r="V104" s="41"/>
      <c r="W104" s="40"/>
      <c r="X104" s="54"/>
      <c r="Y104" s="55"/>
    </row>
    <row r="105" spans="2:25" s="17" customFormat="1" ht="15" hidden="1" customHeight="1" x14ac:dyDescent="0.25">
      <c r="B105" s="43"/>
      <c r="C105" s="43"/>
      <c r="D105" s="52"/>
      <c r="E105" s="12"/>
      <c r="F105" s="40"/>
      <c r="G105" s="40"/>
      <c r="H105" s="53"/>
      <c r="I105" s="51"/>
      <c r="J105" s="14"/>
      <c r="K105" s="12"/>
      <c r="L105" s="14"/>
      <c r="M105" s="16"/>
      <c r="N105" s="12"/>
      <c r="O105" s="12"/>
      <c r="P105" s="40"/>
      <c r="Q105" s="40"/>
      <c r="R105" s="40"/>
      <c r="S105" s="40"/>
      <c r="T105" s="40"/>
      <c r="U105" s="40"/>
      <c r="V105" s="41"/>
      <c r="W105" s="40"/>
      <c r="X105" s="54"/>
      <c r="Y105" s="55"/>
    </row>
    <row r="106" spans="2:25" s="17" customFormat="1" ht="15" hidden="1" customHeight="1" x14ac:dyDescent="0.25">
      <c r="B106" s="43"/>
      <c r="C106" s="43"/>
      <c r="D106" s="52"/>
      <c r="E106" s="12"/>
      <c r="F106" s="40"/>
      <c r="G106" s="40"/>
      <c r="H106" s="53"/>
      <c r="I106" s="51"/>
      <c r="J106" s="14"/>
      <c r="K106" s="12"/>
      <c r="L106" s="14"/>
      <c r="M106" s="16"/>
      <c r="N106" s="12"/>
      <c r="O106" s="12"/>
      <c r="P106" s="40"/>
      <c r="Q106" s="40"/>
      <c r="R106" s="40"/>
      <c r="S106" s="40"/>
      <c r="T106" s="40"/>
      <c r="U106" s="40"/>
      <c r="V106" s="41"/>
      <c r="W106" s="40"/>
      <c r="X106" s="54"/>
      <c r="Y106" s="55"/>
    </row>
    <row r="107" spans="2:25" s="17" customFormat="1" ht="15" hidden="1" customHeight="1" x14ac:dyDescent="0.25">
      <c r="B107" s="43"/>
      <c r="C107" s="43"/>
      <c r="D107" s="52"/>
      <c r="E107" s="12"/>
      <c r="F107" s="40"/>
      <c r="G107" s="40"/>
      <c r="H107" s="53"/>
      <c r="I107" s="51"/>
      <c r="J107" s="14"/>
      <c r="K107" s="12"/>
      <c r="L107" s="14"/>
      <c r="M107" s="16"/>
      <c r="N107" s="12"/>
      <c r="O107" s="12"/>
      <c r="P107" s="40"/>
      <c r="Q107" s="40"/>
      <c r="R107" s="40"/>
      <c r="S107" s="40"/>
      <c r="T107" s="40"/>
      <c r="U107" s="40"/>
      <c r="V107" s="41"/>
      <c r="W107" s="40"/>
      <c r="X107" s="54"/>
      <c r="Y107" s="55"/>
    </row>
    <row r="108" spans="2:25" s="17" customFormat="1" ht="15" hidden="1" customHeight="1" x14ac:dyDescent="0.25">
      <c r="B108" s="43"/>
      <c r="C108" s="43"/>
      <c r="D108" s="52"/>
      <c r="E108" s="12"/>
      <c r="F108" s="40"/>
      <c r="G108" s="40"/>
      <c r="H108" s="53"/>
      <c r="I108" s="51"/>
      <c r="J108" s="14"/>
      <c r="K108" s="12"/>
      <c r="L108" s="14"/>
      <c r="M108" s="16"/>
      <c r="N108" s="12"/>
      <c r="O108" s="12"/>
      <c r="P108" s="40"/>
      <c r="Q108" s="40"/>
      <c r="R108" s="40"/>
      <c r="S108" s="40"/>
      <c r="T108" s="40"/>
      <c r="U108" s="40"/>
      <c r="V108" s="41"/>
      <c r="W108" s="40"/>
      <c r="X108" s="54"/>
      <c r="Y108" s="55"/>
    </row>
    <row r="109" spans="2:25" s="17" customFormat="1" ht="15" hidden="1" customHeight="1" x14ac:dyDescent="0.25">
      <c r="B109" s="43"/>
      <c r="C109" s="43"/>
      <c r="D109" s="52"/>
      <c r="E109" s="12"/>
      <c r="F109" s="40"/>
      <c r="G109" s="40"/>
      <c r="H109" s="53"/>
      <c r="I109" s="51"/>
      <c r="J109" s="14"/>
      <c r="K109" s="12"/>
      <c r="L109" s="14"/>
      <c r="M109" s="16"/>
      <c r="N109" s="12"/>
      <c r="O109" s="12"/>
      <c r="P109" s="40"/>
      <c r="Q109" s="40"/>
      <c r="R109" s="40"/>
      <c r="S109" s="40"/>
      <c r="T109" s="40"/>
      <c r="U109" s="40"/>
      <c r="V109" s="41"/>
      <c r="W109" s="40"/>
      <c r="X109" s="54"/>
      <c r="Y109" s="55"/>
    </row>
    <row r="110" spans="2:25" s="17" customFormat="1" ht="15" hidden="1" customHeight="1" x14ac:dyDescent="0.25">
      <c r="B110" s="43"/>
      <c r="C110" s="43"/>
      <c r="D110" s="52"/>
      <c r="E110" s="12"/>
      <c r="F110" s="40"/>
      <c r="G110" s="40"/>
      <c r="H110" s="53"/>
      <c r="I110" s="51"/>
      <c r="J110" s="14"/>
      <c r="K110" s="12"/>
      <c r="L110" s="14"/>
      <c r="M110" s="16"/>
      <c r="N110" s="12"/>
      <c r="O110" s="12"/>
      <c r="P110" s="40"/>
      <c r="Q110" s="40"/>
      <c r="R110" s="40"/>
      <c r="S110" s="40"/>
      <c r="T110" s="40"/>
      <c r="U110" s="40"/>
      <c r="V110" s="41"/>
      <c r="W110" s="40"/>
      <c r="X110" s="54"/>
      <c r="Y110" s="55"/>
    </row>
    <row r="111" spans="2:25" s="17" customFormat="1" ht="15" hidden="1" customHeight="1" x14ac:dyDescent="0.25">
      <c r="B111" s="43"/>
      <c r="C111" s="43"/>
      <c r="D111" s="5"/>
      <c r="E111" s="12"/>
      <c r="F111" s="40"/>
      <c r="G111" s="40"/>
      <c r="H111" s="53"/>
      <c r="I111" s="51"/>
      <c r="J111" s="14"/>
      <c r="K111" s="12"/>
      <c r="L111" s="14"/>
      <c r="M111" s="16"/>
      <c r="N111" s="12"/>
      <c r="O111" s="12"/>
      <c r="P111" s="40"/>
      <c r="Q111" s="40"/>
      <c r="R111" s="40"/>
      <c r="S111" s="40"/>
      <c r="T111" s="40"/>
      <c r="U111" s="40"/>
      <c r="V111" s="41"/>
      <c r="W111" s="40"/>
      <c r="X111" s="54"/>
      <c r="Y111" s="55"/>
    </row>
    <row r="112" spans="2:25" s="17" customFormat="1" ht="15" hidden="1" customHeight="1" x14ac:dyDescent="0.25">
      <c r="B112" s="43"/>
      <c r="C112" s="43"/>
      <c r="D112" s="5"/>
      <c r="E112" s="12"/>
      <c r="F112" s="40"/>
      <c r="G112" s="40"/>
      <c r="H112" s="53"/>
      <c r="I112" s="51"/>
      <c r="J112" s="14"/>
      <c r="K112" s="12"/>
      <c r="L112" s="14"/>
      <c r="M112" s="16"/>
      <c r="N112" s="12"/>
      <c r="O112" s="12"/>
      <c r="P112" s="40"/>
      <c r="Q112" s="40"/>
      <c r="R112" s="40"/>
      <c r="S112" s="40"/>
      <c r="T112" s="40"/>
      <c r="U112" s="40"/>
      <c r="V112" s="41"/>
      <c r="W112" s="40"/>
      <c r="X112" s="54"/>
      <c r="Y112" s="55"/>
    </row>
    <row r="113" spans="2:25" s="17" customFormat="1" ht="15" hidden="1" customHeight="1" x14ac:dyDescent="0.25">
      <c r="B113" s="43"/>
      <c r="C113" s="43"/>
      <c r="D113" s="52"/>
      <c r="E113" s="12"/>
      <c r="F113" s="40"/>
      <c r="G113" s="40"/>
      <c r="H113" s="53"/>
      <c r="I113" s="51"/>
      <c r="J113" s="14"/>
      <c r="K113" s="12"/>
      <c r="L113" s="14"/>
      <c r="M113" s="16"/>
      <c r="N113" s="12"/>
      <c r="O113" s="12"/>
      <c r="P113" s="40"/>
      <c r="Q113" s="40"/>
      <c r="R113" s="40"/>
      <c r="S113" s="40"/>
      <c r="T113" s="40"/>
      <c r="U113" s="40"/>
      <c r="V113" s="41"/>
      <c r="W113" s="40"/>
      <c r="X113" s="54"/>
      <c r="Y113" s="55"/>
    </row>
    <row r="114" spans="2:25" s="17" customFormat="1" ht="15" hidden="1" customHeight="1" x14ac:dyDescent="0.25">
      <c r="B114" s="43"/>
      <c r="C114" s="43"/>
      <c r="D114" s="52"/>
      <c r="E114" s="12"/>
      <c r="F114" s="40"/>
      <c r="G114" s="40"/>
      <c r="H114" s="53"/>
      <c r="I114" s="51"/>
      <c r="J114" s="14"/>
      <c r="K114" s="12"/>
      <c r="L114" s="14"/>
      <c r="M114" s="16"/>
      <c r="N114" s="12"/>
      <c r="O114" s="12"/>
      <c r="P114" s="40"/>
      <c r="Q114" s="40"/>
      <c r="R114" s="40"/>
      <c r="S114" s="40"/>
      <c r="T114" s="40"/>
      <c r="U114" s="40"/>
      <c r="V114" s="41"/>
      <c r="W114" s="40"/>
      <c r="X114" s="54"/>
      <c r="Y114" s="55"/>
    </row>
    <row r="115" spans="2:25" s="17" customFormat="1" ht="15" hidden="1" customHeight="1" x14ac:dyDescent="0.25">
      <c r="B115" s="43"/>
      <c r="C115" s="43"/>
      <c r="D115" s="52"/>
      <c r="E115" s="12"/>
      <c r="F115" s="40"/>
      <c r="G115" s="40"/>
      <c r="H115" s="53"/>
      <c r="I115" s="51"/>
      <c r="J115" s="14"/>
      <c r="K115" s="12"/>
      <c r="L115" s="14"/>
      <c r="M115" s="16"/>
      <c r="N115" s="12"/>
      <c r="O115" s="12"/>
      <c r="P115" s="40"/>
      <c r="Q115" s="40"/>
      <c r="R115" s="40"/>
      <c r="S115" s="40"/>
      <c r="T115" s="40"/>
      <c r="U115" s="40"/>
      <c r="V115" s="41"/>
      <c r="W115" s="40"/>
      <c r="X115" s="54"/>
      <c r="Y115" s="55"/>
    </row>
    <row r="116" spans="2:25" s="17" customFormat="1" ht="15" hidden="1" customHeight="1" x14ac:dyDescent="0.25">
      <c r="B116" s="43"/>
      <c r="C116" s="43"/>
      <c r="D116" s="52"/>
      <c r="E116" s="12"/>
      <c r="F116" s="40"/>
      <c r="G116" s="40"/>
      <c r="H116" s="53"/>
      <c r="I116" s="51"/>
      <c r="J116" s="14"/>
      <c r="K116" s="12"/>
      <c r="L116" s="14"/>
      <c r="M116" s="16"/>
      <c r="N116" s="12"/>
      <c r="O116" s="12"/>
      <c r="P116" s="40"/>
      <c r="Q116" s="40"/>
      <c r="R116" s="40"/>
      <c r="S116" s="40"/>
      <c r="T116" s="40"/>
      <c r="U116" s="40"/>
      <c r="V116" s="41"/>
      <c r="W116" s="40"/>
      <c r="X116" s="54"/>
      <c r="Y116" s="55"/>
    </row>
    <row r="117" spans="2:25" s="17" customFormat="1" ht="15" hidden="1" customHeight="1" x14ac:dyDescent="0.25">
      <c r="B117" s="43"/>
      <c r="C117" s="43"/>
      <c r="D117" s="52"/>
      <c r="E117" s="12"/>
      <c r="F117" s="40"/>
      <c r="G117" s="40"/>
      <c r="H117" s="53"/>
      <c r="I117" s="51"/>
      <c r="J117" s="14"/>
      <c r="K117" s="12"/>
      <c r="L117" s="14"/>
      <c r="M117" s="16"/>
      <c r="N117" s="12"/>
      <c r="O117" s="12"/>
      <c r="P117" s="40"/>
      <c r="Q117" s="40"/>
      <c r="R117" s="40"/>
      <c r="S117" s="40"/>
      <c r="T117" s="40"/>
      <c r="U117" s="40"/>
      <c r="V117" s="41"/>
      <c r="W117" s="40"/>
      <c r="X117" s="54"/>
      <c r="Y117" s="55"/>
    </row>
    <row r="118" spans="2:25" s="17" customFormat="1" ht="15" hidden="1" customHeight="1" x14ac:dyDescent="0.25">
      <c r="B118" s="43"/>
      <c r="C118" s="43"/>
      <c r="D118" s="52"/>
      <c r="E118" s="12"/>
      <c r="F118" s="40"/>
      <c r="G118" s="40"/>
      <c r="H118" s="53"/>
      <c r="I118" s="51"/>
      <c r="J118" s="14"/>
      <c r="K118" s="12"/>
      <c r="L118" s="14"/>
      <c r="M118" s="16"/>
      <c r="N118" s="12"/>
      <c r="O118" s="12"/>
      <c r="P118" s="40"/>
      <c r="Q118" s="40"/>
      <c r="R118" s="40"/>
      <c r="S118" s="40"/>
      <c r="T118" s="40"/>
      <c r="U118" s="40"/>
      <c r="V118" s="41"/>
      <c r="W118" s="40"/>
      <c r="X118" s="54"/>
      <c r="Y118" s="55"/>
    </row>
    <row r="119" spans="2:25" s="17" customFormat="1" ht="15" hidden="1" customHeight="1" x14ac:dyDescent="0.25">
      <c r="B119" s="43"/>
      <c r="C119" s="43"/>
      <c r="D119" s="5"/>
      <c r="E119" s="12"/>
      <c r="F119" s="40"/>
      <c r="G119" s="40"/>
      <c r="H119" s="53"/>
      <c r="I119" s="51"/>
      <c r="J119" s="14"/>
      <c r="K119" s="12"/>
      <c r="L119" s="14"/>
      <c r="M119" s="16"/>
      <c r="N119" s="12"/>
      <c r="O119" s="12"/>
      <c r="P119" s="40"/>
      <c r="Q119" s="40"/>
      <c r="R119" s="40"/>
      <c r="S119" s="40"/>
      <c r="T119" s="40"/>
      <c r="U119" s="40"/>
      <c r="V119" s="41"/>
      <c r="W119" s="40"/>
      <c r="X119" s="54"/>
      <c r="Y119" s="55"/>
    </row>
    <row r="120" spans="2:25" s="17" customFormat="1" ht="15" hidden="1" customHeight="1" x14ac:dyDescent="0.25">
      <c r="B120" s="43"/>
      <c r="C120" s="43"/>
      <c r="D120" s="5"/>
      <c r="E120" s="12"/>
      <c r="F120" s="40"/>
      <c r="G120" s="40"/>
      <c r="H120" s="53"/>
      <c r="I120" s="51"/>
      <c r="J120" s="14"/>
      <c r="K120" s="12"/>
      <c r="L120" s="14"/>
      <c r="M120" s="16"/>
      <c r="N120" s="12"/>
      <c r="O120" s="12"/>
      <c r="P120" s="40"/>
      <c r="Q120" s="40"/>
      <c r="R120" s="40"/>
      <c r="S120" s="40"/>
      <c r="T120" s="40"/>
      <c r="U120" s="40"/>
      <c r="V120" s="41"/>
      <c r="W120" s="40"/>
      <c r="X120" s="54"/>
      <c r="Y120" s="55"/>
    </row>
    <row r="121" spans="2:25" s="17" customFormat="1" ht="15" hidden="1" customHeight="1" x14ac:dyDescent="0.25">
      <c r="B121" s="43"/>
      <c r="C121" s="43"/>
      <c r="D121" s="52"/>
      <c r="E121" s="12"/>
      <c r="F121" s="40"/>
      <c r="G121" s="40"/>
      <c r="H121" s="53"/>
      <c r="I121" s="51"/>
      <c r="J121" s="14"/>
      <c r="K121" s="12"/>
      <c r="L121" s="14"/>
      <c r="M121" s="16"/>
      <c r="N121" s="12"/>
      <c r="O121" s="12"/>
      <c r="P121" s="40"/>
      <c r="Q121" s="40"/>
      <c r="R121" s="40"/>
      <c r="S121" s="40"/>
      <c r="T121" s="40"/>
      <c r="U121" s="40"/>
      <c r="V121" s="41"/>
      <c r="W121" s="40"/>
      <c r="X121" s="54"/>
      <c r="Y121" s="55"/>
    </row>
    <row r="122" spans="2:25" s="17" customFormat="1" ht="15" hidden="1" customHeight="1" x14ac:dyDescent="0.25">
      <c r="B122" s="43"/>
      <c r="C122" s="43"/>
      <c r="D122" s="52"/>
      <c r="E122" s="12"/>
      <c r="F122" s="40"/>
      <c r="G122" s="40"/>
      <c r="H122" s="53"/>
      <c r="I122" s="51"/>
      <c r="J122" s="14"/>
      <c r="K122" s="12"/>
      <c r="L122" s="14"/>
      <c r="M122" s="16"/>
      <c r="N122" s="12"/>
      <c r="O122" s="12"/>
      <c r="P122" s="40"/>
      <c r="Q122" s="40"/>
      <c r="R122" s="40"/>
      <c r="S122" s="40"/>
      <c r="T122" s="40"/>
      <c r="U122" s="40"/>
      <c r="V122" s="41"/>
      <c r="W122" s="40"/>
      <c r="X122" s="54"/>
      <c r="Y122" s="55"/>
    </row>
    <row r="123" spans="2:25" s="17" customFormat="1" ht="15" hidden="1" customHeight="1" x14ac:dyDescent="0.25">
      <c r="B123" s="43"/>
      <c r="C123" s="43"/>
      <c r="D123" s="52"/>
      <c r="E123" s="12"/>
      <c r="F123" s="40"/>
      <c r="G123" s="40"/>
      <c r="H123" s="53"/>
      <c r="I123" s="51"/>
      <c r="J123" s="14"/>
      <c r="K123" s="12"/>
      <c r="L123" s="14"/>
      <c r="M123" s="16"/>
      <c r="N123" s="12"/>
      <c r="O123" s="12"/>
      <c r="P123" s="40"/>
      <c r="Q123" s="40"/>
      <c r="R123" s="40"/>
      <c r="S123" s="40"/>
      <c r="T123" s="40"/>
      <c r="U123" s="40"/>
      <c r="V123" s="41"/>
      <c r="W123" s="40"/>
      <c r="X123" s="54"/>
      <c r="Y123" s="55"/>
    </row>
    <row r="124" spans="2:25" s="17" customFormat="1" ht="15" hidden="1" customHeight="1" x14ac:dyDescent="0.25">
      <c r="B124" s="43"/>
      <c r="C124" s="43"/>
      <c r="D124" s="52"/>
      <c r="E124" s="12"/>
      <c r="F124" s="40"/>
      <c r="G124" s="40"/>
      <c r="H124" s="53"/>
      <c r="I124" s="51"/>
      <c r="J124" s="14"/>
      <c r="K124" s="12"/>
      <c r="L124" s="14"/>
      <c r="M124" s="16"/>
      <c r="N124" s="12"/>
      <c r="O124" s="12"/>
      <c r="P124" s="40"/>
      <c r="Q124" s="40"/>
      <c r="R124" s="40"/>
      <c r="S124" s="40"/>
      <c r="T124" s="40"/>
      <c r="U124" s="40"/>
      <c r="V124" s="41"/>
      <c r="W124" s="40"/>
      <c r="X124" s="54"/>
      <c r="Y124" s="55"/>
    </row>
    <row r="125" spans="2:25" s="17" customFormat="1" ht="15" hidden="1" customHeight="1" x14ac:dyDescent="0.25">
      <c r="B125" s="43"/>
      <c r="C125" s="43"/>
      <c r="D125" s="52"/>
      <c r="E125" s="12"/>
      <c r="F125" s="40"/>
      <c r="G125" s="40"/>
      <c r="H125" s="53"/>
      <c r="I125" s="51"/>
      <c r="J125" s="14"/>
      <c r="K125" s="12"/>
      <c r="L125" s="14"/>
      <c r="M125" s="16"/>
      <c r="N125" s="12"/>
      <c r="O125" s="12"/>
      <c r="P125" s="40"/>
      <c r="Q125" s="40"/>
      <c r="R125" s="40"/>
      <c r="S125" s="40"/>
      <c r="T125" s="40"/>
      <c r="U125" s="40"/>
      <c r="V125" s="41"/>
      <c r="W125" s="40"/>
      <c r="X125" s="54"/>
      <c r="Y125" s="55"/>
    </row>
    <row r="126" spans="2:25" s="17" customFormat="1" ht="15" hidden="1" customHeight="1" x14ac:dyDescent="0.25">
      <c r="B126" s="43"/>
      <c r="C126" s="43"/>
      <c r="D126" s="52"/>
      <c r="E126" s="12"/>
      <c r="F126" s="40"/>
      <c r="G126" s="40"/>
      <c r="H126" s="53"/>
      <c r="I126" s="51"/>
      <c r="J126" s="14"/>
      <c r="K126" s="12"/>
      <c r="L126" s="14"/>
      <c r="M126" s="16"/>
      <c r="N126" s="12"/>
      <c r="O126" s="12"/>
      <c r="P126" s="40"/>
      <c r="Q126" s="40"/>
      <c r="R126" s="40"/>
      <c r="S126" s="40"/>
      <c r="T126" s="40"/>
      <c r="U126" s="40"/>
      <c r="V126" s="41"/>
      <c r="W126" s="40"/>
      <c r="X126" s="54"/>
      <c r="Y126" s="55"/>
    </row>
    <row r="127" spans="2:25" s="17" customFormat="1" ht="15" hidden="1" customHeight="1" x14ac:dyDescent="0.25">
      <c r="B127" s="43"/>
      <c r="C127" s="43"/>
      <c r="D127" s="5"/>
      <c r="E127" s="12"/>
      <c r="F127" s="40"/>
      <c r="G127" s="40"/>
      <c r="H127" s="53"/>
      <c r="I127" s="51"/>
      <c r="J127" s="14"/>
      <c r="K127" s="12"/>
      <c r="L127" s="14"/>
      <c r="M127" s="16"/>
      <c r="N127" s="12"/>
      <c r="O127" s="12"/>
      <c r="P127" s="40"/>
      <c r="Q127" s="40"/>
      <c r="R127" s="40"/>
      <c r="S127" s="40"/>
      <c r="T127" s="40"/>
      <c r="U127" s="40"/>
      <c r="V127" s="41"/>
      <c r="W127" s="40"/>
      <c r="X127" s="54"/>
      <c r="Y127" s="55"/>
    </row>
    <row r="128" spans="2:25" s="17" customFormat="1" ht="15" hidden="1" customHeight="1" x14ac:dyDescent="0.25">
      <c r="B128" s="43"/>
      <c r="C128" s="43"/>
      <c r="D128" s="5"/>
      <c r="E128" s="12"/>
      <c r="F128" s="40"/>
      <c r="G128" s="40"/>
      <c r="H128" s="53"/>
      <c r="I128" s="51"/>
      <c r="J128" s="14"/>
      <c r="K128" s="12"/>
      <c r="L128" s="14"/>
      <c r="M128" s="16"/>
      <c r="N128" s="12"/>
      <c r="O128" s="12"/>
      <c r="P128" s="40"/>
      <c r="Q128" s="40"/>
      <c r="R128" s="40"/>
      <c r="S128" s="40"/>
      <c r="T128" s="40"/>
      <c r="U128" s="40"/>
      <c r="V128" s="41"/>
      <c r="W128" s="40"/>
      <c r="X128" s="54"/>
      <c r="Y128" s="55"/>
    </row>
    <row r="129" spans="2:25" s="17" customFormat="1" ht="15" hidden="1" customHeight="1" x14ac:dyDescent="0.25">
      <c r="B129" s="43"/>
      <c r="C129" s="43"/>
      <c r="D129" s="52"/>
      <c r="E129" s="12"/>
      <c r="F129" s="40"/>
      <c r="G129" s="40"/>
      <c r="H129" s="53"/>
      <c r="I129" s="51"/>
      <c r="J129" s="14"/>
      <c r="K129" s="12"/>
      <c r="L129" s="14"/>
      <c r="M129" s="16"/>
      <c r="N129" s="12"/>
      <c r="O129" s="12"/>
      <c r="P129" s="40"/>
      <c r="Q129" s="40"/>
      <c r="R129" s="40"/>
      <c r="S129" s="40"/>
      <c r="T129" s="40"/>
      <c r="U129" s="40"/>
      <c r="V129" s="41"/>
      <c r="W129" s="40"/>
      <c r="X129" s="54"/>
      <c r="Y129" s="55"/>
    </row>
    <row r="130" spans="2:25" s="17" customFormat="1" ht="15" hidden="1" customHeight="1" x14ac:dyDescent="0.25">
      <c r="B130" s="43"/>
      <c r="C130" s="43"/>
      <c r="D130" s="52"/>
      <c r="E130" s="12"/>
      <c r="F130" s="40"/>
      <c r="G130" s="40"/>
      <c r="H130" s="53"/>
      <c r="I130" s="51"/>
      <c r="J130" s="14"/>
      <c r="K130" s="12"/>
      <c r="L130" s="14"/>
      <c r="M130" s="16"/>
      <c r="N130" s="12"/>
      <c r="O130" s="12"/>
      <c r="P130" s="40"/>
      <c r="Q130" s="40"/>
      <c r="R130" s="40"/>
      <c r="S130" s="40"/>
      <c r="T130" s="40"/>
      <c r="U130" s="40"/>
      <c r="V130" s="41"/>
      <c r="W130" s="40"/>
      <c r="X130" s="54"/>
      <c r="Y130" s="55"/>
    </row>
    <row r="131" spans="2:25" s="17" customFormat="1" ht="15" hidden="1" customHeight="1" x14ac:dyDescent="0.25">
      <c r="B131" s="43"/>
      <c r="C131" s="43"/>
      <c r="D131" s="52"/>
      <c r="E131" s="12"/>
      <c r="F131" s="40"/>
      <c r="G131" s="40"/>
      <c r="H131" s="53"/>
      <c r="I131" s="51"/>
      <c r="J131" s="14"/>
      <c r="K131" s="12"/>
      <c r="L131" s="14"/>
      <c r="M131" s="16"/>
      <c r="N131" s="12"/>
      <c r="O131" s="12"/>
      <c r="P131" s="40"/>
      <c r="Q131" s="40"/>
      <c r="R131" s="40"/>
      <c r="S131" s="40"/>
      <c r="T131" s="40"/>
      <c r="U131" s="40"/>
      <c r="V131" s="41"/>
      <c r="W131" s="40"/>
      <c r="X131" s="54"/>
      <c r="Y131" s="55"/>
    </row>
    <row r="132" spans="2:25" s="17" customFormat="1" ht="15" hidden="1" customHeight="1" x14ac:dyDescent="0.25">
      <c r="B132" s="43"/>
      <c r="C132" s="43"/>
      <c r="D132" s="52"/>
      <c r="E132" s="12"/>
      <c r="F132" s="40"/>
      <c r="G132" s="40"/>
      <c r="H132" s="53"/>
      <c r="I132" s="51"/>
      <c r="J132" s="14"/>
      <c r="K132" s="12"/>
      <c r="L132" s="14"/>
      <c r="M132" s="16"/>
      <c r="N132" s="12"/>
      <c r="O132" s="12"/>
      <c r="P132" s="40"/>
      <c r="Q132" s="40"/>
      <c r="R132" s="40"/>
      <c r="S132" s="40"/>
      <c r="T132" s="40"/>
      <c r="U132" s="40"/>
      <c r="V132" s="41"/>
      <c r="W132" s="40"/>
      <c r="X132" s="54"/>
      <c r="Y132" s="55"/>
    </row>
    <row r="133" spans="2:25" s="17" customFormat="1" ht="15" hidden="1" customHeight="1" x14ac:dyDescent="0.25">
      <c r="B133" s="43"/>
      <c r="C133" s="43"/>
      <c r="D133" s="52"/>
      <c r="E133" s="12"/>
      <c r="F133" s="40"/>
      <c r="G133" s="40"/>
      <c r="H133" s="53"/>
      <c r="I133" s="51"/>
      <c r="J133" s="14"/>
      <c r="K133" s="12"/>
      <c r="L133" s="14"/>
      <c r="M133" s="16"/>
      <c r="N133" s="12"/>
      <c r="O133" s="12"/>
      <c r="P133" s="40"/>
      <c r="Q133" s="40"/>
      <c r="R133" s="40"/>
      <c r="S133" s="40"/>
      <c r="T133" s="40"/>
      <c r="U133" s="40"/>
      <c r="V133" s="41"/>
      <c r="W133" s="40"/>
      <c r="X133" s="54"/>
      <c r="Y133" s="55"/>
    </row>
    <row r="134" spans="2:25" s="17" customFormat="1" ht="15" hidden="1" customHeight="1" x14ac:dyDescent="0.25">
      <c r="B134" s="43"/>
      <c r="C134" s="43"/>
      <c r="D134" s="52"/>
      <c r="E134" s="12"/>
      <c r="F134" s="40"/>
      <c r="G134" s="40"/>
      <c r="H134" s="53"/>
      <c r="I134" s="51"/>
      <c r="J134" s="14"/>
      <c r="K134" s="12"/>
      <c r="L134" s="14"/>
      <c r="M134" s="16"/>
      <c r="N134" s="12"/>
      <c r="O134" s="12"/>
      <c r="P134" s="40"/>
      <c r="Q134" s="40"/>
      <c r="R134" s="40"/>
      <c r="S134" s="40"/>
      <c r="T134" s="40"/>
      <c r="U134" s="40"/>
      <c r="V134" s="41"/>
      <c r="W134" s="40"/>
      <c r="X134" s="54"/>
      <c r="Y134" s="55"/>
    </row>
    <row r="135" spans="2:25" s="17" customFormat="1" ht="15" hidden="1" customHeight="1" x14ac:dyDescent="0.25">
      <c r="B135" s="43"/>
      <c r="C135" s="43"/>
      <c r="D135" s="5"/>
      <c r="E135" s="12"/>
      <c r="F135" s="40"/>
      <c r="G135" s="40"/>
      <c r="H135" s="53"/>
      <c r="I135" s="51"/>
      <c r="J135" s="14"/>
      <c r="K135" s="12"/>
      <c r="L135" s="14"/>
      <c r="M135" s="16"/>
      <c r="N135" s="12"/>
      <c r="O135" s="12"/>
      <c r="P135" s="40"/>
      <c r="Q135" s="40"/>
      <c r="R135" s="40"/>
      <c r="S135" s="40"/>
      <c r="T135" s="40"/>
      <c r="U135" s="40"/>
      <c r="V135" s="41"/>
      <c r="W135" s="40"/>
      <c r="X135" s="54"/>
      <c r="Y135" s="55"/>
    </row>
    <row r="136" spans="2:25" s="17" customFormat="1" ht="15" hidden="1" customHeight="1" x14ac:dyDescent="0.25">
      <c r="B136" s="43"/>
      <c r="C136" s="43"/>
      <c r="D136" s="5"/>
      <c r="E136" s="12"/>
      <c r="F136" s="40"/>
      <c r="G136" s="40"/>
      <c r="H136" s="53"/>
      <c r="I136" s="51"/>
      <c r="J136" s="14"/>
      <c r="K136" s="12"/>
      <c r="L136" s="14"/>
      <c r="M136" s="16"/>
      <c r="N136" s="12"/>
      <c r="O136" s="12"/>
      <c r="P136" s="40"/>
      <c r="Q136" s="40"/>
      <c r="R136" s="40"/>
      <c r="S136" s="40"/>
      <c r="T136" s="40"/>
      <c r="U136" s="40"/>
      <c r="V136" s="41"/>
      <c r="W136" s="40"/>
      <c r="X136" s="54"/>
      <c r="Y136" s="55"/>
    </row>
    <row r="137" spans="2:25" s="17" customFormat="1" ht="15" hidden="1" customHeight="1" x14ac:dyDescent="0.25">
      <c r="B137" s="43"/>
      <c r="C137" s="43"/>
      <c r="D137" s="52"/>
      <c r="E137" s="12"/>
      <c r="F137" s="40"/>
      <c r="G137" s="40"/>
      <c r="H137" s="53"/>
      <c r="I137" s="51"/>
      <c r="J137" s="14"/>
      <c r="K137" s="12"/>
      <c r="L137" s="14"/>
      <c r="M137" s="16"/>
      <c r="N137" s="12"/>
      <c r="O137" s="12"/>
      <c r="P137" s="40"/>
      <c r="Q137" s="40"/>
      <c r="R137" s="40"/>
      <c r="S137" s="40"/>
      <c r="T137" s="40"/>
      <c r="U137" s="40"/>
      <c r="V137" s="41"/>
      <c r="W137" s="40"/>
      <c r="X137" s="54"/>
      <c r="Y137" s="55"/>
    </row>
    <row r="138" spans="2:25" s="17" customFormat="1" ht="15" hidden="1" customHeight="1" x14ac:dyDescent="0.25">
      <c r="B138" s="43"/>
      <c r="C138" s="43"/>
      <c r="D138" s="52"/>
      <c r="E138" s="12"/>
      <c r="F138" s="40"/>
      <c r="G138" s="40"/>
      <c r="H138" s="53"/>
      <c r="I138" s="51"/>
      <c r="J138" s="14"/>
      <c r="K138" s="12"/>
      <c r="L138" s="14"/>
      <c r="M138" s="16"/>
      <c r="N138" s="12"/>
      <c r="O138" s="12"/>
      <c r="P138" s="40"/>
      <c r="Q138" s="40"/>
      <c r="R138" s="40"/>
      <c r="S138" s="40"/>
      <c r="T138" s="40"/>
      <c r="U138" s="40"/>
      <c r="V138" s="41"/>
      <c r="W138" s="40"/>
      <c r="X138" s="54"/>
      <c r="Y138" s="55"/>
    </row>
    <row r="139" spans="2:25" s="17" customFormat="1" ht="15" hidden="1" customHeight="1" x14ac:dyDescent="0.25">
      <c r="B139" s="43"/>
      <c r="C139" s="43"/>
      <c r="D139" s="52"/>
      <c r="E139" s="12"/>
      <c r="F139" s="40"/>
      <c r="G139" s="40"/>
      <c r="H139" s="53"/>
      <c r="I139" s="51"/>
      <c r="J139" s="14"/>
      <c r="K139" s="12"/>
      <c r="L139" s="14"/>
      <c r="M139" s="16"/>
      <c r="N139" s="12"/>
      <c r="O139" s="12"/>
      <c r="P139" s="40"/>
      <c r="Q139" s="40"/>
      <c r="R139" s="40"/>
      <c r="S139" s="40"/>
      <c r="T139" s="40"/>
      <c r="U139" s="40"/>
      <c r="V139" s="41"/>
      <c r="W139" s="40"/>
      <c r="X139" s="54"/>
      <c r="Y139" s="55"/>
    </row>
    <row r="140" spans="2:25" s="17" customFormat="1" ht="15" hidden="1" customHeight="1" x14ac:dyDescent="0.25">
      <c r="B140" s="43"/>
      <c r="C140" s="43"/>
      <c r="D140" s="52"/>
      <c r="E140" s="12"/>
      <c r="F140" s="40"/>
      <c r="G140" s="40"/>
      <c r="H140" s="53"/>
      <c r="I140" s="51"/>
      <c r="J140" s="14"/>
      <c r="K140" s="12"/>
      <c r="L140" s="14"/>
      <c r="M140" s="16"/>
      <c r="N140" s="12"/>
      <c r="O140" s="12"/>
      <c r="P140" s="40"/>
      <c r="Q140" s="40"/>
      <c r="R140" s="40"/>
      <c r="S140" s="40"/>
      <c r="T140" s="40"/>
      <c r="U140" s="40"/>
      <c r="V140" s="41"/>
      <c r="W140" s="40"/>
      <c r="X140" s="54"/>
      <c r="Y140" s="55"/>
    </row>
    <row r="141" spans="2:25" s="17" customFormat="1" ht="15" hidden="1" customHeight="1" x14ac:dyDescent="0.25">
      <c r="B141" s="43"/>
      <c r="C141" s="43"/>
      <c r="D141" s="52"/>
      <c r="E141" s="12"/>
      <c r="F141" s="40"/>
      <c r="G141" s="40"/>
      <c r="H141" s="53"/>
      <c r="I141" s="51"/>
      <c r="J141" s="14"/>
      <c r="K141" s="12"/>
      <c r="L141" s="14"/>
      <c r="M141" s="16"/>
      <c r="N141" s="12"/>
      <c r="O141" s="12"/>
      <c r="P141" s="40"/>
      <c r="Q141" s="40"/>
      <c r="R141" s="40"/>
      <c r="S141" s="40"/>
      <c r="T141" s="40"/>
      <c r="U141" s="40"/>
      <c r="V141" s="41"/>
      <c r="W141" s="40"/>
      <c r="X141" s="54"/>
      <c r="Y141" s="55"/>
    </row>
    <row r="142" spans="2:25" s="17" customFormat="1" ht="15" hidden="1" customHeight="1" x14ac:dyDescent="0.25">
      <c r="B142" s="43"/>
      <c r="C142" s="43"/>
      <c r="D142" s="52"/>
      <c r="E142" s="12"/>
      <c r="F142" s="40"/>
      <c r="G142" s="40"/>
      <c r="H142" s="53"/>
      <c r="I142" s="51"/>
      <c r="J142" s="14"/>
      <c r="K142" s="12"/>
      <c r="L142" s="14"/>
      <c r="M142" s="16"/>
      <c r="N142" s="12"/>
      <c r="O142" s="12"/>
      <c r="P142" s="40"/>
      <c r="Q142" s="40"/>
      <c r="R142" s="40"/>
      <c r="S142" s="40"/>
      <c r="T142" s="40"/>
      <c r="U142" s="40"/>
      <c r="V142" s="41"/>
      <c r="W142" s="40"/>
      <c r="X142" s="54"/>
      <c r="Y142" s="55"/>
    </row>
    <row r="143" spans="2:25" s="17" customFormat="1" ht="15" hidden="1" customHeight="1" x14ac:dyDescent="0.25">
      <c r="B143" s="43"/>
      <c r="C143" s="43"/>
      <c r="D143" s="5"/>
      <c r="E143" s="12"/>
      <c r="F143" s="40"/>
      <c r="G143" s="40"/>
      <c r="H143" s="53"/>
      <c r="I143" s="51"/>
      <c r="J143" s="14"/>
      <c r="K143" s="12"/>
      <c r="L143" s="14"/>
      <c r="M143" s="16"/>
      <c r="N143" s="12"/>
      <c r="O143" s="12"/>
      <c r="P143" s="40"/>
      <c r="Q143" s="40"/>
      <c r="R143" s="40"/>
      <c r="S143" s="40"/>
      <c r="T143" s="40"/>
      <c r="U143" s="40"/>
      <c r="V143" s="41"/>
      <c r="W143" s="40"/>
      <c r="X143" s="54"/>
      <c r="Y143" s="55"/>
    </row>
    <row r="144" spans="2:25" s="17" customFormat="1" ht="15" hidden="1" customHeight="1" x14ac:dyDescent="0.25">
      <c r="B144" s="43"/>
      <c r="C144" s="43"/>
      <c r="D144" s="5"/>
      <c r="E144" s="12"/>
      <c r="F144" s="40"/>
      <c r="G144" s="40"/>
      <c r="H144" s="53"/>
      <c r="I144" s="51"/>
      <c r="J144" s="14"/>
      <c r="K144" s="12"/>
      <c r="L144" s="14"/>
      <c r="M144" s="16"/>
      <c r="N144" s="12"/>
      <c r="O144" s="12"/>
      <c r="P144" s="40"/>
      <c r="Q144" s="40"/>
      <c r="R144" s="40"/>
      <c r="S144" s="40"/>
      <c r="T144" s="40"/>
      <c r="U144" s="40"/>
      <c r="V144" s="41"/>
      <c r="W144" s="40"/>
      <c r="X144" s="54"/>
      <c r="Y144" s="55"/>
    </row>
    <row r="145" spans="2:25" s="17" customFormat="1" ht="15" hidden="1" customHeight="1" x14ac:dyDescent="0.25">
      <c r="B145" s="43"/>
      <c r="C145" s="43"/>
      <c r="D145" s="52"/>
      <c r="E145" s="12"/>
      <c r="F145" s="40"/>
      <c r="G145" s="40"/>
      <c r="H145" s="53"/>
      <c r="I145" s="51"/>
      <c r="J145" s="14"/>
      <c r="K145" s="12"/>
      <c r="L145" s="14"/>
      <c r="M145" s="16"/>
      <c r="N145" s="12"/>
      <c r="O145" s="12"/>
      <c r="P145" s="40"/>
      <c r="Q145" s="40"/>
      <c r="R145" s="40"/>
      <c r="S145" s="40"/>
      <c r="T145" s="40"/>
      <c r="U145" s="40"/>
      <c r="V145" s="41"/>
      <c r="W145" s="40"/>
      <c r="X145" s="54"/>
      <c r="Y145" s="55"/>
    </row>
    <row r="146" spans="2:25" s="17" customFormat="1" ht="15" hidden="1" customHeight="1" x14ac:dyDescent="0.25">
      <c r="B146" s="43"/>
      <c r="C146" s="43"/>
      <c r="D146" s="52"/>
      <c r="E146" s="12"/>
      <c r="F146" s="40"/>
      <c r="G146" s="40"/>
      <c r="H146" s="53"/>
      <c r="I146" s="51"/>
      <c r="J146" s="14"/>
      <c r="K146" s="12"/>
      <c r="L146" s="14"/>
      <c r="M146" s="16"/>
      <c r="N146" s="12"/>
      <c r="O146" s="12"/>
      <c r="P146" s="40"/>
      <c r="Q146" s="40"/>
      <c r="R146" s="40"/>
      <c r="S146" s="40"/>
      <c r="T146" s="40"/>
      <c r="U146" s="40"/>
      <c r="V146" s="41"/>
      <c r="W146" s="40"/>
      <c r="X146" s="54"/>
      <c r="Y146" s="55"/>
    </row>
    <row r="147" spans="2:25" s="17" customFormat="1" ht="15" hidden="1" customHeight="1" x14ac:dyDescent="0.25">
      <c r="B147" s="43"/>
      <c r="C147" s="43"/>
      <c r="D147" s="52"/>
      <c r="E147" s="12"/>
      <c r="F147" s="40"/>
      <c r="G147" s="40"/>
      <c r="H147" s="53"/>
      <c r="I147" s="51"/>
      <c r="J147" s="14"/>
      <c r="K147" s="12"/>
      <c r="L147" s="14"/>
      <c r="M147" s="16"/>
      <c r="N147" s="12"/>
      <c r="O147" s="12"/>
      <c r="P147" s="40"/>
      <c r="Q147" s="40"/>
      <c r="R147" s="40"/>
      <c r="S147" s="40"/>
      <c r="T147" s="40"/>
      <c r="U147" s="40"/>
      <c r="V147" s="41"/>
      <c r="W147" s="40"/>
      <c r="X147" s="54"/>
      <c r="Y147" s="55"/>
    </row>
    <row r="148" spans="2:25" s="17" customFormat="1" ht="15" hidden="1" customHeight="1" x14ac:dyDescent="0.25">
      <c r="B148" s="43"/>
      <c r="C148" s="43"/>
      <c r="D148" s="52"/>
      <c r="E148" s="12"/>
      <c r="F148" s="40"/>
      <c r="G148" s="40"/>
      <c r="H148" s="53"/>
      <c r="I148" s="51"/>
      <c r="J148" s="14"/>
      <c r="K148" s="12"/>
      <c r="L148" s="14"/>
      <c r="M148" s="16"/>
      <c r="N148" s="12"/>
      <c r="O148" s="12"/>
      <c r="P148" s="40"/>
      <c r="Q148" s="40"/>
      <c r="R148" s="40"/>
      <c r="S148" s="40"/>
      <c r="T148" s="40"/>
      <c r="U148" s="40"/>
      <c r="V148" s="41"/>
      <c r="W148" s="40"/>
      <c r="X148" s="54"/>
      <c r="Y148" s="55"/>
    </row>
    <row r="149" spans="2:25" s="17" customFormat="1" ht="15" hidden="1" customHeight="1" x14ac:dyDescent="0.25">
      <c r="B149" s="43"/>
      <c r="C149" s="43"/>
      <c r="D149" s="52"/>
      <c r="E149" s="12"/>
      <c r="F149" s="40"/>
      <c r="G149" s="40"/>
      <c r="H149" s="53"/>
      <c r="I149" s="51"/>
      <c r="J149" s="14"/>
      <c r="K149" s="12"/>
      <c r="L149" s="14"/>
      <c r="M149" s="16"/>
      <c r="N149" s="12"/>
      <c r="O149" s="12"/>
      <c r="P149" s="40"/>
      <c r="Q149" s="40"/>
      <c r="R149" s="40"/>
      <c r="S149" s="40"/>
      <c r="T149" s="40"/>
      <c r="U149" s="40"/>
      <c r="V149" s="41"/>
      <c r="W149" s="40"/>
      <c r="X149" s="54"/>
      <c r="Y149" s="55"/>
    </row>
    <row r="150" spans="2:25" s="17" customFormat="1" ht="15" hidden="1" customHeight="1" x14ac:dyDescent="0.25">
      <c r="B150" s="43"/>
      <c r="C150" s="43"/>
      <c r="D150" s="52"/>
      <c r="E150" s="12"/>
      <c r="F150" s="40"/>
      <c r="G150" s="40"/>
      <c r="H150" s="53"/>
      <c r="I150" s="51"/>
      <c r="J150" s="14"/>
      <c r="K150" s="12"/>
      <c r="L150" s="14"/>
      <c r="M150" s="16"/>
      <c r="N150" s="12"/>
      <c r="O150" s="12"/>
      <c r="P150" s="40"/>
      <c r="Q150" s="40"/>
      <c r="R150" s="40"/>
      <c r="S150" s="40"/>
      <c r="T150" s="40"/>
      <c r="U150" s="40"/>
      <c r="V150" s="41"/>
      <c r="W150" s="40"/>
      <c r="X150" s="54"/>
      <c r="Y150" s="55"/>
    </row>
    <row r="151" spans="2:25" s="17" customFormat="1" ht="15" hidden="1" customHeight="1" x14ac:dyDescent="0.25">
      <c r="B151" s="43"/>
      <c r="C151" s="43"/>
      <c r="D151" s="5"/>
      <c r="E151" s="12"/>
      <c r="F151" s="40"/>
      <c r="G151" s="40"/>
      <c r="H151" s="53"/>
      <c r="I151" s="51"/>
      <c r="J151" s="14"/>
      <c r="K151" s="12"/>
      <c r="L151" s="14"/>
      <c r="M151" s="16"/>
      <c r="N151" s="12"/>
      <c r="O151" s="12"/>
      <c r="P151" s="40"/>
      <c r="Q151" s="40"/>
      <c r="R151" s="40"/>
      <c r="S151" s="40"/>
      <c r="T151" s="40"/>
      <c r="U151" s="40"/>
      <c r="V151" s="41"/>
      <c r="W151" s="40"/>
      <c r="X151" s="54"/>
      <c r="Y151" s="55"/>
    </row>
    <row r="152" spans="2:25" s="17" customFormat="1" ht="15" hidden="1" customHeight="1" x14ac:dyDescent="0.25">
      <c r="B152" s="43"/>
      <c r="C152" s="43"/>
      <c r="D152" s="5"/>
      <c r="E152" s="12"/>
      <c r="F152" s="40"/>
      <c r="G152" s="40"/>
      <c r="H152" s="53"/>
      <c r="I152" s="51"/>
      <c r="J152" s="14"/>
      <c r="K152" s="12"/>
      <c r="L152" s="14"/>
      <c r="M152" s="16"/>
      <c r="N152" s="12"/>
      <c r="O152" s="12"/>
      <c r="P152" s="40"/>
      <c r="Q152" s="40"/>
      <c r="R152" s="40"/>
      <c r="S152" s="40"/>
      <c r="T152" s="40"/>
      <c r="U152" s="40"/>
      <c r="V152" s="41"/>
      <c r="W152" s="40"/>
      <c r="X152" s="54"/>
      <c r="Y152" s="55"/>
    </row>
    <row r="153" spans="2:25" s="17" customFormat="1" ht="15" hidden="1" customHeight="1" x14ac:dyDescent="0.25">
      <c r="B153" s="43"/>
      <c r="C153" s="43"/>
      <c r="D153" s="52"/>
      <c r="E153" s="12"/>
      <c r="F153" s="40"/>
      <c r="G153" s="40"/>
      <c r="H153" s="53"/>
      <c r="I153" s="51"/>
      <c r="J153" s="14"/>
      <c r="K153" s="12"/>
      <c r="L153" s="14"/>
      <c r="M153" s="16"/>
      <c r="N153" s="12"/>
      <c r="O153" s="12"/>
      <c r="P153" s="40"/>
      <c r="Q153" s="40"/>
      <c r="R153" s="40"/>
      <c r="S153" s="40"/>
      <c r="T153" s="40"/>
      <c r="U153" s="40"/>
      <c r="V153" s="41"/>
      <c r="W153" s="40"/>
      <c r="X153" s="54"/>
      <c r="Y153" s="55"/>
    </row>
    <row r="154" spans="2:25" s="17" customFormat="1" ht="15" hidden="1" customHeight="1" x14ac:dyDescent="0.25">
      <c r="B154" s="43"/>
      <c r="C154" s="43"/>
      <c r="D154" s="52"/>
      <c r="E154" s="12"/>
      <c r="F154" s="40"/>
      <c r="G154" s="40"/>
      <c r="H154" s="53"/>
      <c r="I154" s="51"/>
      <c r="J154" s="14"/>
      <c r="K154" s="12"/>
      <c r="L154" s="14"/>
      <c r="M154" s="16"/>
      <c r="N154" s="12"/>
      <c r="O154" s="12"/>
      <c r="P154" s="40"/>
      <c r="Q154" s="40"/>
      <c r="R154" s="40"/>
      <c r="S154" s="40"/>
      <c r="T154" s="40"/>
      <c r="U154" s="40"/>
      <c r="V154" s="41"/>
      <c r="W154" s="40"/>
      <c r="X154" s="54"/>
      <c r="Y154" s="55"/>
    </row>
    <row r="155" spans="2:25" s="17" customFormat="1" ht="15" hidden="1" customHeight="1" x14ac:dyDescent="0.25">
      <c r="B155" s="43"/>
      <c r="C155" s="43"/>
      <c r="D155" s="52"/>
      <c r="E155" s="12"/>
      <c r="F155" s="40"/>
      <c r="G155" s="40"/>
      <c r="H155" s="53"/>
      <c r="I155" s="51"/>
      <c r="J155" s="14"/>
      <c r="K155" s="12"/>
      <c r="L155" s="14"/>
      <c r="M155" s="16"/>
      <c r="N155" s="12"/>
      <c r="O155" s="12"/>
      <c r="P155" s="40"/>
      <c r="Q155" s="40"/>
      <c r="R155" s="40"/>
      <c r="S155" s="40"/>
      <c r="T155" s="40"/>
      <c r="U155" s="40"/>
      <c r="V155" s="41"/>
      <c r="W155" s="40"/>
      <c r="X155" s="54"/>
      <c r="Y155" s="55"/>
    </row>
    <row r="156" spans="2:25" s="17" customFormat="1" ht="15" hidden="1" customHeight="1" x14ac:dyDescent="0.25">
      <c r="B156" s="43"/>
      <c r="C156" s="43"/>
      <c r="D156" s="52"/>
      <c r="E156" s="12"/>
      <c r="F156" s="40"/>
      <c r="G156" s="40"/>
      <c r="H156" s="53"/>
      <c r="I156" s="51"/>
      <c r="J156" s="14"/>
      <c r="K156" s="12"/>
      <c r="L156" s="14"/>
      <c r="M156" s="16"/>
      <c r="N156" s="12"/>
      <c r="O156" s="12"/>
      <c r="P156" s="40"/>
      <c r="Q156" s="40"/>
      <c r="R156" s="40"/>
      <c r="S156" s="40"/>
      <c r="T156" s="40"/>
      <c r="U156" s="40"/>
      <c r="V156" s="41"/>
      <c r="W156" s="40"/>
      <c r="X156" s="54"/>
      <c r="Y156" s="55"/>
    </row>
    <row r="157" spans="2:25" s="17" customFormat="1" ht="15" hidden="1" customHeight="1" x14ac:dyDescent="0.25">
      <c r="B157" s="43"/>
      <c r="C157" s="43"/>
      <c r="D157" s="52"/>
      <c r="E157" s="12"/>
      <c r="F157" s="40"/>
      <c r="G157" s="40"/>
      <c r="H157" s="53"/>
      <c r="I157" s="51"/>
      <c r="J157" s="14"/>
      <c r="K157" s="12"/>
      <c r="L157" s="14"/>
      <c r="M157" s="16"/>
      <c r="N157" s="12"/>
      <c r="O157" s="12"/>
      <c r="P157" s="40"/>
      <c r="Q157" s="40"/>
      <c r="R157" s="40"/>
      <c r="S157" s="40"/>
      <c r="T157" s="40"/>
      <c r="U157" s="40"/>
      <c r="V157" s="41"/>
      <c r="W157" s="40"/>
      <c r="X157" s="54"/>
      <c r="Y157" s="55"/>
    </row>
    <row r="158" spans="2:25" s="17" customFormat="1" ht="15" hidden="1" customHeight="1" x14ac:dyDescent="0.25">
      <c r="B158" s="43"/>
      <c r="C158" s="43"/>
      <c r="D158" s="52"/>
      <c r="E158" s="12"/>
      <c r="F158" s="40"/>
      <c r="G158" s="40"/>
      <c r="H158" s="53"/>
      <c r="I158" s="51"/>
      <c r="J158" s="14"/>
      <c r="K158" s="12"/>
      <c r="L158" s="14"/>
      <c r="M158" s="16"/>
      <c r="N158" s="12"/>
      <c r="O158" s="12"/>
      <c r="P158" s="40"/>
      <c r="Q158" s="40"/>
      <c r="R158" s="40"/>
      <c r="S158" s="40"/>
      <c r="T158" s="40"/>
      <c r="U158" s="40"/>
      <c r="V158" s="41"/>
      <c r="W158" s="40"/>
      <c r="X158" s="54"/>
      <c r="Y158" s="55"/>
    </row>
    <row r="159" spans="2:25" s="17" customFormat="1" ht="15" customHeight="1" x14ac:dyDescent="0.25">
      <c r="B159" s="11"/>
      <c r="C159" s="11"/>
      <c r="D159" s="5"/>
      <c r="E159" s="50" t="e">
        <f ca="1">SUM(E85:E158)</f>
        <v>#NAME?</v>
      </c>
      <c r="F159" s="50"/>
      <c r="G159" s="40"/>
      <c r="H159" s="5"/>
      <c r="I159" s="13"/>
      <c r="J159" s="14"/>
      <c r="K159" s="15" t="e">
        <f ca="1">SUMPRODUCT(K85:K158,E85:E158)</f>
        <v>#NAME?</v>
      </c>
      <c r="L159" s="14"/>
      <c r="M159" s="16"/>
      <c r="N159" s="12" t="e">
        <f ca="1">SUMPRODUCT(N85:N158,E85:E158)</f>
        <v>#NAME?</v>
      </c>
      <c r="O159" s="12" t="e">
        <f ca="1">SUMPRODUCT(O85:O158,E85:E158)</f>
        <v>#NAME?</v>
      </c>
      <c r="P159" s="45" t="e">
        <f t="shared" ref="P159:U159" ca="1" si="11">SUM(P85:P158)</f>
        <v>#NAME?</v>
      </c>
      <c r="Q159" s="45">
        <f t="shared" si="11"/>
        <v>0</v>
      </c>
      <c r="R159" s="45" t="e">
        <f t="shared" ca="1" si="11"/>
        <v>#NAME?</v>
      </c>
      <c r="S159" s="45" t="e">
        <f t="shared" ca="1" si="11"/>
        <v>#NAME?</v>
      </c>
      <c r="T159" s="45" t="e">
        <f t="shared" ca="1" si="11"/>
        <v>#NAME?</v>
      </c>
      <c r="U159" s="45" t="e">
        <f t="shared" ca="1" si="11"/>
        <v>#NAME?</v>
      </c>
      <c r="V159" s="41"/>
      <c r="W159" s="45" t="e">
        <f ca="1">SUM(W85:W158)</f>
        <v>#NAME?</v>
      </c>
    </row>
    <row r="160" spans="2:25" s="17" customFormat="1" ht="30" customHeight="1" x14ac:dyDescent="0.25">
      <c r="B160" s="11" t="s">
        <v>4714</v>
      </c>
      <c r="C160" s="11"/>
      <c r="D160" s="5"/>
      <c r="E160" s="50"/>
      <c r="F160" s="50"/>
      <c r="G160" s="40"/>
      <c r="H160" s="5"/>
      <c r="I160" s="13"/>
      <c r="J160" s="8" t="s">
        <v>4724</v>
      </c>
      <c r="K160" s="16"/>
      <c r="L160" s="14"/>
      <c r="M160" s="16"/>
      <c r="N160" s="12"/>
      <c r="O160" s="12"/>
      <c r="P160" s="45"/>
      <c r="Q160" s="45"/>
      <c r="R160" s="45"/>
      <c r="S160" s="45"/>
      <c r="T160" s="45"/>
      <c r="U160" s="45"/>
      <c r="V160" s="41"/>
      <c r="W160" s="45"/>
      <c r="X160" s="8" t="s">
        <v>7906</v>
      </c>
    </row>
    <row r="161" spans="2:24" s="17" customFormat="1" ht="15" customHeight="1" x14ac:dyDescent="0.25">
      <c r="B161" s="43" t="str">
        <f ca="1">IF(LEFT(C161,2) = "RU", VLOOKUP(C161,MICEX!$A$2:$D$1554,4,FALSE),VLOOKUP(C161,Instruments!A:C,3,FALSE))</f>
        <v>Контракт на нефть сорта "BRENT" с исполнением 01/12/2017</v>
      </c>
      <c r="C161" s="43" t="str">
        <f ca="1">OFFSET(Securities!$A$1,MATCH(D161,Securities!$B:$B,0)-1,0,1,1)</f>
        <v>BR-12.17</v>
      </c>
      <c r="D161" s="5" t="s">
        <v>7523</v>
      </c>
      <c r="E161" s="50"/>
      <c r="F161" s="40">
        <f ca="1">SUMIFS(positions!$E:$E,positions!$C:$C,C161,positions!B:B,'CLIENT (2)'!$E$2)</f>
        <v>0</v>
      </c>
      <c r="G161" s="40"/>
      <c r="H161" s="53">
        <f ca="1">IF(M161="RUB",SUMIFS(positions!G:G,positions!B:B,'CLIENT (2)'!$E$2,positions!C:C,'CLIENT (2)'!C161),SUMIFS(positions!H:H,positions!B:B,'CLIENT (2)'!$E$2,positions!C:C,'CLIENT (2)'!C161))/J161</f>
        <v>0</v>
      </c>
      <c r="I161" s="51" t="e">
        <f ca="1">IF(_xll.BDP(D161,"PX_LAST")="#N/A N/A",100,_xll.BDP(D161,"PX_LAST"))</f>
        <v>#NAME?</v>
      </c>
      <c r="J161" s="74">
        <f>VLOOKUP(D161,Securities!B:E,4,FALSE)</f>
        <v>10</v>
      </c>
      <c r="K161" s="15"/>
      <c r="L161" s="14"/>
      <c r="M161" s="16" t="str">
        <f>VLOOKUP(D161,Securities!B:F,5,FALSE)</f>
        <v>USD</v>
      </c>
      <c r="N161" s="12"/>
      <c r="O161" s="12"/>
      <c r="P161" s="45"/>
      <c r="Q161" s="45"/>
      <c r="R161" s="45"/>
      <c r="S161" s="45"/>
      <c r="T161" s="40" t="e">
        <f ca="1">IF(M161="RUB",J161*F161*(I161-H161),U161*$R$3)</f>
        <v>#NAME?</v>
      </c>
      <c r="U161" s="45" t="e">
        <f ca="1">IF(M161="USD",J161*F161*(I161-H161),T161/$R$3)</f>
        <v>#NAME?</v>
      </c>
      <c r="V161" s="41"/>
      <c r="W161" s="45"/>
      <c r="X161" s="17" t="e">
        <f ca="1">IF(  OR(   _xll.BDP($D161,"LAST_TRADEABLE_DT")="#N/A N/A"),"",_xll.BDP($D161,"LAST_TRADEABLE_DT"))</f>
        <v>#NAME?</v>
      </c>
    </row>
    <row r="162" spans="2:24" s="17" customFormat="1" ht="15" customHeight="1" x14ac:dyDescent="0.25">
      <c r="B162" s="43" t="str">
        <f ca="1">IF(LEFT(C162,2) = "RU", VLOOKUP(C162,MICEX!$A$2:$D$1554,4,FALSE),VLOOKUP(C162,Instruments!A:C,3,FALSE))</f>
        <v>Контракт на курс безналичного доллара США с котировками в рублях 21 .12.2017</v>
      </c>
      <c r="C162" s="43" t="str">
        <f ca="1">OFFSET(Securities!$A$1,MATCH(D162,Securities!$B:$B,0)-1,0,1,1)</f>
        <v>SI-12.17</v>
      </c>
      <c r="D162" s="5" t="s">
        <v>7361</v>
      </c>
      <c r="E162" s="50"/>
      <c r="F162" s="40">
        <f ca="1">SUMIFS(positions!$E:$E,positions!$C:$C,C162,positions!B:B,'CLIENT (2)'!$E$2)</f>
        <v>0</v>
      </c>
      <c r="G162" s="40"/>
      <c r="H162" s="53">
        <f ca="1">IF(M162="RUB",SUMIFS(positions!G:G,positions!B:B,'CLIENT (2)'!$E$2,positions!C:C,'CLIENT (2)'!C162),SUMIFS(positions!H:H,positions!B:B,'CLIENT (2)'!$E$2,positions!C:C,'CLIENT (2)'!C162))/J162</f>
        <v>0</v>
      </c>
      <c r="I162" s="51" t="e">
        <f ca="1">IF(_xll.BDP(D162,"PX_LAST")="#N/A N/A",100,_xll.BDP(D162,"PX_LAST"))</f>
        <v>#NAME?</v>
      </c>
      <c r="J162" s="74">
        <f>VLOOKUP(D162,Securities!B:E,4,FALSE)</f>
        <v>1</v>
      </c>
      <c r="K162" s="15"/>
      <c r="L162" s="14"/>
      <c r="M162" s="16" t="str">
        <f>VLOOKUP(D162,Securities!B:F,5,FALSE)</f>
        <v>RUB</v>
      </c>
      <c r="N162" s="12"/>
      <c r="O162" s="12"/>
      <c r="P162" s="45"/>
      <c r="Q162" s="45"/>
      <c r="R162" s="45"/>
      <c r="S162" s="45"/>
      <c r="T162" s="40" t="e">
        <f t="shared" ref="T162" ca="1" si="12">IF(M162="RUB",J162*F162*(I162-H162),U162*$R$3)</f>
        <v>#NAME?</v>
      </c>
      <c r="U162" s="45" t="e">
        <f t="shared" ref="U162" ca="1" si="13">IF(M162="USD",J162*F162*(I162-H162),T162/$R$3)</f>
        <v>#NAME?</v>
      </c>
      <c r="V162" s="41"/>
      <c r="W162" s="45"/>
      <c r="X162" s="17" t="e">
        <f ca="1">IF(  OR(   _xll.BDP($D162,"LAST_TRADEABLE_DT")="#N/A N/A"),"",_xll.BDP($D162,"LAST_TRADEABLE_DT"))</f>
        <v>#NAME?</v>
      </c>
    </row>
    <row r="163" spans="2:24" s="17" customFormat="1" ht="15" hidden="1" customHeight="1" x14ac:dyDescent="0.25">
      <c r="B163" s="43"/>
      <c r="C163" s="11"/>
      <c r="D163" s="5"/>
      <c r="E163" s="50"/>
      <c r="F163" s="40"/>
      <c r="G163" s="40"/>
      <c r="H163" s="53"/>
      <c r="I163" s="51"/>
      <c r="J163" s="74"/>
      <c r="K163" s="15"/>
      <c r="L163" s="14"/>
      <c r="M163" s="16"/>
      <c r="N163" s="12"/>
      <c r="O163" s="12"/>
      <c r="P163" s="45"/>
      <c r="Q163" s="45"/>
      <c r="R163" s="45"/>
      <c r="S163" s="45"/>
      <c r="T163" s="40"/>
      <c r="U163" s="45"/>
      <c r="V163" s="41"/>
      <c r="W163" s="45"/>
    </row>
    <row r="164" spans="2:24" s="17" customFormat="1" ht="15" hidden="1" customHeight="1" x14ac:dyDescent="0.25">
      <c r="B164" s="43"/>
      <c r="C164" s="11"/>
      <c r="D164" s="5"/>
      <c r="E164" s="50"/>
      <c r="F164" s="40"/>
      <c r="G164" s="40"/>
      <c r="H164" s="53"/>
      <c r="I164" s="51"/>
      <c r="J164" s="74"/>
      <c r="K164" s="15"/>
      <c r="L164" s="14"/>
      <c r="M164" s="16"/>
      <c r="N164" s="12"/>
      <c r="O164" s="12"/>
      <c r="P164" s="45"/>
      <c r="Q164" s="45"/>
      <c r="R164" s="45"/>
      <c r="S164" s="45"/>
      <c r="T164" s="40"/>
      <c r="U164" s="45"/>
      <c r="V164" s="41"/>
      <c r="W164" s="45"/>
    </row>
    <row r="165" spans="2:24" s="17" customFormat="1" ht="15" hidden="1" customHeight="1" x14ac:dyDescent="0.25">
      <c r="B165" s="43"/>
      <c r="C165" s="11"/>
      <c r="D165" s="5"/>
      <c r="E165" s="50"/>
      <c r="F165" s="40"/>
      <c r="G165" s="40"/>
      <c r="H165" s="53"/>
      <c r="I165" s="51"/>
      <c r="J165" s="74"/>
      <c r="K165" s="15"/>
      <c r="L165" s="14"/>
      <c r="M165" s="16"/>
      <c r="N165" s="12"/>
      <c r="O165" s="12"/>
      <c r="P165" s="45"/>
      <c r="Q165" s="45"/>
      <c r="R165" s="45"/>
      <c r="S165" s="45"/>
      <c r="T165" s="40"/>
      <c r="U165" s="45"/>
      <c r="V165" s="41"/>
      <c r="W165" s="45"/>
    </row>
    <row r="166" spans="2:24" s="17" customFormat="1" ht="15" hidden="1" customHeight="1" x14ac:dyDescent="0.25">
      <c r="B166" s="43"/>
      <c r="C166" s="11"/>
      <c r="D166" s="5"/>
      <c r="E166" s="50"/>
      <c r="F166" s="40"/>
      <c r="G166" s="40"/>
      <c r="H166" s="53"/>
      <c r="I166" s="51"/>
      <c r="J166" s="74"/>
      <c r="K166" s="15"/>
      <c r="L166" s="14"/>
      <c r="M166" s="16"/>
      <c r="N166" s="12"/>
      <c r="O166" s="12"/>
      <c r="P166" s="45"/>
      <c r="Q166" s="45"/>
      <c r="R166" s="45"/>
      <c r="S166" s="45"/>
      <c r="T166" s="40"/>
      <c r="U166" s="45"/>
      <c r="V166" s="41"/>
      <c r="W166" s="45"/>
    </row>
    <row r="167" spans="2:24" s="17" customFormat="1" ht="15" hidden="1" customHeight="1" x14ac:dyDescent="0.25">
      <c r="B167" s="43"/>
      <c r="C167" s="11"/>
      <c r="D167" s="5"/>
      <c r="E167" s="50"/>
      <c r="F167" s="40"/>
      <c r="G167" s="40"/>
      <c r="H167" s="53"/>
      <c r="I167" s="51"/>
      <c r="J167" s="74"/>
      <c r="K167" s="15"/>
      <c r="L167" s="14"/>
      <c r="M167" s="16"/>
      <c r="N167" s="12"/>
      <c r="O167" s="12"/>
      <c r="P167" s="45"/>
      <c r="Q167" s="45"/>
      <c r="R167" s="45"/>
      <c r="S167" s="45"/>
      <c r="T167" s="40"/>
      <c r="U167" s="45"/>
      <c r="V167" s="41"/>
      <c r="W167" s="45"/>
    </row>
    <row r="168" spans="2:24" s="17" customFormat="1" ht="15" hidden="1" customHeight="1" x14ac:dyDescent="0.25">
      <c r="B168" s="43"/>
      <c r="C168" s="11"/>
      <c r="D168" s="5"/>
      <c r="E168" s="50"/>
      <c r="F168" s="40"/>
      <c r="G168" s="40"/>
      <c r="H168" s="53"/>
      <c r="I168" s="51"/>
      <c r="J168" s="74"/>
      <c r="K168" s="15"/>
      <c r="L168" s="14"/>
      <c r="M168" s="16"/>
      <c r="N168" s="12"/>
      <c r="O168" s="12"/>
      <c r="P168" s="45"/>
      <c r="Q168" s="45"/>
      <c r="R168" s="45"/>
      <c r="S168" s="45"/>
      <c r="T168" s="40"/>
      <c r="U168" s="45"/>
      <c r="V168" s="41"/>
      <c r="W168" s="45"/>
    </row>
    <row r="169" spans="2:24" s="17" customFormat="1" ht="15" hidden="1" customHeight="1" x14ac:dyDescent="0.25">
      <c r="B169" s="43"/>
      <c r="C169" s="11"/>
      <c r="D169" s="5"/>
      <c r="E169" s="50"/>
      <c r="F169" s="40"/>
      <c r="G169" s="40"/>
      <c r="H169" s="53"/>
      <c r="I169" s="51"/>
      <c r="J169" s="74"/>
      <c r="K169" s="15"/>
      <c r="L169" s="14"/>
      <c r="M169" s="16"/>
      <c r="N169" s="12"/>
      <c r="O169" s="12"/>
      <c r="P169" s="45"/>
      <c r="Q169" s="45"/>
      <c r="R169" s="45"/>
      <c r="S169" s="45"/>
      <c r="T169" s="40"/>
      <c r="U169" s="45"/>
      <c r="V169" s="41"/>
      <c r="W169" s="45"/>
    </row>
    <row r="170" spans="2:24" s="17" customFormat="1" ht="15" hidden="1" customHeight="1" x14ac:dyDescent="0.25">
      <c r="B170" s="43"/>
      <c r="C170" s="11"/>
      <c r="D170" s="5"/>
      <c r="E170" s="50"/>
      <c r="F170" s="40"/>
      <c r="G170" s="40"/>
      <c r="H170" s="53"/>
      <c r="I170" s="51"/>
      <c r="J170" s="74"/>
      <c r="K170" s="15"/>
      <c r="L170" s="14"/>
      <c r="M170" s="16"/>
      <c r="N170" s="12"/>
      <c r="O170" s="12"/>
      <c r="P170" s="45"/>
      <c r="Q170" s="45"/>
      <c r="R170" s="45"/>
      <c r="S170" s="45"/>
      <c r="T170" s="40"/>
      <c r="U170" s="45"/>
      <c r="V170" s="41"/>
      <c r="W170" s="45"/>
    </row>
    <row r="171" spans="2:24" s="17" customFormat="1" ht="15" hidden="1" customHeight="1" x14ac:dyDescent="0.25">
      <c r="B171" s="43"/>
      <c r="C171" s="11"/>
      <c r="D171" s="5"/>
      <c r="E171" s="50"/>
      <c r="F171" s="40"/>
      <c r="G171" s="40"/>
      <c r="H171" s="53"/>
      <c r="I171" s="51"/>
      <c r="J171" s="74"/>
      <c r="K171" s="15"/>
      <c r="L171" s="14"/>
      <c r="M171" s="16"/>
      <c r="N171" s="12"/>
      <c r="O171" s="12"/>
      <c r="P171" s="45"/>
      <c r="Q171" s="45"/>
      <c r="R171" s="45"/>
      <c r="S171" s="45"/>
      <c r="T171" s="40"/>
      <c r="U171" s="45"/>
      <c r="V171" s="41"/>
      <c r="W171" s="45"/>
    </row>
    <row r="172" spans="2:24" s="17" customFormat="1" ht="15" hidden="1" customHeight="1" x14ac:dyDescent="0.25">
      <c r="B172" s="43"/>
      <c r="C172" s="11"/>
      <c r="D172" s="5"/>
      <c r="E172" s="50"/>
      <c r="F172" s="40"/>
      <c r="G172" s="40"/>
      <c r="H172" s="53"/>
      <c r="I172" s="51"/>
      <c r="J172" s="74"/>
      <c r="K172" s="15"/>
      <c r="L172" s="14"/>
      <c r="M172" s="16"/>
      <c r="N172" s="12"/>
      <c r="O172" s="12"/>
      <c r="P172" s="45"/>
      <c r="Q172" s="45"/>
      <c r="R172" s="45"/>
      <c r="S172" s="45"/>
      <c r="T172" s="40"/>
      <c r="U172" s="45"/>
      <c r="V172" s="41"/>
      <c r="W172" s="45"/>
    </row>
    <row r="173" spans="2:24" s="17" customFormat="1" ht="15" hidden="1" customHeight="1" x14ac:dyDescent="0.25">
      <c r="B173" s="43"/>
      <c r="C173" s="11"/>
      <c r="D173" s="5"/>
      <c r="E173" s="50"/>
      <c r="F173" s="40"/>
      <c r="G173" s="40"/>
      <c r="H173" s="53"/>
      <c r="I173" s="51"/>
      <c r="J173" s="74"/>
      <c r="K173" s="15"/>
      <c r="L173" s="14"/>
      <c r="M173" s="16"/>
      <c r="N173" s="12"/>
      <c r="O173" s="12"/>
      <c r="P173" s="45"/>
      <c r="Q173" s="45"/>
      <c r="R173" s="45"/>
      <c r="S173" s="45"/>
      <c r="T173" s="40"/>
      <c r="U173" s="45"/>
      <c r="V173" s="41"/>
      <c r="W173" s="45"/>
    </row>
    <row r="174" spans="2:24" s="17" customFormat="1" ht="15" hidden="1" customHeight="1" x14ac:dyDescent="0.25">
      <c r="B174" s="43"/>
      <c r="C174" s="11"/>
      <c r="D174" s="5"/>
      <c r="E174" s="50"/>
      <c r="F174" s="40"/>
      <c r="G174" s="40"/>
      <c r="H174" s="53"/>
      <c r="I174" s="51"/>
      <c r="J174" s="74"/>
      <c r="K174" s="15"/>
      <c r="L174" s="14"/>
      <c r="M174" s="16"/>
      <c r="N174" s="12"/>
      <c r="O174" s="12"/>
      <c r="P174" s="45"/>
      <c r="Q174" s="45"/>
      <c r="R174" s="45"/>
      <c r="S174" s="45"/>
      <c r="T174" s="40"/>
      <c r="U174" s="45"/>
      <c r="V174" s="41"/>
      <c r="W174" s="45"/>
    </row>
    <row r="175" spans="2:24" s="17" customFormat="1" ht="15" hidden="1" customHeight="1" x14ac:dyDescent="0.25">
      <c r="B175" s="43"/>
      <c r="C175" s="11"/>
      <c r="D175" s="5"/>
      <c r="E175" s="50"/>
      <c r="F175" s="40"/>
      <c r="G175" s="40"/>
      <c r="H175" s="53"/>
      <c r="I175" s="51"/>
      <c r="J175" s="74"/>
      <c r="K175" s="15"/>
      <c r="L175" s="14"/>
      <c r="M175" s="16"/>
      <c r="N175" s="12"/>
      <c r="O175" s="12"/>
      <c r="P175" s="45"/>
      <c r="Q175" s="45"/>
      <c r="R175" s="45"/>
      <c r="S175" s="45"/>
      <c r="T175" s="40"/>
      <c r="U175" s="45"/>
      <c r="V175" s="41"/>
      <c r="W175" s="45"/>
    </row>
    <row r="176" spans="2:24" s="17" customFormat="1" ht="15" hidden="1" customHeight="1" x14ac:dyDescent="0.25">
      <c r="B176" s="43"/>
      <c r="C176" s="11"/>
      <c r="D176" s="5"/>
      <c r="E176" s="50"/>
      <c r="F176" s="40"/>
      <c r="G176" s="40"/>
      <c r="H176" s="53"/>
      <c r="I176" s="51"/>
      <c r="J176" s="74"/>
      <c r="K176" s="15"/>
      <c r="L176" s="14"/>
      <c r="M176" s="16"/>
      <c r="N176" s="12"/>
      <c r="O176" s="12"/>
      <c r="P176" s="45"/>
      <c r="Q176" s="45"/>
      <c r="R176" s="45"/>
      <c r="S176" s="45"/>
      <c r="T176" s="40"/>
      <c r="U176" s="45"/>
      <c r="V176" s="41"/>
      <c r="W176" s="45"/>
    </row>
    <row r="177" spans="2:25" s="17" customFormat="1" ht="15" hidden="1" customHeight="1" x14ac:dyDescent="0.25">
      <c r="B177" s="43"/>
      <c r="C177" s="11"/>
      <c r="D177" s="5"/>
      <c r="E177" s="50"/>
      <c r="F177" s="40"/>
      <c r="G177" s="40"/>
      <c r="H177" s="53"/>
      <c r="I177" s="51"/>
      <c r="J177" s="74"/>
      <c r="K177" s="15"/>
      <c r="L177" s="14"/>
      <c r="M177" s="16"/>
      <c r="N177" s="12"/>
      <c r="O177" s="12"/>
      <c r="P177" s="45"/>
      <c r="Q177" s="45"/>
      <c r="R177" s="45"/>
      <c r="S177" s="45"/>
      <c r="T177" s="40"/>
      <c r="U177" s="45"/>
      <c r="V177" s="41"/>
      <c r="W177" s="45"/>
    </row>
    <row r="178" spans="2:25" s="17" customFormat="1" ht="15" hidden="1" customHeight="1" x14ac:dyDescent="0.25">
      <c r="B178" s="43"/>
      <c r="C178" s="11"/>
      <c r="D178" s="5"/>
      <c r="E178" s="50"/>
      <c r="F178" s="40"/>
      <c r="G178" s="40"/>
      <c r="H178" s="53"/>
      <c r="I178" s="51"/>
      <c r="J178" s="74"/>
      <c r="K178" s="15"/>
      <c r="L178" s="14"/>
      <c r="M178" s="16"/>
      <c r="N178" s="12"/>
      <c r="O178" s="12"/>
      <c r="P178" s="45"/>
      <c r="Q178" s="45"/>
      <c r="R178" s="45"/>
      <c r="S178" s="45"/>
      <c r="T178" s="40"/>
      <c r="U178" s="45"/>
      <c r="V178" s="41"/>
      <c r="W178" s="45"/>
    </row>
    <row r="179" spans="2:25" s="17" customFormat="1" ht="15" hidden="1" customHeight="1" x14ac:dyDescent="0.25">
      <c r="B179" s="43"/>
      <c r="C179" s="11"/>
      <c r="D179" s="5"/>
      <c r="E179" s="50"/>
      <c r="F179" s="40"/>
      <c r="G179" s="40"/>
      <c r="H179" s="53"/>
      <c r="I179" s="51"/>
      <c r="J179" s="74"/>
      <c r="K179" s="15"/>
      <c r="L179" s="14"/>
      <c r="M179" s="16"/>
      <c r="N179" s="12"/>
      <c r="O179" s="12"/>
      <c r="P179" s="45"/>
      <c r="Q179" s="45"/>
      <c r="R179" s="45"/>
      <c r="S179" s="45"/>
      <c r="T179" s="40"/>
      <c r="U179" s="45"/>
      <c r="V179" s="41"/>
      <c r="W179" s="45"/>
    </row>
    <row r="180" spans="2:25" s="17" customFormat="1" ht="15" hidden="1" customHeight="1" x14ac:dyDescent="0.25">
      <c r="B180" s="11"/>
      <c r="C180" s="11"/>
      <c r="D180" s="5"/>
      <c r="E180" s="50"/>
      <c r="F180" s="50"/>
      <c r="G180" s="40"/>
      <c r="H180" s="5"/>
      <c r="I180" s="13"/>
      <c r="J180" s="14"/>
      <c r="K180" s="15"/>
      <c r="L180" s="14"/>
      <c r="M180" s="16"/>
      <c r="N180" s="12"/>
      <c r="O180" s="12"/>
      <c r="P180" s="45"/>
      <c r="Q180" s="45"/>
      <c r="R180" s="45"/>
      <c r="S180" s="45"/>
      <c r="T180" s="45" t="e">
        <f ca="1">SUM(T161:T179)</f>
        <v>#NAME?</v>
      </c>
      <c r="U180" s="45" t="e">
        <f ca="1">SUM(U161:U179)</f>
        <v>#NAME?</v>
      </c>
      <c r="V180" s="41"/>
      <c r="W180" s="45"/>
    </row>
    <row r="181" spans="2:25" ht="15" customHeight="1" x14ac:dyDescent="0.2">
      <c r="B181" s="18" t="s">
        <v>19</v>
      </c>
      <c r="C181" s="18"/>
      <c r="D181" s="18"/>
      <c r="E181" s="19" t="e">
        <f ca="1">S181/S182</f>
        <v>#N/A</v>
      </c>
      <c r="F181" s="19"/>
      <c r="G181" s="20"/>
      <c r="H181" s="21"/>
      <c r="I181" s="22"/>
      <c r="J181" s="23"/>
      <c r="K181" s="23"/>
      <c r="L181" s="23"/>
      <c r="M181" s="23"/>
      <c r="N181" s="24"/>
      <c r="O181" s="24"/>
      <c r="P181" s="20"/>
      <c r="Q181" s="20"/>
      <c r="R181" s="20" t="e">
        <f ca="1">S181*_xll.BDP("USDRUB Curncy","PX_LAST")</f>
        <v>#NAME?</v>
      </c>
      <c r="S181" s="25">
        <f>SUMIF('Balances-Currency'!B:B,$E$2,'Balances-Currency'!F:F)</f>
        <v>368360.87813899998</v>
      </c>
      <c r="T181" s="26"/>
      <c r="U181" s="27"/>
      <c r="V181" s="23"/>
      <c r="W181" s="25">
        <f>S181</f>
        <v>368360.87813899998</v>
      </c>
      <c r="X181" s="23"/>
      <c r="Y181" s="23"/>
    </row>
    <row r="182" spans="2:25" ht="15" customHeight="1" thickBot="1" x14ac:dyDescent="0.25">
      <c r="B182" s="29"/>
      <c r="C182" s="29"/>
      <c r="D182" s="29"/>
      <c r="E182" s="30" t="e">
        <f ca="1">E83+E159+E181</f>
        <v>#N/A</v>
      </c>
      <c r="F182" s="30"/>
      <c r="G182" s="29"/>
      <c r="H182" s="29"/>
      <c r="I182" s="29"/>
      <c r="J182" s="31"/>
      <c r="K182" s="30"/>
      <c r="L182" s="31"/>
      <c r="M182" s="31"/>
      <c r="N182" s="32"/>
      <c r="O182" s="32"/>
      <c r="P182" s="33" t="e">
        <f t="shared" ref="P182:S182" ca="1" si="14">P83+P159+P181</f>
        <v>#NAME?</v>
      </c>
      <c r="Q182" s="33">
        <f t="shared" si="14"/>
        <v>0</v>
      </c>
      <c r="R182" s="33" t="e">
        <f t="shared" ca="1" si="14"/>
        <v>#N/A</v>
      </c>
      <c r="S182" s="33" t="e">
        <f t="shared" ca="1" si="14"/>
        <v>#N/A</v>
      </c>
      <c r="T182" s="33" t="e">
        <f ca="1">T83+T159+T180</f>
        <v>#N/A</v>
      </c>
      <c r="U182" s="33" t="e">
        <f ca="1">U83+U159+U180</f>
        <v>#N/A</v>
      </c>
      <c r="V182" s="32" t="e">
        <f ca="1">SUMPRODUCT($E$9:$E$158,V9:V158)/100</f>
        <v>#N/A</v>
      </c>
      <c r="W182" s="33" t="e">
        <f ca="1">W83+W159+W181</f>
        <v>#N/A</v>
      </c>
      <c r="X182" s="32"/>
      <c r="Y182" s="32"/>
    </row>
    <row r="183" spans="2:25" ht="15" customHeight="1" x14ac:dyDescent="0.2"/>
    <row r="184" spans="2:25" ht="15" customHeight="1" x14ac:dyDescent="0.2"/>
  </sheetData>
  <conditionalFormatting sqref="K159 K83 K180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{B5837182-3D44-4BDF-BC44-7A98DF45B3A4}</x14:id>
        </ext>
      </extLst>
    </cfRule>
  </conditionalFormatting>
  <conditionalFormatting sqref="V83:V84 V159 V180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{2241DE90-22A3-47CA-806B-900A0D55F04D}</x14:id>
        </ext>
      </extLst>
    </cfRule>
  </conditionalFormatting>
  <conditionalFormatting sqref="N83:O84 N159:O159 N180:O180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{4E69B0E5-ABD8-43CC-9877-BE5DC03B2722}</x14:id>
        </ext>
      </extLst>
    </cfRule>
  </conditionalFormatting>
  <conditionalFormatting sqref="N83:O84 N159:O159 N180:O18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{84655322-FC5B-405B-968D-C5BCB616DA4C}</x14:id>
        </ext>
      </extLst>
    </cfRule>
  </conditionalFormatting>
  <conditionalFormatting sqref="K159 K83 K180:K181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{86E3ED49-A25A-4BAF-9FFD-F4BAA8F8E0DA}</x14:id>
        </ext>
      </extLst>
    </cfRule>
  </conditionalFormatting>
  <conditionalFormatting sqref="N83:N84 N159 N180:N182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{591823A6-FEB3-437A-8D78-F23010047E70}</x14:id>
        </ext>
      </extLst>
    </cfRule>
  </conditionalFormatting>
  <conditionalFormatting sqref="O83:O84 O159 O180:O182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{4E4BAAF6-17DA-474A-9353-39CA3A3E163D}</x14:id>
        </ext>
      </extLst>
    </cfRule>
  </conditionalFormatting>
  <conditionalFormatting sqref="V83:V84 V159 V180:V181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{9BBB18C0-529F-435B-81B1-F2A81856D03B}</x14:id>
        </ext>
      </extLst>
    </cfRule>
  </conditionalFormatting>
  <conditionalFormatting sqref="N7:O7 N83:O84 N159:O159 N180:O182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{60B9D360-ACF8-43EA-B7D5-2EFD9D4F2003}</x14:id>
        </ext>
      </extLst>
    </cfRule>
  </conditionalFormatting>
  <conditionalFormatting sqref="O182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{76873FA6-64D8-4F59-9FEB-E91D455F5DBF}</x14:id>
        </ext>
      </extLst>
    </cfRule>
  </conditionalFormatting>
  <conditionalFormatting sqref="V182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{31AFB99E-CD44-4DE4-AE94-DDFDF152AFFA}</x14:id>
        </ext>
      </extLst>
    </cfRule>
  </conditionalFormatting>
  <conditionalFormatting sqref="V182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{2DF191FA-DD4B-41DC-90DC-C87888BA8E92}</x14:id>
        </ext>
      </extLst>
    </cfRule>
  </conditionalFormatting>
  <conditionalFormatting sqref="V182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{834FD5E1-4286-4759-BDBC-95E4DB22E7B2}</x14:id>
        </ext>
      </extLst>
    </cfRule>
  </conditionalFormatting>
  <conditionalFormatting sqref="K8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{9F66995A-E8B7-4F3D-8E75-41DB07F3037A}</x14:id>
        </ext>
      </extLst>
    </cfRule>
  </conditionalFormatting>
  <conditionalFormatting sqref="V8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{F9A20B96-ED41-4886-848E-C20A91E6E883}</x14:id>
        </ext>
      </extLst>
    </cfRule>
  </conditionalFormatting>
  <conditionalFormatting sqref="N8:O8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{6C8AC954-ACEC-4FB8-81EF-C1EF7DC8C6E7}</x14:id>
        </ext>
      </extLst>
    </cfRule>
  </conditionalFormatting>
  <conditionalFormatting sqref="N8:O8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{EE0545E9-57C4-4402-887E-61FC643B9EEB}</x14:id>
        </ext>
      </extLst>
    </cfRule>
  </conditionalFormatting>
  <conditionalFormatting sqref="K8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{8249EB99-98C8-4F89-89AF-15ACB3B5F08D}</x14:id>
        </ext>
      </extLst>
    </cfRule>
  </conditionalFormatting>
  <conditionalFormatting sqref="N8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{197A895A-B505-46F7-9098-977182E314F2}</x14:id>
        </ext>
      </extLst>
    </cfRule>
  </conditionalFormatting>
  <conditionalFormatting sqref="O8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{9C8DB688-6389-4F4B-8FD4-D8825B4B9060}</x14:id>
        </ext>
      </extLst>
    </cfRule>
  </conditionalFormatting>
  <conditionalFormatting sqref="V8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{C646A1E9-7D83-4474-AEEF-589796AF2C87}</x14:id>
        </ext>
      </extLst>
    </cfRule>
  </conditionalFormatting>
  <conditionalFormatting sqref="N8:O8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{C41E1BD9-9939-4750-A132-BB93B1122856}</x14:id>
        </ext>
      </extLst>
    </cfRule>
  </conditionalFormatting>
  <conditionalFormatting sqref="V8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{63C67EDD-C3BF-41C5-A6C0-E74228DD2D0B}</x14:id>
        </ext>
      </extLst>
    </cfRule>
  </conditionalFormatting>
  <conditionalFormatting sqref="N85:O8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{FA183B5E-2224-43F7-B82E-A844DEFA4820}</x14:id>
        </ext>
      </extLst>
    </cfRule>
  </conditionalFormatting>
  <conditionalFormatting sqref="N85:O85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{D6AC093A-A286-4F65-96B4-13DED4DBE38D}</x14:id>
        </ext>
      </extLst>
    </cfRule>
  </conditionalFormatting>
  <conditionalFormatting sqref="N85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{2D5457E4-60C7-481D-B766-B2CA0B21A984}</x14:id>
        </ext>
      </extLst>
    </cfRule>
  </conditionalFormatting>
  <conditionalFormatting sqref="O85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{9E508F6B-7FFE-4E8D-8679-289FF598AD6D}</x14:id>
        </ext>
      </extLst>
    </cfRule>
  </conditionalFormatting>
  <conditionalFormatting sqref="V85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{1DBCDD32-1B1B-49EF-BC26-E1F6C018456B}</x14:id>
        </ext>
      </extLst>
    </cfRule>
  </conditionalFormatting>
  <conditionalFormatting sqref="W84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{2013008A-EDBA-4CBD-8601-5A8CC89D5782}</x14:id>
        </ext>
      </extLst>
    </cfRule>
  </conditionalFormatting>
  <conditionalFormatting sqref="W84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{3E30CC7E-3878-46FC-9923-750289B2B8E3}</x14:id>
        </ext>
      </extLst>
    </cfRule>
  </conditionalFormatting>
  <conditionalFormatting sqref="W8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{F50CC09B-1AA2-4746-BB55-483B71F98440}</x14:id>
        </ext>
      </extLst>
    </cfRule>
  </conditionalFormatting>
  <conditionalFormatting sqref="W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{9AF5A76D-85E0-48EB-97C6-702EC6D2F8EB}</x14:id>
        </ext>
      </extLst>
    </cfRule>
  </conditionalFormatting>
  <conditionalFormatting sqref="X181:Y181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{E4E8BD09-7DF3-4DDD-B65D-FE6343ECF9AF}</x14:id>
        </ext>
      </extLst>
    </cfRule>
  </conditionalFormatting>
  <conditionalFormatting sqref="X182:Y182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{9A7F6274-2CDB-4887-8757-9EB257D300A7}</x14:id>
        </ext>
      </extLst>
    </cfRule>
  </conditionalFormatting>
  <conditionalFormatting sqref="X182:Y182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{1D7EF42B-102F-40A4-BB99-53BE390ADC4E}</x14:id>
        </ext>
      </extLst>
    </cfRule>
  </conditionalFormatting>
  <conditionalFormatting sqref="X182:Y182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{5DE017F0-7E7E-4FED-9913-B95F627BF35A}</x14:id>
        </ext>
      </extLst>
    </cfRule>
  </conditionalFormatting>
  <conditionalFormatting sqref="O182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{1CBE4B41-33FE-4F08-B81E-1FEDE07913D5}</x14:id>
        </ext>
      </extLst>
    </cfRule>
  </conditionalFormatting>
  <conditionalFormatting sqref="N182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{2F3F5ACF-9A1F-4E9B-A6E3-4571D1D1344C}</x14:id>
        </ext>
      </extLst>
    </cfRule>
  </conditionalFormatting>
  <conditionalFormatting sqref="N182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{649D7325-7476-4B2A-B3E2-AEF781FA8331}</x14:id>
        </ext>
      </extLst>
    </cfRule>
  </conditionalFormatting>
  <conditionalFormatting sqref="N182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{76BA77CB-05EF-4C87-9C8E-A864F8D765B0}</x14:id>
        </ext>
      </extLst>
    </cfRule>
  </conditionalFormatting>
  <conditionalFormatting sqref="N159 N180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{C16F4CC2-83F0-4B8B-B3DE-A059326D3A42}</x14:id>
        </ext>
      </extLst>
    </cfRule>
  </conditionalFormatting>
  <conditionalFormatting sqref="V9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{48A23343-9117-4B88-B78E-CE93DD972D4B}</x14:id>
        </ext>
      </extLst>
    </cfRule>
  </conditionalFormatting>
  <conditionalFormatting sqref="N9:O9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{D6E2B06F-2B77-43FC-BA8D-2F4BF144ED3A}</x14:id>
        </ext>
      </extLst>
    </cfRule>
  </conditionalFormatting>
  <conditionalFormatting sqref="N9:O9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{1D7A8898-2C3D-416A-B1D1-292BC02EF06F}</x14:id>
        </ext>
      </extLst>
    </cfRule>
  </conditionalFormatting>
  <conditionalFormatting sqref="N9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{B2ACC35B-96CA-4BA5-9FC7-71C9A9FE12AA}</x14:id>
        </ext>
      </extLst>
    </cfRule>
  </conditionalFormatting>
  <conditionalFormatting sqref="O9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{BB566540-035A-4658-BA9E-9D8806513131}</x14:id>
        </ext>
      </extLst>
    </cfRule>
  </conditionalFormatting>
  <conditionalFormatting sqref="V9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{FE332D3E-7751-4AC1-9FBE-1037F5CB076B}</x14:id>
        </ext>
      </extLst>
    </cfRule>
  </conditionalFormatting>
  <conditionalFormatting sqref="N9:O9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{C82E3E46-90F9-4C5B-A467-50F6F3FD0837}</x14:id>
        </ext>
      </extLst>
    </cfRule>
  </conditionalFormatting>
  <conditionalFormatting sqref="K9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{6DA7B678-5E7F-46FC-A5B8-CE6120AF96F8}</x14:id>
        </ext>
      </extLst>
    </cfRule>
  </conditionalFormatting>
  <conditionalFormatting sqref="K9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{6627DE9C-5EDF-4EA6-9C64-74A03F5C6010}</x14:id>
        </ext>
      </extLst>
    </cfRule>
  </conditionalFormatting>
  <conditionalFormatting sqref="K9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{205D65DC-BBC3-46DE-853C-2A816A258EA5}</x14:id>
        </ext>
      </extLst>
    </cfRule>
  </conditionalFormatting>
  <conditionalFormatting sqref="V160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{2C193348-C621-4D5F-995D-57D5341CBBB7}</x14:id>
        </ext>
      </extLst>
    </cfRule>
  </conditionalFormatting>
  <conditionalFormatting sqref="N160:O160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{B8904DCE-F7FB-4106-9CDF-53117CAF87F1}</x14:id>
        </ext>
      </extLst>
    </cfRule>
  </conditionalFormatting>
  <conditionalFormatting sqref="N160:O160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{C8A17685-CAA8-49FD-8399-CD3CA81BCDB3}</x14:id>
        </ext>
      </extLst>
    </cfRule>
  </conditionalFormatting>
  <conditionalFormatting sqref="N160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{4E44AF73-B003-4C02-B6BC-21D5ADBC36AD}</x14:id>
        </ext>
      </extLst>
    </cfRule>
  </conditionalFormatting>
  <conditionalFormatting sqref="O160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{845DDE6C-CA81-4A66-AEAE-81FA235C3C0B}</x14:id>
        </ext>
      </extLst>
    </cfRule>
  </conditionalFormatting>
  <conditionalFormatting sqref="V160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{AD5B1B04-9956-456A-BEA3-8560722EFBB0}</x14:id>
        </ext>
      </extLst>
    </cfRule>
  </conditionalFormatting>
  <conditionalFormatting sqref="N160:O160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{F997C9C4-8EEA-4E80-98BB-8A86E7BA0E1E}</x14:id>
        </ext>
      </extLst>
    </cfRule>
  </conditionalFormatting>
  <conditionalFormatting sqref="K161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{7BC49DF0-B02A-463D-831D-0611D227B28D}</x14:id>
        </ext>
      </extLst>
    </cfRule>
  </conditionalFormatting>
  <conditionalFormatting sqref="V161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{E58BC617-6B00-4C8B-BCE9-C74534F9CBB4}</x14:id>
        </ext>
      </extLst>
    </cfRule>
  </conditionalFormatting>
  <conditionalFormatting sqref="N161:O161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{8EAA4A39-F4FE-4549-99EC-EEC917D9C0FB}</x14:id>
        </ext>
      </extLst>
    </cfRule>
  </conditionalFormatting>
  <conditionalFormatting sqref="N161:O161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{54954B06-BDD6-4668-A8C3-13D5A9619BB9}</x14:id>
        </ext>
      </extLst>
    </cfRule>
  </conditionalFormatting>
  <conditionalFormatting sqref="K16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{D81FD43A-E27F-4EC3-B031-CF954E77C4B0}</x14:id>
        </ext>
      </extLst>
    </cfRule>
  </conditionalFormatting>
  <conditionalFormatting sqref="N161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{D8EF761F-46D6-4F9C-9E07-84BF696CA3F7}</x14:id>
        </ext>
      </extLst>
    </cfRule>
  </conditionalFormatting>
  <conditionalFormatting sqref="O161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{0AAF6151-9DA9-4BD1-8778-56D14CEAB920}</x14:id>
        </ext>
      </extLst>
    </cfRule>
  </conditionalFormatting>
  <conditionalFormatting sqref="V161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{90BD4388-E0E2-438D-ABDF-283F4FD12BC5}</x14:id>
        </ext>
      </extLst>
    </cfRule>
  </conditionalFormatting>
  <conditionalFormatting sqref="N161:O161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{BB1EC046-F0F4-4D9C-B9D2-E211EA1B4494}</x14:id>
        </ext>
      </extLst>
    </cfRule>
  </conditionalFormatting>
  <conditionalFormatting sqref="N161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{66D98CD2-CAF4-4057-8750-C7F4E8C928DC}</x14:id>
        </ext>
      </extLst>
    </cfRule>
  </conditionalFormatting>
  <conditionalFormatting sqref="V10:V82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{D5F0E5E9-7D8B-466A-A757-CD99336C0AE7}</x14:id>
        </ext>
      </extLst>
    </cfRule>
  </conditionalFormatting>
  <conditionalFormatting sqref="N10:O82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{7CAC7403-6674-4849-A410-2EBC21602498}</x14:id>
        </ext>
      </extLst>
    </cfRule>
  </conditionalFormatting>
  <conditionalFormatting sqref="N10:O82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{B1B9CCAE-4960-48CB-AFE0-4BB8BCD2E7DA}</x14:id>
        </ext>
      </extLst>
    </cfRule>
  </conditionalFormatting>
  <conditionalFormatting sqref="N10:N82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{14C481FD-D6F5-48C7-9A00-2A523093969E}</x14:id>
        </ext>
      </extLst>
    </cfRule>
  </conditionalFormatting>
  <conditionalFormatting sqref="O10:O82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{9A9762A3-B9B3-414B-8400-5A82811028DC}</x14:id>
        </ext>
      </extLst>
    </cfRule>
  </conditionalFormatting>
  <conditionalFormatting sqref="V10:V82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{EC28B6FB-6DED-4CFE-B50D-7353DB128084}</x14:id>
        </ext>
      </extLst>
    </cfRule>
  </conditionalFormatting>
  <conditionalFormatting sqref="N10:O82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{ED9111BA-8CA5-4C6B-B9EC-ED9D7A8BC119}</x14:id>
        </ext>
      </extLst>
    </cfRule>
  </conditionalFormatting>
  <conditionalFormatting sqref="K10:K82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{48CE64EE-57D7-40FF-A549-D369EB7BDAD9}</x14:id>
        </ext>
      </extLst>
    </cfRule>
  </conditionalFormatting>
  <conditionalFormatting sqref="K10:K82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{CD6C4A41-56F1-4C69-A0DA-1FA4E539B210}</x14:id>
        </ext>
      </extLst>
    </cfRule>
  </conditionalFormatting>
  <conditionalFormatting sqref="K10:K8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{A62124E9-9AC4-4589-A5FC-39D9B5898EA4}</x14:id>
        </ext>
      </extLst>
    </cfRule>
  </conditionalFormatting>
  <conditionalFormatting sqref="K162:K179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{E115707D-B0D3-4A80-BBB7-DF0E5659AB5D}</x14:id>
        </ext>
      </extLst>
    </cfRule>
  </conditionalFormatting>
  <conditionalFormatting sqref="V162:V179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{B9F696B8-D18A-435A-BC6E-821CB6BB44B8}</x14:id>
        </ext>
      </extLst>
    </cfRule>
  </conditionalFormatting>
  <conditionalFormatting sqref="N162:O179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{6017A7BB-C7B9-4B29-8B80-919C2A81EBBC}</x14:id>
        </ext>
      </extLst>
    </cfRule>
  </conditionalFormatting>
  <conditionalFormatting sqref="N162:O17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{2A0A99ED-4705-415B-AF13-83342D6F6625}</x14:id>
        </ext>
      </extLst>
    </cfRule>
  </conditionalFormatting>
  <conditionalFormatting sqref="K162:K17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{366E9B15-8196-48F6-BCA8-669255E2C4D6}</x14:id>
        </ext>
      </extLst>
    </cfRule>
  </conditionalFormatting>
  <conditionalFormatting sqref="N162:N17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{93A6745C-FE1E-42F8-A1D8-CCA1468F7BDD}</x14:id>
        </ext>
      </extLst>
    </cfRule>
  </conditionalFormatting>
  <conditionalFormatting sqref="O162:O17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{A0EB854E-3C98-4067-BE80-1D9EDC7F6228}</x14:id>
        </ext>
      </extLst>
    </cfRule>
  </conditionalFormatting>
  <conditionalFormatting sqref="V162:V17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{9AFC787A-35EA-4BCB-8B88-95AB19377EDC}</x14:id>
        </ext>
      </extLst>
    </cfRule>
  </conditionalFormatting>
  <conditionalFormatting sqref="N162:O17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{357A7766-415C-4201-AEE5-60513D5A45FA}</x14:id>
        </ext>
      </extLst>
    </cfRule>
  </conditionalFormatting>
  <conditionalFormatting sqref="N162:N17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{60A16712-4848-41C1-AB9D-3981ABCBFA9C}</x14:id>
        </ext>
      </extLst>
    </cfRule>
  </conditionalFormatting>
  <conditionalFormatting sqref="V86:V15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{281ABB3A-6E31-4106-9BAC-1F8163E94FA4}</x14:id>
        </ext>
      </extLst>
    </cfRule>
  </conditionalFormatting>
  <conditionalFormatting sqref="N86:O15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{E4097F71-FDBF-4D49-9CB9-123A8CF766ED}</x14:id>
        </ext>
      </extLst>
    </cfRule>
  </conditionalFormatting>
  <conditionalFormatting sqref="N86:O15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{7228DFF4-F206-4DF7-91BC-CF8F064BFF4F}</x14:id>
        </ext>
      </extLst>
    </cfRule>
  </conditionalFormatting>
  <conditionalFormatting sqref="N86:N15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{72EF3E77-BD31-487C-BC13-DB0F17E50EF2}</x14:id>
        </ext>
      </extLst>
    </cfRule>
  </conditionalFormatting>
  <conditionalFormatting sqref="O86:O15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{CA4B229C-AC71-470B-B246-C58C6BD30048}</x14:id>
        </ext>
      </extLst>
    </cfRule>
  </conditionalFormatting>
  <conditionalFormatting sqref="V86:V15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{D2993601-0692-4460-A484-568C41613823}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 altText="Упорядочить">
                <anchor moveWithCells="1" sizeWithCells="1">
                  <from>
                    <xdr:col>25</xdr:col>
                    <xdr:colOff>419100</xdr:colOff>
                    <xdr:row>6</xdr:row>
                    <xdr:rowOff>381000</xdr:rowOff>
                  </from>
                  <to>
                    <xdr:col>28</xdr:col>
                    <xdr:colOff>85725</xdr:colOff>
                    <xdr:row>6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837182-3D44-4BDF-BC44-7A98DF45B3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</xm:sqref>
        </x14:conditionalFormatting>
        <x14:conditionalFormatting xmlns:xm="http://schemas.microsoft.com/office/excel/2006/main">
          <x14:cfRule type="dataBar" id="{2241DE90-22A3-47CA-806B-900A0D55F0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V83:V84 V159 V180</xm:sqref>
        </x14:conditionalFormatting>
        <x14:conditionalFormatting xmlns:xm="http://schemas.microsoft.com/office/excel/2006/main">
          <x14:cfRule type="dataBar" id="{4E69B0E5-ABD8-43CC-9877-BE5DC03B27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84655322-FC5B-405B-968D-C5BCB616D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86E3ED49-A25A-4BAF-9FFD-F4BAA8F8E0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K180:K181</xm:sqref>
        </x14:conditionalFormatting>
        <x14:conditionalFormatting xmlns:xm="http://schemas.microsoft.com/office/excel/2006/main">
          <x14:cfRule type="dataBar" id="{591823A6-FEB3-437A-8D78-F23010047E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N83:N84 N159 N180:N182</xm:sqref>
        </x14:conditionalFormatting>
        <x14:conditionalFormatting xmlns:xm="http://schemas.microsoft.com/office/excel/2006/main">
          <x14:cfRule type="dataBar" id="{4E4BAAF6-17DA-474A-9353-39CA3A3E16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O83:O84 O159 O180:O182</xm:sqref>
        </x14:conditionalFormatting>
        <x14:conditionalFormatting xmlns:xm="http://schemas.microsoft.com/office/excel/2006/main">
          <x14:cfRule type="dataBar" id="{9BBB18C0-529F-435B-81B1-F2A81856D0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V83:V84 V159 V180:V181</xm:sqref>
        </x14:conditionalFormatting>
        <x14:conditionalFormatting xmlns:xm="http://schemas.microsoft.com/office/excel/2006/main">
          <x14:cfRule type="dataBar" id="{60B9D360-ACF8-43EA-B7D5-2EFD9D4F20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N83:O84 N159:O159 N180:O182</xm:sqref>
        </x14:conditionalFormatting>
        <x14:conditionalFormatting xmlns:xm="http://schemas.microsoft.com/office/excel/2006/main">
          <x14:cfRule type="dataBar" id="{76873FA6-64D8-4F59-9FEB-E91D455F5D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31AFB99E-CD44-4DE4-AE94-DDFDF152AF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2DF191FA-DD4B-41DC-90DC-C87888BA8E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834FD5E1-4286-4759-BDBC-95E4DB22E7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9F66995A-E8B7-4F3D-8E75-41DB07F303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F9A20B96-ED41-4886-848E-C20A91E6E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C8AC954-ACEC-4FB8-81EF-C1EF7DC8C6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EE0545E9-57C4-4402-887E-61FC643B9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8249EB99-98C8-4F89-89AF-15ACB3B5F0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197A895A-B505-46F7-9098-977182E314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9C8DB688-6389-4F4B-8FD4-D8825B4B90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C646A1E9-7D83-4474-AEEF-589796AF2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41E1BD9-9939-4750-A132-BB93B11228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63C67EDD-C3BF-41C5-A6C0-E74228DD2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FA183B5E-2224-43F7-B82E-A844DEFA4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D6AC093A-A286-4F65-96B4-13DED4DBE3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2D5457E4-60C7-481D-B766-B2CA0B21A9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9E508F6B-7FFE-4E8D-8679-289FF598AD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1DBCDD32-1B1B-49EF-BC26-E1F6C01845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2013008A-EDBA-4CBD-8601-5A8CC89D57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3E30CC7E-3878-46FC-9923-750289B2B8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F50CC09B-1AA2-4746-BB55-483B71F98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AF5A76D-85E0-48EB-97C6-702EC6D2F8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4E8BD09-7DF3-4DDD-B65D-FE6343ECF9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X181:Y181</xm:sqref>
        </x14:conditionalFormatting>
        <x14:conditionalFormatting xmlns:xm="http://schemas.microsoft.com/office/excel/2006/main">
          <x14:cfRule type="dataBar" id="{9A7F6274-2CDB-4887-8757-9EB257D300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1D7EF42B-102F-40A4-BB99-53BE390ADC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5DE017F0-7E7E-4FED-9913-B95F627BF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1CBE4B41-33FE-4F08-B81E-1FEDE07913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2F3F5ACF-9A1F-4E9B-A6E3-4571D1D134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649D7325-7476-4B2A-B3E2-AEF781FA83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76BA77CB-05EF-4C87-9C8E-A864F8D765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C16F4CC2-83F0-4B8B-B3DE-A059326D3A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N159 N180</xm:sqref>
        </x14:conditionalFormatting>
        <x14:conditionalFormatting xmlns:xm="http://schemas.microsoft.com/office/excel/2006/main">
          <x14:cfRule type="dataBar" id="{48A23343-9117-4B88-B78E-CE93DD972D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6E2B06F-2B77-43FC-BA8D-2F4BF144ED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1D7A8898-2C3D-416A-B1D1-292BC02EF0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B2ACC35B-96CA-4BA5-9FC7-71C9A9FE12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BB566540-035A-4658-BA9E-9D8806513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FE332D3E-7751-4AC1-9FBE-1037F5CB07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82E3E46-90F9-4C5B-A467-50F6F3FD08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6DA7B678-5E7F-46FC-A5B8-CE6120AF96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6627DE9C-5EDF-4EA6-9C64-74A03F5C60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05D65DC-BBC3-46DE-853C-2A816A258E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C193348-C621-4D5F-995D-57D5341CBB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B8904DCE-F7FB-4106-9CDF-53117CAF87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C8A17685-CAA8-49FD-8399-CD3CA81BCD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4E44AF73-B003-4C02-B6BC-21D5ADBC36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845DDE6C-CA81-4A66-AEAE-81FA235C3C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AD5B1B04-9956-456A-BEA3-8560722EF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F997C9C4-8EEA-4E80-98BB-8A86E7BA0E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7BC49DF0-B02A-463D-831D-0611D227B2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E58BC617-6B00-4C8B-BCE9-C74534F9C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8EAA4A39-F4FE-4549-99EC-EEC917D9C0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54954B06-BDD6-4668-A8C3-13D5A9619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D81FD43A-E27F-4EC3-B031-CF954E77C4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D8EF761F-46D6-4F9C-9E07-84BF696CA3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0AAF6151-9DA9-4BD1-8778-56D14CEAB9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90BD4388-E0E2-438D-ABDF-283F4FD12B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BB1EC046-F0F4-4D9C-B9D2-E211EA1B44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66D98CD2-CAF4-4057-8750-C7F4E8C92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D5F0E5E9-7D8B-466A-A757-CD99336C0A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7CAC7403-6674-4849-A410-2EBC216024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B1B9CCAE-4960-48CB-AFE0-4BB8BCD2E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14C481FD-D6F5-48C7-9A00-2A52309396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N10:N82</xm:sqref>
        </x14:conditionalFormatting>
        <x14:conditionalFormatting xmlns:xm="http://schemas.microsoft.com/office/excel/2006/main">
          <x14:cfRule type="dataBar" id="{9A9762A3-B9B3-414B-8400-5A8281102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O10:O82</xm:sqref>
        </x14:conditionalFormatting>
        <x14:conditionalFormatting xmlns:xm="http://schemas.microsoft.com/office/excel/2006/main">
          <x14:cfRule type="dataBar" id="{EC28B6FB-6DED-4CFE-B50D-7353DB1280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ED9111BA-8CA5-4C6B-B9EC-ED9D7A8BC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48CE64EE-57D7-40FF-A549-D369EB7BDA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CD6C4A41-56F1-4C69-A0DA-1FA4E539B2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A62124E9-9AC4-4589-A5FC-39D9B5898E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E115707D-B0D3-4A80-BBB7-DF0E5659AB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B9F696B8-D18A-435A-BC6E-821CB6BB44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6017A7BB-C7B9-4B29-8B80-919C2A81EB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2A0A99ED-4705-415B-AF13-83342D6F66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366E9B15-8196-48F6-BCA8-669255E2C4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93A6745C-FE1E-42F8-A1D8-CCA1468F7B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A0EB854E-3C98-4067-BE80-1D9EDC7F62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O162:O179</xm:sqref>
        </x14:conditionalFormatting>
        <x14:conditionalFormatting xmlns:xm="http://schemas.microsoft.com/office/excel/2006/main">
          <x14:cfRule type="dataBar" id="{9AFC787A-35EA-4BCB-8B88-95AB19377E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357A7766-415C-4201-AEE5-60513D5A45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60A16712-4848-41C1-AB9D-3981ABCBF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281ABB3A-6E31-4106-9BAC-1F8163E94F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dataBar" id="{E4097F71-FDBF-4D49-9CB9-123A8CF76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7228DFF4-F206-4DF7-91BC-CF8F064BFF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72EF3E77-BD31-487C-BC13-DB0F17E50E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N86:N158</xm:sqref>
        </x14:conditionalFormatting>
        <x14:conditionalFormatting xmlns:xm="http://schemas.microsoft.com/office/excel/2006/main">
          <x14:cfRule type="dataBar" id="{CA4B229C-AC71-470B-B246-C58C6BD30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O86:O158</xm:sqref>
        </x14:conditionalFormatting>
        <x14:conditionalFormatting xmlns:xm="http://schemas.microsoft.com/office/excel/2006/main">
          <x14:cfRule type="dataBar" id="{D2993601-0692-4460-A484-568C41613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iconSet" priority="103" id="{982DF2F7-ADC6-412F-B909-F07019469F7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L159 L83:L84 L180</xm:sqref>
        </x14:conditionalFormatting>
        <x14:conditionalFormatting xmlns:xm="http://schemas.microsoft.com/office/excel/2006/main">
          <x14:cfRule type="iconSet" priority="89" id="{E80CD4E0-CE0A-4306-BFB3-D151838EE15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79" id="{9A889F19-A702-41D8-8D4C-66E75DDF4F0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L85</xm:sqref>
        </x14:conditionalFormatting>
        <x14:conditionalFormatting xmlns:xm="http://schemas.microsoft.com/office/excel/2006/main">
          <x14:cfRule type="iconSet" priority="59" id="{7AD6180A-C09A-4396-A5BF-B9F7DA0EBBB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</xm:sqref>
        </x14:conditionalFormatting>
        <x14:conditionalFormatting xmlns:xm="http://schemas.microsoft.com/office/excel/2006/main">
          <x14:cfRule type="iconSet" priority="48" id="{311172B7-2D0D-44DC-9446-5E8F3D87B07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L160</xm:sqref>
        </x14:conditionalFormatting>
        <x14:conditionalFormatting xmlns:xm="http://schemas.microsoft.com/office/excel/2006/main">
          <x14:cfRule type="iconSet" priority="40" id="{E8AC7C0A-8640-4FAF-B4FC-47B2B3B6169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L161</xm:sqref>
        </x14:conditionalFormatting>
        <x14:conditionalFormatting xmlns:xm="http://schemas.microsoft.com/office/excel/2006/main">
          <x14:cfRule type="iconSet" priority="29" id="{F29CF292-5E3E-432C-916F-8D46C8473E5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L10:L82</xm:sqref>
        </x14:conditionalFormatting>
        <x14:conditionalFormatting xmlns:xm="http://schemas.microsoft.com/office/excel/2006/main">
          <x14:cfRule type="iconSet" priority="18" id="{ED54970E-4300-444D-B383-C8D08F3250C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L162:L179</xm:sqref>
        </x14:conditionalFormatting>
        <x14:conditionalFormatting xmlns:xm="http://schemas.microsoft.com/office/excel/2006/main">
          <x14:cfRule type="iconSet" priority="7" id="{7AB89A67-3EB7-44F2-A204-78CD94BE99F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L86:L158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report</vt:lpstr>
      <vt:lpstr>CLIENT</vt:lpstr>
      <vt:lpstr>positions</vt:lpstr>
      <vt:lpstr>Balances-Currency</vt:lpstr>
      <vt:lpstr>Securities</vt:lpstr>
      <vt:lpstr>Instruments</vt:lpstr>
      <vt:lpstr>MICEX</vt:lpstr>
      <vt:lpstr>Sheet1</vt:lpstr>
      <vt:lpstr>CLIENT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master</cp:lastModifiedBy>
  <cp:lastPrinted>2017-07-06T09:40:37Z</cp:lastPrinted>
  <dcterms:created xsi:type="dcterms:W3CDTF">2017-03-06T12:53:08Z</dcterms:created>
  <dcterms:modified xsi:type="dcterms:W3CDTF">2017-11-15T13:30:20Z</dcterms:modified>
</cp:coreProperties>
</file>