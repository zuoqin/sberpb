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15195" yWindow="-30" windowWidth="13095" windowHeight="14835" tabRatio="867" activeTab="3"/>
  </bookViews>
  <sheets>
    <sheet name="Enter" sheetId="114" r:id="rId1"/>
    <sheet name="secs" sheetId="113" r:id="rId2"/>
    <sheet name="Arena" sheetId="112" r:id="rId3"/>
    <sheet name="Гарез_GRENF" sheetId="115" r:id="rId4"/>
    <sheet name="Гарез_999" sheetId="116" r:id="rId5"/>
    <sheet name="Table" sheetId="74" r:id="rId6"/>
    <sheet name="Base all $ 3 Duration" sheetId="66" r:id="rId7"/>
    <sheet name="Sheet3" sheetId="77" r:id="rId8"/>
    <sheet name="Model Portfolio" sheetId="98" r:id="rId9"/>
  </sheets>
  <functionGroups builtInGroupCount="17"/>
  <externalReferences>
    <externalReference r:id="rId10"/>
  </externalReferences>
  <definedNames>
    <definedName name="_xlnm._FilterDatabase" localSheetId="6" hidden="1">'Base all $ 3 Duration'!$A$2:$T$159</definedName>
    <definedName name="_xlnm._FilterDatabase" localSheetId="8" hidden="1">'Model Portfolio'!$A$1:$AD$1</definedName>
    <definedName name="_xlnm._FilterDatabase" localSheetId="4" hidden="1">Гарез_999!#REF!</definedName>
    <definedName name="_xlnm._FilterDatabase" localSheetId="3" hidden="1">Гарез_GRENF!#REF!</definedName>
  </definedNames>
  <calcPr calcId="145621" calcOnSave="0"/>
  <pivotCaches>
    <pivotCache cacheId="2" r:id="rId11"/>
  </pivotCaches>
</workbook>
</file>

<file path=xl/calcChain.xml><?xml version="1.0" encoding="utf-8"?>
<calcChain xmlns="http://schemas.openxmlformats.org/spreadsheetml/2006/main">
  <c r="J101" i="115" l="1"/>
  <c r="I101" i="115"/>
  <c r="H101" i="115" s="1"/>
  <c r="F101" i="115"/>
  <c r="P100" i="115"/>
  <c r="I100" i="115"/>
  <c r="J100" i="115" s="1"/>
  <c r="J98" i="115"/>
  <c r="I98" i="115"/>
  <c r="H98" i="115"/>
  <c r="F98" i="115"/>
  <c r="P97" i="115"/>
  <c r="I97" i="115"/>
  <c r="J97" i="115" s="1"/>
  <c r="J95" i="115"/>
  <c r="I95" i="115"/>
  <c r="H95" i="115" s="1"/>
  <c r="F95" i="115"/>
  <c r="P94" i="115"/>
  <c r="I94" i="115"/>
  <c r="J94" i="115" s="1"/>
  <c r="J92" i="115"/>
  <c r="I92" i="115"/>
  <c r="F92" i="115"/>
  <c r="P90" i="115"/>
  <c r="I90" i="115"/>
  <c r="J90" i="115" s="1"/>
  <c r="H92" i="115"/>
  <c r="P91" i="115"/>
  <c r="I91" i="115"/>
  <c r="J91" i="115" s="1"/>
  <c r="J88" i="115"/>
  <c r="I88" i="115"/>
  <c r="H88" i="115" s="1"/>
  <c r="F88" i="115"/>
  <c r="P87" i="115"/>
  <c r="I87" i="115"/>
  <c r="J87" i="115" s="1"/>
  <c r="J85" i="115"/>
  <c r="I85" i="115"/>
  <c r="H85" i="115" s="1"/>
  <c r="F85" i="115"/>
  <c r="P84" i="115"/>
  <c r="I84" i="115"/>
  <c r="J84" i="115" s="1"/>
  <c r="J82" i="115"/>
  <c r="I82" i="115"/>
  <c r="F82" i="115"/>
  <c r="P80" i="115"/>
  <c r="I80" i="115"/>
  <c r="J80" i="115" s="1"/>
  <c r="H82" i="115"/>
  <c r="P81" i="115"/>
  <c r="I81" i="115"/>
  <c r="J81" i="115" s="1"/>
  <c r="J78" i="115"/>
  <c r="I78" i="115"/>
  <c r="H78" i="115" s="1"/>
  <c r="F78" i="115"/>
  <c r="P77" i="115"/>
  <c r="I77" i="115"/>
  <c r="J77" i="115" s="1"/>
  <c r="J75" i="115"/>
  <c r="I75" i="115"/>
  <c r="F75" i="115"/>
  <c r="P71" i="115"/>
  <c r="I71" i="115"/>
  <c r="J71" i="115" s="1"/>
  <c r="P72" i="115"/>
  <c r="I72" i="115"/>
  <c r="J72" i="115" s="1"/>
  <c r="H75" i="115"/>
  <c r="P73" i="115"/>
  <c r="I73" i="115"/>
  <c r="J73" i="115" s="1"/>
  <c r="P74" i="115"/>
  <c r="I74" i="115"/>
  <c r="J74" i="115" s="1"/>
  <c r="J69" i="115"/>
  <c r="I69" i="115"/>
  <c r="H69" i="115" s="1"/>
  <c r="F69" i="115"/>
  <c r="P68" i="115"/>
  <c r="I68" i="115"/>
  <c r="J68" i="115" s="1"/>
  <c r="J66" i="115"/>
  <c r="I66" i="115"/>
  <c r="H66" i="115" s="1"/>
  <c r="F66" i="115"/>
  <c r="P65" i="115"/>
  <c r="I65" i="115"/>
  <c r="J65" i="115" s="1"/>
  <c r="J63" i="115"/>
  <c r="I63" i="115"/>
  <c r="H63" i="115" s="1"/>
  <c r="F63" i="115"/>
  <c r="P62" i="115"/>
  <c r="I62" i="115"/>
  <c r="J62" i="115" s="1"/>
  <c r="J60" i="115"/>
  <c r="I60" i="115"/>
  <c r="H60" i="115" s="1"/>
  <c r="F60" i="115"/>
  <c r="P59" i="115"/>
  <c r="I59" i="115"/>
  <c r="J59" i="115" s="1"/>
  <c r="J57" i="115"/>
  <c r="I57" i="115"/>
  <c r="H57" i="115"/>
  <c r="F57" i="115"/>
  <c r="P56" i="115"/>
  <c r="I56" i="115"/>
  <c r="J56" i="115" s="1"/>
  <c r="J54" i="115"/>
  <c r="I54" i="115"/>
  <c r="H54" i="115" s="1"/>
  <c r="F54" i="115"/>
  <c r="P53" i="115"/>
  <c r="I53" i="115"/>
  <c r="J53" i="115" s="1"/>
  <c r="J45" i="115"/>
  <c r="I45" i="115"/>
  <c r="F45" i="115"/>
  <c r="I43" i="115"/>
  <c r="J43" i="115" s="1"/>
  <c r="F51" i="115"/>
  <c r="P50" i="115"/>
  <c r="J50" i="115"/>
  <c r="I50" i="115"/>
  <c r="I51" i="115" s="1"/>
  <c r="H51" i="115" s="1"/>
  <c r="F8" i="115" s="1"/>
  <c r="J48" i="115"/>
  <c r="F48" i="115"/>
  <c r="P47" i="115"/>
  <c r="J47" i="115"/>
  <c r="I47" i="115"/>
  <c r="I48" i="115" s="1"/>
  <c r="H48" i="115" s="1"/>
  <c r="F7" i="115" s="1"/>
  <c r="H45" i="115"/>
  <c r="F11" i="115" s="1"/>
  <c r="I44" i="115"/>
  <c r="J44" i="115" s="1"/>
  <c r="F40" i="115"/>
  <c r="P39" i="115"/>
  <c r="J39" i="115"/>
  <c r="J40" i="115" s="1"/>
  <c r="I39" i="115"/>
  <c r="I40" i="115" s="1"/>
  <c r="H40" i="115" s="1"/>
  <c r="F5" i="115" s="1"/>
  <c r="O5" i="115" s="1"/>
  <c r="I37" i="115"/>
  <c r="H37" i="115"/>
  <c r="F6" i="115" s="1"/>
  <c r="F37" i="115"/>
  <c r="I36" i="115"/>
  <c r="J36" i="115" s="1"/>
  <c r="F34" i="115"/>
  <c r="E10" i="115" s="1"/>
  <c r="I32" i="115"/>
  <c r="I31" i="115"/>
  <c r="F29" i="115"/>
  <c r="P28" i="115"/>
  <c r="F26" i="115"/>
  <c r="E4" i="115" s="1"/>
  <c r="P25" i="115"/>
  <c r="I25" i="115"/>
  <c r="J25" i="115" s="1"/>
  <c r="M19" i="115"/>
  <c r="J19" i="115"/>
  <c r="I19" i="115"/>
  <c r="H19" i="115"/>
  <c r="O13" i="115"/>
  <c r="Q12" i="115"/>
  <c r="E9" i="115"/>
  <c r="E8" i="115"/>
  <c r="E7" i="115"/>
  <c r="O7" i="115" s="1"/>
  <c r="E6" i="115"/>
  <c r="E5" i="115"/>
  <c r="F49" i="116"/>
  <c r="P48" i="116"/>
  <c r="I48" i="116"/>
  <c r="J48" i="116" s="1"/>
  <c r="F46" i="116"/>
  <c r="P45" i="116"/>
  <c r="J45" i="116"/>
  <c r="I45" i="116"/>
  <c r="I46" i="116" s="1"/>
  <c r="H46" i="116" s="1"/>
  <c r="F7" i="116" s="1"/>
  <c r="I43" i="116"/>
  <c r="F43" i="116"/>
  <c r="E11" i="116" s="1"/>
  <c r="J42" i="116"/>
  <c r="I42" i="116"/>
  <c r="F40" i="116"/>
  <c r="E5" i="116" s="1"/>
  <c r="P39" i="116"/>
  <c r="J39" i="116"/>
  <c r="J40" i="116" s="1"/>
  <c r="I39" i="116"/>
  <c r="I40" i="116" s="1"/>
  <c r="H40" i="116" s="1"/>
  <c r="F5" i="116" s="1"/>
  <c r="I37" i="116"/>
  <c r="H37" i="116"/>
  <c r="F6" i="116" s="1"/>
  <c r="F37" i="116"/>
  <c r="I36" i="116"/>
  <c r="J36" i="116" s="1"/>
  <c r="F34" i="116"/>
  <c r="E10" i="116" s="1"/>
  <c r="I32" i="116"/>
  <c r="I31" i="116"/>
  <c r="F29" i="116"/>
  <c r="P28" i="116"/>
  <c r="I26" i="116"/>
  <c r="F26" i="116"/>
  <c r="H26" i="116" s="1"/>
  <c r="F4" i="116" s="1"/>
  <c r="P25" i="116"/>
  <c r="I25" i="116"/>
  <c r="J25" i="116" s="1"/>
  <c r="M19" i="116"/>
  <c r="J19" i="116"/>
  <c r="I19" i="116"/>
  <c r="H19" i="116"/>
  <c r="O13" i="116"/>
  <c r="Q12" i="116"/>
  <c r="E9" i="116"/>
  <c r="E8" i="116"/>
  <c r="E7" i="116"/>
  <c r="E6" i="116"/>
  <c r="M100" i="115"/>
  <c r="L100" i="115"/>
  <c r="D100" i="115"/>
  <c r="M97" i="115"/>
  <c r="D97" i="115"/>
  <c r="L97" i="115"/>
  <c r="M94" i="115"/>
  <c r="L94" i="115"/>
  <c r="D94" i="115"/>
  <c r="D90" i="115"/>
  <c r="M90" i="115"/>
  <c r="L90" i="115"/>
  <c r="M91" i="115"/>
  <c r="L91" i="115"/>
  <c r="D91" i="115"/>
  <c r="D87" i="115"/>
  <c r="M87" i="115"/>
  <c r="L87" i="115"/>
  <c r="D84" i="115"/>
  <c r="M84" i="115"/>
  <c r="L84" i="115"/>
  <c r="M80" i="115"/>
  <c r="L80" i="115"/>
  <c r="D80" i="115"/>
  <c r="M81" i="115"/>
  <c r="L81" i="115"/>
  <c r="D81" i="115"/>
  <c r="M77" i="115"/>
  <c r="L77" i="115"/>
  <c r="D77" i="115"/>
  <c r="M71" i="115"/>
  <c r="D71" i="115"/>
  <c r="L71" i="115"/>
  <c r="M72" i="115"/>
  <c r="L72" i="115"/>
  <c r="D72" i="115"/>
  <c r="M73" i="115"/>
  <c r="L73" i="115"/>
  <c r="D73" i="115"/>
  <c r="M74" i="115"/>
  <c r="L74" i="115"/>
  <c r="D74" i="115"/>
  <c r="M68" i="115"/>
  <c r="L68" i="115"/>
  <c r="D68" i="115"/>
  <c r="M65" i="115"/>
  <c r="L65" i="115"/>
  <c r="D65" i="115"/>
  <c r="M62" i="115"/>
  <c r="L62" i="115"/>
  <c r="D62" i="115"/>
  <c r="M59" i="115"/>
  <c r="L59" i="115"/>
  <c r="D59" i="115"/>
  <c r="M56" i="115"/>
  <c r="L56" i="115"/>
  <c r="D56" i="115"/>
  <c r="M53" i="115"/>
  <c r="L53" i="115"/>
  <c r="D53" i="115"/>
  <c r="M43" i="115"/>
  <c r="L43" i="115"/>
  <c r="D43" i="115"/>
  <c r="L50" i="115"/>
  <c r="M44" i="115"/>
  <c r="L33" i="115"/>
  <c r="L32" i="115"/>
  <c r="H28" i="115"/>
  <c r="B11" i="115"/>
  <c r="T8" i="115"/>
  <c r="G7" i="115"/>
  <c r="J6" i="115"/>
  <c r="U5" i="115"/>
  <c r="H4" i="115"/>
  <c r="G1" i="115"/>
  <c r="L36" i="115"/>
  <c r="D28" i="115"/>
  <c r="R19" i="115"/>
  <c r="T10" i="115"/>
  <c r="J8" i="115"/>
  <c r="K5" i="115"/>
  <c r="J10" i="115"/>
  <c r="H8" i="115"/>
  <c r="K7" i="115"/>
  <c r="M39" i="115"/>
  <c r="G33" i="115"/>
  <c r="T9" i="115"/>
  <c r="G8" i="115"/>
  <c r="J7" i="115"/>
  <c r="K4" i="115"/>
  <c r="D44" i="115"/>
  <c r="G36" i="115"/>
  <c r="M31" i="115"/>
  <c r="V8" i="115"/>
  <c r="J4" i="115"/>
  <c r="M32" i="115"/>
  <c r="J9" i="115"/>
  <c r="K6" i="115"/>
  <c r="I1" i="115"/>
  <c r="G47" i="115"/>
  <c r="L44" i="115"/>
  <c r="M36" i="115"/>
  <c r="G28" i="115"/>
  <c r="M25" i="115"/>
  <c r="U10" i="115"/>
  <c r="H9" i="115"/>
  <c r="K8" i="115"/>
  <c r="V7" i="115"/>
  <c r="T5" i="115"/>
  <c r="G4" i="115"/>
  <c r="D47" i="115"/>
  <c r="G39" i="115"/>
  <c r="L25" i="115"/>
  <c r="E19" i="115"/>
  <c r="T11" i="115"/>
  <c r="G9" i="115"/>
  <c r="U7" i="115"/>
  <c r="H6" i="115"/>
  <c r="V4" i="115"/>
  <c r="G11" i="115"/>
  <c r="U9" i="115"/>
  <c r="T4" i="115"/>
  <c r="D50" i="115"/>
  <c r="G44" i="115"/>
  <c r="D32" i="115"/>
  <c r="U6" i="115"/>
  <c r="H10" i="115"/>
  <c r="G5" i="115"/>
  <c r="M50" i="115"/>
  <c r="M33" i="115"/>
  <c r="G10" i="115"/>
  <c r="V5" i="115"/>
  <c r="D39" i="115"/>
  <c r="G31" i="115"/>
  <c r="M28" i="115"/>
  <c r="B19" i="115"/>
  <c r="K11" i="115"/>
  <c r="K10" i="115"/>
  <c r="V9" i="115"/>
  <c r="T7" i="115"/>
  <c r="G6" i="115"/>
  <c r="J5" i="115"/>
  <c r="U4" i="115"/>
  <c r="G50" i="115"/>
  <c r="M47" i="115"/>
  <c r="H33" i="115"/>
  <c r="G32" i="115"/>
  <c r="D31" i="115"/>
  <c r="L28" i="115"/>
  <c r="O19" i="115"/>
  <c r="V6" i="115"/>
  <c r="L47" i="115"/>
  <c r="H5" i="115"/>
  <c r="P1" i="115"/>
  <c r="L39" i="115"/>
  <c r="D33" i="115"/>
  <c r="G25" i="115"/>
  <c r="K9" i="115"/>
  <c r="T6" i="115"/>
  <c r="K1" i="115"/>
  <c r="D36" i="115"/>
  <c r="L31" i="115"/>
  <c r="D25" i="115"/>
  <c r="U8" i="115"/>
  <c r="H7" i="115"/>
  <c r="L48" i="116"/>
  <c r="M42" i="116"/>
  <c r="L33" i="116"/>
  <c r="L32" i="116"/>
  <c r="H28" i="116"/>
  <c r="B11" i="116"/>
  <c r="T8" i="116"/>
  <c r="G7" i="116"/>
  <c r="J6" i="116"/>
  <c r="U5" i="116"/>
  <c r="H4" i="116"/>
  <c r="G1" i="116"/>
  <c r="D39" i="116"/>
  <c r="M28" i="116"/>
  <c r="K10" i="116"/>
  <c r="T7" i="116"/>
  <c r="G6" i="116"/>
  <c r="J5" i="116"/>
  <c r="G8" i="116"/>
  <c r="U6" i="116"/>
  <c r="H5" i="116"/>
  <c r="D42" i="116"/>
  <c r="V8" i="116"/>
  <c r="J4" i="116"/>
  <c r="D36" i="116"/>
  <c r="K6" i="116"/>
  <c r="G45" i="116"/>
  <c r="L42" i="116"/>
  <c r="M36" i="116"/>
  <c r="G28" i="116"/>
  <c r="M25" i="116"/>
  <c r="U10" i="116"/>
  <c r="H9" i="116"/>
  <c r="K8" i="116"/>
  <c r="V7" i="116"/>
  <c r="T5" i="116"/>
  <c r="G4" i="116"/>
  <c r="K11" i="116"/>
  <c r="U4" i="116"/>
  <c r="G36" i="116"/>
  <c r="G25" i="116"/>
  <c r="H10" i="116"/>
  <c r="T6" i="116"/>
  <c r="M32" i="116"/>
  <c r="U8" i="116"/>
  <c r="H7" i="116"/>
  <c r="D45" i="116"/>
  <c r="G39" i="116"/>
  <c r="L36" i="116"/>
  <c r="D28" i="116"/>
  <c r="L25" i="116"/>
  <c r="R19" i="116"/>
  <c r="E19" i="116"/>
  <c r="T11" i="116"/>
  <c r="T10" i="116"/>
  <c r="G9" i="116"/>
  <c r="J8" i="116"/>
  <c r="U7" i="116"/>
  <c r="H6" i="116"/>
  <c r="K5" i="116"/>
  <c r="V4" i="116"/>
  <c r="G31" i="116"/>
  <c r="B19" i="116"/>
  <c r="V9" i="116"/>
  <c r="L39" i="116"/>
  <c r="M31" i="116"/>
  <c r="K9" i="116"/>
  <c r="K1" i="116"/>
  <c r="L31" i="116"/>
  <c r="G10" i="116"/>
  <c r="V5" i="116"/>
  <c r="I1" i="116"/>
  <c r="G48" i="116"/>
  <c r="M45" i="116"/>
  <c r="H33" i="116"/>
  <c r="G32" i="116"/>
  <c r="D31" i="116"/>
  <c r="L28" i="116"/>
  <c r="O19" i="116"/>
  <c r="G11" i="116"/>
  <c r="J10" i="116"/>
  <c r="U9" i="116"/>
  <c r="H8" i="116"/>
  <c r="K7" i="116"/>
  <c r="V6" i="116"/>
  <c r="T4" i="116"/>
  <c r="D48" i="116"/>
  <c r="L45" i="116"/>
  <c r="G42" i="116"/>
  <c r="M39" i="116"/>
  <c r="G33" i="116"/>
  <c r="D32" i="116"/>
  <c r="T9" i="116"/>
  <c r="J7" i="116"/>
  <c r="K4" i="116"/>
  <c r="P1" i="116"/>
  <c r="D33" i="116"/>
  <c r="G5" i="116"/>
  <c r="M48" i="116"/>
  <c r="M33" i="116"/>
  <c r="D25" i="116"/>
  <c r="J9" i="116"/>
  <c r="K100" i="115" l="1"/>
  <c r="K101" i="115" s="1"/>
  <c r="K97" i="115"/>
  <c r="K98" i="115" s="1"/>
  <c r="K94" i="115"/>
  <c r="K95" i="115" s="1"/>
  <c r="K90" i="115"/>
  <c r="K91" i="115"/>
  <c r="K87" i="115"/>
  <c r="K88" i="115" s="1"/>
  <c r="K84" i="115"/>
  <c r="K85" i="115" s="1"/>
  <c r="K80" i="115"/>
  <c r="K81" i="115"/>
  <c r="K77" i="115"/>
  <c r="K78" i="115" s="1"/>
  <c r="K71" i="115"/>
  <c r="K75" i="115" s="1"/>
  <c r="K72" i="115"/>
  <c r="K73" i="115"/>
  <c r="K74" i="115"/>
  <c r="K68" i="115"/>
  <c r="K69" i="115" s="1"/>
  <c r="K65" i="115"/>
  <c r="K66" i="115" s="1"/>
  <c r="K62" i="115"/>
  <c r="K63" i="115" s="1"/>
  <c r="K59" i="115"/>
  <c r="K60" i="115" s="1"/>
  <c r="K56" i="115"/>
  <c r="K57" i="115" s="1"/>
  <c r="K53" i="115"/>
  <c r="K54" i="115" s="1"/>
  <c r="K43" i="115"/>
  <c r="I7" i="115"/>
  <c r="P33" i="115"/>
  <c r="P54" i="115" s="1"/>
  <c r="K39" i="115"/>
  <c r="K40" i="115" s="1"/>
  <c r="N5" i="115" s="1"/>
  <c r="I5" i="115"/>
  <c r="I33" i="115"/>
  <c r="J33" i="115" s="1"/>
  <c r="K33" i="115" s="1"/>
  <c r="M6" i="115"/>
  <c r="M5" i="115"/>
  <c r="P5" i="115"/>
  <c r="Q5" i="115"/>
  <c r="I10" i="115"/>
  <c r="M11" i="115"/>
  <c r="I6" i="115"/>
  <c r="M4" i="115"/>
  <c r="I9" i="115"/>
  <c r="M8" i="115"/>
  <c r="I8" i="115"/>
  <c r="I4" i="115"/>
  <c r="M7" i="115"/>
  <c r="P7" i="115"/>
  <c r="Q7" i="115"/>
  <c r="I28" i="115"/>
  <c r="J32" i="115"/>
  <c r="K32" i="115" s="1"/>
  <c r="P6" i="115"/>
  <c r="K44" i="115"/>
  <c r="J31" i="115"/>
  <c r="N19" i="115"/>
  <c r="P10" i="115"/>
  <c r="K25" i="115"/>
  <c r="K26" i="115" s="1"/>
  <c r="N4" i="115" s="1"/>
  <c r="J26" i="115"/>
  <c r="P4" i="115"/>
  <c r="Q4" i="115"/>
  <c r="K47" i="115"/>
  <c r="K48" i="115" s="1"/>
  <c r="N7" i="115" s="1"/>
  <c r="P8" i="115"/>
  <c r="J37" i="115"/>
  <c r="K36" i="115"/>
  <c r="K37" i="115" s="1"/>
  <c r="N6" i="115" s="1"/>
  <c r="P9" i="115"/>
  <c r="K50" i="115"/>
  <c r="K51" i="115" s="1"/>
  <c r="N8" i="115" s="1"/>
  <c r="O8" i="115"/>
  <c r="I26" i="115"/>
  <c r="H26" i="115" s="1"/>
  <c r="F4" i="115" s="1"/>
  <c r="O4" i="115" s="1"/>
  <c r="O6" i="115"/>
  <c r="Q8" i="115"/>
  <c r="E11" i="115"/>
  <c r="O11" i="115" s="1"/>
  <c r="J51" i="115"/>
  <c r="Q6" i="115"/>
  <c r="M5" i="116"/>
  <c r="I8" i="116"/>
  <c r="P11" i="116"/>
  <c r="I33" i="116"/>
  <c r="J33" i="116" s="1"/>
  <c r="K33" i="116" s="1"/>
  <c r="P33" i="116"/>
  <c r="P51" i="116" s="1"/>
  <c r="K39" i="116"/>
  <c r="K40" i="116" s="1"/>
  <c r="N5" i="116" s="1"/>
  <c r="I6" i="116"/>
  <c r="I7" i="116"/>
  <c r="I10" i="116"/>
  <c r="M4" i="116"/>
  <c r="I9" i="116"/>
  <c r="I5" i="116"/>
  <c r="M8" i="116"/>
  <c r="M6" i="116"/>
  <c r="I4" i="116"/>
  <c r="M7" i="116"/>
  <c r="Q7" i="116"/>
  <c r="P7" i="116"/>
  <c r="I28" i="116"/>
  <c r="P10" i="116"/>
  <c r="P5" i="116"/>
  <c r="O5" i="116"/>
  <c r="Q5" i="116"/>
  <c r="Q6" i="116"/>
  <c r="J31" i="116"/>
  <c r="O7" i="116"/>
  <c r="Q8" i="116"/>
  <c r="P9" i="116"/>
  <c r="K36" i="116"/>
  <c r="K37" i="116" s="1"/>
  <c r="N6" i="116" s="1"/>
  <c r="J37" i="116"/>
  <c r="K48" i="116"/>
  <c r="K49" i="116" s="1"/>
  <c r="N8" i="116" s="1"/>
  <c r="J49" i="116"/>
  <c r="K42" i="116"/>
  <c r="K43" i="116" s="1"/>
  <c r="N11" i="116" s="1"/>
  <c r="N19" i="116"/>
  <c r="K45" i="116"/>
  <c r="K46" i="116" s="1"/>
  <c r="N7" i="116" s="1"/>
  <c r="J32" i="116"/>
  <c r="K32" i="116" s="1"/>
  <c r="K25" i="116"/>
  <c r="K26" i="116" s="1"/>
  <c r="N4" i="116" s="1"/>
  <c r="J26" i="116"/>
  <c r="P8" i="116"/>
  <c r="J43" i="116"/>
  <c r="H43" i="116"/>
  <c r="F11" i="116" s="1"/>
  <c r="O11" i="116" s="1"/>
  <c r="E4" i="116"/>
  <c r="I49" i="116"/>
  <c r="H49" i="116" s="1"/>
  <c r="F8" i="116" s="1"/>
  <c r="O8" i="116" s="1"/>
  <c r="P6" i="116"/>
  <c r="J46" i="116"/>
  <c r="O6" i="116"/>
  <c r="K92" i="115" l="1"/>
  <c r="K82" i="115"/>
  <c r="K45" i="115"/>
  <c r="N11" i="115" s="1"/>
  <c r="S8" i="115"/>
  <c r="N20" i="115"/>
  <c r="P19" i="115"/>
  <c r="P20" i="115" s="1"/>
  <c r="S6" i="115"/>
  <c r="S4" i="115"/>
  <c r="K31" i="115"/>
  <c r="K34" i="115" s="1"/>
  <c r="N10" i="115" s="1"/>
  <c r="L10" i="115" s="1"/>
  <c r="J34" i="115"/>
  <c r="P11" i="115"/>
  <c r="I29" i="115"/>
  <c r="H29" i="115" s="1"/>
  <c r="F9" i="115" s="1"/>
  <c r="J28" i="115"/>
  <c r="Q10" i="115"/>
  <c r="L7" i="115"/>
  <c r="R7" i="115"/>
  <c r="Q9" i="115"/>
  <c r="L4" i="115"/>
  <c r="R4" i="115"/>
  <c r="L5" i="115"/>
  <c r="R5" i="115"/>
  <c r="L8" i="115"/>
  <c r="R8" i="115"/>
  <c r="S7" i="115"/>
  <c r="I34" i="115"/>
  <c r="H34" i="115" s="1"/>
  <c r="F10" i="115" s="1"/>
  <c r="R6" i="115"/>
  <c r="L6" i="115"/>
  <c r="S5" i="115"/>
  <c r="Q9" i="116"/>
  <c r="S8" i="116"/>
  <c r="J28" i="116"/>
  <c r="I29" i="116"/>
  <c r="H29" i="116" s="1"/>
  <c r="F9" i="116" s="1"/>
  <c r="L7" i="116"/>
  <c r="R7" i="116"/>
  <c r="L11" i="116"/>
  <c r="R11" i="116"/>
  <c r="Q11" i="116"/>
  <c r="P4" i="116"/>
  <c r="Q4" i="116"/>
  <c r="O4" i="116"/>
  <c r="L5" i="116"/>
  <c r="R5" i="116"/>
  <c r="P19" i="116"/>
  <c r="P20" i="116" s="1"/>
  <c r="N20" i="116"/>
  <c r="R6" i="116"/>
  <c r="L6" i="116"/>
  <c r="S7" i="116"/>
  <c r="M11" i="116"/>
  <c r="S6" i="116"/>
  <c r="Q10" i="116"/>
  <c r="L8" i="116"/>
  <c r="R8" i="116"/>
  <c r="K31" i="116"/>
  <c r="K34" i="116" s="1"/>
  <c r="N10" i="116" s="1"/>
  <c r="R10" i="116" s="1"/>
  <c r="J34" i="116"/>
  <c r="I34" i="116"/>
  <c r="H34" i="116" s="1"/>
  <c r="F10" i="116" s="1"/>
  <c r="S5" i="116"/>
  <c r="R10" i="115" l="1"/>
  <c r="K28" i="115"/>
  <c r="K29" i="115" s="1"/>
  <c r="J29" i="115"/>
  <c r="O9" i="115" s="1"/>
  <c r="S9" i="115" s="1"/>
  <c r="L11" i="115"/>
  <c r="R11" i="115"/>
  <c r="Q11" i="115"/>
  <c r="L9" i="115"/>
  <c r="N9" i="115"/>
  <c r="J35" i="115"/>
  <c r="O10" i="115"/>
  <c r="M10" i="115" s="1"/>
  <c r="P13" i="115"/>
  <c r="N9" i="116"/>
  <c r="L9" i="116"/>
  <c r="Q13" i="116"/>
  <c r="D4" i="116"/>
  <c r="S4" i="116"/>
  <c r="J29" i="116"/>
  <c r="O9" i="116" s="1"/>
  <c r="S9" i="116" s="1"/>
  <c r="K28" i="116"/>
  <c r="K29" i="116" s="1"/>
  <c r="P13" i="116"/>
  <c r="R4" i="116"/>
  <c r="L4" i="116"/>
  <c r="S11" i="116"/>
  <c r="D11" i="116"/>
  <c r="L10" i="116"/>
  <c r="J35" i="116"/>
  <c r="O10" i="116"/>
  <c r="S10" i="116" s="1"/>
  <c r="D9" i="116"/>
  <c r="S10" i="115" l="1"/>
  <c r="M9" i="115"/>
  <c r="S11" i="115"/>
  <c r="S13" i="115" s="1"/>
  <c r="N13" i="115"/>
  <c r="R9" i="115"/>
  <c r="R13" i="115" s="1"/>
  <c r="Q13" i="115"/>
  <c r="D11" i="115" s="1"/>
  <c r="M10" i="116"/>
  <c r="S13" i="116"/>
  <c r="M9" i="116"/>
  <c r="I13" i="116"/>
  <c r="Q14" i="116"/>
  <c r="D12" i="116"/>
  <c r="D8" i="116"/>
  <c r="D5" i="116"/>
  <c r="D13" i="116" s="1"/>
  <c r="D7" i="116"/>
  <c r="D6" i="116"/>
  <c r="D10" i="116"/>
  <c r="T13" i="116" s="1"/>
  <c r="R9" i="116"/>
  <c r="R13" i="116" s="1"/>
  <c r="N13" i="116"/>
  <c r="Q14" i="115" l="1"/>
  <c r="D12" i="115"/>
  <c r="D8" i="115"/>
  <c r="D7" i="115"/>
  <c r="D6" i="115"/>
  <c r="D4" i="115"/>
  <c r="D5" i="115"/>
  <c r="D9" i="115"/>
  <c r="D10" i="115"/>
  <c r="L13" i="116"/>
  <c r="M13" i="116"/>
  <c r="U65" i="98"/>
  <c r="M15" i="98"/>
  <c r="C75" i="98"/>
  <c r="O4" i="98"/>
  <c r="S68" i="98"/>
  <c r="D26" i="98"/>
  <c r="AC16" i="98"/>
  <c r="N68" i="98"/>
  <c r="Q50" i="98"/>
  <c r="O54" i="98"/>
  <c r="Y70" i="98"/>
  <c r="X15" i="98"/>
  <c r="K22" i="98"/>
  <c r="N23" i="98"/>
  <c r="G38" i="98"/>
  <c r="X40" i="98"/>
  <c r="R74" i="98"/>
  <c r="C68" i="98"/>
  <c r="B47" i="98"/>
  <c r="G17" i="98"/>
  <c r="AE22" i="98"/>
  <c r="Q71" i="98"/>
  <c r="X6" i="98"/>
  <c r="O15" i="98"/>
  <c r="D61" i="98"/>
  <c r="AB30" i="98"/>
  <c r="AB42" i="98"/>
  <c r="X51" i="98"/>
  <c r="V57" i="98"/>
  <c r="AC44" i="98"/>
  <c r="D77" i="98"/>
  <c r="K33" i="98"/>
  <c r="P74" i="98"/>
  <c r="H11" i="98"/>
  <c r="W61" i="98"/>
  <c r="X25" i="98"/>
  <c r="H20" i="98"/>
  <c r="Z40" i="98"/>
  <c r="E32" i="98"/>
  <c r="S56" i="98"/>
  <c r="Q51" i="98"/>
  <c r="S8" i="98"/>
  <c r="V35" i="98"/>
  <c r="Z38" i="98"/>
  <c r="Y66" i="98"/>
  <c r="C31" i="98"/>
  <c r="T35" i="98"/>
  <c r="AE26" i="98"/>
  <c r="E38" i="98"/>
  <c r="R24" i="98"/>
  <c r="AD76" i="98"/>
  <c r="H46" i="98"/>
  <c r="X18" i="98"/>
  <c r="D71" i="98"/>
  <c r="M24" i="98"/>
  <c r="K59" i="98"/>
  <c r="E27" i="98"/>
  <c r="V50" i="98"/>
  <c r="AC55" i="98"/>
  <c r="H15" i="98"/>
  <c r="M25" i="98"/>
  <c r="S77" i="98"/>
  <c r="F14" i="98"/>
  <c r="S32" i="98"/>
  <c r="AC23" i="98"/>
  <c r="N39" i="98"/>
  <c r="AD41" i="98"/>
  <c r="C56" i="98"/>
  <c r="T63" i="98"/>
  <c r="AE54" i="98"/>
  <c r="Z59" i="98"/>
  <c r="K65" i="98"/>
  <c r="AD40" i="98"/>
  <c r="D44" i="98"/>
  <c r="C77" i="98"/>
  <c r="U33" i="98"/>
  <c r="P19" i="98"/>
  <c r="S52" i="98"/>
  <c r="R38" i="98"/>
  <c r="H35" i="98"/>
  <c r="N28" i="98"/>
  <c r="AA74" i="98"/>
  <c r="V8" i="98"/>
  <c r="T5" i="98"/>
  <c r="Y76" i="98"/>
  <c r="S6" i="98"/>
  <c r="Y73" i="98"/>
  <c r="G73" i="98"/>
  <c r="R37" i="98"/>
  <c r="R43" i="98"/>
  <c r="B73" i="98"/>
  <c r="C55" i="98"/>
  <c r="T43" i="98"/>
  <c r="X24" i="98"/>
  <c r="P54" i="98"/>
  <c r="X36" i="98"/>
  <c r="F7" i="98"/>
  <c r="Z75" i="98"/>
  <c r="P30" i="98"/>
  <c r="AC20" i="98"/>
  <c r="Y48" i="98"/>
  <c r="R14" i="98"/>
  <c r="G47" i="98"/>
  <c r="D27" i="98"/>
  <c r="AA46" i="98"/>
  <c r="N7" i="98"/>
  <c r="Z28" i="98"/>
  <c r="U9" i="98"/>
  <c r="X46" i="98"/>
  <c r="W77" i="98"/>
  <c r="W43" i="98"/>
  <c r="K50" i="98"/>
  <c r="D18" i="98"/>
  <c r="Y52" i="98"/>
  <c r="Y8" i="98"/>
  <c r="Q69" i="98"/>
  <c r="Y17" i="98"/>
  <c r="V27" i="98"/>
  <c r="AA3" i="98"/>
  <c r="M32" i="98"/>
  <c r="AE50" i="98"/>
  <c r="Y47" i="98"/>
  <c r="E59" i="98"/>
  <c r="AD19" i="98"/>
  <c r="AC52" i="98"/>
  <c r="M72" i="98"/>
  <c r="E7" i="98"/>
  <c r="G16" i="98"/>
  <c r="O45" i="98"/>
  <c r="S20" i="98"/>
  <c r="B51" i="98"/>
  <c r="Y62" i="98"/>
  <c r="H75" i="98"/>
  <c r="Q72" i="98"/>
  <c r="O39" i="98"/>
  <c r="Z65" i="98"/>
  <c r="F3" i="98"/>
  <c r="F55" i="98"/>
  <c r="B9" i="98"/>
  <c r="AD5" i="98"/>
  <c r="U29" i="98"/>
  <c r="K58" i="98"/>
  <c r="AA7" i="98"/>
  <c r="D52" i="98"/>
  <c r="H54" i="98"/>
  <c r="F76" i="98"/>
  <c r="AC49" i="98"/>
  <c r="E20" i="98"/>
  <c r="V54" i="98"/>
  <c r="R63" i="98"/>
  <c r="D23" i="98"/>
  <c r="P2" i="98"/>
  <c r="E75" i="98"/>
  <c r="X14" i="98"/>
  <c r="D53" i="98"/>
  <c r="Q63" i="98"/>
  <c r="AC77" i="98"/>
  <c r="S26" i="98"/>
  <c r="S16" i="98"/>
  <c r="G76" i="98"/>
  <c r="F71" i="98"/>
  <c r="AC72" i="98"/>
  <c r="X23" i="98"/>
  <c r="M64" i="98"/>
  <c r="P4" i="98"/>
  <c r="M12" i="98"/>
  <c r="Y24" i="98"/>
  <c r="E51" i="98"/>
  <c r="AE42" i="98"/>
  <c r="E60" i="98"/>
  <c r="C34" i="98"/>
  <c r="W31" i="98"/>
  <c r="J48" i="98"/>
  <c r="AD59" i="98"/>
  <c r="AE31" i="98"/>
  <c r="T76" i="98"/>
  <c r="U17" i="98"/>
  <c r="N69" i="98"/>
  <c r="E52" i="98"/>
  <c r="X58" i="98"/>
  <c r="T68" i="98"/>
  <c r="H63" i="98"/>
  <c r="T50" i="98"/>
  <c r="U63" i="98"/>
  <c r="Q62" i="98"/>
  <c r="E41" i="98"/>
  <c r="O31" i="98"/>
  <c r="W68" i="98"/>
  <c r="R39" i="98"/>
  <c r="O43" i="98"/>
  <c r="G33" i="98"/>
  <c r="K77" i="98"/>
  <c r="W69" i="98"/>
  <c r="N38" i="98"/>
  <c r="AD38" i="98"/>
  <c r="W16" i="98"/>
  <c r="Y59" i="98"/>
  <c r="K13" i="98"/>
  <c r="K3" i="98"/>
  <c r="P17" i="98"/>
  <c r="V6" i="98"/>
  <c r="Z34" i="98"/>
  <c r="AA77" i="98"/>
  <c r="N50" i="98"/>
  <c r="X8" i="98"/>
  <c r="K14" i="98"/>
  <c r="AE59" i="98"/>
  <c r="AC56" i="98"/>
  <c r="V45" i="98"/>
  <c r="O67" i="98"/>
  <c r="AD7" i="98"/>
  <c r="AB2" i="98"/>
  <c r="P56" i="98"/>
  <c r="S65" i="98"/>
  <c r="AE29" i="98"/>
  <c r="AD58" i="98"/>
  <c r="B4" i="98"/>
  <c r="G44" i="98"/>
  <c r="Y10" i="98"/>
  <c r="X7" i="98"/>
  <c r="G42" i="98"/>
  <c r="W38" i="98"/>
  <c r="V56" i="98"/>
  <c r="H44" i="98"/>
  <c r="U7" i="98"/>
  <c r="C22" i="98"/>
  <c r="AD39" i="98"/>
  <c r="C74" i="98"/>
  <c r="AA31" i="98"/>
  <c r="U74" i="98"/>
  <c r="H57" i="98"/>
  <c r="B22" i="98"/>
  <c r="AE3" i="98"/>
  <c r="W26" i="98"/>
  <c r="AE34" i="98"/>
  <c r="S9" i="98"/>
  <c r="B38" i="98"/>
  <c r="O55" i="98"/>
  <c r="AB15" i="98"/>
  <c r="AD70" i="98"/>
  <c r="W74" i="98"/>
  <c r="B26" i="98"/>
  <c r="Y11" i="98"/>
  <c r="P55" i="98"/>
  <c r="O49" i="98"/>
  <c r="J43" i="98"/>
  <c r="S2" i="98"/>
  <c r="R65" i="98"/>
  <c r="Y37" i="98"/>
  <c r="S21" i="98"/>
  <c r="D8" i="98"/>
  <c r="R75" i="98"/>
  <c r="S57" i="98"/>
  <c r="P34" i="98"/>
  <c r="B7" i="98"/>
  <c r="N62" i="98"/>
  <c r="AE48" i="98"/>
  <c r="K69" i="98"/>
  <c r="Y50" i="98"/>
  <c r="H38" i="98"/>
  <c r="K32" i="98"/>
  <c r="X37" i="98"/>
  <c r="F40" i="98"/>
  <c r="S36" i="98"/>
  <c r="D68" i="98"/>
  <c r="H4" i="98"/>
  <c r="Y71" i="98"/>
  <c r="C35" i="98"/>
  <c r="C15" i="98"/>
  <c r="AB69" i="98"/>
  <c r="X17" i="98"/>
  <c r="O25" i="98"/>
  <c r="H51" i="98"/>
  <c r="U68" i="98"/>
  <c r="F42" i="98"/>
  <c r="U59" i="98"/>
  <c r="P29" i="98"/>
  <c r="N18" i="98"/>
  <c r="H77" i="98"/>
  <c r="AD33" i="98"/>
  <c r="D12" i="98"/>
  <c r="Y69" i="98"/>
  <c r="AA54" i="98"/>
  <c r="V63" i="98"/>
  <c r="AA70" i="98"/>
  <c r="E26" i="98"/>
  <c r="T49" i="98"/>
  <c r="U60" i="98"/>
  <c r="M70" i="98"/>
  <c r="AE32" i="98"/>
  <c r="P71" i="98"/>
  <c r="AD23" i="98"/>
  <c r="U24" i="98"/>
  <c r="N49" i="98"/>
  <c r="J42" i="98"/>
  <c r="B31" i="98"/>
  <c r="Y68" i="98"/>
  <c r="S31" i="98"/>
  <c r="S50" i="98"/>
  <c r="AB50" i="98"/>
  <c r="T74" i="98"/>
  <c r="AE70" i="98"/>
  <c r="C23" i="98"/>
  <c r="O35" i="98"/>
  <c r="E37" i="98"/>
  <c r="M4" i="98"/>
  <c r="R51" i="98"/>
  <c r="B56" i="98"/>
  <c r="R21" i="98"/>
  <c r="AA56" i="98"/>
  <c r="K46" i="98"/>
  <c r="U21" i="98"/>
  <c r="U5" i="98"/>
  <c r="S29" i="98"/>
  <c r="T73" i="98"/>
  <c r="C32" i="98"/>
  <c r="E6" i="98"/>
  <c r="AB3" i="98"/>
  <c r="D16" i="98"/>
  <c r="Z50" i="98"/>
  <c r="C30" i="98"/>
  <c r="B45" i="98"/>
  <c r="H62" i="98"/>
  <c r="AD3" i="98"/>
  <c r="R71" i="98"/>
  <c r="AB41" i="98"/>
  <c r="AC53" i="98"/>
  <c r="R52" i="98"/>
  <c r="N6" i="98"/>
  <c r="Z54" i="98"/>
  <c r="C45" i="98"/>
  <c r="M44" i="98"/>
  <c r="U31" i="98"/>
  <c r="S11" i="98"/>
  <c r="D62" i="98"/>
  <c r="P57" i="98"/>
  <c r="S66" i="98"/>
  <c r="U26" i="98"/>
  <c r="N19" i="98"/>
  <c r="F16" i="98"/>
  <c r="M8" i="98"/>
  <c r="W58" i="98"/>
  <c r="AE69" i="98"/>
  <c r="Q67" i="98"/>
  <c r="AD15" i="98"/>
  <c r="B62" i="98"/>
  <c r="U45" i="98"/>
  <c r="K21" i="98"/>
  <c r="S60" i="98"/>
  <c r="C37" i="98"/>
  <c r="N21" i="98"/>
  <c r="S71" i="98"/>
  <c r="E47" i="98"/>
  <c r="Y43" i="98"/>
  <c r="P61" i="98"/>
  <c r="N4" i="98"/>
  <c r="V70" i="98"/>
  <c r="D20" i="98"/>
  <c r="X69" i="98"/>
  <c r="Y32" i="98"/>
  <c r="W23" i="98"/>
  <c r="AD75" i="98"/>
  <c r="AC68" i="98"/>
  <c r="G2" i="98"/>
  <c r="Q74" i="98"/>
  <c r="Z7" i="98"/>
  <c r="D46" i="98"/>
  <c r="AD62" i="98"/>
  <c r="V64" i="98"/>
  <c r="H24" i="98"/>
  <c r="AC38" i="98"/>
  <c r="S59" i="98"/>
  <c r="X39" i="98"/>
  <c r="T60" i="98"/>
  <c r="V13" i="98"/>
  <c r="H6" i="98"/>
  <c r="T38" i="98"/>
  <c r="F51" i="98"/>
  <c r="U11" i="98"/>
  <c r="P53" i="98"/>
  <c r="T31" i="98"/>
  <c r="W47" i="98"/>
  <c r="C43" i="98"/>
  <c r="AA60" i="98"/>
  <c r="Y7" i="98"/>
  <c r="W20" i="98"/>
  <c r="C10" i="98"/>
  <c r="S24" i="98"/>
  <c r="AA20" i="98"/>
  <c r="V4" i="98"/>
  <c r="E33" i="98"/>
  <c r="M9" i="98"/>
  <c r="S35" i="98"/>
  <c r="Y56" i="98"/>
  <c r="R35" i="98"/>
  <c r="H10" i="98"/>
  <c r="Q47" i="98"/>
  <c r="X20" i="98"/>
  <c r="AC19" i="98"/>
  <c r="E14" i="98"/>
  <c r="Y63" i="98"/>
  <c r="T65" i="98"/>
  <c r="O71" i="98"/>
  <c r="O48" i="98"/>
  <c r="P75" i="98"/>
  <c r="AE20" i="98"/>
  <c r="AD25" i="98"/>
  <c r="W46" i="98"/>
  <c r="AC57" i="98"/>
  <c r="AE44" i="98"/>
  <c r="U8" i="98"/>
  <c r="T18" i="98"/>
  <c r="AB74" i="98"/>
  <c r="V9" i="98"/>
  <c r="C52" i="98"/>
  <c r="Y23" i="98"/>
  <c r="F56" i="98"/>
  <c r="X48" i="98"/>
  <c r="AC59" i="98"/>
  <c r="U39" i="98"/>
  <c r="AA21" i="98"/>
  <c r="N12" i="98"/>
  <c r="E62" i="98"/>
  <c r="M63" i="98"/>
  <c r="V26" i="98"/>
  <c r="AE15" i="98"/>
  <c r="R5" i="98"/>
  <c r="AB67" i="98"/>
  <c r="U4" i="98"/>
  <c r="AB17" i="98"/>
  <c r="W35" i="98"/>
  <c r="G72" i="98"/>
  <c r="AE72" i="98"/>
  <c r="D29" i="98"/>
  <c r="E63" i="98"/>
  <c r="AB23" i="98"/>
  <c r="E39" i="98"/>
  <c r="U69" i="98"/>
  <c r="AC65" i="98"/>
  <c r="B16" i="98"/>
  <c r="P59" i="98"/>
  <c r="S12" i="98"/>
  <c r="D69" i="98"/>
  <c r="F64" i="98"/>
  <c r="K75" i="98"/>
  <c r="L39" i="98"/>
  <c r="AD67" i="98"/>
  <c r="R16" i="98"/>
  <c r="S38" i="98"/>
  <c r="D45" i="98"/>
  <c r="S3" i="98"/>
  <c r="S18" i="98"/>
  <c r="M45" i="98"/>
  <c r="N75" i="98"/>
  <c r="T53" i="98"/>
  <c r="AA39" i="98"/>
  <c r="C5" i="98"/>
  <c r="M31" i="98"/>
  <c r="X66" i="98"/>
  <c r="V66" i="98"/>
  <c r="E42" i="98"/>
  <c r="Z70" i="98"/>
  <c r="M59" i="98"/>
  <c r="F31" i="98"/>
  <c r="P67" i="98"/>
  <c r="V11" i="98"/>
  <c r="AC48" i="98"/>
  <c r="U49" i="98"/>
  <c r="D72" i="98"/>
  <c r="W54" i="98"/>
  <c r="AB75" i="98"/>
  <c r="K39" i="98"/>
  <c r="P14" i="98"/>
  <c r="S33" i="98"/>
  <c r="B70" i="98"/>
  <c r="V72" i="98"/>
  <c r="D35" i="98"/>
  <c r="AD54" i="98"/>
  <c r="AE49" i="98"/>
  <c r="T51" i="98"/>
  <c r="H53" i="98"/>
  <c r="Z68" i="98"/>
  <c r="K16" i="98"/>
  <c r="T44" i="98"/>
  <c r="C28" i="98"/>
  <c r="V74" i="98"/>
  <c r="O28" i="98"/>
  <c r="V38" i="98"/>
  <c r="AE23" i="98"/>
  <c r="J65" i="98"/>
  <c r="M60" i="98"/>
  <c r="X59" i="98"/>
  <c r="AA9" i="98"/>
  <c r="AA33" i="98"/>
  <c r="O69" i="98"/>
  <c r="AD18" i="98"/>
  <c r="M57" i="98"/>
  <c r="O32" i="98"/>
  <c r="AB51" i="98"/>
  <c r="F72" i="98"/>
  <c r="H61" i="98"/>
  <c r="F59" i="98"/>
  <c r="C20" i="98"/>
  <c r="F36" i="98"/>
  <c r="S37" i="98"/>
  <c r="N33" i="98"/>
  <c r="H40" i="98"/>
  <c r="Q18" i="98"/>
  <c r="AC3" i="98"/>
  <c r="M13" i="98"/>
  <c r="X74" i="98"/>
  <c r="E45" i="98"/>
  <c r="AA50" i="98"/>
  <c r="P28" i="98"/>
  <c r="E28" i="98"/>
  <c r="AA16" i="98"/>
  <c r="Z21" i="98"/>
  <c r="AC13" i="98"/>
  <c r="S39" i="98"/>
  <c r="N8" i="98"/>
  <c r="U57" i="98"/>
  <c r="W2" i="98"/>
  <c r="T70" i="98"/>
  <c r="E69" i="98"/>
  <c r="R34" i="98"/>
  <c r="U3" i="98"/>
  <c r="M39" i="98"/>
  <c r="C17" i="98"/>
  <c r="B46" i="98"/>
  <c r="R29" i="98"/>
  <c r="AB12" i="98"/>
  <c r="N61" i="98"/>
  <c r="C29" i="98"/>
  <c r="D58" i="98"/>
  <c r="AD57" i="98"/>
  <c r="AE40" i="98"/>
  <c r="N72" i="98"/>
  <c r="R40" i="98"/>
  <c r="Q23" i="98"/>
  <c r="AC41" i="98"/>
  <c r="AB68" i="98"/>
  <c r="C63" i="98"/>
  <c r="AA24" i="98"/>
  <c r="AE6" i="98"/>
  <c r="R58" i="98"/>
  <c r="AE52" i="98"/>
  <c r="U16" i="98"/>
  <c r="S10" i="98"/>
  <c r="D73" i="98"/>
  <c r="AE7" i="98"/>
  <c r="R9" i="98"/>
  <c r="T32" i="98"/>
  <c r="AB70" i="98"/>
  <c r="R25" i="98"/>
  <c r="V46" i="98"/>
  <c r="M36" i="98"/>
  <c r="C18" i="98"/>
  <c r="T77" i="98"/>
  <c r="E30" i="98"/>
  <c r="O52" i="98"/>
  <c r="K76" i="98"/>
  <c r="B24" i="98"/>
  <c r="T54" i="98"/>
  <c r="Y6" i="98"/>
  <c r="AD21" i="98"/>
  <c r="E15" i="98"/>
  <c r="E46" i="98"/>
  <c r="S34" i="98"/>
  <c r="H3" i="98"/>
  <c r="N20" i="98"/>
  <c r="Y77" i="98"/>
  <c r="M77" i="98"/>
  <c r="K28" i="98"/>
  <c r="R56" i="98"/>
  <c r="X71" i="98"/>
  <c r="O40" i="98"/>
  <c r="AE77" i="98"/>
  <c r="AB76" i="98"/>
  <c r="Y21" i="98"/>
  <c r="V58" i="98"/>
  <c r="W4" i="98"/>
  <c r="Z51" i="98"/>
  <c r="V75" i="98"/>
  <c r="R70" i="98"/>
  <c r="F57" i="98"/>
  <c r="X26" i="98"/>
  <c r="AC22" i="98"/>
  <c r="D67" i="98"/>
  <c r="U38" i="98"/>
  <c r="Q26" i="98"/>
  <c r="E17" i="98"/>
  <c r="P16" i="98"/>
  <c r="S72" i="98"/>
  <c r="B13" i="98"/>
  <c r="K4" i="98"/>
  <c r="C13" i="98"/>
  <c r="O33" i="98"/>
  <c r="AC74" i="98"/>
  <c r="T56" i="98"/>
  <c r="P32" i="98"/>
  <c r="L61" i="98"/>
  <c r="Z32" i="98"/>
  <c r="AA45" i="98"/>
  <c r="Z18" i="98"/>
  <c r="N66" i="98"/>
  <c r="D25" i="98"/>
  <c r="F8" i="98"/>
  <c r="S41" i="98"/>
  <c r="X22" i="98"/>
  <c r="F68" i="98"/>
  <c r="Z22" i="98"/>
  <c r="Y13" i="98"/>
  <c r="B72" i="98"/>
  <c r="Q77" i="98"/>
  <c r="D21" i="98"/>
  <c r="S27" i="98"/>
  <c r="R20" i="98"/>
  <c r="K64" i="98"/>
  <c r="Y19" i="98"/>
  <c r="Z25" i="98"/>
  <c r="AC58" i="98"/>
  <c r="Q31" i="98"/>
  <c r="X21" i="98"/>
  <c r="H67" i="98"/>
  <c r="H22" i="98"/>
  <c r="W25" i="98"/>
  <c r="O14" i="98"/>
  <c r="X9" i="98"/>
  <c r="T8" i="98"/>
  <c r="AD13" i="98"/>
  <c r="AB21" i="98"/>
  <c r="M2" i="98"/>
  <c r="AB13" i="98"/>
  <c r="N17" i="98"/>
  <c r="C61" i="98"/>
  <c r="H58" i="98"/>
  <c r="B52" i="98"/>
  <c r="W52" i="98"/>
  <c r="D10" i="98"/>
  <c r="H21" i="98"/>
  <c r="Y40" i="98"/>
  <c r="H42" i="98"/>
  <c r="K48" i="98"/>
  <c r="F54" i="98"/>
  <c r="Z43" i="98"/>
  <c r="M16" i="98"/>
  <c r="Q73" i="98"/>
  <c r="P6" i="98"/>
  <c r="H64" i="98"/>
  <c r="G50" i="98"/>
  <c r="C72" i="98"/>
  <c r="P40" i="98"/>
  <c r="H5" i="98"/>
  <c r="T57" i="98"/>
  <c r="R76" i="98"/>
  <c r="V34" i="98"/>
  <c r="Q61" i="98"/>
  <c r="F35" i="98"/>
  <c r="H7" i="98"/>
  <c r="N64" i="98"/>
  <c r="W49" i="98"/>
  <c r="W3" i="98"/>
  <c r="Z66" i="98"/>
  <c r="T9" i="98"/>
  <c r="AE14" i="98"/>
  <c r="AD51" i="98"/>
  <c r="N15" i="98"/>
  <c r="AA32" i="98"/>
  <c r="Q14" i="98"/>
  <c r="G9" i="98"/>
  <c r="AA47" i="98"/>
  <c r="AC32" i="98"/>
  <c r="W50" i="98"/>
  <c r="Y42" i="98"/>
  <c r="T6" i="98"/>
  <c r="P43" i="98"/>
  <c r="H19" i="98"/>
  <c r="O7" i="98"/>
  <c r="B29" i="98"/>
  <c r="W13" i="98"/>
  <c r="U64" i="98"/>
  <c r="M17" i="98"/>
  <c r="K11" i="98"/>
  <c r="N42" i="98"/>
  <c r="AA18" i="98"/>
  <c r="AB72" i="98"/>
  <c r="M20" i="98"/>
  <c r="H32" i="98"/>
  <c r="S69" i="98"/>
  <c r="L42" i="98"/>
  <c r="Y12" i="98"/>
  <c r="Q35" i="98"/>
  <c r="AE46" i="98"/>
  <c r="AA15" i="98"/>
  <c r="X57" i="98"/>
  <c r="N2" i="98"/>
  <c r="Z52" i="98"/>
  <c r="P24" i="98"/>
  <c r="E19" i="98"/>
  <c r="AA37" i="98"/>
  <c r="Y72" i="98"/>
  <c r="AE61" i="98"/>
  <c r="U76" i="98"/>
  <c r="Z64" i="98"/>
  <c r="D15" i="98"/>
  <c r="U37" i="98"/>
  <c r="B71" i="98"/>
  <c r="T58" i="98"/>
  <c r="T55" i="98"/>
  <c r="F4" i="98"/>
  <c r="B66" i="98"/>
  <c r="U19" i="98"/>
  <c r="Q65" i="98"/>
  <c r="H47" i="98"/>
  <c r="B34" i="98"/>
  <c r="AA58" i="98"/>
  <c r="R28" i="98"/>
  <c r="Q55" i="98"/>
  <c r="O36" i="98"/>
  <c r="M34" i="98"/>
  <c r="AE63" i="98"/>
  <c r="E49" i="98"/>
  <c r="H71" i="98"/>
  <c r="U66" i="98"/>
  <c r="X56" i="98"/>
  <c r="E43" i="98"/>
  <c r="X34" i="98"/>
  <c r="V61" i="98"/>
  <c r="N41" i="98"/>
  <c r="AB6" i="98"/>
  <c r="D7" i="98"/>
  <c r="P7" i="98"/>
  <c r="AD27" i="98"/>
  <c r="O20" i="98"/>
  <c r="G70" i="98"/>
  <c r="B19" i="98"/>
  <c r="X30" i="98"/>
  <c r="AD32" i="98"/>
  <c r="B28" i="98"/>
  <c r="M73" i="98"/>
  <c r="AB19" i="98"/>
  <c r="E50" i="98"/>
  <c r="Q6" i="98"/>
  <c r="Z42" i="98"/>
  <c r="P68" i="98"/>
  <c r="S4" i="98"/>
  <c r="AE45" i="98"/>
  <c r="Z2" i="98"/>
  <c r="T4" i="98"/>
  <c r="O68" i="98"/>
  <c r="G3" i="98"/>
  <c r="O12" i="98"/>
  <c r="V47" i="98"/>
  <c r="E35" i="98"/>
  <c r="M65" i="98"/>
  <c r="AB16" i="98"/>
  <c r="L3" i="98"/>
  <c r="AE67" i="98"/>
  <c r="AA68" i="98"/>
  <c r="Q19" i="98"/>
  <c r="H50" i="98"/>
  <c r="C8" i="98"/>
  <c r="AB66" i="98"/>
  <c r="M22" i="98"/>
  <c r="V10" i="98"/>
  <c r="X75" i="98"/>
  <c r="D75" i="98"/>
  <c r="L44" i="98"/>
  <c r="E9" i="98"/>
  <c r="Q53" i="98"/>
  <c r="K34" i="98"/>
  <c r="X42" i="98"/>
  <c r="F37" i="98"/>
  <c r="AC5" i="98"/>
  <c r="U51" i="98"/>
  <c r="AB5" i="98"/>
  <c r="Q29" i="98"/>
  <c r="M43" i="98"/>
  <c r="F27" i="98"/>
  <c r="F62" i="98"/>
  <c r="AA51" i="98"/>
  <c r="N76" i="98"/>
  <c r="C12" i="98"/>
  <c r="P39" i="98"/>
  <c r="C2" i="98"/>
  <c r="D33" i="98"/>
  <c r="V40" i="98"/>
  <c r="N10" i="98"/>
  <c r="N3" i="98"/>
  <c r="V12" i="98"/>
  <c r="N9" i="98"/>
  <c r="G65" i="98"/>
  <c r="O65" i="98"/>
  <c r="H34" i="98"/>
  <c r="AB65" i="98"/>
  <c r="J36" i="98"/>
  <c r="X10" i="98"/>
  <c r="AB55" i="98"/>
  <c r="F33" i="98"/>
  <c r="H48" i="98"/>
  <c r="R60" i="98"/>
  <c r="O18" i="98"/>
  <c r="B6" i="98"/>
  <c r="U15" i="98"/>
  <c r="T2" i="98"/>
  <c r="D50" i="98"/>
  <c r="AA5" i="98"/>
  <c r="D64" i="98"/>
  <c r="Z10" i="98"/>
  <c r="X45" i="98"/>
  <c r="W17" i="98"/>
  <c r="G10" i="98"/>
  <c r="B60" i="98"/>
  <c r="M49" i="98"/>
  <c r="AE33" i="98"/>
  <c r="K57" i="98"/>
  <c r="E56" i="98"/>
  <c r="AE24" i="98"/>
  <c r="D2" i="98"/>
  <c r="M18" i="98"/>
  <c r="AE60" i="98"/>
  <c r="AC73" i="98"/>
  <c r="S58" i="98"/>
  <c r="AC30" i="98"/>
  <c r="AB57" i="98"/>
  <c r="AC33" i="98"/>
  <c r="L36" i="98"/>
  <c r="AC42" i="98"/>
  <c r="R15" i="98"/>
  <c r="C4" i="98"/>
  <c r="AE53" i="98"/>
  <c r="J44" i="98"/>
  <c r="R66" i="98"/>
  <c r="J46" i="98"/>
  <c r="K41" i="98"/>
  <c r="K49" i="98"/>
  <c r="E66" i="98"/>
  <c r="AE64" i="98"/>
  <c r="P3" i="98"/>
  <c r="W37" i="98"/>
  <c r="Z48" i="98"/>
  <c r="X61" i="98"/>
  <c r="W62" i="98"/>
  <c r="Q59" i="98"/>
  <c r="P18" i="98"/>
  <c r="O63" i="98"/>
  <c r="AA35" i="98"/>
  <c r="T30" i="98"/>
  <c r="M74" i="98"/>
  <c r="T20" i="98"/>
  <c r="F73" i="98"/>
  <c r="AA41" i="98"/>
  <c r="AE76" i="98"/>
  <c r="F75" i="98"/>
  <c r="AB4" i="98"/>
  <c r="AC70" i="98"/>
  <c r="Z41" i="98"/>
  <c r="G49" i="98"/>
  <c r="K60" i="98"/>
  <c r="AD45" i="98"/>
  <c r="F67" i="98"/>
  <c r="M42" i="98"/>
  <c r="Q43" i="98"/>
  <c r="Y28" i="98"/>
  <c r="M29" i="98"/>
  <c r="N77" i="98"/>
  <c r="G59" i="98"/>
  <c r="N48" i="98"/>
  <c r="AA65" i="98"/>
  <c r="U58" i="98"/>
  <c r="Y18" i="98"/>
  <c r="W60" i="98"/>
  <c r="T40" i="98"/>
  <c r="M76" i="98"/>
  <c r="H29" i="98"/>
  <c r="AB47" i="98"/>
  <c r="Y64" i="98"/>
  <c r="P23" i="98"/>
  <c r="R2" i="98"/>
  <c r="Z20" i="98"/>
  <c r="Q24" i="98"/>
  <c r="C58" i="98"/>
  <c r="Q56" i="98"/>
  <c r="X50" i="98"/>
  <c r="C67" i="98"/>
  <c r="E22" i="98"/>
  <c r="Q66" i="98"/>
  <c r="C65" i="98"/>
  <c r="M38" i="98"/>
  <c r="AC69" i="98"/>
  <c r="U30" i="98"/>
  <c r="O56" i="98"/>
  <c r="AD2" i="98"/>
  <c r="Y55" i="98"/>
  <c r="AD12" i="98"/>
  <c r="Q42" i="98"/>
  <c r="F21" i="98"/>
  <c r="U75" i="98"/>
  <c r="E67" i="98"/>
  <c r="F39" i="98"/>
  <c r="D31" i="98"/>
  <c r="K31" i="98"/>
  <c r="K56" i="98"/>
  <c r="S48" i="98"/>
  <c r="U28" i="98"/>
  <c r="AQ1" i="98"/>
  <c r="AB29" i="98"/>
  <c r="S73" i="98"/>
  <c r="R64" i="98"/>
  <c r="Y41" i="98"/>
  <c r="Q70" i="98"/>
  <c r="Y30" i="98"/>
  <c r="M10" i="98"/>
  <c r="B8" i="98"/>
  <c r="F38" i="98"/>
  <c r="Q3" i="98"/>
  <c r="AE13" i="98"/>
  <c r="AA69" i="98"/>
  <c r="G18" i="98"/>
  <c r="L71" i="98"/>
  <c r="X64" i="98"/>
  <c r="Z44" i="98"/>
  <c r="W72" i="98"/>
  <c r="AD24" i="98"/>
  <c r="Q33" i="98"/>
  <c r="F53" i="98"/>
  <c r="F11" i="98"/>
  <c r="Y16" i="98"/>
  <c r="P41" i="98"/>
  <c r="U32" i="98"/>
  <c r="K55" i="98"/>
  <c r="T15" i="98"/>
  <c r="AC40" i="98"/>
  <c r="AE9" i="98"/>
  <c r="AA76" i="98"/>
  <c r="AD8" i="98"/>
  <c r="R19" i="98"/>
  <c r="T11" i="98"/>
  <c r="N30" i="98"/>
  <c r="K68" i="98"/>
  <c r="Z53" i="98"/>
  <c r="Z49" i="98"/>
  <c r="U34" i="98"/>
  <c r="U70" i="98"/>
  <c r="N71" i="98"/>
  <c r="G27" i="98"/>
  <c r="D3" i="98"/>
  <c r="F66" i="98"/>
  <c r="V67" i="98"/>
  <c r="W29" i="98"/>
  <c r="D47" i="98"/>
  <c r="X19" i="98"/>
  <c r="R55" i="98"/>
  <c r="M26" i="98"/>
  <c r="V71" i="98"/>
  <c r="AA48" i="98"/>
  <c r="T61" i="98"/>
  <c r="AB59" i="98"/>
  <c r="V17" i="98"/>
  <c r="AD35" i="98"/>
  <c r="F50" i="98"/>
  <c r="B2" i="98"/>
  <c r="AB52" i="98"/>
  <c r="F48" i="98"/>
  <c r="T48" i="98"/>
  <c r="Y67" i="98"/>
  <c r="Y34" i="98"/>
  <c r="AD50" i="98"/>
  <c r="AW1" i="98"/>
  <c r="G25" i="98"/>
  <c r="Z8" i="98"/>
  <c r="T29" i="98"/>
  <c r="AC71" i="98"/>
  <c r="B55" i="98"/>
  <c r="B58" i="98"/>
  <c r="AD55" i="98"/>
  <c r="S74" i="98"/>
  <c r="E72" i="98"/>
  <c r="R30" i="98"/>
  <c r="R69" i="98"/>
  <c r="AB43" i="98"/>
  <c r="U55" i="98"/>
  <c r="H56" i="98"/>
  <c r="S51" i="98"/>
  <c r="T27" i="98"/>
  <c r="AA59" i="98"/>
  <c r="P5" i="98"/>
  <c r="M71" i="98"/>
  <c r="AD14" i="98"/>
  <c r="Y54" i="98"/>
  <c r="O29" i="98"/>
  <c r="G41" i="98"/>
  <c r="T16" i="98"/>
  <c r="W75" i="98"/>
  <c r="D43" i="98"/>
  <c r="AD42" i="98"/>
  <c r="V65" i="98"/>
  <c r="AD53" i="98"/>
  <c r="N27" i="98"/>
  <c r="Q41" i="98"/>
  <c r="O64" i="98"/>
  <c r="T12" i="98"/>
  <c r="X76" i="98"/>
  <c r="C54" i="98"/>
  <c r="Z55" i="98"/>
  <c r="W65" i="98"/>
  <c r="U23" i="98"/>
  <c r="C69" i="98"/>
  <c r="B50" i="98"/>
  <c r="Z24" i="98"/>
  <c r="S40" i="98"/>
  <c r="B48" i="98"/>
  <c r="O44" i="98"/>
  <c r="H60" i="98"/>
  <c r="B68" i="98"/>
  <c r="J3" i="98"/>
  <c r="N46" i="98"/>
  <c r="AB9" i="98"/>
  <c r="B17" i="98"/>
  <c r="R50" i="98"/>
  <c r="G60" i="98"/>
  <c r="J70" i="98"/>
  <c r="R11" i="98"/>
  <c r="N22" i="98"/>
  <c r="D28" i="98"/>
  <c r="H23" i="98"/>
  <c r="S28" i="98"/>
  <c r="F49" i="98"/>
  <c r="Q7" i="98"/>
  <c r="AC47" i="98"/>
  <c r="B15" i="98"/>
  <c r="R73" i="98"/>
  <c r="O42" i="98"/>
  <c r="AB77" i="98"/>
  <c r="T24" i="98"/>
  <c r="AC7" i="98"/>
  <c r="T33" i="98"/>
  <c r="X33" i="98"/>
  <c r="G58" i="98"/>
  <c r="E8" i="98"/>
  <c r="X43" i="98"/>
  <c r="U47" i="98"/>
  <c r="AC63" i="98"/>
  <c r="F12" i="98"/>
  <c r="E3" i="98"/>
  <c r="H13" i="98"/>
  <c r="D40" i="98"/>
  <c r="H76" i="98"/>
  <c r="N57" i="98"/>
  <c r="H30" i="98"/>
  <c r="W73" i="98"/>
  <c r="AA11" i="98"/>
  <c r="Z6" i="98"/>
  <c r="N59" i="98"/>
  <c r="S22" i="98"/>
  <c r="M3" i="98"/>
  <c r="T14" i="98"/>
  <c r="V39" i="98"/>
  <c r="AA55" i="98"/>
  <c r="F63" i="98"/>
  <c r="B14" i="98"/>
  <c r="Z76" i="98"/>
  <c r="S17" i="98"/>
  <c r="Z16" i="98"/>
  <c r="T41" i="98"/>
  <c r="K5" i="98"/>
  <c r="P60" i="98"/>
  <c r="O38" i="98"/>
  <c r="N35" i="98"/>
  <c r="H43" i="98"/>
  <c r="N55" i="98"/>
  <c r="S63" i="98"/>
  <c r="W36" i="98"/>
  <c r="G54" i="98"/>
  <c r="Y46" i="98"/>
  <c r="B33" i="98"/>
  <c r="V42" i="98"/>
  <c r="Q45" i="98"/>
  <c r="F20" i="98"/>
  <c r="Z71" i="98"/>
  <c r="AC31" i="98"/>
  <c r="W15" i="98"/>
  <c r="Z63" i="98"/>
  <c r="AA66" i="98"/>
  <c r="AB53" i="98"/>
  <c r="V21" i="98"/>
  <c r="Y27" i="98"/>
  <c r="AD22" i="98"/>
  <c r="AE4" i="98"/>
  <c r="D37" i="98"/>
  <c r="AC35" i="98"/>
  <c r="Z5" i="98"/>
  <c r="K8" i="98"/>
  <c r="R59" i="98"/>
  <c r="W53" i="98"/>
  <c r="X55" i="98"/>
  <c r="W6" i="98"/>
  <c r="W34" i="98"/>
  <c r="V25" i="98"/>
  <c r="F44" i="98"/>
  <c r="AE62" i="98"/>
  <c r="AC24" i="98"/>
  <c r="F25" i="98"/>
  <c r="U61" i="98"/>
  <c r="B61" i="98"/>
  <c r="V32" i="98"/>
  <c r="Q44" i="98"/>
  <c r="U10" i="98"/>
  <c r="G36" i="98"/>
  <c r="U25" i="98"/>
  <c r="AB64" i="98"/>
  <c r="E18" i="98"/>
  <c r="AE58" i="98"/>
  <c r="AC4" i="98"/>
  <c r="Q32" i="98"/>
  <c r="B36" i="98"/>
  <c r="S45" i="98"/>
  <c r="E70" i="98"/>
  <c r="AE71" i="98"/>
  <c r="T39" i="98"/>
  <c r="O75" i="98"/>
  <c r="C76" i="98"/>
  <c r="AB14" i="98"/>
  <c r="Y53" i="98"/>
  <c r="J71" i="98"/>
  <c r="V48" i="98"/>
  <c r="E11" i="98"/>
  <c r="S46" i="98"/>
  <c r="B53" i="98"/>
  <c r="C24" i="98"/>
  <c r="X67" i="98"/>
  <c r="U6" i="98"/>
  <c r="AB58" i="98"/>
  <c r="T28" i="98"/>
  <c r="N29" i="98"/>
  <c r="AE47" i="98"/>
  <c r="P50" i="98"/>
  <c r="S13" i="98"/>
  <c r="T21" i="98"/>
  <c r="P70" i="98"/>
  <c r="R31" i="98"/>
  <c r="AB18" i="98"/>
  <c r="AD68" i="98"/>
  <c r="Z15" i="98"/>
  <c r="AE75" i="98"/>
  <c r="M54" i="98"/>
  <c r="H68" i="98"/>
  <c r="B59" i="98"/>
  <c r="AE19" i="98"/>
  <c r="U2" i="98"/>
  <c r="Z23" i="98"/>
  <c r="M47" i="98"/>
  <c r="F32" i="98"/>
  <c r="R27" i="98"/>
  <c r="P25" i="98"/>
  <c r="AB38" i="98"/>
  <c r="U72" i="98"/>
  <c r="S30" i="98"/>
  <c r="C44" i="98"/>
  <c r="G40" i="98"/>
  <c r="O34" i="98"/>
  <c r="Y31" i="98"/>
  <c r="O72" i="98"/>
  <c r="AE25" i="98"/>
  <c r="AE66" i="98"/>
  <c r="B27" i="98"/>
  <c r="S49" i="98"/>
  <c r="Q40" i="98"/>
  <c r="G4" i="98"/>
  <c r="B42" i="98"/>
  <c r="F69" i="98"/>
  <c r="E31" i="98"/>
  <c r="Y44" i="98"/>
  <c r="V51" i="98"/>
  <c r="M23" i="98"/>
  <c r="G19" i="98"/>
  <c r="E58" i="98"/>
  <c r="R17" i="98"/>
  <c r="AD56" i="98"/>
  <c r="AA29" i="98"/>
  <c r="N5" i="98"/>
  <c r="E65" i="98"/>
  <c r="E29" i="98"/>
  <c r="X5" i="98"/>
  <c r="G63" i="98"/>
  <c r="AY1" i="98"/>
  <c r="N31" i="98"/>
  <c r="S53" i="98"/>
  <c r="AD48" i="98"/>
  <c r="E2" i="98"/>
  <c r="N67" i="98"/>
  <c r="K54" i="98"/>
  <c r="T13" i="98"/>
  <c r="AA42" i="98"/>
  <c r="F60" i="98"/>
  <c r="AD31" i="98"/>
  <c r="M75" i="98"/>
  <c r="X4" i="98"/>
  <c r="V73" i="98"/>
  <c r="E48" i="98"/>
  <c r="V60" i="98"/>
  <c r="AD29" i="98"/>
  <c r="F30" i="98"/>
  <c r="E77" i="98"/>
  <c r="P76" i="98"/>
  <c r="Y4" i="98"/>
  <c r="P33" i="98"/>
  <c r="J40" i="98"/>
  <c r="O41" i="98"/>
  <c r="K47" i="98"/>
  <c r="E54" i="98"/>
  <c r="W71" i="98"/>
  <c r="F6" i="98"/>
  <c r="P11" i="98"/>
  <c r="AC2" i="98"/>
  <c r="V2" i="98"/>
  <c r="T45" i="98"/>
  <c r="U14" i="98"/>
  <c r="G45" i="98"/>
  <c r="T7" i="98"/>
  <c r="O73" i="98"/>
  <c r="AB49" i="98"/>
  <c r="S23" i="98"/>
  <c r="AC37" i="98"/>
  <c r="Q2" i="98"/>
  <c r="M19" i="98"/>
  <c r="C7" i="98"/>
  <c r="L9" i="98"/>
  <c r="N25" i="98"/>
  <c r="AA34" i="98"/>
  <c r="X29" i="98"/>
  <c r="W48" i="98"/>
  <c r="AA63" i="98"/>
  <c r="W22" i="98"/>
  <c r="M55" i="98"/>
  <c r="L48" i="98"/>
  <c r="R18" i="98"/>
  <c r="P27" i="98"/>
  <c r="Q64" i="98"/>
  <c r="X62" i="98"/>
  <c r="AE55" i="98"/>
  <c r="V15" i="98"/>
  <c r="W51" i="98"/>
  <c r="P21" i="98"/>
  <c r="W41" i="98"/>
  <c r="V14" i="98"/>
  <c r="AE27" i="98"/>
  <c r="AB27" i="98"/>
  <c r="AD63" i="98"/>
  <c r="Z57" i="98"/>
  <c r="Y15" i="98"/>
  <c r="M53" i="98"/>
  <c r="M46" i="98"/>
  <c r="U73" i="98"/>
  <c r="G39" i="98"/>
  <c r="W70" i="98"/>
  <c r="C71" i="98"/>
  <c r="Q21" i="98"/>
  <c r="AB20" i="98"/>
  <c r="T42" i="98"/>
  <c r="Z17" i="98"/>
  <c r="AC15" i="98"/>
  <c r="G5" i="98"/>
  <c r="H2" i="98"/>
  <c r="K2" i="98"/>
  <c r="C14" i="98"/>
  <c r="M40" i="98"/>
  <c r="Z13" i="98"/>
  <c r="P38" i="98"/>
  <c r="C59" i="98"/>
  <c r="AA12" i="98"/>
  <c r="X73" i="98"/>
  <c r="O5" i="98"/>
  <c r="F70" i="98"/>
  <c r="E74" i="98"/>
  <c r="E36" i="98"/>
  <c r="AD74" i="98"/>
  <c r="T10" i="98"/>
  <c r="S62" i="98"/>
  <c r="K62" i="98"/>
  <c r="AD72" i="98"/>
  <c r="N70" i="98"/>
  <c r="K51" i="98"/>
  <c r="L70" i="98"/>
  <c r="R33" i="98"/>
  <c r="H28" i="98"/>
  <c r="S67" i="98"/>
  <c r="B65" i="98"/>
  <c r="U20" i="98"/>
  <c r="AA64" i="98"/>
  <c r="P35" i="98"/>
  <c r="N32" i="98"/>
  <c r="K70" i="98"/>
  <c r="O74" i="98"/>
  <c r="AC28" i="98"/>
  <c r="P52" i="98"/>
  <c r="P77" i="98"/>
  <c r="N45" i="98"/>
  <c r="T25" i="98"/>
  <c r="T19" i="98"/>
  <c r="G26" i="98"/>
  <c r="Q20" i="98"/>
  <c r="AA67" i="98"/>
  <c r="AE12" i="98"/>
  <c r="H73" i="98"/>
  <c r="V31" i="98"/>
  <c r="K25" i="98"/>
  <c r="AD65" i="98"/>
  <c r="Q11" i="98"/>
  <c r="W76" i="98"/>
  <c r="O16" i="98"/>
  <c r="B39" i="98"/>
  <c r="P13" i="98"/>
  <c r="S19" i="98"/>
  <c r="V3" i="98"/>
  <c r="G75" i="98"/>
  <c r="AE28" i="98"/>
  <c r="D19" i="98"/>
  <c r="AC27" i="98"/>
  <c r="C57" i="98"/>
  <c r="X52" i="98"/>
  <c r="AD77" i="98"/>
  <c r="R12" i="98"/>
  <c r="R3" i="98"/>
  <c r="AC14" i="98"/>
  <c r="K35" i="98"/>
  <c r="AE37" i="98"/>
  <c r="AK1" i="98"/>
  <c r="H16" i="98"/>
  <c r="R13" i="98"/>
  <c r="B12" i="98"/>
  <c r="AA61" i="98"/>
  <c r="Q38" i="98"/>
  <c r="R67" i="98"/>
  <c r="AA75" i="98"/>
  <c r="X49" i="98"/>
  <c r="W27" i="98"/>
  <c r="M14" i="98"/>
  <c r="O66" i="98"/>
  <c r="AD28" i="98"/>
  <c r="AD66" i="98"/>
  <c r="G35" i="98"/>
  <c r="K73" i="98"/>
  <c r="Q34" i="98"/>
  <c r="N13" i="98"/>
  <c r="O59" i="98"/>
  <c r="Z47" i="98"/>
  <c r="D24" i="98"/>
  <c r="Q57" i="98"/>
  <c r="AB48" i="98"/>
  <c r="F65" i="98"/>
  <c r="AC8" i="98"/>
  <c r="F23" i="98"/>
  <c r="X35" i="98"/>
  <c r="K66" i="98"/>
  <c r="F28" i="98"/>
  <c r="M21" i="98"/>
  <c r="AA71" i="98"/>
  <c r="C64" i="98"/>
  <c r="AA26" i="98"/>
  <c r="H18" i="98"/>
  <c r="Q54" i="98"/>
  <c r="G21" i="98"/>
  <c r="AA49" i="98"/>
  <c r="O58" i="98"/>
  <c r="AA17" i="98"/>
  <c r="K36" i="98"/>
  <c r="AE8" i="98"/>
  <c r="V43" i="98"/>
  <c r="AC11" i="98"/>
  <c r="Y9" i="98"/>
  <c r="Q10" i="98"/>
  <c r="G48" i="98"/>
  <c r="Z67" i="98"/>
  <c r="O24" i="98"/>
  <c r="AB36" i="98"/>
  <c r="AD17" i="98"/>
  <c r="AC60" i="98"/>
  <c r="T47" i="98"/>
  <c r="W28" i="98"/>
  <c r="R57" i="98"/>
  <c r="G20" i="98"/>
  <c r="S15" i="98"/>
  <c r="B18" i="98"/>
  <c r="K29" i="98"/>
  <c r="G8" i="98"/>
  <c r="U48" i="98"/>
  <c r="U46" i="98"/>
  <c r="AC26" i="98"/>
  <c r="D41" i="98"/>
  <c r="AB35" i="98"/>
  <c r="K27" i="98"/>
  <c r="E57" i="98"/>
  <c r="Z4" i="98"/>
  <c r="M61" i="98"/>
  <c r="AA38" i="98"/>
  <c r="Q22" i="98"/>
  <c r="V68" i="98"/>
  <c r="E64" i="98"/>
  <c r="D17" i="98"/>
  <c r="G53" i="98"/>
  <c r="X2" i="98"/>
  <c r="D57" i="98"/>
  <c r="F58" i="98"/>
  <c r="AB54" i="98"/>
  <c r="R47" i="98"/>
  <c r="AC39" i="98"/>
  <c r="H65" i="98"/>
  <c r="D36" i="98"/>
  <c r="S5" i="98"/>
  <c r="T34" i="98"/>
  <c r="O57" i="98"/>
  <c r="AA62" i="98"/>
  <c r="Q28" i="98"/>
  <c r="O50" i="98"/>
  <c r="R6" i="98"/>
  <c r="M6" i="98"/>
  <c r="N60" i="98"/>
  <c r="C51" i="98"/>
  <c r="AA57" i="98"/>
  <c r="W12" i="98"/>
  <c r="Y14" i="98"/>
  <c r="M68" i="98"/>
  <c r="AB26" i="98"/>
  <c r="V28" i="98"/>
  <c r="C48" i="98"/>
  <c r="M28" i="98"/>
  <c r="D11" i="98"/>
  <c r="AC6" i="98"/>
  <c r="B75" i="98"/>
  <c r="O21" i="98"/>
  <c r="Z33" i="98"/>
  <c r="G23" i="98"/>
  <c r="S70" i="98"/>
  <c r="V24" i="98"/>
  <c r="AB63" i="98"/>
  <c r="AA72" i="98"/>
  <c r="C70" i="98"/>
  <c r="T3" i="98"/>
  <c r="W44" i="98"/>
  <c r="X31" i="98"/>
  <c r="AC66" i="98"/>
  <c r="B11" i="98"/>
  <c r="F9" i="98"/>
  <c r="M33" i="98"/>
  <c r="Y60" i="98"/>
  <c r="R8" i="98"/>
  <c r="D39" i="98"/>
  <c r="B76" i="98"/>
  <c r="AC75" i="98"/>
  <c r="U77" i="98"/>
  <c r="AC61" i="98"/>
  <c r="M52" i="98"/>
  <c r="AD47" i="98"/>
  <c r="AE10" i="98"/>
  <c r="G69" i="98"/>
  <c r="Y25" i="98"/>
  <c r="AA2" i="98"/>
  <c r="X72" i="98"/>
  <c r="H12" i="98"/>
  <c r="AB71" i="98"/>
  <c r="G22" i="98"/>
  <c r="D51" i="98"/>
  <c r="M41" i="98"/>
  <c r="U41" i="98"/>
  <c r="B5" i="98"/>
  <c r="Y20" i="98"/>
  <c r="K24" i="98"/>
  <c r="T64" i="98"/>
  <c r="Y75" i="98"/>
  <c r="G43" i="98"/>
  <c r="C3" i="98"/>
  <c r="AB25" i="98"/>
  <c r="B35" i="98"/>
  <c r="Y49" i="98"/>
  <c r="Y51" i="98"/>
  <c r="E68" i="98"/>
  <c r="AD69" i="98"/>
  <c r="AD73" i="98"/>
  <c r="T17" i="98"/>
  <c r="C26" i="98"/>
  <c r="G55" i="98"/>
  <c r="Z19" i="98"/>
  <c r="D65" i="98"/>
  <c r="Y5" i="98"/>
  <c r="D30" i="98"/>
  <c r="V62" i="98"/>
  <c r="AC51" i="98"/>
  <c r="F43" i="98"/>
  <c r="V76" i="98"/>
  <c r="U56" i="98"/>
  <c r="H52" i="98"/>
  <c r="R36" i="98"/>
  <c r="D48" i="98"/>
  <c r="P9" i="98"/>
  <c r="AA4" i="98"/>
  <c r="Y29" i="98"/>
  <c r="E34" i="98"/>
  <c r="Z73" i="98"/>
  <c r="C27" i="98"/>
  <c r="K15" i="98"/>
  <c r="B77" i="98"/>
  <c r="T37" i="98"/>
  <c r="K23" i="98"/>
  <c r="S7" i="98"/>
  <c r="AE65" i="98"/>
  <c r="Q9" i="98"/>
  <c r="C47" i="98"/>
  <c r="AE17" i="98"/>
  <c r="G29" i="98"/>
  <c r="M51" i="98"/>
  <c r="G62" i="98"/>
  <c r="W24" i="98"/>
  <c r="Q4" i="98"/>
  <c r="B67" i="98"/>
  <c r="U36" i="98"/>
  <c r="M11" i="98"/>
  <c r="K9" i="98"/>
  <c r="C62" i="98"/>
  <c r="M58" i="98"/>
  <c r="Q49" i="98"/>
  <c r="D59" i="98"/>
  <c r="E5" i="98"/>
  <c r="E10" i="98"/>
  <c r="AD64" i="98"/>
  <c r="F19" i="98"/>
  <c r="W30" i="98"/>
  <c r="N63" i="98"/>
  <c r="AE56" i="98"/>
  <c r="N74" i="98"/>
  <c r="Z39" i="98"/>
  <c r="Y22" i="98"/>
  <c r="R4" i="98"/>
  <c r="Z69" i="98"/>
  <c r="F45" i="98"/>
  <c r="N52" i="98"/>
  <c r="R22" i="98"/>
  <c r="W64" i="98"/>
  <c r="O46" i="98"/>
  <c r="Q58" i="98"/>
  <c r="V23" i="98"/>
  <c r="AE51" i="98"/>
  <c r="H27" i="98"/>
  <c r="O3" i="98"/>
  <c r="AB61" i="98"/>
  <c r="AA53" i="98"/>
  <c r="O11" i="98"/>
  <c r="D49" i="98"/>
  <c r="AE30" i="98"/>
  <c r="AC10" i="98"/>
  <c r="O27" i="98"/>
  <c r="H37" i="98"/>
  <c r="J61" i="98"/>
  <c r="Z62" i="98"/>
  <c r="U22" i="98"/>
  <c r="AA23" i="98"/>
  <c r="G6" i="98"/>
  <c r="Y58" i="98"/>
  <c r="Y2" i="98"/>
  <c r="K12" i="98"/>
  <c r="S75" i="98"/>
  <c r="W63" i="98"/>
  <c r="N65" i="98"/>
  <c r="D54" i="98"/>
  <c r="AB46" i="98"/>
  <c r="D66" i="98"/>
  <c r="AC76" i="98"/>
  <c r="Y39" i="98"/>
  <c r="O77" i="98"/>
  <c r="AC18" i="98"/>
  <c r="D55" i="98"/>
  <c r="AE36" i="98"/>
  <c r="S43" i="98"/>
  <c r="Z30" i="98"/>
  <c r="AA22" i="98"/>
  <c r="X54" i="98"/>
  <c r="S55" i="98"/>
  <c r="K37" i="98"/>
  <c r="E23" i="98"/>
  <c r="U67" i="98"/>
  <c r="N11" i="98"/>
  <c r="R42" i="98"/>
  <c r="AB11" i="98"/>
  <c r="B20" i="98"/>
  <c r="G12" i="98"/>
  <c r="AD43" i="98"/>
  <c r="R53" i="98"/>
  <c r="Q17" i="98"/>
  <c r="Q13" i="98"/>
  <c r="V53" i="98"/>
  <c r="K45" i="98"/>
  <c r="E53" i="98"/>
  <c r="G51" i="98"/>
  <c r="AB37" i="98"/>
  <c r="M56" i="98"/>
  <c r="X12" i="98"/>
  <c r="X28" i="98"/>
  <c r="Z77" i="98"/>
  <c r="N34" i="98"/>
  <c r="D22" i="98"/>
  <c r="AC62" i="98"/>
  <c r="L46" i="98"/>
  <c r="E13" i="98"/>
  <c r="B3" i="98"/>
  <c r="E24" i="98"/>
  <c r="Y35" i="98"/>
  <c r="W7" i="98"/>
  <c r="T59" i="98"/>
  <c r="X68" i="98"/>
  <c r="O8" i="98"/>
  <c r="C16" i="98"/>
  <c r="P63" i="98"/>
  <c r="O10" i="98"/>
  <c r="AE16" i="98"/>
  <c r="G57" i="98"/>
  <c r="AD71" i="98"/>
  <c r="O19" i="98"/>
  <c r="D42" i="98"/>
  <c r="U50" i="98"/>
  <c r="B32" i="98"/>
  <c r="U27" i="98"/>
  <c r="F17" i="98"/>
  <c r="U12" i="98"/>
  <c r="B63" i="98"/>
  <c r="N73" i="98"/>
  <c r="U18" i="98"/>
  <c r="H25" i="98"/>
  <c r="Z35" i="98"/>
  <c r="AB7" i="98"/>
  <c r="C41" i="98"/>
  <c r="AE74" i="98"/>
  <c r="W8" i="98"/>
  <c r="S76" i="98"/>
  <c r="Z60" i="98"/>
  <c r="X3" i="98"/>
  <c r="C6" i="98"/>
  <c r="AE39" i="98"/>
  <c r="N24" i="98"/>
  <c r="F10" i="98"/>
  <c r="AC67" i="98"/>
  <c r="H14" i="98"/>
  <c r="AB40" i="98"/>
  <c r="AB10" i="98"/>
  <c r="AD61" i="98"/>
  <c r="G14" i="98"/>
  <c r="P12" i="98"/>
  <c r="AD10" i="98"/>
  <c r="P46" i="98"/>
  <c r="R49" i="98"/>
  <c r="E25" i="98"/>
  <c r="O6" i="98"/>
  <c r="K74" i="98"/>
  <c r="H45" i="98"/>
  <c r="N43" i="98"/>
  <c r="P73" i="98"/>
  <c r="V7" i="98"/>
  <c r="H8" i="98"/>
  <c r="C21" i="98"/>
  <c r="Z72" i="98"/>
  <c r="B54" i="98"/>
  <c r="H39" i="98"/>
  <c r="AA10" i="98"/>
  <c r="C53" i="98"/>
  <c r="P48" i="98"/>
  <c r="C25" i="98"/>
  <c r="AA52" i="98"/>
  <c r="H31" i="98"/>
  <c r="AC17" i="98"/>
  <c r="B30" i="98"/>
  <c r="G61" i="98"/>
  <c r="K7" i="98"/>
  <c r="U40" i="98"/>
  <c r="X38" i="98"/>
  <c r="R68" i="98"/>
  <c r="E21" i="98"/>
  <c r="AD9" i="98"/>
  <c r="D70" i="98"/>
  <c r="Z29" i="98"/>
  <c r="O47" i="98"/>
  <c r="O53" i="98"/>
  <c r="V5" i="98"/>
  <c r="AA73" i="98"/>
  <c r="Z37" i="98"/>
  <c r="AC21" i="98"/>
  <c r="AB60" i="98"/>
  <c r="D60" i="98"/>
  <c r="W45" i="98"/>
  <c r="AB31" i="98"/>
  <c r="Z46" i="98"/>
  <c r="B69" i="98"/>
  <c r="C46" i="98"/>
  <c r="R44" i="98"/>
  <c r="P62" i="98"/>
  <c r="B44" i="98"/>
  <c r="T46" i="98"/>
  <c r="AD26" i="98"/>
  <c r="AC9" i="98"/>
  <c r="F15" i="98"/>
  <c r="V30" i="98"/>
  <c r="AA8" i="98"/>
  <c r="C9" i="98"/>
  <c r="U43" i="98"/>
  <c r="K30" i="98"/>
  <c r="E55" i="98"/>
  <c r="V33" i="98"/>
  <c r="Y33" i="98"/>
  <c r="O37" i="98"/>
  <c r="D56" i="98"/>
  <c r="P66" i="98"/>
  <c r="AD16" i="98"/>
  <c r="AB73" i="98"/>
  <c r="Z11" i="98"/>
  <c r="R7" i="98"/>
  <c r="O2" i="98"/>
  <c r="AA28" i="98"/>
  <c r="D63" i="98"/>
  <c r="W21" i="98"/>
  <c r="M67" i="98"/>
  <c r="T69" i="98"/>
  <c r="Z56" i="98"/>
  <c r="R77" i="98"/>
  <c r="G28" i="98"/>
  <c r="X11" i="98"/>
  <c r="AD52" i="98"/>
  <c r="R61" i="98"/>
  <c r="F5" i="98"/>
  <c r="L41" i="98"/>
  <c r="AB8" i="98"/>
  <c r="AD37" i="98"/>
  <c r="O22" i="98"/>
  <c r="AA19" i="98"/>
  <c r="F29" i="98"/>
  <c r="K44" i="98"/>
  <c r="P31" i="98"/>
  <c r="K67" i="98"/>
  <c r="P42" i="98"/>
  <c r="O23" i="98"/>
  <c r="F74" i="98"/>
  <c r="U42" i="98"/>
  <c r="AA6" i="98"/>
  <c r="P45" i="98"/>
  <c r="G32" i="98"/>
  <c r="K71" i="98"/>
  <c r="M27" i="98"/>
  <c r="P15" i="98"/>
  <c r="AC54" i="98"/>
  <c r="X70" i="98"/>
  <c r="Y45" i="98"/>
  <c r="Z9" i="98"/>
  <c r="M30" i="98"/>
  <c r="U71" i="98"/>
  <c r="T22" i="98"/>
  <c r="AE38" i="98"/>
  <c r="W56" i="98"/>
  <c r="M66" i="98"/>
  <c r="R32" i="98"/>
  <c r="P69" i="98"/>
  <c r="B37" i="98"/>
  <c r="R45" i="98"/>
  <c r="S25" i="98"/>
  <c r="U44" i="98"/>
  <c r="W9" i="98"/>
  <c r="N14" i="98"/>
  <c r="V36" i="98"/>
  <c r="V37" i="98"/>
  <c r="C19" i="98"/>
  <c r="AA14" i="98"/>
  <c r="AC25" i="98"/>
  <c r="T52" i="98"/>
  <c r="K61" i="98"/>
  <c r="Z14" i="98"/>
  <c r="X60" i="98"/>
  <c r="AE11" i="98"/>
  <c r="D76" i="98"/>
  <c r="Z26" i="98"/>
  <c r="N40" i="98"/>
  <c r="X16" i="98"/>
  <c r="G56" i="98"/>
  <c r="AA25" i="98"/>
  <c r="L40" i="98"/>
  <c r="U54" i="98"/>
  <c r="AE5" i="98"/>
  <c r="Q37" i="98"/>
  <c r="AB44" i="98"/>
  <c r="N26" i="98"/>
  <c r="Q15" i="98"/>
  <c r="W66" i="98"/>
  <c r="H55" i="98"/>
  <c r="C50" i="98"/>
  <c r="W14" i="98"/>
  <c r="E4" i="98"/>
  <c r="V20" i="98"/>
  <c r="Q16" i="98"/>
  <c r="AU1" i="98"/>
  <c r="G66" i="98"/>
  <c r="AE57" i="98"/>
  <c r="S42" i="98"/>
  <c r="AE35" i="98"/>
  <c r="Y38" i="98"/>
  <c r="AO1" i="98"/>
  <c r="V55" i="98"/>
  <c r="X41" i="98"/>
  <c r="G11" i="98"/>
  <c r="AB28" i="98"/>
  <c r="P72" i="98"/>
  <c r="N58" i="98"/>
  <c r="K53" i="98"/>
  <c r="N36" i="98"/>
  <c r="T72" i="98"/>
  <c r="AA44" i="98"/>
  <c r="W19" i="98"/>
  <c r="H26" i="98"/>
  <c r="B23" i="98"/>
  <c r="P64" i="98"/>
  <c r="F52" i="98"/>
  <c r="G31" i="98"/>
  <c r="R23" i="98"/>
  <c r="P8" i="98"/>
  <c r="E44" i="98"/>
  <c r="R10" i="98"/>
  <c r="AB56" i="98"/>
  <c r="L43" i="98"/>
  <c r="F61" i="98"/>
  <c r="Q76" i="98"/>
  <c r="C49" i="98"/>
  <c r="P36" i="98"/>
  <c r="X53" i="98"/>
  <c r="O60" i="98"/>
  <c r="AB32" i="98"/>
  <c r="O26" i="98"/>
  <c r="M7" i="98"/>
  <c r="AE43" i="98"/>
  <c r="F13" i="98"/>
  <c r="G77" i="98"/>
  <c r="AC29" i="98"/>
  <c r="P26" i="98"/>
  <c r="O61" i="98"/>
  <c r="V29" i="98"/>
  <c r="G46" i="98"/>
  <c r="J9" i="98"/>
  <c r="Z36" i="98"/>
  <c r="Y74" i="98"/>
  <c r="G71" i="98"/>
  <c r="X65" i="98"/>
  <c r="X32" i="98"/>
  <c r="W55" i="98"/>
  <c r="U35" i="98"/>
  <c r="AC34" i="98"/>
  <c r="AA40" i="98"/>
  <c r="V69" i="98"/>
  <c r="AB33" i="98"/>
  <c r="U13" i="98"/>
  <c r="U62" i="98"/>
  <c r="P10" i="98"/>
  <c r="R54" i="98"/>
  <c r="Z31" i="98"/>
  <c r="V52" i="98"/>
  <c r="C33" i="98"/>
  <c r="C66" i="98"/>
  <c r="AE68" i="98"/>
  <c r="V77" i="98"/>
  <c r="K10" i="98"/>
  <c r="T67" i="98"/>
  <c r="AC64" i="98"/>
  <c r="W18" i="98"/>
  <c r="AD6" i="98"/>
  <c r="AA27" i="98"/>
  <c r="W33" i="98"/>
  <c r="Q12" i="98"/>
  <c r="M35" i="98"/>
  <c r="Q30" i="98"/>
  <c r="J41" i="98"/>
  <c r="Z58" i="98"/>
  <c r="G52" i="98"/>
  <c r="T62" i="98"/>
  <c r="F46" i="98"/>
  <c r="Q39" i="98"/>
  <c r="G74" i="98"/>
  <c r="K26" i="98"/>
  <c r="D5" i="98"/>
  <c r="P58" i="98"/>
  <c r="R41" i="98"/>
  <c r="AC50" i="98"/>
  <c r="Q75" i="98"/>
  <c r="F2" i="98"/>
  <c r="F34" i="98"/>
  <c r="AD44" i="98"/>
  <c r="Q68" i="98"/>
  <c r="D34" i="98"/>
  <c r="AC45" i="98"/>
  <c r="B10" i="98"/>
  <c r="N47" i="98"/>
  <c r="O62" i="98"/>
  <c r="P44" i="98"/>
  <c r="G7" i="98"/>
  <c r="E16" i="98"/>
  <c r="F18" i="98"/>
  <c r="V41" i="98"/>
  <c r="T26" i="98"/>
  <c r="U52" i="98"/>
  <c r="O76" i="98"/>
  <c r="B74" i="98"/>
  <c r="AD11" i="98"/>
  <c r="H9" i="98"/>
  <c r="AB22" i="98"/>
  <c r="Q48" i="98"/>
  <c r="Q46" i="98"/>
  <c r="K6" i="98"/>
  <c r="W32" i="98"/>
  <c r="H66" i="98"/>
  <c r="Y61" i="98"/>
  <c r="C39" i="98"/>
  <c r="P49" i="98"/>
  <c r="B25" i="98"/>
  <c r="AD60" i="98"/>
  <c r="C73" i="98"/>
  <c r="Z27" i="98"/>
  <c r="E61" i="98"/>
  <c r="S64" i="98"/>
  <c r="F47" i="98"/>
  <c r="F26" i="98"/>
  <c r="O17" i="98"/>
  <c r="K42" i="98"/>
  <c r="AE41" i="98"/>
  <c r="D6" i="98"/>
  <c r="N51" i="98"/>
  <c r="U53" i="98"/>
  <c r="Z74" i="98"/>
  <c r="C36" i="98"/>
  <c r="K17" i="98"/>
  <c r="AA43" i="98"/>
  <c r="T23" i="98"/>
  <c r="E12" i="98"/>
  <c r="K38" i="98"/>
  <c r="W40" i="98"/>
  <c r="AD4" i="98"/>
  <c r="D9" i="98"/>
  <c r="G34" i="98"/>
  <c r="R48" i="98"/>
  <c r="T75" i="98"/>
  <c r="S14" i="98"/>
  <c r="N56" i="98"/>
  <c r="V22" i="98"/>
  <c r="C40" i="98"/>
  <c r="H59" i="98"/>
  <c r="H36" i="98"/>
  <c r="M50" i="98"/>
  <c r="K40" i="98"/>
  <c r="M37" i="98"/>
  <c r="AE21" i="98"/>
  <c r="AC46" i="98"/>
  <c r="B57" i="98"/>
  <c r="B41" i="98"/>
  <c r="M69" i="98"/>
  <c r="Y57" i="98"/>
  <c r="K52" i="98"/>
  <c r="AB34" i="98"/>
  <c r="M48" i="98"/>
  <c r="O51" i="98"/>
  <c r="E73" i="98"/>
  <c r="AD46" i="98"/>
  <c r="W42" i="98"/>
  <c r="Z3" i="98"/>
  <c r="D74" i="98"/>
  <c r="R72" i="98"/>
  <c r="P37" i="98"/>
  <c r="E40" i="98"/>
  <c r="G24" i="98"/>
  <c r="Q27" i="98"/>
  <c r="B40" i="98"/>
  <c r="K19" i="98"/>
  <c r="AM1" i="98"/>
  <c r="D32" i="98"/>
  <c r="V16" i="98"/>
  <c r="H72" i="98"/>
  <c r="H17" i="98"/>
  <c r="P47" i="98"/>
  <c r="B49" i="98"/>
  <c r="Q36" i="98"/>
  <c r="AE2" i="98"/>
  <c r="M5" i="98"/>
  <c r="P65" i="98"/>
  <c r="C42" i="98"/>
  <c r="T66" i="98"/>
  <c r="X63" i="98"/>
  <c r="W67" i="98"/>
  <c r="AI1" i="98"/>
  <c r="Q52" i="98"/>
  <c r="AA36" i="98"/>
  <c r="X47" i="98"/>
  <c r="C11" i="98"/>
  <c r="AE73" i="98"/>
  <c r="K43" i="98"/>
  <c r="Y65" i="98"/>
  <c r="Z45" i="98"/>
  <c r="N53" i="98"/>
  <c r="E76" i="98"/>
  <c r="AB45" i="98"/>
  <c r="AC12" i="98"/>
  <c r="F41" i="98"/>
  <c r="V49" i="98"/>
  <c r="W5" i="98"/>
  <c r="X44" i="98"/>
  <c r="Z61" i="98"/>
  <c r="D38" i="98"/>
  <c r="W10" i="98"/>
  <c r="O70" i="98"/>
  <c r="K72" i="98"/>
  <c r="H33" i="98"/>
  <c r="AB62" i="98"/>
  <c r="AE18" i="98"/>
  <c r="B21" i="98"/>
  <c r="V19" i="98"/>
  <c r="G13" i="98"/>
  <c r="B64" i="98"/>
  <c r="N16" i="98"/>
  <c r="Y36" i="98"/>
  <c r="G37" i="98"/>
  <c r="K18" i="98"/>
  <c r="Z12" i="98"/>
  <c r="AS1" i="98"/>
  <c r="C38" i="98"/>
  <c r="V44" i="98"/>
  <c r="N37" i="98"/>
  <c r="W11" i="98"/>
  <c r="R62" i="98"/>
  <c r="G15" i="98"/>
  <c r="N54" i="98"/>
  <c r="T36" i="98"/>
  <c r="AD34" i="98"/>
  <c r="AD20" i="98"/>
  <c r="G68" i="98"/>
  <c r="W39" i="98"/>
  <c r="T71" i="98"/>
  <c r="AD49" i="98"/>
  <c r="M62" i="98"/>
  <c r="L65" i="98"/>
  <c r="Y3" i="98"/>
  <c r="O30" i="98"/>
  <c r="AA13" i="98"/>
  <c r="O13" i="98"/>
  <c r="F22" i="98"/>
  <c r="E71" i="98"/>
  <c r="D13" i="98"/>
  <c r="B43" i="98"/>
  <c r="Q8" i="98"/>
  <c r="W57" i="98"/>
  <c r="AG1" i="98"/>
  <c r="G67" i="98"/>
  <c r="Q25" i="98"/>
  <c r="AC43" i="98"/>
  <c r="D14" i="98"/>
  <c r="R26" i="98"/>
  <c r="S54" i="98"/>
  <c r="O9" i="98"/>
  <c r="W59" i="98"/>
  <c r="AD36" i="98"/>
  <c r="S47" i="98"/>
  <c r="X13" i="98"/>
  <c r="V59" i="98"/>
  <c r="G30" i="98"/>
  <c r="Q60" i="98"/>
  <c r="X27" i="98"/>
  <c r="X77" i="98"/>
  <c r="F24" i="98"/>
  <c r="AD30" i="98"/>
  <c r="H70" i="98"/>
  <c r="H74" i="98"/>
  <c r="V18" i="98"/>
  <c r="P20" i="98"/>
  <c r="D4" i="98"/>
  <c r="F77" i="98"/>
  <c r="H41" i="98"/>
  <c r="K20" i="98"/>
  <c r="AC36" i="98"/>
  <c r="AA30" i="98"/>
  <c r="Q5" i="98"/>
  <c r="P51" i="98"/>
  <c r="S61" i="98"/>
  <c r="S44" i="98"/>
  <c r="K63" i="98"/>
  <c r="AB39" i="98"/>
  <c r="Y26" i="98"/>
  <c r="R46" i="98"/>
  <c r="N44" i="98"/>
  <c r="G64" i="98"/>
  <c r="AB24" i="98"/>
  <c r="P22" i="98"/>
  <c r="L37" i="98"/>
  <c r="C60" i="98"/>
  <c r="L13" i="115" l="1"/>
  <c r="M13" i="115"/>
  <c r="T13" i="115"/>
  <c r="I13" i="115"/>
  <c r="D13" i="115"/>
  <c r="I41" i="98"/>
  <c r="I74" i="98"/>
  <c r="I70" i="98"/>
  <c r="I33" i="98"/>
  <c r="I17" i="98"/>
  <c r="I72" i="98"/>
  <c r="I36" i="98"/>
  <c r="I59" i="98"/>
  <c r="I66" i="98"/>
  <c r="I9" i="98"/>
  <c r="I26" i="98"/>
  <c r="I55" i="98"/>
  <c r="I31" i="98"/>
  <c r="I39" i="98"/>
  <c r="I8" i="98"/>
  <c r="I45" i="98"/>
  <c r="I14" i="98"/>
  <c r="I25" i="98"/>
  <c r="I37" i="98"/>
  <c r="I27" i="98"/>
  <c r="I52" i="98"/>
  <c r="I12" i="98"/>
  <c r="I65" i="98"/>
  <c r="I18" i="98"/>
  <c r="I16" i="98"/>
  <c r="I73" i="98"/>
  <c r="I28" i="98"/>
  <c r="I2" i="98"/>
  <c r="I68" i="98"/>
  <c r="I43" i="98"/>
  <c r="I30" i="98"/>
  <c r="I76" i="98"/>
  <c r="I13" i="98"/>
  <c r="I23" i="98"/>
  <c r="I60" i="98"/>
  <c r="I56" i="98"/>
  <c r="I29" i="98"/>
  <c r="I48" i="98"/>
  <c r="I34" i="98"/>
  <c r="I50" i="98"/>
  <c r="I71" i="98"/>
  <c r="I47" i="98"/>
  <c r="I32" i="98"/>
  <c r="I19" i="98"/>
  <c r="I7" i="98"/>
  <c r="I5" i="98"/>
  <c r="I64" i="98"/>
  <c r="I42" i="98"/>
  <c r="I21" i="98"/>
  <c r="I58" i="98"/>
  <c r="I22" i="98"/>
  <c r="I67" i="98"/>
  <c r="I3" i="98"/>
  <c r="I40" i="98"/>
  <c r="I61" i="98"/>
  <c r="I53" i="98"/>
  <c r="I10" i="98"/>
  <c r="I6" i="98"/>
  <c r="I24" i="98"/>
  <c r="I62" i="98"/>
  <c r="I77" i="98"/>
  <c r="I51" i="98"/>
  <c r="I4" i="98"/>
  <c r="I38" i="98"/>
  <c r="I57" i="98"/>
  <c r="I44" i="98"/>
  <c r="I63" i="98"/>
  <c r="I54" i="98"/>
  <c r="I75" i="98"/>
  <c r="I35" i="98"/>
  <c r="I15" i="98"/>
  <c r="I46" i="98"/>
  <c r="I20" i="98"/>
  <c r="I11" i="98"/>
  <c r="L26" i="98"/>
  <c r="L23" i="98"/>
  <c r="L2" i="98"/>
  <c r="L77" i="98"/>
  <c r="J76" i="98"/>
  <c r="J32" i="98"/>
  <c r="L13" i="98"/>
  <c r="J29" i="98"/>
  <c r="L22" i="98"/>
  <c r="J63" i="98"/>
  <c r="J15" i="98"/>
  <c r="J35" i="98"/>
  <c r="L8" i="98"/>
  <c r="J59" i="98"/>
  <c r="J33" i="98"/>
  <c r="J5" i="98"/>
  <c r="J72" i="98"/>
  <c r="H69" i="98"/>
  <c r="J73" i="98"/>
  <c r="J6" i="98"/>
  <c r="J60" i="98"/>
  <c r="L12" i="98"/>
  <c r="L24" i="98"/>
  <c r="L16" i="98"/>
  <c r="J4" i="98"/>
  <c r="L54" i="98"/>
  <c r="J74" i="98"/>
  <c r="J37" i="98"/>
  <c r="L52" i="98"/>
  <c r="J53" i="98"/>
  <c r="L59" i="98"/>
  <c r="J18" i="98"/>
  <c r="L6" i="98"/>
  <c r="L60" i="98"/>
  <c r="J11" i="98"/>
  <c r="J49" i="98"/>
  <c r="J24" i="98"/>
  <c r="L20" i="98"/>
  <c r="J16" i="98"/>
  <c r="J64" i="98"/>
  <c r="L68" i="98"/>
  <c r="L75" i="98"/>
  <c r="J77" i="98"/>
  <c r="L19" i="98"/>
  <c r="L62" i="98"/>
  <c r="L29" i="98"/>
  <c r="J67" i="98"/>
  <c r="J75" i="98"/>
  <c r="J66" i="98"/>
  <c r="J54" i="98"/>
  <c r="L76" i="98"/>
  <c r="J8" i="98"/>
  <c r="J69" i="98"/>
  <c r="J45" i="98"/>
  <c r="J34" i="98"/>
  <c r="L45" i="98"/>
  <c r="L73" i="98"/>
  <c r="L50" i="98"/>
  <c r="L10" i="98"/>
  <c r="J13" i="98"/>
  <c r="J57" i="98"/>
  <c r="L66" i="98"/>
  <c r="J62" i="98"/>
  <c r="L15" i="98"/>
  <c r="L7" i="98"/>
  <c r="L47" i="98"/>
  <c r="L74" i="98"/>
  <c r="J22" i="98"/>
  <c r="J20" i="98"/>
  <c r="L18" i="98"/>
  <c r="J19" i="98"/>
  <c r="J31" i="98"/>
  <c r="J17" i="98"/>
  <c r="J56" i="98"/>
  <c r="L28" i="98"/>
  <c r="L25" i="98"/>
  <c r="J55" i="98"/>
  <c r="J23" i="98"/>
  <c r="L32" i="98"/>
  <c r="L30" i="98"/>
  <c r="L35" i="98"/>
  <c r="L14" i="98"/>
  <c r="L21" i="98"/>
  <c r="J27" i="98"/>
  <c r="J38" i="98"/>
  <c r="L64" i="98"/>
  <c r="H49" i="98"/>
  <c r="J52" i="98"/>
  <c r="J26" i="98"/>
  <c r="L38" i="98"/>
  <c r="L34" i="98"/>
  <c r="L31" i="98"/>
  <c r="L11" i="98"/>
  <c r="L69" i="98"/>
  <c r="L63" i="98"/>
  <c r="J7" i="98"/>
  <c r="L49" i="98"/>
  <c r="J58" i="98"/>
  <c r="J51" i="98"/>
  <c r="J50" i="98"/>
  <c r="L5" i="98"/>
  <c r="J21" i="98"/>
  <c r="L57" i="98"/>
  <c r="J68" i="98"/>
  <c r="J12" i="98"/>
  <c r="L67" i="98"/>
  <c r="J10" i="98"/>
  <c r="L58" i="98"/>
  <c r="J2" i="98"/>
  <c r="J28" i="98"/>
  <c r="J30" i="98"/>
  <c r="L4" i="98"/>
  <c r="J25" i="98"/>
  <c r="L55" i="98"/>
  <c r="L56" i="98"/>
  <c r="J39" i="98"/>
  <c r="L33" i="98"/>
  <c r="L17" i="98"/>
  <c r="L51" i="98"/>
  <c r="J14" i="98"/>
  <c r="L27" i="98"/>
  <c r="L72" i="98"/>
  <c r="J47" i="98"/>
  <c r="L53" i="98"/>
  <c r="I49" i="98" l="1"/>
  <c r="I69" i="98"/>
  <c r="G9" i="77" l="1"/>
  <c r="G11" i="77" s="1"/>
  <c r="F11" i="77" s="1"/>
  <c r="G10" i="77"/>
  <c r="E11" i="77"/>
  <c r="G143" i="66"/>
  <c r="K96" i="66"/>
  <c r="S32" i="66"/>
  <c r="G126" i="66"/>
  <c r="Q37" i="66"/>
  <c r="O126" i="66"/>
  <c r="N17" i="66"/>
  <c r="G78" i="66"/>
  <c r="K135" i="66"/>
  <c r="C68" i="66"/>
  <c r="K30" i="66"/>
  <c r="T141" i="66"/>
  <c r="N127" i="66"/>
  <c r="I56" i="66"/>
  <c r="H54" i="66"/>
  <c r="L127" i="66"/>
  <c r="S50" i="66"/>
  <c r="Q132" i="66"/>
  <c r="O145" i="66"/>
  <c r="A113" i="66"/>
  <c r="I156" i="66"/>
  <c r="H14" i="66"/>
  <c r="T45" i="66"/>
  <c r="G41" i="66"/>
  <c r="A95" i="66"/>
  <c r="F96" i="66"/>
  <c r="K68" i="66"/>
  <c r="M67" i="66"/>
  <c r="F135" i="66"/>
  <c r="J134" i="66"/>
  <c r="H59" i="66"/>
  <c r="E13" i="66"/>
  <c r="S88" i="66"/>
  <c r="L20" i="66"/>
  <c r="F32" i="66"/>
  <c r="K134" i="66"/>
  <c r="A62" i="66"/>
  <c r="L83" i="66"/>
  <c r="S13" i="66"/>
  <c r="Q69" i="66"/>
  <c r="C106" i="66"/>
  <c r="H35" i="66"/>
  <c r="D28" i="66"/>
  <c r="E109" i="66"/>
  <c r="E107" i="66"/>
  <c r="O61" i="66"/>
  <c r="F126" i="66"/>
  <c r="C18" i="66"/>
  <c r="N44" i="66"/>
  <c r="H72" i="66"/>
  <c r="T73" i="66"/>
  <c r="M91" i="66"/>
  <c r="T126" i="66"/>
  <c r="A155" i="66"/>
  <c r="E31" i="66"/>
  <c r="T69" i="66"/>
  <c r="L15" i="66"/>
  <c r="S29" i="66"/>
  <c r="J84" i="66"/>
  <c r="J62" i="66"/>
  <c r="P9" i="66"/>
  <c r="L152" i="66"/>
  <c r="Q90" i="66"/>
  <c r="G30" i="66"/>
  <c r="G149" i="66"/>
  <c r="C44" i="66"/>
  <c r="C34" i="66"/>
  <c r="J79" i="66"/>
  <c r="C99" i="66"/>
  <c r="J95" i="66"/>
  <c r="P43" i="66"/>
  <c r="S3" i="66"/>
  <c r="K103" i="66"/>
  <c r="L118" i="66"/>
  <c r="O146" i="66"/>
  <c r="E82" i="66"/>
  <c r="C111" i="66"/>
  <c r="T34" i="66"/>
  <c r="G92" i="66"/>
  <c r="M10" i="66"/>
  <c r="S36" i="66"/>
  <c r="O53" i="66"/>
  <c r="L112" i="66"/>
  <c r="I23" i="66"/>
  <c r="H114" i="66"/>
  <c r="M41" i="66"/>
  <c r="I32" i="66"/>
  <c r="P113" i="66"/>
  <c r="C90" i="66"/>
  <c r="O116" i="66"/>
  <c r="J111" i="66"/>
  <c r="E89" i="66"/>
  <c r="E148" i="66"/>
  <c r="M104" i="66"/>
  <c r="E95" i="66"/>
  <c r="F154" i="66"/>
  <c r="I15" i="66"/>
  <c r="D123" i="66"/>
  <c r="S145" i="66"/>
  <c r="G63" i="66"/>
  <c r="T157" i="66"/>
  <c r="N18" i="66"/>
  <c r="O153" i="66"/>
  <c r="H6" i="66"/>
  <c r="K65" i="66"/>
  <c r="P99" i="66"/>
  <c r="E16" i="66"/>
  <c r="T41" i="66"/>
  <c r="G155" i="66"/>
  <c r="J146" i="66"/>
  <c r="A122" i="66"/>
  <c r="G116" i="66"/>
  <c r="O91" i="66"/>
  <c r="H99" i="66"/>
  <c r="Q22" i="66"/>
  <c r="I105" i="66"/>
  <c r="D68" i="66"/>
  <c r="T8" i="66"/>
  <c r="S150" i="66"/>
  <c r="H105" i="66"/>
  <c r="K27" i="66"/>
  <c r="H82" i="66"/>
  <c r="G23" i="66"/>
  <c r="N24" i="66"/>
  <c r="H157" i="66"/>
  <c r="K36" i="66"/>
  <c r="C96" i="66"/>
  <c r="L123" i="66"/>
  <c r="P51" i="66"/>
  <c r="C146" i="66"/>
  <c r="A85" i="66"/>
  <c r="I118" i="66"/>
  <c r="C118" i="66"/>
  <c r="T18" i="66"/>
  <c r="K102" i="66"/>
  <c r="D115" i="66"/>
  <c r="C6" i="66"/>
  <c r="C84" i="66"/>
  <c r="C5" i="66"/>
  <c r="F146" i="66"/>
  <c r="Q55" i="66"/>
  <c r="T134" i="66"/>
  <c r="K110" i="66"/>
  <c r="A83" i="66"/>
  <c r="N136" i="66"/>
  <c r="N139" i="66"/>
  <c r="S70" i="66"/>
  <c r="M147" i="66"/>
  <c r="G150" i="66"/>
  <c r="S67" i="66"/>
  <c r="G70" i="66"/>
  <c r="F34" i="66"/>
  <c r="C11" i="66"/>
  <c r="K115" i="66"/>
  <c r="T76" i="66"/>
  <c r="O142" i="66"/>
  <c r="P103" i="66"/>
  <c r="P65" i="66"/>
  <c r="O121" i="66"/>
  <c r="H89" i="66"/>
  <c r="P151" i="66"/>
  <c r="L141" i="66"/>
  <c r="D53" i="66"/>
  <c r="N41" i="66"/>
  <c r="S148" i="66"/>
  <c r="M113" i="66"/>
  <c r="J138" i="66"/>
  <c r="S133" i="66"/>
  <c r="Q88" i="66"/>
  <c r="M76" i="66"/>
  <c r="A142" i="66"/>
  <c r="T53" i="66"/>
  <c r="E93" i="66"/>
  <c r="E105" i="66"/>
  <c r="S110" i="66"/>
  <c r="D94" i="66"/>
  <c r="C130" i="66"/>
  <c r="T23" i="66"/>
  <c r="P157" i="66"/>
  <c r="S22" i="66"/>
  <c r="T28" i="66"/>
  <c r="D26" i="66"/>
  <c r="C132" i="66"/>
  <c r="J142" i="66"/>
  <c r="D66" i="66"/>
  <c r="D11" i="66"/>
  <c r="N68" i="66"/>
  <c r="N28" i="66"/>
  <c r="E49" i="66"/>
  <c r="S12" i="66"/>
  <c r="E44" i="66"/>
  <c r="L136" i="66"/>
  <c r="I130" i="66"/>
  <c r="G100" i="66"/>
  <c r="P59" i="66"/>
  <c r="M42" i="66"/>
  <c r="N43" i="66"/>
  <c r="D20" i="66"/>
  <c r="G1" i="77"/>
  <c r="T68" i="66"/>
  <c r="S97" i="66"/>
  <c r="Q151" i="66"/>
  <c r="G59" i="66"/>
  <c r="F69" i="66"/>
  <c r="N93" i="66"/>
  <c r="Q119" i="66"/>
  <c r="G12" i="66"/>
  <c r="E46" i="66"/>
  <c r="F155" i="66"/>
  <c r="E55" i="66"/>
  <c r="I90" i="66"/>
  <c r="E26" i="66"/>
  <c r="I35" i="66"/>
  <c r="J59" i="66"/>
  <c r="P40" i="66"/>
  <c r="G32" i="66"/>
  <c r="F57" i="66"/>
  <c r="J55" i="66"/>
  <c r="P105" i="66"/>
  <c r="A40" i="66"/>
  <c r="P4" i="66"/>
  <c r="O100" i="66"/>
  <c r="H149" i="66"/>
  <c r="S51" i="66"/>
  <c r="E119" i="66"/>
  <c r="N130" i="66"/>
  <c r="P89" i="66"/>
  <c r="T7" i="66"/>
  <c r="N85" i="66"/>
  <c r="H31" i="66"/>
  <c r="K34" i="66"/>
  <c r="L6" i="66"/>
  <c r="J16" i="66"/>
  <c r="H19" i="66"/>
  <c r="T140" i="66"/>
  <c r="H139" i="66"/>
  <c r="A96" i="66"/>
  <c r="E128" i="66"/>
  <c r="J38" i="66"/>
  <c r="D29" i="66"/>
  <c r="T139" i="66"/>
  <c r="P50" i="66"/>
  <c r="A87" i="66"/>
  <c r="M73" i="66"/>
  <c r="O77" i="66"/>
  <c r="D140" i="66"/>
  <c r="I121" i="66"/>
  <c r="L44" i="66"/>
  <c r="H124" i="66"/>
  <c r="E36" i="66"/>
  <c r="Q103" i="66"/>
  <c r="D133" i="66"/>
  <c r="J143" i="66"/>
  <c r="L140" i="66"/>
  <c r="N21" i="66"/>
  <c r="Q89" i="66"/>
  <c r="K121" i="66"/>
  <c r="D8" i="66"/>
  <c r="S94" i="66"/>
  <c r="J104" i="66"/>
  <c r="E17" i="66"/>
  <c r="Q142" i="66"/>
  <c r="L37" i="66"/>
  <c r="A74" i="66"/>
  <c r="N142" i="66"/>
  <c r="H145" i="66"/>
  <c r="A99" i="66"/>
  <c r="H115" i="66"/>
  <c r="S119" i="66"/>
  <c r="M105" i="66"/>
  <c r="M92" i="66"/>
  <c r="T159" i="66"/>
  <c r="T130" i="66"/>
  <c r="G65" i="66"/>
  <c r="I89" i="66"/>
  <c r="I97" i="66"/>
  <c r="H26" i="66"/>
  <c r="Q65" i="66"/>
  <c r="A18" i="66"/>
  <c r="T120" i="66"/>
  <c r="K154" i="66"/>
  <c r="P32" i="66"/>
  <c r="M65" i="66"/>
  <c r="T149" i="66"/>
  <c r="G42" i="66"/>
  <c r="I93" i="66"/>
  <c r="Q78" i="66"/>
  <c r="L45" i="66"/>
  <c r="I111" i="66"/>
  <c r="H41" i="66"/>
  <c r="L57" i="66"/>
  <c r="S57" i="66"/>
  <c r="Q7" i="66"/>
  <c r="N37" i="66"/>
  <c r="P152" i="66"/>
  <c r="E63" i="66"/>
  <c r="J46" i="66"/>
  <c r="N51" i="66"/>
  <c r="D157" i="66"/>
  <c r="S63" i="66"/>
  <c r="S59" i="66"/>
  <c r="D52" i="66"/>
  <c r="F58" i="66"/>
  <c r="C121" i="66"/>
  <c r="L30" i="66"/>
  <c r="C28" i="66"/>
  <c r="C31" i="66"/>
  <c r="L47" i="66"/>
  <c r="K111" i="66"/>
  <c r="O25" i="66"/>
  <c r="T75" i="66"/>
  <c r="A23" i="66"/>
  <c r="I21" i="66"/>
  <c r="D110" i="66"/>
  <c r="A86" i="66"/>
  <c r="M157" i="66"/>
  <c r="J4" i="66"/>
  <c r="D57" i="66"/>
  <c r="L9" i="66"/>
  <c r="C91" i="66"/>
  <c r="E132" i="66"/>
  <c r="N10" i="66"/>
  <c r="I62" i="66"/>
  <c r="H51" i="66"/>
  <c r="L92" i="66"/>
  <c r="Q13" i="66"/>
  <c r="G157" i="66"/>
  <c r="A91" i="66"/>
  <c r="N42" i="66"/>
  <c r="D12" i="66"/>
  <c r="E58" i="66"/>
  <c r="T65" i="66"/>
  <c r="S72" i="66"/>
  <c r="K77" i="66"/>
  <c r="I12" i="66"/>
  <c r="K152" i="66"/>
  <c r="A42" i="66"/>
  <c r="H55" i="66"/>
  <c r="A76" i="66"/>
  <c r="O21" i="66"/>
  <c r="Q76" i="66"/>
  <c r="K11" i="66"/>
  <c r="P34" i="66"/>
  <c r="G45" i="66"/>
  <c r="L61" i="66"/>
  <c r="D145" i="66"/>
  <c r="J118" i="66"/>
  <c r="H140" i="66"/>
  <c r="I143" i="66"/>
  <c r="J36" i="66"/>
  <c r="K116" i="66"/>
  <c r="C39" i="66"/>
  <c r="N112" i="66"/>
  <c r="I4" i="66"/>
  <c r="K5" i="66"/>
  <c r="A35" i="66"/>
  <c r="D87" i="66"/>
  <c r="T79" i="66"/>
  <c r="N23" i="66"/>
  <c r="L119" i="66"/>
  <c r="S48" i="66"/>
  <c r="C134" i="66"/>
  <c r="O39" i="66"/>
  <c r="H71" i="66"/>
  <c r="H37" i="66"/>
  <c r="J72" i="66"/>
  <c r="G96" i="66"/>
  <c r="L5" i="66"/>
  <c r="I138" i="66"/>
  <c r="S129" i="66"/>
  <c r="N125" i="66"/>
  <c r="E131" i="66"/>
  <c r="A157" i="66"/>
  <c r="M83" i="66"/>
  <c r="P148" i="66"/>
  <c r="Q131" i="66"/>
  <c r="D47" i="66"/>
  <c r="T117" i="66"/>
  <c r="G76" i="66"/>
  <c r="Q70" i="66"/>
  <c r="F54" i="66"/>
  <c r="A36" i="66"/>
  <c r="A30" i="66"/>
  <c r="O33" i="66"/>
  <c r="H151" i="66"/>
  <c r="O38" i="66"/>
  <c r="A145" i="66"/>
  <c r="C157" i="66"/>
  <c r="C101" i="66"/>
  <c r="M33" i="66"/>
  <c r="J49" i="66"/>
  <c r="F144" i="66"/>
  <c r="G6" i="66"/>
  <c r="F39" i="66"/>
  <c r="N115" i="66"/>
  <c r="P81" i="66"/>
  <c r="M90" i="66"/>
  <c r="K73" i="66"/>
  <c r="P73" i="66"/>
  <c r="J66" i="66"/>
  <c r="M86" i="66"/>
  <c r="H135" i="66"/>
  <c r="L116" i="66"/>
  <c r="I14" i="66"/>
  <c r="A12" i="66"/>
  <c r="F53" i="66"/>
  <c r="H154" i="66"/>
  <c r="H20" i="66"/>
  <c r="G21" i="66"/>
  <c r="Q143" i="66"/>
  <c r="S143" i="66"/>
  <c r="T60" i="66"/>
  <c r="O106" i="66"/>
  <c r="A94" i="66"/>
  <c r="E20" i="66"/>
  <c r="D90" i="66"/>
  <c r="J18" i="66"/>
  <c r="T81" i="66"/>
  <c r="F88" i="66"/>
  <c r="L144" i="66"/>
  <c r="O71" i="66"/>
  <c r="H42" i="66"/>
  <c r="F140" i="66"/>
  <c r="Q145" i="66"/>
  <c r="C136" i="66"/>
  <c r="L69" i="66"/>
  <c r="S105" i="66"/>
  <c r="E153" i="66"/>
  <c r="F18" i="66"/>
  <c r="S64" i="66"/>
  <c r="O55" i="66"/>
  <c r="G104" i="66"/>
  <c r="C108" i="66"/>
  <c r="E126" i="66"/>
  <c r="H147" i="66"/>
  <c r="L58" i="66"/>
  <c r="K16" i="66"/>
  <c r="E18" i="66"/>
  <c r="K44" i="66"/>
  <c r="J125" i="66"/>
  <c r="N65" i="66"/>
  <c r="S128" i="66"/>
  <c r="H9" i="66"/>
  <c r="C4" i="66"/>
  <c r="J126" i="66"/>
  <c r="A57" i="66"/>
  <c r="S156" i="66"/>
  <c r="Q141" i="66"/>
  <c r="M18" i="66"/>
  <c r="I61" i="66"/>
  <c r="K41" i="66"/>
  <c r="P155" i="66"/>
  <c r="G80" i="66"/>
  <c r="Q48" i="66"/>
  <c r="P8" i="66"/>
  <c r="P78" i="66"/>
  <c r="A140" i="66"/>
  <c r="I37" i="66"/>
  <c r="A112" i="66"/>
  <c r="K129" i="66"/>
  <c r="T71" i="66"/>
  <c r="F85" i="66"/>
  <c r="I115" i="66"/>
  <c r="D19" i="66"/>
  <c r="L26" i="66"/>
  <c r="Q129" i="66"/>
  <c r="C55" i="66"/>
  <c r="J44" i="66"/>
  <c r="P137" i="66"/>
  <c r="E141" i="66"/>
  <c r="K86" i="66"/>
  <c r="C143" i="66"/>
  <c r="C75" i="66"/>
  <c r="S10" i="66"/>
  <c r="J24" i="66"/>
  <c r="M142" i="66"/>
  <c r="A38" i="66"/>
  <c r="M102" i="66"/>
  <c r="H127" i="66"/>
  <c r="N25" i="66"/>
  <c r="O10" i="66"/>
  <c r="I17" i="66"/>
  <c r="L108" i="66"/>
  <c r="E40" i="66"/>
  <c r="O89" i="66"/>
  <c r="F141" i="66"/>
  <c r="I120" i="66"/>
  <c r="A123" i="66"/>
  <c r="C115" i="66"/>
  <c r="D109" i="66"/>
  <c r="E138" i="66"/>
  <c r="S147" i="66"/>
  <c r="H4" i="66"/>
  <c r="H86" i="66"/>
  <c r="Q93" i="66"/>
  <c r="I78" i="66"/>
  <c r="L80" i="66"/>
  <c r="K74" i="66"/>
  <c r="O5" i="66"/>
  <c r="E66" i="66"/>
  <c r="A72" i="66"/>
  <c r="T103" i="66"/>
  <c r="Q8" i="66"/>
  <c r="D7" i="66"/>
  <c r="K47" i="66"/>
  <c r="H109" i="66"/>
  <c r="Q121" i="66"/>
  <c r="Q77" i="66"/>
  <c r="M97" i="66"/>
  <c r="D141" i="66"/>
  <c r="C70" i="66"/>
  <c r="F122" i="66"/>
  <c r="G20" i="66"/>
  <c r="T52" i="66"/>
  <c r="E124" i="66"/>
  <c r="L156" i="66"/>
  <c r="S17" i="66"/>
  <c r="A29" i="66"/>
  <c r="F4" i="66"/>
  <c r="E92" i="66"/>
  <c r="O120" i="66"/>
  <c r="S78" i="66"/>
  <c r="E99" i="66"/>
  <c r="M50" i="66"/>
  <c r="D49" i="66"/>
  <c r="L146" i="66"/>
  <c r="P143" i="66"/>
  <c r="K15" i="66"/>
  <c r="P72" i="66"/>
  <c r="F118" i="66"/>
  <c r="Q106" i="66"/>
  <c r="L121" i="66"/>
  <c r="H33" i="66"/>
  <c r="C65" i="66"/>
  <c r="J144" i="66"/>
  <c r="L104" i="66"/>
  <c r="S23" i="66"/>
  <c r="O84" i="66"/>
  <c r="I82" i="66"/>
  <c r="A148" i="66"/>
  <c r="C61" i="66"/>
  <c r="Q6" i="66"/>
  <c r="K153" i="66"/>
  <c r="F121" i="66"/>
  <c r="S21" i="66"/>
  <c r="J80" i="66"/>
  <c r="H95" i="66"/>
  <c r="L82" i="66"/>
  <c r="J71" i="66"/>
  <c r="H146" i="66"/>
  <c r="I66" i="66"/>
  <c r="L52" i="66"/>
  <c r="K51" i="66"/>
  <c r="D100" i="66"/>
  <c r="P142" i="66"/>
  <c r="G61" i="66"/>
  <c r="T82" i="66"/>
  <c r="D83" i="66"/>
  <c r="L133" i="66"/>
  <c r="P26" i="66"/>
  <c r="Q96" i="66"/>
  <c r="K60" i="66"/>
  <c r="Q50" i="66"/>
  <c r="D54" i="66"/>
  <c r="T35" i="66"/>
  <c r="J40" i="66"/>
  <c r="I7" i="66"/>
  <c r="P61" i="66"/>
  <c r="F132" i="66"/>
  <c r="C16" i="66"/>
  <c r="G138" i="66"/>
  <c r="O34" i="66"/>
  <c r="F92" i="66"/>
  <c r="E64" i="66"/>
  <c r="C33" i="66"/>
  <c r="N11" i="66"/>
  <c r="O24" i="66"/>
  <c r="Q30" i="66"/>
  <c r="H96" i="66"/>
  <c r="F52" i="66"/>
  <c r="I146" i="66"/>
  <c r="C73" i="66"/>
  <c r="G55" i="66"/>
  <c r="K144" i="66"/>
  <c r="N91" i="66"/>
  <c r="O105" i="66"/>
  <c r="A4" i="77"/>
  <c r="D9" i="66"/>
  <c r="L4" i="66"/>
  <c r="J47" i="66"/>
  <c r="M28" i="66"/>
  <c r="P97" i="66"/>
  <c r="E111" i="66"/>
  <c r="O122" i="66"/>
  <c r="I81" i="66"/>
  <c r="M70" i="66"/>
  <c r="K76" i="66"/>
  <c r="Q60" i="66"/>
  <c r="C81" i="66"/>
  <c r="F20" i="66"/>
  <c r="A144" i="66"/>
  <c r="O86" i="66"/>
  <c r="J152" i="66"/>
  <c r="P127" i="66"/>
  <c r="P123" i="66"/>
  <c r="M29" i="66"/>
  <c r="C51" i="66"/>
  <c r="P12" i="66"/>
  <c r="P74" i="66"/>
  <c r="T109" i="66"/>
  <c r="M8" i="66"/>
  <c r="P11" i="66"/>
  <c r="Q86" i="66"/>
  <c r="O17" i="66"/>
  <c r="G141" i="66"/>
  <c r="N14" i="66"/>
  <c r="M138" i="66"/>
  <c r="I64" i="66"/>
  <c r="E79" i="66"/>
  <c r="L85" i="66"/>
  <c r="D69" i="66"/>
  <c r="E6" i="66"/>
  <c r="G135" i="66"/>
  <c r="P22" i="66"/>
  <c r="P68" i="66"/>
  <c r="E134" i="66"/>
  <c r="L115" i="66"/>
  <c r="K130" i="66"/>
  <c r="A31" i="66"/>
  <c r="T3" i="66"/>
  <c r="J114" i="66"/>
  <c r="I69" i="66"/>
  <c r="A37" i="66"/>
  <c r="J5" i="66"/>
  <c r="M115" i="66"/>
  <c r="G134" i="66"/>
  <c r="S83" i="66"/>
  <c r="G25" i="66"/>
  <c r="O27" i="66"/>
  <c r="I94" i="66"/>
  <c r="S26" i="66"/>
  <c r="C142" i="66"/>
  <c r="F49" i="66"/>
  <c r="O119" i="66"/>
  <c r="E30" i="66"/>
  <c r="P18" i="66"/>
  <c r="P52" i="66"/>
  <c r="Q32" i="66"/>
  <c r="A136" i="66"/>
  <c r="J64" i="66"/>
  <c r="M121" i="66"/>
  <c r="T39" i="66"/>
  <c r="H28" i="66"/>
  <c r="G16" i="66"/>
  <c r="J122" i="66"/>
  <c r="J99" i="66"/>
  <c r="G86" i="66"/>
  <c r="S92" i="66"/>
  <c r="M69" i="66"/>
  <c r="L50" i="66"/>
  <c r="I68" i="66"/>
  <c r="K23" i="66"/>
  <c r="C124" i="66"/>
  <c r="M27" i="66"/>
  <c r="H56" i="66"/>
  <c r="E35" i="66"/>
  <c r="F101" i="66"/>
  <c r="T142" i="66"/>
  <c r="P102" i="66"/>
  <c r="M57" i="66"/>
  <c r="E38" i="66"/>
  <c r="J43" i="66"/>
  <c r="C7" i="66"/>
  <c r="Q152" i="66"/>
  <c r="T151" i="66"/>
  <c r="O16" i="66"/>
  <c r="P80" i="66"/>
  <c r="F130" i="66"/>
  <c r="M94" i="66"/>
  <c r="A9" i="66"/>
  <c r="P46" i="66"/>
  <c r="P94" i="66"/>
  <c r="A126" i="66"/>
  <c r="P146" i="66"/>
  <c r="M4" i="66"/>
  <c r="J130" i="66"/>
  <c r="I9" i="66"/>
  <c r="G35" i="66"/>
  <c r="Q25" i="66"/>
  <c r="G136" i="66"/>
  <c r="S58" i="66"/>
  <c r="K38" i="66"/>
  <c r="O138" i="66"/>
  <c r="N52" i="66"/>
  <c r="C114" i="66"/>
  <c r="O104" i="66"/>
  <c r="L56" i="66"/>
  <c r="J52" i="66"/>
  <c r="S62" i="66"/>
  <c r="M23" i="66"/>
  <c r="T49" i="66"/>
  <c r="T61" i="66"/>
  <c r="N99" i="66"/>
  <c r="P45" i="66"/>
  <c r="I34" i="66"/>
  <c r="C125" i="66"/>
  <c r="N126" i="66"/>
  <c r="K132" i="66"/>
  <c r="H45" i="66"/>
  <c r="P16" i="66"/>
  <c r="D88" i="66"/>
  <c r="K32" i="66"/>
  <c r="Q79" i="66"/>
  <c r="Q75" i="66"/>
  <c r="D46" i="66"/>
  <c r="H73" i="66"/>
  <c r="N79" i="66"/>
  <c r="P107" i="66"/>
  <c r="Q15" i="66"/>
  <c r="H122" i="66"/>
  <c r="F33" i="66"/>
  <c r="N71" i="66"/>
  <c r="C72" i="66"/>
  <c r="G103" i="66"/>
  <c r="D148" i="66"/>
  <c r="I80" i="66"/>
  <c r="M72" i="66"/>
  <c r="D15" i="66"/>
  <c r="C45" i="66"/>
  <c r="I108" i="66"/>
  <c r="E87" i="66"/>
  <c r="I114" i="66"/>
  <c r="E7" i="66"/>
  <c r="L94" i="66"/>
  <c r="E59" i="66"/>
  <c r="P124" i="66"/>
  <c r="S106" i="66"/>
  <c r="I92" i="66"/>
  <c r="E136" i="66"/>
  <c r="S85" i="66"/>
  <c r="D48" i="66"/>
  <c r="L66" i="66"/>
  <c r="N89" i="66"/>
  <c r="O81" i="66"/>
  <c r="F157" i="66"/>
  <c r="M68" i="66"/>
  <c r="O135" i="66"/>
  <c r="Q56" i="66"/>
  <c r="H156" i="66"/>
  <c r="K82" i="66"/>
  <c r="C37" i="66"/>
  <c r="L145" i="66"/>
  <c r="C4" i="77"/>
  <c r="M153" i="66"/>
  <c r="E115" i="66"/>
  <c r="A11" i="66"/>
  <c r="F46" i="66"/>
  <c r="S135" i="66"/>
  <c r="D71" i="66"/>
  <c r="D107" i="66"/>
  <c r="Q130" i="66"/>
  <c r="S152" i="66"/>
  <c r="A101" i="66"/>
  <c r="N150" i="66"/>
  <c r="A153" i="66"/>
  <c r="J101" i="66"/>
  <c r="G51" i="66"/>
  <c r="N129" i="66"/>
  <c r="M66" i="66"/>
  <c r="Q120" i="66"/>
  <c r="J8" i="66"/>
  <c r="Q102" i="66"/>
  <c r="S113" i="66"/>
  <c r="E43" i="66"/>
  <c r="N34" i="66"/>
  <c r="L22" i="66"/>
  <c r="C83" i="66"/>
  <c r="P88" i="66"/>
  <c r="D38" i="66"/>
  <c r="H75" i="66"/>
  <c r="J121" i="66"/>
  <c r="D72" i="66"/>
  <c r="Q16" i="66"/>
  <c r="O107" i="66"/>
  <c r="F148" i="66"/>
  <c r="M35" i="66"/>
  <c r="I104" i="66"/>
  <c r="G22" i="66"/>
  <c r="S131" i="66"/>
  <c r="O47" i="66"/>
  <c r="O149" i="66"/>
  <c r="L90" i="66"/>
  <c r="I45" i="66"/>
  <c r="H119" i="66"/>
  <c r="N32" i="66"/>
  <c r="D144" i="66"/>
  <c r="O58" i="66"/>
  <c r="F75" i="66"/>
  <c r="Q18" i="66"/>
  <c r="A111" i="66"/>
  <c r="I51" i="66"/>
  <c r="S116" i="66"/>
  <c r="F67" i="66"/>
  <c r="Q68" i="66"/>
  <c r="F24" i="66"/>
  <c r="F15" i="66"/>
  <c r="O80" i="66"/>
  <c r="D27" i="66"/>
  <c r="D4" i="66"/>
  <c r="D153" i="66"/>
  <c r="G127" i="66"/>
  <c r="A125" i="66"/>
  <c r="O15" i="66"/>
  <c r="F87" i="66"/>
  <c r="P64" i="66"/>
  <c r="O14" i="66"/>
  <c r="J129" i="66"/>
  <c r="Q19" i="66"/>
  <c r="T131" i="66"/>
  <c r="Q33" i="66"/>
  <c r="D96" i="66"/>
  <c r="A73" i="66"/>
  <c r="O57" i="66"/>
  <c r="C76" i="66"/>
  <c r="D44" i="66"/>
  <c r="S141" i="66"/>
  <c r="G101" i="66"/>
  <c r="T77" i="66"/>
  <c r="T95" i="66"/>
  <c r="K50" i="66"/>
  <c r="T11" i="66"/>
  <c r="M93" i="66"/>
  <c r="G131" i="66"/>
  <c r="N149" i="66"/>
  <c r="L65" i="66"/>
  <c r="N95" i="66"/>
  <c r="C141" i="66"/>
  <c r="J69" i="66"/>
  <c r="T96" i="66"/>
  <c r="J147" i="66"/>
  <c r="A50" i="66"/>
  <c r="I26" i="66"/>
  <c r="C92" i="66"/>
  <c r="G151" i="66"/>
  <c r="A114" i="66"/>
  <c r="M136" i="66"/>
  <c r="Q41" i="66"/>
  <c r="P126" i="66"/>
  <c r="O99" i="66"/>
  <c r="E42" i="66"/>
  <c r="S89" i="66"/>
  <c r="G129" i="66"/>
  <c r="L76" i="66"/>
  <c r="J15" i="66"/>
  <c r="T27" i="66"/>
  <c r="D155" i="66"/>
  <c r="M123" i="66"/>
  <c r="A133" i="66"/>
  <c r="I67" i="66"/>
  <c r="D82" i="66"/>
  <c r="O137" i="66"/>
  <c r="J107" i="66"/>
  <c r="G95" i="66"/>
  <c r="G60" i="66"/>
  <c r="T145" i="66"/>
  <c r="L99" i="66"/>
  <c r="N152" i="66"/>
  <c r="F21" i="66"/>
  <c r="F5" i="77"/>
  <c r="J85" i="66"/>
  <c r="L138" i="66"/>
  <c r="F79" i="66"/>
  <c r="C9" i="66"/>
  <c r="S53" i="66"/>
  <c r="N62" i="66"/>
  <c r="G8" i="66"/>
  <c r="K55" i="66"/>
  <c r="O154" i="66"/>
  <c r="M108" i="66"/>
  <c r="S20" i="66"/>
  <c r="J133" i="66"/>
  <c r="D135" i="66"/>
  <c r="D121" i="66"/>
  <c r="O13" i="66"/>
  <c r="S68" i="66"/>
  <c r="J22" i="66"/>
  <c r="A22" i="66"/>
  <c r="K91" i="66"/>
  <c r="T21" i="66"/>
  <c r="T110" i="66"/>
  <c r="I122" i="66"/>
  <c r="I48" i="66"/>
  <c r="J75" i="66"/>
  <c r="I129" i="66"/>
  <c r="O155" i="66"/>
  <c r="D41" i="66"/>
  <c r="N134" i="66"/>
  <c r="C103" i="66"/>
  <c r="O118" i="66"/>
  <c r="Q111" i="66"/>
  <c r="G74" i="66"/>
  <c r="F25" i="66"/>
  <c r="E90" i="66"/>
  <c r="I42" i="66"/>
  <c r="C107" i="66"/>
  <c r="F62" i="66"/>
  <c r="S37" i="66"/>
  <c r="T112" i="66"/>
  <c r="J132" i="66"/>
  <c r="L150" i="66"/>
  <c r="I140" i="66"/>
  <c r="D33" i="66"/>
  <c r="M96" i="66"/>
  <c r="N122" i="66"/>
  <c r="N5" i="66"/>
  <c r="O101" i="66"/>
  <c r="A58" i="66"/>
  <c r="T87" i="66"/>
  <c r="M43" i="66"/>
  <c r="D22" i="66"/>
  <c r="M82" i="66"/>
  <c r="A46" i="66"/>
  <c r="N49" i="66"/>
  <c r="E144" i="66"/>
  <c r="I125" i="66"/>
  <c r="K4" i="66"/>
  <c r="T80" i="66"/>
  <c r="T57" i="66"/>
  <c r="O31" i="66"/>
  <c r="D138" i="66"/>
  <c r="D59" i="66"/>
  <c r="A120" i="66"/>
  <c r="P121" i="66"/>
  <c r="Q20" i="66"/>
  <c r="P156" i="66"/>
  <c r="F137" i="66"/>
  <c r="J67" i="66"/>
  <c r="I109" i="66"/>
  <c r="C64" i="66"/>
  <c r="T122" i="66"/>
  <c r="F105" i="66"/>
  <c r="G148" i="66"/>
  <c r="M151" i="66"/>
  <c r="I88" i="66"/>
  <c r="E129" i="66"/>
  <c r="N48" i="66"/>
  <c r="N39" i="66"/>
  <c r="F119" i="66"/>
  <c r="A134" i="66"/>
  <c r="Q123" i="66"/>
  <c r="Q59" i="66"/>
  <c r="N26" i="66"/>
  <c r="C155" i="66"/>
  <c r="C15" i="66"/>
  <c r="K83" i="66"/>
  <c r="S144" i="66"/>
  <c r="L39" i="66"/>
  <c r="C35" i="66"/>
  <c r="C102" i="66"/>
  <c r="O32" i="66"/>
  <c r="T4" i="66"/>
  <c r="A60" i="66"/>
  <c r="G112" i="66"/>
  <c r="K138" i="66"/>
  <c r="J136" i="66"/>
  <c r="F12" i="66"/>
  <c r="D55" i="66"/>
  <c r="M154" i="66"/>
  <c r="I30" i="66"/>
  <c r="H113" i="66"/>
  <c r="T25" i="66"/>
  <c r="H88" i="66"/>
  <c r="S9" i="66"/>
  <c r="G114" i="66"/>
  <c r="D21" i="66"/>
  <c r="L126" i="66"/>
  <c r="I150" i="66"/>
  <c r="G50" i="66"/>
  <c r="T121" i="66"/>
  <c r="A19" i="66"/>
  <c r="Q51" i="66"/>
  <c r="D6" i="66"/>
  <c r="N144" i="66"/>
  <c r="P30" i="66"/>
  <c r="C123" i="66"/>
  <c r="O143" i="66"/>
  <c r="P93" i="66"/>
  <c r="S98" i="66"/>
  <c r="K108" i="66"/>
  <c r="S154" i="66"/>
  <c r="I13" i="66"/>
  <c r="C144" i="66"/>
  <c r="S102" i="66"/>
  <c r="H148" i="66"/>
  <c r="M101" i="66"/>
  <c r="O30" i="66"/>
  <c r="S107" i="66"/>
  <c r="D24" i="66"/>
  <c r="P19" i="66"/>
  <c r="T20" i="66"/>
  <c r="A89" i="66"/>
  <c r="Q156" i="66"/>
  <c r="J76" i="66"/>
  <c r="M140" i="66"/>
  <c r="F8" i="66"/>
  <c r="E149" i="66"/>
  <c r="C116" i="66"/>
  <c r="O35" i="66"/>
  <c r="G11" i="66"/>
  <c r="Q118" i="66"/>
  <c r="M112" i="66"/>
  <c r="C29" i="66"/>
  <c r="D151" i="66"/>
  <c r="K120" i="66"/>
  <c r="E125" i="66"/>
  <c r="D99" i="66"/>
  <c r="E33" i="66"/>
  <c r="S33" i="66"/>
  <c r="F65" i="66"/>
  <c r="D108" i="66"/>
  <c r="F86" i="66"/>
  <c r="E41" i="66"/>
  <c r="G27" i="66"/>
  <c r="H23" i="66"/>
  <c r="E28" i="66"/>
  <c r="J33" i="66"/>
  <c r="Q137" i="66"/>
  <c r="I54" i="66"/>
  <c r="N155" i="66"/>
  <c r="I85" i="66"/>
  <c r="G31" i="66"/>
  <c r="J93" i="66"/>
  <c r="L113" i="66"/>
  <c r="M61" i="66"/>
  <c r="K95" i="66"/>
  <c r="N146" i="66"/>
  <c r="N60" i="66"/>
  <c r="O37" i="66"/>
  <c r="K131" i="66"/>
  <c r="O139" i="66"/>
  <c r="N147" i="66"/>
  <c r="G58" i="66"/>
  <c r="C148" i="66"/>
  <c r="J17" i="66"/>
  <c r="L21" i="66"/>
  <c r="Q31" i="66"/>
  <c r="S75" i="66"/>
  <c r="G75" i="66"/>
  <c r="T17" i="66"/>
  <c r="E100" i="66"/>
  <c r="D58" i="66"/>
  <c r="L10" i="66"/>
  <c r="L55" i="66"/>
  <c r="J123" i="66"/>
  <c r="H17" i="66"/>
  <c r="M87" i="66"/>
  <c r="F114" i="66"/>
  <c r="E21" i="66"/>
  <c r="O147" i="66"/>
  <c r="L124" i="66"/>
  <c r="M100" i="66"/>
  <c r="K72" i="66"/>
  <c r="E143" i="66"/>
  <c r="F138" i="66"/>
  <c r="K54" i="66"/>
  <c r="I133" i="66"/>
  <c r="P41" i="66"/>
  <c r="M54" i="66"/>
  <c r="P28" i="66"/>
  <c r="K13" i="66"/>
  <c r="C17" i="66"/>
  <c r="C19" i="66"/>
  <c r="G144" i="66"/>
  <c r="Q71" i="66"/>
  <c r="K70" i="66"/>
  <c r="K52" i="66"/>
  <c r="S60" i="66"/>
  <c r="M6" i="66"/>
  <c r="L70" i="66"/>
  <c r="N132" i="66"/>
  <c r="E60" i="66"/>
  <c r="F29" i="66"/>
  <c r="J94" i="66"/>
  <c r="N154" i="66"/>
  <c r="O56" i="66"/>
  <c r="G105" i="66"/>
  <c r="L71" i="66"/>
  <c r="H87" i="66"/>
  <c r="P54" i="66"/>
  <c r="G4" i="66"/>
  <c r="S153" i="66"/>
  <c r="G62" i="66"/>
  <c r="C150" i="66"/>
  <c r="N76" i="66"/>
  <c r="I52" i="66"/>
  <c r="G154" i="66"/>
  <c r="Q157" i="66"/>
  <c r="L105" i="66"/>
  <c r="P134" i="66"/>
  <c r="E12" i="66"/>
  <c r="I57" i="66"/>
  <c r="N54" i="66"/>
  <c r="F133" i="66"/>
  <c r="K137" i="66"/>
  <c r="H57" i="66"/>
  <c r="P90" i="66"/>
  <c r="H138" i="66"/>
  <c r="M14" i="66"/>
  <c r="P154" i="66"/>
  <c r="H118" i="66"/>
  <c r="C67" i="66"/>
  <c r="G93" i="66"/>
  <c r="F102" i="66"/>
  <c r="Q104" i="66"/>
  <c r="M118" i="66"/>
  <c r="K31" i="66"/>
  <c r="C94" i="66"/>
  <c r="Q84" i="66"/>
  <c r="M44" i="66"/>
  <c r="K100" i="66"/>
  <c r="M135" i="66"/>
  <c r="N4" i="66"/>
  <c r="L149" i="66"/>
  <c r="A34" i="66"/>
  <c r="E133" i="66"/>
  <c r="I152" i="66"/>
  <c r="G115" i="66"/>
  <c r="M99" i="66"/>
  <c r="A90" i="66"/>
  <c r="C82" i="66"/>
  <c r="N29" i="66"/>
  <c r="D120" i="66"/>
  <c r="N140" i="66"/>
  <c r="D131" i="66"/>
  <c r="A84" i="66"/>
  <c r="E157" i="66"/>
  <c r="I132" i="66"/>
  <c r="S76" i="66"/>
  <c r="I113" i="66"/>
  <c r="I24" i="66"/>
  <c r="G68" i="66"/>
  <c r="L13" i="66"/>
  <c r="L12" i="66"/>
  <c r="J73" i="66"/>
  <c r="F30" i="66"/>
  <c r="L18" i="66"/>
  <c r="H70" i="66"/>
  <c r="D101" i="66"/>
  <c r="S93" i="66"/>
  <c r="Q11" i="66"/>
  <c r="T51" i="66"/>
  <c r="N57" i="66"/>
  <c r="G24" i="66"/>
  <c r="T48" i="66"/>
  <c r="J45" i="66"/>
  <c r="A154" i="66"/>
  <c r="I65" i="66"/>
  <c r="N83" i="66"/>
  <c r="A10" i="66"/>
  <c r="T10" i="66"/>
  <c r="J56" i="66"/>
  <c r="N6" i="66"/>
  <c r="A107" i="66"/>
  <c r="G82" i="66"/>
  <c r="T74" i="66"/>
  <c r="P29" i="66"/>
  <c r="K148" i="66"/>
  <c r="K49" i="66"/>
  <c r="P62" i="66"/>
  <c r="D67" i="66"/>
  <c r="F74" i="66"/>
  <c r="F136" i="66"/>
  <c r="E72" i="66"/>
  <c r="L78" i="66"/>
  <c r="T31" i="66"/>
  <c r="I141" i="66"/>
  <c r="S42" i="66"/>
  <c r="M16" i="66"/>
  <c r="H110" i="66"/>
  <c r="M155" i="66"/>
  <c r="F139" i="66"/>
  <c r="E62" i="66"/>
  <c r="D75" i="66"/>
  <c r="H69" i="66"/>
  <c r="D45" i="66"/>
  <c r="H61" i="66"/>
  <c r="P85" i="66"/>
  <c r="L27" i="66"/>
  <c r="A41" i="66"/>
  <c r="S30" i="66"/>
  <c r="F82" i="66"/>
  <c r="S117" i="66"/>
  <c r="Q113" i="66"/>
  <c r="G14" i="66"/>
  <c r="Q46" i="66"/>
  <c r="N16" i="66"/>
  <c r="L8" i="66"/>
  <c r="E4" i="77"/>
  <c r="A146" i="66"/>
  <c r="Q92" i="66"/>
  <c r="Q116" i="66"/>
  <c r="M40" i="66"/>
  <c r="S16" i="66"/>
  <c r="T119" i="66"/>
  <c r="H58" i="66"/>
  <c r="I58" i="66"/>
  <c r="C79" i="66"/>
  <c r="G153" i="66"/>
  <c r="L97" i="66"/>
  <c r="C139" i="66"/>
  <c r="L14" i="66"/>
  <c r="K39" i="66"/>
  <c r="F60" i="66"/>
  <c r="C119" i="66"/>
  <c r="J70" i="66"/>
  <c r="C54" i="66"/>
  <c r="Q149" i="66"/>
  <c r="N38" i="66"/>
  <c r="K84" i="66"/>
  <c r="E8" i="66"/>
  <c r="O95" i="66"/>
  <c r="N107" i="66"/>
  <c r="O93" i="66"/>
  <c r="T133" i="66"/>
  <c r="P108" i="66"/>
  <c r="C145" i="66"/>
  <c r="N15" i="66"/>
  <c r="A33" i="66"/>
  <c r="P33" i="66"/>
  <c r="O127" i="66"/>
  <c r="K75" i="66"/>
  <c r="M119" i="66"/>
  <c r="Q114" i="66"/>
  <c r="D84" i="66"/>
  <c r="G15" i="66"/>
  <c r="C78" i="66"/>
  <c r="I18" i="66"/>
  <c r="E91" i="66"/>
  <c r="T6" i="66"/>
  <c r="O136" i="66"/>
  <c r="I46" i="66"/>
  <c r="H108" i="66"/>
  <c r="M62" i="66"/>
  <c r="D118" i="66"/>
  <c r="G77" i="66"/>
  <c r="P60" i="66"/>
  <c r="C13" i="66"/>
  <c r="I63" i="66"/>
  <c r="C127" i="66"/>
  <c r="A14" i="66"/>
  <c r="O113" i="66"/>
  <c r="S49" i="66"/>
  <c r="L134" i="66"/>
  <c r="K145" i="66"/>
  <c r="J29" i="66"/>
  <c r="D119" i="66"/>
  <c r="J21" i="66"/>
  <c r="C20" i="66"/>
  <c r="G26" i="66"/>
  <c r="K22" i="66"/>
  <c r="L125" i="66"/>
  <c r="Q133" i="66"/>
  <c r="H79" i="66"/>
  <c r="K59" i="66"/>
  <c r="T59" i="66"/>
  <c r="L89" i="66"/>
  <c r="P23" i="66"/>
  <c r="M53" i="66"/>
  <c r="P13" i="66"/>
  <c r="L32" i="66"/>
  <c r="F100" i="66"/>
  <c r="T78" i="66"/>
  <c r="O72" i="66"/>
  <c r="N9" i="66"/>
  <c r="Q38" i="66"/>
  <c r="J11" i="66"/>
  <c r="H43" i="66"/>
  <c r="G90" i="66"/>
  <c r="P71" i="66"/>
  <c r="I76" i="66"/>
  <c r="A4" i="66"/>
  <c r="M71" i="66"/>
  <c r="Q95" i="66"/>
  <c r="G122" i="66"/>
  <c r="O69" i="66"/>
  <c r="S118" i="66"/>
  <c r="O11" i="66"/>
  <c r="D16" i="66"/>
  <c r="L100" i="66"/>
  <c r="Q43" i="66"/>
  <c r="Q154" i="66"/>
  <c r="J42" i="66"/>
  <c r="J28" i="66"/>
  <c r="J150" i="66"/>
  <c r="E67" i="66"/>
  <c r="I135" i="66"/>
  <c r="S28" i="66"/>
  <c r="D116" i="66"/>
  <c r="D61" i="66"/>
  <c r="Q29" i="66"/>
  <c r="O87" i="66"/>
  <c r="D73" i="66"/>
  <c r="Q153" i="66"/>
  <c r="O128" i="66"/>
  <c r="D105" i="66"/>
  <c r="H132" i="66"/>
  <c r="M111" i="66"/>
  <c r="M139" i="66"/>
  <c r="D18" i="66"/>
  <c r="S127" i="66"/>
  <c r="C131" i="66"/>
  <c r="E77" i="66"/>
  <c r="P135" i="66"/>
  <c r="T30" i="66"/>
  <c r="M7" i="66"/>
  <c r="S109" i="66"/>
  <c r="D137" i="66"/>
  <c r="D10" i="66"/>
  <c r="G140" i="66"/>
  <c r="G72" i="66"/>
  <c r="O40" i="66"/>
  <c r="S40" i="66"/>
  <c r="S66" i="66"/>
  <c r="K24" i="66"/>
  <c r="J7" i="66"/>
  <c r="P42" i="66"/>
  <c r="M32" i="66"/>
  <c r="O36" i="66"/>
  <c r="J141" i="66"/>
  <c r="I100" i="66"/>
  <c r="F151" i="66"/>
  <c r="T58" i="66"/>
  <c r="P31" i="66"/>
  <c r="L72" i="66"/>
  <c r="D113" i="66"/>
  <c r="P112" i="66"/>
  <c r="L107" i="66"/>
  <c r="P15" i="66"/>
  <c r="S122" i="66"/>
  <c r="N50" i="66"/>
  <c r="I99" i="66"/>
  <c r="O140" i="66"/>
  <c r="C85" i="66"/>
  <c r="Q42" i="66"/>
  <c r="K151" i="66"/>
  <c r="C47" i="66"/>
  <c r="F61" i="66"/>
  <c r="O29" i="66"/>
  <c r="F95" i="66"/>
  <c r="N78" i="66"/>
  <c r="C30" i="66"/>
  <c r="H121" i="66"/>
  <c r="H104" i="66"/>
  <c r="L135" i="66"/>
  <c r="C152" i="66"/>
  <c r="M107" i="66"/>
  <c r="D127" i="66"/>
  <c r="S77" i="66"/>
  <c r="S121" i="66"/>
  <c r="H106" i="66"/>
  <c r="E56" i="66"/>
  <c r="A53" i="66"/>
  <c r="L86" i="66"/>
  <c r="O131" i="66"/>
  <c r="H131" i="66"/>
  <c r="H11" i="66"/>
  <c r="Q124" i="66"/>
  <c r="I70" i="66"/>
  <c r="E48" i="66"/>
  <c r="O76" i="66"/>
  <c r="A151" i="66"/>
  <c r="F116" i="66"/>
  <c r="C110" i="66"/>
  <c r="C120" i="66"/>
  <c r="N63" i="66"/>
  <c r="M56" i="66"/>
  <c r="L33" i="66"/>
  <c r="K19" i="66"/>
  <c r="D126" i="66"/>
  <c r="P120" i="66"/>
  <c r="D152" i="66"/>
  <c r="M63" i="66"/>
  <c r="D128" i="66"/>
  <c r="C48" i="66"/>
  <c r="M103" i="66"/>
  <c r="J30" i="66"/>
  <c r="N124" i="66"/>
  <c r="J48" i="66"/>
  <c r="I157" i="66"/>
  <c r="T26" i="66"/>
  <c r="T158" i="66"/>
  <c r="M143" i="66"/>
  <c r="O85" i="66"/>
  <c r="K79" i="66"/>
  <c r="G44" i="66"/>
  <c r="S14" i="66"/>
  <c r="A100" i="66"/>
  <c r="L40" i="66"/>
  <c r="M132" i="66"/>
  <c r="M15" i="66"/>
  <c r="N103" i="66"/>
  <c r="M152" i="66"/>
  <c r="H120" i="66"/>
  <c r="D106" i="66"/>
  <c r="N7" i="66"/>
  <c r="O150" i="66"/>
  <c r="C27" i="66"/>
  <c r="L53" i="66"/>
  <c r="A48" i="66"/>
  <c r="D23" i="66"/>
  <c r="Q138" i="66"/>
  <c r="T70" i="66"/>
  <c r="D95" i="66"/>
  <c r="C100" i="66"/>
  <c r="E151" i="66"/>
  <c r="O42" i="66"/>
  <c r="O50" i="66"/>
  <c r="S159" i="66"/>
  <c r="I155" i="66"/>
  <c r="Q73" i="66"/>
  <c r="S8" i="66"/>
  <c r="S140" i="66"/>
  <c r="C71" i="66"/>
  <c r="C154" i="66"/>
  <c r="G120" i="66"/>
  <c r="J115" i="66"/>
  <c r="Q34" i="66"/>
  <c r="H129" i="66"/>
  <c r="T91" i="66"/>
  <c r="H67" i="66"/>
  <c r="P128" i="66"/>
  <c r="D63" i="66"/>
  <c r="I87" i="66"/>
  <c r="O83" i="66"/>
  <c r="K46" i="66"/>
  <c r="N119" i="66"/>
  <c r="H141" i="66"/>
  <c r="H93" i="66"/>
  <c r="J157" i="66"/>
  <c r="L84" i="66"/>
  <c r="E113" i="66"/>
  <c r="Q136" i="66"/>
  <c r="K143" i="66"/>
  <c r="K90" i="66"/>
  <c r="S39" i="66"/>
  <c r="N141" i="66"/>
  <c r="H40" i="66"/>
  <c r="K139" i="66"/>
  <c r="J50" i="66"/>
  <c r="G33" i="66"/>
  <c r="K109" i="66"/>
  <c r="N156" i="66"/>
  <c r="Q122" i="66"/>
  <c r="O125" i="66"/>
  <c r="T37" i="66"/>
  <c r="C77" i="66"/>
  <c r="L130" i="66"/>
  <c r="J39" i="66"/>
  <c r="N111" i="66"/>
  <c r="T14" i="66"/>
  <c r="F35" i="66"/>
  <c r="K155" i="66"/>
  <c r="L96" i="66"/>
  <c r="H144" i="66"/>
  <c r="E152" i="66"/>
  <c r="M25" i="66"/>
  <c r="I95" i="66"/>
  <c r="J10" i="66"/>
  <c r="Q126" i="66"/>
  <c r="H100" i="66"/>
  <c r="N105" i="66"/>
  <c r="Q105" i="66"/>
  <c r="A56" i="66"/>
  <c r="D136" i="66"/>
  <c r="H94" i="66"/>
  <c r="F70" i="66"/>
  <c r="E10" i="66"/>
  <c r="O43" i="66"/>
  <c r="Q39" i="66"/>
  <c r="S132" i="66"/>
  <c r="F64" i="66"/>
  <c r="L102" i="66"/>
  <c r="E76" i="66"/>
  <c r="L143" i="66"/>
  <c r="Q64" i="66"/>
  <c r="S95" i="66"/>
  <c r="G146" i="66"/>
  <c r="I107" i="66"/>
  <c r="C126" i="66"/>
  <c r="T63" i="66"/>
  <c r="A128" i="66"/>
  <c r="Q26" i="66"/>
  <c r="N61" i="66"/>
  <c r="L17" i="66"/>
  <c r="D92" i="66"/>
  <c r="C86" i="66"/>
  <c r="M114" i="66"/>
  <c r="Q159" i="66"/>
  <c r="M77" i="66"/>
  <c r="A93" i="66"/>
  <c r="D112" i="66"/>
  <c r="O96" i="66"/>
  <c r="I71" i="66"/>
  <c r="J89" i="66"/>
  <c r="P114" i="66"/>
  <c r="I126" i="66"/>
  <c r="Q94" i="66"/>
  <c r="D139" i="66"/>
  <c r="J19" i="66"/>
  <c r="A65" i="66"/>
  <c r="H25" i="66"/>
  <c r="H39" i="66"/>
  <c r="M36" i="66"/>
  <c r="H52" i="66"/>
  <c r="S134" i="66"/>
  <c r="N145" i="66"/>
  <c r="G73" i="66"/>
  <c r="M144" i="66"/>
  <c r="O82" i="66"/>
  <c r="P69" i="66"/>
  <c r="L74" i="66"/>
  <c r="H102" i="66"/>
  <c r="D142" i="66"/>
  <c r="J68" i="66"/>
  <c r="N133" i="66"/>
  <c r="Q24" i="66"/>
  <c r="A124" i="66"/>
  <c r="K92" i="66"/>
  <c r="O49" i="66"/>
  <c r="I53" i="66"/>
  <c r="H152" i="66"/>
  <c r="L132" i="66"/>
  <c r="M116" i="66"/>
  <c r="N118" i="66"/>
  <c r="E51" i="66"/>
  <c r="J149" i="66"/>
  <c r="N59" i="66"/>
  <c r="E83" i="66"/>
  <c r="M131" i="66"/>
  <c r="Q91" i="66"/>
  <c r="Q83" i="66"/>
  <c r="P17" i="66"/>
  <c r="J31" i="66"/>
  <c r="I79" i="66"/>
  <c r="Q4" i="66"/>
  <c r="G57" i="66"/>
  <c r="O18" i="66"/>
  <c r="E47" i="66"/>
  <c r="F5" i="66"/>
  <c r="J105" i="66"/>
  <c r="C66" i="66"/>
  <c r="D114" i="66"/>
  <c r="N72" i="66"/>
  <c r="A108" i="66"/>
  <c r="N113" i="66"/>
  <c r="N90" i="66"/>
  <c r="S130" i="66"/>
  <c r="H38" i="66"/>
  <c r="C10" i="66"/>
  <c r="P106" i="66"/>
  <c r="Q27" i="66"/>
  <c r="K97" i="66"/>
  <c r="F48" i="66"/>
  <c r="E96" i="66"/>
  <c r="O48" i="66"/>
  <c r="F106" i="66"/>
  <c r="H66" i="66"/>
  <c r="O64" i="66"/>
  <c r="C52" i="66"/>
  <c r="O130" i="66"/>
  <c r="T144" i="66"/>
  <c r="F150" i="66"/>
  <c r="D37" i="66"/>
  <c r="A79" i="66"/>
  <c r="H8" i="66"/>
  <c r="E23" i="66"/>
  <c r="N135" i="66"/>
  <c r="T106" i="66"/>
  <c r="E78" i="66"/>
  <c r="C87" i="66"/>
  <c r="C56" i="66"/>
  <c r="O45" i="66"/>
  <c r="D80" i="66"/>
  <c r="S125" i="66"/>
  <c r="H5" i="66"/>
  <c r="A103" i="66"/>
  <c r="D65" i="66"/>
  <c r="P77" i="66"/>
  <c r="Q97" i="66"/>
  <c r="O152" i="66"/>
  <c r="A24" i="66"/>
  <c r="K53" i="66"/>
  <c r="P36" i="66"/>
  <c r="I83" i="66"/>
  <c r="G84" i="66"/>
  <c r="K106" i="66"/>
  <c r="L131" i="66"/>
  <c r="M34" i="66"/>
  <c r="N84" i="66"/>
  <c r="A16" i="66"/>
  <c r="Q66" i="66"/>
  <c r="H36" i="66"/>
  <c r="H68" i="66"/>
  <c r="O12" i="66"/>
  <c r="A127" i="66"/>
  <c r="I151" i="66"/>
  <c r="F156" i="66"/>
  <c r="L103" i="66"/>
  <c r="T29" i="66"/>
  <c r="F142" i="66"/>
  <c r="J53" i="66"/>
  <c r="L28" i="66"/>
  <c r="A64" i="66"/>
  <c r="S146" i="66"/>
  <c r="F44" i="66"/>
  <c r="L137" i="66"/>
  <c r="G37" i="66"/>
  <c r="F107" i="66"/>
  <c r="O90" i="66"/>
  <c r="J110" i="66"/>
  <c r="D132" i="66"/>
  <c r="K125" i="66"/>
  <c r="P141" i="66"/>
  <c r="I127" i="66"/>
  <c r="I91" i="66"/>
  <c r="Q67" i="66"/>
  <c r="G38" i="66"/>
  <c r="E84" i="66"/>
  <c r="E120" i="66"/>
  <c r="Q155" i="66"/>
  <c r="P66" i="66"/>
  <c r="I5" i="66"/>
  <c r="T154" i="66"/>
  <c r="C135" i="66"/>
  <c r="N80" i="66"/>
  <c r="L51" i="66"/>
  <c r="C22" i="66"/>
  <c r="F127" i="66"/>
  <c r="N40" i="66"/>
  <c r="J57" i="66"/>
  <c r="D86" i="66"/>
  <c r="E145" i="66"/>
  <c r="A130" i="66"/>
  <c r="A152" i="66"/>
  <c r="M47" i="66"/>
  <c r="L62" i="66"/>
  <c r="G88" i="66"/>
  <c r="M149" i="66"/>
  <c r="H137" i="66"/>
  <c r="E53" i="66"/>
  <c r="H90" i="66"/>
  <c r="C8" i="66"/>
  <c r="C46" i="66"/>
  <c r="K150" i="66"/>
  <c r="L122" i="66"/>
  <c r="K9" i="66"/>
  <c r="J97" i="66"/>
  <c r="J83" i="66"/>
  <c r="H107" i="66"/>
  <c r="H16" i="66"/>
  <c r="M75" i="66"/>
  <c r="N94" i="66"/>
  <c r="H123" i="66"/>
  <c r="E32" i="66"/>
  <c r="H53" i="66"/>
  <c r="N47" i="66"/>
  <c r="O129" i="66"/>
  <c r="D149" i="66"/>
  <c r="G53" i="66"/>
  <c r="K123" i="66"/>
  <c r="J124" i="66"/>
  <c r="T84" i="66"/>
  <c r="G43" i="66"/>
  <c r="A70" i="66"/>
  <c r="F36" i="66"/>
  <c r="F16" i="66"/>
  <c r="M12" i="66"/>
  <c r="F40" i="66"/>
  <c r="M148" i="66"/>
  <c r="C80" i="66"/>
  <c r="A156" i="66"/>
  <c r="S104" i="66"/>
  <c r="G54" i="66"/>
  <c r="Q127" i="66"/>
  <c r="I43" i="66"/>
  <c r="A49" i="66"/>
  <c r="K157" i="66"/>
  <c r="D32" i="66"/>
  <c r="E15" i="66"/>
  <c r="Q147" i="66"/>
  <c r="G119" i="66"/>
  <c r="H21" i="66"/>
  <c r="T46" i="66"/>
  <c r="T24" i="66"/>
  <c r="D64" i="66"/>
  <c r="L11" i="66"/>
  <c r="L38" i="66"/>
  <c r="L16" i="66"/>
  <c r="H116" i="66"/>
  <c r="M13" i="66"/>
  <c r="J135" i="66"/>
  <c r="M81" i="66"/>
  <c r="A47" i="66"/>
  <c r="K142" i="66"/>
  <c r="I11" i="66"/>
  <c r="N81" i="66"/>
  <c r="P24" i="66"/>
  <c r="A5" i="66"/>
  <c r="S6" i="66"/>
  <c r="E71" i="66"/>
  <c r="E104" i="66"/>
  <c r="S25" i="66"/>
  <c r="P10" i="66"/>
  <c r="M128" i="66"/>
  <c r="K80" i="66"/>
  <c r="K61" i="66"/>
  <c r="N69" i="66"/>
  <c r="O70" i="66"/>
  <c r="A27" i="66"/>
  <c r="N108" i="66"/>
  <c r="S158" i="66"/>
  <c r="F17" i="66"/>
  <c r="K8" i="66"/>
  <c r="E45" i="66"/>
  <c r="S56" i="66"/>
  <c r="P129" i="66"/>
  <c r="A71" i="66"/>
  <c r="P63" i="66"/>
  <c r="H48" i="66"/>
  <c r="D147" i="66"/>
  <c r="T16" i="66"/>
  <c r="J112" i="66"/>
  <c r="A54" i="66"/>
  <c r="G85" i="66"/>
  <c r="L128" i="66"/>
  <c r="K93" i="66"/>
  <c r="H134" i="66"/>
  <c r="M156" i="66"/>
  <c r="I74" i="66"/>
  <c r="J14" i="66"/>
  <c r="P95" i="66"/>
  <c r="A80" i="66"/>
  <c r="G152" i="66"/>
  <c r="C32" i="66"/>
  <c r="G133" i="66"/>
  <c r="I136" i="66"/>
  <c r="K94" i="66"/>
  <c r="S124" i="66"/>
  <c r="G19" i="66"/>
  <c r="O110" i="66"/>
  <c r="G87" i="66"/>
  <c r="T56" i="66"/>
  <c r="E39" i="66"/>
  <c r="F22" i="66"/>
  <c r="D39" i="66"/>
  <c r="E118" i="66"/>
  <c r="P21" i="66"/>
  <c r="Q28" i="66"/>
  <c r="S38" i="66"/>
  <c r="L95" i="66"/>
  <c r="L34" i="66"/>
  <c r="A119" i="66"/>
  <c r="F108" i="66"/>
  <c r="Q85" i="66"/>
  <c r="F125" i="66"/>
  <c r="P20" i="66"/>
  <c r="M95" i="66"/>
  <c r="O133" i="66"/>
  <c r="K58" i="66"/>
  <c r="I73" i="66"/>
  <c r="F84" i="66"/>
  <c r="N66" i="66"/>
  <c r="G39" i="66"/>
  <c r="O94" i="66"/>
  <c r="M80" i="66"/>
  <c r="K33" i="66"/>
  <c r="H85" i="66"/>
  <c r="O103" i="66"/>
  <c r="G48" i="66"/>
  <c r="C138" i="66"/>
  <c r="T15" i="66"/>
  <c r="O7" i="66"/>
  <c r="M38" i="66"/>
  <c r="H155" i="66"/>
  <c r="I19" i="66"/>
  <c r="T153" i="66"/>
  <c r="H81" i="66"/>
  <c r="I139" i="66"/>
  <c r="K43" i="66"/>
  <c r="M48" i="66"/>
  <c r="F23" i="66"/>
  <c r="D79" i="66"/>
  <c r="A55" i="66"/>
  <c r="L24" i="66"/>
  <c r="M55" i="66"/>
  <c r="L91" i="66"/>
  <c r="A6" i="66"/>
  <c r="T132" i="66"/>
  <c r="A45" i="66"/>
  <c r="I75" i="66"/>
  <c r="D35" i="66"/>
  <c r="F147" i="66"/>
  <c r="F104" i="66"/>
  <c r="M19" i="66"/>
  <c r="C137" i="66"/>
  <c r="C63" i="66"/>
  <c r="T150" i="66"/>
  <c r="M146" i="66"/>
  <c r="O114" i="66"/>
  <c r="P39" i="66"/>
  <c r="O112" i="66"/>
  <c r="O97" i="66"/>
  <c r="P144" i="66"/>
  <c r="A25" i="66"/>
  <c r="F81" i="66"/>
  <c r="I49" i="66"/>
  <c r="K133" i="66"/>
  <c r="T114" i="66"/>
  <c r="E5" i="66"/>
  <c r="M79" i="66"/>
  <c r="F89" i="66"/>
  <c r="A129" i="66"/>
  <c r="C57" i="66"/>
  <c r="H84" i="66"/>
  <c r="P6" i="66"/>
  <c r="E121" i="66"/>
  <c r="F129" i="66"/>
  <c r="O6" i="66"/>
  <c r="K45" i="66"/>
  <c r="N120" i="66"/>
  <c r="Q98" i="66"/>
  <c r="O22" i="66"/>
  <c r="H62" i="66"/>
  <c r="C88" i="66"/>
  <c r="N116" i="66"/>
  <c r="S86" i="66"/>
  <c r="N31" i="66"/>
  <c r="M46" i="66"/>
  <c r="L114" i="66"/>
  <c r="I60" i="66"/>
  <c r="S84" i="66"/>
  <c r="N121" i="66"/>
  <c r="F56" i="66"/>
  <c r="C5" i="77"/>
  <c r="K126" i="66"/>
  <c r="D36" i="66"/>
  <c r="S31" i="66"/>
  <c r="E154" i="66"/>
  <c r="P37" i="66"/>
  <c r="N97" i="66"/>
  <c r="T22" i="66"/>
  <c r="J54" i="66"/>
  <c r="P70" i="66"/>
  <c r="A67" i="66"/>
  <c r="M51" i="66"/>
  <c r="M109" i="66"/>
  <c r="P145" i="66"/>
  <c r="K104" i="66"/>
  <c r="I110" i="66"/>
  <c r="N88" i="66"/>
  <c r="K122" i="66"/>
  <c r="O109" i="66"/>
  <c r="M106" i="66"/>
  <c r="I77" i="66"/>
  <c r="I20" i="66"/>
  <c r="K71" i="66"/>
  <c r="K112" i="66"/>
  <c r="P82" i="66"/>
  <c r="H97" i="66"/>
  <c r="L155" i="66"/>
  <c r="M125" i="66"/>
  <c r="N157" i="66"/>
  <c r="F124" i="66"/>
  <c r="K119" i="66"/>
  <c r="S138" i="66"/>
  <c r="A75" i="66"/>
  <c r="G132" i="66"/>
  <c r="D156" i="66"/>
  <c r="A28" i="66"/>
  <c r="O92" i="66"/>
  <c r="J128" i="66"/>
  <c r="I36" i="66"/>
  <c r="T36" i="66"/>
  <c r="H27" i="66"/>
  <c r="J78" i="66"/>
  <c r="K127" i="66"/>
  <c r="Q108" i="66"/>
  <c r="F110" i="66"/>
  <c r="D129" i="66"/>
  <c r="G10" i="66"/>
  <c r="P57" i="66"/>
  <c r="O54" i="66"/>
  <c r="E140" i="66"/>
  <c r="J108" i="66"/>
  <c r="K114" i="66"/>
  <c r="M110" i="66"/>
  <c r="C60" i="66"/>
  <c r="H44" i="66"/>
  <c r="S43" i="66"/>
  <c r="E155" i="66"/>
  <c r="H7" i="66"/>
  <c r="L129" i="66"/>
  <c r="A26" i="66"/>
  <c r="S91" i="66"/>
  <c r="N20" i="66"/>
  <c r="I148" i="66"/>
  <c r="Q110" i="66"/>
  <c r="T94" i="66"/>
  <c r="D30" i="66"/>
  <c r="N128" i="66"/>
  <c r="G125" i="66"/>
  <c r="T32" i="66"/>
  <c r="M133" i="66"/>
  <c r="I27" i="66"/>
  <c r="S157" i="66"/>
  <c r="A39" i="66"/>
  <c r="M64" i="66"/>
  <c r="O59" i="66"/>
  <c r="E101" i="66"/>
  <c r="T88" i="66"/>
  <c r="N151" i="66"/>
  <c r="E139" i="66"/>
  <c r="P75" i="66"/>
  <c r="F71" i="66"/>
  <c r="F73" i="66"/>
  <c r="F152" i="66"/>
  <c r="I134" i="66"/>
  <c r="H47" i="66"/>
  <c r="D130" i="66"/>
  <c r="S115" i="66"/>
  <c r="I31" i="66"/>
  <c r="K105" i="66"/>
  <c r="J86" i="66"/>
  <c r="Q3" i="66"/>
  <c r="S11" i="66"/>
  <c r="F131" i="66"/>
  <c r="A116" i="66"/>
  <c r="J140" i="66"/>
  <c r="A141" i="66"/>
  <c r="H74" i="66"/>
  <c r="M59" i="66"/>
  <c r="D143" i="66"/>
  <c r="O148" i="66"/>
  <c r="I153" i="66"/>
  <c r="Q58" i="66"/>
  <c r="I86" i="66"/>
  <c r="F10" i="66"/>
  <c r="I39" i="66"/>
  <c r="C122" i="66"/>
  <c r="E5" i="77"/>
  <c r="P84" i="66"/>
  <c r="M74" i="66"/>
  <c r="S65" i="66"/>
  <c r="F120" i="66"/>
  <c r="H142" i="66"/>
  <c r="S41" i="66"/>
  <c r="K85" i="66"/>
  <c r="O20" i="66"/>
  <c r="P44" i="66"/>
  <c r="P101" i="66"/>
  <c r="D102" i="66"/>
  <c r="J92" i="66"/>
  <c r="T72" i="66"/>
  <c r="J37" i="66"/>
  <c r="C112" i="66"/>
  <c r="E146" i="66"/>
  <c r="I119" i="66"/>
  <c r="C95" i="66"/>
  <c r="H10" i="66"/>
  <c r="K107" i="66"/>
  <c r="S4" i="66"/>
  <c r="I131" i="66"/>
  <c r="H24" i="66"/>
  <c r="C153" i="66"/>
  <c r="J156" i="66"/>
  <c r="E122" i="66"/>
  <c r="J41" i="66"/>
  <c r="P58" i="66"/>
  <c r="T129" i="66"/>
  <c r="C21" i="66"/>
  <c r="M20" i="66"/>
  <c r="N73" i="66"/>
  <c r="P55" i="66"/>
  <c r="H92" i="66"/>
  <c r="G7" i="66"/>
  <c r="E116" i="66"/>
  <c r="I59" i="66"/>
  <c r="K56" i="66"/>
  <c r="F149" i="66"/>
  <c r="F113" i="66"/>
  <c r="C74" i="66"/>
  <c r="L59" i="66"/>
  <c r="K29" i="66"/>
  <c r="I38" i="66"/>
  <c r="P150" i="66"/>
  <c r="O28" i="66"/>
  <c r="F68" i="66"/>
  <c r="F97" i="66"/>
  <c r="M120" i="66"/>
  <c r="E112" i="66"/>
  <c r="F27" i="66"/>
  <c r="I112" i="66"/>
  <c r="C104" i="66"/>
  <c r="D111" i="66"/>
  <c r="P100" i="66"/>
  <c r="K113" i="66"/>
  <c r="P118" i="66"/>
  <c r="Q52" i="66"/>
  <c r="F51" i="66"/>
  <c r="D42" i="66"/>
  <c r="S74" i="66"/>
  <c r="P153" i="66"/>
  <c r="K6" i="66"/>
  <c r="A5" i="77"/>
  <c r="H18" i="66"/>
  <c r="F45" i="66"/>
  <c r="H34" i="66"/>
  <c r="E57" i="66"/>
  <c r="L31" i="66"/>
  <c r="F14" i="66"/>
  <c r="G56" i="66"/>
  <c r="A121" i="66"/>
  <c r="L73" i="66"/>
  <c r="Q128" i="66"/>
  <c r="M24" i="66"/>
  <c r="O123" i="66"/>
  <c r="J9" i="66"/>
  <c r="A92" i="66"/>
  <c r="C41" i="66"/>
  <c r="H60" i="66"/>
  <c r="O44" i="66"/>
  <c r="K128" i="66"/>
  <c r="S151" i="66"/>
  <c r="Q57" i="66"/>
  <c r="G49" i="66"/>
  <c r="N19" i="66"/>
  <c r="Q21" i="66"/>
  <c r="P35" i="66"/>
  <c r="S155" i="66"/>
  <c r="L81" i="66"/>
  <c r="H77" i="66"/>
  <c r="F145" i="66"/>
  <c r="T98" i="66"/>
  <c r="Q144" i="66"/>
  <c r="S108" i="66"/>
  <c r="I41" i="66"/>
  <c r="I154" i="66"/>
  <c r="Q80" i="66"/>
  <c r="J102" i="66"/>
  <c r="O144" i="66"/>
  <c r="Q14" i="66"/>
  <c r="S35" i="66"/>
  <c r="P140" i="66"/>
  <c r="N82" i="66"/>
  <c r="T104" i="66"/>
  <c r="S139" i="66"/>
  <c r="D60" i="66"/>
  <c r="Q134" i="66"/>
  <c r="J34" i="66"/>
  <c r="E73" i="66"/>
  <c r="O67" i="66"/>
  <c r="K87" i="66"/>
  <c r="S79" i="66"/>
  <c r="H64" i="66"/>
  <c r="E75" i="66"/>
  <c r="G118" i="66"/>
  <c r="E88" i="66"/>
  <c r="I6" i="66"/>
  <c r="J119" i="66"/>
  <c r="O51" i="66"/>
  <c r="P56" i="66"/>
  <c r="K35" i="66"/>
  <c r="A59" i="66"/>
  <c r="A51" i="66"/>
  <c r="N109" i="66"/>
  <c r="C151" i="66"/>
  <c r="F77" i="66"/>
  <c r="H130" i="66"/>
  <c r="L75" i="66"/>
  <c r="D97" i="66"/>
  <c r="N74" i="66"/>
  <c r="C140" i="66"/>
  <c r="E19" i="66"/>
  <c r="E74" i="66"/>
  <c r="G46" i="66"/>
  <c r="P122" i="66"/>
  <c r="D74" i="66"/>
  <c r="K63" i="66"/>
  <c r="O102" i="66"/>
  <c r="G47" i="66"/>
  <c r="J88" i="66"/>
  <c r="H29" i="66"/>
  <c r="O132" i="66"/>
  <c r="Q63" i="66"/>
  <c r="I22" i="66"/>
  <c r="H101" i="66"/>
  <c r="A82" i="66"/>
  <c r="G130" i="66"/>
  <c r="L25" i="66"/>
  <c r="L46" i="66"/>
  <c r="M39" i="66"/>
  <c r="G71" i="66"/>
  <c r="I47" i="66"/>
  <c r="F111" i="66"/>
  <c r="L43" i="66"/>
  <c r="N58" i="66"/>
  <c r="K62" i="66"/>
  <c r="G34" i="66"/>
  <c r="C14" i="66"/>
  <c r="L153" i="66"/>
  <c r="S73" i="66"/>
  <c r="G124" i="66"/>
  <c r="A8" i="66"/>
  <c r="E69" i="66"/>
  <c r="A15" i="66"/>
  <c r="C89" i="66"/>
  <c r="H49" i="66"/>
  <c r="F78" i="66"/>
  <c r="C38" i="66"/>
  <c r="A52" i="66"/>
  <c r="G91" i="66"/>
  <c r="G89" i="66"/>
  <c r="G109" i="66"/>
  <c r="A44" i="66"/>
  <c r="P87" i="66"/>
  <c r="S27" i="66"/>
  <c r="L7" i="66"/>
  <c r="O62" i="66"/>
  <c r="D89" i="66"/>
  <c r="A13" i="66"/>
  <c r="H12" i="66"/>
  <c r="O88" i="66"/>
  <c r="E106" i="66"/>
  <c r="J100" i="66"/>
  <c r="N36" i="66"/>
  <c r="H22" i="66"/>
  <c r="A7" i="66"/>
  <c r="O19" i="66"/>
  <c r="O4" i="66"/>
  <c r="O124" i="66"/>
  <c r="F76" i="66"/>
  <c r="A132" i="66"/>
  <c r="O111" i="66"/>
  <c r="F26" i="66"/>
  <c r="N45" i="66"/>
  <c r="C43" i="66"/>
  <c r="T12" i="66"/>
  <c r="O134" i="66"/>
  <c r="I55" i="66"/>
  <c r="N70" i="66"/>
  <c r="J6" i="66"/>
  <c r="T102" i="66"/>
  <c r="F83" i="66"/>
  <c r="E86" i="66"/>
  <c r="P110" i="66"/>
  <c r="M37" i="66"/>
  <c r="K101" i="66"/>
  <c r="O23" i="66"/>
  <c r="E142" i="66"/>
  <c r="H63" i="66"/>
  <c r="Q9" i="66"/>
  <c r="Q107" i="66"/>
  <c r="J87" i="66"/>
  <c r="H76" i="66"/>
  <c r="A21" i="66"/>
  <c r="N35" i="66"/>
  <c r="H50" i="66"/>
  <c r="P48" i="66"/>
  <c r="J27" i="66"/>
  <c r="I8" i="66"/>
  <c r="D17" i="66"/>
  <c r="K17" i="66"/>
  <c r="T67" i="66"/>
  <c r="A88" i="66"/>
  <c r="L101" i="66"/>
  <c r="C97" i="66"/>
  <c r="F19" i="66"/>
  <c r="C42" i="66"/>
  <c r="G156" i="66"/>
  <c r="Q140" i="66"/>
  <c r="D70" i="66"/>
  <c r="J23" i="66"/>
  <c r="K136" i="66"/>
  <c r="A131" i="66"/>
  <c r="N30" i="66"/>
  <c r="M84" i="66"/>
  <c r="M11" i="66"/>
  <c r="N86" i="66"/>
  <c r="N104" i="66"/>
  <c r="T85" i="66"/>
  <c r="C93" i="66"/>
  <c r="T83" i="66"/>
  <c r="L106" i="66"/>
  <c r="Q74" i="66"/>
  <c r="E80" i="66"/>
  <c r="T108" i="66"/>
  <c r="K141" i="66"/>
  <c r="O9" i="66"/>
  <c r="I84" i="66"/>
  <c r="D154" i="66"/>
  <c r="S61" i="66"/>
  <c r="E94" i="66"/>
  <c r="D104" i="66"/>
  <c r="A104" i="66"/>
  <c r="G110" i="66"/>
  <c r="S126" i="66"/>
  <c r="D134" i="66"/>
  <c r="I145" i="66"/>
  <c r="S136" i="66"/>
  <c r="M134" i="66"/>
  <c r="F11" i="66"/>
  <c r="D93" i="66"/>
  <c r="G97" i="66"/>
  <c r="A61" i="66"/>
  <c r="N123" i="66"/>
  <c r="S52" i="66"/>
  <c r="K64" i="66"/>
  <c r="T148" i="66"/>
  <c r="P147" i="66"/>
  <c r="O79" i="66"/>
  <c r="K118" i="66"/>
  <c r="K37" i="66"/>
  <c r="S34" i="66"/>
  <c r="J151" i="66"/>
  <c r="H111" i="66"/>
  <c r="T90" i="66"/>
  <c r="A20" i="66"/>
  <c r="K156" i="66"/>
  <c r="O8" i="66"/>
  <c r="L120" i="66"/>
  <c r="E29" i="66"/>
  <c r="F66" i="66"/>
  <c r="S114" i="66"/>
  <c r="G145" i="66"/>
  <c r="M78" i="66"/>
  <c r="A102" i="66"/>
  <c r="D124" i="66"/>
  <c r="Q17" i="66"/>
  <c r="F128" i="66"/>
  <c r="T135" i="66"/>
  <c r="S45" i="66"/>
  <c r="C23" i="66"/>
  <c r="G64" i="66"/>
  <c r="G106" i="66"/>
  <c r="G17" i="66"/>
  <c r="S142" i="66"/>
  <c r="S111" i="66"/>
  <c r="J131" i="66"/>
  <c r="D13" i="66"/>
  <c r="O60" i="66"/>
  <c r="F91" i="66"/>
  <c r="F37" i="66"/>
  <c r="I44" i="66"/>
  <c r="I106" i="66"/>
  <c r="F41" i="66"/>
  <c r="L41" i="66"/>
  <c r="G139" i="66"/>
  <c r="N12" i="66"/>
  <c r="M137" i="66"/>
  <c r="K21" i="66"/>
  <c r="M26" i="66"/>
  <c r="Q139" i="66"/>
  <c r="H103" i="66"/>
  <c r="S55" i="66"/>
  <c r="K18" i="66"/>
  <c r="C24" i="66"/>
  <c r="P47" i="66"/>
  <c r="T155" i="66"/>
  <c r="M122" i="66"/>
  <c r="G79" i="66"/>
  <c r="A109" i="66"/>
  <c r="P111" i="66"/>
  <c r="E24" i="66"/>
  <c r="P53" i="66"/>
  <c r="F103" i="66"/>
  <c r="F80" i="66"/>
  <c r="J20" i="66"/>
  <c r="C40" i="66"/>
  <c r="L77" i="66"/>
  <c r="P67" i="66"/>
  <c r="L54" i="66"/>
  <c r="P130" i="66"/>
  <c r="P96" i="66"/>
  <c r="O41" i="66"/>
  <c r="G113" i="66"/>
  <c r="P138" i="66"/>
  <c r="E9" i="66"/>
  <c r="I72" i="66"/>
  <c r="A69" i="66"/>
  <c r="K42" i="66"/>
  <c r="K7" i="66"/>
  <c r="I102" i="66"/>
  <c r="G13" i="66"/>
  <c r="N77" i="66"/>
  <c r="S44" i="66"/>
  <c r="S15" i="66"/>
  <c r="G147" i="66"/>
  <c r="M60" i="66"/>
  <c r="M9" i="66"/>
  <c r="D56" i="66"/>
  <c r="T5" i="66"/>
  <c r="Q81" i="66"/>
  <c r="O74" i="66"/>
  <c r="D125" i="66"/>
  <c r="K57" i="66"/>
  <c r="N138" i="66"/>
  <c r="Q148" i="66"/>
  <c r="T147" i="66"/>
  <c r="F47" i="66"/>
  <c r="E150" i="66"/>
  <c r="J35" i="66"/>
  <c r="G5" i="66"/>
  <c r="J74" i="66"/>
  <c r="T42" i="66"/>
  <c r="F134" i="66"/>
  <c r="Q150" i="66"/>
  <c r="O52" i="66"/>
  <c r="T111" i="66"/>
  <c r="I123" i="66"/>
  <c r="Q62" i="66"/>
  <c r="L35" i="66"/>
  <c r="K89" i="66"/>
  <c r="M30" i="66"/>
  <c r="P132" i="66"/>
  <c r="D31" i="66"/>
  <c r="T33" i="66"/>
  <c r="T125" i="66"/>
  <c r="A138" i="66"/>
  <c r="K66" i="66"/>
  <c r="D62" i="66"/>
  <c r="C129" i="66"/>
  <c r="H91" i="66"/>
  <c r="O78" i="66"/>
  <c r="C12" i="66"/>
  <c r="A118" i="66"/>
  <c r="F4" i="77"/>
  <c r="J60" i="66"/>
  <c r="P136" i="66"/>
  <c r="I142" i="66"/>
  <c r="P149" i="66"/>
  <c r="K147" i="66"/>
  <c r="G40" i="66"/>
  <c r="G69" i="66"/>
  <c r="L88" i="66"/>
  <c r="I137" i="66"/>
  <c r="A139" i="66"/>
  <c r="A77" i="66"/>
  <c r="G83" i="66"/>
  <c r="J90" i="66"/>
  <c r="P7" i="66"/>
  <c r="E108" i="66"/>
  <c r="E14" i="66"/>
  <c r="T115" i="66"/>
  <c r="T92" i="66"/>
  <c r="T124" i="66"/>
  <c r="I96" i="66"/>
  <c r="P139" i="66"/>
  <c r="Q125" i="66"/>
  <c r="L147" i="66"/>
  <c r="S123" i="66"/>
  <c r="Q135" i="66"/>
  <c r="J113" i="66"/>
  <c r="K99" i="66"/>
  <c r="O66" i="66"/>
  <c r="F90" i="66"/>
  <c r="I25" i="66"/>
  <c r="G29" i="66"/>
  <c r="S47" i="66"/>
  <c r="N143" i="66"/>
  <c r="A149" i="66"/>
  <c r="S137" i="66"/>
  <c r="G28" i="66"/>
  <c r="D77" i="66"/>
  <c r="N27" i="66"/>
  <c r="L29" i="66"/>
  <c r="P83" i="66"/>
  <c r="Q47" i="66"/>
  <c r="C128" i="66"/>
  <c r="E22" i="66"/>
  <c r="E147" i="66"/>
  <c r="T143" i="66"/>
  <c r="G111" i="66"/>
  <c r="E85" i="66"/>
  <c r="T113" i="66"/>
  <c r="O157" i="66"/>
  <c r="N8" i="66"/>
  <c r="G67" i="66"/>
  <c r="Q40" i="66"/>
  <c r="M127" i="66"/>
  <c r="N106" i="66"/>
  <c r="Q44" i="66"/>
  <c r="O68" i="66"/>
  <c r="J109" i="66"/>
  <c r="N64" i="66"/>
  <c r="S5" i="66"/>
  <c r="F50" i="66"/>
  <c r="Q12" i="66"/>
  <c r="H13" i="66"/>
  <c r="O73" i="66"/>
  <c r="T9" i="66"/>
  <c r="T136" i="66"/>
  <c r="T138" i="66"/>
  <c r="P25" i="66"/>
  <c r="O108" i="66"/>
  <c r="F93" i="66"/>
  <c r="G94" i="66"/>
  <c r="A97" i="66"/>
  <c r="A66" i="66"/>
  <c r="L87" i="66"/>
  <c r="T66" i="66"/>
  <c r="L19" i="66"/>
  <c r="M58" i="66"/>
  <c r="L23" i="66"/>
  <c r="J81" i="66"/>
  <c r="S120" i="66"/>
  <c r="T43" i="66"/>
  <c r="A137" i="66"/>
  <c r="P38" i="66"/>
  <c r="Q112" i="66"/>
  <c r="Q146" i="66"/>
  <c r="N53" i="66"/>
  <c r="J13" i="66"/>
  <c r="J58" i="66"/>
  <c r="K67" i="66"/>
  <c r="A105" i="66"/>
  <c r="D76" i="66"/>
  <c r="S96" i="66"/>
  <c r="L36" i="66"/>
  <c r="S46" i="66"/>
  <c r="F38" i="66"/>
  <c r="T13" i="66"/>
  <c r="L151" i="66"/>
  <c r="H143" i="66"/>
  <c r="H65" i="66"/>
  <c r="H128" i="66"/>
  <c r="I33" i="66"/>
  <c r="C36" i="66"/>
  <c r="I116" i="66"/>
  <c r="F63" i="66"/>
  <c r="M31" i="66"/>
  <c r="I40" i="66"/>
  <c r="H30" i="66"/>
  <c r="H153" i="66"/>
  <c r="A147" i="66"/>
  <c r="P131" i="66"/>
  <c r="I10" i="66"/>
  <c r="N46" i="66"/>
  <c r="P104" i="66"/>
  <c r="L142" i="66"/>
  <c r="M88" i="66"/>
  <c r="C62" i="66"/>
  <c r="G18" i="66"/>
  <c r="G142" i="66"/>
  <c r="E156" i="66"/>
  <c r="O26" i="66"/>
  <c r="J96" i="66"/>
  <c r="S149" i="66"/>
  <c r="K69" i="66"/>
  <c r="T107" i="66"/>
  <c r="O46" i="66"/>
  <c r="P133" i="66"/>
  <c r="M124" i="66"/>
  <c r="K81" i="66"/>
  <c r="J120" i="66"/>
  <c r="K12" i="66"/>
  <c r="E61" i="66"/>
  <c r="J139" i="66"/>
  <c r="L79" i="66"/>
  <c r="E135" i="66"/>
  <c r="O65" i="66"/>
  <c r="E50" i="66"/>
  <c r="E68" i="66"/>
  <c r="A115" i="66"/>
  <c r="F6" i="66"/>
  <c r="J153" i="66"/>
  <c r="L93" i="66"/>
  <c r="G123" i="66"/>
  <c r="N100" i="66"/>
  <c r="J155" i="66"/>
  <c r="T118" i="66"/>
  <c r="P76" i="66"/>
  <c r="G107" i="66"/>
  <c r="G81" i="66"/>
  <c r="T105" i="66"/>
  <c r="N13" i="66"/>
  <c r="T19" i="66"/>
  <c r="J51" i="66"/>
  <c r="H83" i="66"/>
  <c r="T128" i="66"/>
  <c r="I101" i="66"/>
  <c r="M89" i="66"/>
  <c r="S103" i="66"/>
  <c r="G108" i="66"/>
  <c r="F9" i="66"/>
  <c r="C133" i="66"/>
  <c r="C147" i="66"/>
  <c r="C105" i="66"/>
  <c r="L48" i="66"/>
  <c r="C58" i="66"/>
  <c r="J137" i="66"/>
  <c r="T89" i="66"/>
  <c r="S69" i="66"/>
  <c r="E4" i="66"/>
  <c r="L157" i="66"/>
  <c r="I149" i="66"/>
  <c r="I50" i="66"/>
  <c r="A110" i="66"/>
  <c r="G121" i="66"/>
  <c r="N153" i="66"/>
  <c r="J91" i="66"/>
  <c r="D146" i="66"/>
  <c r="I147" i="66"/>
  <c r="P116" i="66"/>
  <c r="T55" i="66"/>
  <c r="E102" i="66"/>
  <c r="Q117" i="66"/>
  <c r="T146" i="66"/>
  <c r="J32" i="66"/>
  <c r="T116" i="66"/>
  <c r="H133" i="66"/>
  <c r="D51" i="66"/>
  <c r="E37" i="66"/>
  <c r="M150" i="66"/>
  <c r="T137" i="66"/>
  <c r="T152" i="66"/>
  <c r="O63" i="66"/>
  <c r="S112" i="66"/>
  <c r="N148" i="66"/>
  <c r="S54" i="66"/>
  <c r="F28" i="66"/>
  <c r="F99" i="66"/>
  <c r="O75" i="66"/>
  <c r="K124" i="66"/>
  <c r="F143" i="66"/>
  <c r="S82" i="66"/>
  <c r="K26" i="66"/>
  <c r="T54" i="66"/>
  <c r="P91" i="66"/>
  <c r="E11" i="66"/>
  <c r="P115" i="66"/>
  <c r="T86" i="66"/>
  <c r="M129" i="66"/>
  <c r="D91" i="66"/>
  <c r="A135" i="66"/>
  <c r="M145" i="66"/>
  <c r="K48" i="66"/>
  <c r="K25" i="66"/>
  <c r="L42" i="66"/>
  <c r="D78" i="66"/>
  <c r="T38" i="66"/>
  <c r="Q158" i="66"/>
  <c r="P109" i="66"/>
  <c r="F43" i="66"/>
  <c r="F115" i="66"/>
  <c r="F94" i="66"/>
  <c r="N110" i="66"/>
  <c r="T64" i="66"/>
  <c r="Q49" i="66"/>
  <c r="P49" i="66"/>
  <c r="M126" i="66"/>
  <c r="E54" i="66"/>
  <c r="N87" i="66"/>
  <c r="H78" i="66"/>
  <c r="L110" i="66"/>
  <c r="D25" i="66"/>
  <c r="N22" i="66"/>
  <c r="G52" i="66"/>
  <c r="A68" i="66"/>
  <c r="E34" i="66"/>
  <c r="J26" i="66"/>
  <c r="J65" i="66"/>
  <c r="C69" i="66"/>
  <c r="J25" i="66"/>
  <c r="N56" i="66"/>
  <c r="K78" i="66"/>
  <c r="D40" i="66"/>
  <c r="C49" i="66"/>
  <c r="F153" i="66"/>
  <c r="Q10" i="66"/>
  <c r="D85" i="66"/>
  <c r="P92" i="66"/>
  <c r="L111" i="66"/>
  <c r="S7" i="66"/>
  <c r="O151" i="66"/>
  <c r="G9" i="66"/>
  <c r="M130" i="66"/>
  <c r="T62" i="66"/>
  <c r="S18" i="66"/>
  <c r="D5" i="66"/>
  <c r="P86" i="66"/>
  <c r="O141" i="66"/>
  <c r="E27" i="66"/>
  <c r="C113" i="66"/>
  <c r="M21" i="66"/>
  <c r="M22" i="66"/>
  <c r="C25" i="66"/>
  <c r="E130" i="66"/>
  <c r="S71" i="66"/>
  <c r="E70" i="66"/>
  <c r="E123" i="66"/>
  <c r="G66" i="66"/>
  <c r="D81" i="66"/>
  <c r="P5" i="66"/>
  <c r="S80" i="66"/>
  <c r="E103" i="66"/>
  <c r="T97" i="66"/>
  <c r="T93" i="66"/>
  <c r="P27" i="66"/>
  <c r="S90" i="66"/>
  <c r="G99" i="66"/>
  <c r="M45" i="66"/>
  <c r="L63" i="66"/>
  <c r="A143" i="66"/>
  <c r="L154" i="66"/>
  <c r="Q53" i="66"/>
  <c r="I16" i="66"/>
  <c r="N114" i="66"/>
  <c r="O115" i="66"/>
  <c r="N75" i="66"/>
  <c r="J154" i="66"/>
  <c r="H46" i="66"/>
  <c r="F72" i="66"/>
  <c r="S19" i="66"/>
  <c r="C109" i="66"/>
  <c r="H32" i="66"/>
  <c r="M5" i="66"/>
  <c r="Q23" i="66"/>
  <c r="N131" i="66"/>
  <c r="N96" i="66"/>
  <c r="N67" i="66"/>
  <c r="K14" i="66"/>
  <c r="L68" i="66"/>
  <c r="I28" i="66"/>
  <c r="Q115" i="66"/>
  <c r="F112" i="66"/>
  <c r="J77" i="66"/>
  <c r="T156" i="66"/>
  <c r="E97" i="66"/>
  <c r="F31" i="66"/>
  <c r="J148" i="66"/>
  <c r="Q61" i="66"/>
  <c r="L148" i="66"/>
  <c r="L49" i="66"/>
  <c r="A63" i="66"/>
  <c r="J103" i="66"/>
  <c r="L60" i="66"/>
  <c r="D34" i="66"/>
  <c r="K88" i="66"/>
  <c r="P125" i="66"/>
  <c r="E110" i="66"/>
  <c r="E114" i="66"/>
  <c r="M17" i="66"/>
  <c r="J116" i="66"/>
  <c r="H136" i="66"/>
  <c r="F59" i="66"/>
  <c r="H125" i="66"/>
  <c r="J127" i="66"/>
  <c r="M49" i="66"/>
  <c r="D43" i="66"/>
  <c r="H80" i="66"/>
  <c r="D150" i="66"/>
  <c r="N101" i="66"/>
  <c r="H126" i="66"/>
  <c r="D103" i="66"/>
  <c r="K40" i="66"/>
  <c r="Q35" i="66"/>
  <c r="I144" i="66"/>
  <c r="M85" i="66"/>
  <c r="L109" i="66"/>
  <c r="N33" i="66"/>
  <c r="A81" i="66"/>
  <c r="J63" i="66"/>
  <c r="T127" i="66"/>
  <c r="Q36" i="66"/>
  <c r="L139" i="66"/>
  <c r="F55" i="66"/>
  <c r="G36" i="66"/>
  <c r="I124" i="66"/>
  <c r="P79" i="66"/>
  <c r="I29" i="66"/>
  <c r="C59" i="66"/>
  <c r="G128" i="66"/>
  <c r="M52" i="66"/>
  <c r="H15" i="66"/>
  <c r="G102" i="66"/>
  <c r="A78" i="66"/>
  <c r="Q72" i="66"/>
  <c r="Q54" i="66"/>
  <c r="L64" i="66"/>
  <c r="N137" i="66"/>
  <c r="A106" i="66"/>
  <c r="A32" i="66"/>
  <c r="L67" i="66"/>
  <c r="N92" i="66"/>
  <c r="H112" i="66"/>
  <c r="E65" i="66"/>
  <c r="C53" i="66"/>
  <c r="Q82" i="66"/>
  <c r="D14" i="66"/>
  <c r="P119" i="66"/>
  <c r="I103" i="66"/>
  <c r="J82" i="66"/>
  <c r="F123" i="66"/>
  <c r="T123" i="66"/>
  <c r="A17" i="66"/>
  <c r="S24" i="66"/>
  <c r="D122" i="66"/>
  <c r="K140" i="66"/>
  <c r="N102" i="66"/>
  <c r="J145" i="66"/>
  <c r="J61" i="66"/>
  <c r="K149" i="66"/>
  <c r="C149" i="66"/>
  <c r="J106" i="66"/>
  <c r="Q87" i="66"/>
  <c r="E127" i="66"/>
  <c r="S87" i="66"/>
  <c r="Q45" i="66"/>
  <c r="Q109" i="66"/>
  <c r="K28" i="66"/>
  <c r="S81" i="66"/>
  <c r="I128" i="66"/>
  <c r="C50" i="66"/>
  <c r="E25" i="66"/>
  <c r="P14" i="66"/>
  <c r="K20" i="66"/>
  <c r="D50" i="66"/>
  <c r="H150" i="66"/>
  <c r="K146" i="66"/>
  <c r="F7" i="66"/>
  <c r="G137" i="66"/>
  <c r="C26" i="66"/>
  <c r="A150" i="66"/>
  <c r="Q5" i="66"/>
  <c r="T50" i="66"/>
  <c r="E52" i="66"/>
  <c r="T47" i="66"/>
  <c r="M141" i="66"/>
  <c r="O156" i="66"/>
  <c r="C156" i="66"/>
  <c r="F13" i="66"/>
  <c r="F109" i="66"/>
  <c r="K10" i="66"/>
  <c r="F42" i="66"/>
  <c r="E81" i="66"/>
  <c r="N55" i="66"/>
  <c r="T44" i="66"/>
  <c r="J12" i="66"/>
  <c r="A43" i="66"/>
  <c r="T40" i="66"/>
  <c r="E137" i="66"/>
  <c r="G5" i="77" l="1"/>
  <c r="G4" i="77"/>
  <c r="G6" i="77" l="1"/>
</calcChain>
</file>

<file path=xl/sharedStrings.xml><?xml version="1.0" encoding="utf-8"?>
<sst xmlns="http://schemas.openxmlformats.org/spreadsheetml/2006/main" count="4589" uniqueCount="3024">
  <si>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</si>
  <si>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</si>
  <si>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</si>
  <si>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</si>
  <si>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</si>
  <si>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</si>
  <si>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</si>
  <si>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</si>
  <si>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</si>
  <si>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</si>
  <si>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</si>
  <si>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</si>
  <si>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</si>
  <si>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</si>
  <si>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</si>
  <si>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</si>
  <si>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</si>
  <si>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</si>
  <si>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</si>
  <si>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</si>
  <si>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</si>
  <si>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</si>
  <si>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</si>
  <si>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</si>
  <si>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</si>
  <si>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SIBN RX EQUITY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</si>
  <si>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</si>
  <si>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</si>
  <si>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</si>
  <si>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</si>
  <si>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</si>
  <si>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</si>
  <si>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</si>
  <si>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</si>
  <si>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</si>
  <si>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</si>
  <si>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</si>
  <si>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</si>
  <si>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</si>
  <si>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</si>
  <si>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SNGSP RX EQUITY</t>
  </si>
  <si>
    <t>RTKMP RX EQUITY</t>
  </si>
  <si>
    <t>BANEP RX EQUITY</t>
  </si>
  <si>
    <t>TATNP RX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</si>
  <si>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</si>
  <si>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</si>
  <si>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</si>
  <si>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</si>
  <si>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</si>
  <si>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</si>
  <si>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</si>
  <si>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</si>
  <si>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</si>
  <si>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</si>
  <si>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</si>
  <si>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</si>
  <si>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</si>
  <si>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</si>
  <si>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BANE RX EQUITY</t>
  </si>
  <si>
    <t>KMG LI EQUITY</t>
  </si>
  <si>
    <t>AKRN RX EQUITY</t>
  </si>
  <si>
    <t>SBERP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</si>
  <si>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</si>
  <si>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</si>
  <si>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</si>
  <si>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</si>
  <si>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</si>
  <si>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</si>
  <si>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</si>
  <si>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</si>
  <si>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</si>
  <si>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</si>
  <si>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</si>
  <si>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</si>
  <si>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</si>
  <si>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</si>
  <si>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</si>
  <si>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</si>
  <si>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</si>
  <si>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</si>
  <si>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</si>
  <si>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</si>
  <si>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</si>
  <si>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</si>
  <si>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</si>
  <si>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</si>
  <si>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</si>
  <si>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</si>
  <si>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</si>
  <si>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</si>
  <si>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</si>
  <si>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</si>
  <si>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</si>
  <si>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</si>
  <si>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</si>
  <si>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</si>
  <si>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</si>
  <si>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MOEX RX Equity</t>
  </si>
  <si>
    <t>FEES RX Equity</t>
  </si>
  <si>
    <t>Прибыль / убыток (RUB)</t>
  </si>
  <si>
    <t>Прибыль / убыток (USD)</t>
  </si>
  <si>
    <t>Стоимость позиции по текущей цене (USD)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</si>
  <si>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</si>
  <si>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</si>
  <si>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</si>
  <si>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</si>
  <si>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</si>
  <si>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</si>
  <si>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</si>
  <si>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</si>
  <si>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Стоимость позиции на дату покупки (USD)</t>
  </si>
  <si>
    <t>BSPB RX EQUITY</t>
  </si>
  <si>
    <t>HGM LN EQUITY</t>
  </si>
  <si>
    <t>LKOD LI Equity</t>
  </si>
  <si>
    <t>Изменение (USD), %</t>
  </si>
  <si>
    <t>NORD LI EQUITY</t>
  </si>
  <si>
    <t>NORD LI Equity</t>
  </si>
  <si>
    <t>HMSG LI Equity</t>
  </si>
  <si>
    <t>TGKA RX EQUITY</t>
  </si>
  <si>
    <t>MVID RX Equity</t>
  </si>
  <si>
    <t>XS0841677387 Corp</t>
  </si>
  <si>
    <t>EONR</t>
  </si>
  <si>
    <t>SBERP RX Equity</t>
  </si>
  <si>
    <t>Gazprom</t>
  </si>
  <si>
    <t>PHAU LN Equity</t>
  </si>
  <si>
    <t>XS0975320879 Corp</t>
  </si>
  <si>
    <t>XS0974469206 Corp</t>
  </si>
  <si>
    <t>ETLN LI Equity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</si>
  <si>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</si>
  <si>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</si>
  <si>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</si>
  <si>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</si>
  <si>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XS0588433267 Corp</t>
  </si>
  <si>
    <t>SNGSP RX Equity</t>
  </si>
  <si>
    <t>MFON RX Equity</t>
  </si>
  <si>
    <t>LSRG RX Equity</t>
  </si>
  <si>
    <t>NLMK</t>
  </si>
  <si>
    <t>NLMK RX Equity</t>
  </si>
  <si>
    <t>BSPB</t>
  </si>
  <si>
    <t>EDCL LI Equity</t>
  </si>
  <si>
    <t>HGM LN Equity</t>
  </si>
  <si>
    <t>GBP Curncy</t>
  </si>
  <si>
    <t>Polymetal</t>
  </si>
  <si>
    <t>POLY LN Equity</t>
  </si>
  <si>
    <t>MSTT RX Equity</t>
  </si>
  <si>
    <t>AFLT RX Equity</t>
  </si>
  <si>
    <t>BANE RX Equity</t>
  </si>
  <si>
    <t>EUR Curncy</t>
  </si>
  <si>
    <t>VIP US Equity</t>
  </si>
  <si>
    <t>Vimpelcom</t>
  </si>
  <si>
    <t>BANEP RX Equity</t>
  </si>
  <si>
    <t>ALRS RX Equity</t>
  </si>
  <si>
    <t>GLTR LI Equity</t>
  </si>
  <si>
    <t>KMAZ RX Equity</t>
  </si>
  <si>
    <t>XS0513723873 Corp</t>
  </si>
  <si>
    <t>XS0918297382 Corp</t>
  </si>
  <si>
    <t>XS0922883318 Corp</t>
  </si>
  <si>
    <t>TRMK RX Equity</t>
  </si>
  <si>
    <t>XS1032750165 Corp</t>
  </si>
  <si>
    <t>YNDX US Equity</t>
  </si>
  <si>
    <t>SVAV RX EQUITY</t>
  </si>
  <si>
    <t>TATN RX EQUITY</t>
  </si>
  <si>
    <t>SNGS RX EQUITY</t>
  </si>
  <si>
    <t>Curr Net Debt / LTM EBITDA</t>
  </si>
  <si>
    <t>Curr EV / LTM SALES</t>
  </si>
  <si>
    <t>XS0808632847 Corp</t>
  </si>
  <si>
    <t>XS0304273948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</si>
  <si>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</si>
  <si>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</si>
  <si>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</si>
  <si>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</si>
  <si>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</si>
  <si>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</si>
  <si>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</si>
  <si>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</si>
  <si>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</si>
  <si>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</si>
  <si>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</si>
  <si>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</si>
  <si>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</si>
  <si>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</si>
  <si>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</si>
  <si>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</si>
  <si>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</si>
  <si>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</si>
  <si>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XS0922142574 Corp</t>
  </si>
  <si>
    <t>XS0605637056 Corp</t>
  </si>
  <si>
    <t>XS0877983642 Corp</t>
  </si>
  <si>
    <t>XS0833264335 Corp</t>
  </si>
  <si>
    <t>XS0563898062 Corp</t>
  </si>
  <si>
    <t>Закрытые позиции</t>
  </si>
  <si>
    <t>Дата</t>
  </si>
  <si>
    <t>FX</t>
  </si>
  <si>
    <t>Прибыль / убыток, USD</t>
  </si>
  <si>
    <t>FESH RX EQUITY</t>
  </si>
  <si>
    <t>486 HK EQUITY</t>
  </si>
  <si>
    <t>RTKM RX EQUITY</t>
  </si>
  <si>
    <t>TRNFP RX EQUITY</t>
  </si>
  <si>
    <t>1Y CHG, %</t>
  </si>
  <si>
    <t>NVTK RX Equity</t>
  </si>
  <si>
    <t>URKA RX Equity</t>
  </si>
  <si>
    <t>XS0893205186 Corp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</si>
  <si>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</si>
  <si>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</si>
  <si>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</si>
  <si>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</si>
  <si>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</si>
  <si>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</si>
  <si>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</si>
  <si>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</si>
  <si>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</si>
  <si>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</si>
  <si>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</si>
  <si>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</si>
  <si>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</si>
  <si>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</si>
  <si>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</si>
  <si>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</si>
  <si>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</si>
  <si>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</si>
  <si>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</si>
  <si>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MOEX RX EQUITY</t>
  </si>
  <si>
    <t>KMG LI Equity</t>
  </si>
  <si>
    <t>RUALR RX Equity</t>
  </si>
  <si>
    <t>POLY RX Equity</t>
  </si>
  <si>
    <t>POLY RX EQUITY</t>
  </si>
  <si>
    <t>KMG</t>
  </si>
  <si>
    <t>GAZ LI Equity</t>
  </si>
  <si>
    <t>XS0923110232 Corp</t>
  </si>
  <si>
    <t>RSEA</t>
  </si>
  <si>
    <t>Kazmunaigaz</t>
  </si>
  <si>
    <t>OGZD LI Equity</t>
  </si>
  <si>
    <t>MNOD LI Equity</t>
  </si>
  <si>
    <t>GMKN</t>
  </si>
  <si>
    <t>QIWI US Equity</t>
  </si>
  <si>
    <t>Изменение (RUR), %</t>
  </si>
  <si>
    <t>ENRU RX Equity</t>
  </si>
  <si>
    <t xml:space="preserve">FREE FLOAT, % </t>
  </si>
  <si>
    <t xml:space="preserve">ADV, mln $ </t>
  </si>
  <si>
    <t>XS0524610812 Corp</t>
  </si>
  <si>
    <t>XS0779213460 Corp</t>
  </si>
  <si>
    <t>XS0861981180 Corp</t>
  </si>
  <si>
    <t>XS0993162683 Corp</t>
  </si>
  <si>
    <t>XS0935311240 Corp</t>
  </si>
  <si>
    <t>486 HK Equity</t>
  </si>
  <si>
    <t>Highland Gold Mining</t>
  </si>
  <si>
    <t>XS0767473852 Corp</t>
  </si>
  <si>
    <t>XS0643183220 Corp</t>
  </si>
  <si>
    <t>XS0559915961 Corp</t>
  </si>
  <si>
    <t>XS0640334768 Corp</t>
  </si>
  <si>
    <t>XGAQF</t>
  </si>
  <si>
    <t>RU000A0JRCJ6 Corp</t>
  </si>
  <si>
    <t>RU000A0JRJU8 Corp</t>
  </si>
  <si>
    <t>RU000A0JQZ18 Corp</t>
  </si>
  <si>
    <t>XS1040726587 Corp</t>
  </si>
  <si>
    <t>XS0484209159 Corp</t>
  </si>
  <si>
    <t>XS0800817073 Corp</t>
  </si>
  <si>
    <t>Прибыль / убыток, RUB</t>
  </si>
  <si>
    <t>LABKS</t>
  </si>
  <si>
    <t>XS0808638612 Corp</t>
  </si>
  <si>
    <t>KCEL LI Equity</t>
  </si>
  <si>
    <t>KCEL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</si>
  <si>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</si>
  <si>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</si>
  <si>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</si>
  <si>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</si>
  <si>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</si>
  <si>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</si>
  <si>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</si>
  <si>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</si>
  <si>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</si>
  <si>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</si>
  <si>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</si>
  <si>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</si>
  <si>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</si>
  <si>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</si>
  <si>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</si>
  <si>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</si>
  <si>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</si>
  <si>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</si>
  <si>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</si>
  <si>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</si>
  <si>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</si>
  <si>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</si>
  <si>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</si>
  <si>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</si>
  <si>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</si>
  <si>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</si>
  <si>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</si>
  <si>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</si>
  <si>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</si>
  <si>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</si>
  <si>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</si>
  <si>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</si>
  <si>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</si>
  <si>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</si>
  <si>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</si>
  <si>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</si>
  <si>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</si>
  <si>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</si>
  <si>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</si>
  <si>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</si>
  <si>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</si>
  <si>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</si>
  <si>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</si>
  <si>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</si>
  <si>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</si>
  <si>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</si>
  <si>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</si>
  <si>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</si>
  <si>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</si>
  <si>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</si>
  <si>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</si>
  <si>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</si>
  <si>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</si>
  <si>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</si>
  <si>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</si>
  <si>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</si>
  <si>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</si>
  <si>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</si>
  <si>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</si>
  <si>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</si>
  <si>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</si>
  <si>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</si>
  <si>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</si>
  <si>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</si>
  <si>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</si>
  <si>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</si>
  <si>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</si>
  <si>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</si>
  <si>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</si>
  <si>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</si>
  <si>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</si>
  <si>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</si>
  <si>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</si>
  <si>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</si>
  <si>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</si>
  <si>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</si>
  <si>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</si>
  <si>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</si>
  <si>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</si>
  <si>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</si>
  <si>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</si>
  <si>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</si>
  <si>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</si>
  <si>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</si>
  <si>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</si>
  <si>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</si>
  <si>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</si>
  <si>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</si>
  <si>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</si>
  <si>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</si>
  <si>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</si>
  <si>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</si>
  <si>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</si>
  <si>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</si>
  <si>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</si>
  <si>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</si>
  <si>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</si>
  <si>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</si>
  <si>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</si>
  <si>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</si>
  <si>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</si>
  <si>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</si>
  <si>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</si>
  <si>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</si>
  <si>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</si>
  <si>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</si>
  <si>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</si>
  <si>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</si>
  <si>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</si>
  <si>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</si>
  <si>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</si>
  <si>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</si>
  <si>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</si>
  <si>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</si>
  <si>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</si>
  <si>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</si>
  <si>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</si>
  <si>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</si>
  <si>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</si>
  <si>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</si>
  <si>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</si>
  <si>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</si>
  <si>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</si>
  <si>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</si>
  <si>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</si>
  <si>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</si>
  <si>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</si>
  <si>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</si>
  <si>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</si>
  <si>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</si>
  <si>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</si>
  <si>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</si>
  <si>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</si>
  <si>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</si>
  <si>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</si>
  <si>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</si>
  <si>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</si>
  <si>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</si>
  <si>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</si>
  <si>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</si>
  <si>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</si>
  <si>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</si>
  <si>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</si>
  <si>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</si>
  <si>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</si>
  <si>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</si>
  <si>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</si>
  <si>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</si>
  <si>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</si>
  <si>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</si>
  <si>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</si>
  <si>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</si>
  <si>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</si>
  <si>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</si>
  <si>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</si>
  <si>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</si>
  <si>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</si>
  <si>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</si>
  <si>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</si>
  <si>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</si>
  <si>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</si>
  <si>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</si>
  <si>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</si>
  <si>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</si>
  <si>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</si>
  <si>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</si>
  <si>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</si>
  <si>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</si>
  <si>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</si>
  <si>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</si>
  <si>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</si>
  <si>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</si>
  <si>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</si>
  <si>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</si>
  <si>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</si>
  <si>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</si>
  <si>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</si>
  <si>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XS0885733153 Corp</t>
  </si>
  <si>
    <t>DVD RCRD DATE</t>
  </si>
  <si>
    <t>XS0783242877 Corp</t>
  </si>
  <si>
    <t>XS1003273767 Corp</t>
  </si>
  <si>
    <t>AFKS RX Equity</t>
  </si>
  <si>
    <t>XS0882561821 Corp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</si>
  <si>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</si>
  <si>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</si>
  <si>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</si>
  <si>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</si>
  <si>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</si>
  <si>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 RX Equity</t>
  </si>
  <si>
    <t>Sum of Buy more to 5%</t>
  </si>
  <si>
    <t>IRAO</t>
  </si>
  <si>
    <t>XS0923472814 Corp</t>
  </si>
  <si>
    <t>XS0299183250 Corp</t>
  </si>
  <si>
    <t>VTBR RX Equity</t>
  </si>
  <si>
    <t>RU000A0JU9V1 Corp</t>
  </si>
  <si>
    <t>XS0925043100 Corp</t>
  </si>
  <si>
    <t>KDBSF</t>
  </si>
  <si>
    <t>MAIL LI Equity</t>
  </si>
  <si>
    <t>XS1255387976 Corp</t>
  </si>
  <si>
    <t>PHAG LN Equity</t>
  </si>
  <si>
    <t>PHPD LN Equity</t>
  </si>
  <si>
    <t>Текущая стоимость позиции, USD</t>
  </si>
  <si>
    <t>Total</t>
  </si>
  <si>
    <t>PLZL RX EQUITY</t>
  </si>
  <si>
    <t>XS0979891925 Corp</t>
  </si>
  <si>
    <t>XS0592794597 Corp</t>
  </si>
  <si>
    <t>XS1117280625 Corp</t>
  </si>
  <si>
    <t>AGRO LI EQUITY</t>
  </si>
  <si>
    <t>2016 P/E</t>
  </si>
  <si>
    <t>Luxoft</t>
  </si>
  <si>
    <t>UPRO RX Equity</t>
  </si>
  <si>
    <t>UPRO RX EQUITY</t>
  </si>
  <si>
    <t>TATN RX Equity</t>
  </si>
  <si>
    <t>TATNP RX Equity</t>
  </si>
  <si>
    <t>MGNT RX Equity</t>
  </si>
  <si>
    <t>US496902AN77 Corp</t>
  </si>
  <si>
    <t>XS1223394914 Corp</t>
  </si>
  <si>
    <t>XS0583616239 Corp</t>
  </si>
  <si>
    <t>YTD 2016, %</t>
  </si>
  <si>
    <t xml:space="preserve">ADJ BETA 6M </t>
  </si>
  <si>
    <t>MRKT CAP, M $</t>
  </si>
  <si>
    <t>LXFT US Equity</t>
  </si>
  <si>
    <t>XS1319822752 Corp</t>
  </si>
  <si>
    <t>XS1449458915 Corp</t>
  </si>
  <si>
    <t>XS0587031096 Corp</t>
  </si>
  <si>
    <t>XS0288690539 Corp</t>
  </si>
  <si>
    <t>XS0365923977 Corp</t>
  </si>
  <si>
    <t>XS0366630902 Corp</t>
  </si>
  <si>
    <t>XS0810596832 Corp</t>
  </si>
  <si>
    <t>XS0191754729 Corp</t>
  </si>
  <si>
    <t>XS0993162170 Corp</t>
  </si>
  <si>
    <t>Next ex dvd  date; DD/MM/YY</t>
  </si>
  <si>
    <t>Next dvd  declaration date; DD/MM/YY</t>
  </si>
  <si>
    <t>2016 EV/EBITDA</t>
  </si>
  <si>
    <t>USG9328DAD24 Corp</t>
  </si>
  <si>
    <t>Next DVD declaration date</t>
  </si>
  <si>
    <t>12M TP</t>
  </si>
  <si>
    <t>PHOR RX Equity</t>
  </si>
  <si>
    <t>Целевая цена на 12М, данные Блумберга</t>
  </si>
  <si>
    <t>Потенциал роста (CUR) на 12М, %</t>
  </si>
  <si>
    <t>Текущая доходность портфеля</t>
  </si>
  <si>
    <t>Потенциал роста портфеля</t>
  </si>
  <si>
    <t>MTSS</t>
  </si>
  <si>
    <t>Ожидаемая див дох-ть акций, текущая дох-ть облигаций %</t>
  </si>
  <si>
    <t>GILDUS</t>
  </si>
  <si>
    <t>GILD US Equity</t>
  </si>
  <si>
    <t>CH0340808812 Corp</t>
  </si>
  <si>
    <t>XS1439838548 Corp</t>
  </si>
  <si>
    <t>AGN US Equity</t>
  </si>
  <si>
    <t>USP989MJBG51 Corp</t>
  </si>
  <si>
    <t>CH0347656545 Corp</t>
  </si>
  <si>
    <t>RU000A0JWG05</t>
  </si>
  <si>
    <t>SBER</t>
  </si>
  <si>
    <t>XS0889402029</t>
  </si>
  <si>
    <t>RU000A0JS5F6</t>
  </si>
  <si>
    <t>RU000A0JU9T5</t>
  </si>
  <si>
    <t>RU000A0JRTT9</t>
  </si>
  <si>
    <t>RU000A0JWWW7</t>
  </si>
  <si>
    <t>RU000A0JWB75</t>
  </si>
  <si>
    <t>RU000A0JWB67</t>
  </si>
  <si>
    <t>RU000A0JWC82</t>
  </si>
  <si>
    <t>RU000A0JWDN6</t>
  </si>
  <si>
    <t>XS0884734343</t>
  </si>
  <si>
    <t>RU000A0JS751</t>
  </si>
  <si>
    <t>RU000A0JTKZ1</t>
  </si>
  <si>
    <t>RU000A0JW0S4</t>
  </si>
  <si>
    <t>RU000A0JWBF6</t>
  </si>
  <si>
    <t>RU000A0JWU98</t>
  </si>
  <si>
    <t>RU000A0JXE06</t>
  </si>
  <si>
    <t>RU000A0JWBH2</t>
  </si>
  <si>
    <t>RU000A0JWDU1</t>
  </si>
  <si>
    <t>NL0009805522</t>
  </si>
  <si>
    <t>US92719A1060</t>
  </si>
  <si>
    <t>RU0007661302</t>
  </si>
  <si>
    <t>RU000A0JNGA5</t>
  </si>
  <si>
    <t>UPRO RM Equity</t>
  </si>
  <si>
    <t>RU000A0B6NK6</t>
  </si>
  <si>
    <t>RU000A0JNUD0</t>
  </si>
  <si>
    <t>RU0006914488</t>
  </si>
  <si>
    <t>RU0009062467</t>
  </si>
  <si>
    <t>RU000A0JR5Z5</t>
  </si>
  <si>
    <t>US74735M1080</t>
  </si>
  <si>
    <t>RU000A0JQU47</t>
  </si>
  <si>
    <t>JE00B6T5S470</t>
  </si>
  <si>
    <t>JE00B1VS3002</t>
  </si>
  <si>
    <t>JE00B1VS3770</t>
  </si>
  <si>
    <t>JE00B1VS3333</t>
  </si>
  <si>
    <t>US65557T2050</t>
  </si>
  <si>
    <t>RU0009084446</t>
  </si>
  <si>
    <t>RU0006765096</t>
  </si>
  <si>
    <t>RU0009100507</t>
  </si>
  <si>
    <t>RU000A0JPGA0</t>
  </si>
  <si>
    <t>RU0007775219</t>
  </si>
  <si>
    <t>RU000A0JPPN4</t>
  </si>
  <si>
    <t>US55302T2042</t>
  </si>
  <si>
    <t>MHPC LI Equity</t>
  </si>
  <si>
    <t>RU000A0JS942</t>
  </si>
  <si>
    <t>VGG572791041</t>
  </si>
  <si>
    <t>RU000A0JPFP0</t>
  </si>
  <si>
    <t>RU0009024277</t>
  </si>
  <si>
    <t>US48666V2043</t>
  </si>
  <si>
    <t>RU0008959580</t>
  </si>
  <si>
    <t>US48668G2057</t>
  </si>
  <si>
    <t>US40425X4079</t>
  </si>
  <si>
    <t>GB0032360173</t>
  </si>
  <si>
    <t>RU0007288411</t>
  </si>
  <si>
    <t>US37949E2046</t>
  </si>
  <si>
    <t>RU0007661625</t>
  </si>
  <si>
    <t>US29760G1031</t>
  </si>
  <si>
    <t>RU000A0JP7H1</t>
  </si>
  <si>
    <t>RU0009100945</t>
  </si>
  <si>
    <t>RU0007976965</t>
  </si>
  <si>
    <t>RU0007252813</t>
  </si>
  <si>
    <t>Price</t>
  </si>
  <si>
    <t>KORS US Equity</t>
  </si>
  <si>
    <t>Arena Deals Blotter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</si>
  <si>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</si>
  <si>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</si>
  <si>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</si>
  <si>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</si>
  <si>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</si>
  <si>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</si>
  <si>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</si>
  <si>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</si>
  <si>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</si>
  <si>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</si>
  <si>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</si>
  <si>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</si>
  <si>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</si>
  <si>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</si>
  <si>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</si>
  <si>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</si>
  <si>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</si>
  <si>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</si>
  <si>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</si>
  <si>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</si>
  <si>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</si>
  <si>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</si>
  <si>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</si>
  <si>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</si>
  <si>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</si>
  <si>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</si>
  <si>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</si>
  <si>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</si>
  <si>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</si>
  <si>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</si>
  <si>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>Valid</t>
  </si>
  <si>
    <t>QUIK</t>
  </si>
  <si>
    <t>We Sell</t>
  </si>
  <si>
    <t>%</t>
  </si>
  <si>
    <t>RUR</t>
  </si>
  <si>
    <t>24018</t>
  </si>
  <si>
    <t xml:space="preserve">        Venue: OTC</t>
  </si>
  <si>
    <t>*NAZIMANOV</t>
  </si>
  <si>
    <t>BON-USD</t>
  </si>
  <si>
    <t>We Buy</t>
  </si>
  <si>
    <t>*TDINV</t>
  </si>
  <si>
    <t>AFKSRU19</t>
  </si>
  <si>
    <t>1.5y - 2y</t>
  </si>
  <si>
    <t>*DUBOV</t>
  </si>
  <si>
    <t>EUR</t>
  </si>
  <si>
    <t>*BERSEKOV</t>
  </si>
  <si>
    <t>MRFGBZ23</t>
  </si>
  <si>
    <t>PETBRA21A</t>
  </si>
  <si>
    <t>4 year</t>
  </si>
  <si>
    <t>SBER24</t>
  </si>
  <si>
    <t>Deal Type: Equities Deal</t>
  </si>
  <si>
    <t>SBRDF</t>
  </si>
  <si>
    <t>*KOSHKIN</t>
  </si>
  <si>
    <t>EQU-FORG</t>
  </si>
  <si>
    <t>ALBUS</t>
  </si>
  <si>
    <t>BOOK1</t>
  </si>
  <si>
    <t>BACLI</t>
  </si>
  <si>
    <t>VFRQF</t>
  </si>
  <si>
    <t>VFRQF.MICEX_T2</t>
  </si>
  <si>
    <t>EQU-LOCAL</t>
  </si>
  <si>
    <t>22093/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</si>
  <si>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</si>
  <si>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</si>
  <si>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</si>
  <si>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</si>
  <si>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</si>
  <si>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</si>
  <si>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</si>
  <si>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</si>
  <si>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</si>
  <si>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</si>
  <si>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</si>
  <si>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</si>
  <si>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</si>
  <si>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</si>
  <si>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</si>
  <si>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</si>
  <si>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</si>
  <si>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</si>
  <si>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</si>
  <si>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</si>
  <si>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</si>
  <si>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</si>
  <si>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</si>
  <si>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</si>
  <si>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</si>
  <si>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</si>
  <si>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</si>
  <si>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</si>
  <si>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</si>
  <si>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</si>
  <si>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</si>
  <si>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</si>
  <si>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</si>
  <si>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</si>
  <si>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</si>
  <si>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</si>
  <si>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</si>
  <si>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</si>
  <si>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</si>
  <si>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</si>
  <si>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</si>
  <si>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</si>
  <si>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</si>
  <si>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</si>
  <si>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</si>
  <si>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</si>
  <si>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</si>
  <si>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</si>
  <si>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</si>
  <si>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</si>
  <si>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</si>
  <si>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</si>
  <si>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</si>
  <si>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</si>
  <si>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</si>
  <si>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</si>
  <si>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</si>
  <si>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</si>
  <si>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</si>
  <si>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</si>
  <si>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</si>
  <si>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</si>
  <si>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</si>
  <si>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</si>
  <si>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</si>
  <si>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</si>
  <si>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</si>
  <si>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</si>
  <si>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</si>
  <si>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</si>
  <si>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</si>
  <si>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</si>
  <si>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</si>
  <si>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</si>
  <si>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</si>
  <si>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</si>
  <si>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</si>
  <si>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</si>
  <si>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</si>
  <si>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</si>
  <si>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</si>
  <si>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</si>
  <si>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</si>
  <si>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</si>
  <si>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</si>
  <si>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</si>
  <si>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</si>
  <si>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</si>
  <si>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</si>
  <si>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</si>
  <si>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</si>
  <si>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</si>
  <si>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</si>
  <si>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</si>
  <si>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</si>
  <si>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</si>
  <si>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</si>
  <si>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</si>
  <si>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</si>
  <si>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</si>
  <si>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</si>
  <si>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</si>
  <si>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</si>
  <si>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</si>
  <si>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</si>
  <si>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</si>
  <si>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</si>
  <si>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</si>
  <si>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</si>
  <si>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</si>
  <si>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</si>
  <si>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</si>
  <si>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</si>
  <si>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</si>
  <si>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</si>
  <si>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</si>
  <si>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</si>
  <si>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</si>
  <si>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</si>
  <si>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</si>
  <si>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</si>
  <si>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</si>
  <si>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</si>
  <si>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</si>
  <si>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</si>
  <si>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</si>
  <si>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</si>
  <si>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</si>
  <si>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</si>
  <si>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</si>
  <si>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</si>
  <si>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</si>
  <si>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</si>
  <si>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</si>
  <si>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</si>
  <si>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</si>
  <si>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</si>
  <si>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</si>
  <si>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</si>
  <si>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</si>
  <si>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</si>
  <si>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</si>
  <si>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</si>
  <si>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</si>
  <si>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</si>
  <si>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</si>
  <si>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</si>
  <si>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</si>
  <si>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</si>
  <si>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</si>
  <si>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</si>
  <si>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</si>
  <si>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</si>
  <si>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</si>
  <si>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</si>
  <si>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</si>
  <si>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</si>
  <si>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</si>
  <si>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</si>
  <si>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</si>
  <si>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</si>
  <si>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</si>
  <si>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</si>
  <si>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</si>
  <si>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</si>
  <si>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</si>
  <si>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</si>
  <si>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</si>
  <si>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</si>
  <si>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</si>
  <si>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</si>
  <si>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</si>
  <si>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</si>
  <si>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</si>
  <si>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</si>
  <si>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</si>
  <si>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</si>
  <si>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</si>
  <si>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</si>
  <si>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</si>
  <si>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</si>
  <si>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</si>
  <si>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</si>
  <si>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</si>
  <si>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</si>
  <si>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</si>
  <si>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</si>
  <si>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</si>
  <si>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</si>
  <si>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</si>
  <si>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</si>
  <si>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</si>
  <si>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</si>
  <si>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</si>
  <si>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</si>
  <si>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</si>
  <si>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</si>
  <si>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</si>
  <si>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</si>
  <si>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</si>
  <si>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</si>
  <si>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</si>
  <si>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</si>
  <si>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</si>
  <si>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</si>
  <si>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</si>
  <si>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</si>
  <si>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</si>
  <si>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</si>
  <si>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</si>
  <si>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</si>
  <si>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</si>
  <si>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</si>
  <si>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</si>
  <si>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</si>
  <si>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</si>
  <si>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</si>
  <si>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</si>
  <si>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</si>
  <si>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</si>
  <si>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</si>
  <si>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</si>
  <si>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</si>
  <si>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</si>
  <si>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</si>
  <si>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</si>
  <si>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</si>
  <si>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</si>
  <si>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</si>
  <si>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</si>
  <si>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</si>
  <si>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</si>
  <si>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</si>
  <si>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</si>
  <si>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</si>
  <si>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</si>
  <si>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</si>
  <si>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</si>
  <si>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</si>
  <si>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</si>
  <si>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</si>
  <si>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</si>
  <si>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</si>
  <si>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</si>
  <si>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</si>
  <si>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</si>
  <si>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</si>
  <si>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</si>
  <si>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</si>
  <si>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</si>
  <si>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</si>
  <si>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</si>
  <si>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</si>
  <si>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</si>
  <si>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</si>
  <si>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</si>
  <si>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</si>
  <si>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</si>
  <si>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</si>
  <si>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</si>
  <si>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</si>
  <si>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</si>
  <si>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</si>
  <si>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</si>
  <si>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</si>
  <si>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</si>
  <si>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</si>
  <si>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</si>
  <si>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</si>
  <si>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</si>
  <si>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</si>
  <si>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</si>
  <si>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</si>
  <si>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</si>
  <si>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</si>
  <si>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</si>
  <si>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</si>
  <si>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</si>
  <si>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</si>
  <si>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</si>
  <si>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</si>
  <si>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</si>
  <si>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</si>
  <si>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</si>
  <si>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</si>
  <si>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</si>
  <si>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</si>
  <si>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</si>
  <si>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</si>
  <si>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</si>
  <si>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</si>
  <si>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</si>
  <si>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</si>
  <si>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</si>
  <si>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</si>
  <si>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</si>
  <si>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</si>
  <si>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</si>
  <si>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</si>
  <si>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</si>
  <si>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</si>
  <si>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</si>
  <si>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</si>
  <si>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</si>
  <si>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</si>
  <si>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</si>
  <si>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</si>
  <si>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</si>
  <si>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</si>
  <si>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</si>
  <si>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</si>
  <si>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</si>
  <si>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</si>
  <si>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</si>
  <si>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</si>
  <si>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</si>
  <si>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</si>
  <si>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</si>
  <si>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</si>
  <si>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</si>
  <si>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</si>
  <si>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</si>
  <si>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</si>
  <si>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</si>
  <si>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</si>
  <si>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</si>
  <si>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</si>
  <si>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</si>
  <si>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</si>
  <si>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</si>
  <si>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</si>
  <si>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</si>
  <si>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</si>
  <si>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</si>
  <si>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</si>
  <si>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</si>
  <si>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</si>
  <si>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</si>
  <si>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</si>
  <si>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</si>
  <si>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</si>
  <si>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</si>
  <si>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</si>
  <si>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</si>
  <si>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</si>
  <si>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</si>
  <si>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</si>
  <si>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</si>
  <si>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</si>
  <si>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</si>
  <si>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</si>
  <si>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</si>
  <si>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</si>
  <si>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</si>
  <si>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</si>
  <si>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</si>
  <si>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</si>
  <si>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</si>
  <si>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</si>
  <si>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</si>
  <si>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</si>
  <si>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</si>
  <si>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</si>
  <si>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</si>
  <si>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</si>
  <si>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</si>
  <si>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</si>
  <si>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</si>
  <si>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</si>
  <si>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</si>
  <si>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</si>
  <si>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</si>
  <si>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</si>
  <si>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</si>
  <si>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</si>
  <si>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</si>
  <si>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</si>
  <si>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</si>
  <si>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</si>
  <si>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</si>
  <si>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</si>
  <si>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</si>
  <si>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</si>
  <si>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</si>
  <si>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</si>
  <si>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</si>
  <si>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</si>
  <si>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</si>
  <si>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</si>
  <si>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</si>
  <si>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</si>
  <si>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</si>
  <si>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</si>
  <si>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</si>
  <si>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</si>
  <si>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</si>
  <si>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</si>
  <si>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</si>
  <si>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</si>
  <si>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</si>
  <si>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</si>
  <si>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</si>
  <si>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</si>
  <si>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</si>
  <si>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</si>
  <si>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</si>
  <si>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</si>
  <si>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</si>
  <si>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</si>
  <si>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</si>
  <si>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</si>
  <si>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</si>
  <si>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</si>
  <si>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</si>
  <si>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</si>
  <si>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</si>
  <si>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</si>
  <si>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</si>
  <si>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</si>
  <si>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</si>
  <si>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</si>
  <si>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</si>
  <si>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</si>
  <si>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</si>
  <si>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</si>
  <si>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</si>
  <si>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</si>
  <si>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</si>
  <si>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</si>
  <si>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</si>
  <si>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</si>
  <si>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</si>
  <si>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</si>
  <si>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</si>
  <si>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</si>
  <si>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</si>
  <si>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</si>
  <si>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</si>
  <si>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</si>
  <si>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</si>
  <si>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</si>
  <si>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</si>
  <si>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</si>
  <si>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</si>
  <si>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</si>
  <si>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</si>
  <si>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</si>
  <si>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</si>
  <si>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</si>
  <si>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</si>
  <si>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</si>
  <si>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</si>
  <si>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</si>
  <si>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</si>
  <si>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</si>
  <si>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</si>
  <si>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</si>
  <si>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</si>
  <si>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</si>
  <si>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</si>
  <si>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</si>
  <si>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</si>
  <si>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</si>
  <si>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</si>
  <si>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</si>
  <si>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</si>
  <si>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</si>
  <si>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</si>
  <si>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</si>
  <si>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</si>
  <si>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</si>
  <si>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</si>
  <si>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</si>
  <si>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</si>
  <si>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</si>
  <si>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</si>
  <si>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</si>
  <si>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</si>
  <si>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</si>
  <si>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</si>
  <si>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</si>
  <si>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</si>
  <si>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</si>
  <si>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</si>
  <si>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</si>
  <si>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</si>
  <si>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</si>
  <si>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</si>
  <si>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</si>
  <si>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</si>
  <si>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</si>
  <si>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</si>
  <si>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</si>
  <si>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</si>
  <si>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</si>
  <si>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</si>
  <si>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</si>
  <si>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</si>
  <si>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</si>
  <si>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</si>
  <si>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</si>
  <si>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</si>
  <si>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</si>
  <si>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</si>
  <si>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</si>
  <si>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</si>
  <si>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</si>
  <si>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</si>
  <si>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</si>
  <si>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</si>
  <si>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</si>
  <si>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</si>
  <si>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</si>
  <si>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</si>
  <si>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</si>
  <si>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</si>
  <si>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</si>
  <si>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</si>
  <si>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</si>
  <si>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</si>
  <si>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</si>
  <si>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</si>
  <si>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</si>
  <si>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</si>
  <si>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</si>
  <si>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</si>
  <si>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</si>
  <si>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</si>
  <si>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</si>
  <si>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</si>
  <si>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</si>
  <si>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</si>
  <si>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</si>
  <si>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</si>
  <si>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</si>
  <si>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</si>
  <si>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</si>
  <si>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</si>
  <si>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</si>
  <si>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</si>
  <si>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</si>
  <si>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</si>
  <si>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</si>
  <si>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</si>
  <si>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</si>
  <si>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</si>
  <si>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</si>
  <si>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</si>
  <si>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</si>
  <si>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</si>
  <si>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</si>
  <si>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</si>
  <si>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</si>
  <si>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</si>
  <si>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</si>
  <si>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</si>
  <si>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</si>
  <si>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</si>
  <si>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</si>
  <si>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</si>
  <si>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</si>
  <si>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</si>
  <si>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</si>
  <si>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</si>
  <si>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</si>
  <si>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</si>
  <si>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</si>
  <si>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</si>
  <si>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</si>
  <si>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</si>
  <si>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</si>
  <si>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</si>
  <si>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</si>
  <si>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</si>
  <si>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</si>
  <si>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</si>
  <si>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</si>
  <si>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</si>
  <si>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</si>
  <si>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</si>
  <si>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</si>
  <si>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</si>
  <si>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</si>
  <si>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</si>
  <si>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</si>
  <si>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</si>
  <si>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</si>
  <si>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</si>
  <si>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</si>
  <si>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</si>
  <si>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</si>
  <si>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</si>
  <si>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</si>
  <si>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</si>
  <si>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</si>
  <si>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</si>
  <si>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</si>
  <si>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</si>
  <si>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</si>
  <si>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</si>
  <si>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</si>
  <si>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</si>
  <si>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</si>
  <si>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</si>
  <si>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</si>
  <si>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</si>
  <si>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</si>
  <si>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</si>
  <si>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</si>
  <si>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</si>
  <si>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</si>
  <si>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</si>
  <si>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</si>
  <si>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</si>
  <si>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</si>
  <si>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</si>
  <si>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</si>
  <si>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</si>
  <si>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</si>
  <si>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</si>
  <si>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</si>
  <si>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</si>
  <si>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</si>
  <si>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</si>
  <si>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</si>
  <si>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</si>
  <si>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</si>
  <si>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</si>
  <si>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</si>
  <si>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</si>
  <si>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</si>
  <si>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</si>
  <si>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</si>
  <si>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</si>
  <si>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</si>
  <si>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</si>
  <si>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</si>
  <si>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</si>
  <si>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</si>
  <si>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</si>
  <si>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</si>
  <si>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</si>
  <si>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</si>
  <si>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</si>
  <si>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</si>
  <si>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</si>
  <si>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</si>
  <si>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</si>
  <si>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</si>
  <si>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</si>
  <si>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</si>
  <si>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</si>
  <si>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</si>
  <si>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</si>
  <si>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</si>
  <si>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</si>
  <si>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</si>
  <si>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</si>
  <si>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</si>
  <si>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</si>
  <si>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</si>
  <si>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</si>
  <si>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</si>
  <si>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</si>
  <si>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</si>
  <si>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</si>
  <si>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</si>
  <si>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</si>
  <si>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</si>
  <si>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</si>
  <si>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</si>
  <si>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</si>
  <si>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</si>
  <si>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</si>
  <si>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</si>
  <si>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</si>
  <si>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</si>
  <si>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</si>
  <si>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</si>
  <si>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</si>
  <si>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</si>
  <si>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</si>
  <si>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</si>
  <si>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</si>
  <si>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</si>
  <si>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</si>
  <si>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</si>
  <si>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</si>
  <si>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</si>
  <si>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</si>
  <si>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</si>
  <si>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</si>
  <si>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</si>
  <si>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</si>
  <si>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</si>
  <si>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</si>
  <si>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</si>
  <si>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</si>
  <si>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</si>
  <si>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</si>
  <si>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</si>
  <si>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</si>
  <si>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</si>
  <si>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</si>
  <si>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</si>
  <si>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</si>
  <si>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</si>
  <si>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</si>
  <si>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</si>
  <si>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</si>
  <si>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</si>
  <si>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</si>
  <si>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</si>
  <si>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</si>
  <si>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</si>
  <si>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</si>
  <si>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</si>
  <si>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</si>
  <si>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</si>
  <si>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</si>
  <si>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</si>
  <si>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</si>
  <si>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</si>
  <si>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</si>
  <si>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</si>
  <si>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</si>
  <si>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</si>
  <si>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</si>
  <si>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</si>
  <si>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</si>
  <si>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</si>
  <si>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</si>
  <si>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</si>
  <si>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</si>
  <si>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</si>
  <si>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</si>
  <si>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</si>
  <si>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</si>
  <si>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</si>
  <si>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</si>
  <si>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</si>
  <si>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</si>
  <si>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</si>
  <si>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</si>
  <si>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</si>
  <si>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</si>
  <si>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</si>
  <si>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</si>
  <si>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</si>
  <si>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</si>
  <si>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</si>
  <si>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</si>
  <si>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</si>
  <si>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</si>
  <si>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</si>
  <si>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</si>
  <si>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</si>
  <si>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</si>
  <si>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</si>
  <si>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</si>
  <si>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</si>
  <si>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</si>
  <si>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</si>
  <si>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</si>
  <si>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</si>
  <si>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</si>
  <si>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</si>
  <si>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</si>
  <si>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</si>
  <si>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</si>
  <si>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</si>
  <si>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</si>
  <si>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</si>
  <si>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</si>
  <si>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</si>
  <si>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</si>
  <si>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</si>
  <si>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</si>
  <si>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</si>
  <si>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</si>
  <si>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</si>
  <si>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</si>
  <si>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</si>
  <si>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</si>
  <si>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</si>
  <si>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</si>
  <si>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</si>
  <si>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</si>
  <si>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</si>
  <si>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</si>
  <si>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</si>
  <si>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</si>
  <si>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</si>
  <si>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</si>
  <si>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</si>
  <si>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</si>
  <si>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</si>
  <si>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</si>
  <si>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</si>
  <si>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</si>
  <si>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</si>
  <si>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</si>
  <si>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</si>
  <si>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</si>
  <si>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</si>
  <si>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</si>
  <si>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</si>
  <si>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</si>
  <si>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</si>
  <si>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</si>
  <si>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</si>
  <si>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</si>
  <si>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</si>
  <si>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</si>
  <si>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</si>
  <si>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</si>
  <si>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</si>
  <si>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</si>
  <si>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</si>
  <si>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</si>
  <si>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</si>
  <si>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</si>
  <si>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</si>
  <si>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</si>
  <si>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</si>
  <si>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</si>
  <si>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</si>
  <si>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</si>
  <si>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</si>
  <si>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</si>
  <si>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</si>
  <si>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</si>
  <si>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</si>
  <si>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</si>
  <si>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</si>
  <si>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</si>
  <si>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</si>
  <si>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</si>
  <si>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</si>
  <si>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</si>
  <si>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</si>
  <si>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</si>
  <si>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</si>
  <si>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</si>
  <si>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</si>
  <si>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</si>
  <si>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</si>
  <si>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</si>
  <si>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</si>
  <si>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</si>
  <si>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</si>
  <si>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</si>
  <si>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</si>
  <si>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</si>
  <si>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</si>
  <si>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</si>
  <si>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</si>
  <si>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</si>
  <si>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</si>
  <si>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</si>
  <si>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</si>
  <si>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</si>
  <si>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</si>
  <si>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</si>
  <si>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</si>
  <si>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</si>
  <si>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</si>
  <si>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</si>
  <si>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</si>
  <si>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</si>
  <si>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</si>
  <si>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</si>
  <si>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</si>
  <si>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</si>
  <si>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</si>
  <si>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</si>
  <si>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</si>
  <si>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</si>
  <si>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</si>
  <si>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</si>
  <si>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</si>
  <si>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</si>
  <si>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</si>
  <si>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</si>
  <si>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</si>
  <si>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</si>
  <si>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</si>
  <si>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</si>
  <si>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</si>
  <si>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</si>
  <si>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</si>
  <si>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</si>
  <si>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</si>
  <si>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</si>
  <si>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</si>
  <si>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</si>
  <si>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</si>
  <si>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</si>
  <si>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</si>
  <si>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</si>
  <si>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</si>
  <si>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</si>
  <si>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</si>
  <si>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</si>
  <si>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</si>
  <si>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</si>
  <si>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</si>
  <si>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</si>
  <si>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</si>
  <si>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</si>
  <si>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</si>
  <si>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</si>
  <si>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</si>
  <si>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</si>
  <si>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</si>
  <si>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</si>
  <si>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</si>
  <si>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</si>
  <si>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</si>
  <si>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</si>
  <si>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</si>
  <si>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</si>
  <si>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</si>
  <si>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</si>
  <si>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</si>
  <si>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</si>
  <si>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</si>
  <si>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</si>
  <si>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</si>
  <si>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</si>
  <si>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</si>
  <si>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</si>
  <si>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</si>
  <si>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</si>
  <si>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</si>
  <si>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</si>
  <si>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</si>
  <si>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</si>
  <si>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</si>
  <si>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</si>
  <si>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</si>
  <si>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</si>
  <si>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</si>
  <si>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</si>
  <si>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</si>
  <si>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</si>
  <si>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</si>
  <si>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</si>
  <si>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</si>
  <si>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</si>
  <si>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</si>
  <si>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</si>
  <si>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</si>
  <si>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</si>
  <si>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</si>
  <si>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</si>
  <si>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</si>
  <si>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</si>
  <si>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</si>
  <si>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</si>
  <si>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</si>
  <si>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</si>
  <si>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</si>
  <si>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</si>
  <si>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</si>
  <si>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</si>
  <si>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</si>
  <si>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</si>
  <si>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</si>
  <si>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</si>
  <si>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</si>
  <si>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</si>
  <si>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</si>
  <si>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</si>
  <si>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</si>
  <si>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</si>
  <si>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</si>
  <si>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</si>
  <si>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</si>
  <si>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</si>
  <si>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</si>
  <si>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</si>
  <si>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</si>
  <si>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</si>
  <si>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</si>
  <si>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</si>
  <si>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</si>
  <si>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</si>
  <si>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</si>
  <si>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</si>
  <si>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</si>
  <si>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</si>
  <si>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</si>
  <si>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</si>
  <si>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</si>
  <si>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</si>
  <si>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</si>
  <si>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</si>
  <si>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</si>
  <si>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</si>
  <si>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</si>
  <si>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</si>
  <si>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</si>
  <si>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</si>
  <si>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</si>
  <si>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</si>
  <si>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</si>
  <si>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</si>
  <si>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</si>
  <si>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</si>
  <si>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</si>
  <si>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</si>
  <si>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</si>
  <si>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</si>
  <si>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</si>
  <si>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</si>
  <si>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</si>
  <si>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</si>
  <si>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</si>
  <si>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</si>
  <si>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</si>
  <si>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</si>
  <si>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</si>
  <si>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</si>
  <si>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</si>
  <si>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</si>
  <si>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</si>
  <si>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</si>
  <si>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</si>
  <si>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</si>
  <si>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</si>
  <si>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</si>
  <si>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</si>
  <si>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</si>
  <si>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</si>
  <si>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</si>
  <si>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</si>
  <si>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</si>
  <si>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</si>
  <si>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</si>
  <si>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</si>
  <si>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</si>
  <si>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</si>
  <si>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</si>
  <si>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</si>
  <si>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</si>
  <si>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</si>
  <si>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</si>
  <si>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</si>
  <si>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</si>
  <si>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</si>
  <si>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</si>
  <si>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</si>
  <si>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</si>
  <si>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</si>
  <si>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</si>
  <si>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</si>
  <si>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</si>
  <si>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</si>
  <si>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</si>
  <si>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</si>
  <si>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</si>
  <si>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</si>
  <si>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</si>
  <si>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</si>
  <si>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</si>
  <si>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</si>
  <si>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</si>
  <si>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</si>
  <si>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</si>
  <si>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</si>
  <si>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</si>
  <si>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</si>
  <si>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</si>
  <si>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</si>
  <si>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</si>
  <si>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</si>
  <si>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</si>
  <si>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</si>
  <si>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</si>
  <si>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</si>
  <si>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</si>
  <si>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</si>
  <si>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</si>
  <si>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</si>
  <si>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</si>
  <si>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</si>
  <si>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</si>
  <si>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</si>
  <si>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</si>
  <si>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</si>
  <si>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</si>
  <si>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</si>
  <si>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</si>
  <si>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</si>
  <si>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</si>
  <si>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</si>
  <si>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</si>
  <si>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</si>
  <si>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</si>
  <si>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</si>
  <si>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</si>
  <si>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</si>
  <si>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</si>
  <si>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</si>
  <si>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</si>
  <si>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</si>
  <si>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</si>
  <si>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</si>
  <si>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</si>
  <si>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</si>
  <si>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</si>
  <si>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</si>
  <si>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</si>
  <si>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</si>
  <si>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</si>
  <si>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</si>
  <si>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</si>
  <si>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</si>
  <si>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</si>
  <si>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</si>
  <si>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</si>
  <si>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</si>
  <si>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</si>
  <si>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</si>
  <si>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</si>
  <si>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</si>
  <si>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</si>
  <si>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</si>
  <si>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</si>
  <si>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</si>
  <si>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</si>
  <si>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</si>
  <si>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</si>
  <si>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</si>
  <si>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</si>
  <si>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</si>
  <si>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</si>
  <si>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</si>
  <si>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</si>
  <si>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</si>
  <si>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</si>
  <si>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</si>
  <si>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</si>
  <si>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</si>
  <si>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</si>
  <si>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</si>
  <si>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</si>
  <si>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</si>
  <si>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</si>
  <si>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</si>
  <si>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</si>
  <si>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</si>
  <si>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</si>
  <si>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</si>
  <si>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</si>
  <si>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</si>
  <si>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</si>
  <si>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</si>
  <si>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</si>
  <si>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</si>
  <si>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</si>
  <si>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</si>
  <si>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</si>
  <si>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</si>
  <si>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</si>
  <si>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</si>
  <si>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</si>
  <si>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</si>
  <si>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</si>
  <si>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</si>
  <si>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</si>
  <si>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</si>
  <si>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</si>
  <si>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</si>
  <si>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</si>
  <si>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</si>
  <si>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</si>
  <si>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</si>
  <si>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</si>
  <si>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</si>
  <si>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</si>
  <si>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</si>
  <si>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</si>
  <si>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</si>
  <si>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</si>
  <si>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</si>
  <si>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</si>
  <si>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</si>
  <si>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</si>
  <si>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</si>
  <si>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</si>
  <si>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</si>
  <si>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</si>
  <si>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</si>
  <si>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</si>
  <si>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</si>
  <si>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</si>
  <si>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</si>
  <si>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</si>
  <si>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</si>
  <si>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</si>
  <si>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</si>
  <si>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</si>
  <si>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</si>
  <si>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</si>
  <si>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</si>
  <si>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</si>
  <si>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</si>
  <si>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</si>
  <si>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</si>
  <si>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</si>
  <si>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</si>
  <si>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</si>
  <si>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</si>
  <si>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</si>
  <si>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</si>
  <si>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</si>
  <si>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</si>
  <si>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</si>
  <si>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</si>
  <si>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</si>
  <si>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</si>
  <si>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</si>
  <si>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</si>
  <si>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</si>
  <si>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</si>
  <si>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</si>
  <si>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</si>
  <si>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</si>
  <si>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</si>
  <si>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</si>
  <si>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</si>
  <si>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</si>
  <si>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</si>
  <si>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</si>
  <si>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</si>
  <si>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</si>
  <si>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</si>
  <si>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</si>
  <si>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</si>
  <si>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</si>
  <si>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</si>
  <si>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</si>
  <si>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</si>
  <si>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</si>
  <si>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</si>
  <si>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</si>
  <si>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</si>
  <si>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</si>
  <si>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</si>
  <si>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</si>
  <si>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</si>
  <si>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</si>
  <si>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</si>
  <si>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</si>
  <si>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</si>
  <si>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</si>
  <si>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</si>
  <si>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</si>
  <si>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</si>
  <si>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</si>
  <si>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</si>
  <si>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</si>
  <si>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</si>
  <si>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</si>
  <si>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</si>
  <si>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</si>
  <si>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</si>
  <si>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</si>
  <si>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</si>
  <si>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</si>
  <si>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</si>
  <si>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</si>
  <si>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</si>
  <si>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</si>
  <si>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</si>
  <si>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</si>
  <si>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</si>
  <si>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</si>
  <si>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</si>
  <si>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</si>
  <si>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</si>
  <si>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</si>
  <si>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</si>
  <si>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</si>
  <si>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</si>
  <si>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</si>
  <si>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</si>
  <si>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</si>
  <si>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</si>
  <si>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</si>
  <si>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</si>
  <si>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</si>
  <si>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</si>
  <si>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</si>
  <si>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</si>
  <si>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</si>
  <si>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</si>
  <si>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</si>
  <si>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</si>
  <si>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</si>
  <si>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</si>
  <si>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</si>
  <si>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</si>
  <si>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</si>
  <si>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</si>
  <si>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</si>
  <si>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</si>
  <si>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</si>
  <si>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</si>
  <si>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</si>
  <si>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</si>
  <si>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</si>
  <si>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</si>
  <si>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</si>
  <si>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</si>
  <si>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</si>
  <si>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</si>
  <si>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</si>
  <si>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</si>
  <si>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</si>
  <si>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</si>
  <si>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</si>
  <si>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</si>
  <si>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</si>
  <si>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</si>
  <si>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</si>
  <si>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</si>
  <si>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</si>
  <si>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</si>
  <si>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</si>
  <si>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</si>
  <si>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</si>
  <si>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</si>
  <si>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</si>
  <si>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</si>
  <si>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</si>
  <si>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</si>
  <si>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</si>
  <si>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</si>
  <si>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</si>
  <si>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</si>
  <si>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</si>
  <si>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</si>
  <si>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</si>
  <si>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</si>
  <si>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</si>
  <si>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</si>
  <si>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</si>
  <si>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</si>
  <si>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</si>
  <si>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</si>
  <si>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</si>
  <si>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</si>
  <si>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</si>
  <si>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</si>
  <si>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</si>
  <si>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</si>
  <si>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</si>
  <si>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</si>
  <si>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</si>
  <si>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</si>
  <si>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</si>
  <si>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</si>
  <si>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</si>
  <si>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</si>
  <si>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</si>
  <si>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</si>
  <si>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</si>
  <si>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</si>
  <si>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</si>
  <si>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</si>
  <si>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</si>
  <si>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</si>
  <si>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</si>
  <si>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</si>
  <si>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</si>
  <si>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</si>
  <si>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</si>
  <si>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</si>
  <si>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</si>
  <si>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</si>
  <si>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</si>
  <si>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</si>
  <si>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</si>
  <si>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</si>
  <si>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</si>
  <si>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</si>
  <si>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</si>
  <si>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</si>
  <si>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</si>
  <si>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</si>
  <si>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</si>
  <si>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</si>
  <si>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</si>
  <si>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</si>
  <si>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</si>
  <si>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</si>
  <si>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</si>
  <si>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</si>
  <si>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</si>
  <si>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</si>
  <si>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</si>
  <si>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</si>
  <si>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</si>
  <si>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</si>
  <si>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</si>
  <si>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</si>
  <si>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</si>
  <si>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</si>
  <si>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</si>
  <si>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</si>
  <si>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</si>
  <si>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</si>
  <si>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</si>
  <si>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</si>
  <si>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</si>
  <si>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</si>
  <si>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</si>
  <si>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</si>
  <si>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</si>
  <si>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</si>
  <si>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</si>
  <si>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</si>
  <si>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</si>
  <si>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</si>
  <si>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</si>
  <si>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</si>
  <si>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</si>
  <si>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</si>
  <si>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</si>
  <si>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</si>
  <si>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</si>
  <si>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</si>
  <si>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</si>
  <si>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</si>
  <si>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</si>
  <si>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</si>
  <si>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</si>
  <si>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</si>
  <si>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</si>
  <si>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</si>
  <si>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</si>
  <si>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</si>
  <si>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</si>
  <si>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</si>
  <si>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</si>
  <si>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</si>
  <si>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</si>
  <si>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</si>
  <si>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</si>
  <si>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</si>
  <si>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</si>
  <si>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</si>
  <si>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</si>
  <si>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</si>
  <si>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</si>
  <si>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</si>
  <si>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</si>
  <si>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</si>
  <si>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</si>
  <si>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</si>
  <si>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</si>
  <si>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</si>
  <si>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</si>
  <si>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</si>
  <si>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</si>
  <si>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</si>
  <si>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</si>
  <si>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</si>
  <si>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</si>
  <si>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</si>
  <si>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</si>
  <si>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</si>
  <si>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</si>
  <si>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</si>
  <si>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</si>
  <si>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</si>
  <si>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</si>
  <si>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</si>
  <si>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</si>
  <si>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</si>
  <si>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</si>
  <si>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</si>
  <si>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</si>
  <si>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</si>
  <si>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</si>
  <si>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</si>
  <si>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</si>
  <si>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</si>
  <si>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</si>
  <si>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</si>
  <si>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</si>
  <si>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</si>
  <si>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</si>
  <si>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</si>
  <si>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</si>
  <si>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</si>
  <si>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</si>
  <si>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</si>
  <si>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</si>
  <si>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</si>
  <si>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</si>
  <si>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</si>
  <si>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</si>
  <si>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</si>
  <si>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</si>
  <si>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</si>
  <si>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</si>
  <si>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</si>
  <si>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</si>
  <si>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</si>
  <si>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</si>
  <si>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</si>
  <si>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</si>
  <si>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</si>
  <si>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</si>
  <si>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</si>
  <si>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</si>
  <si>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</si>
  <si>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</si>
  <si>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</si>
  <si>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</si>
  <si>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</si>
  <si>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</si>
  <si>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</si>
  <si>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</si>
  <si>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</si>
  <si>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</si>
  <si>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</si>
  <si>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</si>
  <si>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</si>
  <si>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</si>
  <si>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</si>
  <si>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</si>
  <si>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</si>
  <si>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</si>
  <si>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</si>
  <si>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</si>
  <si>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</si>
  <si>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</si>
  <si>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</si>
  <si>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</si>
  <si>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</si>
  <si>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</si>
  <si>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</si>
  <si>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</si>
  <si>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</si>
  <si>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</si>
  <si>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</si>
  <si>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</si>
  <si>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</si>
  <si>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</si>
  <si>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</si>
  <si>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</si>
  <si>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</si>
  <si>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</si>
  <si>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</si>
  <si>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</si>
  <si>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</si>
  <si>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</si>
  <si>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</si>
  <si>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</si>
  <si>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</si>
  <si>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</si>
  <si>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</si>
  <si>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</si>
  <si>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</si>
  <si>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</si>
  <si>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</si>
  <si>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</si>
  <si>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</si>
  <si>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</si>
  <si>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</si>
  <si>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</si>
  <si>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</si>
  <si>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</si>
  <si>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</si>
  <si>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</si>
  <si>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</si>
  <si>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</si>
  <si>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</si>
  <si>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</si>
  <si>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</si>
  <si>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</si>
  <si>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</si>
  <si>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</si>
  <si>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</si>
  <si>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</si>
  <si>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</si>
  <si>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</si>
  <si>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</si>
  <si>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</si>
  <si>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</si>
  <si>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</si>
  <si>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</si>
  <si>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</si>
  <si>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</si>
  <si>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</si>
  <si>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</si>
  <si>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</si>
  <si>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</si>
  <si>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</si>
  <si>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</si>
  <si>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</si>
  <si>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</si>
  <si>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</si>
  <si>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</si>
  <si>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</si>
  <si>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</si>
  <si>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</si>
  <si>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</si>
  <si>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</si>
  <si>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</si>
  <si>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</si>
  <si>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</si>
  <si>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</si>
  <si>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</si>
  <si>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</si>
  <si>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</si>
  <si>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</si>
  <si>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</si>
  <si>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</si>
  <si>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</si>
  <si>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</si>
  <si>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</si>
  <si>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</si>
  <si>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</si>
  <si>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</si>
  <si>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</si>
  <si>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</si>
  <si>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</si>
  <si>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</si>
  <si>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</si>
  <si>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</si>
  <si>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</si>
  <si>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</si>
  <si>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</si>
  <si>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</si>
  <si>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</si>
  <si>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</si>
  <si>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</si>
  <si>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</si>
  <si>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</si>
  <si>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</si>
  <si>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</si>
  <si>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</si>
  <si>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</si>
  <si>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</si>
  <si>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</si>
  <si>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</si>
  <si>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</si>
  <si>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</si>
  <si>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</si>
  <si>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</si>
  <si>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</si>
  <si>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</si>
  <si>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</si>
  <si>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</si>
  <si>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</si>
  <si>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</si>
  <si>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</si>
  <si>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</si>
  <si>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</si>
  <si>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</si>
  <si>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</si>
  <si>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</si>
  <si>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</si>
  <si>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</si>
  <si>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</si>
  <si>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</si>
  <si>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</si>
  <si>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</si>
  <si>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</si>
  <si>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</si>
  <si>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</si>
  <si>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</si>
  <si>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</si>
  <si>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</si>
  <si>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</si>
  <si>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</si>
  <si>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</si>
  <si>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</si>
  <si>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</si>
  <si>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</si>
  <si>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</si>
  <si>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</si>
  <si>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</si>
  <si>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</si>
  <si>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</si>
  <si>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</si>
  <si>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</si>
  <si>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</si>
  <si>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</si>
  <si>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</si>
  <si>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</si>
  <si>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</si>
  <si>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</si>
  <si>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</si>
  <si>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</si>
  <si>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</si>
  <si>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</si>
  <si>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</si>
  <si>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</si>
  <si>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</si>
  <si>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</si>
  <si>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</si>
  <si>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</si>
  <si>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</si>
  <si>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</si>
  <si>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</si>
  <si>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</si>
  <si>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</si>
  <si>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</si>
  <si>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</si>
  <si>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</si>
  <si>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</si>
  <si>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</si>
  <si>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</si>
  <si>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</si>
  <si>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</si>
  <si>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</si>
  <si>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</si>
  <si>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</si>
  <si>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</si>
  <si>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</si>
  <si>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</si>
  <si>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</si>
  <si>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</si>
  <si>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</si>
  <si>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</si>
  <si>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</si>
  <si>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</si>
  <si>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</si>
  <si>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</si>
  <si>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</si>
  <si>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</si>
  <si>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</si>
  <si>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</si>
  <si>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</si>
  <si>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</si>
  <si>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</si>
  <si>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</si>
  <si>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</si>
  <si>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</si>
  <si>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</si>
  <si>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</si>
  <si>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</si>
  <si>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</si>
  <si>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</si>
  <si>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</si>
  <si>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</si>
  <si>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</si>
  <si>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</si>
  <si>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</si>
  <si>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</si>
  <si>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</si>
  <si>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</si>
  <si>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</si>
  <si>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</si>
  <si>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</si>
  <si>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</si>
  <si>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</si>
  <si>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</si>
  <si>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</si>
  <si>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</si>
  <si>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</si>
  <si>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</si>
  <si>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</si>
  <si>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</si>
  <si>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</si>
  <si>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</si>
  <si>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</si>
  <si>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</si>
  <si>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</si>
  <si>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</si>
  <si>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</si>
  <si>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</si>
  <si>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</si>
  <si>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</si>
  <si>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</si>
  <si>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</si>
  <si>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</si>
  <si>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</si>
  <si>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</si>
  <si>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</si>
  <si>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</si>
  <si>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</si>
  <si>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</si>
  <si>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</si>
  <si>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</si>
  <si>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</si>
  <si>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</si>
  <si>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</si>
  <si>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</si>
  <si>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</si>
  <si>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</si>
  <si>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</si>
  <si>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</si>
  <si>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</si>
  <si>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</si>
  <si>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</si>
  <si>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</si>
  <si>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</si>
  <si>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</si>
  <si>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</si>
  <si>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</si>
  <si>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</si>
  <si>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</si>
  <si>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</si>
  <si>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</si>
  <si>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</si>
  <si>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</si>
  <si>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</si>
  <si>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</si>
  <si>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</si>
  <si>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</si>
  <si>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</si>
  <si>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</si>
  <si>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</si>
  <si>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</si>
  <si>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</si>
  <si>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</si>
  <si>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</si>
  <si>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</si>
  <si>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</si>
  <si>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</si>
  <si>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</si>
  <si>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</si>
  <si>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</si>
  <si>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</si>
  <si>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</si>
  <si>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</si>
  <si>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</si>
  <si>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</si>
  <si>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</si>
  <si>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</si>
  <si>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</si>
  <si>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</si>
  <si>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</si>
  <si>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</si>
  <si>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</si>
  <si>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</si>
  <si>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</si>
  <si>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</si>
  <si>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</si>
  <si>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</si>
  <si>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</si>
  <si>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</si>
  <si>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</si>
  <si>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</si>
  <si>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</si>
  <si>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</si>
  <si>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</si>
  <si>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</si>
  <si>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</si>
  <si>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</si>
  <si>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</si>
  <si>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</si>
  <si>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</si>
  <si>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</si>
  <si>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</si>
  <si>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</si>
  <si>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</si>
  <si>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</si>
  <si>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</si>
  <si>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</si>
  <si>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</si>
  <si>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</si>
  <si>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</si>
  <si>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</si>
  <si>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</si>
  <si>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</si>
  <si>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</si>
  <si>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</si>
  <si>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</si>
  <si>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</si>
  <si>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</si>
  <si>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</si>
  <si>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</si>
  <si>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</si>
  <si>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</si>
  <si>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</si>
  <si>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</si>
  <si>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</si>
  <si>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</si>
  <si>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</si>
  <si>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</si>
  <si>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</si>
  <si>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</si>
  <si>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</si>
  <si>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</si>
  <si>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</si>
  <si>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</si>
  <si>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</si>
  <si>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</si>
  <si>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</si>
  <si>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</si>
  <si>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</si>
  <si>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</si>
  <si>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</si>
  <si>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</si>
  <si>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</si>
  <si>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</si>
  <si>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</si>
  <si>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</si>
  <si>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</si>
  <si>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</si>
  <si>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</si>
  <si>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</si>
  <si>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</si>
  <si>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</si>
  <si>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</si>
  <si>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</si>
  <si>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</si>
  <si>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</si>
  <si>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</si>
  <si>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</si>
  <si>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</si>
  <si>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</si>
  <si>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</si>
  <si>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</si>
  <si>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</si>
  <si>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</si>
  <si>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</si>
  <si>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</si>
  <si>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</si>
  <si>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</si>
  <si>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</si>
  <si>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</si>
  <si>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</si>
  <si>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</si>
  <si>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</si>
  <si>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</si>
  <si>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</si>
  <si>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</si>
  <si>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</si>
  <si>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</si>
  <si>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</si>
  <si>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</si>
  <si>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</si>
  <si>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</si>
  <si>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</si>
  <si>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</si>
  <si>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</si>
  <si>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</si>
  <si>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</si>
  <si>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</si>
  <si>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</si>
  <si>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</si>
  <si>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</si>
  <si>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</si>
  <si>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</si>
  <si>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</si>
  <si>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</si>
  <si>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</si>
  <si>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</si>
  <si>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</si>
  <si>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</si>
  <si>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</si>
  <si>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</si>
  <si>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</si>
  <si>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</si>
  <si>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</si>
  <si>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</si>
  <si>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</si>
  <si>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</si>
  <si>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</si>
  <si>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</si>
  <si>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</si>
  <si>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</si>
  <si>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</si>
  <si>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</si>
  <si>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</si>
  <si>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</si>
  <si>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</si>
  <si>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</si>
  <si>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</si>
  <si>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</si>
  <si>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</si>
  <si>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</si>
  <si>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</si>
  <si>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</si>
  <si>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</si>
  <si>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</si>
  <si>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</si>
  <si>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</si>
  <si>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</si>
  <si>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</si>
  <si>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</si>
  <si>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</si>
  <si>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</si>
  <si>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</si>
  <si>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</si>
  <si>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</si>
  <si>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</si>
  <si>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</si>
  <si>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</si>
  <si>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</si>
  <si>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</si>
  <si>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</si>
  <si>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</si>
  <si>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</si>
  <si>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</si>
  <si>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</si>
  <si>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</si>
  <si>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</si>
  <si>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</si>
  <si>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</si>
  <si>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</si>
  <si>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</si>
  <si>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</si>
  <si>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</si>
  <si>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</si>
  <si>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</si>
  <si>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</si>
  <si>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</si>
  <si>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</si>
  <si>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</si>
  <si>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</si>
  <si>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</si>
  <si>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</si>
  <si>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</si>
  <si>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</si>
  <si>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</si>
  <si>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</si>
  <si>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</si>
  <si>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</si>
  <si>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</si>
  <si>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</si>
  <si>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</si>
  <si>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</si>
  <si>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</si>
  <si>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</si>
  <si>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</si>
  <si>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</si>
  <si>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</si>
  <si>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</si>
  <si>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</si>
  <si>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</si>
  <si>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</si>
  <si>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</si>
  <si>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</si>
  <si>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</si>
  <si>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</si>
  <si>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</si>
  <si>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</si>
  <si>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</si>
  <si>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</si>
  <si>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</si>
  <si>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</si>
  <si>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</si>
  <si>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</si>
  <si>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</si>
  <si>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</si>
  <si>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</si>
  <si>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</si>
  <si>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</si>
  <si>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</si>
  <si>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</si>
  <si>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</si>
  <si>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</si>
  <si>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</si>
  <si>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</si>
  <si>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</si>
  <si>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</si>
  <si>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</si>
  <si>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</si>
  <si>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</si>
  <si>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</si>
  <si>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</si>
  <si>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</si>
  <si>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</si>
  <si>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</si>
  <si>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</si>
  <si>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</si>
  <si>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</si>
  <si>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</si>
  <si>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</si>
  <si>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</si>
  <si>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</si>
  <si>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</si>
  <si>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</si>
  <si>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</si>
  <si>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</si>
  <si>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</si>
  <si>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</si>
  <si>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</si>
  <si>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</si>
  <si>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</si>
  <si>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</si>
  <si>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</si>
  <si>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</si>
  <si>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</si>
  <si>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</si>
  <si>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</si>
  <si>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</si>
  <si>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</si>
  <si>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</si>
  <si>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</si>
  <si>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</si>
  <si>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</si>
  <si>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</si>
  <si>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</si>
  <si>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</si>
  <si>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</si>
  <si>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</si>
  <si>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</si>
  <si>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</si>
  <si>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</si>
  <si>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</si>
  <si>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</si>
  <si>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</si>
  <si>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</si>
  <si>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</si>
  <si>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</si>
  <si>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</si>
  <si>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</si>
  <si>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</si>
  <si>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</si>
  <si>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</si>
  <si>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</si>
  <si>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</si>
  <si>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</si>
  <si>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</si>
  <si>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</si>
  <si>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</si>
  <si>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</si>
  <si>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</si>
  <si>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</si>
  <si>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</si>
  <si>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</si>
  <si>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</si>
  <si>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</si>
  <si>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</si>
  <si>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</si>
  <si>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</si>
  <si>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</si>
  <si>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</si>
  <si>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</si>
  <si>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</si>
  <si>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</si>
  <si>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</si>
  <si>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</si>
  <si>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</si>
  <si>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</si>
  <si>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</si>
  <si>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</si>
  <si>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</si>
  <si>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</si>
  <si>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</si>
  <si>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</si>
  <si>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</si>
  <si>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</si>
  <si>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</si>
  <si>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</si>
  <si>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</si>
  <si>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</si>
  <si>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</si>
  <si>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</si>
  <si>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</si>
  <si>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</si>
  <si>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</si>
  <si>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</si>
  <si>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</si>
  <si>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</si>
  <si>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</si>
  <si>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</si>
  <si>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</si>
  <si>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</si>
  <si>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</si>
  <si>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</si>
  <si>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</si>
  <si>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</si>
  <si>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</si>
  <si>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</si>
  <si>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</si>
  <si>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</si>
  <si>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</si>
  <si>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</si>
  <si>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</si>
  <si>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</si>
  <si>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</si>
  <si>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</si>
  <si>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</si>
  <si>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</si>
  <si>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</si>
  <si>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</si>
  <si>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</si>
  <si>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</si>
  <si>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</si>
  <si>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</si>
  <si>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</si>
  <si>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</si>
  <si>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</si>
  <si>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</si>
  <si>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</si>
  <si>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</si>
  <si>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</si>
  <si>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</si>
  <si>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</si>
  <si>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</si>
  <si>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</si>
  <si>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</si>
  <si>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</si>
  <si>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</si>
  <si>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</si>
  <si>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</si>
  <si>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</si>
  <si>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</si>
  <si>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</si>
  <si>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</si>
  <si>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</si>
  <si>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</si>
  <si>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</si>
  <si>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</si>
  <si>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</si>
  <si>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</si>
  <si>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</si>
  <si>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</si>
  <si>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</si>
  <si>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</si>
  <si>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</si>
  <si>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</si>
  <si>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</si>
  <si>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</si>
  <si>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</si>
  <si>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</si>
  <si>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</si>
  <si>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</si>
  <si>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</si>
  <si>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</si>
  <si>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</si>
  <si>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</si>
  <si>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</si>
  <si>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</si>
  <si>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</si>
  <si>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</si>
  <si>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</si>
  <si>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</si>
  <si>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</si>
  <si>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</si>
  <si>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</si>
  <si>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</si>
  <si>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</si>
  <si>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</si>
  <si>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</si>
  <si>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</si>
  <si>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</si>
  <si>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</si>
  <si>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</si>
  <si>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</si>
  <si>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</si>
  <si>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</si>
  <si>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</si>
  <si>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</si>
  <si>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</si>
  <si>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</si>
  <si>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</si>
  <si>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</si>
  <si>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</si>
  <si>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</si>
  <si>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</si>
  <si>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</si>
  <si>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</si>
  <si>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</si>
  <si>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</si>
  <si>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</si>
  <si>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</si>
  <si>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</si>
  <si>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</si>
  <si>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</si>
  <si>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</si>
  <si>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</si>
  <si>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</si>
  <si>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</si>
  <si>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</si>
  <si>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</si>
  <si>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</si>
  <si>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</si>
  <si>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</si>
  <si>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</si>
  <si>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</si>
  <si>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</si>
  <si>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</si>
  <si>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</si>
  <si>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</si>
  <si>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</si>
  <si>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</si>
  <si>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</si>
  <si>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</si>
  <si>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</si>
  <si>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</si>
  <si>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</si>
  <si>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</si>
  <si>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</si>
  <si>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</si>
  <si>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</si>
  <si>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</si>
  <si>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</si>
  <si>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</si>
  <si>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</si>
  <si>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</si>
  <si>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</si>
  <si>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</si>
  <si>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</si>
  <si>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</si>
  <si>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</si>
  <si>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</si>
  <si>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</si>
  <si>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</si>
  <si>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</si>
  <si>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</si>
  <si>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</si>
  <si>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</si>
  <si>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</si>
  <si>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</si>
  <si>
    <t>GRENF</t>
  </si>
  <si>
    <t>Rusagro</t>
  </si>
  <si>
    <t>XS0088543193 Corp</t>
  </si>
  <si>
    <t>Доля акций 25%, доля бондов 75%</t>
  </si>
  <si>
    <t>Date: 2017.09.15 16:57:22</t>
  </si>
  <si>
    <t xml:space="preserve">    Instrument: EU28REGS</t>
  </si>
  <si>
    <t>BON:16711143</t>
  </si>
  <si>
    <t>BON-GOV</t>
  </si>
  <si>
    <t>FI_HARD</t>
  </si>
  <si>
    <t>11 year</t>
  </si>
  <si>
    <t>3935 days</t>
  </si>
  <si>
    <t>BON:16692484</t>
  </si>
  <si>
    <t>RAzgovorova</t>
  </si>
  <si>
    <t xml:space="preserve">    Instrument: EURONAT19N</t>
  </si>
  <si>
    <t>BON:16707266</t>
  </si>
  <si>
    <t>STR_NOTES</t>
  </si>
  <si>
    <t>577 days</t>
  </si>
  <si>
    <t xml:space="preserve">    Instrument: EVRAZ21</t>
  </si>
  <si>
    <t>BON:16711523</t>
  </si>
  <si>
    <t>1231 days</t>
  </si>
  <si>
    <t xml:space="preserve">    Instrument: GAZPRU22</t>
  </si>
  <si>
    <t>BON:16711519</t>
  </si>
  <si>
    <t>5 year</t>
  </si>
  <si>
    <t>1634 days</t>
  </si>
  <si>
    <t xml:space="preserve">    Instrument: KOKS18</t>
  </si>
  <si>
    <t>BON:16692309</t>
  </si>
  <si>
    <t>1y - 1.5y</t>
  </si>
  <si>
    <t>469 days</t>
  </si>
  <si>
    <t xml:space="preserve">    Instrument: NOMOS19</t>
  </si>
  <si>
    <t>BON:16718791</t>
  </si>
  <si>
    <t>588 days</t>
  </si>
  <si>
    <t xml:space="preserve">    Instrument: AGROLI</t>
  </si>
  <si>
    <t>EQU:16699779</t>
  </si>
  <si>
    <t>OMSMID-L-428hrOb-00</t>
  </si>
  <si>
    <t>Razgovorova</t>
  </si>
  <si>
    <t xml:space="preserve">    Instrument: HGMLN</t>
  </si>
  <si>
    <t>EQU:16692251</t>
  </si>
  <si>
    <t>EQU:16704571</t>
  </si>
  <si>
    <t>1.294</t>
  </si>
  <si>
    <t>EQU:16702884</t>
  </si>
  <si>
    <t>1.2822</t>
  </si>
  <si>
    <t>EQU:16713049</t>
  </si>
  <si>
    <t xml:space="preserve">    Instrument: KMG</t>
  </si>
  <si>
    <t>EQU:16692794</t>
  </si>
  <si>
    <t>EQU-ADR/GDR-KZ</t>
  </si>
  <si>
    <t>OMSMID-L-3xsnfrg-00</t>
  </si>
  <si>
    <t xml:space="preserve">    Instrument: LXFTUS</t>
  </si>
  <si>
    <t>EQU:16693323</t>
  </si>
  <si>
    <t>OMSMID-L-3y5imcL-00</t>
  </si>
  <si>
    <t>EQU:16718012</t>
  </si>
  <si>
    <t xml:space="preserve">    Instrument: MUS</t>
  </si>
  <si>
    <t>EQU:16721913</t>
  </si>
  <si>
    <t>OMSMID-L-4GlanNh-00</t>
  </si>
  <si>
    <t xml:space="preserve">    Instrument: NVTK</t>
  </si>
  <si>
    <t>EQU:16708607</t>
  </si>
  <si>
    <t>56.739</t>
  </si>
  <si>
    <t xml:space="preserve">    Instrument: OGZPY</t>
  </si>
  <si>
    <t>EQU:16697784</t>
  </si>
  <si>
    <t>OMSMID-L-40oR70A-00</t>
  </si>
  <si>
    <t>EQU:16708603</t>
  </si>
  <si>
    <t xml:space="preserve">    Instrument: POLYLN</t>
  </si>
  <si>
    <t>EQU:16692245</t>
  </si>
  <si>
    <t xml:space="preserve">    Instrument: QIWIUS</t>
  </si>
  <si>
    <t>EQU:16721523</t>
  </si>
  <si>
    <t>OMSMID-L-4GZllJh-00</t>
  </si>
  <si>
    <t xml:space="preserve">    Instrument: VIPUS</t>
  </si>
  <si>
    <t>EQU:16692242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</si>
</sst>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4" formatCode="#,##0.00_);\(#,##0.00\);\–_);&quot;–&quot;_)"/>
    <numFmt numFmtId="175" formatCode="0.0%"/>
    <numFmt numFmtId="177" formatCode="#,##0.0000"/>
    <numFmt numFmtId="183" formatCode="0.000"/>
    <numFmt numFmtId="187" formatCode="#,##0.###############"/>
    <numFmt numFmtId="188" formatCode="dd\.mm\.yyyy"/>
  </numFmts>
  <fonts count="5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7.5"/>
      <name val="Verdana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5" borderId="0"/>
    <xf numFmtId="0" fontId="1" fillId="0" borderId="0"/>
    <xf numFmtId="9" fontId="21" fillId="0" borderId="0" applyFont="0" applyFill="0" applyBorder="0" applyAlignment="0" applyProtection="0"/>
    <xf numFmtId="0" fontId="21" fillId="0" borderId="0"/>
    <xf numFmtId="165" fontId="2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8" borderId="9" applyNumberFormat="0" applyFont="0" applyAlignment="0" applyProtection="0"/>
    <xf numFmtId="0" fontId="30" fillId="0" borderId="0"/>
    <xf numFmtId="0" fontId="34" fillId="0" borderId="0" applyNumberFormat="0" applyFill="0" applyBorder="0" applyAlignment="0" applyProtection="0"/>
    <xf numFmtId="0" fontId="35" fillId="0" borderId="22" applyNumberFormat="0" applyFill="0" applyAlignment="0" applyProtection="0"/>
    <xf numFmtId="0" fontId="36" fillId="0" borderId="23" applyNumberFormat="0" applyFill="0" applyAlignment="0" applyProtection="0"/>
    <xf numFmtId="0" fontId="37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38" fillId="26" borderId="0" applyNumberFormat="0" applyBorder="0" applyAlignment="0" applyProtection="0"/>
    <xf numFmtId="0" fontId="39" fillId="27" borderId="0" applyNumberFormat="0" applyBorder="0" applyAlignment="0" applyProtection="0"/>
    <xf numFmtId="0" fontId="40" fillId="28" borderId="0" applyNumberFormat="0" applyBorder="0" applyAlignment="0" applyProtection="0"/>
    <xf numFmtId="0" fontId="41" fillId="29" borderId="25" applyNumberFormat="0" applyAlignment="0" applyProtection="0"/>
    <xf numFmtId="0" fontId="42" fillId="30" borderId="26" applyNumberFormat="0" applyAlignment="0" applyProtection="0"/>
    <xf numFmtId="0" fontId="43" fillId="30" borderId="25" applyNumberFormat="0" applyAlignment="0" applyProtection="0"/>
    <xf numFmtId="0" fontId="44" fillId="0" borderId="27" applyNumberFormat="0" applyFill="0" applyAlignment="0" applyProtection="0"/>
    <xf numFmtId="0" fontId="45" fillId="31" borderId="28" applyNumberFormat="0" applyAlignment="0" applyProtection="0"/>
    <xf numFmtId="0" fontId="46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47" fillId="0" borderId="0" applyNumberFormat="0" applyFill="0" applyBorder="0" applyAlignment="0" applyProtection="0"/>
    <xf numFmtId="0" fontId="27" fillId="0" borderId="29" applyNumberFormat="0" applyFill="0" applyAlignment="0" applyProtection="0"/>
    <xf numFmtId="0" fontId="48" fillId="3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48" fillId="33" borderId="0" applyNumberFormat="0" applyBorder="0" applyAlignment="0" applyProtection="0"/>
    <xf numFmtId="0" fontId="48" fillId="34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48" fillId="35" borderId="0" applyNumberFormat="0" applyBorder="0" applyAlignment="0" applyProtection="0"/>
    <xf numFmtId="0" fontId="48" fillId="36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48" fillId="37" borderId="0" applyNumberFormat="0" applyBorder="0" applyAlignment="0" applyProtection="0"/>
    <xf numFmtId="0" fontId="48" fillId="38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48" fillId="39" borderId="0" applyNumberFormat="0" applyBorder="0" applyAlignment="0" applyProtection="0"/>
    <xf numFmtId="0" fontId="48" fillId="40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48" fillId="41" borderId="0" applyNumberFormat="0" applyBorder="0" applyAlignment="0" applyProtection="0"/>
    <xf numFmtId="0" fontId="48" fillId="42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48" fillId="43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49" fillId="0" borderId="0">
      <alignment horizontal="right"/>
    </xf>
  </cellStyleXfs>
  <cellXfs count="278">
    <xf numFmtId="0" fontId="0" fillId="0" borderId="0" xfId="0"/>
    <xf numFmtId="0" fontId="0" fillId="3" borderId="0" xfId="0" applyFill="1"/>
    <xf numFmtId="0" fontId="2" fillId="3" borderId="0" xfId="0" applyFont="1" applyFill="1" applyBorder="1"/>
    <xf numFmtId="3" fontId="2" fillId="3" borderId="0" xfId="0" applyNumberFormat="1" applyFont="1" applyFill="1" applyBorder="1"/>
    <xf numFmtId="9" fontId="2" fillId="3" borderId="0" xfId="2" applyFont="1" applyFill="1" applyBorder="1"/>
    <xf numFmtId="1" fontId="2" fillId="3" borderId="0" xfId="0" applyNumberFormat="1" applyFont="1" applyFill="1" applyBorder="1"/>
    <xf numFmtId="4" fontId="2" fillId="3" borderId="0" xfId="0" applyNumberFormat="1" applyFont="1" applyFill="1" applyBorder="1"/>
    <xf numFmtId="2" fontId="2" fillId="3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0" fontId="4" fillId="0" borderId="0" xfId="2" applyNumberFormat="1" applyFont="1"/>
    <xf numFmtId="14" fontId="5" fillId="0" borderId="0" xfId="0" applyNumberFormat="1" applyFont="1" applyFill="1" applyBorder="1"/>
    <xf numFmtId="171" fontId="6" fillId="0" borderId="1" xfId="0" applyNumberFormat="1" applyFont="1" applyBorder="1"/>
    <xf numFmtId="172" fontId="6" fillId="0" borderId="1" xfId="0" applyNumberFormat="1" applyFont="1" applyBorder="1"/>
    <xf numFmtId="0" fontId="7" fillId="0" borderId="1" xfId="0" applyFont="1" applyFill="1" applyBorder="1"/>
    <xf numFmtId="171" fontId="5" fillId="0" borderId="1" xfId="0" applyNumberFormat="1" applyFont="1" applyFill="1" applyBorder="1"/>
    <xf numFmtId="0" fontId="6" fillId="0" borderId="1" xfId="0" applyFont="1" applyBorder="1"/>
    <xf numFmtId="0" fontId="6" fillId="0" borderId="2" xfId="0" applyFont="1" applyFill="1" applyBorder="1"/>
    <xf numFmtId="174" fontId="5" fillId="0" borderId="1" xfId="0" applyNumberFormat="1" applyFont="1" applyBorder="1"/>
    <xf numFmtId="0" fontId="8" fillId="4" borderId="0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wrapText="1"/>
    </xf>
    <xf numFmtId="0" fontId="8" fillId="4" borderId="3" xfId="0" applyFont="1" applyFill="1" applyBorder="1" applyAlignment="1">
      <alignment horizontal="left"/>
    </xf>
    <xf numFmtId="0" fontId="8" fillId="4" borderId="3" xfId="0" applyFont="1" applyFill="1" applyBorder="1" applyAlignment="1">
      <alignment horizontal="center"/>
    </xf>
    <xf numFmtId="0" fontId="9" fillId="4" borderId="3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14" fillId="6" borderId="0" xfId="5" applyNumberFormat="1" applyFont="1" applyFill="1" applyBorder="1" applyAlignment="1" applyProtection="1">
      <alignment wrapText="1"/>
    </xf>
    <xf numFmtId="0" fontId="14" fillId="6" borderId="0" xfId="5" applyNumberFormat="1" applyFont="1" applyFill="1" applyBorder="1" applyAlignment="1" applyProtection="1"/>
    <xf numFmtId="3" fontId="11" fillId="0" borderId="0" xfId="3" applyNumberFormat="1" applyFont="1" applyBorder="1"/>
    <xf numFmtId="10" fontId="10" fillId="0" borderId="0" xfId="4" applyNumberFormat="1" applyFont="1" applyBorder="1"/>
    <xf numFmtId="3" fontId="11" fillId="0" borderId="4" xfId="3" applyNumberFormat="1" applyFont="1" applyBorder="1"/>
    <xf numFmtId="0" fontId="4" fillId="0" borderId="4" xfId="3" applyFont="1" applyBorder="1"/>
    <xf numFmtId="10" fontId="10" fillId="0" borderId="4" xfId="4" applyNumberFormat="1" applyFont="1" applyBorder="1"/>
    <xf numFmtId="0" fontId="4" fillId="7" borderId="0" xfId="3" applyFill="1" applyBorder="1" applyAlignment="1">
      <alignment horizontal="left" indent="1"/>
    </xf>
    <xf numFmtId="3" fontId="16" fillId="7" borderId="0" xfId="3" applyNumberFormat="1" applyFont="1" applyFill="1" applyBorder="1"/>
    <xf numFmtId="3" fontId="15" fillId="7" borderId="0" xfId="3" applyNumberFormat="1" applyFont="1" applyFill="1" applyBorder="1"/>
    <xf numFmtId="3" fontId="4" fillId="7" borderId="0" xfId="3" applyNumberFormat="1" applyFill="1" applyBorder="1"/>
    <xf numFmtId="3" fontId="4" fillId="7" borderId="0" xfId="3" applyNumberFormat="1" applyFont="1" applyFill="1" applyBorder="1"/>
    <xf numFmtId="10" fontId="4" fillId="7" borderId="0" xfId="4" applyNumberFormat="1" applyFont="1" applyFill="1" applyBorder="1"/>
    <xf numFmtId="174" fontId="10" fillId="7" borderId="0" xfId="3" applyNumberFormat="1" applyFont="1" applyFill="1" applyBorder="1"/>
    <xf numFmtId="4" fontId="10" fillId="7" borderId="0" xfId="3" applyNumberFormat="1" applyFont="1" applyFill="1" applyBorder="1"/>
    <xf numFmtId="0" fontId="10" fillId="7" borderId="0" xfId="3" applyFont="1" applyFill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0" fontId="18" fillId="0" borderId="1" xfId="0" applyNumberFormat="1" applyFont="1" applyBorder="1"/>
    <xf numFmtId="170" fontId="18" fillId="0" borderId="0" xfId="0" applyNumberFormat="1" applyFont="1" applyBorder="1"/>
    <xf numFmtId="0" fontId="19" fillId="0" borderId="0" xfId="0" applyFont="1" applyFill="1" applyBorder="1"/>
    <xf numFmtId="174" fontId="17" fillId="0" borderId="0" xfId="0" applyNumberFormat="1" applyFont="1" applyFill="1" applyBorder="1"/>
    <xf numFmtId="2" fontId="17" fillId="0" borderId="0" xfId="2" applyNumberFormat="1" applyFont="1" applyBorder="1"/>
    <xf numFmtId="10" fontId="10" fillId="7" borderId="0" xfId="2" applyNumberFormat="1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0" fillId="0" borderId="0" xfId="0"/>
    <xf numFmtId="171" fontId="4" fillId="0" borderId="0" xfId="3" applyNumberFormat="1"/>
    <xf numFmtId="0" fontId="10" fillId="3" borderId="0" xfId="3" applyFont="1" applyFill="1" applyBorder="1"/>
    <xf numFmtId="0" fontId="4" fillId="3" borderId="0" xfId="3" applyFont="1" applyFill="1" applyBorder="1"/>
    <xf numFmtId="10" fontId="4" fillId="3" borderId="0" xfId="4" applyNumberFormat="1" applyFont="1" applyFill="1" applyBorder="1"/>
    <xf numFmtId="3" fontId="4" fillId="3" borderId="0" xfId="3" applyNumberFormat="1" applyFont="1" applyFill="1" applyBorder="1"/>
    <xf numFmtId="0" fontId="4" fillId="3" borderId="0" xfId="3" applyFill="1" applyBorder="1" applyAlignment="1">
      <alignment horizontal="left" indent="1"/>
    </xf>
    <xf numFmtId="3" fontId="16" fillId="3" borderId="0" xfId="3" applyNumberFormat="1" applyFont="1" applyFill="1" applyBorder="1"/>
    <xf numFmtId="2" fontId="16" fillId="3" borderId="0" xfId="2" applyNumberFormat="1" applyFon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0" fontId="11" fillId="0" borderId="0" xfId="2" applyNumberFormat="1" applyFont="1" applyBorder="1"/>
    <xf numFmtId="3" fontId="16" fillId="0" borderId="4" xfId="3" applyNumberFormat="1" applyFont="1" applyBorder="1"/>
    <xf numFmtId="174" fontId="5" fillId="0" borderId="0" xfId="0" applyNumberFormat="1" applyFont="1" applyFill="1" applyBorder="1"/>
    <xf numFmtId="174" fontId="5" fillId="0" borderId="1" xfId="0" applyNumberFormat="1" applyFont="1" applyFill="1" applyBorder="1"/>
    <xf numFmtId="1" fontId="4" fillId="0" borderId="0" xfId="3" applyNumberFormat="1"/>
    <xf numFmtId="166" fontId="4" fillId="0" borderId="0" xfId="3" applyNumberFormat="1"/>
    <xf numFmtId="14" fontId="17" fillId="0" borderId="0" xfId="0" applyNumberFormat="1" applyFont="1" applyFill="1" applyBorder="1"/>
    <xf numFmtId="170" fontId="20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9" fillId="0" borderId="0" xfId="0" applyNumberFormat="1" applyFont="1" applyBorder="1"/>
    <xf numFmtId="4" fontId="4" fillId="3" borderId="0" xfId="3" applyNumberFormat="1" applyFont="1" applyFill="1" applyBorder="1"/>
    <xf numFmtId="3" fontId="4" fillId="3" borderId="0" xfId="3" applyNumberFormat="1" applyFill="1" applyBorder="1"/>
    <xf numFmtId="3" fontId="16" fillId="3" borderId="4" xfId="3" applyNumberFormat="1" applyFont="1" applyFill="1" applyBorder="1"/>
    <xf numFmtId="164" fontId="22" fillId="0" borderId="10" xfId="1" applyFont="1" applyBorder="1" applyAlignment="1">
      <alignment horizontal="center" vertical="center"/>
    </xf>
    <xf numFmtId="2" fontId="22" fillId="0" borderId="10" xfId="0" applyNumberFormat="1" applyFont="1" applyBorder="1" applyAlignment="1">
      <alignment horizontal="center" vertical="center"/>
    </xf>
    <xf numFmtId="0" fontId="0" fillId="3" borderId="11" xfId="0" applyNumberFormat="1" applyFill="1" applyBorder="1"/>
    <xf numFmtId="2" fontId="2" fillId="2" borderId="11" xfId="0" applyNumberFormat="1" applyFont="1" applyFill="1" applyBorder="1" applyAlignment="1">
      <alignment horizontal="center"/>
    </xf>
    <xf numFmtId="2" fontId="22" fillId="3" borderId="10" xfId="0" applyNumberFormat="1" applyFont="1" applyFill="1" applyBorder="1" applyAlignment="1">
      <alignment horizontal="center" vertical="center"/>
    </xf>
    <xf numFmtId="0" fontId="0" fillId="0" borderId="0" xfId="0" applyBorder="1"/>
    <xf numFmtId="0" fontId="23" fillId="0" borderId="0" xfId="0" applyFont="1" applyBorder="1"/>
    <xf numFmtId="2" fontId="22" fillId="21" borderId="10" xfId="0" applyNumberFormat="1" applyFont="1" applyFill="1" applyBorder="1" applyAlignment="1">
      <alignment horizontal="center" vertical="center"/>
    </xf>
    <xf numFmtId="2" fontId="24" fillId="3" borderId="10" xfId="0" applyNumberFormat="1" applyFont="1" applyFill="1" applyBorder="1" applyAlignment="1">
      <alignment horizontal="center" vertical="center"/>
    </xf>
    <xf numFmtId="2" fontId="22" fillId="0" borderId="10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25" fillId="22" borderId="11" xfId="0" applyFont="1" applyFill="1" applyBorder="1" applyAlignment="1">
      <alignment horizontal="center" vertical="center"/>
    </xf>
    <xf numFmtId="0" fontId="25" fillId="22" borderId="12" xfId="0" applyFont="1" applyFill="1" applyBorder="1" applyAlignment="1">
      <alignment horizontal="center" vertical="center" wrapText="1"/>
    </xf>
    <xf numFmtId="0" fontId="25" fillId="22" borderId="12" xfId="0" applyFont="1" applyFill="1" applyBorder="1" applyAlignment="1">
      <alignment horizontal="center" vertical="center"/>
    </xf>
    <xf numFmtId="0" fontId="25" fillId="22" borderId="13" xfId="0" applyFont="1" applyFill="1" applyBorder="1" applyAlignment="1">
      <alignment horizontal="center" vertical="center" wrapText="1"/>
    </xf>
    <xf numFmtId="0" fontId="2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9" fontId="0" fillId="0" borderId="0" xfId="0" applyNumberFormat="1"/>
    <xf numFmtId="2" fontId="0" fillId="0" borderId="0" xfId="0" applyNumberFormat="1"/>
    <xf numFmtId="0" fontId="10" fillId="0" borderId="0" xfId="3" applyFont="1" applyAlignment="1">
      <alignment horizontal="left"/>
    </xf>
    <xf numFmtId="0" fontId="0" fillId="7" borderId="0" xfId="0" applyFill="1"/>
    <xf numFmtId="167" fontId="27" fillId="7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0" fontId="14" fillId="6" borderId="0" xfId="5" applyNumberFormat="1" applyFont="1" applyFill="1" applyBorder="1" applyAlignment="1" applyProtection="1">
      <alignment horizontal="center" vertical="center" wrapText="1"/>
    </xf>
    <xf numFmtId="0" fontId="14" fillId="6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3" borderId="0" xfId="3" applyFill="1"/>
    <xf numFmtId="3" fontId="4" fillId="3" borderId="4" xfId="3" applyNumberFormat="1" applyFont="1" applyFill="1" applyBorder="1"/>
    <xf numFmtId="0" fontId="4" fillId="23" borderId="0" xfId="3" applyFont="1" applyFill="1" applyBorder="1"/>
    <xf numFmtId="0" fontId="10" fillId="23" borderId="0" xfId="3" applyFont="1" applyFill="1" applyBorder="1"/>
    <xf numFmtId="10" fontId="4" fillId="23" borderId="0" xfId="4" applyNumberFormat="1" applyFont="1" applyFill="1" applyBorder="1"/>
    <xf numFmtId="3" fontId="4" fillId="23" borderId="0" xfId="3" applyNumberFormat="1" applyFont="1" applyFill="1" applyBorder="1"/>
    <xf numFmtId="4" fontId="4" fillId="23" borderId="0" xfId="3" applyNumberFormat="1" applyFont="1" applyFill="1" applyBorder="1"/>
    <xf numFmtId="3" fontId="16" fillId="23" borderId="0" xfId="3" applyNumberFormat="1" applyFont="1" applyFill="1" applyBorder="1"/>
    <xf numFmtId="2" fontId="2" fillId="23" borderId="0" xfId="2" applyNumberFormat="1" applyFont="1" applyFill="1" applyBorder="1"/>
    <xf numFmtId="2" fontId="16" fillId="23" borderId="0" xfId="2" applyNumberFormat="1" applyFont="1" applyFill="1" applyBorder="1"/>
    <xf numFmtId="0" fontId="3" fillId="3" borderId="6" xfId="0" applyFont="1" applyFill="1" applyBorder="1" applyAlignment="1">
      <alignment horizont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wrapText="1"/>
    </xf>
    <xf numFmtId="0" fontId="4" fillId="23" borderId="0" xfId="3" applyFill="1"/>
    <xf numFmtId="0" fontId="4" fillId="23" borderId="0" xfId="3" applyFill="1" applyBorder="1" applyAlignment="1">
      <alignment horizontal="left" indent="1"/>
    </xf>
    <xf numFmtId="3" fontId="4" fillId="23" borderId="0" xfId="3" applyNumberFormat="1" applyFill="1" applyBorder="1"/>
    <xf numFmtId="2" fontId="4" fillId="23" borderId="0" xfId="2" applyNumberFormat="1" applyFont="1" applyFill="1" applyBorder="1"/>
    <xf numFmtId="0" fontId="2" fillId="23" borderId="0" xfId="0" applyFont="1" applyFill="1" applyBorder="1"/>
    <xf numFmtId="1" fontId="2" fillId="23" borderId="0" xfId="0" applyNumberFormat="1" applyFont="1" applyFill="1" applyBorder="1"/>
    <xf numFmtId="9" fontId="2" fillId="23" borderId="0" xfId="2" applyFont="1" applyFill="1" applyBorder="1"/>
    <xf numFmtId="3" fontId="2" fillId="23" borderId="0" xfId="0" applyNumberFormat="1" applyFont="1" applyFill="1" applyBorder="1"/>
    <xf numFmtId="4" fontId="2" fillId="23" borderId="0" xfId="0" applyNumberFormat="1" applyFont="1" applyFill="1" applyBorder="1"/>
    <xf numFmtId="0" fontId="2" fillId="23" borderId="5" xfId="0" applyFont="1" applyFill="1" applyBorder="1"/>
    <xf numFmtId="0" fontId="2" fillId="23" borderId="6" xfId="0" applyFont="1" applyFill="1" applyBorder="1"/>
    <xf numFmtId="1" fontId="2" fillId="23" borderId="6" xfId="0" applyNumberFormat="1" applyFont="1" applyFill="1" applyBorder="1"/>
    <xf numFmtId="9" fontId="2" fillId="23" borderId="6" xfId="2" applyFont="1" applyFill="1" applyBorder="1"/>
    <xf numFmtId="3" fontId="2" fillId="23" borderId="6" xfId="0" applyNumberFormat="1" applyFont="1" applyFill="1" applyBorder="1"/>
    <xf numFmtId="4" fontId="2" fillId="23" borderId="6" xfId="0" applyNumberFormat="1" applyFont="1" applyFill="1" applyBorder="1"/>
    <xf numFmtId="2" fontId="2" fillId="23" borderId="6" xfId="2" applyNumberFormat="1" applyFont="1" applyFill="1" applyBorder="1"/>
    <xf numFmtId="4" fontId="2" fillId="23" borderId="18" xfId="0" applyNumberFormat="1" applyFont="1" applyFill="1" applyBorder="1"/>
    <xf numFmtId="0" fontId="2" fillId="23" borderId="7" xfId="0" applyFont="1" applyFill="1" applyBorder="1"/>
    <xf numFmtId="4" fontId="2" fillId="23" borderId="19" xfId="0" applyNumberFormat="1" applyFont="1" applyFill="1" applyBorder="1"/>
    <xf numFmtId="0" fontId="2" fillId="23" borderId="20" xfId="0" applyFont="1" applyFill="1" applyBorder="1"/>
    <xf numFmtId="0" fontId="2" fillId="23" borderId="8" xfId="0" applyFont="1" applyFill="1" applyBorder="1"/>
    <xf numFmtId="1" fontId="2" fillId="23" borderId="8" xfId="0" applyNumberFormat="1" applyFont="1" applyFill="1" applyBorder="1"/>
    <xf numFmtId="9" fontId="2" fillId="23" borderId="8" xfId="2" applyFont="1" applyFill="1" applyBorder="1"/>
    <xf numFmtId="3" fontId="2" fillId="23" borderId="8" xfId="0" applyNumberFormat="1" applyFont="1" applyFill="1" applyBorder="1"/>
    <xf numFmtId="4" fontId="2" fillId="23" borderId="8" xfId="0" applyNumberFormat="1" applyFont="1" applyFill="1" applyBorder="1"/>
    <xf numFmtId="2" fontId="2" fillId="23" borderId="8" xfId="2" applyNumberFormat="1" applyFont="1" applyFill="1" applyBorder="1"/>
    <xf numFmtId="4" fontId="2" fillId="23" borderId="21" xfId="0" applyNumberFormat="1" applyFont="1" applyFill="1" applyBorder="1"/>
    <xf numFmtId="4" fontId="16" fillId="0" borderId="4" xfId="3" applyNumberFormat="1" applyFont="1" applyBorder="1"/>
    <xf numFmtId="10" fontId="4" fillId="0" borderId="4" xfId="2" applyNumberFormat="1" applyFont="1" applyBorder="1"/>
    <xf numFmtId="10" fontId="4" fillId="3" borderId="0" xfId="2" applyNumberFormat="1" applyFont="1" applyFill="1" applyBorder="1"/>
    <xf numFmtId="0" fontId="14" fillId="24" borderId="0" xfId="5" applyNumberFormat="1" applyFont="1" applyFill="1" applyBorder="1" applyAlignment="1" applyProtection="1">
      <alignment horizontal="center" vertical="center"/>
    </xf>
    <xf numFmtId="0" fontId="14" fillId="24" borderId="0" xfId="5" applyNumberFormat="1" applyFont="1" applyFill="1" applyBorder="1" applyAlignment="1" applyProtection="1">
      <alignment horizontal="center" vertical="center" wrapText="1"/>
    </xf>
    <xf numFmtId="0" fontId="4" fillId="24" borderId="0" xfId="3" applyFill="1" applyAlignment="1">
      <alignment horizontal="center" vertical="center"/>
    </xf>
    <xf numFmtId="2" fontId="2" fillId="23" borderId="0" xfId="0" applyNumberFormat="1" applyFont="1" applyFill="1" applyBorder="1"/>
    <xf numFmtId="0" fontId="3" fillId="3" borderId="5" xfId="0" applyFont="1" applyFill="1" applyBorder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2" fillId="3" borderId="5" xfId="0" applyFont="1" applyFill="1" applyBorder="1"/>
    <xf numFmtId="0" fontId="2" fillId="3" borderId="6" xfId="0" applyFont="1" applyFill="1" applyBorder="1"/>
    <xf numFmtId="1" fontId="2" fillId="3" borderId="6" xfId="0" applyNumberFormat="1" applyFont="1" applyFill="1" applyBorder="1"/>
    <xf numFmtId="9" fontId="2" fillId="3" borderId="6" xfId="2" applyFont="1" applyFill="1" applyBorder="1"/>
    <xf numFmtId="3" fontId="2" fillId="3" borderId="6" xfId="0" applyNumberFormat="1" applyFont="1" applyFill="1" applyBorder="1"/>
    <xf numFmtId="4" fontId="2" fillId="3" borderId="6" xfId="0" applyNumberFormat="1" applyFont="1" applyFill="1" applyBorder="1"/>
    <xf numFmtId="2" fontId="2" fillId="3" borderId="6" xfId="2" applyNumberFormat="1" applyFont="1" applyFill="1" applyBorder="1"/>
    <xf numFmtId="4" fontId="2" fillId="3" borderId="18" xfId="0" applyNumberFormat="1" applyFont="1" applyFill="1" applyBorder="1"/>
    <xf numFmtId="0" fontId="2" fillId="3" borderId="7" xfId="0" applyFont="1" applyFill="1" applyBorder="1"/>
    <xf numFmtId="4" fontId="2" fillId="3" borderId="19" xfId="0" applyNumberFormat="1" applyFont="1" applyFill="1" applyBorder="1"/>
    <xf numFmtId="0" fontId="2" fillId="3" borderId="20" xfId="0" applyFont="1" applyFill="1" applyBorder="1"/>
    <xf numFmtId="0" fontId="2" fillId="3" borderId="8" xfId="0" applyFont="1" applyFill="1" applyBorder="1"/>
    <xf numFmtId="1" fontId="2" fillId="3" borderId="8" xfId="0" applyNumberFormat="1" applyFont="1" applyFill="1" applyBorder="1"/>
    <xf numFmtId="9" fontId="2" fillId="3" borderId="8" xfId="2" applyFont="1" applyFill="1" applyBorder="1"/>
    <xf numFmtId="3" fontId="2" fillId="3" borderId="8" xfId="0" applyNumberFormat="1" applyFont="1" applyFill="1" applyBorder="1"/>
    <xf numFmtId="4" fontId="2" fillId="3" borderId="8" xfId="0" applyNumberFormat="1" applyFont="1" applyFill="1" applyBorder="1"/>
    <xf numFmtId="2" fontId="2" fillId="3" borderId="8" xfId="2" applyNumberFormat="1" applyFont="1" applyFill="1" applyBorder="1"/>
    <xf numFmtId="4" fontId="2" fillId="3" borderId="21" xfId="0" applyNumberFormat="1" applyFont="1" applyFill="1" applyBorder="1"/>
    <xf numFmtId="4" fontId="4" fillId="3" borderId="6" xfId="3" applyNumberFormat="1" applyFont="1" applyFill="1" applyBorder="1"/>
    <xf numFmtId="4" fontId="4" fillId="3" borderId="8" xfId="3" applyNumberFormat="1" applyFont="1" applyFill="1" applyBorder="1"/>
    <xf numFmtId="4" fontId="4" fillId="23" borderId="6" xfId="3" applyNumberFormat="1" applyFont="1" applyFill="1" applyBorder="1"/>
    <xf numFmtId="4" fontId="4" fillId="23" borderId="8" xfId="3" applyNumberFormat="1" applyFont="1" applyFill="1" applyBorder="1"/>
    <xf numFmtId="4" fontId="4" fillId="2" borderId="0" xfId="3" applyNumberFormat="1" applyFont="1" applyFill="1" applyBorder="1"/>
    <xf numFmtId="0" fontId="2" fillId="2" borderId="7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19" xfId="0" applyNumberFormat="1" applyFont="1" applyFill="1" applyBorder="1"/>
    <xf numFmtId="0" fontId="0" fillId="2" borderId="0" xfId="0" applyFill="1"/>
    <xf numFmtId="0" fontId="2" fillId="2" borderId="5" xfId="0" applyFont="1" applyFill="1" applyBorder="1"/>
    <xf numFmtId="0" fontId="2" fillId="2" borderId="6" xfId="0" applyFont="1" applyFill="1" applyBorder="1"/>
    <xf numFmtId="1" fontId="2" fillId="2" borderId="6" xfId="0" applyNumberFormat="1" applyFont="1" applyFill="1" applyBorder="1"/>
    <xf numFmtId="9" fontId="2" fillId="2" borderId="6" xfId="2" applyFont="1" applyFill="1" applyBorder="1"/>
    <xf numFmtId="3" fontId="2" fillId="2" borderId="6" xfId="0" applyNumberFormat="1" applyFont="1" applyFill="1" applyBorder="1"/>
    <xf numFmtId="4" fontId="2" fillId="2" borderId="6" xfId="0" applyNumberFormat="1" applyFont="1" applyFill="1" applyBorder="1"/>
    <xf numFmtId="2" fontId="2" fillId="2" borderId="6" xfId="2" applyNumberFormat="1" applyFont="1" applyFill="1" applyBorder="1"/>
    <xf numFmtId="4" fontId="4" fillId="2" borderId="6" xfId="3" applyNumberFormat="1" applyFont="1" applyFill="1" applyBorder="1"/>
    <xf numFmtId="4" fontId="2" fillId="2" borderId="18" xfId="0" applyNumberFormat="1" applyFont="1" applyFill="1" applyBorder="1"/>
    <xf numFmtId="0" fontId="2" fillId="2" borderId="20" xfId="0" applyFont="1" applyFill="1" applyBorder="1"/>
    <xf numFmtId="0" fontId="2" fillId="2" borderId="8" xfId="0" applyFont="1" applyFill="1" applyBorder="1"/>
    <xf numFmtId="1" fontId="2" fillId="2" borderId="8" xfId="0" applyNumberFormat="1" applyFont="1" applyFill="1" applyBorder="1"/>
    <xf numFmtId="9" fontId="2" fillId="2" borderId="8" xfId="2" applyFont="1" applyFill="1" applyBorder="1"/>
    <xf numFmtId="3" fontId="2" fillId="2" borderId="8" xfId="0" applyNumberFormat="1" applyFont="1" applyFill="1" applyBorder="1"/>
    <xf numFmtId="4" fontId="2" fillId="2" borderId="8" xfId="0" applyNumberFormat="1" applyFont="1" applyFill="1" applyBorder="1"/>
    <xf numFmtId="2" fontId="2" fillId="2" borderId="8" xfId="2" applyNumberFormat="1" applyFont="1" applyFill="1" applyBorder="1"/>
    <xf numFmtId="4" fontId="4" fillId="2" borderId="8" xfId="3" applyNumberFormat="1" applyFont="1" applyFill="1" applyBorder="1"/>
    <xf numFmtId="4" fontId="2" fillId="2" borderId="21" xfId="0" applyNumberFormat="1" applyFont="1" applyFill="1" applyBorder="1"/>
    <xf numFmtId="0" fontId="0" fillId="23" borderId="0" xfId="0" applyFill="1"/>
    <xf numFmtId="0" fontId="2" fillId="0" borderId="5" xfId="0" applyFont="1" applyFill="1" applyBorder="1"/>
    <xf numFmtId="0" fontId="2" fillId="0" borderId="6" xfId="0" applyFont="1" applyFill="1" applyBorder="1"/>
    <xf numFmtId="1" fontId="2" fillId="0" borderId="6" xfId="0" applyNumberFormat="1" applyFont="1" applyFill="1" applyBorder="1"/>
    <xf numFmtId="9" fontId="2" fillId="0" borderId="6" xfId="2" applyFont="1" applyFill="1" applyBorder="1"/>
    <xf numFmtId="3" fontId="2" fillId="0" borderId="6" xfId="0" applyNumberFormat="1" applyFont="1" applyFill="1" applyBorder="1"/>
    <xf numFmtId="4" fontId="2" fillId="0" borderId="6" xfId="0" applyNumberFormat="1" applyFont="1" applyFill="1" applyBorder="1"/>
    <xf numFmtId="2" fontId="2" fillId="0" borderId="6" xfId="2" applyNumberFormat="1" applyFont="1" applyFill="1" applyBorder="1"/>
    <xf numFmtId="4" fontId="4" fillId="0" borderId="6" xfId="3" applyNumberFormat="1" applyFont="1" applyFill="1" applyBorder="1"/>
    <xf numFmtId="4" fontId="2" fillId="0" borderId="18" xfId="0" applyNumberFormat="1" applyFont="1" applyFill="1" applyBorder="1"/>
    <xf numFmtId="0" fontId="0" fillId="0" borderId="0" xfId="0" applyAlignment="1">
      <alignment horizontal="right"/>
    </xf>
    <xf numFmtId="49" fontId="29" fillId="25" borderId="0" xfId="0" applyNumberFormat="1" applyFont="1" applyFill="1" applyAlignment="1">
      <alignment horizontal="left"/>
    </xf>
    <xf numFmtId="49" fontId="0" fillId="25" borderId="0" xfId="0" applyNumberFormat="1" applyFont="1" applyFill="1" applyAlignment="1">
      <alignment horizontal="left"/>
    </xf>
    <xf numFmtId="49" fontId="0" fillId="25" borderId="0" xfId="0" applyNumberFormat="1" applyFont="1" applyFill="1" applyAlignment="1">
      <alignment horizontal="right"/>
    </xf>
    <xf numFmtId="187" fontId="0" fillId="25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0" fillId="0" borderId="0" xfId="23"/>
    <xf numFmtId="0" fontId="31" fillId="0" borderId="0" xfId="23" applyFont="1"/>
    <xf numFmtId="0" fontId="32" fillId="0" borderId="0" xfId="23" applyFont="1"/>
    <xf numFmtId="0" fontId="4" fillId="3" borderId="6" xfId="3" applyFont="1" applyFill="1" applyBorder="1" applyAlignment="1">
      <alignment horizontal="center" wrapText="1"/>
    </xf>
    <xf numFmtId="0" fontId="4" fillId="3" borderId="0" xfId="3" applyFont="1" applyFill="1" applyBorder="1" applyAlignment="1">
      <alignment horizontal="center" wrapText="1"/>
    </xf>
    <xf numFmtId="0" fontId="25" fillId="22" borderId="17" xfId="0" applyFont="1" applyFill="1" applyBorder="1" applyAlignment="1">
      <alignment horizontal="center" vertical="center" wrapText="1"/>
    </xf>
    <xf numFmtId="0" fontId="25" fillId="22" borderId="16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25" fillId="22" borderId="14" xfId="0" applyFont="1" applyFill="1" applyBorder="1" applyAlignment="1">
      <alignment horizontal="center" vertical="center" wrapText="1"/>
    </xf>
    <xf numFmtId="10" fontId="15" fillId="0" borderId="0" xfId="2" applyNumberFormat="1" applyFont="1" applyBorder="1"/>
    <xf numFmtId="172" fontId="4" fillId="0" borderId="0" xfId="3" applyNumberFormat="1"/>
    <xf numFmtId="0" fontId="49" fillId="0" borderId="0" xfId="69">
      <alignment horizontal="right"/>
    </xf>
    <xf numFmtId="0" fontId="28" fillId="0" borderId="0" xfId="69" applyFont="1" applyAlignment="1">
      <alignment horizontal="left"/>
    </xf>
    <xf numFmtId="0" fontId="49" fillId="0" borderId="0" xfId="69" applyFont="1" applyAlignment="1">
      <alignment horizontal="left"/>
    </xf>
    <xf numFmtId="49" fontId="29" fillId="25" borderId="0" xfId="69" applyNumberFormat="1" applyFont="1" applyFill="1" applyAlignment="1">
      <alignment horizontal="left" vertical="top" wrapText="1"/>
    </xf>
    <xf numFmtId="49" fontId="29" fillId="25" borderId="0" xfId="69" applyNumberFormat="1" applyFont="1" applyFill="1" applyAlignment="1">
      <alignment horizontal="right" vertical="top" wrapText="1"/>
    </xf>
    <xf numFmtId="49" fontId="29" fillId="25" borderId="30" xfId="69" applyNumberFormat="1" applyFont="1" applyFill="1" applyBorder="1" applyAlignment="1">
      <alignment horizontal="left" vertical="top" wrapText="1"/>
    </xf>
    <xf numFmtId="49" fontId="29" fillId="25" borderId="30" xfId="69" applyNumberFormat="1" applyFont="1" applyFill="1" applyBorder="1" applyAlignment="1">
      <alignment horizontal="right" vertical="top" wrapText="1"/>
    </xf>
    <xf numFmtId="49" fontId="29" fillId="25" borderId="0" xfId="69" applyNumberFormat="1" applyFont="1" applyFill="1" applyAlignment="1">
      <alignment horizontal="left"/>
    </xf>
    <xf numFmtId="49" fontId="49" fillId="25" borderId="0" xfId="69" applyNumberFormat="1" applyFont="1" applyFill="1" applyAlignment="1">
      <alignment horizontal="left"/>
    </xf>
    <xf numFmtId="49" fontId="49" fillId="25" borderId="0" xfId="69" applyNumberFormat="1" applyFont="1" applyFill="1" applyAlignment="1">
      <alignment horizontal="right"/>
    </xf>
    <xf numFmtId="187" fontId="49" fillId="25" borderId="0" xfId="69" applyNumberFormat="1" applyFont="1" applyFill="1" applyAlignment="1">
      <alignment horizontal="right"/>
    </xf>
    <xf numFmtId="49" fontId="49" fillId="0" borderId="0" xfId="69" applyNumberFormat="1" applyFont="1" applyAlignment="1">
      <alignment horizontal="left"/>
    </xf>
    <xf numFmtId="188" fontId="49" fillId="0" borderId="0" xfId="69" applyNumberFormat="1" applyFont="1" applyAlignment="1">
      <alignment horizontal="left"/>
    </xf>
    <xf numFmtId="187" fontId="49" fillId="0" borderId="0" xfId="69" applyNumberFormat="1" applyFont="1" applyAlignment="1">
      <alignment horizontal="right"/>
    </xf>
    <xf numFmtId="49" fontId="49" fillId="0" borderId="0" xfId="69" applyNumberFormat="1" applyFont="1" applyAlignment="1">
      <alignment horizontal="right"/>
    </xf>
  </cellXfs>
  <cellStyles count="70">
    <cellStyle name="20% - Accent1" xfId="42" builtinId="30" customBuiltin="1"/>
    <cellStyle name="20% - Accent1 2" xfId="10"/>
    <cellStyle name="20% - Accent2" xfId="46" builtinId="34" customBuiltin="1"/>
    <cellStyle name="20% - Accent2 2" xfId="11"/>
    <cellStyle name="20% - Accent3" xfId="50" builtinId="38" customBuiltin="1"/>
    <cellStyle name="20% - Accent3 2" xfId="12"/>
    <cellStyle name="20% - Accent4" xfId="54" builtinId="42" customBuiltin="1"/>
    <cellStyle name="20% - Accent4 2" xfId="13"/>
    <cellStyle name="20% - Accent5" xfId="58" builtinId="46" customBuiltin="1"/>
    <cellStyle name="20% - Accent5 2" xfId="14"/>
    <cellStyle name="20% - Accent6" xfId="62" builtinId="50" customBuiltin="1"/>
    <cellStyle name="20% - Accent6 2" xfId="15"/>
    <cellStyle name="40% - Accent1" xfId="43" builtinId="31" customBuiltin="1"/>
    <cellStyle name="40% - Accent1 2" xfId="16"/>
    <cellStyle name="40% - Accent2" xfId="47" builtinId="35" customBuiltin="1"/>
    <cellStyle name="40% - Accent2 2" xfId="17"/>
    <cellStyle name="40% - Accent3" xfId="51" builtinId="39" customBuiltin="1"/>
    <cellStyle name="40% - Accent3 2" xfId="18"/>
    <cellStyle name="40% - Accent4" xfId="55" builtinId="43" customBuiltin="1"/>
    <cellStyle name="40% - Accent4 2" xfId="19"/>
    <cellStyle name="40% - Accent5" xfId="59" builtinId="47" customBuiltin="1"/>
    <cellStyle name="40% - Accent5 2" xfId="20"/>
    <cellStyle name="40% - Accent6" xfId="63" builtinId="51" customBuiltin="1"/>
    <cellStyle name="40% - Accent6 2" xfId="21"/>
    <cellStyle name="60% - Accent1" xfId="44" builtinId="32" customBuiltin="1"/>
    <cellStyle name="60% - Accent2" xfId="48" builtinId="36" customBuiltin="1"/>
    <cellStyle name="60% - Accent3" xfId="52" builtinId="40" customBuiltin="1"/>
    <cellStyle name="60% - Accent4" xfId="56" builtinId="44" customBuiltin="1"/>
    <cellStyle name="60% - Accent5" xfId="60" builtinId="48" customBuiltin="1"/>
    <cellStyle name="60% - Accent6" xfId="64" builtinId="52" customBuiltin="1"/>
    <cellStyle name="Accent1" xfId="41" builtinId="29" customBuiltin="1"/>
    <cellStyle name="Accent2" xfId="45" builtinId="33" customBuiltin="1"/>
    <cellStyle name="Accent3" xfId="49" builtinId="37" customBuiltin="1"/>
    <cellStyle name="Accent4" xfId="53" builtinId="41" customBuiltin="1"/>
    <cellStyle name="Accent5" xfId="57" builtinId="45" customBuiltin="1"/>
    <cellStyle name="Accent6" xfId="61" builtinId="49" customBuiltin="1"/>
    <cellStyle name="Bad" xfId="30" builtinId="27" customBuiltin="1"/>
    <cellStyle name="blp_column_header" xfId="5"/>
    <cellStyle name="Calculation" xfId="34" builtinId="22" customBuiltin="1"/>
    <cellStyle name="Check Cell" xfId="36" builtinId="23" customBuiltin="1"/>
    <cellStyle name="Comma" xfId="1" builtinId="3"/>
    <cellStyle name="Comma 2" xfId="9"/>
    <cellStyle name="Comma 2 2" xfId="65"/>
    <cellStyle name="Comma 3" xfId="66"/>
    <cellStyle name="Explanatory Text" xfId="39" builtinId="53" customBuiltin="1"/>
    <cellStyle name="Good" xfId="29" builtinId="26" customBuiltin="1"/>
    <cellStyle name="Heading 1" xfId="25" builtinId="16" customBuiltin="1"/>
    <cellStyle name="Heading 2" xfId="26" builtinId="17" customBuiltin="1"/>
    <cellStyle name="Heading 3" xfId="27" builtinId="18" customBuiltin="1"/>
    <cellStyle name="Heading 4" xfId="28" builtinId="19" customBuiltin="1"/>
    <cellStyle name="Input" xfId="32" builtinId="20" customBuiltin="1"/>
    <cellStyle name="Linked Cell" xfId="35" builtinId="24" customBuiltin="1"/>
    <cellStyle name="Neutral" xfId="31" builtinId="28" customBuiltin="1"/>
    <cellStyle name="Normal" xfId="0" builtinId="0"/>
    <cellStyle name="Normal 2" xfId="3"/>
    <cellStyle name="Normal 3" xfId="6"/>
    <cellStyle name="Normal 4" xfId="8"/>
    <cellStyle name="Normal 4 2" xfId="67"/>
    <cellStyle name="Normal 5" xfId="23"/>
    <cellStyle name="Normal 6" xfId="69"/>
    <cellStyle name="Note" xfId="38" builtinId="10" customBuiltin="1"/>
    <cellStyle name="Note 2" xfId="22"/>
    <cellStyle name="Output" xfId="33" builtinId="21" customBuiltin="1"/>
    <cellStyle name="Percent" xfId="2" builtinId="5"/>
    <cellStyle name="Percent 2" xfId="4"/>
    <cellStyle name="Percent 3" xfId="7"/>
    <cellStyle name="Percent 3 2" xfId="68"/>
    <cellStyle name="Title" xfId="24" builtinId="15" customBuiltin="1"/>
    <cellStyle name="Total" xfId="40" builtinId="25" customBuiltin="1"/>
    <cellStyle name="Warning Text" xfId="37" builtinId="11" customBuiltin="1"/>
  </cellStyles>
  <dxfs count="2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4.7529089664613275</v>
        <stp/>
        <stp>##V3_BDPV12</stp>
        <stp>XS0304274599 Corp</stp>
        <stp>MTY_YEARS_TDY</stp>
        <stp>[upload (2).xlsm]Base all $ 3 Duration!R151C3</stp>
        <tr r="C151" s="66"/>
      </tp>
      <tp t="s">
        <v>USD</v>
        <stp/>
        <stp>##V3_BDPV12</stp>
        <stp>XS0918297382 Corp</stp>
        <stp>CRNCY</stp>
        <stp>[upload (2).xlsm]Base all $ 3 Duration!R106C12</stp>
        <tr r="L106" s="66"/>
      </tp>
      <tp t="s">
        <v>USD</v>
        <stp/>
        <stp>##V3_BDPV12</stp>
        <stp>XS0764220017 Corp</stp>
        <stp>CRNCY</stp>
        <stp>[upload (2).xlsm]Base all $ 3 Duration!R149C12</stp>
        <tr r="L149" s="66"/>
      </tp>
      <tp>
        <v>6.3381245722108144</v>
        <stp/>
        <stp>##V3_BDPV12</stp>
        <stp>XS0953323317 Corp</stp>
        <stp>MTY_YEARS_TDY</stp>
        <stp>[upload (2).xlsm]Base all $ 3 Duration!R118C3</stp>
        <tr r="C118" s="66"/>
      </tp>
      <tp t="s">
        <v>USD</v>
        <stp/>
        <stp>##V3_BDPV12</stp>
        <stp>XS0975320879 Corp</stp>
        <stp>CRNCY</stp>
        <stp>[upload (2).xlsm]Base all $ 3 Duration!R123C12</stp>
        <tr r="L123" s="66"/>
      </tp>
      <tp t="s">
        <v>Subordinated</v>
        <stp/>
        <stp>##V3_BDPV12</stp>
        <stp>XS1042215480 Corp</stp>
        <stp>PAYMENT_RANK</stp>
        <stp>[upload (2).xlsm]Base all $ 3 Duration!R120C14</stp>
        <tr r="N120" s="66"/>
      </tp>
      <tp>
        <v>2.647501711156742</v>
        <stp/>
        <stp>##V3_BDPV12</stp>
        <stp>XS0922301717 Corp</stp>
        <stp>MTY_YEARS_TDY</stp>
        <stp>[upload (2).xlsm]Base all $ 3 Duration!R108C3</stp>
        <tr r="C108" s="66"/>
      </tp>
      <tp t="s">
        <v>USD</v>
        <stp/>
        <stp>##V3_BDPV12</stp>
        <stp>XS0638572973 Corp</stp>
        <stp>CRNCY</stp>
        <stp>[upload (2).xlsm]Base all $ 3 Duration!R156C12</stp>
        <tr r="L156" s="66"/>
      </tp>
      <tp t="s">
        <v>USD</v>
        <stp/>
        <stp>##V3_BDPV12</stp>
        <stp>XS0805131439 Corp</stp>
        <stp>CRNCY</stp>
        <stp>[upload (2).xlsm]Base all $ 3 Duration!R126C12</stp>
        <tr r="L126" s="66"/>
      </tp>
      <tp>
        <v>8.2135523613963031</v>
        <stp/>
        <stp>##V3_BDPV12</stp>
        <stp>XS0559915961 Corp</stp>
        <stp>MTY_YEARS_TDY</stp>
        <stp>[upload (2).xlsm]Base all $ 3 Duration!R135C3</stp>
        <tr r="C135" s="66"/>
      </tp>
      <tp>
        <v>3.3839835728952772</v>
        <stp/>
        <stp>##V3_BDPV12</stp>
        <stp>XS0708813810 Corp</stp>
        <stp>MTY_YEARS_TDY</stp>
        <stp>[upload (2).xlsm]Base all $ 3 Duration!R153C3</stp>
        <tr r="C153" s="66"/>
      </tp>
      <tp t="s">
        <v>Sr Unsecured</v>
        <stp/>
        <stp>##V3_BDPV12</stp>
        <stp>XS0304274599 Corp</stp>
        <stp>PAYMENT_RANK</stp>
        <stp>[upload (2).xlsm]Base all $ 3 Duration!R151C14</stp>
        <tr r="N151" s="66"/>
      </tp>
      <tp>
        <v>4.5804243668720055</v>
        <stp/>
        <stp>##V3_BDPV12</stp>
        <stp>XS0764220017 Corp</stp>
        <stp>MTY_YEARS_TDY</stp>
        <stp>[upload (2).xlsm]Base all $ 3 Duration!R149C3</stp>
        <tr r="C149" s="66"/>
      </tp>
      <tp>
        <v>4.4437499046325684</v>
        <stp/>
        <stp>##V3_BDPV12</stp>
        <stp>OGZD LI Equity</stp>
        <stp>BEST_TARGET_PRICE</stp>
        <stp>[Copy of upload (2).xlsm]Гарез_GRENF!R7C8</stp>
        <tr r="H7" s="115"/>
      </tp>
      <tp>
        <v>2.8310085660236419</v>
        <stp/>
        <stp>##V3_BDPV12</stp>
        <stp>XS0290580595 Corp</stp>
        <stp>INTERVAL_PERCENT_CHANGE</stp>
        <stp>[upload (2).xlsm]Base all $ 3 Duration!R154C17</stp>
        <stp>END_DATE_OVERRIDE</stp>
        <stp xml:space="preserve"> </stp>
        <stp>START_DATE_OVERRIDe</stp>
        <stp>20140716</stp>
        <tr r="Q154" s="66"/>
      </tp>
      <tp>
        <v>0.37245342476393956</v>
        <stp/>
        <stp>##V3_BDPV12</stp>
        <stp>MVID RX EQUITY</stp>
        <stp>CURRENT_EV_TO_12M_SALES</stp>
        <stp>[upload (2).xlsm]Model Portfolio!R38C17</stp>
        <tr r="Q38" s="98"/>
      </tp>
      <tp>
        <v>41.572048187255859</v>
        <stp/>
        <stp>##V3_BDPV12</stp>
        <stp>SNGSP RX EQUITY</stp>
        <stp>BEST_TARGET_PRICE</stp>
        <stp>[upload (2).xlsm]Model Portfolio!R11C8</stp>
        <tr r="H11" s="98"/>
      </tp>
      <tp>
        <v>8.8198976891868064</v>
        <stp/>
        <stp>##V3_BDPV12</stp>
        <stp>MTSS RX EQUITY</stp>
        <stp>BDVD_PROJ_12M_YLD</stp>
        <stp>[upload (2).xlsm]Model Portfolio!R67C27</stp>
        <tr r="AA67" s="98"/>
      </tp>
      <tp t="s">
        <v>#N/A N/A</v>
        <stp/>
        <stp>##V3_BDPV12</stp>
        <stp>MTLR RX EQUITY</stp>
        <stp>BDVD_PROJ_12M_YLD</stp>
        <stp>[upload (2).xlsm]Model Portfolio!R24C27</stp>
        <tr r="AA24" s="98"/>
      </tp>
      <tp>
        <v>4.96</v>
        <stp/>
        <stp>##V3_BDPV12</stp>
        <stp>XS1040726587 Corp</stp>
        <stp>CPN</stp>
        <stp>[upload (2).xlsm]Base all $ 3 Duration!R41C8</stp>
        <tr r="H41" s="66"/>
      </tp>
      <tp>
        <v>5.0919999999999996</v>
        <stp/>
        <stp>##V3_BDPV12</stp>
        <stp>XS0562354182 Corp</stp>
        <stp>CPN</stp>
        <stp>[upload (2).xlsm]Base all $ 3 Duration!R96C8</stp>
        <tr r="H96" s="66"/>
      </tp>
      <tp>
        <v>1714.2857142857142</v>
        <stp/>
        <stp>##V3_BDPV12</stp>
        <stp>XS0993279958 Corp</stp>
        <stp>YLD_YTM_BID</stp>
        <stp>[upload (2).xlsm]Base all $ 3 Duration!R13C6</stp>
        <tr r="F13" s="66"/>
      </tp>
      <tp>
        <v>5.45</v>
        <stp/>
        <stp>##V3_BDPV12</stp>
        <stp>XS0559800122 Corp</stp>
        <stp>CPN</stp>
        <stp>[upload (2).xlsm]Base all $ 3 Duration!R63C8</stp>
        <tr r="H63" s="66"/>
      </tp>
      <tp>
        <v>4.0244799999999996</v>
        <stp/>
        <stp>##V3_BDPV12</stp>
        <stp>XS0779213460 Corp</stp>
        <stp>YLD_YTM_BID</stp>
        <stp>[upload (2).xlsm]Base all $ 3 Duration!R33C6</stp>
        <tr r="F33" s="66"/>
      </tp>
      <tp>
        <v>8.3194675540765388</v>
        <stp/>
        <stp>##V3_BDPV12</stp>
        <stp>RTKM RX EQUITY</stp>
        <stp>BDVD_PROJ_12M_YLD</stp>
        <stp>[upload (2).xlsm]Model Portfolio!R66C27</stp>
        <tr r="AA66" s="98"/>
      </tp>
      <tp>
        <v>5.375</v>
        <stp/>
        <stp>##V3_BDPV12</stp>
        <stp>XS0719009754 Corp</stp>
        <stp>CPN</stp>
        <stp>[upload (2).xlsm]Base all $ 3 Duration!R77C8</stp>
        <tr r="H77" s="66"/>
      </tp>
      <tp>
        <v>6.4930000000000003</v>
        <stp/>
        <stp>##V3_BDPV12</stp>
        <stp>XS0587030957 Corp</stp>
        <stp>CPN</stp>
        <stp>[upload (2).xlsm]Base all $ 3 Duration!R95C8</stp>
        <tr r="H95" s="66"/>
      </tp>
      <tp>
        <v>8.6999999999999993</v>
        <stp/>
        <stp>##V3_BDPV12</stp>
        <stp>XS0924078453 Corp</stp>
        <stp>CPN</stp>
        <stp>[upload (2).xlsm]Base all $ 3 Duration!R19C8</stp>
        <tr r="H19" s="66"/>
      </tp>
      <tp>
        <v>2.9217737000000001</v>
        <stp/>
        <stp>##V3_BDPV12</stp>
        <stp>XS0889401054 Corp</stp>
        <stp>YLD_YTM_BID</stp>
        <stp>[upload (2).xlsm]Base all $ 3 Duration!R39C6</stp>
        <tr r="F39" s="66"/>
      </tp>
      <tp>
        <v>5.7389999999999999</v>
        <stp/>
        <stp>##V3_BDPV12</stp>
        <stp>XS0499245180 Corp</stp>
        <stp>CPN</stp>
        <stp>[upload (2).xlsm]Base all $ 3 Duration!R84C8</stp>
        <tr r="H84" s="66"/>
      </tp>
      <tp t="s">
        <v>FAR EAST CPL LTD SA</v>
        <stp/>
        <stp>##V3_BDPV12</stp>
        <stp>XS0920334900 Corp</stp>
        <stp>name</stp>
        <stp>[upload (2).xlsm]Base all $ 3 Duration!R6C1</stp>
        <tr r="A6" s="66"/>
      </tp>
      <tp t="s">
        <v>ALLIANCE OIL CO LTD</v>
        <stp/>
        <stp>##V3_BDPV12</stp>
        <stp>XS0493579238 Corp</stp>
        <stp>name</stp>
        <stp>[upload (2).xlsm]Base all $ 3 Duration!R7C1</stp>
        <tr r="A7" s="66"/>
      </tp>
      <tp>
        <v>149</v>
        <stp/>
        <stp>##V3_BDPV12</stp>
        <stp>HGM LN Equity</stp>
        <stp>PX_LAST</stp>
        <stp>[Copy of upload (2).xlsm]Гарез_GRENF (2)!R10C7</stp>
        <tr r="G10" s="116"/>
      </tp>
      <tp t="s">
        <v>28/10/2020</v>
        <stp/>
        <stp>##V3_BDPV12</stp>
        <stp>XS0982861287 Corp</stp>
        <stp>MATURITY</stp>
        <stp>[upload (2).xlsm]Base all $ 3 Duration!R113C9</stp>
        <tr r="I113" s="66"/>
      </tp>
      <tp t="s">
        <v>AT MATURITY</v>
        <stp/>
        <stp>##V3_BDPV12</stp>
        <stp>XS0587031096 Corp</stp>
        <stp>MTY_TYP</stp>
        <stp>[upload (2).xlsm]Base all $ 3 Duration!R134C15</stp>
        <tr r="O134" s="66"/>
      </tp>
      <tp>
        <v>7.489438936477022</v>
        <stp/>
        <stp>##V3_BDPV12</stp>
        <stp>YNDX US EQUITY</stp>
        <stp>PX_TO_BOOK_RATIO</stp>
        <stp>[upload (2).xlsm]Model Portfolio!R43C18</stp>
        <tr r="R43" s="98"/>
      </tp>
      <tp t="s">
        <v>VEON Ltd</v>
        <stp/>
        <stp>##V3_BDPV12</stp>
        <stp>VIP US EQUITY</stp>
        <stp>SECURITY_NAME</stp>
        <stp>[Copy of upload (2).xlsm]Гарез_GRENF (2)!R25C4</stp>
        <tr r="D25" s="116"/>
      </tp>
      <tp t="s">
        <v>AT MATURITY</v>
        <stp/>
        <stp>##V3_BDPV12</stp>
        <stp>XS0830192711 Corp</stp>
        <stp>MTY_TYP</stp>
        <stp>[upload (2).xlsm]Base all $ 3 Duration!R143C15</stp>
        <tr r="O143" s="66"/>
      </tp>
      <tp t="s">
        <v>23/01/2021</v>
        <stp/>
        <stp>##V3_BDPV12</stp>
        <stp>XS0708813810 Corp</stp>
        <stp>MATURITY</stp>
        <stp>[upload (2).xlsm]Base all $ 3 Duration!R153C9</stp>
        <tr r="I153" s="66"/>
      </tp>
      <tp t="s">
        <v>02/02/2021</v>
        <stp/>
        <stp>##V3_BDPV12</stp>
        <stp>XS0587031096 Corp</stp>
        <stp>MATURITY</stp>
        <stp>[upload (2).xlsm]Base all $ 3 Duration!R134C9</stp>
        <tr r="I134" s="66"/>
      </tp>
      <tp t="s">
        <v>AT MATURITY</v>
        <stp/>
        <stp>##V3_BDPV12</stp>
        <stp>XS0842078536 Corp</stp>
        <stp>MTY_TYP</stp>
        <stp>[upload (2).xlsm]Base all $ 3 Duration!R127C15</stp>
        <tr r="O127" s="66"/>
      </tp>
      <tp t="s">
        <v>AT MATURITY</v>
        <stp/>
        <stp>##V3_BDPV12</stp>
        <stp>XS0555493203 Corp</stp>
        <stp>MTY_TYP</stp>
        <stp>[upload (2).xlsm]Base all $ 3 Duration!R109C15</stp>
        <tr r="O109" s="66"/>
      </tp>
      <tp t="s">
        <v>AT MATURITY</v>
        <stp/>
        <stp>##V3_BDPV12</stp>
        <stp>XS0316524130 Corp</stp>
        <stp>MTY_TYP</stp>
        <stp>[upload (2).xlsm]Base all $ 3 Duration!R129C15</stp>
        <tr r="O129" s="66"/>
      </tp>
      <tp t="s">
        <v>AT MATURITY</v>
        <stp/>
        <stp>##V3_BDPV12</stp>
        <stp>XS0935311240 Corp</stp>
        <stp>MTY_TYP</stp>
        <stp>[upload (2).xlsm]Base all $ 3 Duration!R131C15</stp>
        <tr r="O131" s="66"/>
      </tp>
      <tp t="s">
        <v>Sr Unsecured</v>
        <stp/>
        <stp>##V3_BDPV12</stp>
        <stp>XS0918297382 Corp</stp>
        <stp>PAYMENT_RANK</stp>
        <stp>[upload (2).xlsm]Base all $ 3 Duration!R106C14</stp>
        <tr r="N106" s="66"/>
      </tp>
      <tp t="s">
        <v>USD</v>
        <stp/>
        <stp>##V3_BDPV12</stp>
        <stp>XS0810596832 Corp</stp>
        <stp>CRNCY</stp>
        <stp>[upload (2).xlsm]Base all $ 3 Duration!R121C12</stp>
        <tr r="L121" s="66"/>
      </tp>
      <tp t="s">
        <v>USD</v>
        <stp/>
        <stp>##V3_BDPV12</stp>
        <stp>XS0223715920 Corp</stp>
        <stp>CRNCY</stp>
        <stp>[upload (2).xlsm]Base all $ 3 Duration!R137C12</stp>
        <tr r="L137" s="66"/>
      </tp>
      <tp>
        <v>328.05755527308702</v>
        <stp/>
        <stp>##V3_BDPV12</stp>
        <stp>ALRS RX EQUITY</stp>
        <stp>EPS_GROWTH</stp>
        <stp>[upload (2).xlsm]Model Portfolio!R5C22</stp>
        <tr r="V5" s="98"/>
      </tp>
      <tp t="s">
        <v>USD</v>
        <stp/>
        <stp>##V3_BDPV12</stp>
        <stp>XS0864383723 Corp</stp>
        <stp>CRNCY</stp>
        <stp>[upload (2).xlsm]Base all $ 3 Duration!R147C12</stp>
        <tr r="L147" s="66"/>
      </tp>
      <tp t="s">
        <v>USD</v>
        <stp/>
        <stp>##V3_BDPV12</stp>
        <stp>XS0848137708 Corp</stp>
        <stp>CRNCY</stp>
        <stp>[upload (2).xlsm]Base all $ 3 Duration!R122C12</stp>
        <tr r="L122" s="66"/>
      </tp>
      <tp t="s">
        <v>USD</v>
        <stp/>
        <stp>##V3_BDPV12</stp>
        <stp>XS0921331509 Corp</stp>
        <stp>CRNCY</stp>
        <stp>[upload (2).xlsm]Base all $ 3 Duration!R144C12</stp>
        <tr r="L144" s="66"/>
      </tp>
      <tp>
        <v>5.631759069130732</v>
        <stp/>
        <stp>##V3_BDPV12</stp>
        <stp>XS0919504562 Corp</stp>
        <stp>MTY_YEARS_TDY</stp>
        <stp>[upload (2).xlsm]Base all $ 3 Duration!R148C3</stp>
        <tr r="C148" s="66"/>
      </tp>
      <tp t="s">
        <v>Subordinated</v>
        <stp/>
        <stp>##V3_BDPV12</stp>
        <stp>XS0979891925 Corp</stp>
        <stp>PAYMENT_RANK</stp>
        <stp>[upload (2).xlsm]Base all $ 3 Duration!R124C14</stp>
        <tr r="N124" s="66"/>
      </tp>
      <tp>
        <v>113.99961400718054</v>
        <stp/>
        <stp>##V3_BDPV12</stp>
        <stp>PLZL RX EQUITY</stp>
        <stp>EPS_GROWTH</stp>
        <stp>[upload (2).xlsm]Model Portfolio!R2C22</stp>
        <tr r="V2" s="98"/>
      </tp>
      <tp>
        <v>3.5290896646132786</v>
        <stp/>
        <stp>##V3_BDPV12</stp>
        <stp>XS1042215480 Corp</stp>
        <stp>MTY_YEARS_TDY</stp>
        <stp>[upload (2).xlsm]Base all $ 3 Duration!R120C3</stp>
        <tr r="C120" s="66"/>
      </tp>
      <tp>
        <v>0.68524536649149914</v>
        <stp/>
        <stp>##V3_BDPV12</stp>
        <stp>BANE RX EQUITY</stp>
        <stp>CURRENT_EV_TO_12M_SALES</stp>
        <stp>[upload (2).xlsm]Model Portfolio!R18C17</stp>
        <tr r="Q18" s="98"/>
      </tp>
      <tp>
        <v>0.70692243826841583</v>
        <stp/>
        <stp>##V3_BDPV12</stp>
        <stp>FIVE LI EQUITY</stp>
        <stp>CURRENT_EV_TO_12M_SALES</stp>
        <stp>[upload (2).xlsm]Model Portfolio!R36C17</stp>
        <tr r="Q36" s="98"/>
      </tp>
      <tp t="s">
        <v>#N/A N/A</v>
        <stp/>
        <stp>##V3_BDPV12</stp>
        <stp>OKEY LI EQUITY</stp>
        <stp>BDVD_PROJ_12M_YLD</stp>
        <stp>[upload (2).xlsm]Model Portfolio!R39C27</stp>
        <tr r="AA39" s="98"/>
      </tp>
      <tp>
        <v>9</v>
        <stp/>
        <stp>##V3_BDPV12</stp>
        <stp>XS0993279958 Corp</stp>
        <stp>CPN</stp>
        <stp>[upload (2).xlsm]Base all $ 3 Duration!R13C8</stp>
        <tr r="H13" s="66"/>
      </tp>
      <tp t="s">
        <v>#N/A N/A</v>
        <stp/>
        <stp>##V3_BDPV12</stp>
        <stp>XS0562354182 Corp</stp>
        <stp>YLD_YTM_BID</stp>
        <stp>[upload (2).xlsm]Base all $ 3 Duration!R96C6</stp>
        <tr r="F96" s="66"/>
      </tp>
      <tp>
        <v>3.2578670999999999</v>
        <stp/>
        <stp>##V3_BDPV12</stp>
        <stp>XS1040726587 Corp</stp>
        <stp>YLD_YTM_BID</stp>
        <stp>[upload (2).xlsm]Base all $ 3 Duration!R41C6</stp>
        <tr r="F41" s="66"/>
      </tp>
      <tp>
        <v>7.25</v>
        <stp/>
        <stp>##V3_BDPV12</stp>
        <stp>XS0779213460 Corp</stp>
        <stp>CPN</stp>
        <stp>[upload (2).xlsm]Base all $ 3 Duration!R33C8</stp>
        <tr r="H33" s="66"/>
      </tp>
      <tp>
        <v>2.0754452978148614</v>
        <stp/>
        <stp>##V3_BDPV12</stp>
        <stp>XS0559800122 Corp</stp>
        <stp>YLD_YTM_BID</stp>
        <stp>[upload (2).xlsm]Base all $ 3 Duration!R63C6</stp>
        <tr r="F63" s="66"/>
      </tp>
      <tp>
        <v>8.1869516000000004</v>
        <stp/>
        <stp>##V3_BDPV12</stp>
        <stp>XS0924078453 Corp</stp>
        <stp>YLD_YTM_BID</stp>
        <stp>[upload (2).xlsm]Base all $ 3 Duration!R19C6</stp>
        <tr r="F19" s="66"/>
      </tp>
      <tp>
        <v>5.2</v>
        <stp/>
        <stp>##V3_BDPV12</stp>
        <stp>XS0889401054 Corp</stp>
        <stp>CPN</stp>
        <stp>[upload (2).xlsm]Base all $ 3 Duration!R39C8</stp>
        <tr r="H39" s="66"/>
      </tp>
      <tp t="s">
        <v>#N/A N/A</v>
        <stp/>
        <stp>##V3_BDPV12</stp>
        <stp>XS0719009754 Corp</stp>
        <stp>YLD_YTM_BID</stp>
        <stp>[upload (2).xlsm]Base all $ 3 Duration!R77C6</stp>
        <tr r="F77" s="66"/>
      </tp>
      <tp t="s">
        <v>#N/A N/A</v>
        <stp/>
        <stp>##V3_BDPV12</stp>
        <stp>XS0587030957 Corp</stp>
        <stp>YLD_YTM_BID</stp>
        <stp>[upload (2).xlsm]Base all $ 3 Duration!R95C6</stp>
        <tr r="F95" s="66"/>
      </tp>
      <tp t="s">
        <v>#N/A N/A</v>
        <stp/>
        <stp>##V3_BDPV12</stp>
        <stp>XS0499245180 Corp</stp>
        <stp>YLD_YTM_BID</stp>
        <stp>[upload (2).xlsm]Base all $ 3 Duration!R84C6</stp>
        <tr r="F84" s="66"/>
      </tp>
      <tp t="s">
        <v>CB RENCAP(REN CONSUMER)</v>
        <stp/>
        <stp>##V3_BDPV12</stp>
        <stp>XS0996297544 Corp</stp>
        <stp>name</stp>
        <stp>[upload (2).xlsm]Base all $ 3 Duration!R9C1</stp>
        <tr r="A9" s="66"/>
      </tp>
      <tp t="s">
        <v>19/07/2022</v>
        <stp/>
        <stp>##V3_BDPV12</stp>
        <stp>XS0805570354 Corp</stp>
        <stp>MATURITY</stp>
        <stp>[upload (2).xlsm]Base all $ 3 Duration!R154C9</stp>
        <tr r="I154" s="66"/>
      </tp>
      <tp t="s">
        <v>24/04/2020</v>
        <stp/>
        <stp>##V3_BDPV12</stp>
        <stp>XS0846652666 Corp</stp>
        <stp>MATURITY</stp>
        <stp>[upload (2).xlsm]Base all $ 3 Duration!R102C9</stp>
        <tr r="I102" s="66"/>
      </tp>
      <tp t="s">
        <v>01/03/2022</v>
        <stp/>
        <stp>##V3_BDPV12</stp>
        <stp>XS0643183220 Corp</stp>
        <stp>MATURITY</stp>
        <stp>[upload (2).xlsm]Base all $ 3 Duration!R133C9</stp>
        <tr r="I133" s="66"/>
      </tp>
      <tp t="s">
        <v>AT MATURITY</v>
        <stp/>
        <stp>##V3_BDPV12</stp>
        <stp>XS1042215480 Corp</stp>
        <stp>MTY_TYP</stp>
        <stp>[upload (2).xlsm]Base all $ 3 Duration!R120C15</stp>
        <tr r="O120" s="66"/>
      </tp>
      <tp t="s">
        <v>03/04/2020</v>
        <stp/>
        <stp>##V3_BDPV12</stp>
        <stp>XS0911599701 Corp</stp>
        <stp>MATURITY</stp>
        <stp>[upload (2).xlsm]Base all $ 3 Duration!R104C9</stp>
        <tr r="I104" s="66"/>
      </tp>
      <tp t="s">
        <v>20/09/2022</v>
        <stp/>
        <stp>##V3_BDPV12</stp>
        <stp>XS0831571434 Corp</stp>
        <stp>MATURITY</stp>
        <stp>[upload (2).xlsm]Base all $ 3 Duration!R157C9</stp>
        <tr r="I157" s="66"/>
      </tp>
      <tp t="s">
        <v>AT MATURITY</v>
        <stp/>
        <stp>##V3_BDPV12</stp>
        <stp>XS0805570354 Corp</stp>
        <stp>MTY_TYP</stp>
        <stp>[upload (2).xlsm]Base all $ 3 Duration!R154C15</stp>
        <tr r="O154" s="66"/>
      </tp>
      <tp t="s">
        <v>PUTABLE</v>
        <stp/>
        <stp>##V3_BDPV12</stp>
        <stp>XS0191754729 Corp</stp>
        <stp>MTY_TYP</stp>
        <stp>[upload (2).xlsm]Base all $ 3 Duration!R128C15</stp>
        <tr r="O128" s="66"/>
      </tp>
      <tp t="s">
        <v>AT MATURITY</v>
        <stp/>
        <stp>##V3_BDPV12</stp>
        <stp>XS0911599701 Corp</stp>
        <stp>MTY_TYP</stp>
        <stp>[upload (2).xlsm]Base all $ 3 Duration!R104C15</stp>
        <tr r="O104" s="66"/>
      </tp>
      <tp t="s">
        <v>05/07/2022</v>
        <stp/>
        <stp>##V3_BDPV12</stp>
        <stp>XS0800817073 Corp</stp>
        <stp>MATURITY</stp>
        <stp>[upload (2).xlsm]Base all $ 3 Duration!R142C9</stp>
        <tr r="I142" s="66"/>
      </tp>
      <tp t="s">
        <v>USD</v>
        <stp/>
        <stp>##V3_BDPV12</stp>
        <stp>XS0861981180 Corp</stp>
        <stp>CRNCY</stp>
        <stp>[upload (2).xlsm]Base all $ 3 Duration!R145C12</stp>
        <tr r="L145" s="66"/>
      </tp>
      <tp t="s">
        <v>Sr Unsecured</v>
        <stp/>
        <stp>##V3_BDPV12</stp>
        <stp>XS0587031096 Corp</stp>
        <stp>PAYMENT_RANK</stp>
        <stp>[upload (2).xlsm]Base all $ 3 Duration!R134C14</stp>
        <tr r="N134" s="66"/>
      </tp>
      <tp t="s">
        <v>Sr Unsecured</v>
        <stp/>
        <stp>##V3_BDPV12</stp>
        <stp>XS0708813810 Corp</stp>
        <stp>PAYMENT_RANK</stp>
        <stp>[upload (2).xlsm]Base all $ 3 Duration!R153C14</stp>
        <tr r="N153" s="66"/>
      </tp>
      <tp t="s">
        <v>USD</v>
        <stp/>
        <stp>##V3_BDPV12</stp>
        <stp>XS1032750165 Corp</stp>
        <stp>CRNCY</stp>
        <stp>[upload (2).xlsm]Base all $ 3 Duration!R132C12</stp>
        <tr r="L132" s="66"/>
      </tp>
      <tp t="s">
        <v>USD</v>
        <stp/>
        <stp>##V3_BDPV12</stp>
        <stp>XS0830192711 Corp</stp>
        <stp>CRNCY</stp>
        <stp>[upload (2).xlsm]Base all $ 3 Duration!R143C12</stp>
        <tr r="L143" s="66"/>
      </tp>
      <tp t="s">
        <v>USD</v>
        <stp/>
        <stp>##V3_BDPV12</stp>
        <stp>XS0587031096 Corp</stp>
        <stp>CRNCY</stp>
        <stp>[upload (2).xlsm]Base all $ 3 Duration!R134C12</stp>
        <tr r="L134" s="66"/>
      </tp>
      <tp t="s">
        <v>Sr Unsecured</v>
        <stp/>
        <stp>##V3_BDPV12</stp>
        <stp>XS0993162683 Corp</stp>
        <stp>PAYMENT_RANK</stp>
        <stp>[upload (2).xlsm]Base all $ 3 Duration!R139C14</stp>
        <tr r="N139" s="66"/>
      </tp>
      <tp>
        <v>-63</v>
        <stp/>
        <stp>##V3_BDPV12</stp>
        <stp>XS0841677387 Corp</stp>
        <stp>INTERVAL_PERCENT_CHANGE</stp>
        <stp>[upload (2).xlsm]Base all $ 3 Duration!R102C17</stp>
        <stp>END_DATE_OVERRIDE</stp>
        <stp xml:space="preserve"> </stp>
        <stp>START_DATE_OVERRIDe</stp>
        <stp>20140716</stp>
        <tr r="Q102" s="66"/>
      </tp>
      <tp>
        <v>2.0300088543087971</v>
        <stp/>
        <stp>##V3_BDPV12</stp>
        <stp>CHMF RX EQUITY</stp>
        <stp>CURRENT_EV_TO_12M_SALES</stp>
        <stp>[upload (2).xlsm]Model Portfolio!R25C17</stp>
        <tr r="Q25" s="98"/>
      </tp>
      <tp>
        <v>2.625</v>
        <stp/>
        <stp>##V3_BDPV12</stp>
        <stp>NVTK RX EQUITY</stp>
        <stp>BDVD_PROJ_12M_YLD</stp>
        <stp>[upload (2).xlsm]Model Portfolio!R16C27</stp>
        <tr r="AA16" s="98"/>
      </tp>
      <tp>
        <v>4.95</v>
        <stp/>
        <stp>##V3_BDPV12</stp>
        <stp>XS0708813653 Corp</stp>
        <stp>CPN</stp>
        <stp>[upload (2).xlsm]Base all $ 3 Duration!R93C8</stp>
        <tr r="H93" s="66"/>
      </tp>
      <tp>
        <v>5.125</v>
        <stp/>
        <stp>##V3_BDPV12</stp>
        <stp>XS0630950870 Corp</stp>
        <stp>CPN</stp>
        <stp>[upload (2).xlsm]Base all $ 3 Duration!R75C8</stp>
        <tr r="H75" s="66"/>
      </tp>
      <tp>
        <v>5.125</v>
        <stp/>
        <stp>##V3_BDPV12</stp>
        <stp>XS0863583281 Corp</stp>
        <stp>CPN</stp>
        <stp>[upload (2).xlsm]Base all $ 3 Duration!R67C8</stp>
        <tr r="H67" s="66"/>
      </tp>
      <tp t="s">
        <v>#N/A N/A</v>
        <stp/>
        <stp>##V3_BDPV12</stp>
        <stp>XS0648402583 Corp</stp>
        <stp>YLD_YTM_BID</stp>
        <stp>[upload (2).xlsm]Base all $ 3 Duration!R92C6</stp>
        <tr r="F92" s="66"/>
      </tp>
      <tp t="s">
        <v>#N/A N/A</v>
        <stp/>
        <stp>##V3_BDPV12</stp>
        <stp>MVID RX EQUITY</stp>
        <stp>BDVD_PROJ_12M_YLD</stp>
        <stp>[upload (2).xlsm]Model Portfolio!R38C27</stp>
        <tr r="AA38" s="98"/>
      </tp>
      <tp>
        <v>112.0652984</v>
        <stp/>
        <stp>##V3_BDPV12</stp>
        <stp>XS0940730228 Corp</stp>
        <stp>YLD_YTM_BID</stp>
        <stp>[upload (2).xlsm]Base all $ 3 Duration!R25C6</stp>
        <tr r="F25" s="66"/>
      </tp>
      <tp>
        <v>6.5</v>
        <stp/>
        <stp>##V3_BDPV12</stp>
        <stp>XS0650962185 Corp</stp>
        <stp>CPN</stp>
        <stp>[upload (2).xlsm]Base all $ 3 Duration!R83C8</stp>
        <tr r="H83" s="66"/>
      </tp>
      <tp>
        <v>3.0129966000000001</v>
        <stp/>
        <stp>##V3_BDPV12</stp>
        <stp>XS0993162170 Corp</stp>
        <stp>YLD_YTM_BID</stp>
        <stp>[upload (2).xlsm]Base all $ 3 Duration!R48C6</stp>
        <tr r="F48" s="66"/>
      </tp>
      <tp>
        <v>6.95</v>
        <stp/>
        <stp>##V3_BDPV12</stp>
        <stp>XS0783242877 Corp</stp>
        <stp>CPN</stp>
        <stp>[upload (2).xlsm]Base all $ 3 Duration!R32C8</stp>
        <tr r="H32" s="66"/>
      </tp>
      <tp>
        <v>4.95</v>
        <stp/>
        <stp>##V3_BDPV12</stp>
        <stp>XS0783934325 Corp</stp>
        <stp>CPN</stp>
        <stp>[upload (2).xlsm]Base all $ 3 Duration!R47C8</stp>
        <tr r="H47" s="66"/>
      </tp>
      <tp t="s">
        <v>#N/A N/A</v>
        <stp/>
        <stp>##V3_BDPV12</stp>
        <stp>SVAV RX EQUITY</stp>
        <stp>BDVD_PROJ_12M_YLD</stp>
        <stp>[upload (2).xlsm]Model Portfolio!R72C27</stp>
        <tr r="AA72" s="98"/>
      </tp>
      <tp t="s">
        <v>02/05/2020</v>
        <stp/>
        <stp>##V3_BDPV12</stp>
        <stp>XS0920335030 Corp</stp>
        <stp>MATURITY</stp>
        <stp>[upload (2).xlsm]Base all $ 3 Duration!R101C9</stp>
        <tr r="I101" s="66"/>
      </tp>
      <tp t="s">
        <v>26/02/2024</v>
        <stp/>
        <stp>##V3_BDPV12</stp>
        <stp>XS1032750165 Corp</stp>
        <stp>MATURITY</stp>
        <stp>[upload (2).xlsm]Base all $ 3 Duration!R132C9</stp>
        <tr r="I132" s="66"/>
      </tp>
      <tp t="s">
        <v>AT MATURITY</v>
        <stp/>
        <stp>##V3_BDPV12</stp>
        <stp>XS0993162683 Corp</stp>
        <stp>MTY_TYP</stp>
        <stp>[upload (2).xlsm]Base all $ 3 Duration!R139C15</stp>
        <tr r="O139" s="66"/>
      </tp>
      <tp t="s">
        <v>29/10/2022</v>
        <stp/>
        <stp>##V3_BDPV12</stp>
        <stp>XS0848530977 Corp</stp>
        <stp>MATURITY</stp>
        <stp>[upload (2).xlsm]Base all $ 3 Duration!R150C9</stp>
        <tr r="I150" s="66"/>
      </tp>
      <tp t="s">
        <v>06/02/2020</v>
        <stp/>
        <stp>##V3_BDPV12</stp>
        <stp>XS0885733153 Corp</stp>
        <stp>MATURITY</stp>
        <stp>[upload (2).xlsm]Base all $ 3 Duration!R115C9</stp>
        <tr r="I115" s="66"/>
      </tp>
      <tp>
        <v>79.679450000000003</v>
        <stp/>
        <stp>##V3_BDPV12</stp>
        <stp>POG LN EQUITY</stp>
        <stp>EQY_FREE_FLOAT_PCT</stp>
        <stp>[upload (2).xlsm]Model Portfolio!R7C11</stp>
        <tr r="K7" s="98"/>
      </tp>
      <tp t="s">
        <v>AT MATURITY</v>
        <stp/>
        <stp>##V3_BDPV12</stp>
        <stp>XS0290580595 Corp</stp>
        <stp>MTY_TYP</stp>
        <stp>[upload (2).xlsm]Base all $ 3 Duration!R152C15</stp>
        <tr r="O152" s="66"/>
      </tp>
      <tp t="s">
        <v>AT MATURITY</v>
        <stp/>
        <stp>##V3_BDPV12</stp>
        <stp>XS0922301717 Corp</stp>
        <stp>MTY_TYP</stp>
        <stp>[upload (2).xlsm]Base all $ 3 Duration!R108C15</stp>
        <tr r="O108" s="66"/>
      </tp>
      <tp t="s">
        <v>AT MATURITY</v>
        <stp/>
        <stp>##V3_BDPV12</stp>
        <stp>XS0831571434 Corp</stp>
        <stp>MTY_TYP</stp>
        <stp>[upload (2).xlsm]Base all $ 3 Duration!R157C15</stp>
        <tr r="O157" s="66"/>
      </tp>
      <tp t="s">
        <v>AT MATURITY</v>
        <stp/>
        <stp>##V3_BDPV12</stp>
        <stp>XS0484209159 Corp</stp>
        <stp>MTY_TYP</stp>
        <stp>[upload (2).xlsm]Base all $ 3 Duration!R112C15</stp>
        <tr r="O112" s="66"/>
      </tp>
      <tp>
        <v>75.031763275677804</v>
        <stp/>
        <stp>##V3_BDPV12</stp>
        <stp>SNGSP RX EQUITY</stp>
        <stp>PCT_REVENUE_FROM_FOREIGN_SOURCES</stp>
        <stp>[upload (2).xlsm]Model Portfolio!R11C30</stp>
        <tr r="AD11" s="98"/>
      </tp>
      <tp t="s">
        <v>USD</v>
        <stp/>
        <stp>##V3_BDPV12</stp>
        <stp>XS0316524130 Corp</stp>
        <stp>CRNCY</stp>
        <stp>[upload (2).xlsm]Base all $ 3 Duration!R129C12</stp>
        <tr r="L129" s="66"/>
      </tp>
      <tp t="s">
        <v>USD</v>
        <stp/>
        <stp>##V3_BDPV12</stp>
        <stp>XS1042215480 Corp</stp>
        <stp>CRNCY</stp>
        <stp>[upload (2).xlsm]Base all $ 3 Duration!R120C12</stp>
        <tr r="L120" s="66"/>
      </tp>
      <tp t="s">
        <v>LSR</v>
        <stp/>
        <stp>##V3_BDPV12</stp>
        <stp>LSRG RX Equity</stp>
        <stp>SHORT_NAME</stp>
        <stp>[upload (2).xlsm]Sheet3!R4C1</stp>
        <tr r="A4" s="77"/>
      </tp>
      <tp>
        <v>6.5429349999999999</v>
        <stp/>
        <stp>##V3_BDPV12</stp>
        <stp>OGZD LI Equity</stp>
        <stp>EQY_DVD_YLD_EST</stp>
        <stp>[Copy of upload (2).xlsm]Гарез_GRENF!R7C20</stp>
        <tr r="T7" s="115"/>
      </tp>
      <tp t="s">
        <v>USD</v>
        <stp/>
        <stp>##V3_BDPV12</stp>
        <stp>XS0554659671 Corp</stp>
        <stp>CRNCY</stp>
        <stp>[upload (2).xlsm]Base all $ 3 Duration!R114C12</stp>
        <tr r="L114" s="66"/>
      </tp>
    </main>
    <main first="bloomberg.rtd">
      <tp t="s">
        <v>USD</v>
        <stp/>
        <stp>##V3_BDPV12</stp>
        <stp>XS0588433267 Corp</stp>
        <stp>CRNCY</stp>
        <stp>[upload (2).xlsm]Base all $ 3 Duration!R146C12</stp>
        <tr r="L146" s="66"/>
      </tp>
      <tp t="s">
        <v>USD</v>
        <stp/>
        <stp>##V3_BDPV12</stp>
        <stp>XS0911599701 Corp</stp>
        <stp>CRNCY</stp>
        <stp>[upload (2).xlsm]Base all $ 3 Duration!R104C12</stp>
        <tr r="L104" s="66"/>
      </tp>
      <tp>
        <v>591038491807.5</v>
        <stp/>
        <stp>##V3_BDPV12</stp>
        <stp>ALRS RX EQUITY</stp>
        <stp>CUR_MKT_CAP</stp>
        <stp>[upload (2).xlsm]Model Portfolio!R5C10</stp>
        <tr r="J5" s="98"/>
      </tp>
      <tp>
        <v>3.1225859743105673</v>
        <stp/>
        <stp>##V3_BDPV12</stp>
        <stp>XS0800817073 Corp</stp>
        <stp>INTERVAL_PERCENT_CHANGE</stp>
        <stp>[upload (2).xlsm]Base all $ 3 Duration!R144C17</stp>
        <stp>END_DATE_OVERRIDE</stp>
        <stp xml:space="preserve"> </stp>
        <stp>START_DATE_OVERRIDe</stp>
        <stp>20140716</stp>
        <tr r="Q144" s="66"/>
      </tp>
      <tp>
        <v>3.6225854876441135</v>
        <stp/>
        <stp>##V3_BDPV12</stp>
        <stp>XS0918604496 Corp</stp>
        <stp>INTERVAL_PERCENT_CHANGE</stp>
        <stp>[upload (2).xlsm]Base all $ 3 Duration!R106C17</stp>
        <stp>END_DATE_OVERRIDE</stp>
        <stp xml:space="preserve"> </stp>
        <stp>START_DATE_OVERRIDe</stp>
        <stp>20140716</stp>
        <tr r="Q106" s="66"/>
      </tp>
      <tp>
        <v>0.63498557302741643</v>
        <stp/>
        <stp>##V3_BDPV12</stp>
        <stp>MSNG RX EQUITY</stp>
        <stp>CURRENT_EV_TO_12M_SALES</stp>
        <stp>[upload (2).xlsm]Model Portfolio!R55C17</stp>
        <tr r="Q55" s="98"/>
      </tp>
      <tp>
        <v>1.2581124683735265</v>
        <stp/>
        <stp>##V3_BDPV12</stp>
        <stp>LSRG RX EQUITY</stp>
        <stp>CURRENT_EV_TO_12M_SALES</stp>
        <stp>[upload (2).xlsm]Model Portfolio!R69C17</stp>
        <tr r="Q69" s="98"/>
      </tp>
      <tp>
        <v>3.4330899373162715</v>
        <stp/>
        <stp>##V3_BDPV12</stp>
        <stp>XS0559915961 Corp</stp>
        <stp>INTERVAL_PERCENT_CHANGE</stp>
        <stp>[upload (2).xlsm]Base all $ 3 Duration!R137C17</stp>
        <stp>END_DATE_OVERRIDE</stp>
        <stp xml:space="preserve"> </stp>
        <stp>START_DATE_OVERRIDe</stp>
        <stp>20140716</stp>
        <tr r="Q137" s="66"/>
      </tp>
      <tp t="s">
        <v>#N/A N/A</v>
        <stp/>
        <stp>##V3_BDPV12</stp>
        <stp>XS0630950870 Corp</stp>
        <stp>YLD_YTM_BID</stp>
        <stp>[upload (2).xlsm]Base all $ 3 Duration!R75C6</stp>
        <tr r="F75" s="66"/>
      </tp>
      <tp t="s">
        <v>#N/A N/A</v>
        <stp/>
        <stp>##V3_BDPV12</stp>
        <stp>XS0708813653 Corp</stp>
        <stp>YLD_YTM_BID</stp>
        <stp>[upload (2).xlsm]Base all $ 3 Duration!R93C6</stp>
        <tr r="F93" s="66"/>
      </tp>
      <tp t="s">
        <v>#N/A N/A</v>
        <stp/>
        <stp>##V3_BDPV12</stp>
        <stp>XS0650962185 Corp</stp>
        <stp>YLD_YTM_BID</stp>
        <stp>[upload (2).xlsm]Base all $ 3 Duration!R83C6</stp>
        <tr r="F83" s="66"/>
      </tp>
      <tp>
        <v>10</v>
        <stp/>
        <stp>##V3_BDPV12</stp>
        <stp>XS0940730228 Corp</stp>
        <stp>CPN</stp>
        <stp>[upload (2).xlsm]Base all $ 3 Duration!R25C8</stp>
        <tr r="H25" s="66"/>
      </tp>
      <tp>
        <v>2.2341905066891385</v>
        <stp/>
        <stp>##V3_BDPV12</stp>
        <stp>XS0863583281 Corp</stp>
        <stp>YLD_YTM_BID</stp>
        <stp>[upload (2).xlsm]Base all $ 3 Duration!R67C6</stp>
        <tr r="F67" s="66"/>
      </tp>
      <tp>
        <v>6.25</v>
        <stp/>
        <stp>##V3_BDPV12</stp>
        <stp>XS0648402583 Corp</stp>
        <stp>CPN</stp>
        <stp>[upload (2).xlsm]Base all $ 3 Duration!R92C8</stp>
        <tr r="H92" s="66"/>
      </tp>
      <tp t="s">
        <v>#N/A N/A</v>
        <stp/>
        <stp>##V3_BDPV12</stp>
        <stp>EPAM US EQUITY</stp>
        <stp>BDVD_PROJ_12M_YLD</stp>
        <stp>[upload (2).xlsm]Model Portfolio!R42C27</stp>
        <tr r="AA42" s="98"/>
      </tp>
      <tp>
        <v>7.8808940999999999</v>
        <stp/>
        <stp>##V3_BDPV12</stp>
        <stp>XS0783242877 Corp</stp>
        <stp>YLD_YTM_BID</stp>
        <stp>[upload (2).xlsm]Base all $ 3 Duration!R32C6</stp>
        <tr r="F32" s="66"/>
      </tp>
      <tp>
        <v>4.2240000000000002</v>
        <stp/>
        <stp>##V3_BDPV12</stp>
        <stp>XS0993162170 Corp</stp>
        <stp>CPN</stp>
        <stp>[upload (2).xlsm]Base all $ 3 Duration!R48C8</stp>
        <tr r="H48" s="66"/>
      </tp>
      <tp t="s">
        <v>#N/A N/A</v>
        <stp/>
        <stp>##V3_BDPV12</stp>
        <stp>FIVE LI EQUITY</stp>
        <stp>BDVD_PROJ_12M_YLD</stp>
        <stp>[upload (2).xlsm]Model Portfolio!R36C27</stp>
        <tr r="AA36" s="98"/>
      </tp>
      <tp>
        <v>86.992999999999995</v>
        <stp/>
        <stp>##V3_BDPV12</stp>
        <stp>XS0850393264 Corp</stp>
        <stp>px_ask</stp>
        <stp>[upload (2).xlsm]Base all $ 3 Duration!R4C5</stp>
        <tr r="E4" s="66"/>
      </tp>
      <tp>
        <v>76.956000000000003</v>
        <stp/>
        <stp>##V3_BDPV12</stp>
        <stp>XS0493579238 Corp</stp>
        <stp>px_ask</stp>
        <stp>[upload (2).xlsm]Base all $ 3 Duration!R7C5</stp>
        <tr r="E7" s="66"/>
      </tp>
      <tp>
        <v>2.4103997000000001</v>
        <stp/>
        <stp>##V3_BDPV12</stp>
        <stp>XS0783934325 Corp</stp>
        <stp>YLD_YTM_BID</stp>
        <stp>[upload (2).xlsm]Base all $ 3 Duration!R47C6</stp>
        <tr r="F47" s="66"/>
      </tp>
      <tp t="s">
        <v>RUSSIAN STAND BK (RSF)</v>
        <stp/>
        <stp>##V3_BDPV12</stp>
        <stp>XS0275728557 Corp</stp>
        <stp>name</stp>
        <stp>[upload (2).xlsm]Base all $ 3 Duration!R8C1</stp>
        <tr r="A8" s="66"/>
      </tp>
      <tp t="s">
        <v>17/10/2022</v>
        <stp/>
        <stp>##V3_BDPV12</stp>
        <stp>XS0842078536 Corp</stp>
        <stp>MATURITY</stp>
        <stp>[upload (2).xlsm]Base all $ 3 Duration!R127C9</stp>
        <tr r="I127" s="66"/>
      </tp>
      <tp t="s">
        <v>30/05/2023</v>
        <stp/>
        <stp>##V3_BDPV12</stp>
        <stp>XS0921331509 Corp</stp>
        <stp>MATURITY</stp>
        <stp>[upload (2).xlsm]Base all $ 3 Duration!R144C9</stp>
        <tr r="I144" s="66"/>
      </tp>
      <tp t="s">
        <v>17/10/2022</v>
        <stp/>
        <stp>##V3_BDPV12</stp>
        <stp>XS0841671000 Corp</stp>
        <stp>MATURITY</stp>
        <stp>[upload (2).xlsm]Base all $ 3 Duration!R141C9</stp>
        <tr r="I141" s="66"/>
      </tp>
      <tp t="s">
        <v>AT MATURITY</v>
        <stp/>
        <stp>##V3_BDPV12</stp>
        <stp>XS0925043100 Corp</stp>
        <stp>MTY_TYP</stp>
        <stp>[upload (2).xlsm]Base all $ 3 Duration!R100C15</stp>
        <tr r="O100" s="66"/>
      </tp>
      <tp t="s">
        <v>AT MATURITY</v>
        <stp/>
        <stp>##V3_BDPV12</stp>
        <stp>XS0885733153 Corp</stp>
        <stp>MTY_TYP</stp>
        <stp>[upload (2).xlsm]Base all $ 3 Duration!R115C15</stp>
        <tr r="O115" s="66"/>
      </tp>
      <tp t="s">
        <v>07/06/2022</v>
        <stp/>
        <stp>##V3_BDPV12</stp>
        <stp>XS0304274599 Corp</stp>
        <stp>MATURITY</stp>
        <stp>[upload (2).xlsm]Base all $ 3 Duration!R151C9</stp>
        <tr r="I151" s="66"/>
      </tp>
      <tp t="s">
        <v>AT MATURITY</v>
        <stp/>
        <stp>##V3_BDPV12</stp>
        <stp>XS0764220017 Corp</stp>
        <stp>MTY_TYP</stp>
        <stp>[upload (2).xlsm]Base all $ 3 Duration!R149C15</stp>
        <tr r="O149" s="66"/>
      </tp>
      <tp t="s">
        <v>AT MATURITY</v>
        <stp/>
        <stp>##V3_BDPV12</stp>
        <stp>XS0921331509 Corp</stp>
        <stp>MTY_TYP</stp>
        <stp>[upload (2).xlsm]Base all $ 3 Duration!R144C15</stp>
        <tr r="O144" s="66"/>
      </tp>
      <tp>
        <v>3.764154</v>
        <stp/>
        <stp>##V3_BDPV12</stp>
        <stp>POLY RX Equity</stp>
        <stp>EQY_DVD_YLD_EST</stp>
        <stp>[Copy of upload (2).xlsm]Гарез_GRENF!R9C20</stp>
        <tr r="T9" s="115"/>
      </tp>
      <tp>
        <v>3.592060232717317</v>
        <stp/>
        <stp>##V3_BDPV12</stp>
        <stp>XS0981028177 Corp</stp>
        <stp>MTY_YEARS_TDY</stp>
        <stp>[upload (2).xlsm]Base all $ 3 Duration!R119C3</stp>
        <tr r="C119" s="66"/>
      </tp>
      <tp>
        <v>4.5010266940451746</v>
        <stp/>
        <stp>##V3_BDPV12</stp>
        <stp>XS0290580595 Corp</stp>
        <stp>MTY_YEARS_TDY</stp>
        <stp>[upload (2).xlsm]Base all $ 3 Duration!R152C3</stp>
        <tr r="C152" s="66"/>
      </tp>
      <tp t="s">
        <v>USD</v>
        <stp/>
        <stp>##V3_BDPV12</stp>
        <stp>XS0524610812 Corp</stp>
        <stp>CRNCY</stp>
        <stp>[upload (2).xlsm]Base all $ 3 Duration!R107C12</stp>
        <tr r="L107" s="66"/>
      </tp>
      <tp t="s">
        <v>USD</v>
        <stp/>
        <stp>##V3_BDPV12</stp>
        <stp>XS0708813810 Corp</stp>
        <stp>CRNCY</stp>
        <stp>[upload (2).xlsm]Base all $ 3 Duration!R153C12</stp>
        <tr r="L153" s="66"/>
      </tp>
      <tp>
        <v>3.6440793976728267</v>
        <stp/>
        <stp>##V3_BDPV12</stp>
        <stp>XS0620695204 Corp</stp>
        <stp>MTY_YEARS_TDY</stp>
        <stp>[upload (2).xlsm]Base all $ 3 Duration!R138C3</stp>
        <tr r="C138" s="66"/>
      </tp>
      <tp t="s">
        <v>Sr Unsecured</v>
        <stp/>
        <stp>##V3_BDPV12</stp>
        <stp>XS0559915961 Corp</stp>
        <stp>PAYMENT_RANK</stp>
        <stp>[upload (2).xlsm]Base all $ 3 Duration!R135C14</stp>
        <tr r="N135" s="66"/>
      </tp>
      <tp>
        <v>6.1108829568788501</v>
        <stp/>
        <stp>##V3_BDPV12</stp>
        <stp>XS0979891925 Corp</stp>
        <stp>MTY_YEARS_TDY</stp>
        <stp>[upload (2).xlsm]Base all $ 3 Duration!R124C3</stp>
        <tr r="C124" s="66"/>
      </tp>
      <tp t="s">
        <v>Sr Unsecured</v>
        <stp/>
        <stp>##V3_BDPV12</stp>
        <stp>XS0800817073 Corp</stp>
        <stp>PAYMENT_RANK</stp>
        <stp>[upload (2).xlsm]Base all $ 3 Duration!R142C14</stp>
        <tr r="N142" s="66"/>
      </tp>
      <tp t="s">
        <v>Sr Unsecured</v>
        <stp/>
        <stp>##V3_BDPV12</stp>
        <stp>XS0918604496 Corp</stp>
        <stp>PAYMENT_RANK</stp>
        <stp>[upload (2).xlsm]Base all $ 3 Duration!R103C14</stp>
        <tr r="N103" s="66"/>
      </tp>
      <tp>
        <v>15.5</v>
        <stp/>
        <stp>##V3_BDPV12</stp>
        <stp>AGRO LI Equity</stp>
        <stp>BEST_TARGET_PRICE</stp>
        <stp>[Copy of upload (2).xlsm]Гарез_GRENF!R8C8</stp>
        <tr r="H8" s="115"/>
      </tp>
      <tp>
        <v>8.64642082429501</v>
        <stp/>
        <stp>##V3_BDPV12</stp>
        <stp>UPRO RX EQUITY</stp>
        <stp>BDVD_PROJ_12M_YLD</stp>
        <stp>[upload (2).xlsm]Model Portfolio!R52C27</stp>
        <tr r="AA52" s="98"/>
      </tp>
      <tp>
        <v>78.014168183920233</v>
        <stp/>
        <stp>##V3_BDPV12</stp>
        <stp>XS0841677387 Corp</stp>
        <stp>YLD_YTM_BID</stp>
        <stp>[upload (2).xlsm]Base all $ 3 Duration!R99C6</stp>
        <tr r="F99" s="66"/>
      </tp>
      <tp>
        <v>2.5491959497962542</v>
        <stp/>
        <stp>##V3_BDPV12</stp>
        <stp>XS0381439305 Corp</stp>
        <stp>YLD_YTM_BID</stp>
        <stp>[upload (2).xlsm]Base all $ 3 Duration!R64C6</stp>
        <tr r="F64" s="66"/>
      </tp>
      <tp>
        <v>6.2545999999999999</v>
        <stp/>
        <stp>##V3_BDPV12</stp>
        <stp>XS0643176448 Corp</stp>
        <stp>CPN</stp>
        <stp>[upload (2).xlsm]Base all $ 3 Duration!R79C8</stp>
        <tr r="H79" s="66"/>
      </tp>
      <tp>
        <v>7.75</v>
        <stp/>
        <stp>##V3_BDPV12</stp>
        <stp>XS0772835285 Corp</stp>
        <stp>CPN</stp>
        <stp>[upload (2).xlsm]Base all $ 3 Duration!R31C8</stp>
        <tr r="H31" s="66"/>
      </tp>
      <tp>
        <v>3.7112538598722544</v>
        <stp/>
        <stp>##V3_BDPV12</stp>
        <stp>XS0544362972 Corp</stp>
        <stp>YLD_YTM_BID</stp>
        <stp>[upload (2).xlsm]Base all $ 3 Duration!R70C6</stp>
        <tr r="F70" s="66"/>
      </tp>
      <tp>
        <v>10</v>
        <stp/>
        <stp>##V3_BDPV12</stp>
        <stp>XS0776121062 Corp</stp>
        <stp>CPN</stp>
        <stp>[upload (2).xlsm]Base all $ 3 Duration!R27C8</stp>
        <tr r="H27" s="66"/>
      </tp>
      <tp>
        <v>2.5771708660246677</v>
        <stp/>
        <stp>##V3_BDPV12</stp>
        <stp>XS0365923977 Corp</stp>
        <stp>YLD_YTM_BID</stp>
        <stp>[upload (2).xlsm]Base all $ 3 Duration!R57C6</stp>
        <tr r="F57" s="66"/>
      </tp>
      <tp t="s">
        <v>#N/A N/A</v>
        <stp/>
        <stp>##V3_BDPV12</stp>
        <stp>XS0253861834 Corp</stp>
        <stp>YLD_YTM_BID</stp>
        <stp>[upload (2).xlsm]Base all $ 3 Duration!R91C6</stp>
        <tr r="F91" s="66"/>
      </tp>
      <tp>
        <v>11</v>
        <stp/>
        <stp>##V3_BDPV12</stp>
        <stp>XS0848163456 Corp</stp>
        <stp>CPN</stp>
        <stp>[upload (2).xlsm]Base all $ 3 Duration!R18C8</stp>
        <tr r="H18" s="66"/>
      </tp>
      <tp>
        <v>6.3</v>
        <stp/>
        <stp>##V3_BDPV12</stp>
        <stp>XS0288690539 Corp</stp>
        <stp>CPN</stp>
        <stp>[upload (2).xlsm]Base all $ 3 Duration!R62C8</stp>
        <tr r="H62" s="66"/>
      </tp>
      <tp t="s">
        <v>#N/A N/A</v>
        <stp/>
        <stp>##V3_BDPV12</stp>
        <stp>LNTA LI EQUITY</stp>
        <stp>BDVD_PROJ_12M_YLD</stp>
        <stp>[upload (2).xlsm]Model Portfolio!R37C27</stp>
        <tr r="AA37" s="98"/>
      </tp>
      <tp>
        <v>3.9747647928560506</v>
        <stp/>
        <stp>##V3_BDPV12</stp>
        <stp>XS0585211591 Corp</stp>
        <stp>YLD_YTM_BID</stp>
        <stp>[upload (2).xlsm]Base all $ 3 Duration!R34C6</stp>
        <tr r="F34" s="66"/>
      </tp>
      <tp t="s">
        <v>Highland Gold Mining Ltd</v>
        <stp/>
        <stp>##V3_BDPV12</stp>
        <stp>HGM LN EQUITY</stp>
        <stp>SECURITY_NAME</stp>
        <stp>[Copy of upload (2).xlsm]Гарез_GRENF (2)!R31C4</stp>
        <tr r="D31" s="116"/>
      </tp>
      <tp t="s">
        <v>13/07/2022</v>
        <stp/>
        <stp>##V3_BDPV12</stp>
        <stp>XS0805131439 Corp</stp>
        <stp>MATURITY</stp>
        <stp>[upload (2).xlsm]Base all $ 3 Duration!R126C9</stp>
        <tr r="I126" s="66"/>
      </tp>
      <tp t="s">
        <v>16/06/2021</v>
        <stp/>
        <stp>##V3_BDPV12</stp>
        <stp>XS0638572973 Corp</stp>
        <stp>MATURITY</stp>
        <stp>[upload (2).xlsm]Base all $ 3 Duration!R156C9</stp>
        <tr r="I156" s="66"/>
      </tp>
      <tp t="s">
        <v>02/02/2020</v>
        <stp/>
        <stp>##V3_BDPV12</stp>
        <stp>XS0484209159 Corp</stp>
        <stp>MATURITY</stp>
        <stp>[upload (2).xlsm]Base all $ 3 Duration!R112C9</stp>
        <tr r="I112" s="66"/>
      </tp>
      <tp t="s">
        <v>CALLABLE</v>
        <stp/>
        <stp>##V3_BDPV12</stp>
        <stp>XS1032750165 Corp</stp>
        <stp>MTY_TYP</stp>
        <stp>[upload (2).xlsm]Base all $ 3 Duration!R132C15</stp>
        <tr r="O132" s="66"/>
      </tp>
      <tp t="s">
        <v>AT MATURITY</v>
        <stp/>
        <stp>##V3_BDPV12</stp>
        <stp>XS0743596040 Corp</stp>
        <stp>MTY_TYP</stp>
        <stp>[upload (2).xlsm]Base all $ 3 Duration!R155C15</stp>
        <tr r="O155" s="66"/>
      </tp>
      <tp t="s">
        <v>AT MATURITY</v>
        <stp/>
        <stp>##V3_BDPV12</stp>
        <stp>XS0864383723 Corp</stp>
        <stp>MTY_TYP</stp>
        <stp>[upload (2).xlsm]Base all $ 3 Duration!R147C15</stp>
        <tr r="O147" s="66"/>
      </tp>
      <tp t="s">
        <v>07/03/2022</v>
        <stp/>
        <stp>##V3_BDPV12</stp>
        <stp>XS0290580595 Corp</stp>
        <stp>MATURITY</stp>
        <stp>[upload (2).xlsm]Base all $ 3 Duration!R152C9</stp>
        <tr r="I152" s="66"/>
      </tp>
      <tp t="s">
        <v>AT MATURITY</v>
        <stp/>
        <stp>##V3_BDPV12</stp>
        <stp>XS0972645112 Corp</stp>
        <stp>MTY_TYP</stp>
        <stp>[upload (2).xlsm]Base all $ 3 Duration!R116C15</stp>
        <tr r="O116" s="66"/>
      </tp>
      <tp>
        <v>0.29616532017738595</v>
        <stp/>
        <stp>##V3_BDPV12</stp>
        <stp>SNGSP RX EQUITY</stp>
        <stp>PX_TO_BOOK_RATIO</stp>
        <stp>[upload (2).xlsm]Model Portfolio!R11C18</stp>
        <tr r="R11" s="98"/>
      </tp>
      <tp t="s">
        <v>#N/A N/A</v>
        <stp/>
        <stp>##V3_BDPV12</stp>
        <stp>LXFT US Equity</stp>
        <stp>EQY_DVD_YLD_EST</stp>
        <stp>[Copy of upload (2).xlsm]Гарез_GRENF!R6C20</stp>
        <tr r="T6" s="115"/>
      </tp>
      <tp>
        <v>19.945242984257359</v>
        <stp/>
        <stp>##V3_BDPV12</stp>
        <stp>XS0316524130 Corp</stp>
        <stp>MTY_YEARS_TDY</stp>
        <stp>[upload (2).xlsm]Base all $ 3 Duration!R129C3</stp>
        <tr r="C129" s="66"/>
      </tp>
      <tp>
        <v>4.4243432390852577</v>
        <stp/>
        <stp>##V3_BDPV12</stp>
        <stp>XS0993162683 Corp</stp>
        <stp>INTERVAL_PERCENT_CHANGE</stp>
        <stp>[upload (2).xlsm]Base all $ 3 Duration!R141C17</stp>
        <stp>END_DATE_OVERRIDE</stp>
        <stp xml:space="preserve"> </stp>
        <stp>START_DATE_OVERRIDe</stp>
        <stp>20140716</stp>
        <tr r="Q141" s="66"/>
      </tp>
      <tp t="s">
        <v>VEON Ltd</v>
        <stp/>
        <stp>##V3_BDPV12</stp>
        <stp>VIP US Equity</stp>
        <stp>SECURITY_NAME</stp>
        <stp>[Copy of upload (2).xlsm]Гарез_GRENF!R100C4</stp>
        <tr r="D100" s="115"/>
      </tp>
      <tp>
        <v>2.5019356461818067</v>
        <stp/>
        <stp>##V3_BDPV12</stp>
        <stp>XS0708813810 Corp</stp>
        <stp>INTERVAL_PERCENT_CHANGE</stp>
        <stp>[upload (2).xlsm]Base all $ 3 Duration!R155C17</stp>
        <stp>END_DATE_OVERRIDE</stp>
        <stp xml:space="preserve"> </stp>
        <stp>START_DATE_OVERRIDe</stp>
        <stp>20140716</stp>
        <tr r="Q155" s="66"/>
      </tp>
      <tp>
        <v>2.0184198538406384</v>
        <stp/>
        <stp>##V3_BDPV12</stp>
        <stp>XS0587031096 Corp</stp>
        <stp>INTERVAL_PERCENT_CHANGE</stp>
        <stp>[upload (2).xlsm]Base all $ 3 Duration!R136C17</stp>
        <stp>END_DATE_OVERRIDE</stp>
        <stp xml:space="preserve"> </stp>
        <stp>START_DATE_OVERRIDe</stp>
        <stp>20140716</stp>
        <tr r="Q136" s="66"/>
      </tp>
      <tp>
        <v>0.84290613069356868</v>
        <stp/>
        <stp>##V3_BDPV12</stp>
        <stp>LNTA LI EQUITY</stp>
        <stp>CURRENT_EV_TO_12M_SALES</stp>
        <stp>[upload (2).xlsm]Model Portfolio!R37C17</stp>
        <tr r="Q37" s="98"/>
      </tp>
      <tp t="s">
        <v>#N/A N/A</v>
        <stp/>
        <stp>##V3_BDPV12</stp>
        <stp>XS0772835285 Corp</stp>
        <stp>YLD_YTM_BID</stp>
        <stp>[upload (2).xlsm]Base all $ 3 Duration!R31C6</stp>
        <tr r="F31" s="66"/>
      </tp>
      <tp t="s">
        <v>#N/A N/A</v>
        <stp/>
        <stp>##V3_BDPV12</stp>
        <stp>XS0643176448 Corp</stp>
        <stp>YLD_YTM_BID</stp>
        <stp>[upload (2).xlsm]Base all $ 3 Duration!R79C6</stp>
        <tr r="F79" s="66"/>
      </tp>
      <tp>
        <v>8.6999999999999993</v>
        <stp/>
        <stp>##V3_BDPV12</stp>
        <stp>XS0381439305 Corp</stp>
        <stp>CPN</stp>
        <stp>[upload (2).xlsm]Base all $ 3 Duration!R64C8</stp>
        <tr r="H64" s="66"/>
      </tp>
      <tp>
        <v>13</v>
        <stp/>
        <stp>##V3_BDPV12</stp>
        <stp>XS0841677387 Corp</stp>
        <stp>CPN</stp>
        <stp>[upload (2).xlsm]Base all $ 3 Duration!R99C8</stp>
        <tr r="H99" s="66"/>
      </tp>
      <tp>
        <v>4.8046277186054382</v>
        <stp/>
        <stp>##V3_BDPV12</stp>
        <stp>URKA RX EQUITY</stp>
        <stp>CURRENT_EV_TO_12M_SALES</stp>
        <stp>[upload (2).xlsm]Model Portfolio!R31C17</stp>
        <tr r="Q31" s="98"/>
      </tp>
      <tp>
        <v>8.25</v>
        <stp/>
        <stp>##V3_BDPV12</stp>
        <stp>XS0253861834 Corp</stp>
        <stp>CPN</stp>
        <stp>[upload (2).xlsm]Base all $ 3 Duration!R91C8</stp>
        <tr r="H91" s="66"/>
      </tp>
      <tp>
        <v>3.7240302000000001</v>
        <stp/>
        <stp>##V3_BDPV12</stp>
        <stp>XS0848163456 Corp</stp>
        <stp>YLD_YTM_BID</stp>
        <stp>[upload (2).xlsm]Base all $ 3 Duration!R18C6</stp>
        <tr r="F18" s="66"/>
      </tp>
      <tp>
        <v>147.72157606425165</v>
        <stp/>
        <stp>##V3_BDPV12</stp>
        <stp>XS0776121062 Corp</stp>
        <stp>YLD_YTM_BID</stp>
        <stp>[upload (2).xlsm]Base all $ 3 Duration!R27C6</stp>
        <tr r="F27" s="66"/>
      </tp>
      <tp>
        <v>6.875</v>
        <stp/>
        <stp>##V3_BDPV12</stp>
        <stp>XS0365923977 Corp</stp>
        <stp>CPN</stp>
        <stp>[upload (2).xlsm]Base all $ 3 Duration!R57C8</stp>
        <tr r="H57" s="66"/>
      </tp>
      <tp>
        <v>0.92357748622059255</v>
        <stp/>
        <stp>##V3_BDPV12</stp>
        <stp>TGKA RX EQUITY</stp>
        <stp>CURRENT_EV_TO_12M_SALES</stp>
        <stp>[upload (2).xlsm]Model Portfolio!R60C17</stp>
        <tr r="Q60" s="98"/>
      </tp>
      <tp>
        <v>7.875</v>
        <stp/>
        <stp>##V3_BDPV12</stp>
        <stp>XS0544362972 Corp</stp>
        <stp>CPN</stp>
        <stp>[upload (2).xlsm]Base all $ 3 Duration!R70C8</stp>
        <tr r="H70" s="66"/>
      </tp>
      <tp>
        <v>38.691065240424791</v>
        <stp/>
        <stp>##V3_BDPV12</stp>
        <stp>ALRS RX EQUITY</stp>
        <stp>EBIT_MARGIN</stp>
        <stp>[upload (2).xlsm]Model Portfolio!R5C24</stp>
        <tr r="X5" s="98"/>
      </tp>
      <tp>
        <v>7.75</v>
        <stp/>
        <stp>##V3_BDPV12</stp>
        <stp>XS0585211591 Corp</stp>
        <stp>CPN</stp>
        <stp>[upload (2).xlsm]Base all $ 3 Duration!R34C8</stp>
        <tr r="H34" s="66"/>
      </tp>
      <tp t="s">
        <v>#N/A N/A</v>
        <stp/>
        <stp>##V3_BDPV12</stp>
        <stp>XS0288690539 Corp</stp>
        <stp>YLD_YTM_BID</stp>
        <stp>[upload (2).xlsm]Base all $ 3 Duration!R62C6</stp>
        <tr r="F62" s="66"/>
      </tp>
      <tp t="s">
        <v>RUSSIAN STAND BK (RSF)</v>
        <stp/>
        <stp>##V3_BDPV12</stp>
        <stp>XS0238091507 Corp</stp>
        <stp>name</stp>
        <stp>[upload (2).xlsm]Base all $ 3 Duration!R5C1</stp>
        <tr r="A5" s="66"/>
      </tp>
      <tp t="s">
        <v>07/02/2022</v>
        <stp/>
        <stp>##V3_BDPV12</stp>
        <stp>XS0743596040 Corp</stp>
        <stp>MATURITY</stp>
        <stp>[upload (2).xlsm]Base all $ 3 Duration!R155C9</stp>
        <tr r="I155" s="66"/>
      </tp>
      <tp t="s">
        <v>09/11/2020</v>
        <stp/>
        <stp>##V3_BDPV12</stp>
        <stp>XS0554659671 Corp</stp>
        <stp>MATURITY</stp>
        <stp>[upload (2).xlsm]Base all $ 3 Duration!R114C9</stp>
        <tr r="I114" s="66"/>
      </tp>
      <tp t="s">
        <v>23/05/2023</v>
        <stp/>
        <stp>##V3_BDPV12</stp>
        <stp>XS0935311240 Corp</stp>
        <stp>MATURITY</stp>
        <stp>[upload (2).xlsm]Base all $ 3 Duration!R131C9</stp>
        <tr r="I131" s="66"/>
      </tp>
      <tp t="s">
        <v>AT MATURITY</v>
        <stp/>
        <stp>##V3_BDPV12</stp>
        <stp>XS0554659671 Corp</stp>
        <stp>MTY_TYP</stp>
        <stp>[upload (2).xlsm]Base all $ 3 Duration!R114C15</stp>
        <tr r="O114" s="66"/>
      </tp>
      <tp t="s">
        <v>17/03/2021</v>
        <stp/>
        <stp>##V3_BDPV12</stp>
        <stp>XS1042215480 Corp</stp>
        <stp>MATURITY</stp>
        <stp>[upload (2).xlsm]Base all $ 3 Duration!R120C9</stp>
        <tr r="I120" s="66"/>
      </tp>
      <tp>
        <v>1.6968145857127372</v>
        <stp/>
        <stp>##V3_BDPV12</stp>
        <stp>HGM LN EQUITY</stp>
        <stp>NET_DEBT_TO_EBITDA</stp>
        <stp>[upload (2).xlsm]Model Portfolio!R4C20</stp>
        <tr r="T4" s="98"/>
      </tp>
      <tp t="s">
        <v>AT MATURITY</v>
        <stp/>
        <stp>##V3_BDPV12</stp>
        <stp>XS0620695204 Corp</stp>
        <stp>MTY_TYP</stp>
        <stp>[upload (2).xlsm]Base all $ 3 Duration!R138C15</stp>
        <tr r="O138" s="66"/>
      </tp>
      <tp t="s">
        <v>#N/A N/A</v>
        <stp/>
        <stp>##V3_BDPV12</stp>
        <stp>LXFT US Equity</stp>
        <stp>DVD_EX_DT</stp>
        <stp>[Copy of upload (2).xlsm]Гарез_GRENF (2)!R6C21</stp>
        <tr r="U6" s="116"/>
      </tp>
      <tp>
        <v>332.5</v>
        <stp/>
        <stp>##V3_BDPV12</stp>
        <stp>PIKK RX EQUITY</stp>
        <stp>BEST_TARGET_PRICE</stp>
        <stp>[upload (2).xlsm]Model Portfolio!R68C8</stp>
        <tr r="H68" s="98"/>
      </tp>
      <tp>
        <v>2.6146475017111568</v>
        <stp/>
        <stp>##V3_BDPV12</stp>
        <stp>XS0918604496 Corp</stp>
        <stp>MTY_YEARS_TDY</stp>
        <stp>[upload (2).xlsm]Base all $ 3 Duration!R103C3</stp>
        <tr r="C103" s="66"/>
      </tp>
      <tp t="s">
        <v>USD</v>
        <stp/>
        <stp>##V3_BDPV12</stp>
        <stp>XS0513723873 Corp</stp>
        <stp>CRNCY</stp>
        <stp>[upload (2).xlsm]Base all $ 3 Duration!R110C12</stp>
        <tr r="L110" s="66"/>
      </tp>
      <tp>
        <v>2.6146475017111568</v>
        <stp/>
        <stp>##V3_BDPV12</stp>
        <stp>XS0918297382 Corp</stp>
        <stp>MTY_YEARS_TDY</stp>
        <stp>[upload (2).xlsm]Base all $ 3 Duration!R106C3</stp>
        <tr r="C106" s="66"/>
      </tp>
      <tp t="s">
        <v>#N/A N/A</v>
        <stp/>
        <stp>##V3_BDPV12</stp>
        <stp>BSPB RX EQUITY</stp>
        <stp>CURRENT_EV_TO_12M_SALES</stp>
        <stp>[upload (2).xlsm]Model Portfolio!R77C17</stp>
        <tr r="Q77" s="98"/>
      </tp>
      <tp>
        <v>8.0332552260146866</v>
        <stp/>
        <stp>##V3_BDPV12</stp>
        <stp>XS0918297382 Corp</stp>
        <stp>INTERVAL_PERCENT_CHANGE</stp>
        <stp>[upload (2).xlsm]Base all $ 3 Duration!R109C17</stp>
        <stp>END_DATE_OVERRIDE</stp>
        <stp xml:space="preserve"> </stp>
        <stp>START_DATE_OVERRIDe</stp>
        <stp>20140716</stp>
        <tr r="Q109" s="66"/>
      </tp>
      <tp>
        <v>0.78681274862106165</v>
        <stp/>
        <stp>##V3_BDPV12</stp>
        <stp>OGKB RX EQUITY</stp>
        <stp>CURRENT_EV_TO_12M_SALES</stp>
        <stp>[upload (2).xlsm]Model Portfolio!R57C17</stp>
        <tr r="Q57" s="98"/>
      </tp>
      <tp>
        <v>0.67789964211652465</v>
        <stp/>
        <stp>##V3_BDPV12</stp>
        <stp>XS0979891925 Corp</stp>
        <stp>INTERVAL_PERCENT_CHANGE</stp>
        <stp>[upload (2).xlsm]Base all $ 3 Duration!R126C17</stp>
        <stp>END_DATE_OVERRIDE</stp>
        <stp xml:space="preserve"> </stp>
        <stp>START_DATE_OVERRIDe</stp>
        <stp>20140716</stp>
        <tr r="Q126" s="66"/>
      </tp>
      <tp>
        <v>6.7</v>
        <stp/>
        <stp>##V3_BDPV12</stp>
        <stp>XS0551315384 Corp</stp>
        <stp>CPN</stp>
        <stp>[upload (2).xlsm]Base all $ 3 Duration!R82C8</stp>
        <tr r="H82" s="66"/>
      </tp>
      <tp>
        <v>6.2119999999999997</v>
        <stp/>
        <stp>##V3_BDPV12</stp>
        <stp>XS0276456315 Corp</stp>
        <stp>CPN</stp>
        <stp>[upload (2).xlsm]Base all $ 3 Duration!R90C8</stp>
        <tr r="H90" s="66"/>
      </tp>
      <tp>
        <v>8.75</v>
        <stp/>
        <stp>##V3_BDPV12</stp>
        <stp>XS0855334289 Corp</stp>
        <stp>CPN</stp>
        <stp>[upload (2).xlsm]Base all $ 3 Duration!R50C8</stp>
        <tr r="H50" s="66"/>
      </tp>
      <tp>
        <v>2.9143513582399785</v>
        <stp/>
        <stp>##V3_BDPV12</stp>
        <stp>XS0424860947 Corp</stp>
        <stp>YLD_YTM_BID</stp>
        <stp>[upload (2).xlsm]Base all $ 3 Duration!R46C6</stp>
        <tr r="F46" s="66"/>
      </tp>
      <tp>
        <v>2.2341376228775691</v>
        <stp/>
        <stp>##V3_BDPV12</stp>
        <stp>TRMK RX EQUITY</stp>
        <stp>BDVD_PROJ_12M_YLD</stp>
        <stp>[upload (2).xlsm]Model Portfolio!R21C27</stp>
        <tr r="AA21" s="98"/>
      </tp>
      <tp>
        <v>5.4</v>
        <stp/>
        <stp>##V3_BDPV12</stp>
        <stp>XS0543956717 Corp</stp>
        <stp>CPN</stp>
        <stp>[upload (2).xlsm]Base all $ 3 Duration!R85C8</stp>
        <tr r="H85" s="66"/>
      </tp>
      <tp t="s">
        <v>#N/A N/A</v>
        <stp/>
        <stp>##V3_BDPV12</stp>
        <stp>XS0261906738 Corp</stp>
        <stp>YLD_YTM_BID</stp>
        <stp>[upload (2).xlsm]Base all $ 3 Duration!R89C6</stp>
        <tr r="F89" s="66"/>
      </tp>
      <tp>
        <v>7.63</v>
        <stp/>
        <stp>##V3_BDPV12</stp>
        <stp>XS0312572984 Corp</stp>
        <stp>CPN</stp>
        <stp>[upload (2).xlsm]Base all $ 3 Duration!R22C8</stp>
        <tr r="H22" s="66"/>
      </tp>
      <tp>
        <v>6.2482895000000003</v>
        <stp/>
        <stp>##V3_BDPV12</stp>
        <stp>XS0854763355 Corp</stp>
        <stp>YLD_YTM_BID</stp>
        <stp>[upload (2).xlsm]Base all $ 3 Duration!R28C6</stp>
        <tr r="F28" s="66"/>
      </tp>
      <tp t="s">
        <v>#N/A N/A</v>
        <stp/>
        <stp>##V3_BDPV12</stp>
        <stp>XS0616784509 Corp</stp>
        <stp>YLD_YTM_BID</stp>
        <stp>[upload (2).xlsm]Base all $ 3 Duration!R24C6</stp>
        <tr r="F24" s="66"/>
      </tp>
      <tp t="s">
        <v>#N/A N/A</v>
        <stp/>
        <stp>##V3_BDPV12</stp>
        <stp>XS0236336045 Corp</stp>
        <stp>YLD_YTM_BID</stp>
        <stp>[upload (2).xlsm]Base all $ 3 Duration!R97C6</stp>
        <tr r="F97" s="66"/>
      </tp>
      <tp>
        <v>3.149</v>
        <stp/>
        <stp>##V3_BDPV12</stp>
        <stp>XS0861980372 Corp</stp>
        <stp>CPN</stp>
        <stp>[upload (2).xlsm]Base all $ 3 Duration!R80C8</stp>
        <tr r="H80" s="66"/>
      </tp>
      <tp t="s">
        <v>#N/A N/A</v>
        <stp/>
        <stp>##V3_BDPV12</stp>
        <stp>URKA RX EQUITY</stp>
        <stp>BDVD_PROJ_12M_YLD</stp>
        <stp>[upload (2).xlsm]Model Portfolio!R31C27</stp>
        <tr r="AA31" s="98"/>
      </tp>
      <tp t="s">
        <v>#N/A N/A</v>
        <stp/>
        <stp>##V3_BDPV12</stp>
        <stp>GLTR LI EQUITY</stp>
        <stp>BDVD_PROJ_12M_YLD</stp>
        <stp>[upload (2).xlsm]Model Portfolio!R48C27</stp>
        <tr r="AA48" s="98"/>
      </tp>
      <tp>
        <v>6</v>
        <stp/>
        <stp>##V3_BDPV12</stp>
        <stp>XS0995845566 Corp</stp>
        <stp>CPN</stp>
        <stp>[upload (2).xlsm]Base all $ 3 Duration!R29C8</stp>
        <tr r="H29" s="66"/>
      </tp>
      <tp>
        <v>4.1500000000000004</v>
        <stp/>
        <stp>##V3_BDPV12</stp>
        <stp>XS1043519567 Corp</stp>
        <stp>CPN</stp>
        <stp>[upload (2).xlsm]Base all $ 3 Duration!R74C8</stp>
        <tr r="H74" s="66"/>
      </tp>
      <tp>
        <v>2.8106973000000002</v>
        <stp/>
        <stp>##V3_BDPV12</stp>
        <stp>XS0799357354 Corp</stp>
        <stp>YLD_YTM_BID</stp>
        <stp>[upload (2).xlsm]Base all $ 3 Duration!R55C6</stp>
        <tr r="F55" s="66"/>
      </tp>
      <tp t="s">
        <v>#N/A N/A</v>
        <stp/>
        <stp>##V3_BDPV12</stp>
        <stp>GLPR LI EQUITY</stp>
        <stp>BDVD_PROJ_12M_YLD</stp>
        <stp>[upload (2).xlsm]Model Portfolio!R46C27</stp>
        <tr r="AA46" s="98"/>
      </tp>
      <tp t="s">
        <v>#N/A N/A</v>
        <stp/>
        <stp>##V3_BDPV12</stp>
        <stp>IRAO RX EQUITY</stp>
        <stp>BDVD_PROJ_12M_YLD</stp>
        <stp>[upload (2).xlsm]Model Portfolio!R51C27</stp>
        <tr r="AA51" s="98"/>
      </tp>
      <tp t="s">
        <v>#N/A N/A</v>
        <stp/>
        <stp>##V3_BDPV12</stp>
        <stp>TRCN RX EQUITY</stp>
        <stp>BDVD_PROJ_12M_YLD</stp>
        <stp>[upload (2).xlsm]Model Portfolio!R50C27</stp>
        <tr r="AA50" s="98"/>
      </tp>
      <tp>
        <v>-3.9873957214307802</v>
        <stp/>
        <stp>##V3_BDPV12</stp>
        <stp>KMG LI EQUITY</stp>
        <stp>NET_DEBT_TO_EBITDA</stp>
        <stp>[upload (2).xlsm]Model Portfolio!R9C20</stp>
        <tr r="T9" s="98"/>
      </tp>
      <tp t="s">
        <v>Highland Gold Mining Ltd</v>
        <stp/>
        <stp>##V3_BDPV12</stp>
        <stp>HGM LN EQUITY</stp>
        <stp>SECURITY_NAME</stp>
        <stp>[Copy of upload (2).xlsm]Гарез_GRENF (2)!R33C4</stp>
        <tr r="D33" s="116"/>
      </tp>
      <tp t="s">
        <v>06/03/2022</v>
        <stp/>
        <stp>##V3_BDPV12</stp>
        <stp>XS0861981180 Corp</stp>
        <stp>MATURITY</stp>
        <stp>[upload (2).xlsm]Base all $ 3 Duration!R145C9</stp>
        <tr r="I145" s="66"/>
      </tp>
      <tp>
        <v>8.3055647020085566</v>
        <stp/>
        <stp>##V3_BDPV12</stp>
        <stp>YNDX US EQUITY</stp>
        <stp>PCT_REVENUE_FROM_FOREIGN_SOURCES</stp>
        <stp>[upload (2).xlsm]Model Portfolio!R43C30</stp>
        <tr r="AD43" s="98"/>
      </tp>
      <tp t="s">
        <v>AT MATURITY</v>
        <stp/>
        <stp>##V3_BDPV12</stp>
        <stp>XS0304274599 Corp</stp>
        <stp>MTY_TYP</stp>
        <stp>[upload (2).xlsm]Base all $ 3 Duration!R151C15</stp>
        <tr r="O151" s="66"/>
      </tp>
      <tp t="s">
        <v>26/09/2020</v>
        <stp/>
        <stp>##V3_BDPV12</stp>
        <stp>XS0972645112 Corp</stp>
        <stp>MATURITY</stp>
        <stp>[upload (2).xlsm]Base all $ 3 Duration!R116C9</stp>
        <tr r="I116" s="66"/>
      </tp>
      <tp t="s">
        <v>AT MATURITY</v>
        <stp/>
        <stp>##V3_BDPV12</stp>
        <stp>XS0848530977 Corp</stp>
        <stp>MTY_TYP</stp>
        <stp>[upload (2).xlsm]Base all $ 3 Duration!R150C15</stp>
        <tr r="O150" s="66"/>
      </tp>
      <tp t="s">
        <v>AT MATURITY</v>
        <stp/>
        <stp>##V3_BDPV12</stp>
        <stp>XS0638572973 Corp</stp>
        <stp>MTY_TYP</stp>
        <stp>[upload (2).xlsm]Base all $ 3 Duration!R156C15</stp>
        <tr r="O156" s="66"/>
      </tp>
      <tp t="s">
        <v>AT MATURITY</v>
        <stp/>
        <stp>##V3_BDPV12</stp>
        <stp>XS0805131439 Corp</stp>
        <stp>MTY_TYP</stp>
        <stp>[upload (2).xlsm]Base all $ 3 Duration!R126C15</stp>
        <tr r="O126" s="66"/>
      </tp>
      <tp t="s">
        <v>AT MATURITY</v>
        <stp/>
        <stp>##V3_BDPV12</stp>
        <stp>XS0643183220 Corp</stp>
        <stp>MTY_TYP</stp>
        <stp>[upload (2).xlsm]Base all $ 3 Duration!R133C15</stp>
        <tr r="O133" s="66"/>
      </tp>
      <tp t="s">
        <v>AT MATURITY</v>
        <stp/>
        <stp>##V3_BDPV12</stp>
        <stp>XS0841671000 Corp</stp>
        <stp>MTY_TYP</stp>
        <stp>[upload (2).xlsm]Base all $ 3 Duration!R141C15</stp>
        <tr r="O141" s="66"/>
      </tp>
      <tp t="s">
        <v>22/11/2025</v>
        <stp/>
        <stp>##V3_BDPV12</stp>
        <stp>XS0559915961 Corp</stp>
        <stp>MATURITY</stp>
        <stp>[upload (2).xlsm]Base all $ 3 Duration!R135C9</stp>
        <tr r="I135" s="66"/>
      </tp>
      <tp t="s">
        <v>19/07/2017</v>
        <stp/>
        <stp>##V3_BDPV12</stp>
        <stp>OGZD LI Equity</stp>
        <stp>DVD_EX_DT</stp>
        <stp>[Copy of upload (2).xlsm]Гарез_GRENF (2)!R7C21</stp>
        <tr r="U7" s="116"/>
      </tp>
      <tp>
        <v>40886820</v>
        <stp/>
        <stp>##V3_BDPV12</stp>
        <stp>486 HK EQUITY</stp>
        <stp>AVG_DAILY_VALUE_TRADED_6M</stp>
        <stp>[upload (2).xlsm]Model Portfolio!R30C12</stp>
        <tr r="L30" s="98"/>
      </tp>
      <tp>
        <v>16.643394934976044</v>
        <stp/>
        <stp>##V3_BDPV12</stp>
        <stp>XS0191754729 Corp</stp>
        <stp>MTY_YEARS_TDY</stp>
        <stp>[upload (2).xlsm]Base all $ 3 Duration!R128C3</stp>
        <tr r="C128" s="66"/>
      </tp>
      <tp t="s">
        <v>USD</v>
        <stp/>
        <stp>##V3_BDPV12</stp>
        <stp>XS0979891925 Corp</stp>
        <stp>CRNCY</stp>
        <stp>[upload (2).xlsm]Base all $ 3 Duration!R124C12</stp>
        <tr r="L124" s="66"/>
      </tp>
      <tp>
        <v>3.162217659137577</v>
        <stp/>
        <stp>##V3_BDPV12</stp>
        <stp>XS0555493203 Corp</stp>
        <stp>MTY_YEARS_TDY</stp>
        <stp>[upload (2).xlsm]Base all $ 3 Duration!R109C3</stp>
        <tr r="C109" s="66"/>
      </tp>
      <tp>
        <v>13.15</v>
        <stp/>
        <stp>##V3_BDPV12</stp>
        <stp>AGRO LI Equity</stp>
        <stp>PX_LAST</stp>
        <stp>[Copy of upload (2).xlsm]Гарез_GRENF!R8C7</stp>
        <tr r="G8" s="115"/>
      </tp>
      <tp t="s">
        <v>USD</v>
        <stp/>
        <stp>##V3_BDPV12</stp>
        <stp>XS0559915961 Corp</stp>
        <stp>CRNCY</stp>
        <stp>[upload (2).xlsm]Base all $ 3 Duration!R135C12</stp>
        <tr r="L135" s="66"/>
      </tp>
      <tp>
        <v>4.8295687885010263</v>
        <stp/>
        <stp>##V3_BDPV12</stp>
        <stp>XS0800817073 Corp</stp>
        <stp>MTY_YEARS_TDY</stp>
        <stp>[upload (2).xlsm]Base all $ 3 Duration!R142C3</stp>
        <tr r="C142" s="66"/>
      </tp>
      <tp t="s">
        <v>Sr Unsecured</v>
        <stp/>
        <stp>##V3_BDPV12</stp>
        <stp>XS0290580595 Corp</stp>
        <stp>PAYMENT_RANK</stp>
        <stp>[upload (2).xlsm]Base all $ 3 Duration!R152C14</stp>
        <tr r="N152" s="66"/>
      </tp>
      <tp>
        <v>3.4113620807665983</v>
        <stp/>
        <stp>##V3_BDPV12</stp>
        <stp>XS0587031096 Corp</stp>
        <stp>MTY_YEARS_TDY</stp>
        <stp>[upload (2).xlsm]Base all $ 3 Duration!R134C3</stp>
        <tr r="C134" s="66"/>
      </tp>
      <tp>
        <v>2.1843488582371431</v>
        <stp/>
        <stp>##V3_BDPV12</stp>
        <stp>XS0304274599 Corp</stp>
        <stp>INTERVAL_PERCENT_CHANGE</stp>
        <stp>[upload (2).xlsm]Base all $ 3 Duration!R153C17</stp>
        <stp>END_DATE_OVERRIDE</stp>
        <stp xml:space="preserve"> </stp>
        <stp>START_DATE_OVERRIDe</stp>
        <stp>20140716</stp>
        <tr r="Q153" s="66"/>
      </tp>
      <tp t="s">
        <v>#N/A N/A</v>
        <stp/>
        <stp>##V3_BDPV12</stp>
        <stp>RSTI RX EQUITY</stp>
        <stp>BDVD_PROJ_12M_YLD</stp>
        <stp>[upload (2).xlsm]Model Portfolio!R54C27</stp>
        <tr r="AA54" s="98"/>
      </tp>
      <tp>
        <v>4.9686831777829452</v>
        <stp/>
        <stp>##V3_BDPV12</stp>
        <stp>XS1042215480 Corp</stp>
        <stp>INTERVAL_PERCENT_CHANGE</stp>
        <stp>[upload (2).xlsm]Base all $ 3 Duration!R122C17</stp>
        <stp>END_DATE_OVERRIDE</stp>
        <stp xml:space="preserve"> </stp>
        <stp>START_DATE_OVERRIDe</stp>
        <stp>20140716</stp>
        <tr r="Q122" s="66"/>
      </tp>
      <tp t="s">
        <v>#N/A N/A</v>
        <stp/>
        <stp>##V3_BDPV12</stp>
        <stp>BSPB RX EQUITY</stp>
        <stp>BDVD_PROJ_12M_YLD</stp>
        <stp>[upload (2).xlsm]Model Portfolio!R77C27</stp>
        <tr r="AA77" s="98"/>
      </tp>
      <tp t="s">
        <v>#N/A N/A</v>
        <stp/>
        <stp>##V3_BDPV12</stp>
        <stp>MSRS RX EQUITY</stp>
        <stp>BDVD_PROJ_12M_YLD</stp>
        <stp>[upload (2).xlsm]Model Portfolio!R59C27</stp>
        <tr r="AA59" s="98"/>
      </tp>
      <tp>
        <v>3.9702233250620349</v>
        <stp/>
        <stp>##V3_BDPV12</stp>
        <stp>LSRG RX EQUITY</stp>
        <stp>BDVD_PROJ_12M_YLD</stp>
        <stp>[upload (2).xlsm]Model Portfolio!R69C27</stp>
        <tr r="AA69" s="98"/>
      </tp>
      <tp>
        <v>7.5</v>
        <stp/>
        <stp>##V3_BDPV12</stp>
        <stp>XS0261906738 Corp</stp>
        <stp>CPN</stp>
        <stp>[upload (2).xlsm]Base all $ 3 Duration!R89C8</stp>
        <tr r="H89" s="66"/>
      </tp>
      <tp t="s">
        <v>#N/A N/A</v>
        <stp/>
        <stp>##V3_BDPV12</stp>
        <stp>XS0312572984 Corp</stp>
        <stp>YLD_YTM_BID</stp>
        <stp>[upload (2).xlsm]Base all $ 3 Duration!R22C6</stp>
        <tr r="F22" s="66"/>
      </tp>
      <tp t="s">
        <v>#N/A N/A</v>
        <stp/>
        <stp>##V3_BDPV12</stp>
        <stp>XS0543956717 Corp</stp>
        <stp>YLD_YTM_BID</stp>
        <stp>[upload (2).xlsm]Base all $ 3 Duration!R85C6</stp>
        <tr r="F85" s="66"/>
      </tp>
      <tp t="s">
        <v>#N/A N/A</v>
        <stp/>
        <stp>##V3_BDPV12</stp>
        <stp>XS0855334289 Corp</stp>
        <stp>YLD_YTM_BID</stp>
        <stp>[upload (2).xlsm]Base all $ 3 Duration!R50C6</stp>
        <tr r="F50" s="66"/>
      </tp>
      <tp t="s">
        <v>#N/A N/A</v>
        <stp/>
        <stp>##V3_BDPV12</stp>
        <stp>XS0276456315 Corp</stp>
        <stp>YLD_YTM_BID</stp>
        <stp>[upload (2).xlsm]Base all $ 3 Duration!R90C6</stp>
        <tr r="F90" s="66"/>
      </tp>
      <tp>
        <v>9.25</v>
        <stp/>
        <stp>##V3_BDPV12</stp>
        <stp>XS0424860947 Corp</stp>
        <stp>CPN</stp>
        <stp>[upload (2).xlsm]Base all $ 3 Duration!R46C8</stp>
        <tr r="H46" s="66"/>
      </tp>
      <tp t="s">
        <v>#N/A N/A</v>
        <stp/>
        <stp>##V3_BDPV12</stp>
        <stp>MSNG RX EQUITY</stp>
        <stp>BDVD_PROJ_12M_YLD</stp>
        <stp>[upload (2).xlsm]Model Portfolio!R55C27</stp>
        <tr r="AA55" s="98"/>
      </tp>
      <tp>
        <v>2.0943626738030297</v>
        <stp/>
        <stp>##V3_BDPV12</stp>
        <stp>XS0551315384 Corp</stp>
        <stp>YLD_YTM_BID</stp>
        <stp>[upload (2).xlsm]Base all $ 3 Duration!R82C6</stp>
        <tr r="F82" s="66"/>
      </tp>
      <tp t="s">
        <v>#N/A N/A</v>
        <stp/>
        <stp>##V3_BDPV12</stp>
        <stp>XS0861980372 Corp</stp>
        <stp>YLD_YTM_BID</stp>
        <stp>[upload (2).xlsm]Base all $ 3 Duration!R80C6</stp>
        <tr r="F80" s="66"/>
      </tp>
      <tp>
        <v>5.9670000000000005</v>
        <stp/>
        <stp>##V3_BDPV12</stp>
        <stp>XS0236336045 Corp</stp>
        <stp>CPN</stp>
        <stp>[upload (2).xlsm]Base all $ 3 Duration!R97C8</stp>
        <tr r="H97" s="66"/>
      </tp>
      <tp>
        <v>11</v>
        <stp/>
        <stp>##V3_BDPV12</stp>
        <stp>XS0616784509 Corp</stp>
        <stp>CPN</stp>
        <stp>[upload (2).xlsm]Base all $ 3 Duration!R24C8</stp>
        <tr r="H24" s="66"/>
      </tp>
      <tp>
        <v>8.5</v>
        <stp/>
        <stp>##V3_BDPV12</stp>
        <stp>XS0854763355 Corp</stp>
        <stp>CPN</stp>
        <stp>[upload (2).xlsm]Base all $ 3 Duration!R28C8</stp>
        <tr r="H28" s="66"/>
      </tp>
      <tp>
        <v>3.9977746999999999</v>
        <stp/>
        <stp>##V3_BDPV12</stp>
        <stp>XS1043519567 Corp</stp>
        <stp>YLD_YTM_BID</stp>
        <stp>[upload (2).xlsm]Base all $ 3 Duration!R74C6</stp>
        <tr r="F74" s="66"/>
      </tp>
      <tp>
        <v>5.18</v>
        <stp/>
        <stp>##V3_BDPV12</stp>
        <stp>XS0799357354 Corp</stp>
        <stp>CPN</stp>
        <stp>[upload (2).xlsm]Base all $ 3 Duration!R55C8</stp>
        <tr r="H55" s="66"/>
      </tp>
      <tp>
        <v>3.2954824247873038</v>
        <stp/>
        <stp>##V3_BDPV12</stp>
        <stp>XS0995845566 Corp</stp>
        <stp>YLD_YTM_BID</stp>
        <stp>[upload (2).xlsm]Base all $ 3 Duration!R29C6</stp>
        <tr r="F29" s="66"/>
      </tp>
      <tp>
        <v>302.54522705078125</v>
        <stp/>
        <stp>##V3_BDPV12</stp>
        <stp>TATNP RX EQUITY</stp>
        <stp>BEST_TARGET_PRICE</stp>
        <stp>[upload (2).xlsm]Model Portfolio!R19C8</stp>
        <tr r="H19" s="98"/>
      </tp>
      <tp t="s">
        <v>04/05/2020</v>
        <stp/>
        <stp>##V3_BDPV12</stp>
        <stp>XS0925043100 Corp</stp>
        <stp>MATURITY</stp>
        <stp>[upload (2).xlsm]Base all $ 3 Duration!R100C9</stp>
        <tr r="I100" s="66"/>
      </tp>
      <tp t="s">
        <v>19/09/2022</v>
        <stp/>
        <stp>##V3_BDPV12</stp>
        <stp>XS0830192711 Corp</stp>
        <stp>MATURITY</stp>
        <stp>[upload (2).xlsm]Base all $ 3 Duration!R143C9</stp>
        <tr r="I143" s="66"/>
      </tp>
      <tp t="s">
        <v>Highland Gold Mining Ltd</v>
        <stp/>
        <stp>##V3_BDPV12</stp>
        <stp>HGM LN EQUITY</stp>
        <stp>SECURITY_NAME</stp>
        <stp>[Copy of upload (2).xlsm]Гарез_GRENF (2)!R32C4</stp>
        <tr r="D32" s="116"/>
      </tp>
      <tp t="s">
        <v>13/12/2022</v>
        <stp/>
        <stp>##V3_BDPV12</stp>
        <stp>XS0864383723 Corp</stp>
        <stp>MATURITY</stp>
        <stp>[upload (2).xlsm]Base all $ 3 Duration!R147C9</stp>
        <tr r="I147" s="66"/>
      </tp>
      <tp t="s">
        <v>AT MATURITY</v>
        <stp/>
        <stp>##V3_BDPV12</stp>
        <stp>XS0708813810 Corp</stp>
        <stp>MTY_TYP</stp>
        <stp>[upload (2).xlsm]Base all $ 3 Duration!R153C15</stp>
        <tr r="O153" s="66"/>
      </tp>
      <tp t="s">
        <v>AT MATURITY</v>
        <stp/>
        <stp>##V3_BDPV12</stp>
        <stp>XS0979891925 Corp</stp>
        <stp>MTY_TYP</stp>
        <stp>[upload (2).xlsm]Base all $ 3 Duration!R124C15</stp>
        <tr r="O124" s="66"/>
      </tp>
      <tp>
        <v>21.417248223088386</v>
        <stp/>
        <stp>##V3_BDPV12</stp>
        <stp>BANEP RX EQUITY</stp>
        <stp>NORMALIZED_ROE</stp>
        <stp>[upload (2).xlsm]Model Portfolio!R8C26</stp>
        <tr r="Z8" s="98"/>
      </tp>
      <tp t="s">
        <v>24/04/2023</v>
        <stp/>
        <stp>##V3_BDPV12</stp>
        <stp>XS0919504562 Corp</stp>
        <stp>MATURITY</stp>
        <stp>[upload (2).xlsm]Base all $ 3 Duration!R148C9</stp>
        <tr r="I148" s="66"/>
      </tp>
      <tp t="s">
        <v>Oil&amp;Gas</v>
        <stp/>
        <stp>##V3_BDPV12</stp>
        <stp>BANEP RX EQUITY</stp>
        <stp>INDUSTRY_GROUP</stp>
        <stp>[upload (2).xlsm]Model Portfolio!R8C13</stp>
        <tr r="M8" s="98"/>
      </tp>
      <tp t="s">
        <v>AT MATURITY</v>
        <stp/>
        <stp>##V3_BDPV12</stp>
        <stp>XS0800817073 Corp</stp>
        <stp>MTY_TYP</stp>
        <stp>[upload (2).xlsm]Base all $ 3 Duration!R142C15</stp>
        <tr r="O142" s="66"/>
      </tp>
      <tp t="s">
        <v>AT MATURITY</v>
        <stp/>
        <stp>##V3_BDPV12</stp>
        <stp>XS0559915961 Corp</stp>
        <stp>MTY_TYP</stp>
        <stp>[upload (2).xlsm]Base all $ 3 Duration!R135C15</stp>
        <tr r="O135" s="66"/>
      </tp>
      <tp t="s">
        <v>AT MATURITY</v>
        <stp/>
        <stp>##V3_BDPV12</stp>
        <stp>XS0982861287 Corp</stp>
        <stp>MTY_TYP</stp>
        <stp>[upload (2).xlsm]Base all $ 3 Duration!R113C15</stp>
        <tr r="O113" s="66"/>
      </tp>
      <tp t="s">
        <v>CALLABLE</v>
        <stp/>
        <stp>##V3_BDPV12</stp>
        <stp>XS0920335030 Corp</stp>
        <stp>MTY_TYP</stp>
        <stp>[upload (2).xlsm]Base all $ 3 Duration!R101C15</stp>
        <tr r="O101" s="66"/>
      </tp>
      <tp t="s">
        <v>CALLABLE</v>
        <stp/>
        <stp>##V3_BDPV12</stp>
        <stp>XS0846652666 Corp</stp>
        <stp>MTY_TYP</stp>
        <stp>[upload (2).xlsm]Base all $ 3 Duration!R102C15</stp>
        <tr r="O102" s="66"/>
      </tp>
      <tp t="s">
        <v>AT MATURITY</v>
        <stp/>
        <stp>##V3_BDPV12</stp>
        <stp>XS0861981180 Corp</stp>
        <stp>MTY_TYP</stp>
        <stp>[upload (2).xlsm]Base all $ 3 Duration!R145C15</stp>
        <tr r="O145" s="66"/>
      </tp>
      <tp t="s">
        <v>16/10/2023</v>
        <stp/>
        <stp>##V3_BDPV12</stp>
        <stp>XS0979891925 Corp</stp>
        <stp>MATURITY</stp>
        <stp>[upload (2).xlsm]Base all $ 3 Duration!R124C9</stp>
        <tr r="I124" s="66"/>
      </tp>
      <tp t="s">
        <v>CALLABLE</v>
        <stp/>
        <stp>##V3_BDPV12</stp>
        <stp>XS0953323317 Corp</stp>
        <stp>MTY_TYP</stp>
        <stp>[upload (2).xlsm]Base all $ 3 Duration!R118C15</stp>
        <tr r="O118" s="66"/>
      </tp>
      <tp t="s">
        <v>CALLABLE</v>
        <stp/>
        <stp>##V3_BDPV12</stp>
        <stp>XS0981028177 Corp</stp>
        <stp>MTY_TYP</stp>
        <stp>[upload (2).xlsm]Base all $ 3 Duration!R119C15</stp>
        <tr r="O119" s="66"/>
      </tp>
    </main>
    <main first="bloomberg.rtd">
      <tp t="s">
        <v>#N/A N/A</v>
        <stp/>
        <stp>##V3_BDPV12</stp>
        <stp>RASP RX EQUITY</stp>
        <stp>BEST_TARGET_PRICE</stp>
        <stp>[upload (2).xlsm]Model Portfolio!R28C8</stp>
        <tr r="H28" s="98"/>
      </tp>
      <tp>
        <v>32.968090057373047</v>
        <stp/>
        <stp>##V3_BDPV12</stp>
        <stp>YNDX US EQUITY</stp>
        <stp>BEST_TARGET_PRICE</stp>
        <stp>[upload (2).xlsm]Model Portfolio!R43C8</stp>
        <tr r="H43" s="98"/>
      </tp>
      <tp t="s">
        <v>Sr Unsecured</v>
        <stp/>
        <stp>##V3_BDPV12</stp>
        <stp>XS0921331509 Corp</stp>
        <stp>PAYMENT_RANK</stp>
        <stp>[upload (2).xlsm]Base all $ 3 Duration!R144C14</stp>
        <tr r="N144" s="66"/>
      </tp>
      <tp>
        <v>5.1471594798083506</v>
        <stp/>
        <stp>##V3_BDPV12</stp>
        <stp>XS0848530977 Corp</stp>
        <stp>MTY_YEARS_TDY</stp>
        <stp>[upload (2).xlsm]Base all $ 3 Duration!R150C3</stp>
        <tr r="C150" s="66"/>
      </tp>
      <tp t="s">
        <v>Sr Unsecured</v>
        <stp/>
        <stp>##V3_BDPV12</stp>
        <stp>XS0764220017 Corp</stp>
        <stp>PAYMENT_RANK</stp>
        <stp>[upload (2).xlsm]Base all $ 3 Duration!R149C14</stp>
        <tr r="N149" s="66"/>
      </tp>
      <tp t="s">
        <v>USD</v>
        <stp/>
        <stp>##V3_BDPV12</stp>
        <stp>XS0800817073 Corp</stp>
        <stp>CRNCY</stp>
        <stp>[upload (2).xlsm]Base all $ 3 Duration!R142C12</stp>
        <tr r="L142" s="66"/>
      </tp>
      <tp t="s">
        <v>USD</v>
        <stp/>
        <stp>##V3_BDPV12</stp>
        <stp>XS0920335030 Corp</stp>
        <stp>CRNCY</stp>
        <stp>[upload (2).xlsm]Base all $ 3 Duration!R101C12</stp>
        <tr r="L101" s="66"/>
      </tp>
      <tp>
        <v>3.1047227926078027</v>
        <stp/>
        <stp>##V3_BDPV12</stp>
        <stp>XS0548633659 Corp</stp>
        <stp>MTY_YEARS_TDY</stp>
        <stp>[upload (2).xlsm]Base all $ 3 Duration!R111C3</stp>
        <tr r="C111" s="66"/>
      </tp>
      <tp>
        <v>2.6283367556468171</v>
        <stp/>
        <stp>##V3_BDPV12</stp>
        <stp>XS0808638612 Corp</stp>
        <stp>MTY_YEARS_TDY</stp>
        <stp>[upload (2).xlsm]Base all $ 3 Duration!R105C3</stp>
        <tr r="C105" s="66"/>
      </tp>
      <tp>
        <v>2.6064339493497606</v>
        <stp/>
        <stp>##V3_BDPV12</stp>
        <stp>XS0846652666 Corp</stp>
        <stp>MTY_YEARS_TDY</stp>
        <stp>[upload (2).xlsm]Base all $ 3 Duration!R102C3</stp>
        <tr r="C102" s="66"/>
      </tp>
      <tp t="s">
        <v>Sr Unsecured</v>
        <stp/>
        <stp>##V3_BDPV12</stp>
        <stp>XS0919504562 Corp</stp>
        <stp>PAYMENT_RANK</stp>
        <stp>[upload (2).xlsm]Base all $ 3 Duration!R148C14</stp>
        <tr r="N148" s="66"/>
      </tp>
      <tp t="s">
        <v>Subordinated</v>
        <stp/>
        <stp>##V3_BDPV12</stp>
        <stp>XS0842078536 Corp</stp>
        <stp>PAYMENT_RANK</stp>
        <stp>[upload (2).xlsm]Base all $ 3 Duration!R127C14</stp>
        <tr r="N127" s="66"/>
      </tp>
      <tp>
        <v>4.1890000000000001</v>
        <stp/>
        <stp>##V3_BDPV12</stp>
        <stp>OGZD LI Equity</stp>
        <stp>PX_LAST</stp>
        <stp>[Copy of upload (2).xlsm]Гарез_GRENF!R7C7</stp>
        <tr r="G7" s="115"/>
      </tp>
      <tp t="s">
        <v>Sr Unsecured</v>
        <stp/>
        <stp>##V3_BDPV12</stp>
        <stp>XS0548633659 Corp</stp>
        <stp>PAYMENT_RANK</stp>
        <stp>[upload (2).xlsm]Base all $ 3 Duration!R111C14</stp>
        <tr r="N111" s="66"/>
      </tp>
      <tp>
        <v>6.4750171115674195</v>
        <stp/>
        <stp>##V3_BDPV12</stp>
        <stp>XS1032750165 Corp</stp>
        <stp>MTY_YEARS_TDY</stp>
        <stp>[upload (2).xlsm]Base all $ 3 Duration!R132C3</stp>
        <tr r="C132" s="66"/>
      </tp>
      <tp t="s">
        <v>Sr Unsecured</v>
        <stp/>
        <stp>##V3_BDPV12</stp>
        <stp>XS0643183220 Corp</stp>
        <stp>PAYMENT_RANK</stp>
        <stp>[upload (2).xlsm]Base all $ 3 Duration!R133C14</stp>
        <tr r="N133" s="66"/>
      </tp>
      <tp>
        <v>17.815195071868583</v>
        <stp/>
        <stp>##V3_BDPV12</stp>
        <stp>XS0223715920 Corp</stp>
        <stp>MTY_YEARS_TDY</stp>
        <stp>[upload (2).xlsm]Base all $ 3 Duration!R137C3</stp>
        <tr r="C137" s="66"/>
      </tp>
      <tp t="s">
        <v>Sr Unsecured</v>
        <stp/>
        <stp>##V3_BDPV12</stp>
        <stp>XS0997544860 Corp</stp>
        <stp>PAYMENT_RANK</stp>
        <stp>[upload (2).xlsm]Base all $ 3 Duration!R136C14</stp>
        <tr r="N136" s="66"/>
      </tp>
      <tp>
        <v>3.0003625319405973</v>
        <stp/>
        <stp>##V3_BDPV12</stp>
        <stp>XS0555493203 Corp</stp>
        <stp>INTERVAL_PERCENT_CHANGE</stp>
        <stp>[upload (2).xlsm]Base all $ 3 Duration!R112C17</stp>
        <stp>END_DATE_OVERRIDE</stp>
        <stp xml:space="preserve"> </stp>
        <stp>START_DATE_OVERRIDe</stp>
        <stp>20140716</stp>
        <tr r="Q112" s="66"/>
      </tp>
      <tp>
        <v>-7.1093957622830245E-2</v>
        <stp/>
        <stp>##V3_BDPV12</stp>
        <stp>XS0975320879 Corp</stp>
        <stp>INTERVAL_PERCENT_CHANGE</stp>
        <stp>[upload (2).xlsm]Base all $ 3 Duration!R125C17</stp>
        <stp>END_DATE_OVERRIDE</stp>
        <stp xml:space="preserve"> </stp>
        <stp>START_DATE_OVERRIDe</stp>
        <stp>20140716</stp>
        <tr r="Q125" s="66"/>
      </tp>
      <tp t="s">
        <v>#N/A Field Not Applicable</v>
        <stp/>
        <stp>##V3_BDPV12</stp>
        <stp>KCEL LI EQUITY</stp>
        <stp>CURRENT_EV_TO_12M_SALES</stp>
        <stp>[upload (2).xlsm]Model Portfolio!R65C17</stp>
        <tr r="Q65" s="98"/>
      </tp>
      <tp>
        <v>8.6234476443793202</v>
        <stp/>
        <stp>##V3_BDPV12</stp>
        <stp>MAIL LI EQUITY</stp>
        <stp>CURRENT_EV_TO_12M_SALES</stp>
        <stp>[upload (2).xlsm]Model Portfolio!R44C17</stp>
        <tr r="Q44" s="98"/>
      </tp>
      <tp>
        <v>7.25</v>
        <stp/>
        <stp>##V3_BDPV12</stp>
        <stp>XS0461926569 Corp</stp>
        <stp>CPN</stp>
        <stp>[upload (2).xlsm]Base all $ 3 Duration!R53C8</stp>
        <tr r="H53" s="66"/>
      </tp>
      <tp>
        <v>7.5</v>
        <stp/>
        <stp>##V3_BDPV12</stp>
        <stp>XS0832412505 Corp</stp>
        <stp>CPN</stp>
        <stp>[upload (2).xlsm]Base all $ 3 Duration!R30C8</stp>
        <tr r="H30" s="66"/>
      </tp>
      <tp>
        <v>7.75</v>
        <stp/>
        <stp>##V3_BDPV12</stp>
        <stp>XS0938341780 Corp</stp>
        <stp>CPN</stp>
        <stp>[upload (2).xlsm]Base all $ 3 Duration!R21C8</stp>
        <tr r="H21" s="66"/>
      </tp>
      <tp>
        <v>1.1007866959009864</v>
        <stp/>
        <stp>##V3_BDPV12</stp>
        <stp>EVR LN EQUITY</stp>
        <stp>CURRENT_EV_TO_12M_SALES</stp>
        <stp>[upload (2).xlsm]Model Portfolio!R26C17</stp>
        <tr r="Q26" s="98"/>
      </tp>
      <tp>
        <v>2.3996911000000001</v>
        <stp/>
        <stp>##V3_BDPV12</stp>
        <stp>XS0899969702 Corp</stp>
        <stp>YLD_YTM_BID</stp>
        <stp>[upload (2).xlsm]Base all $ 3 Duration!R71C6</stp>
        <tr r="F71" s="66"/>
      </tp>
      <tp>
        <v>9.5</v>
        <stp/>
        <stp>##V3_BDPV12</stp>
        <stp>XS0359381331 Corp</stp>
        <stp>CPN</stp>
        <stp>[upload (2).xlsm]Base all $ 3 Duration!R36C8</stp>
        <tr r="H36" s="66"/>
      </tp>
      <tp>
        <v>7.35</v>
        <stp/>
        <stp>##V3_BDPV12</stp>
        <stp>XS0426517701 Corp</stp>
        <stp>CPN</stp>
        <stp>[upload (2).xlsm]Base all $ 3 Duration!R88C8</stp>
        <tr r="H88" s="66"/>
      </tp>
      <tp>
        <v>10.75</v>
        <stp/>
        <stp>##V3_BDPV12</stp>
        <stp>XS0954673934 Corp</stp>
        <stp>CPN</stp>
        <stp>[upload (2).xlsm]Base all $ 3 Duration!R16C8</stp>
        <tr r="H16" s="66"/>
      </tp>
      <tp t="s">
        <v>#N/A N/A</v>
        <stp/>
        <stp>##V3_BDPV12</stp>
        <stp>XS0783291221 Corp</stp>
        <stp>YLD_YTM_BID</stp>
        <stp>[upload (2).xlsm]Base all $ 3 Duration!R72C6</stp>
        <tr r="F72" s="66"/>
      </tp>
      <tp>
        <v>3.5397935999999999</v>
        <stp/>
        <stp>##V3_BDPV12</stp>
        <stp>XS0974469206 Corp</stp>
        <stp>YLD_YTM_BID</stp>
        <stp>[upload (2).xlsm]Base all $ 3 Duration!R14C6</stp>
        <tr r="F14" s="66"/>
      </tp>
      <tp>
        <v>10</v>
        <stp/>
        <stp>##V3_BDPV12</stp>
        <stp>XS0973219495 Corp</stp>
        <stp>CPN</stp>
        <stp>[upload (2).xlsm]Base all $ 3 Duration!R11C8</stp>
        <tr r="H11" s="66"/>
      </tp>
      <tp>
        <v>2.3319862710363126</v>
        <stp/>
        <stp>##V3_BDPV12</stp>
        <stp>XS0888245122 Corp</stp>
        <stp>YLD_YTM_BID</stp>
        <stp>[upload (2).xlsm]Base all $ 3 Duration!R73C6</stp>
        <tr r="F73" s="66"/>
      </tp>
      <tp t="s">
        <v>22/06/2020</v>
        <stp/>
        <stp>##V3_BDPV12</stp>
        <stp>XS0513723873 Corp</stp>
        <stp>MATURITY</stp>
        <stp>[upload (2).xlsm]Base all $ 3 Duration!R110C9</stp>
        <tr r="I110" s="66"/>
      </tp>
      <tp>
        <v>3.0737831859512941</v>
        <stp/>
        <stp>##V3_BDPV12</stp>
        <stp>QIWI US EQUITY</stp>
        <stp>PX_TO_BOOK_RATIO</stp>
        <stp>[upload (2).xlsm]Model Portfolio!R40C18</stp>
        <tr r="R40" s="98"/>
      </tp>
      <tp t="s">
        <v>22/04/2020</v>
        <stp/>
        <stp>##V3_BDPV12</stp>
        <stp>XS0808638612 Corp</stp>
        <stp>MATURITY</stp>
        <stp>[upload (2).xlsm]Base all $ 3 Duration!R105C9</stp>
        <tr r="I105" s="66"/>
      </tp>
      <tp t="s">
        <v>09/07/2020</v>
        <stp/>
        <stp>##V3_BDPV12</stp>
        <stp>XS0524610812 Corp</stp>
        <stp>MATURITY</stp>
        <stp>[upload (2).xlsm]Base all $ 3 Duration!R107C9</stp>
        <tr r="I107" s="66"/>
      </tp>
      <tp t="s">
        <v>PERP/CALL</v>
        <stp/>
        <stp>##V3_BDPV12</stp>
        <stp>XS0848137708 Corp</stp>
        <stp>MTY_TYP</stp>
        <stp>[upload (2).xlsm]Base all $ 3 Duration!R122C15</stp>
        <tr r="O122" s="66"/>
      </tp>
      <tp t="s">
        <v>AT MATURITY</v>
        <stp/>
        <stp>##V3_BDPV12</stp>
        <stp>XS0997544860 Corp</stp>
        <stp>MTY_TYP</stp>
        <stp>[upload (2).xlsm]Base all $ 3 Duration!R136C15</stp>
        <tr r="O136" s="66"/>
      </tp>
      <tp>
        <v>96.566650390625</v>
        <stp/>
        <stp>##V3_BDPV12</stp>
        <stp>TRMK RX EQUITY</stp>
        <stp>BEST_TARGET_PRICE</stp>
        <stp>[upload (2).xlsm]Model Portfolio!R21C8</stp>
        <tr r="H21" s="98"/>
      </tp>
      <tp t="s">
        <v>13/09/2017</v>
        <stp/>
        <stp>##V3_BDPV12</stp>
        <stp>AGRO LI Equity</stp>
        <stp>DVD_EX_DT</stp>
        <stp>[Copy of upload (2).xlsm]Гарез_GRENF (2)!R8C21</stp>
        <tr r="U8" s="116"/>
      </tp>
      <tp>
        <v>19.115260512085808</v>
        <stp/>
        <stp>##V3_BDPV12</stp>
        <stp>TATNP RX EQUITY</stp>
        <stp>TRAIL_12M_PROF_MARGIN</stp>
        <stp>[upload (2).xlsm]Model Portfolio!R19C25</stp>
        <tr r="Y19" s="98"/>
      </tp>
      <tp>
        <v>386.10107421875</v>
        <stp/>
        <stp>##V3_BDPV12</stp>
        <stp>ROSN RX EQUITY</stp>
        <stp>BEST_TARGET_PRICE</stp>
        <stp>[upload (2).xlsm]Model Portfolio!R17C8</stp>
        <tr r="H17" s="98"/>
      </tp>
      <tp>
        <v>307.6727294921875</v>
        <stp/>
        <stp>##V3_BDPV12</stp>
        <stp>EVR LN EQUITY</stp>
        <stp>BEST_TARGET_PRICE</stp>
        <stp>[upload (2).xlsm]Model Portfolio!R26C8</stp>
        <tr r="H26" s="98"/>
      </tp>
      <tp t="s">
        <v>#N/A Field Not Applicable</v>
        <stp/>
        <stp>##V3_BDPV12</stp>
        <stp>SBERP RX EQUITY</stp>
        <stp>PX_TO_BOOK_RATIO</stp>
        <stp>[upload (2).xlsm]Model Portfolio!R76C18</stp>
        <tr r="R76" s="98"/>
      </tp>
      <tp t="s">
        <v>USD</v>
        <stp/>
        <stp>##V3_BDPV12</stp>
        <stp>XS0846652666 Corp</stp>
        <stp>CRNCY</stp>
        <stp>[upload (2).xlsm]Base all $ 3 Duration!R102C12</stp>
        <tr r="L102" s="66"/>
      </tp>
      <tp t="s">
        <v>Sr Unsecured</v>
        <stp/>
        <stp>##V3_BDPV12</stp>
        <stp>XS0638572973 Corp</stp>
        <stp>PAYMENT_RANK</stp>
        <stp>[upload (2).xlsm]Base all $ 3 Duration!R156C14</stp>
        <tr r="N156" s="66"/>
      </tp>
      <tp t="s">
        <v>Subordinated</v>
        <stp/>
        <stp>##V3_BDPV12</stp>
        <stp>XS0805131439 Corp</stp>
        <stp>PAYMENT_RANK</stp>
        <stp>[upload (2).xlsm]Base all $ 3 Duration!R126C14</stp>
        <tr r="N126" s="66"/>
      </tp>
      <tp t="s">
        <v>USD</v>
        <stp/>
        <stp>##V3_BDPV12</stp>
        <stp>XS0620695204 Corp</stp>
        <stp>CRNCY</stp>
        <stp>[upload (2).xlsm]Base all $ 3 Duration!R138C12</stp>
        <tr r="L138" s="66"/>
      </tp>
      <tp t="s">
        <v>Sr Unsecured</v>
        <stp/>
        <stp>##V3_BDPV12</stp>
        <stp>XS0588433267 Corp</stp>
        <stp>PAYMENT_RANK</stp>
        <stp>[upload (2).xlsm]Base all $ 3 Duration!R146C14</stp>
        <tr r="N146" s="66"/>
      </tp>
      <tp t="s">
        <v>USD</v>
        <stp/>
        <stp>##V3_BDPV12</stp>
        <stp>XS0919504562 Corp</stp>
        <stp>CRNCY</stp>
        <stp>[upload (2).xlsm]Base all $ 3 Duration!R148C12</stp>
        <tr r="L148" s="66"/>
      </tp>
      <tp t="s">
        <v>USD</v>
        <stp/>
        <stp>##V3_BDPV12</stp>
        <stp>XS0831571434 Corp</stp>
        <stp>CRNCY</stp>
        <stp>[upload (2).xlsm]Base all $ 3 Duration!R157C12</stp>
        <tr r="L157" s="66"/>
      </tp>
      <tp>
        <v>3.1457905544147846</v>
        <stp/>
        <stp>##V3_BDPV12</stp>
        <stp>XS0982861287 Corp</stp>
        <stp>MTY_YEARS_TDY</stp>
        <stp>[upload (2).xlsm]Base all $ 3 Duration!R113C3</stp>
        <tr r="C113" s="66"/>
      </tp>
      <tp t="s">
        <v>USD</v>
        <stp/>
        <stp>##V3_BDPV12</stp>
        <stp>XS0805570354 Corp</stp>
        <stp>CRNCY</stp>
        <stp>[upload (2).xlsm]Base all $ 3 Duration!R154C12</stp>
        <tr r="L154" s="66"/>
      </tp>
      <tp t="s">
        <v>Sr Unsecured</v>
        <stp/>
        <stp>##V3_BDPV12</stp>
        <stp>XS0885733153 Corp</stp>
        <stp>PAYMENT_RANK</stp>
        <stp>[upload (2).xlsm]Base all $ 3 Duration!R115C14</stp>
        <tr r="N115" s="66"/>
      </tp>
      <tp>
        <v>5.0376454483230662</v>
        <stp/>
        <stp>##V3_BDPV12</stp>
        <stp>XS0830192711 Corp</stp>
        <stp>MTY_YEARS_TDY</stp>
        <stp>[upload (2).xlsm]Base all $ 3 Duration!R143C3</stp>
        <tr r="C143" s="66"/>
      </tp>
      <tp t="s">
        <v>Sr Unsecured</v>
        <stp/>
        <stp>##V3_BDPV12</stp>
        <stp>XS0922301717 Corp</stp>
        <stp>PAYMENT_RANK</stp>
        <stp>[upload (2).xlsm]Base all $ 3 Duration!R108C14</stp>
        <tr r="N108" s="66"/>
      </tp>
      <tp t="s">
        <v>#N/A Field Not Applicable</v>
        <stp/>
        <stp>##V3_BDPV12</stp>
        <stp>XS0848137708 Corp</stp>
        <stp>MTY_YEARS_TDY</stp>
        <stp>[upload (2).xlsm]Base all $ 3 Duration!R122C3</stp>
        <tr r="C122" s="66"/>
      </tp>
      <tp t="s">
        <v>Subordinated</v>
        <stp/>
        <stp>##V3_BDPV12</stp>
        <stp>XS0953323317 Corp</stp>
        <stp>PAYMENT_RANK</stp>
        <stp>[upload (2).xlsm]Base all $ 3 Duration!R118C14</stp>
        <tr r="N118" s="66"/>
      </tp>
      <tp t="s">
        <v>Subordinated</v>
        <stp/>
        <stp>##V3_BDPV12</stp>
        <stp>XS0848530977 Corp</stp>
        <stp>PAYMENT_RANK</stp>
        <stp>[upload (2).xlsm]Base all $ 3 Duration!R150C14</stp>
        <tr r="N150" s="66"/>
      </tp>
      <tp>
        <v>7.5133561006042182</v>
        <stp/>
        <stp>##V3_BDPV12</stp>
        <stp>XS0885736925 Corp</stp>
        <stp>INTERVAL_PERCENT_CHANGE</stp>
        <stp>[upload (2).xlsm]Base all $ 3 Duration!R142C17</stp>
        <stp>END_DATE_OVERRIDE</stp>
        <stp xml:space="preserve"> </stp>
        <stp>START_DATE_OVERRIDe</stp>
        <stp>20140716</stp>
        <tr r="Q142" s="66"/>
      </tp>
      <tp>
        <v>3.1463320473127618</v>
        <stp/>
        <stp>##V3_BDPV12</stp>
        <stp>EPAM US EQUITY</stp>
        <stp>CURRENT_EV_TO_12M_SALES</stp>
        <stp>[upload (2).xlsm]Model Portfolio!R42C17</stp>
        <tr r="Q42" s="98"/>
      </tp>
      <tp>
        <v>5.0567281595503077</v>
        <stp/>
        <stp>##V3_BDPV12</stp>
        <stp>XS0191754729 Corp</stp>
        <stp>INTERVAL_PERCENT_CHANGE</stp>
        <stp>[upload (2).xlsm]Base all $ 3 Duration!R130C17</stp>
        <stp>END_DATE_OVERRIDE</stp>
        <stp xml:space="preserve"> </stp>
        <stp>START_DATE_OVERRIDe</stp>
        <stp>20140716</stp>
        <tr r="Q130" s="66"/>
      </tp>
      <tp>
        <v>-0.20075270906964887</v>
        <stp/>
        <stp>##V3_BDPV12</stp>
        <stp>XS0223715920 Corp</stp>
        <stp>INTERVAL_PERCENT_CHANGE</stp>
        <stp>[upload (2).xlsm]Base all $ 3 Duration!R139C17</stp>
        <stp>END_DATE_OVERRIDE</stp>
        <stp xml:space="preserve"> </stp>
        <stp>START_DATE_OVERRIDe</stp>
        <stp>20140716</stp>
        <tr r="Q139" s="66"/>
      </tp>
      <tp t="s">
        <v>#N/A N/A</v>
        <stp/>
        <stp>##V3_BDPV12</stp>
        <stp>KCEL LI EQUITY</stp>
        <stp>BDVD_PROJ_12M_YLD</stp>
        <stp>[upload (2).xlsm]Model Portfolio!R65C27</stp>
        <tr r="AA65" s="98"/>
      </tp>
      <tp>
        <v>5.0485862921337876</v>
        <stp/>
        <stp>##V3_BDPV12</stp>
        <stp>XS0911599701 Corp</stp>
        <stp>INTERVAL_PERCENT_CHANGE</stp>
        <stp>[upload (2).xlsm]Base all $ 3 Duration!R107C17</stp>
        <stp>END_DATE_OVERRIDE</stp>
        <stp xml:space="preserve"> </stp>
        <stp>START_DATE_OVERRIDe</stp>
        <stp>20140716</stp>
        <tr r="Q107" s="66"/>
      </tp>
      <tp>
        <v>4.45</v>
        <stp/>
        <stp>##V3_BDPV12</stp>
        <stp>XS0899969702 Corp</stp>
        <stp>CPN</stp>
        <stp>[upload (2).xlsm]Base all $ 3 Duration!R71C8</stp>
        <tr r="H71" s="66"/>
      </tp>
      <tp t="s">
        <v>#N/A N/A</v>
        <stp/>
        <stp>##V3_BDPV12</stp>
        <stp>XS0938341780 Corp</stp>
        <stp>YLD_YTM_BID</stp>
        <stp>[upload (2).xlsm]Base all $ 3 Duration!R21C6</stp>
        <tr r="F21" s="66"/>
      </tp>
      <tp>
        <v>4.0261338999999996</v>
        <stp/>
        <stp>##V3_BDPV12</stp>
        <stp>XS0832412505 Corp</stp>
        <stp>YLD_YTM_BID</stp>
        <stp>[upload (2).xlsm]Base all $ 3 Duration!R30C6</stp>
        <tr r="F30" s="66"/>
      </tp>
      <tp>
        <v>2.5435137018756366</v>
        <stp/>
        <stp>##V3_BDPV12</stp>
        <stp>XS0461926569 Corp</stp>
        <stp>YLD_YTM_BID</stp>
        <stp>[upload (2).xlsm]Base all $ 3 Duration!R53C6</stp>
        <tr r="F53" s="66"/>
      </tp>
      <tp>
        <v>1.2010195374977075</v>
        <stp/>
        <stp>##V3_BDPV12</stp>
        <stp>RTKM RX EQUITY</stp>
        <stp>CURRENT_EV_TO_12M_SALES</stp>
        <stp>[upload (2).xlsm]Model Portfolio!R66C17</stp>
        <tr r="Q66" s="98"/>
      </tp>
      <tp>
        <v>4.6363846999999998</v>
        <stp/>
        <stp>##V3_BDPV12</stp>
        <stp>XS0954673934 Corp</stp>
        <stp>YLD_YTM_BID</stp>
        <stp>[upload (2).xlsm]Base all $ 3 Duration!R16C6</stp>
        <tr r="F16" s="66"/>
      </tp>
      <tp t="s">
        <v>#N/A N/A</v>
        <stp/>
        <stp>##V3_BDPV12</stp>
        <stp>XS0426517701 Corp</stp>
        <stp>YLD_YTM_BID</stp>
        <stp>[upload (2).xlsm]Base all $ 3 Duration!R88C6</stp>
        <tr r="F88" s="66"/>
      </tp>
      <tp>
        <v>2.3620733936865128</v>
        <stp/>
        <stp>##V3_BDPV12</stp>
        <stp>XS0359381331 Corp</stp>
        <stp>YLD_YTM_BID</stp>
        <stp>[upload (2).xlsm]Base all $ 3 Duration!R36C6</stp>
        <tr r="F36" s="66"/>
      </tp>
      <tp>
        <v>5.625</v>
        <stp/>
        <stp>##V3_BDPV12</stp>
        <stp>XS0783291221 Corp</stp>
        <stp>CPN</stp>
        <stp>[upload (2).xlsm]Base all $ 3 Duration!R72C8</stp>
        <tr r="H72" s="66"/>
      </tp>
      <tp>
        <v>5.3985714912414551</v>
        <stp/>
        <stp>##V3_BDPV12</stp>
        <stp>VEON US Equity</stp>
        <stp>BEST_TARGET_PRICE</stp>
        <stp>[Copy of upload (2).xlsm]Гарез_GRENF!R4C8</stp>
        <tr r="H4" s="115"/>
      </tp>
      <tp>
        <v>18.123593400000001</v>
        <stp/>
        <stp>##V3_BDPV12</stp>
        <stp>XS0973219495 Corp</stp>
        <stp>YLD_YTM_BID</stp>
        <stp>[upload (2).xlsm]Base all $ 3 Duration!R11C6</stp>
        <tr r="F11" s="66"/>
      </tp>
      <tp>
        <v>4.2039999999999997</v>
        <stp/>
        <stp>##V3_BDPV12</stp>
        <stp>XS0888245122 Corp</stp>
        <stp>CPN</stp>
        <stp>[upload (2).xlsm]Base all $ 3 Duration!R73C8</stp>
        <tr r="H73" s="66"/>
      </tp>
      <tp>
        <v>7.625</v>
        <stp/>
        <stp>##V3_BDPV12</stp>
        <stp>XS0974469206 Corp</stp>
        <stp>CPN</stp>
        <stp>[upload (2).xlsm]Base all $ 3 Duration!R14C8</stp>
        <tr r="H14" s="66"/>
      </tp>
      <tp t="s">
        <v>#N/A N/A</v>
        <stp/>
        <stp>##V3_BDPV12</stp>
        <stp>HGM LN EQUITY</stp>
        <stp>EPS_GROWTH</stp>
        <stp>[upload (2).xlsm]Model Portfolio!R4C22</stp>
        <tr r="V4" s="98"/>
      </tp>
      <tp>
        <v>3.7675707209380747</v>
        <stp/>
        <stp>##V3_BDPV12</stp>
        <stp>PIKK RX EQUITY</stp>
        <stp>PX_TO_BOOK_RATIO</stp>
        <stp>[upload (2).xlsm]Model Portfolio!R68C18</stp>
        <tr r="R68" s="98"/>
      </tp>
      <tp>
        <v>3.1825359135699869</v>
        <stp/>
        <stp>##V3_BDPV12</stp>
        <stp>PHOR RX EQUITY</stp>
        <stp>PX_TO_BOOK_RATIO</stp>
        <stp>[upload (2).xlsm]Model Portfolio!R32C18</stp>
        <tr r="R32" s="98"/>
      </tp>
      <tp t="s">
        <v>28/04/2021</v>
        <stp/>
        <stp>##V3_BDPV12</stp>
        <stp>XS0620695204 Corp</stp>
        <stp>MATURITY</stp>
        <stp>[upload (2).xlsm]Base all $ 3 Duration!R138C9</stp>
        <tr r="I138" s="66"/>
      </tp>
      <tp t="s">
        <v>Mining</v>
        <stp/>
        <stp>##V3_BDPV12</stp>
        <stp>486 HK EQUITY</stp>
        <stp>INDUSTRY_GROUP</stp>
        <stp>[upload (2).xlsm]Model Portfolio!R30C13</stp>
        <tr r="M30" s="98"/>
      </tp>
      <tp t="s">
        <v>AT MATURITY</v>
        <stp/>
        <stp>##V3_BDPV12</stp>
        <stp>XS0548633659 Corp</stp>
        <stp>MTY_TYP</stp>
        <stp>[upload (2).xlsm]Base all $ 3 Duration!R111C15</stp>
        <tr r="O111" s="66"/>
      </tp>
      <tp t="s">
        <v>AT MATURITY</v>
        <stp/>
        <stp>##V3_BDPV12</stp>
        <stp>XS0889401724 Corp</stp>
        <stp>MTY_TYP</stp>
        <stp>[upload (2).xlsm]Base all $ 3 Duration!R130C15</stp>
        <tr r="O130" s="66"/>
      </tp>
      <tp t="s">
        <v>AT MATURITY</v>
        <stp/>
        <stp>##V3_BDPV12</stp>
        <stp>XS0808638612 Corp</stp>
        <stp>MTY_TYP</stp>
        <stp>[upload (2).xlsm]Base all $ 3 Duration!R105C15</stp>
        <tr r="O105" s="66"/>
      </tp>
      <tp>
        <v>79.435897827148438</v>
        <stp/>
        <stp>##V3_BDPV12</stp>
        <stp>RTKM RX EQUITY</stp>
        <stp>BEST_TARGET_PRICE</stp>
        <stp>[upload (2).xlsm]Model Portfolio!R66C8</stp>
        <tr r="H66" s="98"/>
      </tp>
      <tp>
        <v>137.6595458984375</v>
        <stp/>
        <stp>##V3_BDPV12</stp>
        <stp>URKA RX EQUITY</stp>
        <stp>BEST_TARGET_PRICE</stp>
        <stp>[upload (2).xlsm]Model Portfolio!R31C8</stp>
        <tr r="H31" s="98"/>
      </tp>
      <tp>
        <v>3469.008056640625</v>
        <stp/>
        <stp>##V3_BDPV12</stp>
        <stp>TRCN RX EQUITY</stp>
        <stp>BEST_TARGET_PRICE</stp>
        <stp>[upload (2).xlsm]Model Portfolio!R50C8</stp>
        <tr r="H50" s="98"/>
      </tp>
      <tp>
        <v>1.3499999418854713E-2</v>
        <stp/>
        <stp>##V3_BDPV12</stp>
        <stp>TGKA RX EQUITY</stp>
        <stp>BEST_TARGET_PRICE</stp>
        <stp>[upload (2).xlsm]Model Portfolio!R60C8</stp>
        <tr r="H60" s="98"/>
      </tp>
      <tp t="s">
        <v>Highland Gold Mining Ltd</v>
        <stp/>
        <stp>##V3_BDPV12</stp>
        <stp>HGM LN Equity</stp>
        <stp>SECURITY_NAME</stp>
        <stp>[Copy of upload (2).xlsm]Гарез_GRENF!R71C4</stp>
        <tr r="D71" s="115"/>
      </tp>
      <tp>
        <v>2.6611909650924024</v>
        <stp/>
        <stp>##V3_BDPV12</stp>
        <stp>XS0925043100 Corp</stp>
        <stp>MTY_YEARS_TDY</stp>
        <stp>[upload (2).xlsm]Base all $ 3 Duration!R100C3</stp>
        <tr r="C100" s="66"/>
      </tp>
      <tp t="s">
        <v>Sr Unsecured</v>
        <stp/>
        <stp>##V3_BDPV12</stp>
        <stp>XS0864383723 Corp</stp>
        <stp>PAYMENT_RANK</stp>
        <stp>[upload (2).xlsm]Base all $ 3 Duration!R147C14</stp>
        <tr r="N147" s="66"/>
      </tp>
      <tp t="s">
        <v>Subordinated</v>
        <stp/>
        <stp>##V3_BDPV12</stp>
        <stp>XS0848137708 Corp</stp>
        <stp>PAYMENT_RANK</stp>
        <stp>[upload (2).xlsm]Base all $ 3 Duration!R122C14</stp>
        <tr r="N122" s="66"/>
      </tp>
      <tp>
        <v>6.2094455852156054</v>
        <stp/>
        <stp>##V3_BDPV12</stp>
        <stp>XS0993162683 Corp</stp>
        <stp>MTY_YEARS_TDY</stp>
        <stp>[upload (2).xlsm]Base all $ 3 Duration!R139C3</stp>
        <tr r="C139" s="66"/>
      </tp>
      <tp t="s">
        <v>Sr Unsecured</v>
        <stp/>
        <stp>##V3_BDPV12</stp>
        <stp>XS0554659671 Corp</stp>
        <stp>PAYMENT_RANK</stp>
        <stp>[upload (2).xlsm]Base all $ 3 Duration!R114C14</stp>
        <tr r="N114" s="66"/>
      </tp>
      <tp t="s">
        <v>INTER RAO</v>
        <stp/>
        <stp>##V3_BDPV12</stp>
        <stp>IRAO RX Equity</stp>
        <stp>SHORT_NAME</stp>
        <stp>[upload (2).xlsm]Sheet3!R5C1</stp>
        <tr r="A5" s="77"/>
      </tp>
      <tp>
        <v>4.4845995893223822</v>
        <stp/>
        <stp>##V3_BDPV12</stp>
        <stp>XS0643183220 Corp</stp>
        <stp>MTY_YEARS_TDY</stp>
        <stp>[upload (2).xlsm]Base all $ 3 Duration!R133C3</stp>
        <tr r="C133" s="66"/>
      </tp>
      <tp t="s">
        <v>Sr Unsecured</v>
        <stp/>
        <stp>##V3_BDPV12</stp>
        <stp>XS0861981180 Corp</stp>
        <stp>PAYMENT_RANK</stp>
        <stp>[upload (2).xlsm]Base all $ 3 Duration!R145C14</stp>
        <tr r="N145" s="66"/>
      </tp>
      <tp t="s">
        <v>#N/A Field Not Applicable</v>
        <stp/>
        <stp>##V3_BDPV12</stp>
        <stp>TATNP RX EQUITY</stp>
        <stp>PX_TO_BOOK_RATIO</stp>
        <stp>[upload (2).xlsm]Model Portfolio!R19C18</stp>
        <tr r="R19" s="98"/>
      </tp>
      <tp t="s">
        <v>USD</v>
        <stp/>
        <stp>##V3_BDPV12</stp>
        <stp>XS0935311240 Corp</stp>
        <stp>CRNCY</stp>
        <stp>[upload (2).xlsm]Base all $ 3 Duration!R131C12</stp>
        <tr r="L131" s="66"/>
      </tp>
      <tp>
        <v>2.7953456536618755</v>
        <stp/>
        <stp>##V3_BDPV12</stp>
        <stp>XS0513723873 Corp</stp>
        <stp>MTY_YEARS_TDY</stp>
        <stp>[upload (2).xlsm]Base all $ 3 Duration!R110C3</stp>
        <tr r="C110" s="66"/>
      </tp>
      <tp t="s">
        <v>Subordinated</v>
        <stp/>
        <stp>##V3_BDPV12</stp>
        <stp>XS0632887997 Corp</stp>
        <stp>PAYMENT_RANK</stp>
        <stp>[upload (2).xlsm]Base all $ 3 Duration!R125C14</stp>
        <tr r="N125" s="66"/>
      </tp>
      <tp>
        <v>2.8418891170431211</v>
        <stp/>
        <stp>##V3_BDPV12</stp>
        <stp>XS0524610812 Corp</stp>
        <stp>MTY_YEARS_TDY</stp>
        <stp>[upload (2).xlsm]Base all $ 3 Duration!R107C3</stp>
        <tr r="C107" s="66"/>
      </tp>
      <tp t="s">
        <v>Sr Unsecured</v>
        <stp/>
        <stp>##V3_BDPV12</stp>
        <stp>XS0743596040 Corp</stp>
        <stp>PAYMENT_RANK</stp>
        <stp>[upload (2).xlsm]Base all $ 3 Duration!R155C14</stp>
        <tr r="N155" s="66"/>
      </tp>
      <tp t="s">
        <v>USD</v>
        <stp/>
        <stp>##V3_BDPV12</stp>
        <stp>XS0885733153 Corp</stp>
        <stp>CRNCY</stp>
        <stp>[upload (2).xlsm]Base all $ 3 Duration!R115C12</stp>
        <tr r="L115" s="66"/>
      </tp>
      <tp t="s">
        <v>USD</v>
        <stp/>
        <stp>##V3_BDPV12</stp>
        <stp>XS0982861287 Corp</stp>
        <stp>CRNCY</stp>
        <stp>[upload (2).xlsm]Base all $ 3 Duration!R113C12</stp>
        <tr r="L113" s="66"/>
      </tp>
      <tp>
        <v>2.598564850850686</v>
        <stp/>
        <stp>##V3_BDPV12</stp>
        <stp>AKRN RX EQUITY</stp>
        <stp>CURRENT_EV_TO_12M_SALES</stp>
        <stp>[upload (2).xlsm]Model Portfolio!R33C17</stp>
        <tr r="Q33" s="98"/>
      </tp>
      <tp>
        <v>8.9424174678713673</v>
        <stp/>
        <stp>##V3_BDPV12</stp>
        <stp>XS0841671000 Corp</stp>
        <stp>INTERVAL_PERCENT_CHANGE</stp>
        <stp>[upload (2).xlsm]Base all $ 3 Duration!R143C17</stp>
        <stp>END_DATE_OVERRIDE</stp>
        <stp xml:space="preserve"> </stp>
        <stp>START_DATE_OVERRIDe</stp>
        <stp>20140716</stp>
        <tr r="Q143" s="66"/>
      </tp>
      <tp>
        <v>1.5283735779556533</v>
        <stp/>
        <stp>##V3_BDPV12</stp>
        <stp>ETLN LI EQUITY</stp>
        <stp>CURRENT_EV_TO_12M_SALES</stp>
        <stp>[upload (2).xlsm]Model Portfolio!R70C17</stp>
        <tr r="Q70" s="98"/>
      </tp>
      <tp>
        <v>3.4799790093668586</v>
        <stp/>
        <stp>##V3_BDPV12</stp>
        <stp>XS0831571434 Corp</stp>
        <stp>INTERVAL_PERCENT_CHANGE</stp>
        <stp>[upload (2).xlsm]Base all $ 3 Duration!R159C17</stp>
        <stp>END_DATE_OVERRIDE</stp>
        <stp xml:space="preserve"> </stp>
        <stp>START_DATE_OVERRIDe</stp>
        <stp>20140716</stp>
        <tr r="Q159" s="66"/>
      </tp>
      <tp>
        <v>3.7263461621709486</v>
        <stp/>
        <stp>##V3_BDPV12</stp>
        <stp>GMKN RX EQUITY</stp>
        <stp>CURRENT_EV_TO_12M_SALES</stp>
        <stp>[upload (2).xlsm]Model Portfolio!R29C17</stp>
        <tr r="Q29" s="98"/>
      </tp>
      <tp>
        <v>5.5832442502768087</v>
        <stp/>
        <stp>##V3_BDPV12</stp>
        <stp>XS0620695204 Corp</stp>
        <stp>INTERVAL_PERCENT_CHANGE</stp>
        <stp>[upload (2).xlsm]Base all $ 3 Duration!R140C17</stp>
        <stp>END_DATE_OVERRIDE</stp>
        <stp xml:space="preserve"> </stp>
        <stp>START_DATE_OVERRIDe</stp>
        <stp>20140716</stp>
        <tr r="Q140" s="66"/>
      </tp>
      <tp>
        <v>4.2885973763874876</v>
        <stp/>
        <stp>##V3_BDPV12</stp>
        <stp>XS0889401724 Corp</stp>
        <stp>INTERVAL_PERCENT_CHANGE</stp>
        <stp>[upload (2).xlsm]Base all $ 3 Duration!R132C17</stp>
        <stp>END_DATE_OVERRIDE</stp>
        <stp xml:space="preserve"> </stp>
        <stp>START_DATE_OVERRIDe</stp>
        <stp>20140716</stp>
        <tr r="Q132" s="66"/>
      </tp>
      <tp>
        <v>2.8730360648544284</v>
        <stp/>
        <stp>##V3_BDPV12</stp>
        <stp>486 HK EQUITY</stp>
        <stp>PX_TO_BOOK_RATIO</stp>
        <stp>[upload (2).xlsm]Model Portfolio!R30C18</stp>
        <tr r="R30" s="98"/>
      </tp>
      <tp>
        <v>3.781242303536092</v>
        <stp/>
        <stp>##V3_BDPV12</stp>
        <stp>XS0810596832 Corp</stp>
        <stp>INTERVAL_PERCENT_CHANGE</stp>
        <stp>[upload (2).xlsm]Base all $ 3 Duration!R123C17</stp>
        <stp>END_DATE_OVERRIDE</stp>
        <stp xml:space="preserve"> </stp>
        <stp>START_DATE_OVERRIDe</stp>
        <stp>20140716</stp>
        <tr r="Q123" s="66"/>
      </tp>
      <tp>
        <v>5.9426903850168102</v>
        <stp/>
        <stp>##V3_BDPV12</stp>
        <stp>XS0316524130 Corp</stp>
        <stp>INTERVAL_PERCENT_CHANGE</stp>
        <stp>[upload (2).xlsm]Base all $ 3 Duration!R131C17</stp>
        <stp>END_DATE_OVERRIDE</stp>
        <stp xml:space="preserve"> </stp>
        <stp>START_DATE_OVERRIDe</stp>
        <stp>20140716</stp>
        <tr r="Q131" s="66"/>
      </tp>
      <tp>
        <v>1.8518583103045707</v>
        <stp/>
        <stp>##V3_BDPV12</stp>
        <stp>MFON RX EQUITY</stp>
        <stp>CURRENT_EV_TO_12M_SALES</stp>
        <stp>[upload (2).xlsm]Model Portfolio!R62C17</stp>
        <tr r="Q62" s="98"/>
      </tp>
      <tp>
        <v>1.296300818180198</v>
        <stp/>
        <stp>##V3_BDPV12</stp>
        <stp>MAGN RX EQUITY</stp>
        <stp>CURRENT_EV_TO_12M_SALES</stp>
        <stp>[upload (2).xlsm]Model Portfolio!R23C17</stp>
        <tr r="Q23" s="98"/>
      </tp>
      <tp>
        <v>9.3825397000000006</v>
        <stp/>
        <stp>##V3_BDPV12</stp>
        <stp>XS0923110232 Corp</stp>
        <stp>YLD_YTM_BID</stp>
        <stp>[upload (2).xlsm]Base all $ 3 Duration!R35C6</stp>
        <tr r="F35" s="66"/>
      </tp>
      <tp>
        <v>7.875</v>
        <stp/>
        <stp>##V3_BDPV12</stp>
        <stp>XS0324963932 Corp</stp>
        <stp>CPN</stp>
        <stp>[upload (2).xlsm]Base all $ 3 Duration!R59C8</stp>
        <tr r="H59" s="66"/>
      </tp>
      <tp>
        <v>3.2476229999999999</v>
        <stp/>
        <stp>##V3_BDPV12</stp>
        <stp>XS0922883318 Corp</stp>
        <stp>YLD_YTM_BID</stp>
        <stp>[upload (2).xlsm]Base all $ 3 Duration!R56C6</stp>
        <tr r="F56" s="66"/>
      </tp>
      <tp t="s">
        <v>#N/A Field Not Applicable</v>
        <stp/>
        <stp>##V3_BDPV12</stp>
        <stp>VIP US EQUITY</stp>
        <stp>CURRENT_EV_TO_12M_SALES</stp>
        <stp>[upload (2).xlsm]Model Portfolio!R61C17</stp>
        <tr r="Q61" s="98"/>
      </tp>
      <tp>
        <v>1.002114589667189</v>
        <stp/>
        <stp>##V3_BDPV12</stp>
        <stp>SIBN RX EQUITY</stp>
        <stp>CURRENT_EV_TO_12M_SALES</stp>
        <stp>[upload (2).xlsm]Model Portfolio!R15C17</stp>
        <tr r="Q15" s="98"/>
      </tp>
      <tp>
        <v>8.5</v>
        <stp/>
        <stp>##V3_BDPV12</stp>
        <stp>XS0775984213 Corp</stp>
        <stp>CPN</stp>
        <stp>[upload (2).xlsm]Base all $ 3 Duration!R42C8</stp>
        <tr r="H42" s="66"/>
      </tp>
      <tp>
        <v>1.1412882006745262</v>
        <stp/>
        <stp>##V3_BDPV12</stp>
        <stp>ROSN RX EQUITY</stp>
        <stp>CURRENT_EV_TO_12M_SALES</stp>
        <stp>[upload (2).xlsm]Model Portfolio!R17C17</stp>
        <tr r="Q17" s="98"/>
      </tp>
      <tp>
        <v>4.4584029999999997</v>
        <stp/>
        <stp>##V3_BDPV12</stp>
        <stp>XS0808636913 Corp</stp>
        <stp>YLD_YTM_BID</stp>
        <stp>[upload (2).xlsm]Base all $ 3 Duration!R17C6</stp>
        <tr r="F17" s="66"/>
      </tp>
      <tp>
        <v>1.0248223250814665</v>
        <stp/>
        <stp>##V3_BDPV12</stp>
        <stp>TRCN RX EQUITY</stp>
        <stp>CURRENT_EV_TO_12M_SALES</stp>
        <stp>[upload (2).xlsm]Model Portfolio!R50C17</stp>
        <tr r="Q50" s="98"/>
      </tp>
      <tp t="s">
        <v>#N/A N/A</v>
        <stp/>
        <stp>##V3_BDPV12</stp>
        <stp>XS0652913558 Corp</stp>
        <stp>YLD_YTM_BID</stp>
        <stp>[upload (2).xlsm]Base all $ 3 Duration!R60C6</stp>
        <tr r="F60" s="66"/>
      </tp>
      <tp>
        <v>1.5728084684574033</v>
        <stp/>
        <stp>##V3_BDPV12</stp>
        <stp>TATN RX EQUITY</stp>
        <stp>CURRENT_EV_TO_12M_SALES</stp>
        <stp>[upload (2).xlsm]Model Portfolio!R14C17</stp>
        <tr r="Q14" s="98"/>
      </tp>
      <tp>
        <v>4.375</v>
        <stp/>
        <stp>##V3_BDPV12</stp>
        <stp>XS0922134712 Corp</stp>
        <stp>CPN</stp>
        <stp>[upload (2).xlsm]Base all $ 3 Duration!R76C8</stp>
        <tr r="H76" s="66"/>
      </tp>
      <tp>
        <v>9.125</v>
        <stp/>
        <stp>##V3_BDPV12</stp>
        <stp>XS0361041808 Corp</stp>
        <stp>CPN</stp>
        <stp>[upload (2).xlsm]Base all $ 3 Duration!R51C8</stp>
        <tr r="H51" s="66"/>
      </tp>
      <tp>
        <v>72.995000000000005</v>
        <stp/>
        <stp>##V3_BDPV12</stp>
        <stp>XS0920334900 Corp</stp>
        <stp>px_ask</stp>
        <stp>[upload (2).xlsm]Base all $ 3 Duration!R6C5</stp>
        <tr r="E6" s="66"/>
      </tp>
      <tp>
        <v>-46.097911843023958</v>
        <stp/>
        <stp>##V3_BDPV12</stp>
        <stp>KMG LI EQUITY</stp>
        <stp>EPS_GROWTH</stp>
        <stp>[upload (2).xlsm]Model Portfolio!R9C22</stp>
        <tr r="V9" s="98"/>
      </tp>
      <tp>
        <v>0</v>
        <stp/>
        <stp>##V3_BDPV12</stp>
        <stp>UPRO RX EQUITY</stp>
        <stp>PCT_REVENUE_FROM_FOREIGN_SOURCES</stp>
        <stp>[upload (2).xlsm]Model Portfolio!R52C30</stp>
        <tr r="AD52" s="98"/>
      </tp>
      <tp>
        <v>78.68122598751259</v>
        <stp/>
        <stp>##V3_BDPV12</stp>
        <stp>URKA RX EQUITY</stp>
        <stp>PCT_REVENUE_FROM_FOREIGN_SOURCES</stp>
        <stp>[upload (2).xlsm]Model Portfolio!R31C30</stp>
        <tr r="AD31" s="98"/>
      </tp>
      <tp>
        <v>1.0169139601710289</v>
        <stp/>
        <stp>##V3_BDPV12</stp>
        <stp>SVAV RX EQUITY</stp>
        <stp>PX_TO_BOOK_RATIO</stp>
        <stp>[upload (2).xlsm]Model Portfolio!R72C18</stp>
        <tr r="R72" s="98"/>
      </tp>
      <tp>
        <v>4.8845833147903202</v>
        <stp/>
        <stp>##V3_BDPV12</stp>
        <stp>EVR LN EQUITY</stp>
        <stp>PX_TO_BOOK_RATIO</stp>
        <stp>[upload (2).xlsm]Model Portfolio!R26C18</stp>
        <tr r="R26" s="98"/>
      </tp>
      <tp>
        <v>0.73398136680982484</v>
        <stp/>
        <stp>##V3_BDPV12</stp>
        <stp>SIBN RX EQUITY</stp>
        <stp>PX_TO_BOOK_RATIO</stp>
        <stp>[upload (2).xlsm]Model Portfolio!R15C18</stp>
        <tr r="R15" s="98"/>
      </tp>
      <tp t="s">
        <v>27/11/2023</v>
        <stp/>
        <stp>##V3_BDPV12</stp>
        <stp>XS0997544860 Corp</stp>
        <stp>MATURITY</stp>
        <stp>[upload (2).xlsm]Base all $ 3 Duration!R136C9</stp>
        <tr r="I136" s="66"/>
      </tp>
      <tp>
        <v>0.28845268142678471</v>
        <stp/>
        <stp>##V3_BDPV12</stp>
        <stp>SNGS RX EQUITY</stp>
        <stp>PX_TO_BOOK_RATIO</stp>
        <stp>[upload (2).xlsm]Model Portfolio!R10C18</stp>
        <tr r="R10" s="98"/>
      </tp>
      <tp t="s">
        <v>#N/A Field Not Applicable</v>
        <stp/>
        <stp>##V3_BDPV12</stp>
        <stp>XS0810596832 Corp</stp>
        <stp>MATURITY</stp>
        <stp>[upload (2).xlsm]Base all $ 3 Duration!R121C9</stp>
        <tr r="I121" s="66"/>
      </tp>
      <tp t="s">
        <v>19/04/2021</v>
        <stp/>
        <stp>##V3_BDPV12</stp>
        <stp>XS0981028177 Corp</stp>
        <stp>MATURITY</stp>
        <stp>[upload (2).xlsm]Base all $ 3 Duration!R119C9</stp>
        <tr r="I119" s="66"/>
      </tp>
      <tp t="s">
        <v>#N/A Field Not Applicable</v>
        <stp/>
        <stp>##V3_BDPV12</stp>
        <stp>VIP US EQUITY</stp>
        <stp>PX_TO_BOOK_RATIO</stp>
        <stp>[upload (2).xlsm]Model Portfolio!R61C18</stp>
        <tr r="R61" s="98"/>
      </tp>
      <tp>
        <v>1.3490808287379579</v>
        <stp/>
        <stp>##V3_BDPV12</stp>
        <stp>SBER RX EQUITY</stp>
        <stp>PX_TO_BOOK_RATIO</stp>
        <stp>[upload (2).xlsm]Model Portfolio!R75C18</stp>
        <tr r="R75" s="98"/>
      </tp>
      <tp t="s">
        <v>CALLABLE</v>
        <stp/>
        <stp>##V3_BDPV12</stp>
        <stp>XS0975320879 Corp</stp>
        <stp>MTY_TYP</stp>
        <stp>[upload (2).xlsm]Base all $ 3 Duration!R123C15</stp>
        <tr r="O123" s="66"/>
      </tp>
      <tp>
        <v>2.9679999351501465</v>
        <stp/>
        <stp>##V3_BDPV12</stp>
        <stp>UPRO RX EQUITY</stp>
        <stp>BEST_TARGET_PRICE</stp>
        <stp>[upload (2).xlsm]Model Portfolio!R52C8</stp>
        <tr r="H52" s="98"/>
      </tp>
      <tp t="s">
        <v>Highland Gold Mining Ltd</v>
        <stp/>
        <stp>##V3_BDPV12</stp>
        <stp>HGM LN Equity</stp>
        <stp>SECURITY_NAME</stp>
        <stp>[Copy of upload (2).xlsm]Гарез_GRENF!R72C4</stp>
        <tr r="D72" s="115"/>
      </tp>
      <tp>
        <v>4.4682539999999999</v>
        <stp/>
        <stp>##V3_BDPV12</stp>
        <stp>AGRO LI Equity</stp>
        <stp>EQY_DVD_YLD_EST</stp>
        <stp>[Copy of upload (2).xlsm]Гарез_GRENF!R8C20</stp>
        <tr r="T8" s="115"/>
      </tp>
      <tp>
        <v>3.030800821355236</v>
        <stp/>
        <stp>##V3_BDPV12</stp>
        <stp>XS0972645112 Corp</stp>
        <stp>MTY_YEARS_TDY</stp>
        <stp>[upload (2).xlsm]Base all $ 3 Duration!R116C3</stp>
        <tr r="C116" s="66"/>
      </tp>
      <tp t="s">
        <v>USD</v>
        <stp/>
        <stp>##V3_BDPV12</stp>
        <stp>XS0632887997 Corp</stp>
        <stp>CRNCY</stp>
        <stp>[upload (2).xlsm]Base all $ 3 Duration!R125C12</stp>
        <tr r="L125" s="66"/>
      </tp>
      <tp t="s">
        <v>Sr Unsecured</v>
        <stp/>
        <stp>##V3_BDPV12</stp>
        <stp>XS0830192711 Corp</stp>
        <stp>PAYMENT_RANK</stp>
        <stp>[upload (2).xlsm]Base all $ 3 Duration!R143C14</stp>
        <tr r="N143" s="66"/>
      </tp>
      <tp t="s">
        <v>Subordinated</v>
        <stp/>
        <stp>##V3_BDPV12</stp>
        <stp>XS1032750165 Corp</stp>
        <stp>PAYMENT_RANK</stp>
        <stp>[upload (2).xlsm]Base all $ 3 Duration!R132C14</stp>
        <tr r="N132" s="66"/>
      </tp>
      <tp>
        <v>5.0130047912388775</v>
        <stp/>
        <stp>##V3_BDPV12</stp>
        <stp>XS0831571434 Corp</stp>
        <stp>MTY_YEARS_TDY</stp>
        <stp>[upload (2).xlsm]Base all $ 3 Duration!R157C3</stp>
        <tr r="C157" s="66"/>
      </tp>
      <tp>
        <v>2.6283367556468171</v>
        <stp/>
        <stp>##V3_BDPV12</stp>
        <stp>XS0920335030 Corp</stp>
        <stp>MTY_YEARS_TDY</stp>
        <stp>[upload (2).xlsm]Base all $ 3 Duration!R101C3</stp>
        <tr r="C101" s="66"/>
      </tp>
      <tp t="s">
        <v>Sr Unsecured</v>
        <stp/>
        <stp>##V3_BDPV12</stp>
        <stp>XS0513723873 Corp</stp>
        <stp>PAYMENT_RANK</stp>
        <stp>[upload (2).xlsm]Base all $ 3 Duration!R110C14</stp>
        <tr r="N110" s="66"/>
      </tp>
      <tp t="s">
        <v>Subordinated</v>
        <stp/>
        <stp>##V3_BDPV12</stp>
        <stp>XS0846652666 Corp</stp>
        <stp>PAYMENT_RANK</stp>
        <stp>[upload (2).xlsm]Base all $ 3 Duration!R102C14</stp>
        <tr r="N102" s="66"/>
      </tp>
      <tp t="s">
        <v>Sr Unsecured</v>
        <stp/>
        <stp>##V3_BDPV12</stp>
        <stp>XS0805570354 Corp</stp>
        <stp>PAYMENT_RANK</stp>
        <stp>[upload (2).xlsm]Base all $ 3 Duration!R154C14</stp>
        <tr r="N154" s="66"/>
      </tp>
      <tp t="s">
        <v>Secured</v>
        <stp/>
        <stp>##V3_BDPV12</stp>
        <stp>XS0920335030 Corp</stp>
        <stp>PAYMENT_RANK</stp>
        <stp>[upload (2).xlsm]Base all $ 3 Duration!R101C14</stp>
        <tr r="N101" s="66"/>
      </tp>
      <tp t="s">
        <v>USD</v>
        <stp/>
        <stp>##V3_BDPV12</stp>
        <stp>XS0842078536 Corp</stp>
        <stp>CRNCY</stp>
        <stp>[upload (2).xlsm]Base all $ 3 Duration!R127C12</stp>
        <tr r="L127" s="66"/>
      </tp>
      <tp t="s">
        <v>Sr Unsecured</v>
        <stp/>
        <stp>##V3_BDPV12</stp>
        <stp>XS0982861287 Corp</stp>
        <stp>PAYMENT_RANK</stp>
        <stp>[upload (2).xlsm]Base all $ 3 Duration!R113C14</stp>
        <tr r="N113" s="66"/>
      </tp>
      <tp>
        <v>2.5763175906913074</v>
        <stp/>
        <stp>##V3_BDPV12</stp>
        <stp>XS0911599701 Corp</stp>
        <stp>MTY_YEARS_TDY</stp>
        <stp>[upload (2).xlsm]Base all $ 3 Duration!R104C3</stp>
        <tr r="C104" s="66"/>
      </tp>
      <tp t="s">
        <v>USD</v>
        <stp/>
        <stp>##V3_BDPV12</stp>
        <stp>XS0808638612 Corp</stp>
        <stp>CRNCY</stp>
        <stp>[upload (2).xlsm]Base all $ 3 Duration!R105C12</stp>
        <tr r="L105" s="66"/>
      </tp>
      <tp t="s">
        <v>Sr Unsecured</v>
        <stp/>
        <stp>##V3_BDPV12</stp>
        <stp>XS0925043100 Corp</stp>
        <stp>PAYMENT_RANK</stp>
        <stp>[upload (2).xlsm]Base all $ 3 Duration!R100C14</stp>
        <tr r="N100" s="66"/>
      </tp>
      <tp>
        <v>1.3747153489855333</v>
        <stp/>
        <stp>##V3_BDPV12</stp>
        <stp>AGRO LI EQUITY</stp>
        <stp>CURRENT_EV_TO_12M_SALES</stp>
        <stp>[upload (2).xlsm]Model Portfolio!R71C17</stp>
        <tr r="Q71" s="98"/>
      </tp>
      <tp>
        <v>7.5975194023180492</v>
        <stp/>
        <stp>##V3_BDPV12</stp>
        <stp>XS0808638612 Corp</stp>
        <stp>INTERVAL_PERCENT_CHANGE</stp>
        <stp>[upload (2).xlsm]Base all $ 3 Duration!R108C17</stp>
        <stp>END_DATE_OVERRIDE</stp>
        <stp xml:space="preserve"> </stp>
        <stp>START_DATE_OVERRIDe</stp>
        <stp>20140716</stp>
        <tr r="Q108" s="66"/>
      </tp>
      <tp>
        <v>5.1230397683408935</v>
        <stp/>
        <stp>##V3_BDPV12</stp>
        <stp>XS0935311240 Corp</stp>
        <stp>INTERVAL_PERCENT_CHANGE</stp>
        <stp>[upload (2).xlsm]Base all $ 3 Duration!R133C17</stp>
        <stp>END_DATE_OVERRIDE</stp>
        <stp xml:space="preserve"> </stp>
        <stp>START_DATE_OVERRIDe</stp>
        <stp>20140716</stp>
        <tr r="Q133" s="66"/>
      </tp>
      <tp>
        <v>-2.1633391431097087</v>
        <stp/>
        <stp>##V3_BDPV12</stp>
        <stp>XS0484209159 Corp</stp>
        <stp>INTERVAL_PERCENT_CHANGE</stp>
        <stp>[upload (2).xlsm]Base all $ 3 Duration!R115C17</stp>
        <stp>END_DATE_OVERRIDE</stp>
        <stp xml:space="preserve"> </stp>
        <stp>START_DATE_OVERRIDe</stp>
        <stp>20140716</stp>
        <tr r="Q115" s="66"/>
      </tp>
      <tp t="s">
        <v>#N/A N/A</v>
        <stp/>
        <stp>##V3_BDPV12</stp>
        <stp>MAIL LI EQUITY</stp>
        <stp>BDVD_PROJ_12M_YLD</stp>
        <stp>[upload (2).xlsm]Model Portfolio!R44C27</stp>
        <tr r="AA44" s="98"/>
      </tp>
      <tp>
        <v>2.9987806721579626</v>
        <stp/>
        <stp>##V3_BDPV12</stp>
        <stp>XS0981028177 Corp</stp>
        <stp>INTERVAL_PERCENT_CHANGE</stp>
        <stp>[upload (2).xlsm]Base all $ 3 Duration!R121C17</stp>
        <stp>END_DATE_OVERRIDE</stp>
        <stp xml:space="preserve"> </stp>
        <stp>START_DATE_OVERRIDe</stp>
        <stp>20140716</stp>
        <tr r="Q121" s="66"/>
      </tp>
      <tp>
        <v>2.5796207010226531</v>
        <stp/>
        <stp>##V3_BDPV12</stp>
        <stp>FXPO LN EQUITY</stp>
        <stp>CURRENT_EV_TO_12M_SALES</stp>
        <stp>[upload (2).xlsm]Model Portfolio!R27C17</stp>
        <tr r="Q27" s="98"/>
      </tp>
      <tp>
        <v>0.36252166450160789</v>
        <stp/>
        <stp>##V3_BDPV12</stp>
        <stp>IRAO RX EQUITY</stp>
        <stp>CURRENT_EV_TO_12M_SALES</stp>
        <stp>[upload (2).xlsm]Model Portfolio!R51C17</stp>
        <tr r="Q51" s="98"/>
      </tp>
      <tp>
        <v>177.67813110351562</v>
        <stp/>
        <stp>##V3_BDPV12</stp>
        <stp>SBERP RX EQUITY</stp>
        <stp>BEST_TARGET_PRICE</stp>
        <stp>[upload (2).xlsm]Model Portfolio!R76C8</stp>
        <tr r="H76" s="98"/>
      </tp>
      <tp>
        <v>0.526179454442808</v>
        <stp/>
        <stp>##V3_BDPV12</stp>
        <stp>XS0524610812 Corp</stp>
        <stp>INTERVAL_PERCENT_CHANGE</stp>
        <stp>[upload (2).xlsm]Base all $ 3 Duration!R110C17</stp>
        <stp>END_DATE_OVERRIDE</stp>
        <stp xml:space="preserve"> </stp>
        <stp>START_DATE_OVERRIDe</stp>
        <stp>20140716</stp>
        <tr r="Q110" s="66"/>
      </tp>
      <tp>
        <v>3729076770.8699999</v>
        <stp/>
        <stp>##V3_BDPV12</stp>
        <stp>POLY LN EQUITY</stp>
        <stp>CUR_MKT_CAP</stp>
        <stp>[upload (2).xlsm]Model Portfolio!R6C10</stp>
        <tr r="J6" s="98"/>
      </tp>
      <tp t="s">
        <v>#N/A N/A</v>
        <stp/>
        <stp>##V3_BDPV12</stp>
        <stp>XS0775984213 Corp</stp>
        <stp>YLD_YTM_BID</stp>
        <stp>[upload (2).xlsm]Base all $ 3 Duration!R42C6</stp>
        <tr r="F42" s="66"/>
      </tp>
      <tp>
        <v>3.7229999999999999</v>
        <stp/>
        <stp>##V3_BDPV12</stp>
        <stp>XS0922883318 Corp</stp>
        <stp>CPN</stp>
        <stp>[upload (2).xlsm]Base all $ 3 Duration!R56C8</stp>
        <tr r="H56" s="66"/>
      </tp>
      <tp t="s">
        <v>#N/A N/A</v>
        <stp/>
        <stp>##V3_BDPV12</stp>
        <stp>LXFT US EQUITY</stp>
        <stp>BDVD_PROJ_12M_YLD</stp>
        <stp>[upload (2).xlsm]Model Portfolio!R41C27</stp>
        <tr r="AA41" s="98"/>
      </tp>
      <tp>
        <v>7.25</v>
        <stp/>
        <stp>##V3_BDPV12</stp>
        <stp>XS0923110232 Corp</stp>
        <stp>CPN</stp>
        <stp>[upload (2).xlsm]Base all $ 3 Duration!R35C8</stp>
        <tr r="H35" s="66"/>
      </tp>
      <tp>
        <v>2.3723009078887696</v>
        <stp/>
        <stp>##V3_BDPV12</stp>
        <stp>XS0324963932 Corp</stp>
        <stp>YLD_YTM_BID</stp>
        <stp>[upload (2).xlsm]Base all $ 3 Duration!R59C6</stp>
        <tr r="F59" s="66"/>
      </tp>
      <tp>
        <v>1.5600848841152852</v>
        <stp/>
        <stp>##V3_BDPV12</stp>
        <stp>UPRO RX EQUITY</stp>
        <stp>CURRENT_EV_TO_12M_SALES</stp>
        <stp>[upload (2).xlsm]Model Portfolio!R52C17</stp>
        <tr r="Q52" s="98"/>
      </tp>
      <tp>
        <v>1.9317111203072204</v>
        <stp/>
        <stp>##V3_BDPV12</stp>
        <stp>XS0361041808 Corp</stp>
        <stp>YLD_YTM_BID</stp>
        <stp>[upload (2).xlsm]Base all $ 3 Duration!R51C6</stp>
        <tr r="F51" s="66"/>
      </tp>
      <tp>
        <v>334567011243</v>
        <stp/>
        <stp>##V3_BDPV12</stp>
        <stp>BANEP RX EQUITY</stp>
        <stp>CUR_MKT_CAP</stp>
        <stp>[upload (2).xlsm]Model Portfolio!R8C10</stp>
        <tr r="J8" s="98"/>
      </tp>
      <tp>
        <v>2.4132625999999999</v>
        <stp/>
        <stp>##V3_BDPV12</stp>
        <stp>XS0922134712 Corp</stp>
        <stp>YLD_YTM_BID</stp>
        <stp>[upload (2).xlsm]Base all $ 3 Duration!R76C6</stp>
        <tr r="F76" s="66"/>
      </tp>
      <tp>
        <v>7.4</v>
        <stp/>
        <stp>##V3_BDPV12</stp>
        <stp>XS0652913558 Corp</stp>
        <stp>CPN</stp>
        <stp>[upload (2).xlsm]Base all $ 3 Duration!R60C8</stp>
        <tr r="H60" s="66"/>
      </tp>
      <tp>
        <v>14</v>
        <stp/>
        <stp>##V3_BDPV12</stp>
        <stp>XS0808636913 Corp</stp>
        <stp>CPN</stp>
        <stp>[upload (2).xlsm]Base all $ 3 Duration!R17C8</stp>
        <tr r="H17" s="66"/>
      </tp>
      <tp>
        <v>632144776226.99988</v>
        <stp/>
        <stp>##V3_BDPV12</stp>
        <stp>PLZL RX EQUITY</stp>
        <stp>CUR_MKT_CAP</stp>
        <stp>[upload (2).xlsm]Model Portfolio!R2C10</stp>
        <tr r="J2" s="98"/>
      </tp>
      <tp>
        <v>0.22704913893645343</v>
        <stp/>
        <stp>##V3_BDPV12</stp>
        <stp>RSTI RX EQUITY</stp>
        <stp>PX_TO_BOOK_RATIO</stp>
        <stp>[upload (2).xlsm]Model Portfolio!R54C18</stp>
        <tr r="R54" s="98"/>
      </tp>
      <tp>
        <v>14.649495950119453</v>
        <stp/>
        <stp>##V3_BDPV12</stp>
        <stp>TRCN RX EQUITY</stp>
        <stp>PCT_REVENUE_FROM_FOREIGN_SOURCES</stp>
        <stp>[upload (2).xlsm]Model Portfolio!R50C30</stp>
        <tr r="AD50" s="98"/>
      </tp>
      <tp>
        <v>27.715391597937675</v>
        <stp/>
        <stp>##V3_BDPV12</stp>
        <stp>TRMK RX EQUITY</stp>
        <stp>PCT_REVENUE_FROM_FOREIGN_SOURCES</stp>
        <stp>[upload (2).xlsm]Model Portfolio!R21C30</stp>
        <tr r="AD21" s="98"/>
      </tp>
      <tp>
        <v>0.72047011213310574</v>
        <stp/>
        <stp>##V3_BDPV12</stp>
        <stp>RTKM RX EQUITY</stp>
        <stp>PX_TO_BOOK_RATIO</stp>
        <stp>[upload (2).xlsm]Model Portfolio!R66C18</stp>
        <tr r="R66" s="98"/>
      </tp>
      <tp t="s">
        <v>17/01/2024</v>
        <stp/>
        <stp>##V3_BDPV12</stp>
        <stp>XS0953323317 Corp</stp>
        <stp>MATURITY</stp>
        <stp>[upload (2).xlsm]Base all $ 3 Duration!R118C9</stp>
        <tr r="I118" s="66"/>
      </tp>
      <tp>
        <v>0.968740242471681</v>
        <stp/>
        <stp>##V3_BDPV12</stp>
        <stp>ROSN RX EQUITY</stp>
        <stp>PX_TO_BOOK_RATIO</stp>
        <stp>[upload (2).xlsm]Model Portfolio!R17C18</stp>
        <tr r="R17" s="98"/>
      </tp>
      <tp t="s">
        <v>AT MATURITY</v>
        <stp/>
        <stp>##V3_BDPV12</stp>
        <stp>XS0918604496 Corp</stp>
        <stp>MTY_TYP</stp>
        <stp>[upload (2).xlsm]Base all $ 3 Duration!R103C15</stp>
        <tr r="O103" s="66"/>
      </tp>
      <tp>
        <v>56.198625361769274</v>
        <stp/>
        <stp>##V3_BDPV12</stp>
        <stp>TATN RX EQUITY</stp>
        <stp>PCT_REVENUE_FROM_FOREIGN_SOURCES</stp>
        <stp>[upload (2).xlsm]Model Portfolio!R14C30</stp>
        <tr r="AD14" s="98"/>
      </tp>
      <tp>
        <v>3.2887644309036195</v>
        <stp/>
        <stp>##V3_BDPV12</stp>
        <stp>RASP RX EQUITY</stp>
        <stp>PX_TO_BOOK_RATIO</stp>
        <stp>[upload (2).xlsm]Model Portfolio!R28C18</stp>
        <tr r="R28" s="98"/>
      </tp>
      <tp t="s">
        <v>AT MATURITY</v>
        <stp/>
        <stp>##V3_BDPV12</stp>
        <stp>XS0919504562 Corp</stp>
        <stp>MTY_TYP</stp>
        <stp>[upload (2).xlsm]Base all $ 3 Duration!R148C15</stp>
        <tr r="O148" s="66"/>
      </tp>
      <tp t="s">
        <v>AT MATURITY</v>
        <stp/>
        <stp>##V3_BDPV12</stp>
        <stp>XS0885736925 Corp</stp>
        <stp>MTY_TYP</stp>
        <stp>[upload (2).xlsm]Base all $ 3 Duration!R140C15</stp>
        <tr r="O140" s="66"/>
      </tp>
      <tp t="s">
        <v>AT MATURITY</v>
        <stp/>
        <stp>##V3_BDPV12</stp>
        <stp>XS0524610812 Corp</stp>
        <stp>MTY_TYP</stp>
        <stp>[upload (2).xlsm]Base all $ 3 Duration!R107C15</stp>
        <tr r="O107" s="66"/>
      </tp>
      <tp>
        <v>1.5827944702813359</v>
        <stp/>
        <stp>##V3_BDPV12</stp>
        <stp>TGKA RX EQUITY</stp>
        <stp>PCT_REVENUE_FROM_FOREIGN_SOURCES</stp>
        <stp>[upload (2).xlsm]Model Portfolio!R60C30</stp>
        <tr r="AD60" s="98"/>
      </tp>
      <tp>
        <v>0.87000000476837158</v>
        <stp/>
        <stp>##V3_BDPV12</stp>
        <stp>RSTI RX EQUITY</stp>
        <stp>BEST_TARGET_PRICE</stp>
        <stp>[upload (2).xlsm]Model Portfolio!R54C8</stp>
        <tr r="H54" s="98"/>
      </tp>
      <tp t="s">
        <v>Highland Gold Mining Ltd</v>
        <stp/>
        <stp>##V3_BDPV12</stp>
        <stp>HGM LN Equity</stp>
        <stp>SECURITY_NAME</stp>
        <stp>[Copy of upload (2).xlsm]Гарез_GRENF!R73C4</stp>
        <tr r="D73" s="115"/>
      </tp>
      <tp>
        <v>228.66026306152344</v>
        <stp/>
        <stp>##V3_BDPV12</stp>
        <stp>SBER RX EQUITY</stp>
        <stp>BEST_TARGET_PRICE</stp>
        <stp>[upload (2).xlsm]Model Portfolio!R75C8</stp>
        <tr r="H75" s="98"/>
      </tp>
      <tp>
        <v>1.1893</v>
        <stp/>
        <stp>##V3_BDPV12</stp>
        <stp>EUR Curncy</stp>
        <stp>PX last</stp>
        <stp>[Copy of upload (2).xlsm]Гарез_GRENF!R1C7</stp>
        <tr r="G1" s="115"/>
      </tp>
      <tp>
        <v>214.45938110351562</v>
        <stp/>
        <stp>##V3_BDPV12</stp>
        <stp>SIBN RX EQUITY</stp>
        <stp>BEST_TARGET_PRICE</stp>
        <stp>[upload (2).xlsm]Model Portfolio!R15C8</stp>
        <tr r="H15" s="98"/>
      </tp>
      <tp t="s">
        <v>CALLABLE</v>
        <stp/>
        <stp>##V3_BDPV12</stp>
        <stp>US91701RAA95 Corp</stp>
        <stp>MTY_TYP</stp>
        <stp>[upload (2).xlsm]Base all $ 3 Duration!R26C15</stp>
        <tr r="O26" s="66"/>
      </tp>
      <tp>
        <v>6.3720930232558146</v>
        <stp/>
        <stp>##V3_BDPV12</stp>
        <stp>VEON US Equity</stp>
        <stp>EQY_DVD_YLD_EST</stp>
        <stp>[Copy of upload (2).xlsm]Гарез_GRENF!R4C20</stp>
        <tr r="T4" s="115"/>
      </tp>
      <tp>
        <v>56.198625361769274</v>
        <stp/>
        <stp>##V3_BDPV12</stp>
        <stp>TATNP RX EQUITY</stp>
        <stp>PCT_REVENUE_FROM_FOREIGN_SOURCES</stp>
        <stp>[upload (2).xlsm]Model Portfolio!R19C30</stp>
        <tr r="AD19" s="98"/>
      </tp>
      <tp>
        <v>5.4401095140314855</v>
        <stp/>
        <stp>##V3_BDPV12</stp>
        <stp>XS0889401724 Corp</stp>
        <stp>MTY_YEARS_TDY</stp>
        <stp>[upload (2).xlsm]Base all $ 3 Duration!R130C3</stp>
        <tr r="C130" s="66"/>
      </tp>
      <tp t="s">
        <v>USD</v>
        <stp/>
        <stp>##V3_BDPV12</stp>
        <stp>XS0643183220 Corp</stp>
        <stp>CRNCY</stp>
        <stp>[upload (2).xlsm]Base all $ 3 Duration!R133C12</stp>
        <tr r="L133" s="66"/>
      </tp>
      <tp t="s">
        <v>USD</v>
        <stp/>
        <stp>##V3_BDPV12</stp>
        <stp>XS0743596040 Corp</stp>
        <stp>CRNCY</stp>
        <stp>[upload (2).xlsm]Base all $ 3 Duration!R155C12</stp>
        <tr r="L155" s="66"/>
      </tp>
      <tp>
        <v>5.7111567419575637</v>
        <stp/>
        <stp>##V3_BDPV12</stp>
        <stp>XS0935311240 Corp</stp>
        <stp>MTY_YEARS_TDY</stp>
        <stp>[upload (2).xlsm]Base all $ 3 Duration!R131C3</stp>
        <tr r="C131" s="66"/>
      </tp>
      <tp t="s">
        <v>Sr Unsecured</v>
        <stp/>
        <stp>##V3_BDPV12</stp>
        <stp>XS0524610812 Corp</stp>
        <stp>PAYMENT_RANK</stp>
        <stp>[upload (2).xlsm]Base all $ 3 Duration!R107C14</stp>
        <tr r="N107" s="66"/>
      </tp>
      <tp t="s">
        <v>USD</v>
        <stp/>
        <stp>##V3_BDPV12</stp>
        <stp>XS0922301717 Corp</stp>
        <stp>CRNCY</stp>
        <stp>[upload (2).xlsm]Base all $ 3 Duration!R108C12</stp>
        <tr r="L108" s="66"/>
      </tp>
      <tp t="s">
        <v>USD</v>
        <stp/>
        <stp>##V3_BDPV12</stp>
        <stp>XS0885736925 Corp</stp>
        <stp>CRNCY</stp>
        <stp>[upload (2).xlsm]Base all $ 3 Duration!R140C12</stp>
        <tr r="L140" s="66"/>
      </tp>
      <tp t="s">
        <v>Sr Unsecured</v>
        <stp/>
        <stp>##V3_BDPV12</stp>
        <stp>XS0808638612 Corp</stp>
        <stp>PAYMENT_RANK</stp>
        <stp>[upload (2).xlsm]Base all $ 3 Duration!R105C14</stp>
        <tr r="N105" s="66"/>
      </tp>
      <tp t="s">
        <v>Subordinated</v>
        <stp/>
        <stp>##V3_BDPV12</stp>
        <stp>XS0935311240 Corp</stp>
        <stp>PAYMENT_RANK</stp>
        <stp>[upload (2).xlsm]Base all $ 3 Duration!R131C14</stp>
        <tr r="N131" s="66"/>
      </tp>
      <tp t="s">
        <v>Sr Unsecured</v>
        <stp/>
        <stp>##V3_BDPV12</stp>
        <stp>XS0972645112 Corp</stp>
        <stp>PAYMENT_RANK</stp>
        <stp>[upload (2).xlsm]Base all $ 3 Duration!R116C14</stp>
        <tr r="N116" s="66"/>
      </tp>
      <tp>
        <v>5.2703627652292946</v>
        <stp/>
        <stp>##V3_BDPV12</stp>
        <stp>XS0864383723 Corp</stp>
        <stp>MTY_YEARS_TDY</stp>
        <stp>[upload (2).xlsm]Base all $ 3 Duration!R147C3</stp>
        <tr r="C147" s="66"/>
      </tp>
      <tp t="s">
        <v>Sr Unsecured</v>
        <stp/>
        <stp>##V3_BDPV12</stp>
        <stp>XS0484209159 Corp</stp>
        <stp>PAYMENT_RANK</stp>
        <stp>[upload (2).xlsm]Base all $ 3 Duration!R112C14</stp>
        <tr r="N112" s="66"/>
      </tp>
      <tp t="s">
        <v>Subordinated</v>
        <stp/>
        <stp>##V3_BDPV12</stp>
        <stp>XS0981028177 Corp</stp>
        <stp>PAYMENT_RANK</stp>
        <stp>[upload (2).xlsm]Base all $ 3 Duration!R119C14</stp>
        <tr r="N119" s="66"/>
      </tp>
      <tp>
        <v>3.9522139796152795</v>
        <stp/>
        <stp>##V3_BDPV12</stp>
        <stp>XS0982861287 Corp</stp>
        <stp>INTERVAL_PERCENT_CHANGE</stp>
        <stp>[upload (2).xlsm]Base all $ 3 Duration!R116C17</stp>
        <stp>END_DATE_OVERRIDE</stp>
        <stp xml:space="preserve"> </stp>
        <stp>START_DATE_OVERRIDe</stp>
        <stp>20140716</stp>
        <tr r="Q116" s="66"/>
      </tp>
      <tp>
        <v>-41.217150383710404</v>
        <stp/>
        <stp>##V3_BDPV12</stp>
        <stp>XS0920335030 Corp</stp>
        <stp>INTERVAL_PERCENT_CHANGE</stp>
        <stp>[upload (2).xlsm]Base all $ 3 Duration!R104C17</stp>
        <stp>END_DATE_OVERRIDE</stp>
        <stp xml:space="preserve"> </stp>
        <stp>START_DATE_OVERRIDe</stp>
        <stp>20140716</stp>
        <tr r="Q104" s="66"/>
      </tp>
      <tp>
        <v>4.9782211235758513</v>
        <stp/>
        <stp>##V3_BDPV12</stp>
        <stp>XS0846652666 Corp</stp>
        <stp>INTERVAL_PERCENT_CHANGE</stp>
        <stp>[upload (2).xlsm]Base all $ 3 Duration!R105C17</stp>
        <stp>END_DATE_OVERRIDE</stp>
        <stp xml:space="preserve"> </stp>
        <stp>START_DATE_OVERRIDe</stp>
        <stp>20140716</stp>
        <tr r="Q105" s="66"/>
      </tp>
      <tp>
        <v>79.130652636853313</v>
        <stp/>
        <stp>##V3_BDPV12</stp>
        <stp>486 HK EQUITY</stp>
        <stp>PCT_REVENUE_FROM_FOREIGN_SOURCES</stp>
        <stp>[upload (2).xlsm]Model Portfolio!R30C30</stp>
        <tr r="AD30" s="98"/>
      </tp>
      <tp>
        <v>-25.578873314785316</v>
        <stp/>
        <stp>##V3_BDPV12</stp>
        <stp>XS0925043100 Corp</stp>
        <stp>INTERVAL_PERCENT_CHANGE</stp>
        <stp>[upload (2).xlsm]Base all $ 3 Duration!R103C17</stp>
        <stp>END_DATE_OVERRIDE</stp>
        <stp xml:space="preserve"> </stp>
        <stp>START_DATE_OVERRIDe</stp>
        <stp>20140716</stp>
        <tr r="Q103" s="66"/>
      </tp>
      <tp>
        <v>5.0016554195589311</v>
        <stp/>
        <stp>##V3_BDPV12</stp>
        <stp>XS0805570354 Corp</stp>
        <stp>INTERVAL_PERCENT_CHANGE</stp>
        <stp>[upload (2).xlsm]Base all $ 3 Duration!R156C17</stp>
        <stp>END_DATE_OVERRIDE</stp>
        <stp xml:space="preserve"> </stp>
        <stp>START_DATE_OVERRIDe</stp>
        <stp>20140716</stp>
        <tr r="Q156" s="66"/>
      </tp>
      <tp t="s">
        <v>#N/A N/A</v>
        <stp/>
        <stp>##V3_BDPV12</stp>
        <stp>NORD LI EQUITY</stp>
        <stp>EQY_BETA_6M</stp>
        <stp>[upload (2).xlsm]Model Portfolio!R3C14</stp>
        <tr r="N3" s="98"/>
      </tp>
      <tp>
        <v>2.1154543364623284</v>
        <stp/>
        <stp>##V3_BDPV12</stp>
        <stp>FESH RX EQUITY</stp>
        <stp>CURRENT_EV_TO_12M_SALES</stp>
        <stp>[upload (2).xlsm]Model Portfolio!R45C17</stp>
        <tr r="Q45" s="98"/>
      </tp>
      <tp>
        <v>1.9178925552936081</v>
        <stp/>
        <stp>##V3_BDPV12</stp>
        <stp>XS1032750165 Corp</stp>
        <stp>INTERVAL_PERCENT_CHANGE</stp>
        <stp>[upload (2).xlsm]Base all $ 3 Duration!R134C17</stp>
        <stp>END_DATE_OVERRIDE</stp>
        <stp xml:space="preserve"> </stp>
        <stp>START_DATE_OVERRIDe</stp>
        <stp>20140716</stp>
        <tr r="Q134" s="66"/>
      </tp>
      <tp>
        <v>6.1097045971367585</v>
        <stp/>
        <stp>##V3_BDPV12</stp>
        <stp>XS0830192711 Corp</stp>
        <stp>INTERVAL_PERCENT_CHANGE</stp>
        <stp>[upload (2).xlsm]Base all $ 3 Duration!R145C17</stp>
        <stp>END_DATE_OVERRIDE</stp>
        <stp xml:space="preserve"> </stp>
        <stp>START_DATE_OVERRIDe</stp>
        <stp>20140716</stp>
        <tr r="Q145" s="66"/>
      </tp>
      <tp>
        <v>-1.5770513185243324</v>
        <stp/>
        <stp>##V3_BDPV12</stp>
        <stp>XS0513723873 Corp</stp>
        <stp>INTERVAL_PERCENT_CHANGE</stp>
        <stp>[upload (2).xlsm]Base all $ 3 Duration!R113C17</stp>
        <stp>END_DATE_OVERRIDE</stp>
        <stp xml:space="preserve"> </stp>
        <stp>START_DATE_OVERRIDe</stp>
        <stp>20140716</stp>
        <tr r="Q113" s="66"/>
      </tp>
      <tp>
        <v>0.5612001298915622</v>
        <stp/>
        <stp>##V3_BDPV12</stp>
        <stp>LKOH RX EQUITY</stp>
        <stp>CURRENT_EV_TO_12M_SALES</stp>
        <stp>[upload (2).xlsm]Model Portfolio!R13C17</stp>
        <tr r="Q13" s="98"/>
      </tp>
      <tp>
        <v>7.75</v>
        <stp/>
        <stp>##V3_BDPV12</stp>
        <stp>XS0640334768 Corp</stp>
        <stp>CPN</stp>
        <stp>[upload (2).xlsm]Base all $ 3 Duration!R15C8</stp>
        <tr r="H15" s="66"/>
      </tp>
      <tp>
        <v>6.375</v>
        <stp/>
        <stp>##V3_BDPV12</stp>
        <stp>XS0923472814 Corp</stp>
        <stp>CPN</stp>
        <stp>[upload (2).xlsm]Base all $ 3 Duration!R52C8</stp>
        <tr r="H52" s="66"/>
      </tp>
      <tp>
        <v>1.9268158398592836</v>
        <stp/>
        <stp>##V3_BDPV12</stp>
        <stp>XS0808632847 Corp</stp>
        <stp>YLD_YTM_BID</stp>
        <stp>[upload (2).xlsm]Base all $ 3 Duration!R65C6</stp>
        <tr r="F65" s="66"/>
      </tp>
      <tp>
        <v>7.7</v>
        <stp/>
        <stp>##V3_BDPV12</stp>
        <stp>XS0879105558 Corp</stp>
        <stp>CPN</stp>
        <stp>[upload (2).xlsm]Base all $ 3 Duration!R38C8</stp>
        <tr r="H38" s="66"/>
      </tp>
      <tp>
        <v>12.523756199999999</v>
        <stp/>
        <stp>##V3_BDPV12</stp>
        <stp>XS0851672435 Corp</stp>
        <stp>YLD_YTM_BID</stp>
        <stp>[upload (2).xlsm]Base all $ 3 Duration!R23C6</stp>
        <tr r="F23" s="66"/>
      </tp>
      <tp>
        <v>6.75</v>
        <stp/>
        <stp>##V3_BDPV12</stp>
        <stp>XS0618905219 Corp</stp>
        <stp>CPN</stp>
        <stp>[upload (2).xlsm]Base all $ 3 Duration!R37C8</stp>
        <tr r="H37" s="66"/>
      </tp>
      <tp>
        <v>11.1293843</v>
        <stp/>
        <stp>##V3_BDPV12</stp>
        <stp>XS0869792928 Corp</stp>
        <stp>YLD_YTM_BID</stp>
        <stp>[upload (2).xlsm]Base all $ 3 Duration!R10C6</stp>
        <tr r="F10" s="66"/>
      </tp>
      <tp t="s">
        <v>#N/A N/A</v>
        <stp/>
        <stp>##V3_BDPV12</stp>
        <stp>XS0292530309 Corp</stp>
        <stp>YLD_YTM_BID</stp>
        <stp>[upload (2).xlsm]Base all $ 3 Duration!R81C6</stp>
        <tr r="F81" s="66"/>
      </tp>
      <tp>
        <v>2.5376286360000604</v>
        <stp/>
        <stp>##V3_BDPV12</stp>
        <stp>XS0796426228 Corp</stp>
        <stp>YLD_YTM_BID</stp>
        <stp>[upload (2).xlsm]Base all $ 3 Duration!R54C6</stp>
        <tr r="F54" s="66"/>
      </tp>
      <tp>
        <v>5.375</v>
        <stp/>
        <stp>##V3_BDPV12</stp>
        <stp>XS0552679879 Corp</stp>
        <stp>CPN</stp>
        <stp>[upload (2).xlsm]Base all $ 3 Duration!R43C8</stp>
        <tr r="H43" s="66"/>
      </tp>
      <tp>
        <v>4.6414803370970033</v>
        <stp/>
        <stp>##V3_BDPV12</stp>
        <stp>URKA RX EQUITY</stp>
        <stp>PX_TO_BOOK_RATIO</stp>
        <stp>[upload (2).xlsm]Model Portfolio!R31C18</stp>
        <tr r="R31" s="98"/>
      </tp>
      <tp>
        <v>1.3046396307295753</v>
        <stp/>
        <stp>##V3_BDPV12</stp>
        <stp>UPRO RX EQUITY</stp>
        <stp>PX_TO_BOOK_RATIO</stp>
        <stp>[upload (2).xlsm]Model Portfolio!R52C18</stp>
        <tr r="R52" s="98"/>
      </tp>
      <tp t="s">
        <v>#N/A N/A</v>
        <stp/>
        <stp>##V3_BDPV12</stp>
        <stp>SVAV RX EQUITY</stp>
        <stp>PCT_REVENUE_FROM_FOREIGN_SOURCES</stp>
        <stp>[upload (2).xlsm]Model Portfolio!R72C30</stp>
        <tr r="AD72" s="98"/>
      </tp>
      <tp>
        <v>59.436322929013564</v>
        <stp/>
        <stp>##V3_BDPV12</stp>
        <stp>EVR LN EQUITY</stp>
        <stp>PCT_REVENUE_FROM_FOREIGN_SOURCES</stp>
        <stp>[upload (2).xlsm]Model Portfolio!R26C30</stp>
        <tr r="AD26" s="98"/>
      </tp>
      <tp t="s">
        <v>#N/A N/A</v>
        <stp/>
        <stp>##V3_BDPV12</stp>
        <stp>SIBN RX EQUITY</stp>
        <stp>PCT_REVENUE_FROM_FOREIGN_SOURCES</stp>
        <stp>[upload (2).xlsm]Model Portfolio!R15C30</stp>
        <tr r="AD15" s="98"/>
      </tp>
      <tp t="s">
        <v>USD</v>
        <stp/>
        <stp>##V3_BDPV12</stp>
        <stp>LXFT US EQUITY</stp>
        <stp>CRNCY</stp>
        <stp>[Copy of upload (2).xlsm]Гарез_GRENF (2)!R36C7</stp>
        <tr r="G36" s="116"/>
      </tp>
      <tp t="s">
        <v>KazMunaiGas Exploration Produc</v>
        <stp/>
        <stp>##V3_BDPV12</stp>
        <stp>KMG LI EQUITY</stp>
        <stp>SECURITY_NAME</stp>
        <stp>[Copy of upload (2).xlsm]Гарез_GRENF (2)!R39C4</stp>
        <tr r="D39" s="116"/>
      </tp>
      <tp t="s">
        <v>AT MATURITY</v>
        <stp/>
        <stp>##V3_BDPV12</stp>
        <stp>XS0918297382 Corp</stp>
        <stp>MTY_TYP</stp>
        <stp>[upload (2).xlsm]Base all $ 3 Duration!R106C15</stp>
        <tr r="O106" s="66"/>
      </tp>
      <tp t="s">
        <v>13/10/2020</v>
        <stp/>
        <stp>##V3_BDPV12</stp>
        <stp>XS0548633659 Corp</stp>
        <stp>MATURITY</stp>
        <stp>[upload (2).xlsm]Base all $ 3 Duration!R111C9</stp>
        <tr r="I111" s="66"/>
      </tp>
      <tp t="s">
        <v>USD</v>
        <stp/>
        <stp>##V3_BDPV12</stp>
        <stp>OGZD LI EQUITY</stp>
        <stp>CRNCY</stp>
        <stp>[Copy of upload (2).xlsm]Гарез_GRENF (2)!R45C7</stp>
        <tr r="G45" s="116"/>
      </tp>
      <tp>
        <v>75.031763275677804</v>
        <stp/>
        <stp>##V3_BDPV12</stp>
        <stp>SNGS RX EQUITY</stp>
        <stp>PCT_REVENUE_FROM_FOREIGN_SOURCES</stp>
        <stp>[upload (2).xlsm]Model Portfolio!R10C30</stp>
        <tr r="AD10" s="98"/>
      </tp>
      <tp t="s">
        <v>AT MATURITY</v>
        <stp/>
        <stp>##V3_BDPV12</stp>
        <stp>XS0513723873 Corp</stp>
        <stp>MTY_TYP</stp>
        <stp>[upload (2).xlsm]Base all $ 3 Duration!R110C15</stp>
        <tr r="O110" s="66"/>
      </tp>
      <tp t="s">
        <v>CALLABLE</v>
        <stp/>
        <stp>##V3_BDPV12</stp>
        <stp>XS0632887997 Corp</stp>
        <stp>MTY_TYP</stp>
        <stp>[upload (2).xlsm]Base all $ 3 Duration!R125C15</stp>
        <tr r="O125" s="66"/>
      </tp>
      <tp>
        <v>13.618700304896276</v>
        <stp/>
        <stp>##V3_BDPV12</stp>
        <stp>SBER RX EQUITY</stp>
        <stp>PCT_REVENUE_FROM_FOREIGN_SOURCES</stp>
        <stp>[upload (2).xlsm]Model Portfolio!R75C30</stp>
        <tr r="AD75" s="98"/>
      </tp>
      <tp t="s">
        <v>#N/A N/A</v>
        <stp/>
        <stp>##V3_BDPV12</stp>
        <stp>VIP US EQUITY</stp>
        <stp>PCT_REVENUE_FROM_FOREIGN_SOURCES</stp>
        <stp>[upload (2).xlsm]Model Portfolio!R61C30</stp>
        <tr r="AD61" s="98"/>
      </tp>
      <tp t="s">
        <v>17/04/2020</v>
        <stp/>
        <stp>##V3_BDPV12</stp>
        <stp>XS0918604496 Corp</stp>
        <stp>MATURITY</stp>
        <stp>[upload (2).xlsm]Base all $ 3 Duration!R103C9</stp>
        <tr r="I103" s="66"/>
      </tp>
      <tp>
        <v>692.992431640625</v>
        <stp/>
        <stp>##V3_BDPV12</stp>
        <stp>SVAV RX EQUITY</stp>
        <stp>BEST_TARGET_PRICE</stp>
        <stp>[upload (2).xlsm]Model Portfolio!R72C8</stp>
        <tr r="H72" s="98"/>
      </tp>
      <tp t="s">
        <v>Highland Gold Mining Ltd</v>
        <stp/>
        <stp>##V3_BDPV12</stp>
        <stp>HGM LN Equity</stp>
        <stp>SECURITY_NAME</stp>
        <stp>[Copy of upload (2).xlsm]Гарез_GRENF!R74C4</stp>
        <tr r="D74" s="115"/>
      </tp>
      <tp>
        <v>21.108585357666016</v>
        <stp/>
        <stp>##V3_BDPV12</stp>
        <stp>QIWI US EQUITY</stp>
        <stp>BEST_TARGET_PRICE</stp>
        <stp>[upload (2).xlsm]Model Portfolio!R40C8</stp>
        <tr r="H40" s="98"/>
      </tp>
      <tp>
        <v>0.26093210376828102</v>
        <stp/>
        <stp>##V3_BDPV12</stp>
        <stp>ALRS RX EQUITY</stp>
        <stp>NET_DEBT_TO_EBITDA</stp>
        <stp>[upload (2).xlsm]Model Portfolio!R5C20</stp>
        <tr r="T5" s="98"/>
      </tp>
      <tp>
        <v>1.9063846700974854</v>
        <stp/>
        <stp>##V3_BDPV12</stp>
        <stp>PLZL RX EQUITY</stp>
        <stp>NET_DEBT_TO_EBITDA</stp>
        <stp>[upload (2).xlsm]Model Portfolio!R2C20</stp>
        <tr r="T2" s="98"/>
      </tp>
      <tp t="s">
        <v>Subordinated</v>
        <stp/>
        <stp>##V3_BDPV12</stp>
        <stp>XS0810596832 Corp</stp>
        <stp>PAYMENT_RANK</stp>
        <stp>[upload (2).xlsm]Base all $ 3 Duration!R121C14</stp>
        <tr r="N121" s="66"/>
      </tp>
      <tp t="s">
        <v>USD</v>
        <stp/>
        <stp>##V3_BDPV12</stp>
        <stp>XS0555493203 Corp</stp>
        <stp>CRNCY</stp>
        <stp>[upload (2).xlsm]Base all $ 3 Duration!R109C12</stp>
        <tr r="L109" s="66"/>
      </tp>
      <tp t="s">
        <v>USD</v>
        <stp/>
        <stp>##V3_BDPV12</stp>
        <stp>XS0548633659 Corp</stp>
        <stp>CRNCY</stp>
        <stp>[upload (2).xlsm]Base all $ 3 Duration!R111C12</stp>
        <tr r="L111" s="66"/>
      </tp>
      <tp>
        <v>5.1143052703627649</v>
        <stp/>
        <stp>##V3_BDPV12</stp>
        <stp>XS0841671000 Corp</stp>
        <stp>MTY_YEARS_TDY</stp>
        <stp>[upload (2).xlsm]Base all $ 3 Duration!R141C3</stp>
        <tr r="C141" s="66"/>
      </tp>
      <tp t="s">
        <v>Sr Unsecured</v>
        <stp/>
        <stp>##V3_BDPV12</stp>
        <stp>XS0316524130 Corp</stp>
        <stp>PAYMENT_RANK</stp>
        <stp>[upload (2).xlsm]Base all $ 3 Duration!R129C14</stp>
        <tr r="N129" s="66"/>
      </tp>
      <tp t="s">
        <v>USD</v>
        <stp/>
        <stp>##V3_BDPV12</stp>
        <stp>XS0918604496 Corp</stp>
        <stp>CRNCY</stp>
        <stp>[upload (2).xlsm]Base all $ 3 Duration!R103C12</stp>
        <tr r="L103" s="66"/>
      </tp>
      <tp t="s">
        <v>USD</v>
        <stp/>
        <stp>##V3_BDPV12</stp>
        <stp>XS0841671000 Corp</stp>
        <stp>CRNCY</stp>
        <stp>[upload (2).xlsm]Base all $ 3 Duration!R141C12</stp>
        <tr r="L141" s="66"/>
      </tp>
      <tp t="s">
        <v>USD</v>
        <stp/>
        <stp>##V3_BDPV12</stp>
        <stp>XS0972645112 Corp</stp>
        <stp>CRNCY</stp>
        <stp>[upload (2).xlsm]Base all $ 3 Duration!R116C12</stp>
        <tr r="L116" s="66"/>
      </tp>
      <tp>
        <v>2.4202600958247777</v>
        <stp/>
        <stp>##V3_BDPV12</stp>
        <stp>XS0885733153 Corp</stp>
        <stp>MTY_YEARS_TDY</stp>
        <stp>[upload (2).xlsm]Base all $ 3 Duration!R115C3</stp>
        <tr r="C115" s="66"/>
      </tp>
      <tp t="s">
        <v>Sr Unsecured</v>
        <stp/>
        <stp>##V3_BDPV12</stp>
        <stp>XS0831571434 Corp</stp>
        <stp>PAYMENT_RANK</stp>
        <stp>[upload (2).xlsm]Base all $ 3 Duration!R157C14</stp>
        <tr r="N157" s="66"/>
      </tp>
      <tp t="s">
        <v>Sr Unsecured</v>
        <stp/>
        <stp>##V3_BDPV12</stp>
        <stp>XS0620695204 Corp</stp>
        <stp>PAYMENT_RANK</stp>
        <stp>[upload (2).xlsm]Base all $ 3 Duration!R138C14</stp>
        <tr r="N138" s="66"/>
      </tp>
      <tp t="s">
        <v>Sr Unsecured</v>
        <stp/>
        <stp>##V3_BDPV12</stp>
        <stp>XS0841671000 Corp</stp>
        <stp>PAYMENT_RANK</stp>
        <stp>[upload (2).xlsm]Base all $ 3 Duration!R141C14</stp>
        <tr r="N141" s="66"/>
      </tp>
      <tp t="s">
        <v>#N/A Field Not Applicable</v>
        <stp/>
        <stp>##V3_BDPV12</stp>
        <stp>XS0810596832 Corp</stp>
        <stp>MTY_YEARS_TDY</stp>
        <stp>[upload (2).xlsm]Base all $ 3 Duration!R121C3</stp>
        <tr r="C121" s="66"/>
      </tp>
      <tp>
        <v>5.7303216974674882</v>
        <stp/>
        <stp>##V3_BDPV12</stp>
        <stp>XS0921331509 Corp</stp>
        <stp>MTY_YEARS_TDY</stp>
        <stp>[upload (2).xlsm]Base all $ 3 Duration!R144C3</stp>
        <tr r="C144" s="66"/>
      </tp>
      <tp>
        <v>6.3107460643394937</v>
        <stp/>
        <stp>##V3_BDPV12</stp>
        <stp>XS0975320879 Corp</stp>
        <stp>MTY_YEARS_TDY</stp>
        <stp>[upload (2).xlsm]Base all $ 3 Duration!R123C3</stp>
        <tr r="C123" s="66"/>
      </tp>
      <tp t="s">
        <v>Sr Unsecured</v>
        <stp/>
        <stp>##V3_BDPV12</stp>
        <stp>XS0889401724 Corp</stp>
        <stp>PAYMENT_RANK</stp>
        <stp>[upload (2).xlsm]Base all $ 3 Duration!R130C14</stp>
        <tr r="N130" s="66"/>
      </tp>
      <tp t="s">
        <v>USD</v>
        <stp/>
        <stp>##V3_BDPV12</stp>
        <stp>XS0290580595 Corp</stp>
        <stp>CRNCY</stp>
        <stp>[upload (2).xlsm]Base all $ 3 Duration!R152C12</stp>
        <tr r="L152" s="66"/>
      </tp>
      <tp>
        <v>-1.3147646605094927</v>
        <stp/>
        <stp>##V3_BDPV12</stp>
        <stp>XS0632887997 Corp</stp>
        <stp>INTERVAL_PERCENT_CHANGE</stp>
        <stp>[upload (2).xlsm]Base all $ 3 Duration!R127C17</stp>
        <stp>END_DATE_OVERRIDE</stp>
        <stp xml:space="preserve"> </stp>
        <stp>START_DATE_OVERRIDe</stp>
        <stp>20140716</stp>
        <tr r="Q127" s="66"/>
      </tp>
      <tp>
        <v>3.6871474991968265</v>
        <stp/>
        <stp>##V3_BDPV12</stp>
        <stp>XS0743596040 Corp</stp>
        <stp>INTERVAL_PERCENT_CHANGE</stp>
        <stp>[upload (2).xlsm]Base all $ 3 Duration!R157C17</stp>
        <stp>END_DATE_OVERRIDE</stp>
        <stp xml:space="preserve"> </stp>
        <stp>START_DATE_OVERRIDe</stp>
        <stp>20140716</stp>
        <tr r="Q157" s="66"/>
      </tp>
      <tp>
        <v>13.361233305591883</v>
        <stp/>
        <stp>##V3_BDPV12</stp>
        <stp>BANEP RX EQUITY</stp>
        <stp>EBIT_MARGIN</stp>
        <stp>[upload (2).xlsm]Model Portfolio!R8C24</stp>
        <tr r="X8" s="98"/>
      </tp>
      <tp>
        <v>1.4738008382154035</v>
        <stp/>
        <stp>##V3_BDPV12</stp>
        <stp>XS0554659671 Corp</stp>
        <stp>INTERVAL_PERCENT_CHANGE</stp>
        <stp>[upload (2).xlsm]Base all $ 3 Duration!R117C17</stp>
        <stp>END_DATE_OVERRIDE</stp>
        <stp xml:space="preserve"> </stp>
        <stp>START_DATE_OVERRIDe</stp>
        <stp>20140716</stp>
        <tr r="Q117" s="66"/>
      </tp>
      <tp>
        <v>-2.2813589670742056</v>
        <stp/>
        <stp>##V3_BDPV12</stp>
        <stp>XS0848137708 Corp</stp>
        <stp>INTERVAL_PERCENT_CHANGE</stp>
        <stp>[upload (2).xlsm]Base all $ 3 Duration!R124C17</stp>
        <stp>END_DATE_OVERRIDE</stp>
        <stp xml:space="preserve"> </stp>
        <stp>START_DATE_OVERRIDe</stp>
        <stp>20140716</stp>
        <tr r="Q124" s="66"/>
      </tp>
      <tp>
        <v>53.772767240296446</v>
        <stp/>
        <stp>##V3_BDPV12</stp>
        <stp>PLZL RX EQUITY</stp>
        <stp>EBIT_MARGIN</stp>
        <stp>[upload (2).xlsm]Model Portfolio!R2C24</stp>
        <tr r="X2" s="98"/>
      </tp>
      <tp>
        <v>6.7416816177668117</v>
        <stp/>
        <stp>##V3_BDPV12</stp>
        <stp>XS0861981180 Corp</stp>
        <stp>INTERVAL_PERCENT_CHANGE</stp>
        <stp>[upload (2).xlsm]Base all $ 3 Duration!R147C17</stp>
        <stp>END_DATE_OVERRIDE</stp>
        <stp xml:space="preserve"> </stp>
        <stp>START_DATE_OVERRIDe</stp>
        <stp>20140716</stp>
        <tr r="Q147" s="66"/>
      </tp>
      <tp>
        <v>7.7126811707130791</v>
        <stp/>
        <stp>##V3_BDPV12</stp>
        <stp>XS0864383723 Corp</stp>
        <stp>INTERVAL_PERCENT_CHANGE</stp>
        <stp>[upload (2).xlsm]Base all $ 3 Duration!R149C17</stp>
        <stp>END_DATE_OVERRIDE</stp>
        <stp xml:space="preserve"> </stp>
        <stp>START_DATE_OVERRIDe</stp>
        <stp>20140716</stp>
        <tr r="Q149" s="66"/>
      </tp>
      <tp>
        <v>2.3994312797155084</v>
        <stp/>
        <stp>##V3_BDPV12</stp>
        <stp>QIWI US EQUITY</stp>
        <stp>CURRENT_EV_TO_12M_SALES</stp>
        <stp>[upload (2).xlsm]Model Portfolio!R40C17</stp>
        <tr r="Q40" s="98"/>
      </tp>
      <tp>
        <v>4.8032240037674869</v>
        <stp/>
        <stp>##V3_BDPV12</stp>
        <stp>XS0879105558 Corp</stp>
        <stp>YLD_YTM_BID</stp>
        <stp>[upload (2).xlsm]Base all $ 3 Duration!R38C6</stp>
        <tr r="F38" s="66"/>
      </tp>
      <tp>
        <v>4.45</v>
        <stp/>
        <stp>##V3_BDPV12</stp>
        <stp>XS0808632847 Corp</stp>
        <stp>CPN</stp>
        <stp>[upload (2).xlsm]Base all $ 3 Duration!R65C8</stp>
        <tr r="H65" s="66"/>
      </tp>
      <tp>
        <v>1.092700273776066</v>
        <stp/>
        <stp>##V3_BDPV12</stp>
        <stp>RSTI RX EQUITY</stp>
        <stp>CURRENT_EV_TO_12M_SALES</stp>
        <stp>[upload (2).xlsm]Model Portfolio!R54C17</stp>
        <tr r="Q54" s="98"/>
      </tp>
      <tp t="s">
        <v>#N/A N/A</v>
        <stp/>
        <stp>##V3_BDPV12</stp>
        <stp>XS0640334768 Corp</stp>
        <stp>YLD_YTM_BID</stp>
        <stp>[upload (2).xlsm]Base all $ 3 Duration!R15C6</stp>
        <tr r="F15" s="66"/>
      </tp>
      <tp>
        <v>3.0835303999999999</v>
        <stp/>
        <stp>##V3_BDPV12</stp>
        <stp>XS0923472814 Corp</stp>
        <stp>YLD_YTM_BID</stp>
        <stp>[upload (2).xlsm]Base all $ 3 Duration!R52C6</stp>
        <tr r="F52" s="66"/>
      </tp>
      <tp>
        <v>13.5</v>
        <stp/>
        <stp>##V3_BDPV12</stp>
        <stp>XS0869792928 Corp</stp>
        <stp>CPN</stp>
        <stp>[upload (2).xlsm]Base all $ 3 Duration!R10C8</stp>
        <tr r="H10" s="66"/>
      </tp>
      <tp>
        <v>10.199999999999999</v>
        <stp/>
        <stp>##V3_BDPV12</stp>
        <stp>XS0851672435 Corp</stp>
        <stp>CPN</stp>
        <stp>[upload (2).xlsm]Base all $ 3 Duration!R23C8</stp>
        <tr r="H23" s="66"/>
      </tp>
      <tp>
        <v>2.96977</v>
        <stp/>
        <stp>##V3_BDPV12</stp>
        <stp>XS0618905219 Corp</stp>
        <stp>YLD_YTM_BID</stp>
        <stp>[upload (2).xlsm]Base all $ 3 Duration!R37C6</stp>
        <tr r="F37" s="66"/>
      </tp>
      <tp t="s">
        <v>#N/A N/A</v>
        <stp/>
        <stp>##V3_BDPV12</stp>
        <stp>XS0238091507 Corp</stp>
        <stp>px_ask</stp>
        <stp>[upload (2).xlsm]Base all $ 3 Duration!R5C5</stp>
        <tr r="E5" s="66"/>
      </tp>
      <tp>
        <v>8.2384298521928763</v>
        <stp/>
        <stp>##V3_BDPV12</stp>
        <stp>HYDR RX EQUITY</stp>
        <stp>BDVD_PROJ_12M_YLD</stp>
        <stp>[upload (2).xlsm]Model Portfolio!R58C27</stp>
        <tr r="AA58" s="98"/>
      </tp>
      <tp>
        <v>6.625</v>
        <stp/>
        <stp>##V3_BDPV12</stp>
        <stp>XS0292530309 Corp</stp>
        <stp>CPN</stp>
        <stp>[upload (2).xlsm]Base all $ 3 Duration!R81C8</stp>
        <tr r="H81" s="66"/>
      </tp>
      <tp t="s">
        <v>#N/A N/A</v>
        <stp/>
        <stp>##V3_BDPV12</stp>
        <stp>XS0275728557 Corp</stp>
        <stp>px_ask</stp>
        <stp>[upload (2).xlsm]Base all $ 3 Duration!R8C5</stp>
        <tr r="E8" s="66"/>
      </tp>
      <tp>
        <v>32.010659977678131</v>
        <stp/>
        <stp>##V3_BDPV12</stp>
        <stp>POLY LN EQUITY</stp>
        <stp>EBIT_MARGIN</stp>
        <stp>[upload (2).xlsm]Model Portfolio!R6C24</stp>
        <tr r="X6" s="98"/>
      </tp>
      <tp>
        <v>5.298</v>
        <stp/>
        <stp>##V3_BDPV12</stp>
        <stp>XS0796426228 Corp</stp>
        <stp>CPN</stp>
        <stp>[upload (2).xlsm]Base all $ 3 Duration!R54C8</stp>
        <tr r="H54" s="66"/>
      </tp>
      <tp t="s">
        <v>#N/A N/A</v>
        <stp/>
        <stp>##V3_BDPV12</stp>
        <stp>XS0552679879 Corp</stp>
        <stp>YLD_YTM_BID</stp>
        <stp>[upload (2).xlsm]Base all $ 3 Duration!R43C6</stp>
        <tr r="F43" s="66"/>
      </tp>
      <tp t="s">
        <v>#N/A N/A</v>
        <stp/>
        <stp>##V3_BDPV12</stp>
        <stp>AGRO LI EQUITY</stp>
        <stp>BDVD_PROJ_12M_YLD</stp>
        <stp>[upload (2).xlsm]Model Portfolio!R71C27</stp>
        <tr r="AA71" s="98"/>
      </tp>
      <tp>
        <v>1.4142786107374272</v>
        <stp/>
        <stp>##V3_BDPV12</stp>
        <stp>TRMK RX EQUITY</stp>
        <stp>PX_TO_BOOK_RATIO</stp>
        <stp>[upload (2).xlsm]Model Portfolio!R21C18</stp>
        <tr r="R21" s="98"/>
      </tp>
      <tp>
        <v>1.6011908356572542</v>
        <stp/>
        <stp>##V3_BDPV12</stp>
        <stp>TRCN RX EQUITY</stp>
        <stp>PX_TO_BOOK_RATIO</stp>
        <stp>[upload (2).xlsm]Model Portfolio!R50C18</stp>
        <tr r="R50" s="98"/>
      </tp>
      <tp t="s">
        <v>BRUNSWICK RAIL FINANCE</v>
        <stp/>
        <stp>##V3_BDPV12</stp>
        <stp>XS0850393264 Corp</stp>
        <stp>name</stp>
        <stp>[upload (2).xlsm]Base all $ 3 Duration!R4C1</stp>
        <tr r="A4" s="66"/>
      </tp>
      <tp>
        <v>9.3975593129248889</v>
        <stp/>
        <stp>##V3_BDPV12</stp>
        <stp>RSTI RX EQUITY</stp>
        <stp>PCT_REVENUE_FROM_FOREIGN_SOURCES</stp>
        <stp>[upload (2).xlsm]Model Portfolio!R54C30</stp>
        <tr r="AD54" s="98"/>
      </tp>
      <tp>
        <v>0</v>
        <stp/>
        <stp>##V3_BDPV12</stp>
        <stp>RTKM RX EQUITY</stp>
        <stp>PCT_REVENUE_FROM_FOREIGN_SOURCES</stp>
        <stp>[upload (2).xlsm]Model Portfolio!R66C30</stp>
        <tr r="AD66" s="98"/>
      </tp>
      <tp>
        <v>11.568630000000001</v>
        <stp/>
        <stp>##V3_BDPV12</stp>
        <stp>486 HK EQUITY</stp>
        <stp>CHG_PCT_1M</stp>
        <stp>[upload (2).xlsm]Model Portfolio!R30C5</stp>
        <tr r="E30" s="98"/>
      </tp>
      <tp t="s">
        <v>03/06/2021</v>
        <stp/>
        <stp>##V3_BDPV12</stp>
        <stp>XS0632887997 Corp</stp>
        <stp>MATURITY</stp>
        <stp>[upload (2).xlsm]Base all $ 3 Duration!R125C9</stp>
        <tr r="I125" s="66"/>
      </tp>
      <tp t="s">
        <v>03/11/2020</v>
        <stp/>
        <stp>##V3_BDPV12</stp>
        <stp>XS0555493203 Corp</stp>
        <stp>MATURITY</stp>
        <stp>[upload (2).xlsm]Base all $ 3 Duration!R109C9</stp>
        <tr r="I109" s="66"/>
      </tp>
      <tp t="s">
        <v>28/12/2023</v>
        <stp/>
        <stp>##V3_BDPV12</stp>
        <stp>XS0975320879 Corp</stp>
        <stp>MATURITY</stp>
        <stp>[upload (2).xlsm]Base all $ 3 Duration!R123C9</stp>
        <tr r="I123" s="66"/>
      </tp>
      <tp t="s">
        <v>28/04/2034</v>
        <stp/>
        <stp>##V3_BDPV12</stp>
        <stp>XS0191754729 Corp</stp>
        <stp>MATURITY</stp>
        <stp>[upload (2).xlsm]Base all $ 3 Duration!R128C9</stp>
        <tr r="I128" s="66"/>
      </tp>
      <tp t="s">
        <v>13/02/2023</v>
        <stp/>
        <stp>##V3_BDPV12</stp>
        <stp>XS0889401724 Corp</stp>
        <stp>MATURITY</stp>
        <stp>[upload (2).xlsm]Base all $ 3 Duration!R130C9</stp>
        <tr r="I130" s="66"/>
      </tp>
      <tp t="s">
        <v>16/08/2037</v>
        <stp/>
        <stp>##V3_BDPV12</stp>
        <stp>XS0316524130 Corp</stp>
        <stp>MATURITY</stp>
        <stp>[upload (2).xlsm]Base all $ 3 Duration!R129C9</stp>
        <tr r="I129" s="66"/>
      </tp>
      <tp>
        <v>75.964202002983171</v>
        <stp/>
        <stp>##V3_BDPV12</stp>
        <stp>ROSN RX EQUITY</stp>
        <stp>PCT_REVENUE_FROM_FOREIGN_SOURCES</stp>
        <stp>[upload (2).xlsm]Model Portfolio!R17C30</stp>
        <tr r="AD17" s="98"/>
      </tp>
      <tp>
        <v>37.848605577689241</v>
        <stp/>
        <stp>##V3_BDPV12</stp>
        <stp>RASP RX EQUITY</stp>
        <stp>PCT_REVENUE_FROM_FOREIGN_SOURCES</stp>
        <stp>[upload (2).xlsm]Model Portfolio!R28C30</stp>
        <tr r="AD28" s="98"/>
      </tp>
      <tp>
        <v>1.1492914584211997</v>
        <stp/>
        <stp>##V3_BDPV12</stp>
        <stp>TATN RX EQUITY</stp>
        <stp>PX_TO_BOOK_RATIO</stp>
        <stp>[upload (2).xlsm]Model Portfolio!R14C18</stp>
        <tr r="R14" s="98"/>
      </tp>
      <tp t="s">
        <v>AT MATURITY</v>
        <stp/>
        <stp>##V3_BDPV12</stp>
        <stp>XS0588433267 Corp</stp>
        <stp>MTY_TYP</stp>
        <stp>[upload (2).xlsm]Base all $ 3 Duration!R146C15</stp>
        <tr r="O146" s="66"/>
      </tp>
      <tp>
        <v>0.48272164487376668</v>
        <stp/>
        <stp>##V3_BDPV12</stp>
        <stp>TGKA RX EQUITY</stp>
        <stp>PX_TO_BOOK_RATIO</stp>
        <stp>[upload (2).xlsm]Model Portfolio!R60C18</stp>
        <tr r="R60" s="98"/>
      </tp>
      <tp t="s">
        <v>PUTABLE</v>
        <stp/>
        <stp>##V3_BDPV12</stp>
        <stp>XS0223715920 Corp</stp>
        <stp>MTY_TYP</stp>
        <stp>[upload (2).xlsm]Base all $ 3 Duration!R137C15</stp>
        <tr r="O137" s="66"/>
      </tp>
      <tp>
        <v>415.60235595703125</v>
        <stp/>
        <stp>##V3_BDPV12</stp>
        <stp>TATN RX EQUITY</stp>
        <stp>BEST_TARGET_PRICE</stp>
        <stp>[upload (2).xlsm]Model Portfolio!R14C8</stp>
        <tr r="H14" s="98"/>
      </tp>
      <tp t="s">
        <v>QIWI plc</v>
        <stp/>
        <stp>##V3_BDPV12</stp>
        <stp>QIWI US Equity</stp>
        <stp>SECURITY_NAME</stp>
        <stp>[Copy of upload (2).xlsm]Гарез_GRENF!R97C4</stp>
        <tr r="D97" s="115"/>
      </tp>
      <tp>
        <v>6.3629999160766602</v>
        <stp/>
        <stp>##V3_BDPV12</stp>
        <stp>486 HK EQUITY</stp>
        <stp>BEST_TARGET_PRICE</stp>
        <stp>[upload (2).xlsm]Model Portfolio!R30C8</stp>
        <tr r="H30" s="98"/>
      </tp>
      <tp t="s">
        <v>Sr Unsecured</v>
        <stp/>
        <stp>##V3_BDPV12</stp>
        <stp>XS0223715920 Corp</stp>
        <stp>PAYMENT_RANK</stp>
        <stp>[upload (2).xlsm]Base all $ 3 Duration!R137C14</stp>
        <tr r="N137" s="66"/>
      </tp>
      <tp t="s">
        <v>USD</v>
        <stp/>
        <stp>##V3_BDPV12</stp>
        <stp>XS0953323317 Corp</stp>
        <stp>CRNCY</stp>
        <stp>[upload (2).xlsm]Base all $ 3 Duration!R118C12</stp>
        <tr r="L118" s="66"/>
      </tp>
      <tp t="s">
        <v>USD</v>
        <stp/>
        <stp>##V3_BDPV12</stp>
        <stp>XS0848530977 Corp</stp>
        <stp>CRNCY</stp>
        <stp>[upload (2).xlsm]Base all $ 3 Duration!R150C12</stp>
        <tr r="L150" s="66"/>
      </tp>
      <tp t="s">
        <v>Sr Unsecured</v>
        <stp/>
        <stp>##V3_BDPV12</stp>
        <stp>XS0911599701 Corp</stp>
        <stp>PAYMENT_RANK</stp>
        <stp>[upload (2).xlsm]Base all $ 3 Duration!R104C14</stp>
        <tr r="N104" s="66"/>
      </tp>
      <tp>
        <v>4.4243668720054758</v>
        <stp/>
        <stp>##V3_BDPV12</stp>
        <stp>XS0743596040 Corp</stp>
        <stp>MTY_YEARS_TDY</stp>
        <stp>[upload (2).xlsm]Base all $ 3 Duration!R155C3</stp>
        <tr r="C155" s="66"/>
      </tp>
      <tp>
        <v>3.7152635181382614</v>
        <stp/>
        <stp>##V3_BDPV12</stp>
        <stp>XS0632887997 Corp</stp>
        <stp>MTY_YEARS_TDY</stp>
        <stp>[upload (2).xlsm]Base all $ 3 Duration!R125C3</stp>
        <tr r="C125" s="66"/>
      </tp>
      <tp>
        <v>5.1143052703627649</v>
        <stp/>
        <stp>##V3_BDPV12</stp>
        <stp>XS0842078536 Corp</stp>
        <stp>MTY_YEARS_TDY</stp>
        <stp>[upload (2).xlsm]Base all $ 3 Duration!R127C3</stp>
        <tr r="C127" s="66"/>
      </tp>
      <tp>
        <v>4.8678986995208762</v>
        <stp/>
        <stp>##V3_BDPV12</stp>
        <stp>XS0805570354 Corp</stp>
        <stp>MTY_YEARS_TDY</stp>
        <stp>[upload (2).xlsm]Base all $ 3 Duration!R154C3</stp>
        <tr r="C154" s="66"/>
      </tp>
      <tp t="s">
        <v>USD</v>
        <stp/>
        <stp>##V3_BDPV12</stp>
        <stp>XS0981028177 Corp</stp>
        <stp>CRNCY</stp>
        <stp>[upload (2).xlsm]Base all $ 3 Duration!R119C12</stp>
        <tr r="L119" s="66"/>
      </tp>
      <tp>
        <v>3.4140999315537304</v>
        <stp/>
        <stp>##V3_BDPV12</stp>
        <stp>XS0588433267 Corp</stp>
        <stp>MTY_YEARS_TDY</stp>
        <stp>[upload (2).xlsm]Base all $ 3 Duration!R146C3</stp>
        <tr r="C146" s="66"/>
      </tp>
      <tp>
        <v>4.4982888432580426</v>
        <stp/>
        <stp>##V3_BDPV12</stp>
        <stp>XS0861981180 Corp</stp>
        <stp>MTY_YEARS_TDY</stp>
        <stp>[upload (2).xlsm]Base all $ 3 Duration!R145C3</stp>
        <tr r="C145" s="66"/>
      </tp>
      <tp t="s">
        <v>USD</v>
        <stp/>
        <stp>##V3_BDPV12</stp>
        <stp>XS0993162683 Corp</stp>
        <stp>CRNCY</stp>
        <stp>[upload (2).xlsm]Base all $ 3 Duration!R139C12</stp>
        <tr r="L139" s="66"/>
      </tp>
      <tp t="s">
        <v>Sr Unsecured</v>
        <stp/>
        <stp>##V3_BDPV12</stp>
        <stp>XS0885736925 Corp</stp>
        <stp>PAYMENT_RANK</stp>
        <stp>[upload (2).xlsm]Base all $ 3 Duration!R140C14</stp>
        <tr r="N140" s="66"/>
      </tp>
      <tp t="s">
        <v>Sr Unsecured</v>
        <stp/>
        <stp>##V3_BDPV12</stp>
        <stp>XS0191754729 Corp</stp>
        <stp>PAYMENT_RANK</stp>
        <stp>[upload (2).xlsm]Base all $ 3 Duration!R128C14</stp>
        <tr r="N128" s="66"/>
      </tp>
      <tp>
        <v>3.7782340862422998</v>
        <stp/>
        <stp>##V3_BDPV12</stp>
        <stp>XS0638572973 Corp</stp>
        <stp>MTY_YEARS_TDY</stp>
        <stp>[upload (2).xlsm]Base all $ 3 Duration!R156C3</stp>
        <tr r="C156" s="66"/>
      </tp>
      <tp>
        <v>4.8240930869267622</v>
        <stp/>
        <stp>##V3_BDPV12</stp>
        <stp>XS0805131439 Corp</stp>
        <stp>MTY_YEARS_TDY</stp>
        <stp>[upload (2).xlsm]Base all $ 3 Duration!R126C3</stp>
        <tr r="C126" s="66"/>
      </tp>
      <tp t="s">
        <v>USD</v>
        <stp/>
        <stp>##V3_BDPV12</stp>
        <stp>XS0889401724 Corp</stp>
        <stp>CRNCY</stp>
        <stp>[upload (2).xlsm]Base all $ 3 Duration!R130C12</stp>
        <tr r="L130" s="66"/>
      </tp>
      <tp>
        <v>4.3085236389578911</v>
        <stp/>
        <stp>##V3_BDPV12</stp>
        <stp>XS0885733153 Corp</stp>
        <stp>INTERVAL_PERCENT_CHANGE</stp>
        <stp>[upload (2).xlsm]Base all $ 3 Duration!R118C17</stp>
        <stp>END_DATE_OVERRIDE</stp>
        <stp xml:space="preserve"> </stp>
        <stp>START_DATE_OVERRIDe</stp>
        <stp>20140716</stp>
        <tr r="Q118" s="66"/>
      </tp>
      <tp>
        <v>7.4430900212974622</v>
        <stp/>
        <stp>##V3_BDPV12</stp>
        <stp>XS0848530977 Corp</stp>
        <stp>INTERVAL_PERCENT_CHANGE</stp>
        <stp>[upload (2).xlsm]Base all $ 3 Duration!R152C17</stp>
        <stp>END_DATE_OVERRIDE</stp>
        <stp xml:space="preserve"> </stp>
        <stp>START_DATE_OVERRIDe</stp>
        <stp>20140716</stp>
        <tr r="Q152" s="66"/>
      </tp>
      <tp>
        <v>4.86835568802781</v>
        <stp/>
        <stp>##V3_BDPV12</stp>
        <stp>XS0922301717 Corp</stp>
        <stp>INTERVAL_PERCENT_CHANGE</stp>
        <stp>[upload (2).xlsm]Base all $ 3 Duration!R111C17</stp>
        <stp>END_DATE_OVERRIDE</stp>
        <stp xml:space="preserve"> </stp>
        <stp>START_DATE_OVERRIDe</stp>
        <stp>20140716</stp>
        <tr r="Q111" s="66"/>
      </tp>
      <tp>
        <v>3.6890645586297759</v>
        <stp/>
        <stp>##V3_BDPV12</stp>
        <stp>XS0805131439 Corp</stp>
        <stp>INTERVAL_PERCENT_CHANGE</stp>
        <stp>[upload (2).xlsm]Base all $ 3 Duration!R128C17</stp>
        <stp>END_DATE_OVERRIDE</stp>
        <stp xml:space="preserve"> </stp>
        <stp>START_DATE_OVERRIDe</stp>
        <stp>20140716</stp>
        <tr r="Q128" s="66"/>
      </tp>
      <tp>
        <v>2.0328526918902941</v>
        <stp/>
        <stp>##V3_BDPV12</stp>
        <stp>XS0588433267 Corp</stp>
        <stp>INTERVAL_PERCENT_CHANGE</stp>
        <stp>[upload (2).xlsm]Base all $ 3 Duration!R148C17</stp>
        <stp>END_DATE_OVERRIDE</stp>
        <stp xml:space="preserve"> </stp>
        <stp>START_DATE_OVERRIDe</stp>
        <stp>20140716</stp>
        <tr r="Q148" s="66"/>
      </tp>
      <tp>
        <v>3.0628562119287563</v>
        <stp/>
        <stp>##V3_BDPV12</stp>
        <stp>XS0638572973 Corp</stp>
        <stp>INTERVAL_PERCENT_CHANGE</stp>
        <stp>[upload (2).xlsm]Base all $ 3 Duration!R158C17</stp>
        <stp>END_DATE_OVERRIDE</stp>
        <stp xml:space="preserve"> </stp>
        <stp>START_DATE_OVERRIDe</stp>
        <stp>20140716</stp>
        <tr r="Q158" s="66"/>
      </tp>
      <tp>
        <v>2.1497215000000001</v>
        <stp/>
        <stp>##V3_BDPV12</stp>
        <stp>XS0919502434 Corp</stp>
        <stp>YLD_YTM_BID</stp>
        <stp>[upload (2).xlsm]Base all $ 3 Duration!R66C6</stp>
        <tr r="F66" s="66"/>
      </tp>
      <tp t="s">
        <v>#N/A N/A</v>
        <stp/>
        <stp>##V3_BDPV12</stp>
        <stp>XS0304273948 Corp</stp>
        <stp>YLD_YTM_BID</stp>
        <stp>[upload (2).xlsm]Base all $ 3 Duration!R87C6</stp>
        <tr r="F87" s="66"/>
      </tp>
      <tp>
        <v>3.9140000000000001</v>
        <stp/>
        <stp>##V3_BDPV12</stp>
        <stp>XS0878855773 Corp</stp>
        <stp>CPN</stp>
        <stp>[upload (2).xlsm]Base all $ 3 Duration!R44C8</stp>
        <tr r="H44" s="66"/>
      </tp>
      <tp>
        <v>11</v>
        <stp/>
        <stp>##V3_BDPV12</stp>
        <stp>XS1059697323 Corp</stp>
        <stp>CPN</stp>
        <stp>[upload (2).xlsm]Base all $ 3 Duration!R20C8</stp>
        <tr r="H20" s="66"/>
      </tp>
      <tp>
        <v>8.1460000000000008</v>
        <stp/>
        <stp>##V3_BDPV12</stp>
        <stp>XS0357281558 Corp</stp>
        <stp>CPN</stp>
        <stp>[upload (2).xlsm]Base all $ 3 Duration!R69C8</stp>
        <tr r="H69" s="66"/>
      </tp>
      <tp>
        <v>2.8353259</v>
        <stp/>
        <stp>##V3_BDPV12</stp>
        <stp>XS0955232854 Corp</stp>
        <stp>YLD_YTM_BID</stp>
        <stp>[upload (2).xlsm]Base all $ 3 Duration!R45C6</stp>
        <tr r="F45" s="66"/>
      </tp>
      <tp>
        <v>2.5797847720846736</v>
        <stp/>
        <stp>##V3_BDPV12</stp>
        <stp>XS0366630902 Corp</stp>
        <stp>YLD_YTM_BID</stp>
        <stp>[upload (2).xlsm]Base all $ 3 Duration!R49C6</stp>
        <tr r="F49" s="66"/>
      </tp>
      <tp t="s">
        <v>#N/A N/A</v>
        <stp/>
        <stp>##V3_BDPV12</stp>
        <stp>XS0742380412 Corp</stp>
        <stp>YLD_YTM_BID</stp>
        <stp>[upload (2).xlsm]Base all $ 3 Duration!R86C6</stp>
        <tr r="F86" s="66"/>
      </tp>
      <tp>
        <v>11.25</v>
        <stp/>
        <stp>##V3_BDPV12</stp>
        <stp>XS0524658852 Corp</stp>
        <stp>CPN</stp>
        <stp>[upload (2).xlsm]Base all $ 3 Duration!R68C8</stp>
        <tr r="H68" s="66"/>
      </tp>
      <tp>
        <v>6.02</v>
        <stp/>
        <stp>##V3_BDPV12</stp>
        <stp>XS0299183250 Corp</stp>
        <stp>CPN</stp>
        <stp>[upload (2).xlsm]Base all $ 3 Duration!R40C8</stp>
        <tr r="H40" s="66"/>
      </tp>
      <tp t="s">
        <v>#N/A N/A</v>
        <stp/>
        <stp>##V3_BDPV12</stp>
        <stp>XS0300998779 Corp</stp>
        <stp>YLD_YTM_BID</stp>
        <stp>[upload (2).xlsm]Base all $ 3 Duration!R58C6</stp>
        <tr r="F58" s="66"/>
      </tp>
      <tp t="s">
        <v>#N/A N/A</v>
        <stp/>
        <stp>##V3_BDPV12</stp>
        <stp>XS0802648955 Corp</stp>
        <stp>YLD_YTM_BID</stp>
        <stp>[upload (2).xlsm]Base all $ 3 Duration!R12C6</stp>
        <tr r="F12" s="66"/>
      </tp>
      <tp>
        <v>6.3150000000000004</v>
        <stp/>
        <stp>##V3_BDPV12</stp>
        <stp>XS0592794597 Corp</stp>
        <stp>CPN</stp>
        <stp>[upload (2).xlsm]Base all $ 3 Duration!R61C8</stp>
        <tr r="H61" s="66"/>
      </tp>
      <tp t="s">
        <v>#N/A N/A</v>
        <stp/>
        <stp>##V3_BDPV12</stp>
        <stp>XS0772509484 Corp</stp>
        <stp>YLD_YTM_BID</stp>
        <stp>[upload (2).xlsm]Base all $ 3 Duration!R78C6</stp>
        <tr r="F78" s="66"/>
      </tp>
      <tp t="s">
        <v>#N/A N/A</v>
        <stp/>
        <stp>##V3_BDPV12</stp>
        <stp>XS0588436799 Corp</stp>
        <stp>YLD_YTM_BID</stp>
        <stp>[upload (2).xlsm]Base all $ 3 Duration!R94C6</stp>
        <tr r="F94" s="66"/>
      </tp>
      <tp t="s">
        <v>#N/A Field Not Applicable</v>
        <stp/>
        <stp>##V3_BDPV12</stp>
        <stp>XS0848137708 Corp</stp>
        <stp>MATURITY</stp>
        <stp>[upload (2).xlsm]Base all $ 3 Duration!R122C9</stp>
        <tr r="I122" s="66"/>
      </tp>
      <tp t="s">
        <v>29/04/2020</v>
        <stp/>
        <stp>##V3_BDPV12</stp>
        <stp>XS0922301717 Corp</stp>
        <stp>MATURITY</stp>
        <stp>[upload (2).xlsm]Base all $ 3 Duration!R108C9</stp>
        <tr r="I108" s="66"/>
      </tp>
      <tp t="s">
        <v>05/04/2022</v>
        <stp/>
        <stp>##V3_BDPV12</stp>
        <stp>XS0764220017 Corp</stp>
        <stp>MATURITY</stp>
        <stp>[upload (2).xlsm]Base all $ 3 Duration!R149C9</stp>
        <tr r="I149" s="66"/>
      </tp>
      <tp t="s">
        <v>30/06/2035</v>
        <stp/>
        <stp>##V3_BDPV12</stp>
        <stp>XS0223715920 Corp</stp>
        <stp>MATURITY</stp>
        <stp>[upload (2).xlsm]Base all $ 3 Duration!R137C9</stp>
        <tr r="I137" s="66"/>
      </tp>
      <tp t="s">
        <v>#N/A N/A</v>
        <stp/>
        <stp>##V3_BDPV12</stp>
        <stp>QIWI US EQUITY</stp>
        <stp>PCT_REVENUE_FROM_FOREIGN_SOURCES</stp>
        <stp>[upload (2).xlsm]Model Portfolio!R40C30</stp>
        <tr r="AD40" s="98"/>
      </tp>
      <tp t="s">
        <v>Polymetal International PLC</v>
        <stp/>
        <stp>##V3_BDPV12</stp>
        <stp>POLY RX EQUITY</stp>
        <stp>SECURITY_NAME</stp>
        <stp>[Copy of upload (2).xlsm]Гарез_GRENF (2)!R28C4</stp>
        <tr r="D28" s="116"/>
      </tp>
      <tp t="s">
        <v>17/04/2020</v>
        <stp/>
        <stp>##V3_BDPV12</stp>
        <stp>XS0918297382 Corp</stp>
        <stp>MATURITY</stp>
        <stp>[upload (2).xlsm]Base all $ 3 Duration!R106C9</stp>
        <tr r="I106" s="66"/>
      </tp>
      <tp>
        <v>36.561862945556641</v>
        <stp/>
        <stp>##V3_BDPV12</stp>
        <stp>SNGS RX EQUITY</stp>
        <stp>BEST_TARGET_PRICE</stp>
        <stp>[upload (2).xlsm]Model Portfolio!R10C8</stp>
        <tr r="H10" s="98"/>
      </tp>
      <tp>
        <v>13.61870030489627</v>
        <stp/>
        <stp>##V3_BDPV12</stp>
        <stp>SBERP RX EQUITY</stp>
        <stp>PCT_REVENUE_FROM_FOREIGN_SOURCES</stp>
        <stp>[upload (2).xlsm]Model Portfolio!R76C30</stp>
        <tr r="AD76" s="98"/>
      </tp>
      <tp>
        <v>73.278009999999995</v>
        <stp/>
        <stp>##V3_BDPV12</stp>
        <stp>POLY LN EQUITY</stp>
        <stp>EQY_FREE_FLOAT_PCT</stp>
        <stp>[upload (2).xlsm]Model Portfolio!R6C11</stp>
        <tr r="K6" s="98"/>
      </tp>
      <tp>
        <v>2.409308692676249</v>
        <stp/>
        <stp>##V3_BDPV12</stp>
        <stp>XS0484209159 Corp</stp>
        <stp>MTY_YEARS_TDY</stp>
        <stp>[upload (2).xlsm]Base all $ 3 Duration!R112C3</stp>
        <tr r="C112" s="66"/>
      </tp>
      <tp>
        <v>6.2258726899383987</v>
        <stp/>
        <stp>##V3_BDPV12</stp>
        <stp>XS0997544860 Corp</stp>
        <stp>MTY_YEARS_TDY</stp>
        <stp>[upload (2).xlsm]Base all $ 3 Duration!R136C3</stp>
        <tr r="C136" s="66"/>
      </tp>
      <tp t="s">
        <v>Subordinated</v>
        <stp/>
        <stp>##V3_BDPV12</stp>
        <stp>XS0975320879 Corp</stp>
        <stp>PAYMENT_RANK</stp>
        <stp>[upload (2).xlsm]Base all $ 3 Duration!R123C14</stp>
        <tr r="N123" s="66"/>
      </tp>
      <tp t="s">
        <v>USD</v>
        <stp/>
        <stp>##V3_BDPV12</stp>
        <stp>XS0304274599 Corp</stp>
        <stp>CRNCY</stp>
        <stp>[upload (2).xlsm]Base all $ 3 Duration!R151C12</stp>
        <tr r="L151" s="66"/>
      </tp>
      <tp>
        <v>10.420260095824778</v>
        <stp/>
        <stp>##V3_BDPV12</stp>
        <stp>XS0885736925 Corp</stp>
        <stp>MTY_YEARS_TDY</stp>
        <stp>[upload (2).xlsm]Base all $ 3 Duration!R140C3</stp>
        <tr r="C140" s="66"/>
      </tp>
      <tp t="s">
        <v>#N/A N/A</v>
        <stp/>
        <stp>##V3_BDPV12</stp>
        <stp>NORD LI EQUITY</stp>
        <stp>EQY_FREE_FLOAT_PCT</stp>
        <stp>[upload (2).xlsm]Model Portfolio!R3C11</stp>
        <tr r="K3" s="98"/>
      </tp>
      <tp t="s">
        <v>USD</v>
        <stp/>
        <stp>##V3_BDPV12</stp>
        <stp>XS0484209159 Corp</stp>
        <stp>CRNCY</stp>
        <stp>[upload (2).xlsm]Base all $ 3 Duration!R112C12</stp>
        <tr r="L112" s="66"/>
      </tp>
      <tp t="s">
        <v>USD</v>
        <stp/>
        <stp>##V3_BDPV12</stp>
        <stp>XS0925043100 Corp</stp>
        <stp>CRNCY</stp>
        <stp>[upload (2).xlsm]Base all $ 3 Duration!R100C12</stp>
        <tr r="L100" s="66"/>
      </tp>
      <tp t="s">
        <v>USD</v>
        <stp/>
        <stp>##V3_BDPV12</stp>
        <stp>XS0997544860 Corp</stp>
        <stp>CRNCY</stp>
        <stp>[upload (2).xlsm]Base all $ 3 Duration!R136C12</stp>
        <tr r="L136" s="66"/>
      </tp>
      <tp t="s">
        <v>USD</v>
        <stp/>
        <stp>##V3_BDPV12</stp>
        <stp>XS0191754729 Corp</stp>
        <stp>CRNCY</stp>
        <stp>[upload (2).xlsm]Base all $ 3 Duration!R128C12</stp>
        <tr r="L128" s="66"/>
      </tp>
      <tp>
        <v>3.1786447638603694</v>
        <stp/>
        <stp>##V3_BDPV12</stp>
        <stp>XS0554659671 Corp</stp>
        <stp>MTY_YEARS_TDY</stp>
        <stp>[upload (2).xlsm]Base all $ 3 Duration!R114C3</stp>
        <tr r="C114" s="66"/>
      </tp>
      <tp t="s">
        <v>Sr Unsecured</v>
        <stp/>
        <stp>##V3_BDPV12</stp>
        <stp>XS0555493203 Corp</stp>
        <stp>PAYMENT_RANK</stp>
        <stp>[upload (2).xlsm]Base all $ 3 Duration!R109C14</stp>
        <tr r="N109" s="66"/>
      </tp>
      <tp>
        <v>48.35</v>
        <stp/>
        <stp>##V3_BDPV12</stp>
        <stp>LXFT US Equity</stp>
        <stp>PX_LAST</stp>
        <stp>[Copy of upload (2).xlsm]Гарез_GRENF!R6C7</stp>
        <tr r="G6" s="115"/>
      </tp>
      <tp>
        <v>1.5426575257400237</v>
        <stp/>
        <stp>##V3_BDPV12</stp>
        <stp>XS0842078536 Corp</stp>
        <stp>INTERVAL_PERCENT_CHANGE</stp>
        <stp>[upload (2).xlsm]Base all $ 3 Duration!R129C17</stp>
        <stp>END_DATE_OVERRIDE</stp>
        <stp xml:space="preserve"> </stp>
        <stp>START_DATE_OVERRIDe</stp>
        <stp>20140716</stp>
        <tr r="Q129" s="66"/>
      </tp>
      <tp>
        <v>2.9812803327940918</v>
        <stp/>
        <stp>##V3_BDPV12</stp>
        <stp>XS0643183220 Corp</stp>
        <stp>INTERVAL_PERCENT_CHANGE</stp>
        <stp>[upload (2).xlsm]Base all $ 3 Duration!R135C17</stp>
        <stp>END_DATE_OVERRIDE</stp>
        <stp xml:space="preserve"> </stp>
        <stp>START_DATE_OVERRIDe</stp>
        <stp>20140716</stp>
        <tr r="Q135" s="66"/>
      </tp>
      <tp>
        <v>3.4728199987890647</v>
        <stp/>
        <stp>##V3_BDPV12</stp>
        <stp>XS0548633659 Corp</stp>
        <stp>INTERVAL_PERCENT_CHANGE</stp>
        <stp>[upload (2).xlsm]Base all $ 3 Duration!R114C17</stp>
        <stp>END_DATE_OVERRIDE</stp>
        <stp xml:space="preserve"> </stp>
        <stp>START_DATE_OVERRIDe</stp>
        <stp>20140716</stp>
        <tr r="Q114" s="66"/>
      </tp>
      <tp>
        <v>5.0653401870876786</v>
        <stp/>
        <stp>##V3_BDPV12</stp>
        <stp>XS0919504562 Corp</stp>
        <stp>INTERVAL_PERCENT_CHANGE</stp>
        <stp>[upload (2).xlsm]Base all $ 3 Duration!R150C17</stp>
        <stp>END_DATE_OVERRIDE</stp>
        <stp xml:space="preserve"> </stp>
        <stp>START_DATE_OVERRIDe</stp>
        <stp>20140716</stp>
        <tr r="Q150" s="66"/>
      </tp>
      <tp>
        <v>4.964801361686912</v>
        <stp/>
        <stp>##V3_BDPV12</stp>
        <stp>XS0997544860 Corp</stp>
        <stp>INTERVAL_PERCENT_CHANGE</stp>
        <stp>[upload (2).xlsm]Base all $ 3 Duration!R138C17</stp>
        <stp>END_DATE_OVERRIDE</stp>
        <stp xml:space="preserve"> </stp>
        <stp>START_DATE_OVERRIDe</stp>
        <stp>20140716</stp>
        <tr r="Q138" s="66"/>
      </tp>
      <tp>
        <v>4.1271642158768724</v>
        <stp/>
        <stp>##V3_BDPV12</stp>
        <stp>XS0764220017 Corp</stp>
        <stp>INTERVAL_PERCENT_CHANGE</stp>
        <stp>[upload (2).xlsm]Base all $ 3 Duration!R151C17</stp>
        <stp>END_DATE_OVERRIDE</stp>
        <stp xml:space="preserve"> </stp>
        <stp>START_DATE_OVERRIDe</stp>
        <stp>20140716</stp>
        <tr r="Q151" s="66"/>
      </tp>
      <tp>
        <v>6.0795793727863865</v>
        <stp/>
        <stp>##V3_BDPV12</stp>
        <stp>XS0921331509 Corp</stp>
        <stp>INTERVAL_PERCENT_CHANGE</stp>
        <stp>[upload (2).xlsm]Base all $ 3 Duration!R146C17</stp>
        <stp>END_DATE_OVERRIDE</stp>
        <stp xml:space="preserve"> </stp>
        <stp>START_DATE_OVERRIDe</stp>
        <stp>20140716</stp>
        <tr r="Q146" s="66"/>
      </tp>
      <tp>
        <v>3.5238998828923602</v>
        <stp/>
        <stp>##V3_BDPV12</stp>
        <stp>NVTK RX EQUITY</stp>
        <stp>CURRENT_EV_TO_12M_SALES</stp>
        <stp>[upload (2).xlsm]Model Portfolio!R16C17</stp>
        <tr r="Q16" s="98"/>
      </tp>
      <tp>
        <v>1.6658719955518955</v>
        <stp/>
        <stp>##V3_BDPV12</stp>
        <stp>NLMK RX EQUITY</stp>
        <stp>CURRENT_EV_TO_12M_SALES</stp>
        <stp>[upload (2).xlsm]Model Portfolio!R22C17</stp>
        <tr r="Q22" s="98"/>
      </tp>
      <tp t="s">
        <v>#N/A N/A</v>
        <stp/>
        <stp>##V3_BDPV12</stp>
        <stp>XS1059697323 Corp</stp>
        <stp>YLD_YTM_BID</stp>
        <stp>[upload (2).xlsm]Base all $ 3 Duration!R20C6</stp>
        <tr r="F20" s="66"/>
      </tp>
      <tp>
        <v>2.7420039239262883</v>
        <stp/>
        <stp>##V3_BDPV12</stp>
        <stp>XS0878855773 Corp</stp>
        <stp>YLD_YTM_BID</stp>
        <stp>[upload (2).xlsm]Base all $ 3 Duration!R44C6</stp>
        <tr r="F44" s="66"/>
      </tp>
      <tp>
        <v>4.1345092920619075</v>
        <stp/>
        <stp>##V3_BDPV12</stp>
        <stp>PIKK RX EQUITY</stp>
        <stp>CURRENT_EV_TO_12M_SALES</stp>
        <stp>[upload (2).xlsm]Model Portfolio!R68C17</stp>
        <tr r="Q68" s="98"/>
      </tp>
      <tp>
        <v>3.4159999999999999</v>
        <stp/>
        <stp>##V3_BDPV12</stp>
        <stp>XS0919502434 Corp</stp>
        <stp>CPN</stp>
        <stp>[upload (2).xlsm]Base all $ 3 Duration!R66C8</stp>
        <tr r="H66" s="66"/>
      </tp>
      <tp>
        <v>6.3559999999999999</v>
        <stp/>
        <stp>##V3_BDPV12</stp>
        <stp>XS0304273948 Corp</stp>
        <stp>CPN</stp>
        <stp>[upload (2).xlsm]Base all $ 3 Duration!R87C8</stp>
        <tr r="H87" s="66"/>
      </tp>
      <tp>
        <v>4.95</v>
        <stp/>
        <stp>##V3_BDPV12</stp>
        <stp>XS0742380412 Corp</stp>
        <stp>CPN</stp>
        <stp>[upload (2).xlsm]Base all $ 3 Duration!R86C8</stp>
        <tr r="H86" s="66"/>
      </tp>
      <tp>
        <v>1.0458861147583942</v>
        <stp/>
        <stp>##V3_BDPV12</stp>
        <stp>TRMK RX EQUITY</stp>
        <stp>CURRENT_EV_TO_12M_SALES</stp>
        <stp>[upload (2).xlsm]Model Portfolio!R21C17</stp>
        <tr r="Q21" s="98"/>
      </tp>
      <tp>
        <v>7.75</v>
        <stp/>
        <stp>##V3_BDPV12</stp>
        <stp>XS0366630902 Corp</stp>
        <stp>CPN</stp>
        <stp>[upload (2).xlsm]Base all $ 3 Duration!R49C8</stp>
        <tr r="H49" s="66"/>
      </tp>
      <tp>
        <v>2.2968536999999998</v>
        <stp/>
        <stp>##V3_BDPV12</stp>
        <stp>XS0357281558 Corp</stp>
        <stp>YLD_YTM_BID</stp>
        <stp>[upload (2).xlsm]Base all $ 3 Duration!R69C6</stp>
        <tr r="F69" s="66"/>
      </tp>
      <tp>
        <v>5.0999999999999996</v>
        <stp/>
        <stp>##V3_BDPV12</stp>
        <stp>XS0955232854 Corp</stp>
        <stp>CPN</stp>
        <stp>[upload (2).xlsm]Base all $ 3 Duration!R45C8</stp>
        <tr r="H45" s="66"/>
      </tp>
      <tp>
        <v>6.2990000000000004</v>
        <stp/>
        <stp>##V3_BDPV12</stp>
        <stp>XS0300998779 Corp</stp>
        <stp>CPN</stp>
        <stp>[upload (2).xlsm]Base all $ 3 Duration!R58C8</stp>
        <tr r="H58" s="66"/>
      </tp>
      <tp>
        <v>9.25</v>
        <stp/>
        <stp>##V3_BDPV12</stp>
        <stp>XS0802648955 Corp</stp>
        <stp>CPN</stp>
        <stp>[upload (2).xlsm]Base all $ 3 Duration!R12C8</stp>
        <tr r="H12" s="66"/>
      </tp>
      <tp t="s">
        <v>#N/A N/A</v>
        <stp/>
        <stp>##V3_BDPV12</stp>
        <stp>XS0299183250 Corp</stp>
        <stp>YLD_YTM_BID</stp>
        <stp>[upload (2).xlsm]Base all $ 3 Duration!R40C6</stp>
        <tr r="F40" s="66"/>
      </tp>
      <tp t="s">
        <v>#N/A N/A</v>
        <stp/>
        <stp>##V3_BDPV12</stp>
        <stp>XS0524658852 Corp</stp>
        <stp>YLD_YTM_BID</stp>
        <stp>[upload (2).xlsm]Base all $ 3 Duration!R68C6</stp>
        <tr r="F68" s="66"/>
      </tp>
      <tp>
        <v>105</v>
        <stp/>
        <stp>##V3_BDPV12</stp>
        <stp>XS0996297544 Corp</stp>
        <stp>px_ask</stp>
        <stp>[upload (2).xlsm]Base all $ 3 Duration!R9C5</stp>
        <tr r="E9" s="66"/>
      </tp>
      <tp>
        <v>6</v>
        <stp/>
        <stp>##V3_BDPV12</stp>
        <stp>XS0772509484 Corp</stp>
        <stp>CPN</stp>
        <stp>[upload (2).xlsm]Base all $ 3 Duration!R78C8</stp>
        <tr r="H78" s="66"/>
      </tp>
      <tp>
        <v>2.4519016678246599</v>
        <stp/>
        <stp>##V3_BDPV12</stp>
        <stp>XS0592794597 Corp</stp>
        <stp>YLD_YTM_BID</stp>
        <stp>[upload (2).xlsm]Base all $ 3 Duration!R61C6</stp>
        <tr r="F61" s="66"/>
      </tp>
      <tp>
        <v>5.3259999999999996</v>
        <stp/>
        <stp>##V3_BDPV12</stp>
        <stp>XS0588436799 Corp</stp>
        <stp>CPN</stp>
        <stp>[upload (2).xlsm]Base all $ 3 Duration!R94C8</stp>
        <tr r="H94" s="66"/>
      </tp>
      <tp>
        <v>50.337165991902836</v>
        <stp/>
        <stp>##V3_BDPV12</stp>
        <stp>486 HK EQUITY</stp>
        <stp>NORMALIZED_ROE</stp>
        <stp>[upload (2).xlsm]Model Portfolio!R30C26</stp>
        <tr r="Z30" s="98"/>
      </tp>
      <tp>
        <v>66.43265758327918</v>
        <stp/>
        <stp>##V3_BDPV12</stp>
        <stp>PHOR RX EQUITY</stp>
        <stp>PCT_REVENUE_FROM_FOREIGN_SOURCES</stp>
        <stp>[upload (2).xlsm]Model Portfolio!R32C30</stp>
        <tr r="AD32" s="98"/>
      </tp>
      <tp>
        <v>0</v>
        <stp/>
        <stp>##V3_BDPV12</stp>
        <stp>PIKK RX EQUITY</stp>
        <stp>PCT_REVENUE_FROM_FOREIGN_SOURCES</stp>
        <stp>[upload (2).xlsm]Model Portfolio!R68C30</stp>
        <tr r="AD68" s="98"/>
      </tp>
      <tp t="s">
        <v>03/02/2021</v>
        <stp/>
        <stp>##V3_BDPV12</stp>
        <stp>XS0588433267 Corp</stp>
        <stp>MATURITY</stp>
        <stp>[upload (2).xlsm]Base all $ 3 Duration!R146C9</stp>
        <tr r="I146" s="66"/>
      </tp>
      <tp t="s">
        <v>USD</v>
        <stp/>
        <stp>##V3_BDPV12</stp>
        <stp>AGRO LI EQUITY</stp>
        <stp>CRNCY</stp>
        <stp>[Copy of upload (2).xlsm]Гарез_GRENF (2)!R48C7</stp>
        <tr r="G48" s="116"/>
      </tp>
      <tp t="s">
        <v>06/02/2028</v>
        <stp/>
        <stp>##V3_BDPV12</stp>
        <stp>XS0885736925 Corp</stp>
        <stp>MATURITY</stp>
        <stp>[upload (2).xlsm]Base all $ 3 Duration!R140C9</stp>
        <tr r="I140" s="66"/>
      </tp>
      <tp t="s">
        <v>21/11/2023</v>
        <stp/>
        <stp>##V3_BDPV12</stp>
        <stp>XS0993162683 Corp</stp>
        <stp>MATURITY</stp>
        <stp>[upload (2).xlsm]Base all $ 3 Duration!R139C9</stp>
        <tr r="I139" s="66"/>
      </tp>
      <tp t="s">
        <v>PERP/CALL</v>
        <stp/>
        <stp>##V3_BDPV12</stp>
        <stp>XS0810596832 Corp</stp>
        <stp>MTY_TYP</stp>
        <stp>[upload (2).xlsm]Base all $ 3 Duration!R121C15</stp>
        <tr r="O121" s="66"/>
      </tp>
      <tp t="s">
        <v>Polymetal International PLC</v>
        <stp/>
        <stp>##V3_BDPV12</stp>
        <stp>POLY LN Equity</stp>
        <stp>SECURITY_NAME</stp>
        <stp>[Copy of upload (2).xlsm]Гарез_GRENF!R94C4</stp>
        <tr r="D94" s="115"/>
      </tp>
      <tp t="s">
        <v>KazMunaiGas Exploration Produc</v>
        <stp/>
        <stp>##V3_BDPV12</stp>
        <stp>KMG LI Equity</stp>
        <stp>SECURITY_NAME</stp>
        <stp>[Copy of upload (2).xlsm]Гарез_GRENF!R77C4</stp>
        <tr r="D77" s="115"/>
      </tp>
      <tp t="s">
        <v>#N/A N/A</v>
        <stp/>
        <stp>##V3_BDPV12</stp>
        <stp>VIP US EQUITY</stp>
        <stp>BEST_TARGET_PRICE</stp>
        <stp>[upload (2).xlsm]Model Portfolio!R61C8</stp>
        <tr r="H61" s="98"/>
      </tp>
      <tp>
        <v>1715.4749755859375</v>
        <stp/>
        <stp>##V3_BDPV12</stp>
        <stp>PHOR RX EQUITY</stp>
        <stp>BEST_TARGET_PRICE</stp>
        <stp>[upload (2).xlsm]Model Portfolio!R32C8</stp>
        <tr r="H32" s="98"/>
      </tp>
      <tp>
        <v>107.004</v>
        <stp/>
        <stp>##V3_BDPV12</stp>
        <stp>XS0982861287 Corp</stp>
        <stp>px_ask</stp>
        <stp>[upload (2).xlsm]Base all $ 3 Duration!R113C5</stp>
        <tr r="E113" s="66"/>
      </tp>
      <tp t="s">
        <v>BB+</v>
        <stp/>
        <stp>##V3_BDPV12</stp>
        <stp>XS0513723873 Corp</stp>
        <stp>RTG_SP</stp>
        <stp>[upload (2).xlsm]Base all $ 3 Duration!R110C10</stp>
        <tr r="J110" s="66"/>
        <tr r="J110" s="66"/>
      </tp>
      <tp>
        <v>105.29400000000001</v>
        <stp/>
        <stp>##V3_BDPV12</stp>
        <stp>XS0848137708 Corp</stp>
        <stp>PX_GROSS_MID</stp>
        <stp>[upload (2).xlsm]Base all $ 3 Duration!R124C19</stp>
        <tr r="S124" s="66"/>
      </tp>
      <tp>
        <v>104.6532</v>
        <stp/>
        <stp>##V3_BDPV12</stp>
        <stp>XS0864383723 Corp</stp>
        <stp>PX_GROSS_MID</stp>
        <stp>[upload (2).xlsm]Base all $ 3 Duration!R149C19</stp>
        <tr r="S149" s="66"/>
      </tp>
      <tp>
        <v>110.23</v>
        <stp/>
        <stp>##V3_BDPV12</stp>
        <stp>XS0997544860 Corp</stp>
        <stp>px_ask</stp>
        <stp>[upload (2).xlsm]Base all $ 3 Duration!R136C5</stp>
        <tr r="E136" s="66"/>
      </tp>
      <tp>
        <v>111.57780555555556</v>
        <stp/>
        <stp>##V3_BDPV12</stp>
        <stp>XS0554659671 Corp</stp>
        <stp>PX_GROSS_MID</stp>
        <stp>[upload (2).xlsm]Base all $ 3 Duration!R117C19</stp>
        <tr r="S117" s="66"/>
      </tp>
      <tp>
        <v>101.33216666666667</v>
        <stp/>
        <stp>##V3_BDPV12</stp>
        <stp>XS0861981180 Corp</stp>
        <stp>PX_GROSS_MID</stp>
        <stp>[upload (2).xlsm]Base all $ 3 Duration!R147C19</stp>
        <tr r="S147" s="66"/>
      </tp>
      <tp t="s">
        <v>BB+</v>
        <stp/>
        <stp>##V3_BDPV12</stp>
        <stp>XS0524610812 Corp</stp>
        <stp>RTG_SP</stp>
        <stp>[upload (2).xlsm]Base all $ 3 Duration!R107C10</stp>
        <tr r="J107" s="66"/>
        <tr r="J107" s="66"/>
      </tp>
      <tp t="s">
        <v>#N/A N/A</v>
        <stp/>
        <stp>##V3_BDPV12</stp>
        <stp>XS0743596040 Corp</stp>
        <stp>RTG_SP</stp>
        <stp>[upload (2).xlsm]Base all $ 3 Duration!R155C10</stp>
        <tr r="J155" s="66"/>
      </tp>
      <tp t="s">
        <v>BBB-</v>
        <stp/>
        <stp>##V3_BDPV12</stp>
        <stp>XS0972645112 Corp</stp>
        <stp>RTG_SP</stp>
        <stp>[upload (2).xlsm]Base all $ 3 Duration!R116C10</stp>
        <tr r="J116" s="66"/>
        <tr r="J116" s="66"/>
      </tp>
      <tp t="s">
        <v>RU</v>
        <stp/>
        <stp>##V3_BDPV12</stp>
        <stp>XS0921331509 Corp</stp>
        <stp>CNTRY_OF_RISK</stp>
        <stp>[upload (2).xlsm]Base all $ 3 Duration!R144C13</stp>
        <tr r="M144" s="66"/>
      </tp>
      <tp>
        <v>110.44008333333335</v>
        <stp/>
        <stp>##V3_BDPV12</stp>
        <stp>XS0743596040 Corp</stp>
        <stp>PX_GROSS_MID</stp>
        <stp>[upload (2).xlsm]Base all $ 3 Duration!R157C19</stp>
        <tr r="S157" s="66"/>
      </tp>
      <tp t="s">
        <v>RU</v>
        <stp/>
        <stp>##V3_BDPV12</stp>
        <stp>XS0848137708 Corp</stp>
        <stp>CNTRY_OF_RISK</stp>
        <stp>[upload (2).xlsm]Base all $ 3 Duration!R122C13</stp>
        <tr r="M122" s="66"/>
      </tp>
      <tp>
        <v>2.1808416780625524</v>
        <stp/>
        <stp>##V3_BDPV12</stp>
        <stp>POLY LN EQUITY</stp>
        <stp>NET_DEBT_TO_EBITDA</stp>
        <stp>[upload (2).xlsm]Model Portfolio!R6C20</stp>
        <tr r="T6" s="98"/>
      </tp>
      <tp>
        <v>109.759</v>
        <stp/>
        <stp>##V3_BDPV12</stp>
        <stp>XS0743596040 Corp</stp>
        <stp>px_ask</stp>
        <stp>[upload (2).xlsm]Base all $ 3 Duration!R155C5</stp>
        <tr r="E155" s="66"/>
      </tp>
      <tp t="s">
        <v>#N/A N/A</v>
        <stp/>
        <stp>##V3_BDPV12</stp>
        <stp>XS0935311240 Corp</stp>
        <stp>RTG_SP</stp>
        <stp>[upload (2).xlsm]Base all $ 3 Duration!R131C10</stp>
        <tr r="J131" s="66"/>
      </tp>
      <tp t="s">
        <v>RU</v>
        <stp/>
        <stp>##V3_BDPV12</stp>
        <stp>XS0810596832 Corp</stp>
        <stp>CNTRY_OF_RISK</stp>
        <stp>[upload (2).xlsm]Base all $ 3 Duration!R121C13</stp>
        <tr r="M121" s="66"/>
      </tp>
      <tp t="s">
        <v>RU</v>
        <stp/>
        <stp>##V3_BDPV12</stp>
        <stp>XS0223715920 Corp</stp>
        <stp>CNTRY_OF_RISK</stp>
        <stp>[upload (2).xlsm]Base all $ 3 Duration!R137C13</stp>
        <tr r="M137" s="66"/>
      </tp>
      <tp t="s">
        <v>#N/A N/A</v>
        <stp/>
        <stp>##V3_BDPV12</stp>
        <stp>XS0632887997 Corp</stp>
        <stp>PX_GROSS_MID</stp>
        <stp>[upload (2).xlsm]Base all $ 3 Duration!R127C19</stp>
        <tr r="S127" s="66"/>
      </tp>
      <tp>
        <v>72.989999999999995</v>
        <stp/>
        <stp>##V3_BDPV12</stp>
        <stp>XS0920335030 Corp</stp>
        <stp>px_ask</stp>
        <stp>[upload (2).xlsm]Base all $ 3 Duration!R101C5</stp>
        <tr r="E101" s="66"/>
      </tp>
      <tp t="s">
        <v>BBB-</v>
        <stp/>
        <stp>##V3_BDPV12</stp>
        <stp>XS0831571434 Corp</stp>
        <stp>RTG_SP</stp>
        <stp>[upload (2).xlsm]Base all $ 3 Duration!R157C10</stp>
        <tr r="J157" s="66"/>
        <tr r="J157" s="66"/>
      </tp>
      <tp t="s">
        <v>RU</v>
        <stp/>
        <stp>##V3_BDPV12</stp>
        <stp>XS0864383723 Corp</stp>
        <stp>CNTRY_OF_RISK</stp>
        <stp>[upload (2).xlsm]Base all $ 3 Duration!R147C13</stp>
        <tr r="M147" s="66"/>
      </tp>
      <tp>
        <v>108.236</v>
        <stp/>
        <stp>##V3_BDPV12</stp>
        <stp>XS0764220017 Corp</stp>
        <stp>px_ask</stp>
        <stp>[upload (2).xlsm]Base all $ 3 Duration!R149C5</stp>
        <tr r="E149" s="66"/>
      </tp>
      <tp>
        <v>1.569090230898067</v>
        <stp/>
        <stp>##V3_BDPV12</stp>
        <stp>NORD LI EQUITY</stp>
        <stp>NET_DEBT_TO_EBITDA</stp>
        <stp>[upload (2).xlsm]Model Portfolio!R3C20</stp>
        <tr r="T3" s="98"/>
      </tp>
      <tp>
        <v>4.3</v>
        <stp/>
        <stp>##V3_BDPV12</stp>
        <stp>VEON US Equity</stp>
        <stp>PX_LAST</stp>
        <stp>[Copy of upload (2).xlsm]Гарез_GRENF!R4C7</stp>
        <tr r="G4" s="115"/>
      </tp>
      <tp>
        <v>683</v>
        <stp/>
        <stp>##V3_BDPV12</stp>
        <stp>POLY RX Equity</stp>
        <stp>PX_LAST</stp>
        <stp>[Copy of upload (2).xlsm]Гарез_GRENF!R9C7</stp>
        <tr r="G9" s="115"/>
      </tp>
      <tp>
        <v>0.50674961227205295</v>
        <stp/>
        <stp>##V3_BDPV12</stp>
        <stp>AFLT RX EQUITY</stp>
        <stp>CURRENT_EV_TO_12M_SALES</stp>
        <stp>[upload (2).xlsm]Model Portfolio!R47C17</stp>
        <tr r="Q47" s="98"/>
      </tp>
      <tp>
        <v>0.66734764861711116</v>
        <stp/>
        <stp>##V3_BDPV12</stp>
        <stp>TRNFP RX EQUITY</stp>
        <stp>CURRENT_EV_TO_12M_SALES</stp>
        <stp>[upload (2).xlsm]Model Portfolio!R20C17</stp>
        <tr r="Q20" s="98"/>
      </tp>
      <tp>
        <v>1.0415934390332631</v>
        <stp/>
        <stp>##V3_BDPV12</stp>
        <stp>MGNT RX EQUITY</stp>
        <stp>CURRENT_EV_TO_12M_SALES</stp>
        <stp>[upload (2).xlsm]Model Portfolio!R35C17</stp>
        <tr r="Q35" s="98"/>
      </tp>
      <tp>
        <v>1.8678889127570848</v>
        <stp/>
        <stp>##V3_BDPV12</stp>
        <stp>LXFT US EQUITY</stp>
        <stp>CURRENT_EV_TO_12M_SALES</stp>
        <stp>[upload (2).xlsm]Model Portfolio!R41C17</stp>
        <tr r="Q41" s="98"/>
      </tp>
      <tp t="s">
        <v>#N/A Field Not Applicable</v>
        <stp/>
        <stp>##V3_BDPV12</stp>
        <stp>TATNP RX EQUITY</stp>
        <stp>CURRENT_EV_TO_12M_SALES</stp>
        <stp>[upload (2).xlsm]Model Portfolio!R19C17</stp>
        <tr r="Q19" s="98"/>
      </tp>
      <tp t="s">
        <v>#N/A N/A</v>
        <stp/>
        <stp>##V3_BDPV12</stp>
        <stp>XS0238091507 Corp</stp>
        <stp>RTG_fitch</stp>
        <stp>[upload (2).xlsm]Base all $ 3 Duration!R5C10</stp>
        <tr r="J5" s="66"/>
      </tp>
      <tp>
        <v>0.74355816155952037</v>
        <stp/>
        <stp>##V3_BDPV12</stp>
        <stp>IRAO RX EQUITY</stp>
        <stp>PX_TO_BOOK_RATIO</stp>
        <stp>[upload (2).xlsm]Model Portfolio!R51C18</stp>
        <tr r="R51" s="98"/>
      </tp>
      <tp>
        <v>0</v>
        <stp/>
        <stp>##V3_BDPV12</stp>
        <stp>OKEY LI EQUITY</stp>
        <stp>PCT_REVENUE_FROM_FOREIGN_SOURCES</stp>
        <stp>[upload (2).xlsm]Model Portfolio!R39C30</stp>
        <tr r="AD39" s="98"/>
      </tp>
      <tp t="s">
        <v>USD</v>
        <stp/>
        <stp>##V3_BDPV12</stp>
        <stp>VIP US EQUITY</stp>
        <stp>CRNCY</stp>
        <stp>[Copy of upload (2).xlsm]Гарез_GRENF (2)!R25C7</stp>
        <tr r="G25" s="116"/>
      </tp>
      <tp>
        <v>3.4438430801448071E-15</v>
        <stp/>
        <stp>##V3_BDPV12</stp>
        <stp>OGKB RX EQUITY</stp>
        <stp>PCT_REVENUE_FROM_FOREIGN_SOURCES</stp>
        <stp>[upload (2).xlsm]Model Portfolio!R57C30</stp>
        <tr r="AD57" s="98"/>
      </tp>
      <tp>
        <v>58.099998474121094</v>
        <stp/>
        <stp>##V3_BDPV12</stp>
        <stp>LXFT US EQUITY</stp>
        <stp>BEST_TARGET_PRICE</stp>
        <stp>[upload (2).xlsm]Model Portfolio!R41C8</stp>
        <tr r="H41" s="98"/>
      </tp>
      <tp>
        <v>0.53388090349075978</v>
        <stp/>
        <stp>##V3_BDPV12</stp>
        <stp>XS0899969702 Corp</stp>
        <stp>MTY_YEARS_TDY</stp>
        <stp>[upload (2).xlsm]Base all $ 3 Duration!R71C3</stp>
        <tr r="C71" s="66"/>
      </tp>
      <tp>
        <v>-1.160848733744011</v>
        <stp/>
        <stp>##V3_BDPV12</stp>
        <stp>XS0261906738 Corp</stp>
        <stp>MTY_YEARS_TDY</stp>
        <stp>[upload (2).xlsm]Base all $ 3 Duration!R89C3</stp>
        <tr r="C89" s="66"/>
      </tp>
      <tp>
        <v>-1.1389459274469542</v>
        <stp/>
        <stp>##V3_BDPV12</stp>
        <stp>XS0648402583 Corp</stp>
        <stp>MTY_YEARS_TDY</stp>
        <stp>[upload (2).xlsm]Base all $ 3 Duration!R92C3</stp>
        <tr r="C92" s="66"/>
      </tp>
      <tp>
        <v>-0.33675564681724846</v>
        <stp/>
        <stp>##V3_BDPV12</stp>
        <stp>XS0300998779 Corp</stp>
        <stp>MTY_YEARS_TDY</stp>
        <stp>[upload (2).xlsm]Base all $ 3 Duration!R58C3</stp>
        <tr r="C58" s="66"/>
      </tp>
      <tp>
        <v>2.1656399726214923</v>
        <stp/>
        <stp>##V3_BDPV12</stp>
        <stp>XS0854763355 Corp</stp>
        <stp>MTY_YEARS_TDY</stp>
        <stp>[upload (2).xlsm]Base all $ 3 Duration!R28C3</stp>
        <tr r="C28" s="66"/>
      </tp>
      <tp>
        <v>-0.5612594113620808</v>
        <stp/>
        <stp>##V3_BDPV12</stp>
        <stp>XS0288690539 Corp</stp>
        <stp>MTY_YEARS_TDY</stp>
        <stp>[upload (2).xlsm]Base all $ 3 Duration!R62C3</stp>
        <tr r="C62" s="66"/>
      </tp>
      <tp>
        <v>1.8097193702943191</v>
        <stp/>
        <stp>##V3_BDPV12</stp>
        <stp>XS0799357354 Corp</stp>
        <stp>MTY_YEARS_TDY</stp>
        <stp>[upload (2).xlsm]Base all $ 3 Duration!R55C3</stp>
        <tr r="C55" s="66"/>
      </tp>
      <tp>
        <v>116.754875</v>
        <stp/>
        <stp>##V3_BDPV12</stp>
        <stp>XS0513723873 Corp</stp>
        <stp>PX_GROSS_MID</stp>
        <stp>[upload (2).xlsm]Base all $ 3 Duration!R113C19</stp>
        <tr r="S113" s="66"/>
      </tp>
      <tp t="s">
        <v>#N/A N/A</v>
        <stp/>
        <stp>##V3_BDPV12</stp>
        <stp>XS0848137708 Corp</stp>
        <stp>RTG_SP</stp>
        <stp>[upload (2).xlsm]Base all $ 3 Duration!R122C10</stp>
        <tr r="J122" s="66"/>
      </tp>
      <tp>
        <v>104.23687777777778</v>
        <stp/>
        <stp>##V3_BDPV12</stp>
        <stp>XS0830192711 Corp</stp>
        <stp>PX_GROSS_MID</stp>
        <stp>[upload (2).xlsm]Base all $ 3 Duration!R145C19</stp>
        <tr r="S145" s="66"/>
      </tp>
      <tp>
        <v>103.14344444444444</v>
        <stp/>
        <stp>##V3_BDPV12</stp>
        <stp>XS1032750165 Corp</stp>
        <stp>PX_GROSS_MID</stp>
        <stp>[upload (2).xlsm]Base all $ 3 Duration!R134C19</stp>
        <tr r="S134" s="66"/>
      </tp>
      <tp t="s">
        <v>#N/A N/A</v>
        <stp/>
        <stp>##V3_BDPV12</stp>
        <stp>XS1032750165 Corp</stp>
        <stp>RTG_SP</stp>
        <stp>[upload (2).xlsm]Base all $ 3 Duration!R132C10</stp>
        <tr r="J132" s="66"/>
      </tp>
      <tp>
        <v>71.665999999999997</v>
        <stp/>
        <stp>##V3_BDPV12</stp>
        <stp>XS0925043100 Corp</stp>
        <stp>PX_GROSS_MID</stp>
        <stp>[upload (2).xlsm]Base all $ 3 Duration!R103C19</stp>
        <tr r="S103" s="66"/>
      </tp>
      <tp t="s">
        <v>RU</v>
        <stp/>
        <stp>##V3_BDPV12</stp>
        <stp>XS0805131439 Corp</stp>
        <stp>CNTRY_OF_RISK</stp>
        <stp>[upload (2).xlsm]Base all $ 3 Duration!R126C13</stp>
        <tr r="M126" s="66"/>
      </tp>
      <tp t="s">
        <v>RU</v>
        <stp/>
        <stp>##V3_BDPV12</stp>
        <stp>XS0638572973 Corp</stp>
        <stp>CNTRY_OF_RISK</stp>
        <stp>[upload (2).xlsm]Base all $ 3 Duration!R156C13</stp>
        <tr r="M156" s="66"/>
      </tp>
      <tp t="s">
        <v>BB+</v>
        <stp/>
        <stp>##V3_BDPV12</stp>
        <stp>XS0708813810 Corp</stp>
        <stp>RTG_SP</stp>
        <stp>[upload (2).xlsm]Base all $ 3 Duration!R153C10</stp>
        <tr r="J153" s="66"/>
        <tr r="J153" s="66"/>
      </tp>
      <tp t="s">
        <v>RU</v>
        <stp/>
        <stp>##V3_BDPV12</stp>
        <stp>XS0764220017 Corp</stp>
        <stp>CNTRY_OF_RISK</stp>
        <stp>[upload (2).xlsm]Base all $ 3 Duration!R149C13</stp>
        <tr r="M149" s="66"/>
      </tp>
      <tp>
        <v>106.06699999999999</v>
        <stp/>
        <stp>##V3_BDPV12</stp>
        <stp>XS0805570354 Corp</stp>
        <stp>PX_GROSS_MID</stp>
        <stp>[upload (2).xlsm]Base all $ 3 Duration!R156C19</stp>
        <tr r="S156" s="66"/>
      </tp>
      <tp t="s">
        <v>RU</v>
        <stp/>
        <stp>##V3_BDPV12</stp>
        <stp>XS0918297382 Corp</stp>
        <stp>CNTRY_OF_RISK</stp>
        <stp>[upload (2).xlsm]Base all $ 3 Duration!R106C13</stp>
        <tr r="M106" s="66"/>
      </tp>
      <tp>
        <v>106.26654166666667</v>
        <stp/>
        <stp>##V3_BDPV12</stp>
        <stp>XS0846652666 Corp</stp>
        <stp>PX_GROSS_MID</stp>
        <stp>[upload (2).xlsm]Base all $ 3 Duration!R105C19</stp>
        <tr r="S105" s="66"/>
      </tp>
      <tp>
        <v>80.025999999999996</v>
        <stp/>
        <stp>##V3_BDPV12</stp>
        <stp>XS0920335030 Corp</stp>
        <stp>PX_GROSS_MID</stp>
        <stp>[upload (2).xlsm]Base all $ 3 Duration!R104C19</stp>
        <tr r="S104" s="66"/>
      </tp>
      <tp t="s">
        <v>RU</v>
        <stp/>
        <stp>##V3_BDPV12</stp>
        <stp>XS0975320879 Corp</stp>
        <stp>CNTRY_OF_RISK</stp>
        <stp>[upload (2).xlsm]Base all $ 3 Duration!R123C13</stp>
        <tr r="M123" s="66"/>
      </tp>
      <tp t="s">
        <v>BB- /*+</v>
        <stp/>
        <stp>##V3_BDPV12</stp>
        <stp>XS0922301717 Corp</stp>
        <stp>RTG_SP</stp>
        <stp>[upload (2).xlsm]Base all $ 3 Duration!R108C10</stp>
        <tr r="J108" s="66"/>
        <tr r="J108" s="66"/>
      </tp>
      <tp>
        <v>109.24575</v>
        <stp/>
        <stp>##V3_BDPV12</stp>
        <stp>XS0982861287 Corp</stp>
        <stp>PX_GROSS_MID</stp>
        <stp>[upload (2).xlsm]Base all $ 3 Duration!R116C19</stp>
        <tr r="S116" s="66"/>
      </tp>
      <tp t="s">
        <v>BB+</v>
        <stp/>
        <stp>##V3_BDPV12</stp>
        <stp>XS0921331509 Corp</stp>
        <stp>RTG_SP</stp>
        <stp>[upload (2).xlsm]Base all $ 3 Duration!R144C10</stp>
        <tr r="J144" s="66"/>
        <tr r="J144" s="66"/>
      </tp>
      <tp>
        <v>58.099998474121094</v>
        <stp/>
        <stp>##V3_BDPV12</stp>
        <stp>LXFT US Equity</stp>
        <stp>BEST_TARGET_PRICE</stp>
        <stp>[Copy of upload (2).xlsm]Гарез_GRENF!R6C8</stp>
        <tr r="H6" s="115"/>
      </tp>
      <tp>
        <v>0.8470737224788828</v>
        <stp/>
        <stp>##V3_BDPV12</stp>
        <stp>ENRU RM EQUITY</stp>
        <stp>CURRENT_EV_TO_12M_SALES</stp>
        <stp>[upload (2).xlsm]Model Portfolio!R53C17</stp>
        <tr r="Q53" s="98"/>
      </tp>
      <tp t="s">
        <v>#N/A N/A</v>
        <stp/>
        <stp>##V3_BDPV12</stp>
        <stp>FESH RX EQUITY</stp>
        <stp>BDVD_PROJ_12M_YLD</stp>
        <stp>[upload (2).xlsm]Model Portfolio!R45C27</stp>
        <tr r="AA45" s="98"/>
      </tp>
      <tp t="s">
        <v>#N/A N/A</v>
        <stp/>
        <stp>##V3_BDPV12</stp>
        <stp>FEES RX EQUITY</stp>
        <stp>BDVD_PROJ_12M_YLD</stp>
        <stp>[upload (2).xlsm]Model Portfolio!R56C27</stp>
        <tr r="AA56" s="98"/>
      </tp>
      <tp>
        <v>0.50242301332253003</v>
        <stp/>
        <stp>##V3_BDPV12</stp>
        <stp>HYDR RX EQUITY</stp>
        <stp>PX_TO_BOOK_RATIO</stp>
        <stp>[upload (2).xlsm]Model Portfolio!R58C18</stp>
        <tr r="R58" s="98"/>
      </tp>
    </main>
    <main first="bloomberg.rtd">
      <tp t="s">
        <v>#N/A N/A</v>
        <stp/>
        <stp>##V3_BDPV12</stp>
        <stp>POG LN EQUITY</stp>
        <stp>EPS_GROWTH</stp>
        <stp>[upload (2).xlsm]Model Portfolio!R7C22</stp>
        <tr r="V7" s="98"/>
      </tp>
      <tp>
        <v>29.046140289152913</v>
        <stp/>
        <stp>##V3_BDPV12</stp>
        <stp>XS0493579238 Corp</stp>
        <stp>YLD_YTM_ask</stp>
        <stp>[upload (2).xlsm]Base all $ 3 Duration!R7C7</stp>
        <tr r="G7" s="66"/>
      </tp>
      <tp>
        <v>131.85339547397862</v>
        <stp/>
        <stp>##V3_BDPV12</stp>
        <stp>XS0850393264 Corp</stp>
        <stp>YLD_YTM_ask</stp>
        <stp>[upload (2).xlsm]Base all $ 3 Duration!R4C7</stp>
        <tr r="G4" s="66"/>
      </tp>
      <tp>
        <v>43.931012211687978</v>
        <stp/>
        <stp>##V3_BDPV12</stp>
        <stp>NVTK RX EQUITY</stp>
        <stp>PCT_REVENUE_FROM_FOREIGN_SOURCES</stp>
        <stp>[upload (2).xlsm]Model Portfolio!R16C30</stp>
        <tr r="AD16" s="98"/>
      </tp>
    </main>
    <main first="bloomberg.rtd">
      <tp t="s">
        <v>#N/A N/A</v>
        <stp/>
        <stp>##V3_BDPV12</stp>
        <stp>NLMK RX EQUITY</stp>
        <stp>PCT_REVENUE_FROM_FOREIGN_SOURCES</stp>
        <stp>[upload (2).xlsm]Model Portfolio!R22C30</stp>
        <tr r="AD22" s="98"/>
      </tp>
      <tp>
        <v>0</v>
        <stp/>
        <stp>##V3_BDPV12</stp>
        <stp>NMTP RX EQUITY</stp>
        <stp>PCT_REVENUE_FROM_FOREIGN_SOURCES</stp>
        <stp>[upload (2).xlsm]Model Portfolio!R49C30</stp>
        <tr r="AD49" s="98"/>
      </tp>
      <tp>
        <v>-1.2922655715263518</v>
        <stp/>
        <stp>##V3_BDPV12</stp>
        <stp>XS0938341780 Corp</stp>
        <stp>MTY_YEARS_TDY</stp>
        <stp>[upload (2).xlsm]Base all $ 3 Duration!R21C3</stp>
        <tr r="C21" s="66"/>
      </tp>
      <tp>
        <v>-0.4271047227926078</v>
        <stp/>
        <stp>##V3_BDPV12</stp>
        <stp>XS0772509484 Corp</stp>
        <stp>MTY_YEARS_TDY</stp>
        <stp>[upload (2).xlsm]Base all $ 3 Duration!R78C3</stp>
        <tr r="C78" s="66"/>
      </tp>
      <tp>
        <v>128.18124389648437</v>
        <stp/>
        <stp>##V3_BDPV12</stp>
        <stp>NLMK RX EQUITY</stp>
        <stp>BEST_TARGET_PRICE</stp>
        <stp>[upload (2).xlsm]Model Portfolio!R22C8</stp>
        <tr r="H22" s="98"/>
      </tp>
      <tp>
        <v>-0.5420944558521561</v>
        <stp/>
        <stp>##V3_BDPV12</stp>
        <stp>XS0643176448 Corp</stp>
        <stp>MTY_YEARS_TDY</stp>
        <stp>[upload (2).xlsm]Base all $ 3 Duration!R79C3</stp>
        <tr r="C79" s="66"/>
      </tp>
      <tp>
        <v>1.6563997262149213</v>
        <stp/>
        <stp>##V3_BDPV12</stp>
        <stp>XS0779213460 Corp</stp>
        <stp>MTY_YEARS_TDY</stp>
        <stp>[upload (2).xlsm]Base all $ 3 Duration!R33C3</stp>
        <tr r="C33" s="66"/>
      </tp>
      <tp t="s">
        <v>RU</v>
        <stp/>
        <stp>##V3_BDPV12</stp>
        <stp>XS0588433267 Corp</stp>
        <stp>CNTRY_OF_RISK</stp>
        <stp>[upload (2).xlsm]Base all $ 3 Duration!R146C13</stp>
        <tr r="M146" s="66"/>
      </tp>
      <tp t="s">
        <v>RU</v>
        <stp/>
        <stp>##V3_BDPV12</stp>
        <stp>XS0911599701 Corp</stp>
        <stp>CNTRY_OF_RISK</stp>
        <stp>[upload (2).xlsm]Base all $ 3 Duration!R104C13</stp>
        <tr r="M104" s="66"/>
      </tp>
      <tp>
        <v>105.78738888888888</v>
        <stp/>
        <stp>##V3_BDPV12</stp>
        <stp>XS0921331509 Corp</stp>
        <stp>PX_GROSS_MID</stp>
        <stp>[upload (2).xlsm]Base all $ 3 Duration!R146C19</stp>
        <tr r="S146" s="66"/>
      </tp>
      <tp>
        <v>41.941299999999998</v>
        <stp/>
        <stp>##V3_BDPV12</stp>
        <stp>ALRS RX EQUITY</stp>
        <stp>EQY_FREE_FLOAT_PCT</stp>
        <stp>[upload (2).xlsm]Model Portfolio!R5C11</stp>
        <tr r="K5" s="98"/>
      </tp>
      <tp>
        <v>111.18016666666666</v>
        <stp/>
        <stp>##V3_BDPV12</stp>
        <stp>XS0764220017 Corp</stp>
        <stp>PX_GROSS_MID</stp>
        <stp>[upload (2).xlsm]Base all $ 3 Duration!R151C19</stp>
        <tr r="S151" s="66"/>
      </tp>
      <tp t="s">
        <v>RU</v>
        <stp/>
        <stp>##V3_BDPV12</stp>
        <stp>XS0554659671 Corp</stp>
        <stp>CNTRY_OF_RISK</stp>
        <stp>[upload (2).xlsm]Base all $ 3 Duration!R114C13</stp>
        <tr r="M114" s="66"/>
      </tp>
      <tp>
        <v>112.57276666666668</v>
        <stp/>
        <stp>##V3_BDPV12</stp>
        <stp>XS0548633659 Corp</stp>
        <stp>PX_GROSS_MID</stp>
        <stp>[upload (2).xlsm]Base all $ 3 Duration!R114C19</stp>
        <tr r="S114" s="66"/>
      </tp>
      <tp>
        <v>116.000215</v>
        <stp/>
        <stp>##V3_BDPV12</stp>
        <stp>XS0643183220 Corp</stp>
        <stp>PX_GROSS_MID</stp>
        <stp>[upload (2).xlsm]Base all $ 3 Duration!R135C19</stp>
        <tr r="S135" s="66"/>
      </tp>
      <tp>
        <v>111.7765</v>
        <stp/>
        <stp>##V3_BDPV12</stp>
        <stp>XS0997544860 Corp</stp>
        <stp>PX_GROSS_MID</stp>
        <stp>[upload (2).xlsm]Base all $ 3 Duration!R138C19</stp>
        <tr r="S138" s="66"/>
      </tp>
      <tp t="s">
        <v>RU</v>
        <stp/>
        <stp>##V3_BDPV12</stp>
        <stp>XS1042215480 Corp</stp>
        <stp>CNTRY_OF_RISK</stp>
        <stp>[upload (2).xlsm]Base all $ 3 Duration!R120C13</stp>
        <tr r="M120" s="66"/>
      </tp>
      <tp>
        <v>105.75</v>
        <stp/>
        <stp>##V3_BDPV12</stp>
        <stp>XS0972645112 Corp</stp>
        <stp>px_ask</stp>
        <stp>[upload (2).xlsm]Base all $ 3 Duration!R116C5</stp>
        <tr r="E116" s="66"/>
      </tp>
      <tp>
        <v>104.252</v>
        <stp/>
        <stp>##V3_BDPV12</stp>
        <stp>XS0935311240 Corp</stp>
        <stp>px_ask</stp>
        <stp>[upload (2).xlsm]Base all $ 3 Duration!R131C5</stp>
        <tr r="E131" s="66"/>
      </tp>
      <tp t="s">
        <v>BB+</v>
        <stp/>
        <stp>##V3_BDPV12</stp>
        <stp>XS0559915961 Corp</stp>
        <stp>RTG_SP</stp>
        <stp>[upload (2).xlsm]Base all $ 3 Duration!R135C10</stp>
        <tr r="J135" s="66"/>
        <tr r="J135" s="66"/>
      </tp>
      <tp t="s">
        <v>#N/A N/A</v>
        <stp/>
        <stp>##V3_BDPV12</stp>
        <stp>XS0981028177 Corp</stp>
        <stp>RTG_SP</stp>
        <stp>[upload (2).xlsm]Base all $ 3 Duration!R119C10</stp>
        <tr r="J119" s="66"/>
      </tp>
      <tp>
        <v>106.337875</v>
        <stp/>
        <stp>##V3_BDPV12</stp>
        <stp>XS0919504562 Corp</stp>
        <stp>PX_GROSS_MID</stp>
        <stp>[upload (2).xlsm]Base all $ 3 Duration!R150C19</stp>
        <tr r="S150" s="66"/>
      </tp>
      <tp>
        <v>12.401590000000001</v>
        <stp/>
        <stp>##V3_BDPV12</stp>
        <stp>PLZL RX EQUITY</stp>
        <stp>EQY_FREE_FLOAT_PCT</stp>
        <stp>[upload (2).xlsm]Model Portfolio!R2C11</stp>
        <tr r="K2" s="98"/>
      </tp>
      <tp t="s">
        <v>BB+</v>
        <stp/>
        <stp>##V3_BDPV12</stp>
        <stp>XS0805570354 Corp</stp>
        <stp>RTG_SP</stp>
        <stp>[upload (2).xlsm]Base all $ 3 Duration!R154C10</stp>
        <tr r="J154" s="66"/>
        <tr r="J154" s="66"/>
      </tp>
      <tp>
        <v>111.91944444444444</v>
        <stp/>
        <stp>##V3_BDPV12</stp>
        <stp>XS0842078536 Corp</stp>
        <stp>PX_GROSS_MID</stp>
        <stp>[upload (2).xlsm]Base all $ 3 Duration!R129C19</stp>
        <tr r="S129" s="66"/>
      </tp>
      <tp t="s">
        <v>RU</v>
        <stp/>
        <stp>##V3_BDPV12</stp>
        <stp>XS0316524130 Corp</stp>
        <stp>CNTRY_OF_RISK</stp>
        <stp>[upload (2).xlsm]Base all $ 3 Duration!R129C13</stp>
        <tr r="M129" s="66"/>
      </tp>
      <tp>
        <v>102.751</v>
        <stp/>
        <stp>##V3_BDPV12</stp>
        <stp>XS0846652666 Corp</stp>
        <stp>px_ask</stp>
        <stp>[upload (2).xlsm]Base all $ 3 Duration!R102C5</stp>
        <tr r="E102" s="66"/>
      </tp>
      <tp>
        <v>5</v>
        <stp/>
        <stp>##V3_BDPV12</stp>
        <stp>HGM LN Equity</stp>
        <stp>EQY_REC_CONS</stp>
        <stp>[Copy of upload (2).xlsm]Гарез_GRENF (2)!R10C10</stp>
        <tr r="J10" s="116"/>
      </tp>
      <tp>
        <v>9.2071611253196934</v>
        <stp/>
        <stp>##V3_BDPV12</stp>
        <stp>AFLT RX EQUITY</stp>
        <stp>BDVD_PROJ_12M_YLD</stp>
        <stp>[upload (2).xlsm]Model Portfolio!R47C27</stp>
        <tr r="AA47" s="98"/>
      </tp>
      <tp>
        <v>0.62214993796948204</v>
        <stp/>
        <stp>##V3_BDPV12</stp>
        <stp>SVAV RX EQUITY</stp>
        <stp>CURRENT_EV_TO_12M_SALES</stp>
        <stp>[upload (2).xlsm]Model Portfolio!R72C17</stp>
        <tr r="Q72" s="98"/>
      </tp>
      <tp t="s">
        <v>#N/A N/A</v>
        <stp/>
        <stp>##V3_BDPV12</stp>
        <stp>NORD LI EQUITY</stp>
        <stp>CUR_MKT_CAP</stp>
        <stp>[upload (2).xlsm]Model Portfolio!R3C10</stp>
        <tr r="J3" s="98"/>
      </tp>
      <tp t="s">
        <v>#N/A N/A</v>
        <stp/>
        <stp>##V3_BDPV12</stp>
        <stp>MFON RX EQUITY</stp>
        <stp>BDVD_PROJ_12M_YLD</stp>
        <stp>[upload (2).xlsm]Model Portfolio!R62C27</stp>
        <tr r="AA62" s="98"/>
      </tp>
      <tp>
        <v>9.8677154093671806</v>
        <stp/>
        <stp>##V3_BDPV12</stp>
        <stp>AFKS RX EQUITY</stp>
        <stp>BDVD_PROJ_12M_YLD</stp>
        <stp>[upload (2).xlsm]Model Portfolio!R64C27</stp>
        <tr r="AA64" s="98"/>
      </tp>
      <tp>
        <v>1.614186738399749</v>
        <stp/>
        <stp>##V3_BDPV12</stp>
        <stp>FXPO LN EQUITY</stp>
        <stp>BDVD_PROJ_12M_YLD</stp>
        <stp>[upload (2).xlsm]Model Portfolio!R27C27</stp>
        <tr r="AA27" s="98"/>
      </tp>
      <tp t="s">
        <v>#N/A Field Not Applicable</v>
        <stp/>
        <stp>##V3_BDPV12</stp>
        <stp>KCEL LI EQUITY</stp>
        <stp>PX_TO_BOOK_RATIO</stp>
        <stp>[upload (2).xlsm]Model Portfolio!R65C18</stp>
        <tr r="R65" s="98"/>
      </tp>
      <tp>
        <v>0</v>
        <stp/>
        <stp>##V3_BDPV12</stp>
        <stp>MAIL LI EQUITY</stp>
        <stp>PCT_REVENUE_FROM_FOREIGN_SOURCES</stp>
        <stp>[upload (2).xlsm]Model Portfolio!R44C30</stp>
        <tr r="AD44" s="98"/>
      </tp>
      <tp t="s">
        <v>#N/A N/A</v>
        <stp/>
        <stp>##V3_BDPV12</stp>
        <stp>MSNG RX EQUITY</stp>
        <stp>PCT_REVENUE_FROM_FOREIGN_SOURCES</stp>
        <stp>[upload (2).xlsm]Model Portfolio!R55C30</stp>
        <tr r="AD55" s="98"/>
      </tp>
      <tp t="s">
        <v>#N/A N/A</v>
        <stp/>
        <stp>##V3_BDPV12</stp>
        <stp>MSRS RX EQUITY</stp>
        <stp>PCT_REVENUE_FROM_FOREIGN_SOURCES</stp>
        <stp>[upload (2).xlsm]Model Portfolio!R59C30</stp>
        <tr r="AD59" s="98"/>
      </tp>
      <tp>
        <v>40.432377205091136</v>
        <stp/>
        <stp>##V3_BDPV12</stp>
        <stp>MTLR RX EQUITY</stp>
        <stp>PCT_REVENUE_FROM_FOREIGN_SOURCES</stp>
        <stp>[upload (2).xlsm]Model Portfolio!R24C30</stp>
        <tr r="AD24" s="98"/>
      </tp>
      <tp>
        <v>13.879357052555536</v>
        <stp/>
        <stp>##V3_BDPV12</stp>
        <stp>MTSS RX EQUITY</stp>
        <stp>PCT_REVENUE_FROM_FOREIGN_SOURCES</stp>
        <stp>[upload (2).xlsm]Model Portfolio!R67C30</stp>
        <tr r="AD67" s="98"/>
      </tp>
      <tp>
        <v>0</v>
        <stp/>
        <stp>##V3_BDPV12</stp>
        <stp>MVID RX EQUITY</stp>
        <stp>PCT_REVENUE_FROM_FOREIGN_SOURCES</stp>
        <stp>[upload (2).xlsm]Model Portfolio!R38C30</stp>
        <tr r="AD38" s="98"/>
      </tp>
      <tp>
        <v>1.010473870083342</v>
        <stp/>
        <stp>##V3_BDPV12</stp>
        <stp>KMAZ RX EQUITY</stp>
        <stp>PX_TO_BOOK_RATIO</stp>
        <stp>[upload (2).xlsm]Model Portfolio!R73C18</stp>
        <tr r="R73" s="98"/>
      </tp>
      <tp t="s">
        <v>#N/A N/A</v>
        <stp/>
        <stp>##V3_BDPV12</stp>
        <stp>MOEX RX EQUITY</stp>
        <stp>PCT_REVENUE_FROM_FOREIGN_SOURCES</stp>
        <stp>[upload (2).xlsm]Model Portfolio!R74C30</stp>
        <tr r="AD74" s="98"/>
      </tp>
      <tp>
        <v>23.000000000000011</v>
        <stp/>
        <stp>##V3_BDPV12</stp>
        <stp>MAGN RX EQUITY</stp>
        <stp>PCT_REVENUE_FROM_FOREIGN_SOURCES</stp>
        <stp>[upload (2).xlsm]Model Portfolio!R23C30</stp>
        <tr r="AD23" s="98"/>
      </tp>
      <tp t="s">
        <v>#N/A N/A</v>
        <stp/>
        <stp>##V3_BDPV12</stp>
        <stp>MFON RX EQUITY</stp>
        <stp>PCT_REVENUE_FROM_FOREIGN_SOURCES</stp>
        <stp>[upload (2).xlsm]Model Portfolio!R62C30</stp>
        <tr r="AD62" s="98"/>
      </tp>
      <tp t="s">
        <v>#N/A N/A</v>
        <stp/>
        <stp>##V3_BDPV12</stp>
        <stp>MGNT RX EQUITY</stp>
        <stp>PCT_REVENUE_FROM_FOREIGN_SOURCES</stp>
        <stp>[upload (2).xlsm]Model Portfolio!R35C30</stp>
        <tr r="AD35" s="98"/>
      </tp>
      <tp t="s">
        <v>Novatek PJSC</v>
        <stp/>
        <stp>##V3_BDPV12</stp>
        <stp>NVTK RX Equity</stp>
        <stp>SECURITY_NAME</stp>
        <stp>[Copy of upload (2).xlsm]Гарез_GRENF!R87C4</stp>
        <tr r="D87" s="115"/>
      </tp>
      <tp>
        <v>9.8256244659423828</v>
        <stp/>
        <stp>##V3_BDPV12</stp>
        <stp>GLTR LI EQUITY</stp>
        <stp>BEST_TARGET_PRICE</stp>
        <stp>[upload (2).xlsm]Model Portfolio!R48C8</stp>
        <tr r="H48" s="98"/>
      </tp>
      <tp t="s">
        <v>Ros Agro PLC</v>
        <stp/>
        <stp>##V3_BDPV12</stp>
        <stp>AGRO LI Equity</stp>
        <stp>SECURITY_NAME</stp>
        <stp>[Copy of upload (2).xlsm]Гарез_GRENF!R68C4</stp>
        <tr r="D68" s="115"/>
      </tp>
      <tp>
        <v>669.25</v>
        <stp/>
        <stp>##V3_BDPV12</stp>
        <stp>MFON RX EQUITY</stp>
        <stp>BEST_TARGET_PRICE</stp>
        <stp>[upload (2).xlsm]Model Portfolio!R62C8</stp>
        <tr r="H62" s="98"/>
      </tp>
      <tp>
        <v>0.64065708418891165</v>
        <stp/>
        <stp>##V3_BDPV12</stp>
        <stp>XS0618905219 Corp</stp>
        <stp>MTY_YEARS_TDY</stp>
        <stp>[upload (2).xlsm]Base all $ 3 Duration!R37C3</stp>
        <tr r="C37" s="66"/>
      </tp>
      <tp>
        <v>-1.3141683778234086</v>
        <stp/>
        <stp>##V3_BDPV12</stp>
        <stp>XS0708813653 Corp</stp>
        <stp>MTY_YEARS_TDY</stp>
        <stp>[upload (2).xlsm]Base all $ 3 Duration!R93C3</stp>
        <tr r="C93" s="66"/>
      </tp>
      <tp>
        <v>-1.3032169746748803</v>
        <stp/>
        <stp>##V3_BDPV12</stp>
        <stp>XS0630950870 Corp</stp>
        <stp>MTY_YEARS_TDY</stp>
        <stp>[upload (2).xlsm]Base all $ 3 Duration!R75C3</stp>
        <tr r="C75" s="66"/>
      </tp>
    </main>
    <main first="bloomberg.rtd">
      <tp>
        <v>24.412355663779749</v>
        <stp/>
        <stp>##V3_BDPV12</stp>
        <stp>TRNFP RX EQUITY</stp>
        <stp>TRAIL_12M_PROF_MARGIN</stp>
        <stp>[upload (2).xlsm]Model Portfolio!R20C25</stp>
        <tr r="Y20" s="98"/>
      </tp>
      <tp>
        <v>3250.107421875</v>
        <stp/>
        <stp>##V3_BDPV12</stp>
        <stp>LKOH RX EQUITY</stp>
        <stp>BEST_TARGET_PRICE</stp>
        <stp>[upload (2).xlsm]Model Portfolio!R13C8</stp>
        <tr r="H13" s="98"/>
      </tp>
      <tp>
        <v>5.4757015742642023E-2</v>
        <stp/>
        <stp>##V3_BDPV12</stp>
        <stp>XS0544362972 Corp</stp>
        <stp>MTY_YEARS_TDY</stp>
        <stp>[upload (2).xlsm]Base all $ 3 Duration!R70C3</stp>
        <tr r="C70" s="66"/>
      </tp>
      <tp t="s">
        <v>RU</v>
        <stp/>
        <stp>##V3_BDPV12</stp>
        <stp>XS0587031096 Corp</stp>
        <stp>CNTRY_OF_RISK</stp>
        <stp>[upload (2).xlsm]Base all $ 3 Duration!R134C13</stp>
        <tr r="M134" s="66"/>
      </tp>
      <tp>
        <v>110.32039166666667</v>
        <stp/>
        <stp>##V3_BDPV12</stp>
        <stp>XS0638572973 Corp</stp>
        <stp>PX_GROSS_MID</stp>
        <stp>[upload (2).xlsm]Base all $ 3 Duration!R158C19</stp>
        <tr r="S158" s="66"/>
      </tp>
      <tp>
        <v>102.33916666666667</v>
        <stp/>
        <stp>##V3_BDPV12</stp>
        <stp>XS0805131439 Corp</stp>
        <stp>PX_GROSS_MID</stp>
        <stp>[upload (2).xlsm]Base all $ 3 Duration!R128C19</stp>
        <tr r="S128" s="66"/>
      </tp>
      <tp>
        <v>112.01384444444444</v>
        <stp/>
        <stp>##V3_BDPV12</stp>
        <stp>XS0588433267 Corp</stp>
        <stp>PX_GROSS_MID</stp>
        <stp>[upload (2).xlsm]Base all $ 3 Duration!R148C19</stp>
        <tr r="S148" s="66"/>
      </tp>
      <tp t="s">
        <v>RU</v>
        <stp/>
        <stp>##V3_BDPV12</stp>
        <stp>XS1032750165 Corp</stp>
        <stp>CNTRY_OF_RISK</stp>
        <stp>[upload (2).xlsm]Base all $ 3 Duration!R132C13</stp>
        <tr r="M132" s="66"/>
      </tp>
      <tp>
        <v>108.0625</v>
        <stp/>
        <stp>##V3_BDPV12</stp>
        <stp>XS0922301717 Corp</stp>
        <stp>PX_GROSS_MID</stp>
        <stp>[upload (2).xlsm]Base all $ 3 Duration!R111C19</stp>
        <tr r="S111" s="66"/>
      </tp>
      <tp t="s">
        <v>#N/A N/A</v>
        <stp/>
        <stp>##V3_BDPV12</stp>
        <stp>XS0805131439 Corp</stp>
        <stp>RTG_SP</stp>
        <stp>[upload (2).xlsm]Base all $ 3 Duration!R126C10</stp>
        <tr r="J126" s="66"/>
      </tp>
      <tp t="s">
        <v>#N/A N/A</v>
        <stp/>
        <stp>##V3_BDPV12</stp>
        <stp>XS0638572973 Corp</stp>
        <stp>RTG_SP</stp>
        <stp>[upload (2).xlsm]Base all $ 3 Duration!R156C10</stp>
        <tr r="J156" s="66"/>
      </tp>
      <tp t="s">
        <v>RU</v>
        <stp/>
        <stp>##V3_BDPV12</stp>
        <stp>XS0830192711 Corp</stp>
        <stp>CNTRY_OF_RISK</stp>
        <stp>[upload (2).xlsm]Base all $ 3 Duration!R143C13</stp>
        <tr r="M143" s="66"/>
      </tp>
      <tp>
        <v>106.79855555555555</v>
        <stp/>
        <stp>##V3_BDPV12</stp>
        <stp>XS0848530977 Corp</stp>
        <stp>PX_GROSS_MID</stp>
        <stp>[upload (2).xlsm]Base all $ 3 Duration!R152C19</stp>
        <tr r="S152" s="66"/>
      </tp>
      <tp>
        <v>121.864</v>
        <stp/>
        <stp>##V3_BDPV12</stp>
        <stp>XS0316524130 Corp</stp>
        <stp>px_ask</stp>
        <stp>[upload (2).xlsm]Base all $ 3 Duration!R129C5</stp>
        <tr r="E129" s="66"/>
      </tp>
      <tp t="s">
        <v>BB+</v>
        <stp/>
        <stp>##V3_BDPV12</stp>
        <stp>XS0830192711 Corp</stp>
        <stp>RTG_SP</stp>
        <stp>[upload (2).xlsm]Base all $ 3 Duration!R143C10</stp>
        <tr r="J143" s="66"/>
        <tr r="J143" s="66"/>
      </tp>
      <tp t="s">
        <v>RU</v>
        <stp/>
        <stp>##V3_BDPV12</stp>
        <stp>XS0861981180 Corp</stp>
        <stp>CNTRY_OF_RISK</stp>
        <stp>[upload (2).xlsm]Base all $ 3 Duration!R145C13</stp>
        <tr r="M145" s="66"/>
      </tp>
      <tp t="s">
        <v>#N/A N/A</v>
        <stp/>
        <stp>##V3_BDPV12</stp>
        <stp>XS1042215480 Corp</stp>
        <stp>RTG_SP</stp>
        <stp>[upload (2).xlsm]Base all $ 3 Duration!R120C10</stp>
        <tr r="J120" s="66"/>
      </tp>
      <tp>
        <v>107.642</v>
        <stp/>
        <stp>##V3_BDPV12</stp>
        <stp>XS0800817073 Corp</stp>
        <stp>px_ask</stp>
        <stp>[upload (2).xlsm]Base all $ 3 Duration!R142C5</stp>
        <tr r="E142" s="66"/>
      </tp>
      <tp t="s">
        <v>BB+</v>
        <stp/>
        <stp>##V3_BDPV12</stp>
        <stp>XS0484209159 Corp</stp>
        <stp>RTG_SP</stp>
        <stp>[upload (2).xlsm]Base all $ 3 Duration!R112C10</stp>
        <tr r="J112" s="66"/>
        <tr r="J112" s="66"/>
      </tp>
      <tp>
        <v>102.3148611111111</v>
        <stp/>
        <stp>##V3_BDPV12</stp>
        <stp>XS0885733153 Corp</stp>
        <stp>PX_GROSS_MID</stp>
        <stp>[upload (2).xlsm]Base all $ 3 Duration!R118C19</stp>
        <tr r="S118" s="66"/>
      </tp>
      <tp t="s">
        <v>NR</v>
        <stp/>
        <stp>##V3_BDPV12</stp>
        <stp>XS0925043100 Corp</stp>
        <stp>RTG_SP</stp>
        <stp>[upload (2).xlsm]Base all $ 3 Duration!R100C10</stp>
        <tr r="J100" s="66"/>
        <tr r="J100" s="66"/>
      </tp>
      <tp>
        <v>3.192181494328302</v>
        <stp/>
        <stp>##V3_BDPV12</stp>
        <stp>MGNT RX EQUITY</stp>
        <stp>BDVD_PROJ_12M_YLD</stp>
        <stp>[upload (2).xlsm]Model Portfolio!R35C27</stp>
        <tr r="AA35" s="98"/>
      </tp>
      <tp t="s">
        <v>#N/A N/A</v>
        <stp/>
        <stp>##V3_BDPV12</stp>
        <stp>OGKB RX EQUITY</stp>
        <stp>BDVD_PROJ_12M_YLD</stp>
        <stp>[upload (2).xlsm]Model Portfolio!R57C27</stp>
        <tr r="AA57" s="98"/>
      </tp>
      <tp t="s">
        <v>#N/A N/A</v>
        <stp/>
        <stp>##V3_BDPV12</stp>
        <stp>TGKA RX EQUITY</stp>
        <stp>BDVD_PROJ_12M_YLD</stp>
        <stp>[upload (2).xlsm]Model Portfolio!R60C27</stp>
        <tr r="AA60" s="98"/>
      </tp>
      <tp>
        <v>730.55926513671875</v>
        <stp/>
        <stp>##V3_BDPV12</stp>
        <stp>POLY RX Equity</stp>
        <stp>BEST_TARGET_PRICE</stp>
        <stp>[Copy of upload (2).xlsm]Гарез_GRENF!R9C8</stp>
        <tr r="H9" s="115"/>
      </tp>
    </main>
    <main first="bloomberg.rtd">
      <tp t="s">
        <v>#N/A N/A</v>
        <stp/>
        <stp>##V3_BDPV12</stp>
        <stp>LXFT US EQUITY</stp>
        <stp>PCT_REVENUE_FROM_FOREIGN_SOURCES</stp>
        <stp>[upload (2).xlsm]Model Portfolio!R41C30</stp>
        <tr r="AD41" s="98"/>
      </tp>
      <tp>
        <v>0</v>
        <stp/>
        <stp>##V3_BDPV12</stp>
        <stp>LNTA LI EQUITY</stp>
        <stp>PCT_REVENUE_FROM_FOREIGN_SOURCES</stp>
        <stp>[upload (2).xlsm]Model Portfolio!R37C30</stp>
        <tr r="AD37" s="98"/>
      </tp>
    </main>
    <main first="bloomberg.rtd">
      <tp>
        <v>2.4295432458697763</v>
        <stp/>
        <stp>##V3_BDPV12</stp>
        <stp>LSRG RX EQUITY</stp>
        <stp>PCT_REVENUE_FROM_FOREIGN_SOURCES</stp>
        <stp>[upload (2).xlsm]Model Portfolio!R69C30</stp>
        <tr r="AD69" s="98"/>
      </tp>
      <tp t="s">
        <v>#N/A N/A</v>
        <stp/>
        <stp>##V3_BDPV12</stp>
        <stp>XS0920334900 Corp</stp>
        <stp>RTG_moody</stp>
        <stp>[upload (2).xlsm]Base all $ 3 Duration!R6C10</stp>
        <tr r="J6" s="66"/>
      </tp>
      <tp>
        <v>81.873869461617417</v>
        <stp/>
        <stp>##V3_BDPV12</stp>
        <stp>LKOH RX EQUITY</stp>
        <stp>PCT_REVENUE_FROM_FOREIGN_SOURCES</stp>
        <stp>[upload (2).xlsm]Model Portfolio!R13C30</stp>
        <tr r="AD13" s="98"/>
      </tp>
      <tp>
        <v>3.2000000476837158</v>
        <stp/>
        <stp>##V3_BDPV12</stp>
        <stp>KCEL LI EQUITY</stp>
        <stp>BEST_TARGET_PRICE</stp>
        <stp>[upload (2).xlsm]Model Portfolio!R65C8</stp>
        <tr r="H65" s="98"/>
      </tp>
      <tp>
        <v>-0.45174537987679669</v>
        <stp/>
        <stp>##V3_BDPV12</stp>
        <stp>XS0499245180 Corp</stp>
        <stp>MTY_YEARS_TDY</stp>
        <stp>[upload (2).xlsm]Base all $ 3 Duration!R84C3</stp>
        <tr r="C84" s="66"/>
      </tp>
      <tp>
        <v>43.489051818847656</v>
        <stp/>
        <stp>##V3_BDPV12</stp>
        <stp>MAGN RX EQUITY</stp>
        <stp>BEST_TARGET_PRICE</stp>
        <stp>[upload (2).xlsm]Model Portfolio!R23C8</stp>
        <tr r="H23" s="98"/>
      </tp>
      <tp>
        <v>0.63244353182751545</v>
        <stp/>
        <stp>##V3_BDPV12</stp>
        <stp>XS0359381331 Corp</stp>
        <stp>MTY_YEARS_TDY</stp>
        <stp>[upload (2).xlsm]Base all $ 3 Duration!R36C3</stp>
        <tr r="C36" s="66"/>
      </tp>
      <tp>
        <v>11222.130859375</v>
        <stp/>
        <stp>##V3_BDPV12</stp>
        <stp>GMKN RX EQUITY</stp>
        <stp>BEST_TARGET_PRICE</stp>
        <stp>[upload (2).xlsm]Model Portfolio!R29C8</stp>
        <tr r="H29" s="98"/>
      </tp>
      <tp t="s">
        <v>BB</v>
        <stp/>
        <stp>##V3_BDPV12</stp>
        <stp>XS0918297382 Corp</stp>
        <stp>RTG_SP</stp>
        <stp>[upload (2).xlsm]Base all $ 3 Duration!R106C10</stp>
        <tr r="J106" s="66"/>
        <tr r="J106" s="66"/>
      </tp>
      <tp>
        <v>104.40802777777776</v>
        <stp/>
        <stp>##V3_BDPV12</stp>
        <stp>XS0223715920 Corp</stp>
        <stp>PX_GROSS_MID</stp>
        <stp>[upload (2).xlsm]Base all $ 3 Duration!R139C19</stp>
        <tr r="S139" s="66"/>
      </tp>
      <tp>
        <v>108.529</v>
        <stp/>
        <stp>##V3_BDPV12</stp>
        <stp>XS0911599701 Corp</stp>
        <stp>PX_GROSS_MID</stp>
        <stp>[upload (2).xlsm]Base all $ 3 Duration!R107C19</stp>
        <tr r="S107" s="66"/>
      </tp>
      <tp>
        <v>109.788</v>
        <stp/>
        <stp>##V3_BDPV12</stp>
        <stp>XS0484209159 Corp</stp>
        <stp>px_ask</stp>
        <stp>[upload (2).xlsm]Base all $ 3 Duration!R112C5</stp>
        <tr r="E112" s="66"/>
      </tp>
      <tp>
        <v>104.13275</v>
        <stp/>
        <stp>##V3_BDPV12</stp>
        <stp>XS0885736925 Corp</stp>
        <stp>PX_GROSS_MID</stp>
        <stp>[upload (2).xlsm]Base all $ 3 Duration!R142C19</stp>
        <tr r="S142" s="66"/>
      </tp>
      <tp>
        <v>105.26300000000001</v>
        <stp/>
        <stp>##V3_BDPV12</stp>
        <stp>XS0805570354 Corp</stp>
        <stp>px_ask</stp>
        <stp>[upload (2).xlsm]Base all $ 3 Duration!R154C5</stp>
        <tr r="E154" s="66"/>
      </tp>
      <tp>
        <v>140.81912500000001</v>
        <stp/>
        <stp>##V3_BDPV12</stp>
        <stp>XS0191754729 Corp</stp>
        <stp>PX_GROSS_MID</stp>
        <stp>[upload (2).xlsm]Base all $ 3 Duration!R130C19</stp>
        <tr r="S130" s="66"/>
      </tp>
      <tp t="s">
        <v>#N/A N/A</v>
        <stp/>
        <stp>##V3_BDPV12</stp>
        <stp>XS0979891925 Corp</stp>
        <stp>RTG_SP</stp>
        <stp>[upload (2).xlsm]Base all $ 3 Duration!R124C10</stp>
        <tr r="J124" s="66"/>
      </tp>
      <tp t="s">
        <v>#N/A N/A</v>
        <stp/>
        <stp>##V3_BDPV12</stp>
        <stp>XS0846652666 Corp</stp>
        <stp>RTG_SP</stp>
        <stp>[upload (2).xlsm]Base all $ 3 Duration!R102C10</stp>
        <tr r="J102" s="66"/>
      </tp>
      <tp t="s">
        <v>#N/A N/A</v>
        <stp/>
        <stp>##V3_BDPV12</stp>
        <stp>XS0953323317 Corp</stp>
        <stp>RTG_SP</stp>
        <stp>[upload (2).xlsm]Base all $ 3 Duration!R118C10</stp>
        <tr r="J118" s="66"/>
      </tp>
      <tp t="s">
        <v>BB+</v>
        <stp/>
        <stp>##V3_BDPV12</stp>
        <stp>XS0555493203 Corp</stp>
        <stp>RTG_SP</stp>
        <stp>[upload (2).xlsm]Base all $ 3 Duration!R109C10</stp>
        <tr r="J109" s="66"/>
        <tr r="J109" s="66"/>
      </tp>
      <tp t="s">
        <v>BB+</v>
        <stp/>
        <stp>##V3_BDPV12</stp>
        <stp>XS0764220017 Corp</stp>
        <stp>RTG_SP</stp>
        <stp>[upload (2).xlsm]Base all $ 3 Duration!R149C10</stp>
        <tr r="J149" s="66"/>
        <tr r="J149" s="66"/>
      </tp>
      <tp>
        <v>19.443931993220705</v>
        <stp/>
        <stp>##V3_BDPV12</stp>
        <stp>NORD LI EQUITY</stp>
        <stp>EBIT_MARGIN</stp>
        <stp>[upload (2).xlsm]Model Portfolio!R3C24</stp>
        <tr r="X3" s="98"/>
      </tp>
      <tp>
        <v>0.837169249983018</v>
        <stp/>
        <stp>##V3_BDPV12</stp>
        <stp>GAZP RX EQUITY</stp>
        <stp>CURRENT_EV_TO_12M_SALES</stp>
        <stp>[upload (2).xlsm]Model Portfolio!R12C17</stp>
        <tr r="Q12" s="98"/>
      </tp>
      <tp t="s">
        <v>#N/A N/A</v>
        <stp/>
        <stp>##V3_BDPV12</stp>
        <stp>NMTP RX EQUITY</stp>
        <stp>CURRENT_EV_TO_12M_SALES</stp>
        <stp>[upload (2).xlsm]Model Portfolio!R49C17</stp>
        <tr r="Q49" s="98"/>
      </tp>
      <tp>
        <v>1.6342306937939663</v>
        <stp/>
        <stp>##V3_BDPV12</stp>
        <stp>RASP RX EQUITY</stp>
        <stp>CURRENT_EV_TO_12M_SALES</stp>
        <stp>[upload (2).xlsm]Model Portfolio!R28C17</stp>
        <tr r="Q28" s="98"/>
      </tp>
      <tp>
        <v>2.2854282375828996</v>
        <stp/>
        <stp>##V3_BDPV12</stp>
        <stp>MAIL LI EQUITY</stp>
        <stp>PX_TO_BOOK_RATIO</stp>
        <stp>[upload (2).xlsm]Model Portfolio!R44C18</stp>
        <tr r="R44" s="98"/>
      </tp>
      <tp t="s">
        <v>#N/A N/A</v>
        <stp/>
        <stp>##V3_BDPV12</stp>
        <stp>KCEL LI EQUITY</stp>
        <stp>PCT_REVENUE_FROM_FOREIGN_SOURCES</stp>
        <stp>[upload (2).xlsm]Model Portfolio!R65C30</stp>
        <tr r="AD65" s="98"/>
      </tp>
      <tp>
        <v>0.47322908863578822</v>
        <stp/>
        <stp>##V3_BDPV12</stp>
        <stp>MSNG RX EQUITY</stp>
        <stp>PX_TO_BOOK_RATIO</stp>
        <stp>[upload (2).xlsm]Model Portfolio!R55C18</stp>
        <tr r="R55" s="98"/>
      </tp>
      <tp>
        <v>0.24820955143029622</v>
        <stp/>
        <stp>##V3_BDPV12</stp>
        <stp>MSRS RX EQUITY</stp>
        <stp>PX_TO_BOOK_RATIO</stp>
        <stp>[upload (2).xlsm]Model Portfolio!R59C18</stp>
        <tr r="R59" s="98"/>
      </tp>
      <tp t="s">
        <v>GBp</v>
        <stp/>
        <stp>##V3_BDPV12</stp>
        <stp>HGM LN EQUITY</stp>
        <stp>CRNCY</stp>
        <stp>[Copy of upload (2).xlsm]Гарез_GRENF (2)!R31C7</stp>
        <tr r="G31" s="116"/>
      </tp>
      <tp t="s">
        <v>C</v>
        <stp/>
        <stp>##V3_BDPV12</stp>
        <stp>XS0920334900 Corp</stp>
        <stp>RTG_fitch</stp>
        <stp>[upload (2).xlsm]Base all $ 3 Duration!R6C10</stp>
        <tr r="J6" s="66"/>
        <tr r="J6" s="66"/>
      </tp>
      <tp>
        <v>4.0545905687948354</v>
        <stp/>
        <stp>##V3_BDPV12</stp>
        <stp>MVID RX EQUITY</stp>
        <stp>PX_TO_BOOK_RATIO</stp>
        <stp>[upload (2).xlsm]Model Portfolio!R38C18</stp>
        <tr r="R38" s="98"/>
      </tp>
      <tp t="s">
        <v>#N/A N/A</v>
        <stp/>
        <stp>##V3_BDPV12</stp>
        <stp>MTLR RX EQUITY</stp>
        <stp>PX_TO_BOOK_RATIO</stp>
        <stp>[upload (2).xlsm]Model Portfolio!R24C18</stp>
        <tr r="R24" s="98"/>
      </tp>
      <tp>
        <v>4.4648785851932811</v>
        <stp/>
        <stp>##V3_BDPV12</stp>
        <stp>MTSS RX EQUITY</stp>
        <stp>PX_TO_BOOK_RATIO</stp>
        <stp>[upload (2).xlsm]Model Portfolio!R67C18</stp>
        <tr r="R67" s="98"/>
      </tp>
      <tp>
        <v>10</v>
        <stp/>
        <stp>##V3_BDPV12</stp>
        <stp>KMG LI Equity</stp>
        <stp>PX_LAST</stp>
        <stp>[Copy of upload (2).xlsm]Гарез_GRENF!R5C7</stp>
        <tr r="G5" s="115"/>
      </tp>
      <tp>
        <v>2.1669297509367174</v>
        <stp/>
        <stp>##V3_BDPV12</stp>
        <stp>MOEX RX EQUITY</stp>
        <stp>PX_TO_BOOK_RATIO</stp>
        <stp>[upload (2).xlsm]Model Portfolio!R74C18</stp>
        <tr r="R74" s="98"/>
      </tp>
      <tp>
        <v>17.077625570776252</v>
        <stp/>
        <stp>##V3_BDPV12</stp>
        <stp>KMAZ RX EQUITY</stp>
        <stp>PCT_REVENUE_FROM_FOREIGN_SOURCES</stp>
        <stp>[upload (2).xlsm]Model Portfolio!R73C30</stp>
        <tr r="AD73" s="98"/>
      </tp>
      <tp>
        <v>1.6376886460940518</v>
        <stp/>
        <stp>##V3_BDPV12</stp>
        <stp>MAGN RX EQUITY</stp>
        <stp>PX_TO_BOOK_RATIO</stp>
        <stp>[upload (2).xlsm]Model Portfolio!R23C18</stp>
        <tr r="R23" s="98"/>
      </tp>
      <tp t="s">
        <v>#N/A N/A</v>
        <stp/>
        <stp>##V3_BDPV12</stp>
        <stp>MGNT RX EQUITY</stp>
        <stp>PX_TO_BOOK_RATIO</stp>
        <stp>[upload (2).xlsm]Model Portfolio!R35C18</stp>
        <tr r="R35" s="98"/>
      </tp>
      <tp>
        <v>3.5333758121215602</v>
        <stp/>
        <stp>##V3_BDPV12</stp>
        <stp>MFON RX EQUITY</stp>
        <stp>PX_TO_BOOK_RATIO</stp>
        <stp>[upload (2).xlsm]Model Portfolio!R62C18</stp>
        <tr r="R62" s="98"/>
      </tp>
      <tp>
        <v>114.36499786376953</v>
        <stp/>
        <stp>##V3_BDPV12</stp>
        <stp>MTLR RX EQUITY</stp>
        <stp>BEST_TARGET_PRICE</stp>
        <stp>[upload (2).xlsm]Model Portfolio!R24C8</stp>
        <tr r="H24" s="98"/>
      </tp>
      <tp>
        <v>28.819433212280273</v>
        <stp/>
        <stp>##V3_BDPV12</stp>
        <stp>MAIL LI EQUITY</stp>
        <stp>BEST_TARGET_PRICE</stp>
        <stp>[upload (2).xlsm]Model Portfolio!R44C8</stp>
        <tr r="H44" s="98"/>
      </tp>
      <tp t="s">
        <v>Gazprom PJSC</v>
        <stp/>
        <stp>##V3_BDPV12</stp>
        <stp>OGZD LI Equity</stp>
        <stp>SECURITY_NAME</stp>
        <stp>[Copy of upload (2).xlsm]Гарез_GRENF!R90C4</stp>
        <tr r="D90" s="115"/>
      </tp>
      <tp>
        <v>0.2135523613963039</v>
        <stp/>
        <stp>##V3_BDPV12</stp>
        <stp>XS0559800122 Corp</stp>
        <stp>MTY_YEARS_TDY</stp>
        <stp>[upload (2).xlsm]Base all $ 3 Duration!R63C3</stp>
        <tr r="C63" s="66"/>
      </tp>
      <tp>
        <v>-1.6153319644079398</v>
        <stp/>
        <stp>##V3_BDPV12</stp>
        <stp>XS0588436799 Corp</stp>
        <stp>MTY_YEARS_TDY</stp>
        <stp>[upload (2).xlsm]Base all $ 3 Duration!R94C3</stp>
        <tr r="C94" s="66"/>
      </tp>
      <tp>
        <v>1.6290212183436004</v>
        <stp/>
        <stp>##V3_BDPV12</stp>
        <stp>XS0424860947 Corp</stp>
        <stp>MTY_YEARS_TDY</stp>
        <stp>[upload (2).xlsm]Base all $ 3 Duration!R46C3</stp>
        <tr r="C46" s="66"/>
      </tp>
      <tp>
        <v>0.40520191649555098</v>
        <stp/>
        <stp>##V3_BDPV12</stp>
        <stp>XS0878855773 Corp</stp>
        <stp>MTY_YEARS_TDY</stp>
        <stp>[upload (2).xlsm]Base all $ 3 Duration!R44C3</stp>
        <tr r="C44" s="66"/>
      </tp>
      <tp>
        <v>2.5681040383299112</v>
        <stp/>
        <stp>##V3_BDPV12</stp>
        <stp>XS0841677387 Corp</stp>
        <stp>MTY_YEARS_TDY</stp>
        <stp>[upload (2).xlsm]Base all $ 3 Duration!R99C3</stp>
        <tr r="C99" s="66"/>
      </tp>
      <tp>
        <v>0.72826830937713893</v>
        <stp/>
        <stp>##V3_BDPV12</stp>
        <stp>XS0365923977 Corp</stp>
        <stp>MTY_YEARS_TDY</stp>
        <stp>[upload (2).xlsm]Base all $ 3 Duration!R57C3</stp>
        <tr r="C57" s="66"/>
      </tp>
      <tp>
        <v>126.85833740234375</v>
        <stp/>
        <stp>##V3_BDPV12</stp>
        <stp>MOEX RX EQUITY</stp>
        <stp>BEST_TARGET_PRICE</stp>
        <stp>[upload (2).xlsm]Model Portfolio!R74C8</stp>
        <tr r="H74" s="98"/>
      </tp>
      <tp>
        <v>1.5989048596851472</v>
        <stp/>
        <stp>##V3_BDPV12</stp>
        <stp>XS0954673934 Corp</stp>
        <stp>MTY_YEARS_TDY</stp>
        <stp>[upload (2).xlsm]Base all $ 3 Duration!R16C3</stp>
        <tr r="C16" s="66"/>
      </tp>
      <tp>
        <v>-1.6180698151950719</v>
        <stp/>
        <stp>##V3_BDPV12</stp>
        <stp>XS0587030957 Corp</stp>
        <stp>MTY_YEARS_TDY</stp>
        <stp>[upload (2).xlsm]Base all $ 3 Duration!R95C3</stp>
        <tr r="C95" s="66"/>
      </tp>
      <tp>
        <v>-0.35044490075290896</v>
        <stp/>
        <stp>##V3_BDPV12</stp>
        <stp>XS0299183250 Corp</stp>
        <stp>MTY_YEARS_TDY</stp>
        <stp>[upload (2).xlsm]Base all $ 3 Duration!R40C3</stp>
        <tr r="C40" s="66"/>
      </tp>
      <tp>
        <v>0.59685147159479812</v>
        <stp/>
        <stp>##V3_BDPV12</stp>
        <stp>XS0357281558 Corp</stp>
        <stp>MTY_YEARS_TDY</stp>
        <stp>[upload (2).xlsm]Base all $ 3 Duration!R69C3</stp>
        <tr r="C69" s="66"/>
      </tp>
      <tp>
        <v>0.63244353182751545</v>
        <stp/>
        <stp>##V3_BDPV12</stp>
        <stp>XS0919502434 Corp</stp>
        <stp>MTY_YEARS_TDY</stp>
        <stp>[upload (2).xlsm]Base all $ 3 Duration!R66C3</stp>
        <tr r="C66" s="66"/>
      </tp>
      <tp t="s">
        <v>BB+</v>
        <stp/>
        <stp>##V3_BDPV12</stp>
        <stp>XS0223715920 Corp</stp>
        <stp>RTG_SP</stp>
        <stp>[upload (2).xlsm]Base all $ 3 Duration!R137C10</stp>
        <tr r="J137" s="66"/>
        <tr r="J137" s="66"/>
      </tp>
      <tp t="s">
        <v>#N/A N/A</v>
        <stp/>
        <stp>##V3_BDPV12</stp>
        <stp>XS0810596832 Corp</stp>
        <stp>RTG_SP</stp>
        <stp>[upload (2).xlsm]Base all $ 3 Duration!R121C10</stp>
        <tr r="J121" s="66"/>
      </tp>
      <tp>
        <v>106.0566</v>
        <stp/>
        <stp>##V3_BDPV12</stp>
        <stp>XS0975320879 Corp</stp>
        <stp>PX_GROSS_MID</stp>
        <stp>[upload (2).xlsm]Base all $ 3 Duration!R125C19</stp>
        <tr r="S125" s="66"/>
      </tp>
      <tp>
        <v>109.148</v>
        <stp/>
        <stp>##V3_BDPV12</stp>
        <stp>XS0842078536 Corp</stp>
        <stp>px_ask</stp>
        <stp>[upload (2).xlsm]Base all $ 3 Duration!R127C5</stp>
        <tr r="E127" s="66"/>
      </tp>
      <tp t="s">
        <v>BB+</v>
        <stp/>
        <stp>##V3_BDPV12</stp>
        <stp>XS0548633659 Corp</stp>
        <stp>RTG_SP</stp>
        <stp>[upload (2).xlsm]Base all $ 3 Duration!R111C10</stp>
        <tr r="J111" s="66"/>
        <tr r="J111" s="66"/>
      </tp>
      <tp t="s">
        <v>#N/A N/A</v>
        <stp/>
        <stp>##V3_BDPV12</stp>
        <stp>XS0975320879 Corp</stp>
        <stp>RTG_SP</stp>
        <stp>[upload (2).xlsm]Base all $ 3 Duration!R123C10</stp>
        <tr r="J123" s="66"/>
      </tp>
      <tp>
        <v>102.533</v>
        <stp/>
        <stp>##V3_BDPV12</stp>
        <stp>XS0885736925 Corp</stp>
        <stp>px_ask</stp>
        <stp>[upload (2).xlsm]Base all $ 3 Duration!R140C5</stp>
        <tr r="E140" s="66"/>
      </tp>
      <tp>
        <v>116.16927777777778</v>
        <stp/>
        <stp>##V3_BDPV12</stp>
        <stp>XS0555493203 Corp</stp>
        <stp>PX_GROSS_MID</stp>
        <stp>[upload (2).xlsm]Base all $ 3 Duration!R112C19</stp>
        <tr r="S112" s="66"/>
      </tp>
      <tp t="s">
        <v>RU</v>
        <stp/>
        <stp>##V3_BDPV12</stp>
        <stp>XS0524610812 Corp</stp>
        <stp>CNTRY_OF_RISK</stp>
        <stp>[upload (2).xlsm]Base all $ 3 Duration!R107C13</stp>
        <tr r="M107" s="66"/>
      </tp>
      <tp t="s">
        <v>RU</v>
        <stp/>
        <stp>##V3_BDPV12</stp>
        <stp>XS0708813810 Corp</stp>
        <stp>CNTRY_OF_RISK</stp>
        <stp>[upload (2).xlsm]Base all $ 3 Duration!R153C13</stp>
        <tr r="M153" s="66"/>
      </tp>
      <tp t="s">
        <v>BB</v>
        <stp/>
        <stp>##V3_BDPV12</stp>
        <stp>XS0620695204 Corp</stp>
        <stp>RTG_SP</stp>
        <stp>[upload (2).xlsm]Base all $ 3 Duration!R138C10</stp>
        <tr r="J138" s="66"/>
        <tr r="J138" s="66"/>
      </tp>
      <tp t="s">
        <v>BB</v>
        <stp/>
        <stp>##V3_BDPV12</stp>
        <stp>XS0643183220 Corp</stp>
        <stp>RTG_SP</stp>
        <stp>[upload (2).xlsm]Base all $ 3 Duration!R133C10</stp>
        <tr r="J133" s="66"/>
        <tr r="J133" s="66"/>
      </tp>
      <tp t="s">
        <v>BB+</v>
        <stp/>
        <stp>##V3_BDPV12</stp>
        <stp>XS0800817073 Corp</stp>
        <stp>RTG_SP</stp>
        <stp>[upload (2).xlsm]Base all $ 3 Duration!R142C10</stp>
        <tr r="J142" s="66"/>
        <tr r="J142" s="66"/>
      </tp>
      <tp t="s">
        <v>NR</v>
        <stp/>
        <stp>##V3_BDPV12</stp>
        <stp>XS0920335030 Corp</stp>
        <stp>RTG_SP</stp>
        <stp>[upload (2).xlsm]Base all $ 3 Duration!R101C10</stp>
        <tr r="J101" s="66"/>
        <tr r="J101" s="66"/>
      </tp>
      <tp t="s">
        <v>BB+</v>
        <stp/>
        <stp>##V3_BDPV12</stp>
        <stp>XS0861981180 Corp</stp>
        <stp>RTG_SP</stp>
        <stp>[upload (2).xlsm]Base all $ 3 Duration!R145C10</stp>
        <tr r="J145" s="66"/>
        <tr r="J145" s="66"/>
      </tp>
      <tp>
        <v>110.67100000000001</v>
        <stp/>
        <stp>##V3_BDPV12</stp>
        <stp>XS0841671000 Corp</stp>
        <stp>px_ask</stp>
        <stp>[upload (2).xlsm]Base all $ 3 Duration!R141C5</stp>
        <tr r="E141" s="66"/>
      </tp>
      <tp>
        <v>109.959</v>
        <stp/>
        <stp>##V3_BDPV12</stp>
        <stp>XS0548633659 Corp</stp>
        <stp>px_ask</stp>
        <stp>[upload (2).xlsm]Base all $ 3 Duration!R111C5</stp>
        <tr r="E111" s="66"/>
      </tp>
      <tp>
        <v>0.72773679999999996</v>
        <stp/>
        <stp>##V3_BDPV12</stp>
        <stp>BANEP RX EQUITY</stp>
        <stp>EQY_BETA_6M</stp>
        <stp>[upload (2).xlsm]Model Portfolio!R8C14</stp>
        <tr r="N8" s="98"/>
      </tp>
    </main>
    <main first="bloomberg.rtd">
      <tp>
        <v>6.8128946493851776</v>
        <stp/>
        <stp>##V3_BDPV12</stp>
        <stp>GAZP RX EQUITY</stp>
        <stp>BDVD_PROJ_12M_YLD</stp>
        <stp>[upload (2).xlsm]Model Portfolio!R12C27</stp>
        <tr r="AA12" s="98"/>
      </tp>
    </main>
    <main first="bloomberg.rtd">
      <tp>
        <v>7.1914729677667903</v>
        <stp/>
        <stp>##V3_BDPV12</stp>
        <stp>TATN RX EQUITY</stp>
        <stp>BDVD_PROJ_12M_YLD</stp>
        <stp>[upload (2).xlsm]Model Portfolio!R14C27</stp>
        <tr r="AA14" s="98"/>
      </tp>
      <tp>
        <v>0.3230518</v>
        <stp/>
        <stp>##V3_BDPV12</stp>
        <stp>PLZL RX EQUITY</stp>
        <stp>EQY_BETA_6M</stp>
        <stp>[upload (2).xlsm]Model Portfolio!R2C14</stp>
        <tr r="N2" s="98"/>
      </tp>
      <tp t="s">
        <v>#N/A N/A</v>
        <stp/>
        <stp>##V3_BDPV12</stp>
        <stp>RASP RX EQUITY</stp>
        <stp>BDVD_PROJ_12M_YLD</stp>
        <stp>[upload (2).xlsm]Model Portfolio!R28C27</stp>
        <tr r="AA28" s="98"/>
      </tp>
      <tp>
        <v>6.6530194472876154</v>
        <stp/>
        <stp>##V3_BDPV12</stp>
        <stp>BANE RX EQUITY</stp>
        <stp>BDVD_PROJ_12M_YLD</stp>
        <stp>[upload (2).xlsm]Model Portfolio!R18C27</stp>
        <tr r="AA18" s="98"/>
      </tp>
      <tp>
        <v>0.50224539999999995</v>
        <stp/>
        <stp>##V3_BDPV12</stp>
        <stp>POLY LN EQUITY</stp>
        <stp>EQY_BETA_6M</stp>
        <stp>[upload (2).xlsm]Model Portfolio!R6C14</stp>
        <tr r="N6" s="98"/>
      </tp>
      <tp>
        <v>5.092744775768959</v>
        <stp/>
        <stp>##V3_BDPV12</stp>
        <stp>MAGN RX EQUITY</stp>
        <stp>BDVD_PROJ_12M_YLD</stp>
        <stp>[upload (2).xlsm]Model Portfolio!R23C27</stp>
        <tr r="AA23" s="98"/>
      </tp>
      <tp t="s">
        <v>#N/A N/A</v>
        <stp/>
        <stp>##V3_BDPV12</stp>
        <stp>XS0238091507 Corp</stp>
        <stp>YLD_YTM_ask</stp>
        <stp>[upload (2).xlsm]Base all $ 3 Duration!R5C7</stp>
        <tr r="G5" s="66"/>
      </tp>
      <tp>
        <v>4.0545731217659498</v>
        <stp/>
        <stp>##V3_BDPV12</stp>
        <stp>LXFT US EQUITY</stp>
        <stp>PX_TO_BOOK_RATIO</stp>
        <stp>[upload (2).xlsm]Model Portfolio!R41C18</stp>
        <tr r="R41" s="98"/>
      </tp>
      <tp>
        <v>43.372179714674111</v>
        <stp/>
        <stp>##V3_BDPV12</stp>
        <stp>XS0920334900 Corp</stp>
        <stp>YLD_YTM_ask</stp>
        <stp>[upload (2).xlsm]Base all $ 3 Duration!R6C7</stp>
        <tr r="G6" s="66"/>
      </tp>
      <tp>
        <v>1.163871122856031</v>
        <stp/>
        <stp>##V3_BDPV12</stp>
        <stp>LSRG RX EQUITY</stp>
        <stp>PX_TO_BOOK_RATIO</stp>
        <stp>[upload (2).xlsm]Model Portfolio!R69C18</stp>
        <tr r="R69" s="98"/>
      </tp>
      <tp>
        <v>2.8548668143663249</v>
        <stp/>
        <stp>##V3_BDPV12</stp>
        <stp>LNTA LI EQUITY</stp>
        <stp>PX_TO_BOOK_RATIO</stp>
        <stp>[upload (2).xlsm]Model Portfolio!R37C18</stp>
        <tr r="R37" s="98"/>
      </tp>
      <tp>
        <v>0.61947564335992933</v>
        <stp/>
        <stp>##V3_BDPV12</stp>
        <stp>LKOH RX EQUITY</stp>
        <stp>PX_TO_BOOK_RATIO</stp>
        <stp>[upload (2).xlsm]Model Portfolio!R13C18</stp>
        <tr r="R13" s="98"/>
      </tp>
      <tp>
        <v>690.45574951171875</v>
        <stp/>
        <stp>##V3_BDPV12</stp>
        <stp>NVTK RX EQUITY</stp>
        <stp>BEST_TARGET_PRICE</stp>
        <stp>[upload (2).xlsm]Model Portfolio!R16C8</stp>
        <tr r="H16" s="98"/>
      </tp>
      <tp>
        <v>2.5099999904632568</v>
        <stp/>
        <stp>##V3_BDPV12</stp>
        <stp>MSNG RX EQUITY</stp>
        <stp>BEST_TARGET_PRICE</stp>
        <stp>[upload (2).xlsm]Model Portfolio!R55C8</stp>
        <tr r="H55" s="98"/>
      </tp>
      <tp>
        <v>5.6266665458679199</v>
        <stp/>
        <stp>##V3_BDPV12</stp>
        <stp>IRAO RX EQUITY</stp>
        <stp>BEST_TARGET_PRICE</stp>
        <stp>[upload (2).xlsm]Model Portfolio!R51C8</stp>
        <tr r="H51" s="98"/>
      </tp>
      <tp t="s">
        <v>Gazprom PJSC</v>
        <stp/>
        <stp>##V3_BDPV12</stp>
        <stp>OGZD LI Equity</stp>
        <stp>SECURITY_NAME</stp>
        <stp>[Copy of upload (2).xlsm]Гарез_GRENF!R91C4</stp>
        <tr r="D91" s="115"/>
      </tp>
      <tp>
        <v>5.69</v>
        <stp/>
        <stp>##V3_BDPV12</stp>
        <stp>486 HK EQUITY</stp>
        <stp>PX_LAST</stp>
        <stp>[upload (2).xlsm]Model Portfolio!R30C3</stp>
        <tr r="C30" s="98"/>
      </tp>
      <tp>
        <v>0.476666659116745</v>
        <stp/>
        <stp>##V3_BDPV12</stp>
        <stp>OGKB RX EQUITY</stp>
        <stp>BEST_TARGET_PRICE</stp>
        <stp>[upload (2).xlsm]Model Portfolio!R57C8</stp>
        <tr r="H57" s="98"/>
      </tp>
      <tp>
        <v>10918.1669921875</v>
        <stp/>
        <stp>##V3_BDPV12</stp>
        <stp>MGNT RX EQUITY</stp>
        <stp>BEST_TARGET_PRICE</stp>
        <stp>[upload (2).xlsm]Model Portfolio!R35C8</stp>
        <tr r="H35" s="98"/>
      </tp>
      <tp>
        <v>-1.3141683778234086</v>
        <stp/>
        <stp>##V3_BDPV12</stp>
        <stp>XS0253861834 Corp</stp>
        <stp>MTY_YEARS_TDY</stp>
        <stp>[upload (2).xlsm]Base all $ 3 Duration!R91C3</stp>
        <tr r="C91" s="66"/>
      </tp>
      <tp>
        <v>0.44079397672826831</v>
        <stp/>
        <stp>##V3_BDPV12</stp>
        <stp>XS0888245122 Corp</stp>
        <stp>MTY_YEARS_TDY</stp>
        <stp>[upload (2).xlsm]Base all $ 3 Duration!R73C3</stp>
        <tr r="C73" s="66"/>
      </tp>
      <tp t="s">
        <v>#N/A N/A</v>
        <stp/>
        <stp>##V3_BDPV12</stp>
        <stp>KMAZ RX EQUITY</stp>
        <stp>BEST_TARGET_PRICE</stp>
        <stp>[upload (2).xlsm]Model Portfolio!R73C8</stp>
        <tr r="H73" s="98"/>
      </tp>
      <tp>
        <v>-0.38329911019849416</v>
        <stp/>
        <stp>##V3_BDPV12</stp>
        <stp>XS1059697323 Corp</stp>
        <stp>MTY_YEARS_TDY</stp>
        <stp>[upload (2).xlsm]Base all $ 3 Duration!R20C3</stp>
        <tr r="C20" s="66"/>
      </tp>
      <tp>
        <v>-0.27378507871321012</v>
        <stp/>
        <stp>##V3_BDPV12</stp>
        <stp>XS0304273948 Corp</stp>
        <stp>MTY_YEARS_TDY</stp>
        <stp>[upload (2).xlsm]Base all $ 3 Duration!R87C3</stp>
        <tr r="C87" s="66"/>
      </tp>
      <tp>
        <v>1.2101300479123889</v>
        <stp/>
        <stp>##V3_BDPV12</stp>
        <stp>XS0993162170 Corp</stp>
        <stp>MTY_YEARS_TDY</stp>
        <stp>[upload (2).xlsm]Base all $ 3 Duration!R48C3</stp>
        <tr r="C48" s="66"/>
      </tp>
      <tp>
        <v>111.372</v>
        <stp/>
        <stp>##V3_BDPV12</stp>
        <stp>XS0290580595 Corp</stp>
        <stp>px_ask</stp>
        <stp>[upload (2).xlsm]Base all $ 3 Duration!R152C5</stp>
        <tr r="E152" s="66"/>
      </tp>
      <tp t="s">
        <v>#N/A N/A</v>
        <stp/>
        <stp>##V3_BDPV12</stp>
        <stp>XS0632887997 Corp</stp>
        <stp>RTG_SP</stp>
        <stp>[upload (2).xlsm]Base all $ 3 Duration!R125C10</stp>
        <tr r="J125" s="66"/>
      </tp>
      <tp>
        <v>109.79855555555557</v>
        <stp/>
        <stp>##V3_BDPV12</stp>
        <stp>XS0524610812 Corp</stp>
        <stp>PX_GROSS_MID</stp>
        <stp>[upload (2).xlsm]Base all $ 3 Duration!R110C19</stp>
        <tr r="S110" s="66"/>
      </tp>
      <tp>
        <v>102.10299999999999</v>
        <stp/>
        <stp>##V3_BDPV12</stp>
        <stp>XS0885733153 Corp</stp>
        <stp>px_ask</stp>
        <stp>[upload (2).xlsm]Base all $ 3 Duration!R115C5</stp>
        <tr r="E115" s="66"/>
      </tp>
      <tp>
        <v>69.933999999999997</v>
        <stp/>
        <stp>##V3_BDPV12</stp>
        <stp>XS0925043100 Corp</stp>
        <stp>px_ask</stp>
        <stp>[upload (2).xlsm]Base all $ 3 Duration!R100C5</stp>
        <tr r="E100" s="66"/>
      </tp>
      <tp t="s">
        <v>RU</v>
        <stp/>
        <stp>##V3_BDPV12</stp>
        <stp>XS0559915961 Corp</stp>
        <stp>CNTRY_OF_RISK</stp>
        <stp>[upload (2).xlsm]Base all $ 3 Duration!R135C13</stp>
        <tr r="M135" s="66"/>
      </tp>
      <tp>
        <v>110.48202777777777</v>
        <stp/>
        <stp>##V3_BDPV12</stp>
        <stp>XS0484209159 Corp</stp>
        <stp>PX_GROSS_MID</stp>
        <stp>[upload (2).xlsm]Base all $ 3 Duration!R115C19</stp>
        <tr r="S115" s="66"/>
      </tp>
      <tp t="s">
        <v>BBB-</v>
        <stp/>
        <stp>##V3_BDPV12</stp>
        <stp>XS0304274599 Corp</stp>
        <stp>RTG_SP</stp>
        <stp>[upload (2).xlsm]Base all $ 3 Duration!R151C10</stp>
        <tr r="J151" s="66"/>
        <tr r="J151" s="66"/>
      </tp>
      <tp t="s">
        <v>#N/A N/A</v>
        <stp/>
        <stp>##V3_BDPV12</stp>
        <stp>XS0848530977 Corp</stp>
        <stp>RTG_SP</stp>
        <stp>[upload (2).xlsm]Base all $ 3 Duration!R150C10</stp>
        <tr r="J150" s="66"/>
      </tp>
      <tp>
        <v>110.80333333333334</v>
        <stp/>
        <stp>##V3_BDPV12</stp>
        <stp>XS0981028177 Corp</stp>
        <stp>PX_GROSS_MID</stp>
        <stp>[upload (2).xlsm]Base all $ 3 Duration!R121C19</stp>
        <tr r="S121" s="66"/>
      </tp>
      <tp t="s">
        <v>RU</v>
        <stp/>
        <stp>##V3_BDPV12</stp>
        <stp>XS0979891925 Corp</stp>
        <stp>CNTRY_OF_RISK</stp>
        <stp>[upload (2).xlsm]Base all $ 3 Duration!R124C13</stp>
        <tr r="M124" s="66"/>
      </tp>
      <tp>
        <v>109.36216666666667</v>
        <stp/>
        <stp>##V3_BDPV12</stp>
        <stp>XS0808638612 Corp</stp>
        <stp>PX_GROSS_MID</stp>
        <stp>[upload (2).xlsm]Base all $ 3 Duration!R108C19</stp>
        <tr r="S108" s="66"/>
      </tp>
      <tp>
        <v>115.25</v>
        <stp/>
        <stp>##V3_BDPV12</stp>
        <stp>XS0643183220 Corp</stp>
        <stp>px_ask</stp>
        <stp>[upload (2).xlsm]Base all $ 3 Duration!R133C5</stp>
        <tr r="E133" s="66"/>
      </tp>
      <tp>
        <v>105.69466666666666</v>
        <stp/>
        <stp>##V3_BDPV12</stp>
        <stp>XS0935311240 Corp</stp>
        <stp>PX_GROSS_MID</stp>
        <stp>[upload (2).xlsm]Base all $ 3 Duration!R133C19</stp>
        <tr r="S133" s="66"/>
      </tp>
    </main>
    <main first="bloomberg.rtd">
      <tp>
        <v>5.0107777576115939</v>
        <stp/>
        <stp>##V3_BDPV12</stp>
        <stp>GLPR LI EQUITY</stp>
        <stp>CURRENT_EV_TO_12M_SALES</stp>
        <stp>[upload (2).xlsm]Model Portfolio!R46C17</stp>
        <tr r="Q46" s="98"/>
      </tp>
      <tp>
        <v>1.585489228481969</v>
        <stp/>
        <stp>##V3_BDPV12</stp>
        <stp>GLTR LI EQUITY</stp>
        <stp>CURRENT_EV_TO_12M_SALES</stp>
        <stp>[upload (2).xlsm]Model Portfolio!R48C17</stp>
        <tr r="Q48" s="98"/>
      </tp>
      <tp t="s">
        <v>#N/A Field Not Applicable</v>
        <stp/>
        <stp>##V3_BDPV12</stp>
        <stp>RTKMP RX EQUITY</stp>
        <stp>CURRENT_EV_TO_12M_SALES</stp>
        <stp>[upload (2).xlsm]Model Portfolio!R63C17</stp>
        <tr r="Q63" s="98"/>
      </tp>
      <tp>
        <v>1.1724782176627668</v>
        <stp/>
        <stp>##V3_BDPV12</stp>
        <stp>HYDR RX EQUITY</stp>
        <stp>CURRENT_EV_TO_12M_SALES</stp>
        <stp>[upload (2).xlsm]Model Portfolio!R58C17</stp>
        <tr r="Q58" s="98"/>
      </tp>
      <tp>
        <v>1.8259023809036039</v>
        <stp/>
        <stp>##V3_BDPV12</stp>
        <stp>MTLR RX EQUITY</stp>
        <stp>CURRENT_EV_TO_12M_SALES</stp>
        <stp>[upload (2).xlsm]Model Portfolio!R24C17</stp>
        <tr r="Q24" s="98"/>
      </tp>
      <tp>
        <v>2.2953567792053269</v>
        <stp/>
        <stp>##V3_BDPV12</stp>
        <stp>PHOR RX EQUITY</stp>
        <stp>CURRENT_EV_TO_12M_SALES</stp>
        <stp>[upload (2).xlsm]Model Portfolio!R32C17</stp>
        <tr r="Q32" s="98"/>
      </tp>
      <tp t="s">
        <v>#N/A N/A</v>
        <stp/>
        <stp>##V3_BDPV12</stp>
        <stp>SBER RX EQUITY</stp>
        <stp>CURRENT_EV_TO_12M_SALES</stp>
        <stp>[upload (2).xlsm]Model Portfolio!R75C17</stp>
        <tr r="Q75" s="98"/>
      </tp>
      <tp>
        <v>3.5168195718654434</v>
        <stp/>
        <stp>##V3_BDPV12</stp>
        <stp>SBER RX EQUITY</stp>
        <stp>BDVD_PROJ_12M_YLD</stp>
        <stp>[upload (2).xlsm]Model Portfolio!R75C27</stp>
        <tr r="AA75" s="98"/>
      </tp>
      <tp t="s">
        <v>GBp</v>
        <stp/>
        <stp>##V3_BDPV12</stp>
        <stp>HGM LN EQUITY</stp>
        <stp>CRNCY</stp>
        <stp>[Copy of upload (2).xlsm]Гарез_GRENF (2)!R33C7</stp>
        <tr r="G33" s="116"/>
      </tp>
      <tp>
        <v>12.292752335655447</v>
        <stp/>
        <stp>##V3_BDPV12</stp>
        <stp>IRAO RX EQUITY</stp>
        <stp>PCT_REVENUE_FROM_FOREIGN_SOURCES</stp>
        <stp>[upload (2).xlsm]Model Portfolio!R51C30</stp>
        <tr r="AD51" s="98"/>
      </tp>
      <tp>
        <v>1.6419167103585448</v>
        <stp/>
        <stp>##V3_BDPV12</stp>
        <stp>OKEY LI EQUITY</stp>
        <stp>PX_TO_BOOK_RATIO</stp>
        <stp>[upload (2).xlsm]Model Portfolio!R39C18</stp>
        <tr r="R39" s="98"/>
      </tp>
      <tp>
        <v>0.47651063316777087</v>
        <stp/>
        <stp>##V3_BDPV12</stp>
        <stp>OGKB RX EQUITY</stp>
        <stp>PX_TO_BOOK_RATIO</stp>
        <stp>[upload (2).xlsm]Model Portfolio!R57C18</stp>
        <tr r="R57" s="98"/>
      </tp>
      <tp>
        <v>7.4573855400085449</v>
        <stp/>
        <stp>##V3_BDPV12</stp>
        <stp>LNTA LI EQUITY</stp>
        <stp>BEST_TARGET_PRICE</stp>
        <stp>[upload (2).xlsm]Model Portfolio!R37C8</stp>
        <tr r="H37" s="98"/>
      </tp>
      <tp t="s">
        <v>Luxoft Holding Inc</v>
        <stp/>
        <stp>##V3_BDPV12</stp>
        <stp>LXFT US Equity</stp>
        <stp>SECURITY_NAME</stp>
        <stp>[Copy of upload (2).xlsm]Гарез_GRENF!R81C4</stp>
        <tr r="D81" s="115"/>
      </tp>
      <tp>
        <v>-0.14236824093086928</v>
        <stp/>
        <stp>##V3_BDPV12</stp>
        <stp>XS0312572984 Corp</stp>
        <stp>MTY_YEARS_TDY</stp>
        <stp>[upload (2).xlsm]Base all $ 3 Duration!R22C3</stp>
        <tr r="C22" s="66"/>
      </tp>
      <tp>
        <v>1.2238193018480492</v>
        <stp/>
        <stp>##V3_BDPV12</stp>
        <stp>XS0995845566 Corp</stp>
        <stp>MTY_YEARS_TDY</stp>
        <stp>[upload (2).xlsm]Base all $ 3 Duration!R29C3</stp>
        <tr r="C29" s="66"/>
      </tp>
      <tp>
        <v>0.11498973305954825</v>
        <stp/>
        <stp>##V3_BDPV12</stp>
        <stp>XS0552679879 Corp</stp>
        <stp>MTY_YEARS_TDY</stp>
        <stp>[upload (2).xlsm]Base all $ 3 Duration!R43C3</stp>
        <tr r="C43" s="66"/>
      </tp>
      <tp>
        <v>-0.1806981519507187</v>
        <stp/>
        <stp>##V3_BDPV12</stp>
        <stp>XS0802648955 Corp</stp>
        <stp>MTY_YEARS_TDY</stp>
        <stp>[upload (2).xlsm]Base all $ 3 Duration!R12C3</stp>
        <tr r="C12" s="66"/>
      </tp>
      <tp>
        <v>1.1882272416153319</v>
        <stp/>
        <stp>##V3_BDPV12</stp>
        <stp>XS0924078453 Corp</stp>
        <stp>MTY_YEARS_TDY</stp>
        <stp>[upload (2).xlsm]Base all $ 3 Duration!R19C3</stp>
        <tr r="C19" s="66"/>
      </tp>
      <tp>
        <v>0.66803559206023266</v>
        <stp/>
        <stp>##V3_BDPV12</stp>
        <stp>XS0923472814 Corp</stp>
        <stp>MTY_YEARS_TDY</stp>
        <stp>[upload (2).xlsm]Base all $ 3 Duration!R52C3</stp>
        <tr r="C52" s="66"/>
      </tp>
      <tp>
        <v>-1.3552361396303902</v>
        <stp/>
        <stp>##V3_BDPV12</stp>
        <stp>XS0426517701 Corp</stp>
        <stp>MTY_YEARS_TDY</stp>
        <stp>[upload (2).xlsm]Base all $ 3 Duration!R88C3</stp>
        <tr r="C88" s="66"/>
      </tp>
      <tp>
        <v>1.6947296372347707</v>
        <stp/>
        <stp>##V3_BDPV12</stp>
        <stp>XS0783242877 Corp</stp>
        <stp>MTY_YEARS_TDY</stp>
        <stp>[upload (2).xlsm]Base all $ 3 Duration!R32C3</stp>
        <tr r="C32" s="66"/>
      </tp>
      <tp>
        <v>-0.58590006844626963</v>
        <stp/>
        <stp>##V3_BDPV12</stp>
        <stp>XS0719009754 Corp</stp>
        <stp>MTY_YEARS_TDY</stp>
        <stp>[upload (2).xlsm]Base all $ 3 Duration!R77C3</stp>
        <tr r="C77" s="66"/>
      </tp>
      <tp>
        <v>-0.83504449007529091</v>
        <stp/>
        <stp>##V3_BDPV12</stp>
        <stp>XS0993279958 Corp</stp>
        <stp>MTY_YEARS_TDY</stp>
        <stp>[upload (2).xlsm]Base all $ 3 Duration!R13C3</stp>
        <tr r="C13" s="66"/>
      </tp>
      <tp>
        <v>108.45</v>
        <stp/>
        <stp>##V3_BDPV12</stp>
        <stp>XS0889401724 Corp</stp>
        <stp>px_ask</stp>
        <stp>[upload (2).xlsm]Base all $ 3 Duration!R130C5</stp>
        <tr r="E130" s="66"/>
      </tp>
      <tp>
        <v>106.86799999999999</v>
        <stp/>
        <stp>##V3_BDPV12</stp>
        <stp>XS0808638612 Corp</stp>
        <stp>px_ask</stp>
        <stp>[upload (2).xlsm]Base all $ 3 Duration!R105C5</stp>
        <tr r="E105" s="66"/>
      </tp>
      <tp>
        <v>115.37755555555556</v>
        <stp/>
        <stp>##V3_BDPV12</stp>
        <stp>XS0810596832 Corp</stp>
        <stp>PX_GROSS_MID</stp>
        <stp>[upload (2).xlsm]Base all $ 3 Duration!R123C19</stp>
        <tr r="S123" s="66"/>
      </tp>
      <tp>
        <v>123.24406666666665</v>
        <stp/>
        <stp>##V3_BDPV12</stp>
        <stp>XS0316524130 Corp</stp>
        <stp>PX_GROSS_MID</stp>
        <stp>[upload (2).xlsm]Base all $ 3 Duration!R131C19</stp>
        <tr r="S131" s="66"/>
      </tp>
      <tp t="s">
        <v>BB /*+</v>
        <stp/>
        <stp>##V3_BDPV12</stp>
        <stp>XS0918604496 Corp</stp>
        <stp>RTG_SP</stp>
        <stp>[upload (2).xlsm]Base all $ 3 Duration!R103C10</stp>
        <tr r="J103" s="66"/>
        <tr r="J103" s="66"/>
      </tp>
      <tp t="s">
        <v>BBB-</v>
        <stp/>
        <stp>##V3_BDPV12</stp>
        <stp>XS0919504562 Corp</stp>
        <stp>RTG_SP</stp>
        <stp>[upload (2).xlsm]Base all $ 3 Duration!R148C10</stp>
        <tr r="J148" s="66"/>
        <tr r="J148" s="66"/>
      </tp>
      <tp t="s">
        <v>RU</v>
        <stp/>
        <stp>##V3_BDPV12</stp>
        <stp>XS0513723873 Corp</stp>
        <stp>CNTRY_OF_RISK</stp>
        <stp>[upload (2).xlsm]Base all $ 3 Duration!R110C13</stp>
        <tr r="M110" s="66"/>
      </tp>
      <tp>
        <v>113.95111111111112</v>
        <stp/>
        <stp>##V3_BDPV12</stp>
        <stp>XS0841671000 Corp</stp>
        <stp>PX_GROSS_MID</stp>
        <stp>[upload (2).xlsm]Base all $ 3 Duration!R143C19</stp>
        <tr r="S143" s="66"/>
      </tp>
      <tp t="s">
        <v>BBB-</v>
        <stp/>
        <stp>##V3_BDPV12</stp>
        <stp>XS0864383723 Corp</stp>
        <stp>RTG_SP</stp>
        <stp>[upload (2).xlsm]Base all $ 3 Duration!R147C10</stp>
        <tr r="J147" s="66"/>
        <tr r="J147" s="66"/>
      </tp>
      <tp t="s">
        <v>BBB-</v>
        <stp/>
        <stp>##V3_BDPV12</stp>
        <stp>XS0841671000 Corp</stp>
        <stp>RTG_SP</stp>
        <stp>[upload (2).xlsm]Base all $ 3 Duration!R141C10</stp>
        <tr r="J141" s="66"/>
        <tr r="J141" s="66"/>
      </tp>
      <tp>
        <v>109.795</v>
        <stp/>
        <stp>##V3_BDPV12</stp>
        <stp>XS0889401724 Corp</stp>
        <stp>PX_GROSS_MID</stp>
        <stp>[upload (2).xlsm]Base all $ 3 Duration!R132C19</stp>
        <tr r="S132" s="66"/>
      </tp>
      <tp>
        <v>105.038</v>
        <stp/>
        <stp>##V3_BDPV12</stp>
        <stp>XS0831571434 Corp</stp>
        <stp>px_ask</stp>
        <stp>[upload (2).xlsm]Base all $ 3 Duration!R157C5</stp>
        <tr r="E157" s="66"/>
      </tp>
      <tp>
        <v>107.15425833333333</v>
        <stp/>
        <stp>##V3_BDPV12</stp>
        <stp>XS0831571434 Corp</stp>
        <stp>PX_GROSS_MID</stp>
        <stp>[upload (2).xlsm]Base all $ 3 Duration!R159C19</stp>
        <tr r="S159" s="66"/>
      </tp>
      <tp>
        <v>116.46141666666666</v>
        <stp/>
        <stp>##V3_BDPV12</stp>
        <stp>XS0620695204 Corp</stp>
        <stp>PX_GROSS_MID</stp>
        <stp>[upload (2).xlsm]Base all $ 3 Duration!R140C19</stp>
        <tr r="S140" s="66"/>
      </tp>
      <tp>
        <v>103.02500000000001</v>
        <stp/>
        <stp>##V3_BDPV12</stp>
        <stp>XS0918604496 Corp</stp>
        <stp>px_ask</stp>
        <stp>[upload (2).xlsm]Base all $ 3 Duration!R103C5</stp>
        <tr r="E103" s="66"/>
      </tp>
      <tp t="s">
        <v>BB+</v>
        <stp/>
        <stp>##V3_BDPV12</stp>
        <stp>XS0316524130 Corp</stp>
        <stp>RTG_SP</stp>
        <stp>[upload (2).xlsm]Base all $ 3 Duration!R129C10</stp>
        <tr r="J129" s="66"/>
        <tr r="J129" s="66"/>
      </tp>
      <tp>
        <v>113.29900000000001</v>
        <stp/>
        <stp>##V3_BDPV12</stp>
        <stp>XS0304274599 Corp</stp>
        <stp>px_ask</stp>
        <stp>[upload (2).xlsm]Base all $ 3 Duration!R151C5</stp>
        <tr r="E151" s="66"/>
      </tp>
      <tp>
        <v>104.761</v>
        <stp/>
        <stp>##V3_BDPV12</stp>
        <stp>XS0848530977 Corp</stp>
        <stp>px_ask</stp>
        <stp>[upload (2).xlsm]Base all $ 3 Duration!R150C5</stp>
        <tr r="E150" s="66"/>
      </tp>
      <tp t="s">
        <v>#N/A N/A</v>
        <stp/>
        <stp>##V3_BDPV12</stp>
        <stp>XS0632887997 Corp</stp>
        <stp>px_ask</stp>
        <stp>[upload (2).xlsm]Base all $ 3 Duration!R125C5</stp>
        <tr r="E125" s="66"/>
      </tp>
    </main>
    <main first="bloomberg.rtd">
      <tp>
        <v>0.95627793756217239</v>
        <stp/>
        <stp>##V3_BDPV12</stp>
        <stp>AFKS RX EQUITY</stp>
        <stp>CURRENT_EV_TO_12M_SALES</stp>
        <stp>[upload (2).xlsm]Model Portfolio!R64C17</stp>
        <tr r="Q64" s="98"/>
      </tp>
      <tp>
        <v>1.7530599761805954</v>
        <stp/>
        <stp>##V3_BDPV12</stp>
        <stp>FEES RX EQUITY</stp>
        <stp>CURRENT_EV_TO_12M_SALES</stp>
        <stp>[upload (2).xlsm]Model Portfolio!R56C17</stp>
        <tr r="Q56" s="98"/>
      </tp>
      <tp>
        <v>0.85930877339315148</v>
        <stp/>
        <stp>##V3_BDPV12</stp>
        <stp>MSRS RX EQUITY</stp>
        <stp>CURRENT_EV_TO_12M_SALES</stp>
        <stp>[upload (2).xlsm]Model Portfolio!R59C17</stp>
        <tr r="Q59" s="98"/>
      </tp>
      <tp>
        <v>1.757958467956567</v>
        <stp/>
        <stp>##V3_BDPV12</stp>
        <stp>MTSS RX EQUITY</stp>
        <stp>CURRENT_EV_TO_12M_SALES</stp>
        <stp>[upload (2).xlsm]Model Portfolio!R67C17</stp>
        <tr r="Q67" s="98"/>
      </tp>
      <tp t="s">
        <v>#N/A Field Not Applicable</v>
        <stp/>
        <stp>##V3_BDPV12</stp>
        <stp>SBERP RX EQUITY</stp>
        <stp>CURRENT_EV_TO_12M_SALES</stp>
        <stp>[upload (2).xlsm]Model Portfolio!R76C17</stp>
        <tr r="Q76" s="98"/>
      </tp>
      <tp t="s">
        <v>#N/A N/A</v>
        <stp/>
        <stp>##V3_BDPV12</stp>
        <stp>SNGS RX EQUITY</stp>
        <stp>CURRENT_EV_TO_12M_SALES</stp>
        <stp>[upload (2).xlsm]Model Portfolio!R10C17</stp>
        <tr r="Q10" s="98"/>
      </tp>
      <tp t="s">
        <v>#N/A N/A</v>
        <stp/>
        <stp>##V3_BDPV12</stp>
        <stp>SNGSP RX EQUITY</stp>
        <stp>CURRENT_EV_TO_12M_SALES</stp>
        <stp>[upload (2).xlsm]Model Portfolio!R11C17</stp>
        <tr r="Q11" s="98"/>
      </tp>
      <tp>
        <v>0</v>
        <stp/>
        <stp>##V3_BDPV12</stp>
        <stp>HYDR RX EQUITY</stp>
        <stp>PCT_REVENUE_FROM_FOREIGN_SOURCES</stp>
        <stp>[upload (2).xlsm]Model Portfolio!R58C30</stp>
        <tr r="AD58" s="98"/>
      </tp>
      <tp t="s">
        <v>GBp</v>
        <stp/>
        <stp>##V3_BDPV12</stp>
        <stp>HGM LN EQUITY</stp>
        <stp>CRNCY</stp>
        <stp>[Copy of upload (2).xlsm]Гарез_GRENF (2)!R32C7</stp>
        <tr r="G32" s="116"/>
      </tp>
      <tp>
        <v>2.5893400570059986</v>
        <stp/>
        <stp>##V3_BDPV12</stp>
        <stp>NVTK RX EQUITY</stp>
        <stp>PX_TO_BOOK_RATIO</stp>
        <stp>[upload (2).xlsm]Model Portfolio!R16C18</stp>
        <tr r="R16" s="98"/>
      </tp>
      <tp t="s">
        <v>WR</v>
        <stp/>
        <stp>##V3_BDPV12</stp>
        <stp>XS0238091507 Corp</stp>
        <stp>RTG_moody</stp>
        <stp>[upload (2).xlsm]Base all $ 3 Duration!R5C10</stp>
        <tr r="J5" s="66"/>
        <tr r="J5" s="66"/>
      </tp>
      <tp>
        <v>4.6766810498831566</v>
        <stp/>
        <stp>##V3_BDPV12</stp>
        <stp>NMTP RX EQUITY</stp>
        <stp>PX_TO_BOOK_RATIO</stp>
        <stp>[upload (2).xlsm]Model Portfolio!R49C18</stp>
        <tr r="R49" s="98"/>
      </tp>
      <tp>
        <v>2.1058025937422067</v>
        <stp/>
        <stp>##V3_BDPV12</stp>
        <stp>NLMK RX EQUITY</stp>
        <stp>PX_TO_BOOK_RATIO</stp>
        <stp>[upload (2).xlsm]Model Portfolio!R22C18</stp>
        <tr r="R22" s="98"/>
      </tp>
      <tp t="s">
        <v>#N/A N/A</v>
        <stp/>
        <stp>##V3_BDPV12</stp>
        <stp>VIP US EQUITY</stp>
        <stp>BDVD_PROJ_12M_YLD</stp>
        <stp>[upload (2).xlsm]Model Portfolio!R61C27</stp>
        <tr r="AA61" s="98"/>
      </tp>
      <tp>
        <v>306.20001220703125</v>
        <stp/>
        <stp>##V3_BDPV12</stp>
        <stp>MTSS RX EQUITY</stp>
        <stp>BEST_TARGET_PRICE</stp>
        <stp>[upload (2).xlsm]Model Portfolio!R67C8</stp>
        <tr r="H67" s="98"/>
      </tp>
      <tp t="s">
        <v>Luxoft Holding Inc</v>
        <stp/>
        <stp>##V3_BDPV12</stp>
        <stp>LXFT US Equity</stp>
        <stp>SECURITY_NAME</stp>
        <stp>[Copy of upload (2).xlsm]Гарез_GRENF!R80C4</stp>
        <tr r="D80" s="115"/>
      </tp>
      <tp>
        <v>4.4502828073228686</v>
        <stp/>
        <stp>##V3_BDPV12</stp>
        <stp>RTKMP RX EQUITY</stp>
        <stp>TRAIL_12M_PROF_MARGIN</stp>
        <stp>[upload (2).xlsm]Model Portfolio!R63C25</stp>
        <tr r="Y63" s="98"/>
      </tp>
      <tp>
        <v>2509.231201171875</v>
        <stp/>
        <stp>##V3_BDPV12</stp>
        <stp>BANE RX EQUITY</stp>
        <stp>BEST_TARGET_PRICE</stp>
        <stp>[upload (2).xlsm]Model Portfolio!R18C8</stp>
        <tr r="H18" s="98"/>
      </tp>
      <tp>
        <v>0.64887063655030797</v>
        <stp/>
        <stp>##V3_BDPV12</stp>
        <stp>XS0361041808 Corp</stp>
        <stp>MTY_YEARS_TDY</stp>
        <stp>[upload (2).xlsm]Base all $ 3 Duration!R51C3</stp>
        <tr r="C51" s="66"/>
      </tp>
    </main>
    <main first="bloomberg.rtd">
      <tp>
        <v>0.88432580424366869</v>
        <stp/>
        <stp>##V3_BDPV12</stp>
        <stp>XS0955232854 Corp</stp>
        <stp>MTY_YEARS_TDY</stp>
        <stp>[upload (2).xlsm]Base all $ 3 Duration!R45C3</stp>
        <tr r="C45" s="66"/>
      </tp>
      <tp>
        <v>109.37317777777777</v>
        <stp/>
        <stp>##V3_BDPV12</stp>
        <stp>XS0708813810 Corp</stp>
        <stp>PX_GROSS_MID</stp>
        <stp>[upload (2).xlsm]Base all $ 3 Duration!R155C19</stp>
        <tr r="S155" s="66"/>
      </tp>
      <tp>
        <v>115.06904444444444</v>
        <stp/>
        <stp>##V3_BDPV12</stp>
        <stp>XS0587031096 Corp</stp>
        <stp>PX_GROSS_MID</stp>
        <stp>[upload (2).xlsm]Base all $ 3 Duration!R136C19</stp>
        <tr r="S136" s="66"/>
      </tp>
      <tp t="s">
        <v>SNAT</v>
        <stp/>
        <stp>##V3_BDPV12</stp>
        <stp>XS0831571434 Corp</stp>
        <stp>CNTRY_OF_RISK</stp>
        <stp>[upload (2).xlsm]Base all $ 3 Duration!R157C13</stp>
        <tr r="M157" s="66"/>
      </tp>
      <tp>
        <v>102.248</v>
        <stp/>
        <stp>##V3_BDPV12</stp>
        <stp>XS0830192711 Corp</stp>
        <stp>px_ask</stp>
        <stp>[upload (2).xlsm]Base all $ 3 Duration!R143C5</stp>
        <tr r="E143" s="66"/>
      </tp>
      <tp t="s">
        <v>RU</v>
        <stp/>
        <stp>##V3_BDPV12</stp>
        <stp>XS0805570354 Corp</stp>
        <stp>CNTRY_OF_RISK</stp>
        <stp>[upload (2).xlsm]Base all $ 3 Duration!R154C13</stp>
        <tr r="M154" s="66"/>
      </tp>
      <tp>
        <v>109.85315555555555</v>
        <stp/>
        <stp>##V3_BDPV12</stp>
        <stp>XS0993162683 Corp</stp>
        <stp>PX_GROSS_MID</stp>
        <stp>[upload (2).xlsm]Base all $ 3 Duration!R141C19</stp>
        <tr r="S141" s="66"/>
      </tp>
      <tp t="s">
        <v>RU</v>
        <stp/>
        <stp>##V3_BDPV12</stp>
        <stp>XS0846652666 Corp</stp>
        <stp>CNTRY_OF_RISK</stp>
        <stp>[upload (2).xlsm]Base all $ 3 Duration!R102C13</stp>
        <tr r="M102" s="66"/>
      </tp>
      <tp>
        <v>104.301</v>
        <stp/>
        <stp>##V3_BDPV12</stp>
        <stp>XS0919504562 Corp</stp>
        <stp>px_ask</stp>
        <stp>[upload (2).xlsm]Base all $ 3 Duration!R148C5</stp>
        <tr r="E148" s="66"/>
      </tp>
      <tp t="s">
        <v>RU</v>
        <stp/>
        <stp>##V3_BDPV12</stp>
        <stp>XS0620695204 Corp</stp>
        <stp>CNTRY_OF_RISK</stp>
        <stp>[upload (2).xlsm]Base all $ 3 Duration!R138C13</stp>
        <tr r="M138" s="66"/>
      </tp>
      <tp>
        <v>113.758</v>
        <stp/>
        <stp>##V3_BDPV12</stp>
        <stp>XS0620695204 Corp</stp>
        <stp>px_ask</stp>
        <stp>[upload (2).xlsm]Base all $ 3 Duration!R138C5</stp>
        <tr r="E138" s="66"/>
      </tp>
      <tp t="s">
        <v>RU</v>
        <stp/>
        <stp>##V3_BDPV12</stp>
        <stp>XS0919504562 Corp</stp>
        <stp>CNTRY_OF_RISK</stp>
        <stp>[upload (2).xlsm]Base all $ 3 Duration!R148C13</stp>
        <tr r="M148" s="66"/>
      </tp>
      <tp>
        <v>70.897438049316406</v>
        <stp/>
        <stp>##V3_BDPV12</stp>
        <stp>RTKMP RX EQUITY</stp>
        <stp>BEST_TARGET_PRICE</stp>
        <stp>[upload (2).xlsm]Model Portfolio!R63C8</stp>
        <tr r="H63" s="98"/>
      </tp>
      <tp>
        <v>7.444376714416336</v>
        <stp/>
        <stp>##V3_BDPV12</stp>
        <stp>NLMK RX EQUITY</stp>
        <stp>BDVD_PROJ_12M_YLD</stp>
        <stp>[upload (2).xlsm]Model Portfolio!R22C27</stp>
        <tr r="AA22" s="98"/>
      </tp>
      <tp>
        <v>57.5441</v>
        <stp/>
        <stp>##V3_BDPV12</stp>
        <stp>USDRUB Curncy</stp>
        <stp>PX last</stp>
        <stp>[upload (2).xlsm]Sheet3!R1C7</stp>
        <tr r="G1" s="77"/>
      </tp>
      <tp>
        <v>1.0854901029610575</v>
        <stp/>
        <stp>##V3_BDPV12</stp>
        <stp>AGRO LI EQUITY</stp>
        <stp>PX_TO_BOOK_RATIO</stp>
        <stp>[upload (2).xlsm]Model Portfolio!R71C18</stp>
        <tr r="R71" s="98"/>
      </tp>
      <tp t="s">
        <v>#N/A N/A</v>
        <stp/>
        <stp>##V3_BDPV12</stp>
        <stp>GLTR LI EQUITY</stp>
        <stp>PCT_REVENUE_FROM_FOREIGN_SOURCES</stp>
        <stp>[upload (2).xlsm]Model Portfolio!R48C30</stp>
        <tr r="AD48" s="98"/>
      </tp>
      <tp t="s">
        <v>#N/A N/A</v>
        <stp/>
        <stp>##V3_BDPV12</stp>
        <stp>GLPR LI EQUITY</stp>
        <stp>PCT_REVENUE_FROM_FOREIGN_SOURCES</stp>
        <stp>[upload (2).xlsm]Model Portfolio!R46C30</stp>
        <tr r="AD46" s="98"/>
      </tp>
      <tp>
        <v>2.1984439455585099</v>
        <stp/>
        <stp>##V3_BDPV12</stp>
        <stp>AKRN RX EQUITY</stp>
        <stp>PX_TO_BOOK_RATIO</stp>
        <stp>[upload (2).xlsm]Model Portfolio!R33C18</stp>
        <tr r="R33" s="98"/>
      </tp>
      <tp>
        <v>89.641642688987702</v>
        <stp/>
        <stp>##V3_BDPV12</stp>
        <stp>GMKN RX EQUITY</stp>
        <stp>PCT_REVENUE_FROM_FOREIGN_SOURCES</stp>
        <stp>[upload (2).xlsm]Model Portfolio!R29C30</stp>
        <tr r="AD29" s="98"/>
      </tp>
      <tp t="s">
        <v>Cau</v>
        <stp/>
        <stp>##V3_BDPV12</stp>
        <stp>XS0850393264 Corp</stp>
        <stp>RTG_moody</stp>
        <stp>[upload (2).xlsm]Base all $ 3 Duration!R4C10</stp>
        <tr r="J4" s="66"/>
        <tr r="J4" s="66"/>
      </tp>
      <tp>
        <v>59.26608981735275</v>
        <stp/>
        <stp>##V3_BDPV12</stp>
        <stp>GAZP RX EQUITY</stp>
        <stp>PCT_REVENUE_FROM_FOREIGN_SOURCES</stp>
        <stp>[upload (2).xlsm]Model Portfolio!R12C30</stp>
        <tr r="AD12" s="98"/>
      </tp>
      <tp>
        <v>0.79963415630649337</v>
        <stp/>
        <stp>##V3_BDPV12</stp>
        <stp>AFKS RX EQUITY</stp>
        <stp>PX_TO_BOOK_RATIO</stp>
        <stp>[upload (2).xlsm]Model Portfolio!R64C18</stp>
        <tr r="R64" s="98"/>
      </tp>
      <tp>
        <v>4.8671231394175987</v>
        <stp/>
        <stp>##V3_BDPV12</stp>
        <stp>AFLT RX EQUITY</stp>
        <stp>PX_TO_BOOK_RATIO</stp>
        <stp>[upload (2).xlsm]Model Portfolio!R47C18</stp>
        <tr r="R47" s="98"/>
      </tp>
      <tp>
        <v>427</v>
        <stp/>
        <stp>##V3_BDPV12</stp>
        <stp>MVID RX EQUITY</stp>
        <stp>BEST_TARGET_PRICE</stp>
        <stp>[upload (2).xlsm]Model Portfolio!R38C8</stp>
        <tr r="H38" s="98"/>
      </tp>
      <tp>
        <v>71.861976623535156</v>
        <stp/>
        <stp>##V3_BDPV12</stp>
        <stp>BSPB RX EQUITY</stp>
        <stp>BEST_TARGET_PRICE</stp>
        <stp>[upload (2).xlsm]Model Portfolio!R77C8</stp>
        <tr r="H77" s="98"/>
      </tp>
      <tp>
        <v>0.64887063655030797</v>
        <stp/>
        <stp>##V3_BDPV12</stp>
        <stp>XS0922883318 Corp</stp>
        <stp>MTY_YEARS_TDY</stp>
        <stp>[upload (2).xlsm]Base all $ 3 Duration!R56C3</stp>
        <tr r="C56" s="66"/>
      </tp>
      <tp t="s">
        <v>#N/A N/A</v>
        <stp/>
        <stp>##V3_BDPV12</stp>
        <stp>AFKS RX EQUITY</stp>
        <stp>BEST_TARGET_PRICE</stp>
        <stp>[upload (2).xlsm]Model Portfolio!R64C8</stp>
        <tr r="H64" s="98"/>
      </tp>
      <tp>
        <v>2.0561259411362083</v>
        <stp/>
        <stp>##V3_BDPV12</stp>
        <stp>XS0783934325 Corp</stp>
        <stp>MTY_YEARS_TDY</stp>
        <stp>[upload (2).xlsm]Base all $ 3 Duration!R47C3</stp>
        <tr r="C47" s="66"/>
      </tp>
      <tp>
        <v>-1.8234086242299794</v>
        <stp/>
        <stp>##V3_BDPV12</stp>
        <stp>XS0855334289 Corp</stp>
        <stp>MTY_YEARS_TDY</stp>
        <stp>[upload (2).xlsm]Base all $ 3 Duration!R50C3</stp>
        <tr r="C50" s="66"/>
      </tp>
      <tp>
        <v>-0.3942505133470226</v>
        <stp/>
        <stp>##V3_BDPV12</stp>
        <stp>XS0652913558 Corp</stp>
        <stp>MTY_YEARS_TDY</stp>
        <stp>[upload (2).xlsm]Base all $ 3 Duration!R60C3</stp>
        <tr r="C60" s="66"/>
      </tp>
      <tp>
        <v>135.50164794921875</v>
        <stp/>
        <stp>##V3_BDPV12</stp>
        <stp>GAZP RX EQUITY</stp>
        <stp>BEST_TARGET_PRICE</stp>
        <stp>[upload (2).xlsm]Model Portfolio!R12C8</stp>
        <tr r="H12" s="98"/>
      </tp>
      <tp>
        <v>2.1656399726214923</v>
        <stp/>
        <stp>##V3_BDPV12</stp>
        <stp>XS0461926569 Corp</stp>
        <stp>MTY_YEARS_TDY</stp>
        <stp>[upload (2).xlsm]Base all $ 3 Duration!R53C3</stp>
        <tr r="C53" s="66"/>
      </tp>
      <tp>
        <v>3.7000000476837158</v>
        <stp/>
        <stp>##V3_BDPV12</stp>
        <stp>LSRG LI EQUITY</stp>
        <stp>BEST_TARGET_PRICE</stp>
        <stp>[upload (2).xlsm]Model Portfolio!R69C8</stp>
        <tr r="H69" s="98"/>
      </tp>
      <tp>
        <v>2.2532511978097194</v>
        <stp/>
        <stp>##V3_BDPV12</stp>
        <stp>XS0940730228 Corp</stp>
        <stp>MTY_YEARS_TDY</stp>
        <stp>[upload (2).xlsm]Base all $ 3 Duration!R25C3</stp>
        <tr r="C25" s="66"/>
      </tp>
      <tp>
        <v>5</v>
        <stp/>
        <stp>##V3_BDPV12</stp>
        <stp>ETLN LI EQUITY</stp>
        <stp>BEST_TARGET_PRICE</stp>
        <stp>[upload (2).xlsm]Model Portfolio!R70C8</stp>
        <tr r="H70" s="98"/>
      </tp>
      <tp>
        <v>2.0561259411362083</v>
        <stp/>
        <stp>##V3_BDPV12</stp>
        <stp>XS0832412505 Corp</stp>
        <stp>MTY_YEARS_TDY</stp>
        <stp>[upload (2).xlsm]Base all $ 3 Duration!R30C3</stp>
        <tr r="C30" s="66"/>
      </tp>
      <tp>
        <v>-1.4017796030116358</v>
        <stp/>
        <stp>##V3_BDPV12</stp>
        <stp>XS0616784509 Corp</stp>
        <stp>MTY_YEARS_TDY</stp>
        <stp>[upload (2).xlsm]Base all $ 3 Duration!R24C3</stp>
        <tr r="C24" s="66"/>
      </tp>
      <tp t="s">
        <v>BBB-</v>
        <stp/>
        <stp>##V3_BDPV12</stp>
        <stp>XS0588433267 Corp</stp>
        <stp>RTG_SP</stp>
        <stp>[upload (2).xlsm]Base all $ 3 Duration!R146C10</stp>
        <tr r="J146" s="66"/>
        <tr r="J146" s="66"/>
      </tp>
      <tp>
        <v>0.53486001124693094</v>
        <stp/>
        <stp>##V3_BDPV12</stp>
        <stp>TRNFP RX EQUITY</stp>
        <stp>PX_TO_BOOK_RATIO</stp>
        <stp>[upload (2).xlsm]Model Portfolio!R20C18</stp>
        <tr r="R20" s="98"/>
      </tp>
      <tp>
        <v>103.09</v>
        <stp/>
        <stp>##V3_BDPV12</stp>
        <stp>XS1032750165 Corp</stp>
        <stp>px_ask</stp>
        <stp>[upload (2).xlsm]Base all $ 3 Duration!R132C5</stp>
        <tr r="E132" s="66"/>
      </tp>
      <tp t="s">
        <v>RU</v>
        <stp/>
        <stp>##V3_BDPV12</stp>
        <stp>XS0920335030 Corp</stp>
        <stp>CNTRY_OF_RISK</stp>
        <stp>[upload (2).xlsm]Base all $ 3 Duration!R101C13</stp>
        <tr r="M101" s="66"/>
      </tp>
      <tp t="s">
        <v>RU</v>
        <stp/>
        <stp>##V3_BDPV12</stp>
        <stp>XS0800817073 Corp</stp>
        <stp>CNTRY_OF_RISK</stp>
        <stp>[upload (2).xlsm]Base all $ 3 Duration!R142C13</stp>
        <tr r="M142" s="66"/>
      </tp>
      <tp>
        <v>111.90900000000001</v>
        <stp/>
        <stp>##V3_BDPV12</stp>
        <stp>XS0810596832 Corp</stp>
        <stp>px_ask</stp>
        <stp>[upload (2).xlsm]Base all $ 3 Duration!R121C5</stp>
        <tr r="E121" s="66"/>
      </tp>
      <tp t="s">
        <v>BB+</v>
        <stp/>
        <stp>##V3_BDPV12</stp>
        <stp>XS0993162683 Corp</stp>
        <stp>RTG_SP</stp>
        <stp>[upload (2).xlsm]Base all $ 3 Duration!R139C10</stp>
        <tr r="J139" s="66"/>
        <tr r="J139" s="66"/>
      </tp>
      <tp t="s">
        <v>#N/A N/A</v>
        <stp/>
        <stp>##V3_BDPV12</stp>
        <stp>RTKMP RX EQUITY</stp>
        <stp>PCT_REVENUE_FROM_FOREIGN_SOURCES</stp>
        <stp>[upload (2).xlsm]Model Portfolio!R63C30</stp>
        <tr r="AD63" s="98"/>
      </tp>
      <tp t="s">
        <v>BB+</v>
        <stp/>
        <stp>##V3_BDPV12</stp>
        <stp>XS0885733153 Corp</stp>
        <stp>RTG_SP</stp>
        <stp>[upload (2).xlsm]Base all $ 3 Duration!R115C10</stp>
        <tr r="J115" s="66"/>
        <tr r="J115" s="66"/>
      </tp>
      <tp t="s">
        <v>NR</v>
        <stp/>
        <stp>##V3_BDPV12</stp>
        <stp>US91701RAA95 Corp</stp>
        <stp>RTG_SP</stp>
        <stp>[upload (2).xlsm]Base all $ 3 Duration!R26C10</stp>
        <tr r="J26" s="66"/>
        <tr r="J26" s="66"/>
      </tp>
      <tp t="s">
        <v>#N/A N/A</v>
        <stp/>
        <stp>##V3_BDPV12</stp>
        <stp>NMTP RX EQUITY</stp>
        <stp>BDVD_PROJ_12M_YLD</stp>
        <stp>[upload (2).xlsm]Model Portfolio!R49C27</stp>
        <tr r="AA49" s="98"/>
      </tp>
      <tp>
        <v>7.2094713885138644</v>
        <stp/>
        <stp>##V3_BDPV12</stp>
        <stp>GMKN RX EQUITY</stp>
        <stp>BDVD_PROJ_12M_YLD</stp>
        <stp>[upload (2).xlsm]Model Portfolio!R29C27</stp>
        <tr r="AA29" s="98"/>
      </tp>
      <tp t="s">
        <v>#N/A N/A</v>
        <stp/>
        <stp>##V3_BDPV12</stp>
        <stp>KMAZ RX EQUITY</stp>
        <stp>BDVD_PROJ_12M_YLD</stp>
        <stp>[upload (2).xlsm]Model Portfolio!R73C27</stp>
        <tr r="AA73" s="98"/>
      </tp>
    </main>
    <main first="bloomberg.rtd">
      <tp>
        <v>0</v>
        <stp/>
        <stp>##V3_BDPV12</stp>
        <stp>FIVE LI EQUITY</stp>
        <stp>PCT_REVENUE_FROM_FOREIGN_SOURCES</stp>
        <stp>[upload (2).xlsm]Model Portfolio!R36C30</stp>
        <tr r="AD36" s="98"/>
      </tp>
      <tp t="s">
        <v>NR</v>
        <stp/>
        <stp>##V3_BDPV12</stp>
        <stp>XS0996297544 Corp</stp>
        <stp>RTG_moody</stp>
        <stp>[upload (2).xlsm]Base all $ 3 Duration!R9C10</stp>
        <tr r="J9" s="66"/>
        <tr r="J9" s="66"/>
      </tp>
      <tp t="s">
        <v>#N/A N/A</v>
        <stp/>
        <stp>##V3_BDPV12</stp>
        <stp>KMG LI EQUITY</stp>
        <stp>EQY_FREE_FLOAT_PCT</stp>
        <stp>[upload (2).xlsm]Model Portfolio!R9C11</stp>
        <tr r="K9" s="98"/>
      </tp>
      <tp>
        <v>0</v>
        <stp/>
        <stp>##V3_BDPV12</stp>
        <stp>FEES RX EQUITY</stp>
        <stp>PCT_REVENUE_FROM_FOREIGN_SOURCES</stp>
        <stp>[upload (2).xlsm]Model Portfolio!R56C30</stp>
        <tr r="AD56" s="98"/>
      </tp>
      <tp t="s">
        <v>#N/A N/A</v>
        <stp/>
        <stp>##V3_BDPV12</stp>
        <stp>FESH RX EQUITY</stp>
        <stp>PCT_REVENUE_FROM_FOREIGN_SOURCES</stp>
        <stp>[upload (2).xlsm]Model Portfolio!R45C30</stp>
        <tr r="AD45" s="98"/>
      </tp>
      <tp t="s">
        <v>#N/A N/A</v>
        <stp/>
        <stp>##V3_BDPV12</stp>
        <stp>FXPO LN EQUITY</stp>
        <stp>PCT_REVENUE_FROM_FOREIGN_SOURCES</stp>
        <stp>[upload (2).xlsm]Model Portfolio!R27C30</stp>
        <tr r="AD27" s="98"/>
      </tp>
      <tp>
        <v>7.9999998211860657E-2</v>
        <stp/>
        <stp>##V3_BDPV12</stp>
        <stp>MSRS RX EQUITY</stp>
        <stp>BEST_TARGET_PRICE</stp>
        <stp>[upload (2).xlsm]Model Portfolio!R59C8</stp>
        <tr r="H59" s="98"/>
      </tp>
      <tp t="s">
        <v>07/09/2017</v>
        <stp/>
        <stp>##V3_BDPV12</stp>
        <stp>POLY RX Equity</stp>
        <stp>DVD_EX_DT</stp>
        <stp>[Copy of upload (2).xlsm]Гарез_GRENF (2)!R9C21</stp>
        <tr r="U9" s="116"/>
      </tp>
      <tp>
        <v>32.494597097869715</v>
        <stp/>
        <stp>##V3_BDPV12</stp>
        <stp>SBERP RX EQUITY</stp>
        <stp>TRAIL_12M_PROF_MARGIN</stp>
        <stp>[upload (2).xlsm]Model Portfolio!R76C25</stp>
        <tr r="Y76" s="98"/>
      </tp>
    </main>
    <main first="bloomberg.rtd">
      <tp t="s">
        <v>#N/A Field Not Applicable</v>
        <stp/>
        <stp>##V3_BDPV12</stp>
        <stp>XS0973219495 Corp</stp>
        <stp>MTY_YEARS_TDY</stp>
        <stp>[upload (2).xlsm]Base all $ 3 Duration!R11C3</stp>
        <tr r="C11" s="66"/>
      </tp>
      <tp>
        <v>0.26830937713894593</v>
        <stp/>
        <stp>##V3_BDPV12</stp>
        <stp>XS0863583281 Corp</stp>
        <stp>MTY_YEARS_TDY</stp>
        <stp>[upload (2).xlsm]Base all $ 3 Duration!R67C3</stp>
        <tr r="C67" s="66"/>
      </tp>
      <tp>
        <v>0.4654346338124572</v>
        <stp/>
        <stp>##V3_BDPV12</stp>
        <stp>XS0592794597 Corp</stp>
        <stp>MTY_YEARS_TDY</stp>
        <stp>[upload (2).xlsm]Base all $ 3 Duration!R61C3</stp>
        <tr r="C61" s="66"/>
      </tp>
      <tp>
        <v>2.1683778234086244</v>
        <stp/>
        <stp>##V3_BDPV12</stp>
        <stp>XS0851672435 Corp</stp>
        <stp>MTY_YEARS_TDY</stp>
        <stp>[upload (2).xlsm]Base all $ 3 Duration!R23C3</stp>
        <tr r="C23" s="66"/>
      </tp>
      <tp>
        <v>0.91991786447638602</v>
        <stp/>
        <stp>##V3_BDPV12</stp>
        <stp>XS0381439305 Corp</stp>
        <stp>MTY_YEARS_TDY</stp>
        <stp>[upload (2).xlsm]Base all $ 3 Duration!R64C3</stp>
        <tr r="C64" s="66"/>
      </tp>
      <tp>
        <v>0.75017111567419581</v>
        <stp/>
        <stp>##V3_BDPV12</stp>
        <stp>XS0808636913 Corp</stp>
        <stp>MTY_YEARS_TDY</stp>
        <stp>[upload (2).xlsm]Base all $ 3 Duration!R17C3</stp>
        <tr r="C17" s="66"/>
      </tp>
      <tp>
        <v>0.72826830937713893</v>
        <stp/>
        <stp>##V3_BDPV12</stp>
        <stp>XS0366630902 Corp</stp>
        <stp>MTY_YEARS_TDY</stp>
        <stp>[upload (2).xlsm]Base all $ 3 Duration!R49C3</stp>
        <tr r="C49" s="66"/>
      </tp>
      <tp t="s">
        <v>RU</v>
        <stp/>
        <stp>##V3_BDPV12</stp>
        <stp>XS0808638612 Corp</stp>
        <stp>CNTRY_OF_RISK</stp>
        <stp>[upload (2).xlsm]Base all $ 3 Duration!R105C13</stp>
        <tr r="M105" s="66"/>
      </tp>
      <tp t="s">
        <v>B+</v>
        <stp/>
        <stp>##V3_BDPV12</stp>
        <stp>XS0808638612 Corp</stp>
        <stp>RTG_SP</stp>
        <stp>[upload (2).xlsm]Base all $ 3 Duration!R105C10</stp>
        <tr r="J105" s="66"/>
        <tr r="J105" s="66"/>
      </tp>
      <tp t="s">
        <v>RU</v>
        <stp/>
        <stp>##V3_BDPV12</stp>
        <stp>XS0842078536 Corp</stp>
        <stp>CNTRY_OF_RISK</stp>
        <stp>[upload (2).xlsm]Base all $ 3 Duration!R127C13</stp>
        <tr r="M127" s="66"/>
      </tp>
      <tp>
        <v>107.86883333333334</v>
        <stp/>
        <stp>##V3_BDPV12</stp>
        <stp>XS1042215480 Corp</stp>
        <stp>PX_GROSS_MID</stp>
        <stp>[upload (2).xlsm]Base all $ 3 Duration!R122C19</stp>
        <tr r="S122" s="66"/>
      </tp>
      <tp>
        <v>97</v>
        <stp/>
        <stp>##V3_BDPV12</stp>
        <stp>XS1042215480 Corp</stp>
        <stp>px_ask</stp>
        <stp>[upload (2).xlsm]Base all $ 3 Duration!R120C5</stp>
        <tr r="E120" s="66"/>
      </tp>
      <tp>
        <v>115.17986666666668</v>
        <stp/>
        <stp>##V3_BDPV12</stp>
        <stp>XS0304274599 Corp</stp>
        <stp>PX_GROSS_MID</stp>
        <stp>[upload (2).xlsm]Base all $ 3 Duration!R153C19</stp>
        <tr r="S153" s="66"/>
      </tp>
      <tp>
        <v>103.303</v>
        <stp/>
        <stp>##V3_BDPV12</stp>
        <stp>XS0848137708 Corp</stp>
        <stp>px_ask</stp>
        <stp>[upload (2).xlsm]Base all $ 3 Duration!R122C5</stp>
        <tr r="E122" s="66"/>
      </tp>
      <tp>
        <v>108.65600000000001</v>
        <stp/>
        <stp>##V3_BDPV12</stp>
        <stp>XS0524610812 Corp</stp>
        <stp>px_ask</stp>
        <stp>[upload (2).xlsm]Base all $ 3 Duration!R107C5</stp>
        <tr r="E107" s="66"/>
      </tp>
      <tp t="s">
        <v>B+</v>
        <stp/>
        <stp>##V3_BDPV12</stp>
        <stp>XS0911599701 Corp</stp>
        <stp>RTG_SP</stp>
        <stp>[upload (2).xlsm]Base all $ 3 Duration!R104C10</stp>
        <tr r="J104" s="66"/>
        <tr r="J104" s="66"/>
      </tp>
      <tp t="s">
        <v>RU</v>
        <stp/>
        <stp>##V3_BDPV12</stp>
        <stp>XS0632887997 Corp</stp>
        <stp>CNTRY_OF_RISK</stp>
        <stp>[upload (2).xlsm]Base all $ 3 Duration!R125C13</stp>
        <tr r="M125" s="66"/>
      </tp>
      <tp>
        <v>104.801</v>
        <stp/>
        <stp>##V3_BDPV12</stp>
        <stp>XS0975320879 Corp</stp>
        <stp>px_ask</stp>
        <stp>[upload (2).xlsm]Base all $ 3 Duration!R123C5</stp>
        <tr r="E123" s="66"/>
      </tp>
      <tp>
        <v>114.44</v>
        <stp/>
        <stp>##V3_BDPV12</stp>
        <stp>XS0979891925 Corp</stp>
        <stp>px_ask</stp>
        <stp>[upload (2).xlsm]Base all $ 3 Duration!R124C5</stp>
        <tr r="E124" s="66"/>
      </tp>
      <tp t="s">
        <v>#N/A N/A</v>
        <stp/>
        <stp>##V3_BDPV12</stp>
        <stp>QIWI US EQUITY</stp>
        <stp>BDVD_PROJ_12M_YLD</stp>
        <stp>[upload (2).xlsm]Model Portfolio!R40C27</stp>
        <tr r="AA40" s="98"/>
      </tp>
      <tp>
        <v>2.1390374331550799</v>
        <stp/>
        <stp>##V3_BDPV12</stp>
        <stp>SNGS RX EQUITY</stp>
        <stp>BDVD_PROJ_12M_YLD</stp>
        <stp>[upload (2).xlsm]Model Portfolio!R10C27</stp>
        <tr r="AA10" s="98"/>
      </tp>
      <tp t="s">
        <v>#N/A N/A</v>
        <stp/>
        <stp>##V3_BDPV12</stp>
        <stp>ENRU RM EQUITY</stp>
        <stp>BDVD_PROJ_12M_YLD</stp>
        <stp>[upload (2).xlsm]Model Portfolio!R53C27</stp>
        <tr r="AA53" s="98"/>
      </tp>
      <tp t="s">
        <v>#N/A N/A</v>
        <stp/>
        <stp>##V3_BDPV12</stp>
        <stp>XS0275728557 Corp</stp>
        <stp>YLD_YTM_ask</stp>
        <stp>[upload (2).xlsm]Base all $ 3 Duration!R8C7</stp>
        <tr r="G8" s="66"/>
      </tp>
      <tp t="s">
        <v>#N/A N/A</v>
        <stp/>
        <stp>##V3_BDPV12</stp>
        <stp>EPAM US EQUITY</stp>
        <stp>PCT_REVENUE_FROM_FOREIGN_SOURCES</stp>
        <stp>[upload (2).xlsm]Model Portfolio!R42C30</stp>
        <tr r="AD42" s="98"/>
      </tp>
      <tp t="s">
        <v>WR</v>
        <stp/>
        <stp>##V3_BDPV12</stp>
        <stp>XS0275728557 Corp</stp>
        <stp>RTG_moody</stp>
        <stp>[upload (2).xlsm]Base all $ 3 Duration!R8C10</stp>
        <tr r="J8" s="66"/>
        <tr r="J8" s="66"/>
      </tp>
      <tp t="s">
        <v>#N/A N/A</v>
        <stp/>
        <stp>##V3_BDPV12</stp>
        <stp>ETLN LI EQUITY</stp>
        <stp>PCT_REVENUE_FROM_FOREIGN_SOURCES</stp>
        <stp>[upload (2).xlsm]Model Portfolio!R70C30</stp>
        <tr r="AD70" s="98"/>
      </tp>
      <tp>
        <v>4.2049387506352094</v>
        <stp/>
        <stp>##V3_BDPV12</stp>
        <stp>CHMF RX EQUITY</stp>
        <stp>PX_TO_BOOK_RATIO</stp>
        <stp>[upload (2).xlsm]Model Portfolio!R25C18</stp>
        <tr r="R25" s="98"/>
      </tp>
      <tp>
        <v>0</v>
        <stp/>
        <stp>##V3_BDPV12</stp>
        <stp>ENRU RM EQUITY</stp>
        <stp>PCT_REVENUE_FROM_FOREIGN_SOURCES</stp>
        <stp>[upload (2).xlsm]Model Portfolio!R53C30</stp>
        <tr r="AD53" s="98"/>
      </tp>
      <tp>
        <v>46.757939999999998</v>
        <stp/>
        <stp>##V3_BDPV12</stp>
        <stp>HGM LN EQUITY</stp>
        <stp>EQY_FREE_FLOAT_PCT</stp>
        <stp>[upload (2).xlsm]Model Portfolio!R4C11</stp>
        <tr r="K4" s="98"/>
      </tp>
      <tp>
        <v>92.411766052246094</v>
        <stp/>
        <stp>##V3_BDPV12</stp>
        <stp>EPAM US EQUITY</stp>
        <stp>BEST_TARGET_PRICE</stp>
        <stp>[upload (2).xlsm]Model Portfolio!R42C8</stp>
        <tr r="H42" s="98"/>
      </tp>
      <tp>
        <v>10.5</v>
        <stp/>
        <stp>##V3_BDPV12</stp>
        <stp>NCSP LI EQUITY</stp>
        <stp>BEST_TARGET_PRICE</stp>
        <stp>[upload (2).xlsm]Model Portfolio!R49C8</stp>
        <tr r="H49" s="98"/>
      </tp>
      <tp t="s">
        <v>01/06/2017</v>
        <stp/>
        <stp>##V3_BDPV12</stp>
        <stp>KMG LI Equity</stp>
        <stp>DVD_EX_DT</stp>
        <stp>[Copy of upload (2).xlsm]Гарез_GRENF (2)!R5C21</stp>
        <tr r="U5" s="116"/>
      </tp>
    </main>
    <main first="bloomberg.rtd">
      <tp>
        <v>-0.39151266255989048</v>
        <stp/>
        <stp>##V3_BDPV12</stp>
        <stp>XS0775984213 Corp</stp>
        <stp>MTY_YEARS_TDY</stp>
        <stp>[upload (2).xlsm]Base all $ 3 Duration!R42C3</stp>
        <tr r="C42" s="66"/>
      </tp>
      <tp>
        <v>-1.7960301163586585</v>
        <stp/>
        <stp>##V3_BDPV12</stp>
        <stp>XS0562354182 Corp</stp>
        <stp>MTY_YEARS_TDY</stp>
        <stp>[upload (2).xlsm]Base all $ 3 Duration!R96C3</stp>
        <tr r="C96" s="66"/>
      </tp>
      <tp>
        <v>0.45722108145106094</v>
        <stp/>
        <stp>##V3_BDPV12</stp>
        <stp>XS0808632847 Corp</stp>
        <stp>MTY_YEARS_TDY</stp>
        <stp>[upload (2).xlsm]Base all $ 3 Duration!R65C3</stp>
        <tr r="C65" s="66"/>
      </tp>
      <tp>
        <v>-0.81314168377823404</v>
        <stp/>
        <stp>##V3_BDPV12</stp>
        <stp>XS0276456315 Corp</stp>
        <stp>MTY_YEARS_TDY</stp>
        <stp>[upload (2).xlsm]Base all $ 3 Duration!R90C3</stp>
        <tr r="C90" s="66"/>
      </tp>
      <tp t="s">
        <v>RU</v>
        <stp/>
        <stp>##V3_BDPV12</stp>
        <stp>XS0885733153 Corp</stp>
        <stp>CNTRY_OF_RISK</stp>
        <stp>[upload (2).xlsm]Base all $ 3 Duration!R115C13</stp>
        <tr r="M115" s="66"/>
      </tp>
      <tp>
        <v>117.355</v>
        <stp/>
        <stp>##V3_BDPV12</stp>
        <stp>XS0979891925 Corp</stp>
        <stp>PX_GROSS_MID</stp>
        <stp>[upload (2).xlsm]Base all $ 3 Duration!R126C19</stp>
        <tr r="S126" s="66"/>
      </tp>
      <tp t="s">
        <v>RU</v>
        <stp/>
        <stp>##V3_BDPV12</stp>
        <stp>XS0982861287 Corp</stp>
        <stp>CNTRY_OF_RISK</stp>
        <stp>[upload (2).xlsm]Base all $ 3 Duration!R113C13</stp>
        <tr r="M113" s="66"/>
      </tp>
      <tp>
        <v>108.14099999999999</v>
        <stp/>
        <stp>##V3_BDPV12</stp>
        <stp>XS0918297382 Corp</stp>
        <stp>PX_GROSS_MID</stp>
        <stp>[upload (2).xlsm]Base all $ 3 Duration!R109C19</stp>
        <tr r="S109" s="66"/>
      </tp>
      <tp t="s">
        <v>BB</v>
        <stp/>
        <stp>##V3_BDPV12</stp>
        <stp>XS0889401724 Corp</stp>
        <stp>RTG_SP</stp>
        <stp>[upload (2).xlsm]Base all $ 3 Duration!R130C10</stp>
        <tr r="J130" s="66"/>
        <tr r="J130" s="66"/>
      </tp>
      <tp t="s">
        <v>RU</v>
        <stp/>
        <stp>##V3_BDPV12</stp>
        <stp>XS0935311240 Corp</stp>
        <stp>CNTRY_OF_RISK</stp>
        <stp>[upload (2).xlsm]Base all $ 3 Duration!R131C13</stp>
        <tr r="M131" s="66"/>
      </tp>
      <tp>
        <v>112.93</v>
        <stp/>
        <stp>##V3_BDPV12</stp>
        <stp>XS0559915961 Corp</stp>
        <stp>px_ask</stp>
        <stp>[upload (2).xlsm]Base all $ 3 Duration!R135C5</stp>
        <tr r="E135" s="66"/>
      </tp>
      <tp t="s">
        <v>BBB-</v>
        <stp/>
        <stp>##V3_BDPV12</stp>
        <stp>XS0982861287 Corp</stp>
        <stp>RTG_SP</stp>
        <stp>[upload (2).xlsm]Base all $ 3 Duration!R113C10</stp>
        <tr r="J113" s="66"/>
        <tr r="J113" s="66"/>
      </tp>
      <tp t="s">
        <v>BB</v>
        <stp/>
        <stp>##V3_BDPV12</stp>
        <stp>XS0587031096 Corp</stp>
        <stp>RTG_SP</stp>
        <stp>[upload (2).xlsm]Base all $ 3 Duration!R134C10</stp>
        <tr r="J134" s="66"/>
        <tr r="J134" s="66"/>
      </tp>
      <tp t="s">
        <v>BB+</v>
        <stp/>
        <stp>##V3_BDPV12</stp>
        <stp>XS0290580595 Corp</stp>
        <stp>RTG_SP</stp>
        <stp>[upload (2).xlsm]Base all $ 3 Duration!R152C10</stp>
        <tr r="J152" s="66"/>
        <tr r="J152" s="66"/>
      </tp>
      <tp>
        <v>3.9155287392823119</v>
        <stp/>
        <stp>##V3_BDPV12</stp>
        <stp>ROSN RX EQUITY</stp>
        <stp>BDVD_PROJ_12M_YLD</stp>
        <stp>[upload (2).xlsm]Model Portfolio!R17C27</stp>
        <tr r="AA17" s="98"/>
      </tp>
      <tp>
        <v>6.70306067657061</v>
        <stp/>
        <stp>##V3_BDPV12</stp>
        <stp>MOEX RX EQUITY</stp>
        <stp>BDVD_PROJ_12M_YLD</stp>
        <stp>[upload (2).xlsm]Model Portfolio!R74C27</stp>
        <tr r="AA74" s="98"/>
      </tp>
      <tp>
        <v>0.38488318243173164</v>
        <stp/>
        <stp>##V3_BDPV12</stp>
        <stp>BSPB RX EQUITY</stp>
        <stp>PX_TO_BOOK_RATIO</stp>
        <stp>[upload (2).xlsm]Model Portfolio!R77C18</stp>
        <tr r="R77" s="98"/>
      </tp>
      <tp t="s">
        <v>#N/A N/A</v>
        <stp/>
        <stp>##V3_BDPV12</stp>
        <stp>DIXY RX EQUITY</stp>
        <stp>PCT_REVENUE_FROM_FOREIGN_SOURCES</stp>
        <stp>[upload (2).xlsm]Model Portfolio!R34C30</stp>
        <tr r="AD34" s="98"/>
      </tp>
      <tp t="s">
        <v>#N/A N/A</v>
        <stp/>
        <stp>##V3_BDPV12</stp>
        <stp>XS0493579238 Corp</stp>
        <stp>RTG_moody</stp>
        <stp>[upload (2).xlsm]Base all $ 3 Duration!R7C10</stp>
        <tr r="J7" s="66"/>
      </tp>
      <tp>
        <v>1.1679000975942566</v>
        <stp/>
        <stp>##V3_BDPV12</stp>
        <stp>BANE RX EQUITY</stp>
        <stp>PX_TO_BOOK_RATIO</stp>
        <stp>[upload (2).xlsm]Model Portfolio!R18C18</stp>
        <tr r="R18" s="98"/>
      </tp>
      <tp>
        <v>2.3399999141693115</v>
        <stp/>
        <stp>##V3_BDPV12</stp>
        <stp>OKEY LI EQUITY</stp>
        <stp>BEST_TARGET_PRICE</stp>
        <stp>[upload (2).xlsm]Model Portfolio!R39C8</stp>
        <tr r="H39" s="98"/>
      </tp>
      <tp>
        <v>12.034736370172679</v>
        <stp/>
        <stp>##V3_BDPV12</stp>
        <stp>SNGSP RX EQUITY</stp>
        <stp>TRAIL_12M_PROF_MARGIN</stp>
        <stp>[upload (2).xlsm]Model Portfolio!R11C25</stp>
        <tr r="Y11" s="98"/>
      </tp>
      <tp>
        <v>212.80099487304687</v>
        <stp/>
        <stp>##V3_BDPV12</stp>
        <stp>AFLT RX EQUITY</stp>
        <stp>BEST_TARGET_PRICE</stp>
        <stp>[upload (2).xlsm]Model Portfolio!R47C8</stp>
        <tr r="H47" s="98"/>
      </tp>
      <tp>
        <v>0.3942505133470226</v>
        <stp/>
        <stp>##V3_BDPV12</stp>
        <stp>XS0585211591 Corp</stp>
        <stp>MTY_YEARS_TDY</stp>
        <stp>[upload (2).xlsm]Base all $ 3 Duration!R34C3</stp>
        <tr r="C34" s="66"/>
      </tp>
      <tp>
        <v>0.51745379876796715</v>
        <stp/>
        <stp>##V3_BDPV12</stp>
        <stp>XS0324963932 Corp</stp>
        <stp>MTY_YEARS_TDY</stp>
        <stp>[upload (2).xlsm]Base all $ 3 Duration!R59C3</stp>
        <tr r="C59" s="66"/>
      </tp>
      <tp>
        <v>1.998631074606434</v>
        <stp/>
        <stp>##V3_BDPV12</stp>
        <stp>XS1040726587 Corp</stp>
        <stp>MTY_YEARS_TDY</stp>
        <stp>[upload (2).xlsm]Base all $ 3 Duration!R41C3</stp>
        <tr r="C41" s="66"/>
      </tp>
      <tp>
        <v>1.2966666221618652</v>
        <stp/>
        <stp>##V3_BDPV12</stp>
        <stp>ENRU RM EQUITY</stp>
        <stp>BEST_TARGET_PRICE</stp>
        <stp>[upload (2).xlsm]Model Portfolio!R53C8</stp>
        <tr r="H53" s="98"/>
      </tp>
      <tp>
        <v>-1.1882272416153319</v>
        <stp/>
        <stp>##V3_BDPV12</stp>
        <stp>XS0524658852 Corp</stp>
        <stp>MTY_YEARS_TDY</stp>
        <stp>[upload (2).xlsm]Base all $ 3 Duration!R68C3</stp>
        <tr r="C68" s="66"/>
      </tp>
      <tp>
        <v>0.6078028747433265</v>
        <stp/>
        <stp>##V3_BDPV12</stp>
        <stp>XS0923110232 Corp</stp>
        <stp>MTY_YEARS_TDY</stp>
        <stp>[upload (2).xlsm]Base all $ 3 Duration!R35C3</stp>
        <tr r="C35" s="66"/>
      </tp>
      <tp>
        <v>1.106091718001369</v>
        <stp/>
        <stp>##V3_BDPV12</stp>
        <stp>XS0848163456 Corp</stp>
        <stp>MTY_YEARS_TDY</stp>
        <stp>[upload (2).xlsm]Base all $ 3 Duration!R18C3</stp>
        <tr r="C18" s="66"/>
      </tp>
      <tp>
        <v>0.40793976728268311</v>
        <stp/>
        <stp>##V3_BDPV12</stp>
        <stp>XS0879105558 Corp</stp>
        <stp>MTY_YEARS_TDY</stp>
        <stp>[upload (2).xlsm]Base all $ 3 Duration!R38C3</stp>
        <tr r="C38" s="66"/>
      </tp>
      <tp>
        <v>910.27764892578125</v>
        <stp/>
        <stp>##V3_BDPV12</stp>
        <stp>CHMF RX EQUITY</stp>
        <stp>BEST_TARGET_PRICE</stp>
        <stp>[upload (2).xlsm]Model Portfolio!R25C8</stp>
        <tr r="H25" s="98"/>
      </tp>
      <tp>
        <v>111.256</v>
        <stp/>
        <stp>##V3_BDPV12</stp>
        <stp>XS0588433267 Corp</stp>
        <stp>px_ask</stp>
        <stp>[upload (2).xlsm]Base all $ 3 Duration!R146C5</stp>
        <tr r="E146" s="66"/>
      </tp>
      <tp t="s">
        <v>RU</v>
        <stp/>
        <stp>##V3_BDPV12</stp>
        <stp>XS0290580595 Corp</stp>
        <stp>CNTRY_OF_RISK</stp>
        <stp>[upload (2).xlsm]Base all $ 3 Duration!R152C13</stp>
        <tr r="M152" s="66"/>
      </tp>
      <tp>
        <v>-10.638297872340424</v>
        <stp/>
        <stp>##V3_BDPV12</stp>
        <stp>NORD LI EQUITY</stp>
        <stp>EPS_GROWTH</stp>
        <stp>[upload (2).xlsm]Model Portfolio!R3C22</stp>
        <tr r="V3" s="98"/>
      </tp>
      <tp t="s">
        <v>BB+</v>
        <stp/>
        <stp>##V3_BDPV12</stp>
        <stp>XS0885736925 Corp</stp>
        <stp>RTG_SP</stp>
        <stp>[upload (2).xlsm]Base all $ 3 Duration!R140C10</stp>
        <tr r="J140" s="66"/>
        <tr r="J140" s="66"/>
      </tp>
      <tp t="s">
        <v>SNAT</v>
        <stp/>
        <stp>##V3_BDPV12</stp>
        <stp>XS0972645112 Corp</stp>
        <stp>CNTRY_OF_RISK</stp>
        <stp>[upload (2).xlsm]Base all $ 3 Duration!R116C13</stp>
        <tr r="M116" s="66"/>
      </tp>
      <tp>
        <v>104.57599999999999</v>
        <stp/>
        <stp>##V3_BDPV12</stp>
        <stp>XS0921331509 Corp</stp>
        <stp>px_ask</stp>
        <stp>[upload (2).xlsm]Base all $ 3 Duration!R144C5</stp>
        <tr r="E144" s="66"/>
      </tp>
      <tp t="s">
        <v>RU</v>
        <stp/>
        <stp>##V3_BDPV12</stp>
        <stp>XS0555493203 Corp</stp>
        <stp>CNTRY_OF_RISK</stp>
        <stp>[upload (2).xlsm]Base all $ 3 Duration!R109C13</stp>
        <tr r="M109" s="66"/>
      </tp>
      <tp t="s">
        <v>RU</v>
        <stp/>
        <stp>##V3_BDPV12</stp>
        <stp>XS0548633659 Corp</stp>
        <stp>CNTRY_OF_RISK</stp>
        <stp>[upload (2).xlsm]Base all $ 3 Duration!R111C13</stp>
        <tr r="M111" s="66"/>
      </tp>
      <tp t="s">
        <v>RU</v>
        <stp/>
        <stp>##V3_BDPV12</stp>
        <stp>XS0841671000 Corp</stp>
        <stp>CNTRY_OF_RISK</stp>
        <stp>[upload (2).xlsm]Base all $ 3 Duration!R141C13</stp>
        <tr r="M141" s="66"/>
      </tp>
      <tp t="s">
        <v>RU</v>
        <stp/>
        <stp>##V3_BDPV12</stp>
        <stp>XS0918604496 Corp</stp>
        <stp>CNTRY_OF_RISK</stp>
        <stp>[upload (2).xlsm]Base all $ 3 Duration!R103C13</stp>
        <tr r="M103" s="66"/>
      </tp>
      <tp>
        <v>78.84615384615384</v>
        <stp/>
        <stp>##V3_BDPV12</stp>
        <stp>POLY LN EQUITY</stp>
        <stp>EPS_GROWTH</stp>
        <stp>[upload (2).xlsm]Model Portfolio!R6C22</stp>
        <tr r="V6" s="98"/>
      </tp>
      <tp t="s">
        <v>#N/A N/A</v>
        <stp/>
        <stp>##V3_BDPV12</stp>
        <stp>MOEX RX EQUITY</stp>
        <stp>CURRENT_EV_TO_12M_SALES</stp>
        <stp>[upload (2).xlsm]Model Portfolio!R74C17</stp>
        <tr r="Q74" s="98"/>
      </tp>
      <tp>
        <v>10.903867403314917</v>
        <stp/>
        <stp>##V3_BDPV12</stp>
        <stp>CHMF RX EQUITY</stp>
        <stp>BDVD_PROJ_12M_YLD</stp>
        <stp>[upload (2).xlsm]Model Portfolio!R25C27</stp>
        <tr r="AA25" s="98"/>
      </tp>
      <tp>
        <v>6.4558629776021084</v>
        <stp/>
        <stp>##V3_BDPV12</stp>
        <stp>PHOR RX EQUITY</stp>
        <stp>BDVD_PROJ_12M_YLD</stp>
        <stp>[upload (2).xlsm]Model Portfolio!R32C27</stp>
        <tr r="AA32" s="98"/>
      </tp>
      <tp>
        <v>7.2407530966466549</v>
        <stp/>
        <stp>##V3_BDPV12</stp>
        <stp>YNDX US EQUITY</stp>
        <stp>CURRENT_EV_TO_12M_SALES</stp>
        <stp>[upload (2).xlsm]Model Portfolio!R43C17</stp>
        <tr r="Q43" s="98"/>
      </tp>
    </main>
    <main first="bloomberg.rtd">
      <tp t="s">
        <v>Luxoft Holding Inc</v>
        <stp/>
        <stp>##V3_BDPV12</stp>
        <stp>LXFT US EQUITY</stp>
        <stp>SECURITY_NAME</stp>
        <stp>[Copy of upload (2).xlsm]Гарез_GRENF (2)!R36C4</stp>
        <tr r="D36" s="116"/>
      </tp>
      <tp t="s">
        <v>USD</v>
        <stp/>
        <stp>##V3_BDPV12</stp>
        <stp>KMG LI EQUITY</stp>
        <stp>CRNCY</stp>
        <stp>[Copy of upload (2).xlsm]Гарез_GRENF (2)!R39C7</stp>
        <tr r="G39" s="116"/>
      </tp>
      <tp t="s">
        <v>Gazprom PJSC</v>
        <stp/>
        <stp>##V3_BDPV12</stp>
        <stp>OGZD LI EQUITY</stp>
        <stp>SECURITY_NAME</stp>
        <stp>[Copy of upload (2).xlsm]Гарез_GRENF (2)!R45C4</stp>
        <tr r="D45" s="116"/>
      </tp>
      <tp>
        <v>4.8464029982998325</v>
        <stp/>
        <stp>##V3_BDPV12</stp>
        <stp>EPAM US EQUITY</stp>
        <stp>PX_TO_BOOK_RATIO</stp>
        <stp>[upload (2).xlsm]Model Portfolio!R42C18</stp>
        <tr r="R42" s="98"/>
      </tp>
      <tp t="s">
        <v>WD</v>
        <stp/>
        <stp>##V3_BDPV12</stp>
        <stp>XS0493579238 Corp</stp>
        <stp>RTG_fitch</stp>
        <stp>[upload (2).xlsm]Base all $ 3 Duration!R7C10</stp>
        <tr r="J7" s="66"/>
        <tr r="J7" s="66"/>
      </tp>
      <tp>
        <v>32.259213103079937</v>
        <stp/>
        <stp>##V3_BDPV12</stp>
        <stp>CHMF RX EQUITY</stp>
        <stp>PCT_REVENUE_FROM_FOREIGN_SOURCES</stp>
        <stp>[upload (2).xlsm]Model Portfolio!R25C30</stp>
        <tr r="AD25" s="98"/>
      </tp>
      <tp>
        <v>1.1664589756552053</v>
        <stp/>
        <stp>##V3_BDPV12</stp>
        <stp>ETLN LI EQUITY</stp>
        <stp>PX_TO_BOOK_RATIO</stp>
        <stp>[upload (2).xlsm]Model Portfolio!R70C18</stp>
        <tr r="R70" s="98"/>
      </tp>
      <tp>
        <v>1.1126893423970048</v>
        <stp/>
        <stp>##V3_BDPV12</stp>
        <stp>ENRU RM EQUITY</stp>
        <stp>PX_TO_BOOK_RATIO</stp>
        <stp>[upload (2).xlsm]Model Portfolio!R53C18</stp>
        <tr r="R53" s="98"/>
      </tp>
      <tp>
        <v>5.3000001907348633</v>
        <stp/>
        <stp>##V3_BDPV12</stp>
        <stp>GLPR LI EQUITY</stp>
        <stp>BEST_TARGET_PRICE</stp>
        <stp>[upload (2).xlsm]Model Portfolio!R46C8</stp>
        <tr r="H46" s="98"/>
      </tp>
      <tp>
        <v>211.81817626953125</v>
        <stp/>
        <stp>##V3_BDPV12</stp>
        <stp>FXPO LN EQUITY</stp>
        <stp>BEST_TARGET_PRICE</stp>
        <stp>[upload (2).xlsm]Model Portfolio!R27C8</stp>
        <tr r="H27" s="98"/>
      </tp>
      <tp>
        <v>-0.33127994524298426</v>
        <stp/>
        <stp>##V3_BDPV12</stp>
        <stp>XS0783291221 Corp</stp>
        <stp>MTY_YEARS_TDY</stp>
        <stp>[upload (2).xlsm]Base all $ 3 Duration!R72C3</stp>
        <tr r="C72" s="66"/>
      </tp>
      <tp>
        <v>0.64887063655030797</v>
        <stp/>
        <stp>##V3_BDPV12</stp>
        <stp>XS0922134712 Corp</stp>
        <stp>MTY_YEARS_TDY</stp>
        <stp>[upload (2).xlsm]Base all $ 3 Duration!R76C3</stp>
        <tr r="C76" s="66"/>
      </tp>
      <tp t="s">
        <v>RU</v>
        <stp/>
        <stp>##V3_BDPV12</stp>
        <stp>XS0885736925 Corp</stp>
        <stp>CNTRY_OF_RISK</stp>
        <stp>[upload (2).xlsm]Base all $ 3 Duration!R140C13</stp>
        <tr r="M140" s="66"/>
      </tp>
      <tp>
        <v>111.73899999999999</v>
        <stp/>
        <stp>##V3_BDPV12</stp>
        <stp>XS0290580595 Corp</stp>
        <stp>PX_GROSS_MID</stp>
        <stp>[upload (2).xlsm]Base all $ 3 Duration!R154C19</stp>
        <tr r="S154" s="66"/>
      </tp>
      <tp t="s">
        <v>RU</v>
        <stp/>
        <stp>##V3_BDPV12</stp>
        <stp>XS0743596040 Corp</stp>
        <stp>CNTRY_OF_RISK</stp>
        <stp>[upload (2).xlsm]Base all $ 3 Duration!R155C13</stp>
        <tr r="M155" s="66"/>
      </tp>
      <tp t="s">
        <v>GB</v>
        <stp/>
        <stp>##V3_BDPV12</stp>
        <stp>XS0922301717 Corp</stp>
        <stp>CNTRY_OF_RISK</stp>
        <stp>[upload (2).xlsm]Base all $ 3 Duration!R108C13</stp>
        <tr r="M108" s="66"/>
      </tp>
      <tp>
        <v>105.9</v>
        <stp/>
        <stp>##V3_BDPV12</stp>
        <stp>XS0922301717 Corp</stp>
        <stp>px_ask</stp>
        <stp>[upload (2).xlsm]Base all $ 3 Duration!R108C5</stp>
        <tr r="E108" s="66"/>
      </tp>
      <tp t="s">
        <v>NL</v>
        <stp/>
        <stp>##V3_BDPV12</stp>
        <stp>XS0643183220 Corp</stp>
        <stp>CNTRY_OF_RISK</stp>
        <stp>[upload (2).xlsm]Base all $ 3 Duration!R133C13</stp>
        <tr r="M133" s="66"/>
      </tp>
      <tp>
        <v>113.37</v>
        <stp/>
        <stp>##V3_BDPV12</stp>
        <stp>XS0555493203 Corp</stp>
        <stp>px_ask</stp>
        <stp>[upload (2).xlsm]Base all $ 3 Duration!R109C5</stp>
        <tr r="E109" s="66"/>
      </tp>
      <tp t="s">
        <v>#N/A N/A</v>
        <stp/>
        <stp>##V3_BDPV12</stp>
        <stp>DIXY RX EQUITY</stp>
        <stp>BDVD_PROJ_12M_YLD</stp>
        <stp>[upload (2).xlsm]Model Portfolio!R34C27</stp>
        <tr r="AA34" s="98"/>
      </tp>
      <tp>
        <v>0.22013170969347889</v>
        <stp/>
        <stp>##V3_BDPV12</stp>
        <stp>DIXY RX EQUITY</stp>
        <stp>CURRENT_EV_TO_12M_SALES</stp>
        <stp>[upload (2).xlsm]Model Portfolio!R34C17</stp>
        <tr r="Q34" s="98"/>
      </tp>
      <tp>
        <v>181590.328125</v>
        <stp/>
        <stp>##V3_BDPV12</stp>
        <stp>TRNFP RX EQUITY</stp>
        <stp>BEST_TARGET_PRICE</stp>
        <stp>[upload (2).xlsm]Model Portfolio!R20C8</stp>
        <tr r="H20" s="98"/>
      </tp>
      <tp>
        <v>0.37723289115843589</v>
        <stp/>
        <stp>##V3_BDPV12</stp>
        <stp>OKEY LI EQUITY</stp>
        <stp>CURRENT_EV_TO_12M_SALES</stp>
        <stp>[upload (2).xlsm]Model Portfolio!R39C17</stp>
        <tr r="Q39" s="98"/>
      </tp>
      <tp>
        <v>0.968302</v>
        <stp/>
        <stp>##V3_BDPV12</stp>
        <stp>ALRS RX EQUITY</stp>
        <stp>EQY_BETA_6M</stp>
        <stp>[upload (2).xlsm]Model Portfolio!R5C14</stp>
        <tr r="N5" s="98"/>
      </tp>
      <tp t="s">
        <v>#N/A N/A</v>
        <stp/>
        <stp>##V3_BDPV12</stp>
        <stp>YNDX US EQUITY</stp>
        <stp>BDVD_PROJ_12M_YLD</stp>
        <stp>[upload (2).xlsm]Model Portfolio!R43C27</stp>
        <tr r="AA43" s="98"/>
      </tp>
      <tp t="s">
        <v>#N/A N/A</v>
        <stp/>
        <stp>##V3_BDPV12</stp>
        <stp>PIKK RX EQUITY</stp>
        <stp>BDVD_PROJ_12M_YLD</stp>
        <stp>[upload (2).xlsm]Model Portfolio!R68C27</stp>
        <tr r="AA68" s="98"/>
      </tp>
      <tp>
        <v>4.9463806970509383</v>
        <stp/>
        <stp>##V3_BDPV12</stp>
        <stp>SIBN RX EQUITY</stp>
        <stp>BDVD_PROJ_12M_YLD</stp>
        <stp>[upload (2).xlsm]Model Portfolio!R15C27</stp>
        <tr r="AA15" s="98"/>
      </tp>
      <tp t="s">
        <v>#N/A N/A</v>
        <stp/>
        <stp>##V3_BDPV12</stp>
        <stp>XS0275728557 Corp</stp>
        <stp>RTG_fitch</stp>
        <stp>[upload (2).xlsm]Base all $ 3 Duration!R8C10</stp>
        <tr r="J8" s="66"/>
      </tp>
      <tp t="s">
        <v>#N/A N/A</v>
        <stp/>
        <stp>##V3_BDPV12</stp>
        <stp>BSPB RX EQUITY</stp>
        <stp>PCT_REVENUE_FROM_FOREIGN_SOURCES</stp>
        <stp>[upload (2).xlsm]Model Portfolio!R77C30</stp>
        <tr r="AD77" s="98"/>
      </tp>
      <tp>
        <v>1.3769944651308059</v>
        <stp/>
        <stp>##V3_BDPV12</stp>
        <stp>DIXY RX EQUITY</stp>
        <stp>PX_TO_BOOK_RATIO</stp>
        <stp>[upload (2).xlsm]Model Portfolio!R34C18</stp>
        <tr r="R34" s="98"/>
      </tp>
      <tp>
        <v>3.1282364090454524</v>
        <stp/>
        <stp>##V3_BDPV12</stp>
        <stp>POG LN EQUITY</stp>
        <stp>NET_DEBT_TO_EBITDA</stp>
        <stp>[upload (2).xlsm]Model Portfolio!R7C20</stp>
        <tr r="T7" s="98"/>
      </tp>
      <tp>
        <v>53.654695464745281</v>
        <stp/>
        <stp>##V3_BDPV12</stp>
        <stp>BANE RX EQUITY</stp>
        <stp>PCT_REVENUE_FROM_FOREIGN_SOURCES</stp>
        <stp>[upload (2).xlsm]Model Portfolio!R18C30</stp>
        <tr r="AD18" s="98"/>
      </tp>
      <tp>
        <v>44.51031494140625</v>
        <stp/>
        <stp>##V3_BDPV12</stp>
        <stp>FIVE LI EQUITY</stp>
        <stp>BEST_TARGET_PRICE</stp>
        <stp>[upload (2).xlsm]Model Portfolio!R36C8</stp>
        <tr r="H36" s="98"/>
      </tp>
      <tp>
        <v>2.4673994963731225</v>
        <stp/>
        <stp>##V3_BDPV12</stp>
        <stp>EVR LN EQUITY</stp>
        <stp>BDVD_PROJ_12M_YLD</stp>
        <stp>[upload (2).xlsm]Model Portfolio!R26C27</stp>
        <tr r="AA26" s="98"/>
      </tp>
      <tp>
        <v>15.5</v>
        <stp/>
        <stp>##V3_BDPV12</stp>
        <stp>AGRO LI EQUITY</stp>
        <stp>BEST_TARGET_PRICE</stp>
        <stp>[upload (2).xlsm]Model Portfolio!R71C8</stp>
        <tr r="H71" s="98"/>
      </tp>
      <tp>
        <v>1.0659999847412109</v>
        <stp/>
        <stp>##V3_BDPV12</stp>
        <stp>HYDR RX EQUITY</stp>
        <stp>BEST_TARGET_PRICE</stp>
        <stp>[upload (2).xlsm]Model Portfolio!R58C8</stp>
        <tr r="H58" s="98"/>
      </tp>
      <tp>
        <v>0.16333334147930145</v>
        <stp/>
        <stp>##V3_BDPV12</stp>
        <stp>FEES RX EQUITY</stp>
        <stp>BEST_TARGET_PRICE</stp>
        <stp>[upload (2).xlsm]Model Portfolio!R56C8</stp>
        <tr r="H56" s="98"/>
      </tp>
      <tp>
        <v>-0.52840520191649554</v>
        <stp/>
        <stp>##V3_BDPV12</stp>
        <stp>XS0861980372 Corp</stp>
        <stp>MTY_YEARS_TDY</stp>
        <stp>[upload (2).xlsm]Base all $ 3 Duration!R80C3</stp>
        <tr r="C80" s="66"/>
      </tp>
      <tp>
        <v>-1.1526351813826146</v>
        <stp/>
        <stp>##V3_BDPV12</stp>
        <stp>XS0650962185 Corp</stp>
        <stp>MTY_YEARS_TDY</stp>
        <stp>[upload (2).xlsm]Base all $ 3 Duration!R83C3</stp>
        <tr r="C83" s="66"/>
      </tp>
      <tp>
        <v>1.4976043805612593</v>
        <stp/>
        <stp>##V3_BDPV12</stp>
        <stp>XS1043519567 Corp</stp>
        <stp>MTY_YEARS_TDY</stp>
        <stp>[upload (2).xlsm]Base all $ 3 Duration!R74C3</stp>
        <tr r="C74" s="66"/>
      </tp>
      <tp>
        <v>-1.2292950034223136</v>
        <stp/>
        <stp>##V3_BDPV12</stp>
        <stp>XS0640334768 Corp</stp>
        <stp>MTY_YEARS_TDY</stp>
        <stp>[upload (2).xlsm]Base all $ 3 Duration!R15C3</stp>
        <tr r="C15" s="66"/>
      </tp>
      <tp>
        <v>1.0294318959616702</v>
        <stp/>
        <stp>##V3_BDPV12</stp>
        <stp>XS0974469206 Corp</stp>
        <stp>MTY_YEARS_TDY</stp>
        <stp>[upload (2).xlsm]Base all $ 3 Duration!R14C3</stp>
        <tr r="C14" s="66"/>
      </tp>
      <tp>
        <v>261.94869995117187</v>
        <stp/>
        <stp>##V3_BDPV12</stp>
        <stp>DIXY RX EQUITY</stp>
        <stp>BEST_TARGET_PRICE</stp>
        <stp>[upload (2).xlsm]Model Portfolio!R34C8</stp>
        <tr r="H34" s="98"/>
      </tp>
      <tp>
        <v>105.553</v>
        <stp/>
        <stp>##V3_BDPV12</stp>
        <stp>XS0911599701 Corp</stp>
        <stp>px_ask</stp>
        <stp>[upload (2).xlsm]Base all $ 3 Duration!R104C5</stp>
        <tr r="E104" s="66"/>
      </tp>
      <tp>
        <v>115.61549999999998</v>
        <stp/>
        <stp>##V3_BDPV12</stp>
        <stp>XS0559915961 Corp</stp>
        <stp>PX_GROSS_MID</stp>
        <stp>[upload (2).xlsm]Base all $ 3 Duration!R137C19</stp>
        <tr r="S137" s="66"/>
      </tp>
      <tp>
        <v>107.786</v>
        <stp/>
        <stp>##V3_BDPV12</stp>
        <stp>XS0993162683 Corp</stp>
        <stp>px_ask</stp>
        <stp>[upload (2).xlsm]Base all $ 3 Duration!R139C5</stp>
        <tr r="E139" s="66"/>
      </tp>
      <tp>
        <v>137.15899999999999</v>
        <stp/>
        <stp>##V3_BDPV12</stp>
        <stp>XS0191754729 Corp</stp>
        <stp>px_ask</stp>
        <stp>[upload (2).xlsm]Base all $ 3 Duration!R128C5</stp>
        <tr r="E128" s="66"/>
      </tp>
      <tp>
        <v>109.432</v>
        <stp/>
        <stp>##V3_BDPV12</stp>
        <stp>XS0554659671 Corp</stp>
        <stp>px_ask</stp>
        <stp>[upload (2).xlsm]Base all $ 3 Duration!R114C5</stp>
        <tr r="E114" s="66"/>
      </tp>
      <tp t="s">
        <v>RU</v>
        <stp/>
        <stp>##V3_BDPV12</stp>
        <stp>XS0191754729 Corp</stp>
        <stp>CNTRY_OF_RISK</stp>
        <stp>[upload (2).xlsm]Base all $ 3 Duration!R128C13</stp>
        <tr r="M128" s="66"/>
      </tp>
      <tp t="s">
        <v>RU</v>
        <stp/>
        <stp>##V3_BDPV12</stp>
        <stp>XS0997544860 Corp</stp>
        <stp>CNTRY_OF_RISK</stp>
        <stp>[upload (2).xlsm]Base all $ 3 Duration!R136C13</stp>
        <tr r="M136" s="66"/>
      </tp>
      <tp>
        <v>104.91183333333333</v>
        <stp/>
        <stp>##V3_BDPV12</stp>
        <stp>XS0918604496 Corp</stp>
        <stp>PX_GROSS_MID</stp>
        <stp>[upload (2).xlsm]Base all $ 3 Duration!R106C19</stp>
        <tr r="S106" s="66"/>
      </tp>
      <tp>
        <v>107.414</v>
        <stp/>
        <stp>##V3_BDPV12</stp>
        <stp>XS0981028177 Corp</stp>
        <stp>px_ask</stp>
        <stp>[upload (2).xlsm]Base all $ 3 Duration!R119C5</stp>
        <tr r="E119" s="66"/>
      </tp>
      <tp t="s">
        <v>BBB-</v>
        <stp/>
        <stp>##V3_BDPV12</stp>
        <stp>XS0554659671 Corp</stp>
        <stp>RTG_SP</stp>
        <stp>[upload (2).xlsm]Base all $ 3 Duration!R114C10</stp>
        <tr r="J114" s="66"/>
        <tr r="J114" s="66"/>
      </tp>
      <tp>
        <v>108.6</v>
        <stp/>
        <stp>##V3_BDPV12</stp>
        <stp>XS0708813810 Corp</stp>
        <stp>px_ask</stp>
        <stp>[upload (2).xlsm]Base all $ 3 Duration!R153C5</stp>
        <tr r="E153" s="66"/>
      </tp>
      <tp t="s">
        <v>RU</v>
        <stp/>
        <stp>##V3_BDPV12</stp>
        <stp>XS0925043100 Corp</stp>
        <stp>CNTRY_OF_RISK</stp>
        <stp>[upload (2).xlsm]Base all $ 3 Duration!R100C13</stp>
        <tr r="M100" s="66"/>
      </tp>
      <tp t="s">
        <v>RU</v>
        <stp/>
        <stp>##V3_BDPV12</stp>
        <stp>XS0484209159 Corp</stp>
        <stp>CNTRY_OF_RISK</stp>
        <stp>[upload (2).xlsm]Base all $ 3 Duration!R112C13</stp>
        <tr r="M112" s="66"/>
      </tp>
      <tp t="s">
        <v>B-</v>
        <stp/>
        <stp>##V3_BDPV12</stp>
        <stp>XS0842078536 Corp</stp>
        <stp>RTG_SP</stp>
        <stp>[upload (2).xlsm]Base all $ 3 Duration!R127C10</stp>
        <tr r="J127" s="66"/>
        <tr r="J127" s="66"/>
      </tp>
      <tp>
        <v>108.97847222222224</v>
        <stp/>
        <stp>##V3_BDPV12</stp>
        <stp>XS0800817073 Corp</stp>
        <stp>PX_GROSS_MID</stp>
        <stp>[upload (2).xlsm]Base all $ 3 Duration!R144C19</stp>
        <tr r="S144" s="66"/>
      </tp>
      <tp t="s">
        <v>RU</v>
        <stp/>
        <stp>##V3_BDPV12</stp>
        <stp>XS0304274599 Corp</stp>
        <stp>CNTRY_OF_RISK</stp>
        <stp>[upload (2).xlsm]Base all $ 3 Duration!R151C13</stp>
        <tr r="M151" s="66"/>
      </tp>
      <tp>
        <v>101.241</v>
        <stp/>
        <stp>##V3_BDPV12</stp>
        <stp>XS0861981180 Corp</stp>
        <stp>px_ask</stp>
        <stp>[upload (2).xlsm]Base all $ 3 Duration!R145C5</stp>
        <tr r="E145" s="66"/>
      </tp>
      <tp t="s">
        <v>#N/A N/A</v>
        <stp/>
        <stp>##V3_BDPV12</stp>
        <stp>ETLN LI EQUITY</stp>
        <stp>BDVD_PROJ_12M_YLD</stp>
        <stp>[upload (2).xlsm]Model Portfolio!R70C27</stp>
        <tr r="AA70" s="98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(2).xlsm]Гарез_GRENF!R100C13</stp>
        <tr r="M100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(2).xlsm]Гарез_GRENF!R100C12</stp>
        <tr r="L100" s="115"/>
      </tp>
      <tp>
        <v>0.41797230419237685</v>
        <stp/>
        <stp>##V3_BDPV12</stp>
        <stp>KMAZ RX EQUITY</stp>
        <stp>CURRENT_EV_TO_12M_SALES</stp>
        <stp>[upload (2).xlsm]Model Portfolio!R73C17</stp>
        <tr r="Q73" s="98"/>
      </tp>
      <tp>
        <v>15.284507436421737</v>
        <stp/>
        <stp>##V3_BDPV12</stp>
        <stp>AGRO LI EQUITY</stp>
        <stp>PCT_REVENUE_FROM_FOREIGN_SOURCES</stp>
        <stp>[upload (2).xlsm]Model Portfolio!R71C30</stp>
        <tr r="AD71" s="98"/>
      </tp>
      <tp t="s">
        <v>RUB</v>
        <stp/>
        <stp>##V3_BDPV12</stp>
        <stp>POLY RX EQUITY</stp>
        <stp>CRNCY</stp>
        <stp>[Copy of upload (2).xlsm]Гарез_GRENF (2)!R28C7</stp>
        <tr r="G28" s="116"/>
      </tp>
    </main>
    <main first="bloomberg.rtd">
      <tp>
        <v>2.8261500128333741</v>
        <stp/>
        <stp>##V3_BDPV12</stp>
        <stp>GLPR LI EQUITY</stp>
        <stp>PX_TO_BOOK_RATIO</stp>
        <stp>[upload (2).xlsm]Model Portfolio!R46C18</stp>
        <tr r="R46" s="98"/>
      </tp>
      <tp>
        <v>2.1909313700648174</v>
        <stp/>
        <stp>##V3_BDPV12</stp>
        <stp>GLTR LI EQUITY</stp>
        <stp>PX_TO_BOOK_RATIO</stp>
        <stp>[upload (2).xlsm]Model Portfolio!R48C18</stp>
        <tr r="R48" s="98"/>
      </tp>
      <tp t="s">
        <v>#N/A N/A</v>
        <stp/>
        <stp>##V3_BDPV12</stp>
        <stp>XS0996297544 Corp</stp>
        <stp>RTG_fitch</stp>
        <stp>[upload (2).xlsm]Base all $ 3 Duration!R9C10</stp>
        <tr r="J9" s="66"/>
      </tp>
      <tp>
        <v>77.194238968654531</v>
        <stp/>
        <stp>##V3_BDPV12</stp>
        <stp>AKRN RX EQUITY</stp>
        <stp>PCT_REVENUE_FROM_FOREIGN_SOURCES</stp>
        <stp>[upload (2).xlsm]Model Portfolio!R33C30</stp>
        <tr r="AD33" s="98"/>
      </tp>
      <tp>
        <v>7.4704413778741277</v>
        <stp/>
        <stp>##V3_BDPV12</stp>
        <stp>GMKN RX EQUITY</stp>
        <stp>PX_TO_BOOK_RATIO</stp>
        <stp>[upload (2).xlsm]Model Portfolio!R29C18</stp>
        <tr r="R29" s="98"/>
      </tp>
      <tp>
        <v>0.23652201603014469</v>
        <stp/>
        <stp>##V3_BDPV12</stp>
        <stp>GAZP RX EQUITY</stp>
        <stp>PX_TO_BOOK_RATIO</stp>
        <stp>[upload (2).xlsm]Model Portfolio!R12C18</stp>
        <tr r="R12" s="98"/>
      </tp>
      <tp>
        <v>66.478381866580619</v>
        <stp/>
        <stp>##V3_BDPV12</stp>
        <stp>AFLT RX EQUITY</stp>
        <stp>PCT_REVENUE_FROM_FOREIGN_SOURCES</stp>
        <stp>[upload (2).xlsm]Model Portfolio!R47C30</stp>
        <tr r="AD47" s="98"/>
      </tp>
      <tp>
        <v>13.320386123074938</v>
        <stp/>
        <stp>##V3_BDPV12</stp>
        <stp>AFKS RX EQUITY</stp>
        <stp>PCT_REVENUE_FROM_FOREIGN_SOURCES</stp>
        <stp>[upload (2).xlsm]Model Portfolio!R64C30</stp>
        <tr r="AD64" s="98"/>
      </tp>
      <tp>
        <v>-0.4791238877481177</v>
        <stp/>
        <stp>##V3_BDPV12</stp>
        <stp>XS0543956717 Corp</stp>
        <stp>MTY_YEARS_TDY</stp>
        <stp>[upload (2).xlsm]Base all $ 3 Duration!R85C3</stp>
        <tr r="C85" s="66"/>
      </tp>
      <tp t="s">
        <v>#N/A N/A</v>
        <stp/>
        <stp>##V3_BDPV12</stp>
        <stp>FESH RX EQUITY</stp>
        <stp>BEST_TARGET_PRICE</stp>
        <stp>[upload (2).xlsm]Model Portfolio!R45C8</stp>
        <tr r="H45" s="98"/>
      </tp>
      <tp>
        <v>-0.38603696098562629</v>
        <stp/>
        <stp>##V3_BDPV12</stp>
        <stp>XS0772835285 Corp</stp>
        <stp>MTY_YEARS_TDY</stp>
        <stp>[upload (2).xlsm]Base all $ 3 Duration!R31C3</stp>
        <tr r="C31" s="66"/>
      </tp>
    </main>
    <main first="bloomberg.rtd">
      <tp>
        <v>-1.8069815195071868</v>
        <stp/>
        <stp>##V3_BDPV12</stp>
        <stp>XS0236336045 Corp</stp>
        <stp>MTY_YEARS_TDY</stp>
        <stp>[upload (2).xlsm]Base all $ 3 Duration!R97C3</stp>
        <tr r="C97" s="66"/>
      </tp>
      <tp>
        <v>1.6098562628336757</v>
        <stp/>
        <stp>##V3_BDPV12</stp>
        <stp>XS0776121062 Corp</stp>
        <stp>MTY_YEARS_TDY</stp>
        <stp>[upload (2).xlsm]Base all $ 3 Duration!R27C3</stp>
        <tr r="C27" s="66"/>
      </tp>
      <tp>
        <v>114.078</v>
        <stp/>
        <stp>##V3_BDPV12</stp>
        <stp>XS0587031096 Corp</stp>
        <stp>px_ask</stp>
        <stp>[upload (2).xlsm]Base all $ 3 Duration!R134C5</stp>
        <tr r="E134" s="66"/>
      </tp>
      <tp t="s">
        <v>RU</v>
        <stp/>
        <stp>##V3_BDPV12</stp>
        <stp>XS0993162683 Corp</stp>
        <stp>CNTRY_OF_RISK</stp>
        <stp>[upload (2).xlsm]Base all $ 3 Duration!R139C13</stp>
        <tr r="M139" s="66"/>
      </tp>
      <tp t="s">
        <v>NL</v>
        <stp/>
        <stp>##V3_BDPV12</stp>
        <stp>XS0889401724 Corp</stp>
        <stp>CNTRY_OF_RISK</stp>
        <stp>[upload (2).xlsm]Base all $ 3 Duration!R130C13</stp>
        <tr r="M130" s="66"/>
      </tp>
      <tp t="s">
        <v>BB+</v>
        <stp/>
        <stp>##V3_BDPV12</stp>
        <stp>XS0997544860 Corp</stp>
        <stp>RTG_SP</stp>
        <stp>[upload (2).xlsm]Base all $ 3 Duration!R136C10</stp>
        <tr r="J136" s="66"/>
        <tr r="J136" s="66"/>
      </tp>
      <tp>
        <v>101.745</v>
        <stp/>
        <stp>##V3_BDPV12</stp>
        <stp>XS0805131439 Corp</stp>
        <stp>px_ask</stp>
        <stp>[upload (2).xlsm]Base all $ 3 Duration!R126C5</stp>
        <tr r="E126" s="66"/>
      </tp>
      <tp>
        <v>109.018</v>
        <stp/>
        <stp>##V3_BDPV12</stp>
        <stp>XS0638572973 Corp</stp>
        <stp>px_ask</stp>
        <stp>[upload (2).xlsm]Base all $ 3 Duration!R156C5</stp>
        <tr r="E156" s="66"/>
      </tp>
      <tp t="s">
        <v>RU</v>
        <stp/>
        <stp>##V3_BDPV12</stp>
        <stp>XS0981028177 Corp</stp>
        <stp>CNTRY_OF_RISK</stp>
        <stp>[upload (2).xlsm]Base all $ 3 Duration!R119C13</stp>
        <tr r="M119" s="66"/>
      </tp>
      <tp>
        <v>17.940797091025711</v>
        <stp/>
        <stp>##V3_BDPV12</stp>
        <stp>TRNFP RX EQUITY</stp>
        <stp>PCT_REVENUE_FROM_FOREIGN_SOURCES</stp>
        <stp>[upload (2).xlsm]Model Portfolio!R20C30</stp>
        <tr r="AD20" s="98"/>
      </tp>
      <tp>
        <v>114.97799999999999</v>
        <stp/>
        <stp>##V3_BDPV12</stp>
        <stp>XS0513723873 Corp</stp>
        <stp>px_ask</stp>
        <stp>[upload (2).xlsm]Base all $ 3 Duration!R110C5</stp>
        <tr r="E110" s="66"/>
      </tp>
      <tp t="s">
        <v>RU</v>
        <stp/>
        <stp>##V3_BDPV12</stp>
        <stp>XS0953323317 Corp</stp>
        <stp>CNTRY_OF_RISK</stp>
        <stp>[upload (2).xlsm]Base all $ 3 Duration!R118C13</stp>
        <tr r="M118" s="66"/>
      </tp>
      <tp>
        <v>103.63200000000001</v>
        <stp/>
        <stp>##V3_BDPV12</stp>
        <stp>XS0864383723 Corp</stp>
        <stp>px_ask</stp>
        <stp>[upload (2).xlsm]Base all $ 3 Duration!R147C5</stp>
        <tr r="E147" s="66"/>
      </tp>
      <tp t="s">
        <v>#N/A Field Not Applicable</v>
        <stp/>
        <stp>##V3_BDPV12</stp>
        <stp>RTKMP RX EQUITY</stp>
        <stp>PX_TO_BOOK_RATIO</stp>
        <stp>[upload (2).xlsm]Model Portfolio!R63C18</stp>
        <tr r="R63" s="98"/>
      </tp>
      <tp t="s">
        <v>BB+</v>
        <stp/>
        <stp>##V3_BDPV12</stp>
        <stp>XS0191754729 Corp</stp>
        <stp>RTG_SP</stp>
        <stp>[upload (2).xlsm]Base all $ 3 Duration!R128C10</stp>
        <tr r="J128" s="66"/>
        <tr r="J128" s="66"/>
      </tp>
      <tp t="s">
        <v>RU</v>
        <stp/>
        <stp>##V3_BDPV12</stp>
        <stp>XS0848530977 Corp</stp>
        <stp>CNTRY_OF_RISK</stp>
        <stp>[upload (2).xlsm]Base all $ 3 Duration!R150C13</stp>
        <tr r="M150" s="66"/>
      </tp>
      <tp>
        <v>103.97799999999999</v>
        <stp/>
        <stp>##V3_BDPV12</stp>
        <stp>XS0223715920 Corp</stp>
        <stp>px_ask</stp>
        <stp>[upload (2).xlsm]Base all $ 3 Duration!R137C5</stp>
        <tr r="E137" s="66"/>
      </tp>
      <tp>
        <v>42.741666666666667</v>
        <stp/>
        <stp>##V3_BDPV12</stp>
        <stp>XS0841677387 Corp</stp>
        <stp>PX_GROSS_MID</stp>
        <stp>[upload (2).xlsm]Base all $ 3 Duration!R102C19</stp>
        <tr r="S102" s="66"/>
      </tp>
      <tp t="s">
        <v>#N/A N/A</v>
        <stp/>
        <stp>##V3_BDPV12</stp>
        <stp>XS0953323317 Corp</stp>
        <stp>px_ask</stp>
        <stp>[upload (2).xlsm]Base all $ 3 Duration!R118C5</stp>
        <tr r="E118" s="66"/>
      </tp>
      <tp>
        <v>106.084</v>
        <stp/>
        <stp>##V3_BDPV12</stp>
        <stp>XS0918297382 Corp</stp>
        <stp>px_ask</stp>
        <stp>[upload (2).xlsm]Base all $ 3 Duration!R106C5</stp>
        <tr r="E106" s="66"/>
      </tp>
      <tp>
        <v>8.4417381677276495</v>
        <stp/>
        <stp>##V3_BDPV12</stp>
        <stp>AKRN RX EQUITY</stp>
        <stp>BDVD_PROJ_12M_YLD</stp>
        <stp>[upload (2).xlsm]Model Portfolio!R33C27</stp>
        <tr r="AA33" s="98"/>
      </tp>
      <tp>
        <v>7.0337965345685376</v>
        <stp/>
        <stp>##V3_BDPV12</stp>
        <stp>LKOH RX EQUITY</stp>
        <stp>BDVD_PROJ_12M_YLD</stp>
        <stp>[upload (2).xlsm]Model Portfolio!R13C27</stp>
        <tr r="AA13" s="98"/>
      </tp>
      <tp>
        <v>12.059999465942383</v>
        <stp/>
        <stp>##V3_BDPV12</stp>
        <stp>KMG LI Equity</stp>
        <stp>BEST_TARGET_PRICE</stp>
        <stp>[Copy of upload (2).xlsm]Гарез_GRENF!R5C8</stp>
        <tr r="H5" s="115"/>
      </tp>
      <tp>
        <v>12.233157</v>
        <stp/>
        <stp>##V3_BDPV12</stp>
        <stp>XS0996297544 Corp</stp>
        <stp>YLD_YTM_ask</stp>
        <stp>[upload (2).xlsm]Base all $ 3 Duration!R9C7</stp>
        <tr r="G9" s="66"/>
      </tp>
      <tp t="s">
        <v>Ros Agro PLC</v>
        <stp/>
        <stp>##V3_BDPV12</stp>
        <stp>AGRO LI EQUITY</stp>
        <stp>SECURITY_NAME</stp>
        <stp>[Copy of upload (2).xlsm]Гарез_GRENF (2)!R48C4</stp>
        <tr r="D48" s="116"/>
      </tp>
      <tp t="s">
        <v>#N/A N/A</v>
        <stp/>
        <stp>##V3_BDPV12</stp>
        <stp>XS0850393264 Corp</stp>
        <stp>RTG_fitch</stp>
        <stp>[upload (2).xlsm]Base all $ 3 Duration!R4C10</stp>
        <tr r="J4" s="66"/>
      </tp>
      <tp>
        <v>4.5237536587893166</v>
        <stp/>
        <stp>##V3_BDPV12</stp>
        <stp>FIVE LI EQUITY</stp>
        <stp>PX_TO_BOOK_RATIO</stp>
        <stp>[upload (2).xlsm]Model Portfolio!R36C18</stp>
        <tr r="R36" s="98"/>
      </tp>
    </main>
    <main first="bloomberg.rtd">
      <tp t="s">
        <v>RUSAL</v>
        <stp/>
        <stp>##V3_BDPV12</stp>
        <stp>486 HK EQUITY</stp>
        <stp>SHORT_NAME</stp>
        <stp>[upload (2).xlsm]Model Portfolio!R30C2</stp>
        <tr r="B30" s="98"/>
      </tp>
      <tp>
        <v>4.5147092607685035</v>
        <stp/>
        <stp>##V3_BDPV12</stp>
        <stp>FXPO LN EQUITY</stp>
        <stp>PX_TO_BOOK_RATIO</stp>
        <stp>[upload (2).xlsm]Model Portfolio!R27C18</stp>
        <tr r="R27" s="98"/>
      </tp>
      <tp>
        <v>0.29900187995487831</v>
        <stp/>
        <stp>##V3_BDPV12</stp>
        <stp>FEES RX EQUITY</stp>
        <stp>PX_TO_BOOK_RATIO</stp>
        <stp>[upload (2).xlsm]Model Portfolio!R56C18</stp>
        <tr r="R56" s="98"/>
      </tp>
      <tp t="s">
        <v>#N/A N/A</v>
        <stp/>
        <stp>##V3_BDPV12</stp>
        <stp>FESH RX EQUITY</stp>
        <stp>PX_TO_BOOK_RATIO</stp>
        <stp>[upload (2).xlsm]Model Portfolio!R45C18</stp>
        <tr r="R45" s="98"/>
      </tp>
      <tp t="s">
        <v>10/08/2017</v>
        <stp/>
        <stp>##V3_BDPV12</stp>
        <stp>VEON US Equity</stp>
        <stp>DVD_EX_DT</stp>
        <stp>[Copy of upload (2).xlsm]Гарез_GRENF (2)!R4C21</stp>
        <tr r="U4" s="116"/>
      </tp>
      <tp>
        <v>0.13689253935660506</v>
        <stp/>
        <stp>##V3_BDPV12</stp>
        <stp>XS0551315384 Corp</stp>
        <stp>MTY_YEARS_TDY</stp>
        <stp>[upload (2).xlsm]Base all $ 3 Duration!R82C3</stp>
        <tr r="C82" s="66"/>
      </tp>
      <tp>
        <v>1.4401095140314852</v>
        <stp/>
        <stp>##V3_BDPV12</stp>
        <stp>XS0889401054 Corp</stp>
        <stp>MTY_YEARS_TDY</stp>
        <stp>[upload (2).xlsm]Base all $ 3 Duration!R39C3</stp>
        <tr r="C39" s="66"/>
      </tp>
    </main>
    <main first="bloomberg.rtd">
      <tp>
        <v>-0.60232717316906226</v>
        <stp/>
        <stp>##V3_BDPV12</stp>
        <stp>XS0742380412 Corp</stp>
        <stp>MTY_YEARS_TDY</stp>
        <stp>[upload (2).xlsm]Base all $ 3 Duration!R86C3</stp>
        <tr r="C86" s="66"/>
      </tp>
      <tp>
        <v>2272.08544921875</v>
        <stp/>
        <stp>##V3_BDPV12</stp>
        <stp>AKRN RX EQUITY</stp>
        <stp>BEST_TARGET_PRICE</stp>
        <stp>[upload (2).xlsm]Model Portfolio!R33C8</stp>
        <tr r="H33" s="98"/>
      </tp>
      <tp>
        <v>-0.49007529089664614</v>
        <stp/>
        <stp>##V3_BDPV12</stp>
        <stp>XS0292530309 Corp</stp>
        <stp>MTY_YEARS_TDY</stp>
        <stp>[upload (2).xlsm]Base all $ 3 Duration!R81C3</stp>
        <tr r="C81" s="66"/>
      </tp>
      <tp>
        <v>0.76386036960985626</v>
        <stp/>
        <stp>##V3_BDPV12</stp>
        <stp>XS0869792928 Corp</stp>
        <stp>MTY_YEARS_TDY</stp>
        <stp>[upload (2).xlsm]Base all $ 3 Duration!R10C3</stp>
        <tr r="C10" s="66"/>
      </tp>
      <tp>
        <v>0.30937713894592744</v>
        <stp/>
        <stp>##V3_BDPV12</stp>
        <stp>XS0796426228 Corp</stp>
        <stp>MTY_YEARS_TDY</stp>
        <stp>[upload (2).xlsm]Base all $ 3 Duration!R54C3</stp>
        <tr r="C54" s="66"/>
      </tp>
      <tp>
        <v>52.8</v>
        <stp/>
        <stp>##V3_BDPV12</stp>
        <stp>KMAZ RX EQUITY</stp>
        <stp>PX_LAST</stp>
        <stp>[upload (2).xlsm]Model Portfolio!R73C3</stp>
        <tr r="C73" s="98"/>
      </tp>
      <tp t="s">
        <v>CALLABLE</v>
        <stp/>
        <stp>##V3_BDPV12</stp>
        <stp>XS0920334900 Corp</stp>
        <stp>MTY_TYP</stp>
        <stp>[upload (2).xlsm]Base all $ 3 Duration!R6C15</stp>
        <tr r="O6" s="66"/>
      </tp>
      <tp>
        <v>23.720641616510029</v>
        <stp/>
        <stp>##V3_BDPV12</stp>
        <stp>SIBN RX EQUITY</stp>
        <stp>EBITDA_MARGIN</stp>
        <stp>[upload (2).xlsm]Model Portfolio!R15C23</stp>
        <tr r="W15" s="98"/>
      </tp>
      <tp>
        <v>7.3032102950614641</v>
        <stp/>
        <stp>##V3_BDPV12</stp>
        <stp>AKRN RX EQUITY</stp>
        <stp>EST_EV_THIS_YR_EBITDA</stp>
        <stp>[upload (2).xlsm]Model Portfolio!R33C16</stp>
        <tr r="P33" s="98"/>
      </tp>
      <tp>
        <v>27.855004277159967</v>
        <stp/>
        <stp>##V3_BDPV12</stp>
        <stp>YNDX US EQUITY</stp>
        <stp>EBITDA_MARGIN</stp>
        <stp>[upload (2).xlsm]Model Portfolio!R43C23</stp>
        <tr r="W43" s="98"/>
      </tp>
      <tp>
        <v>43.341654185388585</v>
        <stp/>
        <stp>##V3_BDPV12</stp>
        <stp>PIKK RX EQUITY</stp>
        <stp>EBITDA_MARGIN</stp>
        <stp>[upload (2).xlsm]Model Portfolio!R68C23</stp>
        <tr r="W68" s="98"/>
      </tp>
      <tp t="s">
        <v>WR</v>
        <stp/>
        <stp>##V3_BDPV12</stp>
        <stp>XS0552679879 Corp</stp>
        <stp>RTG_moody</stp>
        <stp>[upload (2).xlsm]Base all $ 3 Duration!R43C10</stp>
        <tr r="J43" s="66"/>
        <tr r="J43" s="66"/>
      </tp>
      <tp>
        <v>10.775154046270979</v>
        <stp/>
        <stp>##V3_BDPV12</stp>
        <stp>NLMK RX EQUITY</stp>
        <stp>EST_PE_NXT_YR</stp>
        <stp>[upload (2).xlsm]Model Portfolio!R22C15</stp>
        <tr r="O22" s="98"/>
      </tp>
      <tp>
        <v>3.7242950233733865</v>
        <stp/>
        <stp>##V3_BDPV12</stp>
        <stp>LKOH RX EQUITY</stp>
        <stp>EST_EV_THIS_YR_EBITDA</stp>
        <stp>[upload (2).xlsm]Model Portfolio!R13C16</stp>
        <tr r="P13" s="98"/>
      </tp>
      <tp>
        <v>2.3444068603683945</v>
        <stp/>
        <stp>##V3_BDPV12</stp>
        <stp>XS0879105558 Corp</stp>
        <stp>INTERVAL_PERCENT_CHANGE</stp>
        <stp>[upload (2).xlsm]Base all $ 3 Duration!R38C17</stp>
        <stp>END_DATE_OVERRIDE</stp>
        <stp xml:space="preserve"> </stp>
        <stp>START_DATE_OVERRIDe</stp>
        <stp>20140716</stp>
        <tr r="Q38" s="66"/>
      </tp>
    </main>
    <main first="bloomberg.rtd">
      <tp>
        <v>9650</v>
        <stp/>
        <stp>##V3_BDPV12</stp>
        <stp>GMKN RX EQUITY</stp>
        <stp>PX_LAST</stp>
        <stp>[upload (2).xlsm]Model Portfolio!R29C3</stp>
        <tr r="C29" s="98"/>
      </tp>
      <tp t="s">
        <v>#N/A N/A</v>
        <stp/>
        <stp>##V3_BDPV12</stp>
        <stp>OKEY LI EQUITY</stp>
        <stp>BDVD_NEXT_EST_DECL_DT</stp>
        <stp>[upload (2).xlsm]Model Portfolio!R39C31</stp>
        <tr r="AE39" s="98"/>
      </tp>
      <tp t="s">
        <v>Ba2</v>
        <stp/>
        <stp>##V3_BDPV12</stp>
        <stp>XS0889401054 Corp</stp>
        <stp>RTG_moody</stp>
        <stp>[upload (2).xlsm]Base all $ 3 Duration!R39C10</stp>
        <tr r="J39" s="66"/>
        <tr r="J39" s="66"/>
      </tp>
      <tp>
        <v>13.15</v>
        <stp/>
        <stp>##V3_BDPV12</stp>
        <stp>AGRO LI EQUITY</stp>
        <stp>PX_LAST</stp>
        <stp>[upload (2).xlsm]Model Portfolio!R71C3</stp>
        <tr r="C71" s="98"/>
      </tp>
      <tp>
        <v>2.0759193357058123</v>
        <stp/>
        <stp>##V3_BDPV12</stp>
        <stp>XS0848163456 Corp</stp>
        <stp>INTERVAL_PERCENT_CHANGE</stp>
        <stp>[upload (2).xlsm]Base all $ 3 Duration!R18C17</stp>
        <stp>END_DATE_OVERRIDE</stp>
        <stp xml:space="preserve"> </stp>
        <stp>START_DATE_OVERRIDe</stp>
        <stp>20140716</stp>
        <tr r="Q18" s="66"/>
      </tp>
      <tp>
        <v>-8.2958985481420466</v>
        <stp/>
        <stp>##V3_BDPV12</stp>
        <stp>XS0524658852 Corp</stp>
        <stp>INTERVAL_PERCENT_CHANGE</stp>
        <stp>[upload (2).xlsm]Base all $ 3 Duration!R68C17</stp>
        <stp>END_DATE_OVERRIDE</stp>
        <stp xml:space="preserve"> </stp>
        <stp>START_DATE_OVERRIDe</stp>
        <stp>20140716</stp>
        <tr r="Q68" s="66"/>
      </tp>
      <tp>
        <v>6.45</v>
        <stp/>
        <stp>##V3_BDPV12</stp>
        <stp>LNTA LI EQUITY</stp>
        <stp>PX_LAST</stp>
        <stp>[upload (2).xlsm]Model Portfolio!R37C3</stp>
        <tr r="C37" s="98"/>
      </tp>
      <tp>
        <v>-0.34464062844397891</v>
        <stp/>
        <stp>##V3_BDPV12</stp>
        <stp>XS0365923977 Corp</stp>
        <stp>INTERVAL_PERCENT_CHANGE</stp>
        <stp>[upload (2).xlsm]Base all $ 3 Duration!R57C17</stp>
        <stp>END_DATE_OVERRIDE</stp>
        <stp xml:space="preserve"> </stp>
        <stp>START_DATE_OVERRIDe</stp>
        <stp>20140716</stp>
        <tr r="Q57" s="66"/>
      </tp>
      <tp>
        <v>2.7344995542353381</v>
        <stp/>
        <stp>##V3_BDPV12</stp>
        <stp>DIXY RX EQUITY</stp>
        <stp>EBITDA_MARGIN</stp>
        <stp>[upload (2).xlsm]Model Portfolio!R34C23</stp>
        <tr r="W34" s="98"/>
      </tp>
      <tp t="s">
        <v>WR</v>
        <stp/>
        <stp>##V3_BDPV12</stp>
        <stp>XS0650962185 Corp</stp>
        <stp>RTG_moody</stp>
        <stp>[upload (2).xlsm]Base all $ 3 Duration!R83C10</stp>
        <tr r="J83" s="66"/>
        <tr r="J83" s="66"/>
      </tp>
      <tp>
        <v>10.931015636179939</v>
        <stp/>
        <stp>##V3_BDPV12</stp>
        <stp>NORD LI EQUITY</stp>
        <stp>TRAIL_12M_PROF_MARGIN</stp>
        <stp>[upload (2).xlsm]Model Portfolio!R3C25</stp>
        <tr r="Y3" s="98"/>
      </tp>
      <tp t="s">
        <v>N</v>
        <stp/>
        <stp>##V3_BDPV12</stp>
        <stp>XS0236336045 Corp</stp>
        <stp>RUSSIAN_CB_LOMBARD</stp>
        <stp>[upload (2).xlsm]Base all $ 3 Duration!R97C16</stp>
        <tr r="P97" s="66"/>
      </tp>
      <tp t="s">
        <v>N</v>
        <stp/>
        <stp>##V3_BDPV12</stp>
        <stp>XS0426517701 Corp</stp>
        <stp>RUSSIAN_CB_LOMBARD</stp>
        <stp>[upload (2).xlsm]Base all $ 3 Duration!R88C16</stp>
        <tr r="P88" s="66"/>
      </tp>
      <tp>
        <v>3.227213471772771</v>
        <stp/>
        <stp>##V3_BDPV12</stp>
        <stp>MAIL LI EQUITY</stp>
        <stp>NORMALIZED_ROE</stp>
        <stp>[upload (2).xlsm]Model Portfolio!R44C26</stp>
        <tr r="Z44" s="98"/>
      </tp>
      <tp t="s">
        <v>Y</v>
        <stp/>
        <stp>##V3_BDPV12</stp>
        <stp>XS0783242877 Corp</stp>
        <stp>RUSSIAN_CB_LOMBARD</stp>
        <stp>[upload (2).xlsm]Base all $ 3 Duration!R32C16</stp>
        <tr r="P32" s="66"/>
      </tp>
      <tp>
        <v>606627800</v>
        <stp/>
        <stp>##V3_BDPV12</stp>
        <stp>SNGSP RX EQUITY</stp>
        <stp>AVG_DAILY_VALUE_TRADED_6M</stp>
        <stp>[upload (2).xlsm]Model Portfolio!R11C12</stp>
        <tr r="L11" s="98"/>
      </tp>
      <tp>
        <v>80.025999999999996</v>
        <stp/>
        <stp>##V3_BDPV12</stp>
        <stp>XS0920335030 Corp</stp>
        <stp>px_last</stp>
        <stp>[upload (2).xlsm]Base all $ 3 Duration!R101C4</stp>
        <tr r="D101" s="66"/>
      </tp>
      <tp>
        <v>109.73399999999999</v>
        <stp/>
        <stp>##V3_BDPV12</stp>
        <stp>XS0548633659 Corp</stp>
        <stp>px_last</stp>
        <stp>[upload (2).xlsm]Base all $ 3 Duration!R111C4</stp>
        <tr r="D111" s="66"/>
      </tp>
      <tp>
        <v>102.80500000000001</v>
        <stp/>
        <stp>##V3_BDPV12</stp>
        <stp>XS0918604496 Corp</stp>
        <stp>px_last</stp>
        <stp>[upload (2).xlsm]Base all $ 3 Duration!R103C4</stp>
        <tr r="D103" s="66"/>
      </tp>
      <tp>
        <v>-13.475128443049805</v>
        <stp/>
        <stp>##V3_BDPV12</stp>
        <stp>DIXY RX EQUITY</stp>
        <stp>NORMALIZED_ROE</stp>
        <stp>[upload (2).xlsm]Model Portfolio!R34C26</stp>
        <tr r="Z34" s="98"/>
      </tp>
      <tp>
        <v>112.465</v>
        <stp/>
        <stp>##V3_BDPV12</stp>
        <stp>XS0810596832 Corp</stp>
        <stp>px_last</stp>
        <stp>[upload (2).xlsm]Base all $ 3 Duration!R121C4</stp>
        <tr r="D121" s="66"/>
      </tp>
      <tp t="s">
        <v>Transport-Rail</v>
        <stp/>
        <stp>##V3_BDPV12</stp>
        <stp>XS0850393264 Corp</stp>
        <stp>INDUSTRY_SUBGROUP</stp>
        <stp>[upload (2).xlsm]Base all $ 3 Duration!R4C11</stp>
        <tr r="K4" s="66"/>
      </tp>
      <tp t="s">
        <v>#N/A N/A</v>
        <stp/>
        <stp>##V3_BDPV12</stp>
        <stp>NORD LI EQUITY</stp>
        <stp>BDVD_NEXT_EST_DECL_DT</stp>
        <stp>[upload (2).xlsm]Model Portfolio!R3C31</stp>
        <tr r="AE3" s="98"/>
      </tp>
      <tp>
        <v>17.248814144027598</v>
        <stp/>
        <stp>##V3_BDPV12</stp>
        <stp>EVR LN EQUITY</stp>
        <stp>EBITDA_MARGIN</stp>
        <stp>[upload (2).xlsm]Model Portfolio!R26C23</stp>
        <tr r="W26" s="98"/>
      </tp>
      <tp t="s">
        <v>#N/A N/A</v>
        <stp/>
        <stp>##V3_BDPV12</stp>
        <stp>XS0499245180 Corp</stp>
        <stp>PX_GROSS_MID</stp>
        <stp>[upload (2).xlsm]Base all $ 3 Duration!R84C19</stp>
        <tr r="S84" s="66"/>
      </tp>
      <tp>
        <v>102.42375</v>
        <stp/>
        <stp>##V3_BDPV12</stp>
        <stp>XS0559800122 Corp</stp>
        <stp>PX_GROSS_MID</stp>
        <stp>[upload (2).xlsm]Base all $ 3 Duration!R63C19</stp>
        <tr r="S63" s="66"/>
      </tp>
      <tp t="s">
        <v>#N/A N/A</v>
        <stp/>
        <stp>##V3_BDPV12</stp>
        <stp>XS0630950870 Corp</stp>
        <stp>PX_GROSS_MID</stp>
        <stp>[upload (2).xlsm]Base all $ 3 Duration!R75C19</stp>
        <tr r="S75" s="66"/>
      </tp>
      <tp t="s">
        <v>Sr Unsecured</v>
        <stp/>
        <stp>##V3_BDPV12</stp>
        <stp>XS0922883318 Corp</stp>
        <stp>PAYMENT_RANK</stp>
        <stp>[upload (2).xlsm]Base all $ 3 Duration!R56C14</stp>
        <tr r="N56" s="66"/>
      </tp>
      <tp t="s">
        <v>Sr Unsecured</v>
        <stp/>
        <stp>##V3_BDPV12</stp>
        <stp>XS0863583281 Corp</stp>
        <stp>PAYMENT_RANK</stp>
        <stp>[upload (2).xlsm]Base all $ 3 Duration!R67C14</stp>
        <tr r="N67" s="66"/>
      </tp>
      <tp t="s">
        <v>Sr Unsecured</v>
        <stp/>
        <stp>##V3_BDPV12</stp>
        <stp>XS0923110232 Corp</stp>
        <stp>PAYMENT_RANK</stp>
        <stp>[upload (2).xlsm]Base all $ 3 Duration!R35C14</stp>
        <tr r="N35" s="66"/>
      </tp>
      <tp t="s">
        <v>Sr Unsecured</v>
        <stp/>
        <stp>##V3_BDPV12</stp>
        <stp>XS0783291221 Corp</stp>
        <stp>PAYMENT_RANK</stp>
        <stp>[upload (2).xlsm]Base all $ 3 Duration!R72C14</stp>
        <tr r="N72" s="66"/>
      </tp>
      <tp t="s">
        <v>Sr Unsecured</v>
        <stp/>
        <stp>##V3_BDPV12</stp>
        <stp>XS0650962185 Corp</stp>
        <stp>PAYMENT_RANK</stp>
        <stp>[upload (2).xlsm]Base all $ 3 Duration!R83C14</stp>
        <tr r="N83" s="66"/>
      </tp>
      <tp t="s">
        <v>WR</v>
        <stp/>
        <stp>##V3_BDPV12</stp>
        <stp>US91701RAA95 Corp</stp>
        <stp>RTG_moody</stp>
        <stp>[upload (2).xlsm]Base all $ 3 Duration!R26C10</stp>
        <tr r="J26" s="66"/>
        <tr r="J26" s="66"/>
      </tp>
      <tp t="s">
        <v>Subordinated</v>
        <stp/>
        <stp>##V3_BDPV12</stp>
        <stp>XS0808636913 Corp</stp>
        <stp>PAYMENT_RANK</stp>
        <stp>[upload (2).xlsm]Base all $ 3 Duration!R17C14</stp>
        <tr r="N17" s="66"/>
      </tp>
      <tp t="s">
        <v>Sr Unsecured</v>
        <stp/>
        <stp>##V3_BDPV12</stp>
        <stp>XS0292530309 Corp</stp>
        <stp>PAYMENT_RANK</stp>
        <stp>[upload (2).xlsm]Base all $ 3 Duration!R81C14</stp>
        <tr r="N81" s="66"/>
      </tp>
      <tp t="s">
        <v>Sr Unsecured</v>
        <stp/>
        <stp>##V3_BDPV12</stp>
        <stp>XS0426517701 Corp</stp>
        <stp>PAYMENT_RANK</stp>
        <stp>[upload (2).xlsm]Base all $ 3 Duration!R88C14</stp>
        <tr r="N88" s="66"/>
      </tp>
      <tp t="s">
        <v>CALL/SINK</v>
        <stp/>
        <stp>##V3_BDPV12</stp>
        <stp>XS0493579238 Corp</stp>
        <stp>MTY_TYP</stp>
        <stp>[upload (2).xlsm]Base all $ 3 Duration!R7C15</stp>
        <tr r="O7" s="66"/>
      </tp>
      <tp>
        <v>6.5742803487587791</v>
        <stp/>
        <stp>##V3_BDPV12</stp>
        <stp>ETLN LI EQUITY</stp>
        <stp>EST_EV_THIS_YR_EBITDA</stp>
        <stp>[upload (2).xlsm]Model Portfolio!R70C16</stp>
        <tr r="P70" s="98"/>
      </tp>
      <tp t="s">
        <v>10/10/2017</v>
        <stp/>
        <stp>##V3_BDPV12</stp>
        <stp>MAGN RX EQUITY</stp>
        <stp>DVD_RECORD_DT</stp>
        <stp>[upload (2).xlsm]Model Portfolio!R23C28</stp>
        <tr r="AB23" s="98"/>
      </tp>
      <tp>
        <v>32.636586420642928</v>
        <stp/>
        <stp>##V3_BDPV12</stp>
        <stp>CHMF RX EQUITY</stp>
        <stp>EBITDA_MARGIN</stp>
        <stp>[upload (2).xlsm]Model Portfolio!R25C23</stp>
        <tr r="W25" s="98"/>
      </tp>
      <tp t="s">
        <v>21/05/2018</v>
        <stp/>
        <stp>##V3_BDPV12</stp>
        <stp>RTKM RX EQUITY</stp>
        <stp>BDVD_NEXT_EST_DECL_DT</stp>
        <stp>[upload (2).xlsm]Model Portfolio!R66C31</stp>
        <tr r="AE66" s="98"/>
      </tp>
      <tp>
        <v>5.722030448332756</v>
        <stp/>
        <stp>##V3_BDPV12</stp>
        <stp>NMTP RX EQUITY</stp>
        <stp>EST_PE_NXT_YR</stp>
        <stp>[upload (2).xlsm]Model Portfolio!R49C15</stp>
        <tr r="O49" s="98"/>
      </tp>
      <tp>
        <v>31.860720537256743</v>
        <stp/>
        <stp>##V3_BDPV12</stp>
        <stp>PHOR RX EQUITY</stp>
        <stp>EBITDA_MARGIN</stp>
        <stp>[upload (2).xlsm]Model Portfolio!R32C23</stp>
        <tr r="W32" s="98"/>
      </tp>
      <tp>
        <v>0.17344999999999999</v>
        <stp/>
        <stp>##V3_BDPV12</stp>
        <stp>FEES RX EQUITY</stp>
        <stp>PX_LAST</stp>
        <stp>[upload (2).xlsm]Model Portfolio!R56C3</stp>
        <tr r="C56" s="98"/>
      </tp>
      <tp t="s">
        <v>25/05/2018</v>
        <stp/>
        <stp>##V3_BDPV12</stp>
        <stp>MTLR RX EQUITY</stp>
        <stp>BDVD_NEXT_EST_DECL_DT</stp>
        <stp>[upload (2).xlsm]Model Portfolio!R24C31</stp>
        <tr r="AE24" s="98"/>
      </tp>
      <tp>
        <v>519</v>
        <stp/>
        <stp>##V3_BDPV12</stp>
        <stp>SVAV RX EQUITY</stp>
        <stp>PX_LAST</stp>
        <stp>[upload (2).xlsm]Model Portfolio!R72C3</stp>
        <tr r="C72" s="98"/>
      </tp>
      <tp t="s">
        <v>#N/A Field Not Applicable</v>
        <stp/>
        <stp>##V3_BDPV12</stp>
        <stp>BANE RX EQUITY</stp>
        <stp>DVD_RECORD_DT</stp>
        <stp>[upload (2).xlsm]Model Portfolio!R18C28</stp>
        <tr r="AB18" s="98"/>
      </tp>
      <tp t="s">
        <v>B1</v>
        <stp/>
        <stp>##V3_BDPV12</stp>
        <stp>XS0359381331 Corp</stp>
        <stp>RTG_moody</stp>
        <stp>[upload (2).xlsm]Base all $ 3 Duration!R36C10</stp>
        <tr r="J36" s="66"/>
        <tr r="J36" s="66"/>
      </tp>
      <tp t="s">
        <v>18/04/2018</v>
        <stp/>
        <stp>##V3_BDPV12</stp>
        <stp>MTSS RX EQUITY</stp>
        <stp>BDVD_NEXT_EST_DECL_DT</stp>
        <stp>[upload (2).xlsm]Model Portfolio!R67C31</stp>
        <tr r="AE67" s="98"/>
      </tp>
      <tp>
        <v>-0.1299088022770592</v>
        <stp/>
        <stp>##V3_BDPV12</stp>
        <stp>XS0288690539 Corp</stp>
        <stp>INTERVAL_PERCENT_CHANGE</stp>
        <stp>[upload (2).xlsm]Base all $ 3 Duration!R62C17</stp>
        <stp>END_DATE_OVERRIDE</stp>
        <stp xml:space="preserve"> </stp>
        <stp>START_DATE_OVERRIDe</stp>
        <stp>20140716</stp>
        <tr r="Q62" s="66"/>
      </tp>
      <tp>
        <v>-2.6772823721566978</v>
        <stp/>
        <stp>##V3_BDPV12</stp>
        <stp>XS0544362972 Corp</stp>
        <stp>INTERVAL_PERCENT_CHANGE</stp>
        <stp>[upload (2).xlsm]Base all $ 3 Duration!R70C17</stp>
        <stp>END_DATE_OVERRIDE</stp>
        <stp xml:space="preserve"> </stp>
        <stp>START_DATE_OVERRIDe</stp>
        <stp>20140716</stp>
        <tr r="Q70" s="66"/>
      </tp>
      <tp>
        <v>1.8537847104570564</v>
        <stp/>
        <stp>##V3_BDPV12</stp>
        <stp>XS0955232854 Corp</stp>
        <stp>INTERVAL_PERCENT_CHANGE</stp>
        <stp>[upload (2).xlsm]Base all $ 3 Duration!R45C17</stp>
        <stp>END_DATE_OVERRIDE</stp>
        <stp xml:space="preserve"> </stp>
        <stp>START_DATE_OVERRIDe</stp>
        <stp>20140716</stp>
        <tr r="Q45" s="66"/>
      </tp>
      <tp t="s">
        <v>#N/A Field Not Applicable</v>
        <stp/>
        <stp>##V3_BDPV12</stp>
        <stp>RASP RX EQUITY</stp>
        <stp>DVD_RECORD_DT</stp>
        <stp>[upload (2).xlsm]Model Portfolio!R28C28</stp>
        <tr r="AB28" s="98"/>
      </tp>
      <tp>
        <v>1.6251381410556172</v>
        <stp/>
        <stp>##V3_BDPV12</stp>
        <stp>XS0919502434 Corp</stp>
        <stp>INTERVAL_PERCENT_CHANGE</stp>
        <stp>[upload (2).xlsm]Base all $ 3 Duration!R66C17</stp>
        <stp>END_DATE_OVERRIDE</stp>
        <stp xml:space="preserve"> </stp>
        <stp>START_DATE_OVERRIDe</stp>
        <stp>20140716</stp>
        <tr r="Q66" s="66"/>
      </tp>
      <tp t="s">
        <v>Ba1</v>
        <stp/>
        <stp>##V3_BDPV12</stp>
        <stp>XS0922134712 Corp</stp>
        <stp>RTG_moody</stp>
        <stp>[upload (2).xlsm]Base all $ 3 Duration!R76C10</stp>
        <tr r="J76" s="66"/>
        <tr r="J76" s="66"/>
      </tp>
      <tp>
        <v>730.55926513671875</v>
        <stp/>
        <stp>##V3_BDPV12</stp>
        <stp>POLY RX Equity</stp>
        <stp>BEST_TARGET_PRICE</stp>
        <stp>[Copy of upload (2).xlsm]Гарез_GRENF (2)!R9C8</stp>
        <tr r="H9" s="116"/>
      </tp>
      <tp>
        <v>315</v>
        <stp/>
        <stp>##V3_BDPV12</stp>
        <stp>PIKK RX EQUITY</stp>
        <stp>PX_LAST</stp>
        <stp>[upload (2).xlsm]Model Portfolio!R68C3</stp>
        <tr r="C68" s="98"/>
      </tp>
      <tp t="s">
        <v>Ba1</v>
        <stp/>
        <stp>##V3_BDPV12</stp>
        <stp>XS0888245122 Corp</stp>
        <stp>RTG_moody</stp>
        <stp>[upload (2).xlsm]Base all $ 3 Duration!R73C10</stp>
        <tr r="J73" s="66"/>
        <tr r="J73" s="66"/>
      </tp>
      <tp t="s">
        <v>07/07/2017</v>
        <stp/>
        <stp>##V3_BDPV12</stp>
        <stp>TATN RX EQUITY</stp>
        <stp>DVD_RECORD_DT</stp>
        <stp>[upload (2).xlsm]Model Portfolio!R14C28</stp>
        <tr r="AB14" s="98"/>
      </tp>
      <tp>
        <v>10.037594308049972</v>
        <stp/>
        <stp>##V3_BDPV12</stp>
        <stp>GMKN RX EQUITY</stp>
        <stp>EST_PE_NXT_YR</stp>
        <stp>[upload (2).xlsm]Model Portfolio!R29C15</stp>
        <tr r="O29" s="98"/>
      </tp>
      <tp>
        <v>-0.34683150363810039</v>
        <stp/>
        <stp>##V3_BDPV12</stp>
        <stp>XS0779213460 Corp</stp>
        <stp>INTERVAL_PERCENT_CHANGE</stp>
        <stp>[upload (2).xlsm]Base all $ 3 Duration!R33C17</stp>
        <stp>END_DATE_OVERRIDE</stp>
        <stp xml:space="preserve"> </stp>
        <stp>START_DATE_OVERRIDe</stp>
        <stp>20140716</stp>
        <tr r="Q33" s="66"/>
      </tp>
      <tp t="s">
        <v>Ba2</v>
        <stp/>
        <stp>##V3_BDPV12</stp>
        <stp>XS0361041808 Corp</stp>
        <stp>RTG_moody</stp>
        <stp>[upload (2).xlsm]Base all $ 3 Duration!R51C10</stp>
        <tr r="J51" s="66"/>
        <tr r="J51" s="66"/>
      </tp>
      <tp t="s">
        <v>WR</v>
        <stp/>
        <stp>##V3_BDPV12</stp>
        <stp>XS0783291221 Corp</stp>
        <stp>RTG_moody</stp>
        <stp>[upload (2).xlsm]Base all $ 3 Duration!R72C10</stp>
        <tr r="J72" s="66"/>
        <tr r="J72" s="66"/>
      </tp>
      <tp>
        <v>4230</v>
        <stp/>
        <stp>##V3_BDPV12</stp>
        <stp>TRCN RX EQUITY</stp>
        <stp>PX_LAST</stp>
        <stp>[upload (2).xlsm]Model Portfolio!R50C3</stp>
        <tr r="C50" s="98"/>
      </tp>
      <tp>
        <v>2.0706838750562491</v>
        <stp/>
        <stp>##V3_BDPV12</stp>
        <stp>XS0954673934 Corp</stp>
        <stp>INTERVAL_PERCENT_CHANGE</stp>
        <stp>[upload (2).xlsm]Base all $ 3 Duration!R16C17</stp>
        <stp>END_DATE_OVERRIDE</stp>
        <stp xml:space="preserve"> </stp>
        <stp>START_DATE_OVERRIDe</stp>
        <stp>20140716</stp>
        <tr r="Q16" s="66"/>
      </tp>
      <tp>
        <v>-5.9978963413128614</v>
        <stp/>
        <stp>##V3_BDPV12</stp>
        <stp>XS0648402583 Corp</stp>
        <stp>INTERVAL_PERCENT_CHANGE</stp>
        <stp>[upload (2).xlsm]Base all $ 3 Duration!R92C17</stp>
        <stp>END_DATE_OVERRIDE</stp>
        <stp xml:space="preserve"> </stp>
        <stp>START_DATE_OVERRIDe</stp>
        <stp>20140716</stp>
        <tr r="Q92" s="66"/>
      </tp>
      <tp>
        <v>-4.5116389008818176</v>
        <stp/>
        <stp>##V3_BDPV12</stp>
        <stp>XS0424860947 Corp</stp>
        <stp>INTERVAL_PERCENT_CHANGE</stp>
        <stp>[upload (2).xlsm]Base all $ 3 Duration!R46C17</stp>
        <stp>END_DATE_OVERRIDE</stp>
        <stp xml:space="preserve"> </stp>
        <stp>START_DATE_OVERRIDe</stp>
        <stp>20140716</stp>
        <tr r="Q46" s="66"/>
      </tp>
      <tp t="s">
        <v>20/07/2017</v>
        <stp/>
        <stp>##V3_BDPV12</stp>
        <stp>GAZP RX EQUITY</stp>
        <stp>DVD_RECORD_DT</stp>
        <stp>[upload (2).xlsm]Model Portfolio!R12C28</stp>
        <tr r="AB12" s="98"/>
      </tp>
      <tp t="s">
        <v>WR</v>
        <stp/>
        <stp>##V3_BDPV12</stp>
        <stp>XS0772835285 Corp</stp>
        <stp>RTG_moody</stp>
        <stp>[upload (2).xlsm]Base all $ 3 Duration!R31C10</stp>
        <tr r="J31" s="66"/>
        <tr r="J31" s="66"/>
      </tp>
      <tp>
        <v>-5.6436052105242922</v>
        <stp/>
        <stp>##V3_BDPV12</stp>
        <stp>XS0304273948 Corp</stp>
        <stp>INTERVAL_PERCENT_CHANGE</stp>
        <stp>[upload (2).xlsm]Base all $ 3 Duration!R87C17</stp>
        <stp>END_DATE_OVERRIDE</stp>
        <stp xml:space="preserve"> </stp>
        <stp>START_DATE_OVERRIDe</stp>
        <stp>20140716</stp>
        <tr r="Q87" s="66"/>
      </tp>
      <tp>
        <v>-5.2319087429539382</v>
        <stp/>
        <stp>##V3_BDPV12</stp>
        <stp>XS0324963932 Corp</stp>
        <stp>INTERVAL_PERCENT_CHANGE</stp>
        <stp>[upload (2).xlsm]Base all $ 3 Duration!R59C17</stp>
        <stp>END_DATE_OVERRIDE</stp>
        <stp xml:space="preserve"> </stp>
        <stp>START_DATE_OVERRIDe</stp>
        <stp>20140716</stp>
        <tr r="Q59" s="66"/>
      </tp>
      <tp t="s">
        <v>#N/A N/A</v>
        <stp/>
        <stp>##V3_BDPV12</stp>
        <stp>KMAZ RX EQUITY</stp>
        <stp>EST_PE_NXT_YR</stp>
        <stp>[upload (2).xlsm]Model Portfolio!R73C15</stp>
        <tr r="O73" s="98"/>
      </tp>
      <tp t="s">
        <v>Y</v>
        <stp/>
        <stp>##V3_BDPV12</stp>
        <stp>XS0648402583 Corp</stp>
        <stp>RUSSIAN_CB_LOMBARD</stp>
        <stp>[upload (2).xlsm]Base all $ 3 Duration!R92C16</stp>
        <tr r="P92" s="66"/>
      </tp>
      <tp t="s">
        <v>Y</v>
        <stp/>
        <stp>##V3_BDPV12</stp>
        <stp>XS0650962185 Corp</stp>
        <stp>RUSSIAN_CB_LOMBARD</stp>
        <stp>[upload (2).xlsm]Base all $ 3 Duration!R83C16</stp>
        <tr r="P83" s="66"/>
      </tp>
      <tp t="s">
        <v>#N/A Invalid Security</v>
        <stp/>
        <stp>##V3_BDPV12</stp>
        <stp xml:space="preserve"> Corp</stp>
        <stp>PX_GROSS_MID</stp>
        <stp>[upload (2).xlsm]Base all $ 3 Duration!R119C19</stp>
        <tr r="S119" s="66"/>
      </tp>
      <tp t="s">
        <v>#N/A Invalid Security</v>
        <stp/>
        <stp>##V3_BDPV12</stp>
        <stp xml:space="preserve"> Corp</stp>
        <stp>PX_GROSS_MID</stp>
        <stp>[upload (2).xlsm]Base all $ 3 Duration!R120C19</stp>
        <tr r="S120" s="66"/>
      </tp>
      <tp t="s">
        <v>Y</v>
        <stp/>
        <stp>##V3_BDPV12</stp>
        <stp>XS0381439305 Corp</stp>
        <stp>RUSSIAN_CB_LOMBARD</stp>
        <stp>[upload (2).xlsm]Base all $ 3 Duration!R64C16</stp>
        <tr r="P64" s="66"/>
      </tp>
      <tp t="s">
        <v>Y</v>
        <stp/>
        <stp>##V3_BDPV12</stp>
        <stp>XS1040726587 Corp</stp>
        <stp>RUSSIAN_CB_LOMBARD</stp>
        <stp>[upload (2).xlsm]Base all $ 3 Duration!R41C16</stp>
        <tr r="P41" s="66"/>
      </tp>
      <tp t="s">
        <v>Y</v>
        <stp/>
        <stp>##V3_BDPV12</stp>
        <stp>XS0424860947 Corp</stp>
        <stp>RUSSIAN_CB_LOMBARD</stp>
        <stp>[upload (2).xlsm]Base all $ 3 Duration!R46C16</stp>
        <tr r="P46" s="66"/>
      </tp>
      <tp t="s">
        <v>Y</v>
        <stp/>
        <stp>##V3_BDPV12</stp>
        <stp>XS0708813653 Corp</stp>
        <stp>RUSSIAN_CB_LOMBARD</stp>
        <stp>[upload (2).xlsm]Base all $ 3 Duration!R93C16</stp>
        <tr r="P93" s="66"/>
      </tp>
      <tp t="s">
        <v>Y</v>
        <stp/>
        <stp>##V3_BDPV12</stp>
        <stp>XS0585211591 Corp</stp>
        <stp>RUSSIAN_CB_LOMBARD</stp>
        <stp>[upload (2).xlsm]Base all $ 3 Duration!R34C16</stp>
        <tr r="P34" s="66"/>
      </tp>
      <tp>
        <v>6.3720930232558146</v>
        <stp/>
        <stp>##V3_BDPV12</stp>
        <stp>VEON US Equity</stp>
        <stp>EQY_DVD_YLD_EST</stp>
        <stp>[Copy of upload (2).xlsm]Гарез_GRENF (2)!R4C20</stp>
        <tr r="T4" s="116"/>
      </tp>
      <tp>
        <v>12.49130313597551</v>
        <stp/>
        <stp>##V3_BDPV12</stp>
        <stp>TRNFP RX EQUITY</stp>
        <stp>NORMALIZED_ROE</stp>
        <stp>[upload (2).xlsm]Model Portfolio!R20C26</stp>
        <tr r="Z20" s="98"/>
      </tp>
      <tp>
        <v>104.274</v>
        <stp/>
        <stp>##V3_BDPV12</stp>
        <stp>XS0921331509 Corp</stp>
        <stp>px_last</stp>
        <stp>[upload (2).xlsm]Base all $ 3 Duration!R144C4</stp>
        <tr r="D144" s="66"/>
      </tp>
      <tp>
        <v>109.726</v>
        <stp/>
        <stp>##V3_BDPV12</stp>
        <stp>XS0743596040 Corp</stp>
        <stp>px_last</stp>
        <stp>[upload (2).xlsm]Base all $ 3 Duration!R155C4</stp>
        <tr r="D155" s="66"/>
      </tp>
      <tp>
        <v>108.84399999999999</v>
        <stp/>
        <stp>##V3_BDPV12</stp>
        <stp>XS0638572973 Corp</stp>
        <stp>px_last</stp>
        <stp>[upload (2).xlsm]Base all $ 3 Duration!R156C4</stp>
        <tr r="D156" s="66"/>
      </tp>
      <tp>
        <v>100.8724</v>
        <stp/>
        <stp>##V3_BDPV12</stp>
        <stp>XS0805131439 Corp</stp>
        <stp>px_last</stp>
        <stp>[upload (2).xlsm]Base all $ 3 Duration!R126C4</stp>
        <tr r="D126" s="66"/>
      </tp>
      <tp t="s">
        <v>Investment Companies</v>
        <stp/>
        <stp>##V3_BDPV12</stp>
        <stp>XS0996297544 Corp</stp>
        <stp>INDUSTRY_SUBGROUP</stp>
        <stp>[upload (2).xlsm]Base all $ 3 Duration!R9C11</stp>
        <tr r="K9" s="66"/>
      </tp>
      <tp>
        <v>108.0602638888889</v>
        <stp/>
        <stp>##V3_BDPV12</stp>
        <stp>XS0361041808 Corp</stp>
        <stp>PX_GROSS_MID</stp>
        <stp>[upload (2).xlsm]Base all $ 3 Duration!R51C19</stp>
        <tr r="S51" s="66"/>
      </tp>
      <tp>
        <v>101.3304</v>
        <stp/>
        <stp>##V3_BDPV12</stp>
        <stp>XS0888245122 Corp</stp>
        <stp>PX_GROSS_MID</stp>
        <stp>[upload (2).xlsm]Base all $ 3 Duration!R73C19</stp>
        <tr r="S73" s="66"/>
      </tp>
      <tp>
        <v>103.74499999999999</v>
        <stp/>
        <stp>##V3_BDPV12</stp>
        <stp>XS0889401054 Corp</stp>
        <stp>PX_GROSS_MID</stp>
        <stp>[upload (2).xlsm]Base all $ 3 Duration!R39C19</stp>
        <tr r="S39" s="66"/>
      </tp>
      <tp t="s">
        <v>Sr Unsecured</v>
        <stp/>
        <stp>##V3_BDPV12</stp>
        <stp>XS0585211591 Corp</stp>
        <stp>PAYMENT_RANK</stp>
        <stp>[upload (2).xlsm]Base all $ 3 Duration!R34C14</stp>
        <tr r="N34" s="66"/>
      </tp>
      <tp t="s">
        <v>Sr Unsecured</v>
        <stp/>
        <stp>##V3_BDPV12</stp>
        <stp>XS0783934325 Corp</stp>
        <stp>PAYMENT_RANK</stp>
        <stp>[upload (2).xlsm]Base all $ 3 Duration!R47C14</stp>
        <tr r="N47" s="66"/>
      </tp>
      <tp t="s">
        <v>USD</v>
        <stp/>
        <stp>##V3_BDPV12</stp>
        <stp>LXFT US EQUITY</stp>
        <stp>CRNCY</stp>
        <stp>[Copy of upload (2).xlsm]Гарез_GRENF!R36C7</stp>
        <tr r="G36" s="115"/>
      </tp>
      <tp t="s">
        <v>KazMunaiGas Exploration Produc</v>
        <stp/>
        <stp>##V3_BDPV12</stp>
        <stp>KMG LI EQUITY</stp>
        <stp>SECURITY_NAME</stp>
        <stp>[Copy of upload (2).xlsm]Гарез_GRENF!R39C4</stp>
        <tr r="D39" s="115"/>
      </tp>
      <tp t="s">
        <v>Sr Unsecured</v>
        <stp/>
        <stp>##V3_BDPV12</stp>
        <stp>XS0995845566 Corp</stp>
        <stp>PAYMENT_RANK</stp>
        <stp>[upload (2).xlsm]Base all $ 3 Duration!R29C14</stp>
        <tr r="N29" s="66"/>
      </tp>
      <tp t="s">
        <v>Sr Unsecured</v>
        <stp/>
        <stp>##V3_BDPV12</stp>
        <stp>XS0808632847 Corp</stp>
        <stp>PAYMENT_RANK</stp>
        <stp>[upload (2).xlsm]Base all $ 3 Duration!R65C14</stp>
        <tr r="N65" s="66"/>
      </tp>
      <tp t="s">
        <v>Sr Unsecured</v>
        <stp/>
        <stp>##V3_BDPV12</stp>
        <stp>XS0772835285 Corp</stp>
        <stp>PAYMENT_RANK</stp>
        <stp>[upload (2).xlsm]Base all $ 3 Duration!R31C14</stp>
        <tr r="N31" s="66"/>
      </tp>
      <tp t="s">
        <v>Subordinated</v>
        <stp/>
        <stp>##V3_BDPV12</stp>
        <stp>XS0924078453 Corp</stp>
        <stp>PAYMENT_RANK</stp>
        <stp>[upload (2).xlsm]Base all $ 3 Duration!R19C14</stp>
        <tr r="N19" s="66"/>
      </tp>
      <tp t="s">
        <v>Subordinated</v>
        <stp/>
        <stp>##V3_BDPV12</stp>
        <stp>XS0869792928 Corp</stp>
        <stp>PAYMENT_RANK</stp>
        <stp>[upload (2).xlsm]Base all $ 3 Duration!R10C14</stp>
        <tr r="N10" s="66"/>
      </tp>
      <tp>
        <v>-2.6564800000000002</v>
        <stp/>
        <stp>##V3_BDPV12</stp>
        <stp>ALRS RX EQUITY</stp>
        <stp>CHG_PCT_1YR</stp>
        <stp>[upload (2).xlsm]Model Portfolio!R5C6</stp>
        <tr r="F5" s="98"/>
      </tp>
      <tp>
        <v>12.696578299164013</v>
        <stp/>
        <stp>##V3_BDPV12</stp>
        <stp>QIWI US EQUITY</stp>
        <stp>EST_PE_NXT_YR</stp>
        <stp>[upload (2).xlsm]Model Portfolio!R40C15</stp>
        <tr r="O40" s="98"/>
      </tp>
      <tp>
        <v>5.3189167352478126</v>
        <stp/>
        <stp>##V3_BDPV12</stp>
        <stp>DIXY RX EQUITY</stp>
        <stp>EST_EV_THIS_YR_EBITDA</stp>
        <stp>[upload (2).xlsm]Model Portfolio!R34C16</stp>
        <tr r="P34" s="98"/>
      </tp>
      <tp t="s">
        <v>14/06/2017</v>
        <stp/>
        <stp>##V3_BDPV12</stp>
        <stp>SBER RX EQUITY</stp>
        <stp>DVD_RECORD_DT</stp>
        <stp>[upload (2).xlsm]Model Portfolio!R75C28</stp>
        <tr r="AB75" s="98"/>
      </tp>
      <tp t="s">
        <v>#N/A N/A</v>
        <stp/>
        <stp>##V3_BDPV12</stp>
        <stp>FIVE LI EQUITY</stp>
        <stp>BDVD_NEXT_EST_DECL_DT</stp>
        <stp>[upload (2).xlsm]Model Portfolio!R36C31</stp>
        <tr r="AE36" s="98"/>
      </tp>
      <tp t="s">
        <v>#N/A N/A</v>
        <stp/>
        <stp>##V3_BDPV12</stp>
        <stp>EPAM US EQUITY</stp>
        <stp>BDVD_NEXT_EST_DECL_DT</stp>
        <stp>[upload (2).xlsm]Model Portfolio!R42C31</stp>
        <tr r="AE42" s="98"/>
      </tp>
      <tp>
        <v>14.653070912741132</v>
        <stp/>
        <stp>##V3_BDPV12</stp>
        <stp>LKOH RX EQUITY</stp>
        <stp>EBITDA_MARGIN</stp>
        <stp>[upload (2).xlsm]Model Portfolio!R13C23</stp>
        <tr r="W13" s="98"/>
      </tp>
      <tp>
        <v>189.1</v>
        <stp/>
        <stp>##V3_BDPV12</stp>
        <stp>SBER RX EQUITY</stp>
        <stp>PX_LAST</stp>
        <stp>[upload (2).xlsm]Model Portfolio!R75C3</stp>
        <tr r="C75" s="98"/>
      </tp>
      <tp>
        <v>3.0882000000000001</v>
        <stp/>
        <stp>##V3_BDPV12</stp>
        <stp>BRL Curncy</stp>
        <stp>PX_LAST</stp>
        <stp>[upload (2).xlsm]Model Portfolio!R1C43</stp>
        <tr r="AQ1" s="98"/>
      </tp>
      <tp>
        <v>11.245224305700059</v>
        <stp/>
        <stp>##V3_BDPV12</stp>
        <stp>PIKK RX EQUITY</stp>
        <stp>EST_EV_THIS_YR_EBITDA</stp>
        <stp>[upload (2).xlsm]Model Portfolio!R68C16</stp>
        <tr r="P68" s="98"/>
      </tp>
      <tp>
        <v>-2.7961219308102145</v>
        <stp/>
        <stp>##V3_BDPV12</stp>
        <stp>XS0719009754 Corp</stp>
        <stp>INTERVAL_PERCENT_CHANGE</stp>
        <stp>[upload (2).xlsm]Base all $ 3 Duration!R77C17</stp>
        <stp>END_DATE_OVERRIDE</stp>
        <stp xml:space="preserve"> </stp>
        <stp>START_DATE_OVERRIDe</stp>
        <stp>20140716</stp>
        <tr r="Q77" s="66"/>
      </tp>
      <tp t="s">
        <v>WR</v>
        <stp/>
        <stp>##V3_BDPV12</stp>
        <stp>XS0802648955 Corp</stp>
        <stp>RTG_moody</stp>
        <stp>[upload (2).xlsm]Base all $ 3 Duration!R12C10</stp>
        <tr r="J12" s="66"/>
        <tr r="J12" s="66"/>
      </tp>
      <tp>
        <v>20.572540751363384</v>
        <stp/>
        <stp>##V3_BDPV12</stp>
        <stp>YNDX US EQUITY</stp>
        <stp>EST_EV_THIS_YR_EBITDA</stp>
        <stp>[upload (2).xlsm]Model Portfolio!R43C16</stp>
        <tr r="P43" s="98"/>
      </tp>
      <tp>
        <v>-4.8173874790004367</v>
        <stp/>
        <stp>##V3_BDPV12</stp>
        <stp>XS0708813653 Corp</stp>
        <stp>INTERVAL_PERCENT_CHANGE</stp>
        <stp>[upload (2).xlsm]Base all $ 3 Duration!R93C17</stp>
        <stp>END_DATE_OVERRIDE</stp>
        <stp xml:space="preserve"> </stp>
        <stp>START_DATE_OVERRIDe</stp>
        <stp>20140716</stp>
        <tr r="Q93" s="66"/>
      </tp>
      <tp>
        <v>3.8639999999999999</v>
        <stp/>
        <stp>##V3_BDPV12</stp>
        <stp>IRAO RX EQUITY</stp>
        <stp>PX_LAST</stp>
        <stp>[upload (2).xlsm]Model Portfolio!R51C3</stp>
        <tr r="C51" s="98"/>
      </tp>
      <tp>
        <v>28.990971437521679</v>
        <stp/>
        <stp>##V3_BDPV12</stp>
        <stp>AKRN RX EQUITY</stp>
        <stp>EBITDA_MARGIN</stp>
        <stp>[upload (2).xlsm]Model Portfolio!R33C23</stp>
        <tr r="W33" s="98"/>
      </tp>
      <tp t="s">
        <v>WR</v>
        <stp/>
        <stp>##V3_BDPV12</stp>
        <stp>XS0524658852 Corp</stp>
        <stp>RTG_moody</stp>
        <stp>[upload (2).xlsm]Base all $ 3 Duration!R68C10</stp>
        <tr r="J68" s="66"/>
        <tr r="J68" s="66"/>
      </tp>
      <tp>
        <v>6.0309278350515463</v>
        <stp/>
        <stp>##V3_BDPV12</stp>
        <stp>ENRU RM EQUITY</stp>
        <stp>EST_PE_NXT_YR</stp>
        <stp>[upload (2).xlsm]Model Portfolio!R53C15</stp>
        <tr r="O53" s="98"/>
      </tp>
      <tp>
        <v>4.6112115732368899</v>
        <stp/>
        <stp>##V3_BDPV12</stp>
        <stp>SNGS RX EQUITY</stp>
        <stp>EST_PE_NXT_YR</stp>
        <stp>[upload (2).xlsm]Model Portfolio!R10C15</stp>
        <tr r="O10" s="98"/>
      </tp>
      <tp>
        <v>4.4863687155596192</v>
        <stp/>
        <stp>##V3_BDPV12</stp>
        <stp>SIBN RX EQUITY</stp>
        <stp>EST_EV_THIS_YR_EBITDA</stp>
        <stp>[upload (2).xlsm]Model Portfolio!R15C16</stp>
        <tr r="P15" s="98"/>
      </tp>
      <tp>
        <v>3.400396250110481</v>
        <stp/>
        <stp>##V3_BDPV12</stp>
        <stp>XS0899969702 Corp</stp>
        <stp>INTERVAL_PERCENT_CHANGE</stp>
        <stp>[upload (2).xlsm]Base all $ 3 Duration!R71C17</stp>
        <stp>END_DATE_OVERRIDE</stp>
        <stp xml:space="preserve"> </stp>
        <stp>START_DATE_OVERRIDe</stp>
        <stp>20140716</stp>
        <tr r="Q71" s="66"/>
      </tp>
      <tp>
        <v>-4.7303811247691572</v>
        <stp/>
        <stp>##V3_BDPV12</stp>
        <stp>XS0587030957 Corp</stp>
        <stp>INTERVAL_PERCENT_CHANGE</stp>
        <stp>[upload (2).xlsm]Base all $ 3 Duration!R95C17</stp>
        <stp>END_DATE_OVERRIDE</stp>
        <stp xml:space="preserve"> </stp>
        <stp>START_DATE_OVERRIDe</stp>
        <stp>20140716</stp>
        <tr r="Q95" s="66"/>
      </tp>
      <tp t="s">
        <v>N</v>
        <stp/>
        <stp>##V3_BDPV12</stp>
        <stp>XS0779213460 Corp</stp>
        <stp>RUSSIAN_CB_LOMBARD</stp>
        <stp>[upload (2).xlsm]Base all $ 3 Duration!R33C16</stp>
        <tr r="P33" s="66"/>
      </tp>
      <tp t="s">
        <v>Y</v>
        <stp/>
        <stp>##V3_BDPV12</stp>
        <stp>XS0365923977 Corp</stp>
        <stp>RUSSIAN_CB_LOMBARD</stp>
        <stp>[upload (2).xlsm]Base all $ 3 Duration!R57C16</stp>
        <tr r="P57" s="66"/>
      </tp>
      <tp t="s">
        <v>N</v>
        <stp/>
        <stp>##V3_BDPV12</stp>
        <stp>XS0993279958 Corp</stp>
        <stp>RUSSIAN_CB_LOMBARD</stp>
        <stp>[upload (2).xlsm]Base all $ 3 Duration!R13C16</stp>
        <tr r="P13" s="66"/>
      </tp>
      <tp t="s">
        <v>Y</v>
        <stp/>
        <stp>##V3_BDPV12</stp>
        <stp>XS1043519567 Corp</stp>
        <stp>RUSSIAN_CB_LOMBARD</stp>
        <stp>[upload (2).xlsm]Base all $ 3 Duration!R74C16</stp>
        <tr r="P74" s="66"/>
      </tp>
      <tp t="s">
        <v>Y</v>
        <stp/>
        <stp>##V3_BDPV12</stp>
        <stp>XS0799357354 Corp</stp>
        <stp>RUSSIAN_CB_LOMBARD</stp>
        <stp>[upload (2).xlsm]Base all $ 3 Duration!R55C16</stp>
        <tr r="P55" s="66"/>
      </tp>
      <tp>
        <v>561107500</v>
        <stp/>
        <stp>##V3_BDPV12</stp>
        <stp>SBERP RX EQUITY</stp>
        <stp>AVG_DAILY_VALUE_TRADED_6M</stp>
        <stp>[upload (2).xlsm]Model Portfolio!R76C12</stp>
        <tr r="L76" s="98"/>
      </tp>
      <tp>
        <v>683</v>
        <stp/>
        <stp>##V3_BDPV12</stp>
        <stp>POLY RX Equity</stp>
        <stp>PX_LAST</stp>
        <stp>[Copy of upload (2).xlsm]Гарез_GRENF (2)!R9C7</stp>
        <tr r="G9" s="116"/>
      </tp>
      <tp>
        <v>105.242</v>
        <stp/>
        <stp>##V3_BDPV12</stp>
        <stp>XS0805570354 Corp</stp>
        <stp>px_last</stp>
        <stp>[upload (2).xlsm]Base all $ 3 Duration!R154C4</stp>
        <tr r="D154" s="66"/>
      </tp>
      <tp>
        <v>105.25</v>
        <stp/>
        <stp>##V3_BDPV12</stp>
        <stp>XS0972645112 Corp</stp>
        <stp>px_last</stp>
        <stp>[upload (2).xlsm]Base all $ 3 Duration!R116C4</stp>
        <tr r="D116" s="66"/>
      </tp>
      <tp>
        <v>111.46</v>
        <stp/>
        <stp>##V3_BDPV12</stp>
        <stp>XS0841671000 Corp</stp>
        <stp>px_last</stp>
        <stp>[upload (2).xlsm]Base all $ 3 Duration!R141C4</stp>
        <tr r="D141" s="66"/>
      </tp>
      <tp>
        <v>115</v>
        <stp/>
        <stp>##V3_BDPV12</stp>
        <stp>XS0643183220 Corp</stp>
        <stp>px_last</stp>
        <stp>[upload (2).xlsm]Base all $ 3 Duration!R133C4</stp>
        <tr r="D133" s="66"/>
      </tp>
      <tp>
        <v>104.806</v>
        <stp/>
        <stp>##V3_BDPV12</stp>
        <stp>XS0848530977 Corp</stp>
        <stp>px_last</stp>
        <stp>[upload (2).xlsm]Base all $ 3 Duration!R150C4</stp>
        <tr r="D150" s="66"/>
      </tp>
      <tp>
        <v>6.7359752574749034</v>
        <stp/>
        <stp>##V3_BDPV12</stp>
        <stp>GAZP RX EQUITY</stp>
        <stp>NORMALIZED_ROE</stp>
        <stp>[upload (2).xlsm]Model Portfolio!R12C26</stp>
        <tr r="Z12" s="98"/>
      </tp>
      <tp>
        <v>102.491</v>
        <stp/>
        <stp>##V3_BDPV12</stp>
        <stp>XS0846652666 Corp</stp>
        <stp>px_last</stp>
        <stp>[upload (2).xlsm]Base all $ 3 Duration!R102C4</stp>
        <tr r="D102" s="66"/>
      </tp>
      <tp t="s">
        <v>Commercial Services</v>
        <stp/>
        <stp>##V3_BDPV12</stp>
        <stp>QIWI US EQUITY</stp>
        <stp>INDUSTRY_GROUP</stp>
        <stp>[upload (2).xlsm]Model Portfolio!R40C13</stp>
        <tr r="M40" s="98"/>
      </tp>
      <tp>
        <v>4.3</v>
        <stp/>
        <stp>##V3_BDPV12</stp>
        <stp>VEON US Equity</stp>
        <stp>PX_LAST</stp>
        <stp>[Copy of upload (2).xlsm]Гарез_GRENF (2)!R4C7</stp>
        <tr r="G4" s="116"/>
      </tp>
      <tp>
        <v>104.31399999999999</v>
        <stp/>
        <stp>##V3_BDPV12</stp>
        <stp>XS0975320879 Corp</stp>
        <stp>px_last</stp>
        <stp>[upload (2).xlsm]Base all $ 3 Duration!R123C4</stp>
        <tr r="D123" s="66"/>
      </tp>
      <tp t="s">
        <v>Commer Banks Non-US</v>
        <stp/>
        <stp>##V3_BDPV12</stp>
        <stp>XS0275728557 Corp</stp>
        <stp>INDUSTRY_SUBGROUP</stp>
        <stp>[upload (2).xlsm]Base all $ 3 Duration!R8C11</stp>
        <tr r="K8" s="66"/>
      </tp>
      <tp>
        <v>4.7611909138074262</v>
        <stp/>
        <stp>##V3_BDPV12</stp>
        <stp>EVR LN EQUITY</stp>
        <stp>EST_EV_THIS_YR_EBITDA</stp>
        <stp>[upload (2).xlsm]Model Portfolio!R26C16</stp>
        <tr r="P26" s="98"/>
      </tp>
      <tp>
        <v>108.22538888888889</v>
        <stp/>
        <stp>##V3_BDPV12</stp>
        <stp>XS0359381331 Corp</stp>
        <stp>PX_GROSS_MID</stp>
        <stp>[upload (2).xlsm]Base all $ 3 Duration!R36C19</stp>
        <tr r="S36" s="66"/>
      </tp>
      <tp>
        <v>102.14375</v>
        <stp/>
        <stp>##V3_BDPV12</stp>
        <stp>XS0552679879 Corp</stp>
        <stp>PX_GROSS_MID</stp>
        <stp>[upload (2).xlsm]Base all $ 3 Duration!R43C19</stp>
        <tr r="S43" s="66"/>
      </tp>
      <tp t="s">
        <v>#N/A N/A</v>
        <stp/>
        <stp>##V3_BDPV12</stp>
        <stp>XS1059697323 Corp</stp>
        <stp>PX_GROSS_MID</stp>
        <stp>[upload (2).xlsm]Base all $ 3 Duration!R20C19</stp>
        <tr r="S20" s="66"/>
      </tp>
      <tp>
        <v>105.46749999999999</v>
        <stp/>
        <stp>##V3_BDPV12</stp>
        <stp>XS0799357354 Corp</stp>
        <stp>PX_GROSS_MID</stp>
        <stp>[upload (2).xlsm]Base all $ 3 Duration!R55C19</stp>
        <tr r="S55" s="66"/>
      </tp>
      <tp>
        <v>1.3109999999999999</v>
        <stp/>
        <stp>##V3_BDPV12</stp>
        <stp>XS0993279958 Corp</stp>
        <stp>PX_GROSS_MID</stp>
        <stp>[upload (2).xlsm]Base all $ 3 Duration!R13C19</stp>
        <tr r="S13" s="66"/>
      </tp>
      <tp>
        <v>105.221</v>
        <stp/>
        <stp>##V3_BDPV12</stp>
        <stp>XS0618905219 Corp</stp>
        <stp>PX_GROSS_MID</stp>
        <stp>[upload (2).xlsm]Base all $ 3 Duration!R37C19</stp>
        <tr r="S37" s="66"/>
      </tp>
      <tp t="s">
        <v>Sr Unsecured</v>
        <stp/>
        <stp>##V3_BDPV12</stp>
        <stp>XS0562354182 Corp</stp>
        <stp>PAYMENT_RANK</stp>
        <stp>[upload (2).xlsm]Base all $ 3 Duration!R96C14</stp>
        <tr r="N96" s="66"/>
      </tp>
      <tp t="s">
        <v>TATNEFT-PREF 3 S</v>
        <stp/>
        <stp>##V3_BDPV12</stp>
        <stp>TATNP RX EQUITY</stp>
        <stp>SHORT_NAME</stp>
        <stp>[upload (2).xlsm]Model Portfolio!R19C2</stp>
        <tr r="B19" s="98"/>
      </tp>
      <tp t="s">
        <v>Sr Unsecured</v>
        <stp/>
        <stp>##V3_BDPV12</stp>
        <stp>XS0616784509 Corp</stp>
        <stp>PAYMENT_RANK</stp>
        <stp>[upload (2).xlsm]Base all $ 3 Duration!R24C14</stp>
        <tr r="N24" s="66"/>
      </tp>
      <tp>
        <v>112.65</v>
        <stp/>
        <stp>##V3_BDPV12</stp>
        <stp>MOEX RX EQUITY</stp>
        <stp>PX_LAST</stp>
        <stp>[upload (2).xlsm]Model Portfolio!R74C3</stp>
        <tr r="C74" s="98"/>
      </tp>
      <tp t="s">
        <v>#N/A N/A</v>
        <stp/>
        <stp>##V3_BDPV12</stp>
        <stp>SVAV RX EQUITY</stp>
        <stp>BDVD_NEXT_EST_DECL_DT</stp>
        <stp>[upload (2).xlsm]Model Portfolio!R72C31</stp>
        <tr r="AE72" s="98"/>
      </tp>
      <tp t="s">
        <v>22/03/2018</v>
        <stp/>
        <stp>##V3_BDPV12</stp>
        <stp>MVID RX EQUITY</stp>
        <stp>BDVD_NEXT_EST_DECL_DT</stp>
        <stp>[upload (2).xlsm]Model Portfolio!R38C31</stp>
        <tr r="AE38" s="98"/>
      </tp>
      <tp>
        <v>6.8919480860563338</v>
        <stp/>
        <stp>##V3_BDPV12</stp>
        <stp>ROSN RX EQUITY</stp>
        <stp>EST_PE_NXT_YR</stp>
        <stp>[upload (2).xlsm]Model Portfolio!R17C15</stp>
        <tr r="O17" s="98"/>
      </tp>
      <tp>
        <v>58.099998474121094</v>
        <stp/>
        <stp>##V3_BDPV12</stp>
        <stp>LXFT US Equity</stp>
        <stp>BEST_TARGET_PRICE</stp>
        <stp>[Copy of upload (2).xlsm]Гарез_GRENF (2)!R6C8</stp>
        <tr r="H6" s="116"/>
      </tp>
      <tp>
        <v>-1.7479777362201261</v>
        <stp/>
        <stp>##V3_BDPV12</stp>
        <stp>XS0366630902 Corp</stp>
        <stp>INTERVAL_PERCENT_CHANGE</stp>
        <stp>[upload (2).xlsm]Base all $ 3 Duration!R49C17</stp>
        <stp>END_DATE_OVERRIDE</stp>
        <stp xml:space="preserve"> </stp>
        <stp>START_DATE_OVERRIDe</stp>
        <stp>20140716</stp>
        <tr r="Q49" s="66"/>
      </tp>
      <tp t="s">
        <v>B2</v>
        <stp/>
        <stp>##V3_BDPV12</stp>
        <stp>XS0923110232 Corp</stp>
        <stp>RTG_moody</stp>
        <stp>[upload (2).xlsm]Base all $ 3 Duration!R35C10</stp>
        <tr r="J35" s="66"/>
        <tr r="J35" s="66"/>
      </tp>
      <tp t="s">
        <v>B2</v>
        <stp/>
        <stp>##V3_BDPV12</stp>
        <stp>XS0854763355 Corp</stp>
        <stp>RTG_moody</stp>
        <stp>[upload (2).xlsm]Base all $ 3 Duration!R28C10</stp>
        <tr r="J28" s="66"/>
        <tr r="J28" s="66"/>
      </tp>
      <tp>
        <v>6.7530999571282528</v>
        <stp/>
        <stp>##V3_BDPV12</stp>
        <stp>PHOR RX EQUITY</stp>
        <stp>EST_EV_THIS_YR_EBITDA</stp>
        <stp>[upload (2).xlsm]Model Portfolio!R32C16</stp>
        <tr r="P32" s="98"/>
      </tp>
      <tp t="s">
        <v>09/03/2018</v>
        <stp/>
        <stp>##V3_BDPV12</stp>
        <stp>NVTK RX EQUITY</stp>
        <stp>BDVD_NEXT_EST_DECL_DT</stp>
        <stp>[upload (2).xlsm]Model Portfolio!R16C31</stp>
        <tr r="AE16" s="98"/>
      </tp>
      <tp>
        <v>6.0748831289380769</v>
        <stp/>
        <stp>##V3_BDPV12</stp>
        <stp>CHMF RX EQUITY</stp>
        <stp>EST_EV_THIS_YR_EBITDA</stp>
        <stp>[upload (2).xlsm]Model Portfolio!R25C16</stp>
        <tr r="P25" s="98"/>
      </tp>
      <tp>
        <v>-4.3251948760601486</v>
        <stp/>
        <stp>##V3_BDPV12</stp>
        <stp>XS0588436799 Corp</stp>
        <stp>INTERVAL_PERCENT_CHANGE</stp>
        <stp>[upload (2).xlsm]Base all $ 3 Duration!R94C17</stp>
        <stp>END_DATE_OVERRIDE</stp>
        <stp xml:space="preserve"> </stp>
        <stp>START_DATE_OVERRIDe</stp>
        <stp>20140716</stp>
        <tr r="Q94" s="66"/>
      </tp>
      <tp t="s">
        <v>Ba1</v>
        <stp/>
        <stp>##V3_BDPV12</stp>
        <stp>XS0808632847 Corp</stp>
        <stp>RTG_moody</stp>
        <stp>[upload (2).xlsm]Base all $ 3 Duration!R65C10</stp>
        <tr r="J65" s="66"/>
        <tr r="J65" s="66"/>
      </tp>
      <tp>
        <v>310.2</v>
        <stp/>
        <stp>##V3_BDPV12</stp>
        <stp>FXPO LN EQUITY</stp>
        <stp>PX_LAST</stp>
        <stp>[upload (2).xlsm]Model Portfolio!R27C3</stp>
        <tr r="C27" s="98"/>
      </tp>
      <tp t="s">
        <v>WR</v>
        <stp/>
        <stp>##V3_BDPV12</stp>
        <stp>XS0742380412 Corp</stp>
        <stp>RTG_moody</stp>
        <stp>[upload (2).xlsm]Base all $ 3 Duration!R86C10</stp>
        <tr r="J86" s="66"/>
        <tr r="J86" s="66"/>
      </tp>
      <tp>
        <v>11.121537268981275</v>
        <stp/>
        <stp>##V3_BDPV12</stp>
        <stp>ETLN LI EQUITY</stp>
        <stp>EBITDA_MARGIN</stp>
        <stp>[upload (2).xlsm]Model Portfolio!R70C23</stp>
        <tr r="W70" s="98"/>
      </tp>
      <tp>
        <v>4.8638099521879727</v>
        <stp/>
        <stp>##V3_BDPV12</stp>
        <stp>XS0878855773 Corp</stp>
        <stp>INTERVAL_PERCENT_CHANGE</stp>
        <stp>[upload (2).xlsm]Base all $ 3 Duration!R44C17</stp>
        <stp>END_DATE_OVERRIDE</stp>
        <stp xml:space="preserve"> </stp>
        <stp>START_DATE_OVERRIDe</stp>
        <stp>20140716</stp>
        <tr r="Q44" s="66"/>
      </tp>
      <tp>
        <v>11.815586338162207</v>
        <stp/>
        <stp>##V3_BDPV12</stp>
        <stp>MOEX RX EQUITY</stp>
        <stp>EST_PE_NXT_YR</stp>
        <stp>[upload (2).xlsm]Model Portfolio!R74C15</stp>
        <tr r="O74" s="98"/>
      </tp>
      <tp>
        <v>4.9539149533494733</v>
        <stp/>
        <stp>##V3_BDPV12</stp>
        <stp>XS0938341780 Corp</stp>
        <stp>INTERVAL_PERCENT_CHANGE</stp>
        <stp>[upload (2).xlsm]Base all $ 3 Duration!R21C17</stp>
        <stp>END_DATE_OVERRIDE</stp>
        <stp xml:space="preserve"> </stp>
        <stp>START_DATE_OVERRIDe</stp>
        <stp>20140716</stp>
        <tr r="Q21" s="66"/>
      </tp>
      <tp>
        <v>417.4</v>
        <stp/>
        <stp>##V3_BDPV12</stp>
        <stp>MVID RX EQUITY</stp>
        <stp>PX_LAST</stp>
        <stp>[upload (2).xlsm]Model Portfolio!R38C3</stp>
        <tr r="C38" s="98"/>
      </tp>
      <tp t="s">
        <v>Ba1</v>
        <stp/>
        <stp>##V3_BDPV12</stp>
        <stp>XS1043519567 Corp</stp>
        <stp>RTG_moody</stp>
        <stp>[upload (2).xlsm]Base all $ 3 Duration!R74C10</stp>
        <tr r="J74" s="66"/>
        <tr r="J74" s="66"/>
      </tp>
      <tp>
        <v>42.45</v>
        <stp/>
        <stp>##V3_BDPV12</stp>
        <stp>FIVE LI EQUITY</stp>
        <stp>PX_LAST</stp>
        <stp>[upload (2).xlsm]Model Portfolio!R36C3</stp>
        <tr r="C36" s="98"/>
      </tp>
      <tp t="s">
        <v>N</v>
        <stp/>
        <stp>##V3_BDPV12</stp>
        <stp>XS0616784509 Corp</stp>
        <stp>RUSSIAN_CB_LOMBARD</stp>
        <stp>[upload (2).xlsm]Base all $ 3 Duration!R24C16</stp>
        <tr r="P24" s="66"/>
      </tp>
      <tp t="s">
        <v>Y</v>
        <stp/>
        <stp>##V3_BDPV12</stp>
        <stp>XS0559800122 Corp</stp>
        <stp>RUSSIAN_CB_LOMBARD</stp>
        <stp>[upload (2).xlsm]Base all $ 3 Duration!R63C16</stp>
        <tr r="P63" s="66"/>
      </tp>
      <tp t="s">
        <v>N</v>
        <stp/>
        <stp>##V3_BDPV12</stp>
        <stp>XS0776121062 Corp</stp>
        <stp>RUSSIAN_CB_LOMBARD</stp>
        <stp>[upload (2).xlsm]Base all $ 3 Duration!R27C16</stp>
        <tr r="P27" s="66"/>
      </tp>
      <tp t="s">
        <v>Y</v>
        <stp/>
        <stp>##V3_BDPV12</stp>
        <stp>XS0324963932 Corp</stp>
        <stp>RUSSIAN_CB_LOMBARD</stp>
        <stp>[upload (2).xlsm]Base all $ 3 Duration!R59C16</stp>
        <tr r="P59" s="66"/>
      </tp>
      <tp t="s">
        <v>Y</v>
        <stp/>
        <stp>##V3_BDPV12</stp>
        <stp>XS0543956717 Corp</stp>
        <stp>RUSSIAN_CB_LOMBARD</stp>
        <stp>[upload (2).xlsm]Base all $ 3 Duration!R85C16</stp>
        <tr r="P85" s="66"/>
      </tp>
      <tp>
        <v>21.967489877937638</v>
        <stp/>
        <stp>##V3_BDPV12</stp>
        <stp>PLZL RX EQUITY</stp>
        <stp>SALES_GROWTH</stp>
        <stp>[upload (2).xlsm]Model Portfolio!R2C21</stp>
        <tr r="U2" s="98"/>
      </tp>
      <tp>
        <v>137.441</v>
        <stp/>
        <stp>##V3_BDPV12</stp>
        <stp>XS0191754729 Corp</stp>
        <stp>px_last</stp>
        <stp>[upload (2).xlsm]Base all $ 3 Duration!R128C4</stp>
        <tr r="D128" s="66"/>
      </tp>
      <tp>
        <v>104.78400000000001</v>
        <stp/>
        <stp>##V3_BDPV12</stp>
        <stp>XS0831571434 Corp</stp>
        <stp>px_last</stp>
        <stp>[upload (2).xlsm]Base all $ 3 Duration!R157C4</stp>
        <tr r="D157" s="66"/>
      </tp>
      <tp>
        <v>113.294</v>
        <stp/>
        <stp>##V3_BDPV12</stp>
        <stp>XS0304274599 Corp</stp>
        <stp>px_last</stp>
        <stp>[upload (2).xlsm]Base all $ 3 Duration!R151C4</stp>
        <tr r="D151" s="66"/>
      </tp>
      <tp>
        <v>107.74</v>
        <stp/>
        <stp>##V3_BDPV12</stp>
        <stp>XS0800817073 Corp</stp>
        <stp>px_last</stp>
        <stp>[upload (2).xlsm]Base all $ 3 Duration!R142C4</stp>
        <tr r="D142" s="66"/>
      </tp>
      <tp>
        <v>113.405</v>
        <stp/>
        <stp>##V3_BDPV12</stp>
        <stp>XS0559915961 Corp</stp>
        <stp>px_last</stp>
        <stp>[upload (2).xlsm]Base all $ 3 Duration!R135C4</stp>
        <tr r="D135" s="66"/>
      </tp>
      <tp>
        <v>108.461</v>
        <stp/>
        <stp>##V3_BDPV12</stp>
        <stp>XS0524610812 Corp</stp>
        <stp>px_last</stp>
        <stp>[upload (2).xlsm]Base all $ 3 Duration!R107C4</stp>
        <tr r="D107" s="66"/>
      </tp>
      <tp t="s">
        <v>Real Estate</v>
        <stp/>
        <stp>##V3_BDPV12</stp>
        <stp>ETLN LI EQUITY</stp>
        <stp>INDUSTRY_GROUP</stp>
        <stp>[upload (2).xlsm]Model Portfolio!R70C13</stp>
        <tr r="M70" s="98"/>
      </tp>
      <tp t="s">
        <v>Oil Comp-Integrated</v>
        <stp/>
        <stp>##V3_BDPV12</stp>
        <stp>XS0493579238 Corp</stp>
        <stp>INDUSTRY_SUBGROUP</stp>
        <stp>[upload (2).xlsm]Base all $ 3 Duration!R7C11</stp>
        <tr r="K7" s="66"/>
      </tp>
      <tp>
        <v>57.5441</v>
        <stp/>
        <stp>##V3_BDPV12</stp>
        <stp>USDRUB Curncy</stp>
        <stp>PX_LAST</stp>
        <stp>[upload (2).xlsm]Model Portfolio!R1C35</stp>
        <tr r="AI1" s="98"/>
      </tp>
      <tp t="s">
        <v>#N/A N/A</v>
        <stp/>
        <stp>##V3_BDPV12</stp>
        <stp>VIP US EQUITY</stp>
        <stp>DVD_RECORD_DT</stp>
        <stp>[upload (2).xlsm]Model Portfolio!R61C28</stp>
        <tr r="AB61" s="98"/>
      </tp>
      <tp>
        <v>-1.9875069999999999</v>
        <stp/>
        <stp>##V3_BDPV12</stp>
        <stp>TRNFP RX EQUITY</stp>
        <stp>CHG_PCT_1M</stp>
        <stp>[upload (2).xlsm]Model Portfolio!R20C5</stp>
        <tr r="E20" s="98"/>
      </tp>
      <tp>
        <v>-1.7494866529774127</v>
        <stp/>
        <stp>##V3_BDPV12</stp>
        <stp>XS0238091507 Corp</stp>
        <stp>MTY_YEARS_TDY</stp>
        <stp>[upload (2).xlsm]Base all $ 3 Duration!R5C3</stp>
        <tr r="C5" s="66"/>
      </tp>
      <tp t="s">
        <v>#N/A N/A</v>
        <stp/>
        <stp>##V3_BDPV12</stp>
        <stp>XS0802648955 Corp</stp>
        <stp>PX_GROSS_MID</stp>
        <stp>[upload (2).xlsm]Base all $ 3 Duration!R12C19</stp>
        <tr r="S12" s="66"/>
      </tp>
      <tp t="s">
        <v>#N/A N/A</v>
        <stp/>
        <stp>##V3_BDPV12</stp>
        <stp>XS0299183250 Corp</stp>
        <stp>PX_GROSS_MID</stp>
        <stp>[upload (2).xlsm]Base all $ 3 Duration!R40C19</stp>
        <tr r="S40" s="66"/>
      </tp>
      <tp>
        <v>104.64400000000001</v>
        <stp/>
        <stp>##V3_BDPV12</stp>
        <stp>XS0923472814 Corp</stp>
        <stp>PX_GROSS_MID</stp>
        <stp>[upload (2).xlsm]Base all $ 3 Duration!R52C19</stp>
        <tr r="S52" s="66"/>
      </tp>
      <tp>
        <v>101.26277777777777</v>
        <stp/>
        <stp>##V3_BDPV12</stp>
        <stp>XS0783242877 Corp</stp>
        <stp>PX_GROSS_MID</stp>
        <stp>[upload (2).xlsm]Base all $ 3 Duration!R32C19</stp>
        <tr r="S32" s="66"/>
      </tp>
    </main>
    <main first="bloomberg.rtd">
      <tp t="s">
        <v>#N/A N/A</v>
        <stp/>
        <stp>##V3_BDPV12</stp>
        <stp>XS0253861834 Corp</stp>
        <stp>PX_GROSS_MID</stp>
        <stp>[upload (2).xlsm]Base all $ 3 Duration!R91C19</stp>
        <tr r="S91" s="66"/>
      </tp>
      <tp>
        <v>-0.7885010266940452</v>
        <stp/>
        <stp>##V3_BDPV12</stp>
        <stp>XS0275728557 Corp</stp>
        <stp>MTY_YEARS_TDY</stp>
        <stp>[upload (2).xlsm]Base all $ 3 Duration!R8C3</stp>
        <tr r="C8" s="66"/>
      </tp>
      <tp t="s">
        <v>#N/A N/A</v>
        <stp/>
        <stp>##V3_BDPV12</stp>
        <stp>XS0312572984 Corp</stp>
        <stp>PX_GROSS_MID</stp>
        <stp>[upload (2).xlsm]Base all $ 3 Duration!R22C19</stp>
        <tr r="S22" s="66"/>
      </tp>
      <tp>
        <v>1.5112936344969199</v>
        <stp/>
        <stp>##V3_BDPV12</stp>
        <stp>XS0493579238 Corp</stp>
        <stp>MTY_YEARS_TDY</stp>
        <stp>[upload (2).xlsm]Base all $ 3 Duration!R7C3</stp>
        <tr r="C7" s="66"/>
      </tp>
      <tp>
        <v>1.6810403832991101</v>
        <stp/>
        <stp>##V3_BDPV12</stp>
        <stp>XS0996297544 Corp</stp>
        <stp>MTY_YEARS_TDY</stp>
        <stp>[upload (2).xlsm]Base all $ 3 Duration!R9C3</stp>
        <tr r="C9" s="66"/>
      </tp>
      <tp t="s">
        <v>Sr Unsecured</v>
        <stp/>
        <stp>##V3_BDPV12</stp>
        <stp>XS0551315384 Corp</stp>
        <stp>PAYMENT_RANK</stp>
        <stp>[upload (2).xlsm]Base all $ 3 Duration!R82C14</stp>
        <tr r="N82" s="66"/>
      </tp>
      <tp t="s">
        <v>Subordinated</v>
        <stp/>
        <stp>##V3_BDPV12</stp>
        <stp>XS0841677387 Corp</stp>
        <stp>PAYMENT_RANK</stp>
        <stp>[upload (2).xlsm]Base all $ 3 Duration!R99C14</stp>
        <tr r="N99" s="66"/>
      </tp>
      <tp t="s">
        <v>Sr Unsecured</v>
        <stp/>
        <stp>##V3_BDPV12</stp>
        <stp>XS0861980372 Corp</stp>
        <stp>PAYMENT_RANK</stp>
        <stp>[upload (2).xlsm]Base all $ 3 Duration!R80C14</stp>
        <tr r="N80" s="66"/>
      </tp>
      <tp t="s">
        <v>USD</v>
        <stp/>
        <stp>##V3_BDPV12</stp>
        <stp>OGZD LI EQUITY</stp>
        <stp>CRNCY</stp>
        <stp>[Copy of upload (2).xlsm]Гарез_GRENF!R47C7</stp>
        <tr r="G47" s="115"/>
      </tp>
      <tp t="s">
        <v>Polymetal International PLC</v>
        <stp/>
        <stp>##V3_BDPV12</stp>
        <stp>POLY RX EQUITY</stp>
        <stp>SECURITY_NAME</stp>
        <stp>[Copy of upload (2).xlsm]Гарез_GRENF!R28C4</stp>
        <tr r="D28" s="115"/>
      </tp>
      <tp t="s">
        <v>Sr Unsecured</v>
        <stp/>
        <stp>##V3_BDPV12</stp>
        <stp>XS0993162170 Corp</stp>
        <stp>PAYMENT_RANK</stp>
        <stp>[upload (2).xlsm]Base all $ 3 Duration!R48C14</stp>
        <tr r="N48" s="66"/>
      </tp>
      <tp t="s">
        <v>Sr Unsecured</v>
        <stp/>
        <stp>##V3_BDPV12</stp>
        <stp>XS0357281558 Corp</stp>
        <stp>PAYMENT_RANK</stp>
        <stp>[upload (2).xlsm]Base all $ 3 Duration!R69C14</stp>
        <tr r="N69" s="66"/>
      </tp>
      <tp t="s">
        <v>Sr Unsecured</v>
        <stp/>
        <stp>##V3_BDPV12</stp>
        <stp>XS0381439305 Corp</stp>
        <stp>PAYMENT_RANK</stp>
        <stp>[upload (2).xlsm]Base all $ 3 Duration!R64C14</stp>
        <tr r="N64" s="66"/>
      </tp>
      <tp t="s">
        <v>Subordinated</v>
        <stp/>
        <stp>##V3_BDPV12</stp>
        <stp>XS0940730228 Corp</stp>
        <stp>PAYMENT_RANK</stp>
        <stp>[upload (2).xlsm]Base all $ 3 Duration!R25C14</stp>
        <tr r="N25" s="66"/>
      </tp>
      <tp t="s">
        <v>#N/A N/A</v>
        <stp/>
        <stp>##V3_BDPV12</stp>
        <stp>KMAZ RX EQUITY</stp>
        <stp>EBITDA_MARGIN</stp>
        <stp>[upload (2).xlsm]Model Portfolio!R73C23</stp>
        <tr r="W73" s="98"/>
      </tp>
      <tp>
        <v>5.0937885714386155</v>
        <stp/>
        <stp>##V3_BDPV12</stp>
        <stp>ROSN RX EQUITY</stp>
        <stp>EST_EV_THIS_YR_EBITDA</stp>
        <stp>[upload (2).xlsm]Model Portfolio!R17C16</stp>
        <tr r="P17" s="98"/>
      </tp>
      <tp>
        <v>43.455678670360108</v>
        <stp/>
        <stp>##V3_BDPV12</stp>
        <stp>GMKN RX EQUITY</stp>
        <stp>EBITDA_MARGIN</stp>
        <stp>[upload (2).xlsm]Model Portfolio!R29C23</stp>
        <tr r="W29" s="98"/>
      </tp>
      <tp>
        <v>-4.4286032957847921</v>
        <stp/>
        <stp>##V3_BDPV12</stp>
        <stp>XS0499245180 Corp</stp>
        <stp>INTERVAL_PERCENT_CHANGE</stp>
        <stp>[upload (2).xlsm]Base all $ 3 Duration!R84C17</stp>
        <stp>END_DATE_OVERRIDE</stp>
        <stp xml:space="preserve"> </stp>
        <stp>START_DATE_OVERRIDe</stp>
        <stp>20140716</stp>
        <tr r="Q84" s="66"/>
      </tp>
      <tp t="s">
        <v>WR</v>
        <stp/>
        <stp>##V3_BDPV12</stp>
        <stp>XS1059697323 Corp</stp>
        <stp>RTG_moody</stp>
        <stp>[upload (2).xlsm]Base all $ 3 Duration!R20C10</stp>
        <tr r="J20" s="66"/>
        <tr r="J20" s="66"/>
      </tp>
      <tp t="s">
        <v>Ba3</v>
        <stp/>
        <stp>##V3_BDPV12</stp>
        <stp>XS0923472814 Corp</stp>
        <stp>RTG_moody</stp>
        <stp>[upload (2).xlsm]Base all $ 3 Duration!R52C10</stp>
        <tr r="J52" s="66"/>
        <tr r="J52" s="66"/>
      </tp>
      <tp t="s">
        <v>B2</v>
        <stp/>
        <stp>##V3_BDPV12</stp>
        <stp>XS0851672435 Corp</stp>
        <stp>RTG_moody</stp>
        <stp>[upload (2).xlsm]Base all $ 3 Duration!R23C10</stp>
        <tr r="J23" s="66"/>
        <tr r="J23" s="66"/>
      </tp>
      <tp t="s">
        <v>#N/A N/A</v>
        <stp/>
        <stp>##V3_BDPV12</stp>
        <stp>XS0954673934 Corp</stp>
        <stp>RTG_moody</stp>
        <stp>[upload (2).xlsm]Base all $ 3 Duration!R16C10</stp>
        <tr r="J16" s="66"/>
      </tp>
      <tp>
        <v>9.9736314180340084</v>
        <stp/>
        <stp>##V3_BDPV12</stp>
        <stp>PHOR RX EQUITY</stp>
        <stp>EST_PE_NXT_YR</stp>
        <stp>[upload (2).xlsm]Model Portfolio!R32C15</stp>
        <tr r="O32" s="98"/>
      </tp>
      <tp t="s">
        <v>#N/A N/A</v>
        <stp/>
        <stp>##V3_BDPV12</stp>
        <stp>NMTP RX EQUITY</stp>
        <stp>EBITDA_MARGIN</stp>
        <stp>[upload (2).xlsm]Model Portfolio!R49C23</stp>
        <tr r="W49" s="98"/>
      </tp>
      <tp t="s">
        <v>WR</v>
        <stp/>
        <stp>##V3_BDPV12</stp>
        <stp>XS0292530309 Corp</stp>
        <stp>RTG_moody</stp>
        <stp>[upload (2).xlsm]Base all $ 3 Duration!R81C10</stp>
        <tr r="J81" s="66"/>
        <tr r="J81" s="66"/>
      </tp>
      <tp>
        <v>9.8362465177940575</v>
        <stp/>
        <stp>##V3_BDPV12</stp>
        <stp>CHMF RX EQUITY</stp>
        <stp>EST_PE_NXT_YR</stp>
        <stp>[upload (2).xlsm]Model Portfolio!R25C15</stp>
        <tr r="O25" s="98"/>
      </tp>
      <tp t="s">
        <v>WR</v>
        <stp/>
        <stp>##V3_BDPV12</stp>
        <stp>XS0643176448 Corp</stp>
        <stp>RTG_moody</stp>
        <stp>[upload (2).xlsm]Base all $ 3 Duration!R79C10</stp>
        <tr r="J79" s="66"/>
        <tr r="J79" s="66"/>
      </tp>
      <tp t="s">
        <v>Caa1</v>
        <stp/>
        <stp>##V3_BDPV12</stp>
        <stp>XS0869792928 Corp</stp>
        <stp>RTG_moody</stp>
        <stp>[upload (2).xlsm]Base all $ 3 Duration!R10C10</stp>
        <tr r="J10" s="66"/>
        <tr r="J10" s="66"/>
      </tp>
      <tp t="s">
        <v>WR</v>
        <stp/>
        <stp>##V3_BDPV12</stp>
        <stp>XS0640334768 Corp</stp>
        <stp>RTG_moody</stp>
        <stp>[upload (2).xlsm]Base all $ 3 Duration!R15C10</stp>
        <tr r="J15" s="66"/>
        <tr r="J15" s="66"/>
      </tp>
      <tp t="s">
        <v>NR</v>
        <stp/>
        <stp>##V3_BDPV12</stp>
        <stp>XS0924078453 Corp</stp>
        <stp>RTG_moody</stp>
        <stp>[upload (2).xlsm]Base all $ 3 Duration!R19C10</stp>
        <tr r="J19" s="66"/>
        <tr r="J19" s="66"/>
      </tp>
      <tp t="s">
        <v>C</v>
        <stp/>
        <stp>##V3_BDPV12</stp>
        <stp>XS0940730228 Corp</stp>
        <stp>RTG_moody</stp>
        <stp>[upload (2).xlsm]Base all $ 3 Duration!R25C10</stp>
        <tr r="J25" s="66"/>
        <tr r="J25" s="66"/>
      </tp>
      <tp t="s">
        <v>WR</v>
        <stp/>
        <stp>##V3_BDPV12</stp>
        <stp>XS0276456315 Corp</stp>
        <stp>RTG_moody</stp>
        <stp>[upload (2).xlsm]Base all $ 3 Duration!R90C10</stp>
        <tr r="J90" s="66"/>
        <tr r="J90" s="66"/>
      </tp>
      <tp t="s">
        <v>WR</v>
        <stp/>
        <stp>##V3_BDPV12</stp>
        <stp>XS0288690539 Corp</stp>
        <stp>RTG_moody</stp>
        <stp>[upload (2).xlsm]Base all $ 3 Duration!R62C10</stp>
        <tr r="J62" s="66"/>
        <tr r="J62" s="66"/>
      </tp>
      <tp t="s">
        <v>#N/A N/A</v>
        <stp/>
        <stp>##V3_BDPV12</stp>
        <stp>XS0719009754 Corp</stp>
        <stp>RTG_moody</stp>
        <stp>[upload (2).xlsm]Base all $ 3 Duration!R77C10</stp>
        <tr r="J77" s="66"/>
      </tp>
      <tp>
        <v>-3.5474268072040545</v>
        <stp/>
        <stp>##V3_BDPV12</stp>
        <stp>XS0630950870 Corp</stp>
        <stp>INTERVAL_PERCENT_CHANGE</stp>
        <stp>[upload (2).xlsm]Base all $ 3 Duration!R75C17</stp>
        <stp>END_DATE_OVERRIDE</stp>
        <stp xml:space="preserve"> </stp>
        <stp>START_DATE_OVERRIDe</stp>
        <stp>20140716</stp>
        <tr r="Q75" s="66"/>
      </tp>
      <tp t="s">
        <v>WR</v>
        <stp/>
        <stp>##V3_BDPV12</stp>
        <stp>XS0587030957 Corp</stp>
        <stp>RTG_moody</stp>
        <stp>[upload (2).xlsm]Base all $ 3 Duration!R95C10</stp>
        <tr r="J95" s="66"/>
        <tr r="J95" s="66"/>
      </tp>
      <tp>
        <v>1980</v>
        <stp/>
        <stp>##V3_BDPV12</stp>
        <stp>BANE RX EQUITY</stp>
        <stp>PX_LAST</stp>
        <stp>[upload (2).xlsm]Model Portfolio!R18C3</stp>
        <tr r="C18" s="98"/>
      </tp>
      <tp t="s">
        <v>#N/A N/A</v>
        <stp/>
        <stp>##V3_BDPV12</stp>
        <stp>MOEX RX EQUITY</stp>
        <stp>EST_EV_THIS_YR_EBITDA</stp>
        <stp>[upload (2).xlsm]Model Portfolio!R74C16</stp>
        <tr r="P74" s="98"/>
      </tp>
      <tp>
        <v>-1.9785244689878165</v>
        <stp/>
        <stp>##V3_BDPV12</stp>
        <stp>XS0559800122 Corp</stp>
        <stp>INTERVAL_PERCENT_CHANGE</stp>
        <stp>[upload (2).xlsm]Base all $ 3 Duration!R63C17</stp>
        <stp>END_DATE_OVERRIDE</stp>
        <stp xml:space="preserve"> </stp>
        <stp>START_DATE_OVERRIDe</stp>
        <stp>20140716</stp>
        <tr r="Q63" s="66"/>
      </tp>
      <tp t="s">
        <v>#N/A N/A</v>
        <stp/>
        <stp>##V3_BDPV12</stp>
        <stp>XS0783242877 Corp</stp>
        <stp>RTG_moody</stp>
        <stp>[upload (2).xlsm]Base all $ 3 Duration!R32C10</stp>
        <tr r="J32" s="66"/>
      </tp>
      <tp t="s">
        <v>WR</v>
        <stp/>
        <stp>##V3_BDPV12</stp>
        <stp>XS0426517701 Corp</stp>
        <stp>RTG_moody</stp>
        <stp>[upload (2).xlsm]Base all $ 3 Duration!R88C10</stp>
        <tr r="J88" s="66"/>
        <tr r="J88" s="66"/>
      </tp>
      <tp t="s">
        <v>N</v>
        <stp/>
        <stp>##V3_BDPV12</stp>
        <stp>XS0253861834 Corp</stp>
        <stp>RUSSIAN_CB_LOMBARD</stp>
        <stp>[upload (2).xlsm]Base all $ 3 Duration!R91C16</stp>
        <tr r="P91" s="66"/>
      </tp>
      <tp t="s">
        <v>Oil&amp;Gas</v>
        <stp/>
        <stp>##V3_BDPV12</stp>
        <stp>GAZP RX EQUITY</stp>
        <stp>INDUSTRY_GROUP</stp>
        <stp>[upload (2).xlsm]Model Portfolio!R12C13</stp>
        <tr r="M12" s="98"/>
      </tp>
      <tp t="s">
        <v>Y</v>
        <stp/>
        <stp>##V3_BDPV12</stp>
        <stp>XS0551315384 Corp</stp>
        <stp>RUSSIAN_CB_LOMBARD</stp>
        <stp>[upload (2).xlsm]Base all $ 3 Duration!R82C16</stp>
        <tr r="P82" s="66"/>
      </tp>
      <tp t="s">
        <v>Y</v>
        <stp/>
        <stp>##V3_BDPV12</stp>
        <stp>XS0879105558 Corp</stp>
        <stp>RUSSIAN_CB_LOMBARD</stp>
        <stp>[upload (2).xlsm]Base all $ 3 Duration!R38C16</stp>
        <tr r="P38" s="66"/>
      </tp>
      <tp t="s">
        <v>N</v>
        <stp/>
        <stp>##V3_BDPV12</stp>
        <stp>XS0312572984 Corp</stp>
        <stp>RUSSIAN_CB_LOMBARD</stp>
        <stp>[upload (2).xlsm]Base all $ 3 Duration!R22C16</stp>
        <tr r="P22" s="66"/>
      </tp>
      <tp t="s">
        <v>Y</v>
        <stp/>
        <stp>##V3_BDPV12</stp>
        <stp>XS0499245180 Corp</stp>
        <stp>RUSSIAN_CB_LOMBARD</stp>
        <stp>[upload (2).xlsm]Base all $ 3 Duration!R84C16</stp>
        <tr r="P84" s="66"/>
      </tp>
      <tp>
        <v>16.669421085889272</v>
        <stp/>
        <stp>##V3_BDPV12</stp>
        <stp>QIWI US EQUITY</stp>
        <stp>NORMALIZED_ROE</stp>
        <stp>[upload (2).xlsm]Model Portfolio!R40C26</stp>
        <tr r="Z40" s="98"/>
      </tp>
      <tp>
        <v>102.098</v>
        <stp/>
        <stp>##V3_BDPV12</stp>
        <stp>XS0830192711 Corp</stp>
        <stp>px_last</stp>
        <stp>[upload (2).xlsm]Base all $ 3 Duration!R143C4</stp>
        <tr r="D143" s="66"/>
      </tp>
      <tp>
        <v>107.23</v>
        <stp/>
        <stp>##V3_BDPV12</stp>
        <stp>XS0993162683 Corp</stp>
        <stp>px_last</stp>
        <stp>[upload (2).xlsm]Base all $ 3 Duration!R139C4</stp>
        <tr r="D139" s="66"/>
      </tp>
      <tp>
        <v>102.872</v>
        <stp/>
        <stp>##V3_BDPV12</stp>
        <stp>XS0864383723 Corp</stp>
        <stp>px_last</stp>
        <stp>[upload (2).xlsm]Base all $ 3 Duration!R147C4</stp>
        <tr r="D147" s="66"/>
      </tp>
      <tp>
        <v>100.72199999999999</v>
        <stp/>
        <stp>##V3_BDPV12</stp>
        <stp>XS0861981180 Corp</stp>
        <stp>px_last</stp>
        <stp>[upload (2).xlsm]Base all $ 3 Duration!R145C4</stp>
        <tr r="D145" s="66"/>
      </tp>
      <tp>
        <v>113.70699999999999</v>
        <stp/>
        <stp>##V3_BDPV12</stp>
        <stp>XS0979891925 Corp</stp>
        <stp>px_last</stp>
        <stp>[upload (2).xlsm]Base all $ 3 Duration!R124C4</stp>
        <tr r="D124" s="66"/>
      </tp>
      <tp>
        <v>114.645</v>
        <stp/>
        <stp>##V3_BDPV12</stp>
        <stp>XS0513723873 Corp</stp>
        <stp>px_last</stp>
        <stp>[upload (2).xlsm]Base all $ 3 Duration!R110C4</stp>
        <tr r="D110" s="66"/>
      </tp>
      <tp>
        <v>38.50780078013571</v>
        <stp/>
        <stp>##V3_BDPV12</stp>
        <stp>POG LN EQUITY</stp>
        <stp>PX_TO_FREE_CASH_FLOW</stp>
        <stp>[upload (2).xlsm]Model Portfolio!R7C19</stp>
        <tr r="S7" s="98"/>
      </tp>
      <tp t="s">
        <v>#N/A Field Not Applicable</v>
        <stp/>
        <stp>##V3_BDPV12</stp>
        <stp>KMG LI EQUITY</stp>
        <stp>PX_TO_FREE_CASH_FLOW</stp>
        <stp>[upload (2).xlsm]Model Portfolio!R9C19</stp>
        <tr r="S9" s="98"/>
      </tp>
      <tp>
        <v>31.695828145223992</v>
        <stp/>
        <stp>##V3_BDPV12</stp>
        <stp>POLY LN EQUITY</stp>
        <stp>PX_TO_FREE_CASH_FLOW</stp>
        <stp>[upload (2).xlsm]Model Portfolio!R6C19</stp>
        <tr r="S6" s="98"/>
      </tp>
      <tp t="s">
        <v>#N/A N/A</v>
        <stp/>
        <stp>##V3_BDPV12</stp>
        <stp>NORD LI EQUITY</stp>
        <stp>EST_PE_NXT_YR</stp>
        <stp>[upload (2).xlsm]Model Portfolio!R3C15</stp>
        <tr r="O3" s="98"/>
      </tp>
      <tp t="s">
        <v>#N/A N/A</v>
        <stp/>
        <stp>##V3_BDPV12</stp>
        <stp>XS0524658852 Corp</stp>
        <stp>PX_GROSS_MID</stp>
        <stp>[upload (2).xlsm]Base all $ 3 Duration!R68C19</stp>
        <tr r="S68" s="66"/>
      </tp>
      <tp>
        <v>112.66905555555556</v>
        <stp/>
        <stp>##V3_BDPV12</stp>
        <stp>XS0848163456 Corp</stp>
        <stp>PX_GROSS_MID</stp>
        <stp>[upload (2).xlsm]Base all $ 3 Duration!R18C19</stp>
        <tr r="S18" s="66"/>
      </tp>
      <tp>
        <v>102.40266666666668</v>
        <stp/>
        <stp>##V3_BDPV12</stp>
        <stp>XS0879105558 Corp</stp>
        <stp>PX_GROSS_MID</stp>
        <stp>[upload (2).xlsm]Base all $ 3 Duration!R38C19</stp>
        <tr r="S38" s="66"/>
      </tp>
      <tp>
        <v>0.6269678302532512</v>
        <stp/>
        <stp>##V3_BDPV12</stp>
        <stp>XS0920334900 Corp</stp>
        <stp>MTY_YEARS_TDY</stp>
        <stp>[upload (2).xlsm]Base all $ 3 Duration!R6C3</stp>
        <tr r="C6" s="66"/>
      </tp>
      <tp>
        <v>105.22129166666667</v>
        <stp/>
        <stp>##V3_BDPV12</stp>
        <stp>XS0365923977 Corp</stp>
        <stp>PX_GROSS_MID</stp>
        <stp>[upload (2).xlsm]Base all $ 3 Duration!R57C19</stp>
        <tr r="S57" s="66"/>
      </tp>
      <tp t="s">
        <v>#N/A N/A</v>
        <stp/>
        <stp>##V3_BDPV12</stp>
        <stp>NORD LI EQUITY</stp>
        <stp>CURRENT_EV_TO_12M_SALES</stp>
        <stp>[upload (2).xlsm]Model Portfolio!R3C17</stp>
        <tr r="Q3" s="98"/>
      </tp>
      <tp t="s">
        <v>Sr Unsecured</v>
        <stp/>
        <stp>##V3_BDPV12</stp>
        <stp>XS1040726587 Corp</stp>
        <stp>PAYMENT_RANK</stp>
        <stp>[upload (2).xlsm]Base all $ 3 Duration!R41C14</stp>
        <tr r="N41" s="66"/>
      </tp>
      <tp t="s">
        <v>Sr Unsecured</v>
        <stp/>
        <stp>##V3_BDPV12</stp>
        <stp>XS0922134712 Corp</stp>
        <stp>PAYMENT_RANK</stp>
        <stp>[upload (2).xlsm]Base all $ 3 Duration!R76C14</stp>
        <tr r="N76" s="66"/>
      </tp>
      <tp t="s">
        <v>Sr Unsecured</v>
        <stp/>
        <stp>##V3_BDPV12</stp>
        <stp>XS0276456315 Corp</stp>
        <stp>PAYMENT_RANK</stp>
        <stp>[upload (2).xlsm]Base all $ 3 Duration!R90C14</stp>
        <tr r="N90" s="66"/>
      </tp>
      <tp t="s">
        <v>Subordinated</v>
        <stp/>
        <stp>##V3_BDPV12</stp>
        <stp>XS0851672435 Corp</stp>
        <stp>PAYMENT_RANK</stp>
        <stp>[upload (2).xlsm]Base all $ 3 Duration!R23C14</stp>
        <tr r="N23" s="66"/>
      </tp>
      <tp t="s">
        <v>19/07/2017</v>
        <stp/>
        <stp>##V3_BDPV12</stp>
        <stp>FEES RX EQUITY</stp>
        <stp>DVD_RECORD_DT</stp>
        <stp>[upload (2).xlsm]Model Portfolio!R56C28</stp>
        <tr r="AB56" s="98"/>
      </tp>
      <tp>
        <v>26.246408653033633</v>
        <stp/>
        <stp>##V3_BDPV12</stp>
        <stp>DIXY RX EQUITY</stp>
        <stp>EST_PE_NXT_YR</stp>
        <stp>[upload (2).xlsm]Model Portfolio!R34C15</stp>
        <tr r="O34" s="98"/>
      </tp>
      <tp t="s">
        <v>#N/A N/A</v>
        <stp/>
        <stp>##V3_BDPV12</stp>
        <stp>LNTA LI EQUITY</stp>
        <stp>BDVD_NEXT_EST_DECL_DT</stp>
        <stp>[upload (2).xlsm]Model Portfolio!R37C31</stp>
        <tr r="AE37" s="98"/>
      </tp>
      <tp>
        <v>7.8697640877810677</v>
        <stp/>
        <stp>##V3_BDPV12</stp>
        <stp>QIWI US EQUITY</stp>
        <stp>EST_EV_THIS_YR_EBITDA</stp>
        <stp>[upload (2).xlsm]Model Portfolio!R40C16</stp>
        <tr r="P40" s="98"/>
      </tp>
      <tp>
        <v>27.126899074409433</v>
        <stp/>
        <stp>##V3_BDPV12</stp>
        <stp>NLMK RX EQUITY</stp>
        <stp>EBITDA_MARGIN</stp>
        <stp>[upload (2).xlsm]Model Portfolio!R22C23</stp>
        <tr r="W22" s="98"/>
      </tp>
      <tp>
        <v>5.0316270000000003</v>
        <stp/>
        <stp>##V3_BDPV12</stp>
        <stp>PLZL RX EQUITY</stp>
        <stp>CHG_PCT_1YR</stp>
        <stp>[upload (2).xlsm]Model Portfolio!R2C6</stp>
        <tr r="F2" s="98"/>
      </tp>
      <tp>
        <v>4.58</v>
        <stp/>
        <stp>##V3_BDPV12</stp>
        <stp>GLPR LI EQUITY</stp>
        <stp>PX_LAST</stp>
        <stp>[upload (2).xlsm]Model Portfolio!R46C3</stp>
        <tr r="C46" s="98"/>
      </tp>
      <tp>
        <v>28.05</v>
        <stp/>
        <stp>##V3_BDPV12</stp>
        <stp>SNGS RX EQUITY</stp>
        <stp>PX_LAST</stp>
        <stp>[upload (2).xlsm]Model Portfolio!R10C3</stp>
        <tr r="C10" s="98"/>
      </tp>
      <tp>
        <v>7.8491</v>
        <stp/>
        <stp>##V3_BDPV12</stp>
        <stp>NOK Curncy</stp>
        <stp>PX_LAST</stp>
        <stp>[upload (2).xlsm]Model Portfolio!R1C45</stp>
        <tr r="AS1" s="98"/>
      </tp>
      <tp t="s">
        <v>08/12/2017</v>
        <stp/>
        <stp>##V3_BDPV12</stp>
        <stp>UPRO RX EQUITY</stp>
        <stp>BDVD_NEXT_EST_DECL_DT</stp>
        <stp>[upload (2).xlsm]Model Portfolio!R52C31</stp>
        <tr r="AE52" s="98"/>
      </tp>
      <tp>
        <v>2.7295285359801489</v>
        <stp/>
        <stp>##V3_BDPV12</stp>
        <stp>XS0889401054 Corp</stp>
        <stp>INTERVAL_PERCENT_CHANGE</stp>
        <stp>[upload (2).xlsm]Base all $ 3 Duration!R39C17</stp>
        <stp>END_DATE_OVERRIDE</stp>
        <stp xml:space="preserve"> </stp>
        <stp>START_DATE_OVERRIDe</stp>
        <stp>20140716</stp>
        <tr r="Q39" s="66"/>
      </tp>
      <tp t="s">
        <v>WR</v>
        <stp/>
        <stp>##V3_BDPV12</stp>
        <stp>XS0299183250 Corp</stp>
        <stp>RTG_moody</stp>
        <stp>[upload (2).xlsm]Base all $ 3 Duration!R40C10</stp>
        <tr r="J40" s="66"/>
        <tr r="J40" s="66"/>
      </tp>
      <tp>
        <v>26.630049911328463</v>
        <stp/>
        <stp>##V3_BDPV12</stp>
        <stp>YNDX US EQUITY</stp>
        <stp>EST_PE_NXT_YR</stp>
        <stp>[upload (2).xlsm]Model Portfolio!R43C15</stp>
        <tr r="O43" s="98"/>
      </tp>
      <tp t="s">
        <v>#N/A Field Not Applicable</v>
        <stp/>
        <stp>##V3_BDPV12</stp>
        <stp>FESH RX EQUITY</stp>
        <stp>DVD_RECORD_DT</stp>
        <stp>[upload (2).xlsm]Model Portfolio!R45C28</stp>
        <tr r="AB45" s="98"/>
      </tp>
      <tp t="s">
        <v>B2</v>
        <stp/>
        <stp>##V3_BDPV12</stp>
        <stp>XS0848163456 Corp</stp>
        <stp>RTG_moody</stp>
        <stp>[upload (2).xlsm]Base all $ 3 Duration!R18C10</stp>
        <tr r="J18" s="66"/>
        <tr r="J18" s="66"/>
      </tp>
      <tp t="s">
        <v>B1</v>
        <stp/>
        <stp>##V3_BDPV12</stp>
        <stp>XS0974469206 Corp</stp>
        <stp>RTG_moody</stp>
        <stp>[upload (2).xlsm]Base all $ 3 Duration!R14C10</stp>
        <tr r="J14" s="66"/>
        <tr r="J14" s="66"/>
      </tp>
      <tp t="s">
        <v>#N/A N/A</v>
        <stp/>
        <stp>##V3_BDPV12</stp>
        <stp>PIKK RX EQUITY</stp>
        <stp>EST_PE_NXT_YR</stp>
        <stp>[upload (2).xlsm]Model Portfolio!R68C15</stp>
        <tr r="O68" s="98"/>
      </tp>
      <tp>
        <v>2.0826452648631548</v>
        <stp/>
        <stp>##V3_BDPV12</stp>
        <stp>XS0888245122 Corp</stp>
        <stp>INTERVAL_PERCENT_CHANGE</stp>
        <stp>[upload (2).xlsm]Base all $ 3 Duration!R73C17</stp>
        <stp>END_DATE_OVERRIDE</stp>
        <stp xml:space="preserve"> </stp>
        <stp>START_DATE_OVERRIDe</stp>
        <stp>20140716</stp>
        <tr r="Q73" s="66"/>
      </tp>
      <tp>
        <v>224.15</v>
        <stp/>
        <stp>##V3_BDPV12</stp>
        <stp>SIBN RX EQUITY</stp>
        <stp>PX_LAST</stp>
        <stp>[upload (2).xlsm]Model Portfolio!R15C3</stp>
        <tr r="C15" s="98"/>
      </tp>
      <tp t="s">
        <v>Ba3</v>
        <stp/>
        <stp>##V3_BDPV12</stp>
        <stp>XS0832412505 Corp</stp>
        <stp>RTG_moody</stp>
        <stp>[upload (2).xlsm]Base all $ 3 Duration!R30C10</stp>
        <tr r="J30" s="66"/>
        <tr r="J30" s="66"/>
      </tp>
      <tp>
        <v>-2.5896388959419032</v>
        <stp/>
        <stp>##V3_BDPV12</stp>
        <stp>XS0361041808 Corp</stp>
        <stp>INTERVAL_PERCENT_CHANGE</stp>
        <stp>[upload (2).xlsm]Base all $ 3 Duration!R51C17</stp>
        <stp>END_DATE_OVERRIDE</stp>
        <stp xml:space="preserve"> </stp>
        <stp>START_DATE_OVERRIDe</stp>
        <stp>20140716</stp>
        <tr r="Q51" s="66"/>
      </tp>
      <tp t="s">
        <v>B1</v>
        <stp/>
        <stp>##V3_BDPV12</stp>
        <stp>XS0879105558 Corp</stp>
        <stp>RTG_moody</stp>
        <stp>[upload (2).xlsm]Base all $ 3 Duration!R38C10</stp>
        <tr r="J38" s="66"/>
        <tr r="J38" s="66"/>
      </tp>
      <tp t="s">
        <v>Ba2</v>
        <stp/>
        <stp>##V3_BDPV12</stp>
        <stp>XS0544362972 Corp</stp>
        <stp>RTG_moody</stp>
        <stp>[upload (2).xlsm]Base all $ 3 Duration!R70C10</stp>
        <tr r="J70" s="66"/>
        <tr r="J70" s="66"/>
      </tp>
      <tp t="s">
        <v>#N/A N/A</v>
        <stp/>
        <stp>##V3_BDPV12</stp>
        <stp>SNGS RX EQUITY</stp>
        <stp>EST_EV_THIS_YR_EBITDA</stp>
        <stp>[upload (2).xlsm]Model Portfolio!R10C16</stp>
        <tr r="P10" s="98"/>
      </tp>
      <tp>
        <v>4.007352417260714</v>
        <stp/>
        <stp>##V3_BDPV12</stp>
        <stp>ENRU RM EQUITY</stp>
        <stp>EST_EV_THIS_YR_EBITDA</stp>
        <stp>[upload (2).xlsm]Model Portfolio!R53C16</stp>
        <tr r="P53" s="98"/>
      </tp>
      <tp>
        <v>4.4837038074468296</v>
        <stp/>
        <stp>##V3_BDPV12</stp>
        <stp>SIBN RX EQUITY</stp>
        <stp>EST_PE_NXT_YR</stp>
        <stp>[upload (2).xlsm]Model Portfolio!R15C15</stp>
        <tr r="O15" s="98"/>
      </tp>
      <tp t="s">
        <v>B2</v>
        <stp/>
        <stp>##V3_BDPV12</stp>
        <stp>XS0779213460 Corp</stp>
        <stp>RTG_moody</stp>
        <stp>[upload (2).xlsm]Base all $ 3 Duration!R33C10</stp>
        <tr r="J33" s="66"/>
        <tr r="J33" s="66"/>
      </tp>
      <tp t="s">
        <v>Ba1</v>
        <stp/>
        <stp>##V3_BDPV12</stp>
        <stp>XS0381439305 Corp</stp>
        <stp>RTG_moody</stp>
        <stp>[upload (2).xlsm]Base all $ 3 Duration!R64C10</stp>
        <tr r="J64" s="66"/>
        <tr r="J64" s="66"/>
      </tp>
      <tp t="s">
        <v>Y</v>
        <stp/>
        <stp>##V3_BDPV12</stp>
        <stp>XS0863583281 Corp</stp>
        <stp>RUSSIAN_CB_LOMBARD</stp>
        <stp>[upload (2).xlsm]Base all $ 3 Duration!R67C16</stp>
        <tr r="P67" s="66"/>
      </tp>
      <tp t="s">
        <v>Y</v>
        <stp/>
        <stp>##V3_BDPV12</stp>
        <stp>XS0544362972 Corp</stp>
        <stp>RUSSIAN_CB_LOMBARD</stp>
        <stp>[upload (2).xlsm]Base all $ 3 Duration!R70C16</stp>
        <tr r="P70" s="66"/>
      </tp>
      <tp t="s">
        <v>Y</v>
        <stp/>
        <stp>##V3_BDPV12</stp>
        <stp>XS0772835285 Corp</stp>
        <stp>RUSSIAN_CB_LOMBARD</stp>
        <stp>[upload (2).xlsm]Base all $ 3 Duration!R31C16</stp>
        <tr r="P31" s="66"/>
      </tp>
      <tp t="s">
        <v>Y</v>
        <stp/>
        <stp>##V3_BDPV12</stp>
        <stp>XS0783934325 Corp</stp>
        <stp>RUSSIAN_CB_LOMBARD</stp>
        <stp>[upload (2).xlsm]Base all $ 3 Duration!R47C16</stp>
        <tr r="P47" s="66"/>
      </tp>
      <tp>
        <v>8.1795458171568374</v>
        <stp/>
        <stp>##V3_BDPV12</stp>
        <stp>ETLN LI EQUITY</stp>
        <stp>NORMALIZED_ROE</stp>
        <stp>[upload (2).xlsm]Model Portfolio!R70C26</stp>
        <tr r="Z70" s="98"/>
      </tp>
      <tp t="s">
        <v>Y</v>
        <stp/>
        <stp>##V3_BDPV12</stp>
        <stp>XS0587030957 Corp</stp>
        <stp>RUSSIAN_CB_LOMBARD</stp>
        <stp>[upload (2).xlsm]Base all $ 3 Duration!R95C16</stp>
        <tr r="P95" s="66"/>
      </tp>
      <tp>
        <v>103.858</v>
        <stp/>
        <stp>##V3_BDPV12</stp>
        <stp>XS0935311240 Corp</stp>
        <stp>px_last</stp>
        <stp>[upload (2).xlsm]Base all $ 3 Duration!R131C4</stp>
        <tr r="D131" s="66"/>
      </tp>
      <tp>
        <v>109.536</v>
        <stp/>
        <stp>##V3_BDPV12</stp>
        <stp>XS0484209159 Corp</stp>
        <stp>px_last</stp>
        <stp>[upload (2).xlsm]Base all $ 3 Duration!R112C4</stp>
        <tr r="D112" s="66"/>
      </tp>
      <tp>
        <v>9.6267220432099005</v>
        <stp/>
        <stp>##V3_BDPV12</stp>
        <stp>EVR LN EQUITY</stp>
        <stp>EST_PE_NXT_YR</stp>
        <stp>[upload (2).xlsm]Model Portfolio!R26C15</stp>
        <tr r="O26" s="98"/>
      </tp>
      <tp t="s">
        <v>13/09/2017</v>
        <stp/>
        <stp>##V3_BDPV12</stp>
        <stp>AGRO LI Equity</stp>
        <stp>DVD_EX_DT</stp>
        <stp>[Copy of upload (2).xlsm]Гарез_GRENF!R8C21</stp>
        <tr r="U8" s="115"/>
      </tp>
      <tp>
        <v>37.16216</v>
        <stp/>
        <stp>##V3_BDPV12</stp>
        <stp>KMG LI EQUITY</stp>
        <stp>CHG_PCT_1YR</stp>
        <stp>[upload (2).xlsm]Model Portfolio!R9C6</stp>
        <tr r="F9" s="98"/>
      </tp>
      <tp>
        <v>104.02975000000001</v>
        <stp/>
        <stp>##V3_BDPV12</stp>
        <stp>XS0544362972 Corp</stp>
        <stp>PX_GROSS_MID</stp>
        <stp>[upload (2).xlsm]Base all $ 3 Duration!R70C19</stp>
        <tr r="S70" s="66"/>
      </tp>
      <tp>
        <v>108.0413888888889</v>
        <stp/>
        <stp>##V3_BDPV12</stp>
        <stp>XS0779213460 Corp</stp>
        <stp>PX_GROSS_MID</stp>
        <stp>[upload (2).xlsm]Base all $ 3 Duration!R33C19</stp>
        <tr r="S33" s="66"/>
      </tp>
      <tp>
        <v>113.94408333333332</v>
        <stp/>
        <stp>##V3_BDPV12</stp>
        <stp>XS0954673934 Corp</stp>
        <stp>PX_GROSS_MID</stp>
        <stp>[upload (2).xlsm]Base all $ 3 Duration!R16C19</stp>
        <tr r="S16" s="66"/>
      </tp>
      <tp t="s">
        <v>#N/A N/A</v>
        <stp/>
        <stp>##V3_BDPV12</stp>
        <stp>XS0288690539 Corp</stp>
        <stp>PX_GROSS_MID</stp>
        <stp>[upload (2).xlsm]Base all $ 3 Duration!R62C19</stp>
        <tr r="S62" s="66"/>
      </tp>
      <tp>
        <v>102.2603888888889</v>
        <stp/>
        <stp>##V3_BDPV12</stp>
        <stp>XS0919502434 Corp</stp>
        <stp>PX_GROSS_MID</stp>
        <stp>[upload (2).xlsm]Base all $ 3 Duration!R66C19</stp>
        <tr r="S66" s="66"/>
      </tp>
      <tp t="s">
        <v>#N/A N/A</v>
        <stp/>
        <stp>##V3_BDPV12</stp>
        <stp>XS0304273948 Corp</stp>
        <stp>PX_GROSS_MID</stp>
        <stp>[upload (2).xlsm]Base all $ 3 Duration!R87C19</stp>
        <tr r="S87" s="66"/>
      </tp>
      <tp>
        <v>102.83450000000001</v>
        <stp/>
        <stp>##V3_BDPV12</stp>
        <stp>XS0955232854 Corp</stp>
        <stp>PX_GROSS_MID</stp>
        <stp>[upload (2).xlsm]Base all $ 3 Duration!R45C19</stp>
        <tr r="S45" s="66"/>
      </tp>
      <tp>
        <v>102.90025</v>
        <stp/>
        <stp>##V3_BDPV12</stp>
        <stp>XS0324963932 Corp</stp>
        <stp>PX_GROSS_MID</stp>
        <stp>[upload (2).xlsm]Base all $ 3 Duration!R59C19</stp>
        <tr r="S59" s="66"/>
      </tp>
      <tp>
        <v>1.8909199999999999</v>
        <stp/>
        <stp>##V3_BDPV12</stp>
        <stp>RTKMP RX EQUITY</stp>
        <stp>CHG_PCT_1M</stp>
        <stp>[upload (2).xlsm]Model Portfolio!R63C5</stp>
        <tr r="E63" s="98"/>
      </tp>
      <tp t="s">
        <v>#N/A N/A</v>
        <stp/>
        <stp>##V3_BDPV12</stp>
        <stp>XS0648402583 Corp</stp>
        <stp>PX_GROSS_MID</stp>
        <stp>[upload (2).xlsm]Base all $ 3 Duration!R92C19</stp>
        <tr r="S92" s="66"/>
      </tp>
      <tp>
        <v>113.70288888888889</v>
        <stp/>
        <stp>##V3_BDPV12</stp>
        <stp>XS0424860947 Corp</stp>
        <stp>PX_GROSS_MID</stp>
        <stp>[upload (2).xlsm]Base all $ 3 Duration!R46C19</stp>
        <tr r="S46" s="66"/>
      </tp>
      <tp t="s">
        <v>Sr Unsecured</v>
        <stp/>
        <stp>##V3_BDPV12</stp>
        <stp>XS0543956717 Corp</stp>
        <stp>PAYMENT_RANK</stp>
        <stp>[upload (2).xlsm]Base all $ 3 Duration!R85C14</stp>
        <tr r="N85" s="66"/>
      </tp>
      <tp t="s">
        <v>Sr Unsecured</v>
        <stp/>
        <stp>##V3_BDPV12</stp>
        <stp>XS0461926569 Corp</stp>
        <stp>PAYMENT_RANK</stp>
        <stp>[upload (2).xlsm]Base all $ 3 Duration!R53C14</stp>
        <tr r="N53" s="66"/>
      </tp>
      <tp t="s">
        <v>Sr Unsecured</v>
        <stp/>
        <stp>##V3_BDPV12</stp>
        <stp>XS0796426228 Corp</stp>
        <stp>PAYMENT_RANK</stp>
        <stp>[upload (2).xlsm]Base all $ 3 Duration!R54C14</stp>
        <tr r="N54" s="66"/>
      </tp>
      <tp t="s">
        <v>#N/A N/A</v>
        <stp/>
        <stp>##V3_BDPV12</stp>
        <stp>MOEX RX EQUITY</stp>
        <stp>EBITDA_MARGIN</stp>
        <stp>[upload (2).xlsm]Model Portfolio!R74C23</stp>
        <tr r="W74" s="98"/>
      </tp>
      <tp>
        <v>5.4032723668657994</v>
        <stp/>
        <stp>##V3_BDPV12</stp>
        <stp>ETLN LI EQUITY</stp>
        <stp>EST_PE_NXT_YR</stp>
        <stp>[upload (2).xlsm]Model Portfolio!R70C15</stp>
        <tr r="O70" s="98"/>
      </tp>
      <tp t="s">
        <v>11/08/2017</v>
        <stp/>
        <stp>##V3_BDPV12</stp>
        <stp>FXPO LN EQUITY</stp>
        <stp>DVD_RECORD_DT</stp>
        <stp>[upload (2).xlsm]Model Portfolio!R27C28</stp>
        <tr r="AB27" s="98"/>
      </tp>
      <tp t="s">
        <v>CALLABLE</v>
        <stp/>
        <stp>##V3_BDPV12</stp>
        <stp>XS0238091507 Corp</stp>
        <stp>MTY_TYP</stp>
        <stp>[upload (2).xlsm]Base all $ 3 Duration!R5C15</stp>
        <tr r="O5" s="66"/>
      </tp>
      <tp t="s">
        <v>13/07/2017</v>
        <stp/>
        <stp>##V3_BDPV12</stp>
        <stp>AFKS RX EQUITY</stp>
        <stp>DVD_RECORD_DT</stp>
        <stp>[upload (2).xlsm]Model Portfolio!R64C28</stp>
        <tr r="AB64" s="98"/>
      </tp>
      <tp t="s">
        <v>#N/A N/A</v>
        <stp/>
        <stp>##V3_BDPV12</stp>
        <stp>MSNG RX EQUITY</stp>
        <stp>BDVD_NEXT_EST_DECL_DT</stp>
        <stp>[upload (2).xlsm]Model Portfolio!R55C31</stp>
        <tr r="AE55" s="98"/>
      </tp>
      <tp t="s">
        <v>14/07/2017</v>
        <stp/>
        <stp>##V3_BDPV12</stp>
        <stp>AFLT RX EQUITY</stp>
        <stp>DVD_RECORD_DT</stp>
        <stp>[upload (2).xlsm]Model Portfolio!R47C28</stp>
        <tr r="AB47" s="98"/>
      </tp>
      <tp>
        <v>1.17</v>
        <stp/>
        <stp>##V3_BDPV12</stp>
        <stp>ENRU RM EQUITY</stp>
        <stp>PX_LAST</stp>
        <stp>[upload (2).xlsm]Model Portfolio!R53C3</stp>
        <tr r="C53" s="98"/>
      </tp>
      <tp t="s">
        <v>11/07/2017</v>
        <stp/>
        <stp>##V3_BDPV12</stp>
        <stp>MFON RX EQUITY</stp>
        <stp>DVD_RECORD_DT</stp>
        <stp>[upload (2).xlsm]Model Portfolio!R62C28</stp>
        <tr r="AB62" s="98"/>
      </tp>
      <tp>
        <v>6.2979167051823186</v>
        <stp/>
        <stp>##V3_BDPV12</stp>
        <stp>NMTP RX EQUITY</stp>
        <stp>EST_EV_THIS_YR_EBITDA</stp>
        <stp>[upload (2).xlsm]Model Portfolio!R49C16</stp>
        <tr r="P49" s="98"/>
      </tp>
      <tp t="s">
        <v>15/09/2017</v>
        <stp/>
        <stp>##V3_BDPV12</stp>
        <stp>LSRG RX EQUITY</stp>
        <stp>BDVD_NEXT_EST_DECL_DT</stp>
        <stp>[upload (2).xlsm]Model Portfolio!R69C31</stp>
        <tr r="AE69" s="98"/>
      </tp>
      <tp>
        <v>7.8296820228366206</v>
        <stp/>
        <stp>##V3_BDPV12</stp>
        <stp>GMKN RX EQUITY</stp>
        <stp>EST_EV_THIS_YR_EBITDA</stp>
        <stp>[upload (2).xlsm]Model Portfolio!R29C16</stp>
        <tr r="P29" s="98"/>
      </tp>
      <tp t="s">
        <v>#N/A N/A</v>
        <stp/>
        <stp>##V3_BDPV12</stp>
        <stp>MSRS RX EQUITY</stp>
        <stp>BDVD_NEXT_EST_DECL_DT</stp>
        <stp>[upload (2).xlsm]Model Portfolio!R59C31</stp>
        <tr r="AE59" s="98"/>
      </tp>
      <tp>
        <v>2.3922121667554084</v>
        <stp/>
        <stp>##V3_BDPV12</stp>
        <stp>XS0799357354 Corp</stp>
        <stp>INTERVAL_PERCENT_CHANGE</stp>
        <stp>[upload (2).xlsm]Base all $ 3 Duration!R55C17</stp>
        <stp>END_DATE_OVERRIDE</stp>
        <stp xml:space="preserve"> </stp>
        <stp>START_DATE_OVERRIDe</stp>
        <stp>20140716</stp>
        <tr r="Q55" s="66"/>
      </tp>
      <tp>
        <v>0.36294073144051481</v>
        <stp/>
        <stp>##V3_BDPV12</stp>
        <stp>XS0359381331 Corp</stp>
        <stp>INTERVAL_PERCENT_CHANGE</stp>
        <stp>[upload (2).xlsm]Base all $ 3 Duration!R36C17</stp>
        <stp>END_DATE_OVERRIDE</stp>
        <stp xml:space="preserve"> </stp>
        <stp>START_DATE_OVERRIDe</stp>
        <stp>20140716</stp>
        <tr r="Q36" s="66"/>
      </tp>
      <tp t="s">
        <v>#N/A N/A</v>
        <stp/>
        <stp>##V3_BDPV12</stp>
        <stp>BSPB RX EQUITY</stp>
        <stp>BDVD_NEXT_EST_DECL_DT</stp>
        <stp>[upload (2).xlsm]Model Portfolio!R77C31</stp>
        <tr r="AE77" s="98"/>
      </tp>
      <tp t="s">
        <v>B2</v>
        <stp/>
        <stp>##V3_BDPV12</stp>
        <stp>XS0808636913 Corp</stp>
        <stp>RTG_moody</stp>
        <stp>[upload (2).xlsm]Base all $ 3 Duration!R17C10</stp>
        <tr r="J17" s="66"/>
        <tr r="J17" s="66"/>
      </tp>
      <tp>
        <v>-97.858043836087589</v>
        <stp/>
        <stp>##V3_BDPV12</stp>
        <stp>XS0993279958 Corp</stp>
        <stp>INTERVAL_PERCENT_CHANGE</stp>
        <stp>[upload (2).xlsm]Base all $ 3 Duration!R13C17</stp>
        <stp>END_DATE_OVERRIDE</stp>
        <stp xml:space="preserve"> </stp>
        <stp>START_DATE_OVERRIDe</stp>
        <stp>20140716</stp>
        <tr r="Q13" s="66"/>
      </tp>
      <tp t="s">
        <v>Ba2</v>
        <stp/>
        <stp>##V3_BDPV12</stp>
        <stp>XS0955232854 Corp</stp>
        <stp>RTG_moody</stp>
        <stp>[upload (2).xlsm]Base all $ 3 Duration!R45C10</stp>
        <tr r="J45" s="66"/>
        <tr r="J45" s="66"/>
      </tp>
      <tp t="s">
        <v>#N/A N/A</v>
        <stp/>
        <stp>##V3_BDPV12</stp>
        <stp>XS1059697323 Corp</stp>
        <stp>INTERVAL_PERCENT_CHANGE</stp>
        <stp>[upload (2).xlsm]Base all $ 3 Duration!R20C17</stp>
        <stp>END_DATE_OVERRIDE</stp>
        <stp xml:space="preserve"> </stp>
        <stp>START_DATE_OVERRIDe</stp>
        <stp>20140716</stp>
        <tr r="Q20" s="66"/>
      </tp>
      <tp>
        <v>20.500271886895053</v>
        <stp/>
        <stp>##V3_BDPV12</stp>
        <stp>ROSN RX EQUITY</stp>
        <stp>EBITDA_MARGIN</stp>
        <stp>[upload (2).xlsm]Model Portfolio!R17C23</stp>
        <tr r="W17" s="98"/>
      </tp>
      <tp t="s">
        <v>#N/A N/A</v>
        <stp/>
        <stp>##V3_BDPV12</stp>
        <stp>RSTI RX EQUITY</stp>
        <stp>BDVD_NEXT_EST_DECL_DT</stp>
        <stp>[upload (2).xlsm]Model Portfolio!R54C31</stp>
        <tr r="AE54" s="98"/>
      </tp>
      <tp>
        <v>42.75</v>
        <stp/>
        <stp>##V3_BDPV12</stp>
        <stp>MAGN RX EQUITY</stp>
        <stp>PX_LAST</stp>
        <stp>[upload (2).xlsm]Model Portfolio!R23C3</stp>
        <tr r="C23" s="98"/>
      </tp>
      <tp>
        <v>1.2047017509632729</v>
        <stp/>
        <stp>##V3_BDPV12</stp>
        <stp>XS0552679879 Corp</stp>
        <stp>INTERVAL_PERCENT_CHANGE</stp>
        <stp>[upload (2).xlsm]Base all $ 3 Duration!R43C17</stp>
        <stp>END_DATE_OVERRIDE</stp>
        <stp xml:space="preserve"> </stp>
        <stp>START_DATE_OVERRIDe</stp>
        <stp>20140716</stp>
        <tr r="Q43" s="66"/>
      </tp>
      <tp>
        <v>4.8028696700221447</v>
        <stp/>
        <stp>##V3_BDPV12</stp>
        <stp>XS0618905219 Corp</stp>
        <stp>INTERVAL_PERCENT_CHANGE</stp>
        <stp>[upload (2).xlsm]Base all $ 3 Duration!R37C17</stp>
        <stp>END_DATE_OVERRIDE</stp>
        <stp xml:space="preserve"> </stp>
        <stp>START_DATE_OVERRIDe</stp>
        <stp>20140716</stp>
        <tr r="Q37" s="66"/>
      </tp>
      <tp t="s">
        <v>Ba1</v>
        <stp/>
        <stp>##V3_BDPV12</stp>
        <stp>XS0357281558 Corp</stp>
        <stp>RTG_moody</stp>
        <stp>[upload (2).xlsm]Base all $ 3 Duration!R69C10</stp>
        <tr r="J69" s="66"/>
        <tr r="J69" s="66"/>
      </tp>
      <tp t="s">
        <v>#N/A N/A</v>
        <stp/>
        <stp>##V3_BDPV12</stp>
        <stp>KMAZ RX EQUITY</stp>
        <stp>EST_EV_THIS_YR_EBITDA</stp>
        <stp>[upload (2).xlsm]Model Portfolio!R73C16</stp>
        <tr r="P73" s="98"/>
      </tp>
      <tp t="s">
        <v>WR</v>
        <stp/>
        <stp>##V3_BDPV12</stp>
        <stp>XS0993279958 Corp</stp>
        <stp>RTG_moody</stp>
        <stp>[upload (2).xlsm]Base all $ 3 Duration!R13C10</stp>
        <tr r="J13" s="66"/>
        <tr r="J13" s="66"/>
      </tp>
      <tp t="s">
        <v>C</v>
        <stp/>
        <stp>##V3_BDPV12</stp>
        <stp>XS0776121062 Corp</stp>
        <stp>RTG_moody</stp>
        <stp>[upload (2).xlsm]Base all $ 3 Duration!R27C10</stp>
        <tr r="J27" s="66"/>
        <tr r="J27" s="66"/>
      </tp>
      <tp t="s">
        <v>WR</v>
        <stp/>
        <stp>##V3_BDPV12</stp>
        <stp>XS0616784509 Corp</stp>
        <stp>RTG_moody</stp>
        <stp>[upload (2).xlsm]Base all $ 3 Duration!R24C10</stp>
        <tr r="J24" s="66"/>
        <tr r="J24" s="66"/>
      </tp>
      <tp t="s">
        <v>WR</v>
        <stp/>
        <stp>##V3_BDPV12</stp>
        <stp>XS0236336045 Corp</stp>
        <stp>RTG_moody</stp>
        <stp>[upload (2).xlsm]Base all $ 3 Duration!R97C10</stp>
        <tr r="J97" s="66"/>
        <tr r="J97" s="66"/>
      </tp>
      <tp t="s">
        <v>N</v>
        <stp/>
        <stp>##V3_BDPV12</stp>
        <stp>XS0940730228 Corp</stp>
        <stp>RUSSIAN_CB_LOMBARD</stp>
        <stp>[upload (2).xlsm]Base all $ 3 Duration!R25C16</stp>
        <tr r="P25" s="66"/>
      </tp>
      <tp t="s">
        <v>Y</v>
        <stp/>
        <stp>##V3_BDPV12</stp>
        <stp>XS0366630902 Corp</stp>
        <stp>RUSSIAN_CB_LOMBARD</stp>
        <stp>[upload (2).xlsm]Base all $ 3 Duration!R49C16</stp>
        <tr r="P49" s="66"/>
      </tp>
      <tp t="s">
        <v>Y</v>
        <stp/>
        <stp>##V3_BDPV12</stp>
        <stp>XS0861980372 Corp</stp>
        <stp>RUSSIAN_CB_LOMBARD</stp>
        <stp>[upload (2).xlsm]Base all $ 3 Duration!R80C16</stp>
        <tr r="P80" s="66"/>
      </tp>
      <tp t="s">
        <v>Y</v>
        <stp/>
        <stp>##V3_BDPV12</stp>
        <stp>XS0855334289 Corp</stp>
        <stp>RUSSIAN_CB_LOMBARD</stp>
        <stp>[upload (2).xlsm]Base all $ 3 Duration!R50C16</stp>
        <tr r="P50" s="66"/>
      </tp>
      <tp t="s">
        <v>Y</v>
        <stp/>
        <stp>##V3_BDPV12</stp>
        <stp>XS0276456315 Corp</stp>
        <stp>RUSSIAN_CB_LOMBARD</stp>
        <stp>[upload (2).xlsm]Base all $ 3 Duration!R90C16</stp>
        <tr r="P90" s="66"/>
      </tp>
      <tp t="s">
        <v>Y</v>
        <stp/>
        <stp>##V3_BDPV12</stp>
        <stp>XS0562354182 Corp</stp>
        <stp>RUSSIAN_CB_LOMBARD</stp>
        <stp>[upload (2).xlsm]Base all $ 3 Duration!R96C16</stp>
        <tr r="P96" s="66"/>
      </tp>
      <tp t="s">
        <v>Food</v>
        <stp/>
        <stp>##V3_BDPV12</stp>
        <stp>DIXY RX EQUITY</stp>
        <stp>INDUSTRY_GROUP</stp>
        <stp>[upload (2).xlsm]Model Portfolio!R34C13</stp>
        <tr r="M34" s="98"/>
      </tp>
      <tp t="s">
        <v>N</v>
        <stp/>
        <stp>##V3_BDPV12</stp>
        <stp>XS0288690539 Corp</stp>
        <stp>RUSSIAN_CB_LOMBARD</stp>
        <stp>[upload (2).xlsm]Base all $ 3 Duration!R62C16</stp>
        <tr r="P62" s="66"/>
      </tp>
      <tp t="s">
        <v>N</v>
        <stp/>
        <stp>##V3_BDPV12</stp>
        <stp>XS0524658852 Corp</stp>
        <stp>RUSSIAN_CB_LOMBARD</stp>
        <stp>[upload (2).xlsm]Base all $ 3 Duration!R68C16</stp>
        <tr r="P68" s="66"/>
      </tp>
      <tp>
        <v>4.4682539999999999</v>
        <stp/>
        <stp>##V3_BDPV12</stp>
        <stp>AGRO LI Equity</stp>
        <stp>EQY_DVD_YLD_EST</stp>
        <stp>[Copy of upload (2).xlsm]Гарез_GRENF (2)!R8C20</stp>
        <tr r="T8" s="116"/>
      </tp>
      <tp>
        <v>108.44</v>
        <stp/>
        <stp>##V3_BDPV12</stp>
        <stp>XS0708813810 Corp</stp>
        <stp>px_last</stp>
        <stp>[upload (2).xlsm]Base all $ 3 Duration!R153C4</stp>
        <tr r="D153" s="66"/>
      </tp>
      <tp>
        <v>105.745</v>
        <stp/>
        <stp>##V3_BDPV12</stp>
        <stp>XS0918297382 Corp</stp>
        <stp>px_last</stp>
        <stp>[upload (2).xlsm]Base all $ 3 Duration!R106C4</stp>
        <tr r="D106" s="66"/>
      </tp>
      <tp t="s">
        <v>Internet</v>
        <stp/>
        <stp>##V3_BDPV12</stp>
        <stp>MAIL LI EQUITY</stp>
        <stp>INDUSTRY_GROUP</stp>
        <stp>[upload (2).xlsm]Model Portfolio!R44C13</stp>
        <tr r="M44" s="98"/>
      </tp>
      <tp>
        <v>103.036</v>
        <stp/>
        <stp>##V3_BDPV12</stp>
        <stp>XS0223715920 Corp</stp>
        <stp>px_last</stp>
        <stp>[upload (2).xlsm]Base all $ 3 Duration!R137C4</stp>
        <tr r="D137" s="66"/>
      </tp>
      <tp>
        <v>0.55478450000000001</v>
        <stp/>
        <stp>##V3_BDPV12</stp>
        <stp>POG LN EQUITY</stp>
        <stp>CHG_PCT_WTD</stp>
        <stp>[upload (2).xlsm]Model Portfolio!R7C4</stp>
        <tr r="D7" s="98"/>
      </tp>
      <tp>
        <v>4.3165500000000003</v>
        <stp/>
        <stp>##V3_BDPV12</stp>
        <stp>POG LN EQUITY</stp>
        <stp>CHG_PCT_YTD</stp>
        <stp>[upload (2).xlsm]Model Portfolio!R7C7</stp>
        <tr r="G7" s="98"/>
      </tp>
      <tp t="s">
        <v>#N/A N/A</v>
        <stp/>
        <stp>##V3_BDPV12</stp>
        <stp>XS0587030957 Corp</stp>
        <stp>PX_GROSS_MID</stp>
        <stp>[upload (2).xlsm]Base all $ 3 Duration!R95C19</stp>
        <tr r="S95" s="66"/>
      </tp>
      <tp t="s">
        <v>#N/A N/A</v>
        <stp/>
        <stp>##V3_BDPV12</stp>
        <stp>XS0719009754 Corp</stp>
        <stp>PX_GROSS_MID</stp>
        <stp>[upload (2).xlsm]Base all $ 3 Duration!R77C19</stp>
        <tr r="S77" s="66"/>
      </tp>
      <tp>
        <v>101.20650000000001</v>
        <stp/>
        <stp>##V3_BDPV12</stp>
        <stp>XS0899969702 Corp</stp>
        <stp>PX_GROSS_MID</stp>
        <stp>[upload (2).xlsm]Base all $ 3 Duration!R71C19</stp>
        <tr r="S71" s="66"/>
      </tp>
      <tp t="s">
        <v>#N/A N/A</v>
        <stp/>
        <stp>##V3_BDPV12</stp>
        <stp>XS0708813653 Corp</stp>
        <stp>PX_GROSS_MID</stp>
        <stp>[upload (2).xlsm]Base all $ 3 Duration!R93C19</stp>
        <tr r="S93" s="66"/>
      </tp>
      <tp>
        <v>0.12867898699520877</v>
        <stp/>
        <stp>##V3_BDPV12</stp>
        <stp>XS0850393264 Corp</stp>
        <stp>MTY_YEARS_TDY</stp>
        <stp>[upload (2).xlsm]Base all $ 3 Duration!R4C3</stp>
        <tr r="C4" s="66"/>
      </tp>
      <tp t="s">
        <v>Sr Unsecured</v>
        <stp/>
        <stp>##V3_BDPV12</stp>
        <stp>XS0855334289 Corp</stp>
        <stp>PAYMENT_RANK</stp>
        <stp>[upload (2).xlsm]Base all $ 3 Duration!R50C14</stp>
        <tr r="N50" s="66"/>
      </tp>
      <tp t="s">
        <v>Subordinated</v>
        <stp/>
        <stp>##V3_BDPV12</stp>
        <stp>XS0973219495 Corp</stp>
        <stp>PAYMENT_RANK</stp>
        <stp>[upload (2).xlsm]Base all $ 3 Duration!R11C14</stp>
        <tr r="N11" s="66"/>
      </tp>
      <tp t="s">
        <v>Sr Unsecured</v>
        <stp/>
        <stp>##V3_BDPV12</stp>
        <stp>XS0775984213 Corp</stp>
        <stp>PAYMENT_RANK</stp>
        <stp>[upload (2).xlsm]Base all $ 3 Duration!R42C14</stp>
        <tr r="N42" s="66"/>
      </tp>
      <tp t="s">
        <v>Sr Unsecured</v>
        <stp/>
        <stp>##V3_BDPV12</stp>
        <stp>XS0300998779 Corp</stp>
        <stp>PAYMENT_RANK</stp>
        <stp>[upload (2).xlsm]Base all $ 3 Duration!R58C14</stp>
        <tr r="N58" s="66"/>
      </tp>
      <tp t="s">
        <v>Sr Unsecured</v>
        <stp/>
        <stp>##V3_BDPV12</stp>
        <stp>XS0592794597 Corp</stp>
        <stp>PAYMENT_RANK</stp>
        <stp>[upload (2).xlsm]Base all $ 3 Duration!R61C14</stp>
        <tr r="N61" s="66"/>
      </tp>
      <tp t="s">
        <v>Sr Unsecured</v>
        <stp/>
        <stp>##V3_BDPV12</stp>
        <stp>XS0652913558 Corp</stp>
        <stp>PAYMENT_RANK</stp>
        <stp>[upload (2).xlsm]Base all $ 3 Duration!R60C14</stp>
        <tr r="N60" s="66"/>
      </tp>
      <tp t="s">
        <v>Subordinated</v>
        <stp/>
        <stp>##V3_BDPV12</stp>
        <stp>XS0854763355 Corp</stp>
        <stp>PAYMENT_RANK</stp>
        <stp>[upload (2).xlsm]Base all $ 3 Duration!R28C14</stp>
        <tr r="N28" s="66"/>
      </tp>
      <tp>
        <v>10</v>
        <stp/>
        <stp>##V3_BDPV12</stp>
        <stp>KMG LI Equity</stp>
        <stp>PX_LAST</stp>
        <stp>[Copy of upload (2).xlsm]Гарез_GRENF (2)!R5C7</stp>
        <tr r="G5" s="116"/>
      </tp>
      <tp t="s">
        <v>Subordinated</v>
        <stp/>
        <stp>##V3_BDPV12</stp>
        <stp>XS0832412505 Corp</stp>
        <stp>PAYMENT_RANK</stp>
        <stp>[upload (2).xlsm]Base all $ 3 Duration!R30C14</stp>
        <tr r="N30" s="66"/>
      </tp>
      <tp t="s">
        <v>Sr Unsecured</v>
        <stp/>
        <stp>##V3_BDPV12</stp>
        <stp>XS0643176448 Corp</stp>
        <stp>PAYMENT_RANK</stp>
        <stp>[upload (2).xlsm]Base all $ 3 Duration!R79C14</stp>
        <tr r="N79" s="66"/>
      </tp>
      <tp t="s">
        <v>Sr Unsecured</v>
        <stp/>
        <stp>##V3_BDPV12</stp>
        <stp>XS0640334768 Corp</stp>
        <stp>PAYMENT_RANK</stp>
        <stp>[upload (2).xlsm]Base all $ 3 Duration!R15C14</stp>
        <tr r="N15" s="66"/>
      </tp>
      <tp t="s">
        <v>#N/A N/A</v>
        <stp/>
        <stp>##V3_BDPV12</stp>
        <stp>TRCN RX EQUITY</stp>
        <stp>BDVD_NEXT_EST_DECL_DT</stp>
        <stp>[upload (2).xlsm]Model Portfolio!R50C31</stp>
        <tr r="AE50" s="98"/>
      </tp>
      <tp>
        <v>30.032985374305287</v>
        <stp/>
        <stp>##V3_BDPV12</stp>
        <stp>SNGS RX EQUITY</stp>
        <stp>EBITDA_MARGIN</stp>
        <stp>[upload (2).xlsm]Model Portfolio!R10C23</stp>
        <tr r="W10" s="98"/>
      </tp>
      <tp>
        <v>21.795407018627909</v>
        <stp/>
        <stp>##V3_BDPV12</stp>
        <stp>ENRU RM EQUITY</stp>
        <stp>EBITDA_MARGIN</stp>
        <stp>[upload (2).xlsm]Model Portfolio!R53C23</stp>
        <tr r="W53" s="98"/>
      </tp>
      <tp t="s">
        <v>#N/A N/A</v>
        <stp/>
        <stp>##V3_BDPV12</stp>
        <stp>IRAO RX EQUITY</stp>
        <stp>BDVD_NEXT_EST_DECL_DT</stp>
        <stp>[upload (2).xlsm]Model Portfolio!R51C31</stp>
        <tr r="AE51" s="98"/>
      </tp>
      <tp t="s">
        <v>#N/A N/A</v>
        <stp/>
        <stp>##V3_BDPV12</stp>
        <stp>GLPR LI EQUITY</stp>
        <stp>BDVD_NEXT_EST_DECL_DT</stp>
        <stp>[upload (2).xlsm]Model Portfolio!R46C31</stp>
        <tr r="AE46" s="98"/>
      </tp>
      <tp t="s">
        <v>#N/A N/A</v>
        <stp/>
        <stp>##V3_BDPV12</stp>
        <stp>GLTR LI EQUITY</stp>
        <stp>BDVD_NEXT_EST_DECL_DT</stp>
        <stp>[upload (2).xlsm]Model Portfolio!R48C31</stp>
        <tr r="AE48" s="98"/>
      </tp>
      <tp t="s">
        <v>25/10/2017</v>
        <stp/>
        <stp>##V3_BDPV12</stp>
        <stp>URKA RX EQUITY</stp>
        <stp>BDVD_NEXT_EST_DECL_DT</stp>
        <stp>[upload (2).xlsm]Model Portfolio!R31C31</stp>
        <tr r="AE31" s="98"/>
      </tp>
      <tp t="s">
        <v>20/06/2017</v>
        <stp/>
        <stp>##V3_BDPV12</stp>
        <stp>OGKB RX EQUITY</stp>
        <stp>DVD_RECORD_DT</stp>
        <stp>[upload (2).xlsm]Model Portfolio!R57C28</stp>
        <tr r="AB57" s="98"/>
      </tp>
      <tp t="s">
        <v>07/07/2017</v>
        <stp/>
        <stp>##V3_BDPV12</stp>
        <stp>TGKA RX EQUITY</stp>
        <stp>DVD_RECORD_DT</stp>
        <stp>[upload (2).xlsm]Model Portfolio!R60C28</stp>
        <tr r="AB60" s="98"/>
      </tp>
      <tp>
        <v>7.9544703991545758</v>
        <stp/>
        <stp>##V3_BDPV12</stp>
        <stp>AKRN RX EQUITY</stp>
        <stp>EST_PE_NXT_YR</stp>
        <stp>[upload (2).xlsm]Model Portfolio!R33C15</stp>
        <tr r="O33" s="98"/>
      </tp>
      <tp t="s">
        <v>15/09/2017</v>
        <stp/>
        <stp>##V3_BDPV12</stp>
        <stp>MGNT RX EQUITY</stp>
        <stp>DVD_RECORD_DT</stp>
        <stp>[upload (2).xlsm]Model Portfolio!R35C28</stp>
        <tr r="AB35" s="98"/>
      </tp>
      <tp t="s">
        <v>27/04/2018</v>
        <stp/>
        <stp>##V3_BDPV12</stp>
        <stp>TRMK RX EQUITY</stp>
        <stp>BDVD_NEXT_EST_DECL_DT</stp>
        <stp>[upload (2).xlsm]Model Portfolio!R21C31</stp>
        <tr r="AE21" s="98"/>
      </tp>
      <tp>
        <v>-7.9772986468575651</v>
        <stp/>
        <stp>##V3_BDPV12</stp>
        <stp>XS0253861834 Corp</stp>
        <stp>INTERVAL_PERCENT_CHANGE</stp>
        <stp>[upload (2).xlsm]Base all $ 3 Duration!R91C17</stp>
        <stp>END_DATE_OVERRIDE</stp>
        <stp xml:space="preserve"> </stp>
        <stp>START_DATE_OVERRIDe</stp>
        <stp>20140716</stp>
        <tr r="Q91" s="66"/>
      </tp>
      <tp>
        <v>-11.127953314302221</v>
        <stp/>
        <stp>##V3_BDPV12</stp>
        <stp>XS0802648955 Corp</stp>
        <stp>INTERVAL_PERCENT_CHANGE</stp>
        <stp>[upload (2).xlsm]Base all $ 3 Duration!R12C17</stp>
        <stp>END_DATE_OVERRIDE</stp>
        <stp xml:space="preserve"> </stp>
        <stp>START_DATE_OVERRIDe</stp>
        <stp>20140716</stp>
        <tr r="Q12" s="66"/>
      </tp>
      <tp>
        <v>5.4875121207271498</v>
        <stp/>
        <stp>##V3_BDPV12</stp>
        <stp>LKOH RX EQUITY</stp>
        <stp>EST_PE_NXT_YR</stp>
        <stp>[upload (2).xlsm]Model Portfolio!R13C15</stp>
        <tr r="O13" s="98"/>
      </tp>
      <tp>
        <v>5.020303475680767</v>
        <stp/>
        <stp>##V3_BDPV12</stp>
        <stp>XS0923472814 Corp</stp>
        <stp>INTERVAL_PERCENT_CHANGE</stp>
        <stp>[upload (2).xlsm]Base all $ 3 Duration!R52C17</stp>
        <stp>END_DATE_OVERRIDE</stp>
        <stp xml:space="preserve"> </stp>
        <stp>START_DATE_OVERRIDe</stp>
        <stp>20140716</stp>
        <tr r="Q52" s="66"/>
      </tp>
      <tp>
        <v>-0.81720210847046559</v>
        <stp/>
        <stp>##V3_BDPV12</stp>
        <stp>XS0299183250 Corp</stp>
        <stp>INTERVAL_PERCENT_CHANGE</stp>
        <stp>[upload (2).xlsm]Base all $ 3 Duration!R40C17</stp>
        <stp>END_DATE_OVERRIDE</stp>
        <stp xml:space="preserve"> </stp>
        <stp>START_DATE_OVERRIDe</stp>
        <stp>20140716</stp>
        <tr r="Q40" s="66"/>
      </tp>
      <tp>
        <v>0.4908630890286006</v>
        <stp/>
        <stp>##V3_BDPV12</stp>
        <stp>XS0783242877 Corp</stp>
        <stp>INTERVAL_PERCENT_CHANGE</stp>
        <stp>[upload (2).xlsm]Base all $ 3 Duration!R32C17</stp>
        <stp>END_DATE_OVERRIDE</stp>
        <stp xml:space="preserve"> </stp>
        <stp>START_DATE_OVERRIDe</stp>
        <stp>20140716</stp>
        <tr r="Q32" s="66"/>
      </tp>
      <tp t="s">
        <v>#N/A N/A</v>
        <stp/>
        <stp>##V3_BDPV12</stp>
        <stp>XS0993162170 Corp</stp>
        <stp>RTG_moody</stp>
        <stp>[upload (2).xlsm]Base all $ 3 Duration!R48C10</stp>
        <tr r="J48" s="66"/>
      </tp>
      <tp>
        <v>6.0797159585381886</v>
        <stp/>
        <stp>##V3_BDPV12</stp>
        <stp>NLMK RX EQUITY</stp>
        <stp>EST_EV_THIS_YR_EBITDA</stp>
        <stp>[upload (2).xlsm]Model Portfolio!R22C16</stp>
        <tr r="P22" s="98"/>
      </tp>
      <tp t="s">
        <v>WR</v>
        <stp/>
        <stp>##V3_BDPV12</stp>
        <stp>XS0304273948 Corp</stp>
        <stp>RTG_moody</stp>
        <stp>[upload (2).xlsm]Base all $ 3 Duration!R87C10</stp>
        <tr r="J87" s="66"/>
        <tr r="J87" s="66"/>
      </tp>
      <tp t="s">
        <v>Ba1</v>
        <stp/>
        <stp>##V3_BDPV12</stp>
        <stp>XS0919502434 Corp</stp>
        <stp>RTG_moody</stp>
        <stp>[upload (2).xlsm]Base all $ 3 Duration!R66C10</stp>
        <tr r="J66" s="66"/>
        <tr r="J66" s="66"/>
      </tp>
      <tp t="s">
        <v>Ba2</v>
        <stp/>
        <stp>##V3_BDPV12</stp>
        <stp>XS0796426228 Corp</stp>
        <stp>RTG_moody</stp>
        <stp>[upload (2).xlsm]Base all $ 3 Duration!R54C10</stp>
        <tr r="J54" s="66"/>
        <tr r="J54" s="66"/>
      </tp>
      <tp t="s">
        <v>Ba2</v>
        <stp/>
        <stp>##V3_BDPV12</stp>
        <stp>XS0366630902 Corp</stp>
        <stp>RTG_moody</stp>
        <stp>[upload (2).xlsm]Base all $ 3 Duration!R49C10</stp>
        <tr r="J49" s="66"/>
        <tr r="J49" s="66"/>
      </tp>
      <tp>
        <v>24.628461456217256</v>
        <stp/>
        <stp>##V3_BDPV12</stp>
        <stp>QIWI US EQUITY</stp>
        <stp>EBITDA_MARGIN</stp>
        <stp>[upload (2).xlsm]Model Portfolio!R40C23</stp>
        <tr r="W40" s="98"/>
      </tp>
      <tp t="s">
        <v>Ba1</v>
        <stp/>
        <stp>##V3_BDPV12</stp>
        <stp>XS0799357354 Corp</stp>
        <stp>RTG_moody</stp>
        <stp>[upload (2).xlsm]Base all $ 3 Duration!R55C10</stp>
        <tr r="J55" s="66"/>
        <tr r="J55" s="66"/>
      </tp>
      <tp>
        <v>6.3388706811504489</v>
        <stp/>
        <stp>##V3_BDPV12</stp>
        <stp>XS0312572984 Corp</stp>
        <stp>INTERVAL_PERCENT_CHANGE</stp>
        <stp>[upload (2).xlsm]Base all $ 3 Duration!R22C17</stp>
        <stp>END_DATE_OVERRIDE</stp>
        <stp xml:space="preserve"> </stp>
        <stp>START_DATE_OVERRIDe</stp>
        <stp>20140716</stp>
        <tr r="Q22" s="66"/>
      </tp>
      <tp t="s">
        <v>Y</v>
        <stp/>
        <stp>##V3_BDPV12</stp>
        <stp>XS0357281558 Corp</stp>
        <stp>RUSSIAN_CB_LOMBARD</stp>
        <stp>[upload (2).xlsm]Base all $ 3 Duration!R69C16</stp>
        <tr r="P69" s="66"/>
      </tp>
      <tp t="s">
        <v>Pipelines</v>
        <stp/>
        <stp>##V3_BDPV12</stp>
        <stp>TRNFP RX EQUITY</stp>
        <stp>INDUSTRY_GROUP</stp>
        <stp>[upload (2).xlsm]Model Portfolio!R20C13</stp>
        <tr r="M20" s="98"/>
      </tp>
      <tp t="s">
        <v>Y</v>
        <stp/>
        <stp>##V3_BDPV12</stp>
        <stp>XS0630950870 Corp</stp>
        <stp>RUSSIAN_CB_LOMBARD</stp>
        <stp>[upload (2).xlsm]Base all $ 3 Duration!R75C16</stp>
        <tr r="P75" s="66"/>
      </tp>
      <tp>
        <v>3.875</v>
        <stp/>
        <stp>##V3_BDPV12</stp>
        <stp>ALRS RX EQUITY</stp>
        <stp>EQY_REC_CONS</stp>
        <stp>[upload (2).xlsm]Model Portfolio!R5C29</stp>
        <tr r="AC5" s="98"/>
      </tp>
      <tp t="s">
        <v>Y</v>
        <stp/>
        <stp>##V3_BDPV12</stp>
        <stp>XS0772509484 Corp</stp>
        <stp>RUSSIAN_CB_LOMBARD</stp>
        <stp>[upload (2).xlsm]Base all $ 3 Duration!R78C16</stp>
        <tr r="P78" s="66"/>
      </tp>
      <tp t="s">
        <v>Y</v>
        <stp/>
        <stp>##V3_BDPV12</stp>
        <stp>XS0300998779 Corp</stp>
        <stp>RUSSIAN_CB_LOMBARD</stp>
        <stp>[upload (2).xlsm]Base all $ 3 Duration!R58C16</stp>
        <tr r="P58" s="66"/>
      </tp>
      <tp t="s">
        <v>Y</v>
        <stp/>
        <stp>##V3_BDPV12</stp>
        <stp>XS0719009754 Corp</stp>
        <stp>RUSSIAN_CB_LOMBARD</stp>
        <stp>[upload (2).xlsm]Base all $ 3 Duration!R77C16</stp>
        <tr r="P77" s="66"/>
      </tp>
      <tp>
        <v>107.81100000000001</v>
        <stp/>
        <stp>##V3_BDPV12</stp>
        <stp>XS1042215480 Corp</stp>
        <stp>px_last</stp>
        <stp>[upload (2).xlsm]Base all $ 3 Duration!R120C4</stp>
        <tr r="D120" s="66"/>
      </tp>
      <tp>
        <v>69.040999999999997</v>
        <stp/>
        <stp>##V3_BDPV12</stp>
        <stp>XS0925043100 Corp</stp>
        <stp>px_last</stp>
        <stp>[upload (2).xlsm]Base all $ 3 Duration!R100C4</stp>
        <tr r="D100" s="66"/>
      </tp>
      <tp>
        <v>102.803</v>
        <stp/>
        <stp>##V3_BDPV12</stp>
        <stp>XS1032750165 Corp</stp>
        <stp>px_last</stp>
        <stp>[upload (2).xlsm]Base all $ 3 Duration!R132C4</stp>
        <tr r="D132" s="66"/>
      </tp>
      <tp>
        <v>5</v>
        <stp/>
        <stp>##V3_BDPV12</stp>
        <stp>HGM LN EQUITY</stp>
        <stp>EQY_REC_CONS</stp>
        <stp>[upload (2).xlsm]Model Portfolio!R4C29</stp>
        <tr r="AC4" s="98"/>
      </tp>
      <tp>
        <v>102.14400000000001</v>
        <stp/>
        <stp>##V3_BDPV12</stp>
        <stp>XS0848137708 Corp</stp>
        <stp>px_last</stp>
        <stp>[upload (2).xlsm]Base all $ 3 Duration!R122C4</stp>
        <tr r="D122" s="66"/>
      </tp>
      <tp t="s">
        <v>#N/A N/A</v>
        <stp/>
        <stp>##V3_BDPV12</stp>
        <stp>XS0632887997 Corp</stp>
        <stp>px_last</stp>
        <stp>[upload (2).xlsm]Base all $ 3 Duration!R125C4</stp>
        <tr r="D125" s="66"/>
      </tp>
      <tp>
        <v>106.11155555555555</v>
        <stp/>
        <stp>##V3_BDPV12</stp>
        <stp>XS0366630902 Corp</stp>
        <stp>PX_GROSS_MID</stp>
        <stp>[upload (2).xlsm]Base all $ 3 Duration!R49C19</stp>
        <tr r="S49" s="66"/>
      </tp>
      <tp t="s">
        <v>#N/A N/A</v>
        <stp/>
        <stp>##V3_BDPV12</stp>
        <stp>XS0938341780 Corp</stp>
        <stp>PX_GROSS_MID</stp>
        <stp>[upload (2).xlsm]Base all $ 3 Duration!R21C19</stp>
        <tr r="S21" s="66"/>
      </tp>
      <tp t="s">
        <v>#N/A N/A</v>
        <stp/>
        <stp>##V3_BDPV12</stp>
        <stp>XS0588436799 Corp</stp>
        <stp>PX_GROSS_MID</stp>
        <stp>[upload (2).xlsm]Base all $ 3 Duration!R94C19</stp>
        <tr r="S94" s="66"/>
      </tp>
      <tp>
        <v>101.12323888888888</v>
        <stp/>
        <stp>##V3_BDPV12</stp>
        <stp>XS0878855773 Corp</stp>
        <stp>PX_GROSS_MID</stp>
        <stp>[upload (2).xlsm]Base all $ 3 Duration!R44C19</stp>
        <tr r="S44" s="66"/>
      </tp>
      <tp t="s">
        <v>Sr Unsecured</v>
        <stp/>
        <stp>##V3_BDPV12</stp>
        <stp>XS0261906738 Corp</stp>
        <stp>PAYMENT_RANK</stp>
        <stp>[upload (2).xlsm]Base all $ 3 Duration!R89C14</stp>
        <tr r="N89" s="66"/>
      </tp>
      <tp t="s">
        <v>Sr Unsecured</v>
        <stp/>
        <stp>##V3_BDPV12</stp>
        <stp>XS0772509484 Corp</stp>
        <stp>PAYMENT_RANK</stp>
        <stp>[upload (2).xlsm]Base all $ 3 Duration!R78C14</stp>
        <tr r="N78" s="66"/>
      </tp>
      <tp t="s">
        <v>Sr Unsecured</v>
        <stp/>
        <stp>##V3_BDPV12</stp>
        <stp>XS0742380412 Corp</stp>
        <stp>PAYMENT_RANK</stp>
        <stp>[upload (2).xlsm]Base all $ 3 Duration!R86C14</stp>
        <tr r="N86" s="66"/>
      </tp>
      <tp t="s">
        <v>Sr Unsecured</v>
        <stp/>
        <stp>##V3_BDPV12</stp>
        <stp>XS1043519567 Corp</stp>
        <stp>PAYMENT_RANK</stp>
        <stp>[upload (2).xlsm]Base all $ 3 Duration!R74C14</stp>
        <tr r="N74" s="66"/>
      </tp>
      <tp t="s">
        <v>Subordinated</v>
        <stp/>
        <stp>##V3_BDPV12</stp>
        <stp>XS0776121062 Corp</stp>
        <stp>PAYMENT_RANK</stp>
        <stp>[upload (2).xlsm]Base all $ 3 Duration!R27C14</stp>
        <tr r="N27" s="66"/>
      </tp>
      <tp t="s">
        <v>Subordinated</v>
        <stp/>
        <stp>##V3_BDPV12</stp>
        <stp>XS0236336045 Corp</stp>
        <stp>PAYMENT_RANK</stp>
        <stp>[upload (2).xlsm]Base all $ 3 Duration!R97C14</stp>
        <tr r="N97" s="66"/>
      </tp>
      <tp t="s">
        <v>Sr Unsecured</v>
        <stp/>
        <stp>##V3_BDPV12</stp>
        <stp>XS0974469206 Corp</stp>
        <stp>PAYMENT_RANK</stp>
        <stp>[upload (2).xlsm]Base all $ 3 Duration!R14C14</stp>
        <tr r="N14" s="66"/>
      </tp>
      <tp>
        <v>30.012095554883579</v>
        <stp/>
        <stp>##V3_BDPV12</stp>
        <stp>MAGN RX EQUITY</stp>
        <stp>EBITDA_MARGIN</stp>
        <stp>[upload (2).xlsm]Model Portfolio!R23C23</stp>
        <tr r="W23" s="98"/>
      </tp>
      <tp>
        <v>21.290373716957951</v>
        <stp/>
        <stp>##V3_BDPV12</stp>
        <stp>BANE RX EQUITY</stp>
        <stp>EBITDA_MARGIN</stp>
        <stp>[upload (2).xlsm]Model Portfolio!R18C23</stp>
        <tr r="W18" s="98"/>
      </tp>
      <tp t="s">
        <v>26/09/2017</v>
        <stp/>
        <stp>##V3_BDPV12</stp>
        <stp>CHMF RX EQUITY</stp>
        <stp>DVD_RECORD_DT</stp>
        <stp>[upload (2).xlsm]Model Portfolio!R25C28</stp>
        <tr r="AB25" s="98"/>
      </tp>
      <tp t="s">
        <v>13/10/2017</v>
        <stp/>
        <stp>##V3_BDPV12</stp>
        <stp>PHOR RX EQUITY</stp>
        <stp>DVD_RECORD_DT</stp>
        <stp>[upload (2).xlsm]Model Portfolio!R32C28</stp>
        <tr r="AB32" s="98"/>
      </tp>
      <tp>
        <v>28.000532498240855</v>
        <stp/>
        <stp>##V3_BDPV12</stp>
        <stp>TATN RX EQUITY</stp>
        <stp>EBITDA_MARGIN</stp>
        <stp>[upload (2).xlsm]Model Portfolio!R14C23</stp>
        <tr r="W14" s="98"/>
      </tp>
      <tp>
        <v>0.2955826615539951</v>
        <stp/>
        <stp>##V3_BDPV12</stp>
        <stp>XS0796426228 Corp</stp>
        <stp>INTERVAL_PERCENT_CHANGE</stp>
        <stp>[upload (2).xlsm]Base all $ 3 Duration!R54C17</stp>
        <stp>END_DATE_OVERRIDE</stp>
        <stp xml:space="preserve"> </stp>
        <stp>START_DATE_OVERRIDe</stp>
        <stp>20140716</stp>
        <tr r="Q54" s="66"/>
      </tp>
      <tp>
        <v>-3.1808738229554523</v>
        <stp/>
        <stp>##V3_BDPV12</stp>
        <stp>XS0543956717 Corp</stp>
        <stp>INTERVAL_PERCENT_CHANGE</stp>
        <stp>[upload (2).xlsm]Base all $ 3 Duration!R85C17</stp>
        <stp>END_DATE_OVERRIDE</stp>
        <stp xml:space="preserve"> </stp>
        <stp>START_DATE_OVERRIDe</stp>
        <stp>20140716</stp>
        <tr r="Q85" s="66"/>
      </tp>
      <tp t="s">
        <v>Ba2</v>
        <stp/>
        <stp>##V3_BDPV12</stp>
        <stp>XS0922883318 Corp</stp>
        <stp>RTG_moody</stp>
        <stp>[upload (2).xlsm]Base all $ 3 Duration!R56C10</stp>
        <tr r="J56" s="66"/>
        <tr r="J56" s="66"/>
      </tp>
      <tp t="s">
        <v>#N/A N/A</v>
        <stp/>
        <stp>##V3_BDPV12</stp>
        <stp>KCEL LI EQUITY</stp>
        <stp>BDVD_NEXT_EST_DECL_DT</stp>
        <stp>[upload (2).xlsm]Model Portfolio!R65C31</stp>
        <tr r="AE65" s="98"/>
      </tp>
      <tp>
        <v>47.011952191235061</v>
        <stp/>
        <stp>##V3_BDPV12</stp>
        <stp>RASP RX EQUITY</stp>
        <stp>EBITDA_MARGIN</stp>
        <stp>[upload (2).xlsm]Model Portfolio!R28C23</stp>
        <tr r="W28" s="98"/>
      </tp>
      <tp t="s">
        <v>NR</v>
        <stp/>
        <stp>##V3_BDPV12</stp>
        <stp>XS0899969702 Corp</stp>
        <stp>RTG_moody</stp>
        <stp>[upload (2).xlsm]Base all $ 3 Duration!R71C10</stp>
        <tr r="J71" s="66"/>
        <tr r="J71" s="66"/>
      </tp>
      <tp>
        <v>-1.3499696782189836</v>
        <stp/>
        <stp>##V3_BDPV12</stp>
        <stp>XS0461926569 Corp</stp>
        <stp>INTERVAL_PERCENT_CHANGE</stp>
        <stp>[upload (2).xlsm]Base all $ 3 Duration!R53C17</stp>
        <stp>END_DATE_OVERRIDE</stp>
        <stp xml:space="preserve"> </stp>
        <stp>START_DATE_OVERRIDe</stp>
        <stp>20140716</stp>
        <tr r="Q53" s="66"/>
      </tp>
      <tp>
        <v>139.25</v>
        <stp/>
        <stp>##V3_BDPV12</stp>
        <stp>URKA RX EQUITY</stp>
        <stp>PX_LAST</stp>
        <stp>[upload (2).xlsm]Model Portfolio!R31C3</stp>
        <tr r="C31" s="98"/>
      </tp>
      <tp>
        <v>22.207926237406724</v>
        <stp/>
        <stp>##V3_BDPV12</stp>
        <stp>GAZP RX EQUITY</stp>
        <stp>EBITDA_MARGIN</stp>
        <stp>[upload (2).xlsm]Model Portfolio!R12C23</stp>
        <tr r="W12" s="98"/>
      </tp>
      <tp t="s">
        <v>Y</v>
        <stp/>
        <stp>##V3_BDPV12</stp>
        <stp>XS0899969702 Corp</stp>
        <stp>RUSSIAN_CB_LOMBARD</stp>
        <stp>[upload (2).xlsm]Base all $ 3 Duration!R71C16</stp>
        <tr r="P71" s="66"/>
      </tp>
      <tp>
        <v>9.1120500408244887</v>
        <stp/>
        <stp>##V3_BDPV12</stp>
        <stp>BSPB RX EQUITY</stp>
        <stp>NORMALIZED_ROE</stp>
        <stp>[upload (2).xlsm]Model Portfolio!R77C26</stp>
        <tr r="Z77" s="98"/>
      </tp>
      <tp t="s">
        <v>N</v>
        <stp/>
        <stp>##V3_BDPV12</stp>
        <stp>XS0832412505 Corp</stp>
        <stp>RUSSIAN_CB_LOMBARD</stp>
        <stp>[upload (2).xlsm]Base all $ 3 Duration!R30C16</stp>
        <tr r="P30" s="66"/>
      </tp>
      <tp t="s">
        <v>Y</v>
        <stp/>
        <stp>##V3_BDPV12</stp>
        <stp>XS0808632847 Corp</stp>
        <stp>RUSSIAN_CB_LOMBARD</stp>
        <stp>[upload (2).xlsm]Base all $ 3 Duration!R65C16</stp>
        <tr r="P65" s="66"/>
      </tp>
      <tp t="s">
        <v>Y</v>
        <stp/>
        <stp>##V3_BDPV12</stp>
        <stp>XS0304273948 Corp</stp>
        <stp>RUSSIAN_CB_LOMBARD</stp>
        <stp>[upload (2).xlsm]Base all $ 3 Duration!R87C16</stp>
        <tr r="P87" s="66"/>
      </tp>
      <tp t="s">
        <v>Y</v>
        <stp/>
        <stp>##V3_BDPV12</stp>
        <stp>XS0775984213 Corp</stp>
        <stp>RUSSIAN_CB_LOMBARD</stp>
        <stp>[upload (2).xlsm]Base all $ 3 Duration!R42C16</stp>
        <tr r="P42" s="66"/>
      </tp>
      <tp t="s">
        <v>#N/A N/A</v>
        <stp/>
        <stp>##V3_BDPV12</stp>
        <stp>LXFT US Equity</stp>
        <stp>EQY_DVD_YLD_EST</stp>
        <stp>[Copy of upload (2).xlsm]Гарез_GRENF (2)!R6C20</stp>
        <tr r="T6" s="116"/>
      </tp>
      <tp t="s">
        <v>N</v>
        <stp/>
        <stp>##V3_BDPV12</stp>
        <stp>XS0889401054 Corp</stp>
        <stp>RUSSIAN_CB_LOMBARD</stp>
        <stp>[upload (2).xlsm]Base all $ 3 Duration!R39C16</stp>
        <tr r="P39" s="66"/>
      </tp>
      <tp>
        <v>101.96299999999999</v>
        <stp/>
        <stp>##V3_BDPV12</stp>
        <stp>XS0885733153 Corp</stp>
        <stp>px_last</stp>
        <stp>[upload (2).xlsm]Base all $ 3 Duration!R115C4</stp>
        <tr r="D115" s="66"/>
      </tp>
      <tp t="s">
        <v>#N/A N/A</v>
        <stp/>
        <stp>##V3_BDPV12</stp>
        <stp>XS0953323317 Corp</stp>
        <stp>px_last</stp>
        <stp>[upload (2).xlsm]Base all $ 3 Duration!R118C4</stp>
        <tr r="D118" s="66"/>
      </tp>
      <tp>
        <v>103.542</v>
        <stp/>
        <stp>##V3_BDPV12</stp>
        <stp>XS0885736925 Corp</stp>
        <stp>px_last</stp>
        <stp>[upload (2).xlsm]Base all $ 3 Duration!R140C4</stp>
        <tr r="D140" s="66"/>
      </tp>
      <tp t="s">
        <v>#N/A N/A</v>
        <stp/>
        <stp>##V3_BDPV12</stp>
        <stp>VIP US EQUITY</stp>
        <stp>EST_EV_THIS_YR_EBITDA</stp>
        <stp>[upload (2).xlsm]Model Portfolio!R61C16</stp>
        <tr r="P61" s="98"/>
      </tp>
      <tp t="s">
        <v>#N/A N/A</v>
        <stp/>
        <stp>##V3_BDPV12</stp>
        <stp>LXFT US Equity</stp>
        <stp>DVD_EX_DT</stp>
        <stp>[Copy of upload (2).xlsm]Гарез_GRENF!R6C21</stp>
        <tr r="U6" s="115"/>
      </tp>
      <tp t="s">
        <v>#N/A N/A</v>
        <stp/>
        <stp>##V3_BDPV12</stp>
        <stp>XS0772835285 Corp</stp>
        <stp>PX_GROSS_MID</stp>
        <stp>[upload (2).xlsm]Base all $ 3 Duration!R31C19</stp>
        <tr r="S31" s="66"/>
      </tp>
      <tp>
        <v>101.67833333333334</v>
        <stp/>
        <stp>##V3_BDPV12</stp>
        <stp>XS0808632847 Corp</stp>
        <stp>PX_GROSS_MID</stp>
        <stp>[upload (2).xlsm]Base all $ 3 Duration!R65C19</stp>
        <tr r="S65" s="66"/>
      </tp>
      <tp>
        <v>104.00000000000001</v>
        <stp/>
        <stp>##V3_BDPV12</stp>
        <stp>XS0924078453 Corp</stp>
        <stp>PX_GROSS_MID</stp>
        <stp>[upload (2).xlsm]Base all $ 3 Duration!R19C19</stp>
        <tr r="S19" s="66"/>
      </tp>
      <tp>
        <v>105.86749999999999</v>
        <stp/>
        <stp>##V3_BDPV12</stp>
        <stp>XS0869792928 Corp</stp>
        <stp>PX_GROSS_MID</stp>
        <stp>[upload (2).xlsm]Base all $ 3 Duration!R10C19</stp>
        <tr r="S10" s="66"/>
      </tp>
      <tp>
        <v>102.67294444444445</v>
        <stp/>
        <stp>##V3_BDPV12</stp>
        <stp>XS0585211591 Corp</stp>
        <stp>PX_GROSS_MID</stp>
        <stp>[upload (2).xlsm]Base all $ 3 Duration!R34C19</stp>
        <tr r="S34" s="66"/>
      </tp>
      <tp>
        <v>107.62824999999999</v>
        <stp/>
        <stp>##V3_BDPV12</stp>
        <stp>XS0783934325 Corp</stp>
        <stp>PX_GROSS_MID</stp>
        <stp>[upload (2).xlsm]Base all $ 3 Duration!R47C19</stp>
        <tr r="S47" s="66"/>
      </tp>
      <tp>
        <v>105.26949999999999</v>
        <stp/>
        <stp>##V3_BDPV12</stp>
        <stp>XS0995845566 Corp</stp>
        <stp>PX_GROSS_MID</stp>
        <stp>[upload (2).xlsm]Base all $ 3 Duration!R29C19</stp>
        <tr r="S29" s="66"/>
      </tp>
      <tp t="s">
        <v>Sr Unsecured</v>
        <stp/>
        <stp>##V3_BDPV12</stp>
        <stp>XS0361041808 Corp</stp>
        <stp>PAYMENT_RANK</stp>
        <stp>[upload (2).xlsm]Base all $ 3 Duration!R51C14</stp>
        <tr r="N51" s="66"/>
      </tp>
      <tp t="s">
        <v>Sr Unsecured</v>
        <stp/>
        <stp>##V3_BDPV12</stp>
        <stp>XS0888245122 Corp</stp>
        <stp>PAYMENT_RANK</stp>
        <stp>[upload (2).xlsm]Base all $ 3 Duration!R73C14</stp>
        <tr r="N73" s="66"/>
      </tp>
      <tp t="s">
        <v>Sr Unsecured</v>
        <stp/>
        <stp>##V3_BDPV12</stp>
        <stp>XS0889401054 Corp</stp>
        <stp>PAYMENT_RANK</stp>
        <stp>[upload (2).xlsm]Base all $ 3 Duration!R39C14</stp>
        <tr r="N39" s="66"/>
      </tp>
      <tp t="s">
        <v>26/06/2017</v>
        <stp/>
        <stp>##V3_BDPV12</stp>
        <stp>SIBN RX EQUITY</stp>
        <stp>DVD_RECORD_DT</stp>
        <stp>[upload (2).xlsm]Model Portfolio!R15C28</stp>
        <tr r="AB15" s="98"/>
      </tp>
      <tp t="s">
        <v>#N/A Field Not Applicable</v>
        <stp/>
        <stp>##V3_BDPV12</stp>
        <stp>PIKK RX EQUITY</stp>
        <stp>DVD_RECORD_DT</stp>
        <stp>[upload (2).xlsm]Model Portfolio!R68C28</stp>
        <tr r="AB68" s="98"/>
      </tp>
      <tp>
        <v>159.63</v>
        <stp/>
        <stp>##V3_BDPV12</stp>
        <stp>SBERP RX EQUITY</stp>
        <stp>PX_LAST</stp>
        <stp>[upload (2).xlsm]Model Portfolio!R76C3</stp>
        <tr r="C76" s="98"/>
      </tp>
      <tp>
        <v>196.5</v>
        <stp/>
        <stp>##V3_BDPV12</stp>
        <stp>AFLT RX EQUITY</stp>
        <stp>PX_LAST</stp>
        <stp>[upload (2).xlsm]Model Portfolio!R47C3</stp>
        <tr r="C47" s="98"/>
      </tp>
      <tp>
        <v>10667</v>
        <stp/>
        <stp>##V3_BDPV12</stp>
        <stp>MGNT RX EQUITY</stp>
        <stp>PX_LAST</stp>
        <stp>[upload (2).xlsm]Model Portfolio!R35C3</stp>
        <tr r="C35" s="98"/>
      </tp>
      <tp t="s">
        <v>#N/A N/A</v>
        <stp/>
        <stp>##V3_BDPV12</stp>
        <stp>FESH RX EQUITY</stp>
        <stp>EST_PE_NXT_YR</stp>
        <stp>[upload (2).xlsm]Model Portfolio!R45C15</stp>
        <tr r="O45" s="98"/>
      </tp>
      <tp t="s">
        <v>#N/A Field Not Applicable</v>
        <stp/>
        <stp>##V3_BDPV12</stp>
        <stp>YNDX US EQUITY</stp>
        <stp>DVD_RECORD_DT</stp>
        <stp>[upload (2).xlsm]Model Portfolio!R43C28</stp>
        <tr r="AB43" s="98"/>
      </tp>
      <tp>
        <v>4.9896551210652342</v>
        <stp/>
        <stp>##V3_BDPV12</stp>
        <stp>XS0851672435 Corp</stp>
        <stp>INTERVAL_PERCENT_CHANGE</stp>
        <stp>[upload (2).xlsm]Base all $ 3 Duration!R23C17</stp>
        <stp>END_DATE_OVERRIDE</stp>
        <stp xml:space="preserve"> </stp>
        <stp>START_DATE_OVERRIDe</stp>
        <stp>20140716</stp>
        <tr r="Q23" s="66"/>
      </tp>
      <tp>
        <v>2.1568433916857916</v>
        <stp/>
        <stp>##V3_BDPV12</stp>
        <stp>XS0922134712 Corp</stp>
        <stp>INTERVAL_PERCENT_CHANGE</stp>
        <stp>[upload (2).xlsm]Base all $ 3 Duration!R76C17</stp>
        <stp>END_DATE_OVERRIDE</stp>
        <stp xml:space="preserve"> </stp>
        <stp>START_DATE_OVERRIDe</stp>
        <stp>20140716</stp>
        <tr r="Q76" s="66"/>
      </tp>
      <tp t="s">
        <v>B1</v>
        <stp/>
        <stp>##V3_BDPV12</stp>
        <stp>XS0618905219 Corp</stp>
        <stp>RTG_moody</stp>
        <stp>[upload (2).xlsm]Base all $ 3 Duration!R37C10</stp>
        <tr r="J37" s="66"/>
        <tr r="J37" s="66"/>
      </tp>
      <tp t="s">
        <v>WR</v>
        <stp/>
        <stp>##V3_BDPV12</stp>
        <stp>XS0775984213 Corp</stp>
        <stp>RTG_moody</stp>
        <stp>[upload (2).xlsm]Base all $ 3 Duration!R42C10</stp>
        <tr r="J42" s="66"/>
        <tr r="J42" s="66"/>
      </tp>
      <tp>
        <v>3.1782221767252308</v>
        <stp/>
        <stp>##V3_BDPV12</stp>
        <stp>XS1040726587 Corp</stp>
        <stp>INTERVAL_PERCENT_CHANGE</stp>
        <stp>[upload (2).xlsm]Base all $ 3 Duration!R41C17</stp>
        <stp>END_DATE_OVERRIDE</stp>
        <stp xml:space="preserve"> </stp>
        <stp>START_DATE_OVERRIDe</stp>
        <stp>20140716</stp>
        <tr r="Q41" s="66"/>
      </tp>
      <tp t="s">
        <v>#N/A N/A</v>
        <stp/>
        <stp>##V3_BDPV12</stp>
        <stp>DIXY RX EQUITY</stp>
        <stp>DVD_RECORD_DT</stp>
        <stp>[upload (2).xlsm]Model Portfolio!R34C28</stp>
        <tr r="AB34" s="98"/>
      </tp>
      <tp>
        <v>1.3105E-2</v>
        <stp/>
        <stp>##V3_BDPV12</stp>
        <stp>TGKA RX EQUITY</stp>
        <stp>PX_LAST</stp>
        <stp>[upload (2).xlsm]Model Portfolio!R60C3</stp>
        <tr r="C60" s="98"/>
      </tp>
      <tp>
        <v>3.4009803921568622</v>
        <stp/>
        <stp>##V3_BDPV12</stp>
        <stp>FEES RX EQUITY</stp>
        <stp>EST_PE_NXT_YR</stp>
        <stp>[upload (2).xlsm]Model Portfolio!R56C15</stp>
        <tr r="O56" s="98"/>
      </tp>
      <tp t="s">
        <v>WR</v>
        <stp/>
        <stp>##V3_BDPV12</stp>
        <stp>XS0543956717 Corp</stp>
        <stp>RTG_moody</stp>
        <stp>[upload (2).xlsm]Base all $ 3 Duration!R85C10</stp>
        <tr r="J85" s="66"/>
        <tr r="J85" s="66"/>
      </tp>
      <tp t="s">
        <v>#N/A N/A</v>
        <stp/>
        <stp>##V3_BDPV12</stp>
        <stp>SBER RX EQUITY</stp>
        <stp>EST_EV_THIS_YR_EBITDA</stp>
        <stp>[upload (2).xlsm]Model Portfolio!R75C16</stp>
        <tr r="P75" s="98"/>
      </tp>
      <tp>
        <v>-6.814665839421405</v>
        <stp/>
        <stp>##V3_BDPV12</stp>
        <stp>XS0276456315 Corp</stp>
        <stp>INTERVAL_PERCENT_CHANGE</stp>
        <stp>[upload (2).xlsm]Base all $ 3 Duration!R90C17</stp>
        <stp>END_DATE_OVERRIDE</stp>
        <stp xml:space="preserve"> </stp>
        <stp>START_DATE_OVERRIDe</stp>
        <stp>20140716</stp>
        <tr r="Q90" s="66"/>
      </tp>
      <tp>
        <v>3.0634999999999999</v>
        <stp/>
        <stp>##V3_BDPV12</stp>
        <stp>MSNG RX EQUITY</stp>
        <stp>PX_LAST</stp>
        <stp>[upload (2).xlsm]Model Portfolio!R55C3</stp>
        <tr r="C55" s="98"/>
      </tp>
      <tp t="s">
        <v>Y</v>
        <stp/>
        <stp>##V3_BDPV12</stp>
        <stp>XS0742380412 Corp</stp>
        <stp>RUSSIAN_CB_LOMBARD</stp>
        <stp>[upload (2).xlsm]Base all $ 3 Duration!R86C16</stp>
        <tr r="P86" s="66"/>
      </tp>
      <tp t="s">
        <v>N</v>
        <stp/>
        <stp>##V3_BDPV12</stp>
        <stp>XS0640334768 Corp</stp>
        <stp>RUSSIAN_CB_LOMBARD</stp>
        <stp>[upload (2).xlsm]Base all $ 3 Duration!R15C16</stp>
        <tr r="P15" s="66"/>
      </tp>
      <tp>
        <v>1018299000</v>
        <stp/>
        <stp>##V3_BDPV12</stp>
        <stp>TRNFP RX EQUITY</stp>
        <stp>AVG_DAILY_VALUE_TRADED_6M</stp>
        <stp>[upload (2).xlsm]Model Portfolio!R20C12</stp>
        <tr r="L20" s="98"/>
      </tp>
      <tp t="s">
        <v>N</v>
        <stp/>
        <stp>##V3_BDPV12</stp>
        <stp>XS0938341780 Corp</stp>
        <stp>RUSSIAN_CB_LOMBARD</stp>
        <stp>[upload (2).xlsm]Base all $ 3 Duration!R21C16</stp>
        <tr r="P21" s="66"/>
      </tp>
      <tp>
        <v>3.764154</v>
        <stp/>
        <stp>##V3_BDPV12</stp>
        <stp>POLY RX Equity</stp>
        <stp>EQY_DVD_YLD_EST</stp>
        <stp>[Copy of upload (2).xlsm]Гарез_GRENF (2)!R9C20</stp>
        <tr r="T9" s="116"/>
      </tp>
      <tp t="s">
        <v>N</v>
        <stp/>
        <stp>##V3_BDPV12</stp>
        <stp>XS0919502434 Corp</stp>
        <stp>RUSSIAN_CB_LOMBARD</stp>
        <stp>[upload (2).xlsm]Base all $ 3 Duration!R66C16</stp>
        <tr r="P66" s="66"/>
      </tp>
      <tp t="s">
        <v>N</v>
        <stp/>
        <stp>##V3_BDPV12</stp>
        <stp>XS0973219495 Corp</stp>
        <stp>RUSSIAN_CB_LOMBARD</stp>
        <stp>[upload (2).xlsm]Base all $ 3 Duration!R11C16</stp>
        <tr r="P11" s="66"/>
      </tp>
      <tp t="s">
        <v>Y</v>
        <stp/>
        <stp>##V3_BDPV12</stp>
        <stp>XS0796426228 Corp</stp>
        <stp>RUSSIAN_CB_LOMBARD</stp>
        <stp>[upload (2).xlsm]Base all $ 3 Duration!R54C16</stp>
        <tr r="P54" s="66"/>
      </tp>
      <tp t="s">
        <v>N</v>
        <stp/>
        <stp>##V3_BDPV12</stp>
        <stp>XS0924078453 Corp</stp>
        <stp>RUSSIAN_CB_LOMBARD</stp>
        <stp>[upload (2).xlsm]Base all $ 3 Duration!R19C16</stp>
        <tr r="P19" s="66"/>
      </tp>
      <tp>
        <v>113.223</v>
        <stp/>
        <stp>##V3_BDPV12</stp>
        <stp>XS0555493203 Corp</stp>
        <stp>px_last</stp>
        <stp>[upload (2).xlsm]Base all $ 3 Duration!R109C4</stp>
        <tr r="D109" s="66"/>
      </tp>
      <tp>
        <v>17.175069097701108</v>
        <stp/>
        <stp>##V3_BDPV12</stp>
        <stp>TATNP RX EQUITY</stp>
        <stp>NORMALIZED_ROE</stp>
        <stp>[upload (2).xlsm]Model Portfolio!R19C26</stp>
        <tr r="Z19" s="98"/>
      </tp>
      <tp>
        <v>108.584</v>
        <stp/>
        <stp>##V3_BDPV12</stp>
        <stp>XS0764220017 Corp</stp>
        <stp>px_last</stp>
        <stp>[upload (2).xlsm]Base all $ 3 Duration!R149C4</stp>
        <tr r="D149" s="66"/>
      </tp>
      <tp>
        <v>113.426</v>
        <stp/>
        <stp>##V3_BDPV12</stp>
        <stp>XS0620695204 Corp</stp>
        <stp>px_last</stp>
        <stp>[upload (2).xlsm]Base all $ 3 Duration!R138C4</stp>
        <tr r="D138" s="66"/>
      </tp>
      <tp>
        <v>43.364923101938729</v>
        <stp/>
        <stp>##V3_BDPV12</stp>
        <stp>POLY LN EQUITY</stp>
        <stp>EBITDA_MARGIN</stp>
        <stp>[upload (2).xlsm]Model Portfolio!R6C23</stp>
        <tr r="W6" s="98"/>
      </tp>
      <tp>
        <v>60.045220449692252</v>
        <stp/>
        <stp>##V3_BDPV12</stp>
        <stp>PLZL RX EQUITY</stp>
        <stp>EBITDA_MARGIN</stp>
        <stp>[upload (2).xlsm]Model Portfolio!R2C23</stp>
        <tr r="W2" s="98"/>
      </tp>
      <tp t="s">
        <v>18/08/2017</v>
        <stp/>
        <stp>##V3_BDPV12</stp>
        <stp>EVR LN EQUITY</stp>
        <stp>DVD_RECORD_DT</stp>
        <stp>[upload (2).xlsm]Model Portfolio!R26C28</stp>
        <tr r="AB26" s="98"/>
      </tp>
      <tp t="s">
        <v>#N/A N/A</v>
        <stp/>
        <stp>##V3_BDPV12</stp>
        <stp>XS0783291221 Corp</stp>
        <stp>PX_GROSS_MID</stp>
        <stp>[upload (2).xlsm]Base all $ 3 Duration!R72C19</stp>
        <tr r="S72" s="66"/>
      </tp>
      <tp t="s">
        <v>#N/A N/A</v>
        <stp/>
        <stp>##V3_BDPV12</stp>
        <stp>XS0650962185 Corp</stp>
        <stp>PX_GROSS_MID</stp>
        <stp>[upload (2).xlsm]Base all $ 3 Duration!R83C19</stp>
        <tr r="S83" s="66"/>
      </tp>
      <tp>
        <v>102.04150000000001</v>
        <stp/>
        <stp>##V3_BDPV12</stp>
        <stp>XS0923110232 Corp</stp>
        <stp>PX_GROSS_MID</stp>
        <stp>[upload (2).xlsm]Base all $ 3 Duration!R35C19</stp>
        <tr r="S35" s="66"/>
      </tp>
      <tp t="s">
        <v>#N/A N/A</v>
        <stp/>
        <stp>##V3_BDPV12</stp>
        <stp>XS0426517701 Corp</stp>
        <stp>PX_GROSS_MID</stp>
        <stp>[upload (2).xlsm]Base all $ 3 Duration!R88C19</stp>
        <tr r="S88" s="66"/>
      </tp>
      <tp t="s">
        <v>#N/A N/A</v>
        <stp/>
        <stp>##V3_BDPV12</stp>
        <stp>XS0292530309 Corp</stp>
        <stp>PX_GROSS_MID</stp>
        <stp>[upload (2).xlsm]Base all $ 3 Duration!R81C19</stp>
        <tr r="S81" s="66"/>
      </tp>
      <tp>
        <v>110.87405555555556</v>
        <stp/>
        <stp>##V3_BDPV12</stp>
        <stp>XS0808636913 Corp</stp>
        <stp>PX_GROSS_MID</stp>
        <stp>[upload (2).xlsm]Base all $ 3 Duration!R17C19</stp>
        <tr r="S17" s="66"/>
      </tp>
      <tp>
        <v>101.96049166666667</v>
        <stp/>
        <stp>##V3_BDPV12</stp>
        <stp>XS0922883318 Corp</stp>
        <stp>PX_GROSS_MID</stp>
        <stp>[upload (2).xlsm]Base all $ 3 Duration!R56C19</stp>
        <tr r="S56" s="66"/>
      </tp>
      <tp>
        <v>102.30840277777779</v>
        <stp/>
        <stp>##V3_BDPV12</stp>
        <stp>XS0863583281 Corp</stp>
        <stp>PX_GROSS_MID</stp>
        <stp>[upload (2).xlsm]Base all $ 3 Duration!R67C19</stp>
        <tr r="S67" s="66"/>
      </tp>
      <tp t="s">
        <v>Sr Unsecured</v>
        <stp/>
        <stp>##V3_BDPV12</stp>
        <stp>XS0559800122 Corp</stp>
        <stp>PAYMENT_RANK</stp>
        <stp>[upload (2).xlsm]Base all $ 3 Duration!R63C14</stp>
        <tr r="N63" s="66"/>
      </tp>
      <tp t="s">
        <v>Sr Unsecured</v>
        <stp/>
        <stp>##V3_BDPV12</stp>
        <stp>XS0499245180 Corp</stp>
        <stp>PAYMENT_RANK</stp>
        <stp>[upload (2).xlsm]Base all $ 3 Duration!R84C14</stp>
        <tr r="N84" s="66"/>
      </tp>
      <tp t="s">
        <v>Highland Gold Mining Ltd</v>
        <stp/>
        <stp>##V3_BDPV12</stp>
        <stp>HGM LN EQUITY</stp>
        <stp>SECURITY_NAME</stp>
        <stp>[Copy of upload (2).xlsm]Гарез_GRENF!R31C4</stp>
        <tr r="D31" s="115"/>
      </tp>
      <tp t="s">
        <v>Sr Unsecured</v>
        <stp/>
        <stp>##V3_BDPV12</stp>
        <stp>XS0630950870 Corp</stp>
        <stp>PAYMENT_RANK</stp>
        <stp>[upload (2).xlsm]Base all $ 3 Duration!R75C14</stp>
        <tr r="N75" s="66"/>
      </tp>
      <tp>
        <v>3.7763652835834929</v>
        <stp/>
        <stp>##V3_BDPV12</stp>
        <stp>GAZP RX EQUITY</stp>
        <stp>EST_EV_THIS_YR_EBITDA</stp>
        <stp>[upload (2).xlsm]Model Portfolio!R12C16</stp>
        <tr r="P12" s="98"/>
      </tp>
      <tp>
        <v>-2.7481770000000001</v>
        <stp/>
        <stp>##V3_BDPV12</stp>
        <stp>POLY LN EQUITY</stp>
        <stp>CHG_PCT_WTD</stp>
        <stp>[upload (2).xlsm]Model Portfolio!R6C4</stp>
        <tr r="D6" s="98"/>
      </tp>
      <tp t="s">
        <v>#N/A N/A</v>
        <stp/>
        <stp>##V3_BDPV12</stp>
        <stp>RASP RX EQUITY</stp>
        <stp>EST_EV_THIS_YR_EBITDA</stp>
        <stp>[upload (2).xlsm]Model Portfolio!R28C16</stp>
        <tr r="P28" s="98"/>
      </tp>
      <tp>
        <v>1.4035089999999999</v>
        <stp/>
        <stp>##V3_BDPV12</stp>
        <stp>POLY LN EQUITY</stp>
        <stp>CHG_PCT_YTD</stp>
        <stp>[upload (2).xlsm]Model Portfolio!R6C7</stp>
        <tr r="G6" s="98"/>
      </tp>
      <tp>
        <v>21.290373716957951</v>
        <stp/>
        <stp>##V3_BDPV12</stp>
        <stp>BANEP RX EQUITY</stp>
        <stp>EBITDA_MARGIN</stp>
        <stp>[upload (2).xlsm]Model Portfolio!R8C23</stp>
        <tr r="W8" s="98"/>
      </tp>
      <tp>
        <v>159.85</v>
        <stp/>
        <stp>##V3_BDPV12</stp>
        <stp>MTLR RX EQUITY</stp>
        <stp>PX_LAST</stp>
        <stp>[upload (2).xlsm]Model Portfolio!R24C3</stp>
        <tr r="C24" s="98"/>
      </tp>
      <tp>
        <v>7.8122999999999996</v>
        <stp/>
        <stp>##V3_BDPV12</stp>
        <stp>HKD Curncy</stp>
        <stp>PX_LAST</stp>
        <stp>[upload (2).xlsm]Model Portfolio!R1C37</stp>
        <tr r="AK1" s="98"/>
      </tp>
      <tp t="s">
        <v>#N/A N/A</v>
        <stp/>
        <stp>##V3_BDPV12</stp>
        <stp>LXFT US EQUITY</stp>
        <stp>BDVD_NEXT_EST_DECL_DT</stp>
        <stp>[upload (2).xlsm]Model Portfolio!R41C31</stp>
        <tr r="AE41" s="98"/>
      </tp>
      <tp>
        <v>5.6615965586733425</v>
        <stp/>
        <stp>##V3_BDPV12</stp>
        <stp>TATN RX EQUITY</stp>
        <stp>EST_EV_THIS_YR_EBITDA</stp>
        <stp>[upload (2).xlsm]Model Portfolio!R14C16</stp>
        <tr r="P14" s="98"/>
      </tp>
      <tp>
        <v>-9.3490563098474038</v>
        <stp/>
        <stp>##V3_BDPV12</stp>
        <stp>XS0261906738 Corp</stp>
        <stp>INTERVAL_PERCENT_CHANGE</stp>
        <stp>[upload (2).xlsm]Base all $ 3 Duration!R89C17</stp>
        <stp>END_DATE_OVERRIDE</stp>
        <stp xml:space="preserve"> </stp>
        <stp>START_DATE_OVERRIDe</stp>
        <stp>20140716</stp>
        <tr r="Q89" s="66"/>
      </tp>
      <tp>
        <v>10.178496282788609</v>
        <stp/>
        <stp>##V3_BDPV12</stp>
        <stp>MFON RX EQUITY</stp>
        <stp>EST_PE_NXT_YR</stp>
        <stp>[upload (2).xlsm]Model Portfolio!R62C15</stp>
        <tr r="O62" s="98"/>
      </tp>
      <tp>
        <v>5.594025409179352</v>
        <stp/>
        <stp>##V3_BDPV12</stp>
        <stp>AFLT RX EQUITY</stp>
        <stp>EST_PE_NXT_YR</stp>
        <stp>[upload (2).xlsm]Model Portfolio!R47C15</stp>
        <tr r="O47" s="98"/>
      </tp>
      <tp>
        <v>9.6983356449375862</v>
        <stp/>
        <stp>##V3_BDPV12</stp>
        <stp>AFKS RX EQUITY</stp>
        <stp>EST_PE_NXT_YR</stp>
        <stp>[upload (2).xlsm]Model Portfolio!R64C15</stp>
        <tr r="O64" s="98"/>
      </tp>
      <tp>
        <v>84.97</v>
        <stp/>
        <stp>##V3_BDPV12</stp>
        <stp>EPAM US EQUITY</stp>
        <stp>PX_LAST</stp>
        <stp>[upload (2).xlsm]Model Portfolio!R42C3</stp>
        <tr r="C42" s="98"/>
      </tp>
      <tp>
        <v>3.0849979183342846</v>
        <stp/>
        <stp>##V3_BDPV12</stp>
        <stp>BANE RX EQUITY</stp>
        <stp>EST_EV_THIS_YR_EBITDA</stp>
        <stp>[upload (2).xlsm]Model Portfolio!R18C16</stp>
        <tr r="P18" s="98"/>
      </tp>
      <tp>
        <v>2.1767537094390654</v>
        <stp/>
        <stp>##V3_BDPV12</stp>
        <stp>XS0776121062 Corp</stp>
        <stp>INTERVAL_PERCENT_CHANGE</stp>
        <stp>[upload (2).xlsm]Base all $ 3 Duration!R27C17</stp>
        <stp>END_DATE_OVERRIDE</stp>
        <stp xml:space="preserve"> </stp>
        <stp>START_DATE_OVERRIDe</stp>
        <stp>20140716</stp>
        <tr r="Q27" s="66"/>
      </tp>
      <tp>
        <v>5.8506525140314469</v>
        <stp/>
        <stp>##V3_BDPV12</stp>
        <stp>XS1043519567 Corp</stp>
        <stp>INTERVAL_PERCENT_CHANGE</stp>
        <stp>[upload (2).xlsm]Base all $ 3 Duration!R74C17</stp>
        <stp>END_DATE_OVERRIDE</stp>
        <stp xml:space="preserve"> </stp>
        <stp>START_DATE_OVERRIDe</stp>
        <stp>20140716</stp>
        <tr r="Q74" s="66"/>
      </tp>
      <tp>
        <v>-5.3921375159166427</v>
        <stp/>
        <stp>##V3_BDPV12</stp>
        <stp>XS0974469206 Corp</stp>
        <stp>INTERVAL_PERCENT_CHANGE</stp>
        <stp>[upload (2).xlsm]Base all $ 3 Duration!R14C17</stp>
        <stp>END_DATE_OVERRIDE</stp>
        <stp xml:space="preserve"> </stp>
        <stp>START_DATE_OVERRIDe</stp>
        <stp>20140716</stp>
        <tr r="Q14" s="66"/>
      </tp>
      <tp t="s">
        <v>WR</v>
        <stp/>
        <stp>##V3_BDPV12</stp>
        <stp>XS0938341780 Corp</stp>
        <stp>RTG_moody</stp>
        <stp>[upload (2).xlsm]Base all $ 3 Duration!R21C10</stp>
        <tr r="J21" s="66"/>
        <tr r="J21" s="66"/>
      </tp>
      <tp t="s">
        <v>NR</v>
        <stp/>
        <stp>##V3_BDPV12</stp>
        <stp>XS0973219495 Corp</stp>
        <stp>RTG_moody</stp>
        <stp>[upload (2).xlsm]Base all $ 3 Duration!R11C10</stp>
        <tr r="J11" s="66"/>
        <tr r="J11" s="66"/>
      </tp>
      <tp>
        <v>10.221089950043595</v>
        <stp/>
        <stp>##V3_BDPV12</stp>
        <stp>FXPO LN EQUITY</stp>
        <stp>EST_PE_NXT_YR</stp>
        <stp>[upload (2).xlsm]Model Portfolio!R27C15</stp>
        <tr r="O27" s="98"/>
      </tp>
      <tp>
        <v>-2.1765984247448231</v>
        <stp/>
        <stp>##V3_BDPV12</stp>
        <stp>XS0772509484 Corp</stp>
        <stp>INTERVAL_PERCENT_CHANGE</stp>
        <stp>[upload (2).xlsm]Base all $ 3 Duration!R78C17</stp>
        <stp>END_DATE_OVERRIDE</stp>
        <stp xml:space="preserve"> </stp>
        <stp>START_DATE_OVERRIDe</stp>
        <stp>20140716</stp>
        <tr r="Q78" s="66"/>
      </tp>
      <tp>
        <v>-2.8726215169857938</v>
        <stp/>
        <stp>##V3_BDPV12</stp>
        <stp>XS0742380412 Corp</stp>
        <stp>INTERVAL_PERCENT_CHANGE</stp>
        <stp>[upload (2).xlsm]Base all $ 3 Duration!R86C17</stp>
        <stp>END_DATE_OVERRIDE</stp>
        <stp xml:space="preserve"> </stp>
        <stp>START_DATE_OVERRIDe</stp>
        <stp>20140716</stp>
        <tr r="Q86" s="66"/>
      </tp>
      <tp t="s">
        <v>WR</v>
        <stp/>
        <stp>##V3_BDPV12</stp>
        <stp>XS0855334289 Corp</stp>
        <stp>RTG_moody</stp>
        <stp>[upload (2).xlsm]Base all $ 3 Duration!R50C10</stp>
        <tr r="J50" s="66"/>
        <tr r="J50" s="66"/>
      </tp>
      <tp t="s">
        <v>WR</v>
        <stp/>
        <stp>##V3_BDPV12</stp>
        <stp>XS0562354182 Corp</stp>
        <stp>RTG_moody</stp>
        <stp>[upload (2).xlsm]Base all $ 3 Duration!R96C10</stp>
        <tr r="J96" s="66"/>
        <tr r="J96" s="66"/>
      </tp>
      <tp t="s">
        <v>#N/A N/A</v>
        <stp/>
        <stp>##V3_BDPV12</stp>
        <stp>MAIL LI EQUITY</stp>
        <stp>BDVD_NEXT_EST_DECL_DT</stp>
        <stp>[upload (2).xlsm]Model Portfolio!R44C31</stp>
        <tr r="AE44" s="98"/>
      </tp>
      <tp t="s">
        <v>Ba1</v>
        <stp/>
        <stp>##V3_BDPV12</stp>
        <stp>XS0551315384 Corp</stp>
        <stp>RTG_moody</stp>
        <stp>[upload (2).xlsm]Base all $ 3 Duration!R82C10</stp>
        <tr r="J82" s="66"/>
        <tr r="J82" s="66"/>
      </tp>
      <tp t="s">
        <v>WR</v>
        <stp/>
        <stp>##V3_BDPV12</stp>
        <stp>XS0253861834 Corp</stp>
        <stp>RTG_moody</stp>
        <stp>[upload (2).xlsm]Base all $ 3 Duration!R91C10</stp>
        <tr r="J91" s="66"/>
        <tr r="J91" s="66"/>
      </tp>
      <tp t="s">
        <v>Ba1</v>
        <stp/>
        <stp>##V3_BDPV12</stp>
        <stp>XS0783934325 Corp</stp>
        <stp>RTG_moody</stp>
        <stp>[upload (2).xlsm]Base all $ 3 Duration!R47C10</stp>
        <tr r="J47" s="66"/>
        <tr r="J47" s="66"/>
      </tp>
      <tp>
        <v>4.7798089373984993</v>
        <stp/>
        <stp>##V3_BDPV12</stp>
        <stp>MAGN RX EQUITY</stp>
        <stp>EST_EV_THIS_YR_EBITDA</stp>
        <stp>[upload (2).xlsm]Model Portfolio!R23C16</stp>
        <tr r="P23" s="98"/>
      </tp>
      <tp t="s">
        <v>04/08/2017</v>
        <stp/>
        <stp>##V3_BDPV12</stp>
        <stp>ETLN LI EQUITY</stp>
        <stp>DVD_RECORD_DT</stp>
        <stp>[upload (2).xlsm]Model Portfolio!R70C28</stp>
        <tr r="AB70" s="98"/>
      </tp>
      <tp>
        <v>-2.7700321347647527</v>
        <stp/>
        <stp>##V3_BDPV12</stp>
        <stp>XS0236336045 Corp</stp>
        <stp>INTERVAL_PERCENT_CHANGE</stp>
        <stp>[upload (2).xlsm]Base all $ 3 Duration!R97C17</stp>
        <stp>END_DATE_OVERRIDE</stp>
        <stp xml:space="preserve"> </stp>
        <stp>START_DATE_OVERRIDe</stp>
        <stp>20140716</stp>
        <tr r="Q97" s="66"/>
      </tp>
      <tp>
        <v>905</v>
        <stp/>
        <stp>##V3_BDPV12</stp>
        <stp>CHMF RX EQUITY</stp>
        <stp>PX_LAST</stp>
        <stp>[upload (2).xlsm]Model Portfolio!R25C3</stp>
        <tr r="C25" s="98"/>
      </tp>
      <tp t="s">
        <v>B1</v>
        <stp/>
        <stp>##V3_BDPV12</stp>
        <stp>XS0585211591 Corp</stp>
        <stp>RTG_moody</stp>
        <stp>[upload (2).xlsm]Base all $ 3 Duration!R34C10</stp>
        <tr r="J34" s="66"/>
        <tr r="J34" s="66"/>
      </tp>
      <tp>
        <v>15.146303535016706</v>
        <stp/>
        <stp>##V3_BDPV12</stp>
        <stp>LSRG RX EQUITY</stp>
        <stp>NORMALIZED_ROE</stp>
        <stp>[upload (2).xlsm]Model Portfolio!R69C26</stp>
        <tr r="Z69" s="98"/>
      </tp>
      <tp t="s">
        <v>Transportation</v>
        <stp/>
        <stp>##V3_BDPV12</stp>
        <stp>NMTP RX EQUITY</stp>
        <stp>INDUSTRY_GROUP</stp>
        <stp>[upload (2).xlsm]Model Portfolio!R49C13</stp>
        <tr r="M49" s="98"/>
      </tp>
      <tp t="s">
        <v>Y</v>
        <stp/>
        <stp>##V3_BDPV12</stp>
        <stp>XS0955232854 Corp</stp>
        <stp>RUSSIAN_CB_LOMBARD</stp>
        <stp>[upload (2).xlsm]Base all $ 3 Duration!R45C16</stp>
        <tr r="P45" s="66"/>
      </tp>
      <tp t="s">
        <v>Y</v>
        <stp/>
        <stp>##V3_BDPV12</stp>
        <stp>XS0878855773 Corp</stp>
        <stp>RUSSIAN_CB_LOMBARD</stp>
        <stp>[upload (2).xlsm]Base all $ 3 Duration!R44C16</stp>
        <tr r="P44" s="66"/>
      </tp>
      <tp t="s">
        <v>Food</v>
        <stp/>
        <stp>##V3_BDPV12</stp>
        <stp>OKEY LI EQUITY</stp>
        <stp>INDUSTRY_GROUP</stp>
        <stp>[upload (2).xlsm]Model Portfolio!R39C13</stp>
        <tr r="M39" s="98"/>
      </tp>
      <tp>
        <v>28.443255278364148</v>
        <stp/>
        <stp>##V3_BDPV12</stp>
        <stp>UPRO RX EQUITY</stp>
        <stp>NORMALIZED_ROE</stp>
        <stp>[upload (2).xlsm]Model Portfolio!R52C26</stp>
        <tr r="Z52" s="98"/>
      </tp>
      <tp>
        <v>21.974697769402578</v>
        <stp/>
        <stp>##V3_BDPV12</stp>
        <stp>AKRN RX EQUITY</stp>
        <stp>NORMALIZED_ROE</stp>
        <stp>[upload (2).xlsm]Model Portfolio!R33C26</stp>
        <tr r="Z33" s="98"/>
      </tp>
      <tp t="s">
        <v>Y</v>
        <stp/>
        <stp>##V3_BDPV12</stp>
        <stp>XS0888245122 Corp</stp>
        <stp>RUSSIAN_CB_LOMBARD</stp>
        <stp>[upload (2).xlsm]Base all $ 3 Duration!R73C16</stp>
        <tr r="P73" s="66"/>
      </tp>
      <tp>
        <v>122.57599999999999</v>
        <stp/>
        <stp>##V3_BDPV12</stp>
        <stp>XS0316524130 Corp</stp>
        <stp>px_last</stp>
        <stp>[upload (2).xlsm]Base all $ 3 Duration!R129C4</stp>
        <tr r="D129" s="66"/>
      </tp>
      <tp>
        <v>105.417</v>
        <stp/>
        <stp>##V3_BDPV12</stp>
        <stp>XS0911599701 Corp</stp>
        <stp>px_last</stp>
        <stp>[upload (2).xlsm]Base all $ 3 Duration!R104C4</stp>
        <tr r="D104" s="66"/>
      </tp>
      <tp>
        <v>6.3442128946404512</v>
        <stp/>
        <stp>##V3_BDPV12</stp>
        <stp>MSRS RX EQUITY</stp>
        <stp>NORMALIZED_ROE</stp>
        <stp>[upload (2).xlsm]Model Portfolio!R59C26</stp>
        <tr r="Z59" s="98"/>
      </tp>
      <tp>
        <v>4.8351063605150575</v>
        <stp/>
        <stp>##V3_BDPV12</stp>
        <stp>RTKMP RX EQUITY</stp>
        <stp>NORMALIZED_ROE</stp>
        <stp>[upload (2).xlsm]Model Portfolio!R63C26</stp>
        <tr r="Z63" s="98"/>
      </tp>
      <tp t="s">
        <v>Electric</v>
        <stp/>
        <stp>##V3_BDPV12</stp>
        <stp>RSTI RX EQUITY</stp>
        <stp>INDUSTRY_GROUP</stp>
        <stp>[upload (2).xlsm]Model Portfolio!R54C13</stp>
        <tr r="M54" s="98"/>
      </tp>
      <tp t="s">
        <v>Oil&amp;Gas</v>
        <stp/>
        <stp>##V3_BDPV12</stp>
        <stp>NVTK RX EQUITY</stp>
        <stp>INDUSTRY_GROUP</stp>
        <stp>[upload (2).xlsm]Model Portfolio!R16C13</stp>
        <tr r="M16" s="98"/>
      </tp>
      <tp t="s">
        <v>Telecommunications</v>
        <stp/>
        <stp>##V3_BDPV12</stp>
        <stp>KCEL LI EQUITY</stp>
        <stp>INDUSTRY_GROUP</stp>
        <stp>[upload (2).xlsm]Model Portfolio!R65C13</stp>
        <tr r="M65" s="98"/>
      </tp>
      <tp t="s">
        <v>Oil&amp;Gas</v>
        <stp/>
        <stp>##V3_BDPV12</stp>
        <stp>TATN RX EQUITY</stp>
        <stp>INDUSTRY_GROUP</stp>
        <stp>[upload (2).xlsm]Model Portfolio!R14C13</stp>
        <tr r="M14" s="98"/>
      </tp>
      <tp>
        <v>35.323960021010429</v>
        <stp/>
        <stp>##V3_BDPV12</stp>
        <stp>POG LN EQUITY</stp>
        <stp>EBITDA_MARGIN</stp>
        <stp>[upload (2).xlsm]Model Portfolio!R7C23</stp>
        <tr r="W7" s="98"/>
      </tp>
      <tp>
        <v>34.677419354838712</v>
        <stp/>
        <stp>##V3_BDPV12</stp>
        <stp>VIP US EQUITY</stp>
        <stp>EBITDA_MARGIN</stp>
        <stp>[upload (2).xlsm]Model Portfolio!R61C23</stp>
        <tr r="W61" s="98"/>
      </tp>
      <tp>
        <v>39.202889077717494</v>
        <stp/>
        <stp>##V3_BDPV12</stp>
        <stp>HGM LN EQUITY</stp>
        <stp>EBITDA_MARGIN</stp>
        <stp>[upload (2).xlsm]Model Portfolio!R4C23</stp>
        <tr r="W4" s="98"/>
      </tp>
      <tp>
        <v>35.634462296214174</v>
        <stp/>
        <stp>##V3_BDPV12</stp>
        <stp>KMG LI EQUITY</stp>
        <stp>EBITDA_MARGIN</stp>
        <stp>[upload (2).xlsm]Model Portfolio!R9C23</stp>
        <tr r="W9" s="98"/>
      </tp>
    </main>
    <main first="bloomberg.rtd">
      <tp>
        <v>106.5185</v>
        <stp/>
        <stp>##V3_BDPV12</stp>
        <stp>XS0381439305 Corp</stp>
        <stp>PX_GROSS_MID</stp>
        <stp>[upload (2).xlsm]Base all $ 3 Duration!R64C19</stp>
        <tr r="S64" s="66"/>
      </tp>
      <tp>
        <v>25.559055555555553</v>
        <stp/>
        <stp>##V3_BDPV12</stp>
        <stp>XS0940730228 Corp</stp>
        <stp>PX_GROSS_MID</stp>
        <stp>[upload (2).xlsm]Base all $ 3 Duration!R25C19</stp>
        <tr r="S25" s="66"/>
      </tp>
      <tp>
        <v>102.93903333333333</v>
        <stp/>
        <stp>##V3_BDPV12</stp>
        <stp>XS0993162170 Corp</stp>
        <stp>PX_GROSS_MID</stp>
        <stp>[upload (2).xlsm]Base all $ 3 Duration!R48C19</stp>
        <tr r="S48" s="66"/>
      </tp>
      <tp>
        <v>106.93568888888889</v>
        <stp/>
        <stp>##V3_BDPV12</stp>
        <stp>XS0357281558 Corp</stp>
        <stp>PX_GROSS_MID</stp>
        <stp>[upload (2).xlsm]Base all $ 3 Duration!R69C19</stp>
        <tr r="S69" s="66"/>
      </tp>
      <tp>
        <v>103.21350000000001</v>
        <stp/>
        <stp>##V3_BDPV12</stp>
        <stp>XS0551315384 Corp</stp>
        <stp>PX_GROSS_MID</stp>
        <stp>[upload (2).xlsm]Base all $ 3 Duration!R82C19</stp>
        <tr r="S82" s="66"/>
      </tp>
      <tp t="s">
        <v>#N/A N/A</v>
        <stp/>
        <stp>##V3_BDPV12</stp>
        <stp>XS0861980372 Corp</stp>
        <stp>PX_GROSS_MID</stp>
        <stp>[upload (2).xlsm]Base all $ 3 Duration!R80C19</stp>
        <tr r="S80" s="66"/>
      </tp>
      <tp t="s">
        <v>Sr Unsecured</v>
        <stp/>
        <stp>##V3_BDPV12</stp>
        <stp>XS0253861834 Corp</stp>
        <stp>PAYMENT_RANK</stp>
        <stp>[upload (2).xlsm]Base all $ 3 Duration!R91C14</stp>
        <tr r="N91" s="66"/>
      </tp>
      <tp t="s">
        <v>Highland Gold Mining Ltd</v>
        <stp/>
        <stp>##V3_BDPV12</stp>
        <stp>HGM LN EQUITY</stp>
        <stp>SECURITY_NAME</stp>
        <stp>[Copy of upload (2).xlsm]Гарез_GRENF!R32C4</stp>
        <tr r="D32" s="115"/>
      </tp>
      <tp t="s">
        <v>USD</v>
        <stp/>
        <stp>##V3_BDPV12</stp>
        <stp>AGRO LI EQUITY</stp>
        <stp>CRNCY</stp>
        <stp>[Copy of upload (2).xlsm]Гарез_GRENF!R50C7</stp>
        <tr r="G50" s="115"/>
      </tp>
      <tp t="s">
        <v>Subordinated</v>
        <stp/>
        <stp>##V3_BDPV12</stp>
        <stp>XS0312572984 Corp</stp>
        <stp>PAYMENT_RANK</stp>
        <stp>[upload (2).xlsm]Base all $ 3 Duration!R22C14</stp>
        <tr r="N22" s="66"/>
      </tp>
      <tp t="s">
        <v>Sr Unsecured</v>
        <stp/>
        <stp>##V3_BDPV12</stp>
        <stp>XS0802648955 Corp</stp>
        <stp>PAYMENT_RANK</stp>
        <stp>[upload (2).xlsm]Base all $ 3 Duration!R12C14</stp>
        <tr r="N12" s="66"/>
      </tp>
      <tp t="s">
        <v>Subordinated</v>
        <stp/>
        <stp>##V3_BDPV12</stp>
        <stp>XS0299183250 Corp</stp>
        <stp>PAYMENT_RANK</stp>
        <stp>[upload (2).xlsm]Base all $ 3 Duration!R40C14</stp>
        <tr r="N40" s="66"/>
      </tp>
      <tp t="s">
        <v>Sr Unsecured</v>
        <stp/>
        <stp>##V3_BDPV12</stp>
        <stp>XS0783242877 Corp</stp>
        <stp>PAYMENT_RANK</stp>
        <stp>[upload (2).xlsm]Base all $ 3 Duration!R32C14</stp>
        <tr r="N32" s="66"/>
      </tp>
      <tp t="s">
        <v>Sr Unsecured</v>
        <stp/>
        <stp>##V3_BDPV12</stp>
        <stp>XS0923472814 Corp</stp>
        <stp>PAYMENT_RANK</stp>
        <stp>[upload (2).xlsm]Base all $ 3 Duration!R52C14</stp>
        <tr r="N52" s="66"/>
      </tp>
      <tp t="s">
        <v>#N/A N/A</v>
        <stp/>
        <stp>##V3_BDPV12</stp>
        <stp>SBER RX EQUITY</stp>
        <stp>EBITDA_MARGIN</stp>
        <stp>[upload (2).xlsm]Model Portfolio!R75C23</stp>
        <tr r="W75" s="98"/>
      </tp>
      <tp t="s">
        <v>10/07/2017</v>
        <stp/>
        <stp>##V3_BDPV12</stp>
        <stp>LKOH RX EQUITY</stp>
        <stp>DVD_RECORD_DT</stp>
        <stp>[upload (2).xlsm]Model Portfolio!R13C28</stp>
        <tr r="AB13" s="98"/>
      </tp>
      <tp>
        <v>14.935696833497854</v>
        <stp/>
        <stp>##V3_BDPV12</stp>
        <stp>MGNT RX EQUITY</stp>
        <stp>EST_PE_NXT_YR</stp>
        <stp>[upload (2).xlsm]Model Portfolio!R35C15</stp>
        <tr r="O35" s="98"/>
      </tp>
      <tp>
        <v>-2.6092815072399729</v>
        <stp/>
        <stp>##V3_BDPV12</stp>
        <stp>XS0643176448 Corp</stp>
        <stp>INTERVAL_PERCENT_CHANGE</stp>
        <stp>[upload (2).xlsm]Base all $ 3 Duration!R79C17</stp>
        <stp>END_DATE_OVERRIDE</stp>
        <stp xml:space="preserve"> </stp>
        <stp>START_DATE_OVERRIDe</stp>
        <stp>20140716</stp>
        <tr r="Q79" s="66"/>
      </tp>
      <tp t="s">
        <v>WR</v>
        <stp/>
        <stp>##V3_BDPV12</stp>
        <stp>XS0261906738 Corp</stp>
        <stp>RTG_moody</stp>
        <stp>[upload (2).xlsm]Base all $ 3 Duration!R89C10</stp>
        <tr r="J89" s="66"/>
        <tr r="J89" s="66"/>
      </tp>
      <tp>
        <v>-8.5247883917775091</v>
        <stp/>
        <stp>##V3_BDPV12</stp>
        <stp>XS0854763355 Corp</stp>
        <stp>INTERVAL_PERCENT_CHANGE</stp>
        <stp>[upload (2).xlsm]Base all $ 3 Duration!R28C17</stp>
        <stp>END_DATE_OVERRIDE</stp>
        <stp xml:space="preserve"> </stp>
        <stp>START_DATE_OVERRIDe</stp>
        <stp>20140716</stp>
        <tr r="Q28" s="66"/>
      </tp>
      <tp t="s">
        <v>26/09/2017</v>
        <stp/>
        <stp>##V3_BDPV12</stp>
        <stp>AKRN RX EQUITY</stp>
        <stp>DVD_RECORD_DT</stp>
        <stp>[upload (2).xlsm]Model Portfolio!R33C28</stp>
        <tr r="AB33" s="98"/>
      </tp>
      <tp>
        <v>4.4266666666666667</v>
        <stp/>
        <stp>##V3_BDPV12</stp>
        <stp>TGKA RX EQUITY</stp>
        <stp>EST_PE_NXT_YR</stp>
        <stp>[upload (2).xlsm]Model Portfolio!R60C15</stp>
        <tr r="O60" s="98"/>
      </tp>
      <tp>
        <v>4.5233333333333334</v>
        <stp/>
        <stp>##V3_BDPV12</stp>
        <stp>OGKB RX EQUITY</stp>
        <stp>EST_PE_NXT_YR</stp>
        <stp>[upload (2).xlsm]Model Portfolio!R57C15</stp>
        <tr r="O57" s="98"/>
      </tp>
      <tp>
        <v>5.0884328316229359</v>
        <stp/>
        <stp>##V3_BDPV12</stp>
        <stp>XS0832412505 Corp</stp>
        <stp>INTERVAL_PERCENT_CHANGE</stp>
        <stp>[upload (2).xlsm]Base all $ 3 Duration!R30C17</stp>
        <stp>END_DATE_OVERRIDE</stp>
        <stp xml:space="preserve"> </stp>
        <stp>START_DATE_OVERRIDe</stp>
        <stp>20140716</stp>
        <tr r="Q30" s="66"/>
      </tp>
      <tp>
        <v>5.4480328415325667</v>
        <stp/>
        <stp>##V3_BDPV12</stp>
        <stp>XS0640334768 Corp</stp>
        <stp>INTERVAL_PERCENT_CHANGE</stp>
        <stp>[upload (2).xlsm]Base all $ 3 Duration!R15C17</stp>
        <stp>END_DATE_OVERRIDE</stp>
        <stp xml:space="preserve"> </stp>
        <stp>START_DATE_OVERRIDe</stp>
        <stp>20140716</stp>
        <tr r="Q15" s="66"/>
      </tp>
      <tp>
        <v>-47.388059701492537</v>
        <stp/>
        <stp>##V3_BDPV12</stp>
        <stp>XS0973219495 Corp</stp>
        <stp>INTERVAL_PERCENT_CHANGE</stp>
        <stp>[upload (2).xlsm]Base all $ 3 Duration!R11C17</stp>
        <stp>END_DATE_OVERRIDE</stp>
        <stp xml:space="preserve"> </stp>
        <stp>START_DATE_OVERRIDe</stp>
        <stp>20140716</stp>
        <tr r="Q11" s="66"/>
      </tp>
      <tp>
        <v>0.86065553324253563</v>
        <stp/>
        <stp>##V3_BDPV12</stp>
        <stp>XS0652913558 Corp</stp>
        <stp>INTERVAL_PERCENT_CHANGE</stp>
        <stp>[upload (2).xlsm]Base all $ 3 Duration!R60C17</stp>
        <stp>END_DATE_OVERRIDE</stp>
        <stp xml:space="preserve"> </stp>
        <stp>START_DATE_OVERRIDe</stp>
        <stp>20140716</stp>
        <tr r="Q60" s="66"/>
      </tp>
      <tp>
        <v>-2.6123895562724058</v>
        <stp/>
        <stp>##V3_BDPV12</stp>
        <stp>XS0300998779 Corp</stp>
        <stp>INTERVAL_PERCENT_CHANGE</stp>
        <stp>[upload (2).xlsm]Base all $ 3 Duration!R58C17</stp>
        <stp>END_DATE_OVERRIDE</stp>
        <stp xml:space="preserve"> </stp>
        <stp>START_DATE_OVERRIDe</stp>
        <stp>20140716</stp>
        <tr r="Q58" s="66"/>
      </tp>
      <tp>
        <v>-0.39678876064792068</v>
        <stp/>
        <stp>##V3_BDPV12</stp>
        <stp>XS0592794597 Corp</stp>
        <stp>INTERVAL_PERCENT_CHANGE</stp>
        <stp>[upload (2).xlsm]Base all $ 3 Duration!R61C17</stp>
        <stp>END_DATE_OVERRIDE</stp>
        <stp xml:space="preserve"> </stp>
        <stp>START_DATE_OVERRIDe</stp>
        <stp>20140716</stp>
        <tr r="Q61" s="66"/>
      </tp>
      <tp t="s">
        <v>WR</v>
        <stp/>
        <stp>##V3_BDPV12</stp>
        <stp>XS0499245180 Corp</stp>
        <stp>RTG_moody</stp>
        <stp>[upload (2).xlsm]Base all $ 3 Duration!R84C10</stp>
        <tr r="J84" s="66"/>
        <tr r="J84" s="66"/>
      </tp>
      <tp>
        <v>-4.319321294445035</v>
        <stp/>
        <stp>##V3_BDPV12</stp>
        <stp>XS0855334289 Corp</stp>
        <stp>INTERVAL_PERCENT_CHANGE</stp>
        <stp>[upload (2).xlsm]Base all $ 3 Duration!R50C17</stp>
        <stp>END_DATE_OVERRIDE</stp>
        <stp xml:space="preserve"> </stp>
        <stp>START_DATE_OVERRIDe</stp>
        <stp>20140716</stp>
        <tr r="Q50" s="66"/>
      </tp>
      <tp t="s">
        <v>#N/A N/A</v>
        <stp/>
        <stp>##V3_BDPV12</stp>
        <stp>XS0559800122 Corp</stp>
        <stp>RTG_moody</stp>
        <stp>[upload (2).xlsm]Base all $ 3 Duration!R63C10</stp>
        <tr r="J63" s="66"/>
      </tp>
      <tp t="s">
        <v>Ba1</v>
        <stp/>
        <stp>##V3_BDPV12</stp>
        <stp>XS0324963932 Corp</stp>
        <stp>RTG_moody</stp>
        <stp>[upload (2).xlsm]Base all $ 3 Duration!R59C10</stp>
        <tr r="J59" s="66"/>
        <tr r="J59" s="66"/>
      </tp>
      <tp>
        <v>-1.9361361646428414</v>
        <stp/>
        <stp>##V3_BDPV12</stp>
        <stp>XS0775984213 Corp</stp>
        <stp>INTERVAL_PERCENT_CHANGE</stp>
        <stp>[upload (2).xlsm]Base all $ 3 Duration!R42C17</stp>
        <stp>END_DATE_OVERRIDE</stp>
        <stp xml:space="preserve"> </stp>
        <stp>START_DATE_OVERRIDe</stp>
        <stp>20140716</stp>
        <tr r="Q42" s="66"/>
      </tp>
      <tp t="s">
        <v>Y</v>
        <stp/>
        <stp>##V3_BDPV12</stp>
        <stp>XS0618905219 Corp</stp>
        <stp>RUSSIAN_CB_LOMBARD</stp>
        <stp>[upload (2).xlsm]Base all $ 3 Duration!R37C16</stp>
        <tr r="P37" s="66"/>
      </tp>
      <tp t="s">
        <v>Y</v>
        <stp/>
        <stp>##V3_BDPV12</stp>
        <stp>XS0652913558 Corp</stp>
        <stp>RUSSIAN_CB_LOMBARD</stp>
        <stp>[upload (2).xlsm]Base all $ 3 Duration!R60C16</stp>
        <tr r="P60" s="66"/>
      </tp>
      <tp t="s">
        <v>Y</v>
        <stp/>
        <stp>##V3_BDPV12</stp>
        <stp>XS0361041808 Corp</stp>
        <stp>RUSSIAN_CB_LOMBARD</stp>
        <stp>[upload (2).xlsm]Base all $ 3 Duration!R51C16</stp>
        <tr r="P51" s="66"/>
      </tp>
      <tp t="s">
        <v>Y</v>
        <stp/>
        <stp>##V3_BDPV12</stp>
        <stp>XS0461926569 Corp</stp>
        <stp>RUSSIAN_CB_LOMBARD</stp>
        <stp>[upload (2).xlsm]Base all $ 3 Duration!R53C16</stp>
        <tr r="P53" s="66"/>
      </tp>
      <tp>
        <v>4.915618287818349</v>
        <stp/>
        <stp>##V3_BDPV12</stp>
        <stp>ROSN RX EQUITY</stp>
        <stp>NORMALIZED_ROE</stp>
        <stp>[upload (2).xlsm]Model Portfolio!R17C26</stp>
        <tr r="Z17" s="98"/>
      </tp>
      <tp t="s">
        <v>Y</v>
        <stp/>
        <stp>##V3_BDPV12</stp>
        <stp>XS0588436799 Corp</stp>
        <stp>RUSSIAN_CB_LOMBARD</stp>
        <stp>[upload (2).xlsm]Base all $ 3 Duration!R94C16</stp>
        <tr r="P94" s="66"/>
      </tp>
      <tp t="s">
        <v>Y</v>
        <stp/>
        <stp>##V3_BDPV12</stp>
        <stp>XS0783291221 Corp</stp>
        <stp>RUSSIAN_CB_LOMBARD</stp>
        <stp>[upload (2).xlsm]Base all $ 3 Duration!R72C16</stp>
        <tr r="P72" s="66"/>
      </tp>
      <tp t="s">
        <v>#N/A N/A</v>
        <stp/>
        <stp>##V3_BDPV12</stp>
        <stp>FESH RX EQUITY</stp>
        <stp>NORMALIZED_ROE</stp>
        <stp>[upload (2).xlsm]Model Portfolio!R45C26</stp>
        <tr r="Z45" s="98"/>
      </tp>
      <tp t="s">
        <v>Y</v>
        <stp/>
        <stp>##V3_BDPV12</stp>
        <stp>XS0993162170 Corp</stp>
        <stp>RUSSIAN_CB_LOMBARD</stp>
        <stp>[upload (2).xlsm]Base all $ 3 Duration!R48C16</stp>
        <tr r="P48" s="66"/>
      </tp>
      <tp>
        <v>114.05800000000001</v>
        <stp/>
        <stp>##V3_BDPV12</stp>
        <stp>XS0587031096 Corp</stp>
        <stp>px_last</stp>
        <stp>[upload (2).xlsm]Base all $ 3 Duration!R134C4</stp>
        <tr r="D134" s="66"/>
      </tp>
      <tp>
        <v>40.436339044846775</v>
        <stp/>
        <stp>##V3_BDPV12</stp>
        <stp>MTSS RX EQUITY</stp>
        <stp>NORMALIZED_ROE</stp>
        <stp>[upload (2).xlsm]Model Portfolio!R67C26</stp>
        <tr r="Z67" s="98"/>
      </tp>
      <tp>
        <v>-4.7569288860473051</v>
        <stp/>
        <stp>##V3_BDPV12</stp>
        <stp>NORD LI EQUITY</stp>
        <stp>SALES_GROWTH</stp>
        <stp>[upload (2).xlsm]Model Portfolio!R3C21</stp>
        <tr r="U3" s="98"/>
      </tp>
      <tp>
        <v>75.523812430245542</v>
        <stp/>
        <stp>##V3_BDPV12</stp>
        <stp>RASP RX EQUITY</stp>
        <stp>NORMALIZED_ROE</stp>
        <stp>[upload (2).xlsm]Model Portfolio!R28C26</stp>
        <tr r="Z28" s="98"/>
      </tp>
      <tp>
        <v>106.699</v>
        <stp/>
        <stp>##V3_BDPV12</stp>
        <stp>XS0808638612 Corp</stp>
        <stp>px_last</stp>
        <stp>[upload (2).xlsm]Base all $ 3 Duration!R105C4</stp>
        <tr r="D105" s="66"/>
      </tp>
      <tp>
        <v>104.5</v>
        <stp/>
        <stp>##V3_BDPV12</stp>
        <stp>XS0919504562 Corp</stp>
        <stp>px_last</stp>
        <stp>[upload (2).xlsm]Base all $ 3 Duration!R148C4</stp>
        <tr r="D148" s="66"/>
      </tp>
      <tp>
        <v>111.081</v>
        <stp/>
        <stp>##V3_BDPV12</stp>
        <stp>XS0588433267 Corp</stp>
        <stp>px_last</stp>
        <stp>[upload (2).xlsm]Base all $ 3 Duration!R146C4</stp>
        <tr r="D146" s="66"/>
      </tp>
      <tp t="s">
        <v>Transport-Marine</v>
        <stp/>
        <stp>##V3_BDPV12</stp>
        <stp>XS0920334900 Corp</stp>
        <stp>INDUSTRY_SUBGROUP</stp>
        <stp>[upload (2).xlsm]Base all $ 3 Duration!R6C11</stp>
        <tr r="K6" s="66"/>
      </tp>
      <tp t="s">
        <v>19/07/2017</v>
        <stp/>
        <stp>##V3_BDPV12</stp>
        <stp>OGZD LI Equity</stp>
        <stp>DVD_EX_DT</stp>
        <stp>[Copy of upload (2).xlsm]Гарез_GRENF!R7C21</stp>
        <tr r="U7" s="115"/>
      </tp>
      <tp>
        <v>6.5865068942875897</v>
        <stp/>
        <stp>##V3_BDPV12</stp>
        <stp>ALRS RX EQUITY</stp>
        <stp>EST_PE_NXT_YR</stp>
        <stp>[upload (2).xlsm]Model Portfolio!R5C15</stp>
        <tr r="O5" s="98"/>
      </tp>
      <tp>
        <v>33.974359999999997</v>
        <stp/>
        <stp>##V3_BDPV12</stp>
        <stp>HGM LN EQUITY</stp>
        <stp>CHG_PCT_1YR</stp>
        <stp>[upload (2).xlsm]Model Portfolio!R4C6</stp>
        <tr r="F4" s="98"/>
      </tp>
      <tp t="s">
        <v>#N/A N/A</v>
        <stp/>
        <stp>##V3_BDPV12</stp>
        <stp>XS0616784509 Corp</stp>
        <stp>PX_GROSS_MID</stp>
        <stp>[upload (2).xlsm]Base all $ 3 Duration!R24C19</stp>
        <tr r="S24" s="66"/>
      </tp>
      <tp t="s">
        <v>#N/A N/A</v>
        <stp/>
        <stp>##V3_BDPV12</stp>
        <stp>XS0562354182 Corp</stp>
        <stp>PX_GROSS_MID</stp>
        <stp>[upload (2).xlsm]Base all $ 3 Duration!R96C19</stp>
        <tr r="S96" s="66"/>
      </tp>
      <tp t="s">
        <v>Highland Gold Mining Ltd</v>
        <stp/>
        <stp>##V3_BDPV12</stp>
        <stp>HGM LN EQUITY</stp>
        <stp>SECURITY_NAME</stp>
        <stp>[Copy of upload (2).xlsm]Гарез_GRENF!R33C4</stp>
        <tr r="D33" s="115"/>
      </tp>
      <tp t="s">
        <v>Sr Unsecured</v>
        <stp/>
        <stp>##V3_BDPV12</stp>
        <stp>XS0618905219 Corp</stp>
        <stp>PAYMENT_RANK</stp>
        <stp>[upload (2).xlsm]Base all $ 3 Duration!R37C14</stp>
        <tr r="N37" s="66"/>
      </tp>
      <tp>
        <v>-1.030929</v>
        <stp/>
        <stp>##V3_BDPV12</stp>
        <stp>SNGSP RX EQUITY</stp>
        <stp>CHG_PCT_1M</stp>
        <stp>[upload (2).xlsm]Model Portfolio!R11C5</stp>
        <tr r="E11" s="98"/>
      </tp>
      <tp t="s">
        <v>Sr Unsecured</v>
        <stp/>
        <stp>##V3_BDPV12</stp>
        <stp>XS0359381331 Corp</stp>
        <stp>PAYMENT_RANK</stp>
        <stp>[upload (2).xlsm]Base all $ 3 Duration!R36C14</stp>
        <tr r="N36" s="66"/>
      </tp>
      <tp t="s">
        <v>Sr Unsecured</v>
        <stp/>
        <stp>##V3_BDPV12</stp>
        <stp>XS0552679879 Corp</stp>
        <stp>PAYMENT_RANK</stp>
        <stp>[upload (2).xlsm]Base all $ 3 Duration!R43C14</stp>
        <tr r="N43" s="66"/>
      </tp>
      <tp t="s">
        <v>Sr Unsecured</v>
        <stp/>
        <stp>##V3_BDPV12</stp>
        <stp>XS0799357354 Corp</stp>
        <stp>PAYMENT_RANK</stp>
        <stp>[upload (2).xlsm]Base all $ 3 Duration!R55C14</stp>
        <tr r="N55" s="66"/>
      </tp>
      <tp t="s">
        <v>Sr Unsecured</v>
        <stp/>
        <stp>##V3_BDPV12</stp>
        <stp>XS0993279958 Corp</stp>
        <stp>PAYMENT_RANK</stp>
        <stp>[upload (2).xlsm]Base all $ 3 Duration!R13C14</stp>
        <tr r="N13" s="66"/>
      </tp>
      <tp t="s">
        <v>Sr Unsecured</v>
        <stp/>
        <stp>##V3_BDPV12</stp>
        <stp>XS1059697323 Corp</stp>
        <stp>PAYMENT_RANK</stp>
        <stp>[upload (2).xlsm]Base all $ 3 Duration!R20C14</stp>
        <tr r="N20" s="66"/>
      </tp>
      <tp>
        <v>40.281629608005318</v>
        <stp/>
        <stp>##V3_BDPV12</stp>
        <stp>FEES RX EQUITY</stp>
        <stp>EBITDA_MARGIN</stp>
        <stp>[upload (2).xlsm]Model Portfolio!R56C23</stp>
        <tr r="W56" s="98"/>
      </tp>
      <tp t="s">
        <v>#N/A N/A</v>
        <stp/>
        <stp>##V3_BDPV12</stp>
        <stp>AGRO LI EQUITY</stp>
        <stp>BDVD_NEXT_EST_DECL_DT</stp>
        <stp>[upload (2).xlsm]Model Portfolio!R71C31</stp>
        <tr r="AE71" s="98"/>
      </tp>
      <tp t="s">
        <v>13/12/2018</v>
        <stp/>
        <stp>##V3_BDPV12</stp>
        <stp>US91701RAA95 Corp</stp>
        <stp>MATURITY</stp>
        <stp>[upload (2).xlsm]Base all $ 3 Duration!R26C9</stp>
        <tr r="I26" s="66"/>
      </tp>
      <tp t="s">
        <v>12/07/2017</v>
        <stp/>
        <stp>##V3_BDPV12</stp>
        <stp>BANEP RX EQUITY</stp>
        <stp>DVD_RECORD_DT</stp>
        <stp>[upload (2).xlsm]Model Portfolio!R8C28</stp>
        <tr r="AB8" s="98"/>
      </tp>
      <tp t="s">
        <v>20/04/2018</v>
        <stp/>
        <stp>##V3_BDPV12</stp>
        <stp>HYDR RX EQUITY</stp>
        <stp>BDVD_NEXT_EST_DECL_DT</stp>
        <stp>[upload (2).xlsm]Model Portfolio!R58C31</stp>
        <tr r="AE58" s="98"/>
      </tp>
      <tp>
        <v>3.3251531408999999</v>
        <stp/>
        <stp>##V3_BDPV12</stp>
        <stp>BANEP RX EQUITY</stp>
        <stp>EST_EV_THIS_YR_EBITDA</stp>
        <stp>[upload (2).xlsm]Model Portfolio!R8C16</stp>
        <tr r="P8" s="98"/>
      </tp>
      <tp t="s">
        <v>12/10/2017</v>
        <stp/>
        <stp>##V3_BDPV12</stp>
        <stp>NLMK RX EQUITY</stp>
        <stp>DVD_RECORD_DT</stp>
        <stp>[upload (2).xlsm]Model Portfolio!R22C28</stp>
        <tr r="AB22" s="98"/>
      </tp>
      <tp>
        <v>3.8351015503642332</v>
        <stp/>
        <stp>##V3_BDPV12</stp>
        <stp>OGKB RX EQUITY</stp>
        <stp>EST_EV_THIS_YR_EBITDA</stp>
        <stp>[upload (2).xlsm]Model Portfolio!R57C16</stp>
        <tr r="P57" s="98"/>
      </tp>
      <tp>
        <v>3.3305436589989239</v>
        <stp/>
        <stp>##V3_BDPV12</stp>
        <stp>TGKA RX EQUITY</stp>
        <stp>EST_EV_THIS_YR_EBITDA</stp>
        <stp>[upload (2).xlsm]Model Portfolio!R60C16</stp>
        <tr r="P60" s="98"/>
      </tp>
      <tp>
        <v>3.8766431089586812</v>
        <stp/>
        <stp>##V3_BDPV12</stp>
        <stp>XS0772835285 Corp</stp>
        <stp>INTERVAL_PERCENT_CHANGE</stp>
        <stp>[upload (2).xlsm]Base all $ 3 Duration!R31C17</stp>
        <stp>END_DATE_OVERRIDE</stp>
        <stp xml:space="preserve"> </stp>
        <stp>START_DATE_OVERRIDe</stp>
        <stp>20140716</stp>
        <tr r="Q31" s="66"/>
      </tp>
      <tp>
        <v>9.8428272924389706</v>
        <stp/>
        <stp>##V3_BDPV12</stp>
        <stp>MGNT RX EQUITY</stp>
        <stp>EST_EV_THIS_YR_EBITDA</stp>
        <stp>[upload (2).xlsm]Model Portfolio!R35C16</stp>
        <tr r="P35" s="98"/>
      </tp>
      <tp t="s">
        <v>WR</v>
        <stp/>
        <stp>##V3_BDPV12</stp>
        <stp>XS0588436799 Corp</stp>
        <stp>RTG_moody</stp>
        <stp>[upload (2).xlsm]Base all $ 3 Duration!R94C10</stp>
        <tr r="J94" s="66"/>
        <tr r="J94" s="66"/>
      </tp>
      <tp>
        <v>13.854351687388988</v>
        <stp/>
        <stp>##V3_BDPV12</stp>
        <stp>FESH RX EQUITY</stp>
        <stp>EBITDA_MARGIN</stp>
        <stp>[upload (2).xlsm]Model Portfolio!R45C23</stp>
        <tr r="W45" s="98"/>
      </tp>
      <tp>
        <v>5.957985386038299</v>
        <stp/>
        <stp>##V3_BDPV12</stp>
        <stp>XS0924078453 Corp</stp>
        <stp>INTERVAL_PERCENT_CHANGE</stp>
        <stp>[upload (2).xlsm]Base all $ 3 Duration!R19C17</stp>
        <stp>END_DATE_OVERRIDE</stp>
        <stp xml:space="preserve"> </stp>
        <stp>START_DATE_OVERRIDe</stp>
        <stp>20140716</stp>
        <tr r="Q19" s="66"/>
      </tp>
      <tp>
        <v>3.3199824123002002</v>
        <stp/>
        <stp>##V3_BDPV12</stp>
        <stp>XS0808632847 Corp</stp>
        <stp>INTERVAL_PERCENT_CHANGE</stp>
        <stp>[upload (2).xlsm]Base all $ 3 Duration!R65C17</stp>
        <stp>END_DATE_OVERRIDE</stp>
        <stp xml:space="preserve"> </stp>
        <stp>START_DATE_OVERRIDe</stp>
        <stp>20140716</stp>
        <tr r="Q65" s="66"/>
      </tp>
      <tp>
        <v>4.1994750656167978</v>
        <stp/>
        <stp>##V3_BDPV12</stp>
        <stp>XS0869792928 Corp</stp>
        <stp>INTERVAL_PERCENT_CHANGE</stp>
        <stp>[upload (2).xlsm]Base all $ 3 Duration!R10C17</stp>
        <stp>END_DATE_OVERRIDE</stp>
        <stp xml:space="preserve"> </stp>
        <stp>START_DATE_OVERRIDe</stp>
        <stp>20140716</stp>
        <tr r="Q10" s="66"/>
      </tp>
      <tp t="s">
        <v>WR</v>
        <stp/>
        <stp>##V3_BDPV12</stp>
        <stp>XS0772509484 Corp</stp>
        <stp>RTG_moody</stp>
        <stp>[upload (2).xlsm]Base all $ 3 Duration!R78C10</stp>
        <tr r="J78" s="66"/>
        <tr r="J78" s="66"/>
      </tp>
      <tp>
        <v>-0.1628466294111591</v>
        <stp/>
        <stp>##V3_BDPV12</stp>
        <stp>XS0585211591 Corp</stp>
        <stp>INTERVAL_PERCENT_CHANGE</stp>
        <stp>[upload (2).xlsm]Base all $ 3 Duration!R34C17</stp>
        <stp>END_DATE_OVERRIDE</stp>
        <stp xml:space="preserve"> </stp>
        <stp>START_DATE_OVERRIDe</stp>
        <stp>20140716</stp>
        <tr r="Q34" s="66"/>
      </tp>
      <tp t="s">
        <v>WR</v>
        <stp/>
        <stp>##V3_BDPV12</stp>
        <stp>XS0312572984 Corp</stp>
        <stp>RTG_moody</stp>
        <stp>[upload (2).xlsm]Base all $ 3 Duration!R22C10</stp>
        <tr r="J22" s="66"/>
        <tr r="J22" s="66"/>
      </tp>
      <tp t="s">
        <v>#N/A N/A</v>
        <stp/>
        <stp>##V3_BDPV12</stp>
        <stp>XS0863583281 Corp</stp>
        <stp>RTG_moody</stp>
        <stp>[upload (2).xlsm]Base all $ 3 Duration!R67C10</stp>
        <tr r="J67" s="66"/>
      </tp>
      <tp>
        <v>4.3804499072532765</v>
        <stp/>
        <stp>##V3_BDPV12</stp>
        <stp>XS0783934325 Corp</stp>
        <stp>INTERVAL_PERCENT_CHANGE</stp>
        <stp>[upload (2).xlsm]Base all $ 3 Duration!R47C17</stp>
        <stp>END_DATE_OVERRIDE</stp>
        <stp xml:space="preserve"> </stp>
        <stp>START_DATE_OVERRIDe</stp>
        <stp>20140716</stp>
        <tr r="Q47" s="66"/>
      </tp>
      <tp>
        <v>0.29436322387221497</v>
        <stp/>
        <stp>##V3_BDPV12</stp>
        <stp>XS0995845566 Corp</stp>
        <stp>INTERVAL_PERCENT_CHANGE</stp>
        <stp>[upload (2).xlsm]Base all $ 3 Duration!R29C17</stp>
        <stp>END_DATE_OVERRIDE</stp>
        <stp xml:space="preserve"> </stp>
        <stp>START_DATE_OVERRIDe</stp>
        <stp>20140716</stp>
        <tr r="Q29" s="66"/>
      </tp>
      <tp t="s">
        <v>WR</v>
        <stp/>
        <stp>##V3_BDPV12</stp>
        <stp>XS0708813653 Corp</stp>
        <stp>RTG_moody</stp>
        <stp>[upload (2).xlsm]Base all $ 3 Duration!R93C10</stp>
        <tr r="J93" s="66"/>
        <tr r="J93" s="66"/>
      </tp>
      <tp t="s">
        <v>Electric</v>
        <stp/>
        <stp>##V3_BDPV12</stp>
        <stp>MSRS RX EQUITY</stp>
        <stp>INDUSTRY_GROUP</stp>
        <stp>[upload (2).xlsm]Model Portfolio!R59C13</stp>
        <tr r="M59" s="98"/>
      </tp>
      <tp t="s">
        <v>Y</v>
        <stp/>
        <stp>##V3_BDPV12</stp>
        <stp>XS0922134712 Corp</stp>
        <stp>RUSSIAN_CB_LOMBARD</stp>
        <stp>[upload (2).xlsm]Base all $ 3 Duration!R76C16</stp>
        <tr r="P76" s="66"/>
      </tp>
      <tp t="s">
        <v>N</v>
        <stp/>
        <stp>##V3_BDPV12</stp>
        <stp>XS0808636913 Corp</stp>
        <stp>RUSSIAN_CB_LOMBARD</stp>
        <stp>[upload (2).xlsm]Base all $ 3 Duration!R17C16</stp>
        <tr r="P17" s="66"/>
      </tp>
      <tp t="s">
        <v>Telecommunications</v>
        <stp/>
        <stp>##V3_BDPV12</stp>
        <stp>RTKMP RX EQUITY</stp>
        <stp>INDUSTRY_GROUP</stp>
        <stp>[upload (2).xlsm]Model Portfolio!R63C13</stp>
        <tr r="M63" s="98"/>
      </tp>
      <tp t="s">
        <v>N</v>
        <stp/>
        <stp>##V3_BDPV12</stp>
        <stp>XS0848163456 Corp</stp>
        <stp>RUSSIAN_CB_LOMBARD</stp>
        <stp>[upload (2).xlsm]Base all $ 3 Duration!R18C16</stp>
        <tr r="P18" s="66"/>
      </tp>
      <tp t="s">
        <v>N</v>
        <stp/>
        <stp>##V3_BDPV12</stp>
        <stp>XS0841677387 Corp</stp>
        <stp>RUSSIAN_CB_LOMBARD</stp>
        <stp>[upload (2).xlsm]Base all $ 3 Duration!R99C16</stp>
        <tr r="P99" s="66"/>
      </tp>
      <tp>
        <v>17.175069097701108</v>
        <stp/>
        <stp>##V3_BDPV12</stp>
        <stp>TATN RX EQUITY</stp>
        <stp>NORMALIZED_ROE</stp>
        <stp>[upload (2).xlsm]Model Portfolio!R14C26</stp>
        <tr r="Z14" s="98"/>
      </tp>
      <tp>
        <v>16.964593291748834</v>
        <stp/>
        <stp>##V3_BDPV12</stp>
        <stp>KCEL LI EQUITY</stp>
        <stp>NORMALIZED_ROE</stp>
        <stp>[upload (2).xlsm]Model Portfolio!R65C26</stp>
        <tr r="Z65" s="98"/>
      </tp>
      <tp>
        <v>26.767514167496888</v>
        <stp/>
        <stp>##V3_BDPV12</stp>
        <stp>NVTK RX EQUITY</stp>
        <stp>NORMALIZED_ROE</stp>
        <stp>[upload (2).xlsm]Model Portfolio!R16C26</stp>
        <tr r="Z16" s="98"/>
      </tp>
      <tp t="s">
        <v>Y</v>
        <stp/>
        <stp>##V3_BDPV12</stp>
        <stp>XS0292530309 Corp</stp>
        <stp>RUSSIAN_CB_LOMBARD</stp>
        <stp>[upload (2).xlsm]Base all $ 3 Duration!R81C16</stp>
        <tr r="P81" s="66"/>
      </tp>
      <tp>
        <v>10.551099702509594</v>
        <stp/>
        <stp>##V3_BDPV12</stp>
        <stp>RSTI RX EQUITY</stp>
        <stp>NORMALIZED_ROE</stp>
        <stp>[upload (2).xlsm]Model Portfolio!R54C26</stp>
        <tr r="Z54" s="98"/>
      </tp>
      <tp>
        <v>20040080</v>
        <stp/>
        <stp>##V3_BDPV12</stp>
        <stp>RTKMP RX EQUITY</stp>
        <stp>AVG_DAILY_VALUE_TRADED_6M</stp>
        <stp>[upload (2).xlsm]Model Portfolio!R63C12</stp>
        <tr r="L63" s="98"/>
      </tp>
      <tp t="s">
        <v>Real Estate</v>
        <stp/>
        <stp>##V3_BDPV12</stp>
        <stp>LSRG RX EQUITY</stp>
        <stp>INDUSTRY_GROUP</stp>
        <stp>[upload (2).xlsm]Model Portfolio!R69C13</stp>
        <tr r="M69" s="98"/>
      </tp>
      <tp t="s">
        <v>#N/A N/A</v>
        <stp/>
        <stp>##V3_BDPV12</stp>
        <stp>NMTP RX EQUITY</stp>
        <stp>NORMALIZED_ROE</stp>
        <stp>[upload (2).xlsm]Model Portfolio!R49C26</stp>
        <tr r="Z49" s="98"/>
      </tp>
      <tp>
        <v>107.072</v>
        <stp/>
        <stp>##V3_BDPV12</stp>
        <stp>XS0982861287 Corp</stp>
        <stp>px_last</stp>
        <stp>[upload (2).xlsm]Base all $ 3 Duration!R113C4</stp>
        <tr r="D113" s="66"/>
      </tp>
      <tp>
        <v>0.87298949174351315</v>
        <stp/>
        <stp>##V3_BDPV12</stp>
        <stp>OKEY LI EQUITY</stp>
        <stp>NORMALIZED_ROE</stp>
        <stp>[upload (2).xlsm]Model Portfolio!R39C26</stp>
        <tr r="Z39" s="98"/>
      </tp>
      <tp t="s">
        <v>Electric</v>
        <stp/>
        <stp>##V3_BDPV12</stp>
        <stp>UPRO RX EQUITY</stp>
        <stp>INDUSTRY_GROUP</stp>
        <stp>[upload (2).xlsm]Model Portfolio!R52C13</stp>
        <tr r="M52" s="98"/>
      </tp>
      <tp t="s">
        <v>Chemicals</v>
        <stp/>
        <stp>##V3_BDPV12</stp>
        <stp>AKRN RX EQUITY</stp>
        <stp>INDUSTRY_GROUP</stp>
        <stp>[upload (2).xlsm]Model Portfolio!R33C13</stp>
        <tr r="M33" s="98"/>
      </tp>
      <tp>
        <v>4.1085804761705056</v>
        <stp/>
        <stp>##V3_BDPV12</stp>
        <stp>POG LN EQUITY</stp>
        <stp>EST_EV_THIS_YR_EBITDA</stp>
        <stp>[upload (2).xlsm]Model Portfolio!R7C16</stp>
        <tr r="P7" s="98"/>
      </tp>
      <tp t="s">
        <v>#N/A Field Not Applicable</v>
        <stp/>
        <stp>##V3_BDPV12</stp>
        <stp>POG LN EQUITY</stp>
        <stp>DVD_RECORD_DT</stp>
        <stp>[upload (2).xlsm]Model Portfolio!R7C28</stp>
        <tr r="AB7" s="98"/>
      </tp>
      <tp t="s">
        <v>15/09/2017</v>
        <stp/>
        <stp>##V3_BDPV12</stp>
        <stp>HGM LN EQUITY</stp>
        <stp>DVD_RECORD_DT</stp>
        <stp>[upload (2).xlsm]Model Portfolio!R4C28</stp>
        <tr r="AB4" s="98"/>
      </tp>
      <tp t="s">
        <v>02/06/2017</v>
        <stp/>
        <stp>##V3_BDPV12</stp>
        <stp>KMG LI EQUITY</stp>
        <stp>DVD_RECORD_DT</stp>
        <stp>[upload (2).xlsm]Model Portfolio!R9C28</stp>
        <tr r="AB9" s="98"/>
      </tp>
      <tp>
        <v>5.3945888847792931</v>
        <stp/>
        <stp>##V3_BDPV12</stp>
        <stp>HGM LN EQUITY</stp>
        <stp>EST_EV_THIS_YR_EBITDA</stp>
        <stp>[upload (2).xlsm]Model Portfolio!R4C16</stp>
        <tr r="P4" s="98"/>
      </tp>
      <tp>
        <v>0.60611922319320344</v>
        <stp/>
        <stp>##V3_BDPV12</stp>
        <stp>KMG LI EQUITY</stp>
        <stp>EST_EV_THIS_YR_EBITDA</stp>
        <stp>[upload (2).xlsm]Model Portfolio!R9C16</stp>
        <tr r="P9" s="98"/>
      </tp>
      <tp>
        <v>86448254564.780014</v>
        <stp/>
        <stp>##V3_BDPV12</stp>
        <stp>486 HK EQUITY</stp>
        <stp>CUR_MKT_CAP</stp>
        <stp>[upload (2).xlsm]Model Portfolio!R30C10</stp>
        <tr r="J30" s="98"/>
      </tp>
      <tp>
        <v>102.05326666666666</v>
        <stp/>
        <stp>##V3_BDPV12</stp>
        <stp>XS0796426228 Corp</stp>
        <stp>PX_GROSS_MID</stp>
        <stp>[upload (2).xlsm]Base all $ 3 Duration!R54C19</stp>
        <tr r="S54" s="66"/>
      </tp>
      <tp t="s">
        <v>#N/A N/A</v>
        <stp/>
        <stp>##V3_BDPV12</stp>
        <stp>XS0543956717 Corp</stp>
        <stp>PX_GROSS_MID</stp>
        <stp>[upload (2).xlsm]Base all $ 3 Duration!R85C19</stp>
        <tr r="S85" s="66"/>
      </tp>
      <tp>
        <v>112.6051111111111</v>
        <stp/>
        <stp>##V3_BDPV12</stp>
        <stp>XS0461926569 Corp</stp>
        <stp>PX_GROSS_MID</stp>
        <stp>[upload (2).xlsm]Base all $ 3 Duration!R53C19</stp>
        <tr r="S53" s="66"/>
      </tp>
      <tp t="s">
        <v>Sr Unsecured</v>
        <stp/>
        <stp>##V3_BDPV12</stp>
        <stp>XS0324963932 Corp</stp>
        <stp>PAYMENT_RANK</stp>
        <stp>[upload (2).xlsm]Base all $ 3 Duration!R59C14</stp>
        <tr r="N59" s="66"/>
      </tp>
      <tp t="s">
        <v>Sr Unsecured</v>
        <stp/>
        <stp>##V3_BDPV12</stp>
        <stp>XS0424860947 Corp</stp>
        <stp>PAYMENT_RANK</stp>
        <stp>[upload (2).xlsm]Base all $ 3 Duration!R46C14</stp>
        <tr r="N46" s="66"/>
      </tp>
      <tp t="s">
        <v>Sr Unsecured</v>
        <stp/>
        <stp>##V3_BDPV12</stp>
        <stp>XS0648402583 Corp</stp>
        <stp>PAYMENT_RANK</stp>
        <stp>[upload (2).xlsm]Base all $ 3 Duration!R92C14</stp>
        <tr r="N92" s="66"/>
      </tp>
      <tp t="s">
        <v>Sr Unsecured</v>
        <stp/>
        <stp>##V3_BDPV12</stp>
        <stp>XS0304273948 Corp</stp>
        <stp>PAYMENT_RANK</stp>
        <stp>[upload (2).xlsm]Base all $ 3 Duration!R87C14</stp>
        <tr r="N87" s="66"/>
      </tp>
      <tp t="s">
        <v>Sr Unsecured</v>
        <stp/>
        <stp>##V3_BDPV12</stp>
        <stp>XS0919502434 Corp</stp>
        <stp>PAYMENT_RANK</stp>
        <stp>[upload (2).xlsm]Base all $ 3 Duration!R66C14</stp>
        <tr r="N66" s="66"/>
      </tp>
      <tp t="s">
        <v>Sr Unsecured</v>
        <stp/>
        <stp>##V3_BDPV12</stp>
        <stp>XS0955232854 Corp</stp>
        <stp>PAYMENT_RANK</stp>
        <stp>[upload (2).xlsm]Base all $ 3 Duration!R45C14</stp>
        <tr r="N45" s="66"/>
      </tp>
      <tp t="s">
        <v>Sr Unsecured</v>
        <stp/>
        <stp>##V3_BDPV12</stp>
        <stp>XS0544362972 Corp</stp>
        <stp>PAYMENT_RANK</stp>
        <stp>[upload (2).xlsm]Base all $ 3 Duration!R70C14</stp>
        <tr r="N70" s="66"/>
      </tp>
      <tp t="s">
        <v>Subordinated</v>
        <stp/>
        <stp>##V3_BDPV12</stp>
        <stp>XS0779213460 Corp</stp>
        <stp>PAYMENT_RANK</stp>
        <stp>[upload (2).xlsm]Base all $ 3 Duration!R33C14</stp>
        <tr r="N33" s="66"/>
      </tp>
      <tp t="s">
        <v>Subordinated</v>
        <stp/>
        <stp>##V3_BDPV12</stp>
        <stp>XS0288690539 Corp</stp>
        <stp>PAYMENT_RANK</stp>
        <stp>[upload (2).xlsm]Base all $ 3 Duration!R62C14</stp>
        <tr r="N62" s="66"/>
      </tp>
      <tp t="s">
        <v>Subordinated</v>
        <stp/>
        <stp>##V3_BDPV12</stp>
        <stp>XS0954673934 Corp</stp>
        <stp>PAYMENT_RANK</stp>
        <stp>[upload (2).xlsm]Base all $ 3 Duration!R16C14</stp>
        <tr r="N16" s="66"/>
      </tp>
      <tp t="s">
        <v>12/07/2017</v>
        <stp/>
        <stp>##V3_BDPV12</stp>
        <stp>KMAZ RX EQUITY</stp>
        <stp>DVD_RECORD_DT</stp>
        <stp>[upload (2).xlsm]Model Portfolio!R73C28</stp>
        <tr r="AB73" s="98"/>
      </tp>
      <tp>
        <v>3.828853189120407</v>
        <stp/>
        <stp>##V3_BDPV12</stp>
        <stp>GAZP RX EQUITY</stp>
        <stp>EST_PE_NXT_YR</stp>
        <stp>[upload (2).xlsm]Model Portfolio!R12C15</stp>
        <tr r="O12" s="98"/>
      </tp>
      <tp>
        <v>6.4657820881146524</v>
        <stp/>
        <stp>##V3_BDPV12</stp>
        <stp>TATN RX EQUITY</stp>
        <stp>EST_PE_NXT_YR</stp>
        <stp>[upload (2).xlsm]Model Portfolio!R14C15</stp>
        <tr r="O14" s="98"/>
      </tp>
      <tp t="s">
        <v>19/10/2017</v>
        <stp/>
        <stp>##V3_BDPV12</stp>
        <stp>GMKN RX EQUITY</stp>
        <stp>DVD_RECORD_DT</stp>
        <stp>[upload (2).xlsm]Model Portfolio!R29C28</stp>
        <tr r="AB29" s="98"/>
      </tp>
      <tp t="s">
        <v>CALLABLE</v>
        <stp/>
        <stp>##V3_BDPV12</stp>
        <stp>XS0275728557 Corp</stp>
        <stp>MTY_TYP</stp>
        <stp>[upload (2).xlsm]Base all $ 3 Duration!R8C15</stp>
        <tr r="O8" s="66"/>
      </tp>
      <tp>
        <v>11.17</v>
        <stp/>
        <stp>##V3_BDPV12</stp>
        <stp>AFKS RX EQUITY</stp>
        <stp>PX_LAST</stp>
        <stp>[upload (2).xlsm]Model Portfolio!R64C3</stp>
        <tr r="C64" s="98"/>
      </tp>
      <tp t="s">
        <v>#N/A N/A</v>
        <stp/>
        <stp>##V3_BDPV12</stp>
        <stp>RASP RX EQUITY</stp>
        <stp>EST_PE_NXT_YR</stp>
        <stp>[upload (2).xlsm]Model Portfolio!R28C15</stp>
        <tr r="O28" s="98"/>
      </tp>
      <tp>
        <v>3.3252453008337359</v>
        <stp/>
        <stp>##V3_BDPV12</stp>
        <stp>AFKS RX EQUITY</stp>
        <stp>EST_EV_THIS_YR_EBITDA</stp>
        <stp>[upload (2).xlsm]Model Portfolio!R64C16</stp>
        <tr r="P64" s="98"/>
      </tp>
      <tp>
        <v>4.6247072557939077</v>
        <stp/>
        <stp>##V3_BDPV12</stp>
        <stp>BANE RX EQUITY</stp>
        <stp>EST_PE_NXT_YR</stp>
        <stp>[upload (2).xlsm]Model Portfolio!R18C15</stp>
        <tr r="O18" s="98"/>
      </tp>
      <tp>
        <v>12.059999465942383</v>
        <stp/>
        <stp>##V3_BDPV12</stp>
        <stp>KMG LI Equity</stp>
        <stp>BEST_TARGET_PRICE</stp>
        <stp>[Copy of upload (2).xlsm]Гарез_GRENF (2)!R5C8</stp>
        <tr r="H5" s="116"/>
      </tp>
      <tp>
        <v>133.44</v>
        <stp/>
        <stp>##V3_BDPV12</stp>
        <stp>NLMK RX EQUITY</stp>
        <stp>PX_LAST</stp>
        <stp>[upload (2).xlsm]Model Portfolio!R22C3</stp>
        <tr r="C22" s="98"/>
      </tp>
      <tp>
        <v>4.2713155885331204</v>
        <stp/>
        <stp>##V3_BDPV12</stp>
        <stp>XS0923110232 Corp</stp>
        <stp>INTERVAL_PERCENT_CHANGE</stp>
        <stp>[upload (2).xlsm]Base all $ 3 Duration!R35C17</stp>
        <stp>END_DATE_OVERRIDE</stp>
        <stp xml:space="preserve"> </stp>
        <stp>START_DATE_OVERRIDe</stp>
        <stp>20140716</stp>
        <tr r="Q35" s="66"/>
      </tp>
      <tp>
        <v>5.0459247145922417</v>
        <stp/>
        <stp>##V3_BDPV12</stp>
        <stp>MFON RX EQUITY</stp>
        <stp>EST_EV_THIS_YR_EBITDA</stp>
        <stp>[upload (2).xlsm]Model Portfolio!R62C16</stp>
        <tr r="P62" s="98"/>
      </tp>
      <tp>
        <v>2.9991275280677407</v>
        <stp/>
        <stp>##V3_BDPV12</stp>
        <stp>XS0808636913 Corp</stp>
        <stp>INTERVAL_PERCENT_CHANGE</stp>
        <stp>[upload (2).xlsm]Base all $ 3 Duration!R17C17</stp>
        <stp>END_DATE_OVERRIDE</stp>
        <stp xml:space="preserve"> </stp>
        <stp>START_DATE_OVERRIDe</stp>
        <stp>20140716</stp>
        <tr r="Q17" s="66"/>
      </tp>
      <tp t="s">
        <v>29/05/2017</v>
        <stp/>
        <stp>##V3_BDPV12</stp>
        <stp>NMTP RX EQUITY</stp>
        <stp>DVD_RECORD_DT</stp>
        <stp>[upload (2).xlsm]Model Portfolio!R49C28</stp>
        <tr r="AB49" s="98"/>
      </tp>
      <tp>
        <v>-1.463466993520506</v>
        <stp/>
        <stp>##V3_BDPV12</stp>
        <stp>XS0783291221 Corp</stp>
        <stp>INTERVAL_PERCENT_CHANGE</stp>
        <stp>[upload (2).xlsm]Base all $ 3 Duration!R72C17</stp>
        <stp>END_DATE_OVERRIDE</stp>
        <stp xml:space="preserve"> </stp>
        <stp>START_DATE_OVERRIDe</stp>
        <stp>20140716</stp>
        <tr r="Q72" s="66"/>
      </tp>
      <tp t="s">
        <v>WR</v>
        <stp/>
        <stp>##V3_BDPV12</stp>
        <stp>XS0652913558 Corp</stp>
        <stp>RTG_moody</stp>
        <stp>[upload (2).xlsm]Base all $ 3 Duration!R60C10</stp>
        <tr r="J60" s="66"/>
        <tr r="J60" s="66"/>
      </tp>
    </main>
    <main first="bloomberg.rtd">
      <tp>
        <v>3.2799897912402773</v>
        <stp/>
        <stp>##V3_BDPV12</stp>
        <stp>AFLT RX EQUITY</stp>
        <stp>EST_EV_THIS_YR_EBITDA</stp>
        <stp>[upload (2).xlsm]Model Portfolio!R47C16</stp>
        <tr r="P47" s="98"/>
      </tp>
      <tp>
        <v>10.344559766134038</v>
        <stp/>
        <stp>##V3_BDPV12</stp>
        <stp>MAGN RX EQUITY</stp>
        <stp>EST_PE_NXT_YR</stp>
        <stp>[upload (2).xlsm]Model Portfolio!R23C15</stp>
        <tr r="O23" s="98"/>
      </tp>
      <tp>
        <v>1.9649086735242232</v>
        <stp/>
        <stp>##V3_BDPV12</stp>
        <stp>XS0863583281 Corp</stp>
        <stp>INTERVAL_PERCENT_CHANGE</stp>
        <stp>[upload (2).xlsm]Base all $ 3 Duration!R67C17</stp>
        <stp>END_DATE_OVERRIDE</stp>
        <stp xml:space="preserve"> </stp>
        <stp>START_DATE_OVERRIDe</stp>
        <stp>20140716</stp>
        <tr r="Q67" s="66"/>
      </tp>
      <tp>
        <v>-4.6463186616259646</v>
        <stp/>
        <stp>##V3_BDPV12</stp>
        <stp>XS0650962185 Corp</stp>
        <stp>INTERVAL_PERCENT_CHANGE</stp>
        <stp>[upload (2).xlsm]Base all $ 3 Duration!R83C17</stp>
        <stp>END_DATE_OVERRIDE</stp>
        <stp xml:space="preserve"> </stp>
        <stp>START_DATE_OVERRIDe</stp>
        <stp>20140716</stp>
        <tr r="Q83" s="66"/>
      </tp>
      <tp>
        <v>5.7532942780698351</v>
        <stp/>
        <stp>##V3_BDPV12</stp>
        <stp>FXPO LN EQUITY</stp>
        <stp>EST_EV_THIS_YR_EBITDA</stp>
        <stp>[upload (2).xlsm]Model Portfolio!R27C16</stp>
        <tr r="P27" s="98"/>
      </tp>
      <tp>
        <v>2.30411526986427</v>
        <stp/>
        <stp>##V3_BDPV12</stp>
        <stp>XS0922883318 Corp</stp>
        <stp>INTERVAL_PERCENT_CHANGE</stp>
        <stp>[upload (2).xlsm]Base all $ 3 Duration!R56C17</stp>
        <stp>END_DATE_OVERRIDE</stp>
        <stp xml:space="preserve"> </stp>
        <stp>START_DATE_OVERRIDe</stp>
        <stp>20140716</stp>
        <tr r="Q56" s="66"/>
      </tp>
      <tp>
        <v>-6.0858100080763817</v>
        <stp/>
        <stp>##V3_BDPV12</stp>
        <stp>XS0292530309 Corp</stp>
        <stp>INTERVAL_PERCENT_CHANGE</stp>
        <stp>[upload (2).xlsm]Base all $ 3 Duration!R81C17</stp>
        <stp>END_DATE_OVERRIDE</stp>
        <stp xml:space="preserve"> </stp>
        <stp>START_DATE_OVERRIDe</stp>
        <stp>20140716</stp>
        <tr r="Q81" s="66"/>
      </tp>
      <tp>
        <v>-6.6869997630936648</v>
        <stp/>
        <stp>##V3_BDPV12</stp>
        <stp>XS0426517701 Corp</stp>
        <stp>INTERVAL_PERCENT_CHANGE</stp>
        <stp>[upload (2).xlsm]Base all $ 3 Duration!R88C17</stp>
        <stp>END_DATE_OVERRIDE</stp>
        <stp xml:space="preserve"> </stp>
        <stp>START_DATE_OVERRIDe</stp>
        <stp>20140716</stp>
        <tr r="Q88" s="66"/>
      </tp>
      <tp t="s">
        <v>Ba1</v>
        <stp/>
        <stp>##V3_BDPV12</stp>
        <stp>XS0424860947 Corp</stp>
        <stp>RTG_moody</stp>
        <stp>[upload (2).xlsm]Base all $ 3 Duration!R46C10</stp>
        <tr r="J46" s="66"/>
        <tr r="J46" s="66"/>
      </tp>
      <tp t="s">
        <v>WR</v>
        <stp/>
        <stp>##V3_BDPV12</stp>
        <stp>XS0648402583 Corp</stp>
        <stp>RTG_moody</stp>
        <stp>[upload (2).xlsm]Base all $ 3 Duration!R92C10</stp>
        <tr r="J92" s="66"/>
        <tr r="J92" s="66"/>
      </tp>
      <tp t="s">
        <v>N</v>
        <stp/>
        <stp>##V3_BDPV12</stp>
        <stp>XS0869792928 Corp</stp>
        <stp>RUSSIAN_CB_LOMBARD</stp>
        <stp>[upload (2).xlsm]Base all $ 3 Duration!R10C16</stp>
        <tr r="P10" s="66"/>
      </tp>
      <tp t="s">
        <v>Coal</v>
        <stp/>
        <stp>##V3_BDPV12</stp>
        <stp>RASP RX EQUITY</stp>
        <stp>INDUSTRY_GROUP</stp>
        <stp>[upload (2).xlsm]Model Portfolio!R28C13</stp>
        <tr r="M28" s="98"/>
      </tp>
      <tp t="s">
        <v>Telecommunications</v>
        <stp/>
        <stp>##V3_BDPV12</stp>
        <stp>MTSS RX EQUITY</stp>
        <stp>INDUSTRY_GROUP</stp>
        <stp>[upload (2).xlsm]Model Portfolio!R67C13</stp>
        <tr r="M67" s="98"/>
      </tp>
      <tp t="s">
        <v>Y</v>
        <stp/>
        <stp>##V3_BDPV12</stp>
        <stp>XS0922883318 Corp</stp>
        <stp>RUSSIAN_CB_LOMBARD</stp>
        <stp>[upload (2).xlsm]Base all $ 3 Duration!R56C16</stp>
        <tr r="P56" s="66"/>
      </tp>
      <tp t="s">
        <v>Y</v>
        <stp/>
        <stp>##V3_BDPV12</stp>
        <stp>XS0643176448 Corp</stp>
        <stp>RUSSIAN_CB_LOMBARD</stp>
        <stp>[upload (2).xlsm]Base all $ 3 Duration!R79C16</stp>
        <tr r="P79" s="66"/>
      </tp>
      <tp t="s">
        <v>N</v>
        <stp/>
        <stp>##V3_BDPV12</stp>
        <stp>XS0974469206 Corp</stp>
        <stp>RUSSIAN_CB_LOMBARD</stp>
        <stp>[upload (2).xlsm]Base all $ 3 Duration!R14C16</stp>
        <tr r="P14" s="66"/>
      </tp>
      <tp>
        <v>-2.8229063744791438</v>
        <stp/>
        <stp>##V3_BDPV12</stp>
        <stp>BANEP RX EQUITY</stp>
        <stp>SALES_GROWTH</stp>
        <stp>[upload (2).xlsm]Model Portfolio!R8C21</stp>
        <tr r="U8" s="98"/>
      </tp>
      <tp t="s">
        <v>Y</v>
        <stp/>
        <stp>##V3_BDPV12</stp>
        <stp>XS0802648955 Corp</stp>
        <stp>RUSSIAN_CB_LOMBARD</stp>
        <stp>[upload (2).xlsm]Base all $ 3 Duration!R12C16</stp>
        <tr r="P12" s="66"/>
      </tp>
      <tp>
        <v>108.935</v>
        <stp/>
        <stp>##V3_BDPV12</stp>
        <stp>XS0842078536 Corp</stp>
        <stp>px_last</stp>
        <stp>[upload (2).xlsm]Base all $ 3 Duration!R127C4</stp>
        <tr r="D127" s="66"/>
      </tp>
      <tp>
        <v>105.75</v>
        <stp/>
        <stp>##V3_BDPV12</stp>
        <stp>XS0922301717 Corp</stp>
        <stp>px_last</stp>
        <stp>[upload (2).xlsm]Base all $ 3 Duration!R108C4</stp>
        <tr r="D108" s="66"/>
      </tp>
      <tp>
        <v>111.56399999999999</v>
        <stp/>
        <stp>##V3_BDPV12</stp>
        <stp>XS0290580595 Corp</stp>
        <stp>px_last</stp>
        <stp>[upload (2).xlsm]Base all $ 3 Duration!R152C4</stp>
        <tr r="D152" s="66"/>
      </tp>
      <tp>
        <v>4</v>
        <stp/>
        <stp>##V3_BDPV12</stp>
        <stp>KMG LI EQUITY</stp>
        <stp>EQY_REC_CONS</stp>
        <stp>[upload (2).xlsm]Model Portfolio!R9C29</stp>
        <tr r="AC9" s="98"/>
      </tp>
      <tp>
        <v>2.75</v>
        <stp/>
        <stp>##V3_BDPV12</stp>
        <stp>POG LN EQUITY</stp>
        <stp>EQY_REC_CONS</stp>
        <stp>[upload (2).xlsm]Model Portfolio!R7C29</stp>
        <tr r="AC7" s="98"/>
      </tp>
      <tp>
        <v>109.977</v>
        <stp/>
        <stp>##V3_BDPV12</stp>
        <stp>XS0997544860 Corp</stp>
        <stp>px_last</stp>
        <stp>[upload (2).xlsm]Base all $ 3 Duration!R136C4</stp>
        <tr r="D136" s="66"/>
      </tp>
      <tp t="s">
        <v>Transportation</v>
        <stp/>
        <stp>##V3_BDPV12</stp>
        <stp>FESH RX EQUITY</stp>
        <stp>INDUSTRY_GROUP</stp>
        <stp>[upload (2).xlsm]Model Portfolio!R45C13</stp>
        <tr r="M45" s="98"/>
      </tp>
      <tp>
        <v>3.15</v>
        <stp/>
        <stp>##V3_BDPV12</stp>
        <stp>POLY LN EQUITY</stp>
        <stp>EQY_REC_CONS</stp>
        <stp>[upload (2).xlsm]Model Portfolio!R6C29</stp>
        <tr r="AC6" s="98"/>
      </tp>
      <tp t="s">
        <v>Oil&amp;Gas</v>
        <stp/>
        <stp>##V3_BDPV12</stp>
        <stp>ROSN RX EQUITY</stp>
        <stp>INDUSTRY_GROUP</stp>
        <stp>[upload (2).xlsm]Model Portfolio!R17C13</stp>
        <tr r="M17" s="98"/>
      </tp>
      <tp>
        <v>103.04623611111111</v>
        <stp/>
        <stp>##V3_BDPV12</stp>
        <stp>XS0922134712 Corp</stp>
        <stp>PX_GROSS_MID</stp>
        <stp>[upload (2).xlsm]Base all $ 3 Duration!R76C19</stp>
        <tr r="S76" s="66"/>
      </tp>
      <tp t="s">
        <v>#N/A N/A</v>
        <stp/>
        <stp>##V3_BDPV12</stp>
        <stp>XS0276456315 Corp</stp>
        <stp>PX_GROSS_MID</stp>
        <stp>[upload (2).xlsm]Base all $ 3 Duration!R90C19</stp>
        <tr r="S90" s="66"/>
      </tp>
      <tp>
        <v>100.19283333333333</v>
        <stp/>
        <stp>##V3_BDPV12</stp>
        <stp>XS0851672435 Corp</stp>
        <stp>PX_GROSS_MID</stp>
        <stp>[upload (2).xlsm]Base all $ 3 Duration!R23C19</stp>
        <tr r="S23" s="66"/>
      </tp>
      <tp>
        <v>103.62788888888889</v>
        <stp/>
        <stp>##V3_BDPV12</stp>
        <stp>XS1040726587 Corp</stp>
        <stp>PX_GROSS_MID</stp>
        <stp>[upload (2).xlsm]Base all $ 3 Duration!R41C19</stp>
        <tr r="S41" s="66"/>
      </tp>
      <tp>
        <v>149</v>
        <stp/>
        <stp>##V3_BDPV12</stp>
        <stp>HGM LN Equity</stp>
        <stp>PX_LAST</stp>
        <stp>[Copy of upload (2).xlsm]Гарез_GRENF!R10C7</stp>
        <tr r="G10" s="115"/>
      </tp>
      <tp t="s">
        <v>Sr Unsecured</v>
        <stp/>
        <stp>##V3_BDPV12</stp>
        <stp>XS0365923977 Corp</stp>
        <stp>PAYMENT_RANK</stp>
        <stp>[upload (2).xlsm]Base all $ 3 Duration!R57C14</stp>
        <tr r="N57" s="66"/>
      </tp>
      <tp t="s">
        <v>VEON Ltd</v>
        <stp/>
        <stp>##V3_BDPV12</stp>
        <stp>VIP US EQUITY</stp>
        <stp>SECURITY_NAME</stp>
        <stp>[Copy of upload (2).xlsm]Гарез_GRENF!R25C4</stp>
        <tr r="D25" s="115"/>
      </tp>
      <tp>
        <v>66.666666666666671</v>
        <stp/>
        <stp>##V3_BDPV12</stp>
        <stp>EVR LN EQUITY</stp>
        <stp>EPS_GROWTH</stp>
        <stp>[upload (2).xlsm]Model Portfolio!R26C22</stp>
        <tr r="V26" s="98"/>
      </tp>
      <tp t="s">
        <v>Subordinated</v>
        <stp/>
        <stp>##V3_BDPV12</stp>
        <stp>XS0524658852 Corp</stp>
        <stp>PAYMENT_RANK</stp>
        <stp>[upload (2).xlsm]Base all $ 3 Duration!R68C14</stp>
        <tr r="N68" s="66"/>
      </tp>
      <tp t="s">
        <v>Sr Unsecured</v>
        <stp/>
        <stp>##V3_BDPV12</stp>
        <stp>XS0879105558 Corp</stp>
        <stp>PAYMENT_RANK</stp>
        <stp>[upload (2).xlsm]Base all $ 3 Duration!R38C14</stp>
        <tr r="N38" s="66"/>
      </tp>
      <tp t="s">
        <v>Subordinated</v>
        <stp/>
        <stp>##V3_BDPV12</stp>
        <stp>XS0848163456 Corp</stp>
        <stp>PAYMENT_RANK</stp>
        <stp>[upload (2).xlsm]Base all $ 3 Duration!R18C14</stp>
        <tr r="N18" s="66"/>
      </tp>
      <tp>
        <v>32.74</v>
        <stp/>
        <stp>##V3_BDPV12</stp>
        <stp>YNDX US EQUITY</stp>
        <stp>PX_LAST</stp>
        <stp>[upload (2).xlsm]Model Portfolio!R43C3</stp>
        <tr r="C43" s="98"/>
      </tp>
      <tp t="s">
        <v>19/07/2017</v>
        <stp/>
        <stp>##V3_BDPV12</stp>
        <stp>SNGS RX EQUITY</stp>
        <stp>DVD_RECORD_DT</stp>
        <stp>[upload (2).xlsm]Model Portfolio!R10C28</stp>
        <tr r="AB10" s="98"/>
      </tp>
      <tp t="s">
        <v>28/06/2017</v>
        <stp/>
        <stp>##V3_BDPV12</stp>
        <stp>ENRU RM EQUITY</stp>
        <stp>DVD_RECORD_DT</stp>
        <stp>[upload (2).xlsm]Model Portfolio!R53C28</stp>
        <tr r="AB53" s="98"/>
      </tp>
      <tp t="s">
        <v>#N/A N/A</v>
        <stp/>
        <stp>##V3_BDPV12</stp>
        <stp>FESH RX EQUITY</stp>
        <stp>EST_EV_THIS_YR_EBITDA</stp>
        <stp>[upload (2).xlsm]Model Portfolio!R45C16</stp>
        <tr r="P45" s="98"/>
      </tp>
      <tp>
        <v>0.82540000000000002</v>
        <stp/>
        <stp>##V3_BDPV12</stp>
        <stp>HYDR RX EQUITY</stp>
        <stp>PX_LAST</stp>
        <stp>[upload (2).xlsm]Model Portfolio!R58C3</stp>
        <tr r="C58" s="98"/>
      </tp>
      <tp t="s">
        <v>#N/A N/A</v>
        <stp/>
        <stp>##V3_BDPV12</stp>
        <stp>MGNT RX EQUITY</stp>
        <stp>EBITDA_MARGIN</stp>
        <stp>[upload (2).xlsm]Model Portfolio!R35C23</stp>
        <tr r="W35" s="98"/>
      </tp>
      <tp t="s">
        <v>AT MATURITY</v>
        <stp/>
        <stp>##V3_BDPV12</stp>
        <stp>XS0996297544 Corp</stp>
        <stp>MTY_TYP</stp>
        <stp>[upload (2).xlsm]Base all $ 3 Duration!R9C15</stp>
        <tr r="O9" s="66"/>
      </tp>
      <tp>
        <v>48.35</v>
        <stp/>
        <stp>##V3_BDPV12</stp>
        <stp>LXFT US EQUITY</stp>
        <stp>PX_LAST</stp>
        <stp>[upload (2).xlsm]Model Portfolio!R41C3</stp>
        <tr r="C41" s="98"/>
      </tp>
      <tp>
        <v>18.897584245275912</v>
        <stp/>
        <stp>##V3_BDPV12</stp>
        <stp>OGKB RX EQUITY</stp>
        <stp>EBITDA_MARGIN</stp>
        <stp>[upload (2).xlsm]Model Portfolio!R57C23</stp>
        <tr r="W57" s="98"/>
      </tp>
      <tp>
        <v>20.826045521889256</v>
        <stp/>
        <stp>##V3_BDPV12</stp>
        <stp>TGKA RX EQUITY</stp>
        <stp>EBITDA_MARGIN</stp>
        <stp>[upload (2).xlsm]Model Portfolio!R60C23</stp>
        <tr r="W60" s="98"/>
      </tp>
      <tp>
        <v>2938</v>
        <stp/>
        <stp>##V3_BDPV12</stp>
        <stp>LKOH RX EQUITY</stp>
        <stp>PX_LAST</stp>
        <stp>[upload (2).xlsm]Model Portfolio!R13C3</stp>
        <tr r="C13" s="98"/>
      </tp>
      <tp>
        <v>-6.2841531269974782</v>
        <stp/>
        <stp>##V3_BDPV12</stp>
        <stp>XS0381439305 Corp</stp>
        <stp>INTERVAL_PERCENT_CHANGE</stp>
        <stp>[upload (2).xlsm]Base all $ 3 Duration!R64C17</stp>
        <stp>END_DATE_OVERRIDE</stp>
        <stp xml:space="preserve"> </stp>
        <stp>START_DATE_OVERRIDe</stp>
        <stp>20140716</stp>
        <tr r="Q64" s="66"/>
      </tp>
      <tp>
        <v>2.5826003244586988</v>
        <stp/>
        <stp>##V3_BDPV12</stp>
        <stp>XS0993162170 Corp</stp>
        <stp>INTERVAL_PERCENT_CHANGE</stp>
        <stp>[upload (2).xlsm]Base all $ 3 Duration!R48C17</stp>
        <stp>END_DATE_OVERRIDE</stp>
        <stp xml:space="preserve"> </stp>
        <stp>START_DATE_OVERRIDe</stp>
        <stp>20140716</stp>
        <tr r="Q48" s="66"/>
      </tp>
      <tp>
        <v>-2.2479359221616662</v>
        <stp/>
        <stp>##V3_BDPV12</stp>
        <stp>XS0551315384 Corp</stp>
        <stp>INTERVAL_PERCENT_CHANGE</stp>
        <stp>[upload (2).xlsm]Base all $ 3 Duration!R82C17</stp>
        <stp>END_DATE_OVERRIDE</stp>
        <stp xml:space="preserve"> </stp>
        <stp>START_DATE_OVERRIDe</stp>
        <stp>20140716</stp>
        <tr r="Q82" s="66"/>
      </tp>
      <tp>
        <v>67.88</v>
        <stp/>
        <stp>##V3_BDPV12</stp>
        <stp>TRMK RX EQUITY</stp>
        <stp>PX_LAST</stp>
        <stp>[upload (2).xlsm]Model Portfolio!R21C3</stp>
        <tr r="C21" s="98"/>
      </tp>
      <tp>
        <v>-4.3362683295985178</v>
        <stp/>
        <stp>##V3_BDPV12</stp>
        <stp>XS0357281558 Corp</stp>
        <stp>INTERVAL_PERCENT_CHANGE</stp>
        <stp>[upload (2).xlsm]Base all $ 3 Duration!R69C17</stp>
        <stp>END_DATE_OVERRIDE</stp>
        <stp xml:space="preserve"> </stp>
        <stp>START_DATE_OVERRIDe</stp>
        <stp>20140716</stp>
        <tr r="Q69" s="66"/>
      </tp>
      <tp>
        <v>-0.36374162064949023</v>
        <stp/>
        <stp>##V3_BDPV12</stp>
        <stp>XS0861980372 Corp</stp>
        <stp>INTERVAL_PERCENT_CHANGE</stp>
        <stp>[upload (2).xlsm]Base all $ 3 Duration!R80C17</stp>
        <stp>END_DATE_OVERRIDE</stp>
        <stp xml:space="preserve"> </stp>
        <stp>START_DATE_OVERRIDe</stp>
        <stp>20140716</stp>
        <tr r="Q80" s="66"/>
      </tp>
      <tp t="s">
        <v>Ba1</v>
        <stp/>
        <stp>##V3_BDPV12</stp>
        <stp>XS0878855773 Corp</stp>
        <stp>RTG_moody</stp>
        <stp>[upload (2).xlsm]Base all $ 3 Duration!R44C10</stp>
        <tr r="J44" s="66"/>
        <tr r="J44" s="66"/>
      </tp>
      <tp>
        <v>0.28467563922107325</v>
        <stp/>
        <stp>##V3_BDPV12</stp>
        <stp>XS0940730228 Corp</stp>
        <stp>INTERVAL_PERCENT_CHANGE</stp>
        <stp>[upload (2).xlsm]Base all $ 3 Duration!R25C17</stp>
        <stp>END_DATE_OVERRIDE</stp>
        <stp xml:space="preserve"> </stp>
        <stp>START_DATE_OVERRIDe</stp>
        <stp>20140716</stp>
        <tr r="Q25" s="66"/>
      </tp>
      <tp t="s">
        <v>Ba1</v>
        <stp/>
        <stp>##V3_BDPV12</stp>
        <stp>XS0461926569 Corp</stp>
        <stp>RTG_moody</stp>
        <stp>[upload (2).xlsm]Base all $ 3 Duration!R53C10</stp>
        <tr r="J53" s="66"/>
        <tr r="J53" s="66"/>
      </tp>
      <tp>
        <v>0.54279999999999995</v>
        <stp/>
        <stp>##V3_BDPV12</stp>
        <stp>OGKB RX EQUITY</stp>
        <stp>PX_LAST</stp>
        <stp>[upload (2).xlsm]Model Portfolio!R57C3</stp>
        <tr r="C57" s="98"/>
      </tp>
      <tp>
        <v>5.718334489100612</v>
        <stp/>
        <stp>##V3_BDPV12</stp>
        <stp>SBER RX EQUITY</stp>
        <stp>EST_PE_NXT_YR</stp>
        <stp>[upload (2).xlsm]Model Portfolio!R75C15</stp>
        <tr r="O75" s="98"/>
      </tp>
      <tp t="s">
        <v>29/08/2017</v>
        <stp/>
        <stp>##V3_BDPV12</stp>
        <stp>QIWI US EQUITY</stp>
        <stp>DVD_RECORD_DT</stp>
        <stp>[upload (2).xlsm]Model Portfolio!R40C28</stp>
        <tr r="AB40" s="98"/>
      </tp>
      <tp>
        <v>2.9363253757898953</v>
        <stp/>
        <stp>##V3_BDPV12</stp>
        <stp>FEES RX EQUITY</stp>
        <stp>EST_EV_THIS_YR_EBITDA</stp>
        <stp>[upload (2).xlsm]Model Portfolio!R56C16</stp>
        <tr r="P56" s="98"/>
      </tp>
      <tp t="s">
        <v>Y</v>
        <stp/>
        <stp>##V3_BDPV12</stp>
        <stp>XS0359381331 Corp</stp>
        <stp>RUSSIAN_CB_LOMBARD</stp>
        <stp>[upload (2).xlsm]Base all $ 3 Duration!R36C16</stp>
        <tr r="P36" s="66"/>
      </tp>
      <tp t="s">
        <v>N</v>
        <stp/>
        <stp>##V3_BDPV12</stp>
        <stp>XS0954673934 Corp</stp>
        <stp>RUSSIAN_CB_LOMBARD</stp>
        <stp>[upload (2).xlsm]Base all $ 3 Duration!R16C16</stp>
        <tr r="P16" s="66"/>
      </tp>
      <tp t="s">
        <v>N</v>
        <stp/>
        <stp>##V3_BDPV12</stp>
        <stp>XS0851672435 Corp</stp>
        <stp>RUSSIAN_CB_LOMBARD</stp>
        <stp>[upload (2).xlsm]Base all $ 3 Duration!R23C16</stp>
        <tr r="P23" s="66"/>
      </tp>
      <tp t="s">
        <v>Y</v>
        <stp/>
        <stp>##V3_BDPV12</stp>
        <stp>XS0923472814 Corp</stp>
        <stp>RUSSIAN_CB_LOMBARD</stp>
        <stp>[upload (2).xlsm]Base all $ 3 Duration!R52C16</stp>
        <tr r="P52" s="66"/>
      </tp>
      <tp t="s">
        <v>Y</v>
        <stp/>
        <stp>##V3_BDPV12</stp>
        <stp>XS0261906738 Corp</stp>
        <stp>RUSSIAN_CB_LOMBARD</stp>
        <stp>[upload (2).xlsm]Base all $ 3 Duration!R89C16</stp>
        <tr r="P89" s="66"/>
      </tp>
      <tp t="s">
        <v>Y</v>
        <stp/>
        <stp>##V3_BDPV12</stp>
        <stp>XS0923110232 Corp</stp>
        <stp>RUSSIAN_CB_LOMBARD</stp>
        <stp>[upload (2).xlsm]Base all $ 3 Duration!R35C16</stp>
        <tr r="P35" s="66"/>
      </tp>
      <tp t="s">
        <v>N</v>
        <stp/>
        <stp>##V3_BDPV12</stp>
        <stp>XS1059697323 Corp</stp>
        <stp>RUSSIAN_CB_LOMBARD</stp>
        <stp>[upload (2).xlsm]Base all $ 3 Duration!R20C16</stp>
        <tr r="P20" s="66"/>
      </tp>
      <tp t="s">
        <v>N</v>
        <stp/>
        <stp>##V3_BDPV12</stp>
        <stp>XS0299183250 Corp</stp>
        <stp>RUSSIAN_CB_LOMBARD</stp>
        <stp>[upload (2).xlsm]Base all $ 3 Duration!R40C16</stp>
        <tr r="P40" s="66"/>
      </tp>
      <tp>
        <v>7.3874784601404535</v>
        <stp/>
        <stp>##V3_BDPV12</stp>
        <stp>ALRS RX EQUITY</stp>
        <stp>PX_TO_FREE_CASH_FLOW</stp>
        <stp>[upload (2).xlsm]Model Portfolio!R5C19</stp>
        <tr r="S5" s="98"/>
      </tp>
      <tp t="s">
        <v>Banks</v>
        <stp/>
        <stp>##V3_BDPV12</stp>
        <stp>BSPB RX EQUITY</stp>
        <stp>INDUSTRY_GROUP</stp>
        <stp>[upload (2).xlsm]Model Portfolio!R77C13</stp>
        <tr r="M77" s="98"/>
      </tp>
      <tp>
        <v>109.48099999999999</v>
        <stp/>
        <stp>##V3_BDPV12</stp>
        <stp>XS0554659671 Corp</stp>
        <stp>px_last</stp>
        <stp>[upload (2).xlsm]Base all $ 3 Duration!R114C4</stp>
        <tr r="D114" s="66"/>
      </tp>
      <tp>
        <v>6.5429349999999999</v>
        <stp/>
        <stp>##V3_BDPV12</stp>
        <stp>OGZD LI Equity</stp>
        <stp>EQY_DVD_YLD_EST</stp>
        <stp>[Copy of upload (2).xlsm]Гарез_GRENF (2)!R7C20</stp>
        <tr r="T7" s="116"/>
      </tp>
      <tp>
        <v>17.580928548411883</v>
        <stp/>
        <stp>##V3_BDPV12</stp>
        <stp>HGM LN EQUITY</stp>
        <stp>PX_TO_FREE_CASH_FLOW</stp>
        <stp>[upload (2).xlsm]Model Portfolio!R4C19</stp>
        <tr r="S4" s="98"/>
      </tp>
      <tp t="s">
        <v>#N/A N/A</v>
        <stp/>
        <stp>##V3_BDPV12</stp>
        <stp>XS0742380412 Corp</stp>
        <stp>PX_GROSS_MID</stp>
        <stp>[upload (2).xlsm]Base all $ 3 Duration!R86C19</stp>
        <tr r="S86" s="66"/>
      </tp>
      <tp>
        <v>100.72386111111111</v>
        <stp/>
        <stp>##V3_BDPV12</stp>
        <stp>XS1043519567 Corp</stp>
        <stp>PX_GROSS_MID</stp>
        <stp>[upload (2).xlsm]Base all $ 3 Duration!R74C19</stp>
        <tr r="S74" s="66"/>
      </tp>
      <tp>
        <v>107.9997361111111</v>
        <stp/>
        <stp>##V3_BDPV12</stp>
        <stp>XS0974469206 Corp</stp>
        <stp>PX_GROSS_MID</stp>
        <stp>[upload (2).xlsm]Base all $ 3 Duration!R14C19</stp>
        <tr r="S14" s="66"/>
      </tp>
      <tp t="s">
        <v>#N/A N/A</v>
        <stp/>
        <stp>##V3_BDPV12</stp>
        <stp>XS0236336045 Corp</stp>
        <stp>PX_GROSS_MID</stp>
        <stp>[upload (2).xlsm]Base all $ 3 Duration!R97C19</stp>
        <tr r="S97" s="66"/>
      </tp>
      <tp>
        <v>26.974222222222224</v>
        <stp/>
        <stp>##V3_BDPV12</stp>
        <stp>XS0776121062 Corp</stp>
        <stp>PX_GROSS_MID</stp>
        <stp>[upload (2).xlsm]Base all $ 3 Duration!R27C19</stp>
        <tr r="S27" s="66"/>
      </tp>
      <tp t="s">
        <v>#N/A N/A</v>
        <stp/>
        <stp>##V3_BDPV12</stp>
        <stp>XS0261906738 Corp</stp>
        <stp>PX_GROSS_MID</stp>
        <stp>[upload (2).xlsm]Base all $ 3 Duration!R89C19</stp>
        <tr r="S89" s="66"/>
      </tp>
      <tp t="s">
        <v>#N/A N/A</v>
        <stp/>
        <stp>##V3_BDPV12</stp>
        <stp>XS0772509484 Corp</stp>
        <stp>PX_GROSS_MID</stp>
        <stp>[upload (2).xlsm]Base all $ 3 Duration!R78C19</stp>
        <tr r="S78" s="66"/>
      </tp>
      <tp t="s">
        <v>Sr Unsecured</v>
        <stp/>
        <stp>##V3_BDPV12</stp>
        <stp>XS0938341780 Corp</stp>
        <stp>PAYMENT_RANK</stp>
        <stp>[upload (2).xlsm]Base all $ 3 Duration!R21C14</stp>
        <tr r="N21" s="66"/>
      </tp>
      <tp>
        <v>15.04936</v>
        <stp/>
        <stp>##V3_BDPV12</stp>
        <stp>SBERP RX EQUITY</stp>
        <stp>CHG_PCT_1M</stp>
        <stp>[upload (2).xlsm]Model Portfolio!R76C5</stp>
        <tr r="E76" s="98"/>
      </tp>
      <tp t="s">
        <v>Sr Unsecured</v>
        <stp/>
        <stp>##V3_BDPV12</stp>
        <stp>XS0878855773 Corp</stp>
        <stp>PAYMENT_RANK</stp>
        <stp>[upload (2).xlsm]Base all $ 3 Duration!R44C14</stp>
        <tr r="N44" s="66"/>
      </tp>
      <tp t="s">
        <v>Sr Unsecured</v>
        <stp/>
        <stp>##V3_BDPV12</stp>
        <stp>XS0588436799 Corp</stp>
        <stp>PAYMENT_RANK</stp>
        <stp>[upload (2).xlsm]Base all $ 3 Duration!R94C14</stp>
        <tr r="N94" s="66"/>
      </tp>
      <tp t="s">
        <v>Sr Unsecured</v>
        <stp/>
        <stp>##V3_BDPV12</stp>
        <stp>XS0366630902 Corp</stp>
        <stp>PAYMENT_RANK</stp>
        <stp>[upload (2).xlsm]Base all $ 3 Duration!R49C14</stp>
        <tr r="N49" s="66"/>
      </tp>
      <tp>
        <v>42.321294417898741</v>
        <stp/>
        <stp>##V3_BDPV12</stp>
        <stp>FXPO LN EQUITY</stp>
        <stp>EBITDA_MARGIN</stp>
        <stp>[upload (2).xlsm]Model Portfolio!R27C23</stp>
        <tr r="W27" s="98"/>
      </tp>
      <tp t="s">
        <v>AT MATURITY</v>
        <stp/>
        <stp>##V3_BDPV12</stp>
        <stp>XS0850393264 Corp</stp>
        <stp>MTY_TYP</stp>
        <stp>[upload (2).xlsm]Base all $ 3 Duration!R4C15</stp>
        <tr r="O4" s="66"/>
      </tp>
      <tp t="s">
        <v>29/09/2017</v>
        <stp/>
        <stp>##V3_BDPV12</stp>
        <stp>MOEX RX EQUITY</stp>
        <stp>DVD_RECORD_DT</stp>
        <stp>[upload (2).xlsm]Model Portfolio!R74C28</stp>
        <tr r="AB74" s="98"/>
      </tp>
      <tp>
        <v>15.45716705654594</v>
        <stp/>
        <stp>##V3_BDPV12</stp>
        <stp>AFLT RX EQUITY</stp>
        <stp>EBITDA_MARGIN</stp>
        <stp>[upload (2).xlsm]Model Portfolio!R47C23</stp>
        <tr r="W47" s="98"/>
      </tp>
      <tp>
        <v>10.050000000000001</v>
        <stp/>
        <stp>##V3_BDPV12</stp>
        <stp>GLTR LI EQUITY</stp>
        <stp>PX_LAST</stp>
        <stp>[upload (2).xlsm]Model Portfolio!R48C3</stp>
        <tr r="C48" s="98"/>
      </tp>
      <tp>
        <v>36.546424507529295</v>
        <stp/>
        <stp>##V3_BDPV12</stp>
        <stp>MFON RX EQUITY</stp>
        <stp>EBITDA_MARGIN</stp>
        <stp>[upload (2).xlsm]Model Portfolio!R62C23</stp>
        <tr r="W62" s="98"/>
      </tp>
      <tp>
        <v>2315</v>
        <stp/>
        <stp>##V3_BDPV12</stp>
        <stp>PHOR RX EQUITY</stp>
        <stp>PX_LAST</stp>
        <stp>[upload (2).xlsm]Model Portfolio!R32C3</stp>
        <tr r="C32" s="98"/>
      </tp>
      <tp>
        <v>29</v>
        <stp/>
        <stp>##V3_BDPV12</stp>
        <stp>SNGSP RX EQUITY</stp>
        <stp>PX_LAST</stp>
        <stp>[upload (2).xlsm]Model Portfolio!R11C3</stp>
        <tr r="C11" s="98"/>
      </tp>
      <tp>
        <v>25.607991085596211</v>
        <stp/>
        <stp>##V3_BDPV12</stp>
        <stp>AFKS RX EQUITY</stp>
        <stp>EBITDA_MARGIN</stp>
        <stp>[upload (2).xlsm]Model Portfolio!R64C23</stp>
        <tr r="W64" s="98"/>
      </tp>
      <tp>
        <v>-4.2619552793125735</v>
        <stp/>
        <stp>##V3_BDPV12</stp>
        <stp>XS0562354182 Corp</stp>
        <stp>INTERVAL_PERCENT_CHANGE</stp>
        <stp>[upload (2).xlsm]Base all $ 3 Duration!R96C17</stp>
        <stp>END_DATE_OVERRIDE</stp>
        <stp xml:space="preserve"> </stp>
        <stp>START_DATE_OVERRIDe</stp>
        <stp>20140716</stp>
        <tr r="Q96" s="66"/>
      </tp>
      <tp t="s">
        <v>#N/A N/A</v>
        <stp/>
        <stp>##V3_BDPV12</stp>
        <stp>NORD LI EQUITY</stp>
        <stp>CHG_PCT_YTD</stp>
        <stp>[upload (2).xlsm]Model Portfolio!R3C7</stp>
        <tr r="G3" s="98"/>
      </tp>
      <tp t="s">
        <v>#N/A N/A</v>
        <stp/>
        <stp>##V3_BDPV12</stp>
        <stp>NORD LI EQUITY</stp>
        <stp>CHG_PCT_WTD</stp>
        <stp>[upload (2).xlsm]Model Portfolio!R3C4</stp>
        <tr r="D3" s="98"/>
      </tp>
      <tp t="s">
        <v>Ba1</v>
        <stp/>
        <stp>##V3_BDPV12</stp>
        <stp>XS0592794597 Corp</stp>
        <stp>RTG_moody</stp>
        <stp>[upload (2).xlsm]Base all $ 3 Duration!R61C10</stp>
        <tr r="J61" s="66"/>
        <tr r="J61" s="66"/>
      </tp>
      <tp t="s">
        <v>#N/A N/A</v>
        <stp/>
        <stp>##V3_BDPV12</stp>
        <stp>XS0995845566 Corp</stp>
        <stp>RTG_moody</stp>
        <stp>[upload (2).xlsm]Base all $ 3 Duration!R29C10</stp>
        <tr r="J29" s="66"/>
      </tp>
      <tp t="s">
        <v>10/10/2017</v>
        <stp/>
        <stp>##V3_BDPV12</stp>
        <stp>ROSN RX EQUITY</stp>
        <stp>DVD_RECORD_DT</stp>
        <stp>[upload (2).xlsm]Model Portfolio!R17C28</stp>
        <tr r="AB17" s="98"/>
      </tp>
      <tp t="s">
        <v>WR</v>
        <stp/>
        <stp>##V3_BDPV12</stp>
        <stp>XS0841677387 Corp</stp>
        <stp>RTG_moody</stp>
        <stp>[upload (2).xlsm]Base all $ 3 Duration!R99C10</stp>
        <tr r="J99" s="66"/>
        <tr r="J99" s="66"/>
      </tp>
      <tp>
        <v>66.11</v>
        <stp/>
        <stp>##V3_BDPV12</stp>
        <stp>RTKM RX EQUITY</stp>
        <stp>PX_LAST</stp>
        <stp>[upload (2).xlsm]Model Portfolio!R66C3</stp>
        <tr r="C66" s="98"/>
      </tp>
      <tp>
        <v>591.9</v>
        <stp/>
        <stp>##V3_BDPV12</stp>
        <stp>MFON RX EQUITY</stp>
        <stp>PX_LAST</stp>
        <stp>[upload (2).xlsm]Model Portfolio!R62C3</stp>
        <tr r="C62" s="98"/>
      </tp>
      <tp>
        <v>-0.76599083775639398</v>
        <stp/>
        <stp>##V3_BDPV12</stp>
        <stp>XS0616784509 Corp</stp>
        <stp>INTERVAL_PERCENT_CHANGE</stp>
        <stp>[upload (2).xlsm]Base all $ 3 Duration!R24C17</stp>
        <stp>END_DATE_OVERRIDE</stp>
        <stp xml:space="preserve"> </stp>
        <stp>START_DATE_OVERRIDe</stp>
        <stp>20140716</stp>
        <tr r="Q24" s="66"/>
      </tp>
      <tp t="s">
        <v>WR</v>
        <stp/>
        <stp>##V3_BDPV12</stp>
        <stp>XS0861980372 Corp</stp>
        <stp>RTG_moody</stp>
        <stp>[upload (2).xlsm]Base all $ 3 Duration!R80C10</stp>
        <tr r="J80" s="66"/>
        <tr r="J80" s="66"/>
      </tp>
      <tp t="s">
        <v>#N/A N/A</v>
        <stp/>
        <stp>##V3_BDPV12</stp>
        <stp>XS0630950870 Corp</stp>
        <stp>RTG_moody</stp>
        <stp>[upload (2).xlsm]Base all $ 3 Duration!R75C10</stp>
        <tr r="J75" s="66"/>
      </tp>
      <tp t="s">
        <v>WR</v>
        <stp/>
        <stp>##V3_BDPV12</stp>
        <stp>XS0300998779 Corp</stp>
        <stp>RTG_moody</stp>
        <stp>[upload (2).xlsm]Base all $ 3 Duration!R58C10</stp>
        <tr r="J58" s="66"/>
        <tr r="J58" s="66"/>
      </tp>
      <tp t="s">
        <v>Ba1</v>
        <stp/>
        <stp>##V3_BDPV12</stp>
        <stp>XS0365923977 Corp</stp>
        <stp>RTG_moody</stp>
        <stp>[upload (2).xlsm]Base all $ 3 Duration!R57C10</stp>
        <tr r="J57" s="66"/>
        <tr r="J57" s="66"/>
      </tp>
      <tp t="s">
        <v>#N/A N/A</v>
        <stp/>
        <stp>##V3_BDPV12</stp>
        <stp>XS1040726587 Corp</stp>
        <stp>RTG_moody</stp>
        <stp>[upload (2).xlsm]Base all $ 3 Duration!R41C10</stp>
        <tr r="J41" s="66"/>
      </tp>
      <tp t="s">
        <v>N</v>
        <stp/>
        <stp>##V3_BDPV12</stp>
        <stp>XS0854763355 Corp</stp>
        <stp>RUSSIAN_CB_LOMBARD</stp>
        <stp>[upload (2).xlsm]Base all $ 3 Duration!R28C16</stp>
        <tr r="P28" s="66"/>
      </tp>
      <tp t="s">
        <v>Oil&amp;Gas</v>
        <stp/>
        <stp>##V3_BDPV12</stp>
        <stp>TATNP RX EQUITY</stp>
        <stp>INDUSTRY_GROUP</stp>
        <stp>[upload (2).xlsm]Model Portfolio!R19C13</stp>
        <tr r="M19" s="98"/>
      </tp>
      <tp t="s">
        <v>Y</v>
        <stp/>
        <stp>##V3_BDPV12</stp>
        <stp>XS0995845566 Corp</stp>
        <stp>RUSSIAN_CB_LOMBARD</stp>
        <stp>[upload (2).xlsm]Base all $ 3 Duration!R29C16</stp>
        <tr r="P29" s="66"/>
      </tp>
      <tp t="s">
        <v>Y</v>
        <stp/>
        <stp>##V3_BDPV12</stp>
        <stp>XS0552679879 Corp</stp>
        <stp>RUSSIAN_CB_LOMBARD</stp>
        <stp>[upload (2).xlsm]Base all $ 3 Duration!R43C16</stp>
        <tr r="P43" s="66"/>
      </tp>
      <tp t="s">
        <v>Y</v>
        <stp/>
        <stp>##V3_BDPV12</stp>
        <stp>XS0592794597 Corp</stp>
        <stp>RUSSIAN_CB_LOMBARD</stp>
        <stp>[upload (2).xlsm]Base all $ 3 Duration!R61C16</stp>
        <tr r="P61" s="66"/>
      </tp>
      <tp>
        <v>106.709</v>
        <stp/>
        <stp>##V3_BDPV12</stp>
        <stp>XS0981028177 Corp</stp>
        <stp>px_last</stp>
        <stp>[upload (2).xlsm]Base all $ 3 Duration!R119C4</stp>
        <tr r="D119" s="66"/>
      </tp>
      <tp>
        <v>109</v>
        <stp/>
        <stp>##V3_BDPV12</stp>
        <stp>XS0889401724 Corp</stp>
        <stp>px_last</stp>
        <stp>[upload (2).xlsm]Base all $ 3 Duration!R130C4</stp>
        <tr r="D130" s="66"/>
      </tp>
      <tp>
        <v>31.292814356600097</v>
        <stp/>
        <stp>##V3_BDPV12</stp>
        <stp>ALRS RX EQUITY</stp>
        <stp>TRAIL_12M_PROF_MARGIN</stp>
        <stp>[upload (2).xlsm]Model Portfolio!R5C25</stp>
        <tr r="Y5" s="98"/>
      </tp>
      <tp t="s">
        <v>08/09/2017</v>
        <stp/>
        <stp>##V3_BDPV12</stp>
        <stp>POLY LN EQUITY</stp>
        <stp>DVD_RECORD_DT</stp>
        <stp>[upload (2).xlsm]Model Portfolio!R6C28</stp>
        <tr r="AB6" s="98"/>
      </tp>
      <tp>
        <v>10.828877005347593</v>
        <stp/>
        <stp>##V3_BDPV12</stp>
        <stp>VIP US EQUITY</stp>
        <stp>EST_PE_NXT_YR</stp>
        <stp>[upload (2).xlsm]Model Portfolio!R61C15</stp>
        <tr r="O61" s="98"/>
      </tp>
      <tp t="s">
        <v>Commer Banks Non-US</v>
        <stp/>
        <stp>##V3_BDPV12</stp>
        <stp>XS0238091507 Corp</stp>
        <stp>INDUSTRY_SUBGROUP</stp>
        <stp>[upload (2).xlsm]Base all $ 3 Duration!R5C11</stp>
        <tr r="K5" s="66"/>
      </tp>
      <tp>
        <v>8.6135869792421129</v>
        <stp/>
        <stp>##V3_BDPV12</stp>
        <stp>POLY LN EQUITY</stp>
        <stp>EST_EV_THIS_YR_EBITDA</stp>
        <stp>[upload (2).xlsm]Model Portfolio!R6C16</stp>
        <tr r="P6" s="98"/>
      </tp>
      <tp t="s">
        <v>24/04/2018</v>
        <stp/>
        <stp>##V3_BDPV12</stp>
        <stp>ALRS RX EQUITY</stp>
        <stp>BDVD_NEXT_EST_DECL_DT</stp>
        <stp>[upload (2).xlsm]Model Portfolio!R5C31</stp>
        <tr r="AE5" s="98"/>
      </tp>
      <tp>
        <v>8.5868078459970008</v>
        <stp/>
        <stp>##V3_BDPV12</stp>
        <stp>PLZL RX EQUITY</stp>
        <stp>EST_EV_THIS_YR_EBITDA</stp>
        <stp>[upload (2).xlsm]Model Portfolio!R2C16</stp>
        <tr r="P2" s="98"/>
      </tp>
      <tp t="s">
        <v>25/09/2017</v>
        <stp/>
        <stp>##V3_BDPV12</stp>
        <stp>PLZL RX EQUITY</stp>
        <stp>DVD_RECORD_DT</stp>
        <stp>[upload (2).xlsm]Model Portfolio!R2C28</stp>
        <tr r="AB2" s="98"/>
      </tp>
      <tp>
        <v>108.15777777777778</v>
        <stp/>
        <stp>##V3_BDPV12</stp>
        <stp>XS0854763355 Corp</stp>
        <stp>PX_GROSS_MID</stp>
        <stp>[upload (2).xlsm]Base all $ 3 Duration!R28C19</stp>
        <tr r="S28" s="66"/>
      </tp>
      <tp>
        <v>110.57366666666667</v>
        <stp/>
        <stp>##V3_BDPV12</stp>
        <stp>XS0832412505 Corp</stp>
        <stp>PX_GROSS_MID</stp>
        <stp>[upload (2).xlsm]Base all $ 3 Duration!R30C19</stp>
        <tr r="S30" s="66"/>
      </tp>
      <tp t="s">
        <v>#N/A N/A</v>
        <stp/>
        <stp>##V3_BDPV12</stp>
        <stp>XS0643176448 Corp</stp>
        <stp>PX_GROSS_MID</stp>
        <stp>[upload (2).xlsm]Base all $ 3 Duration!R79C19</stp>
        <tr r="S79" s="66"/>
      </tp>
      <tp t="s">
        <v>#N/A N/A</v>
        <stp/>
        <stp>##V3_BDPV12</stp>
        <stp>XS0640334768 Corp</stp>
        <stp>PX_GROSS_MID</stp>
        <stp>[upload (2).xlsm]Base all $ 3 Duration!R15C19</stp>
        <tr r="S15" s="66"/>
      </tp>
      <tp t="s">
        <v>#N/A N/A</v>
        <stp/>
        <stp>##V3_BDPV12</stp>
        <stp>XS0775984213 Corp</stp>
        <stp>PX_GROSS_MID</stp>
        <stp>[upload (2).xlsm]Base all $ 3 Duration!R42C19</stp>
        <tr r="S42" s="66"/>
      </tp>
      <tp>
        <v>60.618055555555557</v>
        <stp/>
        <stp>##V3_BDPV12</stp>
        <stp>XS0973219495 Corp</stp>
        <stp>PX_GROSS_MID</stp>
        <stp>[upload (2).xlsm]Base all $ 3 Duration!R11C19</stp>
        <tr r="S11" s="66"/>
      </tp>
      <tp t="s">
        <v>#N/A N/A</v>
        <stp/>
        <stp>##V3_BDPV12</stp>
        <stp>XS0855334289 Corp</stp>
        <stp>PX_GROSS_MID</stp>
        <stp>[upload (2).xlsm]Base all $ 3 Duration!R50C19</stp>
        <tr r="S50" s="66"/>
      </tp>
      <tp t="s">
        <v>#N/A N/A</v>
        <stp/>
        <stp>##V3_BDPV12</stp>
        <stp>XS0652913558 Corp</stp>
        <stp>PX_GROSS_MID</stp>
        <stp>[upload (2).xlsm]Base all $ 3 Duration!R60C19</stp>
        <tr r="S60" s="66"/>
      </tp>
      <tp>
        <v>102.264625</v>
        <stp/>
        <stp>##V3_BDPV12</stp>
        <stp>XS0592794597 Corp</stp>
        <stp>PX_GROSS_MID</stp>
        <stp>[upload (2).xlsm]Base all $ 3 Duration!R61C19</stp>
        <tr r="S61" s="66"/>
      </tp>
      <tp t="s">
        <v>#N/A N/A</v>
        <stp/>
        <stp>##V3_BDPV12</stp>
        <stp>XS0300998779 Corp</stp>
        <stp>PX_GROSS_MID</stp>
        <stp>[upload (2).xlsm]Base all $ 3 Duration!R58C19</stp>
        <tr r="S58" s="66"/>
      </tp>
      <tp t="s">
        <v>Sr Unsecured</v>
        <stp/>
        <stp>##V3_BDPV12</stp>
        <stp>XS0899969702 Corp</stp>
        <stp>PAYMENT_RANK</stp>
        <stp>[upload (2).xlsm]Base all $ 3 Duration!R71C14</stp>
        <tr r="N71" s="66"/>
      </tp>
      <tp t="s">
        <v>Sr Unsecured</v>
        <stp/>
        <stp>##V3_BDPV12</stp>
        <stp>XS0708813653 Corp</stp>
        <stp>PAYMENT_RANK</stp>
        <stp>[upload (2).xlsm]Base all $ 3 Duration!R93C14</stp>
        <tr r="N93" s="66"/>
      </tp>
      <tp>
        <v>57.692307692307701</v>
        <stp/>
        <stp>##V3_BDPV12</stp>
        <stp>VIP US EQUITY</stp>
        <stp>EPS_GROWTH</stp>
        <stp>[upload (2).xlsm]Model Portfolio!R61C22</stp>
        <tr r="V61" s="98"/>
      </tp>
      <tp t="s">
        <v>Sr Unsecured</v>
        <stp/>
        <stp>##V3_BDPV12</stp>
        <stp>XS0719009754 Corp</stp>
        <stp>PAYMENT_RANK</stp>
        <stp>[upload (2).xlsm]Base all $ 3 Duration!R77C14</stp>
        <tr r="N77" s="66"/>
      </tp>
      <tp t="s">
        <v>Sr Unsecured</v>
        <stp/>
        <stp>##V3_BDPV12</stp>
        <stp>XS0587030957 Corp</stp>
        <stp>PAYMENT_RANK</stp>
        <stp>[upload (2).xlsm]Base all $ 3 Duration!R95C14</stp>
        <tr r="N95" s="66"/>
      </tp>
      <tp>
        <v>20.299555679053714</v>
        <stp/>
        <stp>##V3_BDPV12</stp>
        <stp>HYDR RX EQUITY</stp>
        <stp>EBITDA_MARGIN</stp>
        <stp>[upload (2).xlsm]Model Portfolio!R58C23</stp>
        <tr r="W58" s="98"/>
      </tp>
      <tp t="s">
        <v>#N/A Field Not Applicable</v>
        <stp/>
        <stp>##V3_BDPV12</stp>
        <stp>LNTA LI EQUITY</stp>
        <stp>DVD_RECORD_DT</stp>
        <stp>[upload (2).xlsm]Model Portfolio!R37C28</stp>
        <tr r="AB37" s="98"/>
      </tp>
      <tp>
        <v>23.698677508074798</v>
        <stp/>
        <stp>##V3_BDPV12</stp>
        <stp>AGRO LI EQUITY</stp>
        <stp>EBITDA_MARGIN</stp>
        <stp>[upload (2).xlsm]Model Portfolio!R71C23</stp>
        <tr r="W71" s="98"/>
      </tp>
      <tp t="s">
        <v>#N/A N/A</v>
        <stp/>
        <stp>##V3_BDPV12</stp>
        <stp>FEES RX EQUITY</stp>
        <stp>BDVD_NEXT_EST_DECL_DT</stp>
        <stp>[upload (2).xlsm]Model Portfolio!R56C31</stp>
        <tr r="AE56" s="98"/>
      </tp>
      <tp t="s">
        <v>#N/A N/A</v>
        <stp/>
        <stp>##V3_BDPV12</stp>
        <stp>FESH RX EQUITY</stp>
        <stp>BDVD_NEXT_EST_DECL_DT</stp>
        <stp>[upload (2).xlsm]Model Portfolio!R45C31</stp>
        <tr r="AE45" s="98"/>
      </tp>
      <tp t="s">
        <v>#N/A N/A</v>
        <stp/>
        <stp>##V3_BDPV12</stp>
        <stp>XS0973219495 Corp</stp>
        <stp>RTG_fitch</stp>
        <stp>[upload (2).xlsm]Base all $ 3 Duration!R11C10</stp>
        <tr r="J11" s="66"/>
      </tp>
      <tp t="s">
        <v>WD</v>
        <stp/>
        <stp>##V3_BDPV12</stp>
        <stp>XS0938341780 Corp</stp>
        <stp>RTG_fitch</stp>
        <stp>[upload (2).xlsm]Base all $ 3 Duration!R21C10</stp>
        <tr r="J21" s="66"/>
        <tr r="J21" s="66"/>
      </tp>
      <tp t="s">
        <v>VTB BANK (VTB CAPITAL SA</v>
        <stp/>
        <stp>##V3_BDPV12</stp>
        <stp>XS0592794597 Corp</stp>
        <stp>name</stp>
        <stp>[upload (2).xlsm]Base all $ 3 Duration!R61C1</stp>
        <tr r="A61" s="66"/>
      </tp>
      <tp>
        <v>606</v>
        <stp/>
        <stp>##V3_BDPV12</stp>
        <stp>NVTK RX EQUITY</stp>
        <stp>PX_LAST</stp>
        <stp>[upload (2).xlsm]Model Portfolio!R16C3</stp>
        <tr r="C16" s="98"/>
      </tp>
      <tp t="s">
        <v>04/07/2017</v>
        <stp/>
        <stp>##V3_BDPV12</stp>
        <stp>UPRO RX EQUITY</stp>
        <stp>DVD_RECORD_DT</stp>
        <stp>[upload (2).xlsm]Model Portfolio!R52C28</stp>
        <tr r="AB52" s="98"/>
      </tp>
      <tp t="s">
        <v>#N/A N/A</v>
        <stp/>
        <stp>##V3_BDPV12</stp>
        <stp>XS0585211591 Corp</stp>
        <stp>RTG_fitch</stp>
        <stp>[upload (2).xlsm]Base all $ 3 Duration!R34C10</stp>
        <tr r="J34" s="66"/>
      </tp>
      <tp>
        <v>3.7693215000000002</v>
        <stp/>
        <stp>##V3_BDPV12</stp>
        <stp>XS0808636913 Corp</stp>
        <stp>YLD_YTM_ask</stp>
        <stp>[upload (2).xlsm]Base all $ 3 Duration!R17C7</stp>
        <tr r="G17" s="66"/>
      </tp>
      <tp t="s">
        <v>#N/A N/A</v>
        <stp/>
        <stp>##V3_BDPV12</stp>
        <stp>XS0652913558 Corp</stp>
        <stp>YLD_YTM_ask</stp>
        <stp>[upload (2).xlsm]Base all $ 3 Duration!R60C7</stp>
        <tr r="G60" s="66"/>
      </tp>
      <tp t="s">
        <v>BBB-</v>
        <stp/>
        <stp>##V3_BDPV12</stp>
        <stp>XS0551315384 Corp</stp>
        <stp>RTG_fitch</stp>
        <stp>[upload (2).xlsm]Base all $ 3 Duration!R82C10</stp>
        <tr r="J82" s="66"/>
        <tr r="J82" s="66"/>
      </tp>
      <tp t="s">
        <v>#N/A N/A</v>
        <stp/>
        <stp>##V3_BDPV12</stp>
        <stp>XS0253861834 Corp</stp>
        <stp>RTG_fitch</stp>
        <stp>[upload (2).xlsm]Base all $ 3 Duration!R91C10</stp>
        <tr r="J91" s="66"/>
      </tp>
      <tp>
        <v>2.4613985999999999</v>
        <stp/>
        <stp>##V3_BDPV12</stp>
        <stp>XS0922883318 Corp</stp>
        <stp>YLD_YTM_ask</stp>
        <stp>[upload (2).xlsm]Base all $ 3 Duration!R56C7</stp>
        <tr r="G56" s="66"/>
      </tp>
      <tp t="s">
        <v>BBB-</v>
        <stp/>
        <stp>##V3_BDPV12</stp>
        <stp>XS0783934325 Corp</stp>
        <stp>RTG_fitch</stp>
        <stp>[upload (2).xlsm]Base all $ 3 Duration!R47C10</stp>
        <tr r="J47" s="66"/>
        <tr r="J47" s="66"/>
      </tp>
      <tp>
        <v>8.0777072000000008</v>
        <stp/>
        <stp>##V3_BDPV12</stp>
        <stp>XS0923110232 Corp</stp>
        <stp>YLD_YTM_ask</stp>
        <stp>[upload (2).xlsm]Base all $ 3 Duration!R35C7</stp>
        <tr r="G35" s="66"/>
      </tp>
      <tp t="s">
        <v>NR</v>
        <stp/>
        <stp>##V3_BDPV12</stp>
        <stp>XS0562354182 Corp</stp>
        <stp>RTG_fitch</stp>
        <stp>[upload (2).xlsm]Base all $ 3 Duration!R96C10</stp>
        <tr r="J96" s="66"/>
        <tr r="J96" s="66"/>
      </tp>
      <tp t="s">
        <v>NR</v>
        <stp/>
        <stp>##V3_BDPV12</stp>
        <stp>XS0855334289 Corp</stp>
        <stp>RTG_fitch</stp>
        <stp>[upload (2).xlsm]Base all $ 3 Duration!R50C10</stp>
        <tr r="J50" s="66"/>
        <tr r="J50" s="66"/>
      </tp>
      <tp t="s">
        <v>#N/A N/A</v>
        <stp/>
        <stp>##V3_BDPV12</stp>
        <stp>NORD LI EQUITY</stp>
        <stp>EQY_REC_CONS</stp>
        <stp>[upload (2).xlsm]Model Portfolio!R3C29</stp>
        <tr r="AC3" s="98"/>
      </tp>
      <tp t="s">
        <v>Food</v>
        <stp/>
        <stp>##V3_BDPV12</stp>
        <stp>MGNT RX EQUITY</stp>
        <stp>INDUSTRY_GROUP</stp>
        <stp>[upload (2).xlsm]Model Portfolio!R35C13</stp>
        <tr r="M35" s="98"/>
      </tp>
      <tp>
        <v>200000</v>
        <stp/>
        <stp>##V3_BDPV12</stp>
        <stp>XS0878855773 Corp</stp>
        <stp>MIN_PIECE</stp>
        <stp>[upload (2).xlsm]Base all $ 3 Duration!R44C20</stp>
        <tr r="T44" s="66"/>
      </tp>
      <tp>
        <v>100000</v>
        <stp/>
        <stp>##V3_BDPV12</stp>
        <stp>XS0461926569 Corp</stp>
        <stp>MIN_PIECE</stp>
        <stp>[upload (2).xlsm]Base all $ 3 Duration!R53C20</stp>
        <tr r="T53" s="66"/>
      </tp>
      <tp t="s">
        <v>Commer Banks Non-US</v>
        <stp/>
        <stp>##V3_BDPV12</stp>
        <stp>XS0851672435 Corp</stp>
        <stp>INDUSTRY_SUBGROUP</stp>
        <stp>[upload (2).xlsm]Base all $ 3 Duration!R23C11</stp>
        <tr r="K23" s="66"/>
      </tp>
      <tp t="s">
        <v>Gold Mining</v>
        <stp/>
        <stp>##V3_BDPV12</stp>
        <stp>XS0923472814 Corp</stp>
        <stp>INDUSTRY_SUBGROUP</stp>
        <stp>[upload (2).xlsm]Base all $ 3 Duration!R52C11</stp>
        <tr r="K52" s="66"/>
      </tp>
      <tp t="s">
        <v>Commer Banks Non-US</v>
        <stp/>
        <stp>##V3_BDPV12</stp>
        <stp>XS0954673934 Corp</stp>
        <stp>INDUSTRY_SUBGROUP</stp>
        <stp>[upload (2).xlsm]Base all $ 3 Duration!R16C11</stp>
        <tr r="K16" s="66"/>
      </tp>
      <tp t="s">
        <v>Commer Banks Non-US</v>
        <stp/>
        <stp>##V3_BDPV12</stp>
        <stp>XS1059697323 Corp</stp>
        <stp>INDUSTRY_SUBGROUP</stp>
        <stp>[upload (2).xlsm]Base all $ 3 Duration!R20C11</stp>
        <tr r="K20" s="66"/>
      </tp>
      <tp t="s">
        <v>Oil Comp-Integrated</v>
        <stp/>
        <stp>##V3_BDPV12</stp>
        <stp>XS0292530309 Corp</stp>
        <stp>INDUSTRY_SUBGROUP</stp>
        <stp>[upload (2).xlsm]Base all $ 3 Duration!R81C11</stp>
        <tr r="K81" s="66"/>
      </tp>
      <tp t="s">
        <v>Investment Companies</v>
        <stp/>
        <stp>##V3_BDPV12</stp>
        <stp>XS0869792928 Corp</stp>
        <stp>INDUSTRY_SUBGROUP</stp>
        <stp>[upload (2).xlsm]Base all $ 3 Duration!R10C11</stp>
        <tr r="K10" s="66"/>
      </tp>
      <tp t="s">
        <v>Cellular Telecom</v>
        <stp/>
        <stp>##V3_BDPV12</stp>
        <stp>XS0643176448 Corp</stp>
        <stp>INDUSTRY_SUBGROUP</stp>
        <stp>[upload (2).xlsm]Base all $ 3 Duration!R79C11</stp>
        <tr r="K79" s="66"/>
      </tp>
      <tp t="s">
        <v>Oil&amp;Gas</v>
        <stp/>
        <stp>##V3_BDPV12</stp>
        <stp>BANE RX EQUITY</stp>
        <stp>INDUSTRY_GROUP</stp>
        <stp>[upload (2).xlsm]Model Portfolio!R18C13</stp>
        <tr r="M18" s="98"/>
      </tp>
      <tp t="s">
        <v>Electric</v>
        <stp/>
        <stp>##V3_BDPV12</stp>
        <stp>MSNG RX EQUITY</stp>
        <stp>INDUSTRY_GROUP</stp>
        <stp>[upload (2).xlsm]Model Portfolio!R55C13</stp>
        <tr r="M55" s="98"/>
      </tp>
      <tp t="s">
        <v>Metal-Iron</v>
        <stp/>
        <stp>##V3_BDPV12</stp>
        <stp>XS0640334768 Corp</stp>
        <stp>INDUSTRY_SUBGROUP</stp>
        <stp>[upload (2).xlsm]Base all $ 3 Duration!R15C11</stp>
        <tr r="K15" s="66"/>
      </tp>
      <tp t="s">
        <v>Commer Banks Non-US</v>
        <stp/>
        <stp>##V3_BDPV12</stp>
        <stp>XS0924078453 Corp</stp>
        <stp>INDUSTRY_SUBGROUP</stp>
        <stp>[upload (2).xlsm]Base all $ 3 Duration!R19C11</stp>
        <tr r="K19" s="66"/>
      </tp>
      <tp t="s">
        <v>Commer Banks Non-US</v>
        <stp/>
        <stp>##V3_BDPV12</stp>
        <stp>XS0940730228 Corp</stp>
        <stp>INDUSTRY_SUBGROUP</stp>
        <stp>[upload (2).xlsm]Base all $ 3 Duration!R25C11</stp>
        <tr r="K25" s="66"/>
      </tp>
      <tp t="s">
        <v>Commer Banks Non-US</v>
        <stp/>
        <stp>##V3_BDPV12</stp>
        <stp>XS0288690539 Corp</stp>
        <stp>INDUSTRY_SUBGROUP</stp>
        <stp>[upload (2).xlsm]Base all $ 3 Duration!R62C11</stp>
        <tr r="K62" s="66"/>
      </tp>
      <tp t="s">
        <v>Oil Comp-Integrated</v>
        <stp/>
        <stp>##V3_BDPV12</stp>
        <stp>XS0276456315 Corp</stp>
        <stp>INDUSTRY_SUBGROUP</stp>
        <stp>[upload (2).xlsm]Base all $ 3 Duration!R90C11</stp>
        <tr r="K90" s="66"/>
      </tp>
      <tp t="s">
        <v>Special Purpose Banks</v>
        <stp/>
        <stp>##V3_BDPV12</stp>
        <stp>XS0719009754 Corp</stp>
        <stp>INDUSTRY_SUBGROUP</stp>
        <stp>[upload (2).xlsm]Base all $ 3 Duration!R77C11</stp>
        <tr r="K77" s="66"/>
      </tp>
      <tp t="s">
        <v>Cellular Telecom</v>
        <stp/>
        <stp>##V3_BDPV12</stp>
        <stp>XS0587030957 Corp</stp>
        <stp>INDUSTRY_SUBGROUP</stp>
        <stp>[upload (2).xlsm]Base all $ 3 Duration!R95C11</stp>
        <tr r="K95" s="66"/>
      </tp>
      <tp t="s">
        <v>Commer Banks Non-US</v>
        <stp/>
        <stp>##V3_BDPV12</stp>
        <stp>XS0426517701 Corp</stp>
        <stp>INDUSTRY_SUBGROUP</stp>
        <stp>[upload (2).xlsm]Base all $ 3 Duration!R88C11</stp>
        <tr r="K88" s="66"/>
      </tp>
      <tp t="s">
        <v>Special Purpose Entity</v>
        <stp/>
        <stp>##V3_BDPV12</stp>
        <stp>XS0783242877 Corp</stp>
        <stp>INDUSTRY_SUBGROUP</stp>
        <stp>[upload (2).xlsm]Base all $ 3 Duration!R32C11</stp>
        <tr r="K32" s="66"/>
      </tp>
      <tp>
        <v>100000</v>
        <stp/>
        <stp>##V3_BDPV12</stp>
        <stp>XS0238091507 Corp</stp>
        <stp>MIN_PIECE</stp>
        <stp>[upload (2).xlsm]Base all $ 3 Duration!R5C20</stp>
        <tr r="T5" s="66"/>
      </tp>
      <tp>
        <v>5.0724619999999998</v>
        <stp/>
        <stp>##V3_BDPV12</stp>
        <stp>POG LN EQUITY</stp>
        <stp>CHG_PCT_1YR</stp>
        <stp>[upload (2).xlsm]Model Portfolio!R7C6</stp>
        <tr r="F7" s="98"/>
      </tp>
      <tp>
        <v>-0.95343310000000003</v>
        <stp/>
        <stp>##V3_BDPV12</stp>
        <stp>TATNP RX EQUITY</stp>
        <stp>CHG_PCT_1M</stp>
        <stp>[upload (2).xlsm]Model Portfolio!R19C5</stp>
        <tr r="E19" s="98"/>
      </tp>
      <tp>
        <v>13.921740544762747</v>
        <stp/>
        <stp>##V3_BDPV12</stp>
        <stp>KCEL LI EQUITY</stp>
        <stp>EST_PE_NXT_YR</stp>
        <stp>[upload (2).xlsm]Model Portfolio!R65C15</stp>
        <tr r="O65" s="98"/>
      </tp>
      <tp t="s">
        <v>GAZPROMBK (GPB FINANCE)</v>
        <stp/>
        <stp>##V3_BDPV12</stp>
        <stp>XS0426517701 Corp</stp>
        <stp>name</stp>
        <stp>[upload (2).xlsm]Base all $ 3 Duration!R88C1</stp>
        <tr r="A88" s="66"/>
      </tp>
      <tp t="s">
        <v>OAO TMK (TMK CAPITAL)</v>
        <stp/>
        <stp>##V3_BDPV12</stp>
        <stp>XS0585211591 Corp</stp>
        <stp>name</stp>
        <stp>[upload (2).xlsm]Base all $ 3 Duration!R34C1</stp>
        <tr r="A34" s="66"/>
      </tp>
    </main>
    <main first="bloomberg.rtd">
      <tp t="s">
        <v>WD</v>
        <stp/>
        <stp>##V3_BDPV12</stp>
        <stp>XS0261906738 Corp</stp>
        <stp>RTG_fitch</stp>
        <stp>[upload (2).xlsm]Base all $ 3 Duration!R89C10</stp>
        <tr r="J89" s="66"/>
        <tr r="J89" s="66"/>
      </tp>
      <tp t="s">
        <v>GAZPROM (GAZ CAPITAL SA)</v>
        <stp/>
        <stp>##V3_BDPV12</stp>
        <stp>XS0357281558 Corp</stp>
        <stp>name</stp>
        <stp>[upload (2).xlsm]Base all $ 3 Duration!R69C1</stp>
        <tr r="A69" s="66"/>
      </tp>
      <tp>
        <v>1.8572654</v>
        <stp/>
        <stp>##V3_BDPV12</stp>
        <stp>XS0922134712 Corp</stp>
        <stp>YLD_YTM_ask</stp>
        <stp>[upload (2).xlsm]Base all $ 3 Duration!R76C7</stp>
        <tr r="G76" s="66"/>
      </tp>
      <tp>
        <v>1.3902550217249476</v>
        <stp/>
        <stp>##V3_BDPV12</stp>
        <stp>XS0361041808 Corp</stp>
        <stp>YLD_YTM_ask</stp>
        <stp>[upload (2).xlsm]Base all $ 3 Duration!R51C7</stp>
        <tr r="G51" s="66"/>
      </tp>
      <tp t="s">
        <v>VIMPELCOM (VIP FIN)</v>
        <stp/>
        <stp>##V3_BDPV12</stp>
        <stp>XS0587030957 Corp</stp>
        <stp>name</stp>
        <stp>[upload (2).xlsm]Base all $ 3 Duration!R95C1</stp>
        <tr r="A95" s="66"/>
      </tp>
      <tp t="s">
        <v>BBB-</v>
        <stp/>
        <stp>##V3_BDPV12</stp>
        <stp>XS0559800122 Corp</stp>
        <stp>RTG_fitch</stp>
        <stp>[upload (2).xlsm]Base all $ 3 Duration!R63C10</stp>
        <tr r="J63" s="66"/>
        <tr r="J63" s="66"/>
      </tp>
      <tp t="s">
        <v>WD</v>
        <stp/>
        <stp>##V3_BDPV12</stp>
        <stp>XS0324963932 Corp</stp>
        <stp>RTG_fitch</stp>
        <stp>[upload (2).xlsm]Base all $ 3 Duration!R59C10</stp>
        <tr r="J59" s="66"/>
        <tr r="J59" s="66"/>
      </tp>
      <tp t="s">
        <v>NR</v>
        <stp/>
        <stp>##V3_BDPV12</stp>
        <stp>XS0499245180 Corp</stp>
        <stp>RTG_fitch</stp>
        <stp>[upload (2).xlsm]Base all $ 3 Duration!R84C10</stp>
        <tr r="J84" s="66"/>
        <tr r="J84" s="66"/>
      </tp>
      <tp>
        <v>1.7995805998351353</v>
        <stp/>
        <stp>##V3_BDPV12</stp>
        <stp>XS0324963932 Corp</stp>
        <stp>YLD_YTM_ask</stp>
        <stp>[upload (2).xlsm]Base all $ 3 Duration!R59C7</stp>
        <tr r="G59" s="66"/>
      </tp>
      <tp t="s">
        <v>#N/A N/A</v>
        <stp/>
        <stp>##V3_BDPV12</stp>
        <stp>XS0775984213 Corp</stp>
        <stp>YLD_YTM_ask</stp>
        <stp>[upload (2).xlsm]Base all $ 3 Duration!R42C7</stp>
        <tr r="G42" s="66"/>
      </tp>
      <tp>
        <v>200000</v>
        <stp/>
        <stp>##V3_BDPV12</stp>
        <stp>XS0861980372 Corp</stp>
        <stp>MIN_PIECE</stp>
        <stp>[upload (2).xlsm]Base all $ 3 Duration!R80C20</stp>
        <tr r="T80" s="66"/>
      </tp>
      <tp>
        <v>200000</v>
        <stp/>
        <stp>##V3_BDPV12</stp>
        <stp>XS0630950870 Corp</stp>
        <stp>MIN_PIECE</stp>
        <stp>[upload (2).xlsm]Base all $ 3 Duration!R75C20</stp>
        <tr r="T75" s="66"/>
      </tp>
      <tp>
        <v>100000</v>
        <stp/>
        <stp>##V3_BDPV12</stp>
        <stp>XS0300998779 Corp</stp>
        <stp>MIN_PIECE</stp>
        <stp>[upload (2).xlsm]Base all $ 3 Duration!R58C20</stp>
        <tr r="T58" s="66"/>
      </tp>
      <tp>
        <v>37.622437423527707</v>
        <stp/>
        <stp>##V3_BDPV12</stp>
        <stp>MVID RX EQUITY</stp>
        <stp>NORMALIZED_ROE</stp>
        <stp>[upload (2).xlsm]Model Portfolio!R38C26</stp>
        <tr r="Z38" s="98"/>
      </tp>
      <tp t="s">
        <v>Chemicals</v>
        <stp/>
        <stp>##V3_BDPV12</stp>
        <stp>PHOR RX EQUITY</stp>
        <stp>INDUSTRY_GROUP</stp>
        <stp>[upload (2).xlsm]Model Portfolio!R32C13</stp>
        <tr r="M32" s="98"/>
      </tp>
      <tp>
        <v>100000</v>
        <stp/>
        <stp>##V3_BDPV12</stp>
        <stp>XS0365923977 Corp</stp>
        <stp>MIN_PIECE</stp>
        <stp>[upload (2).xlsm]Base all $ 3 Duration!R57C20</stp>
        <tr r="T57" s="66"/>
      </tp>
      <tp>
        <v>200000</v>
        <stp/>
        <stp>##V3_BDPV12</stp>
        <stp>XS1040726587 Corp</stp>
        <stp>MIN_PIECE</stp>
        <stp>[upload (2).xlsm]Base all $ 3 Duration!R41C20</stp>
        <tr r="T41" s="66"/>
      </tp>
      <tp t="s">
        <v>Internet</v>
        <stp/>
        <stp>##V3_BDPV12</stp>
        <stp>YNDX US EQUITY</stp>
        <stp>INDUSTRY_GROUP</stp>
        <stp>[upload (2).xlsm]Model Portfolio!R43C13</stp>
        <tr r="M43" s="98"/>
      </tp>
      <tp>
        <v>200000</v>
        <stp/>
        <stp>##V3_BDPV12</stp>
        <stp>XS0592794597 Corp</stp>
        <stp>MIN_PIECE</stp>
        <stp>[upload (2).xlsm]Base all $ 3 Duration!R61C20</stp>
        <tr r="T61" s="66"/>
      </tp>
      <tp>
        <v>200000</v>
        <stp/>
        <stp>##V3_BDPV12</stp>
        <stp>XS0995845566 Corp</stp>
        <stp>MIN_PIECE</stp>
        <stp>[upload (2).xlsm]Base all $ 3 Duration!R29C20</stp>
        <tr r="T29" s="66"/>
      </tp>
      <tp t="s">
        <v>Commer Banks Non-US</v>
        <stp/>
        <stp>##V3_BDPV12</stp>
        <stp>XS0299183250 Corp</stp>
        <stp>INDUSTRY_SUBGROUP</stp>
        <stp>[upload (2).xlsm]Base all $ 3 Duration!R40C11</stp>
        <tr r="K40" s="66"/>
      </tp>
      <tp t="s">
        <v>Commer Banks Non-US</v>
        <stp/>
        <stp>##V3_BDPV12</stp>
        <stp>XS0848163456 Corp</stp>
        <stp>INDUSTRY_SUBGROUP</stp>
        <stp>[upload (2).xlsm]Base all $ 3 Duration!R18C11</stp>
        <tr r="K18" s="66"/>
      </tp>
      <tp t="s">
        <v>Oil-Field Services</v>
        <stp/>
        <stp>##V3_BDPV12</stp>
        <stp>XS0974469206 Corp</stp>
        <stp>INDUSTRY_SUBGROUP</stp>
        <stp>[upload (2).xlsm]Base all $ 3 Duration!R14C11</stp>
        <tr r="K14" s="66"/>
      </tp>
      <tp t="s">
        <v>Commer Banks Non-US</v>
        <stp/>
        <stp>##V3_BDPV12</stp>
        <stp>XS0832412505 Corp</stp>
        <stp>INDUSTRY_SUBGROUP</stp>
        <stp>[upload (2).xlsm]Base all $ 3 Duration!R30C11</stp>
        <tr r="K30" s="66"/>
      </tp>
      <tp t="s">
        <v>Oil&amp;Gas</v>
        <stp/>
        <stp>##V3_BDPV12</stp>
        <stp>LKOH RX EQUITY</stp>
        <stp>INDUSTRY_GROUP</stp>
        <stp>[upload (2).xlsm]Model Portfolio!R13C13</stp>
        <tr r="M13" s="98"/>
      </tp>
      <tp t="s">
        <v>Commer Banks Non-US</v>
        <stp/>
        <stp>##V3_BDPV12</stp>
        <stp>XS0879105558 Corp</stp>
        <stp>INDUSTRY_SUBGROUP</stp>
        <stp>[upload (2).xlsm]Base all $ 3 Duration!R38C11</stp>
        <tr r="K38" s="66"/>
      </tp>
      <tp t="s">
        <v>Commer Banks Non-US</v>
        <stp/>
        <stp>##V3_BDPV12</stp>
        <stp>XS0544362972 Corp</stp>
        <stp>INDUSTRY_SUBGROUP</stp>
        <stp>[upload (2).xlsm]Base all $ 3 Duration!R70C11</stp>
        <tr r="K70" s="66"/>
      </tp>
      <tp t="s">
        <v>Commer Banks Non-US</v>
        <stp/>
        <stp>##V3_BDPV12</stp>
        <stp>XS0779213460 Corp</stp>
        <stp>INDUSTRY_SUBGROUP</stp>
        <stp>[upload (2).xlsm]Base all $ 3 Duration!R33C11</stp>
        <tr r="K33" s="66"/>
      </tp>
      <tp>
        <v>21.252109632277811</v>
        <stp/>
        <stp>##V3_BDPV12</stp>
        <stp>PLZL RX EQUITY</stp>
        <stp>PX_TO_FREE_CASH_FLOW</stp>
        <stp>[upload (2).xlsm]Model Portfolio!R2C19</stp>
        <tr r="S2" s="98"/>
      </tp>
      <tp t="s">
        <v>Telecommunications</v>
        <stp/>
        <stp>##V3_BDPV12</stp>
        <stp>MFON RX EQUITY</stp>
        <stp>INDUSTRY_GROUP</stp>
        <stp>[upload (2).xlsm]Model Portfolio!R62C13</stp>
        <tr r="M62" s="98"/>
      </tp>
      <tp t="s">
        <v>Pipelines</v>
        <stp/>
        <stp>##V3_BDPV12</stp>
        <stp>XS0381439305 Corp</stp>
        <stp>INDUSTRY_SUBGROUP</stp>
        <stp>[upload (2).xlsm]Base all $ 3 Duration!R64C11</stp>
        <tr r="K64" s="66"/>
      </tp>
      <tp t="s">
        <v>02/03/2017</v>
        <stp/>
        <stp>##V3_BDPV12</stp>
        <stp>NORD LI EQUITY</stp>
        <stp>DVD_RECORD_DT</stp>
        <stp>[upload (2).xlsm]Model Portfolio!R3C28</stp>
        <tr r="AB3" s="98"/>
      </tp>
      <tp t="s">
        <v>#N/A N/A</v>
        <stp/>
        <stp>##V3_BDPV12</stp>
        <stp>NORD LI EQUITY</stp>
        <stp>EST_EV_THIS_YR_EBITDA</stp>
        <stp>[upload (2).xlsm]Model Portfolio!R3C16</stp>
        <tr r="P3" s="98"/>
      </tp>
      <tp t="s">
        <v>Luxoft Holding Inc</v>
        <stp/>
        <stp>##V3_BDPV12</stp>
        <stp>LXFT US EQUITY</stp>
        <stp>SECURITY_NAME</stp>
        <stp>[Copy of upload (2).xlsm]Гарез_GRENF!R36C4</stp>
        <tr r="D36" s="115"/>
      </tp>
      <tp t="s">
        <v>USD</v>
        <stp/>
        <stp>##V3_BDPV12</stp>
        <stp>KMG LI EQUITY</stp>
        <stp>CRNCY</stp>
        <stp>[Copy of upload (2).xlsm]Гарез_GRENF!R39C7</stp>
        <tr r="G39" s="115"/>
      </tp>
      <tp t="s">
        <v>TRANSNEFT PJSC</v>
        <stp/>
        <stp>##V3_BDPV12</stp>
        <stp>TRNFP RX EQUITY</stp>
        <stp>SHORT_NAME</stp>
        <stp>[upload (2).xlsm]Model Portfolio!R20C2</stp>
        <tr r="B20" s="98"/>
      </tp>
      <tp t="s">
        <v>24/10/2014</v>
        <stp/>
        <stp>##V3_BDPV12</stp>
        <stp>GLPR LI EQUITY</stp>
        <stp>DVD_RECORD_DT</stp>
        <stp>[upload (2).xlsm]Model Portfolio!R46C28</stp>
        <tr r="AB46" s="98"/>
      </tp>
      <tp t="s">
        <v>20/06/2017</v>
        <stp/>
        <stp>##V3_BDPV12</stp>
        <stp>IRAO RX EQUITY</stp>
        <stp>DVD_RECORD_DT</stp>
        <stp>[upload (2).xlsm]Model Portfolio!R51C28</stp>
        <tr r="AB51" s="98"/>
      </tp>
      <tp t="s">
        <v>11/07/2017</v>
        <stp/>
        <stp>##V3_BDPV12</stp>
        <stp>TRCN RX EQUITY</stp>
        <stp>DVD_RECORD_DT</stp>
        <stp>[upload (2).xlsm]Model Portfolio!R50C28</stp>
        <tr r="AB50" s="98"/>
      </tp>
      <tp t="s">
        <v>05/09/2017</v>
        <stp/>
        <stp>##V3_BDPV12</stp>
        <stp>GLTR LI EQUITY</stp>
        <stp>DVD_RECORD_DT</stp>
        <stp>[upload (2).xlsm]Model Portfolio!R48C28</stp>
        <tr r="AB48" s="98"/>
      </tp>
      <tp t="s">
        <v>#N/A N/A</v>
        <stp/>
        <stp>##V3_BDPV12</stp>
        <stp>TGKA RX EQUITY</stp>
        <stp>BDVD_NEXT_EST_DECL_DT</stp>
        <stp>[upload (2).xlsm]Model Portfolio!R60C31</stp>
        <tr r="AE60" s="98"/>
      </tp>
      <tp t="s">
        <v>#N/A N/A</v>
        <stp/>
        <stp>##V3_BDPV12</stp>
        <stp>OGKB RX EQUITY</stp>
        <stp>BDVD_NEXT_EST_DECL_DT</stp>
        <stp>[upload (2).xlsm]Model Portfolio!R57C31</stp>
        <tr r="AE57" s="98"/>
      </tp>
      <tp t="s">
        <v>#N/A Field Not Applicable</v>
        <stp/>
        <stp>##V3_BDPV12</stp>
        <stp>URKA RX EQUITY</stp>
        <stp>DVD_RECORD_DT</stp>
        <stp>[upload (2).xlsm]Model Portfolio!R31C28</stp>
        <tr r="AB31" s="98"/>
      </tp>
      <tp t="s">
        <v>30/10/2017</v>
        <stp/>
        <stp>##V3_BDPV12</stp>
        <stp>MGNT RX EQUITY</stp>
        <stp>BDVD_NEXT_EST_DECL_DT</stp>
        <stp>[upload (2).xlsm]Model Portfolio!R35C31</stp>
        <tr r="AE35" s="98"/>
      </tp>
      <tp t="s">
        <v>20/06/2017</v>
        <stp/>
        <stp>##V3_BDPV12</stp>
        <stp>TRMK RX EQUITY</stp>
        <stp>DVD_RECORD_DT</stp>
        <stp>[upload (2).xlsm]Model Portfolio!R21C28</stp>
        <tr r="AB21" s="98"/>
      </tp>
      <tp>
        <v>4.4437499046325684</v>
        <stp/>
        <stp>##V3_BDPV12</stp>
        <stp>OGZD LI Equity</stp>
        <stp>BEST_TARGET_PRICE</stp>
        <stp>[Copy of upload (2).xlsm]Гарез_GRENF (2)!R7C8</stp>
        <tr r="H7" s="116"/>
      </tp>
      <tp t="s">
        <v>BBB-</v>
        <stp/>
        <stp>##V3_BDPV12</stp>
        <stp>XS0899969702 Corp</stp>
        <stp>RTG_fitch</stp>
        <stp>[upload (2).xlsm]Base all $ 3 Duration!R71C10</stp>
        <tr r="J71" s="66"/>
        <tr r="J71" s="66"/>
      </tp>
      <tp>
        <v>1.4768123709390513</v>
        <stp/>
        <stp>##V3_BDPV12</stp>
        <stp>XS0888245122 Corp</stp>
        <stp>YLD_YTM_ask</stp>
        <stp>[upload (2).xlsm]Base all $ 3 Duration!R73C7</stp>
        <tr r="G73" s="66"/>
      </tp>
      <tp>
        <v>1.1149</v>
        <stp/>
        <stp>##V3_BDPV12</stp>
        <stp>RSTI RX EQUITY</stp>
        <stp>PX_LAST</stp>
        <stp>[upload (2).xlsm]Model Portfolio!R54C3</stp>
        <tr r="C54" s="98"/>
      </tp>
      <tp>
        <v>2.9917945000000001</v>
        <stp/>
        <stp>##V3_BDPV12</stp>
        <stp>XS0974469206 Corp</stp>
        <stp>YLD_YTM_ask</stp>
        <stp>[upload (2).xlsm]Base all $ 3 Duration!R14C7</stp>
        <tr r="G14" s="66"/>
      </tp>
      <tp t="s">
        <v>CEB CPTL (CREDIT EUR BK)</v>
        <stp/>
        <stp>##V3_BDPV12</stp>
        <stp>XS0854763355 Corp</stp>
        <stp>name</stp>
        <stp>[upload (2).xlsm]Base all $ 3 Duration!R28C1</stp>
        <tr r="A28" s="66"/>
      </tp>
      <tp t="s">
        <v>#N/A N/A</v>
        <stp/>
        <stp>##V3_BDPV12</stp>
        <stp>XS0783291221 Corp</stp>
        <stp>YLD_YTM_ask</stp>
        <stp>[upload (2).xlsm]Base all $ 3 Duration!R72C7</stp>
        <tr r="G72" s="66"/>
      </tp>
      <tp t="s">
        <v>BB-</v>
        <stp/>
        <stp>##V3_BDPV12</stp>
        <stp>XS0922883318 Corp</stp>
        <stp>RTG_fitch</stp>
        <stp>[upload (2).xlsm]Base all $ 3 Duration!R56C10</stp>
        <tr r="J56" s="66"/>
        <tr r="J56" s="66"/>
      </tp>
      <tp>
        <v>389.35</v>
        <stp/>
        <stp>##V3_BDPV12</stp>
        <stp>TATN RX EQUITY</stp>
        <stp>PX_LAST</stp>
        <stp>[upload (2).xlsm]Model Portfolio!R14C3</stp>
        <tr r="C14" s="98"/>
      </tp>
      <tp>
        <v>2.3620000000000001</v>
        <stp/>
        <stp>##V3_BDPV12</stp>
        <stp>UPRO RX EQUITY</stp>
        <stp>PX_LAST</stp>
        <stp>[upload (2).xlsm]Model Portfolio!R52C3</stp>
        <tr r="C52" s="98"/>
      </tp>
      <tp>
        <v>6.7192349787356394</v>
        <stp/>
        <stp>##V3_BDPV12</stp>
        <stp>AGRO LI EQUITY</stp>
        <stp>EST_EV_THIS_YR_EBITDA</stp>
        <stp>[upload (2).xlsm]Model Portfolio!R71C16</stp>
        <tr r="P71" s="98"/>
      </tp>
      <tp>
        <v>1.6272188999999999</v>
        <stp/>
        <stp>##V3_BDPV12</stp>
        <stp>XS0899969702 Corp</stp>
        <stp>YLD_YTM_ask</stp>
        <stp>[upload (2).xlsm]Base all $ 3 Duration!R71C7</stp>
        <tr r="G71" s="66"/>
      </tp>
      <tp t="s">
        <v>PHOSAGRO(PHOS BOND FUND)</v>
        <stp/>
        <stp>##V3_BDPV12</stp>
        <stp>XS0888245122 Corp</stp>
        <stp>name</stp>
        <stp>[upload (2).xlsm]Base all $ 3 Duration!R73C1</stp>
        <tr r="A73" s="66"/>
      </tp>
      <tp>
        <v>4.3565799365954785</v>
        <stp/>
        <stp>##V3_BDPV12</stp>
        <stp>HYDR RX EQUITY</stp>
        <stp>EST_EV_THIS_YR_EBITDA</stp>
        <stp>[upload (2).xlsm]Model Portfolio!R58C16</stp>
        <tr r="P58" s="98"/>
      </tp>
      <tp>
        <v>200000</v>
        <stp/>
        <stp>##V3_BDPV12</stp>
        <stp>XS0772509484 Corp</stp>
        <stp>MIN_PIECE</stp>
        <stp>[upload (2).xlsm]Base all $ 3 Duration!R78C20</stp>
        <tr r="T78" s="66"/>
      </tp>
      <tp t="s">
        <v>Oil&amp;Gas</v>
        <stp/>
        <stp>##V3_BDPV12</stp>
        <stp>SNGSP RX EQUITY</stp>
        <stp>INDUSTRY_GROUP</stp>
        <stp>[upload (2).xlsm]Model Portfolio!R11C13</stp>
        <tr r="M11" s="98"/>
      </tp>
      <tp>
        <v>100000</v>
        <stp/>
        <stp>##V3_BDPV12</stp>
        <stp>XS0312572984 Corp</stp>
        <stp>MIN_PIECE</stp>
        <stp>[upload (2).xlsm]Base all $ 3 Duration!R22C20</stp>
        <tr r="T22" s="66"/>
      </tp>
      <tp t="s">
        <v>Iron/Steel</v>
        <stp/>
        <stp>##V3_BDPV12</stp>
        <stp>MTLR RX EQUITY</stp>
        <stp>INDUSTRY_GROUP</stp>
        <stp>[upload (2).xlsm]Model Portfolio!R24C13</stp>
        <tr r="M24" s="98"/>
      </tp>
      <tp>
        <v>200000</v>
        <stp/>
        <stp>##V3_BDPV12</stp>
        <stp>XS0863583281 Corp</stp>
        <stp>MIN_PIECE</stp>
        <stp>[upload (2).xlsm]Base all $ 3 Duration!R67C20</stp>
        <tr r="T67" s="66"/>
      </tp>
      <tp t="s">
        <v>Airlines</v>
        <stp/>
        <stp>##V3_BDPV12</stp>
        <stp>AFLT RX EQUITY</stp>
        <stp>INDUSTRY_GROUP</stp>
        <stp>[upload (2).xlsm]Model Portfolio!R47C13</stp>
        <tr r="M47" s="98"/>
      </tp>
      <tp>
        <v>200000</v>
        <stp/>
        <stp>##V3_BDPV12</stp>
        <stp>XS0708813653 Corp</stp>
        <stp>MIN_PIECE</stp>
        <stp>[upload (2).xlsm]Base all $ 3 Duration!R93C20</stp>
        <tr r="T93" s="66"/>
      </tp>
      <tp>
        <v>13.849309131128102</v>
        <stp/>
        <stp>##V3_BDPV12</stp>
        <stp>EPAM US EQUITY</stp>
        <stp>NORMALIZED_ROE</stp>
        <stp>[upload (2).xlsm]Model Portfolio!R42C26</stp>
        <tr r="Z42" s="98"/>
      </tp>
      <tp>
        <v>200000</v>
        <stp/>
        <stp>##V3_BDPV12</stp>
        <stp>XS0588436799 Corp</stp>
        <stp>MIN_PIECE</stp>
        <stp>[upload (2).xlsm]Base all $ 3 Duration!R94C20</stp>
        <tr r="T94" s="66"/>
      </tp>
      <tp t="s">
        <v>Commer Banks Non-US</v>
        <stp/>
        <stp>##V3_BDPV12</stp>
        <stp>XS0808636913 Corp</stp>
        <stp>INDUSTRY_SUBGROUP</stp>
        <stp>[upload (2).xlsm]Base all $ 3 Duration!R17C11</stp>
        <tr r="K17" s="66"/>
      </tp>
      <tp t="s">
        <v>Commer Banks Non-US</v>
        <stp/>
        <stp>##V3_BDPV12</stp>
        <stp>XS0955232854 Corp</stp>
        <stp>INDUSTRY_SUBGROUP</stp>
        <stp>[upload (2).xlsm]Base all $ 3 Duration!R45C11</stp>
        <tr r="K45" s="66"/>
      </tp>
    </main>
    <main first="bloomberg.rtd">
      <tp>
        <v>5</v>
        <stp/>
        <stp>##V3_BDPV12</stp>
        <stp>HGM LN Equity</stp>
        <stp>EQY_REC_CONS</stp>
        <stp>[Copy of upload (2).xlsm]Гарез_GRENF!R10C10</stp>
        <tr r="J10" s="115"/>
      </tp>
      <tp t="s">
        <v>Oil Comp-Integrated</v>
        <stp/>
        <stp>##V3_BDPV12</stp>
        <stp>XS0357281558 Corp</stp>
        <stp>INDUSTRY_SUBGROUP</stp>
        <stp>[upload (2).xlsm]Base all $ 3 Duration!R69C11</stp>
        <tr r="K69" s="66"/>
      </tp>
      <tp t="s">
        <v>Commer Banks Non-US</v>
        <stp/>
        <stp>##V3_BDPV12</stp>
        <stp>XS0993279958 Corp</stp>
        <stp>INDUSTRY_SUBGROUP</stp>
        <stp>[upload (2).xlsm]Base all $ 3 Duration!R13C11</stp>
        <tr r="K13" s="66"/>
      </tp>
      <tp t="s">
        <v>Commer Banks Non-US</v>
        <stp/>
        <stp>##V3_BDPV12</stp>
        <stp>XS0776121062 Corp</stp>
        <stp>INDUSTRY_SUBGROUP</stp>
        <stp>[upload (2).xlsm]Base all $ 3 Duration!R27C11</stp>
        <tr r="K27" s="66"/>
      </tp>
      <tp t="s">
        <v>Diversified Finan Serv</v>
        <stp/>
        <stp>##V3_BDPV12</stp>
        <stp>XS0616784509 Corp</stp>
        <stp>INDUSTRY_SUBGROUP</stp>
        <stp>[upload (2).xlsm]Base all $ 3 Duration!R24C11</stp>
        <tr r="K24" s="66"/>
      </tp>
      <tp t="s">
        <v>Commer Banks Non-US</v>
        <stp/>
        <stp>##V3_BDPV12</stp>
        <stp>XS0236336045 Corp</stp>
        <stp>INDUSTRY_SUBGROUP</stp>
        <stp>[upload (2).xlsm]Base all $ 3 Duration!R97C11</stp>
        <tr r="K97" s="66"/>
      </tp>
      <tp t="s">
        <v>10/08/2017</v>
        <stp/>
        <stp>##V3_BDPV12</stp>
        <stp>VEON US Equity</stp>
        <stp>DVD_EX_DT</stp>
        <stp>[Copy of upload (2).xlsm]Гарез_GRENF!R4C21</stp>
        <tr r="U4" s="115"/>
      </tp>
      <tp>
        <v>154.32424636584807</v>
        <stp/>
        <stp>##V3_BDPV12</stp>
        <stp>XS0850393264 Corp</stp>
        <stp>YLD_YTM_BID</stp>
        <stp>[upload (2).xlsm]Base all $ 3 Duration!R4C6</stp>
        <tr r="F4" s="66"/>
      </tp>
      <tp>
        <v>32.360884667797642</v>
        <stp/>
        <stp>##V3_BDPV12</stp>
        <stp>XS0493579238 Corp</stp>
        <stp>YLD_YTM_BID</stp>
        <stp>[upload (2).xlsm]Base all $ 3 Duration!R7C6</stp>
        <tr r="F7" s="66"/>
      </tp>
      <tp t="s">
        <v>13/03/2018</v>
        <stp/>
        <stp>##V3_BDPV12</stp>
        <stp>FXPO LN EQUITY</stp>
        <stp>BDVD_NEXT_EST_DECL_DT</stp>
        <stp>[upload (2).xlsm]Model Portfolio!R27C31</stp>
        <tr r="AE27" s="98"/>
      </tp>
      <tp>
        <v>25.08426811001711</v>
        <stp/>
        <stp>##V3_BDPV12</stp>
        <stp>MAIL LI EQUITY</stp>
        <stp>EST_PE_NXT_YR</stp>
        <stp>[upload (2).xlsm]Model Portfolio!R44C15</stp>
        <tr r="O44" s="98"/>
      </tp>
      <tp>
        <v>-0.29492309999999999</v>
        <stp/>
        <stp>##V3_BDPV12</stp>
        <stp>PLZL RX EQUITY</stp>
        <stp>CHG_PCT_WTD</stp>
        <stp>[upload (2).xlsm]Model Portfolio!R2C4</stp>
        <tr r="D2" s="98"/>
      </tp>
      <tp>
        <v>6.8156169999999996</v>
        <stp/>
        <stp>##V3_BDPV12</stp>
        <stp>PLZL RX EQUITY</stp>
        <stp>CHG_PCT_YTD</stp>
        <stp>[upload (2).xlsm]Model Portfolio!R2C7</stp>
        <tr r="G2" s="98"/>
      </tp>
      <tp t="s">
        <v>07/08/2017</v>
        <stp/>
        <stp>##V3_BDPV12</stp>
        <stp>AFKS RX EQUITY</stp>
        <stp>BDVD_NEXT_EST_DECL_DT</stp>
        <stp>[upload (2).xlsm]Model Portfolio!R64C31</stp>
        <tr r="AE64" s="98"/>
      </tp>
      <tp>
        <v>51.19</v>
        <stp/>
        <stp>##V3_BDPV12</stp>
        <stp>RTKMP RX EQUITY</stp>
        <stp>PX_LAST</stp>
        <stp>[upload (2).xlsm]Model Portfolio!R63C3</stp>
        <tr r="C63" s="98"/>
      </tp>
      <tp t="s">
        <v>#N/A N/A</v>
        <stp/>
        <stp>##V3_BDPV12</stp>
        <stp>MFON RX EQUITY</stp>
        <stp>BDVD_NEXT_EST_DECL_DT</stp>
        <stp>[upload (2).xlsm]Model Portfolio!R62C31</stp>
        <tr r="AE62" s="98"/>
      </tp>
      <tp t="s">
        <v>24/05/2018</v>
        <stp/>
        <stp>##V3_BDPV12</stp>
        <stp>AFLT RX EQUITY</stp>
        <stp>BDVD_NEXT_EST_DECL_DT</stp>
        <stp>[upload (2).xlsm]Model Portfolio!R47C31</stp>
        <tr r="AE47" s="98"/>
      </tp>
      <tp t="s">
        <v>14/06/2017</v>
        <stp/>
        <stp>##V3_BDPV12</stp>
        <stp>MSNG RX EQUITY</stp>
        <stp>DVD_RECORD_DT</stp>
        <stp>[upload (2).xlsm]Model Portfolio!R55C28</stp>
        <tr r="AB55" s="98"/>
      </tp>
      <tp t="s">
        <v>WD</v>
        <stp/>
        <stp>##V3_BDPV12</stp>
        <stp>XS0775984213 Corp</stp>
        <stp>RTG_fitch</stp>
        <stp>[upload (2).xlsm]Base all $ 3 Duration!R42C10</stp>
        <tr r="J42" s="66"/>
        <tr r="J42" s="66"/>
      </tp>
      <tp t="s">
        <v>31/05/2017</v>
        <stp/>
        <stp>##V3_BDPV12</stp>
        <stp>BSPB RX EQUITY</stp>
        <stp>DVD_RECORD_DT</stp>
        <stp>[upload (2).xlsm]Model Portfolio!R77C28</stp>
        <tr r="AB77" s="98"/>
      </tp>
      <tp>
        <v>16.653439800000001</v>
        <stp/>
        <stp>##V3_BDPV12</stp>
        <stp>XS0973219495 Corp</stp>
        <stp>YLD_YTM_ask</stp>
        <stp>[upload (2).xlsm]Base all $ 3 Duration!R11C7</stp>
        <tr r="G11" s="66"/>
      </tp>
      <tp t="s">
        <v>ORIENT EXPR BNK (SCI FN)</v>
        <stp/>
        <stp>##V3_BDPV12</stp>
        <stp>XS0973219495 Corp</stp>
        <stp>name</stp>
        <stp>[upload (2).xlsm]Base all $ 3 Duration!R11C1</stp>
        <tr r="A11" s="66"/>
      </tp>
      <tp>
        <v>13.798515981735161</v>
        <stp/>
        <stp>##V3_BDPV12</stp>
        <stp>LXFT US EQUITY</stp>
        <stp>EST_PE_NXT_YR</stp>
        <stp>[upload (2).xlsm]Model Portfolio!R41C15</stp>
        <tr r="O41" s="98"/>
      </tp>
      <tp t="s">
        <v>21/06/2017</v>
        <stp/>
        <stp>##V3_BDPV12</stp>
        <stp>MSRS RX EQUITY</stp>
        <stp>DVD_RECORD_DT</stp>
        <stp>[upload (2).xlsm]Model Portfolio!R59C28</stp>
        <tr r="AB59" s="98"/>
      </tp>
      <tp t="s">
        <v>20/06/2017</v>
        <stp/>
        <stp>##V3_BDPV12</stp>
        <stp>LSRG RX EQUITY</stp>
        <stp>DVD_RECORD_DT</stp>
        <stp>[upload (2).xlsm]Model Portfolio!R69C28</stp>
        <tr r="AB69" s="98"/>
      </tp>
      <tp t="s">
        <v>BB-</v>
        <stp/>
        <stp>##V3_BDPV12</stp>
        <stp>XS0618905219 Corp</stp>
        <stp>RTG_fitch</stp>
        <stp>[upload (2).xlsm]Base all $ 3 Duration!R37C10</stp>
        <tr r="J37" s="66"/>
        <tr r="J37" s="66"/>
      </tp>
      <tp>
        <v>4.8499999999999996</v>
        <stp/>
        <stp>##V3_BDPV12</stp>
        <stp>KCEL LI EQUITY</stp>
        <stp>PX_LAST</stp>
        <stp>[upload (2).xlsm]Model Portfolio!R65C3</stp>
        <tr r="C65" s="98"/>
      </tp>
      <tp t="s">
        <v>19/07/2017</v>
        <stp/>
        <stp>##V3_BDPV12</stp>
        <stp>RSTI RX EQUITY</stp>
        <stp>DVD_RECORD_DT</stp>
        <stp>[upload (2).xlsm]Model Portfolio!R54C28</stp>
        <tr r="AB54" s="98"/>
      </tp>
      <tp>
        <v>3613</v>
        <stp/>
        <stp>##V3_BDPV12</stp>
        <stp>AKRN RX EQUITY</stp>
        <stp>PX_LAST</stp>
        <stp>[upload (2).xlsm]Model Portfolio!R33C3</stp>
        <tr r="C33" s="98"/>
      </tp>
      <tp>
        <v>1.7293043600684725</v>
        <stp/>
        <stp>##V3_BDPV12</stp>
        <stp>XS0359381331 Corp</stp>
        <stp>YLD_YTM_ask</stp>
        <stp>[upload (2).xlsm]Base all $ 3 Duration!R36C7</stp>
        <tr r="G36" s="66"/>
      </tp>
      <tp t="s">
        <v>#N/A N/A</v>
        <stp/>
        <stp>##V3_BDPV12</stp>
        <stp>XS0426517701 Corp</stp>
        <stp>YLD_YTM_ask</stp>
        <stp>[upload (2).xlsm]Base all $ 3 Duration!R88C7</stp>
        <tr r="G88" s="66"/>
      </tp>
      <tp t="s">
        <v>BSPB FIN (BK ST PETERSB)</v>
        <stp/>
        <stp>##V3_BDPV12</stp>
        <stp>XS0848163456 Corp</stp>
        <stp>name</stp>
        <stp>[upload (2).xlsm]Base all $ 3 Duration!R18C1</stp>
        <tr r="A18" s="66"/>
      </tp>
      <tp>
        <v>4.2825116999999997</v>
        <stp/>
        <stp>##V3_BDPV12</stp>
        <stp>XS0954673934 Corp</stp>
        <stp>YLD_YTM_ask</stp>
        <stp>[upload (2).xlsm]Base all $ 3 Duration!R16C7</stp>
        <tr r="G16" s="66"/>
      </tp>
      <tp t="s">
        <v>OJSC RUSS AGRIC BK(RSHB)</v>
        <stp/>
        <stp>##V3_BDPV12</stp>
        <stp>XS0366630902 Corp</stp>
        <stp>name</stp>
        <stp>[upload (2).xlsm]Base all $ 3 Duration!R49C1</stp>
        <tr r="A49" s="66"/>
      </tp>
      <tp t="s">
        <v>VNESHECONOMBANK(VEB)</v>
        <stp/>
        <stp>##V3_BDPV12</stp>
        <stp>XS0719009754 Corp</stp>
        <stp>name</stp>
        <stp>[upload (2).xlsm]Base all $ 3 Duration!R77C1</stp>
        <tr r="A77" s="66"/>
      </tp>
      <tp t="s">
        <v>NR</v>
        <stp/>
        <stp>##V3_BDPV12</stp>
        <stp>XS0543956717 Corp</stp>
        <stp>RTG_fitch</stp>
        <stp>[upload (2).xlsm]Base all $ 3 Duration!R85C10</stp>
        <tr r="J85" s="66"/>
        <tr r="J85" s="66"/>
      </tp>
      <tp>
        <v>2.3403834905426257</v>
        <stp/>
        <stp>##V3_BDPV12</stp>
        <stp>XS0461926569 Corp</stp>
        <stp>YLD_YTM_ask</stp>
        <stp>[upload (2).xlsm]Base all $ 3 Duration!R53C7</stp>
        <tr r="G53" s="66"/>
      </tp>
      <tp>
        <v>3.7301375999999999</v>
        <stp/>
        <stp>##V3_BDPV12</stp>
        <stp>XS0832412505 Corp</stp>
        <stp>YLD_YTM_ask</stp>
        <stp>[upload (2).xlsm]Base all $ 3 Duration!R30C7</stp>
        <tr r="G30" s="66"/>
      </tp>
      <tp t="s">
        <v>#N/A N/A</v>
        <stp/>
        <stp>##V3_BDPV12</stp>
        <stp>XS0938341780 Corp</stp>
        <stp>YLD_YTM_ask</stp>
        <stp>[upload (2).xlsm]Base all $ 3 Duration!R21C7</stp>
        <tr r="G21" s="66"/>
      </tp>
      <tp t="s">
        <v>SCF CAPITAL LTD</v>
        <stp/>
        <stp>##V3_BDPV12</stp>
        <stp>XS0552679879 Corp</stp>
        <stp>name</stp>
        <stp>[upload (2).xlsm]Base all $ 3 Duration!R43C1</stp>
        <tr r="A43" s="66"/>
      </tp>
      <tp t="s">
        <v>Banks</v>
        <stp/>
        <stp>##V3_BDPV12</stp>
        <stp>SBERP RX EQUITY</stp>
        <stp>INDUSTRY_GROUP</stp>
        <stp>[upload (2).xlsm]Model Portfolio!R76C13</stp>
        <tr r="M76" s="98"/>
      </tp>
      <tp t="s">
        <v>Computers</v>
        <stp/>
        <stp>##V3_BDPV12</stp>
        <stp>LXFT US EQUITY</stp>
        <stp>INDUSTRY_GROUP</stp>
        <stp>[upload (2).xlsm]Model Portfolio!R41C13</stp>
        <tr r="M41" s="98"/>
      </tp>
      <tp>
        <v>7.1282793010854082</v>
        <stp/>
        <stp>##V3_BDPV12</stp>
        <stp>OGKB RX EQUITY</stp>
        <stp>NORMALIZED_ROE</stp>
        <stp>[upload (2).xlsm]Model Portfolio!R57C26</stp>
        <tr r="Z57" s="98"/>
      </tp>
      <tp>
        <v>262.73464246427875</v>
        <stp/>
        <stp>##V3_BDPV12</stp>
        <stp>URKA RX EQUITY</stp>
        <stp>NORMALIZED_ROE</stp>
        <stp>[upload (2).xlsm]Model Portfolio!R31C26</stp>
        <tr r="Z31" s="98"/>
      </tp>
      <tp>
        <v>5.0984682191848893</v>
        <stp/>
        <stp>##V3_BDPV12</stp>
        <stp>TGKA RX EQUITY</stp>
        <stp>NORMALIZED_ROE</stp>
        <stp>[upload (2).xlsm]Model Portfolio!R60C26</stp>
        <tr r="Z60" s="98"/>
      </tp>
      <tp>
        <v>100000</v>
        <stp/>
        <stp>##V3_BDPV12</stp>
        <stp>XS0424860947 Corp</stp>
        <stp>MIN_PIECE</stp>
        <stp>[upload (2).xlsm]Base all $ 3 Duration!R46C20</stp>
        <tr r="T46" s="66"/>
      </tp>
      <tp>
        <v>200000</v>
        <stp/>
        <stp>##V3_BDPV12</stp>
        <stp>XS0648402583 Corp</stp>
        <stp>MIN_PIECE</stp>
        <stp>[upload (2).xlsm]Base all $ 3 Duration!R92C20</stp>
        <tr r="T92" s="66"/>
      </tp>
      <tp>
        <v>67.248146532926299</v>
        <stp/>
        <stp>##V3_BDPV12</stp>
        <stp>GMKN RX EQUITY</stp>
        <stp>NORMALIZED_ROE</stp>
        <stp>[upload (2).xlsm]Model Portfolio!R29C26</stp>
        <tr r="Z29" s="98"/>
      </tp>
      <tp>
        <v>4.8351063605150575</v>
        <stp/>
        <stp>##V3_BDPV12</stp>
        <stp>RTKM RX EQUITY</stp>
        <stp>NORMALIZED_ROE</stp>
        <stp>[upload (2).xlsm]Model Portfolio!R66C26</stp>
        <tr r="Z66" s="98"/>
      </tp>
      <tp>
        <v>41.639243771655075</v>
        <stp/>
        <stp>##V3_BDPV12</stp>
        <stp>PIKK RX EQUITY</stp>
        <stp>NORMALIZED_ROE</stp>
        <stp>[upload (2).xlsm]Model Portfolio!R68C26</stp>
        <tr r="Z68" s="98"/>
      </tp>
      <tp>
        <v>38093040</v>
        <stp/>
        <stp>##V3_BDPV12</stp>
        <stp>TATNP RX EQUITY</stp>
        <stp>AVG_DAILY_VALUE_TRADED_6M</stp>
        <stp>[upload (2).xlsm]Model Portfolio!R19C12</stp>
        <tr r="L19" s="98"/>
      </tp>
      <tp>
        <v>200000</v>
        <stp/>
        <stp>##V3_BDPV12</stp>
        <stp>XS0652913558 Corp</stp>
        <stp>MIN_PIECE</stp>
        <stp>[upload (2).xlsm]Base all $ 3 Duration!R60C20</stp>
        <tr r="T60" s="66"/>
      </tp>
      <tp>
        <v>2.615770168092725</v>
        <stp/>
        <stp>##V3_BDPV12</stp>
        <stp>AFKS RX EQUITY</stp>
        <stp>NORMALIZED_ROE</stp>
        <stp>[upload (2).xlsm]Model Portfolio!R64C26</stp>
        <tr r="Z64" s="98"/>
      </tp>
      <tp t="s">
        <v>Special Purpose Banks</v>
        <stp/>
        <stp>##V3_BDPV12</stp>
        <stp>XS0993162170 Corp</stp>
        <stp>INDUSTRY_SUBGROUP</stp>
        <stp>[upload (2).xlsm]Base all $ 3 Duration!R48C11</stp>
        <tr r="K48" s="66"/>
      </tp>
      <tp t="s">
        <v>Oil Comp-Integrated</v>
        <stp/>
        <stp>##V3_BDPV12</stp>
        <stp>XS0304273948 Corp</stp>
        <stp>INDUSTRY_SUBGROUP</stp>
        <stp>[upload (2).xlsm]Base all $ 3 Duration!R87C11</stp>
        <tr r="K87" s="66"/>
      </tp>
      <tp t="s">
        <v>Iron/Steel</v>
        <stp/>
        <stp>##V3_BDPV12</stp>
        <stp>CHMF RX EQUITY</stp>
        <stp>INDUSTRY_GROUP</stp>
        <stp>[upload (2).xlsm]Model Portfolio!R25C13</stp>
        <tr r="M25" s="98"/>
      </tp>
      <tp t="s">
        <v>Oil Comp-Integrated</v>
        <stp/>
        <stp>##V3_BDPV12</stp>
        <stp>XS0919502434 Corp</stp>
        <stp>INDUSTRY_SUBGROUP</stp>
        <stp>[upload (2).xlsm]Base all $ 3 Duration!R66C11</stp>
        <tr r="K66" s="66"/>
      </tp>
      <tp t="s">
        <v>Commer Banks Non-US</v>
        <stp/>
        <stp>##V3_BDPV12</stp>
        <stp>XS0796426228 Corp</stp>
        <stp>INDUSTRY_SUBGROUP</stp>
        <stp>[upload (2).xlsm]Base all $ 3 Duration!R54C11</stp>
        <tr r="K54" s="66"/>
      </tp>
      <tp t="s">
        <v>Commer Banks Non-US</v>
        <stp/>
        <stp>##V3_BDPV12</stp>
        <stp>XS0366630902 Corp</stp>
        <stp>INDUSTRY_SUBGROUP</stp>
        <stp>[upload (2).xlsm]Base all $ 3 Duration!R49C11</stp>
        <tr r="K49" s="66"/>
      </tp>
      <tp t="s">
        <v>Iron/Steel</v>
        <stp/>
        <stp>##V3_BDPV12</stp>
        <stp>NLMK RX EQUITY</stp>
        <stp>INDUSTRY_GROUP</stp>
        <stp>[upload (2).xlsm]Model Portfolio!R22C13</stp>
        <tr r="M22" s="98"/>
      </tp>
      <tp t="s">
        <v>Metal Fabricate/Hardware</v>
        <stp/>
        <stp>##V3_BDPV12</stp>
        <stp>TRMK RX EQUITY</stp>
        <stp>INDUSTRY_GROUP</stp>
        <stp>[upload (2).xlsm]Model Portfolio!R21C13</stp>
        <tr r="M21" s="98"/>
      </tp>
      <tp t="s">
        <v>Commer Banks Non-US</v>
        <stp/>
        <stp>##V3_BDPV12</stp>
        <stp>XS0799357354 Corp</stp>
        <stp>INDUSTRY_SUBGROUP</stp>
        <stp>[upload (2).xlsm]Base all $ 3 Duration!R55C11</stp>
        <tr r="K55" s="66"/>
      </tp>
      <tp>
        <v>0</v>
        <stp/>
        <stp>##V3_BDPV12</stp>
        <stp>KMG LI EQUITY</stp>
        <stp>CHG_PCT_WTD</stp>
        <stp>[upload (2).xlsm]Model Portfolio!R9C4</stp>
        <tr r="D9" s="98"/>
      </tp>
      <tp>
        <v>31.989599999999999</v>
        <stp/>
        <stp>##V3_BDPV12</stp>
        <stp>KMG LI EQUITY</stp>
        <stp>CHG_PCT_YTD</stp>
        <stp>[upload (2).xlsm]Model Portfolio!R9C7</stp>
        <tr r="G9" s="98"/>
      </tp>
      <tp t="s">
        <v>RUB</v>
        <stp/>
        <stp>##V3_BDPV12</stp>
        <stp>POLY RX EQUITY</stp>
        <stp>CRNCY</stp>
        <stp>[Copy of upload (2).xlsm]Гарез_GRENF!R28C7</stp>
        <tr r="G28" s="115"/>
      </tp>
      <tp t="s">
        <v>Gazprom PJSC</v>
        <stp/>
        <stp>##V3_BDPV12</stp>
        <stp>OGZD LI EQUITY</stp>
        <stp>SECURITY_NAME</stp>
        <stp>[Copy of upload (2).xlsm]Гарез_GRENF!R47C4</stp>
        <tr r="D47" s="115"/>
      </tp>
      <tp>
        <v>6.5</v>
        <stp/>
        <stp>##V3_BDPV12</stp>
        <stp>XS0850393264 Corp</stp>
        <stp>CPN</stp>
        <stp>[upload (2).xlsm]Base all $ 3 Duration!R4C8</stp>
        <tr r="H4" s="66"/>
      </tp>
      <tp>
        <v>11</v>
        <stp/>
        <stp>##V3_BDPV12</stp>
        <stp>XS0493579238 Corp</stp>
        <stp>CPN</stp>
        <stp>[upload (2).xlsm]Base all $ 3 Duration!R7C8</stp>
        <tr r="H7" s="66"/>
      </tp>
      <tp>
        <v>-17.63317</v>
        <stp/>
        <stp>##V3_BDPV12</stp>
        <stp>ALRS RX EQUITY</stp>
        <stp>CHG_PCT_YTD</stp>
        <stp>[upload (2).xlsm]Model Portfolio!R5C7</stp>
        <tr r="G5" s="98"/>
      </tp>
      <tp>
        <v>1.58629</v>
        <stp/>
        <stp>##V3_BDPV12</stp>
        <stp>ALRS RX EQUITY</stp>
        <stp>CHG_PCT_WTD</stp>
        <stp>[upload (2).xlsm]Model Portfolio!R5C4</stp>
        <tr r="D5" s="98"/>
      </tp>
      <tp>
        <v>20.69201138170251</v>
        <stp/>
        <stp>##V3_BDPV12</stp>
        <stp>MAIL LI EQUITY</stp>
        <stp>EST_EV_THIS_YR_EBITDA</stp>
        <stp>[upload (2).xlsm]Model Portfolio!R44C16</stp>
        <tr r="P44" s="98"/>
      </tp>
      <tp t="s">
        <v>23/04/2018</v>
        <stp/>
        <stp>##V3_BDPV12</stp>
        <stp>MAGN RX EQUITY</stp>
        <stp>BDVD_NEXT_EST_DECL_DT</stp>
        <stp>[upload (2).xlsm]Model Portfolio!R23C31</stp>
        <tr r="AE23" s="98"/>
      </tp>
      <tp t="s">
        <v>07/07/2017</v>
        <stp/>
        <stp>##V3_BDPV12</stp>
        <stp>RTKM RX EQUITY</stp>
        <stp>DVD_RECORD_DT</stp>
        <stp>[upload (2).xlsm]Model Portfolio!R66C28</stp>
        <tr r="AB66" s="98"/>
      </tp>
      <tp t="s">
        <v>10/11/2017</v>
        <stp/>
        <stp>##V3_BDPV12</stp>
        <stp>BANE RX EQUITY</stp>
        <stp>BDVD_NEXT_EST_DECL_DT</stp>
        <stp>[upload (2).xlsm]Model Portfolio!R18C31</stp>
        <tr r="AE18" s="98"/>
      </tp>
      <tp t="s">
        <v>#N/A Field Not Applicable</v>
        <stp/>
        <stp>##V3_BDPV12</stp>
        <stp>MTLR RX EQUITY</stp>
        <stp>DVD_RECORD_DT</stp>
        <stp>[upload (2).xlsm]Model Portfolio!R24C28</stp>
        <tr r="AB24" s="98"/>
      </tp>
      <tp>
        <v>5.18</v>
        <stp/>
        <stp>##V3_BDPV12</stp>
        <stp>FESH RX EQUITY</stp>
        <stp>PX_LAST</stp>
        <stp>[upload (2).xlsm]Model Portfolio!R45C3</stp>
        <tr r="C45" s="98"/>
      </tp>
      <tp>
        <v>36.608171047111831</v>
        <stp/>
        <stp>##V3_BDPV12</stp>
        <stp>KCEL LI EQUITY</stp>
        <stp>EBITDA_MARGIN</stp>
        <stp>[upload (2).xlsm]Model Portfolio!R65C23</stp>
        <tr r="W65" s="98"/>
      </tp>
      <tp t="s">
        <v>#N/A N/A</v>
        <stp/>
        <stp>##V3_BDPV12</stp>
        <stp>RASP RX EQUITY</stp>
        <stp>BDVD_NEXT_EST_DECL_DT</stp>
        <stp>[upload (2).xlsm]Model Portfolio!R28C31</stp>
        <tr r="AE28" s="98"/>
      </tp>
      <tp t="s">
        <v>#N/A N/A</v>
        <stp/>
        <stp>##V3_BDPV12</stp>
        <stp>XS0772509484 Corp</stp>
        <stp>YLD_YTM_ask</stp>
        <stp>[upload (2).xlsm]Base all $ 3 Duration!R78C7</stp>
        <tr r="G78" s="66"/>
      </tp>
      <tp t="s">
        <v>13/10/2017</v>
        <stp/>
        <stp>##V3_BDPV12</stp>
        <stp>MTSS RX EQUITY</stp>
        <stp>DVD_RECORD_DT</stp>
        <stp>[upload (2).xlsm]Model Portfolio!R67C28</stp>
        <tr r="AB67" s="98"/>
      </tp>
      <tp t="s">
        <v>#N/A N/A</v>
        <stp/>
        <stp>##V3_BDPV12</stp>
        <stp>XS0588436799 Corp</stp>
        <stp>YLD_YTM_ask</stp>
        <stp>[upload (2).xlsm]Base all $ 3 Duration!R94C7</stp>
        <tr r="G94" s="66"/>
      </tp>
      <tp t="s">
        <v>BB+</v>
        <stp/>
        <stp>##V3_BDPV12</stp>
        <stp>XS0878855773 Corp</stp>
        <stp>RTG_fitch</stp>
        <stp>[upload (2).xlsm]Base all $ 3 Duration!R44C10</stp>
        <tr r="J44" s="66"/>
        <tr r="J44" s="66"/>
      </tp>
      <tp t="s">
        <v>BBB-</v>
        <stp/>
        <stp>##V3_BDPV12</stp>
        <stp>XS0461926569 Corp</stp>
        <stp>RTG_fitch</stp>
        <stp>[upload (2).xlsm]Base all $ 3 Duration!R53C10</stp>
        <tr r="J53" s="66"/>
        <tr r="J53" s="66"/>
      </tp>
      <tp t="s">
        <v>#N/A N/A</v>
        <stp/>
        <stp>##V3_BDPV12</stp>
        <stp>XS0300998779 Corp</stp>
        <stp>YLD_YTM_ask</stp>
        <stp>[upload (2).xlsm]Base all $ 3 Duration!R58C7</stp>
        <tr r="G58" s="66"/>
      </tp>
      <tp t="s">
        <v>#N/A N/A</v>
        <stp/>
        <stp>##V3_BDPV12</stp>
        <stp>XS0802648955 Corp</stp>
        <stp>YLD_YTM_ask</stp>
        <stp>[upload (2).xlsm]Base all $ 3 Duration!R12C7</stp>
        <tr r="G12" s="66"/>
      </tp>
      <tp t="s">
        <v>ROSNEFT FINANCE SA</v>
        <stp/>
        <stp>##V3_BDPV12</stp>
        <stp>XS0292530309 Corp</stp>
        <stp>name</stp>
        <stp>[upload (2).xlsm]Base all $ 3 Duration!R81C1</stp>
        <tr r="A81" s="66"/>
      </tp>
      <tp>
        <v>11.008867884826326</v>
        <stp/>
        <stp>##V3_BDPV12</stp>
        <stp>LXFT US EQUITY</stp>
        <stp>EST_EV_THIS_YR_EBITDA</stp>
        <stp>[upload (2).xlsm]Model Portfolio!R41C16</stp>
        <tr r="P41" s="98"/>
      </tp>
      <tp t="s">
        <v>30/04/2018</v>
        <stp/>
        <stp>##V3_BDPV12</stp>
        <stp>TATN RX EQUITY</stp>
        <stp>BDVD_NEXT_EST_DECL_DT</stp>
        <stp>[upload (2).xlsm]Model Portfolio!R14C31</stp>
        <tr r="AE14" s="98"/>
      </tp>
      <tp t="s">
        <v>#N/A N/A</v>
        <stp/>
        <stp>##V3_BDPV12</stp>
        <stp>XS0742380412 Corp</stp>
        <stp>YLD_YTM_ask</stp>
        <stp>[upload (2).xlsm]Base all $ 3 Duration!R86C7</stp>
        <tr r="G86" s="66"/>
      </tp>
      <tp t="s">
        <v>12/04/2018</v>
        <stp/>
        <stp>##V3_BDPV12</stp>
        <stp>GAZP RX EQUITY</stp>
        <stp>BDVD_NEXT_EST_DECL_DT</stp>
        <stp>[upload (2).xlsm]Model Portfolio!R12C31</stp>
        <tr r="AE12" s="98"/>
      </tp>
      <tp t="s">
        <v>ROSNEFT FINANCE SA</v>
        <stp/>
        <stp>##V3_BDPV12</stp>
        <stp>XS0324963932 Corp</stp>
        <stp>name</stp>
        <stp>[upload (2).xlsm]Base all $ 3 Duration!R59C1</stp>
        <tr r="A59" s="66"/>
      </tp>
      <tp>
        <v>1.9779619034175484</v>
        <stp/>
        <stp>##V3_BDPV12</stp>
        <stp>XS0366630902 Corp</stp>
        <stp>YLD_YTM_ask</stp>
        <stp>[upload (2).xlsm]Base all $ 3 Duration!R49C7</stp>
        <tr r="G49" s="66"/>
      </tp>
      <tp>
        <v>2.4013746</v>
        <stp/>
        <stp>##V3_BDPV12</stp>
        <stp>XS0955232854 Corp</stp>
        <stp>YLD_YTM_ask</stp>
        <stp>[upload (2).xlsm]Base all $ 3 Duration!R45C7</stp>
        <tr r="G45" s="66"/>
      </tp>
      <tp t="s">
        <v>RZD CAPITAL PLC (RZD)</v>
        <stp/>
        <stp>##V3_BDPV12</stp>
        <stp>XS0499245180 Corp</stp>
        <stp>name</stp>
        <stp>[upload (2).xlsm]Base all $ 3 Duration!R84C1</stp>
        <tr r="A84" s="66"/>
      </tp>
      <tp t="s">
        <v>SISTEMA JSFC (SISTEMA IN</v>
        <stp/>
        <stp>##V3_BDPV12</stp>
        <stp>XS0783242877 Corp</stp>
        <stp>name</stp>
        <stp>[upload (2).xlsm]Base all $ 3 Duration!R32C1</stp>
        <tr r="A32" s="66"/>
      </tp>
      <tp>
        <v>1.6853294000000001</v>
        <stp/>
        <stp>##V3_BDPV12</stp>
        <stp>XS0919502434 Corp</stp>
        <stp>YLD_YTM_ask</stp>
        <stp>[upload (2).xlsm]Base all $ 3 Duration!R66C7</stp>
        <tr r="G66" s="66"/>
      </tp>
      <tp t="s">
        <v>#N/A N/A</v>
        <stp/>
        <stp>##V3_BDPV12</stp>
        <stp>XS0304273948 Corp</stp>
        <stp>YLD_YTM_ask</stp>
        <stp>[upload (2).xlsm]Base all $ 3 Duration!R87C7</stp>
        <tr r="G87" s="66"/>
      </tp>
      <tp>
        <v>200000</v>
        <stp/>
        <stp>##V3_BDPV12</stp>
        <stp>XS0855334289 Corp</stp>
        <stp>MIN_PIECE</stp>
        <stp>[upload (2).xlsm]Base all $ 3 Duration!R50C20</stp>
        <tr r="T50" s="66"/>
      </tp>
      <tp>
        <v>200000</v>
        <stp/>
        <stp>##V3_BDPV12</stp>
        <stp>XS0562354182 Corp</stp>
        <stp>MIN_PIECE</stp>
        <stp>[upload (2).xlsm]Base all $ 3 Duration!R96C20</stp>
        <tr r="T96" s="66"/>
      </tp>
      <tp>
        <v>100000</v>
        <stp/>
        <stp>##V3_BDPV12</stp>
        <stp>XS0551315384 Corp</stp>
        <stp>MIN_PIECE</stp>
        <stp>[upload (2).xlsm]Base all $ 3 Duration!R82C20</stp>
        <tr r="T82" s="66"/>
      </tp>
      <tp>
        <v>100000</v>
        <stp/>
        <stp>##V3_BDPV12</stp>
        <stp>XS0253861834 Corp</stp>
        <stp>MIN_PIECE</stp>
        <stp>[upload (2).xlsm]Base all $ 3 Duration!R91C20</stp>
        <tr r="T91" s="66"/>
      </tp>
      <tp>
        <v>200000</v>
        <stp/>
        <stp>##V3_BDPV12</stp>
        <stp>XS0783934325 Corp</stp>
        <stp>MIN_PIECE</stp>
        <stp>[upload (2).xlsm]Base all $ 3 Duration!R47C20</stp>
        <tr r="T47" s="66"/>
      </tp>
      <tp>
        <v>200000</v>
        <stp/>
        <stp>##V3_BDPV12</stp>
        <stp>XS0585211591 Corp</stp>
        <stp>MIN_PIECE</stp>
        <stp>[upload (2).xlsm]Base all $ 3 Duration!R34C20</stp>
        <tr r="T34" s="66"/>
      </tp>
      <tp>
        <v>200000</v>
        <stp/>
        <stp>##V3_BDPV12</stp>
        <stp>XS0938341780 Corp</stp>
        <stp>MIN_PIECE</stp>
        <stp>[upload (2).xlsm]Base all $ 3 Duration!R21C20</stp>
        <tr r="T21" s="66"/>
      </tp>
      <tp>
        <v>200000</v>
        <stp/>
        <stp>##V3_BDPV12</stp>
        <stp>XS0973219495 Corp</stp>
        <stp>MIN_PIECE</stp>
        <stp>[upload (2).xlsm]Base all $ 3 Duration!R11C20</stp>
        <tr r="T11" s="66"/>
      </tp>
      <tp t="s">
        <v>Transport-Marine</v>
        <stp/>
        <stp>##V3_BDPV12</stp>
        <stp>XS0552679879 Corp</stp>
        <stp>INDUSTRY_SUBGROUP</stp>
        <stp>[upload (2).xlsm]Base all $ 3 Duration!R43C11</stp>
        <tr r="K43" s="66"/>
      </tp>
      <tp t="s">
        <v>#N/A N/A</v>
        <stp/>
        <stp>##V3_BDPV12</stp>
        <stp>AFLT RX EQUITY</stp>
        <stp>NORMALIZED_ROE</stp>
        <stp>[upload (2).xlsm]Model Portfolio!R47C26</stp>
        <tr r="Z47" s="98"/>
      </tp>
      <tp>
        <v>3.9610918079787472</v>
        <stp/>
        <stp>##V3_BDPV12</stp>
        <stp>SNGSP RX EQUITY</stp>
        <stp>NORMALIZED_ROE</stp>
        <stp>[upload (2).xlsm]Model Portfolio!R11C26</stp>
        <tr r="Z11" s="98"/>
      </tp>
      <tp t="s">
        <v>#N/A N/A</v>
        <stp/>
        <stp>##V3_BDPV12</stp>
        <stp>MTLR RX EQUITY</stp>
        <stp>NORMALIZED_ROE</stp>
        <stp>[upload (2).xlsm]Model Portfolio!R24C26</stp>
        <tr r="Z24" s="98"/>
      </tp>
      <tp t="s">
        <v>Cellular Telecom</v>
        <stp/>
        <stp>##V3_BDPV12</stp>
        <stp>XS0889401054 Corp</stp>
        <stp>INDUSTRY_SUBGROUP</stp>
        <stp>[upload (2).xlsm]Base all $ 3 Duration!R39C11</stp>
        <tr r="K39" s="66"/>
      </tp>
      <tp t="s">
        <v>Computers</v>
        <stp/>
        <stp>##V3_BDPV12</stp>
        <stp>EPAM US EQUITY</stp>
        <stp>INDUSTRY_GROUP</stp>
        <stp>[upload (2).xlsm]Model Portfolio!R42C13</stp>
        <tr r="M42" s="98"/>
      </tp>
      <tp t="s">
        <v>Metal-Iron</v>
        <stp/>
        <stp>##V3_BDPV12</stp>
        <stp>XS0650962185 Corp</stp>
        <stp>INDUSTRY_SUBGROUP</stp>
        <stp>[upload (2).xlsm]Base all $ 3 Duration!R83C11</stp>
        <tr r="K83" s="66"/>
      </tp>
      <tp t="s">
        <v>07/09/2017</v>
        <stp/>
        <stp>##V3_BDPV12</stp>
        <stp>POLY RX Equity</stp>
        <stp>DVD_EX_DT</stp>
        <stp>[Copy of upload (2).xlsm]Гарез_GRENF!R9C21</stp>
        <tr r="U9" s="115"/>
      </tp>
      <tp>
        <v>200000</v>
        <stp/>
        <stp>##V3_BDPV12</stp>
        <stp>XS0920334900 Corp</stp>
        <stp>MIN_PIECE</stp>
        <stp>[upload (2).xlsm]Base all $ 3 Duration!R6C20</stp>
        <tr r="T6" s="66"/>
      </tp>
      <tp t="s">
        <v>Finance-Other Services</v>
        <stp/>
        <stp>##V3_BDPV12</stp>
        <stp>US91701RAA95 Corp</stp>
        <stp>INDUSTRY_SUBGROUP</stp>
        <stp>[upload (2).xlsm]Base all $ 3 Duration!R26C11</stp>
        <tr r="K26" s="66"/>
      </tp>
      <tp>
        <v>1.6581432599885937</v>
        <stp/>
        <stp>##V3_BDPV12</stp>
        <stp>XS0592794597 Corp</stp>
        <stp>YLD_YTM_ask</stp>
        <stp>[upload (2).xlsm]Base all $ 3 Duration!R61C7</stp>
        <tr r="G61" s="66"/>
      </tp>
      <tp t="s">
        <v>SBERBANK (SB CAP SA)</v>
        <stp/>
        <stp>##V3_BDPV12</stp>
        <stp>XS1043519567 Corp</stp>
        <stp>name</stp>
        <stp>[upload (2).xlsm]Base all $ 3 Duration!R74C1</stp>
        <tr r="A74" s="66"/>
      </tp>
      <tp t="s">
        <v>ROSNEFT FINANCE SA</v>
        <stp/>
        <stp>##V3_BDPV12</stp>
        <stp>XS0261906738 Corp</stp>
        <stp>name</stp>
        <stp>[upload (2).xlsm]Base all $ 3 Duration!R89C1</stp>
        <tr r="A89" s="66"/>
      </tp>
      <tp t="s">
        <v>WD</v>
        <stp/>
        <stp>##V3_BDPV12</stp>
        <stp>XS0841677387 Corp</stp>
        <stp>RTG_fitch</stp>
        <stp>[upload (2).xlsm]Base all $ 3 Duration!R99C10</stp>
        <tr r="J99" s="66"/>
        <tr r="J99" s="66"/>
      </tp>
      <tp t="s">
        <v>20/01/2017</v>
        <stp/>
        <stp>##V3_BDPV12</stp>
        <stp>OKEY LI EQUITY</stp>
        <stp>DVD_RECORD_DT</stp>
        <stp>[upload (2).xlsm]Model Portfolio!R39C28</stp>
        <tr r="AB39" s="98"/>
      </tp>
      <tp t="s">
        <v>#N/A N/A</v>
        <stp/>
        <stp>##V3_BDPV12</stp>
        <stp>XS0299183250 Corp</stp>
        <stp>YLD_YTM_ask</stp>
        <stp>[upload (2).xlsm]Base all $ 3 Duration!R40C7</stp>
        <tr r="G40" s="66"/>
      </tp>
      <tp t="s">
        <v>#N/A N/A</v>
        <stp/>
        <stp>##V3_BDPV12</stp>
        <stp>XS0524658852 Corp</stp>
        <stp>YLD_YTM_ask</stp>
        <stp>[upload (2).xlsm]Base all $ 3 Duration!R68C7</stp>
        <tr r="G68" s="66"/>
      </tp>
      <tp t="s">
        <v>WD</v>
        <stp/>
        <stp>##V3_BDPV12</stp>
        <stp>XS0592794597 Corp</stp>
        <stp>RTG_fitch</stp>
        <stp>[upload (2).xlsm]Base all $ 3 Duration!R61C10</stp>
        <tr r="J61" s="66"/>
        <tr r="J61" s="66"/>
      </tp>
      <tp t="s">
        <v>BB+</v>
        <stp/>
        <stp>##V3_BDPV12</stp>
        <stp>XS0995845566 Corp</stp>
        <stp>RTG_fitch</stp>
        <stp>[upload (2).xlsm]Base all $ 3 Duration!R29C10</stp>
        <tr r="J29" s="66"/>
        <tr r="J29" s="66"/>
      </tp>
      <tp>
        <v>1.8767756</v>
        <stp/>
        <stp>##V3_BDPV12</stp>
        <stp>XS0357281558 Corp</stp>
        <stp>YLD_YTM_ask</stp>
        <stp>[upload (2).xlsm]Base all $ 3 Duration!R69C7</stp>
        <tr r="G69" s="66"/>
      </tp>
      <tp t="s">
        <v>BB+</v>
        <stp/>
        <stp>##V3_BDPV12</stp>
        <stp>XS1040726587 Corp</stp>
        <stp>RTG_fitch</stp>
        <stp>[upload (2).xlsm]Base all $ 3 Duration!R41C10</stp>
        <tr r="J41" s="66"/>
        <tr r="J41" s="66"/>
      </tp>
      <tp>
        <v>55.55</v>
        <stp/>
        <stp>##V3_BDPV12</stp>
        <stp>BSPB RX EQUITY</stp>
        <stp>PX_LAST</stp>
        <stp>[upload (2).xlsm]Model Portfolio!R77C3</stp>
        <tr r="C77" s="98"/>
      </tp>
      <tp>
        <v>5.3947712418300657</v>
        <stp/>
        <stp>##V3_BDPV12</stp>
        <stp>HYDR RX EQUITY</stp>
        <stp>EST_PE_NXT_YR</stp>
        <stp>[upload (2).xlsm]Model Portfolio!R58C15</stp>
        <tr r="O58" s="98"/>
      </tp>
      <tp t="s">
        <v>WD</v>
        <stp/>
        <stp>##V3_BDPV12</stp>
        <stp>XS0365923977 Corp</stp>
        <stp>RTG_fitch</stp>
        <stp>[upload (2).xlsm]Base all $ 3 Duration!R57C10</stp>
        <tr r="J57" s="66"/>
        <tr r="J57" s="66"/>
      </tp>
      <tp>
        <v>7.9184505140517212</v>
        <stp/>
        <stp>##V3_BDPV12</stp>
        <stp>AGRO LI EQUITY</stp>
        <stp>EST_PE_NXT_YR</stp>
        <stp>[upload (2).xlsm]Model Portfolio!R71C15</stp>
        <tr r="O71" s="98"/>
      </tp>
      <tp t="s">
        <v>#N/A N/A</v>
        <stp/>
        <stp>##V3_BDPV12</stp>
        <stp>XS1059697323 Corp</stp>
        <stp>YLD_YTM_ask</stp>
        <stp>[upload (2).xlsm]Base all $ 3 Duration!R20C7</stp>
        <tr r="G20" s="66"/>
      </tp>
      <tp>
        <v>1.7912304336444795</v>
        <stp/>
        <stp>##V3_BDPV12</stp>
        <stp>XS0878855773 Corp</stp>
        <stp>YLD_YTM_ask</stp>
        <stp>[upload (2).xlsm]Base all $ 3 Duration!R44C7</stp>
        <tr r="G44" s="66"/>
      </tp>
      <tp t="s">
        <v>WD</v>
        <stp/>
        <stp>##V3_BDPV12</stp>
        <stp>XS0861980372 Corp</stp>
        <stp>RTG_fitch</stp>
        <stp>[upload (2).xlsm]Base all $ 3 Duration!R80C10</stp>
        <tr r="J80" s="66"/>
        <tr r="J80" s="66"/>
      </tp>
      <tp t="s">
        <v>NR</v>
        <stp/>
        <stp>##V3_BDPV12</stp>
        <stp>XS0300998779 Corp</stp>
        <stp>RTG_fitch</stp>
        <stp>[upload (2).xlsm]Base all $ 3 Duration!R58C10</stp>
        <tr r="J58" s="66"/>
        <tr r="J58" s="66"/>
      </tp>
      <tp t="s">
        <v>NR</v>
        <stp/>
        <stp>##V3_BDPV12</stp>
        <stp>XS0630950870 Corp</stp>
        <stp>RTG_fitch</stp>
        <stp>[upload (2).xlsm]Base all $ 3 Duration!R75C10</stp>
        <tr r="J75" s="66"/>
        <tr r="J75" s="66"/>
      </tp>
      <tp>
        <v>54.43126856235385</v>
        <stp/>
        <stp>##V3_BDPV12</stp>
        <stp>CHMF RX EQUITY</stp>
        <stp>NORMALIZED_ROE</stp>
        <stp>[upload (2).xlsm]Model Portfolio!R25C26</stp>
        <tr r="Z25" s="98"/>
      </tp>
      <tp t="s">
        <v>Telecommunications</v>
        <stp/>
        <stp>##V3_BDPV12</stp>
        <stp>AFKS RX EQUITY</stp>
        <stp>INDUSTRY_GROUP</stp>
        <stp>[upload (2).xlsm]Model Portfolio!R64C13</stp>
        <tr r="M64" s="98"/>
      </tp>
      <tp>
        <v>100000</v>
        <stp/>
        <stp>##V3_BDPV12</stp>
        <stp>XS0499245180 Corp</stp>
        <stp>MIN_PIECE</stp>
        <stp>[upload (2).xlsm]Base all $ 3 Duration!R84C20</stp>
        <tr r="T84" s="66"/>
      </tp>
      <tp>
        <v>100000</v>
        <stp/>
        <stp>##V3_BDPV12</stp>
        <stp>XS0559800122 Corp</stp>
        <stp>MIN_PIECE</stp>
        <stp>[upload (2).xlsm]Base all $ 3 Duration!R63C20</stp>
        <tr r="T63" s="66"/>
      </tp>
      <tp>
        <v>100000</v>
        <stp/>
        <stp>##V3_BDPV12</stp>
        <stp>XS0324963932 Corp</stp>
        <stp>MIN_PIECE</stp>
        <stp>[upload (2).xlsm]Base all $ 3 Duration!R59C20</stp>
        <tr r="T59" s="66"/>
      </tp>
      <tp>
        <v>100000</v>
        <stp/>
        <stp>##V3_BDPV12</stp>
        <stp>XS0261906738 Corp</stp>
        <stp>MIN_PIECE</stp>
        <stp>[upload (2).xlsm]Base all $ 3 Duration!R89C20</stp>
        <tr r="T89" s="66"/>
      </tp>
      <tp>
        <v>22.645826743913204</v>
        <stp/>
        <stp>##V3_BDPV12</stp>
        <stp>NLMK RX EQUITY</stp>
        <stp>NORMALIZED_ROE</stp>
        <stp>[upload (2).xlsm]Model Portfolio!R22C26</stp>
        <tr r="Z22" s="98"/>
      </tp>
      <tp>
        <v>19.735232708243739</v>
        <stp/>
        <stp>##V3_BDPV12</stp>
        <stp>TRMK RX EQUITY</stp>
        <stp>NORMALIZED_ROE</stp>
        <stp>[upload (2).xlsm]Model Portfolio!R21C26</stp>
        <tr r="Z21" s="98"/>
      </tp>
      <tp t="s">
        <v>Chemicals</v>
        <stp/>
        <stp>##V3_BDPV12</stp>
        <stp>URKA RX EQUITY</stp>
        <stp>INDUSTRY_GROUP</stp>
        <stp>[upload (2).xlsm]Model Portfolio!R31C13</stp>
        <tr r="M31" s="98"/>
      </tp>
      <tp t="s">
        <v>Electric</v>
        <stp/>
        <stp>##V3_BDPV12</stp>
        <stp>TGKA RX EQUITY</stp>
        <stp>INDUSTRY_GROUP</stp>
        <stp>[upload (2).xlsm]Model Portfolio!R60C13</stp>
        <tr r="M60" s="98"/>
      </tp>
      <tp t="s">
        <v>Steel-Producers</v>
        <stp/>
        <stp>##V3_BDPV12</stp>
        <stp>XS0359381331 Corp</stp>
        <stp>INDUSTRY_SUBGROUP</stp>
        <stp>[upload (2).xlsm]Base all $ 3 Duration!R36C11</stp>
        <tr r="K36" s="66"/>
      </tp>
      <tp t="s">
        <v>Metal-Diversified</v>
        <stp/>
        <stp>##V3_BDPV12</stp>
        <stp>XS0922134712 Corp</stp>
        <stp>INDUSTRY_SUBGROUP</stp>
        <stp>[upload (2).xlsm]Base all $ 3 Duration!R76C11</stp>
        <tr r="K76" s="66"/>
      </tp>
      <tp t="s">
        <v>Electric</v>
        <stp/>
        <stp>##V3_BDPV12</stp>
        <stp>OGKB RX EQUITY</stp>
        <stp>INDUSTRY_GROUP</stp>
        <stp>[upload (2).xlsm]Model Portfolio!R57C13</stp>
        <tr r="M57" s="98"/>
      </tp>
      <tp>
        <v>14.91387790593264</v>
        <stp/>
        <stp>##V3_BDPV12</stp>
        <stp>LXFT US EQUITY</stp>
        <stp>NORMALIZED_ROE</stp>
        <stp>[upload (2).xlsm]Model Portfolio!R41C26</stp>
        <tr r="Z41" s="98"/>
      </tp>
      <tp>
        <v>22.459517045454547</v>
        <stp/>
        <stp>##V3_BDPV12</stp>
        <stp>SBERP RX EQUITY</stp>
        <stp>NORMALIZED_ROE</stp>
        <stp>[upload (2).xlsm]Model Portfolio!R76C26</stp>
        <tr r="Z76" s="98"/>
      </tp>
      <tp t="s">
        <v>Agricultural Chemicals</v>
        <stp/>
        <stp>##V3_BDPV12</stp>
        <stp>XS0888245122 Corp</stp>
        <stp>INDUSTRY_SUBGROUP</stp>
        <stp>[upload (2).xlsm]Base all $ 3 Duration!R73C11</stp>
        <tr r="K73" s="66"/>
      </tp>
      <tp t="s">
        <v>Cellular Telecom</v>
        <stp/>
        <stp>##V3_BDPV12</stp>
        <stp>XS0361041808 Corp</stp>
        <stp>INDUSTRY_SUBGROUP</stp>
        <stp>[upload (2).xlsm]Base all $ 3 Duration!R51C11</stp>
        <tr r="K51" s="66"/>
      </tp>
      <tp t="s">
        <v>Commer Banks Non-US</v>
        <stp/>
        <stp>##V3_BDPV12</stp>
        <stp>XS0783291221 Corp</stp>
        <stp>INDUSTRY_SUBGROUP</stp>
        <stp>[upload (2).xlsm]Base all $ 3 Duration!R72C11</stp>
        <tr r="K72" s="66"/>
      </tp>
      <tp t="s">
        <v>Real Estate</v>
        <stp/>
        <stp>##V3_BDPV12</stp>
        <stp>PIKK RX EQUITY</stp>
        <stp>INDUSTRY_GROUP</stp>
        <stp>[upload (2).xlsm]Model Portfolio!R68C13</stp>
        <tr r="M68" s="98"/>
      </tp>
      <tp t="s">
        <v>Coal</v>
        <stp/>
        <stp>##V3_BDPV12</stp>
        <stp>XS0772835285 Corp</stp>
        <stp>INDUSTRY_SUBGROUP</stp>
        <stp>[upload (2).xlsm]Base all $ 3 Duration!R31C11</stp>
        <tr r="K31" s="66"/>
      </tp>
      <tp t="s">
        <v>Telecommunications</v>
        <stp/>
        <stp>##V3_BDPV12</stp>
        <stp>RTKM RX EQUITY</stp>
        <stp>INDUSTRY_GROUP</stp>
        <stp>[upload (2).xlsm]Model Portfolio!R66C13</stp>
        <tr r="M66" s="98"/>
      </tp>
      <tp>
        <v>13.15</v>
        <stp/>
        <stp>##V3_BDPV12</stp>
        <stp>AGRO LI Equity</stp>
        <stp>PX_LAST</stp>
        <stp>[Copy of upload (2).xlsm]Гарез_GRENF (2)!R8C7</stp>
        <tr r="G8" s="116"/>
      </tp>
      <tp t="s">
        <v>Mining</v>
        <stp/>
        <stp>##V3_BDPV12</stp>
        <stp>GMKN RX EQUITY</stp>
        <stp>INDUSTRY_GROUP</stp>
        <stp>[upload (2).xlsm]Model Portfolio!R29C13</stp>
        <tr r="M29" s="98"/>
      </tp>
      <tp>
        <v>2.1921107650285165</v>
        <stp/>
        <stp>##V3_BDPV12</stp>
        <stp>ALRS RX EQUITY</stp>
        <stp>CURRENT_EV_TO_12M_SALES</stp>
        <stp>[upload (2).xlsm]Model Portfolio!R5C17</stp>
        <tr r="Q5" s="98"/>
      </tp>
      <tp t="s">
        <v>#N/A Field Not Applicable</v>
        <stp/>
        <stp>##V3_BDPV12</stp>
        <stp>SVAV RX EQUITY</stp>
        <stp>DVD_RECORD_DT</stp>
        <stp>[upload (2).xlsm]Model Portfolio!R72C28</stp>
        <tr r="AB72" s="98"/>
      </tp>
      <tp>
        <v>15.5</v>
        <stp/>
        <stp>##V3_BDPV12</stp>
        <stp>AGRO LI Equity</stp>
        <stp>BEST_TARGET_PRICE</stp>
        <stp>[Copy of upload (2).xlsm]Гарез_GRENF (2)!R8C8</stp>
        <tr r="H8" s="116"/>
      </tp>
      <tp t="s">
        <v>#N/A Field Not Applicable</v>
        <stp/>
        <stp>##V3_BDPV12</stp>
        <stp>MVID RX EQUITY</stp>
        <stp>DVD_RECORD_DT</stp>
        <stp>[upload (2).xlsm]Model Portfolio!R38C28</stp>
        <tr r="AB38" s="98"/>
      </tp>
      <tp>
        <v>11.600310497408032</v>
        <stp/>
        <stp>##V3_BDPV12</stp>
        <stp>LXFT US EQUITY</stp>
        <stp>EBITDA_MARGIN</stp>
        <stp>[upload (2).xlsm]Model Portfolio!R41C23</stp>
        <tr r="W41" s="98"/>
      </tp>
      <tp>
        <v>285.89999999999998</v>
        <stp/>
        <stp>##V3_BDPV12</stp>
        <stp>MTSS RX EQUITY</stp>
        <stp>PX_LAST</stp>
        <stp>[upload (2).xlsm]Model Portfolio!R67C3</stp>
        <tr r="C67" s="98"/>
      </tp>
      <tp>
        <v>6.9212572668723622</v>
        <stp/>
        <stp>##V3_BDPV12</stp>
        <stp>KCEL LI EQUITY</stp>
        <stp>EST_EV_THIS_YR_EBITDA</stp>
        <stp>[upload (2).xlsm]Model Portfolio!R65C16</stp>
        <tr r="P65" s="98"/>
      </tp>
      <tp>
        <v>1.7519633744527776</v>
        <stp/>
        <stp>##V3_BDPV12</stp>
        <stp>XS0796426228 Corp</stp>
        <stp>YLD_YTM_ask</stp>
        <stp>[upload (2).xlsm]Base all $ 3 Duration!R54C7</stp>
        <tr r="G54" s="66"/>
      </tp>
      <tp t="s">
        <v>BORETS FINANCE DAC</v>
        <stp/>
        <stp>##V3_BDPV12</stp>
        <stp>XS0974469206 Corp</stp>
        <stp>name</stp>
        <stp>[upload (2).xlsm]Base all $ 3 Duration!R14C1</stp>
        <tr r="A14" s="66"/>
      </tp>
      <tp t="s">
        <v>NR</v>
        <stp/>
        <stp>##V3_BDPV12</stp>
        <stp>XS0588436799 Corp</stp>
        <stp>RTG_fitch</stp>
        <stp>[upload (2).xlsm]Base all $ 3 Duration!R94C10</stp>
        <tr r="J94" s="66"/>
        <tr r="J94" s="66"/>
      </tp>
      <tp t="s">
        <v>#N/A N/A</v>
        <stp/>
        <stp>##V3_BDPV12</stp>
        <stp>XS0292530309 Corp</stp>
        <stp>YLD_YTM_ask</stp>
        <stp>[upload (2).xlsm]Base all $ 3 Duration!R81C7</stp>
        <tr r="G81" s="66"/>
      </tp>
      <tp t="s">
        <v>10/10/2017</v>
        <stp/>
        <stp>##V3_BDPV12</stp>
        <stp>NVTK RX EQUITY</stp>
        <stp>DVD_RECORD_DT</stp>
        <stp>[upload (2).xlsm]Model Portfolio!R16C28</stp>
        <tr r="AB16" s="98"/>
      </tp>
      <tp>
        <v>314.89999999999998</v>
        <stp/>
        <stp>##V3_BDPV12</stp>
        <stp>ROSN RX EQUITY</stp>
        <stp>PX_LAST</stp>
        <stp>[upload (2).xlsm]Model Portfolio!R17C3</stp>
        <tr r="C17" s="98"/>
      </tp>
      <tp t="s">
        <v>RUSSIAN STAND BK (RSF)</v>
        <stp/>
        <stp>##V3_BDPV12</stp>
        <stp>XS0841677387 Corp</stp>
        <stp>name</stp>
        <stp>[upload (2).xlsm]Base all $ 3 Duration!R99C1</stp>
        <tr r="A99" s="66"/>
      </tp>
      <tp>
        <v>8.5588121000000008</v>
        <stp/>
        <stp>##V3_BDPV12</stp>
        <stp>XS0869792928 Corp</stp>
        <stp>YLD_YTM_ask</stp>
        <stp>[upload (2).xlsm]Base all $ 3 Duration!R10C7</stp>
        <tr r="G10" s="66"/>
      </tp>
      <tp t="s">
        <v>ALFA BANK (ALFA BOND)</v>
        <stp/>
        <stp>##V3_BDPV12</stp>
        <stp>XS0288690539 Corp</stp>
        <stp>name</stp>
        <stp>[upload (2).xlsm]Base all $ 3 Duration!R62C1</stp>
        <tr r="A62" s="66"/>
      </tp>
      <tp t="s">
        <v>CREDIT BANK OF MOSCOW (C</v>
        <stp/>
        <stp>##V3_BDPV12</stp>
        <stp>XS0879105558 Corp</stp>
        <stp>name</stp>
        <stp>[upload (2).xlsm]Base all $ 3 Duration!R38C1</stp>
        <tr r="A38" s="66"/>
      </tp>
      <tp t="s">
        <v>NR</v>
        <stp/>
        <stp>##V3_BDPV12</stp>
        <stp>XS0708813653 Corp</stp>
        <stp>RTG_fitch</stp>
        <stp>[upload (2).xlsm]Base all $ 3 Duration!R93C10</stp>
        <tr r="J93" s="66"/>
        <tr r="J93" s="66"/>
      </tp>
      <tp t="s">
        <v>NOVATEK(NOVATEK FIN LTD)</v>
        <stp/>
        <stp>##V3_BDPV12</stp>
        <stp>XS0588436799 Corp</stp>
        <stp>name</stp>
        <stp>[upload (2).xlsm]Base all $ 3 Duration!R94C1</stp>
        <tr r="A94" s="66"/>
      </tp>
      <tp>
        <v>11.7573618</v>
        <stp/>
        <stp>##V3_BDPV12</stp>
        <stp>XS0851672435 Corp</stp>
        <stp>YLD_YTM_ask</stp>
        <stp>[upload (2).xlsm]Base all $ 3 Duration!R23C7</stp>
        <tr r="G23" s="66"/>
      </tp>
      <tp t="s">
        <v>WD</v>
        <stp/>
        <stp>##V3_BDPV12</stp>
        <stp>XS0312572984 Corp</stp>
        <stp>RTG_fitch</stp>
        <stp>[upload (2).xlsm]Base all $ 3 Duration!R22C10</stp>
        <tr r="J22" s="66"/>
        <tr r="J22" s="66"/>
      </tp>
      <tp>
        <v>29.179938091606477</v>
        <stp/>
        <stp>##V3_BDPV12</stp>
        <stp>MAIL LI EQUITY</stp>
        <stp>EBITDA_MARGIN</stp>
        <stp>[upload (2).xlsm]Model Portfolio!R44C23</stp>
        <tr r="W44" s="98"/>
      </tp>
      <tp t="s">
        <v>BB</v>
        <stp/>
        <stp>##V3_BDPV12</stp>
        <stp>XS0863583281 Corp</stp>
        <stp>RTG_fitch</stp>
        <stp>[upload (2).xlsm]Base all $ 3 Duration!R67C10</stp>
        <tr r="J67" s="66"/>
        <tr r="J67" s="66"/>
      </tp>
      <tp>
        <v>0.65721175460820902</v>
        <stp/>
        <stp>##V3_BDPV12</stp>
        <stp>XS0808632847 Corp</stp>
        <stp>YLD_YTM_ask</stp>
        <stp>[upload (2).xlsm]Base all $ 3 Duration!R65C7</stp>
        <tr r="G65" s="66"/>
      </tp>
      <tp t="s">
        <v>RUSSIAN STAND BK (RSF)</v>
        <stp/>
        <stp>##V3_BDPV12</stp>
        <stp>XS0802648955 Corp</stp>
        <stp>name</stp>
        <stp>[upload (2).xlsm]Base all $ 3 Duration!R12C1</stp>
        <tr r="A12" s="66"/>
      </tp>
      <tp t="s">
        <v>VTB BANK (KUZNETSKI)</v>
        <stp/>
        <stp>##V3_BDPV12</stp>
        <stp>XS0299183250 Corp</stp>
        <stp>name</stp>
        <stp>[upload (2).xlsm]Base all $ 3 Duration!R40C1</stp>
        <tr r="A40" s="66"/>
      </tp>
      <tp t="s">
        <v>WD</v>
        <stp/>
        <stp>##V3_BDPV12</stp>
        <stp>XS0772509484 Corp</stp>
        <stp>RTG_fitch</stp>
        <stp>[upload (2).xlsm]Base all $ 3 Duration!R78C10</stp>
        <tr r="J78" s="66"/>
        <tr r="J78" s="66"/>
      </tp>
      <tp>
        <v>7.3701485096874855</v>
        <stp/>
        <stp>##V3_BDPV12</stp>
        <stp>MSNG RX EQUITY</stp>
        <stp>NORMALIZED_ROE</stp>
        <stp>[upload (2).xlsm]Model Portfolio!R55C26</stp>
        <tr r="Z55" s="98"/>
      </tp>
      <tp>
        <v>21.417248223088386</v>
        <stp/>
        <stp>##V3_BDPV12</stp>
        <stp>BANE RX EQUITY</stp>
        <stp>NORMALIZED_ROE</stp>
        <stp>[upload (2).xlsm]Model Portfolio!R18C26</stp>
        <tr r="Z18" s="98"/>
      </tp>
      <tp>
        <v>9.8471784957667499</v>
        <stp/>
        <stp>##V3_BDPV12</stp>
        <stp>POLY LN EQUITY</stp>
        <stp>SALES_GROWTH</stp>
        <stp>[upload (2).xlsm]Model Portfolio!R6C21</stp>
        <tr r="U6" s="98"/>
      </tp>
      <tp>
        <v>37.247551961827966</v>
        <stp/>
        <stp>##V3_BDPV12</stp>
        <stp>KMG LI EQUITY</stp>
        <stp>SALES_GROWTH</stp>
        <stp>[upload (2).xlsm]Model Portfolio!R9C21</stp>
        <tr r="U9" s="98"/>
      </tp>
      <tp>
        <v>-9.8730818083925396</v>
        <stp/>
        <stp>##V3_BDPV12</stp>
        <stp>POG LN EQUITY</stp>
        <stp>SALES_GROWTH</stp>
        <stp>[upload (2).xlsm]Model Portfolio!R7C21</stp>
        <tr r="U7" s="98"/>
      </tp>
      <tp>
        <v>200000</v>
        <stp/>
        <stp>##V3_BDPV12</stp>
        <stp>XS0922883318 Corp</stp>
        <stp>MIN_PIECE</stp>
        <stp>[upload (2).xlsm]Base all $ 3 Duration!R56C20</stp>
        <tr r="T56" s="66"/>
      </tp>
      <tp>
        <v>200000</v>
        <stp/>
        <stp>##V3_BDPV12</stp>
        <stp>XS0899969702 Corp</stp>
        <stp>MIN_PIECE</stp>
        <stp>[upload (2).xlsm]Base all $ 3 Duration!R71C20</stp>
        <tr r="T71" s="66"/>
      </tp>
      <tp t="s">
        <v>#N/A N/A</v>
        <stp/>
        <stp>##V3_BDPV12</stp>
        <stp>MGNT RX EQUITY</stp>
        <stp>NORMALIZED_ROE</stp>
        <stp>[upload (2).xlsm]Model Portfolio!R35C26</stp>
        <tr r="Z35" s="98"/>
      </tp>
      <tp t="s">
        <v>Commer Banks Non-US</v>
        <stp/>
        <stp>##V3_BDPV12</stp>
        <stp>XS0802648955 Corp</stp>
        <stp>INDUSTRY_SUBGROUP</stp>
        <stp>[upload (2).xlsm]Base all $ 3 Duration!R12C11</stp>
        <tr r="K12" s="66"/>
      </tp>
      <tp t="s">
        <v>Commer Banks Non-US</v>
        <stp/>
        <stp>##V3_BDPV12</stp>
        <stp>XS0524658852 Corp</stp>
        <stp>INDUSTRY_SUBGROUP</stp>
        <stp>[upload (2).xlsm]Base all $ 3 Duration!R68C11</stp>
        <tr r="K68" s="66"/>
      </tp>
      <tp>
        <v>3.5</v>
        <stp/>
        <stp>##V3_BDPV12</stp>
        <stp>BANEP RX EQUITY</stp>
        <stp>EQY_REC_CONS</stp>
        <stp>[upload (2).xlsm]Model Portfolio!R8C29</stp>
        <tr r="AC8" s="98"/>
      </tp>
      <tp t="s">
        <v>#N/A N/A</v>
        <stp/>
        <stp>##V3_BDPV12</stp>
        <stp>VIP US EQUITY</stp>
        <stp>BDVD_NEXT_EST_DECL_DT</stp>
        <stp>[upload (2).xlsm]Model Portfolio!R61C31</stp>
        <tr r="AE61" s="98"/>
      </tp>
      <tp t="s">
        <v>#N/A N/A</v>
        <stp/>
        <stp>##V3_BDPV12</stp>
        <stp>XS0238091507 Corp</stp>
        <stp>YLD_YTM_BID</stp>
        <stp>[upload (2).xlsm]Base all $ 3 Duration!R5C6</stp>
        <tr r="F5" s="66"/>
      </tp>
      <tp>
        <v>49.57368528081367</v>
        <stp/>
        <stp>##V3_BDPV12</stp>
        <stp>XS0920334900 Corp</stp>
        <stp>YLD_YTM_BID</stp>
        <stp>[upload (2).xlsm]Base all $ 3 Duration!R6C6</stp>
        <tr r="F6" s="66"/>
      </tp>
      <tp t="s">
        <v>#N/A Field Not Applicable</v>
        <stp/>
        <stp>##V3_BDPV12</stp>
        <stp>FIVE LI EQUITY</stp>
        <stp>DVD_RECORD_DT</stp>
        <stp>[upload (2).xlsm]Model Portfolio!R36C28</stp>
        <tr r="AB36" s="98"/>
      </tp>
      <tp t="s">
        <v>19/04/2018</v>
        <stp/>
        <stp>##V3_BDPV12</stp>
        <stp>SBER RX EQUITY</stp>
        <stp>BDVD_NEXT_EST_DECL_DT</stp>
        <stp>[upload (2).xlsm]Model Portfolio!R75C31</stp>
        <tr r="AE75" s="98"/>
      </tp>
      <tp t="s">
        <v>#N/A N/A</v>
        <stp/>
        <stp>##V3_BDPV12</stp>
        <stp>EPAM US EQUITY</stp>
        <stp>DVD_RECORD_DT</stp>
        <stp>[upload (2).xlsm]Model Portfolio!R42C28</stp>
        <tr r="AB42" s="98"/>
      </tp>
      <tp>
        <v>6.5292000000000003</v>
        <stp/>
        <stp>##V3_BDPV12</stp>
        <stp>CNY Curncy</stp>
        <stp>PX_LAST</stp>
        <stp>[upload (2).xlsm]Model Portfolio!R1C41</stp>
        <tr r="AO1" s="98"/>
      </tp>
      <tp t="s">
        <v>#N/A N/A</v>
        <stp/>
        <stp>##V3_BDPV12</stp>
        <stp>XS0552679879 Corp</stp>
        <stp>YLD_YTM_ask</stp>
        <stp>[upload (2).xlsm]Base all $ 3 Duration!R43C7</stp>
        <tr r="G43" s="66"/>
      </tp>
      <tp t="s">
        <v>OJSC RUSS AGRIC BK(RSHB)</v>
        <stp/>
        <stp>##V3_BDPV12</stp>
        <stp>XS0796426228 Corp</stp>
        <stp>name</stp>
        <stp>[upload (2).xlsm]Base all $ 3 Duration!R54C1</stp>
        <tr r="A54" s="66"/>
      </tp>
      <tp t="s">
        <v>VIMPELCOM HOLDINGS BV</v>
        <stp/>
        <stp>##V3_BDPV12</stp>
        <stp>XS0643176448 Corp</stp>
        <stp>name</stp>
        <stp>[upload (2).xlsm]Base all $ 3 Duration!R79C1</stp>
        <tr r="A79" s="66"/>
      </tp>
      <tp t="s">
        <v>WD</v>
        <stp/>
        <stp>##V3_BDPV12</stp>
        <stp>XS0652913558 Corp</stp>
        <stp>RTG_fitch</stp>
        <stp>[upload (2).xlsm]Base all $ 3 Duration!R60C10</stp>
        <tr r="J60" s="66"/>
        <tr r="J60" s="66"/>
      </tp>
      <tp t="s">
        <v>GAZPROMBK (GPB FINANCE)</v>
        <stp/>
        <stp>##V3_BDPV12</stp>
        <stp>XS0783291221 Corp</stp>
        <stp>name</stp>
        <stp>[upload (2).xlsm]Base all $ 3 Duration!R72C1</stp>
        <tr r="A72" s="66"/>
      </tp>
      <tp t="s">
        <v>OJSC NOVO(STEEL FUNDING)</v>
        <stp/>
        <stp>##V3_BDPV12</stp>
        <stp>XS0783934325 Corp</stp>
        <stp>name</stp>
        <stp>[upload (2).xlsm]Base all $ 3 Duration!R47C1</stp>
        <tr r="A47" s="66"/>
      </tp>
      <tp>
        <v>1.9563768000000001</v>
        <stp/>
        <stp>##V3_BDPV12</stp>
        <stp>XS0618905219 Corp</stp>
        <stp>YLD_YTM_ask</stp>
        <stp>[upload (2).xlsm]Base all $ 3 Duration!R37C7</stp>
        <tr r="G37" s="66"/>
      </tp>
      <tp t="s">
        <v>NR</v>
        <stp/>
        <stp>##V3_BDPV12</stp>
        <stp>XS0648402583 Corp</stp>
        <stp>RTG_fitch</stp>
        <stp>[upload (2).xlsm]Base all $ 3 Duration!R92C10</stp>
        <tr r="J92" s="66"/>
        <tr r="J92" s="66"/>
      </tp>
      <tp t="s">
        <v>BBB-</v>
        <stp/>
        <stp>##V3_BDPV12</stp>
        <stp>XS0424860947 Corp</stp>
        <stp>RTG_fitch</stp>
        <stp>[upload (2).xlsm]Base all $ 3 Duration!R46C10</stp>
        <tr r="J46" s="66"/>
        <tr r="J46" s="66"/>
      </tp>
      <tp t="s">
        <v>#N/A N/A</v>
        <stp/>
        <stp>##V3_BDPV12</stp>
        <stp>XS0640334768 Corp</stp>
        <stp>YLD_YTM_ask</stp>
        <stp>[upload (2).xlsm]Base all $ 3 Duration!R15C7</stp>
        <tr r="G15" s="66"/>
      </tp>
      <tp>
        <v>2.2610776000000001</v>
        <stp/>
        <stp>##V3_BDPV12</stp>
        <stp>XS0923472814 Corp</stp>
        <stp>YLD_YTM_ask</stp>
        <stp>[upload (2).xlsm]Base all $ 3 Duration!R52C7</stp>
        <tr r="G52" s="66"/>
      </tp>
      <tp>
        <v>2.9125543597187011</v>
        <stp/>
        <stp>##V3_BDPV12</stp>
        <stp>XS0879105558 Corp</stp>
        <stp>YLD_YTM_ask</stp>
        <stp>[upload (2).xlsm]Base all $ 3 Duration!R38C7</stp>
        <tr r="G38" s="66"/>
      </tp>
      <tp t="s">
        <v>SBERBANK (SB CAP SA)</v>
        <stp/>
        <stp>##V3_BDPV12</stp>
        <stp>XS0799357354 Corp</stp>
        <stp>name</stp>
        <stp>[upload (2).xlsm]Base all $ 3 Duration!R55C1</stp>
        <tr r="A55" s="66"/>
      </tp>
      <tp>
        <v>100000</v>
        <stp/>
        <stp>##V3_BDPV12</stp>
        <stp>XS0543956717 Corp</stp>
        <stp>MIN_PIECE</stp>
        <stp>[upload (2).xlsm]Base all $ 3 Duration!R85C20</stp>
        <tr r="T85" s="66"/>
      </tp>
      <tp>
        <v>17.24272798182129</v>
        <stp/>
        <stp>##V3_BDPV12</stp>
        <stp>MFON RX EQUITY</stp>
        <stp>NORMALIZED_ROE</stp>
        <stp>[upload (2).xlsm]Model Portfolio!R62C26</stp>
        <tr r="Z62" s="98"/>
      </tp>
      <tp>
        <v>200000</v>
        <stp/>
        <stp>##V3_BDPV12</stp>
        <stp>XS0618905219 Corp</stp>
        <stp>MIN_PIECE</stp>
        <stp>[upload (2).xlsm]Base all $ 3 Duration!R37C20</stp>
        <tr r="T37" s="66"/>
      </tp>
      <tp>
        <v>200000</v>
        <stp/>
        <stp>##V3_BDPV12</stp>
        <stp>XS0775984213 Corp</stp>
        <stp>MIN_PIECE</stp>
        <stp>[upload (2).xlsm]Base all $ 3 Duration!R42C20</stp>
        <tr r="T42" s="66"/>
      </tp>
      <tp>
        <v>7.6804014136194159</v>
        <stp/>
        <stp>##V3_BDPV12</stp>
        <stp>LKOH RX EQUITY</stp>
        <stp>NORMALIZED_ROE</stp>
        <stp>[upload (2).xlsm]Model Portfolio!R13C26</stp>
        <tr r="Z13" s="98"/>
      </tp>
      <tp t="s">
        <v>Commer Banks Non-US</v>
        <stp/>
        <stp>##V3_BDPV12</stp>
        <stp>XS0923110232 Corp</stp>
        <stp>INDUSTRY_SUBGROUP</stp>
        <stp>[upload (2).xlsm]Base all $ 3 Duration!R35C11</stp>
        <tr r="K35" s="66"/>
      </tp>
      <tp t="s">
        <v>Commer Banks Non-US</v>
        <stp/>
        <stp>##V3_BDPV12</stp>
        <stp>XS0854763355 Corp</stp>
        <stp>INDUSTRY_SUBGROUP</stp>
        <stp>[upload (2).xlsm]Base all $ 3 Duration!R28C11</stp>
        <tr r="K28" s="66"/>
      </tp>
      <tp t="s">
        <v>Retail</v>
        <stp/>
        <stp>##V3_BDPV12</stp>
        <stp>MVID RX EQUITY</stp>
        <stp>INDUSTRY_GROUP</stp>
        <stp>[upload (2).xlsm]Model Portfolio!R38C13</stp>
        <tr r="M38" s="98"/>
      </tp>
      <tp>
        <v>44.810918497521556</v>
        <stp/>
        <stp>##V3_BDPV12</stp>
        <stp>PHOR RX EQUITY</stp>
        <stp>NORMALIZED_ROE</stp>
        <stp>[upload (2).xlsm]Model Portfolio!R32C26</stp>
        <tr r="Z32" s="98"/>
      </tp>
      <tp t="s">
        <v>Metal-Iron</v>
        <stp/>
        <stp>##V3_BDPV12</stp>
        <stp>XS0808632847 Corp</stp>
        <stp>INDUSTRY_SUBGROUP</stp>
        <stp>[upload (2).xlsm]Base all $ 3 Duration!R65C11</stp>
        <tr r="K65" s="66"/>
      </tp>
      <tp t="s">
        <v>Commer Banks Non-US</v>
        <stp/>
        <stp>##V3_BDPV12</stp>
        <stp>XS0742380412 Corp</stp>
        <stp>INDUSTRY_SUBGROUP</stp>
        <stp>[upload (2).xlsm]Base all $ 3 Duration!R86C11</stp>
        <tr r="K86" s="66"/>
      </tp>
      <tp t="s">
        <v>Commer Banks Non-US</v>
        <stp/>
        <stp>##V3_BDPV12</stp>
        <stp>XS1043519567 Corp</stp>
        <stp>INDUSTRY_SUBGROUP</stp>
        <stp>[upload (2).xlsm]Base all $ 3 Duration!R74C11</stp>
        <tr r="K74" s="66"/>
      </tp>
      <tp>
        <v>10.28722785709671</v>
        <stp/>
        <stp>##V3_BDPV12</stp>
        <stp>YNDX US EQUITY</stp>
        <stp>NORMALIZED_ROE</stp>
        <stp>[upload (2).xlsm]Model Portfolio!R43C26</stp>
        <tr r="Z43" s="98"/>
      </tp>
      <tp>
        <v>35.360370068327477</v>
        <stp/>
        <stp>##V3_BDPV12</stp>
        <stp>NORD LI EQUITY</stp>
        <stp>EBITDA_MARGIN</stp>
        <stp>[upload (2).xlsm]Model Portfolio!R3C23</stp>
        <tr r="W3" s="98"/>
      </tp>
      <tp t="s">
        <v>01/06/2017</v>
        <stp/>
        <stp>##V3_BDPV12</stp>
        <stp>KMG LI Equity</stp>
        <stp>DVD_EX_DT</stp>
        <stp>[Copy of upload (2).xlsm]Гарез_GRENF!R5C21</stp>
        <tr r="U5" s="115"/>
      </tp>
      <tp t="s">
        <v>ROSTELECOM-PREF</v>
        <stp/>
        <stp>##V3_BDPV12</stp>
        <stp>RTKMP RX EQUITY</stp>
        <stp>SHORT_NAME</stp>
        <stp>[upload (2).xlsm]Model Portfolio!R63C2</stp>
        <tr r="B63" s="98"/>
      </tp>
      <tp>
        <v>7.73</v>
        <stp/>
        <stp>##V3_BDPV12</stp>
        <stp>XS0238091507 Corp</stp>
        <stp>CPN</stp>
        <stp>[upload (2).xlsm]Base all $ 3 Duration!R5C8</stp>
        <tr r="H5" s="66"/>
      </tp>
      <tp>
        <v>8</v>
        <stp/>
        <stp>##V3_BDPV12</stp>
        <stp>XS0920334900 Corp</stp>
        <stp>CPN</stp>
        <stp>[upload (2).xlsm]Base all $ 3 Duration!R6C8</stp>
        <tr r="H6" s="66"/>
      </tp>
      <tp t="s">
        <v>#N/A N/A</v>
        <stp/>
        <stp>##V3_BDPV12</stp>
        <stp>KMAZ RX EQUITY</stp>
        <stp>BDVD_NEXT_EST_DECL_DT</stp>
        <stp>[upload (2).xlsm]Model Portfolio!R73C31</stp>
        <tr r="AE73" s="98"/>
      </tp>
      <tp>
        <v>3.3092708808088105</v>
        <stp/>
        <stp>##V3_BDPV12</stp>
        <stp>MSRS RX EQUITY</stp>
        <stp>EST_EV_THIS_YR_EBITDA</stp>
        <stp>[upload (2).xlsm]Model Portfolio!R59C16</stp>
        <tr r="P59" s="98"/>
      </tp>
      <tp t="s">
        <v>24/04/2018</v>
        <stp/>
        <stp>##V3_BDPV12</stp>
        <stp>GMKN RX EQUITY</stp>
        <stp>BDVD_NEXT_EST_DECL_DT</stp>
        <stp>[upload (2).xlsm]Model Portfolio!R29C31</stp>
        <tr r="AE29" s="98"/>
      </tp>
      <tp>
        <v>4.8352629185024849</v>
        <stp/>
        <stp>##V3_BDPV12</stp>
        <stp>LSRG RX EQUITY</stp>
        <stp>EST_EV_THIS_YR_EBITDA</stp>
        <stp>[upload (2).xlsm]Model Portfolio!R69C16</stp>
        <tr r="P69" s="98"/>
      </tp>
      <tp t="s">
        <v>NR</v>
        <stp/>
        <stp>##V3_BDPV12</stp>
        <stp>XS0275728557 Corp</stp>
        <stp>RTG_SP</stp>
        <stp>[upload (2).xlsm]Base all $ 3 Duration!R8C10</stp>
        <tr r="J8" s="66"/>
        <tr r="J8" s="66"/>
      </tp>
      <tp t="s">
        <v>#N/A N/A</v>
        <stp/>
        <stp>##V3_BDPV12</stp>
        <stp>BSPB RX EQUITY</stp>
        <stp>EST_EV_THIS_YR_EBITDA</stp>
        <stp>[upload (2).xlsm]Model Portfolio!R77C16</stp>
        <tr r="P77" s="98"/>
      </tp>
      <tp>
        <v>7.0343715101129165</v>
        <stp/>
        <stp>##V3_BDPV12</stp>
        <stp>MTSS RX EQUITY</stp>
        <stp>EST_PE_NXT_YR</stp>
        <stp>[upload (2).xlsm]Model Portfolio!R67C15</stp>
        <tr r="O67" s="98"/>
      </tp>
      <tp>
        <v>3.0533771267123893</v>
        <stp/>
        <stp>##V3_BDPV12</stp>
        <stp>RSTI RX EQUITY</stp>
        <stp>EST_EV_THIS_YR_EBITDA</stp>
        <stp>[upload (2).xlsm]Model Portfolio!R54C16</stp>
        <tr r="P54" s="98"/>
      </tp>
      <tp t="s">
        <v>PROMSVYAZBK(PSB FINANCE)</v>
        <stp/>
        <stp>##V3_BDPV12</stp>
        <stp>XS0851672435 Corp</stp>
        <stp>name</stp>
        <stp>[upload (2).xlsm]Base all $ 3 Duration!R23C1</stp>
        <tr r="A23" s="66"/>
      </tp>
      <tp>
        <v>7.5962927139197483</v>
        <stp/>
        <stp>##V3_BDPV12</stp>
        <stp>MTLR RX EQUITY</stp>
        <stp>EST_PE_NXT_YR</stp>
        <stp>[upload (2).xlsm]Model Portfolio!R24C15</stp>
        <tr r="O24" s="98"/>
      </tp>
      <tp t="s">
        <v>METALLOINVEST FINANCE LT</v>
        <stp/>
        <stp>##V3_BDPV12</stp>
        <stp>XS0650962185 Corp</stp>
        <stp>name</stp>
        <stp>[upload (2).xlsm]Base all $ 3 Duration!R83C1</stp>
        <tr r="A83" s="66"/>
      </tp>
      <tp>
        <v>11.285421645612836</v>
        <stp/>
        <stp>##V3_BDPV12</stp>
        <stp>RTKM RX EQUITY</stp>
        <stp>EST_PE_NXT_YR</stp>
        <stp>[upload (2).xlsm]Model Portfolio!R66C15</stp>
        <tr r="O66" s="98"/>
      </tp>
      <tp>
        <v>2.9396500420317739</v>
        <stp/>
        <stp>##V3_BDPV12</stp>
        <stp>MSNG RX EQUITY</stp>
        <stp>EST_EV_THIS_YR_EBITDA</stp>
        <stp>[upload (2).xlsm]Model Portfolio!R55C16</stp>
        <tr r="P55" s="98"/>
      </tp>
      <tp t="s">
        <v>CB RENCAP(REN CONSUMER)</v>
        <stp/>
        <stp>##V3_BDPV12</stp>
        <stp>XS0869792928 Corp</stp>
        <stp>name</stp>
        <stp>[upload (2).xlsm]Base all $ 3 Duration!R10C1</stp>
        <tr r="A10" s="66"/>
      </tp>
      <tp t="s">
        <v>WD</v>
        <stp/>
        <stp>##V3_BDPV12</stp>
        <stp>XS0802648955 Corp</stp>
        <stp>RTG_fitch</stp>
        <stp>[upload (2).xlsm]Base all $ 3 Duration!R12C10</stp>
        <tr r="J12" s="66"/>
        <tr r="J12" s="66"/>
      </tp>
      <tp t="s">
        <v>#N/A N/A</v>
        <stp/>
        <stp>##V3_BDPV12</stp>
        <stp>NMTP RX EQUITY</stp>
        <stp>BDVD_NEXT_EST_DECL_DT</stp>
        <stp>[upload (2).xlsm]Model Portfolio!R49C31</stp>
        <tr r="AE49" s="98"/>
      </tp>
      <tp t="s">
        <v>GAZPROM (GAZ CAPITAL SA)</v>
        <stp/>
        <stp>##V3_BDPV12</stp>
        <stp>XS0562354182 Corp</stp>
        <stp>name</stp>
        <stp>[upload (2).xlsm]Base all $ 3 Duration!R96C1</stp>
        <tr r="A96" s="66"/>
      </tp>
      <tp>
        <v>2.7135251</v>
        <stp/>
        <stp>##V3_BDPV12</stp>
        <stp>XS0993162170 Corp</stp>
        <stp>YLD_YTM_ask</stp>
        <stp>[upload (2).xlsm]Base all $ 3 Duration!R48C7</stp>
        <tr r="G48" s="66"/>
      </tp>
      <tp>
        <v>97.834466899999995</v>
        <stp/>
        <stp>##V3_BDPV12</stp>
        <stp>XS0940730228 Corp</stp>
        <stp>YLD_YTM_ask</stp>
        <stp>[upload (2).xlsm]Base all $ 3 Duration!R25C7</stp>
        <tr r="G25" s="66"/>
      </tp>
      <tp t="s">
        <v>LUKOIL INTL FINANCE BV</v>
        <stp/>
        <stp>##V3_BDPV12</stp>
        <stp>XS0304273948 Corp</stp>
        <stp>name</stp>
        <stp>[upload (2).xlsm]Base all $ 3 Duration!R87C1</stp>
        <tr r="A87" s="66"/>
      </tp>
      <tp t="s">
        <v>JSC SEVERSTAL(STEEL CAP)</v>
        <stp/>
        <stp>##V3_BDPV12</stp>
        <stp>XS0648402583 Corp</stp>
        <stp>name</stp>
        <stp>[upload (2).xlsm]Base all $ 3 Duration!R92C1</stp>
        <tr r="A92" s="66"/>
      </tp>
      <tp t="s">
        <v>GAZPROM (GAZ CAPITAL SA)</v>
        <stp/>
        <stp>##V3_BDPV12</stp>
        <stp>XS0424860947 Corp</stp>
        <stp>name</stp>
        <stp>[upload (2).xlsm]Base all $ 3 Duration!R46C1</stp>
        <tr r="A46" s="66"/>
      </tp>
      <tp t="s">
        <v>#N/A N/A</v>
        <stp/>
        <stp>##V3_BDPV12</stp>
        <stp>XS0648402583 Corp</stp>
        <stp>YLD_YTM_ask</stp>
        <stp>[upload (2).xlsm]Base all $ 3 Duration!R92C7</stp>
        <tr r="G92" s="66"/>
      </tp>
      <tp t="s">
        <v>WD</v>
        <stp/>
        <stp>##V3_BDPV12</stp>
        <stp>XS0524658852 Corp</stp>
        <stp>RTG_fitch</stp>
        <stp>[upload (2).xlsm]Base all $ 3 Duration!R68C10</stp>
        <tr r="J68" s="66"/>
        <tr r="J68" s="66"/>
      </tp>
      <tp>
        <v>100000</v>
        <stp/>
        <stp>##V3_BDPV12</stp>
        <stp>XS0357281558 Corp</stp>
        <stp>MIN_PIECE</stp>
        <stp>[upload (2).xlsm]Base all $ 3 Duration!R69C20</stp>
        <tr r="T69" s="66"/>
      </tp>
      <tp>
        <v>200000</v>
        <stp/>
        <stp>##V3_BDPV12</stp>
        <stp>XS0993279958 Corp</stp>
        <stp>MIN_PIECE</stp>
        <stp>[upload (2).xlsm]Base all $ 3 Duration!R13C20</stp>
        <tr r="T13" s="66"/>
      </tp>
      <tp>
        <v>200000</v>
        <stp/>
        <stp>##V3_BDPV12</stp>
        <stp>XS0616784509 Corp</stp>
        <stp>MIN_PIECE</stp>
        <stp>[upload (2).xlsm]Base all $ 3 Duration!R24C20</stp>
        <tr r="T24" s="66"/>
      </tp>
      <tp>
        <v>200000</v>
        <stp/>
        <stp>##V3_BDPV12</stp>
        <stp>XS0776121062 Corp</stp>
        <stp>MIN_PIECE</stp>
        <stp>[upload (2).xlsm]Base all $ 3 Duration!R27C20</stp>
        <tr r="T27" s="66"/>
      </tp>
      <tp>
        <v>100000</v>
        <stp/>
        <stp>##V3_BDPV12</stp>
        <stp>XS0236336045 Corp</stp>
        <stp>MIN_PIECE</stp>
        <stp>[upload (2).xlsm]Base all $ 3 Duration!R97C20</stp>
        <tr r="T97" s="66"/>
      </tp>
      <tp>
        <v>120.4301</v>
        <stp/>
        <stp>##V3_BDPV12</stp>
        <stp>EVR LN EQUITY</stp>
        <stp>CHG_PCT_1YR</stp>
        <stp>[upload (2).xlsm]Model Portfolio!R26C6</stp>
        <tr r="F26" s="98"/>
      </tp>
      <tp>
        <v>200000</v>
        <stp/>
        <stp>##V3_BDPV12</stp>
        <stp>XS0808636913 Corp</stp>
        <stp>MIN_PIECE</stp>
        <stp>[upload (2).xlsm]Base all $ 3 Duration!R17C20</stp>
        <tr r="T17" s="66"/>
      </tp>
      <tp>
        <v>200000</v>
        <stp/>
        <stp>##V3_BDPV12</stp>
        <stp>XS0955232854 Corp</stp>
        <stp>MIN_PIECE</stp>
        <stp>[upload (2).xlsm]Base all $ 3 Duration!R45C20</stp>
        <tr r="T45" s="66"/>
      </tp>
      <tp t="s">
        <v>Oil Comp-Explor&amp;Prodtn</v>
        <stp/>
        <stp>##V3_BDPV12</stp>
        <stp>XS0588436799 Corp</stp>
        <stp>INDUSTRY_SUBGROUP</stp>
        <stp>[upload (2).xlsm]Base all $ 3 Duration!R94C11</stp>
        <tr r="K94" s="66"/>
      </tp>
      <tp t="s">
        <v>Commer Banks Non-US</v>
        <stp/>
        <stp>##V3_BDPV12</stp>
        <stp>XS0772509484 Corp</stp>
        <stp>INDUSTRY_SUBGROUP</stp>
        <stp>[upload (2).xlsm]Base all $ 3 Duration!R78C11</stp>
        <tr r="K78" s="66"/>
      </tp>
      <tp t="s">
        <v>Commer Banks Non-US</v>
        <stp/>
        <stp>##V3_BDPV12</stp>
        <stp>XS0312572984 Corp</stp>
        <stp>INDUSTRY_SUBGROUP</stp>
        <stp>[upload (2).xlsm]Base all $ 3 Duration!R22C11</stp>
        <tr r="K22" s="66"/>
      </tp>
      <tp>
        <v>5</v>
        <stp/>
        <stp>##V3_BDPV12</stp>
        <stp>PLZL RX EQUITY</stp>
        <stp>EQY_REC_CONS</stp>
        <stp>[upload (2).xlsm]Model Portfolio!R2C29</stp>
        <tr r="AC2" s="98"/>
      </tp>
      <tp t="s">
        <v>Agricultural Chemicals</v>
        <stp/>
        <stp>##V3_BDPV12</stp>
        <stp>XS0863583281 Corp</stp>
        <stp>INDUSTRY_SUBGROUP</stp>
        <stp>[upload (2).xlsm]Base all $ 3 Duration!R67C11</stp>
        <tr r="K67" s="66"/>
      </tp>
      <tp t="s">
        <v>Iron/Steel</v>
        <stp/>
        <stp>##V3_BDPV12</stp>
        <stp>FXPO LN EQUITY</stp>
        <stp>INDUSTRY_GROUP</stp>
        <stp>[upload (2).xlsm]Model Portfolio!R27C13</stp>
        <tr r="M27" s="98"/>
      </tp>
      <tp t="s">
        <v>Oil Comp-Integrated</v>
        <stp/>
        <stp>##V3_BDPV12</stp>
        <stp>XS0708813653 Corp</stp>
        <stp>INDUSTRY_SUBGROUP</stp>
        <stp>[upload (2).xlsm]Base all $ 3 Duration!R93C11</stp>
        <tr r="K93" s="66"/>
      </tp>
      <tp>
        <v>-0.67829649999999997</v>
        <stp/>
        <stp>##V3_BDPV12</stp>
        <stp>EVR LN EQUITY</stp>
        <stp>CHG_PCT_WTD</stp>
        <stp>[upload (2).xlsm]Model Portfolio!R26C4</stp>
        <tr r="D26" s="98"/>
      </tp>
      <tp>
        <v>38.63841</v>
        <stp/>
        <stp>##V3_BDPV12</stp>
        <stp>EVR LN EQUITY</stp>
        <stp>CHG_PCT_YTD</stp>
        <stp>[upload (2).xlsm]Model Portfolio!R26C7</stp>
        <tr r="G26" s="98"/>
      </tp>
      <tp>
        <v>47.892283537257015</v>
        <stp/>
        <stp>##V3_BDPV12</stp>
        <stp>ALRS RX EQUITY</stp>
        <stp>EBITDA_MARGIN</stp>
        <stp>[upload (2).xlsm]Model Portfolio!R5C23</stp>
        <tr r="W5" s="98"/>
      </tp>
      <tp>
        <v>7.5609999999999999</v>
        <stp/>
        <stp>##V3_BDPV12</stp>
        <stp>XS0275728557 Corp</stp>
        <stp>CPN</stp>
        <stp>[upload (2).xlsm]Base all $ 3 Duration!R8C8</stp>
        <tr r="H8" s="66"/>
      </tp>
      <tp>
        <v>22.478169999999999</v>
        <stp/>
        <stp>##V3_BDPV12</stp>
        <stp>EVR LN EQUITY</stp>
        <stp>EQY_FREE_FLOAT_PCT</stp>
        <stp>[upload (2).xlsm]Model Portfolio!R26C11</stp>
        <tr r="K26" s="98"/>
      </tp>
      <tp>
        <v>10.107165794727125</v>
        <stp/>
        <stp>##V3_BDPV12</stp>
        <stp>LNTA LI EQUITY</stp>
        <stp>EBITDA_MARGIN</stp>
        <stp>[upload (2).xlsm]Model Portfolio!R37C23</stp>
        <tr r="W37" s="98"/>
      </tp>
      <tp t="s">
        <v>14/09/2017</v>
        <stp/>
        <stp>##V3_BDPV12</stp>
        <stp>AGRO LI EQUITY</stp>
        <stp>DVD_RECORD_DT</stp>
        <stp>[upload (2).xlsm]Model Portfolio!R71C28</stp>
        <tr r="AB71" s="98"/>
      </tp>
      <tp t="s">
        <v>10/07/2017</v>
        <stp/>
        <stp>##V3_BDPV12</stp>
        <stp>HYDR RX EQUITY</stp>
        <stp>DVD_RECORD_DT</stp>
        <stp>[upload (2).xlsm]Model Portfolio!R58C28</stp>
        <tr r="AB58" s="98"/>
      </tp>
      <tp t="s">
        <v>NR</v>
        <stp/>
        <stp>##V3_BDPV12</stp>
        <stp>XS0920334900 Corp</stp>
        <stp>RTG_SP</stp>
        <stp>[upload (2).xlsm]Base all $ 3 Duration!R6C10</stp>
        <tr r="J6" s="66"/>
        <tr r="J6" s="66"/>
      </tp>
      <tp>
        <v>85.58</v>
        <stp/>
        <stp>##V3_BDPV12</stp>
        <stp>RASP RX EQUITY</stp>
        <stp>PX_LAST</stp>
        <stp>[upload (2).xlsm]Model Portfolio!R28C3</stp>
        <tr r="C28" s="98"/>
      </tp>
      <tp>
        <v>12.558381903049364</v>
        <stp/>
        <stp>##V3_BDPV12</stp>
        <stp>OKEY LI EQUITY</stp>
        <stp>EST_PE_NXT_YR</stp>
        <stp>[upload (2).xlsm]Model Portfolio!R39C15</stp>
        <tr r="O39" s="98"/>
      </tp>
      <tp>
        <v>0.88600000000000001</v>
        <stp/>
        <stp>##V3_BDPV12</stp>
        <stp>MSRS RX EQUITY</stp>
        <stp>PX_LAST</stp>
        <stp>[upload (2).xlsm]Model Portfolio!R59C3</stp>
        <tr r="C59" s="98"/>
      </tp>
      <tp>
        <v>3.8644859813084111</v>
        <stp/>
        <stp>##V3_BDPV12</stp>
        <stp>BANEP RX EQUITY</stp>
        <stp>EST_PE_NXT_YR</stp>
        <stp>[upload (2).xlsm]Model Portfolio!R8C15</stp>
        <tr r="O8" s="98"/>
      </tp>
      <tp t="s">
        <v>15/11/2017</v>
        <stp/>
        <stp>##V3_BDPV12</stp>
        <stp>NLMK RX EQUITY</stp>
        <stp>BDVD_NEXT_EST_DECL_DT</stp>
        <stp>[upload (2).xlsm]Model Portfolio!R22C31</stp>
        <tr r="AE22" s="98"/>
      </tp>
      <tp>
        <v>2.1406892000000002</v>
        <stp/>
        <stp>##V3_BDPV12</stp>
        <stp>XS0783934325 Corp</stp>
        <stp>YLD_YTM_ask</stp>
        <stp>[upload (2).xlsm]Base all $ 3 Duration!R47C7</stp>
        <tr r="G47" s="66"/>
      </tp>
      <tp>
        <v>9.4303580815772055</v>
        <stp/>
        <stp>##V3_BDPV12</stp>
        <stp>URKA RX EQUITY</stp>
        <stp>EST_EV_THIS_YR_EBITDA</stp>
        <stp>[upload (2).xlsm]Model Portfolio!R31C16</stp>
        <tr r="P31" s="98"/>
      </tp>
      <tp t="s">
        <v>BBB-</v>
        <stp/>
        <stp>##V3_BDPV12</stp>
        <stp>XS0808632847 Corp</stp>
        <stp>RTG_fitch</stp>
        <stp>[upload (2).xlsm]Base all $ 3 Duration!R65C10</stp>
        <tr r="J65" s="66"/>
        <tr r="J65" s="66"/>
      </tp>
      <tp t="s">
        <v>#N/A N/A</v>
        <stp/>
        <stp>##V3_BDPV12</stp>
        <stp>NORD LI EQUITY</stp>
        <stp>CHG_PCT_1YR</stp>
        <stp>[upload (2).xlsm]Model Portfolio!R3C6</stp>
        <tr r="F3" s="98"/>
      </tp>
      <tp t="s">
        <v>NR</v>
        <stp/>
        <stp>##V3_BDPV12</stp>
        <stp>XS0742380412 Corp</stp>
        <stp>RTG_fitch</stp>
        <stp>[upload (2).xlsm]Base all $ 3 Duration!R86C10</stp>
        <tr r="J86" s="66"/>
        <tr r="J86" s="66"/>
      </tp>
      <tp t="s">
        <v>KOKS OAO (KOKS FINANCE L</v>
        <stp/>
        <stp>##V3_BDPV12</stp>
        <stp>XS0640334768 Corp</stp>
        <stp>name</stp>
        <stp>[upload (2).xlsm]Base all $ 3 Duration!R15C1</stp>
        <tr r="A15" s="66"/>
      </tp>
      <tp t="s">
        <v>HACIENDA (DME AIRPORT)</v>
        <stp/>
        <stp>##V3_BDPV12</stp>
        <stp>XS0995845566 Corp</stp>
        <stp>name</stp>
        <stp>[upload (2).xlsm]Base all $ 3 Duration!R29C1</stp>
        <tr r="A29" s="66"/>
      </tp>
      <tp>
        <v>7.4272723000000003</v>
        <stp/>
        <stp>##V3_BDPV12</stp>
        <stp>XS0783242877 Corp</stp>
        <stp>YLD_YTM_ask</stp>
        <stp>[upload (2).xlsm]Base all $ 3 Duration!R32C7</stp>
        <tr r="G32" s="66"/>
      </tp>
      <tp>
        <v>6.2334831821966912</v>
        <stp/>
        <stp>##V3_BDPV12</stp>
        <stp>TRMK RX EQUITY</stp>
        <stp>EST_EV_THIS_YR_EBITDA</stp>
        <stp>[upload (2).xlsm]Model Portfolio!R21C16</stp>
        <tr r="P21" s="98"/>
      </tp>
      <tp t="s">
        <v>WD</v>
        <stp/>
        <stp>##V3_BDPV12</stp>
        <stp>XS0923110232 Corp</stp>
        <stp>RTG_fitch</stp>
        <stp>[upload (2).xlsm]Base all $ 3 Duration!R35C10</stp>
        <tr r="J35" s="66"/>
        <tr r="J35" s="66"/>
      </tp>
      <tp>
        <v>57.617741399857046</v>
        <stp/>
        <stp>##V3_BDPV12</stp>
        <stp>UPRO RX EQUITY</stp>
        <stp>EBITDA_MARGIN</stp>
        <stp>[upload (2).xlsm]Model Portfolio!R52C23</stp>
        <tr r="W52" s="98"/>
      </tp>
      <tp t="s">
        <v>TRANSNEFT(TRANS CAP INV)</v>
        <stp/>
        <stp>##V3_BDPV12</stp>
        <stp>XS0381439305 Corp</stp>
        <stp>name</stp>
        <stp>[upload (2).xlsm]Base all $ 3 Duration!R64C1</stp>
        <tr r="A64" s="66"/>
      </tp>
      <tp t="s">
        <v>B+</v>
        <stp/>
        <stp>##V3_BDPV12</stp>
        <stp>XS0854763355 Corp</stp>
        <stp>RTG_fitch</stp>
        <stp>[upload (2).xlsm]Base all $ 3 Duration!R28C10</stp>
        <tr r="J28" s="66"/>
        <tr r="J28" s="66"/>
      </tp>
      <tp>
        <v>7.5623034251363066</v>
        <stp/>
        <stp>##V3_BDPV12</stp>
        <stp>TRCN RX EQUITY</stp>
        <stp>EST_EV_THIS_YR_EBITDA</stp>
        <stp>[upload (2).xlsm]Model Portfolio!R50C16</stp>
        <tr r="P50" s="98"/>
      </tp>
      <tp t="s">
        <v>LUKOIL INTL FINANCE BV</v>
        <stp/>
        <stp>##V3_BDPV12</stp>
        <stp>XS0919502434 Corp</stp>
        <stp>name</stp>
        <stp>[upload (2).xlsm]Base all $ 3 Duration!R66C1</stp>
        <tr r="A66" s="66"/>
      </tp>
      <tp>
        <v>0.90258070000000001</v>
        <stp/>
        <stp>##V3_BDPV12</stp>
        <stp>486 HK EQUITY</stp>
        <stp>EQY_BETA_6M</stp>
        <stp>[upload (2).xlsm]Model Portfolio!R30C14</stp>
        <tr r="N30" s="98"/>
      </tp>
      <tp>
        <v>-7.3583543819830746E-2</v>
        <stp/>
        <stp>##V3_BDPV12</stp>
        <stp>XS0863583281 Corp</stp>
        <stp>YLD_YTM_ask</stp>
        <stp>[upload (2).xlsm]Base all $ 3 Duration!R67C7</stp>
        <tr r="G67" s="66"/>
      </tp>
      <tp>
        <v>7.4843907013215851</v>
        <stp/>
        <stp>##V3_BDPV12</stp>
        <stp>GLPR LI EQUITY</stp>
        <stp>EST_EV_THIS_YR_EBITDA</stp>
        <stp>[upload (2).xlsm]Model Portfolio!R46C16</stp>
        <tr r="P46" s="98"/>
      </tp>
      <tp>
        <v>3.5460015332054948</v>
        <stp/>
        <stp>##V3_BDPV12</stp>
        <stp>IRAO RX EQUITY</stp>
        <stp>EST_EV_THIS_YR_EBITDA</stp>
        <stp>[upload (2).xlsm]Model Portfolio!R51C16</stp>
        <tr r="P51" s="98"/>
      </tp>
      <tp t="s">
        <v>BBB-</v>
        <stp/>
        <stp>##V3_BDPV12</stp>
        <stp>XS1043519567 Corp</stp>
        <stp>RTG_fitch</stp>
        <stp>[upload (2).xlsm]Base all $ 3 Duration!R74C10</stp>
        <tr r="J74" s="66"/>
        <tr r="J74" s="66"/>
      </tp>
      <tp t="s">
        <v>#N/A N/A</v>
        <stp/>
        <stp>##V3_BDPV12</stp>
        <stp>XS0650962185 Corp</stp>
        <stp>YLD_YTM_ask</stp>
        <stp>[upload (2).xlsm]Base all $ 3 Duration!R83C7</stp>
        <tr r="G83" s="66"/>
      </tp>
      <tp>
        <v>5.2302865062586239</v>
        <stp/>
        <stp>##V3_BDPV12</stp>
        <stp>GLTR LI EQUITY</stp>
        <stp>EST_EV_THIS_YR_EBITDA</stp>
        <stp>[upload (2).xlsm]Model Portfolio!R48C16</stp>
        <tr r="P48" s="98"/>
      </tp>
      <tp t="s">
        <v>VIMPELCOM (UBS SA)</v>
        <stp/>
        <stp>##V3_BDPV12</stp>
        <stp>XS0253861834 Corp</stp>
        <stp>name</stp>
        <stp>[upload (2).xlsm]Base all $ 3 Duration!R91C1</stp>
        <tr r="A91" s="66"/>
      </tp>
      <tp t="s">
        <v>#N/A N/A</v>
        <stp/>
        <stp>##V3_BDPV12</stp>
        <stp>XS0630950870 Corp</stp>
        <stp>YLD_YTM_ask</stp>
        <stp>[upload (2).xlsm]Base all $ 3 Duration!R75C7</stp>
        <tr r="G75" s="66"/>
      </tp>
      <tp t="s">
        <v>#N/A N/A</v>
        <stp/>
        <stp>##V3_BDPV12</stp>
        <stp>XS0708813653 Corp</stp>
        <stp>YLD_YTM_ask</stp>
        <stp>[upload (2).xlsm]Base all $ 3 Duration!R93C7</stp>
        <tr r="G93" s="66"/>
      </tp>
      <tp>
        <v>809</v>
        <stp/>
        <stp>##V3_BDPV12</stp>
        <stp>LSRG RX EQUITY</stp>
        <stp>PX_LAST</stp>
        <stp>[upload (2).xlsm]Model Portfolio!R69C3</stp>
        <tr r="C69" s="98"/>
      </tp>
      <tp t="s">
        <v>#N/A N/A</v>
        <stp/>
        <stp>##V3_BDPV12</stp>
        <stp>NORD LI EQUITY</stp>
        <stp>PX_TO_FREE_CASH_FLOW</stp>
        <stp>[upload (2).xlsm]Model Portfolio!R3C19</stp>
        <tr r="S3" s="98"/>
      </tp>
      <tp>
        <v>100000</v>
        <stp/>
        <stp>##V3_BDPV12</stp>
        <stp>XS0366630902 Corp</stp>
        <stp>MIN_PIECE</stp>
        <stp>[upload (2).xlsm]Base all $ 3 Duration!R49C20</stp>
        <tr r="T49" s="66"/>
      </tp>
      <tp t="s">
        <v>Oil&amp;Gas</v>
        <stp/>
        <stp>##V3_BDPV12</stp>
        <stp>SNGS RX EQUITY</stp>
        <stp>INDUSTRY_GROUP</stp>
        <stp>[upload (2).xlsm]Model Portfolio!R10C13</stp>
        <tr r="M10" s="98"/>
      </tp>
      <tp t="s">
        <v>Electric</v>
        <stp/>
        <stp>##V3_BDPV12</stp>
        <stp>ENRU RM EQUITY</stp>
        <stp>INDUSTRY_GROUP</stp>
        <stp>[upload (2).xlsm]Model Portfolio!R53C13</stp>
        <tr r="M53" s="98"/>
      </tp>
      <tp>
        <v>200000</v>
        <stp/>
        <stp>##V3_BDPV12</stp>
        <stp>XS0799357354 Corp</stp>
        <stp>MIN_PIECE</stp>
        <stp>[upload (2).xlsm]Base all $ 3 Duration!R55C20</stp>
        <tr r="T55" s="66"/>
      </tp>
      <tp>
        <v>7.9129119881894612</v>
        <stp/>
        <stp>##V3_BDPV12</stp>
        <stp>IRAO RX EQUITY</stp>
        <stp>NORMALIZED_ROE</stp>
        <stp>[upload (2).xlsm]Model Portfolio!R51C26</stp>
        <tr r="Z51" s="98"/>
      </tp>
      <tp>
        <v>200000</v>
        <stp/>
        <stp>##V3_BDPV12</stp>
        <stp>XS0993162170 Corp</stp>
        <stp>MIN_PIECE</stp>
        <stp>[upload (2).xlsm]Base all $ 3 Duration!R48C20</stp>
        <tr r="T48" s="66"/>
      </tp>
      <tp>
        <v>100000</v>
        <stp/>
        <stp>##V3_BDPV12</stp>
        <stp>XS0304273948 Corp</stp>
        <stp>MIN_PIECE</stp>
        <stp>[upload (2).xlsm]Base all $ 3 Duration!R87C20</stp>
        <tr r="T87" s="66"/>
      </tp>
      <tp>
        <v>200000</v>
        <stp/>
        <stp>##V3_BDPV12</stp>
        <stp>XS0919502434 Corp</stp>
        <stp>MIN_PIECE</stp>
        <stp>[upload (2).xlsm]Base all $ 3 Duration!R66C20</stp>
        <tr r="T66" s="66"/>
      </tp>
      <tp>
        <v>200000</v>
        <stp/>
        <stp>##V3_BDPV12</stp>
        <stp>XS0796426228 Corp</stp>
        <stp>MIN_PIECE</stp>
        <stp>[upload (2).xlsm]Base all $ 3 Duration!R54C20</stp>
        <tr r="T54" s="66"/>
      </tp>
      <tp>
        <v>9.0055612031334089</v>
        <stp/>
        <stp>##V3_BDPV12</stp>
        <stp>SVAV RX EQUITY</stp>
        <stp>NORMALIZED_ROE</stp>
        <stp>[upload (2).xlsm]Model Portfolio!R72C26</stp>
        <tr r="Z72" s="98"/>
      </tp>
      <tp t="s">
        <v>Food</v>
        <stp/>
        <stp>##V3_BDPV12</stp>
        <stp>FIVE LI EQUITY</stp>
        <stp>INDUSTRY_GROUP</stp>
        <stp>[upload (2).xlsm]Model Portfolio!R36C13</stp>
        <tr r="M36" s="98"/>
      </tp>
      <tp>
        <v>50.232061564216245</v>
        <stp/>
        <stp>##V3_BDPV12</stp>
        <stp>GLPR LI EQUITY</stp>
        <stp>NORMALIZED_ROE</stp>
        <stp>[upload (2).xlsm]Model Portfolio!R46C26</stp>
        <tr r="Z46" s="98"/>
      </tp>
      <tp t="s">
        <v>Steel-Producers</v>
        <stp/>
        <stp>##V3_BDPV12</stp>
        <stp>XS0652913558 Corp</stp>
        <stp>INDUSTRY_SUBGROUP</stp>
        <stp>[upload (2).xlsm]Base all $ 3 Duration!R60C11</stp>
        <tr r="K60" s="66"/>
      </tp>
      <tp>
        <v>-0.1571072535550265</v>
        <stp/>
        <stp>##V3_BDPV12</stp>
        <stp>KMAZ RX EQUITY</stp>
        <stp>NORMALIZED_ROE</stp>
        <stp>[upload (2).xlsm]Model Portfolio!R73C26</stp>
        <tr r="Z73" s="98"/>
      </tp>
      <tp t="s">
        <v>Iron/Steel</v>
        <stp/>
        <stp>##V3_BDPV12</stp>
        <stp>MAGN RX EQUITY</stp>
        <stp>INDUSTRY_GROUP</stp>
        <stp>[upload (2).xlsm]Model Portfolio!R23C13</stp>
        <tr r="M23" s="98"/>
      </tp>
      <tp t="s">
        <v>Oil Comp-Integrated</v>
        <stp/>
        <stp>##V3_BDPV12</stp>
        <stp>XS0424860947 Corp</stp>
        <stp>INDUSTRY_SUBGROUP</stp>
        <stp>[upload (2).xlsm]Base all $ 3 Duration!R46C11</stp>
        <tr r="K46" s="66"/>
      </tp>
      <tp t="s">
        <v>Steel-Producers</v>
        <stp/>
        <stp>##V3_BDPV12</stp>
        <stp>XS0648402583 Corp</stp>
        <stp>INDUSTRY_SUBGROUP</stp>
        <stp>[upload (2).xlsm]Base all $ 3 Duration!R92C11</stp>
        <tr r="K92" s="66"/>
      </tp>
      <tp>
        <v>3.8224900621314664</v>
        <stp/>
        <stp>##V3_BDPV12</stp>
        <stp>POG LN EQUITY</stp>
        <stp>EST_PE_NXT_YR</stp>
        <stp>[upload (2).xlsm]Model Portfolio!R7C15</stp>
        <tr r="O7" s="98"/>
      </tp>
      <tp>
        <v>1.1893</v>
        <stp/>
        <stp>##V3_BDPV12</stp>
        <stp>EUR Curncy</stp>
        <stp>PX last</stp>
        <stp>[Copy of upload (2).xlsm]Гарез_GRENF (2)!R1C7</stp>
        <tr r="G1" s="116"/>
      </tp>
      <tp>
        <v>8.3476943073851473</v>
        <stp/>
        <stp>##V3_BDPV12</stp>
        <stp>KMG LI EQUITY</stp>
        <stp>EST_PE_NXT_YR</stp>
        <stp>[upload (2).xlsm]Model Portfolio!R9C15</stp>
        <tr r="O9" s="98"/>
      </tp>
      <tp>
        <v>9.1778862357048929</v>
        <stp/>
        <stp>##V3_BDPV12</stp>
        <stp>HGM LN EQUITY</stp>
        <stp>EST_PE_NXT_YR</stp>
        <stp>[upload (2).xlsm]Model Portfolio!R4C15</stp>
        <tr r="O4" s="98"/>
      </tp>
      <tp t="s">
        <v>SURGUTNEFTEG-PRF</v>
        <stp/>
        <stp>##V3_BDPV12</stp>
        <stp>SNGSP RX EQUITY</stp>
        <stp>SHORT_NAME</stp>
        <stp>[upload (2).xlsm]Model Portfolio!R11C2</stp>
        <tr r="B11" s="98"/>
      </tp>
      <tp t="s">
        <v>GBp</v>
        <stp/>
        <stp>##V3_BDPV12</stp>
        <stp>HGM LN EQUITY</stp>
        <stp>CRNCY</stp>
        <stp>[Copy of upload (2).xlsm]Гарез_GRENF!R31C7</stp>
        <tr r="G31" s="115"/>
      </tp>
      <tp t="s">
        <v>#N/A N/A</v>
        <stp/>
        <stp>##V3_BDPV12</stp>
        <stp>XS0275728557 Corp</stp>
        <stp>YLD_YTM_BID</stp>
        <stp>[upload (2).xlsm]Base all $ 3 Duration!R8C6</stp>
        <tr r="F8" s="66"/>
      </tp>
      <tp t="s">
        <v>NR</v>
        <stp/>
        <stp>##V3_BDPV12</stp>
        <stp>XS0238091507 Corp</stp>
        <stp>RTG_SP</stp>
        <stp>[upload (2).xlsm]Base all $ 3 Duration!R5C10</stp>
        <tr r="J5" s="66"/>
        <tr r="J5" s="66"/>
      </tp>
      <tp t="s">
        <v>07/03/2018</v>
        <stp/>
        <stp>##V3_BDPV12</stp>
        <stp>MOEX RX EQUITY</stp>
        <stp>BDVD_NEXT_EST_DECL_DT</stp>
        <stp>[upload (2).xlsm]Model Portfolio!R74C31</stp>
        <tr r="AE74" s="98"/>
      </tp>
      <tp>
        <v>123.55</v>
        <stp/>
        <stp>##V3_BDPV12</stp>
        <stp>GAZP RX EQUITY</stp>
        <stp>PX_LAST</stp>
        <stp>[upload (2).xlsm]Model Portfolio!R12C3</stp>
        <tr r="C12" s="98"/>
      </tp>
      <tp>
        <v>9.2300592262133687</v>
        <stp/>
        <stp>##V3_BDPV12</stp>
        <stp>NVTK RX EQUITY</stp>
        <stp>EST_PE_NXT_YR</stp>
        <stp>[upload (2).xlsm]Model Portfolio!R16C15</stp>
        <tr r="O16" s="98"/>
      </tp>
      <tp>
        <v>19.461819424138746</v>
        <stp/>
        <stp>##V3_BDPV12</stp>
        <stp>MSNG RX EQUITY</stp>
        <stp>EBITDA_MARGIN</stp>
        <stp>[upload (2).xlsm]Model Portfolio!R55C23</stp>
        <tr r="W55" s="98"/>
      </tp>
      <tp>
        <v>270.10000000000002</v>
        <stp/>
        <stp>##V3_BDPV12</stp>
        <stp>TATNP RX EQUITY</stp>
        <stp>PX_LAST</stp>
        <stp>[upload (2).xlsm]Model Portfolio!R19C3</stp>
        <tr r="C19" s="98"/>
      </tp>
      <tp t="s">
        <v>BB+</v>
        <stp/>
        <stp>##V3_BDPV12</stp>
        <stp>XS0889401054 Corp</stp>
        <stp>RTG_fitch</stp>
        <stp>[upload (2).xlsm]Base all $ 3 Duration!R39C10</stp>
        <tr r="J39" s="66"/>
        <tr r="J39" s="66"/>
      </tp>
      <tp>
        <v>28.454469728899166</v>
        <stp/>
        <stp>##V3_BDPV12</stp>
        <stp>RSTI RX EQUITY</stp>
        <stp>EBITDA_MARGIN</stp>
        <stp>[upload (2).xlsm]Model Portfolio!R54C23</stp>
        <tr r="W54" s="98"/>
      </tp>
      <tp t="s">
        <v>27/04/2018</v>
        <stp/>
        <stp>##V3_BDPV12</stp>
        <stp>ROSN RX EQUITY</stp>
        <stp>BDVD_NEXT_EST_DECL_DT</stp>
        <stp>[upload (2).xlsm]Model Portfolio!R17C31</stp>
        <tr r="AE17" s="98"/>
      </tp>
      <tp t="s">
        <v>EVRAZ GROUP SA</v>
        <stp/>
        <stp>##V3_BDPV12</stp>
        <stp>XS0652913558 Corp</stp>
        <stp>name</stp>
        <stp>[upload (2).xlsm]Base all $ 3 Duration!R60C1</stp>
        <tr r="A60" s="66"/>
      </tp>
      <tp t="s">
        <v>VTB BANK (VTB CAPITAL SA</v>
        <stp/>
        <stp>##V3_BDPV12</stp>
        <stp>XS0772509484 Corp</stp>
        <stp>name</stp>
        <stp>[upload (2).xlsm]Base all $ 3 Duration!R78C1</stp>
        <tr r="A78" s="66"/>
      </tp>
      <tp t="s">
        <v>#N/A N/A</v>
        <stp/>
        <stp>##V3_BDPV12</stp>
        <stp>BSPB RX EQUITY</stp>
        <stp>EBITDA_MARGIN</stp>
        <stp>[upload (2).xlsm]Model Portfolio!R77C23</stp>
        <tr r="W77" s="98"/>
      </tp>
      <tp>
        <v>2.7424724</v>
        <stp/>
        <stp>##V3_BDPV12</stp>
        <stp>XS0889401054 Corp</stp>
        <stp>YLD_YTM_ask</stp>
        <stp>[upload (2).xlsm]Base all $ 3 Duration!R39C7</stp>
        <tr r="G39" s="66"/>
      </tp>
      <tp>
        <v>17.325026511134674</v>
        <stp/>
        <stp>##V3_BDPV12</stp>
        <stp>LSRG RX EQUITY</stp>
        <stp>EBITDA_MARGIN</stp>
        <stp>[upload (2).xlsm]Model Portfolio!R69C23</stp>
        <tr r="W69" s="98"/>
      </tp>
      <tp>
        <v>27.015428199331577</v>
        <stp/>
        <stp>##V3_BDPV12</stp>
        <stp>MSRS RX EQUITY</stp>
        <stp>EBITDA_MARGIN</stp>
        <stp>[upload (2).xlsm]Model Portfolio!R59C23</stp>
        <tr r="W59" s="98"/>
      </tp>
      <tp>
        <v>11.664706211841146</v>
        <stp/>
        <stp>##V3_BDPV12</stp>
        <stp>MVID RX EQUITY</stp>
        <stp>EST_PE_NXT_YR</stp>
        <stp>[upload (2).xlsm]Model Portfolio!R38C15</stp>
        <tr r="O38" s="98"/>
      </tp>
      <tp t="s">
        <v>ROSNEFT(ROSNEFT INT FIN)</v>
        <stp/>
        <stp>##V3_BDPV12</stp>
        <stp>XS0861980372 Corp</stp>
        <stp>name</stp>
        <stp>[upload (2).xlsm]Base all $ 3 Duration!R80C1</stp>
        <tr r="A80" s="66"/>
      </tp>
      <tp t="s">
        <v>WD</v>
        <stp/>
        <stp>##V3_BDPV12</stp>
        <stp>XS0552679879 Corp</stp>
        <stp>RTG_fitch</stp>
        <stp>[upload (2).xlsm]Base all $ 3 Duration!R43C10</stp>
        <tr r="J43" s="66"/>
        <tr r="J43" s="66"/>
      </tp>
      <tp>
        <v>3.6621939999999999</v>
        <stp/>
        <stp>##V3_BDPV12</stp>
        <stp>XS0779213460 Corp</stp>
        <stp>YLD_YTM_ask</stp>
        <stp>[upload (2).xlsm]Base all $ 3 Duration!R33C7</stp>
        <tr r="G33" s="66"/>
      </tp>
      <tp t="s">
        <v>ALFA BANK (ALFA BOND)</v>
        <stp/>
        <stp>##V3_BDPV12</stp>
        <stp>XS0544362972 Corp</stp>
        <stp>name</stp>
        <stp>[upload (2).xlsm]Base all $ 3 Duration!R70C1</stp>
        <tr r="A70" s="66"/>
      </tp>
      <tp t="s">
        <v>NR</v>
        <stp/>
        <stp>##V3_BDPV12</stp>
        <stp>XS0650962185 Corp</stp>
        <stp>RTG_fitch</stp>
        <stp>[upload (2).xlsm]Base all $ 3 Duration!R83C10</stp>
        <tr r="J83" s="66"/>
        <tr r="J83" s="66"/>
      </tp>
      <tp t="s">
        <v>SIBUR SECURITIES DAC</v>
        <stp/>
        <stp>##V3_BDPV12</stp>
        <stp>XS0878855773 Corp</stp>
        <stp>name</stp>
        <stp>[upload (2).xlsm]Base all $ 3 Duration!R44C1</stp>
        <tr r="A44" s="66"/>
      </tp>
      <tp>
        <v>429.18454935622316</v>
        <stp/>
        <stp>##V3_BDPV12</stp>
        <stp>XS0993279958 Corp</stp>
        <stp>YLD_YTM_ask</stp>
        <stp>[upload (2).xlsm]Base all $ 3 Duration!R13C7</stp>
        <tr r="G13" s="66"/>
      </tp>
      <tp t="s">
        <v>VIMPELCOM (VIP FIN)</v>
        <stp/>
        <stp>##V3_BDPV12</stp>
        <stp>XS0361041808 Corp</stp>
        <stp>name</stp>
        <stp>[upload (2).xlsm]Base all $ 3 Duration!R51C1</stp>
        <tr r="A51" s="66"/>
      </tp>
      <tp t="s">
        <v>VNESHECONOMBANK(VEB)</v>
        <stp/>
        <stp>##V3_BDPV12</stp>
        <stp>XS0559800122 Corp</stp>
        <stp>name</stp>
        <stp>[upload (2).xlsm]Base all $ 3 Duration!R63C1</stp>
        <tr r="A63" s="66"/>
      </tp>
      <tp t="s">
        <v>VEB-LEASING (VEB)</v>
        <stp/>
        <stp>##V3_BDPV12</stp>
        <stp>XS0630950870 Corp</stp>
        <stp>name</stp>
        <stp>[upload (2).xlsm]Base all $ 3 Duration!R75C1</stp>
        <tr r="A75" s="66"/>
      </tp>
      <tp>
        <v>2.9390154298310067</v>
        <stp/>
        <stp>##V3_BDPV12</stp>
        <stp>SVAV RX EQUITY</stp>
        <stp>EST_PE_NXT_YR</stp>
        <stp>[upload (2).xlsm]Model Portfolio!R72C15</stp>
        <tr r="O72" s="98"/>
      </tp>
      <tp>
        <v>200000</v>
        <stp/>
        <stp>##V3_BDPV12</stp>
        <stp>XS0940730228 Corp</stp>
        <stp>MIN_PIECE</stp>
        <stp>[upload (2).xlsm]Base all $ 3 Duration!R25C20</stp>
        <tr r="T25" s="66"/>
      </tp>
      <tp>
        <v>100000</v>
        <stp/>
        <stp>##V3_BDPV12</stp>
        <stp>XS0276456315 Corp</stp>
        <stp>MIN_PIECE</stp>
        <stp>[upload (2).xlsm]Base all $ 3 Duration!R90C20</stp>
        <tr r="T90" s="66"/>
      </tp>
      <tp>
        <v>100000</v>
        <stp/>
        <stp>##V3_BDPV12</stp>
        <stp>XS0288690539 Corp</stp>
        <stp>MIN_PIECE</stp>
        <stp>[upload (2).xlsm]Base all $ 3 Duration!R62C20</stp>
        <tr r="T62" s="66"/>
      </tp>
      <tp>
        <v>200000</v>
        <stp/>
        <stp>##V3_BDPV12</stp>
        <stp>XS0719009754 Corp</stp>
        <stp>MIN_PIECE</stp>
        <stp>[upload (2).xlsm]Base all $ 3 Duration!R77C20</stp>
        <tr r="T77" s="66"/>
      </tp>
      <tp t="s">
        <v>Electric</v>
        <stp/>
        <stp>##V3_BDPV12</stp>
        <stp>HYDR RX EQUITY</stp>
        <stp>INDUSTRY_GROUP</stp>
        <stp>[upload (2).xlsm]Model Portfolio!R58C13</stp>
        <tr r="M58" s="98"/>
      </tp>
      <tp>
        <v>200000</v>
        <stp/>
        <stp>##V3_BDPV12</stp>
        <stp>XS0587030957 Corp</stp>
        <stp>MIN_PIECE</stp>
        <stp>[upload (2).xlsm]Base all $ 3 Duration!R95C20</stp>
        <tr r="T95" s="66"/>
      </tp>
      <tp>
        <v>200000</v>
        <stp/>
        <stp>##V3_BDPV12</stp>
        <stp>XS0783242877 Corp</stp>
        <stp>MIN_PIECE</stp>
        <stp>[upload (2).xlsm]Base all $ 3 Duration!R32C20</stp>
        <tr r="T32" s="66"/>
      </tp>
      <tp>
        <v>100000</v>
        <stp/>
        <stp>##V3_BDPV12</stp>
        <stp>XS0426517701 Corp</stp>
        <stp>MIN_PIECE</stp>
        <stp>[upload (2).xlsm]Base all $ 3 Duration!R88C20</stp>
        <tr r="T88" s="66"/>
      </tp>
      <tp>
        <v>500000</v>
        <stp/>
        <stp>##V3_BDPV12</stp>
        <stp>XS1059697323 Corp</stp>
        <stp>MIN_PIECE</stp>
        <stp>[upload (2).xlsm]Base all $ 3 Duration!R20C20</stp>
        <tr r="T20" s="66"/>
      </tp>
      <tp>
        <v>200000</v>
        <stp/>
        <stp>##V3_BDPV12</stp>
        <stp>XS0954673934 Corp</stp>
        <stp>MIN_PIECE</stp>
        <stp>[upload (2).xlsm]Base all $ 3 Duration!R16C20</stp>
        <tr r="T16" s="66"/>
      </tp>
      <tp>
        <v>200000</v>
        <stp/>
        <stp>##V3_BDPV12</stp>
        <stp>XS0923472814 Corp</stp>
        <stp>MIN_PIECE</stp>
        <stp>[upload (2).xlsm]Base all $ 3 Duration!R52C20</stp>
        <tr r="T52" s="66"/>
      </tp>
      <tp>
        <v>200000</v>
        <stp/>
        <stp>##V3_BDPV12</stp>
        <stp>XS0851672435 Corp</stp>
        <stp>MIN_PIECE</stp>
        <stp>[upload (2).xlsm]Base all $ 3 Duration!R23C20</stp>
        <tr r="T23" s="66"/>
      </tp>
      <tp>
        <v>17.255513468654073</v>
        <stp/>
        <stp>##V3_BDPV12</stp>
        <stp>SIBN RX EQUITY</stp>
        <stp>NORMALIZED_ROE</stp>
        <stp>[upload (2).xlsm]Model Portfolio!R15C26</stp>
        <tr r="Z15" s="98"/>
      </tp>
      <tp>
        <v>100000</v>
        <stp/>
        <stp>##V3_BDPV12</stp>
        <stp>XS0292530309 Corp</stp>
        <stp>MIN_PIECE</stp>
        <stp>[upload (2).xlsm]Base all $ 3 Duration!R81C20</stp>
        <tr r="T81" s="66"/>
      </tp>
      <tp>
        <v>200000</v>
        <stp/>
        <stp>##V3_BDPV12</stp>
        <stp>XS0643176448 Corp</stp>
        <stp>MIN_PIECE</stp>
        <stp>[upload (2).xlsm]Base all $ 3 Duration!R79C20</stp>
        <tr r="T79" s="66"/>
      </tp>
      <tp>
        <v>200000</v>
        <stp/>
        <stp>##V3_BDPV12</stp>
        <stp>XS0869792928 Corp</stp>
        <stp>MIN_PIECE</stp>
        <stp>[upload (2).xlsm]Base all $ 3 Duration!R10C20</stp>
        <tr r="T10" s="66"/>
      </tp>
      <tp>
        <v>200000</v>
        <stp/>
        <stp>##V3_BDPV12</stp>
        <stp>XS0640334768 Corp</stp>
        <stp>MIN_PIECE</stp>
        <stp>[upload (2).xlsm]Base all $ 3 Duration!R15C20</stp>
        <tr r="T15" s="66"/>
      </tp>
      <tp>
        <v>200000</v>
        <stp/>
        <stp>##V3_BDPV12</stp>
        <stp>XS0924078453 Corp</stp>
        <stp>MIN_PIECE</stp>
        <stp>[upload (2).xlsm]Base all $ 3 Duration!R19C20</stp>
        <tr r="T19" s="66"/>
      </tp>
      <tp t="s">
        <v>Oil Refining&amp;Marketing</v>
        <stp/>
        <stp>##V3_BDPV12</stp>
        <stp>XS0878855773 Corp</stp>
        <stp>INDUSTRY_SUBGROUP</stp>
        <stp>[upload (2).xlsm]Base all $ 3 Duration!R44C11</stp>
        <tr r="K44" s="66"/>
      </tp>
      <tp t="s">
        <v>Oil Comp-Integrated</v>
        <stp/>
        <stp>##V3_BDPV12</stp>
        <stp>XS0461926569 Corp</stp>
        <stp>INDUSTRY_SUBGROUP</stp>
        <stp>[upload (2).xlsm]Base all $ 3 Duration!R53C11</stp>
        <tr r="K53" s="66"/>
      </tp>
      <tp>
        <v>4.1890000000000001</v>
        <stp/>
        <stp>##V3_BDPV12</stp>
        <stp>OGZD LI Equity</stp>
        <stp>PX_LAST</stp>
        <stp>[Copy of upload (2).xlsm]Гарез_GRENF (2)!R7C7</stp>
        <tr r="G7" s="116"/>
      </tp>
      <tp>
        <v>10.266900219361474</v>
        <stp/>
        <stp>##V3_BDPV12</stp>
        <stp>POLY LN EQUITY</stp>
        <stp>EST_PE_NXT_YR</stp>
        <stp>[upload (2).xlsm]Model Portfolio!R6C15</stp>
        <tr r="O6" s="98"/>
      </tp>
      <tp>
        <v>10.1398107006817</v>
        <stp/>
        <stp>##V3_BDPV12</stp>
        <stp>PLZL RX EQUITY</stp>
        <stp>EST_PE_NXT_YR</stp>
        <stp>[upload (2).xlsm]Model Portfolio!R2C15</stp>
        <tr r="O2" s="98"/>
      </tp>
      <tp t="s">
        <v>GBp</v>
        <stp/>
        <stp>##V3_BDPV12</stp>
        <stp>HGM LN EQUITY</stp>
        <stp>CRNCY</stp>
        <stp>[Copy of upload (2).xlsm]Гарез_GRENF!R32C7</stp>
        <tr r="G32" s="115"/>
      </tp>
      <tp t="s">
        <v>Ros Agro PLC</v>
        <stp/>
        <stp>##V3_BDPV12</stp>
        <stp>AGRO LI EQUITY</stp>
        <stp>SECURITY_NAME</stp>
        <stp>[Copy of upload (2).xlsm]Гарез_GRENF!R50C4</stp>
        <tr r="D50" s="115"/>
      </tp>
      <tp t="s">
        <v>#N/A N/A</v>
        <stp/>
        <stp>##V3_BDPV12</stp>
        <stp>VIP US EQUITY</stp>
        <stp>EQY_FREE_FLOAT_PCT</stp>
        <stp>[upload (2).xlsm]Model Portfolio!R61C11</stp>
        <tr r="K61" s="98"/>
      </tp>
      <tp t="s">
        <v>WD</v>
        <stp/>
        <stp>##V3_BDPV12</stp>
        <stp>US91701RAA95 Corp</stp>
        <stp>RTG_fitch</stp>
        <stp>[upload (2).xlsm]Base all $ 3 Duration!R26C10</stp>
        <tr r="J26" s="66"/>
        <tr r="J26" s="66"/>
      </tp>
      <tp>
        <v>28.67570837993091</v>
        <stp/>
        <stp>##V3_BDPV12</stp>
        <stp>GLTR LI EQUITY</stp>
        <stp>EBITDA_MARGIN</stp>
        <stp>[upload (2).xlsm]Model Portfolio!R48C23</stp>
        <tr r="W48" s="98"/>
      </tp>
      <tp>
        <v>6.6756163181979593</v>
        <stp/>
        <stp>##V3_BDPV12</stp>
        <stp>IRAO RX EQUITY</stp>
        <stp>EBITDA_MARGIN</stp>
        <stp>[upload (2).xlsm]Model Portfolio!R51C23</stp>
        <tr r="W51" s="98"/>
      </tp>
      <tp>
        <v>27.270807438425432</v>
        <stp/>
        <stp>##V3_BDPV12</stp>
        <stp>GLPR LI EQUITY</stp>
        <stp>EBITDA_MARGIN</stp>
        <stp>[upload (2).xlsm]Model Portfolio!R46C23</stp>
        <tr r="W46" s="98"/>
      </tp>
      <tp t="s">
        <v>#N/A N/A</v>
        <stp/>
        <stp>##V3_BDPV12</stp>
        <stp>ENRU RM EQUITY</stp>
        <stp>BDVD_NEXT_EST_DECL_DT</stp>
        <stp>[upload (2).xlsm]Model Portfolio!R53C31</stp>
        <tr r="AE53" s="98"/>
      </tp>
      <tp t="s">
        <v>18/05/2018</v>
        <stp/>
        <stp>##V3_BDPV12</stp>
        <stp>SNGS RX EQUITY</stp>
        <stp>BDVD_NEXT_EST_DECL_DT</stp>
        <stp>[upload (2).xlsm]Model Portfolio!R10C31</stp>
        <tr r="AE10" s="98"/>
      </tp>
      <tp>
        <v>13.68808967293945</v>
        <stp/>
        <stp>##V3_BDPV12</stp>
        <stp>TRCN RX EQUITY</stp>
        <stp>EBITDA_MARGIN</stp>
        <stp>[upload (2).xlsm]Model Portfolio!R50C23</stp>
        <tr r="W50" s="98"/>
      </tp>
      <tp>
        <v>14.447299424364898</v>
        <stp/>
        <stp>##V3_BDPV12</stp>
        <stp>TRMK RX EQUITY</stp>
        <stp>EBITDA_MARGIN</stp>
        <stp>[upload (2).xlsm]Model Portfolio!R21C23</stp>
        <tr r="W21" s="98"/>
      </tp>
      <tp>
        <v>3.9586615447912563</v>
        <stp/>
        <stp>##V3_BDPV12</stp>
        <stp>UPRO RX EQUITY</stp>
        <stp>EST_EV_THIS_YR_EBITDA</stp>
        <stp>[upload (2).xlsm]Model Portfolio!R52C16</stp>
        <tr r="P52" s="98"/>
      </tp>
      <tp>
        <v>172600</v>
        <stp/>
        <stp>##V3_BDPV12</stp>
        <stp>TRNFP RX EQUITY</stp>
        <stp>PX_LAST</stp>
        <stp>[upload (2).xlsm]Model Portfolio!R20C3</stp>
        <tr r="C20" s="98"/>
      </tp>
      <tp>
        <v>48.042807566079574</v>
        <stp/>
        <stp>##V3_BDPV12</stp>
        <stp>URKA RX EQUITY</stp>
        <stp>EBITDA_MARGIN</stp>
        <stp>[upload (2).xlsm]Model Portfolio!R31C23</stp>
        <tr r="W31" s="98"/>
      </tp>
      <tp t="s">
        <v>#N/A N/A</v>
        <stp/>
        <stp>##V3_BDPV12</stp>
        <stp>XS0499245180 Corp</stp>
        <stp>YLD_YTM_ask</stp>
        <stp>[upload (2).xlsm]Base all $ 3 Duration!R84C7</stp>
        <tr r="G84" s="66"/>
      </tp>
      <tp t="s">
        <v>SBERBANK (SB CAP SA)</v>
        <stp/>
        <stp>##V3_BDPV12</stp>
        <stp>XS0543956717 Corp</stp>
        <stp>name</stp>
        <stp>[upload (2).xlsm]Base all $ 3 Duration!R85C1</stp>
        <tr r="A85" s="66"/>
      </tp>
      <tp t="s">
        <v>BB+</v>
        <stp/>
        <stp>##V3_BDPV12</stp>
        <stp>XS0888245122 Corp</stp>
        <stp>RTG_fitch</stp>
        <stp>[upload (2).xlsm]Base all $ 3 Duration!R73C10</stp>
        <tr r="J73" s="66"/>
        <tr r="J73" s="66"/>
      </tp>
      <tp t="s">
        <v>NR</v>
        <stp/>
        <stp>##V3_BDPV12</stp>
        <stp>XS0783291221 Corp</stp>
        <stp>RTG_fitch</stp>
        <stp>[upload (2).xlsm]Base all $ 3 Duration!R72C10</stp>
        <tr r="J72" s="66"/>
        <tr r="J72" s="66"/>
      </tp>
      <tp t="s">
        <v>BB+</v>
        <stp/>
        <stp>##V3_BDPV12</stp>
        <stp>XS0361041808 Corp</stp>
        <stp>RTG_fitch</stp>
        <stp>[upload (2).xlsm]Base all $ 3 Duration!R51C10</stp>
        <tr r="J51" s="66"/>
        <tr r="J51" s="66"/>
      </tp>
      <tp t="s">
        <v>#N/A N/A</v>
        <stp/>
        <stp>##V3_BDPV12</stp>
        <stp>XS0719009754 Corp</stp>
        <stp>YLD_YTM_ask</stp>
        <stp>[upload (2).xlsm]Base all $ 3 Duration!R77C7</stp>
        <tr r="G77" s="66"/>
      </tp>
      <tp t="s">
        <v>#N/A N/A</v>
        <stp/>
        <stp>##V3_BDPV12</stp>
        <stp>XS0587030957 Corp</stp>
        <stp>YLD_YTM_ask</stp>
        <stp>[upload (2).xlsm]Base all $ 3 Duration!R95C7</stp>
        <tr r="G95" s="66"/>
      </tp>
      <tp>
        <v>21.237190702324416</v>
        <stp/>
        <stp>##V3_BDPV12</stp>
        <stp>EPAM US EQUITY</stp>
        <stp>EST_PE_NXT_YR</stp>
        <stp>[upload (2).xlsm]Model Portfolio!R42C15</stp>
        <tr r="O42" s="98"/>
      </tp>
      <tp t="s">
        <v>OFCB CAPITAL PLC</v>
        <stp/>
        <stp>##V3_BDPV12</stp>
        <stp>XS0923110232 Corp</stp>
        <stp>name</stp>
        <stp>[upload (2).xlsm]Base all $ 3 Duration!R35C1</stp>
        <tr r="A35" s="66"/>
      </tp>
      <tp t="s">
        <v>URALKALI (URALKALI FINAN</v>
        <stp/>
        <stp>##V3_BDPV12</stp>
        <stp>XS0922883318 Corp</stp>
        <stp>name</stp>
        <stp>[upload (2).xlsm]Base all $ 3 Duration!R56C1</stp>
        <tr r="A56" s="66"/>
      </tp>
      <tp t="s">
        <v>BBB-</v>
        <stp/>
        <stp>##V3_BDPV12</stp>
        <stp>XS0922134712 Corp</stp>
        <stp>RTG_fitch</stp>
        <stp>[upload (2).xlsm]Base all $ 3 Duration!R76C10</stp>
        <tr r="J76" s="66"/>
        <tr r="J76" s="66"/>
      </tp>
      <tp>
        <v>5.3985714912414551</v>
        <stp/>
        <stp>##V3_BDPV12</stp>
        <stp>VEON US Equity</stp>
        <stp>BEST_TARGET_PRICE</stp>
        <stp>[Copy of upload (2).xlsm]Гарез_GRENF (2)!R4C8</stp>
        <tr r="H4" s="116"/>
      </tp>
      <tp t="s">
        <v>OJSC NOVO(STEEL FUNDING)</v>
        <stp/>
        <stp>##V3_BDPV12</stp>
        <stp>XS0808632847 Corp</stp>
        <stp>name</stp>
        <stp>[upload (2).xlsm]Base all $ 3 Duration!R65C1</stp>
        <tr r="A65" s="66"/>
      </tp>
      <tp>
        <v>7.4143262999999999</v>
        <stp/>
        <stp>##V3_BDPV12</stp>
        <stp>XS0924078453 Corp</stp>
        <stp>YLD_YTM_ask</stp>
        <stp>[upload (2).xlsm]Base all $ 3 Duration!R19C7</stp>
        <tr r="G19" s="66"/>
      </tp>
      <tp t="s">
        <v>BB-</v>
        <stp/>
        <stp>##V3_BDPV12</stp>
        <stp>XS0359381331 Corp</stp>
        <stp>RTG_fitch</stp>
        <stp>[upload (2).xlsm]Base all $ 3 Duration!R36C10</stp>
        <tr r="J36" s="66"/>
        <tr r="J36" s="66"/>
      </tp>
      <tp t="s">
        <v>GAZPROMBK (GPB FINANCE)</v>
        <stp/>
        <stp>##V3_BDPV12</stp>
        <stp>XS0779213460 Corp</stp>
        <stp>name</stp>
        <stp>[upload (2).xlsm]Base all $ 3 Duration!R33C1</stp>
        <tr r="A33" s="66"/>
      </tp>
      <tp>
        <v>1.2864833184021509</v>
        <stp/>
        <stp>##V3_BDPV12</stp>
        <stp>XS0559800122 Corp</stp>
        <stp>YLD_YTM_ask</stp>
        <stp>[upload (2).xlsm]Base all $ 3 Duration!R63C7</stp>
        <tr r="G63" s="66"/>
      </tp>
      <tp>
        <v>13.736147715308793</v>
        <stp/>
        <stp>##V3_BDPV12</stp>
        <stp>FIVE LI EQUITY</stp>
        <stp>EST_PE_NXT_YR</stp>
        <stp>[upload (2).xlsm]Model Portfolio!R36C15</stp>
        <tr r="O36" s="98"/>
      </tp>
      <tp t="s">
        <v>NR</v>
        <stp/>
        <stp>##V3_BDPV12</stp>
        <stp>XS0772835285 Corp</stp>
        <stp>RTG_fitch</stp>
        <stp>[upload (2).xlsm]Base all $ 3 Duration!R31C10</stp>
        <tr r="J31" s="66"/>
        <tr r="J31" s="66"/>
      </tp>
      <tp t="s">
        <v>#N/A N/A</v>
        <stp/>
        <stp>##V3_BDPV12</stp>
        <stp>XS0562354182 Corp</stp>
        <stp>YLD_YTM_ask</stp>
        <stp>[upload (2).xlsm]Base all $ 3 Duration!R96C7</stp>
        <tr r="G96" s="66"/>
      </tp>
      <tp>
        <v>3.0215217999999999</v>
        <stp/>
        <stp>##V3_BDPV12</stp>
        <stp>XS1040726587 Corp</stp>
        <stp>YLD_YTM_ask</stp>
        <stp>[upload (2).xlsm]Base all $ 3 Duration!R41C7</stp>
        <tr r="G41" s="66"/>
      </tp>
      <tp t="s">
        <v>#N/A N/A</v>
        <stp/>
        <stp>##V3_BDPV12</stp>
        <stp>QIWI US EQUITY</stp>
        <stp>BDVD_NEXT_EST_DECL_DT</stp>
        <stp>[upload (2).xlsm]Model Portfolio!R40C31</stp>
        <tr r="AE40" s="98"/>
      </tp>
      <tp>
        <v>7.5131531727139507</v>
        <stp/>
        <stp>##V3_BDPV12</stp>
        <stp>LNTA LI EQUITY</stp>
        <stp>EST_EV_THIS_YR_EBITDA</stp>
        <stp>[upload (2).xlsm]Model Portfolio!R37C16</stp>
        <tr r="P37" s="98"/>
      </tp>
      <tp t="s">
        <v>Electric</v>
        <stp/>
        <stp>##V3_BDPV12</stp>
        <stp>FEES RX EQUITY</stp>
        <stp>INDUSTRY_GROUP</stp>
        <stp>[upload (2).xlsm]Model Portfolio!R56C13</stp>
        <tr r="M56" s="98"/>
      </tp>
      <tp>
        <v>200000</v>
        <stp/>
        <stp>##V3_BDPV12</stp>
        <stp>XS0879105558 Corp</stp>
        <stp>MIN_PIECE</stp>
        <stp>[upload (2).xlsm]Base all $ 3 Duration!R38C20</stp>
        <tr r="T38" s="66"/>
      </tp>
      <tp t="s">
        <v>Transportation</v>
        <stp/>
        <stp>##V3_BDPV12</stp>
        <stp>GLTR LI EQUITY</stp>
        <stp>INDUSTRY_GROUP</stp>
        <stp>[upload (2).xlsm]Model Portfolio!R48C13</stp>
        <tr r="M48" s="98"/>
      </tp>
      <tp t="s">
        <v>Banks</v>
        <stp/>
        <stp>##V3_BDPV12</stp>
        <stp>SBER RX EQUITY</stp>
        <stp>INDUSTRY_GROUP</stp>
        <stp>[upload (2).xlsm]Model Portfolio!R75C13</stp>
        <tr r="M75" s="98"/>
      </tp>
      <tp>
        <v>100000</v>
        <stp/>
        <stp>##V3_BDPV12</stp>
        <stp>XS0544362972 Corp</stp>
        <stp>MIN_PIECE</stp>
        <stp>[upload (2).xlsm]Base all $ 3 Duration!R70C20</stp>
        <tr r="T70" s="66"/>
      </tp>
      <tp>
        <v>200000</v>
        <stp/>
        <stp>##V3_BDPV12</stp>
        <stp>XS0779213460 Corp</stp>
        <stp>MIN_PIECE</stp>
        <stp>[upload (2).xlsm]Base all $ 3 Duration!R33C20</stp>
        <tr r="T33" s="66"/>
      </tp>
      <tp>
        <v>100000</v>
        <stp/>
        <stp>##V3_BDPV12</stp>
        <stp>XS0381439305 Corp</stp>
        <stp>MIN_PIECE</stp>
        <stp>[upload (2).xlsm]Base all $ 3 Duration!R64C20</stp>
        <tr r="T64" s="66"/>
      </tp>
      <tp>
        <v>16.750399853780856</v>
        <stp/>
        <stp>##V3_BDPV12</stp>
        <stp>AGRO LI EQUITY</stp>
        <stp>NORMALIZED_ROE</stp>
        <stp>[upload (2).xlsm]Model Portfolio!R71C26</stp>
        <tr r="Z71" s="98"/>
      </tp>
      <tp>
        <v>100000</v>
        <stp/>
        <stp>##V3_BDPV12</stp>
        <stp>XS0299183250 Corp</stp>
        <stp>MIN_PIECE</stp>
        <stp>[upload (2).xlsm]Base all $ 3 Duration!R40C20</stp>
        <tr r="T40" s="66"/>
      </tp>
      <tp t="s">
        <v>Diversified Finan Serv</v>
        <stp/>
        <stp>##V3_BDPV12</stp>
        <stp>MOEX RX EQUITY</stp>
        <stp>INDUSTRY_GROUP</stp>
        <stp>[upload (2).xlsm]Model Portfolio!R74C13</stp>
        <tr r="M74" s="98"/>
      </tp>
      <tp>
        <v>12.123920946625962</v>
        <stp/>
        <stp>##V3_BDPV12</stp>
        <stp>TRCN RX EQUITY</stp>
        <stp>NORMALIZED_ROE</stp>
        <stp>[upload (2).xlsm]Model Portfolio!R50C26</stp>
        <tr r="Z50" s="98"/>
      </tp>
      <tp>
        <v>200000</v>
        <stp/>
        <stp>##V3_BDPV12</stp>
        <stp>XS0848163456 Corp</stp>
        <stp>MIN_PIECE</stp>
        <stp>[upload (2).xlsm]Base all $ 3 Duration!R18C20</stp>
        <tr r="T18" s="66"/>
      </tp>
      <tp>
        <v>200000</v>
        <stp/>
        <stp>##V3_BDPV12</stp>
        <stp>XS0974469206 Corp</stp>
        <stp>MIN_PIECE</stp>
        <stp>[upload (2).xlsm]Base all $ 3 Duration!R14C20</stp>
        <tr r="T14" s="66"/>
      </tp>
      <tp>
        <v>200000</v>
        <stp/>
        <stp>##V3_BDPV12</stp>
        <stp>XS0832412505 Corp</stp>
        <stp>MIN_PIECE</stp>
        <stp>[upload (2).xlsm]Base all $ 3 Duration!R30C20</stp>
        <tr r="T30" s="66"/>
      </tp>
      <tp t="s">
        <v>Retail</v>
        <stp/>
        <stp>##V3_BDPV12</stp>
        <stp>LNTA LI EQUITY</stp>
        <stp>INDUSTRY_GROUP</stp>
        <stp>[upload (2).xlsm]Model Portfolio!R37C13</stp>
        <tr r="M37" s="98"/>
      </tp>
      <tp t="s">
        <v>Airport Develop/Maint</v>
        <stp/>
        <stp>##V3_BDPV12</stp>
        <stp>XS0995845566 Corp</stp>
        <stp>INDUSTRY_SUBGROUP</stp>
        <stp>[upload (2).xlsm]Base all $ 3 Duration!R29C11</stp>
        <tr r="K29" s="66"/>
      </tp>
      <tp t="s">
        <v>Commer Banks Non-US</v>
        <stp/>
        <stp>##V3_BDPV12</stp>
        <stp>XS0592794597 Corp</stp>
        <stp>INDUSTRY_SUBGROUP</stp>
        <stp>[upload (2).xlsm]Base all $ 3 Duration!R61C11</stp>
        <tr r="K61" s="66"/>
      </tp>
      <tp t="s">
        <v>Commer Banks Non-US</v>
        <stp/>
        <stp>##V3_BDPV12</stp>
        <stp>XS0841677387 Corp</stp>
        <stp>INDUSTRY_SUBGROUP</stp>
        <stp>[upload (2).xlsm]Base all $ 3 Duration!R99C11</stp>
        <tr r="K99" s="66"/>
      </tp>
      <tp t="s">
        <v>Oil Comp-Integrated</v>
        <stp/>
        <stp>##V3_BDPV12</stp>
        <stp>XS0861980372 Corp</stp>
        <stp>INDUSTRY_SUBGROUP</stp>
        <stp>[upload (2).xlsm]Base all $ 3 Duration!R80C11</stp>
        <tr r="K80" s="66"/>
      </tp>
      <tp t="s">
        <v>Special Purpose Banks</v>
        <stp/>
        <stp>##V3_BDPV12</stp>
        <stp>XS0630950870 Corp</stp>
        <stp>INDUSTRY_SUBGROUP</stp>
        <stp>[upload (2).xlsm]Base all $ 3 Duration!R75C11</stp>
        <tr r="K75" s="66"/>
      </tp>
      <tp t="s">
        <v>Commer Banks Non-US</v>
        <stp/>
        <stp>##V3_BDPV12</stp>
        <stp>XS0300998779 Corp</stp>
        <stp>INDUSTRY_SUBGROUP</stp>
        <stp>[upload (2).xlsm]Base all $ 3 Duration!R58C11</stp>
        <tr r="K58" s="66"/>
      </tp>
      <tp t="s">
        <v>Commer Banks Non-US</v>
        <stp/>
        <stp>##V3_BDPV12</stp>
        <stp>XS0365923977 Corp</stp>
        <stp>INDUSTRY_SUBGROUP</stp>
        <stp>[upload (2).xlsm]Base all $ 3 Duration!R57C11</stp>
        <tr r="K57" s="66"/>
      </tp>
      <tp t="s">
        <v>Commer Banks Non-US</v>
        <stp/>
        <stp>##V3_BDPV12</stp>
        <stp>XS1040726587 Corp</stp>
        <stp>INDUSTRY_SUBGROUP</stp>
        <stp>[upload (2).xlsm]Base all $ 3 Duration!R41C11</stp>
        <tr r="K41" s="66"/>
      </tp>
      <tp>
        <v>1253</v>
        <stp/>
        <stp>##V3_BDPV12</stp>
        <stp>BANEP RX EQUITY</stp>
        <stp>PX_LAST</stp>
        <stp>[upload (2).xlsm]Model Portfolio!R8C3</stp>
        <tr r="C8" s="98"/>
      </tp>
      <tp t="s">
        <v>GBp</v>
        <stp/>
        <stp>##V3_BDPV12</stp>
        <stp>HGM LN EQUITY</stp>
        <stp>CRNCY</stp>
        <stp>[Copy of upload (2).xlsm]Гарез_GRENF!R33C7</stp>
        <tr r="G33" s="115"/>
      </tp>
      <tp t="s">
        <v>30/03/2018</v>
        <stp/>
        <stp>##V3_BDPV12</stp>
        <stp>SIBN RX EQUITY</stp>
        <stp>BDVD_NEXT_EST_DECL_DT</stp>
        <stp>[upload (2).xlsm]Model Portfolio!R15C31</stp>
        <tr r="AE15" s="98"/>
      </tp>
      <tp t="s">
        <v>NR</v>
        <stp/>
        <stp>##V3_BDPV12</stp>
        <stp>XS0493579238 Corp</stp>
        <stp>RTG_SP</stp>
        <stp>[upload (2).xlsm]Base all $ 3 Duration!R7C10</stp>
        <tr r="J7" s="66"/>
        <tr r="J7" s="66"/>
      </tp>
      <tp>
        <v>-13.052960000000001</v>
        <stp/>
        <stp>##V3_BDPV12</stp>
        <stp>POLY LN EQUITY</stp>
        <stp>CHG_PCT_1YR</stp>
        <stp>[upload (2).xlsm]Model Portfolio!R6C6</stp>
        <tr r="F6" s="98"/>
      </tp>
      <tp t="s">
        <v>#N/A N/A</v>
        <stp/>
        <stp>##V3_BDPV12</stp>
        <stp>PIKK RX EQUITY</stp>
        <stp>BDVD_NEXT_EST_DECL_DT</stp>
        <stp>[upload (2).xlsm]Model Portfolio!R68C31</stp>
        <tr r="AE68" s="98"/>
      </tp>
      <tp t="s">
        <v>#N/A N/A</v>
        <stp/>
        <stp>##V3_BDPV12</stp>
        <stp>XS0996297544 Corp</stp>
        <stp>RTG_SP</stp>
        <stp>[upload (2).xlsm]Base all $ 3 Duration!R9C10</stp>
        <tr r="J9" s="66"/>
      </tp>
      <tp>
        <v>1.1893</v>
        <stp/>
        <stp>##V3_BDPV12</stp>
        <stp>EUR Curncy</stp>
        <stp>PX_LAST</stp>
        <stp>[upload (2).xlsm]Model Portfolio!R1C39</stp>
        <tr r="AM1" s="98"/>
      </tp>
      <tp>
        <v>12.943099999999999</v>
        <stp/>
        <stp>##V3_BDPV12</stp>
        <stp>ZAR Curncy</stp>
        <stp>PX_LAST</stp>
        <stp>[upload (2).xlsm]Model Portfolio!R1C47</stp>
        <tr r="AU1" s="98"/>
      </tp>
      <tp>
        <v>63.9313</v>
        <stp/>
        <stp>##V3_BDPV12</stp>
        <stp>INR Curncy</stp>
        <stp>PX_LAST</stp>
        <stp>[upload (2).xlsm]Model Portfolio!R1C49</stp>
        <tr r="AW1" s="98"/>
      </tp>
      <tp>
        <v>8.5370370370370363</v>
        <stp/>
        <stp>##V3_BDPV12</stp>
        <stp>UPRO RX EQUITY</stp>
        <stp>EST_PE_NXT_YR</stp>
        <stp>[upload (2).xlsm]Model Portfolio!R52C15</stp>
        <tr r="O52" s="98"/>
      </tp>
      <tp t="s">
        <v>#N/A N/A</v>
        <stp/>
        <stp>##V3_BDPV12</stp>
        <stp>YNDX US EQUITY</stp>
        <stp>BDVD_NEXT_EST_DECL_DT</stp>
        <stp>[upload (2).xlsm]Model Portfolio!R43C31</stp>
        <tr r="AE43" s="98"/>
      </tp>
      <tp t="s">
        <v>#N/A Invalid Security</v>
        <stp/>
        <stp>##V3_BDPV12</stp>
        <stp xml:space="preserve"> Corp</stp>
        <stp>INTERVAL_PERCENT_CHANGE</stp>
        <stp>[upload (2).xlsm]Base all $ 3 Duration!R119C17</stp>
        <stp>END_DATE_OVERRIDE</stp>
        <stp xml:space="preserve"> </stp>
        <stp>START_DATE_OVERRIDe</stp>
        <stp>20140716</stp>
        <tr r="Q119" s="66"/>
      </tp>
      <tp t="s">
        <v>#N/A Invalid Security</v>
        <stp/>
        <stp>##V3_BDPV12</stp>
        <stp xml:space="preserve"> Corp</stp>
        <stp>INTERVAL_PERCENT_CHANGE</stp>
        <stp>[upload (2).xlsm]Base all $ 3 Duration!R120C17</stp>
        <stp>END_DATE_OVERRIDE</stp>
        <stp xml:space="preserve"> </stp>
        <stp>START_DATE_OVERRIDe</stp>
        <stp>20140716</stp>
        <tr r="Q120" s="66"/>
      </tp>
      <tp t="s">
        <v>MMC NORILSK NICK VIA MMC</v>
        <stp/>
        <stp>##V3_BDPV12</stp>
        <stp>XS0922134712 Corp</stp>
        <stp>name</stp>
        <stp>[upload (2).xlsm]Base all $ 3 Duration!R76C1</stp>
        <tr r="A76" s="66"/>
      </tp>
      <tp>
        <v>15.60501842345233</v>
        <stp/>
        <stp>##V3_BDPV12</stp>
        <stp>EPAM US EQUITY</stp>
        <stp>EST_EV_THIS_YR_EBITDA</stp>
        <stp>[upload (2).xlsm]Model Portfolio!R42C16</stp>
        <tr r="P42" s="98"/>
      </tp>
      <tp>
        <v>4.3835879039506125</v>
        <stp/>
        <stp>##V3_BDPV12</stp>
        <stp>OKEY LI EQUITY</stp>
        <stp>EBITDA_MARGIN</stp>
        <stp>[upload (2).xlsm]Model Portfolio!R39C23</stp>
        <tr r="W39" s="98"/>
      </tp>
      <tp>
        <v>2.5488239999999998</v>
        <stp/>
        <stp>##V3_BDPV12</stp>
        <stp>XS0799357354 Corp</stp>
        <stp>YLD_YTM_ask</stp>
        <stp>[upload (2).xlsm]Base all $ 3 Duration!R55C7</stp>
        <tr r="G55" s="66"/>
      </tp>
      <tp t="s">
        <v>OJSC RUSS AGRIC BK(RSHB)</v>
        <stp/>
        <stp>##V3_BDPV12</stp>
        <stp>XS0300998779 Corp</stp>
        <stp>name</stp>
        <stp>[upload (2).xlsm]Base all $ 3 Duration!R58C1</stp>
        <tr r="A58" s="66"/>
      </tp>
      <tp t="s">
        <v>BB+</v>
        <stp/>
        <stp>##V3_BDPV12</stp>
        <stp>XS0955232854 Corp</stp>
        <stp>RTG_fitch</stp>
        <stp>[upload (2).xlsm]Base all $ 3 Duration!R45C10</stp>
        <tr r="J45" s="66"/>
        <tr r="J45" s="66"/>
      </tp>
      <tp t="s">
        <v>B+</v>
        <stp/>
        <stp>##V3_BDPV12</stp>
        <stp>XS0808636913 Corp</stp>
        <stp>RTG_fitch</stp>
        <stp>[upload (2).xlsm]Base all $ 3 Duration!R17C10</stp>
        <tr r="J17" s="66"/>
        <tr r="J17" s="66"/>
      </tp>
      <tp t="s">
        <v>BSPB FIN (BK ST PETERSB)</v>
        <stp/>
        <stp>##V3_BDPV12</stp>
        <stp>XS0954673934 Corp</stp>
        <stp>name</stp>
        <stp>[upload (2).xlsm]Base all $ 3 Duration!R16C1</stp>
        <tr r="A16" s="66"/>
      </tp>
      <tp t="s">
        <v>WD</v>
        <stp/>
        <stp>##V3_BDPV12</stp>
        <stp>XS0236336045 Corp</stp>
        <stp>RTG_fitch</stp>
        <stp>[upload (2).xlsm]Base all $ 3 Duration!R97C10</stp>
        <tr r="J97" s="66"/>
        <tr r="J97" s="66"/>
      </tp>
      <tp t="s">
        <v>#N/A N/A</v>
        <stp/>
        <stp>##V3_BDPV12</stp>
        <stp>XS0616784509 Corp</stp>
        <stp>YLD_YTM_ask</stp>
        <stp>[upload (2).xlsm]Base all $ 3 Duration!R24C7</stp>
        <tr r="G24" s="66"/>
      </tp>
      <tp t="s">
        <v>#N/A N/A</v>
        <stp/>
        <stp>##V3_BDPV12</stp>
        <stp>XS0236336045 Corp</stp>
        <stp>YLD_YTM_ask</stp>
        <stp>[upload (2).xlsm]Base all $ 3 Duration!R97C7</stp>
        <tr r="G97" s="66"/>
      </tp>
      <tp>
        <v>5.5048196000000003</v>
        <stp/>
        <stp>##V3_BDPV12</stp>
        <stp>XS0854763355 Corp</stp>
        <stp>YLD_YTM_ask</stp>
        <stp>[upload (2).xlsm]Base all $ 3 Duration!R28C7</stp>
        <tr r="G28" s="66"/>
      </tp>
      <tp t="s">
        <v>#N/A N/A</v>
        <stp/>
        <stp>##V3_BDPV12</stp>
        <stp>DIXY RX EQUITY</stp>
        <stp>BDVD_NEXT_EST_DECL_DT</stp>
        <stp>[upload (2).xlsm]Model Portfolio!R34C31</stp>
        <tr r="AE34" s="98"/>
      </tp>
      <tp t="s">
        <v>#N/A N/A</v>
        <stp/>
        <stp>##V3_BDPV12</stp>
        <stp>XS0993279958 Corp</stp>
        <stp>RTG_fitch</stp>
        <stp>[upload (2).xlsm]Base all $ 3 Duration!R13C10</stp>
        <tr r="J13" s="66"/>
      </tp>
      <tp>
        <v>11.396215489761982</v>
        <stp/>
        <stp>##V3_BDPV12</stp>
        <stp>LNTA LI EQUITY</stp>
        <stp>EST_PE_NXT_YR</stp>
        <stp>[upload (2).xlsm]Model Portfolio!R37C15</stp>
        <tr r="O37" s="98"/>
      </tp>
      <tp t="s">
        <v>GAZPROM (GAZ CAPITAL SA)</v>
        <stp/>
        <stp>##V3_BDPV12</stp>
        <stp>XS0708813653 Corp</stp>
        <stp>name</stp>
        <stp>[upload (2).xlsm]Base all $ 3 Duration!R93C1</stp>
        <tr r="A93" s="66"/>
      </tp>
      <tp t="s">
        <v>NR</v>
        <stp/>
        <stp>##V3_BDPV12</stp>
        <stp>XS0616784509 Corp</stp>
        <stp>RTG_fitch</stp>
        <stp>[upload (2).xlsm]Base all $ 3 Duration!R24C10</stp>
        <tr r="J24" s="66"/>
        <tr r="J24" s="66"/>
      </tp>
      <tp t="s">
        <v>WD</v>
        <stp/>
        <stp>##V3_BDPV12</stp>
        <stp>XS0776121062 Corp</stp>
        <stp>RTG_fitch</stp>
        <stp>[upload (2).xlsm]Base all $ 3 Duration!R27C10</stp>
        <tr r="J27" s="66"/>
        <tr r="J27" s="66"/>
      </tp>
      <tp t="s">
        <v>#N/A N/A</v>
        <stp/>
        <stp>##V3_BDPV12</stp>
        <stp>XS0261906738 Corp</stp>
        <stp>YLD_YTM_ask</stp>
        <stp>[upload (2).xlsm]Base all $ 3 Duration!R89C7</stp>
        <tr r="G89" s="66"/>
      </tp>
      <tp>
        <v>8.2206733568174268</v>
        <stp/>
        <stp>##V3_BDPV12</stp>
        <stp>FIVE LI EQUITY</stp>
        <stp>EST_EV_THIS_YR_EBITDA</stp>
        <stp>[upload (2).xlsm]Model Portfolio!R36C16</stp>
        <tr r="P36" s="98"/>
      </tp>
      <tp t="s">
        <v>VIMPELCOM HOLDINGS BV</v>
        <stp/>
        <stp>##V3_BDPV12</stp>
        <stp>XS0889401054 Corp</stp>
        <stp>name</stp>
        <stp>[upload (2).xlsm]Base all $ 3 Duration!R39C1</stp>
        <tr r="A39" s="66"/>
      </tp>
      <tp>
        <v>2.7261540010662291</v>
        <stp/>
        <stp>##V3_BDPV12</stp>
        <stp>XS0424860947 Corp</stp>
        <stp>YLD_YTM_ask</stp>
        <stp>[upload (2).xlsm]Base all $ 3 Duration!R46C7</stp>
        <tr r="G46" s="66"/>
      </tp>
      <tp t="s">
        <v>BBB-</v>
        <stp/>
        <stp>##V3_BDPV12</stp>
        <stp>XS0357281558 Corp</stp>
        <stp>RTG_fitch</stp>
        <stp>[upload (2).xlsm]Base all $ 3 Duration!R69C10</stp>
        <tr r="J69" s="66"/>
        <tr r="J69" s="66"/>
      </tp>
      <tp>
        <v>100000</v>
        <stp/>
        <stp>##V3_BDPV12</stp>
        <stp>XS0524658852 Corp</stp>
        <stp>MIN_PIECE</stp>
        <stp>[upload (2).xlsm]Base all $ 3 Duration!R68C20</stp>
        <tr r="T68" s="66"/>
      </tp>
      <tp>
        <v>10.763465194170362</v>
        <stp/>
        <stp>##V3_BDPV12</stp>
        <stp>HGM LN EQUITY</stp>
        <stp>SALES_GROWTH</stp>
        <stp>[upload (2).xlsm]Model Portfolio!R4C21</stp>
        <tr r="U4" s="98"/>
      </tp>
      <tp>
        <v>200000</v>
        <stp/>
        <stp>##V3_BDPV12</stp>
        <stp>XS0802648955 Corp</stp>
        <stp>MIN_PIECE</stp>
        <stp>[upload (2).xlsm]Base all $ 3 Duration!R12C20</stp>
        <tr r="T12" s="66"/>
      </tp>
      <tp t="s">
        <v>Agricultural Chemicals</v>
        <stp/>
        <stp>##V3_BDPV12</stp>
        <stp>XS0922883318 Corp</stp>
        <stp>INDUSTRY_SUBGROUP</stp>
        <stp>[upload (2).xlsm]Base all $ 3 Duration!R56C11</stp>
        <tr r="K56" s="66"/>
      </tp>
      <tp>
        <v>9.0842246481431008</v>
        <stp/>
        <stp>##V3_BDPV12</stp>
        <stp>HYDR RX EQUITY</stp>
        <stp>NORMALIZED_ROE</stp>
        <stp>[upload (2).xlsm]Model Portfolio!R58C26</stp>
        <tr r="Z58" s="98"/>
      </tp>
      <tp t="s">
        <v>Steel-Producers</v>
        <stp/>
        <stp>##V3_BDPV12</stp>
        <stp>XS0899969702 Corp</stp>
        <stp>INDUSTRY_SUBGROUP</stp>
        <stp>[upload (2).xlsm]Base all $ 3 Duration!R71C11</stp>
        <tr r="K71" s="66"/>
      </tp>
      <tp>
        <v>41.227663857761307</v>
        <stp/>
        <stp>##V3_BDPV12</stp>
        <stp>ALRS RX EQUITY</stp>
        <stp>SALES_GROWTH</stp>
        <stp>[upload (2).xlsm]Model Portfolio!R5C21</stp>
        <tr r="U5" s="98"/>
      </tp>
      <tp t="s">
        <v>Oil&amp;Gas</v>
        <stp/>
        <stp>##V3_BDPV12</stp>
        <stp>SIBN RX EQUITY</stp>
        <stp>INDUSTRY_GROUP</stp>
        <stp>[upload (2).xlsm]Model Portfolio!R15C13</stp>
        <tr r="M15" s="98"/>
      </tp>
      <tp>
        <v>100000</v>
        <stp/>
        <stp>##V3_BDPV12</stp>
        <stp>XS0493579238 Corp</stp>
        <stp>MIN_PIECE</stp>
        <stp>[upload (2).xlsm]Base all $ 3 Duration!R7C20</stp>
        <tr r="T7" s="66"/>
      </tp>
      <tp>
        <v>15.681843859450909</v>
        <stp/>
        <stp>##V3_BDPV12</stp>
        <stp>486 HK EQUITY</stp>
        <stp>TRAIL_12M_PROF_MARGIN</stp>
        <stp>[upload (2).xlsm]Model Portfolio!R30C25</stp>
        <tr r="Y30" s="98"/>
      </tp>
      <tp t="s">
        <v>28/02/2018</v>
        <stp/>
        <stp>##V3_BDPV12</stp>
        <stp>EVR LN EQUITY</stp>
        <stp>BDVD_NEXT_EST_DECL_DT</stp>
        <stp>[upload (2).xlsm]Model Portfolio!R26C31</stp>
        <tr r="AE26" s="98"/>
      </tp>
      <tp t="s">
        <v>SBERBANK-PRF</v>
        <stp/>
        <stp>##V3_BDPV12</stp>
        <stp>SBERP RX EQUITY</stp>
        <stp>SHORT_NAME</stp>
        <stp>[upload (2).xlsm]Model Portfolio!R76C2</stp>
        <tr r="B76" s="98"/>
      </tp>
      <tp>
        <v>13.7711671</v>
        <stp/>
        <stp>##V3_BDPV12</stp>
        <stp>XS0996297544 Corp</stp>
        <stp>YLD_YTM_BID</stp>
        <stp>[upload (2).xlsm]Base all $ 3 Duration!R9C6</stp>
        <tr r="F9" s="66"/>
      </tp>
      <tp>
        <v>15.365495424245848</v>
        <stp/>
        <stp>##V3_BDPV12</stp>
        <stp>486 HK EQUITY</stp>
        <stp>EBIT_MARGIN</stp>
        <stp>[upload (2).xlsm]Model Portfolio!R30C24</stp>
        <tr r="X30" s="98"/>
      </tp>
      <tp>
        <v>23.896665266467025</v>
        <stp/>
        <stp>##V3_BDPV12</stp>
        <stp>MTLR RX EQUITY</stp>
        <stp>EBITDA_MARGIN</stp>
        <stp>[upload (2).xlsm]Model Portfolio!R24C23</stp>
        <tr r="W24" s="98"/>
      </tp>
      <tp t="s">
        <v>20/11/2017</v>
        <stp/>
        <stp>##V3_BDPV12</stp>
        <stp>PHOR RX EQUITY</stp>
        <stp>BDVD_NEXT_EST_DECL_DT</stp>
        <stp>[upload (2).xlsm]Model Portfolio!R32C31</stp>
        <tr r="AE32" s="98"/>
      </tp>
      <tp>
        <v>32.051942836105624</v>
        <stp/>
        <stp>##V3_BDPV12</stp>
        <stp>RTKM RX EQUITY</stp>
        <stp>EBITDA_MARGIN</stp>
        <stp>[upload (2).xlsm]Model Portfolio!R66C23</stp>
        <tr r="W66" s="98"/>
      </tp>
      <tp t="s">
        <v>20/10/2017</v>
        <stp/>
        <stp>##V3_BDPV12</stp>
        <stp>CHMF RX EQUITY</stp>
        <stp>BDVD_NEXT_EST_DECL_DT</stp>
        <stp>[upload (2).xlsm]Model Portfolio!R25C31</stp>
        <tr r="AE25" s="98"/>
      </tp>
      <tp>
        <v>10.153360925401079</v>
        <stp/>
        <stp>##V3_BDPV12</stp>
        <stp>NVTK RX EQUITY</stp>
        <stp>EST_EV_THIS_YR_EBITDA</stp>
        <stp>[upload (2).xlsm]Model Portfolio!R16C16</stp>
        <tr r="P16" s="98"/>
      </tp>
      <tp>
        <v>2.866185798603484</v>
        <stp/>
        <stp>##V3_BDPV12</stp>
        <stp>XS0995845566 Corp</stp>
        <stp>YLD_YTM_ask</stp>
        <stp>[upload (2).xlsm]Base all $ 3 Duration!R29C7</stp>
        <tr r="G29" s="66"/>
      </tp>
      <tp t="s">
        <v>GAZPROM (GAZ CAPITAL SA)</v>
        <stp/>
        <stp>##V3_BDPV12</stp>
        <stp>XS0276456315 Corp</stp>
        <stp>name</stp>
        <stp>[upload (2).xlsm]Base all $ 3 Duration!R90C1</stp>
        <tr r="A90" s="66"/>
      </tp>
      <tp t="s">
        <v>NR</v>
        <stp/>
        <stp>##V3_BDPV12</stp>
        <stp>XS0304273948 Corp</stp>
        <stp>RTG_fitch</stp>
        <stp>[upload (2).xlsm]Base all $ 3 Duration!R87C10</stp>
        <tr r="J87" s="66"/>
        <tr r="J87" s="66"/>
      </tp>
      <tp>
        <v>3.4884427000000002</v>
        <stp/>
        <stp>##V3_BDPV12</stp>
        <stp>XS1043519567 Corp</stp>
        <stp>YLD_YTM_ask</stp>
        <stp>[upload (2).xlsm]Base all $ 3 Duration!R74C7</stp>
        <tr r="G74" s="66"/>
      </tp>
      <tp t="s">
        <v>BB+</v>
        <stp/>
        <stp>##V3_BDPV12</stp>
        <stp>XS0796426228 Corp</stp>
        <stp>RTG_fitch</stp>
        <stp>[upload (2).xlsm]Base all $ 3 Duration!R54C10</stp>
        <tr r="J54" s="66"/>
        <tr r="J54" s="66"/>
      </tp>
      <tp t="s">
        <v>BBB-</v>
        <stp/>
        <stp>##V3_BDPV12</stp>
        <stp>XS0919502434 Corp</stp>
        <stp>RTG_fitch</stp>
        <stp>[upload (2).xlsm]Base all $ 3 Duration!R66C10</stp>
        <tr r="J66" s="66"/>
        <tr r="J66" s="66"/>
      </tp>
      <tp>
        <v>6.3689182025768982</v>
        <stp/>
        <stp>##V3_BDPV12</stp>
        <stp>MVID RX EQUITY</stp>
        <stp>EST_EV_THIS_YR_EBITDA</stp>
        <stp>[upload (2).xlsm]Model Portfolio!R38C16</stp>
        <tr r="P38" s="98"/>
      </tp>
      <tp t="s">
        <v>ALFA BANK (ALFA BOND)</v>
        <stp/>
        <stp>##V3_BDPV12</stp>
        <stp>XS0832412505 Corp</stp>
        <stp>name</stp>
        <stp>[upload (2).xlsm]Base all $ 3 Duration!R30C1</stp>
        <tr r="A30" s="66"/>
      </tp>
      <tp t="s">
        <v>AK BARS BK(AK BARS LUX)</v>
        <stp/>
        <stp>##V3_BDPV12</stp>
        <stp>XS0855334289 Corp</stp>
        <stp>name</stp>
        <stp>[upload (2).xlsm]Base all $ 3 Duration!R50C1</stp>
        <tr r="A50" s="66"/>
      </tp>
      <tp t="s">
        <v>PROMSVYAZBK(PSB FINANCE)</v>
        <stp/>
        <stp>##V3_BDPV12</stp>
        <stp>XS0775984213 Corp</stp>
        <stp>name</stp>
        <stp>[upload (2).xlsm]Base all $ 3 Duration!R42C1</stp>
        <tr r="A42" s="66"/>
      </tp>
      <tp t="s">
        <v>OFCB CAPITAL PLC</v>
        <stp/>
        <stp>##V3_BDPV12</stp>
        <stp>XS0776121062 Corp</stp>
        <stp>name</stp>
        <stp>[upload (2).xlsm]Base all $ 3 Duration!R27C1</stp>
        <tr r="A27" s="66"/>
      </tp>
      <tp t="s">
        <v>BBB-</v>
        <stp/>
        <stp>##V3_BDPV12</stp>
        <stp>XS0993162170 Corp</stp>
        <stp>RTG_fitch</stp>
        <stp>[upload (2).xlsm]Base all $ 3 Duration!R48C10</stp>
        <tr r="J48" s="66"/>
        <tr r="J48" s="66"/>
      </tp>
      <tp t="s">
        <v>TINKOFF CREDI (TCS FINAN</v>
        <stp/>
        <stp>##V3_BDPV12</stp>
        <stp>XS0808636913 Corp</stp>
        <stp>name</stp>
        <stp>[upload (2).xlsm]Base all $ 3 Duration!R17C1</stp>
        <tr r="A17" s="66"/>
      </tp>
      <tp t="s">
        <v>25/05/2017</v>
        <stp/>
        <stp>##V3_BDPV12</stp>
        <stp>KCEL LI EQUITY</stp>
        <stp>DVD_RECORD_DT</stp>
        <stp>[upload (2).xlsm]Model Portfolio!R65C28</stp>
        <tr r="AB65" s="98"/>
      </tp>
      <tp>
        <v>39.146366117456786</v>
        <stp/>
        <stp>##V3_BDPV12</stp>
        <stp>MTSS RX EQUITY</stp>
        <stp>EBITDA_MARGIN</stp>
        <stp>[upload (2).xlsm]Model Portfolio!R67C23</stp>
        <tr r="W67" s="98"/>
      </tp>
      <tp t="s">
        <v>RENAISSANCE SECURITIES T</v>
        <stp/>
        <stp>##V3_BDPV12</stp>
        <stp>XS0616784509 Corp</stp>
        <stp>name</stp>
        <stp>[upload (2).xlsm]Base all $ 3 Duration!R24C1</stp>
        <tr r="A24" s="66"/>
      </tp>
      <tp t="s">
        <v>10/11/2017</v>
        <stp/>
        <stp>##V3_BDPV12</stp>
        <stp>BANEP RX EQUITY</stp>
        <stp>BDVD_NEXT_EST_DECL_DT</stp>
        <stp>[upload (2).xlsm]Model Portfolio!R8C31</stp>
        <tr r="AE8" s="98"/>
      </tp>
      <tp t="s">
        <v>OFCB CAPITAL PLC</v>
        <stp/>
        <stp>##V3_BDPV12</stp>
        <stp>XS0940730228 Corp</stp>
        <stp>name</stp>
        <stp>[upload (2).xlsm]Base all $ 3 Duration!R25C1</stp>
        <tr r="A25" s="66"/>
      </tp>
      <tp t="s">
        <v>#N/A N/A</v>
        <stp/>
        <stp>##V3_BDPV12</stp>
        <stp>XS0861980372 Corp</stp>
        <stp>YLD_YTM_ask</stp>
        <stp>[upload (2).xlsm]Base all $ 3 Duration!R80C7</stp>
        <tr r="G80" s="66"/>
      </tp>
      <tp>
        <v>3.2480792937292176</v>
        <stp/>
        <stp>##V3_BDPV12</stp>
        <stp>SVAV RX EQUITY</stp>
        <stp>EST_EV_THIS_YR_EBITDA</stp>
        <stp>[upload (2).xlsm]Model Portfolio!R72C16</stp>
        <tr r="P72" s="98"/>
      </tp>
      <tp t="s">
        <v>BBB-</v>
        <stp/>
        <stp>##V3_BDPV12</stp>
        <stp>XS0799357354 Corp</stp>
        <stp>RTG_fitch</stp>
        <stp>[upload (2).xlsm]Base all $ 3 Duration!R55C10</stp>
        <tr r="J55" s="66"/>
        <tr r="J55" s="66"/>
      </tp>
      <tp t="s">
        <v>SEVERSTAL (STEEL CAP)</v>
        <stp/>
        <stp>##V3_BDPV12</stp>
        <stp>XS0899969702 Corp</stp>
        <stp>name</stp>
        <stp>[upload (2).xlsm]Base all $ 3 Duration!R71C1</stp>
        <tr r="A71" s="66"/>
      </tp>
      <tp>
        <v>0.55182829426958513</v>
        <stp/>
        <stp>##V3_BDPV12</stp>
        <stp>XS0551315384 Corp</stp>
        <stp>YLD_YTM_ask</stp>
        <stp>[upload (2).xlsm]Base all $ 3 Duration!R82C7</stp>
        <tr r="G82" s="66"/>
      </tp>
      <tp t="s">
        <v>#N/A N/A</v>
        <stp/>
        <stp>##V3_BDPV12</stp>
        <stp>XS0855334289 Corp</stp>
        <stp>YLD_YTM_ask</stp>
        <stp>[upload (2).xlsm]Base all $ 3 Duration!R50C7</stp>
        <tr r="G50" s="66"/>
      </tp>
      <tp t="s">
        <v>#N/A N/A</v>
        <stp/>
        <stp>##V3_BDPV12</stp>
        <stp>XS0276456315 Corp</stp>
        <stp>YLD_YTM_ask</stp>
        <stp>[upload (2).xlsm]Base all $ 3 Duration!R90C7</stp>
        <tr r="G90" s="66"/>
      </tp>
      <tp t="s">
        <v>#N/A N/A</v>
        <stp/>
        <stp>##V3_BDPV12</stp>
        <stp>XS0543956717 Corp</stp>
        <stp>YLD_YTM_ask</stp>
        <stp>[upload (2).xlsm]Base all $ 3 Duration!R85C7</stp>
        <tr r="G85" s="66"/>
      </tp>
      <tp t="s">
        <v>BSPB FIN (BK ST PETERSB)</v>
        <stp/>
        <stp>##V3_BDPV12</stp>
        <stp>XS0312572984 Corp</stp>
        <stp>name</stp>
        <stp>[upload (2).xlsm]Base all $ 3 Duration!R22C1</stp>
        <tr r="A22" s="66"/>
      </tp>
      <tp t="s">
        <v>BB+</v>
        <stp/>
        <stp>##V3_BDPV12</stp>
        <stp>XS0366630902 Corp</stp>
        <stp>RTG_fitch</stp>
        <stp>[upload (2).xlsm]Base all $ 3 Duration!R49C10</stp>
        <tr r="J49" s="66"/>
        <tr r="J49" s="66"/>
      </tp>
      <tp t="s">
        <v>#N/A N/A</v>
        <stp/>
        <stp>##V3_BDPV12</stp>
        <stp>XS0312572984 Corp</stp>
        <stp>YLD_YTM_ask</stp>
        <stp>[upload (2).xlsm]Base all $ 3 Duration!R22C7</stp>
        <tr r="G22" s="66"/>
      </tp>
      <tp>
        <v>200000</v>
        <stp/>
        <stp>##V3_BDPV12</stp>
        <stp>XS1043519567 Corp</stp>
        <stp>MIN_PIECE</stp>
        <stp>[upload (2).xlsm]Base all $ 3 Duration!R74C20</stp>
        <tr r="T74" s="66"/>
      </tp>
      <tp t="s">
        <v>#N/A N/A</v>
        <stp/>
        <stp>##V3_BDPV12</stp>
        <stp>VIP US EQUITY</stp>
        <stp>CHG_PCT_1YR</stp>
        <stp>[upload (2).xlsm]Model Portfolio!R61C6</stp>
        <tr r="F61" s="98"/>
      </tp>
      <tp>
        <v>20.321580898613078</v>
        <stp/>
        <stp>##V3_BDPV12</stp>
        <stp>LNTA LI EQUITY</stp>
        <stp>NORMALIZED_ROE</stp>
        <stp>[upload (2).xlsm]Model Portfolio!R37C26</stp>
        <tr r="Z37" s="98"/>
      </tp>
      <tp>
        <v>200000</v>
        <stp/>
        <stp>##V3_BDPV12</stp>
        <stp>XS0923110232 Corp</stp>
        <stp>MIN_PIECE</stp>
        <stp>[upload (2).xlsm]Base all $ 3 Duration!R35C20</stp>
        <tr r="T35" s="66"/>
      </tp>
      <tp>
        <v>200000</v>
        <stp/>
        <stp>##V3_BDPV12</stp>
        <stp>XS0854763355 Corp</stp>
        <stp>MIN_PIECE</stp>
        <stp>[upload (2).xlsm]Base all $ 3 Duration!R28C20</stp>
        <tr r="T28" s="66"/>
      </tp>
      <tp>
        <v>6.2363598700904772</v>
        <stp/>
        <stp>##V3_BDPV12</stp>
        <stp>POG LN EQUITY</stp>
        <stp>TRAIL_12M_PROF_MARGIN</stp>
        <stp>[upload (2).xlsm]Model Portfolio!R7C25</stp>
        <tr r="Y7" s="98"/>
      </tp>
      <tp>
        <v>200000</v>
        <stp/>
        <stp>##V3_BDPV12</stp>
        <stp>XS0808632847 Corp</stp>
        <stp>MIN_PIECE</stp>
        <stp>[upload (2).xlsm]Base all $ 3 Duration!R65C20</stp>
        <tr r="T65" s="66"/>
      </tp>
      <tp>
        <v>200000</v>
        <stp/>
        <stp>##V3_BDPV12</stp>
        <stp>XS0742380412 Corp</stp>
        <stp>MIN_PIECE</stp>
        <stp>[upload (2).xlsm]Base all $ 3 Duration!R86C20</stp>
        <tr r="T86" s="66"/>
      </tp>
      <tp>
        <v>48.35</v>
        <stp/>
        <stp>##V3_BDPV12</stp>
        <stp>LXFT US Equity</stp>
        <stp>PX_LAST</stp>
        <stp>[Copy of upload (2).xlsm]Гарез_GRENF (2)!R6C7</stp>
        <tr r="G6" s="116"/>
      </tp>
      <tp>
        <v>13.254566832389914</v>
        <stp/>
        <stp>##V3_BDPV12</stp>
        <stp>FEES RX EQUITY</stp>
        <stp>NORMALIZED_ROE</stp>
        <stp>[upload (2).xlsm]Model Portfolio!R56C26</stp>
        <tr r="Z56" s="98"/>
      </tp>
      <tp>
        <v>19.118728598628021</v>
        <stp/>
        <stp>##V3_BDPV12</stp>
        <stp>GLTR LI EQUITY</stp>
        <stp>NORMALIZED_ROE</stp>
        <stp>[upload (2).xlsm]Model Portfolio!R48C26</stp>
        <tr r="Z48" s="98"/>
      </tp>
      <tp>
        <v>11.800444473494998</v>
        <stp/>
        <stp>##V3_BDPV12</stp>
        <stp>HGM LN EQUITY</stp>
        <stp>TRAIL_12M_PROF_MARGIN</stp>
        <stp>[upload (2).xlsm]Model Portfolio!R4C25</stp>
        <tr r="Y4" s="98"/>
      </tp>
      <tp>
        <v>22.459517045454547</v>
        <stp/>
        <stp>##V3_BDPV12</stp>
        <stp>SBER RX EQUITY</stp>
        <stp>NORMALIZED_ROE</stp>
        <stp>[upload (2).xlsm]Model Portfolio!R75C26</stp>
        <tr r="Z75" s="98"/>
      </tp>
      <tp t="s">
        <v>Steel-Producers</v>
        <stp/>
        <stp>##V3_BDPV12</stp>
        <stp>XS0618905219 Corp</stp>
        <stp>INDUSTRY_SUBGROUP</stp>
        <stp>[upload (2).xlsm]Base all $ 3 Duration!R37C11</stp>
        <tr r="K37" s="66"/>
      </tp>
      <tp>
        <v>22.969298086185276</v>
        <stp/>
        <stp>##V3_BDPV12</stp>
        <stp>KMG LI EQUITY</stp>
        <stp>TRAIL_12M_PROF_MARGIN</stp>
        <stp>[upload (2).xlsm]Model Portfolio!R9C25</stp>
        <tr r="Y9" s="98"/>
      </tp>
      <tp t="s">
        <v>Commer Banks Non-US</v>
        <stp/>
        <stp>##V3_BDPV12</stp>
        <stp>XS0775984213 Corp</stp>
        <stp>INDUSTRY_SUBGROUP</stp>
        <stp>[upload (2).xlsm]Base all $ 3 Duration!R42C11</stp>
        <tr r="K42" s="66"/>
      </tp>
      <tp t="s">
        <v>Commer Banks Non-US</v>
        <stp/>
        <stp>##V3_BDPV12</stp>
        <stp>XS0543956717 Corp</stp>
        <stp>INDUSTRY_SUBGROUP</stp>
        <stp>[upload (2).xlsm]Base all $ 3 Duration!R85C11</stp>
        <tr r="K85" s="66"/>
      </tp>
      <tp t="s">
        <v>Food</v>
        <stp/>
        <stp>##V3_BDPV12</stp>
        <stp>AGRO LI EQUITY</stp>
        <stp>INDUSTRY_GROUP</stp>
        <stp>[upload (2).xlsm]Model Portfolio!R71C13</stp>
        <tr r="M71" s="98"/>
      </tp>
      <tp>
        <v>19.349553615393873</v>
        <stp/>
        <stp>##V3_BDPV12</stp>
        <stp>MOEX RX EQUITY</stp>
        <stp>NORMALIZED_ROE</stp>
        <stp>[upload (2).xlsm]Model Portfolio!R74C26</stp>
        <tr r="Z74" s="98"/>
      </tp>
      <tp t="s">
        <v>Transportation</v>
        <stp/>
        <stp>##V3_BDPV12</stp>
        <stp>TRCN RX EQUITY</stp>
        <stp>INDUSTRY_GROUP</stp>
        <stp>[upload (2).xlsm]Model Portfolio!R50C13</stp>
        <tr r="M50" s="98"/>
      </tp>
      <tp t="s">
        <v>#N/A N/A</v>
        <stp/>
        <stp>##V3_BDPV12</stp>
        <stp>HGM LN EQUITY</stp>
        <stp>BDVD_NEXT_EST_DECL_DT</stp>
        <stp>[upload (2).xlsm]Model Portfolio!R4C31</stp>
        <tr r="AE4" s="98"/>
      </tp>
      <tp t="s">
        <v>#N/A N/A</v>
        <stp/>
        <stp>##V3_BDPV12</stp>
        <stp>KMG LI EQUITY</stp>
        <stp>BDVD_NEXT_EST_DECL_DT</stp>
        <stp>[upload (2).xlsm]Model Portfolio!R9C31</stp>
        <tr r="AE9" s="98"/>
      </tp>
      <tp t="s">
        <v>#N/A N/A</v>
        <stp/>
        <stp>##V3_BDPV12</stp>
        <stp>VIP US EQUITY</stp>
        <stp>CHG_PCT_WTD</stp>
        <stp>[upload (2).xlsm]Model Portfolio!R61C4</stp>
        <tr r="D61" s="98"/>
      </tp>
      <tp>
        <v>100000</v>
        <stp/>
        <stp>##V3_BDPV12</stp>
        <stp>XS0275728557 Corp</stp>
        <stp>MIN_PIECE</stp>
        <stp>[upload (2).xlsm]Base all $ 3 Duration!R8C20</stp>
        <tr r="T8" s="66"/>
      </tp>
      <tp t="s">
        <v>#N/A N/A</v>
        <stp/>
        <stp>##V3_BDPV12</stp>
        <stp>VIP US EQUITY</stp>
        <stp>CHG_PCT_YTD</stp>
        <stp>[upload (2).xlsm]Model Portfolio!R61C7</stp>
        <tr r="G61" s="98"/>
      </tp>
      <tp t="s">
        <v>#N/A N/A</v>
        <stp/>
        <stp>##V3_BDPV12</stp>
        <stp>POG LN EQUITY</stp>
        <stp>BDVD_NEXT_EST_DECL_DT</stp>
        <stp>[upload (2).xlsm]Model Portfolio!R7C31</stp>
        <tr r="AE7" s="98"/>
      </tp>
      <tp>
        <v>12.164580000000001</v>
        <stp/>
        <stp>##V3_BDPV12</stp>
        <stp>HGM LN EQUITY</stp>
        <stp>CHG_PCT_YTD</stp>
        <stp>[upload (2).xlsm]Model Portfolio!R4C7</stp>
        <tr r="G4" s="98"/>
      </tp>
      <tp>
        <v>-0.63694269999999997</v>
        <stp/>
        <stp>##V3_BDPV12</stp>
        <stp>HGM LN EQUITY</stp>
        <stp>CHG_PCT_WTD</stp>
        <stp>[upload (2).xlsm]Model Portfolio!R4C4</stp>
        <tr r="D4" s="98"/>
      </tp>
      <tp>
        <v>7.2340189434470741</v>
        <stp/>
        <stp>##V3_BDPV12</stp>
        <stp>BANEP RX EQUITY</stp>
        <stp>TRAIL_12M_PROF_MARGIN</stp>
        <stp>[upload (2).xlsm]Model Portfolio!R8C25</stp>
        <tr r="Y8" s="98"/>
      </tp>
      <tp t="s">
        <v>USD</v>
        <stp/>
        <stp>##V3_BDPV12</stp>
        <stp>VIP US EQUITY</stp>
        <stp>CRNCY</stp>
        <stp>[Copy of upload (2).xlsm]Гарез_GRENF!R25C7</stp>
        <tr r="G25" s="115"/>
      </tp>
      <tp>
        <v>3.883863622591035</v>
        <stp/>
        <stp>##V3_BDPV12</stp>
        <stp>POLY LN EQUITY</stp>
        <stp>CURRENT_EV_TO_12M_SALES</stp>
        <stp>[upload (2).xlsm]Model Portfolio!R6C17</stp>
        <tr r="Q6" s="98"/>
      </tp>
      <tp>
        <v>13.5</v>
        <stp/>
        <stp>##V3_BDPV12</stp>
        <stp>XS0996297544 Corp</stp>
        <stp>CPN</stp>
        <stp>[upload (2).xlsm]Base all $ 3 Duration!R9C8</stp>
        <tr r="H9" s="66"/>
      </tp>
      <tp t="s">
        <v>#N/A Field Not Applicable</v>
        <stp/>
        <stp>##V3_BDPV12</stp>
        <stp>BANEP RX EQUITY</stp>
        <stp>CURRENT_EV_TO_12M_SALES</stp>
        <stp>[upload (2).xlsm]Model Portfolio!R8C17</stp>
        <tr r="Q8" s="98"/>
      </tp>
      <tp>
        <v>5.1478945875329725</v>
        <stp/>
        <stp>##V3_BDPV12</stp>
        <stp>PLZL RX EQUITY</stp>
        <stp>CURRENT_EV_TO_12M_SALES</stp>
        <stp>[upload (2).xlsm]Model Portfolio!R2C17</stp>
        <tr r="Q2" s="98"/>
      </tp>
      <tp>
        <v>2.6218750000000002</v>
        <stp/>
        <stp>##V3_BDPV12</stp>
        <stp>EVR LN EQUITY</stp>
        <stp>NET_DEBT_TO_EBITDA</stp>
        <stp>[upload (2).xlsm]Model Portfolio!R26C20</stp>
        <tr r="T26" s="98"/>
      </tp>
      <tp>
        <v>313.89999999999998</v>
        <stp/>
        <stp>##V3_BDPV12</stp>
        <stp>DIXY RX EQUITY</stp>
        <stp>PX_LAST</stp>
        <stp>[upload (2).xlsm]Model Portfolio!R34C3</stp>
        <tr r="C34" s="98"/>
      </tp>
      <tp>
        <v>7.7101130119161514</v>
        <stp/>
        <stp>##V3_BDPV12</stp>
        <stp>FIVE LI EQUITY</stp>
        <stp>EBITDA_MARGIN</stp>
        <stp>[upload (2).xlsm]Model Portfolio!R36C23</stp>
        <tr r="W36" s="98"/>
      </tp>
      <tp>
        <v>1.3208</v>
        <stp/>
        <stp>##V3_BDPV12</stp>
        <stp>GBP Curncy</stp>
        <stp>PX_LAST</stp>
        <stp>[upload (2).xlsm]Model Portfolio!R1C33</stp>
        <tr r="AG1" s="98"/>
      </tp>
      <tp t="s">
        <v>27/10/2017</v>
        <stp/>
        <stp>##V3_BDPV12</stp>
        <stp>LKOH RX EQUITY</stp>
        <stp>BDVD_NEXT_EST_DECL_DT</stp>
        <stp>[upload (2).xlsm]Model Portfolio!R13C31</stp>
        <tr r="AE13" s="98"/>
      </tp>
      <tp>
        <v>2917.31</v>
        <stp/>
        <stp>##V3_BDPV12</stp>
        <stp>COP Curncy</stp>
        <stp>PX_LAST</stp>
        <stp>[upload (2).xlsm]Model Portfolio!R1C51</stp>
        <tr r="AY1" s="98"/>
      </tp>
      <tp>
        <v>6.2919912316071578</v>
        <stp/>
        <stp>##V3_BDPV12</stp>
        <stp>OKEY LI EQUITY</stp>
        <stp>EST_EV_THIS_YR_EBITDA</stp>
        <stp>[upload (2).xlsm]Model Portfolio!R39C16</stp>
        <tr r="P39" s="98"/>
      </tp>
      <tp>
        <v>13.130617700004512</v>
        <stp/>
        <stp>##V3_BDPV12</stp>
        <stp>EPAM US EQUITY</stp>
        <stp>EBITDA_MARGIN</stp>
        <stp>[upload (2).xlsm]Model Portfolio!R42C23</stp>
        <tr r="W42" s="98"/>
      </tp>
      <tp t="s">
        <v>22/05/2018</v>
        <stp/>
        <stp>##V3_BDPV12</stp>
        <stp>AKRN RX EQUITY</stp>
        <stp>BDVD_NEXT_EST_DECL_DT</stp>
        <stp>[upload (2).xlsm]Model Portfolio!R33C31</stp>
        <tr r="AE33" s="98"/>
      </tp>
      <tp>
        <v>18.079999999999998</v>
        <stp/>
        <stp>##V3_BDPV12</stp>
        <stp>QIWI US EQUITY</stp>
        <stp>PX_LAST</stp>
        <stp>[upload (2).xlsm]Model Portfolio!R40C3</stp>
        <tr r="C40" s="98"/>
      </tp>
      <tp t="s">
        <v>B+</v>
        <stp/>
        <stp>##V3_BDPV12</stp>
        <stp>XS0924078453 Corp</stp>
        <stp>RTG_fitch</stp>
        <stp>[upload (2).xlsm]Base all $ 3 Duration!R19C10</stp>
        <tr r="J19" s="66"/>
        <tr r="J19" s="66"/>
      </tp>
      <tp t="s">
        <v>NR</v>
        <stp/>
        <stp>##V3_BDPV12</stp>
        <stp>XS0640334768 Corp</stp>
        <stp>RTG_fitch</stp>
        <stp>[upload (2).xlsm]Base all $ 3 Duration!R15C10</stp>
        <tr r="J15" s="66"/>
        <tr r="J15" s="66"/>
      </tp>
      <tp>
        <v>8.5082280106361683</v>
        <stp/>
        <stp>##V3_BDPV12</stp>
        <stp>TRMK RX EQUITY</stp>
        <stp>EST_PE_NXT_YR</stp>
        <stp>[upload (2).xlsm]Model Portfolio!R21C15</stp>
        <tr r="O21" s="98"/>
      </tp>
      <tp t="s">
        <v>SBERBANK (SB CAP SA)</v>
        <stp/>
        <stp>##V3_BDPV12</stp>
        <stp>XS0742380412 Corp</stp>
        <stp>name</stp>
        <stp>[upload (2).xlsm]Base all $ 3 Duration!R86C1</stp>
        <tr r="A86" s="66"/>
      </tp>
      <tp t="s">
        <v>BK OF MOSCOW (KUZNETSKI)</v>
        <stp/>
        <stp>##V3_BDPV12</stp>
        <stp>XS0236336045 Corp</stp>
        <stp>name</stp>
        <stp>[upload (2).xlsm]Base all $ 3 Duration!R97C1</stp>
        <tr r="A97" s="66"/>
      </tp>
      <tp>
        <v>31.9</v>
        <stp/>
        <stp>##V3_BDPV12</stp>
        <stp>MAIL LI EQUITY</stp>
        <stp>PX_LAST</stp>
        <stp>[upload (2).xlsm]Model Portfolio!R44C3</stp>
        <tr r="C44" s="98"/>
      </tp>
      <tp t="s">
        <v>EUROCHEM M &amp; C OJSC VIA</v>
        <stp/>
        <stp>##V3_BDPV12</stp>
        <stp>XS0863583281 Corp</stp>
        <stp>name</stp>
        <stp>[upload (2).xlsm]Base all $ 3 Duration!R67C1</stp>
        <tr r="A67" s="66"/>
      </tp>
      <tp t="s">
        <v>WD</v>
        <stp/>
        <stp>##V3_BDPV12</stp>
        <stp>XS0292530309 Corp</stp>
        <stp>RTG_fitch</stp>
        <stp>[upload (2).xlsm]Base all $ 3 Duration!R81C10</stp>
        <tr r="J81" s="66"/>
        <tr r="J81" s="66"/>
      </tp>
      <tp>
        <v>2.6140236713859402</v>
        <stp/>
        <stp>##V3_BDPV12</stp>
        <stp>XS0585211591 Corp</stp>
        <stp>YLD_YTM_ask</stp>
        <stp>[upload (2).xlsm]Base all $ 3 Duration!R34C7</stp>
        <tr r="G34" s="66"/>
      </tp>
      <tp>
        <v>7.0626004529500106</v>
        <stp/>
        <stp>##V3_BDPV12</stp>
        <stp>URKA RX EQUITY</stp>
        <stp>EST_PE_NXT_YR</stp>
        <stp>[upload (2).xlsm]Model Portfolio!R31C15</stp>
        <tr r="O31" s="98"/>
      </tp>
      <tp t="s">
        <v>NR</v>
        <stp/>
        <stp>##V3_BDPV12</stp>
        <stp>XS0643176448 Corp</stp>
        <stp>RTG_fitch</stp>
        <stp>[upload (2).xlsm]Base all $ 3 Duration!R79C10</stp>
        <tr r="J79" s="66"/>
        <tr r="J79" s="66"/>
      </tp>
      <tp t="s">
        <v>WD</v>
        <stp/>
        <stp>##V3_BDPV12</stp>
        <stp>XS0869792928 Corp</stp>
        <stp>RTG_fitch</stp>
        <stp>[upload (2).xlsm]Base all $ 3 Duration!R10C10</stp>
        <tr r="J10" s="66"/>
        <tr r="J10" s="66"/>
      </tp>
      <tp t="s">
        <v>#N/A N/A</v>
        <stp/>
        <stp>##V3_BDPV12</stp>
        <stp>XS1059697323 Corp</stp>
        <stp>RTG_fitch</stp>
        <stp>[upload (2).xlsm]Base all $ 3 Duration!R20C10</stp>
        <tr r="J20" s="66"/>
      </tp>
      <tp t="s">
        <v>B+</v>
        <stp/>
        <stp>##V3_BDPV12</stp>
        <stp>XS0954673934 Corp</stp>
        <stp>RTG_fitch</stp>
        <stp>[upload (2).xlsm]Base all $ 3 Duration!R16C10</stp>
        <tr r="J16" s="66"/>
        <tr r="J16" s="66"/>
      </tp>
      <tp t="s">
        <v>BB-</v>
        <stp/>
        <stp>##V3_BDPV12</stp>
        <stp>XS0923472814 Corp</stp>
        <stp>RTG_fitch</stp>
        <stp>[upload (2).xlsm]Base all $ 3 Duration!R52C10</stp>
        <tr r="J52" s="66"/>
        <tr r="J52" s="66"/>
      </tp>
      <tp t="s">
        <v>WD</v>
        <stp/>
        <stp>##V3_BDPV12</stp>
        <stp>XS0851672435 Corp</stp>
        <stp>RTG_fitch</stp>
        <stp>[upload (2).xlsm]Base all $ 3 Duration!R23C10</stp>
        <tr r="J23" s="66"/>
        <tr r="J23" s="66"/>
      </tp>
      <tp t="s">
        <v>SEVERSTAL (STEEL CAP)</v>
        <stp/>
        <stp>##V3_BDPV12</stp>
        <stp>XS0551315384 Corp</stp>
        <stp>name</stp>
        <stp>[upload (2).xlsm]Base all $ 3 Duration!R82C1</stp>
        <tr r="A82" s="66"/>
      </tp>
      <tp t="s">
        <v>#N/A N/A</v>
        <stp/>
        <stp>##V3_BDPV12</stp>
        <stp>XS0253861834 Corp</stp>
        <stp>YLD_YTM_ask</stp>
        <stp>[upload (2).xlsm]Base all $ 3 Duration!R91C7</stp>
        <tr r="G91" s="66"/>
      </tp>
      <tp t="s">
        <v>OJSC RUSS AGRIC BK(RSHB)</v>
        <stp/>
        <stp>##V3_BDPV12</stp>
        <stp>XS0955232854 Corp</stp>
        <stp>name</stp>
        <stp>[upload (2).xlsm]Base all $ 3 Duration!R45C1</stp>
        <tr r="A45" s="66"/>
      </tp>
      <tp t="s">
        <v>BB- /*-</v>
        <stp/>
        <stp>##V3_BDPV12</stp>
        <stp>XS0783242877 Corp</stp>
        <stp>RTG_fitch</stp>
        <stp>[upload (2).xlsm]Base all $ 3 Duration!R32C10</stp>
        <tr r="J32" s="66"/>
        <tr r="J32" s="66"/>
      </tp>
      <tp t="s">
        <v>NR</v>
        <stp/>
        <stp>##V3_BDPV12</stp>
        <stp>XS0426517701 Corp</stp>
        <stp>RTG_fitch</stp>
        <stp>[upload (2).xlsm]Base all $ 3 Duration!R88C10</stp>
        <tr r="J88" s="66"/>
        <tr r="J88" s="66"/>
      </tp>
      <tp>
        <v>2.1021598596594626</v>
        <stp/>
        <stp>##V3_BDPV12</stp>
        <stp>XS0365923977 Corp</stp>
        <stp>YLD_YTM_ask</stp>
        <stp>[upload (2).xlsm]Base all $ 3 Duration!R57C7</stp>
        <tr r="G57" s="66"/>
      </tp>
      <tp t="s">
        <v>PROMSVYAZBK(PSB FINANCE)</v>
        <stp/>
        <stp>##V3_BDPV12</stp>
        <stp>XS0524658852 Corp</stp>
        <stp>name</stp>
        <stp>[upload (2).xlsm]Base all $ 3 Duration!R68C1</stp>
        <tr r="A68" s="66"/>
      </tp>
      <tp t="s">
        <v>VTB BANK (VTB CAPITAL SA</v>
        <stp/>
        <stp>##V3_BDPV12</stp>
        <stp>XS0365923977 Corp</stp>
        <stp>name</stp>
        <stp>[upload (2).xlsm]Base all $ 3 Duration!R57C1</stp>
        <tr r="A57" s="66"/>
      </tp>
      <tp>
        <v>-14.325306842313479</v>
        <stp/>
        <stp>##V3_BDPV12</stp>
        <stp>XS0544362972 Corp</stp>
        <stp>YLD_YTM_ask</stp>
        <stp>[upload (2).xlsm]Base all $ 3 Duration!R70C7</stp>
        <tr r="G70" s="66"/>
      </tp>
      <tp>
        <v>10.073264796068027</v>
        <stp/>
        <stp>##V3_BDPV12</stp>
        <stp>GLTR LI EQUITY</stp>
        <stp>EST_PE_NXT_YR</stp>
        <stp>[upload (2).xlsm]Model Portfolio!R48C15</stp>
        <tr r="O48" s="98"/>
      </tp>
      <tp>
        <v>2.1761043352851188</v>
        <stp/>
        <stp>##V3_BDPV12</stp>
        <stp>XS0381439305 Corp</stp>
        <stp>YLD_YTM_ask</stp>
        <stp>[upload (2).xlsm]Base all $ 3 Duration!R64C7</stp>
        <tr r="G64" s="66"/>
      </tp>
      <tp>
        <v>13.497774303173413</v>
        <stp/>
        <stp>##V3_BDPV12</stp>
        <stp>TRCN RX EQUITY</stp>
        <stp>EST_PE_NXT_YR</stp>
        <stp>[upload (2).xlsm]Model Portfolio!R50C15</stp>
        <tr r="O50" s="98"/>
      </tp>
      <tp t="s">
        <v>#N/A N/A</v>
        <stp/>
        <stp>##V3_BDPV12</stp>
        <stp>XS0587030957 Corp</stp>
        <stp>RTG_fitch</stp>
        <stp>[upload (2).xlsm]Base all $ 3 Duration!R95C10</stp>
        <tr r="J95" s="66"/>
      </tp>
      <tp t="s">
        <v>NORD GOLD SE</v>
        <stp/>
        <stp>##V3_BDPV12</stp>
        <stp>XS0923472814 Corp</stp>
        <stp>name</stp>
        <stp>[upload (2).xlsm]Base all $ 3 Duration!R52C1</stp>
        <tr r="A52" s="66"/>
      </tp>
      <tp t="s">
        <v>NR</v>
        <stp/>
        <stp>##V3_BDPV12</stp>
        <stp>XS0276456315 Corp</stp>
        <stp>RTG_fitch</stp>
        <stp>[upload (2).xlsm]Base all $ 3 Duration!R90C10</stp>
        <tr r="J90" s="66"/>
        <tr r="J90" s="66"/>
      </tp>
      <tp t="s">
        <v>NR</v>
        <stp/>
        <stp>##V3_BDPV12</stp>
        <stp>XS0288690539 Corp</stp>
        <stp>RTG_fitch</stp>
        <stp>[upload (2).xlsm]Base all $ 3 Duration!R62C10</stp>
        <tr r="J62" s="66"/>
        <tr r="J62" s="66"/>
      </tp>
      <tp t="s">
        <v>WD</v>
        <stp/>
        <stp>##V3_BDPV12</stp>
        <stp>XS0940730228 Corp</stp>
        <stp>RTG_fitch</stp>
        <stp>[upload (2).xlsm]Base all $ 3 Duration!R25C10</stp>
        <tr r="J25" s="66"/>
        <tr r="J25" s="66"/>
      </tp>
      <tp>
        <v>60.055719561284683</v>
        <stp/>
        <stp>##V3_BDPV12</stp>
        <stp>XS0841677387 Corp</stp>
        <stp>YLD_YTM_ask</stp>
        <stp>[upload (2).xlsm]Base all $ 3 Duration!R99C7</stp>
        <tr r="G99" s="66"/>
      </tp>
      <tp>
        <v>8.5130111524163556</v>
        <stp/>
        <stp>##V3_BDPV12</stp>
        <stp>GLPR LI EQUITY</stp>
        <stp>EST_PE_NXT_YR</stp>
        <stp>[upload (2).xlsm]Model Portfolio!R46C15</stp>
        <tr r="O46" s="98"/>
      </tp>
      <tp>
        <v>5.9446153846153846</v>
        <stp/>
        <stp>##V3_BDPV12</stp>
        <stp>IRAO RX EQUITY</stp>
        <stp>EST_PE_NXT_YR</stp>
        <stp>[upload (2).xlsm]Model Portfolio!R51C15</stp>
        <tr r="O51" s="98"/>
      </tp>
      <tp t="s">
        <v>EVRAZ GROUP SA</v>
        <stp/>
        <stp>##V3_BDPV12</stp>
        <stp>XS0359381331 Corp</stp>
        <stp>name</stp>
        <stp>[upload (2).xlsm]Base all $ 3 Duration!R36C1</stp>
        <tr r="A36" s="66"/>
      </tp>
      <tp t="s">
        <v>TATFONDBANK VIA TFB FINA</v>
        <stp/>
        <stp>##V3_BDPV12</stp>
        <stp>XS1059697323 Corp</stp>
        <stp>name</stp>
        <stp>[upload (2).xlsm]Base all $ 3 Duration!R20C1</stp>
        <tr r="A20" s="66"/>
      </tp>
      <tp t="s">
        <v>NR</v>
        <stp/>
        <stp>##V3_BDPV12</stp>
        <stp>XS0719009754 Corp</stp>
        <stp>RTG_fitch</stp>
        <stp>[upload (2).xlsm]Base all $ 3 Duration!R77C10</stp>
        <tr r="J77" s="66"/>
        <tr r="J77" s="66"/>
      </tp>
      <tp>
        <v>20.988056544749249</v>
        <stp/>
        <stp>##V3_BDPV12</stp>
        <stp>POLY LN EQUITY</stp>
        <stp>TRAIL_12M_PROF_MARGIN</stp>
        <stp>[upload (2).xlsm]Model Portfolio!R6C25</stp>
        <tr r="Y6" s="98"/>
      </tp>
      <tp>
        <v>200000</v>
        <stp/>
        <stp>##V3_BDPV12</stp>
        <stp>XS0650962185 Corp</stp>
        <stp>MIN_PIECE</stp>
        <stp>[upload (2).xlsm]Base all $ 3 Duration!R83C20</stp>
        <tr r="T83" s="66"/>
      </tp>
      <tp>
        <v>81.754838647258865</v>
        <stp/>
        <stp>##V3_BDPV12</stp>
        <stp>FXPO LN EQUITY</stp>
        <stp>NORMALIZED_ROE</stp>
        <stp>[upload (2).xlsm]Model Portfolio!R27C26</stp>
        <tr r="Z27" s="98"/>
      </tp>
      <tp>
        <v>200000</v>
        <stp/>
        <stp>##V3_BDPV12</stp>
        <stp>XS0552679879 Corp</stp>
        <stp>MIN_PIECE</stp>
        <stp>[upload (2).xlsm]Base all $ 3 Duration!R43C20</stp>
        <tr r="T43" s="66"/>
      </tp>
      <tp>
        <v>200000</v>
        <stp/>
        <stp>##V3_BDPV12</stp>
        <stp>XS0889401054 Corp</stp>
        <stp>MIN_PIECE</stp>
        <stp>[upload (2).xlsm]Base all $ 3 Duration!R39C20</stp>
        <tr r="T39" s="66"/>
      </tp>
      <tp t="s">
        <v>Investment Companies</v>
        <stp/>
        <stp>##V3_BDPV12</stp>
        <stp>XS0938341780 Corp</stp>
        <stp>INDUSTRY_SUBGROUP</stp>
        <stp>[upload (2).xlsm]Base all $ 3 Duration!R21C11</stp>
        <tr r="K21" s="66"/>
      </tp>
      <tp t="s">
        <v>Commer Banks Non-US</v>
        <stp/>
        <stp>##V3_BDPV12</stp>
        <stp>XS0973219495 Corp</stp>
        <stp>INDUSTRY_SUBGROUP</stp>
        <stp>[upload (2).xlsm]Base all $ 3 Duration!R11C11</stp>
        <tr r="K11" s="66"/>
      </tp>
      <tp t="s">
        <v>Commer Banks Non-US</v>
        <stp/>
        <stp>##V3_BDPV12</stp>
        <stp>XS0855334289 Corp</stp>
        <stp>INDUSTRY_SUBGROUP</stp>
        <stp>[upload (2).xlsm]Base all $ 3 Duration!R50C11</stp>
        <tr r="K50" s="66"/>
      </tp>
      <tp t="s">
        <v>Oil Comp-Integrated</v>
        <stp/>
        <stp>##V3_BDPV12</stp>
        <stp>XS0562354182 Corp</stp>
        <stp>INDUSTRY_SUBGROUP</stp>
        <stp>[upload (2).xlsm]Base all $ 3 Duration!R96C11</stp>
        <tr r="K96" s="66"/>
      </tp>
      <tp t="s">
        <v>Cellular Telecom</v>
        <stp/>
        <stp>##V3_BDPV12</stp>
        <stp>XS0253861834 Corp</stp>
        <stp>INDUSTRY_SUBGROUP</stp>
        <stp>[upload (2).xlsm]Base all $ 3 Duration!R91C11</stp>
        <tr r="K91" s="66"/>
      </tp>
      <tp t="s">
        <v>Steel-Producers</v>
        <stp/>
        <stp>##V3_BDPV12</stp>
        <stp>XS0551315384 Corp</stp>
        <stp>INDUSTRY_SUBGROUP</stp>
        <stp>[upload (2).xlsm]Base all $ 3 Duration!R82C11</stp>
        <tr r="K82" s="66"/>
      </tp>
      <tp t="s">
        <v>Metal-Iron</v>
        <stp/>
        <stp>##V3_BDPV12</stp>
        <stp>XS0783934325 Corp</stp>
        <stp>INDUSTRY_SUBGROUP</stp>
        <stp>[upload (2).xlsm]Base all $ 3 Duration!R47C11</stp>
        <tr r="K47" s="66"/>
      </tp>
      <tp>
        <v>59.140811455847256</v>
        <stp/>
        <stp>##V3_BDPV12</stp>
        <stp>PLZL RX EQUITY</stp>
        <stp>TRAIL_12M_PROF_MARGIN</stp>
        <stp>[upload (2).xlsm]Model Portfolio!R2C25</stp>
        <tr r="Y2" s="98"/>
      </tp>
      <tp t="s">
        <v>Steel Pipe&amp;Tube</v>
        <stp/>
        <stp>##V3_BDPV12</stp>
        <stp>XS0585211591 Corp</stp>
        <stp>INDUSTRY_SUBGROUP</stp>
        <stp>[upload (2).xlsm]Base all $ 3 Duration!R34C11</stp>
        <tr r="K34" s="66"/>
      </tp>
      <tp>
        <v>200000</v>
        <stp/>
        <stp>##V3_BDPV12</stp>
        <stp>US91701RAA95 Corp</stp>
        <stp>MIN_PIECE</stp>
        <stp>[upload (2).xlsm]Base all $ 3 Duration!R26C20</stp>
        <tr r="T26" s="66"/>
      </tp>
      <tp>
        <v>200000</v>
        <stp/>
        <stp>##V3_BDPV12</stp>
        <stp>XS0996297544 Corp</stp>
        <stp>MIN_PIECE</stp>
        <stp>[upload (2).xlsm]Base all $ 3 Duration!R9C20</stp>
        <tr r="T9" s="66"/>
      </tp>
      <tp t="s">
        <v>#N/A N/A</v>
        <stp/>
        <stp>##V3_BDPV12</stp>
        <stp>PLZL RX EQUITY</stp>
        <stp>BDVD_NEXT_EST_DECL_DT</stp>
        <stp>[upload (2).xlsm]Model Portfolio!R2C31</stp>
        <tr r="AE2" s="98"/>
      </tp>
      <tp t="s">
        <v>07/12/2017</v>
        <stp/>
        <stp>##V3_BDPV12</stp>
        <stp>POLY LN EQUITY</stp>
        <stp>BDVD_NEXT_EST_DECL_DT</stp>
        <stp>[upload (2).xlsm]Model Portfolio!R6C31</stp>
        <tr r="AE6" s="98"/>
      </tp>
      <tp>
        <v>4.4281555033908448</v>
        <stp/>
        <stp>##V3_BDPV12</stp>
        <stp>ALRS RX EQUITY</stp>
        <stp>EST_EV_THIS_YR_EBITDA</stp>
        <stp>[upload (2).xlsm]Model Portfolio!R5C16</stp>
        <tr r="P5" s="98"/>
      </tp>
      <tp t="s">
        <v>20/07/2017</v>
        <stp/>
        <stp>##V3_BDPV12</stp>
        <stp>ALRS RX EQUITY</stp>
        <stp>DVD_RECORD_DT</stp>
        <stp>[upload (2).xlsm]Model Portfolio!R5C28</stp>
        <tr r="AB5" s="98"/>
      </tp>
      <tp>
        <v>2.1</v>
        <stp/>
        <stp>##V3_BDPV12</stp>
        <stp>OKEY LI EQUITY</stp>
        <stp>PX_LAST</stp>
        <stp>[upload (2).xlsm]Model Portfolio!R39C3</stp>
        <tr r="C39" s="98"/>
      </tp>
      <tp>
        <v>9.4045647230566249</v>
        <stp/>
        <stp>##V3_BDPV12</stp>
        <stp>SVAV RX EQUITY</stp>
        <stp>EBITDA_MARGIN</stp>
        <stp>[upload (2).xlsm]Model Portfolio!R72C23</stp>
        <tr r="W72" s="98"/>
      </tp>
      <tp>
        <v>4.4687629926469548</v>
        <stp/>
        <stp>##V3_BDPV12</stp>
        <stp>MTSS RX EQUITY</stp>
        <stp>EST_EV_THIS_YR_EBITDA</stp>
        <stp>[upload (2).xlsm]Model Portfolio!R67C16</stp>
        <tr r="P67" s="98"/>
      </tp>
      <tp>
        <v>8.2850000000000001</v>
        <stp/>
        <stp>##V3_BDPV12</stp>
        <stp>NMTP RX EQUITY</stp>
        <stp>PX_LAST</stp>
        <stp>[upload (2).xlsm]Model Portfolio!R49C3</stp>
        <tr r="C49" s="98"/>
      </tp>
      <tp t="s">
        <v>NR</v>
        <stp/>
        <stp>##V3_BDPV12</stp>
        <stp>XS0850393264 Corp</stp>
        <stp>RTG_SP</stp>
        <stp>[upload (2).xlsm]Base all $ 3 Duration!R4C10</stp>
        <tr r="J4" s="66"/>
        <tr r="J4" s="66"/>
      </tp>
      <tp>
        <v>2.4775555555555555</v>
        <stp/>
        <stp>##V3_BDPV12</stp>
        <stp>RSTI RX EQUITY</stp>
        <stp>EST_PE_NXT_YR</stp>
        <stp>[upload (2).xlsm]Model Portfolio!R54C15</stp>
        <tr r="O54" s="98"/>
      </tp>
      <tp>
        <v>5.6927717426941484</v>
        <stp/>
        <stp>##V3_BDPV12</stp>
        <stp>MVID RX EQUITY</stp>
        <stp>EBITDA_MARGIN</stp>
        <stp>[upload (2).xlsm]Model Portfolio!R38C23</stp>
        <tr r="W38" s="98"/>
      </tp>
      <tp t="s">
        <v>#N/A N/A</v>
        <stp/>
        <stp>##V3_BDPV12</stp>
        <stp>LXFT US EQUITY</stp>
        <stp>DVD_RECORD_DT</stp>
        <stp>[upload (2).xlsm]Model Portfolio!R41C28</stp>
        <tr r="AB41" s="98"/>
      </tp>
      <tp>
        <v>17.72</v>
        <stp/>
        <stp>##V3_BDPV12</stp>
        <stp>MSRS RX EQUITY</stp>
        <stp>EST_PE_NXT_YR</stp>
        <stp>[upload (2).xlsm]Model Portfolio!R59C15</stp>
        <tr r="O59" s="98"/>
      </tp>
      <tp>
        <v>5.5305483888675413</v>
        <stp/>
        <stp>##V3_BDPV12</stp>
        <stp>LSRG RX EQUITY</stp>
        <stp>EST_PE_NXT_YR</stp>
        <stp>[upload (2).xlsm]Model Portfolio!R69C15</stp>
        <tr r="O69" s="98"/>
      </tp>
      <tp>
        <v>3.4164358264081254</v>
        <stp/>
        <stp>##V3_BDPV12</stp>
        <stp>BSPB RX EQUITY</stp>
        <stp>EST_PE_NXT_YR</stp>
        <stp>[upload (2).xlsm]Model Portfolio!R77C15</stp>
        <tr r="O77" s="98"/>
      </tp>
      <tp>
        <v>8.2797297297297288</v>
        <stp/>
        <stp>##V3_BDPV12</stp>
        <stp>MSNG RX EQUITY</stp>
        <stp>EST_PE_NXT_YR</stp>
        <stp>[upload (2).xlsm]Model Portfolio!R55C15</stp>
        <tr r="O55" s="98"/>
      </tp>
      <tp>
        <v>3.6462057742520981</v>
        <stp/>
        <stp>##V3_BDPV12</stp>
        <stp>RTKM RX EQUITY</stp>
        <stp>EST_EV_THIS_YR_EBITDA</stp>
        <stp>[upload (2).xlsm]Model Portfolio!R66C16</stp>
        <tr r="P66" s="98"/>
      </tp>
      <tp t="s">
        <v>GAZPROMBK (GPB FINANCE)</v>
        <stp/>
        <stp>##V3_BDPV12</stp>
        <stp>XS1040726587 Corp</stp>
        <stp>name</stp>
        <stp>[upload (2).xlsm]Base all $ 3 Duration!R41C1</stp>
        <tr r="A41" s="66"/>
      </tp>
      <tp t="s">
        <v>BB</v>
        <stp/>
        <stp>##V3_BDPV12</stp>
        <stp>XS0832412505 Corp</stp>
        <stp>RTG_fitch</stp>
        <stp>[upload (2).xlsm]Base all $ 3 Duration!R30C10</stp>
        <tr r="J30" s="66"/>
        <tr r="J30" s="66"/>
      </tp>
      <tp>
        <v>34.207340068676686</v>
        <stp/>
        <stp>##V3_BDPV12</stp>
        <stp>NVTK RX EQUITY</stp>
        <stp>EBITDA_MARGIN</stp>
        <stp>[upload (2).xlsm]Model Portfolio!R16C23</stp>
        <tr r="W16" s="98"/>
      </tp>
      <tp t="s">
        <v>LUKOIL INTL FINANCE BV</v>
        <stp/>
        <stp>##V3_BDPV12</stp>
        <stp>XS0461926569 Corp</stp>
        <stp>name</stp>
        <stp>[upload (2).xlsm]Base all $ 3 Duration!R53C1</stp>
        <tr r="A53" s="66"/>
      </tp>
      <tp t="s">
        <v>#N/A N/A</v>
        <stp/>
        <stp>##V3_BDPV12</stp>
        <stp>XS0288690539 Corp</stp>
        <stp>YLD_YTM_ask</stp>
        <stp>[upload (2).xlsm]Base all $ 3 Duration!R62C7</stp>
        <tr r="G62" s="66"/>
      </tp>
      <tp t="s">
        <v>WD</v>
        <stp/>
        <stp>##V3_BDPV12</stp>
        <stp>XS0848163456 Corp</stp>
        <stp>RTG_fitch</stp>
        <stp>[upload (2).xlsm]Base all $ 3 Duration!R18C10</stp>
        <tr r="J18" s="66"/>
        <tr r="J18" s="66"/>
      </tp>
      <tp t="s">
        <v>OJSC RASPAD SEC LTD</v>
        <stp/>
        <stp>##V3_BDPV12</stp>
        <stp>XS0772835285 Corp</stp>
        <stp>name</stp>
        <stp>[upload (2).xlsm]Base all $ 3 Duration!R31C1</stp>
        <tr r="A31" s="66"/>
      </tp>
      <tp t="s">
        <v>CREDIT BANK OF MOSCOW (C</v>
        <stp/>
        <stp>##V3_BDPV12</stp>
        <stp>XS0924078453 Corp</stp>
        <stp>name</stp>
        <stp>[upload (2).xlsm]Base all $ 3 Duration!R19C1</stp>
        <tr r="A19" s="66"/>
      </tp>
      <tp t="s">
        <v>BB-</v>
        <stp/>
        <stp>##V3_BDPV12</stp>
        <stp>XS0974469206 Corp</stp>
        <stp>RTG_fitch</stp>
        <stp>[upload (2).xlsm]Base all $ 3 Duration!R14C10</stp>
        <tr r="J14" s="66"/>
        <tr r="J14" s="66"/>
      </tp>
      <tp>
        <v>4.22</v>
        <stp/>
        <stp>##V3_BDPV12</stp>
        <stp>ETLN LI EQUITY</stp>
        <stp>PX_LAST</stp>
        <stp>[upload (2).xlsm]Model Portfolio!R70C3</stp>
        <tr r="C70" s="98"/>
      </tp>
      <tp t="s">
        <v>WD</v>
        <stp/>
        <stp>##V3_BDPV12</stp>
        <stp>XS0299183250 Corp</stp>
        <stp>RTG_fitch</stp>
        <stp>[upload (2).xlsm]Base all $ 3 Duration!R40C10</stp>
        <tr r="J40" s="66"/>
        <tr r="J40" s="66"/>
      </tp>
      <tp>
        <v>4.7848747006072081</v>
        <stp/>
        <stp>##V3_BDPV12</stp>
        <stp>MTLR RX EQUITY</stp>
        <stp>EST_EV_THIS_YR_EBITDA</stp>
        <stp>[upload (2).xlsm]Model Portfolio!R24C16</stp>
        <tr r="P24" s="98"/>
      </tp>
      <tp t="s">
        <v>VNESHECONOMBANK(VEB)</v>
        <stp/>
        <stp>##V3_BDPV12</stp>
        <stp>XS0993162170 Corp</stp>
        <stp>name</stp>
        <stp>[upload (2).xlsm]Base all $ 3 Duration!R48C1</stp>
        <tr r="A48" s="66"/>
      </tp>
      <tp t="s">
        <v>20/03/2013</v>
        <stp/>
        <stp>##V3_BDPV12</stp>
        <stp>MAIL LI EQUITY</stp>
        <stp>DVD_RECORD_DT</stp>
        <stp>[upload (2).xlsm]Model Portfolio!R44C28</stp>
        <tr r="AB44" s="98"/>
      </tp>
      <tp t="s">
        <v>#N/A N/A</v>
        <stp/>
        <stp>##V3_BDPV12</stp>
        <stp>XS0381439305 Corp</stp>
        <stp>RTG_fitch</stp>
        <stp>[upload (2).xlsm]Base all $ 3 Duration!R64C10</stp>
        <tr r="J64" s="66"/>
      </tp>
      <tp>
        <v>134.57293100000001</v>
        <stp/>
        <stp>##V3_BDPV12</stp>
        <stp>XS0776121062 Corp</stp>
        <stp>YLD_YTM_ask</stp>
        <stp>[upload (2).xlsm]Base all $ 3 Duration!R27C7</stp>
        <tr r="G27" s="66"/>
      </tp>
      <tp t="s">
        <v>CB RENCAP(REN CONSUMER)</v>
        <stp/>
        <stp>##V3_BDPV12</stp>
        <stp>XS0938341780 Corp</stp>
        <stp>name</stp>
        <stp>[upload (2).xlsm]Base all $ 3 Duration!R21C1</stp>
        <tr r="A21" s="66"/>
      </tp>
      <tp t="s">
        <v>BB</v>
        <stp/>
        <stp>##V3_BDPV12</stp>
        <stp>XS0779213460 Corp</stp>
        <stp>RTG_fitch</stp>
        <stp>[upload (2).xlsm]Base all $ 3 Duration!R33C10</stp>
        <tr r="J33" s="66"/>
        <tr r="J33" s="66"/>
      </tp>
      <tp>
        <v>2.8532418000000002</v>
        <stp/>
        <stp>##V3_BDPV12</stp>
        <stp>XS0848163456 Corp</stp>
        <stp>YLD_YTM_ask</stp>
        <stp>[upload (2).xlsm]Base all $ 3 Duration!R18C7</stp>
        <tr r="G18" s="66"/>
      </tp>
      <tp t="s">
        <v>BB-</v>
        <stp/>
        <stp>##V3_BDPV12</stp>
        <stp>XS0879105558 Corp</stp>
        <stp>RTG_fitch</stp>
        <stp>[upload (2).xlsm]Base all $ 3 Duration!R38C10</stp>
        <tr r="J38" s="66"/>
        <tr r="J38" s="66"/>
      </tp>
      <tp t="s">
        <v>BB+</v>
        <stp/>
        <stp>##V3_BDPV12</stp>
        <stp>XS0544362972 Corp</stp>
        <stp>RTG_fitch</stp>
        <stp>[upload (2).xlsm]Base all $ 3 Duration!R70C10</stp>
        <tr r="J70" s="66"/>
        <tr r="J70" s="66"/>
      </tp>
      <tp t="s">
        <v>#N/A N/A</v>
        <stp/>
        <stp>##V3_BDPV12</stp>
        <stp>XS0772835285 Corp</stp>
        <stp>YLD_YTM_ask</stp>
        <stp>[upload (2).xlsm]Base all $ 3 Duration!R31C7</stp>
        <tr r="G31" s="66"/>
      </tp>
      <tp t="s">
        <v>#N/A N/A</v>
        <stp/>
        <stp>##V3_BDPV12</stp>
        <stp>XS0643176448 Corp</stp>
        <stp>YLD_YTM_ask</stp>
        <stp>[upload (2).xlsm]Base all $ 3 Duration!R79C7</stp>
        <tr r="G79" s="66"/>
      </tp>
      <tp t="s">
        <v>#N/A N/A</v>
        <stp/>
        <stp>##V3_BDPV12</stp>
        <stp>ETLN LI EQUITY</stp>
        <stp>BDVD_NEXT_EST_DECL_DT</stp>
        <stp>[upload (2).xlsm]Model Portfolio!R70C31</stp>
        <tr r="AE70" s="98"/>
      </tp>
      <tp t="s">
        <v>VNESHPROMBANK (VPT FNDG)</v>
        <stp/>
        <stp>##V3_BDPV12</stp>
        <stp>XS0993279958 Corp</stp>
        <stp>name</stp>
        <stp>[upload (2).xlsm]Base all $ 3 Duration!R13C1</stp>
        <tr r="A13" s="66"/>
      </tp>
      <tp t="s">
        <v>EVRAZ GROUP SA</v>
        <stp/>
        <stp>##V3_BDPV12</stp>
        <stp>XS0618905219 Corp</stp>
        <stp>name</stp>
        <stp>[upload (2).xlsm]Base all $ 3 Duration!R37C1</stp>
        <tr r="A37" s="66"/>
      </tp>
      <tp>
        <v>23.904889094344423</v>
        <stp/>
        <stp>##V3_BDPV12</stp>
        <stp>FIVE LI EQUITY</stp>
        <stp>NORMALIZED_ROE</stp>
        <stp>[upload (2).xlsm]Model Portfolio!R36C26</stp>
        <tr r="Z36" s="98"/>
      </tp>
      <tp t="s">
        <v>Commercial Services</v>
        <stp/>
        <stp>##V3_BDPV12</stp>
        <stp>GLPR LI EQUITY</stp>
        <stp>INDUSTRY_GROUP</stp>
        <stp>[upload (2).xlsm]Model Portfolio!R46C13</stp>
        <tr r="M46" s="98"/>
      </tp>
      <tp>
        <v>200000</v>
        <stp/>
        <stp>##V3_BDPV12</stp>
        <stp>XS0772835285 Corp</stp>
        <stp>MIN_PIECE</stp>
        <stp>[upload (2).xlsm]Base all $ 3 Duration!R31C20</stp>
        <tr r="T31" s="66"/>
      </tp>
      <tp t="s">
        <v>Auto Manufacturers</v>
        <stp/>
        <stp>##V3_BDPV12</stp>
        <stp>SVAV RX EQUITY</stp>
        <stp>INDUSTRY_GROUP</stp>
        <stp>[upload (2).xlsm]Model Portfolio!R72C13</stp>
        <tr r="M72" s="98"/>
      </tp>
      <tp>
        <v>100000</v>
        <stp/>
        <stp>##V3_BDPV12</stp>
        <stp>XS0359381331 Corp</stp>
        <stp>MIN_PIECE</stp>
        <stp>[upload (2).xlsm]Base all $ 3 Duration!R36C20</stp>
        <tr r="T36" s="66"/>
      </tp>
      <tp>
        <v>21.930989973093773</v>
        <stp/>
        <stp>##V3_BDPV12</stp>
        <stp>MAGN RX EQUITY</stp>
        <stp>NORMALIZED_ROE</stp>
        <stp>[upload (2).xlsm]Model Portfolio!R23C26</stp>
        <tr r="Z23" s="98"/>
      </tp>
      <tp>
        <v>200000</v>
        <stp/>
        <stp>##V3_BDPV12</stp>
        <stp>XS0922134712 Corp</stp>
        <stp>MIN_PIECE</stp>
        <stp>[upload (2).xlsm]Base all $ 3 Duration!R76C20</stp>
        <tr r="T76" s="66"/>
      </tp>
      <tp t="s">
        <v>Auto Manufacturers</v>
        <stp/>
        <stp>##V3_BDPV12</stp>
        <stp>KMAZ RX EQUITY</stp>
        <stp>INDUSTRY_GROUP</stp>
        <stp>[upload (2).xlsm]Model Portfolio!R73C13</stp>
        <tr r="M73" s="98"/>
      </tp>
      <tp>
        <v>200000</v>
        <stp/>
        <stp>##V3_BDPV12</stp>
        <stp>XS0888245122 Corp</stp>
        <stp>MIN_PIECE</stp>
        <stp>[upload (2).xlsm]Base all $ 3 Duration!R73C20</stp>
        <tr r="T73" s="66"/>
      </tp>
      <tp>
        <v>100000</v>
        <stp/>
        <stp>##V3_BDPV12</stp>
        <stp>XS0361041808 Corp</stp>
        <stp>MIN_PIECE</stp>
        <stp>[upload (2).xlsm]Base all $ 3 Duration!R51C20</stp>
        <tr r="T51" s="66"/>
      </tp>
      <tp>
        <v>200000</v>
        <stp/>
        <stp>##V3_BDPV12</stp>
        <stp>XS0783291221 Corp</stp>
        <stp>MIN_PIECE</stp>
        <stp>[upload (2).xlsm]Base all $ 3 Duration!R72C20</stp>
        <tr r="T72" s="66"/>
      </tp>
      <tp t="s">
        <v>#N/A N/A</v>
        <stp/>
        <stp>##V3_BDPV12</stp>
        <stp>US91701RAA95 Corp</stp>
        <stp>px_last</stp>
        <stp>[upload (2).xlsm]Base all $ 3 Duration!R26C4</stp>
        <tr r="D26" s="66"/>
      </tp>
      <tp t="s">
        <v>Oil Comp-Integrated</v>
        <stp/>
        <stp>##V3_BDPV12</stp>
        <stp>XS0261906738 Corp</stp>
        <stp>INDUSTRY_SUBGROUP</stp>
        <stp>[upload (2).xlsm]Base all $ 3 Duration!R89C11</stp>
        <tr r="K89" s="66"/>
      </tp>
      <tp>
        <v>21.846749177660975</v>
        <stp/>
        <stp>##V3_BDPV12</stp>
        <stp>ENRU RM EQUITY</stp>
        <stp>NORMALIZED_ROE</stp>
        <stp>[upload (2).xlsm]Model Portfolio!R53C26</stp>
        <tr r="Z53" s="98"/>
      </tp>
      <tp>
        <v>3.9610918079787472</v>
        <stp/>
        <stp>##V3_BDPV12</stp>
        <stp>SNGS RX EQUITY</stp>
        <stp>NORMALIZED_ROE</stp>
        <stp>[upload (2).xlsm]Model Portfolio!R10C26</stp>
        <tr r="Z10" s="98"/>
      </tp>
      <tp t="s">
        <v>Transport-Rail</v>
        <stp/>
        <stp>##V3_BDPV12</stp>
        <stp>XS0499245180 Corp</stp>
        <stp>INDUSTRY_SUBGROUP</stp>
        <stp>[upload (2).xlsm]Base all $ 3 Duration!R84C11</stp>
        <tr r="K84" s="66"/>
      </tp>
      <tp t="s">
        <v>#N/A Field Not Applicable</v>
        <stp/>
        <stp>##V3_BDPV12</stp>
        <stp>BANEP RX EQUITY</stp>
        <stp>PX_TO_FREE_CASH_FLOW</stp>
        <stp>[upload (2).xlsm]Model Portfolio!R8C19</stp>
        <tr r="S8" s="98"/>
      </tp>
      <tp t="s">
        <v>Oil Comp-Integrated</v>
        <stp/>
        <stp>##V3_BDPV12</stp>
        <stp>XS0324963932 Corp</stp>
        <stp>INDUSTRY_SUBGROUP</stp>
        <stp>[upload (2).xlsm]Base all $ 3 Duration!R59C11</stp>
        <tr r="K59" s="66"/>
      </tp>
      <tp t="s">
        <v>Special Purpose Banks</v>
        <stp/>
        <stp>##V3_BDPV12</stp>
        <stp>XS0559800122 Corp</stp>
        <stp>INDUSTRY_SUBGROUP</stp>
        <stp>[upload (2).xlsm]Base all $ 3 Duration!R63C11</stp>
        <tr r="K63" s="66"/>
      </tp>
      <tp t="s">
        <v>Electric</v>
        <stp/>
        <stp>##V3_BDPV12</stp>
        <stp>IRAO RX EQUITY</stp>
        <stp>INDUSTRY_GROUP</stp>
        <stp>[upload (2).xlsm]Model Portfolio!R51C13</stp>
        <tr r="M51" s="98"/>
      </tp>
      <tp>
        <v>200000</v>
        <stp/>
        <stp>##V3_BDPV12</stp>
        <stp>XS0850393264 Corp</stp>
        <stp>MIN_PIECE</stp>
        <stp>[upload (2).xlsm]Base all $ 3 Duration!R4C20</stp>
        <tr r="T4" s="66"/>
      </tp>
      <tp>
        <v>2.8396572827417379</v>
        <stp/>
        <stp>##V3_BDPV12</stp>
        <stp>VIP US EQUITY</stp>
        <stp>NET_DEBT_TO_EBITDA</stp>
        <stp>[upload (2).xlsm]Model Portfolio!R61C20</stp>
        <tr r="T61" s="98"/>
      </tp>
      <tp>
        <v>7.6429015400907021</v>
        <stp/>
        <stp>##V3_BDPV12</stp>
        <stp>HYDR RX EQUITY</stp>
        <stp>SALES_GROWTH</stp>
        <stp>[upload (2).xlsm]Model Portfolio!R58C21</stp>
        <tr r="U58" s="98"/>
      </tp>
      <tp t="s">
        <v>#N/A N/A</v>
        <stp/>
        <stp>##V3_BDPV12</stp>
        <stp>AGRO LI Equity</stp>
        <stp>BDVD_NEXT_EST_DECL_DT</stp>
        <stp>[Copy of upload (2).xlsm]Гарез_GRENF (2)!R8C22</stp>
        <tr r="V8" s="116"/>
      </tp>
      <tp>
        <v>4.0296947750854573</v>
        <stp/>
        <stp>##V3_BDPV12</stp>
        <stp>SNGSP RX EQUITY</stp>
        <stp>PX_TO_FREE_CASH_FLOW</stp>
        <stp>[upload (2).xlsm]Model Portfolio!R11C19</stp>
        <tr r="S11" s="98"/>
      </tp>
      <tp t="s">
        <v>Oil Comp-Integrated</v>
        <stp/>
        <stp>##V3_BDPV12</stp>
        <stp>XS0919504562 Corp</stp>
        <stp>INDUSTRY_SUBGROUP</stp>
        <stp>[upload (2).xlsm]Base all $ 3 Duration!R148C11</stp>
        <tr r="K148" s="66"/>
      </tp>
      <tp t="s">
        <v>Commer Banks Non-US</v>
        <stp/>
        <stp>##V3_BDPV12</stp>
        <stp>XS0846652666 Corp</stp>
        <stp>INDUSTRY_SUBGROUP</stp>
        <stp>[upload (2).xlsm]Base all $ 3 Duration!R102C11</stp>
        <tr r="K102" s="66"/>
      </tp>
      <tp t="s">
        <v>Commer Banks Non-US</v>
        <stp/>
        <stp>##V3_BDPV12</stp>
        <stp>XS0620695204 Corp</stp>
        <stp>INDUSTRY_SUBGROUP</stp>
        <stp>[upload (2).xlsm]Base all $ 3 Duration!R138C11</stp>
        <tr r="K138" s="66"/>
      </tp>
      <tp t="s">
        <v>Oil Comp-Integrated</v>
        <stp/>
        <stp>##V3_BDPV12</stp>
        <stp>XS0805570354 Corp</stp>
        <stp>INDUSTRY_SUBGROUP</stp>
        <stp>[upload (2).xlsm]Base all $ 3 Duration!R154C11</stp>
        <tr r="K154" s="66"/>
      </tp>
      <tp t="s">
        <v>Supranational Bank</v>
        <stp/>
        <stp>##V3_BDPV12</stp>
        <stp>XS0831571434 Corp</stp>
        <stp>INDUSTRY_SUBGROUP</stp>
        <stp>[upload (2).xlsm]Base all $ 3 Duration!R157C11</stp>
        <tr r="K157" s="66"/>
      </tp>
      <tp>
        <v>3.3861935000000001</v>
        <stp/>
        <stp>##V3_BDPV12</stp>
        <stp>XS0708813810 Corp</stp>
        <stp>YLD_YTM_BID</stp>
        <stp>[upload (2).xlsm]Base all $ 3 Duration!R153C6</stp>
        <tr r="F153" s="66"/>
      </tp>
      <tp>
        <v>5.25</v>
        <stp/>
        <stp>##V3_BDPV12</stp>
        <stp>XS0935311240 Corp</stp>
        <stp>CPN</stp>
        <stp>[upload (2).xlsm]Base all $ 3 Duration!R131C8</stp>
        <tr r="H131" s="66"/>
      </tp>
      <tp>
        <v>7.25</v>
        <stp/>
        <stp>##V3_BDPV12</stp>
        <stp>XS0484209159 Corp</stp>
        <stp>CPN</stp>
        <stp>[upload (2).xlsm]Base all $ 3 Duration!R112C8</stp>
        <tr r="H112" s="66"/>
      </tp>
      <tp>
        <v>3.3743625000000002</v>
        <stp/>
        <stp>##V3_BDPV12</stp>
        <stp>XS0918297382 Corp</stp>
        <stp>YLD_YTM_BID</stp>
        <stp>[upload (2).xlsm]Base all $ 3 Duration!R106C6</stp>
        <tr r="F106" s="66"/>
      </tp>
      <tp>
        <v>6.0522588088425469</v>
        <stp/>
        <stp>##V3_BDPV12</stp>
        <stp>XS0223715920 Corp</stp>
        <stp>YLD_YTM_BID</stp>
        <stp>[upload (2).xlsm]Base all $ 3 Duration!R137C6</stp>
        <tr r="F137" s="66"/>
      </tp>
      <tp>
        <v>6.9058737392164602</v>
        <stp/>
        <stp>##V3_BDPV12</stp>
        <stp>LXFT US EQUITY</stp>
        <stp>EBIT_MARGIN</stp>
        <stp>[upload (2).xlsm]Model Portfolio!R41C24</stp>
        <tr r="X41" s="98"/>
      </tp>
      <tp t="s">
        <v>#N/A N/A</v>
        <stp/>
        <stp>##V3_BDPV12</stp>
        <stp>MGNT RX EQUITY</stp>
        <stp>EBIT_MARGIN</stp>
        <stp>[upload (2).xlsm]Model Portfolio!R35C24</stp>
        <tr r="X35" s="98"/>
      </tp>
      <tp>
        <v>100.77800000000001</v>
        <stp/>
        <stp>##V3_BDPV12</stp>
        <stp>XS0878855773 Corp</stp>
        <stp>px_ask</stp>
        <stp>[upload (2).xlsm]Base all $ 3 Duration!R44C5</stp>
        <tr r="E44" s="66"/>
      </tp>
      <tp t="s">
        <v>#N/A N/A</v>
        <stp/>
        <stp>##V3_BDPV12</stp>
        <stp>XS0524658852 Corp</stp>
        <stp>px_ask</stp>
        <stp>[upload (2).xlsm]Base all $ 3 Duration!R68C5</stp>
        <tr r="E68" s="66"/>
      </tp>
      <tp t="s">
        <v>#N/A N/A</v>
        <stp/>
        <stp>##V3_BDPV12</stp>
        <stp>XS0855334289 Corp</stp>
        <stp>px_ask</stp>
        <stp>[upload (2).xlsm]Base all $ 3 Duration!R50C5</stp>
        <tr r="E50" s="66"/>
      </tp>
      <tp t="s">
        <v>#N/A N/A</v>
        <stp/>
        <stp>##V3_BDPV12</stp>
        <stp>XS0630950870 Corp</stp>
        <stp>px_ask</stp>
        <stp>[upload (2).xlsm]Base all $ 3 Duration!R75C5</stp>
        <tr r="E75" s="66"/>
      </tp>
      <tp>
        <v>31.955354450860668</v>
        <stp/>
        <stp>##V3_BDPV12</stp>
        <stp>TRNFP RX EQUITY</stp>
        <stp>EBIT_MARGIN</stp>
        <stp>[upload (2).xlsm]Model Portfolio!R20C24</stp>
        <tr r="X20" s="98"/>
      </tp>
      <tp>
        <v>12.755908687585707</v>
        <stp/>
        <stp>##V3_BDPV12</stp>
        <stp>AFLT RX EQUITY</stp>
        <stp>EBIT_MARGIN</stp>
        <stp>[upload (2).xlsm]Model Portfolio!R47C24</stp>
        <tr r="X47" s="98"/>
      </tp>
      <tp>
        <v>74873466545.499985</v>
        <stp/>
        <stp>##V3_BDPV12</stp>
        <stp>MVID RX EQUITY</stp>
        <stp>CUR_MKT_CAP</stp>
        <stp>[upload (2).xlsm]Model Portfolio!R38C10</stp>
        <tr r="J38" s="98"/>
      </tp>
      <tp>
        <v>24.404901519521765</v>
        <stp/>
        <stp>##V3_BDPV12</stp>
        <stp>TATNP RX EQUITY</stp>
        <stp>EBIT_MARGIN</stp>
        <stp>[upload (2).xlsm]Model Portfolio!R19C24</stp>
        <tr r="X19" s="98"/>
      </tp>
      <tp>
        <v>0.59545519999999996</v>
        <stp/>
        <stp>##V3_BDPV12</stp>
        <stp>NMTP RX EQUITY</stp>
        <stp>EQY_BETA_6M</stp>
        <stp>[upload (2).xlsm]Model Portfolio!R49C14</stp>
        <tr r="N49" s="98"/>
      </tp>
      <tp>
        <v>809</v>
        <stp/>
        <stp>##V3_BDPV12</stp>
        <stp>LSRG RX Equity</stp>
        <stp>PX_LAST</stp>
        <stp>[upload (2).xlsm]Sheet3!R4C5</stp>
        <tr r="E4" s="77"/>
      </tp>
      <tp>
        <v>1.0313460000000001</v>
        <stp/>
        <stp>##V3_BDPV12</stp>
        <stp>GAZP RX EQUITY</stp>
        <stp>EQY_BETA_6M</stp>
        <stp>[upload (2).xlsm]Model Portfolio!R12C14</stp>
        <tr r="N12" s="98"/>
      </tp>
      <tp>
        <v>1.310325</v>
        <stp/>
        <stp>##V3_BDPV12</stp>
        <stp>RASP RX EQUITY</stp>
        <stp>EQY_BETA_6M</stp>
        <stp>[upload (2).xlsm]Model Portfolio!R28C14</stp>
        <tr r="N28" s="98"/>
      </tp>
      <tp>
        <v>8.2089580000000009</v>
        <stp/>
        <stp>##V3_BDPV12</stp>
        <stp>POG LN EQUITY</stp>
        <stp>CHG_PCT_1M</stp>
        <stp>[upload (2).xlsm]Model Portfolio!R7C5</stp>
        <tr r="E7" s="98"/>
      </tp>
      <tp>
        <v>4.3504285523692081</v>
        <stp/>
        <stp>##V3_BDPV12</stp>
        <stp>IRAO RX EQUITY</stp>
        <stp>SALES_GROWTH</stp>
        <stp>[upload (2).xlsm]Model Portfolio!R51C21</stp>
        <tr r="U51" s="98"/>
      </tp>
    </main>
    <main first="bloomberg.rtd">
      <tp>
        <v>8.2177798000000006</v>
        <stp/>
        <stp>##V3_BDPV12</stp>
        <stp>XS1042215480 Corp</stp>
        <stp>YLD_YTM_BID</stp>
        <stp>[upload (2).xlsm]Base all $ 3 Duration!R120C6</stp>
        <tr r="F120" s="66"/>
      </tp>
      <tp>
        <v>24.169388399999999</v>
        <stp/>
        <stp>##V3_BDPV12</stp>
        <stp>XS0925043100 Corp</stp>
        <stp>YLD_YTM_BID</stp>
        <stp>[upload (2).xlsm]Base all $ 3 Duration!R100C6</stp>
        <tr r="F100" s="66"/>
      </tp>
      <tp t="s">
        <v>Transport-Marine</v>
        <stp/>
        <stp>##V3_BDPV12</stp>
        <stp>XS0920335030 Corp</stp>
        <stp>INDUSTRY_SUBGROUP</stp>
        <stp>[upload (2).xlsm]Base all $ 3 Duration!R101C11</stp>
        <tr r="K101" s="66"/>
      </tp>
      <tp t="s">
        <v>Special Purpose Banks</v>
        <stp/>
        <stp>##V3_BDPV12</stp>
        <stp>XS0800817073 Corp</stp>
        <stp>INDUSTRY_SUBGROUP</stp>
        <stp>[upload (2).xlsm]Base all $ 3 Duration!R142C11</stp>
        <tr r="K142" s="66"/>
      </tp>
      <tp>
        <v>5.1404425120066195</v>
        <stp/>
        <stp>##V3_BDPV12</stp>
        <stp>XS1032750165 Corp</stp>
        <stp>YLD_YTM_BID</stp>
        <stp>[upload (2).xlsm]Base all $ 3 Duration!R132C6</stp>
        <tr r="F132" s="66"/>
      </tp>
      <tp>
        <v>8.625</v>
        <stp/>
        <stp>##V3_BDPV12</stp>
        <stp>XS0513723873 Corp</stp>
        <stp>CPN</stp>
        <stp>[upload (2).xlsm]Base all $ 3 Duration!R110C8</stp>
        <tr r="H110" s="66"/>
      </tp>
      <tp>
        <v>8.6944012875934877</v>
        <stp/>
        <stp>##V3_BDPV12</stp>
        <stp>XS0848137708 Corp</stp>
        <stp>YLD_YTM_BID</stp>
        <stp>[upload (2).xlsm]Base all $ 3 Duration!R122C6</stp>
        <tr r="F122" s="66"/>
      </tp>
      <tp>
        <v>4.375</v>
        <stp/>
        <stp>##V3_BDPV12</stp>
        <stp>XS0830192711 Corp</stp>
        <stp>CPN</stp>
        <stp>[upload (2).xlsm]Base all $ 3 Duration!R143C8</stp>
        <tr r="H143" s="66"/>
      </tp>
      <tp>
        <v>5.9420000000000002</v>
        <stp/>
        <stp>##V3_BDPV12</stp>
        <stp>XS0993162683 Corp</stp>
        <stp>CPN</stp>
        <stp>[upload (2).xlsm]Base all $ 3 Duration!R139C8</stp>
        <tr r="H139" s="66"/>
      </tp>
      <tp t="s">
        <v>#N/A N/A</v>
        <stp/>
        <stp>##V3_BDPV12</stp>
        <stp>XS0632887997 Corp</stp>
        <stp>YLD_YTM_BID</stp>
        <stp>[upload (2).xlsm]Base all $ 3 Duration!R125C6</stp>
        <tr r="F125" s="66"/>
      </tp>
      <tp>
        <v>4.4219999999999997</v>
        <stp/>
        <stp>##V3_BDPV12</stp>
        <stp>XS0864383723 Corp</stp>
        <stp>CPN</stp>
        <stp>[upload (2).xlsm]Base all $ 3 Duration!R147C8</stp>
        <tr r="H147" s="66"/>
      </tp>
      <tp>
        <v>8.5</v>
        <stp/>
        <stp>##V3_BDPV12</stp>
        <stp>XS0979891925 Corp</stp>
        <stp>CPN</stp>
        <stp>[upload (2).xlsm]Base all $ 3 Duration!R124C8</stp>
        <tr r="H124" s="66"/>
      </tp>
      <tp>
        <v>4.1989999999999998</v>
        <stp/>
        <stp>##V3_BDPV12</stp>
        <stp>XS0861981180 Corp</stp>
        <stp>CPN</stp>
        <stp>[upload (2).xlsm]Base all $ 3 Duration!R145C8</stp>
        <tr r="H145" s="66"/>
      </tp>
      <tp>
        <v>105.998</v>
        <stp/>
        <stp>##V3_BDPV12</stp>
        <stp>XS0854763355 Corp</stp>
        <stp>px_ask</stp>
        <stp>[upload (2).xlsm]Base all $ 3 Duration!R28C5</stp>
        <tr r="E28" s="66"/>
      </tp>
      <tp t="s">
        <v>URANIUM ONE INVESTMENTS</v>
        <stp/>
        <stp>##V3_BDPV12</stp>
        <stp>US91701RAA95 Corp</stp>
        <stp>name</stp>
        <stp>[upload (2).xlsm]Base all $ 3 Duration!R26C1</stp>
        <tr r="A26" s="66"/>
      </tp>
      <tp t="s">
        <v>#N/A N/A</v>
        <stp/>
        <stp>##V3_BDPV12</stp>
        <stp>XS0775984213 Corp</stp>
        <stp>px_ask</stp>
        <stp>[upload (2).xlsm]Base all $ 3 Duration!R42C5</stp>
        <tr r="E42" s="66"/>
      </tp>
      <tp>
        <v>60</v>
        <stp/>
        <stp>##V3_BDPV12</stp>
        <stp>XS0973219495 Corp</stp>
        <stp>px_ask</stp>
        <stp>[upload (2).xlsm]Base all $ 3 Duration!R11C5</stp>
        <tr r="E11" s="66"/>
      </tp>
      <tp t="s">
        <v>#N/A N/A</v>
        <stp/>
        <stp>##V3_BDPV12</stp>
        <stp>XS0938341780 Corp</stp>
        <stp>px_ask</stp>
        <stp>[upload (2).xlsm]Base all $ 3 Duration!R21C5</stp>
        <tr r="E21" s="66"/>
      </tp>
      <tp>
        <v>17.553674024795889</v>
        <stp/>
        <stp>##V3_BDPV12</stp>
        <stp>MAGN RX EQUITY</stp>
        <stp>TRAIL_12M_PROF_MARGIN</stp>
        <stp>[upload (2).xlsm]Model Portfolio!R23C25</stp>
        <tr r="Y23" s="98"/>
      </tp>
      <tp t="s">
        <v>#N/A N/A</v>
        <stp/>
        <stp>##V3_BDPV12</stp>
        <stp>XS0253861834 Corp</stp>
        <stp>px_ask</stp>
        <stp>[upload (2).xlsm]Base all $ 3 Duration!R91C5</stp>
        <tr r="E91" s="66"/>
      </tp>
      <tp>
        <v>17.473111128715953</v>
        <stp/>
        <stp>##V3_BDPV12</stp>
        <stp>ENRU RM EQUITY</stp>
        <stp>EBIT_MARGIN</stp>
        <stp>[upload (2).xlsm]Model Portfolio!R53C24</stp>
        <tr r="X53" s="98"/>
      </tp>
      <tp>
        <v>101.313</v>
        <stp/>
        <stp>##V3_BDPV12</stp>
        <stp>XS0863583281 Corp</stp>
        <stp>px_ask</stp>
        <stp>[upload (2).xlsm]Base all $ 3 Duration!R67C5</stp>
        <tr r="E67" s="66"/>
      </tp>
      <tp>
        <v>110.34699999999999</v>
        <stp/>
        <stp>##V3_BDPV12</stp>
        <stp>XS0424860947 Corp</stp>
        <stp>px_ask</stp>
        <stp>[upload (2).xlsm]Base all $ 3 Duration!R46C5</stp>
        <tr r="E46" s="66"/>
      </tp>
      <tp>
        <v>7.2340189434470741</v>
        <stp/>
        <stp>##V3_BDPV12</stp>
        <stp>BANE RX EQUITY</stp>
        <stp>TRAIL_12M_PROF_MARGIN</stp>
        <stp>[upload (2).xlsm]Model Portfolio!R18C25</stp>
        <tr r="Y18" s="98"/>
      </tp>
      <tp>
        <v>11528268416.400002</v>
        <stp/>
        <stp>##V3_BDPV12</stp>
        <stp>FIVE LI EQUITY</stp>
        <stp>CUR_MKT_CAP</stp>
        <stp>[upload (2).xlsm]Model Portfolio!R36C10</stp>
        <tr r="J36" s="98"/>
      </tp>
      <tp>
        <v>36.852589641434264</v>
        <stp/>
        <stp>##V3_BDPV12</stp>
        <stp>RASP RX EQUITY</stp>
        <stp>TRAIL_12M_PROF_MARGIN</stp>
        <stp>[upload (2).xlsm]Model Portfolio!R28C25</stp>
        <tr r="Y28" s="98"/>
      </tp>
      <tp>
        <v>326723908316.99994</v>
        <stp/>
        <stp>##V3_BDPV12</stp>
        <stp>BANE RX EQUITY</stp>
        <stp>CUR_MKT_CAP</stp>
        <stp>[upload (2).xlsm]Model Portfolio!R18C10</stp>
        <tr r="J18" s="98"/>
      </tp>
      <tp>
        <v>19.115260512085808</v>
        <stp/>
        <stp>##V3_BDPV12</stp>
        <stp>TATN RX EQUITY</stp>
        <stp>TRAIL_12M_PROF_MARGIN</stp>
        <stp>[upload (2).xlsm]Model Portfolio!R14C25</stp>
        <tr r="Y14" s="98"/>
      </tp>
      <tp>
        <v>11.600893326788791</v>
        <stp/>
        <stp>##V3_BDPV12</stp>
        <stp>GAZP RX EQUITY</stp>
        <stp>TRAIL_12M_PROF_MARGIN</stp>
        <stp>[upload (2).xlsm]Model Portfolio!R12C25</stp>
        <tr r="Y12" s="98"/>
      </tp>
      <tp t="s">
        <v>GAZPRU 6.51 03/07/22</v>
        <stp/>
        <stp>##V3_BDPV12</stp>
        <stp>XS0290580595 Corp</stp>
        <stp>SECURITY_NAME</stp>
        <stp>[Copy of upload (2).xlsm]Гарез_GRENF!R59C4</stp>
        <tr r="D59" s="115"/>
      </tp>
      <tp t="s">
        <v>RUSSIA 12 3/4 06/24/28</v>
        <stp/>
        <stp>##V3_BDPV12</stp>
        <stp>XS0088543193 Corp</stp>
        <stp>SECURITY_NAME</stp>
        <stp>[Copy of upload (2).xlsm]Гарез_GRENF!R11C2</stp>
        <tr r="B11" s="115"/>
      </tp>
      <tp>
        <v>6.9965869999999999</v>
        <stp/>
        <stp>##V3_BDPV12</stp>
        <stp>HGM LN EQUITY</stp>
        <stp>CHG_PCT_1M</stp>
        <stp>[upload (2).xlsm]Model Portfolio!R4C5</stp>
        <tr r="E4" s="98"/>
      </tp>
      <tp>
        <v>0.78878870000000001</v>
        <stp/>
        <stp>##V3_BDPV12</stp>
        <stp>MSRS RX EQUITY</stp>
        <stp>EQY_BETA_6M</stp>
        <stp>[upload (2).xlsm]Model Portfolio!R59C14</stp>
        <tr r="N59" s="98"/>
      </tp>
      <tp>
        <v>1.128512</v>
        <stp/>
        <stp>##V3_BDPV12</stp>
        <stp>MTSS RX EQUITY</stp>
        <stp>EQY_BETA_6M</stp>
        <stp>[upload (2).xlsm]Model Portfolio!R67C14</stp>
        <tr r="N67" s="98"/>
      </tp>
      <tp>
        <v>2.0314410000000001</v>
        <stp/>
        <stp>##V3_BDPV12</stp>
        <stp>AFKS RX EQUITY</stp>
        <stp>EQY_BETA_6M</stp>
        <stp>[upload (2).xlsm]Model Portfolio!R64C14</stp>
        <tr r="N64" s="98"/>
      </tp>
      <tp>
        <v>1.104616</v>
        <stp/>
        <stp>##V3_BDPV12</stp>
        <stp>FEES RX EQUITY</stp>
        <stp>EQY_BETA_6M</stp>
        <stp>[upload (2).xlsm]Model Portfolio!R56C14</stp>
        <tr r="N56" s="98"/>
      </tp>
      <tp>
        <v>0.77680709999999997</v>
        <stp/>
        <stp>##V3_BDPV12</stp>
        <stp>SNGSP RX EQUITY</stp>
        <stp>EQY_BETA_6M</stp>
        <stp>[upload (2).xlsm]Model Portfolio!R11C14</stp>
        <tr r="N11" s="98"/>
      </tp>
      <tp>
        <v>1.290422</v>
        <stp/>
        <stp>##V3_BDPV12</stp>
        <stp>SNGS RX EQUITY</stp>
        <stp>EQY_BETA_6M</stp>
        <stp>[upload (2).xlsm]Model Portfolio!R10C14</stp>
        <tr r="N10" s="98"/>
      </tp>
      <tp>
        <v>1.204788</v>
        <stp/>
        <stp>##V3_BDPV12</stp>
        <stp>SBERP RX EQUITY</stp>
        <stp>EQY_BETA_6M</stp>
        <stp>[upload (2).xlsm]Model Portfolio!R76C14</stp>
        <tr r="N76" s="98"/>
      </tp>
      <tp>
        <v>0.80091469999999998</v>
        <stp/>
        <stp>##V3_BDPV12</stp>
        <stp>HGM LN EQUITY</stp>
        <stp>EQY_BETA_6M</stp>
        <stp>[upload (2).xlsm]Model Portfolio!R4C14</stp>
        <tr r="N4" s="98"/>
      </tp>
      <tp>
        <v>-50.881703593307378</v>
        <stp/>
        <stp>##V3_BDPV12</stp>
        <stp>XS0850393264 Corp</stp>
        <stp>INTERVAL_PERCENT_CHANGE</stp>
        <stp>[upload (2).xlsm]Base all $ 3 Duration!R4C17</stp>
        <stp>END_DATE_OVERRIDE</stp>
        <stp xml:space="preserve"> </stp>
        <stp>START_DATE_OVERRIDe</stp>
        <stp>20140716</stp>
        <tr r="Q4" s="66"/>
      </tp>
      <tp>
        <v>-40.643715630169034</v>
        <stp/>
        <stp>##V3_BDPV12</stp>
        <stp>XS0920334900 Corp</stp>
        <stp>INTERVAL_PERCENT_CHANGE</stp>
        <stp>[upload (2).xlsm]Base all $ 3 Duration!R6C17</stp>
        <stp>END_DATE_OVERRIDE</stp>
        <stp xml:space="preserve"> </stp>
        <stp>START_DATE_OVERRIDe</stp>
        <stp>20140716</stp>
        <tr r="Q6" s="66"/>
      </tp>
      <tp>
        <v>3.9093150173594293</v>
        <stp/>
        <stp>##V3_BDPV12</stp>
        <stp>XS0830192711 Corp</stp>
        <stp>YLD_YTM_BID</stp>
        <stp>[upload (2).xlsm]Base all $ 3 Duration!R143C6</stp>
        <tr r="F143" s="66"/>
      </tp>
      <tp>
        <v>7.875</v>
        <stp/>
        <stp>##V3_BDPV12</stp>
        <stp>XS0848137708 Corp</stp>
        <stp>CPN</stp>
        <stp>[upload (2).xlsm]Base all $ 3 Duration!R122C8</stp>
        <tr r="H122" s="66"/>
      </tp>
      <tp t="s">
        <v>Commer Banks Non-US</v>
        <stp/>
        <stp>##V3_BDPV12</stp>
        <stp>XS0632887997 Corp</stp>
        <stp>INDUSTRY_SUBGROUP</stp>
        <stp>[upload (2).xlsm]Base all $ 3 Duration!R125C11</stp>
        <tr r="K125" s="66"/>
      </tp>
      <tp>
        <v>4.5154040999999996</v>
        <stp/>
        <stp>##V3_BDPV12</stp>
        <stp>XS0993162683 Corp</stp>
        <stp>YLD_YTM_BID</stp>
        <stp>[upload (2).xlsm]Base all $ 3 Duration!R139C6</stp>
        <tr r="F139" s="66"/>
      </tp>
      <tp>
        <v>3.7469429000000001</v>
        <stp/>
        <stp>##V3_BDPV12</stp>
        <stp>XS0864383723 Corp</stp>
        <stp>YLD_YTM_BID</stp>
        <stp>[upload (2).xlsm]Base all $ 3 Duration!R147C6</stp>
        <tr r="F147" s="66"/>
      </tp>
      <tp>
        <v>6</v>
        <stp/>
        <stp>##V3_BDPV12</stp>
        <stp>XS0632887997 Corp</stp>
        <stp>CPN</stp>
        <stp>[upload (2).xlsm]Base all $ 3 Duration!R125C8</stp>
        <tr r="H125" s="66"/>
      </tp>
      <tp>
        <v>3.9687869590006977</v>
        <stp/>
        <stp>##V3_BDPV12</stp>
        <stp>XS0861981180 Corp</stp>
        <stp>YLD_YTM_BID</stp>
        <stp>[upload (2).xlsm]Base all $ 3 Duration!R145C6</stp>
        <tr r="F145" s="66"/>
      </tp>
      <tp>
        <v>5.8519731999999998</v>
        <stp/>
        <stp>##V3_BDPV12</stp>
        <stp>XS0979891925 Corp</stp>
        <stp>YLD_YTM_BID</stp>
        <stp>[upload (2).xlsm]Base all $ 3 Duration!R124C6</stp>
        <tr r="F124" s="66"/>
      </tp>
      <tp t="s">
        <v>Commer Banks Non-US</v>
        <stp/>
        <stp>##V3_BDPV12</stp>
        <stp>XS0842078536 Corp</stp>
        <stp>INDUSTRY_SUBGROUP</stp>
        <stp>[upload (2).xlsm]Base all $ 3 Duration!R127C11</stp>
        <tr r="K127" s="66"/>
      </tp>
      <tp>
        <v>10.5</v>
        <stp/>
        <stp>##V3_BDPV12</stp>
        <stp>XS1042215480 Corp</stp>
        <stp>CPN</stp>
        <stp>[upload (2).xlsm]Base all $ 3 Duration!R120C8</stp>
        <tr r="H120" s="66"/>
      </tp>
      <tp>
        <v>7</v>
        <stp/>
        <stp>##V3_BDPV12</stp>
        <stp>XS0925043100 Corp</stp>
        <stp>CPN</stp>
        <stp>[upload (2).xlsm]Base all $ 3 Duration!R100C8</stp>
        <tr r="H100" s="66"/>
      </tp>
      <tp>
        <v>3.1412506000000002</v>
        <stp/>
        <stp>##V3_BDPV12</stp>
        <stp>XS0513723873 Corp</stp>
        <stp>YLD_YTM_BID</stp>
        <stp>[upload (2).xlsm]Base all $ 3 Duration!R110C6</stp>
        <tr r="F110" s="66"/>
      </tp>
      <tp>
        <v>5.5</v>
        <stp/>
        <stp>##V3_BDPV12</stp>
        <stp>XS1032750165 Corp</stp>
        <stp>CPN</stp>
        <stp>[upload (2).xlsm]Base all $ 3 Duration!R132C8</stp>
        <tr r="H132" s="66"/>
      </tp>
      <tp t="s">
        <v>Steel-Producers</v>
        <stp/>
        <stp>##V3_BDPV12</stp>
        <stp>XS0808638612 Corp</stp>
        <stp>INDUSTRY_SUBGROUP</stp>
        <stp>[upload (2).xlsm]Base all $ 3 Duration!R105C11</stp>
        <tr r="K105" s="66"/>
      </tp>
      <tp t="s">
        <v>N</v>
        <stp/>
        <stp>##V3_BDPV12</stp>
        <stp>US91701RAA95 Corp</stp>
        <stp>RUSSIAN_CB_LOMBARD</stp>
        <stp>[upload (2).xlsm]Base all $ 3 Duration!R26C16</stp>
        <tr r="P26" s="66"/>
      </tp>
      <tp>
        <v>4</v>
        <stp/>
        <stp>##V3_BDPV12</stp>
        <stp>KMG LI Equity</stp>
        <stp>EQY_REC_CONS</stp>
        <stp>[Copy of upload (2).xlsm]Гарез_GRENF (2)!R5C10</stp>
        <tr r="J5" s="116"/>
      </tp>
      <tp>
        <v>3.1578949999999999</v>
        <stp/>
        <stp>##V3_BDPV12</stp>
        <stp>POLY RX Equity</stp>
        <stp>EQY_REC_CONS</stp>
        <stp>[Copy of upload (2).xlsm]Гарез_GRENF (2)!R9C10</stp>
        <tr r="J9" s="116"/>
      </tp>
      <tp>
        <v>32.494597097869715</v>
        <stp/>
        <stp>##V3_BDPV12</stp>
        <stp>SBER RX EQUITY</stp>
        <stp>TRAIL_12M_PROF_MARGIN</stp>
        <stp>[upload (2).xlsm]Model Portfolio!R75C25</stp>
        <tr r="Y75" s="98"/>
      </tp>
      <tp t="s">
        <v>#N/A N/A</v>
        <stp/>
        <stp>##V3_BDPV12</stp>
        <stp>XS0588436799 Corp</stp>
        <stp>px_ask</stp>
        <stp>[upload (2).xlsm]Base all $ 3 Duration!R94C5</stp>
        <tr r="E94" s="66"/>
      </tp>
      <tp>
        <v>100.874</v>
        <stp/>
        <stp>##V3_BDPV12</stp>
        <stp>XS0551315384 Corp</stp>
        <stp>px_ask</stp>
        <stp>[upload (2).xlsm]Base all $ 3 Duration!R82C5</stp>
        <tr r="E82" s="66"/>
      </tp>
      <tp>
        <v>101.01259613037109</v>
        <stp/>
        <stp>##V3_BDPV12</stp>
        <stp>ALRS RX EQUITY</stp>
        <stp>BEST_TARGET_PRICE</stp>
        <stp>[upload (2).xlsm]Model Portfolio!R5C8</stp>
        <tr r="H5" s="98"/>
      </tp>
      <tp>
        <v>103.29600000000001</v>
        <stp/>
        <stp>##V3_BDPV12</stp>
        <stp>XS0365923977 Corp</stp>
        <stp>px_ask</stp>
        <stp>[upload (2).xlsm]Base all $ 3 Duration!R57C5</stp>
        <tr r="E57" s="66"/>
      </tp>
      <tp>
        <v>100.852</v>
        <stp/>
        <stp>##V3_BDPV12</stp>
        <stp>XS0559800122 Corp</stp>
        <stp>px_ask</stp>
        <stp>[upload (2).xlsm]Base all $ 3 Duration!R63C5</stp>
        <tr r="E63" s="66"/>
      </tp>
      <tp>
        <v>758135387300</v>
        <stp/>
        <stp>##V3_BDPV12</stp>
        <stp>CHMF RX EQUITY</stp>
        <stp>CUR_MKT_CAP</stp>
        <stp>[upload (2).xlsm]Model Portfolio!R25C10</stp>
        <tr r="J25" s="98"/>
      </tp>
      <tp t="s">
        <v>EVRAZ 8 1/4 01/28/21</v>
        <stp/>
        <stp>##V3_BDPV12</stp>
        <stp>XS1319822752 Corp</stp>
        <stp>SECURITY_NAME</stp>
        <stp>[Copy of upload (2).xlsm]Гарез_GRENF!R56C4</stp>
        <tr r="D56" s="115"/>
      </tp>
      <tp t="s">
        <v>IMHRUS 10 3/4 12/28/18</v>
        <stp/>
        <stp>##V3_BDPV12</stp>
        <stp>XS1255387976 Corp</stp>
        <stp>SECURITY_NAME</stp>
        <stp>[Copy of upload (2).xlsm]Гарез_GRENF!R19C2</stp>
        <tr r="B19" s="115"/>
      </tp>
      <tp>
        <v>6.3698380169001441</v>
        <stp/>
        <stp>##V3_BDPV12</stp>
        <stp>SVAV RX EQUITY</stp>
        <stp>EBIT_MARGIN</stp>
        <stp>[upload (2).xlsm]Model Portfolio!R72C24</stp>
        <tr r="X72" s="98"/>
      </tp>
      <tp>
        <v>37.027345954543122</v>
        <stp/>
        <stp>##V3_BDPV12</stp>
        <stp>KMAZ RX EQUITY</stp>
        <stp>SALES_GROWTH</stp>
        <stp>[upload (2).xlsm]Model Portfolio!R73C21</stp>
        <tr r="U73" s="98"/>
      </tp>
      <tp>
        <v>0.73336889999999999</v>
        <stp/>
        <stp>##V3_BDPV12</stp>
        <stp>HYDR RX EQUITY</stp>
        <stp>EQY_BETA_6M</stp>
        <stp>[upload (2).xlsm]Model Portfolio!R58C14</stp>
        <tr r="N58" s="98"/>
      </tp>
      <tp>
        <v>1.001347</v>
        <stp/>
        <stp>##V3_BDPV12</stp>
        <stp>MTLR RX EQUITY</stp>
        <stp>EQY_BETA_6M</stp>
        <stp>[upload (2).xlsm]Model Portfolio!R24C14</stp>
        <tr r="N24" s="98"/>
      </tp>
      <tp>
        <v>0.56979849999999999</v>
        <stp/>
        <stp>##V3_BDPV12</stp>
        <stp>GLTR LI EQUITY</stp>
        <stp>EQY_BETA_6M</stp>
        <stp>[upload (2).xlsm]Model Portfolio!R48C14</stp>
        <tr r="N48" s="98"/>
      </tp>
      <tp>
        <v>0.48131299999999999</v>
        <stp/>
        <stp>##V3_BDPV12</stp>
        <stp>GLPR LI EQUITY</stp>
        <stp>EQY_BETA_6M</stp>
        <stp>[upload (2).xlsm]Model Portfolio!R46C14</stp>
        <tr r="N46" s="98"/>
      </tp>
      <tp>
        <v>0.57450840000000003</v>
        <stp/>
        <stp>##V3_BDPV12</stp>
        <stp>RTKMP RX EQUITY</stp>
        <stp>EQY_BETA_6M</stp>
        <stp>[upload (2).xlsm]Model Portfolio!R63C14</stp>
        <tr r="N63" s="98"/>
      </tp>
      <tp>
        <v>4.1764707565307617</v>
        <stp/>
        <stp>##V3_BDPV12</stp>
        <stp>YNDX US EQUITY</stp>
        <stp>EQY_REC_CONS</stp>
        <stp>[upload (2).xlsm]Model Portfolio!R43C29</stp>
        <tr r="AC43" s="98"/>
      </tp>
      <tp>
        <v>-7.5692959999999996</v>
        <stp/>
        <stp>##V3_BDPV12</stp>
        <stp>POLY LN EQUITY</stp>
        <stp>CHG_PCT_1M</stp>
        <stp>[upload (2).xlsm]Model Portfolio!R6C5</stp>
        <tr r="E6" s="98"/>
      </tp>
      <tp>
        <v>-12.698330498484768</v>
        <stp/>
        <stp>##V3_BDPV12</stp>
        <stp>KCEL LI EQUITY</stp>
        <stp>SALES_GROWTH</stp>
        <stp>[upload (2).xlsm]Model Portfolio!R65C21</stp>
        <tr r="U65" s="98"/>
      </tp>
      <tp t="s">
        <v>RU000A0JPNM1</v>
        <stp/>
        <stp>##V3_BDPV12</stp>
        <stp>IRAO RX Equity</stp>
        <stp>ID_ISIN</stp>
        <stp>[upload (2).xlsm]Sheet3!R5C3</stp>
        <tr r="C5" s="77"/>
      </tp>
      <tp>
        <v>1.2198169999999999</v>
        <stp/>
        <stp>##V3_BDPV12</stp>
        <stp>SBER RX EQUITY</stp>
        <stp>EQY_BETA_6M</stp>
        <stp>[upload (2).xlsm]Model Portfolio!R75C14</stp>
        <tr r="N75" s="98"/>
      </tp>
      <tp>
        <v>0.57610170000000005</v>
        <stp/>
        <stp>##V3_BDPV12</stp>
        <stp>PHOR RX EQUITY</stp>
        <stp>EQY_BETA_6M</stp>
        <stp>[upload (2).xlsm]Model Portfolio!R32C14</stp>
        <tr r="N32" s="98"/>
      </tp>
      <tp>
        <v>10.744285993358078</v>
        <stp/>
        <stp>##V3_BDPV12</stp>
        <stp>RTKMP RX EQUITY</stp>
        <stp>BDVD_PROJ_12M_YLD</stp>
        <stp>[upload (2).xlsm]Model Portfolio!R63C27</stp>
        <tr r="AA63" s="98"/>
      </tp>
      <tp t="s">
        <v>USD</v>
        <stp/>
        <stp>##V3_BDPV12</stp>
        <stp>VEON US Equity</stp>
        <stp>CRNCY</stp>
        <stp>[Copy of upload (2).xlsm]Гарез_GRENF (2)!R4C11</stp>
        <tr r="K4" s="116"/>
      </tp>
      <tp>
        <v>19.153225806451612</v>
        <stp/>
        <stp>##V3_BDPV12</stp>
        <stp>VIP US EQUITY</stp>
        <stp>TRAIL_12M_PROF_MARGIN</stp>
        <stp>[upload (2).xlsm]Model Portfolio!R61C25</stp>
        <tr r="Y61" s="98"/>
      </tp>
      <tp>
        <v>4.5093769000000004</v>
        <stp/>
        <stp>##V3_BDPV12</stp>
        <stp>XS0935311240 Corp</stp>
        <stp>YLD_YTM_BID</stp>
        <stp>[upload (2).xlsm]Base all $ 3 Duration!R131C6</stp>
        <tr r="F131" s="66"/>
      </tp>
      <tp>
        <v>3.1563783460577901</v>
        <stp/>
        <stp>##V3_BDPV12</stp>
        <stp>XS0484209159 Corp</stp>
        <stp>YLD_YTM_BID</stp>
        <stp>[upload (2).xlsm]Base all $ 3 Duration!R112C6</stp>
        <tr r="F112" s="66"/>
      </tp>
      <tp>
        <v>5.625</v>
        <stp/>
        <stp>##V3_BDPV12</stp>
        <stp>XS0918297382 Corp</stp>
        <stp>CPN</stp>
        <stp>[upload (2).xlsm]Base all $ 3 Duration!R106C8</stp>
        <tr r="H106" s="66"/>
      </tp>
      <tp>
        <v>6.25</v>
        <stp/>
        <stp>##V3_BDPV12</stp>
        <stp>XS0223715920 Corp</stp>
        <stp>CPN</stp>
        <stp>[upload (2).xlsm]Base all $ 3 Duration!R137C8</stp>
        <tr r="H137" s="66"/>
      </tp>
      <tp t="s">
        <v>Commer Banks Non-US</v>
        <stp/>
        <stp>##V3_BDPV12</stp>
        <stp>XS0935311240 Corp</stp>
        <stp>INDUSTRY_SUBGROUP</stp>
        <stp>[upload (2).xlsm]Base all $ 3 Duration!R131C11</stp>
        <tr r="K131" s="66"/>
      </tp>
      <tp t="s">
        <v>Metal-Diversified</v>
        <stp/>
        <stp>##V3_BDPV12</stp>
        <stp>XS0982861287 Corp</stp>
        <stp>INDUSTRY_SUBGROUP</stp>
        <stp>[upload (2).xlsm]Base all $ 3 Duration!R113C11</stp>
        <tr r="K113" s="66"/>
      </tp>
      <tp>
        <v>5.9989999999999997</v>
        <stp/>
        <stp>##V3_BDPV12</stp>
        <stp>XS0708813810 Corp</stp>
        <stp>CPN</stp>
        <stp>[upload (2).xlsm]Base all $ 3 Duration!R153C8</stp>
        <tr r="H153" s="66"/>
      </tp>
      <tp t="s">
        <v>Oil Comp-Integrated</v>
        <stp/>
        <stp>##V3_BDPV12</stp>
        <stp>XS0885733153 Corp</stp>
        <stp>INDUSTRY_SUBGROUP</stp>
        <stp>[upload (2).xlsm]Base all $ 3 Duration!R115C11</stp>
        <tr r="K115" s="66"/>
      </tp>
      <tp>
        <v>103.35</v>
        <stp/>
        <stp>##V3_BDPV12</stp>
        <stp>XS0889401054 Corp</stp>
        <stp>px_ask</stp>
        <stp>[upload (2).xlsm]Base all $ 3 Duration!R39C5</stp>
        <tr r="E39" s="66"/>
      </tp>
      <tp>
        <v>101.43300000000001</v>
        <stp/>
        <stp>##V3_BDPV12</stp>
        <stp>XS0899969702 Corp</stp>
        <stp>px_ask</stp>
        <stp>[upload (2).xlsm]Base all $ 3 Duration!R71C5</stp>
        <tr r="E71" s="66"/>
      </tp>
      <tp>
        <v>83042353290</v>
        <stp/>
        <stp>##V3_BDPV12</stp>
        <stp>LSRG RX EQUITY</stp>
        <stp>CUR_MKT_CAP</stp>
        <stp>[upload (2).xlsm]Model Portfolio!R69C10</stp>
        <tr r="J69" s="98"/>
      </tp>
      <tp>
        <v>121772163440.95</v>
        <stp/>
        <stp>##V3_BDPV12</stp>
        <stp>MSNG RX EQUITY</stp>
        <stp>CUR_MKT_CAP</stp>
        <stp>[upload (2).xlsm]Model Portfolio!R55C10</stp>
        <tr r="J55" s="98"/>
      </tp>
      <tp>
        <v>215</v>
        <stp/>
        <stp>##V3_BDPV12</stp>
        <stp>HGM LN EQUITY</stp>
        <stp>BEST_TARGET_PRICE</stp>
        <stp>[upload (2).xlsm]Model Portfolio!R4C8</stp>
        <tr r="H4" s="98"/>
      </tp>
      <tp t="s">
        <v>RUSSIA 12 3/4 06/24/28</v>
        <stp/>
        <stp>##V3_BDPV12</stp>
        <stp>XS0088543193 Corp</stp>
        <stp>SECURITY_NAME</stp>
        <stp>[Copy of upload (2).xlsm]Гарез_GRENF!R43C4</stp>
        <tr r="D43" s="115"/>
      </tp>
      <tp>
        <v>-8.3078301689307192</v>
        <stp/>
        <stp>##V3_BDPV12</stp>
        <stp>LKOH RX EQUITY</stp>
        <stp>SALES_GROWTH</stp>
        <stp>[upload (2).xlsm]Model Portfolio!R13C21</stp>
        <tr r="U13" s="98"/>
      </tp>
      <tp>
        <v>0.1703519</v>
        <stp/>
        <stp>##V3_BDPV12</stp>
        <stp>ENRU RM EQUITY</stp>
        <stp>EQY_BETA_6M</stp>
        <stp>[upload (2).xlsm]Model Portfolio!R53C14</stp>
        <tr r="N53" s="98"/>
      </tp>
      <tp>
        <v>20.715879474822987</v>
        <stp/>
        <stp>##V3_BDPV12</stp>
        <stp>LXFT US EQUITY</stp>
        <stp>SALES_GROWTH</stp>
        <stp>[upload (2).xlsm]Model Portfolio!R41C21</stp>
        <tr r="U41" s="98"/>
      </tp>
      <tp>
        <v>21.201283044392422</v>
        <stp/>
        <stp>##V3_BDPV12</stp>
        <stp>LNTA LI EQUITY</stp>
        <stp>SALES_GROWTH</stp>
        <stp>[upload (2).xlsm]Model Portfolio!R37C21</stp>
        <tr r="U37" s="98"/>
      </tp>
      <tp>
        <v>12.437159015175483</v>
        <stp/>
        <stp>##V3_BDPV12</stp>
        <stp>LSRG RX EQUITY</stp>
        <stp>SALES_GROWTH</stp>
        <stp>[upload (2).xlsm]Model Portfolio!R69C21</stp>
        <tr r="U69" s="98"/>
      </tp>
      <tp>
        <v>108.38500000000001</v>
        <stp/>
        <stp>##V3_BDPV12</stp>
        <stp>XS1255387976 Corp</stp>
        <stp>PX_LAST</stp>
        <stp>[Copy of upload (2).xlsm]Гарез_GRENF!R19C5</stp>
        <tr r="E19" s="115"/>
      </tp>
      <tp>
        <v>-25.87668476394213</v>
        <stp/>
        <stp>##V3_BDPV12</stp>
        <stp>XS0493579238 Corp</stp>
        <stp>INTERVAL_PERCENT_CHANGE</stp>
        <stp>[upload (2).xlsm]Base all $ 3 Duration!R7C17</stp>
        <stp>END_DATE_OVERRIDE</stp>
        <stp xml:space="preserve"> </stp>
        <stp>START_DATE_OVERRIDe</stp>
        <stp>20140716</stp>
        <tr r="Q7" s="66"/>
      </tp>
      <tp>
        <v>19.27030861765196</v>
        <stp/>
        <stp>##V3_BDPV12</stp>
        <stp>NORD LI EQUITY</stp>
        <stp>NORMALIZED_ROE</stp>
        <stp>[upload (2).xlsm]Model Portfolio!R3C26</stp>
        <tr r="Z3" s="98"/>
      </tp>
      <tp t="s">
        <v>Mining</v>
        <stp/>
        <stp>##V3_BDPV12</stp>
        <stp>NORD LI EQUITY</stp>
        <stp>INDUSTRY_GROUP</stp>
        <stp>[upload (2).xlsm]Model Portfolio!R3C13</stp>
        <tr r="M3" s="98"/>
      </tp>
      <tp>
        <v>3.8093553</v>
        <stp/>
        <stp>##V3_BDPV12</stp>
        <stp>XS0805570354 Corp</stp>
        <stp>YLD_YTM_BID</stp>
        <stp>[upload (2).xlsm]Base all $ 3 Duration!R154C6</stp>
        <tr r="F154" s="66"/>
      </tp>
      <tp t="s">
        <v>Steel-Producers</v>
        <stp/>
        <stp>##V3_BDPV12</stp>
        <stp>XS0841671000 Corp</stp>
        <stp>INDUSTRY_SUBGROUP</stp>
        <stp>[upload (2).xlsm]Base all $ 3 Duration!R141C11</stp>
        <tr r="K141" s="66"/>
      </tp>
      <tp t="s">
        <v>Oil-Field Services</v>
        <stp/>
        <stp>##V3_BDPV12</stp>
        <stp>XS0918604496 Corp</stp>
        <stp>INDUSTRY_SUBGROUP</stp>
        <stp>[upload (2).xlsm]Base all $ 3 Duration!R103C11</stp>
        <tr r="K103" s="66"/>
      </tp>
      <tp t="s">
        <v>Diamonds/Precious Stones</v>
        <stp/>
        <stp>##V3_BDPV12</stp>
        <stp>XS0555493203 Corp</stp>
        <stp>INDUSTRY_SUBGROUP</stp>
        <stp>[upload (2).xlsm]Base all $ 3 Duration!R109C11</stp>
        <tr r="K109" s="66"/>
      </tp>
      <tp>
        <v>39.304547945205485</v>
        <stp/>
        <stp>##V3_BDPV12</stp>
        <stp>POLY LN EQUITY</stp>
        <stp>NORMALIZED_ROE</stp>
        <stp>[upload (2).xlsm]Model Portfolio!R6C26</stp>
        <tr r="Z6" s="98"/>
      </tp>
      <tp t="s">
        <v>Commer Banks Non-US</v>
        <stp/>
        <stp>##V3_BDPV12</stp>
        <stp>XS0548633659 Corp</stp>
        <stp>INDUSTRY_SUBGROUP</stp>
        <stp>[upload (2).xlsm]Base all $ 3 Duration!R111C11</stp>
        <tr r="K111" s="66"/>
      </tp>
      <tp>
        <v>3.1629608</v>
        <stp/>
        <stp>##V3_BDPV12</stp>
        <stp>XS0972645112 Corp</stp>
        <stp>YLD_YTM_BID</stp>
        <stp>[upload (2).xlsm]Base all $ 3 Duration!R116C6</stp>
        <tr r="F116" s="66"/>
      </tp>
      <tp>
        <v>3.4718175000000002</v>
        <stp/>
        <stp>##V3_BDPV12</stp>
        <stp>XS0841671000 Corp</stp>
        <stp>YLD_YTM_BID</stp>
        <stp>[upload (2).xlsm]Base all $ 3 Duration!R141C6</stp>
        <tr r="F141" s="66"/>
      </tp>
      <tp>
        <v>4.1360039999999998</v>
        <stp/>
        <stp>##V3_BDPV12</stp>
        <stp>XS0848530977 Corp</stp>
        <stp>YLD_YTM_BID</stp>
        <stp>[upload (2).xlsm]Base all $ 3 Duration!R150C6</stp>
        <tr r="F150" s="66"/>
      </tp>
      <tp>
        <v>3.6942513999999997</v>
        <stp/>
        <stp>##V3_BDPV12</stp>
        <stp>XS0643183220 Corp</stp>
        <stp>YLD_YTM_BID</stp>
        <stp>[upload (2).xlsm]Base all $ 3 Duration!R133C6</stp>
        <tr r="F133" s="66"/>
      </tp>
      <tp t="s">
        <v>Mining</v>
        <stp/>
        <stp>##V3_BDPV12</stp>
        <stp>POLY LN EQUITY</stp>
        <stp>INDUSTRY_GROUP</stp>
        <stp>[upload (2).xlsm]Model Portfolio!R6C13</stp>
        <tr r="M6" s="98"/>
      </tp>
      <tp t="s">
        <v>Supranational Bank</v>
        <stp/>
        <stp>##V3_BDPV12</stp>
        <stp>XS0972645112 Corp</stp>
        <stp>INDUSTRY_SUBGROUP</stp>
        <stp>[upload (2).xlsm]Base all $ 3 Duration!R116C11</stp>
        <tr r="K116" s="66"/>
      </tp>
      <tp>
        <v>8.9552475201411106</v>
        <stp/>
        <stp>##V3_BDPV12</stp>
        <stp>XS0846652666 Corp</stp>
        <stp>YLD_YTM_BID</stp>
        <stp>[upload (2).xlsm]Base all $ 3 Duration!R102C6</stp>
        <tr r="F102" s="66"/>
      </tp>
      <tp>
        <v>6.9295677373171412</v>
        <stp/>
        <stp>##V3_BDPV12</stp>
        <stp>XS0975320879 Corp</stp>
        <stp>YLD_YTM_BID</stp>
        <stp>[upload (2).xlsm]Base all $ 3 Duration!R123C6</stp>
        <tr r="F123" s="66"/>
      </tp>
      <tp>
        <v>5</v>
        <stp/>
        <stp>##V3_BDPV12</stp>
        <stp>XS0921331509 Corp</stp>
        <stp>CPN</stp>
        <stp>[upload (2).xlsm]Base all $ 3 Duration!R144C8</stp>
        <tr r="H144" s="66"/>
      </tp>
      <tp>
        <v>6.125</v>
        <stp/>
        <stp>##V3_BDPV12</stp>
        <stp>XS0743596040 Corp</stp>
        <stp>CPN</stp>
        <stp>[upload (2).xlsm]Base all $ 3 Duration!R155C8</stp>
        <tr r="H155" s="66"/>
      </tp>
      <tp t="s">
        <v>Oil Comp-Integrated</v>
        <stp/>
        <stp>##V3_BDPV12</stp>
        <stp>XS0290580595 Corp</stp>
        <stp>INDUSTRY_SUBGROUP</stp>
        <stp>[upload (2).xlsm]Base all $ 3 Duration!R152C11</stp>
        <tr r="K152" s="66"/>
      </tp>
      <tp>
        <v>5.7169999999999996</v>
        <stp/>
        <stp>##V3_BDPV12</stp>
        <stp>XS0638572973 Corp</stp>
        <stp>CPN</stp>
        <stp>[upload (2).xlsm]Base all $ 3 Duration!R156C8</stp>
        <tr r="H156" s="66"/>
      </tp>
      <tp>
        <v>8</v>
        <stp/>
        <stp>##V3_BDPV12</stp>
        <stp>XS0805131439 Corp</stp>
        <stp>CPN</stp>
        <stp>[upload (2).xlsm]Base all $ 3 Duration!R126C8</stp>
        <tr r="H126" s="66"/>
      </tp>
      <tp>
        <v>100.797</v>
        <stp/>
        <stp>##V3_BDPV12</stp>
        <stp>XS0922883318 Corp</stp>
        <stp>px_ask</stp>
        <stp>[upload (2).xlsm]Base all $ 3 Duration!R56C5</stp>
        <tr r="E56" s="66"/>
      </tp>
      <tp t="s">
        <v>#N/A N/A</v>
        <stp/>
        <stp>##V3_BDPV12</stp>
        <stp>NMTP RX EQUITY</stp>
        <stp>EBIT_MARGIN</stp>
        <stp>[upload (2).xlsm]Model Portfolio!R49C24</stp>
        <tr r="X49" s="98"/>
      </tp>
      <tp>
        <v>102.038</v>
        <stp/>
        <stp>##V3_BDPV12</stp>
        <stp>XS0592794597 Corp</stp>
        <stp>px_ask</stp>
        <stp>[upload (2).xlsm]Base all $ 3 Duration!R61C5</stp>
        <tr r="E61" s="66"/>
      </tp>
      <tp>
        <v>102.98</v>
        <stp/>
        <stp>##V3_BDPV12</stp>
        <stp>XS0618905219 Corp</stp>
        <stp>px_ask</stp>
        <stp>[upload (2).xlsm]Base all $ 3 Duration!R37C5</stp>
        <tr r="E37" s="66"/>
      </tp>
      <tp t="s">
        <v>#N/A N/A</v>
        <stp/>
        <stp>##V3_BDPV12</stp>
        <stp>XS0312572984 Corp</stp>
        <stp>px_ask</stp>
        <stp>[upload (2).xlsm]Base all $ 3 Duration!R22C5</stp>
        <tr r="E22" s="66"/>
      </tp>
      <tp>
        <v>104.096</v>
        <stp/>
        <stp>##V3_BDPV12</stp>
        <stp>XS0366630902 Corp</stp>
        <stp>px_ask</stp>
        <stp>[upload (2).xlsm]Base all $ 3 Duration!R49C5</stp>
        <tr r="E49" s="66"/>
      </tp>
      <tp>
        <v>12.733918495518262</v>
        <stp/>
        <stp>##V3_BDPV12</stp>
        <stp>GAZP RX EQUITY</stp>
        <stp>EBIT_MARGIN</stp>
        <stp>[upload (2).xlsm]Model Portfolio!R12C24</stp>
        <tr r="X12" s="98"/>
      </tp>
      <tp>
        <v>102.759</v>
        <stp/>
        <stp>##V3_BDPV12</stp>
        <stp>XS0585211591 Corp</stp>
        <stp>px_ask</stp>
        <stp>[upload (2).xlsm]Base all $ 3 Duration!R34C5</stp>
        <tr r="E34" s="66"/>
      </tp>
      <tp>
        <v>103.56699999999999</v>
        <stp/>
        <stp>##V3_BDPV12</stp>
        <stp>XS1040726587 Corp</stp>
        <stp>px_ask</stp>
        <stp>[upload (2).xlsm]Base all $ 3 Duration!R41C5</stp>
        <tr r="E41" s="66"/>
      </tp>
      <tp>
        <v>12.059999465942383</v>
        <stp/>
        <stp>##V3_BDPV12</stp>
        <stp>KMG LI EQUITY</stp>
        <stp>BEST_TARGET_PRICE</stp>
        <stp>[upload (2).xlsm]Model Portfolio!R9C8</stp>
        <tr r="H9" s="98"/>
      </tp>
      <tp>
        <v>38.645418326693225</v>
        <stp/>
        <stp>##V3_BDPV12</stp>
        <stp>RASP RX EQUITY</stp>
        <stp>EBIT_MARGIN</stp>
        <stp>[upload (2).xlsm]Model Portfolio!R28C24</stp>
        <tr r="X28" s="98"/>
      </tp>
      <tp t="s">
        <v>RUSSIA 12 3/4 06/24/28</v>
        <stp/>
        <stp>##V3_BDPV12</stp>
        <stp>XS0088543193 Corp</stp>
        <stp>SECURITY_NAME</stp>
        <stp>[Copy of upload (2).xlsm]Гарез_GRENF!R44C4</stp>
        <tr r="D44" s="115"/>
      </tp>
      <tp>
        <v>-5.2636015106266871</v>
        <stp/>
        <stp>##V3_BDPV12</stp>
        <stp>MOEX RX EQUITY</stp>
        <stp>SALES_GROWTH</stp>
        <stp>[upload (2).xlsm]Model Portfolio!R74C21</stp>
        <tr r="U74" s="98"/>
      </tp>
      <tp>
        <v>0.70332419999999995</v>
        <stp/>
        <stp>##V3_BDPV12</stp>
        <stp>MGNT RX EQUITY</stp>
        <stp>EQY_BETA_6M</stp>
        <stp>[upload (2).xlsm]Model Portfolio!R35C14</stp>
        <tr r="N35" s="98"/>
      </tp>
      <tp>
        <v>0.9359738826751709</v>
        <stp/>
        <stp>##V3_BDPV12</stp>
        <stp>LXFT US EQUITY</stp>
        <stp>EQY_BETA_6M</stp>
        <stp>[upload (2).xlsm]Model Portfolio!R41C14</stp>
        <tr r="N41" s="98"/>
      </tp>
      <tp>
        <v>3.8639999999999999</v>
        <stp/>
        <stp>##V3_BDPV12</stp>
        <stp>IRAO RX Equity</stp>
        <stp>PX_LAST</stp>
        <stp>[upload (2).xlsm]Sheet3!R5C5</stp>
        <tr r="E5" s="77"/>
      </tp>
      <tp>
        <v>0.92283244464441272</v>
        <stp/>
        <stp>##V3_BDPV12</stp>
        <stp>MFON RX EQUITY</stp>
        <stp>SALES_GROWTH</stp>
        <stp>[upload (2).xlsm]Model Portfolio!R62C21</stp>
        <tr r="U62" s="98"/>
      </tp>
      <tp>
        <v>0.81368980000000002</v>
        <stp/>
        <stp>##V3_BDPV12</stp>
        <stp>AFLT RX EQUITY</stp>
        <stp>EQY_BETA_6M</stp>
        <stp>[upload (2).xlsm]Model Portfolio!R47C14</stp>
        <tr r="N47" s="98"/>
      </tp>
      <tp>
        <v>12.554965620024179</v>
        <stp/>
        <stp>##V3_BDPV12</stp>
        <stp>MGNT RX EQUITY</stp>
        <stp>SALES_GROWTH</stp>
        <stp>[upload (2).xlsm]Model Portfolio!R35C21</stp>
        <tr r="U35" s="98"/>
      </tp>
      <tp>
        <v>0.5978137</v>
        <stp/>
        <stp>##V3_BDPV12</stp>
        <stp>TRNFP RX EQUITY</stp>
        <stp>EQY_BETA_6M</stp>
        <stp>[upload (2).xlsm]Model Portfolio!R20C14</stp>
        <tr r="N20" s="98"/>
      </tp>
      <tp>
        <v>-3.5793800308271964</v>
        <stp/>
        <stp>##V3_BDPV12</stp>
        <stp>MAGN RX EQUITY</stp>
        <stp>SALES_GROWTH</stp>
        <stp>[upload (2).xlsm]Model Portfolio!R23C21</stp>
        <tr r="U23" s="98"/>
      </tp>
      <tp>
        <v>5.3045859000684459</v>
        <stp/>
        <stp>##V3_BDPV12</stp>
        <stp>MAIL LI EQUITY</stp>
        <stp>SALES_GROWTH</stp>
        <stp>[upload (2).xlsm]Model Portfolio!R44C21</stp>
        <tr r="U44" s="98"/>
      </tp>
      <tp>
        <v>54.394315403908216</v>
        <stp/>
        <stp>##V3_BDPV12</stp>
        <stp>YNDX US EQUITY</stp>
        <stp>PX_TO_FREE_CASH_FLOW</stp>
        <stp>[upload (2).xlsm]Model Portfolio!R43C19</stp>
        <tr r="S43" s="98"/>
      </tp>
      <tp>
        <v>9.0337005858395116</v>
        <stp/>
        <stp>##V3_BDPV12</stp>
        <stp>MTLR RX EQUITY</stp>
        <stp>SALES_GROWTH</stp>
        <stp>[upload (2).xlsm]Model Portfolio!R24C21</stp>
        <tr r="U24" s="98"/>
      </tp>
      <tp>
        <v>2.1219344691882362</v>
        <stp/>
        <stp>##V3_BDPV12</stp>
        <stp>MTSS RX EQUITY</stp>
        <stp>SALES_GROWTH</stp>
        <stp>[upload (2).xlsm]Model Portfolio!R67C21</stp>
        <tr r="U67" s="98"/>
      </tp>
      <tp>
        <v>0.60864309999999999</v>
        <stp/>
        <stp>##V3_BDPV12</stp>
        <stp>TATNP RX EQUITY</stp>
        <stp>EQY_BETA_6M</stp>
        <stp>[upload (2).xlsm]Model Portfolio!R19C14</stp>
        <tr r="N19" s="98"/>
      </tp>
      <tp>
        <v>13.314284654062378</v>
        <stp/>
        <stp>##V3_BDPV12</stp>
        <stp>MVID RX EQUITY</stp>
        <stp>SALES_GROWTH</stp>
        <stp>[upload (2).xlsm]Model Portfolio!R38C21</stp>
        <tr r="U38" s="98"/>
      </tp>
      <tp>
        <v>11.388559443337638</v>
        <stp/>
        <stp>##V3_BDPV12</stp>
        <stp>MSNG RX EQUITY</stp>
        <stp>SALES_GROWTH</stp>
        <stp>[upload (2).xlsm]Model Portfolio!R55C21</stp>
        <tr r="U55" s="98"/>
      </tp>
      <tp t="s">
        <v>ALROSA</v>
        <stp/>
        <stp>##V3_BDPV12</stp>
        <stp>ALRS RX EQUITY</stp>
        <stp>SHORT_NAME</stp>
        <stp>[upload (2).xlsm]Model Portfolio!R5C2</stp>
        <tr r="B5" s="98"/>
      </tp>
      <tp>
        <v>8.309476762539191</v>
        <stp/>
        <stp>##V3_BDPV12</stp>
        <stp>MSRS RX EQUITY</stp>
        <stp>SALES_GROWTH</stp>
        <stp>[upload (2).xlsm]Model Portfolio!R59C21</stp>
        <tr r="U59" s="98"/>
      </tp>
      <tp t="s">
        <v>RUB</v>
        <stp/>
        <stp>##V3_BDPV12</stp>
        <stp>POLY RX Equity</stp>
        <stp>CRNCY</stp>
        <stp>[Copy of upload (2).xlsm]Гарез_GRENF (2)!R9C11</stp>
        <tr r="K9" s="116"/>
      </tp>
      <tp>
        <v>5.2553955721636951</v>
        <stp/>
        <stp>##V3_BDPV12</stp>
        <stp>XS0191754729 Corp</stp>
        <stp>YLD_YTM_BID</stp>
        <stp>[upload (2).xlsm]Base all $ 3 Duration!R128C6</stp>
        <tr r="F128" s="66"/>
      </tp>
      <tp>
        <v>6.5510000000000002</v>
        <stp/>
        <stp>##V3_BDPV12</stp>
        <stp>XS0548633659 Corp</stp>
        <stp>CPN</stp>
        <stp>[upload (2).xlsm]Base all $ 3 Duration!R111C8</stp>
        <tr r="H111" s="66"/>
      </tp>
      <tp>
        <v>3.7650500999999998</v>
        <stp/>
        <stp>##V3_BDPV12</stp>
        <stp>XS0831571434 Corp</stp>
        <stp>YLD_YTM_BID</stp>
        <stp>[upload (2).xlsm]Base all $ 3 Duration!R157C6</stp>
        <tr r="F157" s="66"/>
      </tp>
      <tp>
        <v>7.8122999999999996</v>
        <stp/>
        <stp>##V3_BDPV12</stp>
        <stp>HKD Curncy</stp>
        <stp>PX last</stp>
        <stp>[Copy of upload (2).xlsm]Гарез_GRENF (2)!R1C16</stp>
        <tr r="P1" s="116"/>
      </tp>
      <tp>
        <v>4.875</v>
        <stp/>
        <stp>##V3_BDPV12</stp>
        <stp>XS0918604496 Corp</stp>
        <stp>CPN</stp>
        <stp>[upload (2).xlsm]Base all $ 3 Duration!R103C8</stp>
        <tr r="H103" s="66"/>
      </tp>
      <tp t="s">
        <v>Cellular Telecom</v>
        <stp/>
        <stp>##V3_BDPV12</stp>
        <stp>XS0643183220 Corp</stp>
        <stp>INDUSTRY_SUBGROUP</stp>
        <stp>[upload (2).xlsm]Base all $ 3 Duration!R133C11</stp>
        <tr r="K133" s="66"/>
      </tp>
      <tp>
        <v>3.6179766131664732</v>
        <stp/>
        <stp>##V3_BDPV12</stp>
        <stp>XS0304274599 Corp</stp>
        <stp>YLD_YTM_BID</stp>
        <stp>[upload (2).xlsm]Base all $ 3 Duration!R151C6</stp>
        <tr r="F151" s="66"/>
      </tp>
      <tp t="s">
        <v>Commer Banks Non-US</v>
        <stp/>
        <stp>##V3_BDPV12</stp>
        <stp>XS0743596040 Corp</stp>
        <stp>INDUSTRY_SUBGROUP</stp>
        <stp>[upload (2).xlsm]Base all $ 3 Duration!R155C11</stp>
        <tr r="K155" s="66"/>
      </tp>
      <tp>
        <v>4.8380391999999999</v>
        <stp/>
        <stp>##V3_BDPV12</stp>
        <stp>XS0559915961 Corp</stp>
        <stp>YLD_YTM_BID</stp>
        <stp>[upload (2).xlsm]Base all $ 3 Duration!R135C6</stp>
        <tr r="F135" s="66"/>
      </tp>
      <tp>
        <v>4.2858118000000003</v>
        <stp/>
        <stp>##V3_BDPV12</stp>
        <stp>XS0800817073 Corp</stp>
        <stp>YLD_YTM_BID</stp>
        <stp>[upload (2).xlsm]Base all $ 3 Duration!R142C6</stp>
        <tr r="F142" s="66"/>
      </tp>
      <tp>
        <v>9.5</v>
        <stp/>
        <stp>##V3_BDPV12</stp>
        <stp>XS0810596832 Corp</stp>
        <stp>CPN</stp>
        <stp>[upload (2).xlsm]Base all $ 3 Duration!R121C8</stp>
        <tr r="H121" s="66"/>
      </tp>
      <tp t="s">
        <v>Gold Mining</v>
        <stp/>
        <stp>##V3_BDPV12</stp>
        <stp>XS0922301717 Corp</stp>
        <stp>INDUSTRY_SUBGROUP</stp>
        <stp>[upload (2).xlsm]Base all $ 3 Duration!R108C11</stp>
        <tr r="K108" s="66"/>
      </tp>
      <tp t="s">
        <v>Oil Comp-Integrated</v>
        <stp/>
        <stp>##V3_BDPV12</stp>
        <stp>XS0885736925 Corp</stp>
        <stp>INDUSTRY_SUBGROUP</stp>
        <stp>[upload (2).xlsm]Base all $ 3 Duration!R140C11</stp>
        <tr r="K140" s="66"/>
      </tp>
      <tp>
        <v>3.7732424</v>
        <stp/>
        <stp>##V3_BDPV12</stp>
        <stp>XS0524610812 Corp</stp>
        <stp>YLD_YTM_BID</stp>
        <stp>[upload (2).xlsm]Base all $ 3 Duration!R107C6</stp>
        <tr r="F107" s="66"/>
      </tp>
      <tp>
        <v>8.75</v>
        <stp/>
        <stp>##V3_BDPV12</stp>
        <stp>XS0920335030 Corp</stp>
        <stp>CPN</stp>
        <stp>[upload (2).xlsm]Base all $ 3 Duration!R101C8</stp>
        <tr r="H101" s="66"/>
      </tp>
      <tp>
        <v>51185654017.759995</v>
        <stp/>
        <stp>##V3_BDPV12</stp>
        <stp>TGKA RX EQUITY</stp>
        <stp>CUR_MKT_CAP</stp>
        <stp>[upload (2).xlsm]Model Portfolio!R60C10</stp>
        <tr r="J60" s="98"/>
      </tp>
      <tp>
        <v>415005846192.84998</v>
        <stp/>
        <stp>##V3_BDPV12</stp>
        <stp>URKA RX EQUITY</stp>
        <stp>CUR_MKT_CAP</stp>
        <stp>[upload (2).xlsm]Model Portfolio!R31C10</stp>
        <tr r="J31" s="98"/>
      </tp>
      <tp>
        <v>19.474042718824503</v>
        <stp/>
        <stp>##V3_BDPV12</stp>
        <stp>FEES RX EQUITY</stp>
        <stp>TRAIL_12M_PROF_MARGIN</stp>
        <stp>[upload (2).xlsm]Model Portfolio!R56C25</stp>
        <tr r="Y56" s="98"/>
      </tp>
      <tp>
        <v>101.723</v>
        <stp/>
        <stp>##V3_BDPV12</stp>
        <stp>XS0993162170 Corp</stp>
        <stp>px_ask</stp>
        <stp>[upload (2).xlsm]Base all $ 3 Duration!R48C5</stp>
        <tr r="E48" s="66"/>
      </tp>
      <tp t="s">
        <v>#N/A N/A</v>
        <stp/>
        <stp>##V3_BDPV12</stp>
        <stp>XS0499245180 Corp</stp>
        <stp>px_ask</stp>
        <stp>[upload (2).xlsm]Base all $ 3 Duration!R84C5</stp>
        <tr r="E84" s="66"/>
      </tp>
      <tp t="s">
        <v>#N/A N/A</v>
        <stp/>
        <stp>##V3_BDPV12</stp>
        <stp>XS0861980372 Corp</stp>
        <stp>px_ask</stp>
        <stp>[upload (2).xlsm]Base all $ 3 Duration!R80C5</stp>
        <tr r="E80" s="66"/>
      </tp>
      <tp>
        <v>103.617</v>
        <stp/>
        <stp>##V3_BDPV12</stp>
        <stp>XS0357281558 Corp</stp>
        <stp>px_ask</stp>
        <stp>[upload (2).xlsm]Base all $ 3 Duration!R69C5</stp>
        <tr r="E69" s="66"/>
      </tp>
      <tp t="s">
        <v>#N/A N/A</v>
        <stp/>
        <stp>##V3_BDPV12</stp>
        <stp>XS0648402583 Corp</stp>
        <stp>px_ask</stp>
        <stp>[upload (2).xlsm]Base all $ 3 Duration!R92C5</stp>
        <tr r="E92" s="66"/>
      </tp>
      <tp t="s">
        <v>#N/A N/A</v>
        <stp/>
        <stp>##V3_BDPV12</stp>
        <stp>XS0708813653 Corp</stp>
        <stp>px_ask</stp>
        <stp>[upload (2).xlsm]Base all $ 3 Duration!R93C5</stp>
        <tr r="E93" s="66"/>
      </tp>
      <tp t="s">
        <v>NMOSRM 10 04/26/19</v>
        <stp/>
        <stp>##V3_BDPV12</stp>
        <stp>XS0776121062 Corp</stp>
        <stp>SECURITY_NAME</stp>
        <stp>[Copy of upload (2).xlsm]Гарез_GRENF!R65C4</stp>
        <tr r="D65" s="115"/>
      </tp>
      <tp>
        <v>-20.781527531083483</v>
        <stp/>
        <stp>##V3_BDPV12</stp>
        <stp>FESH RX EQUITY</stp>
        <stp>TRAIL_12M_PROF_MARGIN</stp>
        <stp>[upload (2).xlsm]Model Portfolio!R45C25</stp>
        <tr r="Y45" s="98"/>
      </tp>
      <tp>
        <v>3141697056.75</v>
        <stp/>
        <stp>##V3_BDPV12</stp>
        <stp>LNTA LI EQUITY</stp>
        <stp>CUR_MKT_CAP</stp>
        <stp>[upload (2).xlsm]Model Portfolio!R37C10</stp>
        <tr r="J37" s="98"/>
      </tp>
      <tp>
        <v>-4.6439308144540963</v>
        <stp/>
        <stp>##V3_BDPV12</stp>
        <stp>NLMK RX EQUITY</stp>
        <stp>SALES_GROWTH</stp>
        <stp>[upload (2).xlsm]Model Portfolio!R22C21</stp>
        <tr r="U22" s="98"/>
      </tp>
      <tp>
        <v>8.0253545336589589</v>
        <stp/>
        <stp>##V3_BDPV12</stp>
        <stp>NMTP RX EQUITY</stp>
        <stp>SALES_GROWTH</stp>
        <stp>[upload (2).xlsm]Model Portfolio!R49C21</stp>
        <tr r="U49" s="98"/>
      </tp>
      <tp t="s">
        <v>USD</v>
        <stp/>
        <stp>##V3_BDPV12</stp>
        <stp>XS0088543193 Corp</stp>
        <stp>CRNCY</stp>
        <stp>[Copy of upload (2).xlsm]Гарез_GRENF (2)!R11C11</stp>
        <tr r="K11" s="116"/>
      </tp>
      <tp>
        <v>13.074633145742387</v>
        <stp/>
        <stp>##V3_BDPV12</stp>
        <stp>NVTK RX EQUITY</stp>
        <stp>SALES_GROWTH</stp>
        <stp>[upload (2).xlsm]Model Portfolio!R16C21</stp>
        <tr r="U16" s="98"/>
      </tp>
      <tp>
        <v>110.81081081081084</v>
        <stp/>
        <stp>##V3_BDPV12</stp>
        <stp>486 HK EQUITY</stp>
        <stp>EPS_GROWTH</stp>
        <stp>[upload (2).xlsm]Model Portfolio!R30C22</stp>
        <tr r="V30" s="98"/>
      </tp>
      <tp>
        <v>6.225660486674391</v>
        <stp/>
        <stp>##V3_BDPV12</stp>
        <stp>TRNFP RX EQUITY</stp>
        <stp>BDVD_PROJ_12M_YLD</stp>
        <stp>[upload (2).xlsm]Model Portfolio!R20C27</stp>
        <tr r="AA20" s="98"/>
      </tp>
      <tp t="s">
        <v>USD</v>
        <stp/>
        <stp>##V3_BDPV12</stp>
        <stp>KMG LI Equity</stp>
        <stp>CRNCY</stp>
        <stp>[Copy of upload (2).xlsm]Гарез_GRENF (2)!R5C11</stp>
        <tr r="K5" s="116"/>
      </tp>
      <tp>
        <v>-0.55847940578453337</v>
        <stp/>
        <stp>##V3_BDPV12</stp>
        <stp>XS0238091507 Corp</stp>
        <stp>INTERVAL_PERCENT_CHANGE</stp>
        <stp>[upload (2).xlsm]Base all $ 3 Duration!R5C17</stp>
        <stp>END_DATE_OVERRIDE</stp>
        <stp xml:space="preserve"> </stp>
        <stp>START_DATE_OVERRIDe</stp>
        <stp>20140716</stp>
        <tr r="Q5" s="66"/>
      </tp>
      <tp t="s">
        <v>Oil Comp-Integrated</v>
        <stp/>
        <stp>##V3_BDPV12</stp>
        <stp>XS0304274599 Corp</stp>
        <stp>INDUSTRY_SUBGROUP</stp>
        <stp>[upload (2).xlsm]Base all $ 3 Duration!R151C11</stp>
        <tr r="K151" s="66"/>
      </tp>
      <tp>
        <v>6.9020000000000001</v>
        <stp/>
        <stp>##V3_BDPV12</stp>
        <stp>XS0524610812 Corp</stp>
        <stp>CPN</stp>
        <stp>[upload (2).xlsm]Base all $ 3 Duration!R107C8</stp>
        <tr r="H107" s="66"/>
      </tp>
      <tp t="s">
        <v>Oil Comp-Integrated</v>
        <stp/>
        <stp>##V3_BDPV12</stp>
        <stp>XS0484209159 Corp</stp>
        <stp>INDUSTRY_SUBGROUP</stp>
        <stp>[upload (2).xlsm]Base all $ 3 Duration!R112C11</stp>
        <tr r="K112" s="66"/>
      </tp>
      <tp t="s">
        <v>Oil Comp-Integrated</v>
        <stp/>
        <stp>##V3_BDPV12</stp>
        <stp>XS0925043100 Corp</stp>
        <stp>INDUSTRY_SUBGROUP</stp>
        <stp>[upload (2).xlsm]Base all $ 3 Duration!R100C11</stp>
        <tr r="K100" s="66"/>
      </tp>
      <tp>
        <v>18.656082362250423</v>
        <stp/>
        <stp>##V3_BDPV12</stp>
        <stp>XS0920335030 Corp</stp>
        <stp>YLD_YTM_BID</stp>
        <stp>[upload (2).xlsm]Base all $ 3 Duration!R101C6</stp>
        <tr r="F101" s="66"/>
      </tp>
      <tp>
        <v>3.2807759999999999</v>
        <stp/>
        <stp>##V3_BDPV12</stp>
        <stp>XS0548633659 Corp</stp>
        <stp>YLD_YTM_BID</stp>
        <stp>[upload (2).xlsm]Base all $ 3 Duration!R111C6</stp>
        <tr r="F111" s="66"/>
      </tp>
      <tp>
        <v>8.625</v>
        <stp/>
        <stp>##V3_BDPV12</stp>
        <stp>XS0191754729 Corp</stp>
        <stp>CPN</stp>
        <stp>[upload (2).xlsm]Base all $ 3 Duration!R128C8</stp>
        <tr r="H128" s="66"/>
      </tp>
      <tp t="s">
        <v>Oil Comp-Integrated</v>
        <stp/>
        <stp>##V3_BDPV12</stp>
        <stp>XS0191754729 Corp</stp>
        <stp>INDUSTRY_SUBGROUP</stp>
        <stp>[upload (2).xlsm]Base all $ 3 Duration!R128C11</stp>
        <tr r="K128" s="66"/>
      </tp>
      <tp t="s">
        <v>Oil Comp-Explor&amp;Prodtn</v>
        <stp/>
        <stp>##V3_BDPV12</stp>
        <stp>XS0997544860 Corp</stp>
        <stp>INDUSTRY_SUBGROUP</stp>
        <stp>[upload (2).xlsm]Base all $ 3 Duration!R136C11</stp>
        <tr r="K136" s="66"/>
      </tp>
      <tp>
        <v>4.7670000000000003</v>
        <stp/>
        <stp>##V3_BDPV12</stp>
        <stp>XS0831571434 Corp</stp>
        <stp>CPN</stp>
        <stp>[upload (2).xlsm]Base all $ 3 Duration!R157C8</stp>
        <tr r="H157" s="66"/>
      </tp>
      <tp>
        <v>3.8061102999999998</v>
        <stp/>
        <stp>##V3_BDPV12</stp>
        <stp>XS0918604496 Corp</stp>
        <stp>YLD_YTM_BID</stp>
        <stp>[upload (2).xlsm]Base all $ 3 Duration!R103C6</stp>
        <tr r="F103" s="66"/>
      </tp>
      <tp>
        <v>3.625</v>
        <stp/>
        <stp>##V3_BDPV12</stp>
        <stp>SNGSP RX EQUITY</stp>
        <stp>EQY_REC_CONS</stp>
        <stp>[upload (2).xlsm]Model Portfolio!R11C29</stp>
        <tr r="AC11" s="98"/>
      </tp>
      <tp>
        <v>6.6559999999999997</v>
        <stp/>
        <stp>##V3_BDPV12</stp>
        <stp>XS0304274599 Corp</stp>
        <stp>CPN</stp>
        <stp>[upload (2).xlsm]Base all $ 3 Duration!R151C8</stp>
        <tr r="H151" s="66"/>
      </tp>
      <tp>
        <v>8.8876211647071326</v>
        <stp/>
        <stp>##V3_BDPV12</stp>
        <stp>XS0810596832 Corp</stp>
        <stp>YLD_YTM_BID</stp>
        <stp>[upload (2).xlsm]Base all $ 3 Duration!R121C6</stp>
        <tr r="F121" s="66"/>
      </tp>
      <tp>
        <v>6.8</v>
        <stp/>
        <stp>##V3_BDPV12</stp>
        <stp>XS0559915961 Corp</stp>
        <stp>CPN</stp>
        <stp>[upload (2).xlsm]Base all $ 3 Duration!R135C8</stp>
        <tr r="H135" s="66"/>
      </tp>
      <tp>
        <v>6.0250000000000004</v>
        <stp/>
        <stp>##V3_BDPV12</stp>
        <stp>XS0800817073 Corp</stp>
        <stp>CPN</stp>
        <stp>[upload (2).xlsm]Base all $ 3 Duration!R142C8</stp>
        <tr r="H142" s="66"/>
      </tp>
      <tp>
        <v>19.027019336305369</v>
        <stp/>
        <stp>##V3_BDPV12</stp>
        <stp>MTLR RX EQUITY</stp>
        <stp>EBIT_MARGIN</stp>
        <stp>[upload (2).xlsm]Model Portfolio!R24C24</stp>
        <tr r="X24" s="98"/>
      </tp>
      <tp>
        <v>13.903894823156996</v>
        <stp/>
        <stp>##V3_BDPV12</stp>
        <stp>HYDR RX EQUITY</stp>
        <stp>EBIT_MARGIN</stp>
        <stp>[upload (2).xlsm]Model Portfolio!R58C24</stp>
        <tr r="X58" s="98"/>
      </tp>
      <tp>
        <v>29.057673703138949</v>
        <stp/>
        <stp>##V3_BDPV12</stp>
        <stp>FXPO LN EQUITY</stp>
        <stp>TRAIL_12M_PROF_MARGIN</stp>
        <stp>[upload (2).xlsm]Model Portfolio!R27C25</stp>
        <tr r="Y27" s="98"/>
      </tp>
      <tp>
        <v>14.210314936912214</v>
        <stp/>
        <stp>##V3_BDPV12</stp>
        <stp>RTKMP RX EQUITY</stp>
        <stp>EBIT_MARGIN</stp>
        <stp>[upload (2).xlsm]Model Portfolio!R63C24</stp>
        <tr r="X63" s="98"/>
      </tp>
      <tp t="s">
        <v>#N/A N/A</v>
        <stp/>
        <stp>##V3_BDPV12</stp>
        <stp>XS0562354182 Corp</stp>
        <stp>px_ask</stp>
        <stp>[upload (2).xlsm]Base all $ 3 Duration!R96C5</stp>
        <tr r="E96" s="66"/>
      </tp>
      <tp>
        <v>12.769256760833628</v>
        <stp/>
        <stp>##V3_BDPV12</stp>
        <stp>GLPR LI EQUITY</stp>
        <stp>EBIT_MARGIN</stp>
        <stp>[upload (2).xlsm]Model Portfolio!R46C24</stp>
        <tr r="X46" s="98"/>
      </tp>
      <tp>
        <v>21.092915602458188</v>
        <stp/>
        <stp>##V3_BDPV12</stp>
        <stp>GLTR LI EQUITY</stp>
        <stp>EBIT_MARGIN</stp>
        <stp>[upload (2).xlsm]Model Portfolio!R48C24</stp>
        <tr r="X48" s="98"/>
      </tp>
      <tp>
        <v>-2.0371917351067266</v>
        <stp/>
        <stp>##V3_BDPV12</stp>
        <stp>AFKS RX EQUITY</stp>
        <stp>TRAIL_12M_PROF_MARGIN</stp>
        <stp>[upload (2).xlsm]Model Portfolio!R64C25</stp>
        <tr r="Y64" s="98"/>
      </tp>
      <tp>
        <v>7.5508187464709202</v>
        <stp/>
        <stp>##V3_BDPV12</stp>
        <stp>AFLT RX EQUITY</stp>
        <stp>TRAIL_12M_PROF_MARGIN</stp>
        <stp>[upload (2).xlsm]Model Portfolio!R47C25</stp>
        <tr r="Y47" s="98"/>
      </tp>
      <tp t="s">
        <v>#N/A N/A</v>
        <stp/>
        <stp>##V3_BDPV12</stp>
        <stp>XS0426517701 Corp</stp>
        <stp>px_ask</stp>
        <stp>[upload (2).xlsm]Base all $ 3 Duration!R88C5</stp>
        <tr r="E88" s="66"/>
      </tp>
      <tp>
        <v>0.89287561512657199</v>
        <stp/>
        <stp>##V3_BDPV12</stp>
        <stp>MFON RX EQUITY</stp>
        <stp>TRAIL_12M_PROF_MARGIN</stp>
        <stp>[upload (2).xlsm]Model Portfolio!R62C25</stp>
        <tr r="Y62" s="98"/>
      </tp>
      <tp t="s">
        <v>#N/A N/A</v>
        <stp/>
        <stp>##V3_BDPV12</stp>
        <stp>XS0543956717 Corp</stp>
        <stp>px_ask</stp>
        <stp>[upload (2).xlsm]Base all $ 3 Duration!R85C5</stp>
        <tr r="E85" s="66"/>
      </tp>
      <tp>
        <v>27725247000</v>
        <stp/>
        <stp>##V3_BDPV12</stp>
        <stp>BSPB RX EQUITY</stp>
        <stp>CUR_MKT_CAP</stp>
        <stp>[upload (2).xlsm]Model Portfolio!R77C10</stp>
        <tr r="J77" s="98"/>
      </tp>
      <tp>
        <v>59947462120.236</v>
        <stp/>
        <stp>##V3_BDPV12</stp>
        <stp>OGKB RX EQUITY</stp>
        <stp>CUR_MKT_CAP</stp>
        <stp>[upload (2).xlsm]Model Portfolio!R57C10</stp>
        <tr r="J57" s="98"/>
      </tp>
      <tp>
        <v>24.82981912203828</v>
        <stp/>
        <stp>##V3_BDPV12</stp>
        <stp>PHOR RX EQUITY</stp>
        <stp>EBIT_MARGIN</stp>
        <stp>[upload (2).xlsm]Model Portfolio!R32C24</stp>
        <tr r="X32" s="98"/>
      </tp>
      <tp t="s">
        <v>#N/A N/A</v>
        <stp/>
        <stp>##V3_BDPV12</stp>
        <stp>SBER RX EQUITY</stp>
        <stp>EBIT_MARGIN</stp>
        <stp>[upload (2).xlsm]Model Portfolio!R75C24</stp>
        <tr r="X75" s="98"/>
      </tp>
      <tp>
        <v>19.74858191692088</v>
        <stp/>
        <stp>##V3_BDPV12</stp>
        <stp>OGKB RX EQUITY</stp>
        <stp>SALES_GROWTH</stp>
        <stp>[upload (2).xlsm]Model Portfolio!R57C21</stp>
        <tr r="U57" s="98"/>
      </tp>
      <tp>
        <v>10.06977</v>
        <stp/>
        <stp>##V3_BDPV12</stp>
        <stp>PLZL RX EQUITY</stp>
        <stp>CHG_PCT_1M</stp>
        <stp>[upload (2).xlsm]Model Portfolio!R2C5</stp>
        <tr r="E2" s="98"/>
      </tp>
      <tp t="s">
        <v>RU000A0JPFP0</v>
        <stp/>
        <stp>##V3_BDPV12</stp>
        <stp>LSRG RX Equity</stp>
        <stp>ID_ISIN</stp>
        <stp>[upload (2).xlsm]Sheet3!R4C3</stp>
        <tr r="C4" s="77"/>
      </tp>
      <tp>
        <v>0.50470510000000002</v>
        <stp/>
        <stp>##V3_BDPV12</stp>
        <stp>SVAV RX EQUITY</stp>
        <stp>EQY_BETA_6M</stp>
        <stp>[upload (2).xlsm]Model Portfolio!R72C14</stp>
        <tr r="N72" s="98"/>
      </tp>
      <tp>
        <v>7.9750462973469469</v>
        <stp/>
        <stp>##V3_BDPV12</stp>
        <stp>OKEY LI EQUITY</stp>
        <stp>SALES_GROWTH</stp>
        <stp>[upload (2).xlsm]Model Portfolio!R39C21</stp>
        <tr r="U39" s="98"/>
      </tp>
      <tp t="s">
        <v>Commer Banks Non-US</v>
        <stp/>
        <stp>##V3_BDPV12</stp>
        <stp>XS0848530977 Corp</stp>
        <stp>INDUSTRY_SUBGROUP</stp>
        <stp>[upload (2).xlsm]Base all $ 3 Duration!R150C11</stp>
        <tr r="K150" s="66"/>
      </tp>
      <tp>
        <v>7.4960000000000004</v>
        <stp/>
        <stp>##V3_BDPV12</stp>
        <stp>XS0975320879 Corp</stp>
        <stp>CPN</stp>
        <stp>[upload (2).xlsm]Base all $ 3 Duration!R123C8</stp>
        <tr r="H123" s="66"/>
      </tp>
      <tp t="s">
        <v>Commer Banks Non-US</v>
        <stp/>
        <stp>##V3_BDPV12</stp>
        <stp>XS0953323317 Corp</stp>
        <stp>INDUSTRY_SUBGROUP</stp>
        <stp>[upload (2).xlsm]Base all $ 3 Duration!R118C11</stp>
        <tr r="K118" s="66"/>
      </tp>
      <tp>
        <v>4.2183156999999998</v>
        <stp/>
        <stp>##V3_BDPV12</stp>
        <stp>XS0921331509 Corp</stp>
        <stp>YLD_YTM_BID</stp>
        <stp>[upload (2).xlsm]Base all $ 3 Duration!R144C6</stp>
        <tr r="F144" s="66"/>
      </tp>
      <tp>
        <v>3.7577762999999997</v>
        <stp/>
        <stp>##V3_BDPV12</stp>
        <stp>XS0743596040 Corp</stp>
        <stp>YLD_YTM_BID</stp>
        <stp>[upload (2).xlsm]Base all $ 3 Duration!R155C6</stp>
        <tr r="F155" s="66"/>
      </tp>
      <tp t="s">
        <v>Commer Banks Non-US</v>
        <stp/>
        <stp>##V3_BDPV12</stp>
        <stp>XS0981028177 Corp</stp>
        <stp>INDUSTRY_SUBGROUP</stp>
        <stp>[upload (2).xlsm]Base all $ 3 Duration!R119C11</stp>
        <tr r="K119" s="66"/>
      </tp>
      <tp>
        <v>3.2625291999999999</v>
        <stp/>
        <stp>##V3_BDPV12</stp>
        <stp>XS0638572973 Corp</stp>
        <stp>YLD_YTM_BID</stp>
        <stp>[upload (2).xlsm]Base all $ 3 Duration!R156C6</stp>
        <tr r="F156" s="66"/>
      </tp>
      <tp>
        <v>7.9953799999999999</v>
        <stp/>
        <stp>##V3_BDPV12</stp>
        <stp>XS0805131439 Corp</stp>
        <stp>YLD_YTM_BID</stp>
        <stp>[upload (2).xlsm]Base all $ 3 Duration!R126C6</stp>
        <tr r="F126" s="66"/>
      </tp>
      <tp>
        <v>4.95</v>
        <stp/>
        <stp>##V3_BDPV12</stp>
        <stp>XS0805570354 Corp</stp>
        <stp>CPN</stp>
        <stp>[upload (2).xlsm]Base all $ 3 Duration!R154C8</stp>
        <tr r="H154" s="66"/>
      </tp>
      <tp>
        <v>5</v>
        <stp/>
        <stp>##V3_BDPV12</stp>
        <stp>XS0972645112 Corp</stp>
        <stp>CPN</stp>
        <stp>[upload (2).xlsm]Base all $ 3 Duration!R116C8</stp>
        <tr r="H116" s="66"/>
      </tp>
      <tp t="s">
        <v>Cellular Telecom</v>
        <stp/>
        <stp>##V3_BDPV12</stp>
        <stp>XS0889401724 Corp</stp>
        <stp>INDUSTRY_SUBGROUP</stp>
        <stp>[upload (2).xlsm]Base all $ 3 Duration!R130C11</stp>
        <tr r="K130" s="66"/>
      </tp>
      <tp>
        <v>7.5042999999999997</v>
        <stp/>
        <stp>##V3_BDPV12</stp>
        <stp>XS0643183220 Corp</stp>
        <stp>CPN</stp>
        <stp>[upload (2).xlsm]Base all $ 3 Duration!R133C8</stp>
        <tr r="H133" s="66"/>
      </tp>
      <tp>
        <v>5.125</v>
        <stp/>
        <stp>##V3_BDPV12</stp>
        <stp>XS0848530977 Corp</stp>
        <stp>CPN</stp>
        <stp>[upload (2).xlsm]Base all $ 3 Duration!R150C8</stp>
        <tr r="H150" s="66"/>
      </tp>
      <tp>
        <v>5.9</v>
        <stp/>
        <stp>##V3_BDPV12</stp>
        <stp>XS0841671000 Corp</stp>
        <stp>CPN</stp>
        <stp>[upload (2).xlsm]Base all $ 3 Duration!R141C8</stp>
        <tr r="H141" s="66"/>
      </tp>
      <tp>
        <v>9.375</v>
        <stp/>
        <stp>##V3_BDPV12</stp>
        <stp>XS0846652666 Corp</stp>
        <stp>CPN</stp>
        <stp>[upload (2).xlsm]Base all $ 3 Duration!R102C8</stp>
        <tr r="H102" s="66"/>
      </tp>
      <tp t="s">
        <v>Special Purpose Banks</v>
        <stp/>
        <stp>##V3_BDPV12</stp>
        <stp>XS0993162683 Corp</stp>
        <stp>INDUSTRY_SUBGROUP</stp>
        <stp>[upload (2).xlsm]Base all $ 3 Duration!R139C11</stp>
        <tr r="K139" s="66"/>
      </tp>
      <tp>
        <v>108.733</v>
        <stp/>
        <stp>##V3_BDPV12</stp>
        <stp>XS0848163456 Corp</stp>
        <stp>px_ask</stp>
        <stp>[upload (2).xlsm]Base all $ 3 Duration!R18C5</stp>
        <tr r="E18" s="66"/>
      </tp>
      <tp>
        <v>20.21103075636584</v>
        <stp/>
        <stp>##V3_BDPV12</stp>
        <stp>MTSS RX EQUITY</stp>
        <stp>EBIT_MARGIN</stp>
        <stp>[upload (2).xlsm]Model Portfolio!R67C24</stp>
        <tr r="X67" s="98"/>
      </tp>
      <tp>
        <v>12.11966795603184</v>
        <stp/>
        <stp>##V3_BDPV12</stp>
        <stp>MSRS RX EQUITY</stp>
        <stp>EBIT_MARGIN</stp>
        <stp>[upload (2).xlsm]Model Portfolio!R59C24</stp>
        <tr r="X59" s="98"/>
      </tp>
      <tp t="s">
        <v>#N/A N/A</v>
        <stp/>
        <stp>##V3_BDPV12</stp>
        <stp>XS0643176448 Corp</stp>
        <stp>px_ask</stp>
        <stp>[upload (2).xlsm]Base all $ 3 Duration!R79C5</stp>
        <tr r="E79" s="66"/>
      </tp>
      <tp>
        <v>103.11799999999999</v>
        <stp/>
        <stp>##V3_BDPV12</stp>
        <stp>XS0924078453 Corp</stp>
        <stp>px_ask</stp>
        <stp>[upload (2).xlsm]Base all $ 3 Duration!R19C5</stp>
        <tr r="E19" s="66"/>
      </tp>
      <tp t="s">
        <v>#N/A N/A</v>
        <stp/>
        <stp>##V3_BDPV12</stp>
        <stp>XS0652913558 Corp</stp>
        <stp>px_ask</stp>
        <stp>[upload (2).xlsm]Base all $ 3 Duration!R60C5</stp>
        <tr r="E60" s="66"/>
      </tp>
      <tp>
        <v>110.164</v>
        <stp/>
        <stp>##V3_BDPV12</stp>
        <stp>XS0461926569 Corp</stp>
        <stp>px_ask</stp>
        <stp>[upload (2).xlsm]Base all $ 3 Duration!R53C5</stp>
        <tr r="E53" s="66"/>
      </tp>
      <tp>
        <v>101.277</v>
        <stp/>
        <stp>##V3_BDPV12</stp>
        <stp>XS0879105558 Corp</stp>
        <stp>px_ask</stp>
        <stp>[upload (2).xlsm]Base all $ 3 Duration!R38C5</stp>
        <tr r="E38" s="66"/>
      </tp>
      <tp>
        <v>105.60299999999999</v>
        <stp/>
        <stp>##V3_BDPV12</stp>
        <stp>XS0783934325 Corp</stp>
        <stp>px_ask</stp>
        <stp>[upload (2).xlsm]Base all $ 3 Duration!R47C5</stp>
        <tr r="E47" s="66"/>
      </tp>
      <tp>
        <v>22.753774793622991</v>
        <stp/>
        <stp>##V3_BDPV12</stp>
        <stp>FEES RX EQUITY</stp>
        <stp>EBIT_MARGIN</stp>
        <stp>[upload (2).xlsm]Model Portfolio!R56C24</stp>
        <tr r="X56" s="98"/>
      </tp>
      <tp>
        <v>6.2944186668851305</v>
        <stp/>
        <stp>##V3_BDPV12</stp>
        <stp>TGKA RX EQUITY</stp>
        <stp>TRAIL_12M_PROF_MARGIN</stp>
        <stp>[upload (2).xlsm]Model Portfolio!R60C25</stp>
        <tr r="Y60" s="98"/>
      </tp>
      <tp>
        <v>5.1531221284250872</v>
        <stp/>
        <stp>##V3_BDPV12</stp>
        <stp>OGKB RX EQUITY</stp>
        <stp>TRAIL_12M_PROF_MARGIN</stp>
        <stp>[upload (2).xlsm]Model Portfolio!R57C25</stp>
        <tr r="Y57" s="98"/>
      </tp>
      <tp>
        <v>11.470036986806283</v>
        <stp/>
        <stp>##V3_BDPV12</stp>
        <stp>AFKS RX EQUITY</stp>
        <stp>EBIT_MARGIN</stp>
        <stp>[upload (2).xlsm]Model Portfolio!R64C24</stp>
        <tr r="X64" s="98"/>
      </tp>
      <tp t="s">
        <v>#N/A N/A</v>
        <stp/>
        <stp>##V3_BDPV12</stp>
        <stp>MGNT RX EQUITY</stp>
        <stp>TRAIL_12M_PROF_MARGIN</stp>
        <stp>[upload (2).xlsm]Model Portfolio!R35C25</stp>
        <tr r="Y35" s="98"/>
      </tp>
      <tp>
        <v>23.32221546087003</v>
        <stp/>
        <stp>##V3_BDPV12</stp>
        <stp>SNGSP RX EQUITY</stp>
        <stp>EBIT_MARGIN</stp>
        <stp>[upload (2).xlsm]Model Portfolio!R11C24</stp>
        <tr r="X11" s="98"/>
      </tp>
      <tp t="s">
        <v>#N/A N/A</v>
        <stp/>
        <stp>##V3_BDPV12</stp>
        <stp>SBERP RX EQUITY</stp>
        <stp>EBIT_MARGIN</stp>
        <stp>[upload (2).xlsm]Model Portfolio!R76C24</stp>
        <tr r="X76" s="98"/>
      </tp>
      <tp>
        <v>23.32221546087003</v>
        <stp/>
        <stp>##V3_BDPV12</stp>
        <stp>SNGS RX EQUITY</stp>
        <stp>EBIT_MARGIN</stp>
        <stp>[upload (2).xlsm]Model Portfolio!R10C24</stp>
        <tr r="X10" s="98"/>
      </tp>
      <tp>
        <v>13.116380846432651</v>
        <stp/>
        <stp>##V3_BDPV12</stp>
        <stp>TRCN RX EQUITY</stp>
        <stp>PX_TO_FREE_CASH_FLOW</stp>
        <stp>[upload (2).xlsm]Model Portfolio!R50C19</stp>
        <tr r="S50" s="98"/>
      </tp>
      <tp t="s">
        <v>#N/A N/A</v>
        <stp/>
        <stp>##V3_BDPV12</stp>
        <stp>TRMK RX EQUITY</stp>
        <stp>PX_TO_FREE_CASH_FLOW</stp>
        <stp>[upload (2).xlsm]Model Portfolio!R21C19</stp>
        <tr r="S21" s="98"/>
      </tp>
      <tp>
        <v>0.35663600000000001</v>
        <stp/>
        <stp>##V3_BDPV12</stp>
        <stp>OKEY LI EQUITY</stp>
        <stp>EQY_BETA_6M</stp>
        <stp>[upload (2).xlsm]Model Portfolio!R39C14</stp>
        <tr r="N39" s="98"/>
      </tp>
      <tp>
        <v>3</v>
        <stp/>
        <stp>##V3_BDPV12</stp>
        <stp>RASP RX EQUITY</stp>
        <stp>EQY_REC_CONS</stp>
        <stp>[upload (2).xlsm]Model Portfolio!R28C29</stp>
        <tr r="AC28" s="98"/>
      </tp>
      <tp>
        <v>2.3849239999999998</v>
        <stp/>
        <stp>##V3_BDPV12</stp>
        <stp>KMG LI Equity</stp>
        <stp>EQY_DVD_YLD_EST</stp>
        <stp>[Copy of upload (2).xlsm]Гарез_GRENF!R5C20</stp>
        <tr r="T5" s="115"/>
      </tp>
      <tp>
        <v>4.3333329999999997</v>
        <stp/>
        <stp>##V3_BDPV12</stp>
        <stp>ROSN RX EQUITY</stp>
        <stp>EQY_REC_CONS</stp>
        <stp>[upload (2).xlsm]Model Portfolio!R17C29</stp>
        <tr r="AC17" s="98"/>
      </tp>
      <tp>
        <v>0.58714469999999996</v>
        <stp/>
        <stp>##V3_BDPV12</stp>
        <stp>DIXY RX EQUITY</stp>
        <stp>EQY_BETA_6M</stp>
        <stp>[upload (2).xlsm]Model Portfolio!R34C14</stp>
        <tr r="N34" s="98"/>
      </tp>
      <tp>
        <v>13.835248159043227</v>
        <stp/>
        <stp>##V3_BDPV12</stp>
        <stp>TATN RX EQUITY</stp>
        <stp>PX_TO_FREE_CASH_FLOW</stp>
        <stp>[upload (2).xlsm]Model Portfolio!R14C19</stp>
        <tr r="S14" s="98"/>
      </tp>
      <tp>
        <v>2.1764709999999998</v>
        <stp/>
        <stp>##V3_BDPV12</stp>
        <stp>RTKM RX EQUITY</stp>
        <stp>EQY_REC_CONS</stp>
        <stp>[upload (2).xlsm]Model Portfolio!R66C29</stp>
        <tr r="AC66" s="98"/>
      </tp>
      <tp>
        <v>3.4</v>
        <stp/>
        <stp>##V3_BDPV12</stp>
        <stp>RSTI RX EQUITY</stp>
        <stp>EQY_REC_CONS</stp>
        <stp>[upload (2).xlsm]Model Portfolio!R54C29</stp>
        <tr r="AC54" s="98"/>
      </tp>
      <tp t="s">
        <v>#N/A N/A</v>
        <stp/>
        <stp>##V3_BDPV12</stp>
        <stp>TGKA RX EQUITY</stp>
        <stp>PX_TO_FREE_CASH_FLOW</stp>
        <stp>[upload (2).xlsm]Model Portfolio!R60C19</stp>
        <tr r="S60" s="98"/>
      </tp>
      <tp>
        <v>6</v>
        <stp/>
        <stp>##V3_BDPV12</stp>
        <stp>XS0997544860 Corp</stp>
        <stp>CPN</stp>
        <stp>[upload (2).xlsm]Base all $ 3 Duration!R136C8</stp>
        <tr r="H136" s="66"/>
      </tp>
      <tp t="s">
        <v>Oil Comp-Explor&amp;Prodtn</v>
        <stp/>
        <stp>##V3_BDPV12</stp>
        <stp>XS0864383723 Corp</stp>
        <stp>INDUSTRY_SUBGROUP</stp>
        <stp>[upload (2).xlsm]Base all $ 3 Duration!R147C11</stp>
        <tr r="K147" s="66"/>
      </tp>
      <tp t="s">
        <v>Commer Banks Non-US</v>
        <stp/>
        <stp>##V3_BDPV12</stp>
        <stp>XS0223715920 Corp</stp>
        <stp>INDUSTRY_SUBGROUP</stp>
        <stp>[upload (2).xlsm]Base all $ 3 Duration!R137C11</stp>
        <tr r="K137" s="66"/>
      </tp>
      <tp t="s">
        <v>Commer Banks Non-US</v>
        <stp/>
        <stp>##V3_BDPV12</stp>
        <stp>XS0810596832 Corp</stp>
        <stp>INDUSTRY_SUBGROUP</stp>
        <stp>[upload (2).xlsm]Base all $ 3 Duration!R121C11</stp>
        <tr r="K121" s="66"/>
      </tp>
      <tp>
        <v>3.0438029000000002</v>
        <stp/>
        <stp>##V3_BDPV12</stp>
        <stp>XS0554659671 Corp</stp>
        <stp>YLD_YTM_BID</stp>
        <stp>[upload (2).xlsm]Base all $ 3 Duration!R114C6</stp>
        <tr r="F114" s="66"/>
      </tp>
      <tp t="s">
        <v>Cellular Telecom</v>
        <stp/>
        <stp>##V3_BDPV12</stp>
        <stp>XS0921331509 Corp</stp>
        <stp>INDUSTRY_SUBGROUP</stp>
        <stp>[upload (2).xlsm]Base all $ 3 Duration!R144C11</stp>
        <tr r="K144" s="66"/>
      </tp>
      <tp t="s">
        <v>Commer Banks Non-US</v>
        <stp/>
        <stp>##V3_BDPV12</stp>
        <stp>XS0848137708 Corp</stp>
        <stp>INDUSTRY_SUBGROUP</stp>
        <stp>[upload (2).xlsm]Base all $ 3 Duration!R122C11</stp>
        <tr r="K122" s="66"/>
      </tp>
      <tp>
        <v>6.95</v>
        <stp/>
        <stp>##V3_BDPV12</stp>
        <stp>XS0842078536 Corp</stp>
        <stp>CPN</stp>
        <stp>[upload (2).xlsm]Base all $ 3 Duration!R127C8</stp>
        <tr r="H127" s="66"/>
      </tp>
      <tp>
        <v>6.51</v>
        <stp/>
        <stp>##V3_BDPV12</stp>
        <stp>XS0290580595 Corp</stp>
        <stp>CPN</stp>
        <stp>[upload (2).xlsm]Base all $ 3 Duration!R152C8</stp>
        <tr r="H152" s="66"/>
      </tp>
      <tp>
        <v>5.625</v>
        <stp/>
        <stp>##V3_BDPV12</stp>
        <stp>XS0922301717 Corp</stp>
        <stp>CPN</stp>
        <stp>[upload (2).xlsm]Base all $ 3 Duration!R108C8</stp>
        <tr r="H108" s="66"/>
      </tp>
      <tp>
        <v>3.9823356039095104</v>
        <stp/>
        <stp>##V3_BDPV12</stp>
        <stp>TRNFP RX EQUITY</stp>
        <stp>SALES_GROWTH</stp>
        <stp>[upload (2).xlsm]Model Portfolio!R20C21</stp>
        <tr r="U20" s="98"/>
      </tp>
      <tp>
        <v>110.125</v>
        <stp/>
        <stp>##V3_BDPV12</stp>
        <stp>XS0954673934 Corp</stp>
        <stp>px_ask</stp>
        <stp>[upload (2).xlsm]Base all $ 3 Duration!R16C5</stp>
        <tr r="E16" s="66"/>
      </tp>
      <tp t="s">
        <v>#N/A N/A</v>
        <stp/>
        <stp>##V3_BDPV12</stp>
        <stp>XS0261906738 Corp</stp>
        <stp>px_ask</stp>
        <stp>[upload (2).xlsm]Base all $ 3 Duration!R89C5</stp>
        <tr r="E89" s="66"/>
      </tp>
      <tp>
        <v>4403564029.7250004</v>
        <stp/>
        <stp>##V3_BDPV12</stp>
        <stp>EVR LN EQUITY</stp>
        <stp>CUR_MKT_CAP</stp>
        <stp>[upload (2).xlsm]Model Portfolio!R26C10</stp>
        <tr r="J26" s="98"/>
      </tp>
      <tp>
        <v>101.087</v>
        <stp/>
        <stp>##V3_BDPV12</stp>
        <stp>XS0888245122 Corp</stp>
        <stp>px_ask</stp>
        <stp>[upload (2).xlsm]Base all $ 3 Duration!R73C5</stp>
        <tr r="E73" s="66"/>
      </tp>
      <tp>
        <v>17.846331267118352</v>
        <stp/>
        <stp>##V3_BDPV12</stp>
        <stp>CHMF RX EQUITY</stp>
        <stp>TRAIL_12M_PROF_MARGIN</stp>
        <stp>[upload (2).xlsm]Model Portfolio!R25C25</stp>
        <tr r="Y25" s="98"/>
      </tp>
      <tp>
        <v>104.65600000000001</v>
        <stp/>
        <stp>##V3_BDPV12</stp>
        <stp>XS0799357354 Corp</stp>
        <stp>px_ask</stp>
        <stp>[upload (2).xlsm]Base all $ 3 Duration!R55C5</stp>
        <tr r="E55" s="66"/>
      </tp>
      <tp>
        <v>21.456519500726486</v>
        <stp/>
        <stp>##V3_BDPV12</stp>
        <stp>PHOR RX EQUITY</stp>
        <stp>TRAIL_12M_PROF_MARGIN</stp>
        <stp>[upload (2).xlsm]Model Portfolio!R32C25</stp>
        <tr r="Y32" s="98"/>
      </tp>
      <tp t="s">
        <v>#N/A N/A</v>
        <stp/>
        <stp>##V3_BDPV12</stp>
        <stp>XS0616784509 Corp</stp>
        <stp>px_ask</stp>
        <stp>[upload (2).xlsm]Base all $ 3 Duration!R24C5</stp>
        <tr r="E24" s="66"/>
      </tp>
      <tp>
        <v>103.08</v>
        <stp/>
        <stp>##V3_BDPV12</stp>
        <stp>XS0324963932 Corp</stp>
        <stp>px_ask</stp>
        <stp>[upload (2).xlsm]Base all $ 3 Duration!R59C5</stp>
        <tr r="E59" s="66"/>
      </tp>
      <tp>
        <v>6877568187.500001</v>
        <stp/>
        <stp>##V3_BDPV12</stp>
        <stp>MAIL LI EQUITY</stp>
        <stp>CUR_MKT_CAP</stp>
        <stp>[upload (2).xlsm]Model Portfolio!R44C10</stp>
        <tr r="J44" s="98"/>
      </tp>
      <tp>
        <v>969999999.99999988</v>
        <stp/>
        <stp>##V3_BDPV12</stp>
        <stp>KCEL LI EQUITY</stp>
        <stp>CUR_MKT_CAP</stp>
        <stp>[upload (2).xlsm]Model Portfolio!R65C10</stp>
        <tr r="J65" s="98"/>
      </tp>
      <tp>
        <v>5.0876675361191248</v>
        <stp/>
        <stp>##V3_BDPV12</stp>
        <stp>UPRO RX EQUITY</stp>
        <stp>PX_TO_FREE_CASH_FLOW</stp>
        <stp>[upload (2).xlsm]Model Portfolio!R52C19</stp>
        <tr r="S52" s="98"/>
      </tp>
      <tp>
        <v>4.9452517193063388</v>
        <stp/>
        <stp>##V3_BDPV12</stp>
        <stp>URKA RX EQUITY</stp>
        <stp>PX_TO_FREE_CASH_FLOW</stp>
        <stp>[upload (2).xlsm]Model Portfolio!R31C19</stp>
        <tr r="S31" s="98"/>
      </tp>
      <tp>
        <v>5</v>
        <stp/>
        <stp>##V3_BDPV12</stp>
        <stp>VIP US EQUITY</stp>
        <stp>EQY_REC_CONS</stp>
        <stp>[upload (2).xlsm]Model Portfolio!R61C29</stp>
        <tr r="AC61" s="98"/>
      </tp>
      <tp>
        <v>4.8823530000000002</v>
        <stp/>
        <stp>##V3_BDPV12</stp>
        <stp>SBER RX EQUITY</stp>
        <stp>EQY_REC_CONS</stp>
        <stp>[upload (2).xlsm]Model Portfolio!R75C29</stp>
        <tr r="AC75" s="98"/>
      </tp>
      <tp>
        <v>0.93305249999999995</v>
        <stp/>
        <stp>##V3_BDPV12</stp>
        <stp>MOEX RX EQUITY</stp>
        <stp>EQY_BETA_6M</stp>
        <stp>[upload (2).xlsm]Model Portfolio!R74C14</stp>
        <tr r="N74" s="98"/>
      </tp>
      <tp>
        <v>-2.8907073539160391</v>
        <stp/>
        <stp>##V3_BDPV12</stp>
        <stp>AKRN RX EQUITY</stp>
        <stp>SALES_GROWTH</stp>
        <stp>[upload (2).xlsm]Model Portfolio!R33C21</stp>
        <tr r="U33" s="98"/>
      </tp>
      <tp>
        <v>2.9285709999999998</v>
        <stp/>
        <stp>##V3_BDPV12</stp>
        <stp>SNGS RX EQUITY</stp>
        <stp>EQY_REC_CONS</stp>
        <stp>[upload (2).xlsm]Model Portfolio!R10C29</stp>
        <tr r="AC10" s="98"/>
      </tp>
      <tp t="s">
        <v>Mining</v>
        <stp/>
        <stp>##V3_BDPV12</stp>
        <stp>POG LN EQUITY</stp>
        <stp>INDUSTRY_GROUP</stp>
        <stp>[upload (2).xlsm]Model Portfolio!R7C13</stp>
        <tr r="M7" s="98"/>
      </tp>
      <tp>
        <v>19.439366240097502</v>
        <stp/>
        <stp>##V3_BDPV12</stp>
        <stp>AFLT RX EQUITY</stp>
        <stp>SALES_GROWTH</stp>
        <stp>[upload (2).xlsm]Model Portfolio!R47C21</stp>
        <tr r="U47" s="98"/>
      </tp>
      <tp>
        <v>2.7818821161985268</v>
        <stp/>
        <stp>##V3_BDPV12</stp>
        <stp>AFKS RX EQUITY</stp>
        <stp>SALES_GROWTH</stp>
        <stp>[upload (2).xlsm]Model Portfolio!R64C21</stp>
        <tr r="U64" s="98"/>
      </tp>
      <tp>
        <v>6.2314158196342539</v>
        <stp/>
        <stp>##V3_BDPV12</stp>
        <stp>POG LN EQUITY</stp>
        <stp>NORMALIZED_ROE</stp>
        <stp>[upload (2).xlsm]Model Portfolio!R7C26</stp>
        <tr r="Z7" s="98"/>
      </tp>
      <tp>
        <v>4.1666670000000003</v>
        <stp/>
        <stp>##V3_BDPV12</stp>
        <stp>SIBN RX EQUITY</stp>
        <stp>EQY_REC_CONS</stp>
        <stp>[upload (2).xlsm]Model Portfolio!R15C29</stp>
        <tr r="AC15" s="98"/>
      </tp>
      <tp>
        <v>3.4615390000000001</v>
        <stp/>
        <stp>##V3_BDPV12</stp>
        <stp>EVR LN EQUITY</stp>
        <stp>EQY_REC_CONS</stp>
        <stp>[upload (2).xlsm]Model Portfolio!R26C29</stp>
        <tr r="AC26" s="98"/>
      </tp>
      <tp>
        <v>3.6666669999999999</v>
        <stp/>
        <stp>##V3_BDPV12</stp>
        <stp>SVAV RX EQUITY</stp>
        <stp>EQY_REC_CONS</stp>
        <stp>[upload (2).xlsm]Model Portfolio!R72C29</stp>
        <tr r="AC72" s="98"/>
      </tp>
      <tp>
        <v>1.8380770683288574</v>
        <stp/>
        <stp>##V3_BDPV12</stp>
        <stp>YNDX US EQUITY</stp>
        <stp>EQY_BETA_6M</stp>
        <stp>[upload (2).xlsm]Model Portfolio!R43C14</stp>
        <tr r="N43" s="98"/>
      </tp>
      <tp>
        <v>13.301554427120045</v>
        <stp/>
        <stp>##V3_BDPV12</stp>
        <stp>AGRO LI EQUITY</stp>
        <stp>SALES_GROWTH</stp>
        <stp>[upload (2).xlsm]Model Portfolio!R71C21</stp>
        <tr r="U71" s="98"/>
      </tp>
      <tp t="s">
        <v>#N/A N/A</v>
        <stp/>
        <stp>##V3_BDPV12</stp>
        <stp>486 HK EQUITY</stp>
        <stp>BDVD_NEXT_EST_DECL_DT</stp>
        <stp>[upload (2).xlsm]Model Portfolio!R30C31</stp>
        <tr r="AE30" s="98"/>
      </tp>
      <tp>
        <v>-1.7033203967227253</v>
        <stp/>
        <stp>##V3_BDPV12</stp>
        <stp>EVR LN EQUITY</stp>
        <stp>TRAIL_12M_PROF_MARGIN</stp>
        <stp>[upload (2).xlsm]Model Portfolio!R26C25</stp>
        <tr r="Y26" s="98"/>
      </tp>
      <tp>
        <v>4.0909089999999999</v>
        <stp/>
        <stp>##V3_BDPV12</stp>
        <stp>TATNP RX EQUITY</stp>
        <stp>EQY_REC_CONS</stp>
        <stp>[upload (2).xlsm]Model Portfolio!R19C29</stp>
        <tr r="AC19" s="98"/>
      </tp>
      <tp t="s">
        <v>Transport-Rail</v>
        <stp/>
        <stp>##V3_BDPV12</stp>
        <stp>XS0764220017 Corp</stp>
        <stp>INDUSTRY_SUBGROUP</stp>
        <stp>[upload (2).xlsm]Base all $ 3 Duration!R149C11</stp>
        <tr r="K149" s="66"/>
      </tp>
      <tp t="s">
        <v>Metal-Iron</v>
        <stp/>
        <stp>##V3_BDPV12</stp>
        <stp>XS0918297382 Corp</stp>
        <stp>INDUSTRY_SUBGROUP</stp>
        <stp>[upload (2).xlsm]Base all $ 3 Duration!R106C11</stp>
        <tr r="K106" s="66"/>
      </tp>
      <tp t="s">
        <v>Commer Banks Non-US</v>
        <stp/>
        <stp>##V3_BDPV12</stp>
        <stp>XS0975320879 Corp</stp>
        <stp>INDUSTRY_SUBGROUP</stp>
        <stp>[upload (2).xlsm]Base all $ 3 Duration!R123C11</stp>
        <tr r="K123" s="66"/>
      </tp>
      <tp t="s">
        <v>Commer Banks Non-US</v>
        <stp/>
        <stp>##V3_BDPV12</stp>
        <stp>XS0805131439 Corp</stp>
        <stp>INDUSTRY_SUBGROUP</stp>
        <stp>[upload (2).xlsm]Base all $ 3 Duration!R126C11</stp>
        <tr r="K126" s="66"/>
      </tp>
      <tp t="s">
        <v>Commer Banks Non-US</v>
        <stp/>
        <stp>##V3_BDPV12</stp>
        <stp>XS0638572973 Corp</stp>
        <stp>INDUSTRY_SUBGROUP</stp>
        <stp>[upload (2).xlsm]Base all $ 3 Duration!R156C11</stp>
        <tr r="K156" s="66"/>
      </tp>
      <tp>
        <v>8.6385244354620134</v>
        <stp/>
        <stp>##V3_BDPV12</stp>
        <stp>XS0981028177 Corp</stp>
        <stp>YLD_YTM_BID</stp>
        <stp>[upload (2).xlsm]Base all $ 3 Duration!R119C6</stp>
        <tr r="F119" s="66"/>
      </tp>
      <tp>
        <v>4.0753671000000002</v>
        <stp/>
        <stp>##V3_BDPV12</stp>
        <stp>XS0889401724 Corp</stp>
        <stp>YLD_YTM_BID</stp>
        <stp>[upload (2).xlsm]Base all $ 3 Duration!R130C6</stp>
        <tr r="F130" s="66"/>
      </tp>
      <tp>
        <v>5.55</v>
        <stp/>
        <stp>##V3_BDPV12</stp>
        <stp>XS0982861287 Corp</stp>
        <stp>CPN</stp>
        <stp>[upload (2).xlsm]Base all $ 3 Duration!R113C8</stp>
        <tr r="H113" s="66"/>
      </tp>
      <tp t="s">
        <v>GBp</v>
        <stp/>
        <stp>##V3_BDPV12</stp>
        <stp>HGM LN Equity</stp>
        <stp>CRNCY</stp>
        <stp>[Copy of upload (2).xlsm]Гарез_GRENF (2)!R10C11</stp>
        <tr r="K10" s="116"/>
      </tp>
      <tp>
        <v>12.87969981762989</v>
        <stp/>
        <stp>##V3_BDPV12</stp>
        <stp>SIBN RX EQUITY</stp>
        <stp>TRAIL_12M_PROF_MARGIN</stp>
        <stp>[upload (2).xlsm]Model Portfolio!R15C25</stp>
        <tr r="Y15" s="98"/>
      </tp>
      <tp>
        <v>101.875</v>
        <stp/>
        <stp>##V3_BDPV12</stp>
        <stp>XS0552679879 Corp</stp>
        <stp>px_ask</stp>
        <stp>[upload (2).xlsm]Base all $ 3 Duration!R43C5</stp>
        <tr r="E43" s="66"/>
      </tp>
      <tp>
        <v>170227627608.93997</v>
        <stp/>
        <stp>##V3_BDPV12</stp>
        <stp>RTKM RX EQUITY</stp>
        <stp>CUR_MKT_CAP</stp>
        <stp>[upload (2).xlsm]Model Portfolio!R66C10</stp>
        <tr r="J66" s="98"/>
      </tp>
      <tp>
        <v>101.178</v>
        <stp/>
        <stp>##V3_BDPV12</stp>
        <stp>XS0796426228 Corp</stp>
        <stp>px_ask</stp>
        <stp>[upload (2).xlsm]Base all $ 3 Duration!R54C5</stp>
        <tr r="E54" s="66"/>
      </tp>
      <tp>
        <v>102.223</v>
        <stp/>
        <stp>##V3_BDPV12</stp>
        <stp>XS0955232854 Corp</stp>
        <stp>px_ask</stp>
        <stp>[upload (2).xlsm]Base all $ 3 Duration!R45C5</stp>
        <tr r="E45" s="66"/>
      </tp>
      <tp t="s">
        <v>#N/A N/A</v>
        <stp/>
        <stp>##V3_BDPV12</stp>
        <stp>XS0783291221 Corp</stp>
        <stp>px_ask</stp>
        <stp>[upload (2).xlsm]Base all $ 3 Duration!R72C5</stp>
        <tr r="E72" s="66"/>
      </tp>
      <tp>
        <v>33.41987019470794</v>
        <stp/>
        <stp>##V3_BDPV12</stp>
        <stp>PIKK RX EQUITY</stp>
        <stp>TRAIL_12M_PROF_MARGIN</stp>
        <stp>[upload (2).xlsm]Model Portfolio!R68C25</stp>
        <tr r="Y68" s="98"/>
      </tp>
      <tp t="s">
        <v>#N/A N/A</v>
        <stp/>
        <stp>##V3_BDPV12</stp>
        <stp>XS0719009754 Corp</stp>
        <stp>px_ask</stp>
        <stp>[upload (2).xlsm]Base all $ 3 Duration!R77C5</stp>
        <tr r="E77" s="66"/>
      </tp>
      <tp t="s">
        <v>#N/A N/A</v>
        <stp/>
        <stp>##V3_BDPV12</stp>
        <stp>XS0650962185 Corp</stp>
        <stp>px_ask</stp>
        <stp>[upload (2).xlsm]Base all $ 3 Duration!R83C5</stp>
        <tr r="E83" s="66"/>
      </tp>
      <tp>
        <v>9.5285619237715036</v>
        <stp/>
        <stp>##V3_BDPV12</stp>
        <stp>YNDX US EQUITY</stp>
        <stp>TRAIL_12M_PROF_MARGIN</stp>
        <stp>[upload (2).xlsm]Model Portfolio!R43C25</stp>
        <tr r="Y43" s="98"/>
      </tp>
      <tp>
        <v>4462907944.8900003</v>
        <stp/>
        <stp>##V3_BDPV12</stp>
        <stp>EPAM US EQUITY</stp>
        <stp>CUR_MKT_CAP</stp>
        <stp>[upload (2).xlsm]Model Portfolio!R42C10</stp>
        <tr r="J42" s="98"/>
      </tp>
      <tp t="s">
        <v>IMHRUS 10 3/4 12/28/18</v>
        <stp/>
        <stp>##V3_BDPV12</stp>
        <stp>XS1255387976 Corp</stp>
        <stp>SECURITY_NAME</stp>
        <stp>[Copy of upload (2).xlsm]Гарез_GRENF!R62C4</stp>
        <tr r="D62" s="115"/>
      </tp>
      <tp>
        <v>-1.289890636199917</v>
        <stp/>
        <stp>##V3_BDPV12</stp>
        <stp>DIXY RX EQUITY</stp>
        <stp>TRAIL_12M_PROF_MARGIN</stp>
        <stp>[upload (2).xlsm]Model Portfolio!R34C25</stp>
        <tr r="Y34" s="98"/>
      </tp>
      <tp>
        <v>4.4000000000000004</v>
        <stp/>
        <stp>##V3_BDPV12</stp>
        <stp>486 HK EQUITY</stp>
        <stp>EQY_REC_CONS</stp>
        <stp>[upload (2).xlsm]Model Portfolio!R30C29</stp>
        <tr r="AC30" s="98"/>
      </tp>
      <tp>
        <v>-2.8229063744791438</v>
        <stp/>
        <stp>##V3_BDPV12</stp>
        <stp>BANE RX EQUITY</stp>
        <stp>SALES_GROWTH</stp>
        <stp>[upload (2).xlsm]Model Portfolio!R18C21</stp>
        <tr r="U18" s="98"/>
      </tp>
      <tp>
        <v>3</v>
        <stp/>
        <stp>##V3_BDPV12</stp>
        <stp>PIKK RX EQUITY</stp>
        <stp>EQY_REC_CONS</stp>
        <stp>[upload (2).xlsm]Model Portfolio!R68C29</stp>
        <tr r="AC68" s="98"/>
      </tp>
      <tp>
        <v>2</v>
        <stp/>
        <stp>##V3_BDPV12</stp>
        <stp>PHOR RX EQUITY</stp>
        <stp>EQY_REC_CONS</stp>
        <stp>[upload (2).xlsm]Model Portfolio!R32C29</stp>
        <tr r="AC32" s="98"/>
      </tp>
      <tp>
        <v>-0.22078906647557922</v>
        <stp/>
        <stp>##V3_BDPV12</stp>
        <stp>BSPB RX EQUITY</stp>
        <stp>SALES_GROWTH</stp>
        <stp>[upload (2).xlsm]Model Portfolio!R77C21</stp>
        <tr r="U77" s="98"/>
      </tp>
      <tp>
        <v>6.1111111111111107</v>
        <stp/>
        <stp>##V3_BDPV12</stp>
        <stp>XS0996297544 Corp</stp>
        <stp>INTERVAL_PERCENT_CHANGE</stp>
        <stp>[upload (2).xlsm]Base all $ 3 Duration!R9C17</stp>
        <stp>END_DATE_OVERRIDE</stp>
        <stp xml:space="preserve"> </stp>
        <stp>START_DATE_OVERRIDe</stp>
        <stp>20140716</stp>
        <tr r="Q9" s="66"/>
      </tp>
      <tp>
        <v>0.16983280000000001</v>
        <stp/>
        <stp>##V3_BDPV12</stp>
        <stp>POG LN EQUITY</stp>
        <stp>EQY_BETA_6M</stp>
        <stp>[upload (2).xlsm]Model Portfolio!R7C14</stp>
        <tr r="N7" s="98"/>
      </tp>
      <tp>
        <v>188</v>
        <stp/>
        <stp>##V3_BDHV12</stp>
        <stp>HGM LN EQUITY</stp>
        <stp>PX_LAST</stp>
        <stp>15/02/2017</stp>
        <stp>15/02/2017</stp>
        <stp>[Copy of upload (2).xlsm]Гарез_GRENF!R33C8</stp>
        <tr r="H33" s="115"/>
      </tp>
      <tp>
        <v>5.95</v>
        <stp/>
        <stp>##V3_BDPV12</stp>
        <stp>XS0889401724 Corp</stp>
        <stp>CPN</stp>
        <stp>[upload (2).xlsm]Base all $ 3 Duration!R130C8</stp>
        <tr r="H130" s="66"/>
      </tp>
      <tp t="s">
        <v>Oil Comp-Integrated</v>
        <stp/>
        <stp>##V3_BDPV12</stp>
        <stp>XS0316524130 Corp</stp>
        <stp>INDUSTRY_SUBGROUP</stp>
        <stp>[upload (2).xlsm]Base all $ 3 Duration!R129C11</stp>
        <tr r="K129" s="66"/>
      </tp>
      <tp t="s">
        <v>Commer Banks Non-US</v>
        <stp/>
        <stp>##V3_BDPV12</stp>
        <stp>XS1042215480 Corp</stp>
        <stp>INDUSTRY_SUBGROUP</stp>
        <stp>[upload (2).xlsm]Base all $ 3 Duration!R120C11</stp>
        <tr r="K120" s="66"/>
      </tp>
      <tp>
        <v>3.2156796000000001</v>
        <stp/>
        <stp>##V3_BDPV12</stp>
        <stp>XS0982861287 Corp</stp>
        <stp>YLD_YTM_BID</stp>
        <stp>[upload (2).xlsm]Base all $ 3 Duration!R113C6</stp>
        <tr r="F113" s="66"/>
      </tp>
      <tp t="s">
        <v>Oil Comp-Integrated</v>
        <stp/>
        <stp>##V3_BDPV12</stp>
        <stp>XS0554659671 Corp</stp>
        <stp>INDUSTRY_SUBGROUP</stp>
        <stp>[upload (2).xlsm]Base all $ 3 Duration!R114C11</stp>
        <tr r="K114" s="66"/>
      </tp>
      <tp t="s">
        <v>Steel Pipe&amp;Tube</v>
        <stp/>
        <stp>##V3_BDPV12</stp>
        <stp>XS0911599701 Corp</stp>
        <stp>INDUSTRY_SUBGROUP</stp>
        <stp>[upload (2).xlsm]Base all $ 3 Duration!R104C11</stp>
        <tr r="K104" s="66"/>
      </tp>
      <tp>
        <v>4.5999999999999996</v>
        <stp/>
        <stp>##V3_BDPV12</stp>
        <stp>SBERP RX EQUITY</stp>
        <stp>EQY_REC_CONS</stp>
        <stp>[upload (2).xlsm]Model Portfolio!R76C29</stp>
        <tr r="AC76" s="98"/>
      </tp>
      <tp>
        <v>10.5</v>
        <stp/>
        <stp>##V3_BDPV12</stp>
        <stp>XS0981028177 Corp</stp>
        <stp>CPN</stp>
        <stp>[upload (2).xlsm]Base all $ 3 Duration!R119C8</stp>
        <tr r="H119" s="66"/>
      </tp>
      <tp t="s">
        <v>Oil Comp-Explor&amp;Prodtn</v>
        <stp/>
        <stp>##V3_BDPV12</stp>
        <stp>XS0588433267 Corp</stp>
        <stp>INDUSTRY_SUBGROUP</stp>
        <stp>[upload (2).xlsm]Base all $ 3 Duration!R146C11</stp>
        <tr r="K146" s="66"/>
      </tp>
      <tp t="s">
        <v>#N/A N/A</v>
        <stp/>
        <stp>##V3_BDPV12</stp>
        <stp>XS0802648955 Corp</stp>
        <stp>px_ask</stp>
        <stp>[upload (2).xlsm]Base all $ 3 Duration!R12C5</stp>
        <tr r="E12" s="66"/>
      </tp>
      <tp>
        <v>888115269895</v>
        <stp/>
        <stp>##V3_BDPV12</stp>
        <stp>TATN RX EQUITY</stp>
        <stp>CUR_MKT_CAP</stp>
        <stp>[upload (2).xlsm]Model Portfolio!R14C10</stp>
        <tr r="J14" s="98"/>
      </tp>
      <tp>
        <v>58774910940</v>
        <stp/>
        <stp>##V3_BDPV12</stp>
        <stp>TRCN RX EQUITY</stp>
        <stp>CUR_MKT_CAP</stp>
        <stp>[upload (2).xlsm]Model Portfolio!R50C10</stp>
        <tr r="J50" s="98"/>
      </tp>
      <tp>
        <v>3337366194573.2993</v>
        <stp/>
        <stp>##V3_BDPV12</stp>
        <stp>ROSN RX EQUITY</stp>
        <stp>CUR_MKT_CAP</stp>
        <stp>[upload (2).xlsm]Model Portfolio!R17C10</stp>
        <tr r="J17" s="98"/>
      </tp>
      <tp t="s">
        <v>#N/A N/A</v>
        <stp/>
        <stp>##V3_BDPV12</stp>
        <stp>XS0304273948 Corp</stp>
        <stp>px_ask</stp>
        <stp>[upload (2).xlsm]Base all $ 3 Duration!R87C5</stp>
        <tr r="E87" s="66"/>
      </tp>
      <tp>
        <v>1062525249099.9</v>
        <stp/>
        <stp>##V3_BDPV12</stp>
        <stp>SIBN RX EQUITY</stp>
        <stp>CUR_MKT_CAP</stp>
        <stp>[upload (2).xlsm]Model Portfolio!R15C10</stp>
        <tr r="J15" s="98"/>
      </tp>
      <tp t="s">
        <v>#N/A N/A</v>
        <stp/>
        <stp>##V3_BDPV12</stp>
        <stp>VIP US EQUITY</stp>
        <stp>CUR_MKT_CAP</stp>
        <stp>[upload (2).xlsm]Model Portfolio!R61C10</stp>
        <tr r="J61" s="98"/>
      </tp>
      <tp>
        <v>105.02800000000001</v>
        <stp/>
        <stp>##V3_BDPV12</stp>
        <stp>XS0361041808 Corp</stp>
        <stp>px_ask</stp>
        <stp>[upload (2).xlsm]Base all $ 3 Duration!R51C5</stp>
        <tr r="E51" s="66"/>
      </tp>
      <tp t="s">
        <v>#N/A N/A</v>
        <stp/>
        <stp>##V3_BDPV12</stp>
        <stp>XS0772835285 Corp</stp>
        <stp>px_ask</stp>
        <stp>[upload (2).xlsm]Base all $ 3 Duration!R31C5</stp>
        <tr r="E31" s="66"/>
      </tp>
      <tp>
        <v>1523745688404</v>
        <stp/>
        <stp>##V3_BDPV12</stp>
        <stp>GMKN RX EQUITY</stp>
        <stp>CUR_MKT_CAP</stp>
        <stp>[upload (2).xlsm]Model Portfolio!R29C10</stp>
        <tr r="J29" s="98"/>
      </tp>
      <tp>
        <v>1186453682.2599998</v>
        <stp/>
        <stp>##V3_BDPV12</stp>
        <stp>ETLN LI EQUITY</stp>
        <stp>CUR_MKT_CAP</stp>
        <stp>[upload (2).xlsm]Model Portfolio!R70C10</stp>
        <tr r="J70" s="98"/>
      </tp>
      <tp>
        <v>146449342000</v>
        <stp/>
        <stp>##V3_BDPV12</stp>
        <stp>AKRN RX EQUITY</stp>
        <stp>CUR_MKT_CAP</stp>
        <stp>[upload (2).xlsm]Model Portfolio!R33C10</stp>
        <tr r="J33" s="98"/>
      </tp>
      <tp>
        <v>359910000000</v>
        <stp/>
        <stp>##V3_BDPV12</stp>
        <stp>MFON RX EQUITY</stp>
        <stp>CUR_MKT_CAP</stp>
        <stp>[upload (2).xlsm]Model Portfolio!R62C10</stp>
        <tr r="J62" s="98"/>
      </tp>
      <tp>
        <v>475914714700</v>
        <stp/>
        <stp>##V3_BDPV12</stp>
        <stp>MAGN RX EQUITY</stp>
        <stp>CUR_MKT_CAP</stp>
        <stp>[upload (2).xlsm]Model Portfolio!R23C10</stp>
        <tr r="J23" s="98"/>
      </tp>
      <tp>
        <v>9.9995920199094286</v>
        <stp/>
        <stp>##V3_BDPV12</stp>
        <stp>ETLN LI EQUITY</stp>
        <stp>TRAIL_12M_PROF_MARGIN</stp>
        <stp>[upload (2).xlsm]Model Portfolio!R70C25</stp>
        <tr r="Y70" s="98"/>
      </tp>
      <tp>
        <v>8.5</v>
        <stp/>
        <stp>##V3_BDPV12</stp>
        <stp>POG LN EQUITY</stp>
        <stp>BEST_TARGET_PRICE</stp>
        <stp>[upload (2).xlsm]Model Portfolio!R7C8</stp>
        <tr r="H7" s="98"/>
      </tp>
      <tp t="s">
        <v>#N/A N/A</v>
        <stp/>
        <stp>##V3_BDPV12</stp>
        <stp>HGM LN Equity</stp>
        <stp>BDVD_NEXT_EST_DECL_DT</stp>
        <stp>[Copy of upload (2).xlsm]Гарез_GRENF (2)!R10C21</stp>
        <tr r="U10" s="116"/>
      </tp>
      <tp>
        <v>0.70096559999999997</v>
        <stp/>
        <stp>##V3_BDPV12</stp>
        <stp>KMAZ RX EQUITY</stp>
        <stp>EQY_BETA_6M</stp>
        <stp>[upload (2).xlsm]Model Portfolio!R73C14</stp>
        <tr r="N73" s="98"/>
      </tp>
      <tp>
        <v>-7.5046904315197001</v>
        <stp/>
        <stp>##V3_BDPV12</stp>
        <stp>CHMF RX EQUITY</stp>
        <stp>SALES_GROWTH</stp>
        <stp>[upload (2).xlsm]Model Portfolio!R25C21</stp>
        <tr r="U25" s="98"/>
      </tp>
      <tp>
        <v>3.1818182468414307</v>
        <stp/>
        <stp>##V3_BDPV12</stp>
        <stp>QIWI US EQUITY</stp>
        <stp>EQY_REC_CONS</stp>
        <stp>[upload (2).xlsm]Model Portfolio!R40C29</stp>
        <tr r="AC40" s="98"/>
      </tp>
      <tp>
        <v>-6.6446985638745222</v>
        <stp/>
        <stp>##V3_BDPV12</stp>
        <stp>XS0275728557 Corp</stp>
        <stp>INTERVAL_PERCENT_CHANGE</stp>
        <stp>[upload (2).xlsm]Base all $ 3 Duration!R8C17</stp>
        <stp>END_DATE_OVERRIDE</stp>
        <stp xml:space="preserve"> </stp>
        <stp>START_DATE_OVERRIDe</stp>
        <stp>20140716</stp>
        <tr r="Q8" s="66"/>
      </tp>
      <tp>
        <v>4.9919415000000003</v>
        <stp/>
        <stp>##V3_BDPV12</stp>
        <stp>XS0842078536 Corp</stp>
        <stp>YLD_YTM_BID</stp>
        <stp>[upload (2).xlsm]Base all $ 3 Duration!R127C6</stp>
        <tr r="F127" s="66"/>
      </tp>
      <tp>
        <v>1.2982</v>
        <stp/>
        <stp>##V3_BDHV12</stp>
        <stp>GBP curncy</stp>
        <stp>PX_LAST</stp>
        <stp>05/05/2017</stp>
        <stp>05/05/2017</stp>
        <stp>[Copy of upload (2).xlsm]Гарез_GRENF (2)!R31C12</stp>
        <tr r="L31" s="116"/>
      </tp>
      <tp>
        <v>3.3066855999999998</v>
        <stp/>
        <stp>##V3_BDPV12</stp>
        <stp>XS0922301717 Corp</stp>
        <stp>YLD_YTM_BID</stp>
        <stp>[upload (2).xlsm]Base all $ 3 Duration!R108C6</stp>
        <tr r="F108" s="66"/>
      </tp>
      <tp>
        <v>3.746203096706433</v>
        <stp/>
        <stp>##V3_BDPV12</stp>
        <stp>XS0290580595 Corp</stp>
        <stp>YLD_YTM_BID</stp>
        <stp>[upload (2).xlsm]Base all $ 3 Duration!R152C6</stp>
        <tr r="F152" s="66"/>
      </tp>
      <tp>
        <v>1.2847999999999999</v>
        <stp/>
        <stp>##V3_BDHV12</stp>
        <stp>GBP curncy</stp>
        <stp>PX_LAST</stp>
        <stp>26/04/2017</stp>
        <stp>26/04/2017</stp>
        <stp>[Copy of upload (2).xlsm]Гарез_GRENF (2)!R32C12</stp>
        <tr r="L32" s="116"/>
      </tp>
      <tp t="s">
        <v>Oil Comp-Integrated</v>
        <stp/>
        <stp>##V3_BDPV12</stp>
        <stp>XS0861981180 Corp</stp>
        <stp>INDUSTRY_SUBGROUP</stp>
        <stp>[upload (2).xlsm]Base all $ 3 Duration!R145C11</stp>
        <tr r="K145" s="66"/>
      </tp>
      <tp t="s">
        <v>Oil Comp-Explor&amp;Prodtn</v>
        <stp/>
        <stp>##V3_BDPV12</stp>
        <stp>XS0830192711 Corp</stp>
        <stp>INDUSTRY_SUBGROUP</stp>
        <stp>[upload (2).xlsm]Base all $ 3 Duration!R143C11</stp>
        <tr r="K143" s="66"/>
      </tp>
      <tp>
        <v>1.2461</v>
        <stp/>
        <stp>##V3_BDHV12</stp>
        <stp>GBP curncy</stp>
        <stp>PX_LAST</stp>
        <stp>15/02/2017</stp>
        <stp>15/02/2017</stp>
        <stp>[Copy of upload (2).xlsm]Гарез_GRENF (2)!R33C12</stp>
        <tr r="L33" s="116"/>
      </tp>
      <tp t="s">
        <v>Commer Banks Non-US</v>
        <stp/>
        <stp>##V3_BDPV12</stp>
        <stp>XS1032750165 Corp</stp>
        <stp>INDUSTRY_SUBGROUP</stp>
        <stp>[upload (2).xlsm]Base all $ 3 Duration!R132C11</stp>
        <tr r="K132" s="66"/>
      </tp>
      <tp>
        <v>4.271596584567817</v>
        <stp/>
        <stp>##V3_BDPV12</stp>
        <stp>XS0997544860 Corp</stp>
        <stp>YLD_YTM_BID</stp>
        <stp>[upload (2).xlsm]Base all $ 3 Duration!R136C6</stp>
        <tr r="F136" s="66"/>
      </tp>
      <tp>
        <v>6.125</v>
        <stp/>
        <stp>##V3_BDPV12</stp>
        <stp>XS0554659671 Corp</stp>
        <stp>CPN</stp>
        <stp>[upload (2).xlsm]Base all $ 3 Duration!R114C8</stp>
        <tr r="H114" s="66"/>
      </tp>
      <tp t="s">
        <v>Cellular Telecom</v>
        <stp/>
        <stp>##V3_BDPV12</stp>
        <stp>XS0587031096 Corp</stp>
        <stp>INDUSTRY_SUBGROUP</stp>
        <stp>[upload (2).xlsm]Base all $ 3 Duration!R134C11</stp>
        <tr r="K134" s="66"/>
      </tp>
      <tp>
        <v>107.61799999999999</v>
        <stp/>
        <stp>##V3_BDPV12</stp>
        <stp>XS0808636913 Corp</stp>
        <stp>px_ask</stp>
        <stp>[upload (2).xlsm]Base all $ 3 Duration!R17C5</stp>
        <tr r="E17" s="66"/>
      </tp>
      <tp>
        <v>104.636</v>
        <stp/>
        <stp>##V3_BDPV12</stp>
        <stp>XS0974469206 Corp</stp>
        <stp>px_ask</stp>
        <stp>[upload (2).xlsm]Base all $ 3 Duration!R14C5</stp>
        <tr r="E14" s="66"/>
      </tp>
      <tp>
        <v>145327267664.22501</v>
        <stp/>
        <stp>##V3_BDPV12</stp>
        <stp>UPRO RX EQUITY</stp>
        <stp>CUR_MKT_CAP</stp>
        <stp>[upload (2).xlsm]Model Portfolio!R52C10</stp>
        <tr r="J52" s="98"/>
      </tp>
      <tp>
        <v>101.04300000000001</v>
        <stp/>
        <stp>##V3_BDPV12</stp>
        <stp>XS0919502434 Corp</stp>
        <stp>px_ask</stp>
        <stp>[upload (2).xlsm]Base all $ 3 Duration!R66C5</stp>
        <tr r="E66" s="66"/>
      </tp>
      <tp t="s">
        <v>#N/A N/A</v>
        <stp/>
        <stp>##V3_BDPV12</stp>
        <stp>XS0640334768 Corp</stp>
        <stp>px_ask</stp>
        <stp>[upload (2).xlsm]Base all $ 3 Duration!R15C5</stp>
        <tr r="E15" s="66"/>
      </tp>
      <tp t="s">
        <v>#N/A N/A</v>
        <stp/>
        <stp>##V3_BDPV12</stp>
        <stp>XS0587030957 Corp</stp>
        <stp>px_ask</stp>
        <stp>[upload (2).xlsm]Base all $ 3 Duration!R95C5</stp>
        <tr r="E95" s="66"/>
      </tp>
      <tp>
        <v>24.998999999999999</v>
        <stp/>
        <stp>##V3_BDPV12</stp>
        <stp>XS0940730228 Corp</stp>
        <stp>px_ask</stp>
        <stp>[upload (2).xlsm]Base all $ 3 Duration!R25C5</stp>
        <tr r="E25" s="66"/>
      </tp>
      <tp t="s">
        <v>#N/A N/A</v>
        <stp/>
        <stp>##V3_BDPV12</stp>
        <stp>XS0236336045 Corp</stp>
        <stp>px_ask</stp>
        <stp>[upload (2).xlsm]Base all $ 3 Duration!R97C5</stp>
        <tr r="E97" s="66"/>
      </tp>
      <tp>
        <v>105.746</v>
        <stp/>
        <stp>##V3_BDPV12</stp>
        <stp>XS0381439305 Corp</stp>
        <stp>px_ask</stp>
        <stp>[upload (2).xlsm]Base all $ 3 Duration!R64C5</stp>
        <tr r="E64" s="66"/>
      </tp>
      <tp>
        <v>6.0207946773527432</v>
        <stp/>
        <stp>##V3_BDPV12</stp>
        <stp>LKOH RX EQUITY</stp>
        <stp>TRAIL_12M_PROF_MARGIN</stp>
        <stp>[upload (2).xlsm]Model Portfolio!R13C25</stp>
        <tr r="Y13" s="98"/>
      </tp>
      <tp>
        <v>28.988</v>
        <stp/>
        <stp>##V3_BDPV12</stp>
        <stp>XS0776121062 Corp</stp>
        <stp>px_ask</stp>
        <stp>[upload (2).xlsm]Base all $ 3 Duration!R27C5</stp>
        <tr r="E27" s="66"/>
      </tp>
      <tp>
        <v>1825912088.484</v>
        <stp/>
        <stp>##V3_BDPV12</stp>
        <stp>FXPO LN EQUITY</stp>
        <stp>CUR_MKT_CAP</stp>
        <stp>[upload (2).xlsm]Model Portfolio!R27C10</stp>
        <tr r="J27" s="98"/>
      </tp>
      <tp>
        <v>15.961648188134209</v>
        <stp/>
        <stp>##V3_BDPV12</stp>
        <stp>AKRN RX EQUITY</stp>
        <stp>TRAIL_12M_PROF_MARGIN</stp>
        <stp>[upload (2).xlsm]Model Portfolio!R33C25</stp>
        <tr r="Y33" s="98"/>
      </tp>
      <tp>
        <v>1797166644.75</v>
        <stp/>
        <stp>##V3_BDPV12</stp>
        <stp>AGRO LI EQUITY</stp>
        <stp>CUR_MKT_CAP</stp>
        <stp>[upload (2).xlsm]Model Portfolio!R71C10</stp>
        <tr r="J71" s="98"/>
      </tp>
      <tp>
        <v>969.2093505859375</v>
        <stp/>
        <stp>##V3_BDPV12</stp>
        <stp>POLY LN EQUITY</stp>
        <stp>BEST_TARGET_PRICE</stp>
        <stp>[upload (2).xlsm]Model Portfolio!R6C8</stp>
        <tr r="H6" s="98"/>
      </tp>
      <tp>
        <v>403401600000</v>
        <stp/>
        <stp>##V3_BDPV12</stp>
        <stp>IRAO RX EQUITY</stp>
        <stp>CUR_MKT_CAP</stp>
        <stp>[upload (2).xlsm]Model Portfolio!R51C10</stp>
        <tr r="J51" s="98"/>
      </tp>
      <tp t="s">
        <v>NORD GOLD SE</v>
        <stp/>
        <stp>##V3_BDPV12</stp>
        <stp>NORD LI EQUITY</stp>
        <stp>SHORT_NAME</stp>
        <stp>[upload (2).xlsm]Model Portfolio!R3C2</stp>
        <tr r="B3" s="98"/>
      </tp>
      <tp>
        <v>14.280626200367687</v>
        <stp/>
        <stp>##V3_BDPV12</stp>
        <stp>DIXY RX EQUITY</stp>
        <stp>SALES_GROWTH</stp>
        <stp>[upload (2).xlsm]Model Portfolio!R34C21</stp>
        <tr r="U34" s="98"/>
      </tp>
      <tp>
        <v>100</v>
        <stp/>
        <stp>##V3_BDPV12</stp>
        <stp>BANEP RX EQUITY</stp>
        <stp>EQY_FREE_FLOAT_PCT</stp>
        <stp>[upload (2).xlsm]Model Portfolio!R8C11</stp>
        <tr r="K8" s="98"/>
      </tp>
      <tp t="s">
        <v>#N/A N/A</v>
        <stp/>
        <stp>##V3_BDPV12</stp>
        <stp>US91701RAA95 Corp</stp>
        <stp>px_ask</stp>
        <stp>[upload (2).xlsm]Base all $ 3 Duration!R26C5</stp>
        <tr r="E26" s="66"/>
      </tp>
      <tp>
        <v>10.422630951519579</v>
        <stp/>
        <stp>##V3_BDPV12</stp>
        <stp>PIKK RX EQUITY</stp>
        <stp>PX_TO_FREE_CASH_FLOW</stp>
        <stp>[upload (2).xlsm]Model Portfolio!R68C19</stp>
        <tr r="S68" s="98"/>
      </tp>
      <tp>
        <v>658.1957048152118</v>
        <stp/>
        <stp>##V3_BDPV12</stp>
        <stp>PHOR RX EQUITY</stp>
        <stp>PX_TO_FREE_CASH_FLOW</stp>
        <stp>[upload (2).xlsm]Model Portfolio!R32C19</stp>
        <tr r="S32" s="98"/>
      </tp>
      <tp>
        <v>215</v>
        <stp/>
        <stp>##V3_BDPV12</stp>
        <stp>HGM LN Equity</stp>
        <stp>BEST_TARGET_PRICE</stp>
        <stp>[Copy of upload (2).xlsm]Гарез_GRENF!R10C8</stp>
        <tr r="H10" s="115"/>
      </tp>
      <tp t="s">
        <v>#N/A Field Not Applicable</v>
        <stp/>
        <stp>##V3_BDPV12</stp>
        <stp>SBERP RX EQUITY</stp>
        <stp>PX_TO_FREE_CASH_FLOW</stp>
        <stp>[upload (2).xlsm]Model Portfolio!R76C19</stp>
        <tr r="S76" s="98"/>
      </tp>
      <tp>
        <v>5.4479242376239796</v>
        <stp/>
        <stp>##V3_BDPV12</stp>
        <stp>XS0316524130 Corp</stp>
        <stp>YLD_YTM_BID</stp>
        <stp>[upload (2).xlsm]Base all $ 3 Duration!R129C6</stp>
        <tr r="F129" s="66"/>
      </tp>
      <tp>
        <v>4.5959536999999999</v>
        <stp/>
        <stp>##V3_BDPV12</stp>
        <stp>XS0911599701 Corp</stp>
        <stp>YLD_YTM_BID</stp>
        <stp>[upload (2).xlsm]Base all $ 3 Duration!R104C6</stp>
        <tr r="F104" s="66"/>
      </tp>
      <tp>
        <v>7.75</v>
        <stp/>
        <stp>##V3_BDPV12</stp>
        <stp>XS0555493203 Corp</stp>
        <stp>CPN</stp>
        <stp>[upload (2).xlsm]Base all $ 3 Duration!R109C8</stp>
        <tr r="H109" s="66"/>
      </tp>
      <tp>
        <v>5.7</v>
        <stp/>
        <stp>##V3_BDPV12</stp>
        <stp>XS0764220017 Corp</stp>
        <stp>CPN</stp>
        <stp>[upload (2).xlsm]Base all $ 3 Duration!R149C8</stp>
        <tr r="H149" s="66"/>
      </tp>
      <tp>
        <v>7.75</v>
        <stp/>
        <stp>##V3_BDPV12</stp>
        <stp>XS0620695204 Corp</stp>
        <stp>CPN</stp>
        <stp>[upload (2).xlsm]Base all $ 3 Duration!R138C8</stp>
        <tr r="H138" s="66"/>
      </tp>
      <tp>
        <v>42</v>
        <stp/>
        <stp>##V3_BDPV12</stp>
        <stp>XS0841677387 Corp</stp>
        <stp>px_ask</stp>
        <stp>[upload (2).xlsm]Base all $ 3 Duration!R99C5</stp>
        <tr r="E99" s="66"/>
      </tp>
      <tp t="s">
        <v>#N/A N/A</v>
        <stp/>
        <stp>##V3_BDPV12</stp>
        <stp>MOEX RX EQUITY</stp>
        <stp>EBIT_MARGIN</stp>
        <stp>[upload (2).xlsm]Model Portfolio!R74C24</stp>
        <tr r="X74" s="98"/>
      </tp>
      <tp>
        <v>57.5441</v>
        <stp/>
        <stp>##V3_BDPV12</stp>
        <stp>USDRUB Curncy</stp>
        <stp>PX last</stp>
        <stp>[Copy of upload (2).xlsm]Гарез_GRENF!R1C9</stp>
        <tr r="I1" s="115"/>
      </tp>
      <tp>
        <v>99.004999999999995</v>
        <stp/>
        <stp>##V3_BDPV12</stp>
        <stp>XS0923110232 Corp</stp>
        <stp>px_ask</stp>
        <stp>[upload (2).xlsm]Base all $ 3 Duration!R35C5</stp>
        <tr r="E35" s="66"/>
      </tp>
      <tp>
        <v>102.63200000000001</v>
        <stp/>
        <stp>##V3_BDPV12</stp>
        <stp>XS0923472814 Corp</stp>
        <stp>px_ask</stp>
        <stp>[upload (2).xlsm]Base all $ 3 Duration!R52C5</stp>
        <tr r="E52" s="66"/>
      </tp>
      <tp>
        <v>103.943</v>
        <stp/>
        <stp>##V3_BDPV12</stp>
        <stp>XS0995845566 Corp</stp>
        <stp>px_ask</stp>
        <stp>[upload (2).xlsm]Base all $ 3 Duration!R29C5</stp>
        <tr r="E29" s="66"/>
      </tp>
      <tp>
        <v>101.89700000000001</v>
        <stp/>
        <stp>##V3_BDPV12</stp>
        <stp>XS0808632847 Corp</stp>
        <stp>px_ask</stp>
        <stp>[upload (2).xlsm]Base all $ 3 Duration!R65C5</stp>
        <tr r="E65" s="66"/>
      </tp>
      <tp t="s">
        <v>#N/A N/A</v>
        <stp/>
        <stp>##V3_BDPV12</stp>
        <stp>XS0288690539 Corp</stp>
        <stp>px_ask</stp>
        <stp>[upload (2).xlsm]Base all $ 3 Duration!R62C5</stp>
        <tr r="E62" s="66"/>
      </tp>
      <tp>
        <v>99.998000000000005</v>
        <stp/>
        <stp>##V3_BDPV12</stp>
        <stp>XS0783242877 Corp</stp>
        <stp>px_ask</stp>
        <stp>[upload (2).xlsm]Base all $ 3 Duration!R32C5</stp>
        <tr r="E32" s="66"/>
      </tp>
      <tp>
        <v>15.273856474305928</v>
        <stp/>
        <stp>##V3_BDPV12</stp>
        <stp>NLMK RX EQUITY</stp>
        <stp>TRAIL_12M_PROF_MARGIN</stp>
        <stp>[upload (2).xlsm]Model Portfolio!R22C25</stp>
        <tr r="Y22" s="98"/>
      </tp>
      <tp>
        <v>105.986</v>
        <stp/>
        <stp>##V3_BDPV12</stp>
        <stp>XS0779213460 Corp</stp>
        <stp>px_ask</stp>
        <stp>[upload (2).xlsm]Base all $ 3 Duration!R33C5</stp>
        <tr r="E33" s="66"/>
      </tp>
      <tp>
        <v>15287474999.999998</v>
        <stp/>
        <stp>##V3_BDPV12</stp>
        <stp>FESH RX EQUITY</stp>
        <stp>CUR_MKT_CAP</stp>
        <stp>[upload (2).xlsm]Model Portfolio!R45C10</stp>
        <tr r="J45" s="98"/>
      </tp>
      <tp>
        <v>15.756582073947342</v>
        <stp/>
        <stp>##V3_BDPV12</stp>
        <stp>YNDX US EQUITY</stp>
        <stp>EBIT_MARGIN</stp>
        <stp>[upload (2).xlsm]Model Portfolio!R43C24</stp>
        <tr r="X43" s="98"/>
      </tp>
      <tp>
        <v>2478966606697.5</v>
        <stp/>
        <stp>##V3_BDPV12</stp>
        <stp>LKOH RX EQUITY</stp>
        <stp>CUR_MKT_CAP</stp>
        <stp>[upload (2).xlsm]Model Portfolio!R13C10</stp>
        <tr r="J13" s="98"/>
      </tp>
      <tp>
        <v>1.7174658327567767</v>
        <stp/>
        <stp>##V3_BDPV12</stp>
        <stp>ENRU RM EQUITY</stp>
        <stp>SALES_GROWTH</stp>
        <stp>[upload (2).xlsm]Model Portfolio!R53C21</stp>
        <tr r="U53" s="98"/>
      </tp>
      <tp>
        <v>15.607018205829638</v>
        <stp/>
        <stp>##V3_BDPV12</stp>
        <stp>ETLN LI EQUITY</stp>
        <stp>SALES_GROWTH</stp>
        <stp>[upload (2).xlsm]Model Portfolio!R70C21</stp>
        <tr r="U70" s="98"/>
      </tp>
      <tp>
        <v>26.911329704374005</v>
        <stp/>
        <stp>##V3_BDPV12</stp>
        <stp>EPAM US EQUITY</stp>
        <stp>SALES_GROWTH</stp>
        <stp>[upload (2).xlsm]Model Portfolio!R42C21</stp>
        <tr r="U42" s="98"/>
      </tp>
      <tp>
        <v>9.4577930603451836</v>
        <stp/>
        <stp>##V3_BDPV12</stp>
        <stp>QIWI US EQUITY</stp>
        <stp>PX_TO_FREE_CASH_FLOW</stp>
        <stp>[upload (2).xlsm]Model Portfolio!R40C19</stp>
        <tr r="S40" s="98"/>
      </tp>
      <tp t="s">
        <v>#N/A N/A</v>
        <stp/>
        <stp>##V3_BDPV12</stp>
        <stp>LXFT US Equity</stp>
        <stp>BDVD_NEXT_EST_DECL_DT</stp>
        <stp>[Copy of upload (2).xlsm]Гарез_GRENF (2)!R6C22</stp>
        <tr r="V6" s="116"/>
      </tp>
      <tp>
        <v>4.0882623352742868</v>
        <stp/>
        <stp>##V3_BDPV12</stp>
        <stp>SBERP RX EQUITY</stp>
        <stp>BDVD_PROJ_12M_YLD</stp>
        <stp>[upload (2).xlsm]Model Portfolio!R76C27</stp>
        <tr r="AA76" s="98"/>
      </tp>
      <tp>
        <v>3.4056084000000002</v>
        <stp/>
        <stp>##V3_BDPV12</stp>
        <stp>XS0587031096 Corp</stp>
        <stp>YLD_YTM_BID</stp>
        <stp>[upload (2).xlsm]Base all $ 3 Duration!R134C6</stp>
        <tr r="F134" s="66"/>
      </tp>
      <tp>
        <v>4.95</v>
        <stp/>
        <stp>##V3_BDPV12</stp>
        <stp>XS0885736925 Corp</stp>
        <stp>CPN</stp>
        <stp>[upload (2).xlsm]Base all $ 3 Duration!R140C8</stp>
        <tr r="H140" s="66"/>
      </tp>
      <tp t="s">
        <v>Special Purpose Banks</v>
        <stp/>
        <stp>##V3_BDPV12</stp>
        <stp>XS0524610812 Corp</stp>
        <stp>INDUSTRY_SUBGROUP</stp>
        <stp>[upload (2).xlsm]Base all $ 3 Duration!R107C11</stp>
        <tr r="K107" s="66"/>
      </tp>
      <tp t="s">
        <v>Oil Comp-Integrated</v>
        <stp/>
        <stp>##V3_BDPV12</stp>
        <stp>XS0708813810 Corp</stp>
        <stp>INDUSTRY_SUBGROUP</stp>
        <stp>[upload (2).xlsm]Base all $ 3 Duration!R153C11</stp>
        <tr r="K153" s="66"/>
      </tp>
      <tp>
        <v>3.8490760000000002</v>
        <stp/>
        <stp>##V3_BDPV12</stp>
        <stp>XS0808638612 Corp</stp>
        <stp>YLD_YTM_BID</stp>
        <stp>[upload (2).xlsm]Base all $ 3 Duration!R105C6</stp>
        <tr r="F105" s="66"/>
      </tp>
      <tp>
        <v>3.7132018000000002</v>
        <stp/>
        <stp>##V3_BDPV12</stp>
        <stp>XS0919504562 Corp</stp>
        <stp>YLD_YTM_BID</stp>
        <stp>[upload (2).xlsm]Base all $ 3 Duration!R148C6</stp>
        <tr r="F148" s="66"/>
      </tp>
      <tp>
        <v>3.85</v>
        <stp/>
        <stp>##V3_BDPV12</stp>
        <stp>XS0885733153 Corp</stp>
        <stp>CPN</stp>
        <stp>[upload (2).xlsm]Base all $ 3 Duration!R115C8</stp>
        <tr r="H115" s="66"/>
      </tp>
      <tp>
        <v>3.1691585999999998</v>
        <stp/>
        <stp>##V3_BDPV12</stp>
        <stp>XS0588433267 Corp</stp>
        <stp>YLD_YTM_BID</stp>
        <stp>[upload (2).xlsm]Base all $ 3 Duration!R146C6</stp>
        <tr r="F146" s="66"/>
      </tp>
      <tp>
        <v>11.5</v>
        <stp/>
        <stp>##V3_BDPV12</stp>
        <stp>XS0953323317 Corp</stp>
        <stp>CPN</stp>
        <stp>[upload (2).xlsm]Base all $ 3 Duration!R118C8</stp>
        <tr r="H118" s="66"/>
      </tp>
      <tp>
        <v>101.629</v>
        <stp/>
        <stp>##V3_BDPV12</stp>
        <stp>XS0922134712 Corp</stp>
        <stp>px_ask</stp>
        <stp>[upload (2).xlsm]Base all $ 3 Duration!R76C5</stp>
        <tr r="E76" s="66"/>
      </tp>
      <tp>
        <v>-9.8349825732617788E-2</v>
        <stp/>
        <stp>##V3_BDPV12</stp>
        <stp>KMAZ RX EQUITY</stp>
        <stp>TRAIL_12M_PROF_MARGIN</stp>
        <stp>[upload (2).xlsm]Model Portfolio!R73C25</stp>
        <tr r="Y73" s="98"/>
      </tp>
      <tp>
        <v>103.2</v>
        <stp/>
        <stp>##V3_BDPV12</stp>
        <stp>XS0851672435 Corp</stp>
        <stp>px_ask</stp>
        <stp>[upload (2).xlsm]Base all $ 3 Duration!R23C5</stp>
        <tr r="E23" s="66"/>
      </tp>
      <tp>
        <v>104.947</v>
        <stp/>
        <stp>##V3_BDPV12</stp>
        <stp>XS0359381331 Corp</stp>
        <stp>px_ask</stp>
        <stp>[upload (2).xlsm]Base all $ 3 Duration!R36C5</stp>
        <tr r="E36" s="66"/>
      </tp>
      <tp>
        <v>1.8198676580470949</v>
        <stp/>
        <stp>##V3_BDPV12</stp>
        <stp>OKEY LI EQUITY</stp>
        <stp>EBIT_MARGIN</stp>
        <stp>[upload (2).xlsm]Model Portfolio!R39C24</stp>
        <tr r="X39" s="98"/>
      </tp>
      <tp>
        <v>221673186845.7009</v>
        <stp/>
        <stp>##V3_BDPV12</stp>
        <stp>RSTI RX EQUITY</stp>
        <stp>CUR_MKT_CAP</stp>
        <stp>[upload (2).xlsm]Model Portfolio!R54C10</stp>
        <tr r="J54" s="98"/>
      </tp>
      <tp>
        <v>1099230196.7600002</v>
        <stp/>
        <stp>##V3_BDPV12</stp>
        <stp>QIWI US EQUITY</stp>
        <stp>CUR_MKT_CAP</stp>
        <stp>[upload (2).xlsm]Model Portfolio!R40C10</stp>
        <tr r="J40" s="98"/>
      </tp>
      <tp>
        <v>-0.21716309102346462</v>
        <stp/>
        <stp>##V3_BDPV12</stp>
        <stp>DIXY RX EQUITY</stp>
        <stp>EBIT_MARGIN</stp>
        <stp>[upload (2).xlsm]Model Portfolio!R34C24</stp>
        <tr r="X34" s="98"/>
      </tp>
      <tp>
        <v>24.757617728531855</v>
        <stp/>
        <stp>##V3_BDPV12</stp>
        <stp>GMKN RX EQUITY</stp>
        <stp>TRAIL_12M_PROF_MARGIN</stp>
        <stp>[upload (2).xlsm]Model Portfolio!R29C25</stp>
        <tr r="Y29" s="98"/>
      </tp>
      <tp t="s">
        <v>#N/A N/A</v>
        <stp/>
        <stp>##V3_BDPV12</stp>
        <stp>XS0300998779 Corp</stp>
        <stp>px_ask</stp>
        <stp>[upload (2).xlsm]Base all $ 3 Duration!R58C5</stp>
        <tr r="E58" s="66"/>
      </tp>
      <tp t="s">
        <v>Macy's Inc</v>
        <stp/>
        <stp>##V3_BDPV12</stp>
        <stp>M US Equity</stp>
        <stp>SECURITY_NAME</stp>
        <stp>[Copy of upload (2).xlsm]Гарез_GRENF!R84C4</stp>
        <tr r="D84" s="115"/>
      </tp>
      <tp>
        <v>100</v>
        <stp/>
        <stp>##V3_BDPV12</stp>
        <stp>XS1043519567 Corp</stp>
        <stp>px_ask</stp>
        <stp>[upload (2).xlsm]Base all $ 3 Duration!R74C5</stp>
        <tr r="E74" s="66"/>
      </tp>
      <tp t="s">
        <v>#N/A N/A</v>
        <stp/>
        <stp>##V3_BDPV12</stp>
        <stp>NMTP RX EQUITY</stp>
        <stp>TRAIL_12M_PROF_MARGIN</stp>
        <stp>[upload (2).xlsm]Model Portfolio!R49C25</stp>
        <tr r="Y49" s="98"/>
      </tp>
      <tp>
        <v>3</v>
        <stp/>
        <stp>##V3_BDPV12</stp>
        <stp>TGKA RX EQUITY</stp>
        <stp>EQY_REC_CONS</stp>
        <stp>[upload (2).xlsm]Model Portfolio!R60C29</stp>
        <tr r="AC60" s="98"/>
      </tp>
      <tp t="s">
        <v>#N/A N/A</v>
        <stp/>
        <stp>##V3_BDPV12</stp>
        <stp>RSTI RX EQUITY</stp>
        <stp>PX_TO_FREE_CASH_FLOW</stp>
        <stp>[upload (2).xlsm]Model Portfolio!R54C19</stp>
        <tr r="S54" s="98"/>
      </tp>
      <tp>
        <v>13.27097005930133</v>
        <stp/>
        <stp>##V3_BDPV12</stp>
        <stp>RTKM RX EQUITY</stp>
        <stp>PX_TO_FREE_CASH_FLOW</stp>
        <stp>[upload (2).xlsm]Model Portfolio!R66C19</stp>
        <tr r="S66" s="98"/>
      </tp>
      <tp>
        <v>4.1428570000000002</v>
        <stp/>
        <stp>##V3_BDPV12</stp>
        <stp>TATN RX EQUITY</stp>
        <stp>EQY_REC_CONS</stp>
        <stp>[upload (2).xlsm]Model Portfolio!R14C29</stp>
        <tr r="AC14" s="98"/>
      </tp>
      <tp>
        <v>36.656134216562144</v>
        <stp/>
        <stp>##V3_BDPV12</stp>
        <stp>FEES RX EQUITY</stp>
        <stp>SALES_GROWTH</stp>
        <stp>[upload (2).xlsm]Model Portfolio!R56C21</stp>
        <tr r="U56" s="98"/>
      </tp>
      <tp>
        <v>-38.46153846153846</v>
        <stp/>
        <stp>##V3_BDPV12</stp>
        <stp>FESH RX EQUITY</stp>
        <stp>SALES_GROWTH</stp>
        <stp>[upload (2).xlsm]Model Portfolio!R45C21</stp>
        <tr r="U45" s="98"/>
      </tp>
      <tp>
        <v>2.6349553539375008</v>
        <stp/>
        <stp>##V3_BDPV12</stp>
        <stp>FXPO LN EQUITY</stp>
        <stp>SALES_GROWTH</stp>
        <stp>[upload (2).xlsm]Model Portfolio!R27C21</stp>
        <tr r="U27" s="98"/>
      </tp>
      <tp>
        <v>3.9108643000000001</v>
        <stp/>
        <stp>##V3_BDPV12</stp>
        <stp>XS0088543193 Corp</stp>
        <stp>YLD_CNV_BID</stp>
        <stp>[Copy of upload (2).xlsm]Гарез_GRENF (2)!R11C20</stp>
        <tr r="T11" s="116"/>
      </tp>
      <tp>
        <v>7.9128164171394841</v>
        <stp/>
        <stp>##V3_BDPV12</stp>
        <stp>RASP RX EQUITY</stp>
        <stp>PX_TO_FREE_CASH_FLOW</stp>
        <stp>[upload (2).xlsm]Model Portfolio!R28C19</stp>
        <tr r="S28" s="98"/>
      </tp>
      <tp>
        <v>4</v>
        <stp/>
        <stp>##V3_BDPV12</stp>
        <stp>TRCN RX EQUITY</stp>
        <stp>EQY_REC_CONS</stp>
        <stp>[upload (2).xlsm]Model Portfolio!R50C29</stp>
        <tr r="AC50" s="98"/>
      </tp>
      <tp>
        <v>4.3333329999999997</v>
        <stp/>
        <stp>##V3_BDPV12</stp>
        <stp>TRMK RX EQUITY</stp>
        <stp>EQY_REC_CONS</stp>
        <stp>[upload (2).xlsm]Model Portfolio!R21C29</stp>
        <tr r="AC21" s="98"/>
      </tp>
      <tp>
        <v>27.799702776149889</v>
        <stp/>
        <stp>##V3_BDPV12</stp>
        <stp>FIVE LI EQUITY</stp>
        <stp>SALES_GROWTH</stp>
        <stp>[upload (2).xlsm]Model Portfolio!R36C21</stp>
        <tr r="U36" s="98"/>
      </tp>
      <tp t="s">
        <v>#N/A N/A</v>
        <stp/>
        <stp>##V3_BDPV12</stp>
        <stp>ROSN RX EQUITY</stp>
        <stp>PX_TO_FREE_CASH_FLOW</stp>
        <stp>[upload (2).xlsm]Model Portfolio!R17C19</stp>
        <tr r="S17" s="98"/>
      </tp>
      <tp t="s">
        <v>01/06/2018</v>
        <stp/>
        <stp>##V3_BDPV12</stp>
        <stp>OGZD LI Equity</stp>
        <stp>BDVD_NEXT_EST_DECL_DT</stp>
        <stp>[Copy of upload (2).xlsm]Гарез_GRENF (2)!R7C22</stp>
        <tr r="V7" s="116"/>
      </tp>
      <tp>
        <v>6.5</v>
        <stp/>
        <stp>##V3_BDPV12</stp>
        <stp>XS0808638612 Corp</stp>
        <stp>CPN</stp>
        <stp>[upload (2).xlsm]Base all $ 3 Duration!R105C8</stp>
        <tr r="H105" s="66"/>
      </tp>
      <tp t="s">
        <v>Commer Banks Non-US</v>
        <stp/>
        <stp>##V3_BDPV12</stp>
        <stp>XS0979891925 Corp</stp>
        <stp>INDUSTRY_SUBGROUP</stp>
        <stp>[upload (2).xlsm]Base all $ 3 Duration!R124C11</stp>
        <tr r="K124" s="66"/>
      </tp>
      <tp>
        <v>3.1298533000000002</v>
        <stp/>
        <stp>##V3_BDPV12</stp>
        <stp>XS0885733153 Corp</stp>
        <stp>YLD_YTM_BID</stp>
        <stp>[upload (2).xlsm]Base all $ 3 Duration!R115C6</stp>
        <tr r="F115" s="66"/>
      </tp>
      <tp>
        <v>4.5629999999999997</v>
        <stp/>
        <stp>##V3_BDPV12</stp>
        <stp>XS0919504562 Corp</stp>
        <stp>CPN</stp>
        <stp>[upload (2).xlsm]Base all $ 3 Duration!R148C8</stp>
        <tr r="H148" s="66"/>
      </tp>
      <tp>
        <v>2.3514849999999998</v>
        <stp/>
        <stp>##V3_BDPV12</stp>
        <stp>BANEP RX EQUITY</stp>
        <stp>CHG_PCT_1M</stp>
        <stp>[upload (2).xlsm]Model Portfolio!R8C5</stp>
        <tr r="E8" s="98"/>
      </tp>
      <tp t="s">
        <v>Special Purpose Banks</v>
        <stp/>
        <stp>##V3_BDPV12</stp>
        <stp>XS0559915961 Corp</stp>
        <stp>INDUSTRY_SUBGROUP</stp>
        <stp>[upload (2).xlsm]Base all $ 3 Duration!R135C11</stp>
        <tr r="K135" s="66"/>
      </tp>
      <tp>
        <v>6.6040000000000001</v>
        <stp/>
        <stp>##V3_BDPV12</stp>
        <stp>XS0588433267 Corp</stp>
        <stp>CPN</stp>
        <stp>[upload (2).xlsm]Base all $ 3 Duration!R146C8</stp>
        <tr r="H146" s="66"/>
      </tp>
      <tp t="s">
        <v>#N/A N/A</v>
        <stp/>
        <stp>##V3_BDPV12</stp>
        <stp>XS0953323317 Corp</stp>
        <stp>YLD_YTM_BID</stp>
        <stp>[upload (2).xlsm]Base all $ 3 Duration!R118C6</stp>
        <tr r="F118" s="66"/>
      </tp>
      <tp>
        <v>7.7480000000000002</v>
        <stp/>
        <stp>##V3_BDPV12</stp>
        <stp>XS0587031096 Corp</stp>
        <stp>CPN</stp>
        <stp>[upload (2).xlsm]Base all $ 3 Duration!R134C8</stp>
        <tr r="H134" s="66"/>
      </tp>
      <tp>
        <v>4.5515843</v>
        <stp/>
        <stp>##V3_BDPV12</stp>
        <stp>XS0885736925 Corp</stp>
        <stp>YLD_YTM_BID</stp>
        <stp>[upload (2).xlsm]Base all $ 3 Duration!R140C6</stp>
        <tr r="F140" s="66"/>
      </tp>
      <tp>
        <v>3.0603151115669823E-2</v>
        <stp/>
        <stp>##V3_BDPV12</stp>
        <stp>RTKMP RX EQUITY</stp>
        <stp>SALES_GROWTH</stp>
        <stp>[upload (2).xlsm]Model Portfolio!R63C21</stp>
        <tr r="U63" s="98"/>
      </tp>
      <tp>
        <v>103.50700000000001</v>
        <stp/>
        <stp>##V3_BDPV12</stp>
        <stp>XS0869792928 Corp</stp>
        <stp>px_ask</stp>
        <stp>[upload (2).xlsm]Base all $ 3 Duration!R10C5</stp>
        <tr r="E10" s="66"/>
      </tp>
      <tp t="s">
        <v>#N/A N/A</v>
        <stp/>
        <stp>##V3_BDPV12</stp>
        <stp>XS1059697323 Corp</stp>
        <stp>px_ask</stp>
        <stp>[upload (2).xlsm]Base all $ 3 Duration!R20C5</stp>
        <tr r="E20" s="66"/>
      </tp>
      <tp>
        <v>4.0375574502234421</v>
        <stp/>
        <stp>##V3_BDPV12</stp>
        <stp>KMAZ RX EQUITY</stp>
        <stp>EBIT_MARGIN</stp>
        <stp>[upload (2).xlsm]Model Portfolio!R73C24</stp>
        <tr r="X73" s="98"/>
      </tp>
      <tp>
        <v>12.034736370172679</v>
        <stp/>
        <stp>##V3_BDPV12</stp>
        <stp>SNGS RX EQUITY</stp>
        <stp>TRAIL_12M_PROF_MARGIN</stp>
        <stp>[upload (2).xlsm]Model Portfolio!R10C25</stp>
        <tr r="Y10" s="98"/>
      </tp>
      <tp>
        <v>10.70442189825785</v>
        <stp/>
        <stp>##V3_BDPV12</stp>
        <stp>ENRU RM EQUITY</stp>
        <stp>TRAIL_12M_PROF_MARGIN</stp>
        <stp>[upload (2).xlsm]Model Portfolio!R53C25</stp>
        <tr r="Y53" s="98"/>
      </tp>
      <tp t="s">
        <v>#N/A N/A</v>
        <stp/>
        <stp>##V3_BDPV12</stp>
        <stp>XS0276456315 Corp</stp>
        <stp>px_ask</stp>
        <stp>[upload (2).xlsm]Base all $ 3 Duration!R90C5</stp>
        <tr r="E90" s="66"/>
      </tp>
      <tp t="s">
        <v>#N/A N/A</v>
        <stp/>
        <stp>##V3_BDPV12</stp>
        <stp>XS0772509484 Corp</stp>
        <stp>px_ask</stp>
        <stp>[upload (2).xlsm]Base all $ 3 Duration!R78C5</stp>
        <tr r="E78" s="66"/>
      </tp>
      <tp t="s">
        <v>KNFP 0 04/15/19</v>
        <stp/>
        <stp>##V3_BDPV12</stp>
        <stp>XS1513280757 Corp</stp>
        <stp>SECURITY_NAME</stp>
        <stp>[Copy of upload (2).xlsm]Гарез_GRENF!R53C4</stp>
        <tr r="D53" s="115"/>
      </tp>
      <tp>
        <v>14.535443173313375</v>
        <stp/>
        <stp>##V3_BDPV12</stp>
        <stp>QIWI US EQUITY</stp>
        <stp>TRAIL_12M_PROF_MARGIN</stp>
        <stp>[upload (2).xlsm]Model Portfolio!R40C25</stp>
        <tr r="Y40" s="98"/>
      </tp>
      <tp>
        <v>-3.3130414422851793</v>
        <stp/>
        <stp>##V3_BDPV12</stp>
        <stp>GMKN RX EQUITY</stp>
        <stp>SALES_GROWTH</stp>
        <stp>[upload (2).xlsm]Model Portfolio!R29C21</stp>
        <tr r="U29" s="98"/>
      </tp>
      <tp t="s">
        <v>USD</v>
        <stp/>
        <stp>##V3_BDPV12</stp>
        <stp>XS1255387976 Corp</stp>
        <stp>CRNCY</stp>
        <stp>[Copy of upload (2).xlsm]Гарез_GRENF (2)!R19C15</stp>
        <tr r="O19" s="116"/>
      </tp>
      <tp>
        <v>4.1025640000000001</v>
        <stp/>
        <stp>##V3_BDPV12</stp>
        <stp>KMG LI EQUITY</stp>
        <stp>CHG_PCT_1M</stp>
        <stp>[upload (2).xlsm]Model Portfolio!R9C5</stp>
        <tr r="E9" s="98"/>
      </tp>
      <tp>
        <v>14.691178893914863</v>
        <stp/>
        <stp>##V3_BDPV12</stp>
        <stp>SVAV RX EQUITY</stp>
        <stp>PX_TO_FREE_CASH_FLOW</stp>
        <stp>[upload (2).xlsm]Model Portfolio!R72C19</stp>
        <tr r="S72" s="98"/>
      </tp>
      <tp>
        <v>0.62129136001111751</v>
        <stp/>
        <stp>##V3_BDPV12</stp>
        <stp>GAZP RX EQUITY</stp>
        <stp>SALES_GROWTH</stp>
        <stp>[upload (2).xlsm]Model Portfolio!R12C21</stp>
        <tr r="U12" s="98"/>
      </tp>
      <tp t="s">
        <v>#N/A Field Not Applicable</v>
        <stp/>
        <stp>##V3_BDPV12</stp>
        <stp>VIP US EQUITY</stp>
        <stp>PX_TO_FREE_CASH_FLOW</stp>
        <stp>[upload (2).xlsm]Model Portfolio!R61C19</stp>
        <tr r="S61" s="98"/>
      </tp>
      <tp t="s">
        <v>#N/A N/A</v>
        <stp/>
        <stp>##V3_BDPV12</stp>
        <stp>SBER RX EQUITY</stp>
        <stp>PX_TO_FREE_CASH_FLOW</stp>
        <stp>[upload (2).xlsm]Model Portfolio!R75C19</stp>
        <tr r="S75" s="98"/>
      </tp>
      <tp>
        <v>1.8</v>
        <stp/>
        <stp>##V3_BDPV12</stp>
        <stp>URKA RX EQUITY</stp>
        <stp>EQY_REC_CONS</stp>
        <stp>[upload (2).xlsm]Model Portfolio!R31C29</stp>
        <tr r="AC31" s="98"/>
      </tp>
      <tp>
        <v>3.8571430000000002</v>
        <stp/>
        <stp>##V3_BDPV12</stp>
        <stp>UPRO RX EQUITY</stp>
        <stp>EQY_REC_CONS</stp>
        <stp>[upload (2).xlsm]Model Portfolio!R52C29</stp>
        <tr r="AC52" s="98"/>
      </tp>
      <tp t="s">
        <v>#N/A N/A</v>
        <stp/>
        <stp>##V3_BDPV12</stp>
        <stp>SIBN RX EQUITY</stp>
        <stp>PX_TO_FREE_CASH_FLOW</stp>
        <stp>[upload (2).xlsm]Model Portfolio!R15C19</stp>
        <tr r="S15" s="98"/>
      </tp>
      <tp>
        <v>4.6589497972796927</v>
        <stp/>
        <stp>##V3_BDPV12</stp>
        <stp>EVR LN EQUITY</stp>
        <stp>PX_TO_FREE_CASH_FLOW</stp>
        <stp>[upload (2).xlsm]Model Portfolio!R26C19</stp>
        <tr r="S26" s="98"/>
      </tp>
      <tp>
        <v>1.8888023344221907</v>
        <stp/>
        <stp>##V3_BDPV12</stp>
        <stp>GLTR LI EQUITY</stp>
        <stp>SALES_GROWTH</stp>
        <stp>[upload (2).xlsm]Model Portfolio!R48C21</stp>
        <tr r="U48" s="98"/>
      </tp>
      <tp>
        <v>-18.295652859804971</v>
        <stp/>
        <stp>##V3_BDPV12</stp>
        <stp>GLPR LI EQUITY</stp>
        <stp>SALES_GROWTH</stp>
        <stp>[upload (2).xlsm]Model Portfolio!R46C21</stp>
        <tr r="U46" s="98"/>
      </tp>
      <tp>
        <v>3.9247548042043134</v>
        <stp/>
        <stp>##V3_BDPV12</stp>
        <stp>SNGS RX EQUITY</stp>
        <stp>PX_TO_FREE_CASH_FLOW</stp>
        <stp>[upload (2).xlsm]Model Portfolio!R10C19</stp>
        <tr r="S10" s="98"/>
      </tp>
      <tp>
        <v>2.083333333333333</v>
        <stp/>
        <stp>##V3_BDPV12</stp>
        <stp>SNGSP RX EQUITY</stp>
        <stp>BDVD_PROJ_12M_YLD</stp>
        <stp>[upload (2).xlsm]Model Portfolio!R11C27</stp>
        <tr r="AA11" s="98"/>
      </tp>
      <tp>
        <v>0.81411409999999995</v>
        <stp/>
        <stp>##V3_BDPV12</stp>
        <stp>KMG LI EQUITY</stp>
        <stp>EQY_BETA_6M</stp>
        <stp>[upload (2).xlsm]Model Portfolio!R9C14</stp>
        <tr r="N9" s="98"/>
      </tp>
      <tp>
        <v>3.3245406000000002</v>
        <stp/>
        <stp>##V3_BDPV12</stp>
        <stp>XS0555493203 Corp</stp>
        <stp>YLD_YTM_BID</stp>
        <stp>[upload (2).xlsm]Base all $ 3 Duration!R109C6</stp>
        <tr r="F109" s="66"/>
      </tp>
      <tp>
        <v>3.6840201000000001</v>
        <stp/>
        <stp>##V3_BDPV12</stp>
        <stp>XS0764220017 Corp</stp>
        <stp>YLD_YTM_BID</stp>
        <stp>[upload (2).xlsm]Base all $ 3 Duration!R149C6</stp>
        <tr r="F149" s="66"/>
      </tp>
      <tp>
        <v>3.8255549000000002</v>
        <stp/>
        <stp>##V3_BDPV12</stp>
        <stp>XS0620695204 Corp</stp>
        <stp>YLD_YTM_BID</stp>
        <stp>[upload (2).xlsm]Base all $ 3 Duration!R138C6</stp>
        <tr r="F138" s="66"/>
      </tp>
      <tp t="s">
        <v>Cellular Telecom</v>
        <stp/>
        <stp>##V3_BDPV12</stp>
        <stp>XS0513723873 Corp</stp>
        <stp>INDUSTRY_SUBGROUP</stp>
        <stp>[upload (2).xlsm]Base all $ 3 Duration!R110C11</stp>
        <tr r="K110" s="66"/>
      </tp>
      <tp>
        <v>7.2880000000000003</v>
        <stp/>
        <stp>##V3_BDPV12</stp>
        <stp>XS0316524130 Corp</stp>
        <stp>CPN</stp>
        <stp>[upload (2).xlsm]Base all $ 3 Duration!R129C8</stp>
        <tr r="H129" s="66"/>
      </tp>
      <tp>
        <v>6.75</v>
        <stp/>
        <stp>##V3_BDPV12</stp>
        <stp>XS0911599701 Corp</stp>
        <stp>CPN</stp>
        <stp>[upload (2).xlsm]Base all $ 3 Duration!R104C8</stp>
        <tr r="H104" s="66"/>
      </tp>
      <tp t="s">
        <v>#N/A Field Not Applicable</v>
        <stp/>
        <stp>##V3_BDPV12</stp>
        <stp>TATNP RX EQUITY</stp>
        <stp>PX_TO_FREE_CASH_FLOW</stp>
        <stp>[upload (2).xlsm]Model Portfolio!R19C19</stp>
        <tr r="S19" s="98"/>
      </tp>
      <tp t="s">
        <v>#N/A N/A</v>
        <stp/>
        <stp>##V3_BDPV12</stp>
        <stp>XS0292530309 Corp</stp>
        <stp>px_ask</stp>
        <stp>[upload (2).xlsm]Base all $ 3 Duration!R81C5</stp>
        <tr r="E81" s="66"/>
      </tp>
      <tp>
        <v>69364708473.23999</v>
        <stp/>
        <stp>##V3_BDPV12</stp>
        <stp>TRMK RX EQUITY</stp>
        <stp>CUR_MKT_CAP</stp>
        <stp>[upload (2).xlsm]Model Portfolio!R21C10</stp>
        <tr r="J21" s="98"/>
      </tp>
      <tp t="s">
        <v>#N/A N/A</v>
        <stp/>
        <stp>##V3_BDPV12</stp>
        <stp>XS0299183250 Corp</stp>
        <stp>px_ask</stp>
        <stp>[upload (2).xlsm]Base all $ 3 Duration!R40C5</stp>
        <tr r="E40" s="66"/>
      </tp>
      <tp>
        <v>107.339</v>
        <stp/>
        <stp>##V3_BDPV12</stp>
        <stp>XS0832412505 Corp</stp>
        <stp>px_ask</stp>
        <stp>[upload (2).xlsm]Base all $ 3 Duration!R30C5</stp>
        <tr r="E30" s="66"/>
      </tp>
      <tp>
        <v>54.796595601181828</v>
        <stp/>
        <stp>##V3_BDPV12</stp>
        <stp>MOEX RX EQUITY</stp>
        <stp>TRAIL_12M_PROF_MARGIN</stp>
        <stp>[upload (2).xlsm]Model Portfolio!R74C25</stp>
        <tr r="Y74" s="98"/>
      </tp>
      <tp t="s">
        <v>#N/A N/A</v>
        <stp/>
        <stp>##V3_BDPV12</stp>
        <stp>XS0742380412 Corp</stp>
        <stp>px_ask</stp>
        <stp>[upload (2).xlsm]Base all $ 3 Duration!R86C5</stp>
        <tr r="E86" s="66"/>
      </tp>
      <tp>
        <v>208056663360</v>
        <stp/>
        <stp>##V3_BDPV12</stp>
        <stp>PIKK RX EQUITY</stp>
        <stp>CUR_MKT_CAP</stp>
        <stp>[upload (2).xlsm]Model Portfolio!R68C10</stp>
        <tr r="J68" s="98"/>
      </tp>
      <tp>
        <v>100.494</v>
        <stp/>
        <stp>##V3_BDPV12</stp>
        <stp>XS0544362972 Corp</stp>
        <stp>px_ask</stp>
        <stp>[upload (2).xlsm]Base all $ 3 Duration!R70C5</stp>
        <tr r="E70" s="66"/>
      </tp>
      <tp>
        <v>21.241715422053996</v>
        <stp/>
        <stp>##V3_BDPV12</stp>
        <stp>486 HK EQUITY</stp>
        <stp>PX_TO_FREE_CASH_FLOW</stp>
        <stp>[upload (2).xlsm]Model Portfolio!R30C19</stp>
        <tr r="S30" s="98"/>
      </tp>
      <tp>
        <v>2.1349999999999998</v>
        <stp/>
        <stp>##V3_BDPV12</stp>
        <stp>XS0993279958 Corp</stp>
        <stp>px_ask</stp>
        <stp>[upload (2).xlsm]Base all $ 3 Duration!R13C5</stp>
        <tr r="E13" s="66"/>
      </tp>
      <tp>
        <v>2.8820010875475801</v>
        <stp/>
        <stp>##V3_BDPV12</stp>
        <stp>ROSN RX EQUITY</stp>
        <stp>TRAIL_12M_PROF_MARGIN</stp>
        <stp>[upload (2).xlsm]Model Portfolio!R17C25</stp>
        <tr r="Y17" s="98"/>
      </tp>
      <tp>
        <v>786551142977.6001</v>
        <stp/>
        <stp>##V3_BDPV12</stp>
        <stp>NLMK RX EQUITY</stp>
        <stp>CUR_MKT_CAP</stp>
        <stp>[upload (2).xlsm]Model Portfolio!R22C10</stp>
        <tr r="J22" s="98"/>
      </tp>
      <tp>
        <v>1821783600000</v>
        <stp/>
        <stp>##V3_BDPV12</stp>
        <stp>NVTK RX EQUITY</stp>
        <stp>CUR_MKT_CAP</stp>
        <stp>[upload (2).xlsm]Model Portfolio!R16C10</stp>
        <tr r="J16" s="98"/>
      </tp>
      <tp>
        <v>3.923076868057251</v>
        <stp/>
        <stp>##V3_BDPV12</stp>
        <stp>LXFT US Equity</stp>
        <stp>EQY_REC_CONS</stp>
        <stp>[Copy of upload (2).xlsm]Гарез_GRENF (2)!R6C10</stp>
        <tr r="J6" s="116"/>
      </tp>
      <tp t="s">
        <v>#N/A N/A</v>
        <stp/>
        <stp>##V3_BDPV12</stp>
        <stp>LNTA LI EQUITY</stp>
        <stp>PX_TO_FREE_CASH_FLOW</stp>
        <stp>[upload (2).xlsm]Model Portfolio!R37C19</stp>
        <tr r="S37" s="98"/>
      </tp>
      <tp t="s">
        <v>#N/A N/A</v>
        <stp/>
        <stp>##V3_BDPV12</stp>
        <stp>LSRG RX EQUITY</stp>
        <stp>PX_TO_FREE_CASH_FLOW</stp>
        <stp>[upload (2).xlsm]Model Portfolio!R69C19</stp>
        <tr r="S69" s="98"/>
      </tp>
      <tp>
        <v>0.57381769999999999</v>
        <stp/>
        <stp>##V3_BDPV12</stp>
        <stp>LNTA LI EQUITY</stp>
        <stp>EQY_BETA_6M</stp>
        <stp>[upload (2).xlsm]Model Portfolio!R37C14</stp>
        <tr r="N37" s="98"/>
      </tp>
      <tp>
        <v>20.994663019016837</v>
        <stp/>
        <stp>##V3_BDPV12</stp>
        <stp>LXFT US EQUITY</stp>
        <stp>PX_TO_FREE_CASH_FLOW</stp>
        <stp>[upload (2).xlsm]Model Portfolio!R41C19</stp>
        <tr r="S41" s="98"/>
      </tp>
      <tp>
        <v>26.933516456789039</v>
        <stp/>
        <stp>##V3_BDPV12</stp>
        <stp>LKOH RX EQUITY</stp>
        <stp>PX_TO_FREE_CASH_FLOW</stp>
        <stp>[upload (2).xlsm]Model Portfolio!R13C19</stp>
        <tr r="S13" s="98"/>
      </tp>
      <tp>
        <v>0.49658550000000001</v>
        <stp/>
        <stp>##V3_BDPV12</stp>
        <stp>URKA RX EQUITY</stp>
        <stp>EQY_BETA_6M</stp>
        <stp>[upload (2).xlsm]Model Portfolio!R31C14</stp>
        <tr r="N31" s="98"/>
      </tp>
      <tp>
        <v>0.87821700000000003</v>
        <stp/>
        <stp>##V3_BDPV12</stp>
        <stp>TGKA RX EQUITY</stp>
        <stp>EQY_BETA_6M</stp>
        <stp>[upload (2).xlsm]Model Portfolio!R60C14</stp>
        <tr r="N60" s="98"/>
      </tp>
      <tp>
        <v>6.8076875495490921</v>
        <stp/>
        <stp>##V3_BDPV12</stp>
        <stp>486 HK EQUITY</stp>
        <stp>EST_PE_NXT_YR</stp>
        <stp>[upload (2).xlsm]Model Portfolio!R30C15</stp>
        <tr r="O30" s="98"/>
      </tp>
      <tp t="s">
        <v>Y</v>
        <stp/>
        <stp>##V3_BDPV12</stp>
        <stp>XS0841671000 Corp</stp>
        <stp>RUSSIAN_CB_LOMBARD</stp>
        <stp>[upload (2).xlsm]Base all $ 3 Duration!R141C16</stp>
        <tr r="P141" s="66"/>
      </tp>
      <tp t="s">
        <v>Y</v>
        <stp/>
        <stp>##V3_BDPV12</stp>
        <stp>XS0864383723 Corp</stp>
        <stp>RUSSIAN_CB_LOMBARD</stp>
        <stp>[upload (2).xlsm]Base all $ 3 Duration!R147C16</stp>
        <tr r="P147" s="66"/>
      </tp>
      <tp t="s">
        <v>Y</v>
        <stp/>
        <stp>##V3_BDPV12</stp>
        <stp>XS0316524130 Corp</stp>
        <stp>RUSSIAN_CB_LOMBARD</stp>
        <stp>[upload (2).xlsm]Base all $ 3 Duration!R129C16</stp>
        <tr r="P129" s="66"/>
      </tp>
      <tp t="s">
        <v>Y</v>
        <stp/>
        <stp>##V3_BDPV12</stp>
        <stp>XS0918604496 Corp</stp>
        <stp>RUSSIAN_CB_LOMBARD</stp>
        <stp>[upload (2).xlsm]Base all $ 3 Duration!R103C16</stp>
        <tr r="P103" s="66"/>
      </tp>
      <tp t="s">
        <v>N</v>
        <stp/>
        <stp>##V3_BDPV12</stp>
        <stp>XS0919504562 Corp</stp>
        <stp>RUSSIAN_CB_LOMBARD</stp>
        <stp>[upload (2).xlsm]Base all $ 3 Duration!R148C16</stp>
        <tr r="P148" s="66"/>
      </tp>
      <tp>
        <v>200000</v>
        <stp/>
        <stp>##V3_BDPV12</stp>
        <stp>XS0830192711 Corp</stp>
        <stp>MIN_PIECE</stp>
        <stp>[upload (2).xlsm]Base all $ 3 Duration!R145C20</stp>
        <tr r="T145" s="66"/>
      </tp>
      <tp>
        <v>106.869</v>
        <stp/>
        <stp>##V3_BDPV12</stp>
        <stp>XS0808636913 Corp</stp>
        <stp>px_last</stp>
        <stp>[upload (2).xlsm]Base all $ 3 Duration!R17C4</stp>
        <tr r="D17" s="66"/>
      </tp>
      <tp t="s">
        <v>#N/A Field Not Applicable</v>
        <stp/>
        <stp>##V3_BDPV12</stp>
        <stp>XS0652913558 Corp</stp>
        <stp>px_last</stp>
        <stp>[upload (2).xlsm]Base all $ 3 Duration!R60C4</stp>
        <tr r="D60" s="66"/>
      </tp>
      <tp>
        <v>200000</v>
        <stp/>
        <stp>##V3_BDPV12</stp>
        <stp>XS1032750165 Corp</stp>
        <stp>MIN_PIECE</stp>
        <stp>[upload (2).xlsm]Base all $ 3 Duration!R134C20</stp>
        <tr r="T134" s="66"/>
      </tp>
      <tp>
        <v>100.536</v>
        <stp/>
        <stp>##V3_BDPV12</stp>
        <stp>XS0922883318 Corp</stp>
        <stp>px_last</stp>
        <stp>[upload (2).xlsm]Base all $ 3 Duration!R56C4</stp>
        <tr r="D56" s="66"/>
      </tp>
      <tp>
        <v>99.049000000000007</v>
        <stp/>
        <stp>##V3_BDPV12</stp>
        <stp>XS0923110232 Corp</stp>
        <stp>px_last</stp>
        <stp>[upload (2).xlsm]Base all $ 3 Duration!R35C4</stp>
        <tr r="D35" s="66"/>
      </tp>
      <tp>
        <v>200000</v>
        <stp/>
        <stp>##V3_BDPV12</stp>
        <stp>XS0861981180 Corp</stp>
        <stp>MIN_PIECE</stp>
        <stp>[upload (2).xlsm]Base all $ 3 Duration!R147C20</stp>
        <tr r="T147" s="66"/>
      </tp>
      <tp>
        <v>200000</v>
        <stp/>
        <stp>##V3_BDPV12</stp>
        <stp>XS0587031096 Corp</stp>
        <stp>MIN_PIECE</stp>
        <stp>[upload (2).xlsm]Base all $ 3 Duration!R136C20</stp>
        <tr r="T136" s="66"/>
      </tp>
      <tp>
        <v>3.8086599200017486</v>
        <stp/>
        <stp>##V3_BDPV12</stp>
        <stp>MVID RX EQUITY</stp>
        <stp>EBIT_MARGIN</stp>
        <stp>[upload (2).xlsm]Model Portfolio!R38C24</stp>
        <tr r="X38" s="98"/>
      </tp>
      <tp>
        <v>3.4468925143582916</v>
        <stp/>
        <stp>##V3_BDPV12</stp>
        <stp>LNTA LI EQUITY</stp>
        <stp>TRAIL_12M_PROF_MARGIN</stp>
        <stp>[upload (2).xlsm]Model Portfolio!R37C25</stp>
        <tr r="Y37" s="98"/>
      </tp>
      <tp>
        <v>888115269895</v>
        <stp/>
        <stp>##V3_BDPV12</stp>
        <stp>TATNP RX EQUITY</stp>
        <stp>CUR_MKT_CAP</stp>
        <stp>[upload (2).xlsm]Model Portfolio!R19C10</stp>
        <tr r="J19" s="98"/>
      </tp>
      <tp t="s">
        <v>06/06/2018</v>
        <stp/>
        <stp>##V3_BDPV12</stp>
        <stp>XS0808636913 Corp</stp>
        <stp>MATURITY</stp>
        <stp>[upload (2).xlsm]Base all $ 3 Duration!R17C9</stp>
        <tr r="I17" s="66"/>
      </tp>
      <tp t="s">
        <v>17/12/2019</v>
        <stp/>
        <stp>##V3_BDPV12</stp>
        <stp>XS0940730228 Corp</stp>
        <stp>MATURITY</stp>
        <stp>[upload (2).xlsm]Base all $ 3 Duration!R25C9</stp>
        <tr r="I25" s="66"/>
      </tp>
      <tp>
        <v>39.726054022892193</v>
        <stp/>
        <stp>##V3_BDPV12</stp>
        <stp>UPRO RX EQUITY</stp>
        <stp>TRAIL_12M_PROF_MARGIN</stp>
        <stp>[upload (2).xlsm]Model Portfolio!R52C25</stp>
        <tr r="Y52" s="98"/>
      </tp>
      <tp t="s">
        <v>21/04/2016</v>
        <stp/>
        <stp>##V3_BDPV12</stp>
        <stp>XS0616784509 Corp</stp>
        <stp>MATURITY</stp>
        <stp>[upload (2).xlsm]Base all $ 3 Duration!R24C9</stp>
        <tr r="I24" s="66"/>
      </tp>
      <tp t="s">
        <v>22/11/2016</v>
        <stp/>
        <stp>##V3_BDPV12</stp>
        <stp>XS0276456315 Corp</stp>
        <stp>MATURITY</stp>
        <stp>[upload (2).xlsm]Base all $ 3 Duration!R90C9</stp>
        <tr r="I90" s="66"/>
      </tp>
      <tp t="s">
        <v>26/04/2019</v>
        <stp/>
        <stp>##V3_BDPV12</stp>
        <stp>XS0776121062 Corp</stp>
        <stp>MATURITY</stp>
        <stp>[upload (2).xlsm]Base all $ 3 Duration!R27C9</stp>
        <tr r="I27" s="66"/>
      </tp>
      <tp>
        <v>268371425000</v>
        <stp/>
        <stp>##V3_BDPV12</stp>
        <stp>TRNFP RX EQUITY</stp>
        <stp>CUR_MKT_CAP</stp>
        <stp>[upload (2).xlsm]Model Portfolio!R20C10</stp>
        <tr r="J20" s="98"/>
      </tp>
      <tp>
        <v>217125486454.5</v>
        <stp/>
        <stp>##V3_BDPV12</stp>
        <stp>AFLT RX EQUITY</stp>
        <stp>CUR_MKT_CAP</stp>
        <stp>[upload (2).xlsm]Model Portfolio!R47C10</stp>
        <tr r="J47" s="98"/>
      </tp>
      <tp t="s">
        <v>19/11/2015</v>
        <stp/>
        <stp>##V3_BDPV12</stp>
        <stp>XS0855334289 Corp</stp>
        <stp>MATURITY</stp>
        <stp>[upload (2).xlsm]Base all $ 3 Duration!R50C9</stp>
        <tr r="I50" s="66"/>
      </tp>
      <tp t="s">
        <v>25/04/2017</v>
        <stp/>
        <stp>##V3_BDPV12</stp>
        <stp>XS0775984213 Corp</stp>
        <stp>MATURITY</stp>
        <stp>[upload (2).xlsm]Base all $ 3 Duration!R42C9</stp>
        <tr r="I42" s="66"/>
      </tp>
      <tp t="s">
        <v>26/09/2019</v>
        <stp/>
        <stp>##V3_BDPV12</stp>
        <stp>XS0832412505 Corp</stp>
        <stp>MATURITY</stp>
        <stp>[upload (2).xlsm]Base all $ 3 Duration!R30C9</stp>
        <tr r="I30" s="66"/>
      </tp>
      <tp>
        <v>1623194741.05</v>
        <stp/>
        <stp>##V3_BDPV12</stp>
        <stp>LXFT US EQUITY</stp>
        <stp>CUR_MKT_CAP</stp>
        <stp>[upload (2).xlsm]Model Portfolio!R41C10</stp>
        <tr r="J41" s="98"/>
      </tp>
      <tp>
        <v>1008685973785</v>
        <stp/>
        <stp>##V3_BDPV12</stp>
        <stp>MGNT RX EQUITY</stp>
        <stp>CUR_MKT_CAP</stp>
        <stp>[upload (2).xlsm]Model Portfolio!R35C10</stp>
        <tr r="J35" s="98"/>
      </tp>
      <tp t="s">
        <v>25/07/2017</v>
        <stp/>
        <stp>##V3_BDPV12</stp>
        <stp>XS0312572984 Corp</stp>
        <stp>MATURITY</stp>
        <stp>[upload (2).xlsm]Base all $ 3 Duration!R22C9</stp>
        <tr r="I22" s="66"/>
      </tp>
      <tp t="s">
        <v>Secured</v>
        <stp/>
        <stp>##V3_BDPV12</stp>
        <stp>US91701RAA95 Corp</stp>
        <stp>PAYMENT_RANK</stp>
        <stp>[upload (2).xlsm]Base all $ 3 Duration!R26C14</stp>
        <tr r="N26" s="66"/>
      </tp>
      <tp t="s">
        <v>19/03/2018</v>
        <stp/>
        <stp>##V3_BDPV12</stp>
        <stp>XS0899969702 Corp</stp>
        <stp>MATURITY</stp>
        <stp>[upload (2).xlsm]Base all $ 3 Duration!R71C9</stp>
        <tr r="I71" s="66"/>
      </tp>
      <tp t="s">
        <v>Mining</v>
        <stp/>
        <stp>##V3_BDPV12</stp>
        <stp>HGM LN EQUITY</stp>
        <stp>INDUSTRY_GROUP</stp>
        <stp>[upload (2).xlsm]Model Portfolio!R4C13</stp>
        <tr r="M4" s="98"/>
      </tp>
      <tp t="s">
        <v>#N/A N/A</v>
        <stp/>
        <stp>##V3_BDPV12</stp>
        <stp>MSNG RX EQUITY</stp>
        <stp>PX_TO_FREE_CASH_FLOW</stp>
        <stp>[upload (2).xlsm]Model Portfolio!R55C19</stp>
        <tr r="S55" s="98"/>
      </tp>
      <tp>
        <v>29.867153447971276</v>
        <stp/>
        <stp>##V3_BDPV12</stp>
        <stp>MSRS RX EQUITY</stp>
        <stp>PX_TO_FREE_CASH_FLOW</stp>
        <stp>[upload (2).xlsm]Model Portfolio!R59C19</stp>
        <tr r="S59" s="98"/>
      </tp>
      <tp>
        <v>8.7890399030866782</v>
        <stp/>
        <stp>##V3_BDPV12</stp>
        <stp>HGM LN EQUITY</stp>
        <stp>NORMALIZED_ROE</stp>
        <stp>[upload (2).xlsm]Model Portfolio!R4C26</stp>
        <tr r="Z4" s="98"/>
      </tp>
      <tp>
        <v>26.98187048434573</v>
        <stp/>
        <stp>##V3_BDPV12</stp>
        <stp>YNDX US EQUITY</stp>
        <stp>SALES_GROWTH</stp>
        <stp>[upload (2).xlsm]Model Portfolio!R43C21</stp>
        <tr r="U43" s="98"/>
      </tp>
      <tp t="s">
        <v>#N/A N/A</v>
        <stp/>
        <stp>##V3_BDPV12</stp>
        <stp>MTLR RX EQUITY</stp>
        <stp>PX_TO_FREE_CASH_FLOW</stp>
        <stp>[upload (2).xlsm]Model Portfolio!R24C19</stp>
        <tr r="S24" s="98"/>
      </tp>
      <tp>
        <v>6.81956817781826</v>
        <stp/>
        <stp>##V3_BDPV12</stp>
        <stp>MTSS RX EQUITY</stp>
        <stp>PX_TO_FREE_CASH_FLOW</stp>
        <stp>[upload (2).xlsm]Model Portfolio!R67C19</stp>
        <tr r="S67" s="98"/>
      </tp>
      <tp>
        <v>7.8223919789925995</v>
        <stp/>
        <stp>##V3_BDPV12</stp>
        <stp>MVID RX EQUITY</stp>
        <stp>PX_TO_FREE_CASH_FLOW</stp>
        <stp>[upload (2).xlsm]Model Portfolio!R38C19</stp>
        <tr r="S38" s="98"/>
      </tp>
      <tp>
        <v>3</v>
        <stp/>
        <stp>##V3_BDPV12</stp>
        <stp>KMAZ RX EQUITY</stp>
        <stp>EQY_REC_CONS</stp>
        <stp>[upload (2).xlsm]Model Portfolio!R73C29</stp>
        <tr r="AC73" s="98"/>
      </tp>
      <tp>
        <v>6.2347949999999999E-2</v>
        <stp/>
        <stp>##V3_BDPV12</stp>
        <stp>ALRS RX EQUITY</stp>
        <stp>CHG_PCT_1M</stp>
        <stp>[upload (2).xlsm]Model Portfolio!R5C5</stp>
        <tr r="E5" s="98"/>
      </tp>
      <tp>
        <v>27.288466525624013</v>
        <stp/>
        <stp>##V3_BDPV12</stp>
        <stp>MAIL LI EQUITY</stp>
        <stp>PX_TO_FREE_CASH_FLOW</stp>
        <stp>[upload (2).xlsm]Model Portfolio!R44C19</stp>
        <tr r="S44" s="98"/>
      </tp>
      <tp>
        <v>13.273730325061244</v>
        <stp/>
        <stp>##V3_BDPV12</stp>
        <stp>MAGN RX EQUITY</stp>
        <stp>PX_TO_FREE_CASH_FLOW</stp>
        <stp>[upload (2).xlsm]Model Portfolio!R23C19</stp>
        <tr r="S23" s="98"/>
      </tp>
      <tp t="s">
        <v>#N/A N/A</v>
        <stp/>
        <stp>##V3_BDPV12</stp>
        <stp>MGNT RX EQUITY</stp>
        <stp>PX_TO_FREE_CASH_FLOW</stp>
        <stp>[upload (2).xlsm]Model Portfolio!R35C19</stp>
        <tr r="S35" s="98"/>
      </tp>
      <tp>
        <v>9.6396460081916153</v>
        <stp/>
        <stp>##V3_BDPV12</stp>
        <stp>MFON RX EQUITY</stp>
        <stp>PX_TO_FREE_CASH_FLOW</stp>
        <stp>[upload (2).xlsm]Model Portfolio!R62C19</stp>
        <tr r="S62" s="98"/>
      </tp>
      <tp>
        <v>2</v>
        <stp/>
        <stp>##V3_BDPV12</stp>
        <stp>KCEL LI EQUITY</stp>
        <stp>EQY_REC_CONS</stp>
        <stp>[upload (2).xlsm]Model Portfolio!R65C29</stp>
        <tr r="AC65" s="98"/>
      </tp>
      <tp>
        <v>4.3849407698563905</v>
        <stp/>
        <stp>##V3_BDPV12</stp>
        <stp>MOEX RX EQUITY</stp>
        <stp>PX_TO_FREE_CASH_FLOW</stp>
        <stp>[upload (2).xlsm]Model Portfolio!R74C19</stp>
        <tr r="S74" s="98"/>
      </tp>
      <tp>
        <v>4167187629.9267149</v>
        <stp/>
        <stp>##V3_BDPV12</stp>
        <stp>KMG LI EQUITY</stp>
        <stp>CUR_MKT_CAP</stp>
        <stp>[upload (2).xlsm]Model Portfolio!R9C10</stp>
        <tr r="J9" s="98"/>
      </tp>
      <tp t="s">
        <v>07/12/2017</v>
        <stp/>
        <stp>##V3_BDPV12</stp>
        <stp>POLY RX Equity</stp>
        <stp>BDVD_NEXT_EST_DECL_DT</stp>
        <stp>[Copy of upload (2).xlsm]Гарез_GRENF (2)!R9C22</stp>
        <tr r="V9" s="116"/>
      </tp>
      <tp t="s">
        <v>Y</v>
        <stp/>
        <stp>##V3_BDPV12</stp>
        <stp>XS0304274599 Corp</stp>
        <stp>RUSSIAN_CB_LOMBARD</stp>
        <stp>[upload (2).xlsm]Base all $ 3 Duration!R151C16</stp>
        <tr r="P151" s="66"/>
      </tp>
      <tp t="s">
        <v>N</v>
        <stp/>
        <stp>##V3_BDPV12</stp>
        <stp>XS0848530977 Corp</stp>
        <stp>RUSSIAN_CB_LOMBARD</stp>
        <stp>[upload (2).xlsm]Base all $ 3 Duration!R150C16</stp>
        <tr r="P150" s="66"/>
      </tp>
      <tp t="s">
        <v>N</v>
        <stp/>
        <stp>##V3_BDPV12</stp>
        <stp>XS0632887997 Corp</stp>
        <stp>RUSSIAN_CB_LOMBARD</stp>
        <stp>[upload (2).xlsm]Base all $ 3 Duration!R125C16</stp>
        <tr r="P125" s="66"/>
      </tp>
      <tp>
        <v>200000</v>
        <stp/>
        <stp>##V3_BDPV12</stp>
        <stp>XS1042215480 Corp</stp>
        <stp>MIN_PIECE</stp>
        <stp>[upload (2).xlsm]Base all $ 3 Duration!R122C20</stp>
        <tr r="T122" s="66"/>
      </tp>
      <tp>
        <v>1.3208</v>
        <stp/>
        <stp>##V3_BDPV12</stp>
        <stp>GBP Curncy</stp>
        <stp>PX last</stp>
        <stp>[Copy of upload (2).xlsm]Гарез_GRENF (2)!R1C11</stp>
        <tr r="K1" s="116"/>
      </tp>
      <tp>
        <v>104.53700000000001</v>
        <stp/>
        <stp>##V3_BDPV12</stp>
        <stp>XS0361041808 Corp</stp>
        <stp>px_last</stp>
        <stp>[upload (2).xlsm]Base all $ 3 Duration!R51C4</stp>
        <tr r="D51" s="66"/>
      </tp>
      <tp>
        <v>101.357</v>
        <stp/>
        <stp>##V3_BDPV12</stp>
        <stp>XS0922134712 Corp</stp>
        <stp>px_last</stp>
        <stp>[upload (2).xlsm]Base all $ 3 Duration!R76C4</stp>
        <tr r="D76" s="66"/>
      </tp>
      <tp>
        <v>102.76900000000001</v>
        <stp/>
        <stp>##V3_BDPV12</stp>
        <stp>XS0324963932 Corp</stp>
        <stp>px_last</stp>
        <stp>[upload (2).xlsm]Base all $ 3 Duration!R59C4</stp>
        <tr r="D59" s="66"/>
      </tp>
      <tp>
        <v>100000</v>
        <stp/>
        <stp>##V3_BDPV12</stp>
        <stp>XS0316524130 Corp</stp>
        <stp>MIN_PIECE</stp>
        <stp>[upload (2).xlsm]Base all $ 3 Duration!R131C20</stp>
        <tr r="T131" s="66"/>
      </tp>
      <tp t="s">
        <v>#N/A Field Not Applicable</v>
        <stp/>
        <stp>##V3_BDPV12</stp>
        <stp>XS0775984213 Corp</stp>
        <stp>px_last</stp>
        <stp>[upload (2).xlsm]Base all $ 3 Duration!R42C4</stp>
        <tr r="D42" s="66"/>
      </tp>
      <tp>
        <v>200000</v>
        <stp/>
        <stp>##V3_BDPV12</stp>
        <stp>XS0911599701 Corp</stp>
        <stp>MIN_PIECE</stp>
        <stp>[upload (2).xlsm]Base all $ 3 Duration!R107C20</stp>
        <tr r="T107" s="66"/>
      </tp>
      <tp>
        <v>200000</v>
        <stp/>
        <stp>##V3_BDPV12</stp>
        <stp>XS0588433267 Corp</stp>
        <stp>MIN_PIECE</stp>
        <stp>[upload (2).xlsm]Base all $ 3 Duration!R148C20</stp>
        <tr r="T148" s="66"/>
      </tp>
      <tp>
        <v>200000</v>
        <stp/>
        <stp>##V3_BDPV12</stp>
        <stp>XS0554659671 Corp</stp>
        <stp>MIN_PIECE</stp>
        <stp>[upload (2).xlsm]Base all $ 3 Duration!R117C20</stp>
        <tr r="T117" s="66"/>
      </tp>
      <tp>
        <v>4.4889556146085807</v>
        <stp/>
        <stp>##V3_BDPV12</stp>
        <stp>FIVE LI EQUITY</stp>
        <stp>EBIT_MARGIN</stp>
        <stp>[upload (2).xlsm]Model Portfolio!R36C24</stp>
        <tr r="X36" s="98"/>
      </tp>
      <tp>
        <v>13.361233305591883</v>
        <stp/>
        <stp>##V3_BDPV12</stp>
        <stp>BANE RX EQUITY</stp>
        <stp>EBIT_MARGIN</stp>
        <stp>[upload (2).xlsm]Model Portfolio!R18C24</stp>
        <tr r="X18" s="98"/>
      </tp>
      <tp>
        <v>41385121092.900002</v>
        <stp/>
        <stp>##V3_BDPV12</stp>
        <stp>ENRU RM EQUITY</stp>
        <stp>CUR_MKT_CAP</stp>
        <stp>[upload (2).xlsm]Model Portfolio!R53C10</stp>
        <tr r="J53" s="98"/>
      </tp>
      <tp t="s">
        <v>30/04/2018</v>
        <stp/>
        <stp>##V3_BDPV12</stp>
        <stp>XS0922134712 Corp</stp>
        <stp>MATURITY</stp>
        <stp>[upload (2).xlsm]Base all $ 3 Duration!R76C9</stp>
        <tr r="I76" s="66"/>
      </tp>
      <tp t="s">
        <v>15/05/2017</v>
        <stp/>
        <stp>##V3_BDPV12</stp>
        <stp>XS0300998779 Corp</stp>
        <stp>MATURITY</stp>
        <stp>[upload (2).xlsm]Base all $ 3 Duration!R58C9</stp>
        <tr r="I58" s="66"/>
      </tp>
      <tp t="s">
        <v>13/02/2019</v>
        <stp/>
        <stp>##V3_BDPV12</stp>
        <stp>XS0889401054 Corp</stp>
        <stp>MATURITY</stp>
        <stp>[upload (2).xlsm]Base all $ 3 Duration!R39C9</stp>
        <tr r="I39" s="66"/>
      </tp>
      <tp t="s">
        <v>22/04/2019</v>
        <stp/>
        <stp>##V3_BDPV12</stp>
        <stp>XS0954673934 Corp</stp>
        <stp>MATURITY</stp>
        <stp>[upload (2).xlsm]Base all $ 3 Duration!R16C9</stp>
        <tr r="I16" s="66"/>
      </tp>
      <tp t="s">
        <v>23/05/2016</v>
        <stp/>
        <stp>##V3_BDPV12</stp>
        <stp>XS0708813653 Corp</stp>
        <stp>MATURITY</stp>
        <stp>[upload (2).xlsm]Base all $ 3 Duration!R93C9</stp>
        <tr r="I93" s="66"/>
      </tp>
      <tp>
        <v>12.065697535289559</v>
        <stp/>
        <stp>##V3_BDPV12</stp>
        <stp>NVTK RX EQUITY</stp>
        <stp>PX_TO_FREE_CASH_FLOW</stp>
        <stp>[upload (2).xlsm]Model Portfolio!R16C19</stp>
        <tr r="S16" s="98"/>
      </tp>
      <tp>
        <v>10.663318935506421</v>
        <stp/>
        <stp>##V3_BDPV12</stp>
        <stp>KMG LI EQUITY</stp>
        <stp>NORMALIZED_ROE</stp>
        <stp>[upload (2).xlsm]Model Portfolio!R9C26</stp>
        <tr r="Z9" s="98"/>
      </tp>
      <tp t="s">
        <v>Oil&amp;Gas</v>
        <stp/>
        <stp>##V3_BDPV12</stp>
        <stp>KMG LI EQUITY</stp>
        <stp>INDUSTRY_GROUP</stp>
        <stp>[upload (2).xlsm]Model Portfolio!R9C13</stp>
        <tr r="M9" s="98"/>
      </tp>
      <tp t="s">
        <v>#N/A N/A</v>
        <stp/>
        <stp>##V3_BDPV12</stp>
        <stp>NMTP RX EQUITY</stp>
        <stp>PX_TO_FREE_CASH_FLOW</stp>
        <stp>[upload (2).xlsm]Model Portfolio!R49C19</stp>
        <tr r="S49" s="98"/>
      </tp>
      <tp>
        <v>11.603763909137792</v>
        <stp/>
        <stp>##V3_BDPV12</stp>
        <stp>NLMK RX EQUITY</stp>
        <stp>PX_TO_FREE_CASH_FLOW</stp>
        <stp>[upload (2).xlsm]Model Portfolio!R22C19</stp>
        <tr r="S22" s="98"/>
      </tp>
      <tp>
        <v>3.8888889999999998</v>
        <stp/>
        <stp>##V3_BDPV12</stp>
        <stp>HYDR RX EQUITY</stp>
        <stp>EQY_REC_CONS</stp>
        <stp>[upload (2).xlsm]Model Portfolio!R58C29</stp>
        <tr r="AC58" s="98"/>
      </tp>
      <tp t="s">
        <v>#N/A N/A</v>
        <stp/>
        <stp>##V3_BDPV12</stp>
        <stp>KMG LI Equity</stp>
        <stp>BDVD_NEXT_EST_DECL_DT</stp>
        <stp>[Copy of upload (2).xlsm]Гарез_GRENF (2)!R5C22</stp>
        <tr r="V5" s="116"/>
      </tp>
      <tp>
        <v>15.857506417796719</v>
        <stp/>
        <stp>##V3_BDPV12</stp>
        <stp>POG LN EQUITY</stp>
        <stp>EBIT_MARGIN</stp>
        <stp>[upload (2).xlsm]Model Portfolio!R7C24</stp>
        <tr r="X7" s="98"/>
      </tp>
      <tp t="s">
        <v>Y</v>
        <stp/>
        <stp>##V3_BDPV12</stp>
        <stp>XS0643183220 Corp</stp>
        <stp>RUSSIAN_CB_LOMBARD</stp>
        <stp>[upload (2).xlsm]Base all $ 3 Duration!R133C16</stp>
        <tr r="P133" s="66"/>
      </tp>
      <tp t="s">
        <v>Y</v>
        <stp/>
        <stp>##V3_BDPV12</stp>
        <stp>XS0800817073 Corp</stp>
        <stp>RUSSIAN_CB_LOMBARD</stp>
        <stp>[upload (2).xlsm]Base all $ 3 Duration!R142C16</stp>
        <tr r="P142" s="66"/>
      </tp>
      <tp t="s">
        <v>N</v>
        <stp/>
        <stp>##V3_BDPV12</stp>
        <stp>XS0920335030 Corp</stp>
        <stp>RUSSIAN_CB_LOMBARD</stp>
        <stp>[upload (2).xlsm]Base all $ 3 Duration!R101C16</stp>
        <tr r="P101" s="66"/>
      </tp>
      <tp t="s">
        <v>Y</v>
        <stp/>
        <stp>##V3_BDPV12</stp>
        <stp>XS0861981180 Corp</stp>
        <stp>RUSSIAN_CB_LOMBARD</stp>
        <stp>[upload (2).xlsm]Base all $ 3 Duration!R145C16</stp>
        <tr r="P145" s="66"/>
      </tp>
      <tp t="s">
        <v>Y</v>
        <stp/>
        <stp>##V3_BDPV12</stp>
        <stp>XS0620695204 Corp</stp>
        <stp>RUSSIAN_CB_LOMBARD</stp>
        <stp>[upload (2).xlsm]Base all $ 3 Duration!R138C16</stp>
        <tr r="P138" s="66"/>
      </tp>
      <tp t="s">
        <v>N</v>
        <stp/>
        <stp>##V3_BDPV12</stp>
        <stp>XS0810596832 Corp</stp>
        <stp>RUSSIAN_CB_LOMBARD</stp>
        <stp>[upload (2).xlsm]Base all $ 3 Duration!R121C16</stp>
        <tr r="P121" s="66"/>
      </tp>
      <tp t="s">
        <v>Y</v>
        <stp/>
        <stp>##V3_BDPV12</stp>
        <stp>XS0223715920 Corp</stp>
        <stp>RUSSIAN_CB_LOMBARD</stp>
        <stp>[upload (2).xlsm]Base all $ 3 Duration!R137C16</stp>
        <tr r="P137" s="66"/>
      </tp>
      <tp t="s">
        <v>N</v>
        <stp/>
        <stp>##V3_BDPV12</stp>
        <stp>XS0975320879 Corp</stp>
        <stp>RUSSIAN_CB_LOMBARD</stp>
        <stp>[upload (2).xlsm]Base all $ 3 Duration!R123C16</stp>
        <tr r="P123" s="66"/>
      </tp>
      <tp t="s">
        <v>Y</v>
        <stp/>
        <stp>##V3_BDPV12</stp>
        <stp>XS0548633659 Corp</stp>
        <stp>RUSSIAN_CB_LOMBARD</stp>
        <stp>[upload (2).xlsm]Base all $ 3 Duration!R111C16</stp>
        <tr r="P111" s="66"/>
      </tp>
      <tp>
        <v>200000</v>
        <stp/>
        <stp>##V3_BDPV12</stp>
        <stp>XS0638572973 Corp</stp>
        <stp>MIN_PIECE</stp>
        <stp>[upload (2).xlsm]Base all $ 3 Duration!R158C20</stp>
        <tr r="T158" s="66"/>
      </tp>
      <tp>
        <v>200000</v>
        <stp/>
        <stp>##V3_BDPV12</stp>
        <stp>XS0805131439 Corp</stp>
        <stp>MIN_PIECE</stp>
        <stp>[upload (2).xlsm]Base all $ 3 Duration!R128C20</stp>
        <tr r="T128" s="66"/>
      </tp>
      <tp>
        <v>101.20699999999999</v>
        <stp/>
        <stp>##V3_BDPV12</stp>
        <stp>XS0899969702 Corp</stp>
        <stp>px_last</stp>
        <stp>[upload (2).xlsm]Base all $ 3 Duration!R71C4</stp>
        <tr r="D71" s="66"/>
      </tp>
      <tp>
        <v>200000</v>
        <stp/>
        <stp>##V3_BDPV12</stp>
        <stp>XS0918297382 Corp</stp>
        <stp>MIN_PIECE</stp>
        <stp>[upload (2).xlsm]Base all $ 3 Duration!R109C20</stp>
        <tr r="T109" s="66"/>
      </tp>
      <tp>
        <v>200000</v>
        <stp/>
        <stp>##V3_BDPV12</stp>
        <stp>XS0764220017 Corp</stp>
        <stp>MIN_PIECE</stp>
        <stp>[upload (2).xlsm]Base all $ 3 Duration!R151C20</stp>
        <tr r="T151" s="66"/>
      </tp>
      <tp>
        <v>200000</v>
        <stp/>
        <stp>##V3_BDPV12</stp>
        <stp>XS0975320879 Corp</stp>
        <stp>MIN_PIECE</stp>
        <stp>[upload (2).xlsm]Base all $ 3 Duration!R125C20</stp>
        <tr r="T125" s="66"/>
      </tp>
      <tp>
        <v>100.91</v>
        <stp/>
        <stp>##V3_BDPV12</stp>
        <stp>XS0888245122 Corp</stp>
        <stp>px_last</stp>
        <stp>[upload (2).xlsm]Base all $ 3 Duration!R73C4</stp>
        <tr r="D73" s="66"/>
      </tp>
      <tp>
        <v>104.226</v>
        <stp/>
        <stp>##V3_BDPV12</stp>
        <stp>XS0974469206 Corp</stp>
        <stp>px_last</stp>
        <stp>[upload (2).xlsm]Base all $ 3 Duration!R14C4</stp>
        <tr r="D14" s="66"/>
      </tp>
      <tp t="s">
        <v>#N/A Field Not Applicable</v>
        <stp/>
        <stp>##V3_BDPV12</stp>
        <stp>XS0783291221 Corp</stp>
        <stp>px_last</stp>
        <stp>[upload (2).xlsm]Base all $ 3 Duration!R72C4</stp>
        <tr r="D72" s="66"/>
      </tp>
      <tp>
        <v>-19.484286670239602</v>
        <stp/>
        <stp>##V3_BDPV12</stp>
        <stp>GLPR LI EQUITY</stp>
        <stp>TRAIL_12M_PROF_MARGIN</stp>
        <stp>[upload (2).xlsm]Model Portfolio!R46C25</stp>
        <tr r="Y46" s="98"/>
      </tp>
      <tp>
        <v>3.210631829814139</v>
        <stp/>
        <stp>##V3_BDPV12</stp>
        <stp>IRAO RX EQUITY</stp>
        <stp>TRAIL_12M_PROF_MARGIN</stp>
        <stp>[upload (2).xlsm]Model Portfolio!R51C25</stp>
        <tr r="Y51" s="98"/>
      </tp>
      <tp>
        <v>7.96410352652142</v>
        <stp/>
        <stp>##V3_BDPV12</stp>
        <stp>TRCN RX EQUITY</stp>
        <stp>TRAIL_12M_PROF_MARGIN</stp>
        <stp>[upload (2).xlsm]Model Portfolio!R50C25</stp>
        <tr r="Y50" s="98"/>
      </tp>
      <tp>
        <v>17820482680</v>
        <stp/>
        <stp>##V3_BDPV12</stp>
        <stp>SVAV RX EQUITY</stp>
        <stp>CUR_MKT_CAP</stp>
        <stp>[upload (2).xlsm]Model Portfolio!R72C10</stp>
        <tr r="J72" s="98"/>
      </tp>
      <tp>
        <v>11.655934780279384</v>
        <stp/>
        <stp>##V3_BDPV12</stp>
        <stp>GLTR LI EQUITY</stp>
        <stp>TRAIL_12M_PROF_MARGIN</stp>
        <stp>[upload (2).xlsm]Model Portfolio!R48C25</stp>
        <tr r="Y48" s="98"/>
      </tp>
      <tp>
        <v>36.4072588790781</v>
        <stp/>
        <stp>##V3_BDPV12</stp>
        <stp>URKA RX EQUITY</stp>
        <stp>TRAIL_12M_PROF_MARGIN</stp>
        <stp>[upload (2).xlsm]Model Portfolio!R31C25</stp>
        <tr r="Y31" s="98"/>
      </tp>
      <tp>
        <v>3.1628634749680069</v>
        <stp/>
        <stp>##V3_BDPV12</stp>
        <stp>TRMK RX EQUITY</stp>
        <stp>TRAIL_12M_PROF_MARGIN</stp>
        <stp>[upload (2).xlsm]Model Portfolio!R21C25</stp>
        <tr r="Y21" s="98"/>
      </tp>
      <tp>
        <v>27.144298688193739</v>
        <stp/>
        <stp>##V3_BDPV12</stp>
        <stp>CHMF RX EQUITY</stp>
        <stp>EBIT_MARGIN</stp>
        <stp>[upload (2).xlsm]Model Portfolio!R25C24</stp>
        <tr r="X25" s="98"/>
      </tp>
      <tp t="s">
        <v>27/04/2017</v>
        <stp/>
        <stp>##V3_BDPV12</stp>
        <stp>XS0772835285 Corp</stp>
        <stp>MATURITY</stp>
        <stp>[upload (2).xlsm]Base all $ 3 Duration!R31C9</stp>
        <tr r="I31" s="66"/>
      </tp>
      <tp t="s">
        <v>13/11/2018</v>
        <stp/>
        <stp>##V3_BDPV12</stp>
        <stp>XS0924078453 Corp</stp>
        <stp>MATURITY</stp>
        <stp>[upload (2).xlsm]Base all $ 3 Duration!R19C9</stp>
        <tr r="I19" s="66"/>
      </tp>
      <tp t="s">
        <v>21/11/2018</v>
        <stp/>
        <stp>##V3_BDPV12</stp>
        <stp>XS0993162170 Corp</stp>
        <stp>MATURITY</stp>
        <stp>[upload (2).xlsm]Base all $ 3 Duration!R48C9</stp>
        <tr r="I48" s="66"/>
      </tp>
      <tp t="s">
        <v>05/11/2019</v>
        <stp/>
        <stp>##V3_BDPV12</stp>
        <stp>XS0461926569 Corp</stp>
        <stp>MATURITY</stp>
        <stp>[upload (2).xlsm]Base all $ 3 Duration!R53C9</stp>
        <tr r="I53" s="66"/>
      </tp>
      <tp t="s">
        <v>05/09/2019</v>
        <stp/>
        <stp>##V3_BDPV12</stp>
        <stp>XS1040726587 Corp</stp>
        <stp>MATURITY</stp>
        <stp>[upload (2).xlsm]Base all $ 3 Duration!R41C9</stp>
        <tr r="I41" s="66"/>
      </tp>
      <tp t="s">
        <v>27/04/2018</v>
        <stp/>
        <stp>##V3_BDPV12</stp>
        <stp>XS0618905219 Corp</stp>
        <stp>MATURITY</stp>
        <stp>[upload (2).xlsm]Base all $ 3 Duration!R37C9</stp>
        <tr r="I37" s="66"/>
      </tp>
      <tp t="s">
        <v>14/11/2016</v>
        <stp/>
        <stp>##V3_BDPV12</stp>
        <stp>XS0993279958 Corp</stp>
        <stp>MATURITY</stp>
        <stp>[upload (2).xlsm]Base all $ 3 Duration!R13C9</stp>
        <tr r="I13" s="66"/>
      </tp>
      <tp t="s">
        <v>31/05/2016</v>
        <stp/>
        <stp>##V3_BDPV12</stp>
        <stp>XS0938341780 Corp</stp>
        <stp>MATURITY</stp>
        <stp>[upload (2).xlsm]Base all $ 3 Duration!R21C9</stp>
        <tr r="I21" s="66"/>
      </tp>
      <tp t="s">
        <v>#N/A N/A</v>
        <stp/>
        <stp>##V3_BDPV12</stp>
        <stp>OKEY LI EQUITY</stp>
        <stp>PX_TO_FREE_CASH_FLOW</stp>
        <stp>[upload (2).xlsm]Model Portfolio!R39C19</stp>
        <tr r="S39" s="98"/>
      </tp>
      <tp>
        <v>1.22194</v>
        <stp/>
        <stp>##V3_BDPV12</stp>
        <stp>OGKB RX EQUITY</stp>
        <stp>EQY_BETA_6M</stp>
        <stp>[upload (2).xlsm]Model Portfolio!R57C14</stp>
        <tr r="N57" s="98"/>
      </tp>
      <tp>
        <v>0.71057179999999998</v>
        <stp/>
        <stp>##V3_BDPV12</stp>
        <stp>BSPB RX EQUITY</stp>
        <stp>EQY_BETA_6M</stp>
        <stp>[upload (2).xlsm]Model Portfolio!R77C14</stp>
        <tr r="N77" s="98"/>
      </tp>
      <tp>
        <v>0.7676184803246342</v>
        <stp/>
        <stp>##V3_BDPV12</stp>
        <stp>BANEP RX EQUITY</stp>
        <stp>NET_DEBT_TO_EBITDA</stp>
        <stp>[upload (2).xlsm]Model Portfolio!R8C20</stp>
        <tr r="T8" s="98"/>
      </tp>
      <tp>
        <v>4.4285709999999998</v>
        <stp/>
        <stp>##V3_BDPV12</stp>
        <stp>IRAO RX EQUITY</stp>
        <stp>EQY_REC_CONS</stp>
        <stp>[upload (2).xlsm]Model Portfolio!R51C29</stp>
        <tr r="AC51" s="98"/>
      </tp>
      <tp>
        <v>3.5482995780282716</v>
        <stp/>
        <stp>##V3_BDPV12</stp>
        <stp>OGKB RX EQUITY</stp>
        <stp>PX_TO_FREE_CASH_FLOW</stp>
        <stp>[upload (2).xlsm]Model Portfolio!R57C19</stp>
        <tr r="S57" s="98"/>
      </tp>
      <tp>
        <v>13.37561</v>
        <stp/>
        <stp>##V3_BDPV12</stp>
        <stp>486 HK EQUITY</stp>
        <stp>EQY_FREE_FLOAT_PCT</stp>
        <stp>[upload (2).xlsm]Model Portfolio!R30C11</stp>
        <tr r="K30" s="98"/>
      </tp>
      <tp t="s">
        <v>POLYUS</v>
        <stp/>
        <stp>##V3_BDPV12</stp>
        <stp>PLZL RX EQUITY</stp>
        <stp>SHORT_NAME</stp>
        <stp>[upload (2).xlsm]Model Portfolio!R2C2</stp>
        <tr r="B2" s="98"/>
      </tp>
      <tp t="s">
        <v>N</v>
        <stp/>
        <stp>##V3_BDPV12</stp>
        <stp>XS0979891925 Corp</stp>
        <stp>RUSSIAN_CB_LOMBARD</stp>
        <stp>[upload (2).xlsm]Base all $ 3 Duration!R124C16</stp>
        <tr r="P124" s="66"/>
      </tp>
      <tp t="s">
        <v>N</v>
        <stp/>
        <stp>##V3_BDPV12</stp>
        <stp>XS0953323317 Corp</stp>
        <stp>RUSSIAN_CB_LOMBARD</stp>
        <stp>[upload (2).xlsm]Base all $ 3 Duration!R118C16</stp>
        <tr r="P118" s="66"/>
      </tp>
      <tp t="s">
        <v>N</v>
        <stp/>
        <stp>##V3_BDPV12</stp>
        <stp>XS0846652666 Corp</stp>
        <stp>RUSSIAN_CB_LOMBARD</stp>
        <stp>[upload (2).xlsm]Base all $ 3 Duration!R102C16</stp>
        <tr r="P102" s="66"/>
      </tp>
      <tp t="s">
        <v>Y</v>
        <stp/>
        <stp>##V3_BDPV12</stp>
        <stp>XS0764220017 Corp</stp>
        <stp>RUSSIAN_CB_LOMBARD</stp>
        <stp>[upload (2).xlsm]Base all $ 3 Duration!R149C16</stp>
        <tr r="P149" s="66"/>
      </tp>
      <tp t="s">
        <v>Y</v>
        <stp/>
        <stp>##V3_BDPV12</stp>
        <stp>XS0555493203 Corp</stp>
        <stp>RUSSIAN_CB_LOMBARD</stp>
        <stp>[upload (2).xlsm]Base all $ 3 Duration!R109C16</stp>
        <tr r="P109" s="66"/>
      </tp>
      <tp t="s">
        <v>Y</v>
        <stp/>
        <stp>##V3_BDPV12</stp>
        <stp>XS0918297382 Corp</stp>
        <stp>RUSSIAN_CB_LOMBARD</stp>
        <stp>[upload (2).xlsm]Base all $ 3 Duration!R106C16</stp>
        <tr r="P106" s="66"/>
      </tp>
      <tp t="s">
        <v>#N/A Field Not Applicable</v>
        <stp/>
        <stp>##V3_BDPV12</stp>
        <stp>XS0426517701 Corp</stp>
        <stp>px_last</stp>
        <stp>[upload (2).xlsm]Base all $ 3 Duration!R88C4</stp>
        <tr r="D88" s="66"/>
      </tp>
      <tp>
        <v>104.399</v>
        <stp/>
        <stp>##V3_BDPV12</stp>
        <stp>XS0359381331 Corp</stp>
        <stp>px_last</stp>
        <stp>[upload (2).xlsm]Base all $ 3 Duration!R36C4</stp>
        <tr r="D36" s="66"/>
      </tp>
      <tp>
        <v>109.554</v>
        <stp/>
        <stp>##V3_BDPV12</stp>
        <stp>XS0954673934 Corp</stp>
        <stp>px_last</stp>
        <stp>[upload (2).xlsm]Base all $ 3 Duration!R16C4</stp>
        <tr r="D16" s="66"/>
      </tp>
      <tp>
        <v>200000</v>
        <stp/>
        <stp>##V3_BDPV12</stp>
        <stp>XS0848137708 Corp</stp>
        <stp>MIN_PIECE</stp>
        <stp>[upload (2).xlsm]Base all $ 3 Duration!R124C20</stp>
        <tr r="T124" s="66"/>
      </tp>
      <tp>
        <v>200000</v>
        <stp/>
        <stp>##V3_BDPV12</stp>
        <stp>XS0921331509 Corp</stp>
        <stp>MIN_PIECE</stp>
        <stp>[upload (2).xlsm]Base all $ 3 Duration!R146C20</stp>
        <tr r="T146" s="66"/>
      </tp>
      <tp>
        <v>106.97</v>
        <stp/>
        <stp>##V3_BDPV12</stp>
        <stp>XS0832412505 Corp</stp>
        <stp>px_last</stp>
        <stp>[upload (2).xlsm]Base all $ 3 Duration!R30C4</stp>
        <tr r="D30" s="66"/>
      </tp>
      <tp>
        <v>109.907</v>
        <stp/>
        <stp>##V3_BDPV12</stp>
        <stp>XS0461926569 Corp</stp>
        <stp>px_last</stp>
        <stp>[upload (2).xlsm]Base all $ 3 Duration!R53C4</stp>
        <tr r="D53" s="66"/>
      </tp>
      <tp>
        <v>200000</v>
        <stp/>
        <stp>##V3_BDPV12</stp>
        <stp>XS0864383723 Corp</stp>
        <stp>MIN_PIECE</stp>
        <stp>[upload (2).xlsm]Base all $ 3 Duration!R149C20</stp>
        <tr r="T149" s="66"/>
      </tp>
      <tp t="s">
        <v>#N/A Field Not Applicable</v>
        <stp/>
        <stp>##V3_BDPV12</stp>
        <stp>XS0938341780 Corp</stp>
        <stp>px_last</stp>
        <stp>[upload (2).xlsm]Base all $ 3 Duration!R21C4</stp>
        <tr r="D21" s="66"/>
      </tp>
      <tp>
        <v>200000</v>
        <stp/>
        <stp>##V3_BDPV12</stp>
        <stp>XS0810596832 Corp</stp>
        <stp>MIN_PIECE</stp>
        <stp>[upload (2).xlsm]Base all $ 3 Duration!R123C20</stp>
        <tr r="T123" s="66"/>
      </tp>
      <tp>
        <v>100000</v>
        <stp/>
        <stp>##V3_BDPV12</stp>
        <stp>XS0223715920 Corp</stp>
        <stp>MIN_PIECE</stp>
        <stp>[upload (2).xlsm]Base all $ 3 Duration!R139C20</stp>
        <tr r="T139" s="66"/>
      </tp>
      <tp>
        <v>57.5625</v>
        <stp/>
        <stp>##V3_BDPV12</stp>
        <stp>XS0973219495 Corp</stp>
        <stp>px_last</stp>
        <stp>[upload (2).xlsm]Base all $ 3 Duration!R11C4</stp>
        <tr r="D11" s="66"/>
      </tp>
      <tp>
        <v>14.306835794110452</v>
        <stp/>
        <stp>##V3_BDPV12</stp>
        <stp>LSRG RX EQUITY</stp>
        <stp>EBIT_MARGIN</stp>
        <stp>[upload (2).xlsm]Model Portfolio!R69C24</stp>
        <tr r="X69" s="98"/>
      </tp>
      <tp>
        <v>11.904080063906433</v>
        <stp/>
        <stp>##V3_BDPV12</stp>
        <stp>MSNG RX EQUITY</stp>
        <stp>EBIT_MARGIN</stp>
        <stp>[upload (2).xlsm]Model Portfolio!R55C24</stp>
        <tr r="X55" s="98"/>
      </tp>
      <tp t="s">
        <v>#N/A N/A</v>
        <stp/>
        <stp>##V3_BDPV12</stp>
        <stp>NORD LI EQUITY</stp>
        <stp>BEST_TARGET_PRICE</stp>
        <stp>[upload (2).xlsm]Model Portfolio!R3C8</stp>
        <tr r="H3" s="98"/>
      </tp>
      <tp>
        <v>9.0157304273993795</v>
        <stp/>
        <stp>##V3_BDPV12</stp>
        <stp>MSNG RX EQUITY</stp>
        <stp>TRAIL_12M_PROF_MARGIN</stp>
        <stp>[upload (2).xlsm]Model Portfolio!R55C25</stp>
        <tr r="Y55" s="98"/>
      </tp>
      <tp>
        <v>16.593880702534094</v>
        <stp/>
        <stp>##V3_BDPV12</stp>
        <stp>BSPB RX EQUITY</stp>
        <stp>TRAIL_12M_PROF_MARGIN</stp>
        <stp>[upload (2).xlsm]Model Portfolio!R77C25</stp>
        <tr r="Y77" s="98"/>
      </tp>
      <tp t="s">
        <v>12/12/2017</v>
        <stp/>
        <stp>##V3_BDPV12</stp>
        <stp>XS0863583281 Corp</stp>
        <stp>MATURITY</stp>
        <stp>[upload (2).xlsm]Base all $ 3 Duration!R67C9</stp>
        <tr r="I67" s="66"/>
      </tp>
      <tp t="s">
        <v>25/10/2017</v>
        <stp/>
        <stp>##V3_BDPV12</stp>
        <stp>XS0551315384 Corp</stp>
        <stp>MATURITY</stp>
        <stp>[upload (2).xlsm]Base all $ 3 Duration!R82C9</stp>
        <tr r="I82" s="66"/>
      </tp>
      <tp>
        <v>6.9953973660762658</v>
        <stp/>
        <stp>##V3_BDPV12</stp>
        <stp>MSRS RX EQUITY</stp>
        <stp>TRAIL_12M_PROF_MARGIN</stp>
        <stp>[upload (2).xlsm]Model Portfolio!R59C25</stp>
        <tr r="Y59" s="98"/>
      </tp>
      <tp>
        <v>9.3431356554368232</v>
        <stp/>
        <stp>##V3_BDPV12</stp>
        <stp>LSRG RX EQUITY</stp>
        <stp>TRAIL_12M_PROF_MARGIN</stp>
        <stp>[upload (2).xlsm]Model Portfolio!R69C25</stp>
        <tr r="Y69" s="98"/>
      </tp>
      <tp>
        <v>8.254045162453636</v>
        <stp/>
        <stp>##V3_BDPV12</stp>
        <stp>RSTI RX EQUITY</stp>
        <stp>TRAIL_12M_PROF_MARGIN</stp>
        <stp>[upload (2).xlsm]Model Portfolio!R54C25</stp>
        <tr r="Y54" s="98"/>
      </tp>
      <tp t="s">
        <v>07/02/2017</v>
        <stp/>
        <stp>##V3_BDPV12</stp>
        <stp>XS0742380412 Corp</stp>
        <stp>MATURITY</stp>
        <stp>[upload (2).xlsm]Base all $ 3 Duration!R86C9</stp>
        <tr r="I86" s="66"/>
      </tp>
      <tp t="s">
        <v>25/11/2015</v>
        <stp/>
        <stp>##V3_BDPV12</stp>
        <stp>XS0236336045 Corp</stp>
        <stp>MATURITY</stp>
        <stp>[upload (2).xlsm]Base all $ 3 Duration!R97C9</stp>
        <tr r="I97" s="66"/>
      </tp>
      <tp t="s">
        <v>24/04/2018</v>
        <stp/>
        <stp>##V3_BDPV12</stp>
        <stp>XS0359381331 Corp</stp>
        <stp>MATURITY</stp>
        <stp>[upload (2).xlsm]Base all $ 3 Duration!R36C9</stp>
        <tr r="I36" s="66"/>
      </tp>
      <tp t="s">
        <v>28/04/2017</v>
        <stp/>
        <stp>##V3_BDPV12</stp>
        <stp>XS1059697323 Corp</stp>
        <stp>MATURITY</stp>
        <stp>[upload (2).xlsm]Base all $ 3 Duration!R20C9</stp>
        <tr r="I20" s="66"/>
      </tp>
      <tp t="s">
        <v>07/05/2018</v>
        <stp/>
        <stp>##V3_BDPV12</stp>
        <stp>XS0923472814 Corp</stp>
        <stp>MATURITY</stp>
        <stp>[upload (2).xlsm]Base all $ 3 Duration!R52C9</stp>
        <tr r="I52" s="66"/>
      </tp>
      <tp t="s">
        <v>29/05/2018</v>
        <stp/>
        <stp>##V3_BDPV12</stp>
        <stp>XS0365923977 Corp</stp>
        <stp>MATURITY</stp>
        <stp>[upload (2).xlsm]Base all $ 3 Duration!R57C9</stp>
        <tr r="I57" s="66"/>
      </tp>
      <tp t="s">
        <v>08/07/2016</v>
        <stp/>
        <stp>##V3_BDPV12</stp>
        <stp>XS0524658852 Corp</stp>
        <stp>MATURITY</stp>
        <stp>[upload (2).xlsm]Base all $ 3 Duration!R68C9</stp>
        <tr r="I68" s="66"/>
      </tp>
      <tp t="s">
        <v>25/07/2018</v>
        <stp/>
        <stp>##V3_BDPV12</stp>
        <stp>XS0955232854 Corp</stp>
        <stp>MATURITY</stp>
        <stp>[upload (2).xlsm]Base all $ 3 Duration!R45C9</stp>
        <tr r="I45" s="66"/>
      </tp>
    </main>
    <main first="bloomberg.rtd">
      <tp t="s">
        <v>#N/A N/A</v>
        <stp/>
        <stp>##V3_BDPV12</stp>
        <stp>HYDR RX EQUITY</stp>
        <stp>PX_TO_FREE_CASH_FLOW</stp>
        <stp>[upload (2).xlsm]Model Portfolio!R58C19</stp>
        <tr r="S58" s="98"/>
      </tp>
      <tp>
        <v>0.65759440000000002</v>
        <stp/>
        <stp>##V3_BDPV12</stp>
        <stp>BANE RX EQUITY</stp>
        <stp>EQY_BETA_6M</stp>
        <stp>[upload (2).xlsm]Model Portfolio!R18C14</stp>
        <tr r="N18" s="98"/>
      </tp>
      <tp t="s">
        <v>#N/A N/A</v>
        <stp/>
        <stp>##V3_BDPV12</stp>
        <stp>NMTP RX EQUITY</stp>
        <stp>EQY_REC_CONS</stp>
        <stp>[upload (2).xlsm]Model Portfolio!R49C29</stp>
        <tr r="AC49" s="98"/>
      </tp>
      <tp>
        <v>2.5</v>
        <stp/>
        <stp>##V3_BDPV12</stp>
        <stp>NLMK RX EQUITY</stp>
        <stp>EQY_REC_CONS</stp>
        <stp>[upload (2).xlsm]Model Portfolio!R22C29</stp>
        <tr r="AC22" s="98"/>
      </tp>
      <tp>
        <v>0.6148827</v>
        <stp/>
        <stp>##V3_BDPV12</stp>
        <stp>FIVE LI EQUITY</stp>
        <stp>EQY_BETA_6M</stp>
        <stp>[upload (2).xlsm]Model Portfolio!R36C14</stp>
        <tr r="N36" s="98"/>
      </tp>
      <tp>
        <v>3.75</v>
        <stp/>
        <stp>##V3_BDPV12</stp>
        <stp>NVTK RX EQUITY</stp>
        <stp>EQY_REC_CONS</stp>
        <stp>[upload (2).xlsm]Model Portfolio!R16C29</stp>
        <tr r="AC16" s="98"/>
      </tp>
      <tp t="s">
        <v>USD</v>
        <stp/>
        <stp>##V3_BDPV12</stp>
        <stp>AGRO LI Equity</stp>
        <stp>CRNCY</stp>
        <stp>[Copy of upload (2).xlsm]Гарез_GRENF (2)!R8C11</stp>
        <tr r="K8" s="116"/>
      </tp>
      <tp>
        <v>237901063.11500001</v>
        <stp/>
        <stp>##V3_BDPV12</stp>
        <stp>POG LN EQUITY</stp>
        <stp>CUR_MKT_CAP</stp>
        <stp>[upload (2).xlsm]Model Portfolio!R7C10</stp>
        <tr r="J7" s="98"/>
      </tp>
      <tp t="s">
        <v>N</v>
        <stp/>
        <stp>##V3_BDPV12</stp>
        <stp>XS0805131439 Corp</stp>
        <stp>RUSSIAN_CB_LOMBARD</stp>
        <stp>[upload (2).xlsm]Base all $ 3 Duration!R126C16</stp>
        <tr r="P126" s="66"/>
      </tp>
      <tp t="s">
        <v>Y</v>
        <stp/>
        <stp>##V3_BDPV12</stp>
        <stp>XS0638572973 Corp</stp>
        <stp>RUSSIAN_CB_LOMBARD</stp>
        <stp>[upload (2).xlsm]Base all $ 3 Duration!R156C16</stp>
        <tr r="P156" s="66"/>
      </tp>
      <tp t="s">
        <v>N</v>
        <stp/>
        <stp>##V3_BDPV12</stp>
        <stp>XS0484209159 Corp</stp>
        <stp>RUSSIAN_CB_LOMBARD</stp>
        <stp>[upload (2).xlsm]Base all $ 3 Duration!R112C16</stp>
        <tr r="P112" s="66"/>
      </tp>
      <tp t="s">
        <v>N</v>
        <stp/>
        <stp>##V3_BDPV12</stp>
        <stp>XS0925043100 Corp</stp>
        <stp>RUSSIAN_CB_LOMBARD</stp>
        <stp>[upload (2).xlsm]Base all $ 3 Duration!R100C16</stp>
        <tr r="P100" s="66"/>
      </tp>
      <tp t="s">
        <v>Y</v>
        <stp/>
        <stp>##V3_BDPV12</stp>
        <stp>XS0830192711 Corp</stp>
        <stp>RUSSIAN_CB_LOMBARD</stp>
        <stp>[upload (2).xlsm]Base all $ 3 Duration!R143C16</stp>
        <tr r="P143" s="66"/>
      </tp>
      <tp t="s">
        <v>N</v>
        <stp/>
        <stp>##V3_BDPV12</stp>
        <stp>XS1042215480 Corp</stp>
        <stp>RUSSIAN_CB_LOMBARD</stp>
        <stp>[upload (2).xlsm]Base all $ 3 Duration!R120C16</stp>
        <tr r="P120" s="66"/>
      </tp>
      <tp t="s">
        <v>#N/A Field Not Applicable</v>
        <stp/>
        <stp>##V3_BDPV12</stp>
        <stp>XS0742380412 Corp</stp>
        <stp>px_last</stp>
        <stp>[upload (2).xlsm]Base all $ 3 Duration!R86C4</stp>
        <tr r="D86" s="66"/>
      </tp>
      <tp>
        <v>102.07</v>
        <stp/>
        <stp>##V3_BDPV12</stp>
        <stp>XS0955232854 Corp</stp>
        <stp>px_last</stp>
        <stp>[upload (2).xlsm]Base all $ 3 Duration!R45C4</stp>
        <tr r="D45" s="66"/>
      </tp>
      <tp>
        <v>100000</v>
        <stp/>
        <stp>##V3_BDPV12</stp>
        <stp>XS0513723873 Corp</stp>
        <stp>MIN_PIECE</stp>
        <stp>[upload (2).xlsm]Base all $ 3 Duration!R113C20</stp>
        <tr r="T113" s="66"/>
      </tp>
      <tp>
        <v>103.744</v>
        <stp/>
        <stp>##V3_BDPV12</stp>
        <stp>XS0366630902 Corp</stp>
        <stp>px_last</stp>
        <stp>[upload (2).xlsm]Base all $ 3 Duration!R49C4</stp>
        <tr r="D49" s="66"/>
      </tp>
      <tp>
        <v>100.88500000000001</v>
        <stp/>
        <stp>##V3_BDPV12</stp>
        <stp>XS0919502434 Corp</stp>
        <stp>px_last</stp>
        <stp>[upload (2).xlsm]Base all $ 3 Duration!R66C4</stp>
        <tr r="D66" s="66"/>
      </tp>
      <tp t="s">
        <v>#N/A Field Not Applicable</v>
        <stp/>
        <stp>##V3_BDPV12</stp>
        <stp>XS0304273948 Corp</stp>
        <stp>px_last</stp>
        <stp>[upload (2).xlsm]Base all $ 3 Duration!R87C4</stp>
        <tr r="D87" s="66"/>
      </tp>
      <tp>
        <v>1.8180639434273718</v>
        <stp/>
        <stp>##V3_BDPV12</stp>
        <stp>SNGSP RX EQUITY</stp>
        <stp>SALES_GROWTH</stp>
        <stp>[upload (2).xlsm]Model Portfolio!R11C21</stp>
        <tr r="U11" s="98"/>
      </tp>
      <tp t="s">
        <v>#N/A Field Not Applicable</v>
        <stp/>
        <stp>##V3_BDPV12</stp>
        <stp>XS0772509484 Corp</stp>
        <stp>px_last</stp>
        <stp>[upload (2).xlsm]Base all $ 3 Duration!R78C4</stp>
        <tr r="D78" s="66"/>
      </tp>
      <tp t="s">
        <v>#N/A Field Not Applicable</v>
        <stp/>
        <stp>##V3_BDPV12</stp>
        <stp>XS0588436799 Corp</stp>
        <stp>px_last</stp>
        <stp>[upload (2).xlsm]Base all $ 3 Duration!R94C4</stp>
        <tr r="D94" s="66"/>
      </tp>
      <tp t="s">
        <v>#N/A Field Not Applicable</v>
        <stp/>
        <stp>##V3_BDPV12</stp>
        <stp>XS0300998779 Corp</stp>
        <stp>px_last</stp>
        <stp>[upload (2).xlsm]Base all $ 3 Duration!R58C4</stp>
        <tr r="D58" s="66"/>
      </tp>
      <tp t="s">
        <v>#N/A Field Not Applicable</v>
        <stp/>
        <stp>##V3_BDPV12</stp>
        <stp>XS0802648955 Corp</stp>
        <stp>px_last</stp>
        <stp>[upload (2).xlsm]Base all $ 3 Duration!R12C4</stp>
        <tr r="D12" s="66"/>
      </tp>
      <tp>
        <v>60179123688.008278</v>
        <stp/>
        <stp>##V3_BDPV12</stp>
        <stp>RASP RX EQUITY</stp>
        <stp>CUR_MKT_CAP</stp>
        <stp>[upload (2).xlsm]Model Portfolio!R28C10</stp>
        <tr r="J28" s="98"/>
      </tp>
      <tp t="s">
        <v>USD</v>
        <stp/>
        <stp>##V3_BDPV12</stp>
        <stp>XS0088543193 Corp</stp>
        <stp>CRNCY</stp>
        <stp>[Copy of upload (2).xlsm]Гарез_GRENF!R44C7</stp>
        <tr r="G44" s="115"/>
      </tp>
      <tp>
        <v>4.4502828073228686</v>
        <stp/>
        <stp>##V3_BDPV12</stp>
        <stp>RTKM RX EQUITY</stp>
        <stp>TRAIL_12M_PROF_MARGIN</stp>
        <stp>[upload (2).xlsm]Model Portfolio!R66C25</stp>
        <tr r="Y66" s="98"/>
      </tp>
      <tp>
        <v>1.2940554750064366</v>
        <stp/>
        <stp>##V3_BDPV12</stp>
        <stp>MTLR RX EQUITY</stp>
        <stp>TRAIL_12M_PROF_MARGIN</stp>
        <stp>[upload (2).xlsm]Model Portfolio!R24C25</stp>
        <tr r="Y24" s="98"/>
      </tp>
      <tp t="s">
        <v>26/11/2018</v>
        <stp/>
        <stp>##V3_BDPV12</stp>
        <stp>XS0995845566 Corp</stp>
        <stp>MATURITY</stp>
        <stp>[upload (2).xlsm]Base all $ 3 Duration!R29C9</stp>
        <tr r="I29" s="66"/>
      </tp>
      <tp>
        <v>2849344012644.0005</v>
        <stp/>
        <stp>##V3_BDPV12</stp>
        <stp>GAZP RX EQUITY</stp>
        <stp>CUR_MKT_CAP</stp>
        <stp>[upload (2).xlsm]Model Portfolio!R12C10</stp>
        <tr r="J12" s="98"/>
      </tp>
      <tp>
        <v>4</v>
        <stp/>
        <stp>##V3_BDPV12</stp>
        <stp>AGRO LI Equity</stp>
        <stp>EQY_REC_CONS</stp>
        <stp>[Copy of upload (2).xlsm]Гарез_GRENF (2)!R8C10</stp>
        <tr r="J8" s="116"/>
      </tp>
      <tp t="s">
        <v>07/08/2018</v>
        <stp/>
        <stp>##V3_BDPV12</stp>
        <stp>XS0381439305 Corp</stp>
        <stp>MATURITY</stp>
        <stp>[upload (2).xlsm]Base all $ 3 Duration!R64C9</stp>
        <tr r="I64" s="66"/>
      </tp>
      <tp>
        <v>11.973801494169431</v>
        <stp/>
        <stp>##V3_BDPV12</stp>
        <stp>MTSS RX EQUITY</stp>
        <stp>TRAIL_12M_PROF_MARGIN</stp>
        <stp>[upload (2).xlsm]Model Portfolio!R67C25</stp>
        <tr r="Y67" s="98"/>
      </tp>
      <tp t="s">
        <v>23/06/2016</v>
        <stp/>
        <stp>##V3_BDPV12</stp>
        <stp>XS0640334768 Corp</stp>
        <stp>MATURITY</stp>
        <stp>[upload (2).xlsm]Base all $ 3 Duration!R15C9</stp>
        <tr r="I15" s="66"/>
      </tp>
      <tp>
        <v>157545289972</v>
        <stp/>
        <stp>##V3_BDPV12</stp>
        <stp>NMTP RX EQUITY</stp>
        <stp>CUR_MKT_CAP</stp>
        <stp>[upload (2).xlsm]Model Portfolio!R49C10</stp>
        <tr r="J49" s="98"/>
      </tp>
      <tp t="s">
        <v>23/05/2016</v>
        <stp/>
        <stp>##V3_BDPV12</stp>
        <stp>XS0253861834 Corp</stp>
        <stp>MATURITY</stp>
        <stp>[upload (2).xlsm]Base all $ 3 Duration!R91C9</stp>
        <tr r="I91" s="66"/>
      </tp>
      <tp t="s">
        <v>24/04/2018</v>
        <stp/>
        <stp>##V3_BDPV12</stp>
        <stp>XS0919502434 Corp</stp>
        <stp>MATURITY</stp>
        <stp>[upload (2).xlsm]Base all $ 3 Duration!R66C9</stp>
        <tr r="I66" s="66"/>
      </tp>
      <tp>
        <v>3.5</v>
        <stp/>
        <stp>##V3_BDPV12</stp>
        <stp>OGKB RX EQUITY</stp>
        <stp>EQY_REC_CONS</stp>
        <stp>[upload (2).xlsm]Model Portfolio!R57C29</stp>
        <tr r="AC57" s="98"/>
      </tp>
      <tp>
        <v>7.3118071479791844</v>
        <stp/>
        <stp>##V3_BDPV12</stp>
        <stp>IRAO RX EQUITY</stp>
        <stp>PX_TO_FREE_CASH_FLOW</stp>
        <stp>[upload (2).xlsm]Model Portfolio!R51C19</stp>
        <tr r="S51" s="98"/>
      </tp>
      <tp>
        <v>0.28116740000000001</v>
        <stp/>
        <stp>##V3_BDPV12</stp>
        <stp>MVID RX EQUITY</stp>
        <stp>EQY_BETA_6M</stp>
        <stp>[upload (2).xlsm]Model Portfolio!R38C14</stp>
        <tr r="N38" s="98"/>
      </tp>
      <tp t="s">
        <v>PETROPAVLOVSK</v>
        <stp/>
        <stp>##V3_BDPV12</stp>
        <stp>POG LN EQUITY</stp>
        <stp>SHORT_NAME</stp>
        <stp>[upload (2).xlsm]Model Portfolio!R7C2</stp>
        <tr r="B7" s="98"/>
      </tp>
      <tp>
        <v>2.6</v>
        <stp/>
        <stp>##V3_BDPV12</stp>
        <stp>OKEY LI EQUITY</stp>
        <stp>EQY_REC_CONS</stp>
        <stp>[upload (2).xlsm]Model Portfolio!R39C29</stp>
        <tr r="AC39" s="98"/>
      </tp>
      <tp>
        <v>0.1760594</v>
        <stp/>
        <stp>##V3_BDPV12</stp>
        <stp>486 HK EQUITY</stp>
        <stp>CHG_PCT_WTD</stp>
        <stp>[upload (2).xlsm]Model Portfolio!R30C4</stp>
        <tr r="D30" s="98"/>
      </tp>
      <tp>
        <v>73.475610000000003</v>
        <stp/>
        <stp>##V3_BDPV12</stp>
        <stp>486 HK EQUITY</stp>
        <stp>CHG_PCT_YTD</stp>
        <stp>[upload (2).xlsm]Model Portfolio!R30C7</stp>
        <tr r="G30" s="98"/>
      </tp>
      <tp>
        <v>20.619139080329909</v>
        <stp/>
        <stp>##V3_BDPV12</stp>
        <stp>486 HK EQUITY</stp>
        <stp>EBITDA_MARGIN</stp>
        <stp>[upload (2).xlsm]Model Portfolio!R30C23</stp>
        <tr r="W30" s="98"/>
      </tp>
      <tp t="s">
        <v>Y</v>
        <stp/>
        <stp>##V3_BDPV12</stp>
        <stp>XS0559915961 Corp</stp>
        <stp>RUSSIAN_CB_LOMBARD</stp>
        <stp>[upload (2).xlsm]Base all $ 3 Duration!R135C16</stp>
        <tr r="P135" s="66"/>
      </tp>
      <tp t="s">
        <v>N</v>
        <stp/>
        <stp>##V3_BDPV12</stp>
        <stp>XS0981028177 Corp</stp>
        <stp>RUSSIAN_CB_LOMBARD</stp>
        <stp>[upload (2).xlsm]Base all $ 3 Duration!R119C16</stp>
        <tr r="P119" s="66"/>
      </tp>
      <tp>
        <v>101.7731</v>
        <stp/>
        <stp>##V3_BDPV12</stp>
        <stp>486 HK EQUITY</stp>
        <stp>CHG_PCT_1YR</stp>
        <stp>[upload (2).xlsm]Model Portfolio!R30C6</stp>
        <tr r="F30" s="98"/>
      </tp>
      <tp t="s">
        <v>Y</v>
        <stp/>
        <stp>##V3_BDPV12</stp>
        <stp>XS0805570354 Corp</stp>
        <stp>RUSSIAN_CB_LOMBARD</stp>
        <stp>[upload (2).xlsm]Base all $ 3 Duration!R154C16</stp>
        <tr r="P154" s="66"/>
      </tp>
      <tp>
        <v>100000</v>
        <stp/>
        <stp>##V3_BDPV12</stp>
        <stp>XS0559915961 Corp</stp>
        <stp>MIN_PIECE</stp>
        <stp>[upload (2).xlsm]Base all $ 3 Duration!R137C20</stp>
        <tr r="T137" s="66"/>
      </tp>
      <tp>
        <v>103.361</v>
        <stp/>
        <stp>##V3_BDPV12</stp>
        <stp>XS0357281558 Corp</stp>
        <stp>px_last</stp>
        <stp>[upload (2).xlsm]Base all $ 3 Duration!R69C4</stp>
        <tr r="D69" s="66"/>
      </tp>
      <tp>
        <v>200000</v>
        <stp/>
        <stp>##V3_BDPV12</stp>
        <stp>XS0979891925 Corp</stp>
        <stp>MIN_PIECE</stp>
        <stp>[upload (2).xlsm]Base all $ 3 Duration!R126C20</stp>
        <tr r="T126" s="66"/>
      </tp>
      <tp t="s">
        <v>#N/A N/A</v>
        <stp/>
        <stp>##V3_BDPV12</stp>
        <stp>XS1059697323 Corp</stp>
        <stp>px_last</stp>
        <stp>[upload (2).xlsm]Base all $ 3 Duration!R20C4</stp>
        <tr r="D20" s="66"/>
      </tp>
      <tp>
        <v>100.58499999999999</v>
        <stp/>
        <stp>##V3_BDPV12</stp>
        <stp>XS0878855773 Corp</stp>
        <stp>px_last</stp>
        <stp>[upload (2).xlsm]Base all $ 3 Duration!R44C4</stp>
        <tr r="D44" s="66"/>
      </tp>
      <tp>
        <v>101.791</v>
        <stp/>
        <stp>##V3_BDPV12</stp>
        <stp>XS0592794597 Corp</stp>
        <stp>px_last</stp>
        <stp>[upload (2).xlsm]Base all $ 3 Duration!R61C4</stp>
        <tr r="D61" s="66"/>
      </tp>
      <tp t="s">
        <v>#N/A Field Not Applicable</v>
        <stp/>
        <stp>##V3_BDPV12</stp>
        <stp>XS0299183250 Corp</stp>
        <stp>px_last</stp>
        <stp>[upload (2).xlsm]Base all $ 3 Duration!R40C4</stp>
        <tr r="D40" s="66"/>
      </tp>
      <tp t="s">
        <v>#N/A Field Not Applicable</v>
        <stp/>
        <stp>##V3_BDPV12</stp>
        <stp>XS0524658852 Corp</stp>
        <stp>px_last</stp>
        <stp>[upload (2).xlsm]Base all $ 3 Duration!R68C4</stp>
        <tr r="D68" s="66"/>
      </tp>
      <tp>
        <v>7.4288056200208379</v>
        <stp/>
        <stp>##V3_BDPV12</stp>
        <stp>LNTA LI EQUITY</stp>
        <stp>EBIT_MARGIN</stp>
        <stp>[upload (2).xlsm]Model Portfolio!R37C24</stp>
        <tr r="X37" s="98"/>
      </tp>
      <tp>
        <v>4.5789475440979004</v>
        <stp/>
        <stp>##V3_BDPV12</stp>
        <stp>VEON US Equity</stp>
        <stp>EQY_REC_CONS</stp>
        <stp>[Copy of upload (2).xlsm]Гарез_GRENF (2)!R4C10</stp>
        <tr r="J4" s="116"/>
      </tp>
      <tp>
        <v>177.5</v>
        <stp/>
        <stp>##V3_BDPV12</stp>
        <stp>XS0088543193 Corp</stp>
        <stp>PX_ASK</stp>
        <stp>[Copy of upload (2).xlsm]Гарез_GRENF!R11C7</stp>
        <tr r="G11" s="115"/>
      </tp>
      <tp t="s">
        <v>21/06/2018</v>
        <stp/>
        <stp>##V3_BDPV12</stp>
        <stp>XS0869792928 Corp</stp>
        <stp>MATURITY</stp>
        <stp>[upload (2).xlsm]Base all $ 3 Duration!R10C9</stp>
        <tr r="I10" s="66"/>
      </tp>
      <tp t="s">
        <v>21/07/2016</v>
        <stp/>
        <stp>##V3_BDPV12</stp>
        <stp>XS0650962185 Corp</stp>
        <stp>MATURITY</stp>
        <stp>[upload (2).xlsm]Base all $ 3 Duration!R83C9</stp>
        <tr r="I83" s="66"/>
      </tp>
      <tp t="s">
        <v>29/11/2015</v>
        <stp/>
        <stp>##V3_BDPV12</stp>
        <stp>XS0562354182 Corp</stp>
        <stp>MATURITY</stp>
        <stp>[upload (2).xlsm]Base all $ 3 Duration!R96C9</stp>
        <tr r="I96" s="66"/>
      </tp>
      <tp>
        <v>-0.46670493855598805</v>
        <stp/>
        <stp>##V3_BDPV12</stp>
        <stp>OKEY LI EQUITY</stp>
        <stp>TRAIL_12M_PROF_MARGIN</stp>
        <stp>[upload (2).xlsm]Model Portfolio!R39C25</stp>
        <tr r="Y39" s="98"/>
      </tp>
      <tp t="s">
        <v>06/11/2019</v>
        <stp/>
        <stp>##V3_BDPV12</stp>
        <stp>XS0851672435 Corp</stp>
        <stp>MATURITY</stp>
        <stp>[upload (2).xlsm]Base all $ 3 Duration!R23C9</stp>
        <tr r="I23" s="66"/>
      </tp>
      <tp>
        <v>10.843326000667734</v>
        <stp/>
        <stp>##V3_BDPV12</stp>
        <stp>TGKA RX EQUITY</stp>
        <stp>EBIT_MARGIN</stp>
        <stp>[upload (2).xlsm]Model Portfolio!R60C24</stp>
        <tr r="X60" s="98"/>
      </tp>
      <tp>
        <v>39.419767566320786</v>
        <stp/>
        <stp>##V3_BDPV12</stp>
        <stp>URKA RX EQUITY</stp>
        <stp>EBIT_MARGIN</stp>
        <stp>[upload (2).xlsm]Model Portfolio!R31C24</stp>
        <tr r="X31" s="98"/>
      </tp>
      <tp t="s">
        <v>23/04/2019</v>
        <stp/>
        <stp>##V3_BDPV12</stp>
        <stp>XS0424860947 Corp</stp>
        <stp>MATURITY</stp>
        <stp>[upload (2).xlsm]Base all $ 3 Duration!R46C9</stp>
        <tr r="I46" s="66"/>
      </tp>
      <tp t="s">
        <v>26/07/2016</v>
        <stp/>
        <stp>##V3_BDPV12</stp>
        <stp>XS0648402583 Corp</stp>
        <stp>MATURITY</stp>
        <stp>[upload (2).xlsm]Base all $ 3 Duration!R92C9</stp>
        <tr r="I92" s="66"/>
      </tp>
      <tp t="s">
        <v>07/06/2017</v>
        <stp/>
        <stp>##V3_BDPV12</stp>
        <stp>XS0304273948 Corp</stp>
        <stp>MATURITY</stp>
        <stp>[upload (2).xlsm]Base all $ 3 Duration!R87C9</stp>
        <tr r="I87" s="66"/>
      </tp>
      <tp>
        <v>0.88911099999999998</v>
        <stp/>
        <stp>##V3_BDPV12</stp>
        <stp>MSNG RX EQUITY</stp>
        <stp>EQY_BETA_6M</stp>
        <stp>[upload (2).xlsm]Model Portfolio!R55C14</stp>
        <tr r="N55" s="98"/>
      </tp>
      <tp>
        <v>0.29135080000000002</v>
        <stp/>
        <stp>##V3_BDPV12</stp>
        <stp>LSRG RX EQUITY</stp>
        <stp>EQY_BETA_6M</stp>
        <stp>[upload (2).xlsm]Model Portfolio!R69C14</stp>
        <tr r="N69" s="98"/>
      </tp>
      <tp>
        <v>4.6923069999999996</v>
        <stp/>
        <stp>##V3_BDPV12</stp>
        <stp>LKOH RX EQUITY</stp>
        <stp>EQY_REC_CONS</stp>
        <stp>[upload (2).xlsm]Model Portfolio!R13C29</stp>
        <tr r="AC13" s="98"/>
      </tp>
      <tp>
        <v>4.3333329999999997</v>
        <stp/>
        <stp>##V3_BDPV12</stp>
        <stp>LSRG RX EQUITY</stp>
        <stp>EQY_REC_CONS</stp>
        <stp>[upload (2).xlsm]Model Portfolio!R69C29</stp>
        <tr r="AC69" s="98"/>
      </tp>
      <tp>
        <v>3.8888889999999998</v>
        <stp/>
        <stp>##V3_BDPV12</stp>
        <stp>LNTA LI EQUITY</stp>
        <stp>EQY_REC_CONS</stp>
        <stp>[upload (2).xlsm]Model Portfolio!R37C29</stp>
        <tr r="AC37" s="98"/>
      </tp>
      <tp t="s">
        <v>HIGHLAND GOLD MI</v>
        <stp/>
        <stp>##V3_BDPV12</stp>
        <stp>HGM LN EQUITY</stp>
        <stp>SHORT_NAME</stp>
        <stp>[upload (2).xlsm]Model Portfolio!R4C2</stp>
        <tr r="B4" s="98"/>
      </tp>
      <tp>
        <v>3.923076868057251</v>
        <stp/>
        <stp>##V3_BDPV12</stp>
        <stp>LXFT US EQUITY</stp>
        <stp>EQY_REC_CONS</stp>
        <stp>[upload (2).xlsm]Model Portfolio!R41C29</stp>
        <tr r="AC41" s="98"/>
      </tp>
      <tp>
        <v>4.5671232876712331</v>
        <stp/>
        <stp>##V3_BDPV12</stp>
        <stp>486 HK EQUITY</stp>
        <stp>NET_DEBT_TO_EBITDA</stp>
        <stp>[upload (2).xlsm]Model Portfolio!R30C20</stp>
        <tr r="T30" s="98"/>
      </tp>
      <tp t="s">
        <v>Y</v>
        <stp/>
        <stp>##V3_BDPV12</stp>
        <stp>XS0708813810 Corp</stp>
        <stp>RUSSIAN_CB_LOMBARD</stp>
        <stp>[upload (2).xlsm]Base all $ 3 Duration!R153C16</stp>
        <tr r="P153" s="66"/>
      </tp>
      <tp t="s">
        <v>N</v>
        <stp/>
        <stp>##V3_BDPV12</stp>
        <stp>XS1032750165 Corp</stp>
        <stp>RUSSIAN_CB_LOMBARD</stp>
        <stp>[upload (2).xlsm]Base all $ 3 Duration!R132C16</stp>
        <tr r="P132" s="66"/>
      </tp>
      <tp t="s">
        <v>Y</v>
        <stp/>
        <stp>##V3_BDPV12</stp>
        <stp>XS0922301717 Corp</stp>
        <stp>RUSSIAN_CB_LOMBARD</stp>
        <stp>[upload (2).xlsm]Base all $ 3 Duration!R108C16</stp>
        <tr r="P108" s="66"/>
      </tp>
      <tp t="s">
        <v>Y</v>
        <stp/>
        <stp>##V3_BDPV12</stp>
        <stp>XS0921331509 Corp</stp>
        <stp>RUSSIAN_CB_LOMBARD</stp>
        <stp>[upload (2).xlsm]Base all $ 3 Duration!R144C16</stp>
        <tr r="P144" s="66"/>
      </tp>
      <tp t="s">
        <v>N</v>
        <stp/>
        <stp>##V3_BDPV12</stp>
        <stp>XS0848137708 Corp</stp>
        <stp>RUSSIAN_CB_LOMBARD</stp>
        <stp>[upload (2).xlsm]Base all $ 3 Duration!R122C16</stp>
        <tr r="P122" s="66"/>
      </tp>
      <tp>
        <v>102.5676</v>
        <stp/>
        <stp>##V3_BDPV12</stp>
        <stp>XS0869792928 Corp</stp>
        <stp>px_last</stp>
        <stp>[upload (2).xlsm]Base all $ 3 Duration!R10C4</stp>
        <tr r="D10" s="66"/>
      </tp>
      <tp>
        <v>96.424999999999997</v>
        <stp/>
        <stp>##V3_BDPV12</stp>
        <stp>XS0851672435 Corp</stp>
        <stp>px_last</stp>
        <stp>[upload (2).xlsm]Base all $ 3 Duration!R23C4</stp>
        <tr r="D23" s="66"/>
      </tp>
      <tp>
        <v>100000</v>
        <stp/>
        <stp>##V3_BDPV12</stp>
        <stp>XS0524610812 Corp</stp>
        <stp>MIN_PIECE</stp>
        <stp>[upload (2).xlsm]Base all $ 3 Duration!R110C20</stp>
        <tr r="T110" s="66"/>
      </tp>
      <tp>
        <v>200000</v>
        <stp/>
        <stp>##V3_BDPV12</stp>
        <stp>XS0708813810 Corp</stp>
        <stp>MIN_PIECE</stp>
        <stp>[upload (2).xlsm]Base all $ 3 Duration!R155C20</stp>
        <tr r="T155" s="66"/>
      </tp>
      <tp>
        <v>101.358</v>
        <stp/>
        <stp>##V3_BDPV12</stp>
        <stp>XS0808632847 Corp</stp>
        <stp>px_last</stp>
        <stp>[upload (2).xlsm]Base all $ 3 Duration!R65C4</stp>
        <tr r="D65" s="66"/>
      </tp>
      <tp>
        <v>100.846</v>
        <stp/>
        <stp>##V3_BDPV12</stp>
        <stp>XS0796426228 Corp</stp>
        <stp>px_last</stp>
        <stp>[upload (2).xlsm]Base all $ 3 Duration!R54C4</stp>
        <tr r="D54" s="66"/>
      </tp>
      <tp t="s">
        <v>#N/A Field Not Applicable</v>
        <stp/>
        <stp>##V3_BDPV12</stp>
        <stp>XS0292530309 Corp</stp>
        <stp>px_last</stp>
        <stp>[upload (2).xlsm]Base all $ 3 Duration!R81C4</stp>
        <tr r="D81" s="66"/>
      </tp>
      <tp>
        <v>4.4973470705482725</v>
        <stp/>
        <stp>##V3_BDPV12</stp>
        <stp>SVAV RX EQUITY</stp>
        <stp>TRAIL_12M_PROF_MARGIN</stp>
        <stp>[upload (2).xlsm]Model Portfolio!R72C25</stp>
        <tr r="Y72" s="98"/>
      </tp>
      <tp>
        <v>11.203043780367057</v>
        <stp/>
        <stp>##V3_BDPV12</stp>
        <stp>OGKB RX EQUITY</stp>
        <stp>EBIT_MARGIN</stp>
        <stp>[upload (2).xlsm]Model Portfolio!R57C24</stp>
        <tr r="X57" s="98"/>
      </tp>
      <tp>
        <v>4094180557680</v>
        <stp/>
        <stp>##V3_BDPV12</stp>
        <stp>SBER RX EQUITY</stp>
        <stp>CUR_MKT_CAP</stp>
        <stp>[upload (2).xlsm]Model Portfolio!R75C10</stp>
        <tr r="J75" s="98"/>
      </tp>
      <tp>
        <v>294871500000</v>
        <stp/>
        <stp>##V3_BDPV12</stp>
        <stp>PHOR RX EQUITY</stp>
        <stp>CUR_MKT_CAP</stp>
        <stp>[upload (2).xlsm]Model Portfolio!R32C10</stp>
        <tr r="J32" s="98"/>
      </tp>
      <tp>
        <v>3.1840834080129397</v>
        <stp/>
        <stp>##V3_BDPV12</stp>
        <stp>MVID RX EQUITY</stp>
        <stp>TRAIL_12M_PROF_MARGIN</stp>
        <stp>[upload (2).xlsm]Model Portfolio!R38C25</stp>
        <tr r="Y38" s="98"/>
      </tp>
      <tp t="s">
        <v>#N/A N/A</v>
        <stp/>
        <stp>##V3_BDPV12</stp>
        <stp>BSPB RX EQUITY</stp>
        <stp>EBIT_MARGIN</stp>
        <stp>[upload (2).xlsm]Model Portfolio!R77C24</stp>
        <tr r="X77" s="98"/>
      </tp>
      <tp t="s">
        <v>19/02/2018</v>
        <stp/>
        <stp>##V3_BDPV12</stp>
        <stp>XS0808632847 Corp</stp>
        <stp>MATURITY</stp>
        <stp>[upload (2).xlsm]Base all $ 3 Duration!R65C9</stp>
        <tr r="I65" s="66"/>
      </tp>
      <tp>
        <v>10727639874.929998</v>
        <stp/>
        <stp>##V3_BDPV12</stp>
        <stp>RTKMP RX EQUITY</stp>
        <stp>CUR_MKT_CAP</stp>
        <stp>[upload (2).xlsm]Model Portfolio!R63C10</stp>
        <tr r="J63" s="98"/>
      </tp>
      <tp>
        <v>645342481.76000011</v>
        <stp/>
        <stp>##V3_BDPV12</stp>
        <stp>GLPR LI EQUITY</stp>
        <stp>CUR_MKT_CAP</stp>
        <stp>[upload (2).xlsm]Model Portfolio!R46C10</stp>
        <tr r="J46" s="98"/>
      </tp>
      <tp>
        <v>1776684705.04</v>
        <stp/>
        <stp>##V3_BDPV12</stp>
        <stp>GLTR LI EQUITY</stp>
        <stp>CUR_MKT_CAP</stp>
        <stp>[upload (2).xlsm]Model Portfolio!R48C10</stp>
        <tr r="J48" s="98"/>
      </tp>
      <tp t="s">
        <v>30/04/2018</v>
        <stp/>
        <stp>##V3_BDPV12</stp>
        <stp>XS0922883318 Corp</stp>
        <stp>MATURITY</stp>
        <stp>[upload (2).xlsm]Base all $ 3 Duration!R56C9</stp>
        <tr r="I56" s="66"/>
      </tp>
      <tp t="s">
        <v>25/04/2018</v>
        <stp/>
        <stp>##V3_BDPV12</stp>
        <stp>XS0923110232 Corp</stp>
        <stp>MATURITY</stp>
        <stp>[upload (2).xlsm]Base all $ 3 Duration!R35C9</stp>
        <tr r="I35" s="66"/>
      </tp>
      <tp t="s">
        <v>24/03/2017</v>
        <stp/>
        <stp>##V3_BDPV12</stp>
        <stp>XS0543956717 Corp</stp>
        <stp>MATURITY</stp>
        <stp>[upload (2).xlsm]Base all $ 3 Duration!R85C9</stp>
        <tr r="I85" s="66"/>
      </tp>
      <tp>
        <v>30.712335638796013</v>
        <stp/>
        <stp>##V3_BDPV12</stp>
        <stp>NVTK RX EQUITY</stp>
        <stp>TRAIL_12M_PROF_MARGIN</stp>
        <stp>[upload (2).xlsm]Model Portfolio!R16C25</stp>
        <tr r="Y16" s="98"/>
      </tp>
      <tp>
        <v>66540878588.249992</v>
        <stp/>
        <stp>##V3_BDPV12</stp>
        <stp>MTLR RX EQUITY</stp>
        <stp>CUR_MKT_CAP</stp>
        <stp>[upload (2).xlsm]Model Portfolio!R24C10</stp>
        <tr r="J24" s="98"/>
      </tp>
      <tp t="s">
        <v>03/05/2019</v>
        <stp/>
        <stp>##V3_BDPV12</stp>
        <stp>XS0779213460 Corp</stp>
        <stp>MATURITY</stp>
        <stp>[upload (2).xlsm]Base all $ 3 Duration!R33C9</stp>
        <tr r="I33" s="66"/>
      </tp>
      <tp>
        <v>351858786704.99542</v>
        <stp/>
        <stp>##V3_BDPV12</stp>
        <stp>HYDR RX EQUITY</stp>
        <stp>CUR_MKT_CAP</stp>
        <stp>[upload (2).xlsm]Model Portfolio!R58C10</stp>
        <tr r="J58" s="98"/>
      </tp>
      <tp>
        <v>3.7272729999999998</v>
        <stp/>
        <stp>##V3_BDPV12</stp>
        <stp>MGNT RX EQUITY</stp>
        <stp>EQY_REC_CONS</stp>
        <stp>[upload (2).xlsm]Model Portfolio!R35C29</stp>
        <tr r="AC35" s="98"/>
      </tp>
      <tp>
        <v>4.2</v>
        <stp/>
        <stp>##V3_BDPV12</stp>
        <stp>MFON RX EQUITY</stp>
        <stp>EQY_REC_CONS</stp>
        <stp>[upload (2).xlsm]Model Portfolio!R62C29</stp>
        <tr r="AC62" s="98"/>
      </tp>
      <tp t="s">
        <v>POLYMETAL</v>
        <stp/>
        <stp>##V3_BDPV12</stp>
        <stp>POLY LN EQUITY</stp>
        <stp>SHORT_NAME</stp>
        <stp>[upload (2).xlsm]Model Portfolio!R6C2</stp>
        <tr r="B6" s="98"/>
      </tp>
    </main>
    <main first="bloomberg.rtd">
      <tp>
        <v>3.5</v>
        <stp/>
        <stp>##V3_BDPV12</stp>
        <stp>MAGN RX EQUITY</stp>
        <stp>EQY_REC_CONS</stp>
        <stp>[upload (2).xlsm]Model Portfolio!R23C29</stp>
        <tr r="AC23" s="98"/>
      </tp>
      <tp>
        <v>3.75</v>
        <stp/>
        <stp>##V3_BDPV12</stp>
        <stp>MOEX RX EQUITY</stp>
        <stp>EQY_REC_CONS</stp>
        <stp>[upload (2).xlsm]Model Portfolio!R74C29</stp>
        <tr r="AC74" s="98"/>
      </tp>
      <tp>
        <v>0.99078759999999999</v>
        <stp/>
        <stp>##V3_BDPV12</stp>
        <stp>CHMF RX EQUITY</stp>
        <stp>EQY_BETA_6M</stp>
        <stp>[upload (2).xlsm]Model Portfolio!R25C14</stp>
        <tr r="N25" s="98"/>
      </tp>
      <tp t="s">
        <v>#N/A Field Not Applicable</v>
        <stp/>
        <stp>##V3_BDPV12</stp>
        <stp>KCEL LI EQUITY</stp>
        <stp>PX_TO_FREE_CASH_FLOW</stp>
        <stp>[upload (2).xlsm]Model Portfolio!R65C19</stp>
        <tr r="S65" s="98"/>
      </tp>
      <tp>
        <v>3</v>
        <stp/>
        <stp>##V3_BDPV12</stp>
        <stp>MVID RX EQUITY</stp>
        <stp>EQY_REC_CONS</stp>
        <stp>[upload (2).xlsm]Model Portfolio!R38C29</stp>
        <tr r="AC38" s="98"/>
      </tp>
      <tp>
        <v>1</v>
        <stp/>
        <stp>##V3_BDPV12</stp>
        <stp>MTLR RX EQUITY</stp>
        <stp>EQY_REC_CONS</stp>
        <stp>[upload (2).xlsm]Model Portfolio!R24C29</stp>
        <tr r="AC24" s="98"/>
      </tp>
      <tp>
        <v>4</v>
        <stp/>
        <stp>##V3_BDPV12</stp>
        <stp>MTSS RX EQUITY</stp>
        <stp>EQY_REC_CONS</stp>
        <stp>[upload (2).xlsm]Model Portfolio!R67C29</stp>
        <tr r="AC67" s="98"/>
      </tp>
      <tp>
        <v>3.5</v>
        <stp/>
        <stp>##V3_BDPV12</stp>
        <stp>MSNG RX EQUITY</stp>
        <stp>EQY_REC_CONS</stp>
        <stp>[upload (2).xlsm]Model Portfolio!R55C29</stp>
        <tr r="AC55" s="98"/>
      </tp>
      <tp>
        <v>3</v>
        <stp/>
        <stp>##V3_BDPV12</stp>
        <stp>MSRS RX EQUITY</stp>
        <stp>EQY_REC_CONS</stp>
        <stp>[upload (2).xlsm]Model Portfolio!R59C29</stp>
        <tr r="AC59" s="98"/>
      </tp>
      <tp>
        <v>3.7058819999999999</v>
        <stp/>
        <stp>##V3_BDPV12</stp>
        <stp>MAIL LI EQUITY</stp>
        <stp>EQY_REC_CONS</stp>
        <stp>[upload (2).xlsm]Model Portfolio!R44C29</stp>
        <tr r="AC44" s="98"/>
      </tp>
      <tp t="s">
        <v>#N/A N/A</v>
        <stp/>
        <stp>##V3_BDPV12</stp>
        <stp>KMAZ RX EQUITY</stp>
        <stp>PX_TO_FREE_CASH_FLOW</stp>
        <stp>[upload (2).xlsm]Model Portfolio!R73C19</stp>
        <tr r="S73" s="98"/>
      </tp>
      <tp>
        <v>9.5164169483645615</v>
        <stp/>
        <stp>##V3_BDPV12</stp>
        <stp>486 HK EQUITY</stp>
        <stp>EST_EV_THIS_YR_EBITDA</stp>
        <stp>[upload (2).xlsm]Model Portfolio!R30C16</stp>
        <tr r="P30" s="98"/>
      </tp>
      <tp>
        <v>31.734133330910012</v>
        <stp/>
        <stp>##V3_BDPV12</stp>
        <stp>KMG LI EQUITY</stp>
        <stp>EBIT_MARGIN</stp>
        <stp>[upload (2).xlsm]Model Portfolio!R9C24</stp>
        <tr r="X9" s="98"/>
      </tp>
      <tp t="s">
        <v>#N/A N/A</v>
        <stp/>
        <stp>##V3_BDPV12</stp>
        <stp>VEON US Equity</stp>
        <stp>BDVD_NEXT_EST_DECL_DT</stp>
        <stp>[Copy of upload (2).xlsm]Гарез_GRENF (2)!R4C22</stp>
        <tr r="V4" s="116"/>
      </tp>
      <tp t="s">
        <v>Y</v>
        <stp/>
        <stp>##V3_BDPV12</stp>
        <stp>XS0972645112 Corp</stp>
        <stp>RUSSIAN_CB_LOMBARD</stp>
        <stp>[upload (2).xlsm]Base all $ 3 Duration!R116C16</stp>
        <tr r="P116" s="66"/>
      </tp>
      <tp t="s">
        <v>Y</v>
        <stp/>
        <stp>##V3_BDPV12</stp>
        <stp>XS0743596040 Corp</stp>
        <stp>RUSSIAN_CB_LOMBARD</stp>
        <stp>[upload (2).xlsm]Base all $ 3 Duration!R155C16</stp>
        <tr r="P155" s="66"/>
      </tp>
      <tp t="s">
        <v>Y</v>
        <stp/>
        <stp>##V3_BDPV12</stp>
        <stp>XS0831571434 Corp</stp>
        <stp>RUSSIAN_CB_LOMBARD</stp>
        <stp>[upload (2).xlsm]Base all $ 3 Duration!R157C16</stp>
        <tr r="P157" s="66"/>
      </tp>
      <tp t="s">
        <v>N</v>
        <stp/>
        <stp>##V3_BDPV12</stp>
        <stp>XS0935311240 Corp</stp>
        <stp>RUSSIAN_CB_LOMBARD</stp>
        <stp>[upload (2).xlsm]Base all $ 3 Duration!R131C16</stp>
        <tr r="P131" s="66"/>
      </tp>
      <tp t="s">
        <v>Y</v>
        <stp/>
        <stp>##V3_BDPV12</stp>
        <stp>XS0513723873 Corp</stp>
        <stp>RUSSIAN_CB_LOMBARD</stp>
        <stp>[upload (2).xlsm]Base all $ 3 Duration!R110C16</stp>
        <tr r="P110" s="66"/>
      </tp>
      <tp t="s">
        <v>Y</v>
        <stp/>
        <stp>##V3_BDPV12</stp>
        <stp>XS0524610812 Corp</stp>
        <stp>RUSSIAN_CB_LOMBARD</stp>
        <stp>[upload (2).xlsm]Base all $ 3 Duration!R107C16</stp>
        <tr r="P107" s="66"/>
      </tp>
      <tp>
        <v>102.586</v>
        <stp/>
        <stp>##V3_BDPV12</stp>
        <stp>XS0618905219 Corp</stp>
        <stp>px_last</stp>
        <stp>[upload (2).xlsm]Base all $ 3 Duration!R37C4</stp>
        <tr r="D37" s="66"/>
      </tp>
      <tp t="s">
        <v>#N/A Field Not Applicable</v>
        <stp/>
        <stp>##V3_BDPV12</stp>
        <stp>XS0640334768 Corp</stp>
        <stp>px_last</stp>
        <stp>[upload (2).xlsm]Base all $ 3 Duration!R15C4</stp>
        <tr r="D15" s="66"/>
      </tp>
      <tp>
        <v>102.307</v>
        <stp/>
        <stp>##V3_BDPV12</stp>
        <stp>XS0923472814 Corp</stp>
        <stp>px_last</stp>
        <stp>[upload (2).xlsm]Base all $ 3 Duration!R52C4</stp>
        <tr r="D52" s="66"/>
      </tp>
      <tp>
        <v>101.376</v>
        <stp/>
        <stp>##V3_BDPV12</stp>
        <stp>XS0879105558 Corp</stp>
        <stp>px_last</stp>
        <stp>[upload (2).xlsm]Base all $ 3 Duration!R38C4</stp>
        <tr r="D38" s="66"/>
      </tp>
      <tp>
        <v>101.875</v>
        <stp/>
        <stp>##V3_BDPV12</stp>
        <stp>XS0552679879 Corp</stp>
        <stp>px_last</stp>
        <stp>[upload (2).xlsm]Base all $ 3 Duration!R43C4</stp>
        <tr r="D43" s="66"/>
      </tp>
      <tp>
        <v>1002114151475.2499</v>
        <stp/>
        <stp>##V3_BDPV12</stp>
        <stp>SNGS RX EQUITY</stp>
        <stp>CUR_MKT_CAP</stp>
        <stp>[upload (2).xlsm]Model Portfolio!R10C10</stp>
        <tr r="J10" s="98"/>
      </tp>
      <tp>
        <v>163140000000</v>
        <stp/>
        <stp>##V3_BDPV12</stp>
        <stp>SBERP RX EQUITY</stp>
        <stp>CUR_MKT_CAP</stp>
        <stp>[upload (2).xlsm]Model Portfolio!R76C10</stp>
        <tr r="J76" s="98"/>
      </tp>
      <tp>
        <v>2.4035860111895366</v>
        <stp/>
        <stp>##V3_BDPV12</stp>
        <stp>FIVE LI EQUITY</stp>
        <stp>TRAIL_12M_PROF_MARGIN</stp>
        <stp>[upload (2).xlsm]Model Portfolio!R36C25</stp>
        <tr r="Y36" s="98"/>
      </tp>
      <tp>
        <v>8.7080281863259934</v>
        <stp/>
        <stp>##V3_BDPV12</stp>
        <stp>EPAM US EQUITY</stp>
        <stp>TRAIL_12M_PROF_MARGIN</stp>
        <stp>[upload (2).xlsm]Model Portfolio!R42C25</stp>
        <tr r="Y42" s="98"/>
      </tp>
      <tp>
        <v>221817549168</v>
        <stp/>
        <stp>##V3_BDPV12</stp>
        <stp>SNGSP RX EQUITY</stp>
        <stp>CUR_MKT_CAP</stp>
        <stp>[upload (2).xlsm]Model Portfolio!R11C10</stp>
        <tr r="J11" s="98"/>
      </tp>
      <tp>
        <v>221090700285.27734</v>
        <stp/>
        <stp>##V3_BDPV12</stp>
        <stp>FEES RX EQUITY</stp>
        <stp>CUR_MKT_CAP</stp>
        <stp>[upload (2).xlsm]Model Portfolio!R56C10</stp>
        <tr r="J56" s="98"/>
      </tp>
      <tp t="s">
        <v>06/03/2017</v>
        <stp/>
        <stp>##V3_BDPV12</stp>
        <stp>XS0861980372 Corp</stp>
        <stp>MATURITY</stp>
        <stp>[upload (2).xlsm]Base all $ 3 Duration!R80C9</stp>
        <tr r="I80" s="66"/>
      </tp>
      <tp t="s">
        <v>12/04/2017</v>
        <stp/>
        <stp>##V3_BDPV12</stp>
        <stp>XS0772509484 Corp</stp>
        <stp>MATURITY</stp>
        <stp>[upload (2).xlsm]Base all $ 3 Duration!R78C9</stp>
        <tr r="I78" s="66"/>
      </tp>
      <tp>
        <v>134955250000</v>
        <stp/>
        <stp>##V3_BDPV12</stp>
        <stp>AFKS RX EQUITY</stp>
        <stp>CUR_MKT_CAP</stp>
        <stp>[upload (2).xlsm]Model Portfolio!R64C10</stp>
        <tr r="J64" s="98"/>
      </tp>
      <tp t="s">
        <v>24/04/2017</v>
        <stp/>
        <stp>##V3_BDPV12</stp>
        <stp>XS0652913558 Corp</stp>
        <stp>MATURITY</stp>
        <stp>[upload (2).xlsm]Base all $ 3 Duration!R60C9</stp>
        <tr r="I60" s="66"/>
      </tp>
      <tp t="s">
        <v>22/11/2017</v>
        <stp/>
        <stp>##V3_BDPV12</stp>
        <stp>XS0559800122 Corp</stp>
        <stp>MATURITY</stp>
        <stp>[upload (2).xlsm]Base all $ 3 Duration!R63C9</stp>
        <tr r="I63" s="66"/>
      </tp>
      <tp t="s">
        <v>27/05/2016</v>
        <stp/>
        <stp>##V3_BDPV12</stp>
        <stp>XS0630950870 Corp</stp>
        <stp>MATURITY</stp>
        <stp>[upload (2).xlsm]Base all $ 3 Duration!R75C9</stp>
        <tr r="I75" s="66"/>
      </tp>
      <tp t="s">
        <v>30/04/2018</v>
        <stp/>
        <stp>##V3_BDPV12</stp>
        <stp>XS0361041808 Corp</stp>
        <stp>MATURITY</stp>
        <stp>[upload (2).xlsm]Base all $ 3 Duration!R51C9</stp>
        <tr r="I51" s="66"/>
      </tp>
      <tp>
        <v>43154483134.563995</v>
        <stp/>
        <stp>##V3_BDPV12</stp>
        <stp>MSRS RX EQUITY</stp>
        <stp>CUR_MKT_CAP</stp>
        <stp>[upload (2).xlsm]Model Portfolio!R59C10</stp>
        <tr r="J59" s="98"/>
      </tp>
      <tp>
        <v>566441257433.75</v>
        <stp/>
        <stp>##V3_BDPV12</stp>
        <stp>MTSS RX EQUITY</stp>
        <stp>CUR_MKT_CAP</stp>
        <stp>[upload (2).xlsm]Model Portfolio!R67C10</stp>
        <tr r="J67" s="98"/>
      </tp>
      <tp t="s">
        <v>25/09/2017</v>
        <stp/>
        <stp>##V3_BDPV12</stp>
        <stp>XS0544362972 Corp</stp>
        <stp>MATURITY</stp>
        <stp>[upload (2).xlsm]Base all $ 3 Duration!R70C9</stp>
        <tr r="I70" s="66"/>
      </tp>
      <tp t="s">
        <v>31/01/2018</v>
        <stp/>
        <stp>##V3_BDPV12</stp>
        <stp>XS0878855773 Corp</stp>
        <stp>MATURITY</stp>
        <stp>[upload (2).xlsm]Base all $ 3 Duration!R44C9</stp>
        <tr r="I44" s="66"/>
      </tp>
      <tp>
        <v>-1.0488478485442625</v>
        <stp/>
        <stp>##V3_BDPV12</stp>
        <stp>PHOR RX EQUITY</stp>
        <stp>SALES_GROWTH</stp>
        <stp>[upload (2).xlsm]Model Portfolio!R32C21</stp>
        <tr r="U32" s="98"/>
      </tp>
      <tp>
        <v>17.51936165219432</v>
        <stp/>
        <stp>##V3_BDPV12</stp>
        <stp>PIKK RX EQUITY</stp>
        <stp>SALES_GROWTH</stp>
        <stp>[upload (2).xlsm]Model Portfolio!R68C21</stp>
        <tr r="U68" s="98"/>
      </tp>
      <tp>
        <v>3.5</v>
        <stp/>
        <stp>##V3_BDPV12</stp>
        <stp>BANE RX EQUITY</stp>
        <stp>EQY_REC_CONS</stp>
        <stp>[upload (2).xlsm]Model Portfolio!R18C29</stp>
        <tr r="AC18" s="98"/>
      </tp>
      <tp t="s">
        <v>#N/A N/A</v>
        <stp/>
        <stp>##V3_BDPV12</stp>
        <stp>NORD LI EQUITY</stp>
        <stp>CHG_PCT_1M</stp>
        <stp>[upload (2).xlsm]Model Portfolio!R3C5</stp>
        <tr r="E3" s="98"/>
      </tp>
      <tp>
        <v>4.1111110000000002</v>
        <stp/>
        <stp>##V3_BDPV12</stp>
        <stp>BSPB RX EQUITY</stp>
        <stp>EQY_REC_CONS</stp>
        <stp>[upload (2).xlsm]Model Portfolio!R77C29</stp>
        <tr r="AC77" s="98"/>
      </tp>
      <tp>
        <v>6.4825904182564118</v>
        <stp/>
        <stp>##V3_BDPV12</stp>
        <stp>DIXY RX EQUITY</stp>
        <stp>PX_TO_FREE_CASH_FLOW</stp>
        <stp>[upload (2).xlsm]Model Portfolio!R34C19</stp>
        <tr r="S34" s="98"/>
      </tp>
      <tp>
        <v>1.2630600000000001</v>
        <stp/>
        <stp>##V3_BDPV12</stp>
        <stp>RSTI RX EQUITY</stp>
        <stp>EQY_BETA_6M</stp>
        <stp>[upload (2).xlsm]Model Portfolio!R54C14</stp>
        <tr r="N54" s="98"/>
      </tp>
      <tp>
        <v>0.87771892547607422</v>
        <stp/>
        <stp>##V3_BDPV12</stp>
        <stp>QIWI US EQUITY</stp>
        <stp>EQY_BETA_6M</stp>
        <stp>[upload (2).xlsm]Model Portfolio!R40C14</stp>
        <tr r="N40" s="98"/>
      </tp>
      <tp t="s">
        <v>Y</v>
        <stp/>
        <stp>##V3_BDPV12</stp>
        <stp>XS0191754729 Corp</stp>
        <stp>RUSSIAN_CB_LOMBARD</stp>
        <stp>[upload (2).xlsm]Base all $ 3 Duration!R128C16</stp>
        <tr r="P128" s="66"/>
      </tp>
      <tp t="s">
        <v>Y</v>
        <stp/>
        <stp>##V3_BDPV12</stp>
        <stp>XS0997544860 Corp</stp>
        <stp>RUSSIAN_CB_LOMBARD</stp>
        <stp>[upload (2).xlsm]Base all $ 3 Duration!R136C16</stp>
        <tr r="P136" s="66"/>
      </tp>
      <tp>
        <v>23.004000000000001</v>
        <stp/>
        <stp>##V3_BDPV12</stp>
        <stp>XS0940730228 Corp</stp>
        <stp>px_last</stp>
        <stp>[upload (2).xlsm]Base all $ 3 Duration!R25C4</stp>
        <tr r="D25" s="66"/>
      </tp>
      <tp>
        <v>200000</v>
        <stp/>
        <stp>##V3_BDPV12</stp>
        <stp>XS0935311240 Corp</stp>
        <stp>MIN_PIECE</stp>
        <stp>[upload (2).xlsm]Base all $ 3 Duration!R133C20</stp>
        <tr r="T133" s="66"/>
      </tp>
      <tp t="s">
        <v>#N/A Field Not Applicable</v>
        <stp/>
        <stp>##V3_BDPV12</stp>
        <stp>XS0648402583 Corp</stp>
        <stp>px_last</stp>
        <stp>[upload (2).xlsm]Base all $ 3 Duration!R92C4</stp>
        <tr r="D92" s="66"/>
      </tp>
      <tp>
        <v>200000</v>
        <stp/>
        <stp>##V3_BDPV12</stp>
        <stp>XS0841677387 Corp</stp>
        <stp>MIN_PIECE</stp>
        <stp>[upload (2).xlsm]Base all $ 3 Duration!R102C20</stp>
        <tr r="T102" s="66"/>
      </tp>
      <tp>
        <v>1.5294200948806911</v>
        <stp/>
        <stp>##V3_BDPV12</stp>
        <stp>SBERP RX EQUITY</stp>
        <stp>SALES_GROWTH</stp>
        <stp>[upload (2).xlsm]Model Portfolio!R76C21</stp>
        <tr r="U76" s="98"/>
      </tp>
      <tp>
        <v>200000</v>
        <stp/>
        <stp>##V3_BDPV12</stp>
        <stp>XS0982861287 Corp</stp>
        <stp>MIN_PIECE</stp>
        <stp>[upload (2).xlsm]Base all $ 3 Duration!R116C20</stp>
        <tr r="T116" s="66"/>
      </tp>
      <tp>
        <v>200000</v>
        <stp/>
        <stp>##V3_BDPV12</stp>
        <stp>XS0885733153 Corp</stp>
        <stp>MIN_PIECE</stp>
        <stp>[upload (2).xlsm]Base all $ 3 Duration!R118C20</stp>
        <tr r="T118" s="66"/>
      </tp>
      <tp>
        <v>101.554</v>
        <stp/>
        <stp>##V3_BDPV12</stp>
        <stp>XS0993162170 Corp</stp>
        <stp>px_last</stp>
        <stp>[upload (2).xlsm]Base all $ 3 Duration!R48C4</stp>
        <tr r="D48" s="66"/>
      </tp>
      <tp>
        <v>10.459378224395497</v>
        <stp/>
        <stp>##V3_BDPV12</stp>
        <stp>MAIL LI EQUITY</stp>
        <stp>EBIT_MARGIN</stp>
        <stp>[upload (2).xlsm]Model Portfolio!R44C24</stp>
        <tr r="X44" s="98"/>
      </tp>
      <tp>
        <v>20.05526472337975</v>
        <stp/>
        <stp>##V3_BDPV12</stp>
        <stp>KCEL LI EQUITY</stp>
        <stp>EBIT_MARGIN</stp>
        <stp>[upload (2).xlsm]Model Portfolio!R65C24</stp>
        <tr r="X65" s="98"/>
      </tp>
      <tp t="s">
        <v>18/07/2016</v>
        <stp/>
        <stp>##V3_BDPV12</stp>
        <stp>XS0261906738 Corp</stp>
        <stp>MATURITY</stp>
        <stp>[upload (2).xlsm]Base all $ 3 Duration!R89C9</stp>
        <tr r="I89" s="66"/>
      </tp>
      <tp t="s">
        <v>06/03/2019</v>
        <stp/>
        <stp>##V3_BDPV12</stp>
        <stp>XS1043519567 Corp</stp>
        <stp>MATURITY</stp>
        <stp>[upload (2).xlsm]Base all $ 3 Duration!R74C9</stp>
        <tr r="I74" s="66"/>
      </tp>
      <tp>
        <v>11.394997843898231</v>
        <stp/>
        <stp>##V3_BDPV12</stp>
        <stp>EVR LN EQUITY</stp>
        <stp>EBIT_MARGIN</stp>
        <stp>[upload (2).xlsm]Model Portfolio!R26C24</stp>
        <tr r="X26" s="98"/>
      </tp>
      <tp>
        <v>0.92020829524601722</v>
        <stp/>
        <stp>##V3_BDPV12</stp>
        <stp>QIWI US EQUITY</stp>
        <stp>SALES_GROWTH</stp>
        <stp>[upload (2).xlsm]Model Portfolio!R40C21</stp>
        <tr r="U40" s="98"/>
      </tp>
      <tp>
        <v>29.452822772109183</v>
        <stp/>
        <stp>##V3_BDPV12</stp>
        <stp>EPAM US EQUITY</stp>
        <stp>PX_TO_FREE_CASH_FLOW</stp>
        <stp>[upload (2).xlsm]Model Portfolio!R42C19</stp>
        <tr r="S42" s="98"/>
      </tp>
      <tp>
        <v>1.2570730000000001</v>
        <stp/>
        <stp>##V3_BDPV12</stp>
        <stp>LKOH RX EQUITY</stp>
        <stp>EQY_BETA_6M</stp>
        <stp>[upload (2).xlsm]Model Portfolio!R13C14</stp>
        <tr r="N13" s="98"/>
      </tp>
      <tp>
        <v>0.35325020000000001</v>
        <stp/>
        <stp>##V3_BDPV12</stp>
        <stp>FESH RX EQUITY</stp>
        <stp>EQY_BETA_6M</stp>
        <stp>[upload (2).xlsm]Model Portfolio!R45C14</stp>
        <tr r="N45" s="98"/>
      </tp>
      <tp>
        <v>3.4</v>
        <stp/>
        <stp>##V3_BDPV12</stp>
        <stp>CHMF RX EQUITY</stp>
        <stp>EQY_REC_CONS</stp>
        <stp>[upload (2).xlsm]Model Portfolio!R25C29</stp>
        <tr r="AC25" s="98"/>
      </tp>
      <tp>
        <v>36.081388282614071</v>
        <stp/>
        <stp>##V3_BDPV12</stp>
        <stp>ETLN LI EQUITY</stp>
        <stp>PX_TO_FREE_CASH_FLOW</stp>
        <stp>[upload (2).xlsm]Model Portfolio!R70C19</stp>
        <tr r="S70" s="98"/>
      </tp>
      <tp>
        <v>13.04363712799659</v>
        <stp/>
        <stp>##V3_BDPV12</stp>
        <stp>ENRU RM EQUITY</stp>
        <stp>PX_TO_FREE_CASH_FLOW</stp>
        <stp>[upload (2).xlsm]Model Portfolio!R53C19</stp>
        <tr r="S53" s="98"/>
      </tp>
      <tp t="s">
        <v>USD</v>
        <stp/>
        <stp>##V3_BDPV12</stp>
        <stp>LXFT US Equity</stp>
        <stp>CRNCY</stp>
        <stp>[Copy of upload (2).xlsm]Гарез_GRENF (2)!R6C11</stp>
        <tr r="K6" s="116"/>
      </tp>
      <tp t="s">
        <v>Y</v>
        <stp/>
        <stp>##V3_BDPV12</stp>
        <stp>XS0554659671 Corp</stp>
        <stp>RUSSIAN_CB_LOMBARD</stp>
        <stp>[upload (2).xlsm]Base all $ 3 Duration!R114C16</stp>
        <tr r="P114" s="66"/>
      </tp>
      <tp t="s">
        <v>N</v>
        <stp/>
        <stp>##V3_BDPV12</stp>
        <stp>XS0842078536 Corp</stp>
        <stp>RUSSIAN_CB_LOMBARD</stp>
        <stp>[upload (2).xlsm]Base all $ 3 Duration!R127C16</stp>
        <tr r="P127" s="66"/>
      </tp>
      <tp>
        <v>100.89</v>
        <stp/>
        <stp>##V3_BDPV12</stp>
        <stp>XS0863583281 Corp</stp>
        <stp>px_last</stp>
        <stp>[upload (2).xlsm]Base all $ 3 Duration!R67C4</stp>
        <tr r="D67" s="66"/>
      </tp>
      <tp t="s">
        <v>#N/A Field Not Applicable</v>
        <stp/>
        <stp>##V3_BDPV12</stp>
        <stp>XS0650962185 Corp</stp>
        <stp>px_last</stp>
        <stp>[upload (2).xlsm]Base all $ 3 Duration!R83C4</stp>
        <tr r="D83" s="66"/>
      </tp>
      <tp t="s">
        <v>#N/A N/A</v>
        <stp/>
        <stp>##V3_BDPV12</stp>
        <stp>PLZL RX EQUITY</stp>
        <stp>NORMALIZED_ROE</stp>
        <stp>[upload (2).xlsm]Model Portfolio!R2C26</stp>
        <tr r="Z2" s="98"/>
      </tp>
      <tp>
        <v>200000</v>
        <stp/>
        <stp>##V3_BDPV12</stp>
        <stp>XS0632887997 Corp</stp>
        <stp>MIN_PIECE</stp>
        <stp>[upload (2).xlsm]Base all $ 3 Duration!R127C20</stp>
        <tr r="T127" s="66"/>
      </tp>
      <tp t="s">
        <v>Mining</v>
        <stp/>
        <stp>##V3_BDPV12</stp>
        <stp>PLZL RX EQUITY</stp>
        <stp>INDUSTRY_GROUP</stp>
        <stp>[upload (2).xlsm]Model Portfolio!R2C13</stp>
        <tr r="M2" s="98"/>
      </tp>
      <tp t="s">
        <v>#N/A Field Not Applicable</v>
        <stp/>
        <stp>##V3_BDPV12</stp>
        <stp>XS0630950870 Corp</stp>
        <stp>px_last</stp>
        <stp>[upload (2).xlsm]Base all $ 3 Duration!R75C4</stp>
        <tr r="D75" s="66"/>
      </tp>
      <tp t="s">
        <v>#N/A Field Not Applicable</v>
        <stp/>
        <stp>##V3_BDPV12</stp>
        <stp>XS0708813653 Corp</stp>
        <stp>px_last</stp>
        <stp>[upload (2).xlsm]Base all $ 3 Duration!R93C4</stp>
        <tr r="D93" s="66"/>
      </tp>
      <tp>
        <v>200000</v>
        <stp/>
        <stp>##V3_BDPV12</stp>
        <stp>XS0808638612 Corp</stp>
        <stp>MIN_PIECE</stp>
        <stp>[upload (2).xlsm]Base all $ 3 Duration!R108C20</stp>
        <tr r="T108" s="66"/>
      </tp>
      <tp>
        <v>105.25</v>
        <stp/>
        <stp>##V3_BDPV12</stp>
        <stp>XS0783934325 Corp</stp>
        <stp>px_last</stp>
        <stp>[upload (2).xlsm]Base all $ 3 Duration!R47C4</stp>
        <tr r="D47" s="66"/>
      </tp>
      <tp>
        <v>39.266353216475636</v>
        <stp/>
        <stp>##V3_BDPV12</stp>
        <stp>ALRS RX EQUITY</stp>
        <stp>NORMALIZED_ROE</stp>
        <stp>[upload (2).xlsm]Model Portfolio!R5C26</stp>
        <tr r="Z5" s="98"/>
      </tp>
      <tp>
        <v>200000</v>
        <stp/>
        <stp>##V3_BDPV12</stp>
        <stp>XS0842078536 Corp</stp>
        <stp>MIN_PIECE</stp>
        <stp>[upload (2).xlsm]Base all $ 3 Duration!R129C20</stp>
        <tr r="T129" s="66"/>
      </tp>
      <tp t="s">
        <v>Mining</v>
        <stp/>
        <stp>##V3_BDPV12</stp>
        <stp>ALRS RX EQUITY</stp>
        <stp>INDUSTRY_GROUP</stp>
        <stp>[upload (2).xlsm]Model Portfolio!R5C13</stp>
        <tr r="M5" s="98"/>
      </tp>
      <tp>
        <v>98.72</v>
        <stp/>
        <stp>##V3_BDPV12</stp>
        <stp>XS0783242877 Corp</stp>
        <stp>px_last</stp>
        <stp>[upload (2).xlsm]Base all $ 3 Duration!R32C4</stp>
        <tr r="D32" s="66"/>
      </tp>
      <tp t="s">
        <v>#N/A N/A</v>
        <stp/>
        <stp>##V3_BDPV12</stp>
        <stp>US91701RAA95 Corp</stp>
        <stp>PX_GROSS_MID</stp>
        <stp>[upload (2).xlsm]Base all $ 3 Duration!R26C19</stp>
        <tr r="S26" s="66"/>
      </tp>
      <tp>
        <v>16.167379329384474</v>
        <stp/>
        <stp>##V3_BDPV12</stp>
        <stp>AGRO LI EQUITY</stp>
        <stp>TRAIL_12M_PROF_MARGIN</stp>
        <stp>[upload (2).xlsm]Model Portfolio!R71C25</stp>
        <tr r="Y71" s="98"/>
      </tp>
      <tp>
        <v>9.6827096222318492</v>
        <stp/>
        <stp>##V3_BDPV12</stp>
        <stp>HYDR RX EQUITY</stp>
        <stp>TRAIL_12M_PROF_MARGIN</stp>
        <stp>[upload (2).xlsm]Model Portfolio!R58C25</stp>
        <tr r="Y58" s="98"/>
      </tp>
      <tp>
        <v>11.119331344918418</v>
        <stp/>
        <stp>##V3_BDPV12</stp>
        <stp>EPAM US EQUITY</stp>
        <stp>EBIT_MARGIN</stp>
        <stp>[upload (2).xlsm]Model Portfolio!R42C24</stp>
        <tr r="X42" s="98"/>
      </tp>
      <tp t="s">
        <v>20/03/2017</v>
        <stp/>
        <stp>##V3_BDPV12</stp>
        <stp>XS0292530309 Corp</stp>
        <stp>MATURITY</stp>
        <stp>[upload (2).xlsm]Base all $ 3 Duration!R81C9</stp>
        <tr r="I81" s="66"/>
      </tp>
      <tp t="s">
        <v>03/04/2017</v>
        <stp/>
        <stp>##V3_BDPV12</stp>
        <stp>XS0499245180 Corp</stp>
        <stp>MATURITY</stp>
        <stp>[upload (2).xlsm]Base all $ 3 Duration!R84C9</stp>
        <tr r="I84" s="66"/>
      </tp>
      <tp t="s">
        <v>17/05/2019</v>
        <stp/>
        <stp>##V3_BDPV12</stp>
        <stp>XS0783242877 Corp</stp>
        <stp>MATURITY</stp>
        <stp>[upload (2).xlsm]Base all $ 3 Duration!R32C9</stp>
        <tr r="I32" s="66"/>
      </tp>
      <tp t="s">
        <v>13/03/2018</v>
        <stp/>
        <stp>##V3_BDPV12</stp>
        <stp>XS0324963932 Corp</stp>
        <stp>MATURITY</stp>
        <stp>[upload (2).xlsm]Base all $ 3 Duration!R59C9</stp>
        <tr r="I59" s="66"/>
      </tp>
      <tp>
        <v>14.210314936912214</v>
        <stp/>
        <stp>##V3_BDPV12</stp>
        <stp>RTKM RX EQUITY</stp>
        <stp>EBIT_MARGIN</stp>
        <stp>[upload (2).xlsm]Model Portfolio!R66C24</stp>
        <tr r="X66" s="98"/>
      </tp>
      <tp>
        <v>-0.99245732433505363</v>
        <stp/>
        <stp>##V3_BDPV12</stp>
        <stp>ROSN RX EQUITY</stp>
        <stp>SALES_GROWTH</stp>
        <stp>[upload (2).xlsm]Model Portfolio!R17C21</stp>
        <tr r="U17" s="98"/>
      </tp>
      <tp>
        <v>0.92021589999999998</v>
        <stp/>
        <stp>##V3_BDPV12</stp>
        <stp>NVTK RX EQUITY</stp>
        <stp>EQY_BETA_6M</stp>
        <stp>[upload (2).xlsm]Model Portfolio!R16C14</stp>
        <tr r="N16" s="98"/>
      </tp>
      <tp>
        <v>1.0217799999999999</v>
        <stp/>
        <stp>##V3_BDPV12</stp>
        <stp>NLMK RX EQUITY</stp>
        <stp>EQY_BETA_6M</stp>
        <stp>[upload (2).xlsm]Model Portfolio!R22C14</stp>
        <tr r="N22" s="98"/>
      </tp>
      <tp t="s">
        <v>#N/A N/A</v>
        <stp/>
        <stp>##V3_BDPV12</stp>
        <stp>FIVE LI EQUITY</stp>
        <stp>PX_TO_FREE_CASH_FLOW</stp>
        <stp>[upload (2).xlsm]Model Portfolio!R36C19</stp>
        <tr r="S36" s="98"/>
      </tp>
      <tp>
        <v>19.809069212410503</v>
        <stp/>
        <stp>##V3_BDPV12</stp>
        <stp>RASP RX EQUITY</stp>
        <stp>SALES_GROWTH</stp>
        <stp>[upload (2).xlsm]Model Portfolio!R28C21</stp>
        <tr r="U28" s="98"/>
      </tp>
      <tp>
        <v>23.095006736041462</v>
        <stp/>
        <stp>##V3_BDPV12</stp>
        <stp>FEES RX EQUITY</stp>
        <stp>PX_TO_FREE_CASH_FLOW</stp>
        <stp>[upload (2).xlsm]Model Portfolio!R56C19</stp>
        <tr r="S56" s="98"/>
      </tp>
      <tp>
        <v>4.2435767652709959</v>
        <stp/>
        <stp>##V3_BDPV12</stp>
        <stp>FESH RX EQUITY</stp>
        <stp>PX_TO_FREE_CASH_FLOW</stp>
        <stp>[upload (2).xlsm]Model Portfolio!R45C19</stp>
        <tr r="S45" s="98"/>
      </tp>
      <tp>
        <v>7.4660075208408347</v>
        <stp/>
        <stp>##V3_BDPV12</stp>
        <stp>FXPO LN EQUITY</stp>
        <stp>PX_TO_FREE_CASH_FLOW</stp>
        <stp>[upload (2).xlsm]Model Portfolio!R27C19</stp>
        <tr r="S27" s="98"/>
      </tp>
      <tp>
        <v>3.0603151115669823E-2</v>
        <stp/>
        <stp>##V3_BDPV12</stp>
        <stp>RTKM RX EQUITY</stp>
        <stp>SALES_GROWTH</stp>
        <stp>[upload (2).xlsm]Model Portfolio!R66C21</stp>
        <tr r="U66" s="98"/>
      </tp>
      <tp>
        <v>0.54574339999999999</v>
        <stp/>
        <stp>##V3_BDPV12</stp>
        <stp>PIKK RX EQUITY</stp>
        <stp>EQY_BETA_6M</stp>
        <stp>[upload (2).xlsm]Model Portfolio!R68C14</stp>
        <tr r="N68" s="98"/>
      </tp>
      <tp>
        <v>0.4292588</v>
        <stp/>
        <stp>##V3_BDPV12</stp>
        <stp>TRMK RX EQUITY</stp>
        <stp>EQY_BETA_6M</stp>
        <stp>[upload (2).xlsm]Model Portfolio!R21C14</stp>
        <tr r="N21" s="98"/>
      </tp>
      <tp>
        <v>17.888217711772899</v>
        <stp/>
        <stp>##V3_BDPV12</stp>
        <stp>RSTI RX EQUITY</stp>
        <stp>SALES_GROWTH</stp>
        <stp>[upload (2).xlsm]Model Portfolio!R54C21</stp>
        <tr r="U54" s="98"/>
      </tp>
      <tp t="s">
        <v>USD</v>
        <stp/>
        <stp>##V3_BDPV12</stp>
        <stp>OGZD LI Equity</stp>
        <stp>CRNCY</stp>
        <stp>[Copy of upload (2).xlsm]Гарез_GRENF (2)!R7C11</stp>
        <tr r="K7" s="116"/>
      </tp>
    </main>
    <main first="bloomberg.rtd">
      <tp>
        <v>696.5</v>
        <stp/>
        <stp>##V3_BDHV12</stp>
        <stp>POLY RX EQUITY</stp>
        <stp>PX_LAST</stp>
        <stp>15/02/2017</stp>
        <stp>15/02/2017</stp>
        <stp>[Copy of upload (2).xlsm]Гарез_GRENF!R28C8</stp>
        <tr r="H28" s="115"/>
      </tp>
      <tp>
        <v>20.379109745735015</v>
        <stp/>
        <stp>##V3_BDPV12</stp>
        <stp>HGM LN EQUITY</stp>
        <stp>EBIT_MARGIN</stp>
        <stp>[upload (2).xlsm]Model Portfolio!R4C24</stp>
        <tr r="X4" s="98"/>
      </tp>
      <tp t="s">
        <v>BASHNEFT PAO-PRE</v>
        <stp/>
        <stp>##V3_BDPV12</stp>
        <stp>BANEP RX EQUITY</stp>
        <stp>SHORT_NAME</stp>
        <stp>[upload (2).xlsm]Model Portfolio!R8C2</stp>
        <tr r="B8" s="98"/>
      </tp>
      <tp t="s">
        <v>#N/A Field Not Applicable</v>
        <stp/>
        <stp>##V3_BDPV12</stp>
        <stp>RTKMP RX EQUITY</stp>
        <stp>PX_TO_FREE_CASH_FLOW</stp>
        <stp>[upload (2).xlsm]Model Portfolio!R63C19</stp>
        <tr r="S63" s="98"/>
      </tp>
      <tp>
        <v>105.926</v>
        <stp/>
        <stp>##V3_BDPV12</stp>
        <stp>XS0779213460 Corp</stp>
        <stp>px_last</stp>
        <stp>[upload (2).xlsm]Base all $ 3 Duration!R33C4</stp>
        <tr r="D33" s="66"/>
      </tp>
      <tp>
        <v>3</v>
        <stp/>
        <stp>##V3_BDPV12</stp>
        <stp>TRNFP RX EQUITY</stp>
        <stp>EQY_REC_CONS</stp>
        <stp>[upload (2).xlsm]Model Portfolio!R20C29</stp>
        <tr r="AC20" s="98"/>
      </tp>
      <tp>
        <v>1.3110390000000001</v>
        <stp/>
        <stp>##V3_BDPV12</stp>
        <stp>XS0993279958 Corp</stp>
        <stp>px_last</stp>
        <stp>[upload (2).xlsm]Base all $ 3 Duration!R13C4</stp>
        <tr r="D13" s="66"/>
      </tp>
      <tp>
        <v>200000</v>
        <stp/>
        <stp>##V3_BDPV12</stp>
        <stp>XS0800817073 Corp</stp>
        <stp>MIN_PIECE</stp>
        <stp>[upload (2).xlsm]Base all $ 3 Duration!R144C20</stp>
        <tr r="T144" s="66"/>
      </tp>
      <tp>
        <v>200000</v>
        <stp/>
        <stp>##V3_BDPV12</stp>
        <stp>XS0920335030 Corp</stp>
        <stp>MIN_PIECE</stp>
        <stp>[upload (2).xlsm]Base all $ 3 Duration!R104C20</stp>
        <tr r="T104" s="66"/>
      </tp>
      <tp>
        <v>103.1</v>
        <stp/>
        <stp>##V3_BDPV12</stp>
        <stp>XS0889401054 Corp</stp>
        <stp>px_last</stp>
        <stp>[upload (2).xlsm]Base all $ 3 Duration!R39C4</stp>
        <tr r="D39" s="66"/>
      </tp>
      <tp>
        <v>16.676173727999526</v>
        <stp/>
        <stp>##V3_BDPV12</stp>
        <stp>MFON RX EQUITY</stp>
        <stp>EBIT_MARGIN</stp>
        <stp>[upload (2).xlsm]Model Portfolio!R62C24</stp>
        <tr r="X62" s="98"/>
      </tp>
      <tp>
        <v>22.013909888116117</v>
        <stp/>
        <stp>##V3_BDPV12</stp>
        <stp>MAGN RX EQUITY</stp>
        <stp>EBIT_MARGIN</stp>
        <stp>[upload (2).xlsm]Model Portfolio!R23C24</stp>
        <tr r="X23" s="98"/>
      </tp>
      <tp>
        <v>10.236220472440944</v>
        <stp/>
        <stp>##V3_BDPV12</stp>
        <stp>ETLN LI EQUITY</stp>
        <stp>EBIT_MARGIN</stp>
        <stp>[upload (2).xlsm]Model Portfolio!R70C24</stp>
        <tr r="X70" s="98"/>
      </tp>
      <tp>
        <v>36.438134810710984</v>
        <stp/>
        <stp>##V3_BDPV12</stp>
        <stp>GMKN RX EQUITY</stp>
        <stp>EBIT_MARGIN</stp>
        <stp>[upload (2).xlsm]Model Portfolio!R29C24</stp>
        <tr r="X29" s="98"/>
      </tp>
      <tp>
        <v>20.634796325923276</v>
        <stp/>
        <stp>##V3_BDPV12</stp>
        <stp>AKRN RX EQUITY</stp>
        <stp>EBIT_MARGIN</stp>
        <stp>[upload (2).xlsm]Model Portfolio!R33C24</stp>
        <tr r="X33" s="98"/>
      </tp>
      <tp t="s">
        <v>26/09/2019</v>
        <stp/>
        <stp>##V3_BDPV12</stp>
        <stp>XS0783934325 Corp</stp>
        <stp>MATURITY</stp>
        <stp>[upload (2).xlsm]Base all $ 3 Duration!R47C9</stp>
        <tr r="I47" s="66"/>
      </tp>
      <tp t="s">
        <v>17/05/2017</v>
        <stp/>
        <stp>##V3_BDPV12</stp>
        <stp>XS0783291221 Corp</stp>
        <stp>MATURITY</stp>
        <stp>[upload (2).xlsm]Base all $ 3 Duration!R72C9</stp>
        <tr r="I72" s="66"/>
      </tp>
      <tp t="s">
        <v>27/12/2017</v>
        <stp/>
        <stp>##V3_BDPV12</stp>
        <stp>XS0796426228 Corp</stp>
        <stp>MATURITY</stp>
        <stp>[upload (2).xlsm]Base all $ 3 Duration!R54C9</stp>
        <tr r="I54" s="66"/>
      </tp>
      <tp t="s">
        <v>01/03/2017</v>
        <stp/>
        <stp>##V3_BDPV12</stp>
        <stp>XS0643176448 Corp</stp>
        <stp>MATURITY</stp>
        <stp>[upload (2).xlsm]Base all $ 3 Duration!R79C9</stp>
        <tr r="I79" s="66"/>
      </tp>
      <tp>
        <v>9.2232098681179941</v>
        <stp/>
        <stp>##V3_BDPV12</stp>
        <stp>TRCN RX EQUITY</stp>
        <stp>EBIT_MARGIN</stp>
        <stp>[upload (2).xlsm]Model Portfolio!R50C24</stp>
        <tr r="X50" s="98"/>
      </tp>
      <tp>
        <v>24.404901519521765</v>
        <stp/>
        <stp>##V3_BDPV12</stp>
        <stp>TATN RX EQUITY</stp>
        <stp>EBIT_MARGIN</stp>
        <stp>[upload (2).xlsm]Model Portfolio!R14C24</stp>
        <tr r="X14" s="98"/>
      </tp>
      <tp t="s">
        <v>28/06/2019</v>
        <stp/>
        <stp>##V3_BDPV12</stp>
        <stp>XS0799357354 Corp</stp>
        <stp>MATURITY</stp>
        <stp>[upload (2).xlsm]Base all $ 3 Duration!R55C9</stp>
        <tr r="I55" s="66"/>
      </tp>
      <tp>
        <v>5630</v>
        <stp/>
        <stp>##V3_BDPV12</stp>
        <stp>PLZL RX EQUITY</stp>
        <stp>BEST_TARGET_PRICE</stp>
        <stp>[upload (2).xlsm]Model Portfolio!R2C8</stp>
        <tr r="H2" s="98"/>
      </tp>
      <tp>
        <v>10.748595251042232</v>
        <stp/>
        <stp>##V3_BDPV12</stp>
        <stp>ROSN RX EQUITY</stp>
        <stp>EBIT_MARGIN</stp>
        <stp>[upload (2).xlsm]Model Portfolio!R17C24</stp>
        <tr r="X17" s="98"/>
      </tp>
      <tp>
        <v>15.514860542216057</v>
        <stp/>
        <stp>##V3_BDPV12</stp>
        <stp>SIBN RX EQUITY</stp>
        <stp>EBIT_MARGIN</stp>
        <stp>[upload (2).xlsm]Model Portfolio!R15C24</stp>
        <tr r="X15" s="98"/>
      </tp>
      <tp>
        <v>13.062393887945669</v>
        <stp/>
        <stp>##V3_BDPV12</stp>
        <stp>VIP US EQUITY</stp>
        <stp>EBIT_MARGIN</stp>
        <stp>[upload (2).xlsm]Model Portfolio!R61C24</stp>
        <tr r="X61" s="98"/>
      </tp>
      <tp>
        <v>5</v>
        <stp/>
        <stp>##V3_BDPV12</stp>
        <stp>AFKS RX EQUITY</stp>
        <stp>EQY_REC_CONS</stp>
        <stp>[upload (2).xlsm]Model Portfolio!R64C29</stp>
        <tr r="AC64" s="98"/>
      </tp>
      <tp>
        <v>4.1666670000000003</v>
        <stp/>
        <stp>##V3_BDPV12</stp>
        <stp>AFLT RX EQUITY</stp>
        <stp>EQY_REC_CONS</stp>
        <stp>[upload (2).xlsm]Model Portfolio!R47C29</stp>
        <tr r="AC47" s="98"/>
      </tp>
      <tp>
        <v>1.8180639434273718</v>
        <stp/>
        <stp>##V3_BDPV12</stp>
        <stp>SNGS RX EQUITY</stp>
        <stp>SALES_GROWTH</stp>
        <stp>[upload (2).xlsm]Model Portfolio!R10C21</stp>
        <tr r="U10" s="98"/>
      </tp>
      <tp>
        <v>7.2790484213163884</v>
        <stp/>
        <stp>##V3_BDPV12</stp>
        <stp>GLTR LI EQUITY</stp>
        <stp>PX_TO_FREE_CASH_FLOW</stp>
        <stp>[upload (2).xlsm]Model Portfolio!R48C19</stp>
        <tr r="S48" s="98"/>
      </tp>
      <tp>
        <v>8.0632594812435041</v>
        <stp/>
        <stp>##V3_BDPV12</stp>
        <stp>GLPR LI EQUITY</stp>
        <stp>PX_TO_FREE_CASH_FLOW</stp>
        <stp>[upload (2).xlsm]Model Portfolio!R46C19</stp>
        <tr r="S46" s="98"/>
      </tp>
      <tp>
        <v>5.2907367656646072</v>
        <stp/>
        <stp>##V3_BDPV12</stp>
        <stp>SIBN RX EQUITY</stp>
        <stp>SALES_GROWTH</stp>
        <stp>[upload (2).xlsm]Model Portfolio!R15C21</stp>
        <tr r="U15" s="98"/>
      </tp>
      <tp>
        <v>-12.022356564389186</v>
        <stp/>
        <stp>##V3_BDPV12</stp>
        <stp>EVR LN EQUITY</stp>
        <stp>SALES_GROWTH</stp>
        <stp>[upload (2).xlsm]Model Portfolio!R26C21</stp>
        <tr r="U26" s="98"/>
      </tp>
      <tp>
        <v>2.3333330000000001</v>
        <stp/>
        <stp>##V3_BDPV12</stp>
        <stp>AKRN RX EQUITY</stp>
        <stp>EQY_REC_CONS</stp>
        <stp>[upload (2).xlsm]Model Portfolio!R33C29</stp>
        <tr r="AC33" s="98"/>
      </tp>
      <tp>
        <v>1.5294200948806911</v>
        <stp/>
        <stp>##V3_BDPV12</stp>
        <stp>SBER RX EQUITY</stp>
        <stp>SALES_GROWTH</stp>
        <stp>[upload (2).xlsm]Model Portfolio!R75C21</stp>
        <tr r="U75" s="98"/>
      </tp>
      <tp>
        <v>-7.5057255881740579</v>
        <stp/>
        <stp>##V3_BDPV12</stp>
        <stp>VIP US EQUITY</stp>
        <stp>SALES_GROWTH</stp>
        <stp>[upload (2).xlsm]Model Portfolio!R61C21</stp>
        <tr r="U61" s="98"/>
      </tp>
      <tp t="s">
        <v>#N/A N/A</v>
        <stp/>
        <stp>##V3_BDPV12</stp>
        <stp>GAZP RX EQUITY</stp>
        <stp>PX_TO_FREE_CASH_FLOW</stp>
        <stp>[upload (2).xlsm]Model Portfolio!R12C19</stp>
        <tr r="S12" s="98"/>
      </tp>
      <tp t="s">
        <v>KMG EP-GDR</v>
        <stp/>
        <stp>##V3_BDPV12</stp>
        <stp>KMG LI EQUITY</stp>
        <stp>SHORT_NAME</stp>
        <stp>[upload (2).xlsm]Model Portfolio!R9C2</stp>
        <tr r="B9" s="98"/>
      </tp>
      <tp>
        <v>-7.1136144358392661</v>
        <stp/>
        <stp>##V3_BDPV12</stp>
        <stp>SVAV RX EQUITY</stp>
        <stp>SALES_GROWTH</stp>
        <stp>[upload (2).xlsm]Model Portfolio!R72C21</stp>
        <tr r="U72" s="98"/>
      </tp>
      <tp>
        <v>27.599951582802042</v>
        <stp/>
        <stp>##V3_BDPV12</stp>
        <stp>GMKN RX EQUITY</stp>
        <stp>PX_TO_FREE_CASH_FLOW</stp>
        <stp>[upload (2).xlsm]Model Portfolio!R29C19</stp>
        <tr r="S29" s="98"/>
      </tp>
      <tp>
        <v>4</v>
        <stp/>
        <stp>##V3_BDPV12</stp>
        <stp>AGRO LI EQUITY</stp>
        <stp>EQY_REC_CONS</stp>
        <stp>[upload (2).xlsm]Model Portfolio!R71C29</stp>
        <tr r="AC71" s="98"/>
      </tp>
    </main>
    <main first="bloomberg.rtd">
      <tp>
        <v>4.9600877129499628</v>
        <stp/>
        <stp>##V3_BDPV12</stp>
        <stp>TATNP RX EQUITY</stp>
        <stp>SALES_GROWTH</stp>
        <stp>[upload (2).xlsm]Model Portfolio!R19C21</stp>
        <tr r="U19" s="98"/>
      </tp>
      <tp t="s">
        <v>Y</v>
        <stp/>
        <stp>##V3_BDPV12</stp>
        <stp>XS0885736925 Corp</stp>
        <stp>RUSSIAN_CB_LOMBARD</stp>
        <stp>[upload (2).xlsm]Base all $ 3 Duration!R140C16</stp>
        <tr r="P140" s="66"/>
      </tp>
      <tp>
        <v>100.65300000000001</v>
        <stp/>
        <stp>##V3_BDPV12</stp>
        <stp>XS0559800122 Corp</stp>
        <stp>px_last</stp>
        <stp>[upload (2).xlsm]Base all $ 3 Duration!R63C4</stp>
        <tr r="D63" s="66"/>
      </tp>
      <tp>
        <v>200000</v>
        <stp/>
        <stp>##V3_BDPV12</stp>
        <stp>XS0805570354 Corp</stp>
        <stp>MIN_PIECE</stp>
        <stp>[upload (2).xlsm]Base all $ 3 Duration!R156C20</stp>
        <tr r="T156" s="66"/>
      </tp>
      <tp>
        <v>200000</v>
        <stp/>
        <stp>##V3_BDPV12</stp>
        <stp>XS0831571434 Corp</stp>
        <stp>MIN_PIECE</stp>
        <stp>[upload (2).xlsm]Base all $ 3 Duration!R159C20</stp>
        <tr r="T159" s="66"/>
      </tp>
      <tp>
        <v>200000</v>
        <stp/>
        <stp>##V3_BDPV12</stp>
        <stp>XS0919504562 Corp</stp>
        <stp>MIN_PIECE</stp>
        <stp>[upload (2).xlsm]Base all $ 3 Duration!R150C20</stp>
        <tr r="T150" s="66"/>
      </tp>
      <tp>
        <v>200000</v>
        <stp/>
        <stp>##V3_BDPV12</stp>
        <stp>XS0846652666 Corp</stp>
        <stp>MIN_PIECE</stp>
        <stp>[upload (2).xlsm]Base all $ 3 Duration!R105C20</stp>
        <tr r="T105" s="66"/>
      </tp>
      <tp t="s">
        <v>#N/A Field Not Applicable</v>
        <stp/>
        <stp>##V3_BDPV12</stp>
        <stp>XS0562354182 Corp</stp>
        <stp>px_last</stp>
        <stp>[upload (2).xlsm]Base all $ 3 Duration!R96C4</stp>
        <tr r="D96" s="66"/>
      </tp>
      <tp>
        <v>103.426</v>
        <stp/>
        <stp>##V3_BDPV12</stp>
        <stp>XS1040726587 Corp</stp>
        <stp>px_last</stp>
        <stp>[upload (2).xlsm]Base all $ 3 Duration!R41C4</stp>
        <tr r="D41" s="66"/>
      </tp>
      <tp>
        <v>200000</v>
        <stp/>
        <stp>##V3_BDPV12</stp>
        <stp>XS0620695204 Corp</stp>
        <stp>MIN_PIECE</stp>
        <stp>[upload (2).xlsm]Base all $ 3 Duration!R140C20</stp>
        <tr r="T140" s="66"/>
      </tp>
      <tp t="s">
        <v>#N/A Field Not Applicable</v>
        <stp/>
        <stp>##V3_BDPV12</stp>
        <stp>XS0499245180 Corp</stp>
        <stp>px_last</stp>
        <stp>[upload (2).xlsm]Base all $ 3 Duration!R84C4</stp>
        <tr r="D84" s="66"/>
      </tp>
      <tp t="s">
        <v>#N/A Field Not Applicable</v>
        <stp/>
        <stp>##V3_BDPV12</stp>
        <stp>XS0719009754 Corp</stp>
        <stp>px_last</stp>
        <stp>[upload (2).xlsm]Base all $ 3 Duration!R77C4</stp>
        <tr r="D77" s="66"/>
      </tp>
      <tp t="s">
        <v>#N/A Field Not Applicable</v>
        <stp/>
        <stp>##V3_BDPV12</stp>
        <stp>XS0587030957 Corp</stp>
        <stp>px_last</stp>
        <stp>[upload (2).xlsm]Base all $ 3 Duration!R95C4</stp>
        <tr r="D95" s="66"/>
      </tp>
      <tp>
        <v>100.955</v>
        <stp/>
        <stp>##V3_BDPV12</stp>
        <stp>XS0924078453 Corp</stp>
        <stp>px_last</stp>
        <stp>[upload (2).xlsm]Base all $ 3 Duration!R19C4</stp>
        <tr r="D19" s="66"/>
      </tp>
      <tp>
        <v>4.2362797055520121</v>
        <stp/>
        <stp>##V3_BDPV12</stp>
        <stp>IRAO RX EQUITY</stp>
        <stp>EBIT_MARGIN</stp>
        <stp>[upload (2).xlsm]Model Portfolio!R51C24</stp>
        <tr r="X51" s="98"/>
      </tp>
      <tp>
        <v>38.098160440858173</v>
        <stp/>
        <stp>##V3_BDPV12</stp>
        <stp>FXPO LN EQUITY</stp>
        <stp>EBIT_MARGIN</stp>
        <stp>[upload (2).xlsm]Model Portfolio!R27C24</stp>
        <tr r="X27" s="98"/>
      </tp>
      <tp>
        <v>16.822734125301817</v>
        <stp/>
        <stp>##V3_BDPV12</stp>
        <stp>AGRO LI EQUITY</stp>
        <stp>EBIT_MARGIN</stp>
        <stp>[upload (2).xlsm]Model Portfolio!R71C24</stp>
        <tr r="X71" s="98"/>
      </tp>
      <tp>
        <v>-8.0299539170506904</v>
        <stp/>
        <stp>##V3_BDPV12</stp>
        <stp>486 HK EQUITY</stp>
        <stp>SALES_GROWTH</stp>
        <stp>[upload (2).xlsm]Model Portfolio!R30C21</stp>
        <tr r="U30" s="98"/>
      </tp>
      <tp t="s">
        <v>10/04/2020</v>
        <stp/>
        <stp>##V3_BDPV12</stp>
        <stp>XS0841677387 Corp</stp>
        <stp>MATURITY</stp>
        <stp>[upload (2).xlsm]Base all $ 3 Duration!R99C9</stp>
        <tr r="I99" s="66"/>
      </tp>
      <tp t="s">
        <v>26/09/2018</v>
        <stp/>
        <stp>##V3_BDPV12</stp>
        <stp>XS0974469206 Corp</stp>
        <stp>MATURITY</stp>
        <stp>[upload (2).xlsm]Base all $ 3 Duration!R14C9</stp>
        <tr r="I14" s="66"/>
      </tp>
      <tp>
        <v>49.553109289938782</v>
        <stp/>
        <stp>##V3_BDPV12</stp>
        <stp>UPRO RX EQUITY</stp>
        <stp>EBIT_MARGIN</stp>
        <stp>[upload (2).xlsm]Model Portfolio!R52C24</stp>
        <tr r="X52" s="98"/>
      </tp>
      <tp t="s">
        <v>11/07/2017</v>
        <stp/>
        <stp>##V3_BDPV12</stp>
        <stp>XS0802648955 Corp</stp>
        <stp>MATURITY</stp>
        <stp>[upload (2).xlsm]Base all $ 3 Duration!R12C9</stp>
        <tr r="I12" s="66"/>
      </tp>
      <tp t="s">
        <v>10/05/2017</v>
        <stp/>
        <stp>##V3_BDPV12</stp>
        <stp>XS0299183250 Corp</stp>
        <stp>MATURITY</stp>
        <stp>[upload (2).xlsm]Base all $ 3 Duration!R40C9</stp>
        <tr r="I40" s="66"/>
      </tp>
      <tp t="s">
        <v>01/02/2018</v>
        <stp/>
        <stp>##V3_BDPV12</stp>
        <stp>XS0879105558 Corp</stp>
        <stp>MATURITY</stp>
        <stp>[upload (2).xlsm]Base all $ 3 Duration!R38C9</stp>
        <tr r="I38" s="66"/>
      </tp>
      <tp t="s">
        <v>22/02/2017</v>
        <stp/>
        <stp>##V3_BDPV12</stp>
        <stp>XS0288690539 Corp</stp>
        <stp>MATURITY</stp>
        <stp>[upload (2).xlsm]Base all $ 3 Duration!R62C9</stp>
        <tr r="I62" s="66"/>
      </tp>
      <tp t="s">
        <v>03/02/2016</v>
        <stp/>
        <stp>##V3_BDPV12</stp>
        <stp>XS0588436799 Corp</stp>
        <stp>MATURITY</stp>
        <stp>[upload (2).xlsm]Base all $ 3 Duration!R94C9</stp>
        <tr r="I94" s="66"/>
      </tp>
      <tp>
        <v>2.8571430000000002</v>
        <stp/>
        <stp>##V3_BDPV12</stp>
        <stp>FXPO LN EQUITY</stp>
        <stp>EQY_REC_CONS</stp>
        <stp>[upload (2).xlsm]Model Portfolio!R27C29</stp>
        <tr r="AC27" s="98"/>
      </tp>
      <tp>
        <v>3.8</v>
        <stp/>
        <stp>##V3_BDPV12</stp>
        <stp>FEES RX EQUITY</stp>
        <stp>EQY_REC_CONS</stp>
        <stp>[upload (2).xlsm]Model Portfolio!R56C29</stp>
        <tr r="AC56" s="98"/>
      </tp>
      <tp t="s">
        <v>#N/A N/A</v>
        <stp/>
        <stp>##V3_BDPV12</stp>
        <stp>FESH RX EQUITY</stp>
        <stp>EQY_REC_CONS</stp>
        <stp>[upload (2).xlsm]Model Portfolio!R45C29</stp>
        <tr r="AC45" s="98"/>
      </tp>
      <tp>
        <v>13.636807119846496</v>
        <stp/>
        <stp>##V3_BDPV12</stp>
        <stp>TGKA RX EQUITY</stp>
        <stp>SALES_GROWTH</stp>
        <stp>[upload (2).xlsm]Model Portfolio!R60C21</stp>
        <tr r="U60" s="98"/>
      </tp>
      <tp>
        <v>4.9600877129499628</v>
        <stp/>
        <stp>##V3_BDPV12</stp>
        <stp>TATN RX EQUITY</stp>
        <stp>SALES_GROWTH</stp>
        <stp>[upload (2).xlsm]Model Portfolio!R14C21</stp>
        <tr r="U14" s="98"/>
      </tp>
      <tp>
        <v>1.0723172426223755</v>
        <stp/>
        <stp>##V3_BDPV12</stp>
        <stp>EPAM US EQUITY</stp>
        <stp>EQY_BETA_6M</stp>
        <stp>[upload (2).xlsm]Model Portfolio!R42C14</stp>
        <tr r="N42" s="98"/>
      </tp>
      <tp>
        <v>4.9047619999999998</v>
        <stp/>
        <stp>##V3_BDPV12</stp>
        <stp>FIVE LI EQUITY</stp>
        <stp>EQY_REC_CONS</stp>
        <stp>[upload (2).xlsm]Model Portfolio!R36C29</stp>
        <tr r="AC36" s="98"/>
      </tp>
      <tp>
        <v>6.4508929999999998</v>
        <stp/>
        <stp>##V3_BDPV12</stp>
        <stp>HGM LN Equity</stp>
        <stp>EQY_DVD_YLD_EST</stp>
        <stp>[Copy of upload (2).xlsm]Гарез_GRENF (2)!R10C20</stp>
        <tr r="T10" s="116"/>
      </tp>
      <tp>
        <v>0.65964440000000002</v>
        <stp/>
        <stp>##V3_BDPV12</stp>
        <stp>RTKM RX EQUITY</stp>
        <stp>EQY_BETA_6M</stp>
        <stp>[upload (2).xlsm]Model Portfolio!R66C14</stp>
        <tr r="N66" s="98"/>
      </tp>
      <tp>
        <v>21.12222091518645</v>
        <stp/>
        <stp>##V3_BDPV12</stp>
        <stp>TRCN RX EQUITY</stp>
        <stp>SALES_GROWTH</stp>
        <stp>[upload (2).xlsm]Model Portfolio!R50C21</stp>
        <tr r="U50" s="98"/>
      </tp>
      <tp>
        <v>-19.111585062829828</v>
        <stp/>
        <stp>##V3_BDPV12</stp>
        <stp>TRMK RX EQUITY</stp>
        <stp>SALES_GROWTH</stp>
        <stp>[upload (2).xlsm]Model Portfolio!R21C21</stp>
        <tr r="U21" s="98"/>
      </tp>
      <tp>
        <v>509785638.61500001</v>
        <stp/>
        <stp>##V3_BDPV12</stp>
        <stp>HGM LN EQUITY</stp>
        <stp>CUR_MKT_CAP</stp>
        <stp>[upload (2).xlsm]Model Portfolio!R4C10</stp>
        <tr r="J4" s="98"/>
      </tp>
      <tp>
        <v>10.366530914476119</v>
        <stp/>
        <stp>##V3_BDPV12</stp>
        <stp>TATNP RX EQUITY</stp>
        <stp>BDVD_PROJ_12M_YLD</stp>
        <stp>[upload (2).xlsm]Model Portfolio!R19C27</stp>
        <tr r="AA19" s="98"/>
      </tp>
      <tp t="s">
        <v>07/09/2017</v>
        <stp/>
        <stp>##V3_BDPV12</stp>
        <stp>486 HK EQUITY</stp>
        <stp>DVD_RECORD_DT</stp>
        <stp>[upload (2).xlsm]Model Portfolio!R30C28</stp>
        <tr r="AB30" s="98"/>
      </tp>
      <tp>
        <v>57.128399999999999</v>
        <stp/>
        <stp>##V3_BDHV12</stp>
        <stp>RUB curncy</stp>
        <stp>PX_LAST</stp>
        <stp>26/04/2017</stp>
        <stp>26/04/2017</stp>
        <stp>[Copy of upload (2).xlsm]Гарез_GRENF (2)!R32C13</stp>
        <tr r="M32" s="116"/>
      </tp>
      <tp t="s">
        <v>Y</v>
        <stp/>
        <stp>##V3_BDPV12</stp>
        <stp>XS0982861287 Corp</stp>
        <stp>RUSSIAN_CB_LOMBARD</stp>
        <stp>[upload (2).xlsm]Base all $ 3 Duration!R113C16</stp>
        <tr r="P113" s="66"/>
      </tp>
      <tp>
        <v>57.936799999999998</v>
        <stp/>
        <stp>##V3_BDHV12</stp>
        <stp>RUB curncy</stp>
        <stp>PX_LAST</stp>
        <stp>05/05/2017</stp>
        <stp>05/05/2017</stp>
        <stp>[Copy of upload (2).xlsm]Гарез_GRENF (2)!R31C13</stp>
        <tr r="M31" s="116"/>
      </tp>
      <tp>
        <v>57.07</v>
        <stp/>
        <stp>##V3_BDHV12</stp>
        <stp>RUB curncy</stp>
        <stp>PX_LAST</stp>
        <stp>11/05/2017</stp>
        <stp>11/05/2017</stp>
        <stp>[Copy of upload (2).xlsm]Гарез_GRENF (2)!R19C18</stp>
        <tr r="R19" s="116"/>
      </tp>
      <tp>
        <v>56.308300000000003</v>
        <stp/>
        <stp>##V3_BDHV12</stp>
        <stp>RUB curncy</stp>
        <stp>PX_LAST</stp>
        <stp>06/04/2017</stp>
        <stp>06/04/2017</stp>
        <stp>[Copy of upload (2).xlsm]Гарез_GRENF (2)!R48C13</stp>
        <tr r="M48" s="116"/>
      </tp>
      <tp>
        <v>56.308300000000003</v>
        <stp/>
        <stp>##V3_BDHV12</stp>
        <stp>RUB curncy</stp>
        <stp>PX_LAST</stp>
        <stp>06/04/2017</stp>
        <stp>06/04/2017</stp>
        <stp>[Copy of upload (2).xlsm]Гарез_GRENF (2)!R48C12</stp>
        <tr r="L48" s="116"/>
      </tp>
      <tp>
        <v>15.055366040382294</v>
        <stp/>
        <stp>##V3_BDPV12</stp>
        <stp>TRNFP RX EQUITY</stp>
        <stp>PX_TO_FREE_CASH_FLOW</stp>
        <stp>[upload (2).xlsm]Model Portfolio!R20C19</stp>
        <tr r="S20" s="98"/>
      </tp>
      <tp>
        <v>57.211300000000001</v>
        <stp/>
        <stp>##V3_BDHV12</stp>
        <stp>RUB curncy</stp>
        <stp>PX_LAST</stp>
        <stp>15/02/2017</stp>
        <stp>15/02/2017</stp>
        <stp>[Copy of upload (2).xlsm]Гарез_GRENF (2)!R28C13</stp>
        <tr r="M28" s="116"/>
      </tp>
      <tp>
        <v>57.211300000000001</v>
        <stp/>
        <stp>##V3_BDHV12</stp>
        <stp>RUB curncy</stp>
        <stp>PX_LAST</stp>
        <stp>15/02/2017</stp>
        <stp>15/02/2017</stp>
        <stp>[Copy of upload (2).xlsm]Гарез_GRENF (2)!R25C13</stp>
        <tr r="M25" s="116"/>
      </tp>
      <tp>
        <v>57.211300000000001</v>
        <stp/>
        <stp>##V3_BDHV12</stp>
        <stp>RUB curncy</stp>
        <stp>PX_LAST</stp>
        <stp>15/02/2017</stp>
        <stp>15/02/2017</stp>
        <stp>[Copy of upload (2).xlsm]Гарез_GRENF (2)!R28C12</stp>
        <tr r="L28" s="116"/>
      </tp>
      <tp>
        <v>57.211300000000001</v>
        <stp/>
        <stp>##V3_BDHV12</stp>
        <stp>RUB curncy</stp>
        <stp>PX_LAST</stp>
        <stp>15/02/2017</stp>
        <stp>15/02/2017</stp>
        <stp>[Copy of upload (2).xlsm]Гарез_GRENF (2)!R25C12</stp>
        <tr r="L25" s="116"/>
      </tp>
      <tp>
        <v>57.211300000000001</v>
        <stp/>
        <stp>##V3_BDHV12</stp>
        <stp>RUB curncy</stp>
        <stp>PX_LAST</stp>
        <stp>15/02/2017</stp>
        <stp>15/02/2017</stp>
        <stp>[Copy of upload (2).xlsm]Гарез_GRENF (2)!R33C13</stp>
        <tr r="M33" s="116"/>
      </tp>
      <tp>
        <v>58.291499999999999</v>
        <stp/>
        <stp>##V3_BDHV12</stp>
        <stp>RUB curncy</stp>
        <stp>PX_LAST</stp>
        <stp>17/02/2017</stp>
        <stp>17/02/2017</stp>
        <stp>[Copy of upload (2).xlsm]Гарез_GRENF (2)!R42C13</stp>
        <tr r="M42" s="116"/>
      </tp>
      <tp>
        <v>58.291499999999999</v>
        <stp/>
        <stp>##V3_BDHV12</stp>
        <stp>RUB curncy</stp>
        <stp>PX_LAST</stp>
        <stp>17/02/2017</stp>
        <stp>17/02/2017</stp>
        <stp>[Copy of upload (2).xlsm]Гарез_GRENF (2)!R42C12</stp>
        <tr r="L42" s="116"/>
      </tp>
      <tp t="s">
        <v>Y</v>
        <stp/>
        <stp>##V3_BDPV12</stp>
        <stp>XS0290580595 Corp</stp>
        <stp>RUSSIAN_CB_LOMBARD</stp>
        <stp>[upload (2).xlsm]Base all $ 3 Duration!R152C16</stp>
        <tr r="P152" s="66"/>
      </tp>
      <tp>
        <v>57.350999999999999</v>
        <stp/>
        <stp>##V3_BDHV12</stp>
        <stp>RUB curncy</stp>
        <stp>PX_LAST</stp>
        <stp>23/03/2017</stp>
        <stp>23/03/2017</stp>
        <stp>[Copy of upload (2).xlsm]Гарез_GRENF (2)!R45C13</stp>
        <tr r="M45" s="116"/>
      </tp>
      <tp>
        <v>57.350999999999999</v>
        <stp/>
        <stp>##V3_BDHV12</stp>
        <stp>RUB curncy</stp>
        <stp>PX_LAST</stp>
        <stp>23/03/2017</stp>
        <stp>23/03/2017</stp>
        <stp>[Copy of upload (2).xlsm]Гарез_GRENF (2)!R45C12</stp>
        <tr r="L45" s="116"/>
      </tp>
      <tp t="s">
        <v>Y</v>
        <stp/>
        <stp>##V3_BDPV12</stp>
        <stp>XS0587031096 Corp</stp>
        <stp>RUSSIAN_CB_LOMBARD</stp>
        <stp>[upload (2).xlsm]Base all $ 3 Duration!R134C16</stp>
        <tr r="P134" s="66"/>
      </tp>
      <tp>
        <v>57.9786</v>
        <stp/>
        <stp>##V3_BDHV12</stp>
        <stp>RUB curncy</stp>
        <stp>PX_LAST</stp>
        <stp>20/02/2017</stp>
        <stp>20/02/2017</stp>
        <stp>[Copy of upload (2).xlsm]Гарез_GRENF (2)!R39C12</stp>
        <tr r="L39" s="116"/>
      </tp>
      <tp>
        <v>57.9786</v>
        <stp/>
        <stp>##V3_BDHV12</stp>
        <stp>RUB curncy</stp>
        <stp>PX_LAST</stp>
        <stp>20/02/2017</stp>
        <stp>20/02/2017</stp>
        <stp>[Copy of upload (2).xlsm]Гарез_GRENF (2)!R39C13</stp>
        <tr r="M39" s="116"/>
      </tp>
      <tp>
        <v>58.0441</v>
        <stp/>
        <stp>##V3_BDHV12</stp>
        <stp>RUB curncy</stp>
        <stp>PX_LAST</stp>
        <stp>22/02/2017</stp>
        <stp>22/02/2017</stp>
        <stp>[Copy of upload (2).xlsm]Гарез_GRENF (2)!R36C12</stp>
        <tr r="L36" s="116"/>
      </tp>
      <tp>
        <v>58.0441</v>
        <stp/>
        <stp>##V3_BDHV12</stp>
        <stp>RUB curncy</stp>
        <stp>PX_LAST</stp>
        <stp>22/02/2017</stp>
        <stp>22/02/2017</stp>
        <stp>[Copy of upload (2).xlsm]Гарез_GRENF (2)!R36C13</stp>
        <tr r="M36" s="116"/>
      </tp>
      <tp t="s">
        <v>Y</v>
        <stp/>
        <stp>##V3_BDPV12</stp>
        <stp>XS0889401724 Corp</stp>
        <stp>RUSSIAN_CB_LOMBARD</stp>
        <stp>[upload (2).xlsm]Base all $ 3 Duration!R130C16</stp>
        <tr r="P130" s="66"/>
      </tp>
      <tp>
        <v>3.25</v>
        <stp/>
        <stp>##V3_BDPV12</stp>
        <stp>RTKMP RX EQUITY</stp>
        <stp>EQY_REC_CONS</stp>
        <stp>[upload (2).xlsm]Model Portfolio!R63C29</stp>
        <tr r="AC63" s="98"/>
      </tp>
      <tp t="s">
        <v>#N/A Field Not Applicable</v>
        <stp/>
        <stp>##V3_BDPV12</stp>
        <stp>XS0616784509 Corp</stp>
        <stp>px_last</stp>
        <stp>[upload (2).xlsm]Base all $ 3 Duration!R24C4</stp>
        <tr r="D24" s="66"/>
      </tp>
      <tp t="s">
        <v>#N/A Field Not Applicable</v>
        <stp/>
        <stp>##V3_BDPV12</stp>
        <stp>XS0236336045 Corp</stp>
        <stp>px_last</stp>
        <stp>[upload (2).xlsm]Base all $ 3 Duration!R97C4</stp>
        <tr r="D97" s="66"/>
      </tp>
      <tp>
        <v>200000</v>
        <stp/>
        <stp>##V3_BDPV12</stp>
        <stp>XS0981028177 Corp</stp>
        <stp>MIN_PIECE</stp>
        <stp>[upload (2).xlsm]Base all $ 3 Duration!R121C20</stp>
        <tr r="T121" s="66"/>
      </tp>
      <tp>
        <v>105.2298</v>
        <stp/>
        <stp>##V3_BDPV12</stp>
        <stp>XS0854763355 Corp</stp>
        <stp>px_last</stp>
        <stp>[upload (2).xlsm]Base all $ 3 Duration!R28C4</stp>
        <tr r="D28" s="66"/>
      </tp>
      <tp>
        <v>200000</v>
        <stp/>
        <stp>##V3_BDPV12</stp>
        <stp>XS0848530977 Corp</stp>
        <stp>MIN_PIECE</stp>
        <stp>[upload (2).xlsm]Base all $ 3 Duration!R152C20</stp>
        <tr r="T152" s="66"/>
      </tp>
      <tp t="s">
        <v>#N/A Field Not Applicable</v>
        <stp/>
        <stp>##V3_BDPV12</stp>
        <stp>XS0261906738 Corp</stp>
        <stp>px_last</stp>
        <stp>[upload (2).xlsm]Base all $ 3 Duration!R89C4</stp>
        <tr r="D89" s="66"/>
      </tp>
      <tp>
        <v>109.952</v>
        <stp/>
        <stp>##V3_BDPV12</stp>
        <stp>XS0424860947 Corp</stp>
        <stp>px_last</stp>
        <stp>[upload (2).xlsm]Base all $ 3 Duration!R46C4</stp>
        <tr r="D46" s="66"/>
      </tp>
      <tp>
        <v>200000</v>
        <stp/>
        <stp>##V3_BDPV12</stp>
        <stp>XS0889401724 Corp</stp>
        <stp>MIN_PIECE</stp>
        <stp>[upload (2).xlsm]Base all $ 3 Duration!R132C20</stp>
        <tr r="T132" s="66"/>
      </tp>
      <tp>
        <v>104.30200000000001</v>
        <stp/>
        <stp>##V3_BDPV12</stp>
        <stp>XS0799357354 Corp</stp>
        <stp>px_last</stp>
        <stp>[upload (2).xlsm]Base all $ 3 Duration!R55C4</stp>
        <tr r="D55" s="66"/>
      </tp>
      <tp>
        <v>200000</v>
        <stp/>
        <stp>##V3_BDPV12</stp>
        <stp>XS0993162683 Corp</stp>
        <stp>MIN_PIECE</stp>
        <stp>[upload (2).xlsm]Base all $ 3 Duration!R141C20</stp>
        <tr r="T141" s="66"/>
      </tp>
      <tp>
        <v>8.2696219051817828</v>
        <stp/>
        <stp>##V3_BDPV12</stp>
        <stp>LKOH RX EQUITY</stp>
        <stp>EBIT_MARGIN</stp>
        <stp>[upload (2).xlsm]Model Portfolio!R13C24</stp>
        <tr r="X13" s="98"/>
      </tp>
      <tp>
        <v>6.3943161634103021</v>
        <stp/>
        <stp>##V3_BDPV12</stp>
        <stp>FESH RX EQUITY</stp>
        <stp>EBIT_MARGIN</stp>
        <stp>[upload (2).xlsm]Model Portfolio!R45C24</stp>
        <tr r="X45" s="98"/>
      </tp>
      <tp>
        <v>10540503244.32</v>
        <stp/>
        <stp>##V3_BDPV12</stp>
        <stp>YNDX US EQUITY</stp>
        <stp>CUR_MKT_CAP</stp>
        <stp>[upload (2).xlsm]Model Portfolio!R43C10</stp>
        <tr r="J43" s="98"/>
      </tp>
      <tp t="s">
        <v>27/01/2018</v>
        <stp/>
        <stp>##V3_BDPV12</stp>
        <stp>XS0585211591 Corp</stp>
        <stp>MATURITY</stp>
        <stp>[upload (2).xlsm]Base all $ 3 Duration!R34C9</stp>
        <tr r="I34" s="66"/>
      </tp>
      <tp t="s">
        <v>08/05/2016</v>
        <stp/>
        <stp>##V3_BDPV12</stp>
        <stp>XS0426517701 Corp</stp>
        <stp>MATURITY</stp>
        <stp>[upload (2).xlsm]Base all $ 3 Duration!R88C9</stp>
        <tr r="I88" s="66"/>
      </tp>
      <tp t="s">
        <v>11/04/2018</v>
        <stp/>
        <stp>##V3_BDPV12</stp>
        <stp>XS0357281558 Corp</stp>
        <stp>MATURITY</stp>
        <stp>[upload (2).xlsm]Base all $ 3 Duration!R69C9</stp>
        <tr r="I69" s="66"/>
      </tp>
      <tp>
        <v>254614841727.82001</v>
        <stp/>
        <stp>##V3_BDPV12</stp>
        <stp>MOEX RX EQUITY</stp>
        <stp>CUR_MKT_CAP</stp>
        <stp>[upload (2).xlsm]Model Portfolio!R74C10</stp>
        <tr r="J74" s="98"/>
      </tp>
      <tp t="s">
        <v>02/02/2016</v>
        <stp/>
        <stp>##V3_BDPV12</stp>
        <stp>XS0587030957 Corp</stp>
        <stp>MATURITY</stp>
        <stp>[upload (2).xlsm]Base all $ 3 Duration!R95C9</stp>
        <tr r="I95" s="66"/>
      </tp>
      <tp>
        <v>3.4179260000000003E-2</v>
        <stp/>
        <stp>##V3_BDPV12</stp>
        <stp>KCEL LI EQUITY</stp>
        <stp>EQY_BETA_6M</stp>
        <stp>[upload (2).xlsm]Model Portfolio!R65C14</stp>
        <tr r="N65" s="98"/>
      </tp>
      <tp>
        <v>0.25894309999999998</v>
        <stp/>
        <stp>##V3_BDPV12</stp>
        <stp>MAIL LI EQUITY</stp>
        <stp>EQY_BETA_6M</stp>
        <stp>[upload (2).xlsm]Model Portfolio!R44C14</stp>
        <tr r="N44" s="98"/>
      </tp>
      <tp>
        <v>3.6153849999999998</v>
        <stp/>
        <stp>##V3_BDPV12</stp>
        <stp>GAZP RX EQUITY</stp>
        <stp>EQY_REC_CONS</stp>
        <stp>[upload (2).xlsm]Model Portfolio!R12C29</stp>
        <tr r="AC12" s="98"/>
      </tp>
      <tp t="s">
        <v>#N/A N/A</v>
        <stp/>
        <stp>##V3_BDPV12</stp>
        <stp>AGRO LI EQUITY</stp>
        <stp>PX_TO_FREE_CASH_FLOW</stp>
        <stp>[upload (2).xlsm]Model Portfolio!R71C19</stp>
        <tr r="S71" s="98"/>
      </tp>
      <tp>
        <v>5</v>
        <stp/>
        <stp>##V3_BDPV12</stp>
        <stp>GMKN RX EQUITY</stp>
        <stp>EQY_REC_CONS</stp>
        <stp>[upload (2).xlsm]Model Portfolio!R29C29</stp>
        <tr r="AC29" s="98"/>
      </tp>
      <tp>
        <v>-0.50862888394273476</v>
        <stp/>
        <stp>##V3_BDPV12</stp>
        <stp>US91701RAA95 Corp</stp>
        <stp>INTERVAL_PERCENT_CHANGE</stp>
        <stp>[upload (2).xlsm]Base all $ 3 Duration!R26C17</stp>
        <stp>END_DATE_OVERRIDE</stp>
        <stp xml:space="preserve"> </stp>
        <stp>START_DATE_OVERRIDe</stp>
        <stp>20140716</stp>
        <tr r="Q26" s="66"/>
      </tp>
      <tp>
        <v>3.375</v>
        <stp/>
        <stp>##V3_BDPV12</stp>
        <stp>GLPR LI EQUITY</stp>
        <stp>EQY_REC_CONS</stp>
        <stp>[upload (2).xlsm]Model Portfolio!R46C29</stp>
        <tr r="AC46" s="98"/>
      </tp>
      <tp>
        <v>4</v>
        <stp/>
        <stp>##V3_BDPV12</stp>
        <stp>GLTR LI EQUITY</stp>
        <stp>EQY_REC_CONS</stp>
        <stp>[upload (2).xlsm]Model Portfolio!R48C29</stp>
        <tr r="AC48" s="98"/>
      </tp>
      <tp>
        <v>3.4669612741797491</v>
        <stp/>
        <stp>##V3_BDPV12</stp>
        <stp>AFLT RX EQUITY</stp>
        <stp>PX_TO_FREE_CASH_FLOW</stp>
        <stp>[upload (2).xlsm]Model Portfolio!R47C19</stp>
        <tr r="S47" s="98"/>
      </tp>
      <tp>
        <v>3.5708033214983854</v>
        <stp/>
        <stp>##V3_BDPV12</stp>
        <stp>AFKS RX EQUITY</stp>
        <stp>PX_TO_FREE_CASH_FLOW</stp>
        <stp>[upload (2).xlsm]Model Portfolio!R64C19</stp>
        <tr r="S64" s="98"/>
      </tp>
      <tp>
        <v>1.4647920000000001</v>
        <stp/>
        <stp>##V3_BDPV12</stp>
        <stp>EVR LN EQUITY</stp>
        <stp>EQY_BETA_6M</stp>
        <stp>[upload (2).xlsm]Model Portfolio!R26C14</stp>
        <tr r="N26" s="98"/>
      </tp>
      <tp>
        <v>13.891971932424054</v>
        <stp/>
        <stp>##V3_BDPV12</stp>
        <stp>AKRN RX EQUITY</stp>
        <stp>PX_TO_FREE_CASH_FLOW</stp>
        <stp>[upload (2).xlsm]Model Portfolio!R33C19</stp>
        <tr r="S33" s="98"/>
      </tp>
      <tp>
        <v>1.729187433561638</v>
        <stp/>
        <stp>##V3_BDPV12</stp>
        <stp>UPRO RX EQUITY</stp>
        <stp>SALES_GROWTH</stp>
        <stp>[upload (2).xlsm]Model Portfolio!R52C21</stp>
        <tr r="U52" s="98"/>
      </tp>
      <tp>
        <v>-27.056396659278537</v>
        <stp/>
        <stp>##V3_BDPV12</stp>
        <stp>URKA RX EQUITY</stp>
        <stp>SALES_GROWTH</stp>
        <stp>[upload (2).xlsm]Model Portfolio!R31C21</stp>
        <tr r="U31" s="98"/>
      </tp>
      <tp t="s">
        <v>Y</v>
        <stp/>
        <stp>##V3_BDPV12</stp>
        <stp>XS0911599701 Corp</stp>
        <stp>RUSSIAN_CB_LOMBARD</stp>
        <stp>[upload (2).xlsm]Base all $ 3 Duration!R104C16</stp>
        <tr r="P104" s="66"/>
      </tp>
      <tp t="s">
        <v>Y</v>
        <stp/>
        <stp>##V3_BDPV12</stp>
        <stp>XS0808638612 Corp</stp>
        <stp>RUSSIAN_CB_LOMBARD</stp>
        <stp>[upload (2).xlsm]Base all $ 3 Duration!R105C16</stp>
        <tr r="P105" s="66"/>
      </tp>
      <tp>
        <v>100000</v>
        <stp/>
        <stp>##V3_BDPV12</stp>
        <stp>XS0484209159 Corp</stp>
        <stp>MIN_PIECE</stp>
        <stp>[upload (2).xlsm]Base all $ 3 Duration!R115C20</stp>
        <tr r="T115" s="66"/>
      </tp>
      <tp>
        <v>200000</v>
        <stp/>
        <stp>##V3_BDPV12</stp>
        <stp>XS0925043100 Corp</stp>
        <stp>MIN_PIECE</stp>
        <stp>[upload (2).xlsm]Base all $ 3 Duration!R103C20</stp>
        <tr r="T103" s="66"/>
      </tp>
      <tp t="s">
        <v>#N/A Field Not Applicable</v>
        <stp/>
        <stp>##V3_BDPV12</stp>
        <stp>XS0861980372 Corp</stp>
        <stp>px_last</stp>
        <stp>[upload (2).xlsm]Base all $ 3 Duration!R80C4</stp>
        <tr r="D80" s="66"/>
      </tp>
      <tp t="s">
        <v>#N/A Field Not Applicable</v>
        <stp/>
        <stp>##V3_BDPV12</stp>
        <stp>XS0276456315 Corp</stp>
        <stp>px_last</stp>
        <stp>[upload (2).xlsm]Base all $ 3 Duration!R90C4</stp>
        <tr r="D90" s="66"/>
      </tp>
      <tp t="s">
        <v>#N/A Field Not Applicable</v>
        <stp/>
        <stp>##V3_BDPV12</stp>
        <stp>XS0855334289 Corp</stp>
        <stp>px_last</stp>
        <stp>[upload (2).xlsm]Base all $ 3 Duration!R50C4</stp>
        <tr r="D50" s="66"/>
      </tp>
      <tp>
        <v>100000</v>
        <stp/>
        <stp>##V3_BDPV12</stp>
        <stp>XS0304274599 Corp</stp>
        <stp>MIN_PIECE</stp>
        <stp>[upload (2).xlsm]Base all $ 3 Duration!R153C20</stp>
        <tr r="T153" s="66"/>
      </tp>
      <tp>
        <v>100.53400000000001</v>
        <stp/>
        <stp>##V3_BDPV12</stp>
        <stp>XS0551315384 Corp</stp>
        <stp>px_last</stp>
        <stp>[upload (2).xlsm]Base all $ 3 Duration!R82C4</stp>
        <tr r="D82" s="66"/>
      </tp>
      <tp t="s">
        <v>#N/A Field Not Applicable</v>
        <stp/>
        <stp>##V3_BDPV12</stp>
        <stp>XS0312572984 Corp</stp>
        <stp>px_last</stp>
        <stp>[upload (2).xlsm]Base all $ 3 Duration!R22C4</stp>
        <tr r="D22" s="66"/>
      </tp>
      <tp t="s">
        <v>#N/A Field Not Applicable</v>
        <stp/>
        <stp>##V3_BDPV12</stp>
        <stp>XS0543956717 Corp</stp>
        <stp>px_last</stp>
        <stp>[upload (2).xlsm]Base all $ 3 Duration!R85C4</stp>
        <tr r="D85" s="66"/>
      </tp>
      <tp>
        <v>100.5741</v>
        <stp/>
        <stp>##V3_BDPV12</stp>
        <stp>XS1043519567 Corp</stp>
        <stp>px_last</stp>
        <stp>[upload (2).xlsm]Base all $ 3 Duration!R74C4</stp>
        <tr r="D74" s="66"/>
      </tp>
      <tp>
        <v>103.371</v>
        <stp/>
        <stp>##V3_BDPV12</stp>
        <stp>XS0995845566 Corp</stp>
        <stp>px_last</stp>
        <stp>[upload (2).xlsm]Base all $ 3 Duration!R29C4</stp>
        <tr r="D29" s="66"/>
      </tp>
      <tp>
        <v>200000</v>
        <stp/>
        <stp>##V3_BDPV12</stp>
        <stp>XS0997544860 Corp</stp>
        <stp>MIN_PIECE</stp>
        <stp>[upload (2).xlsm]Base all $ 3 Duration!R138C20</stp>
        <tr r="T138" s="66"/>
      </tp>
      <tp>
        <v>10000</v>
        <stp/>
        <stp>##V3_BDPV12</stp>
        <stp>XS0191754729 Corp</stp>
        <stp>MIN_PIECE</stp>
        <stp>[upload (2).xlsm]Base all $ 3 Duration!R130C20</stp>
        <tr r="T130" s="66"/>
      </tp>
      <tp>
        <v>38747350000.000008</v>
        <stp/>
        <stp>##V3_BDPV12</stp>
        <stp>DIXY RX EQUITY</stp>
        <stp>CUR_MKT_CAP</stp>
        <stp>[upload (2).xlsm]Model Portfolio!R34C10</stp>
        <tr r="J34" s="98"/>
      </tp>
      <tp>
        <v>9.4213144589384559</v>
        <stp/>
        <stp>##V3_BDPV12</stp>
        <stp>KCEL LI EQUITY</stp>
        <stp>TRAIL_12M_PROF_MARGIN</stp>
        <stp>[upload (2).xlsm]Model Portfolio!R65C25</stp>
        <tr r="Y65" s="98"/>
      </tp>
      <tp t="s">
        <v>22/02/2018</v>
        <stp/>
        <stp>##V3_BDPV12</stp>
        <stp>XS0592794597 Corp</stp>
        <stp>MATURITY</stp>
        <stp>[upload (2).xlsm]Base all $ 3 Duration!R61C9</stp>
        <tr r="I61" s="66"/>
      </tp>
      <tp>
        <v>565055400.00000012</v>
        <stp/>
        <stp>##V3_BDPV12</stp>
        <stp>OKEY LI EQUITY</stp>
        <stp>CUR_MKT_CAP</stp>
        <stp>[upload (2).xlsm]Model Portfolio!R39C10</stp>
        <tr r="J39" s="98"/>
      </tp>
      <tp>
        <v>20.202074200791191</v>
        <stp/>
        <stp>##V3_BDPV12</stp>
        <stp>QIWI US EQUITY</stp>
        <stp>EBIT_MARGIN</stp>
        <stp>[upload (2).xlsm]Model Portfolio!R40C24</stp>
        <tr r="X40" s="98"/>
      </tp>
      <tp>
        <v>15.869470707902048</v>
        <stp/>
        <stp>##V3_BDPV12</stp>
        <stp>RSTI RX EQUITY</stp>
        <stp>EBIT_MARGIN</stp>
        <stp>[upload (2).xlsm]Model Portfolio!R54C24</stp>
        <tr r="X54" s="98"/>
      </tp>
      <tp>
        <v>0.72298490000000004</v>
        <stp/>
        <stp>##V3_BDPV12</stp>
        <stp>IRAO RX EQUITY</stp>
        <stp>EQY_BETA_6M</stp>
        <stp>[upload (2).xlsm]Model Portfolio!R51C14</stp>
        <tr r="N51" s="98"/>
      </tp>
      <tp t="s">
        <v>#N/A N/A</v>
        <stp/>
        <stp>##V3_BDPV12</stp>
        <stp>BSPB RX EQUITY</stp>
        <stp>PX_TO_FREE_CASH_FLOW</stp>
        <stp>[upload (2).xlsm]Model Portfolio!R77C19</stp>
        <tr r="S77" s="98"/>
      </tp>
      <tp>
        <v>0.67355109999999996</v>
        <stp/>
        <stp>##V3_BDPV12</stp>
        <stp>AGRO LI EQUITY</stp>
        <stp>EQY_BETA_6M</stp>
        <stp>[upload (2).xlsm]Model Portfolio!R71C14</stp>
        <tr r="N71" s="98"/>
      </tp>
      <tp>
        <v>1.7637229999999999</v>
        <stp/>
        <stp>##V3_BDPV12</stp>
        <stp>FXPO LN EQUITY</stp>
        <stp>EQY_BETA_6M</stp>
        <stp>[upload (2).xlsm]Model Portfolio!R27C14</stp>
        <tr r="N27" s="98"/>
      </tp>
      <tp>
        <v>3</v>
        <stp/>
        <stp>##V3_BDPV12</stp>
        <stp>DIXY RX EQUITY</stp>
        <stp>EQY_REC_CONS</stp>
        <stp>[upload (2).xlsm]Model Portfolio!R34C29</stp>
        <tr r="AC34" s="98"/>
      </tp>
      <tp t="s">
        <v>#N/A N/A</v>
        <stp/>
        <stp>##V3_BDPV12</stp>
        <stp>BANE RX EQUITY</stp>
        <stp>PX_TO_FREE_CASH_FLOW</stp>
        <stp>[upload (2).xlsm]Model Portfolio!R18C19</stp>
        <tr r="S18" s="98"/>
      </tp>
      <tp>
        <v>0.436498</v>
        <stp/>
        <stp>##V3_BDPV12</stp>
        <stp>UPRO RX EQUITY</stp>
        <stp>EQY_BETA_6M</stp>
        <stp>[upload (2).xlsm]Model Portfolio!R52C14</stp>
        <tr r="N52" s="98"/>
      </tp>
      <tp t="s">
        <v>Y</v>
        <stp/>
        <stp>##V3_BDPV12</stp>
        <stp>XS0993162683 Corp</stp>
        <stp>RUSSIAN_CB_LOMBARD</stp>
        <stp>[upload (2).xlsm]Base all $ 3 Duration!R139C16</stp>
        <tr r="P139" s="66"/>
      </tp>
      <tp t="s">
        <v>Y</v>
        <stp/>
        <stp>##V3_BDPV12</stp>
        <stp>XS0885733153 Corp</stp>
        <stp>RUSSIAN_CB_LOMBARD</stp>
        <stp>[upload (2).xlsm]Base all $ 3 Duration!R115C16</stp>
        <tr r="P115" s="66"/>
      </tp>
      <tp t="s">
        <v>Y</v>
        <stp/>
        <stp>##V3_BDPV12</stp>
        <stp>XS0588433267 Corp</stp>
        <stp>RUSSIAN_CB_LOMBARD</stp>
        <stp>[upload (2).xlsm]Base all $ 3 Duration!R146C16</stp>
        <tr r="P146" s="66"/>
      </tp>
      <tp>
        <v>103.102</v>
        <stp/>
        <stp>##V3_BDPV12</stp>
        <stp>XS0365923977 Corp</stp>
        <stp>px_last</stp>
        <stp>[upload (2).xlsm]Base all $ 3 Duration!R57C4</stp>
        <tr r="D57" s="66"/>
      </tp>
      <tp t="s">
        <v>#N/A Field Not Applicable</v>
        <stp/>
        <stp>##V3_BDPV12</stp>
        <stp>XS0253861834 Corp</stp>
        <stp>px_last</stp>
        <stp>[upload (2).xlsm]Base all $ 3 Duration!R91C4</stp>
        <tr r="D91" s="66"/>
      </tp>
      <tp>
        <v>200000</v>
        <stp/>
        <stp>##V3_BDPV12</stp>
        <stp>XS0743596040 Corp</stp>
        <stp>MIN_PIECE</stp>
        <stp>[upload (2).xlsm]Base all $ 3 Duration!R157C20</stp>
        <tr r="T157" s="66"/>
      </tp>
      <tp>
        <v>100.224</v>
        <stp/>
        <stp>##V3_BDPV12</stp>
        <stp>XS0544362972 Corp</stp>
        <stp>px_last</stp>
        <stp>[upload (2).xlsm]Base all $ 3 Duration!R70C4</stp>
        <tr r="D70" s="66"/>
      </tp>
      <tp>
        <v>200000</v>
        <stp/>
        <stp>##V3_BDPV12</stp>
        <stp>XS0922301717 Corp</stp>
        <stp>MIN_PIECE</stp>
        <stp>[upload (2).xlsm]Base all $ 3 Duration!R111C20</stp>
        <tr r="T111" s="66"/>
      </tp>
      <tp>
        <v>105.504</v>
        <stp/>
        <stp>##V3_BDPV12</stp>
        <stp>XS0381439305 Corp</stp>
        <stp>px_last</stp>
        <stp>[upload (2).xlsm]Base all $ 3 Duration!R64C4</stp>
        <tr r="D64" s="66"/>
      </tp>
      <tp>
        <v>32</v>
        <stp/>
        <stp>##V3_BDPV12</stp>
        <stp>XS0841677387 Corp</stp>
        <stp>px_last</stp>
        <stp>[upload (2).xlsm]Base all $ 3 Duration!R99C4</stp>
        <tr r="D99" s="66"/>
      </tp>
      <tp>
        <v>200000</v>
        <stp/>
        <stp>##V3_BDPV12</stp>
        <stp>XS0643183220 Corp</stp>
        <stp>MIN_PIECE</stp>
        <stp>[upload (2).xlsm]Base all $ 3 Duration!R135C20</stp>
        <tr r="T135" s="66"/>
      </tp>
      <tp>
        <v>101.554</v>
        <stp/>
        <stp>##V3_BDPV12</stp>
        <stp>XS0585211591 Corp</stp>
        <stp>px_last</stp>
        <stp>[upload (2).xlsm]Base all $ 3 Duration!R34C4</stp>
        <tr r="D34" s="66"/>
      </tp>
      <tp>
        <v>200000</v>
        <stp/>
        <stp>##V3_BDPV12</stp>
        <stp>XS0885736925 Corp</stp>
        <stp>MIN_PIECE</stp>
        <stp>[upload (2).xlsm]Base all $ 3 Duration!R142C20</stp>
        <tr r="T142" s="66"/>
      </tp>
      <tp t="s">
        <v>#N/A Field Not Applicable</v>
        <stp/>
        <stp>##V3_BDPV12</stp>
        <stp>XS0973219495 Corp</stp>
        <stp>MATURITY</stp>
        <stp>[upload (2).xlsm]Base all $ 3 Duration!R11C9</stp>
        <tr r="I11" s="66"/>
      </tp>
      <tp t="s">
        <v>27/10/2017</v>
        <stp/>
        <stp>##V3_BDPV12</stp>
        <stp>XS0552679879 Corp</stp>
        <stp>MATURITY</stp>
        <stp>[upload (2).xlsm]Base all $ 3 Duration!R43C9</stp>
        <tr r="I43" s="66"/>
      </tp>
      <tp t="s">
        <v>24/10/2018</v>
        <stp/>
        <stp>##V3_BDPV12</stp>
        <stp>XS0848163456 Corp</stp>
        <stp>MATURITY</stp>
        <stp>[upload (2).xlsm]Base all $ 3 Duration!R18C9</stp>
        <tr r="I18" s="66"/>
      </tp>
      <tp>
        <v>36882021501.849998</v>
        <stp/>
        <stp>##V3_BDPV12</stp>
        <stp>KMAZ RX EQUITY</stp>
        <stp>CUR_MKT_CAP</stp>
        <stp>[upload (2).xlsm]Model Portfolio!R73C10</stp>
        <tr r="J73" s="98"/>
      </tp>
      <tp t="s">
        <v>13/02/2017</v>
        <stp/>
        <stp>##V3_BDPV12</stp>
        <stp>XS0719009754 Corp</stp>
        <stp>MATURITY</stp>
        <stp>[upload (2).xlsm]Base all $ 3 Duration!R77C9</stp>
        <tr r="I77" s="66"/>
      </tp>
      <tp>
        <v>1852.0516357421875</v>
        <stp/>
        <stp>##V3_BDPV12</stp>
        <stp>BANEP RX EQUITY</stp>
        <stp>BEST_TARGET_PRICE</stp>
        <stp>[upload (2).xlsm]Model Portfolio!R8C8</stp>
        <tr r="H8" s="98"/>
      </tp>
      <tp t="s">
        <v>29/05/2018</v>
        <stp/>
        <stp>##V3_BDPV12</stp>
        <stp>XS0366630902 Corp</stp>
        <stp>MATURITY</stp>
        <stp>[upload (2).xlsm]Base all $ 3 Duration!R49C9</stp>
        <tr r="I49" s="66"/>
      </tp>
      <tp>
        <v>0.94971539999999999</v>
        <stp/>
        <stp>##V3_BDPV12</stp>
        <stp>MAGN RX EQUITY</stp>
        <stp>EQY_BETA_6M</stp>
        <stp>[upload (2).xlsm]Model Portfolio!R23C14</stp>
        <tr r="N23" s="98"/>
      </tp>
      <tp>
        <v>0.77697349999999998</v>
        <stp/>
        <stp>##V3_BDPV12</stp>
        <stp>MFON RX EQUITY</stp>
        <stp>EQY_BETA_6M</stp>
        <stp>[upload (2).xlsm]Model Portfolio!R62C14</stp>
        <tr r="N62" s="98"/>
      </tp>
      <tp>
        <v>3.8571430000000002</v>
        <stp/>
        <stp>##V3_BDPV12</stp>
        <stp>ENRU RM EQUITY</stp>
        <stp>EQY_REC_CONS</stp>
        <stp>[upload (2).xlsm]Model Portfolio!R53C29</stp>
        <tr r="AC53" s="98"/>
      </tp>
      <tp>
        <v>0.57644010000000001</v>
        <stp/>
        <stp>##V3_BDPV12</stp>
        <stp>AKRN RX EQUITY</stp>
        <stp>EQY_BETA_6M</stp>
        <stp>[upload (2).xlsm]Model Portfolio!R33C14</stp>
        <tr r="N33" s="98"/>
      </tp>
      <tp>
        <v>0.85521659999999999</v>
        <stp/>
        <stp>##V3_BDPV12</stp>
        <stp>GMKN RX EQUITY</stp>
        <stp>EQY_BETA_6M</stp>
        <stp>[upload (2).xlsm]Model Portfolio!R29C14</stp>
        <tr r="N29" s="98"/>
      </tp>
      <tp>
        <v>4.8</v>
        <stp/>
        <stp>##V3_BDPV12</stp>
        <stp>ETLN LI EQUITY</stp>
        <stp>EQY_REC_CONS</stp>
        <stp>[upload (2).xlsm]Model Portfolio!R70C29</stp>
        <tr r="AC70" s="98"/>
      </tp>
      <tp>
        <v>0.58796689999999996</v>
        <stp/>
        <stp>##V3_BDPV12</stp>
        <stp>ETLN LI EQUITY</stp>
        <stp>EQY_BETA_6M</stp>
        <stp>[upload (2).xlsm]Model Portfolio!R70C14</stp>
        <tr r="N70" s="98"/>
      </tp>
      <tp>
        <v>4.6315789222717285</v>
        <stp/>
        <stp>##V3_BDPV12</stp>
        <stp>EPAM US EQUITY</stp>
        <stp>EQY_REC_CONS</stp>
        <stp>[upload (2).xlsm]Model Portfolio!R42C29</stp>
        <tr r="AC42" s="98"/>
      </tp>
      <tp>
        <v>0.54713049999999996</v>
        <stp/>
        <stp>##V3_BDPV12</stp>
        <stp>SIBN RX EQUITY</stp>
        <stp>EQY_BETA_6M</stp>
        <stp>[upload (2).xlsm]Model Portfolio!R15C14</stp>
        <tr r="N15" s="98"/>
      </tp>
      <tp t="s">
        <v>#N/A N/A</v>
        <stp/>
        <stp>##V3_BDPV12</stp>
        <stp>VIP US EQUITY</stp>
        <stp>EQY_BETA_6M</stp>
        <stp>[upload (2).xlsm]Model Portfolio!R61C14</stp>
        <tr r="N61" s="98"/>
      </tp>
      <tp>
        <v>10.771601324935224</v>
        <stp/>
        <stp>##V3_BDPV12</stp>
        <stp>CHMF RX EQUITY</stp>
        <stp>PX_TO_FREE_CASH_FLOW</stp>
        <stp>[upload (2).xlsm]Model Portfolio!R25C19</stp>
        <tr r="S25" s="98"/>
      </tp>
      <tp>
        <v>0.89274100000000001</v>
        <stp/>
        <stp>##V3_BDPV12</stp>
        <stp>ROSN RX EQUITY</stp>
        <stp>EQY_BETA_6M</stp>
        <stp>[upload (2).xlsm]Model Portfolio!R17C14</stp>
        <tr r="N17" s="98"/>
      </tp>
      <tp>
        <v>-9.6640890089195999</v>
        <stp/>
        <stp>##V3_BDPV12</stp>
        <stp>BANEP RX EQUITY</stp>
        <stp>EPS_GROWTH</stp>
        <stp>[upload (2).xlsm]Model Portfolio!R8C22</stp>
        <tr r="V8" s="98"/>
      </tp>
      <tp>
        <v>0.67577120000000002</v>
        <stp/>
        <stp>##V3_BDPV12</stp>
        <stp>TRCN RX EQUITY</stp>
        <stp>EQY_BETA_6M</stp>
        <stp>[upload (2).xlsm]Model Portfolio!R50C14</stp>
        <tr r="N50" s="98"/>
      </tp>
      <tp>
        <v>0.94263819999999998</v>
        <stp/>
        <stp>##V3_BDPV12</stp>
        <stp>TATN RX EQUITY</stp>
        <stp>EQY_BETA_6M</stp>
        <stp>[upload (2).xlsm]Model Portfolio!R14C14</stp>
        <tr r="N14" s="98"/>
      </tp>
      <tp>
        <v>108.23869999999999</v>
        <stp/>
        <stp>##V3_BDPV12</stp>
        <stp>XS0848163456 Corp</stp>
        <stp>px_last</stp>
        <stp>[upload (2).xlsm]Base all $ 3 Duration!R18C4</stp>
        <tr r="D18" s="66"/>
      </tp>
      <tp>
        <v>23.003</v>
        <stp/>
        <stp>##V3_BDPV12</stp>
        <stp>XS0776121062 Corp</stp>
        <stp>px_last</stp>
        <stp>[upload (2).xlsm]Base all $ 3 Duration!R27C4</stp>
        <tr r="D27" s="66"/>
      </tp>
      <tp>
        <v>200000</v>
        <stp/>
        <stp>##V3_BDPV12</stp>
        <stp>XS0918604496 Corp</stp>
        <stp>MIN_PIECE</stp>
        <stp>[upload (2).xlsm]Base all $ 3 Duration!R106C20</stp>
        <tr r="T106" s="66"/>
      </tp>
      <tp>
        <v>200000</v>
        <stp/>
        <stp>##V3_BDPV12</stp>
        <stp>XS0841671000 Corp</stp>
        <stp>MIN_PIECE</stp>
        <stp>[upload (2).xlsm]Base all $ 3 Duration!R143C20</stp>
        <tr r="T143" s="66"/>
      </tp>
      <tp>
        <v>200000</v>
        <stp/>
        <stp>##V3_BDPV12</stp>
        <stp>XS0555493203 Corp</stp>
        <stp>MIN_PIECE</stp>
        <stp>[upload (2).xlsm]Base all $ 3 Duration!R112C20</stp>
        <tr r="T112" s="66"/>
      </tp>
      <tp t="s">
        <v>#N/A Field Not Applicable</v>
        <stp/>
        <stp>##V3_BDPV12</stp>
        <stp>XS0772835285 Corp</stp>
        <stp>px_last</stp>
        <stp>[upload (2).xlsm]Base all $ 3 Duration!R31C4</stp>
        <tr r="D31" s="66"/>
      </tp>
      <tp t="s">
        <v>#N/A Field Not Applicable</v>
        <stp/>
        <stp>##V3_BDPV12</stp>
        <stp>XS0643176448 Corp</stp>
        <stp>px_last</stp>
        <stp>[upload (2).xlsm]Base all $ 3 Duration!R79C4</stp>
        <tr r="D79" s="66"/>
      </tp>
      <tp>
        <v>100000</v>
        <stp/>
        <stp>##V3_BDPV12</stp>
        <stp>XS0548633659 Corp</stp>
        <stp>MIN_PIECE</stp>
        <stp>[upload (2).xlsm]Base all $ 3 Duration!R114C20</stp>
        <tr r="T114" s="66"/>
      </tp>
      <tp>
        <v>100000</v>
        <stp/>
        <stp>##V3_BDPV12</stp>
        <stp>XS0290580595 Corp</stp>
        <stp>MIN_PIECE</stp>
        <stp>[upload (2).xlsm]Base all $ 3 Duration!R154C20</stp>
        <tr r="T154" s="66"/>
      </tp>
      <tp t="s">
        <v>#N/A Field Not Applicable</v>
        <stp/>
        <stp>##V3_BDPV12</stp>
        <stp>XS0288690539 Corp</stp>
        <stp>px_last</stp>
        <stp>[upload (2).xlsm]Base all $ 3 Duration!R62C4</stp>
        <tr r="D62" s="66"/>
      </tp>
      <tp>
        <v>27.802508521430337</v>
        <stp/>
        <stp>##V3_BDPV12</stp>
        <stp>NVTK RX EQUITY</stp>
        <stp>EBIT_MARGIN</stp>
        <stp>[upload (2).xlsm]Model Portfolio!R16C24</stp>
        <tr r="X16" s="98"/>
      </tp>
      <tp>
        <v>21.017580585326705</v>
        <stp/>
        <stp>##V3_BDPV12</stp>
        <stp>NLMK RX EQUITY</stp>
        <stp>EBIT_MARGIN</stp>
        <stp>[upload (2).xlsm]Model Portfolio!R22C24</stp>
        <tr r="X22" s="98"/>
      </tp>
      <tp t="s">
        <v>#N/A N/A</v>
        <stp/>
        <stp>##V3_BDPV12</stp>
        <stp>US91701RAA95 Corp</stp>
        <stp>YLD_YTM_ask</stp>
        <stp>[upload (2).xlsm]Base all $ 3 Duration!R26C7</stp>
        <tr r="G26" s="66"/>
      </tp>
      <tp>
        <v>6.7186692688373721</v>
        <stp/>
        <stp>##V3_BDPV12</stp>
        <stp>LXFT US EQUITY</stp>
        <stp>TRAIL_12M_PROF_MARGIN</stp>
        <stp>[upload (2).xlsm]Model Portfolio!R41C25</stp>
        <tr r="Y41" s="98"/>
      </tp>
      <tp t="s">
        <v>15/11/2019</v>
        <stp/>
        <stp>##V3_BDPV12</stp>
        <stp>XS0854763355 Corp</stp>
        <stp>MATURITY</stp>
        <stp>[upload (2).xlsm]Base all $ 3 Duration!R28C9</stp>
        <tr r="I28" s="66"/>
      </tp>
      <tp>
        <v>7.5414407791820546</v>
        <stp/>
        <stp>##V3_BDPV12</stp>
        <stp>TRMK RX EQUITY</stp>
        <stp>EBIT_MARGIN</stp>
        <stp>[upload (2).xlsm]Model Portfolio!R21C24</stp>
        <tr r="X21" s="98"/>
      </tp>
      <tp>
        <v>4.7440671122874702</v>
        <stp/>
        <stp>##V3_BDPV12</stp>
        <stp>MAIL LI EQUITY</stp>
        <stp>TRAIL_12M_PROF_MARGIN</stp>
        <stp>[upload (2).xlsm]Model Portfolio!R44C25</stp>
        <tr r="Y44" s="98"/>
      </tp>
      <tp t="s">
        <v>13/02/2018</v>
        <stp/>
        <stp>##V3_BDPV12</stp>
        <stp>XS0888245122 Corp</stp>
        <stp>MATURITY</stp>
        <stp>[upload (2).xlsm]Base all $ 3 Duration!R73C9</stp>
        <tr r="I73" s="66"/>
      </tp>
      <tp>
        <v>3.1428569999999998</v>
        <stp/>
        <stp>##V3_BDPV12</stp>
        <stp>OGZD LI Equity</stp>
        <stp>EQY_REC_CONS</stp>
        <stp>[Copy of upload (2).xlsm]Гарез_GRENF (2)!R7C10</stp>
        <tr r="J7" s="116"/>
      </tp>
      <tp>
        <v>41.793975703111997</v>
        <stp/>
        <stp>##V3_BDPV12</stp>
        <stp>PIKK RX EQUITY</stp>
        <stp>EBIT_MARGIN</stp>
        <stp>[upload (2).xlsm]Model Portfolio!R68C24</stp>
        <tr r="X68" s="98"/>
      </tp>
      <tp t="s">
        <v>#N/A N/A</v>
        <stp/>
        <stp>##V3_BDPV12</stp>
        <stp>LXFT US Equity</stp>
        <stp>BDVD_NEXT_EST_DECL_DT</stp>
        <stp>[Copy of upload (2).xlsm]Гарез_GRENF!R6C22</stp>
        <tr r="V6" s="115"/>
      </tp>
      <tp t="s">
        <v>RU</v>
        <stp/>
        <stp>##V3_BDPV12</stp>
        <stp>XS0850393264 Corp</stp>
        <stp>CNTRY_OF_RISK</stp>
        <stp>[upload (2).xlsm]Base all $ 3 Duration!R4C13</stp>
        <tr r="M4" s="66"/>
      </tp>
      <tp t="s">
        <v>SBERBANK (SB CAP SA)</v>
        <stp/>
        <stp>##V3_BDPV12</stp>
        <stp>XS0743596040 Corp</stp>
        <stp>name</stp>
        <stp>[upload (2).xlsm]Base all $ 3 Duration!R155C1</stp>
        <tr r="A155" s="66"/>
      </tp>
      <tp t="s">
        <v>LUKOIL INTL FINANCE BV</v>
        <stp/>
        <stp>##V3_BDPV12</stp>
        <stp>XS0554659671 Corp</stp>
        <stp>name</stp>
        <stp>[upload (2).xlsm]Base all $ 3 Duration!R114C1</stp>
        <tr r="A114" s="66"/>
      </tp>
      <tp>
        <v>-2.2304819999999999</v>
        <stp/>
        <stp>##V3_BDPV12</stp>
        <stp>AGRO LI EQUITY</stp>
        <stp>CHG_PCT_1YR</stp>
        <stp>[upload (2).xlsm]Model Portfolio!R71C6</stp>
        <tr r="F71" s="98"/>
      </tp>
      <tp>
        <v>-0.93621399999999999</v>
        <stp/>
        <stp>##V3_BDPV12</stp>
        <stp>GMKN RX EQUITY</stp>
        <stp>CHG_PCT_1YR</stp>
        <stp>[upload (2).xlsm]Model Portfolio!R29C6</stp>
        <tr r="F29" s="98"/>
      </tp>
      <tp t="s">
        <v>SBERBANK (SB CAP SA)</v>
        <stp/>
        <stp>##V3_BDPV12</stp>
        <stp>XS0935311240 Corp</stp>
        <stp>name</stp>
        <stp>[upload (2).xlsm]Base all $ 3 Duration!R131C1</stp>
        <tr r="A131" s="66"/>
      </tp>
      <tp t="s">
        <v>PROMSVYAZBK(PSB FINANCE)</v>
        <stp/>
        <stp>##V3_BDPV12</stp>
        <stp>XS1042215480 Corp</stp>
        <stp>name</stp>
        <stp>[upload (2).xlsm]Base all $ 3 Duration!R120C1</stp>
        <tr r="A120" s="66"/>
      </tp>
      <tp>
        <v>-16.774190000000001</v>
        <stp/>
        <stp>##V3_BDPV12</stp>
        <stp>LNTA LI EQUITY</stp>
        <stp>CHG_PCT_1YR</stp>
        <stp>[upload (2).xlsm]Model Portfolio!R37C6</stp>
        <tr r="F37" s="98"/>
      </tp>
      <tp>
        <v>39.252330000000001</v>
        <stp/>
        <stp>##V3_BDPV12</stp>
        <stp>KMAZ RX EQUITY</stp>
        <stp>CHG_PCT_1YR</stp>
        <stp>[upload (2).xlsm]Model Portfolio!R73C6</stp>
        <tr r="F73" s="98"/>
      </tp>
      <tp t="s">
        <v>Telecommunications</v>
        <stp/>
        <stp>##V3_BDPV12</stp>
        <stp>VIP US EQUITY</stp>
        <stp>INDUSTRY_GROUP</stp>
        <stp>[upload (2).xlsm]Model Portfolio!R61C13</stp>
        <tr r="M61" s="98"/>
      </tp>
      <tp>
        <v>3.5433089999999998</v>
        <stp/>
        <stp>##V3_BDPV12</stp>
        <stp>AGRO LI EQUITY</stp>
        <stp>CHG_PCT_WTD</stp>
        <stp>[upload (2).xlsm]Model Portfolio!R71C4</stp>
        <tr r="D71" s="98"/>
      </tp>
      <tp>
        <v>-21.341460000000001</v>
        <stp/>
        <stp>##V3_BDPV12</stp>
        <stp>LNTA LI EQUITY</stp>
        <stp>CHG_PCT_YTD</stp>
        <stp>[upload (2).xlsm]Model Portfolio!R37C7</stp>
        <tr r="G37" s="98"/>
      </tp>
      <tp>
        <v>-0.47545219999999999</v>
        <stp/>
        <stp>##V3_BDPV12</stp>
        <stp>GMKN RX EQUITY</stp>
        <stp>CHG_PCT_WTD</stp>
        <stp>[upload (2).xlsm]Model Portfolio!R29C4</stp>
        <tr r="D29" s="98"/>
      </tp>
      <tp>
        <v>-1.127821</v>
        <stp/>
        <stp>##V3_BDPV12</stp>
        <stp>AGRO LI EQUITY</stp>
        <stp>CHG_PCT_YTD</stp>
        <stp>[upload (2).xlsm]Model Portfolio!R71C7</stp>
        <tr r="G71" s="98"/>
      </tp>
      <tp>
        <v>-0.76923079999999999</v>
        <stp/>
        <stp>##V3_BDPV12</stp>
        <stp>LNTA LI EQUITY</stp>
        <stp>CHG_PCT_WTD</stp>
        <stp>[upload (2).xlsm]Model Portfolio!R37C4</stp>
        <tr r="D37" s="98"/>
      </tp>
      <tp>
        <v>-4.8705790000000002</v>
        <stp/>
        <stp>##V3_BDPV12</stp>
        <stp>GMKN RX EQUITY</stp>
        <stp>CHG_PCT_YTD</stp>
        <stp>[upload (2).xlsm]Model Portfolio!R29C7</stp>
        <tr r="G29" s="98"/>
      </tp>
      <tp>
        <v>3.1827470999999998</v>
        <stp/>
        <stp>##V3_BDPV12</stp>
        <stp>XS0555493203 Corp</stp>
        <stp>YLD_YTM_ask</stp>
        <stp>[upload (2).xlsm]Base all $ 3 Duration!R109C7</stp>
        <tr r="G109" s="66"/>
      </tp>
      <tp>
        <v>3.5829328</v>
        <stp/>
        <stp>##V3_BDPV12</stp>
        <stp>XS0764220017 Corp</stp>
        <stp>YLD_YTM_ask</stp>
        <stp>[upload (2).xlsm]Base all $ 3 Duration!R149C7</stp>
        <tr r="G149" s="66"/>
      </tp>
      <tp>
        <v>3.6473507000000001</v>
        <stp/>
        <stp>##V3_BDPV12</stp>
        <stp>XS0620695204 Corp</stp>
        <stp>YLD_YTM_ask</stp>
        <stp>[upload (2).xlsm]Base all $ 3 Duration!R138C7</stp>
        <tr r="G138" s="66"/>
      </tp>
      <tp>
        <v>-0.47710209999999997</v>
        <stp/>
        <stp>##V3_BDPV12</stp>
        <stp>KMAZ RX EQUITY</stp>
        <stp>CHG_PCT_WTD</stp>
        <stp>[upload (2).xlsm]Model Portfolio!R73C4</stp>
        <tr r="D73" s="98"/>
      </tp>
      <tp>
        <v>6.6462130000000004</v>
        <stp/>
        <stp>##V3_BDPV12</stp>
        <stp>KMAZ RX EQUITY</stp>
        <stp>CHG_PCT_YTD</stp>
        <stp>[upload (2).xlsm]Model Portfolio!R73C7</stp>
        <tr r="G73" s="98"/>
      </tp>
      <tp t="s">
        <v>RUB</v>
        <stp/>
        <stp>##V3_BDPV12</stp>
        <stp>LSRG RX Equity</stp>
        <stp>CRNCY</stp>
        <stp>[upload (2).xlsm]Sheet3!R4C6</stp>
        <tr r="F4" s="77"/>
      </tp>
      <tp>
        <v>1.4122388059701492</v>
        <stp/>
        <stp>##V3_BDPV12</stp>
        <stp>SVAV RX EQUITY</stp>
        <stp>NET_DEBT_TO_EBITDA</stp>
        <stp>[upload (2).xlsm]Model Portfolio!R72C20</stp>
        <tr r="T72" s="98"/>
      </tp>
      <tp>
        <v>9.1441618392973627</v>
        <stp/>
        <stp>##V3_BDPV12</stp>
        <stp>TATNP RX EQUITY</stp>
        <stp>EPS_GROWTH</stp>
        <stp>[upload (2).xlsm]Model Portfolio!R19C22</stp>
        <tr r="V19" s="98"/>
      </tp>
      <tp>
        <v>11.065745514082792</v>
        <stp/>
        <stp>##V3_BDPV12</stp>
        <stp>GLPR LI EQUITY</stp>
        <stp>NET_DEBT_TO_EBITDA</stp>
        <stp>[upload (2).xlsm]Model Portfolio!R46C20</stp>
        <tr r="T46" s="98"/>
      </tp>
      <tp t="s">
        <v>BBB-</v>
        <stp/>
        <stp>##V3_BDPV12</stp>
        <stp>XS0997544860 Corp</stp>
        <stp>RTG_fitch</stp>
        <stp>[upload (2).xlsm]Base all $ 3 Duration!R136C10</stp>
        <tr r="J136" s="66"/>
        <tr r="J136" s="66"/>
      </tp>
      <tp t="s">
        <v>BBB-</v>
        <stp/>
        <stp>##V3_BDPV12</stp>
        <stp>XS0191754729 Corp</stp>
        <stp>RTG_fitch</stp>
        <stp>[upload (2).xlsm]Base all $ 3 Duration!R128C10</stp>
        <tr r="J128" s="66"/>
        <tr r="J128" s="66"/>
      </tp>
      <tp t="s">
        <v>WD</v>
        <stp/>
        <stp>##V3_BDPV12</stp>
        <stp>XS0925043100 Corp</stp>
        <stp>RTG_fitch</stp>
        <stp>[upload (2).xlsm]Base all $ 3 Duration!R100C10</stp>
        <tr r="J100" s="66"/>
        <tr r="J100" s="66"/>
      </tp>
      <tp t="s">
        <v>WD</v>
        <stp/>
        <stp>##V3_BDPV12</stp>
        <stp>XS0484209159 Corp</stp>
        <stp>RTG_fitch</stp>
        <stp>[upload (2).xlsm]Base all $ 3 Duration!R112C10</stp>
        <tr r="J112" s="66"/>
        <tr r="J112" s="66"/>
      </tp>
      <tp t="s">
        <v>RU</v>
        <stp/>
        <stp>##V3_BDPV12</stp>
        <stp>XS0922883318 Corp</stp>
        <stp>CNTRY_OF_RISK</stp>
        <stp>[upload (2).xlsm]Base all $ 3 Duration!R56C13</stp>
        <tr r="M56" s="66"/>
      </tp>
      <tp t="s">
        <v>#N/A N/A</v>
        <stp/>
        <stp>##V3_BDPV12</stp>
        <stp>KMAZ RX EQUITY</stp>
        <stp>NET_DEBT_TO_EBITDA</stp>
        <stp>[upload (2).xlsm]Model Portfolio!R73C20</stp>
        <tr r="T73" s="98"/>
      </tp>
      <tp>
        <v>39.42306</v>
        <stp/>
        <stp>##V3_BDPV12</stp>
        <stp>HYDR RX EQUITY</stp>
        <stp>EQY_FREE_FLOAT_PCT</stp>
        <stp>[upload (2).xlsm]Model Portfolio!R58C11</stp>
        <tr r="K58" s="98"/>
      </tp>
      <tp t="s">
        <v>RU</v>
        <stp/>
        <stp>##V3_BDPV12</stp>
        <stp>XS0899969702 Corp</stp>
        <stp>CNTRY_OF_RISK</stp>
        <stp>[upload (2).xlsm]Base all $ 3 Duration!R71C13</stp>
        <tr r="M71" s="66"/>
      </tp>
      <tp t="s">
        <v>BBB-</v>
        <stp/>
        <stp>##V3_BDPV12</stp>
        <stp>XS0304274599 Corp</stp>
        <stp>RTG_fitch</stp>
        <stp>[upload (2).xlsm]Base all $ 3 Duration!R151C10</stp>
        <tr r="J151" s="66"/>
        <tr r="J151" s="66"/>
      </tp>
      <tp t="s">
        <v>FEDERAL GRID CO</v>
        <stp/>
        <stp>##V3_BDPV12</stp>
        <stp>FEES RX EQUITY</stp>
        <stp>SHORT_NAME</stp>
        <stp>[upload (2).xlsm]Model Portfolio!R56C2</stp>
        <tr r="B56" s="98"/>
      </tp>
      <tp t="s">
        <v>Ba1</v>
        <stp/>
        <stp>##V3_BDPV12</stp>
        <stp>XS0805570354 Corp</stp>
        <stp>RTG_moody</stp>
        <stp>[upload (2).xlsm]Base all $ 3 Duration!R154C10</stp>
        <tr r="J154" s="66"/>
        <tr r="J154" s="66"/>
      </tp>
      <tp t="s">
        <v>GAZPROM</v>
        <stp/>
        <stp>##V3_BDPV12</stp>
        <stp>GAZP RX EQUITY</stp>
        <stp>SHORT_NAME</stp>
        <stp>[upload (2).xlsm]Model Portfolio!R12C2</stp>
        <tr r="B12" s="98"/>
      </tp>
      <tp t="s">
        <v>Baa1</v>
        <stp/>
        <stp>##V3_BDPV12</stp>
        <stp>XS0831571434 Corp</stp>
        <stp>RTG_moody</stp>
        <stp>[upload (2).xlsm]Base all $ 3 Duration!R157C10</stp>
        <tr r="J157" s="66"/>
        <tr r="J157" s="66"/>
      </tp>
      <tp t="s">
        <v>Ba1</v>
        <stp/>
        <stp>##V3_BDPV12</stp>
        <stp>XS0919504562 Corp</stp>
        <stp>RTG_moody</stp>
        <stp>[upload (2).xlsm]Base all $ 3 Duration!R148C10</stp>
        <tr r="J148" s="66"/>
        <tr r="J148" s="66"/>
      </tp>
      <tp t="s">
        <v>WR</v>
        <stp/>
        <stp>##V3_BDPV12</stp>
        <stp>XS0846652666 Corp</stp>
        <stp>RTG_moody</stp>
        <stp>[upload (2).xlsm]Base all $ 3 Duration!R102C10</stp>
        <tr r="J102" s="66"/>
        <tr r="J102" s="66"/>
      </tp>
      <tp t="s">
        <v>Ba2</v>
        <stp/>
        <stp>##V3_BDPV12</stp>
        <stp>XS0620695204 Corp</stp>
        <stp>RTG_moody</stp>
        <stp>[upload (2).xlsm]Base all $ 3 Duration!R138C10</stp>
        <tr r="J138" s="66"/>
        <tr r="J138" s="66"/>
      </tp>
      <tp>
        <v>-1.317836954528022</v>
        <stp/>
        <stp>##V3_BDPV12</stp>
        <stp>IRAO RX EQUITY</stp>
        <stp>NET_DEBT_TO_EBITDA</stp>
        <stp>[upload (2).xlsm]Model Portfolio!R51C20</stp>
        <tr r="T51" s="98"/>
      </tp>
      <tp>
        <v>1.2760739999999999</v>
        <stp/>
        <stp>##V3_BDPV12</stp>
        <stp>HYDR RX EQUITY</stp>
        <stp>CHG_PCT_1M</stp>
        <stp>[upload (2).xlsm]Model Portfolio!R58C5</stp>
        <tr r="E58" s="98"/>
      </tp>
      <tp>
        <v>8.8461540000000003</v>
        <stp/>
        <stp>##V3_BDPV12</stp>
        <stp>FIVE LI EQUITY</stp>
        <stp>CHG_PCT_1M</stp>
        <stp>[upload (2).xlsm]Model Portfolio!R36C5</stp>
        <tr r="E36" s="98"/>
      </tp>
      <tp>
        <v>215</v>
        <stp/>
        <stp>##V3_BDPV12</stp>
        <stp>HGM LN Equity</stp>
        <stp>BEST_TARGET_PRICE</stp>
        <stp>[Copy of upload (2).xlsm]Гарез_GRENF (2)!R10C8</stp>
        <tr r="H10" s="116"/>
      </tp>
      <tp>
        <v>28.000532498240855</v>
        <stp/>
        <stp>##V3_BDPV12</stp>
        <stp>TATNP RX EQUITY</stp>
        <stp>EBITDA_MARGIN</stp>
        <stp>[upload (2).xlsm]Model Portfolio!R19C23</stp>
        <tr r="W19" s="98"/>
      </tp>
      <tp t="s">
        <v>RU</v>
        <stp/>
        <stp>##V3_BDPV12</stp>
        <stp>XS0996297544 Corp</stp>
        <stp>CNTRY_OF_RISK</stp>
        <stp>[upload (2).xlsm]Base all $ 3 Duration!R9C13</stp>
        <tr r="M9" s="66"/>
      </tp>
      <tp>
        <v>149</v>
        <stp/>
        <stp>##V3_BDPV12</stp>
        <stp>HGM LN EQUITY</stp>
        <stp>PX_LAST</stp>
        <stp>[upload (2).xlsm]Model Portfolio!R4C3</stp>
        <tr r="C4" s="98"/>
      </tp>
      <tp>
        <v>11.82108</v>
        <stp/>
        <stp>##V3_BDPV12</stp>
        <stp>PIKK RX EQUITY</stp>
        <stp>CHG_PCT_1YR</stp>
        <stp>[upload (2).xlsm]Model Portfolio!R68C6</stp>
        <tr r="F68" s="98"/>
      </tp>
      <tp t="s">
        <v>SBERBANK (SB CAP SA)</v>
        <stp/>
        <stp>##V3_BDPV12</stp>
        <stp>XS0638572973 Corp</stp>
        <stp>name</stp>
        <stp>[upload (2).xlsm]Base all $ 3 Duration!R156C1</stp>
        <tr r="A156" s="66"/>
      </tp>
      <tp t="s">
        <v>AK BARS BK(AK BARS LUX)</v>
        <stp/>
        <stp>##V3_BDPV12</stp>
        <stp>XS0805131439 Corp</stp>
        <stp>name</stp>
        <stp>[upload (2).xlsm]Base all $ 3 Duration!R126C1</stp>
        <tr r="A126" s="66"/>
      </tp>
      <tp>
        <v>17.816970000000001</v>
        <stp/>
        <stp>##V3_BDPV12</stp>
        <stp>TRCN RX EQUITY</stp>
        <stp>CHG_PCT_1YR</stp>
        <stp>[upload (2).xlsm]Model Portfolio!R50C6</stp>
        <tr r="F50" s="98"/>
      </tp>
      <tp t="s">
        <v>ROSNEFT FINANCE SA</v>
        <stp/>
        <stp>##V3_BDPV12</stp>
        <stp>XS0484209159 Corp</stp>
        <stp>name</stp>
        <stp>[upload (2).xlsm]Base all $ 3 Duration!R112C1</stp>
        <tr r="A112" s="66"/>
      </tp>
      <tp>
        <v>77.941999999999993</v>
        <stp/>
        <stp>##V3_BDPV12</stp>
        <stp>XS0493579238 Corp</stp>
        <stp>px_last</stp>
        <stp>[upload (2).xlsm]Base all $ 3 Duration!R7C4</stp>
        <tr r="D7" s="66"/>
      </tp>
      <tp>
        <v>85.998999999999995</v>
        <stp/>
        <stp>##V3_BDPV12</stp>
        <stp>XS0850393264 Corp</stp>
        <stp>px_last</stp>
        <stp>[upload (2).xlsm]Base all $ 3 Duration!R4C4</stp>
        <tr r="D4" s="66"/>
      </tp>
      <tp t="s">
        <v>GAZPROM (GAZ CAPITAL SA)</v>
        <stp/>
        <stp>##V3_BDPV12</stp>
        <stp>XS0290580595 Corp</stp>
        <stp>name</stp>
        <stp>[upload (2).xlsm]Base all $ 3 Duration!R152C1</stp>
        <tr r="A152" s="66"/>
      </tp>
      <tp t="s">
        <v>VIMPELCOM LT-ADR</v>
        <stp/>
        <stp>##V3_BDPV12</stp>
        <stp>VIP US EQUITY</stp>
        <stp>SHORT_NAME</stp>
        <stp>[upload (2).xlsm]Model Portfolio!R61C2</stp>
        <tr r="B61" s="98"/>
      </tp>
      <tp>
        <v>-3.5799690000000002</v>
        <stp/>
        <stp>##V3_BDPV12</stp>
        <stp>FEES RX EQUITY</stp>
        <stp>CHG_PCT_1YR</stp>
        <stp>[upload (2).xlsm]Model Portfolio!R56C6</stp>
        <tr r="F56" s="98"/>
      </tp>
    </main>
    <main first="bloomberg.rtd">
      <tp>
        <v>10.8742</v>
        <stp/>
        <stp>##V3_BDPV12</stp>
        <stp>SVAV RX EQUITY</stp>
        <stp>CHG_PCT_1YR</stp>
        <stp>[upload (2).xlsm]Model Portfolio!R72C6</stp>
        <tr r="F72" s="98"/>
      </tp>
      <tp>
        <v>6.2814069999999997</v>
        <stp/>
        <stp>##V3_BDPV12</stp>
        <stp>TRCN RX EQUITY</stp>
        <stp>CHG_PCT_WTD</stp>
        <stp>[upload (2).xlsm]Model Portfolio!R50C4</stp>
        <tr r="D50" s="98"/>
      </tp>
      <tp>
        <v>0.41440480000000002</v>
        <stp/>
        <stp>##V3_BDPV12</stp>
        <stp>PIKK RX EQUITY</stp>
        <stp>CHG_PCT_WTD</stp>
        <stp>[upload (2).xlsm]Model Portfolio!R68C4</stp>
        <tr r="D68" s="98"/>
      </tp>
      <tp>
        <v>8.6206899999999997</v>
        <stp/>
        <stp>##V3_BDPV12</stp>
        <stp>PIKK RX EQUITY</stp>
        <stp>CHG_PCT_YTD</stp>
        <stp>[upload (2).xlsm]Model Portfolio!R68C7</stp>
        <tr r="G68" s="98"/>
      </tp>
      <tp>
        <v>16.850829999999998</v>
        <stp/>
        <stp>##V3_BDPV12</stp>
        <stp>TRCN RX EQUITY</stp>
        <stp>CHG_PCT_YTD</stp>
        <stp>[upload (2).xlsm]Model Portfolio!R50C7</stp>
        <tr r="G50" s="98"/>
      </tp>
      <tp>
        <v>-14.640750000000001</v>
        <stp/>
        <stp>##V3_BDPV12</stp>
        <stp>FEES RX EQUITY</stp>
        <stp>CHG_PCT_YTD</stp>
        <stp>[upload (2).xlsm]Model Portfolio!R56C7</stp>
        <tr r="G56" s="98"/>
      </tp>
      <tp t="s">
        <v>Sr Unsecured</v>
        <stp/>
        <stp>##V3_BDPV12</stp>
        <stp>XS0493579238 Corp</stp>
        <stp>PAYMENT_RANK</stp>
        <stp>[upload (2).xlsm]Base all $ 3 Duration!R7C14</stp>
        <tr r="N7" s="66"/>
      </tp>
      <tp>
        <v>2.9408555999999999</v>
        <stp/>
        <stp>##V3_BDPV12</stp>
        <stp>XS0885733153 Corp</stp>
        <stp>YLD_YTM_ask</stp>
        <stp>[upload (2).xlsm]Base all $ 3 Duration!R115C7</stp>
        <tr r="G115" s="66"/>
      </tp>
      <tp>
        <v>80.299499999999995</v>
        <stp/>
        <stp>##V3_BDPV12</stp>
        <stp>XS0920334900 Corp</stp>
        <stp>PX_GROSS_MID</stp>
        <stp>[upload (2).xlsm]Base all $ 3 Duration!R6C19</stp>
        <tr r="S6" s="66"/>
      </tp>
      <tp>
        <v>-2.8037380000000001</v>
        <stp/>
        <stp>##V3_BDPV12</stp>
        <stp>SVAV RX EQUITY</stp>
        <stp>CHG_PCT_YTD</stp>
        <stp>[upload (2).xlsm]Model Portfolio!R72C7</stp>
        <tr r="G72" s="98"/>
      </tp>
      <tp t="s">
        <v>#N/A N/A</v>
        <stp/>
        <stp>##V3_BDPV12</stp>
        <stp>XS0953323317 Corp</stp>
        <stp>YLD_YTM_ask</stp>
        <stp>[upload (2).xlsm]Base all $ 3 Duration!R118C7</stp>
        <tr r="G118" s="66"/>
      </tp>
      <tp>
        <v>88.490666666666655</v>
        <stp/>
        <stp>##V3_BDPV12</stp>
        <stp>XS0850393264 Corp</stp>
        <stp>PX_GROSS_MID</stp>
        <stp>[upload (2).xlsm]Base all $ 3 Duration!R4C19</stp>
        <tr r="S4" s="66"/>
      </tp>
      <tp>
        <v>4.4849535999999999</v>
        <stp/>
        <stp>##V3_BDPV12</stp>
        <stp>XS0885736925 Corp</stp>
        <stp>YLD_YTM_ask</stp>
        <stp>[upload (2).xlsm]Base all $ 3 Duration!R140C7</stp>
        <tr r="G140" s="66"/>
      </tp>
      <tp>
        <v>-1.7013229999999999</v>
        <stp/>
        <stp>##V3_BDPV12</stp>
        <stp>SVAV RX EQUITY</stp>
        <stp>CHG_PCT_WTD</stp>
        <stp>[upload (2).xlsm]Model Portfolio!R72C4</stp>
        <tr r="D72" s="98"/>
      </tp>
      <tp>
        <v>5.7683100000000001E-2</v>
        <stp/>
        <stp>##V3_BDPV12</stp>
        <stp>FEES RX EQUITY</stp>
        <stp>CHG_PCT_WTD</stp>
        <stp>[upload (2).xlsm]Model Portfolio!R56C4</stp>
        <tr r="D56" s="98"/>
      </tp>
      <tp t="s">
        <v>BBB-</v>
        <stp/>
        <stp>##V3_BDPV12</stp>
        <stp>XS0993162683 Corp</stp>
        <stp>RTG_fitch</stp>
        <stp>[upload (2).xlsm]Base all $ 3 Duration!R139C10</stp>
        <tr r="J139" s="66"/>
        <tr r="J139" s="66"/>
      </tp>
      <tp t="s">
        <v>SISTEMA PJSC FC</v>
        <stp/>
        <stp>##V3_BDPV12</stp>
        <stp>AFKS RX EQUITY</stp>
        <stp>SHORT_NAME</stp>
        <stp>[upload (2).xlsm]Model Portfolio!R64C2</stp>
        <tr r="B64" s="98"/>
      </tp>
      <tp t="s">
        <v>BB+</v>
        <stp/>
        <stp>##V3_BDPV12</stp>
        <stp>XS0889401724 Corp</stp>
        <stp>RTG_fitch</stp>
        <stp>[upload (2).xlsm]Base all $ 3 Duration!R130C10</stp>
        <tr r="J130" s="66"/>
        <tr r="J130" s="66"/>
      </tp>
      <tp t="s">
        <v>MAGNIT</v>
        <stp/>
        <stp>##V3_BDPV12</stp>
        <stp>MGNT RX EQUITY</stp>
        <stp>SHORT_NAME</stp>
        <stp>[upload (2).xlsm]Model Portfolio!R35C2</stp>
        <tr r="B35" s="98"/>
      </tp>
      <tp t="s">
        <v>RU</v>
        <stp/>
        <stp>##V3_BDPV12</stp>
        <stp>XS0543956717 Corp</stp>
        <stp>CNTRY_OF_RISK</stp>
        <stp>[upload (2).xlsm]Base all $ 3 Duration!R85C13</stp>
        <tr r="M85" s="66"/>
      </tp>
      <tp>
        <v>63.780999999999999</v>
        <stp/>
        <stp>##V3_BDPV12</stp>
        <stp>MOEX RX EQUITY</stp>
        <stp>EQY_FREE_FLOAT_PCT</stp>
        <stp>[upload (2).xlsm]Model Portfolio!R74C11</stp>
        <tr r="K74" s="98"/>
      </tp>
      <tp t="s">
        <v>B</v>
        <stp/>
        <stp>##V3_BDPV12</stp>
        <stp>XS0981028177 Corp</stp>
        <stp>RTG_fitch</stp>
        <stp>[upload (2).xlsm]Base all $ 3 Duration!R119C10</stp>
        <tr r="J119" s="66"/>
        <tr r="J119" s="66"/>
      </tp>
      <tp>
        <v>19.86927</v>
        <stp/>
        <stp>##V3_BDPV12</stp>
        <stp>FEES RX EQUITY</stp>
        <stp>EQY_FREE_FLOAT_PCT</stp>
        <stp>[upload (2).xlsm]Model Portfolio!R56C11</stp>
        <tr r="K56" s="98"/>
      </tp>
      <tp>
        <v>-2.2004890000000001</v>
        <stp/>
        <stp>##V3_BDPV12</stp>
        <stp>NVTK RX EQUITY</stp>
        <stp>CHG_PCT_1M</stp>
        <stp>[upload (2).xlsm]Model Portfolio!R16C5</stp>
        <tr r="E16" s="98"/>
      </tp>
      <tp t="s">
        <v>RU</v>
        <stp/>
        <stp>##V3_BDPV12</stp>
        <stp>XS0618905219 Corp</stp>
        <stp>CNTRY_OF_RISK</stp>
        <stp>[upload (2).xlsm]Base all $ 3 Duration!R37C13</stp>
        <tr r="M37" s="66"/>
      </tp>
      <tp t="s">
        <v>WD</v>
        <stp/>
        <stp>##V3_BDPV12</stp>
        <stp>XS0953323317 Corp</stp>
        <stp>RTG_fitch</stp>
        <stp>[upload (2).xlsm]Base all $ 3 Duration!R118C10</stp>
        <tr r="J118" s="66"/>
        <tr r="J118" s="66"/>
      </tp>
      <tp t="s">
        <v>#N/A N/A</v>
        <stp/>
        <stp>##V3_BDPV12</stp>
        <stp>GLTR LI EQUITY</stp>
        <stp>EQY_FREE_FLOAT_PCT</stp>
        <stp>[upload (2).xlsm]Model Portfolio!R48C11</stp>
        <tr r="K48" s="98"/>
      </tp>
      <tp t="s">
        <v>MMK</v>
        <stp/>
        <stp>##V3_BDPV12</stp>
        <stp>MAGN RX EQUITY</stp>
        <stp>SHORT_NAME</stp>
        <stp>[upload (2).xlsm]Model Portfolio!R23C2</stp>
        <tr r="B23" s="98"/>
      </tp>
      <tp>
        <v>47.671120000000002</v>
        <stp/>
        <stp>##V3_BDPV12</stp>
        <stp>SBER RX EQUITY</stp>
        <stp>EQY_FREE_FLOAT_PCT</stp>
        <stp>[upload (2).xlsm]Model Portfolio!R75C11</stp>
        <tr r="K75" s="98"/>
      </tp>
      <tp t="s">
        <v>RU</v>
        <stp/>
        <stp>##V3_BDPV12</stp>
        <stp>XS0775984213 Corp</stp>
        <stp>CNTRY_OF_RISK</stp>
        <stp>[upload (2).xlsm]Base all $ 3 Duration!R42C13</stp>
        <tr r="M42" s="66"/>
      </tp>
      <tp t="s">
        <v>BB+</v>
        <stp/>
        <stp>##V3_BDPV12</stp>
        <stp>XS0848530977 Corp</stp>
        <stp>RTG_fitch</stp>
        <stp>[upload (2).xlsm]Base all $ 3 Duration!R150C10</stp>
        <tr r="J150" s="66"/>
        <tr r="J150" s="66"/>
      </tp>
      <tp>
        <v>8.8896440000000005</v>
        <stp/>
        <stp>##V3_BDPV12</stp>
        <stp>MTLR RX EQUITY</stp>
        <stp>CHG_PCT_1M</stp>
        <stp>[upload (2).xlsm]Model Portfolio!R24C5</stp>
        <tr r="E24" s="98"/>
      </tp>
      <tp>
        <v>17.166870567503771</v>
        <stp/>
        <stp>##V3_BDPV12</stp>
        <stp>BSPB RX EQUITY</stp>
        <stp>EPS_GROWTH</stp>
        <stp>[upload (2).xlsm]Model Portfolio!R77C22</stp>
        <tr r="V77" s="98"/>
      </tp>
      <tp t="s">
        <v>#N/A N/A</v>
        <stp/>
        <stp>##V3_BDPV12</stp>
        <stp>XS0920335030 Corp</stp>
        <stp>RTG_moody</stp>
        <stp>[upload (2).xlsm]Base all $ 3 Duration!R101C10</stp>
        <tr r="J101" s="66"/>
      </tp>
      <tp t="s">
        <v>#N/A N/A</v>
        <stp/>
        <stp>##V3_BDPV12</stp>
        <stp>XS0800817073 Corp</stp>
        <stp>RTG_moody</stp>
        <stp>[upload (2).xlsm]Base all $ 3 Duration!R142C10</stp>
        <tr r="J142" s="66"/>
      </tp>
      <tp t="s">
        <v>#N/A N/A</v>
        <stp/>
        <stp>##V3_BDPV12</stp>
        <stp>LNTA LI EQUITY</stp>
        <stp>EQY_FREE_FLOAT_PCT</stp>
        <stp>[upload (2).xlsm]Model Portfolio!R37C11</stp>
        <tr r="K37" s="98"/>
      </tp>
      <tp>
        <v>1436320000</v>
        <stp/>
        <stp>##V3_BDPV12</stp>
        <stp>ALRS RX EQUITY</stp>
        <stp>AVG_DAILY_VALUE_TRADED_6M</stp>
        <stp>[upload (2).xlsm]Model Portfolio!R5C12</stp>
        <tr r="L5" s="98"/>
      </tp>
      <tp t="s">
        <v>21/05/2018</v>
        <stp/>
        <stp>##V3_BDPV12</stp>
        <stp>RTKMP RX EQUITY</stp>
        <stp>BDVD_NEXT_EST_DECL_DT</stp>
        <stp>[upload (2).xlsm]Model Portfolio!R63C31</stp>
        <tr r="AE63" s="98"/>
      </tp>
      <tp t="s">
        <v>RU</v>
        <stp/>
        <stp>##V3_BDPV12</stp>
        <stp>XS0275728557 Corp</stp>
        <stp>CNTRY_OF_RISK</stp>
        <stp>[upload (2).xlsm]Base all $ 3 Duration!R8C13</stp>
        <tr r="M8" s="66"/>
      </tp>
      <tp t="s">
        <v>NOVATEK(NOVATEK FIN LTD)</v>
        <stp/>
        <stp>##V3_BDPV12</stp>
        <stp>XS0864383723 Corp</stp>
        <stp>name</stp>
        <stp>[upload (2).xlsm]Base all $ 3 Duration!R147C1</stp>
        <tr r="A147" s="66"/>
      </tp>
      <tp t="s">
        <v>ALLIANCE OIL CO LTD</v>
        <stp/>
        <stp>##V3_BDPV12</stp>
        <stp>XS0925043100 Corp</stp>
        <stp>name</stp>
        <stp>[upload (2).xlsm]Base all $ 3 Duration!R100C1</stp>
        <tr r="A100" s="66"/>
      </tp>
      <tp t="s">
        <v>GAZPROM N (GPN CAPITAL)</v>
        <stp/>
        <stp>##V3_BDPV12</stp>
        <stp>XS0830192711 Corp</stp>
        <stp>name</stp>
        <stp>[upload (2).xlsm]Base all $ 3 Duration!R143C1</stp>
        <tr r="A143" s="66"/>
      </tp>
      <tp t="s">
        <v>LUKOIL INTL FINANCE BV</v>
        <stp/>
        <stp>##V3_BDPV12</stp>
        <stp>XS0919504562 Corp</stp>
        <stp>name</stp>
        <stp>[upload (2).xlsm]Base all $ 3 Duration!R148C1</stp>
        <tr r="A148" s="66"/>
      </tp>
      <tp>
        <v>22.104600000000001</v>
        <stp/>
        <stp>##V3_BDPV12</stp>
        <stp>IRAO RX EQUITY</stp>
        <stp>CHG_PCT_1YR</stp>
        <stp>[upload (2).xlsm]Model Portfolio!R51C6</stp>
        <tr r="F51" s="98"/>
      </tp>
      <tp t="s">
        <v>OJSC RUSS AGRIC BK(RSHB)</v>
        <stp/>
        <stp>##V3_BDPV12</stp>
        <stp>XS0979891925 Corp</stp>
        <stp>name</stp>
        <stp>[upload (2).xlsm]Base all $ 3 Duration!R124C1</stp>
        <tr r="A124" s="66"/>
      </tp>
      <tp>
        <v>25.105540000000001</v>
        <stp/>
        <stp>##V3_BDPV12</stp>
        <stp>SBER RX EQUITY</stp>
        <stp>CHG_PCT_1YR</stp>
        <stp>[upload (2).xlsm]Model Portfolio!R75C6</stp>
        <tr r="F75" s="98"/>
      </tp>
      <tp>
        <v>508884100</v>
        <stp/>
        <stp>##V3_BDPV12</stp>
        <stp>HYDR RX EQUITY</stp>
        <stp>AVG_DAILY_VALUE_TRADED_6M</stp>
        <stp>[upload (2).xlsm]Model Portfolio!R58C12</stp>
        <tr r="L58" s="98"/>
      </tp>
      <tp t="s">
        <v>Iron/Steel</v>
        <stp/>
        <stp>##V3_BDPV12</stp>
        <stp>EVR LN EQUITY</stp>
        <stp>INDUSTRY_GROUP</stp>
        <stp>[upload (2).xlsm]Model Portfolio!R26C13</stp>
        <tr r="M26" s="98"/>
      </tp>
      <tp>
        <v>1361077</v>
        <stp/>
        <stp>##V3_BDPV12</stp>
        <stp>AGRO LI EQUITY</stp>
        <stp>AVG_DAILY_VALUE_TRADED_6M</stp>
        <stp>[upload (2).xlsm]Model Portfolio!R71C12</stp>
        <tr r="L71" s="98"/>
      </tp>
      <tp>
        <v>-0.66838310000000001</v>
        <stp/>
        <stp>##V3_BDPV12</stp>
        <stp>IRAO RX EQUITY</stp>
        <stp>CHG_PCT_WTD</stp>
        <stp>[upload (2).xlsm]Model Portfolio!R51C4</stp>
        <tr r="D51" s="98"/>
      </tp>
      <tp>
        <v>0.52028870000000005</v>
        <stp/>
        <stp>##V3_BDPV12</stp>
        <stp>IRAO RX EQUITY</stp>
        <stp>CHG_PCT_YTD</stp>
        <stp>[upload (2).xlsm]Model Portfolio!R51C7</stp>
        <tr r="G51" s="98"/>
      </tp>
      <tp>
        <v>3.2011973999999999</v>
        <stp/>
        <stp>##V3_BDPV12</stp>
        <stp>XS0587031096 Corp</stp>
        <stp>YLD_YTM_ask</stp>
        <stp>[upload (2).xlsm]Base all $ 3 Duration!R134C7</stp>
        <tr r="G134" s="66"/>
      </tp>
      <tp>
        <v>9.4718610000000005</v>
        <stp/>
        <stp>##V3_BDPV12</stp>
        <stp>SBER RX EQUITY</stp>
        <stp>CHG_PCT_YTD</stp>
        <stp>[upload (2).xlsm]Model Portfolio!R75C7</stp>
        <tr r="G75" s="98"/>
      </tp>
      <tp>
        <v>3.6662857999999998</v>
        <stp/>
        <stp>##V3_BDPV12</stp>
        <stp>XS0808638612 Corp</stp>
        <stp>YLD_YTM_ask</stp>
        <stp>[upload (2).xlsm]Base all $ 3 Duration!R105C7</stp>
        <tr r="G105" s="66"/>
      </tp>
    </main>
    <main first="bloomberg.rtd">
      <tp>
        <v>3.6184547</v>
        <stp/>
        <stp>##V3_BDPV12</stp>
        <stp>XS0919504562 Corp</stp>
        <stp>YLD_YTM_ask</stp>
        <stp>[upload (2).xlsm]Base all $ 3 Duration!R148C7</stp>
        <tr r="G148" s="66"/>
      </tp>
      <tp>
        <v>3.0093122999999999</v>
        <stp/>
        <stp>##V3_BDPV12</stp>
        <stp>XS0588433267 Corp</stp>
        <stp>YLD_YTM_ask</stp>
        <stp>[upload (2).xlsm]Base all $ 3 Duration!R146C7</stp>
        <tr r="G146" s="66"/>
      </tp>
      <tp>
        <v>3.923076868057251</v>
        <stp/>
        <stp>##V3_BDPV12</stp>
        <stp>LXFT US Equity</stp>
        <stp>EQY_REC_CONS</stp>
        <stp>[Copy of upload (2).xlsm]Гарез_GRENF!R6C10</stp>
        <tr r="J6" s="115"/>
      </tp>
      <tp>
        <v>2.0280809999999998</v>
        <stp/>
        <stp>##V3_BDPV12</stp>
        <stp>SBER RX EQUITY</stp>
        <stp>CHG_PCT_WTD</stp>
        <stp>[upload (2).xlsm]Model Portfolio!R75C4</stp>
        <tr r="D75" s="98"/>
      </tp>
      <tp t="s">
        <v>RU</v>
        <stp/>
        <stp>##V3_BDPV12</stp>
        <stp>XS0562354182 Corp</stp>
        <stp>CNTRY_OF_RISK</stp>
        <stp>[upload (2).xlsm]Base all $ 3 Duration!R96C13</stp>
        <tr r="M96" s="66"/>
      </tp>
      <tp t="s">
        <v>RU</v>
        <stp/>
        <stp>##V3_BDPV12</stp>
        <stp>XS0855334289 Corp</stp>
        <stp>CNTRY_OF_RISK</stp>
        <stp>[upload (2).xlsm]Base all $ 3 Duration!R50C13</stp>
        <tr r="M50" s="66"/>
      </tp>
      <tp t="s">
        <v>PIK</v>
        <stp/>
        <stp>##V3_BDPV12</stp>
        <stp>PIKK RX EQUITY</stp>
        <stp>SHORT_NAME</stp>
        <stp>[upload (2).xlsm]Model Portfolio!R68C2</stp>
        <tr r="B68" s="98"/>
      </tp>
      <tp t="s">
        <v>RU</v>
        <stp/>
        <stp>##V3_BDPV12</stp>
        <stp>XS0551315384 Corp</stp>
        <stp>CNTRY_OF_RISK</stp>
        <stp>[upload (2).xlsm]Base all $ 3 Duration!R82C13</stp>
        <tr r="M82" s="66"/>
      </tp>
      <tp t="s">
        <v>RU</v>
        <stp/>
        <stp>##V3_BDPV12</stp>
        <stp>XS0253861834 Corp</stp>
        <stp>CNTRY_OF_RISK</stp>
        <stp>[upload (2).xlsm]Base all $ 3 Duration!R91C13</stp>
        <tr r="M91" s="66"/>
      </tp>
      <tp t="s">
        <v>BBB-</v>
        <stp/>
        <stp>##V3_BDPV12</stp>
        <stp>XS0290580595 Corp</stp>
        <stp>RTG_fitch</stp>
        <stp>[upload (2).xlsm]Base all $ 3 Duration!R152C10</stp>
        <tr r="J152" s="66"/>
        <tr r="J152" s="66"/>
      </tp>
      <tp t="s">
        <v>RU</v>
        <stp/>
        <stp>##V3_BDPV12</stp>
        <stp>XS0783934325 Corp</stp>
        <stp>CNTRY_OF_RISK</stp>
        <stp>[upload (2).xlsm]Base all $ 3 Duration!R47C13</stp>
        <tr r="M47" s="66"/>
      </tp>
      <tp t="s">
        <v>#N/A N/A</v>
        <stp/>
        <stp>##V3_BDPV12</stp>
        <stp>RASP RX EQUITY</stp>
        <stp>EPS_GROWTH</stp>
        <stp>[upload (2).xlsm]Model Portfolio!R28C22</stp>
        <tr r="V28" s="98"/>
      </tp>
      <tp t="s">
        <v>AEROFLOT</v>
        <stp/>
        <stp>##V3_BDPV12</stp>
        <stp>AFLT RX EQUITY</stp>
        <stp>SHORT_NAME</stp>
        <stp>[upload (2).xlsm]Model Portfolio!R47C2</stp>
        <tr r="B47" s="98"/>
      </tp>
      <tp t="s">
        <v>RU</v>
        <stp/>
        <stp>##V3_BDPV12</stp>
        <stp>XS0585211591 Corp</stp>
        <stp>CNTRY_OF_RISK</stp>
        <stp>[upload (2).xlsm]Base all $ 3 Duration!R34C13</stp>
        <tr r="M34" s="66"/>
      </tp>
      <tp>
        <v>-1.1359997724799167</v>
        <stp/>
        <stp>##V3_BDPV12</stp>
        <stp>MTSS RX EQUITY</stp>
        <stp>EPS_GROWTH</stp>
        <stp>[upload (2).xlsm]Model Portfolio!R67C22</stp>
        <tr r="V67" s="98"/>
      </tp>
      <tp t="s">
        <v>#N/A N/A</v>
        <stp/>
        <stp>##V3_BDPV12</stp>
        <stp>XS0972645112 Corp</stp>
        <stp>RTG_fitch</stp>
        <stp>[upload (2).xlsm]Base all $ 3 Duration!R116C10</stp>
        <tr r="J116" s="66"/>
      </tp>
      <tp>
        <v>17.467880000000001</v>
        <stp/>
        <stp>##V3_BDPV12</stp>
        <stp>MTSS RX EQUITY</stp>
        <stp>CHG_PCT_1M</stp>
        <stp>[upload (2).xlsm]Model Portfolio!R67C5</stp>
        <tr r="E67" s="98"/>
      </tp>
      <tp>
        <v>2.4735958009369678</v>
        <stp/>
        <stp>##V3_BDPV12</stp>
        <stp>ALRS RX EQUITY</stp>
        <stp>PX_TO_BOOK_RATIO</stp>
        <stp>[upload (2).xlsm]Model Portfolio!R5C18</stp>
        <tr r="R5" s="98"/>
      </tp>
      <tp t="s">
        <v>WD</v>
        <stp/>
        <stp>##V3_BDPV12</stp>
        <stp>XS0548633659 Corp</stp>
        <stp>RTG_fitch</stp>
        <stp>[upload (2).xlsm]Base all $ 3 Duration!R111C10</stp>
        <tr r="J111" s="66"/>
        <tr r="J111" s="66"/>
      </tp>
      <tp t="s">
        <v>FERREXPO PLC</v>
        <stp/>
        <stp>##V3_BDPV12</stp>
        <stp>FXPO LN EQUITY</stp>
        <stp>SHORT_NAME</stp>
        <stp>[upload (2).xlsm]Model Portfolio!R27C2</stp>
        <tr r="B27" s="98"/>
      </tp>
      <tp t="s">
        <v>BB+</v>
        <stp/>
        <stp>##V3_BDPV12</stp>
        <stp>XS0555493203 Corp</stp>
        <stp>RTG_fitch</stp>
        <stp>[upload (2).xlsm]Base all $ 3 Duration!R109C10</stp>
        <tr r="J109" s="66"/>
        <tr r="J109" s="66"/>
      </tp>
      <tp t="s">
        <v>BB</v>
        <stp/>
        <stp>##V3_BDPV12</stp>
        <stp>XS0918604496 Corp</stp>
        <stp>RTG_fitch</stp>
        <stp>[upload (2).xlsm]Base all $ 3 Duration!R103C10</stp>
        <tr r="J103" s="66"/>
        <tr r="J103" s="66"/>
      </tp>
      <tp t="s">
        <v>BBB-</v>
        <stp/>
        <stp>##V3_BDPV12</stp>
        <stp>XS0841671000 Corp</stp>
        <stp>RTG_fitch</stp>
        <stp>[upload (2).xlsm]Base all $ 3 Duration!R141C10</stp>
        <tr r="J141" s="66"/>
        <tr r="J141" s="66"/>
      </tp>
      <tp t="s">
        <v>RU</v>
        <stp/>
        <stp>##V3_BDPV12</stp>
        <stp>XS0973219495 Corp</stp>
        <stp>CNTRY_OF_RISK</stp>
        <stp>[upload (2).xlsm]Base all $ 3 Duration!R11C13</stp>
        <tr r="M11" s="66"/>
      </tp>
      <tp t="s">
        <v>RU</v>
        <stp/>
        <stp>##V3_BDPV12</stp>
        <stp>XS0938341780 Corp</stp>
        <stp>CNTRY_OF_RISK</stp>
        <stp>[upload (2).xlsm]Base all $ 3 Duration!R21C13</stp>
        <tr r="M21" s="66"/>
      </tp>
      <tp>
        <v>1.7153561066825911</v>
        <stp/>
        <stp>##V3_BDPV12</stp>
        <stp>POG LN EQUITY</stp>
        <stp>CURRENT_EV_TO_12M_SALES</stp>
        <stp>[upload (2).xlsm]Model Portfolio!R7C17</stp>
        <tr r="Q7" s="98"/>
      </tp>
      <tp>
        <v>99.84178</v>
        <stp/>
        <stp>##V3_BDPV12</stp>
        <stp>FXPO LN EQUITY</stp>
        <stp>EQY_FREE_FLOAT_PCT</stp>
        <stp>[upload (2).xlsm]Model Portfolio!R27C11</stp>
        <tr r="K27" s="98"/>
      </tp>
      <tp>
        <v>7.490494</v>
        <stp/>
        <stp>##V3_BDPV12</stp>
        <stp>URKA RX EQUITY</stp>
        <stp>CHG_PCT_1M</stp>
        <stp>[upload (2).xlsm]Model Portfolio!R31C5</stp>
        <tr r="E31" s="98"/>
      </tp>
      <tp>
        <v>-12.65774</v>
        <stp/>
        <stp>##V3_BDPV12</stp>
        <stp>TRMK RX EQUITY</stp>
        <stp>CHG_PCT_1M</stp>
        <stp>[upload (2).xlsm]Model Portfolio!R21C5</stp>
        <tr r="E21" s="98"/>
      </tp>
      <tp t="s">
        <v>WR</v>
        <stp/>
        <stp>##V3_BDPV12</stp>
        <stp>XS0632887997 Corp</stp>
        <stp>RTG_moody</stp>
        <stp>[upload (2).xlsm]Base all $ 3 Duration!R125C10</stp>
        <tr r="J125" s="66"/>
        <tr r="J125" s="66"/>
      </tp>
      <tp>
        <v>1.7913589999999999</v>
        <stp/>
        <stp>##V3_BDPV12</stp>
        <stp>IRAO RX EQUITY</stp>
        <stp>CHG_PCT_1M</stp>
        <stp>[upload (2).xlsm]Model Portfolio!R51C5</stp>
        <tr r="E51" s="98"/>
      </tp>
      <tp>
        <v>0.88725252176728897</v>
        <stp/>
        <stp>##V3_BDPV12</stp>
        <stp>HGM LN EQUITY</stp>
        <stp>PX_TO_BOOK_RATIO</stp>
        <stp>[upload (2).xlsm]Model Portfolio!R4C18</stp>
        <tr r="R4" s="98"/>
      </tp>
      <tp t="s">
        <v>#N/A N/A</v>
        <stp/>
        <stp>##V3_BDPV12</stp>
        <stp>XS0808638612 Corp</stp>
        <stp>RTG_moody</stp>
        <stp>[upload (2).xlsm]Base all $ 3 Duration!R105C10</stp>
        <tr r="J105" s="66"/>
      </tp>
      <tp>
        <v>0.1611616602268478</v>
        <stp/>
        <stp>##V3_BDPV12</stp>
        <stp>TRCN RX EQUITY</stp>
        <stp>NET_DEBT_TO_EBITDA</stp>
        <stp>[upload (2).xlsm]Model Portfolio!R50C20</stp>
        <tr r="T50" s="98"/>
      </tp>
      <tp>
        <v>1.0367079110912043</v>
        <stp/>
        <stp>##V3_BDPV12</stp>
        <stp>AGRO LI EQUITY</stp>
        <stp>NET_DEBT_TO_EBITDA</stp>
        <stp>[upload (2).xlsm]Model Portfolio!R71C20</stp>
        <tr r="T71" s="98"/>
      </tp>
      <tp>
        <v>-49.014925600877447</v>
        <stp/>
        <stp>##V3_BDPV12</stp>
        <stp>ROSN RX EQUITY</stp>
        <stp>EPS_GROWTH</stp>
        <stp>[upload (2).xlsm]Model Portfolio!R17C22</stp>
        <tr r="V17" s="98"/>
      </tp>
      <tp t="s">
        <v>Ba3</v>
        <stp/>
        <stp>##V3_BDPV12</stp>
        <stp>XS0842078536 Corp</stp>
        <stp>RTG_moody</stp>
        <stp>[upload (2).xlsm]Base all $ 3 Duration!R127C10</stp>
        <tr r="J127" s="66"/>
        <tr r="J127" s="66"/>
      </tp>
      <tp>
        <v>-35.714287614944055</v>
        <stp/>
        <stp>##V3_BDPV12</stp>
        <stp>FESH RX EQUITY</stp>
        <stp>EPS_GROWTH</stp>
        <stp>[upload (2).xlsm]Model Portfolio!R45C22</stp>
        <tr r="V45" s="98"/>
      </tp>
      <tp t="s">
        <v>01/06/2018</v>
        <stp/>
        <stp>##V3_BDPV12</stp>
        <stp>OGZD LI Equity</stp>
        <stp>BDVD_NEXT_EST_DECL_DT</stp>
        <stp>[Copy of upload (2).xlsm]Гарез_GRENF!R7C22</stp>
        <tr r="V7" s="115"/>
      </tp>
      <tp>
        <v>5.6615965586733425</v>
        <stp/>
        <stp>##V3_BDPV12</stp>
        <stp>TATNP RX EQUITY</stp>
        <stp>EST_EV_THIS_YR_EBITDA</stp>
        <stp>[upload (2).xlsm]Model Portfolio!R19C16</stp>
        <tr r="P19" s="98"/>
      </tp>
      <tp t="s">
        <v>USD</v>
        <stp/>
        <stp>##V3_BDPV12</stp>
        <stp>XS0238091507 Corp</stp>
        <stp>CRNCY</stp>
        <stp>[upload (2).xlsm]Base all $ 3 Duration!R5C12</stp>
        <tr r="L5" s="66"/>
      </tp>
      <tp t="s">
        <v>RU</v>
        <stp/>
        <stp>##V3_BDPV12</stp>
        <stp>XS0493579238 Corp</stp>
        <stp>CNTRY_OF_RISK</stp>
        <stp>[upload (2).xlsm]Base all $ 3 Duration!R7C13</stp>
        <tr r="M7" s="66"/>
      </tp>
      <tp t="s">
        <v>ROSNEFT(ROSNEFT INT FIN)</v>
        <stp/>
        <stp>##V3_BDPV12</stp>
        <stp>XS0861981180 Corp</stp>
        <stp>name</stp>
        <stp>[upload (2).xlsm]Base all $ 3 Duration!R145C1</stp>
        <tr r="A145" s="66"/>
      </tp>
      <tp>
        <v>367.0324</v>
        <stp/>
        <stp>##V3_BDPV12</stp>
        <stp>FXPO LN EQUITY</stp>
        <stp>CHG_PCT_1YR</stp>
        <stp>[upload (2).xlsm]Model Portfolio!R27C6</stp>
        <tr r="F27" s="98"/>
      </tp>
      <tp t="s">
        <v>EURASIAN DEVELOPMENT BAN</v>
        <stp/>
        <stp>##V3_BDPV12</stp>
        <stp>XS0972645112 Corp</stp>
        <stp>name</stp>
        <stp>[upload (2).xlsm]Base all $ 3 Duration!R116C1</stp>
        <tr r="A116" s="66"/>
      </tp>
      <tp t="s">
        <v>VNESHECONOMBANK(VEB)</v>
        <stp/>
        <stp>##V3_BDPV12</stp>
        <stp>XS0559915961 Corp</stp>
        <stp>name</stp>
        <stp>[upload (2).xlsm]Base all $ 3 Duration!R135C1</stp>
        <tr r="A135" s="66"/>
      </tp>
      <tp>
        <v>56.931609999999999</v>
        <stp/>
        <stp>##V3_BDPV12</stp>
        <stp>FIVE LI EQUITY</stp>
        <stp>CHG_PCT_1YR</stp>
        <stp>[upload (2).xlsm]Model Portfolio!R36C6</stp>
        <tr r="F36" s="98"/>
      </tp>
      <tp>
        <v>13.025779999999999</v>
        <stp/>
        <stp>##V3_BDPV12</stp>
        <stp>MVID RX EQUITY</stp>
        <stp>CHG_PCT_1YR</stp>
        <stp>[upload (2).xlsm]Model Portfolio!R38C6</stp>
        <tr r="F38" s="98"/>
      </tp>
      <tp>
        <v>-11.70289</v>
        <stp/>
        <stp>##V3_BDPV12</stp>
        <stp>MOEX RX EQUITY</stp>
        <stp>CHG_PCT_1YR</stp>
        <stp>[upload (2).xlsm]Model Portfolio!R74C6</stp>
        <tr r="F74" s="98"/>
      </tp>
      <tp>
        <v>2.4100380000000001</v>
        <stp/>
        <stp>##V3_BDPV12</stp>
        <stp>FXPO LN EQUITY</stp>
        <stp>CHG_PCT_WTD</stp>
        <stp>[upload (2).xlsm]Model Portfolio!R27C4</stp>
        <tr r="D27" s="98"/>
      </tp>
      <tp>
        <v>30.81664</v>
        <stp/>
        <stp>##V3_BDPV12</stp>
        <stp>FIVE LI EQUITY</stp>
        <stp>CHG_PCT_YTD</stp>
        <stp>[upload (2).xlsm]Model Portfolio!R36C7</stp>
        <tr r="G36" s="98"/>
      </tp>
      <tp>
        <v>7.4838709999999997</v>
        <stp/>
        <stp>##V3_BDPV12</stp>
        <stp>MVID RX EQUITY</stp>
        <stp>CHG_PCT_YTD</stp>
        <stp>[upload (2).xlsm]Model Portfolio!R38C7</stp>
        <tr r="G38" s="98"/>
      </tp>
      <tp>
        <v>1.774157</v>
        <stp/>
        <stp>##V3_BDPV12</stp>
        <stp>FIVE LI EQUITY</stp>
        <stp>CHG_PCT_WTD</stp>
        <stp>[upload (2).xlsm]Model Portfolio!R36C4</stp>
        <tr r="D36" s="98"/>
      </tp>
      <tp>
        <v>-0.83333330000000005</v>
        <stp/>
        <stp>##V3_BDPV12</stp>
        <stp>MVID RX EQUITY</stp>
        <stp>CHG_PCT_WTD</stp>
        <stp>[upload (2).xlsm]Model Portfolio!R38C4</stp>
        <tr r="D38" s="98"/>
      </tp>
      <tp>
        <v>134.3843</v>
        <stp/>
        <stp>##V3_BDPV12</stp>
        <stp>FXPO LN EQUITY</stp>
        <stp>CHG_PCT_YTD</stp>
        <stp>[upload (2).xlsm]Model Portfolio!R27C7</stp>
        <tr r="G27" s="98"/>
      </tp>
      <tp>
        <v>5.391731299591962</v>
        <stp/>
        <stp>##V3_BDPV12</stp>
        <stp>XS0316524130 Corp</stp>
        <stp>YLD_YTM_ask</stp>
        <stp>[upload (2).xlsm]Base all $ 3 Duration!R129C7</stp>
        <tr r="G129" s="66"/>
      </tp>
      <tp>
        <v>4.3413836999999997</v>
        <stp/>
        <stp>##V3_BDPV12</stp>
        <stp>XS0911599701 Corp</stp>
        <stp>YLD_YTM_ask</stp>
        <stp>[upload (2).xlsm]Base all $ 3 Duration!R104C7</stp>
        <tr r="G104" s="66"/>
      </tp>
      <tp>
        <v>4.4764579999999998E-2</v>
        <stp/>
        <stp>##V3_BDPV12</stp>
        <stp>MOEX RX EQUITY</stp>
        <stp>CHG_PCT_WTD</stp>
        <stp>[upload (2).xlsm]Model Portfolio!R74C4</stp>
        <tr r="D74" s="98"/>
      </tp>
      <tp>
        <v>-11.027950000000001</v>
        <stp/>
        <stp>##V3_BDPV12</stp>
        <stp>MOEX RX EQUITY</stp>
        <stp>CHG_PCT_YTD</stp>
        <stp>[upload (2).xlsm]Model Portfolio!R74C7</stp>
        <tr r="G74" s="98"/>
      </tp>
      <tp t="s">
        <v>Subordinated</v>
        <stp/>
        <stp>##V3_BDPV12</stp>
        <stp>XS0238091507 Corp</stp>
        <stp>PAYMENT_RANK</stp>
        <stp>[upload (2).xlsm]Base all $ 3 Duration!R5C14</stp>
        <tr r="N5" s="66"/>
      </tp>
      <tp t="s">
        <v>OGK-2</v>
        <stp/>
        <stp>##V3_BDPV12</stp>
        <stp>OGKB RX EQUITY</stp>
        <stp>SHORT_NAME</stp>
        <stp>[upload (2).xlsm]Model Portfolio!R57C2</stp>
        <tr r="B57" s="98"/>
      </tp>
      <tp t="s">
        <v>RU</v>
        <stp/>
        <stp>##V3_BDPV12</stp>
        <stp>XS0499245180 Corp</stp>
        <stp>CNTRY_OF_RISK</stp>
        <stp>[upload (2).xlsm]Base all $ 3 Duration!R84C13</stp>
        <tr r="M84" s="66"/>
      </tp>
      <tp t="s">
        <v>RU</v>
        <stp/>
        <stp>##V3_BDPV12</stp>
        <stp>XS0559800122 Corp</stp>
        <stp>CNTRY_OF_RISK</stp>
        <stp>[upload (2).xlsm]Base all $ 3 Duration!R63C13</stp>
        <tr r="M63" s="66"/>
      </tp>
      <tp t="s">
        <v>RU</v>
        <stp/>
        <stp>##V3_BDPV12</stp>
        <stp>XS0324963932 Corp</stp>
        <stp>CNTRY_OF_RISK</stp>
        <stp>[upload (2).xlsm]Base all $ 3 Duration!R59C13</stp>
        <tr r="M59" s="66"/>
      </tp>
      <tp t="s">
        <v>BBB-</v>
        <stp/>
        <stp>##V3_BDPV12</stp>
        <stp>XS0885736925 Corp</stp>
        <stp>RTG_fitch</stp>
        <stp>[upload (2).xlsm]Base all $ 3 Duration!R140C10</stp>
        <tr r="J140" s="66"/>
        <tr r="J140" s="66"/>
      </tp>
      <tp>
        <v>-15.437849581252362</v>
        <stp/>
        <stp>##V3_BDPV12</stp>
        <stp>RTKMP RX EQUITY</stp>
        <stp>EPS_GROWTH</stp>
        <stp>[upload (2).xlsm]Model Portfolio!R63C22</stp>
        <tr r="V63" s="98"/>
      </tp>
      <tp>
        <v>-24.970823629127871</v>
        <stp/>
        <stp>##V3_BDPV12</stp>
        <stp>MSRS RX EQUITY</stp>
        <stp>EPS_GROWTH</stp>
        <stp>[upload (2).xlsm]Model Portfolio!R59C22</stp>
        <tr r="V59" s="98"/>
      </tp>
      <tp t="s">
        <v>RU</v>
        <stp/>
        <stp>##V3_BDPV12</stp>
        <stp>XS0261906738 Corp</stp>
        <stp>CNTRY_OF_RISK</stp>
        <stp>[upload (2).xlsm]Base all $ 3 Duration!R89C13</stp>
        <tr r="M89" s="66"/>
      </tp>
      <tp t="s">
        <v>BB-</v>
        <stp/>
        <stp>##V3_BDPV12</stp>
        <stp>XS0922301717 Corp</stp>
        <stp>RTG_fitch</stp>
        <stp>[upload (2).xlsm]Base all $ 3 Duration!R108C10</stp>
        <tr r="J108" s="66"/>
        <tr r="J108" s="66"/>
      </tp>
      <tp t="s">
        <v>BBB-</v>
        <stp/>
        <stp>##V3_BDPV12</stp>
        <stp>XS0743596040 Corp</stp>
        <stp>RTG_fitch</stp>
        <stp>[upload (2).xlsm]Base all $ 3 Duration!R155C10</stp>
        <tr r="J155" s="66"/>
        <tr r="J155" s="66"/>
      </tp>
      <tp>
        <v>43.57</v>
        <stp/>
        <stp>##V3_BDPV12</stp>
        <stp>ENRU RM EQUITY</stp>
        <stp>EQY_FREE_FLOAT_PCT</stp>
        <stp>[upload (2).xlsm]Model Portfolio!R53C11</stp>
        <tr r="K53" s="98"/>
      </tp>
      <tp>
        <v>0.21739339999999999</v>
        <stp/>
        <stp>##V3_BDPV12</stp>
        <stp>UPRO RX EQUITY</stp>
        <stp>CHG_PCT_1M</stp>
        <stp>[upload (2).xlsm]Model Portfolio!R52C5</stp>
        <tr r="E52" s="98"/>
      </tp>
      <tp t="s">
        <v>BB+</v>
        <stp/>
        <stp>##V3_BDPV12</stp>
        <stp>XS0643183220 Corp</stp>
        <stp>RTG_fitch</stp>
        <stp>[upload (2).xlsm]Base all $ 3 Duration!R133C10</stp>
        <tr r="J133" s="66"/>
        <tr r="J133" s="66"/>
      </tp>
      <tp>
        <v>99.590100000000007</v>
        <stp/>
        <stp>##V3_BDPV12</stp>
        <stp>SNGS RX EQUITY</stp>
        <stp>EQY_FREE_FLOAT_PCT</stp>
        <stp>[upload (2).xlsm]Model Portfolio!R10C11</stp>
        <tr r="K10" s="98"/>
      </tp>
      <tp>
        <v>12.7317</v>
        <stp/>
        <stp>##V3_BDPV12</stp>
        <stp>MAGN RX EQUITY</stp>
        <stp>EQY_FREE_FLOAT_PCT</stp>
        <stp>[upload (2).xlsm]Model Portfolio!R23C11</stp>
        <tr r="K23" s="98"/>
      </tp>
      <tp>
        <v>3.4099789999999999</v>
        <stp/>
        <stp>##V3_BDPV12</stp>
        <stp>RTKM RX EQUITY</stp>
        <stp>CHG_PCT_1M</stp>
        <stp>[upload (2).xlsm]Model Portfolio!R66C5</stp>
        <tr r="E66" s="98"/>
      </tp>
      <tp t="s">
        <v>#N/A N/A</v>
        <stp/>
        <stp>##V3_BDPV12</stp>
        <stp>XS0935311240 Corp</stp>
        <stp>RTG_moody</stp>
        <stp>[upload (2).xlsm]Base all $ 3 Duration!R131C10</stp>
        <tr r="J131" s="66"/>
      </tp>
      <tp>
        <v>-98.583664085729197</v>
        <stp/>
        <stp>##V3_BDPV12</stp>
        <stp>LSRG RX EQUITY</stp>
        <stp>EPS_GROWTH</stp>
        <stp>[upload (2).xlsm]Model Portfolio!R69C22</stp>
        <tr r="V69" s="98"/>
      </tp>
      <tp>
        <v>1.3832283261486311</v>
        <stp/>
        <stp>##V3_BDPV12</stp>
        <stp>SIBN RX EQUITY</stp>
        <stp>NET_DEBT_TO_EBITDA</stp>
        <stp>[upload (2).xlsm]Model Portfolio!R15C20</stp>
        <tr r="T15" s="98"/>
      </tp>
      <tp t="s">
        <v>Ba1</v>
        <stp/>
        <stp>##V3_BDPV12</stp>
        <stp>XS0982861287 Corp</stp>
        <stp>RTG_moody</stp>
        <stp>[upload (2).xlsm]Base all $ 3 Duration!R113C10</stp>
        <tr r="J113" s="66"/>
        <tr r="J113" s="66"/>
      </tp>
      <tp t="s">
        <v>FESCO</v>
        <stp/>
        <stp>##V3_BDPV12</stp>
        <stp>FESH RX EQUITY</stp>
        <stp>SHORT_NAME</stp>
        <stp>[upload (2).xlsm]Model Portfolio!R45C2</stp>
        <tr r="B45" s="98"/>
      </tp>
      <tp>
        <v>37.560980000000001</v>
        <stp/>
        <stp>##V3_BDPV12</stp>
        <stp>TRCN RX EQUITY</stp>
        <stp>CHG_PCT_1M</stp>
        <stp>[upload (2).xlsm]Model Portfolio!R50C5</stp>
        <tr r="E50" s="98"/>
      </tp>
      <tp t="s">
        <v>#N/A N/A</v>
        <stp/>
        <stp>##V3_BDPV12</stp>
        <stp>FIVE LI EQUITY</stp>
        <stp>EQY_FREE_FLOAT_PCT</stp>
        <stp>[upload (2).xlsm]Model Portfolio!R36C11</stp>
        <tr r="K36" s="98"/>
      </tp>
      <tp>
        <v>75.887204003470131</v>
        <stp/>
        <stp>##V3_BDPV12</stp>
        <stp>AKRN RX EQUITY</stp>
        <stp>EPS_GROWTH</stp>
        <stp>[upload (2).xlsm]Model Portfolio!R33C22</stp>
        <tr r="V33" s="98"/>
      </tp>
      <tp t="s">
        <v>Ba1</v>
        <stp/>
        <stp>##V3_BDPV12</stp>
        <stp>XS0885733153 Corp</stp>
        <stp>RTG_moody</stp>
        <stp>[upload (2).xlsm]Base all $ 3 Duration!R115C10</stp>
        <tr r="J115" s="66"/>
        <tr r="J115" s="66"/>
      </tp>
      <tp>
        <v>-62.222988257336596</v>
        <stp/>
        <stp>##V3_BDPV12</stp>
        <stp>UPRO RX EQUITY</stp>
        <stp>EPS_GROWTH</stp>
        <stp>[upload (2).xlsm]Model Portfolio!R52C22</stp>
        <tr r="V52" s="98"/>
      </tp>
      <tp>
        <v>4.4854443097464172</v>
        <stp/>
        <stp>##V3_BDPV12</stp>
        <stp>TATNP RX EQUITY</stp>
        <stp>EST_PE_NXT_YR</stp>
        <stp>[upload (2).xlsm]Model Portfolio!R19C15</stp>
        <tr r="O19" s="98"/>
      </tp>
      <tp t="s">
        <v>GAZPROM (GAZ CAPITAL SA)</v>
        <stp/>
        <stp>##V3_BDPV12</stp>
        <stp>XS0805570354 Corp</stp>
        <stp>name</stp>
        <stp>[upload (2).xlsm]Base all $ 3 Duration!R154C1</stp>
        <tr r="A154" s="66"/>
      </tp>
      <tp t="s">
        <v>HCFB LLC(EURASIA CAP SA)</v>
        <stp/>
        <stp>##V3_BDPV12</stp>
        <stp>XS0846652666 Corp</stp>
        <stp>name</stp>
        <stp>[upload (2).xlsm]Base all $ 3 Duration!R102C1</stp>
        <tr r="A102" s="66"/>
      </tp>
      <tp t="s">
        <v>VIMPELCOM HOLDINGS BV</v>
        <stp/>
        <stp>##V3_BDPV12</stp>
        <stp>XS0643183220 Corp</stp>
        <stp>name</stp>
        <stp>[upload (2).xlsm]Base all $ 3 Duration!R133C1</stp>
        <tr r="A133" s="66"/>
      </tp>
      <tp t="s">
        <v>01/11/2017</v>
        <stp/>
        <stp>##V3_BDPV12</stp>
        <stp>XS0850393264 Corp</stp>
        <stp>MATURITY</stp>
        <stp>[upload (2).xlsm]Base all $ 3 Duration!R4C9</stp>
        <tr r="I4" s="66"/>
      </tp>
      <tp t="s">
        <v>OAO TMK (TMK CAPITAL)</v>
        <stp/>
        <stp>##V3_BDPV12</stp>
        <stp>XS0911599701 Corp</stp>
        <stp>name</stp>
        <stp>[upload (2).xlsm]Base all $ 3 Duration!R104C1</stp>
        <tr r="A104" s="66"/>
      </tp>
      <tp>
        <v>11608100</v>
        <stp/>
        <stp>##V3_BDPV12</stp>
        <stp>MAIL LI EQUITY</stp>
        <stp>AVG_DAILY_VALUE_TRADED_6M</stp>
        <stp>[upload (2).xlsm]Model Portfolio!R44C12</stp>
        <tr r="L44" s="98"/>
      </tp>
      <tp t="s">
        <v>EURASIAN DEVELOPMENT BAN</v>
        <stp/>
        <stp>##V3_BDPV12</stp>
        <stp>XS0831571434 Corp</stp>
        <stp>name</stp>
        <stp>[upload (2).xlsm]Base all $ 3 Duration!R157C1</stp>
        <tr r="A157" s="66"/>
      </tp>
      <tp>
        <v>65.425652667423392</v>
        <stp/>
        <stp>##V3_BDPV12</stp>
        <stp>EVR LN EQUITY</stp>
        <stp>NORMALIZED_ROE</stp>
        <stp>[upload (2).xlsm]Model Portfolio!R26C26</stp>
        <tr r="Z26" s="98"/>
      </tp>
      <tp t="s">
        <v>VNESHECONOMBANK(VEB)</v>
        <stp/>
        <stp>##V3_BDPV12</stp>
        <stp>XS0800817073 Corp</stp>
        <stp>name</stp>
        <stp>[upload (2).xlsm]Base all $ 3 Duration!R142C1</stp>
        <tr r="A142" s="66"/>
      </tp>
      <tp>
        <v>-36.4878</v>
        <stp/>
        <stp>##V3_BDPV12</stp>
        <stp>BANE RX EQUITY</stp>
        <stp>CHG_PCT_1YR</stp>
        <stp>[upload (2).xlsm]Model Portfolio!R18C6</stp>
        <tr r="F18" s="98"/>
      </tp>
      <tp>
        <v>11071002</v>
        <stp/>
        <stp>##V3_BDPV12</stp>
        <stp>LXFT US EQUITY</stp>
        <stp>AVG_DAILY_VALUE_TRADED_6M</stp>
        <stp>[upload (2).xlsm]Model Portfolio!R41C12</stp>
        <tr r="L41" s="98"/>
      </tp>
      <tp>
        <v>-45.576149999999998</v>
        <stp/>
        <stp>##V3_BDPV12</stp>
        <stp>BANE RX EQUITY</stp>
        <stp>CHG_PCT_YTD</stp>
        <stp>[upload (2).xlsm]Model Portfolio!R18C7</stp>
        <tr r="G18" s="98"/>
      </tp>
      <tp>
        <v>-5.2401749999999998</v>
        <stp/>
        <stp>##V3_BDPV12</stp>
        <stp>BANE RX EQUITY</stp>
        <stp>CHG_PCT_WTD</stp>
        <stp>[upload (2).xlsm]Model Portfolio!R18C4</stp>
        <tr r="D18" s="98"/>
      </tp>
      <tp>
        <v>6.25</v>
        <stp/>
        <stp>##V3_BDPV12</stp>
        <stp>US91701RAA95 Corp</stp>
        <stp>CPN</stp>
        <stp>[upload (2).xlsm]Base all $ 3 Duration!R26C8</stp>
        <tr r="H26" s="66"/>
      </tp>
      <tp>
        <v>4.8624859999999996</v>
        <stp/>
        <stp>##V3_BDPV12</stp>
        <stp>XS0842078536 Corp</stp>
        <stp>YLD_YTM_ask</stp>
        <stp>[upload (2).xlsm]Base all $ 3 Duration!R127C7</stp>
        <tr r="G127" s="66"/>
      </tp>
      <tp>
        <v>3.2095587999999999</v>
        <stp/>
        <stp>##V3_BDPV12</stp>
        <stp>XS0922301717 Corp</stp>
        <stp>YLD_YTM_ask</stp>
        <stp>[upload (2).xlsm]Base all $ 3 Duration!R108C7</stp>
        <tr r="G108" s="66"/>
      </tp>
      <tp>
        <v>3.6351026462165419</v>
        <stp/>
        <stp>##V3_BDPV12</stp>
        <stp>XS0290580595 Corp</stp>
        <stp>YLD_YTM_ask</stp>
        <stp>[upload (2).xlsm]Base all $ 3 Duration!R152C7</stp>
        <tr r="G152" s="66"/>
      </tp>
      <tp>
        <v>4.069394</v>
        <stp/>
        <stp>##V3_BDPV12</stp>
        <stp>XS0997544860 Corp</stp>
        <stp>YLD_YTM_ask</stp>
        <stp>[upload (2).xlsm]Base all $ 3 Duration!R136C7</stp>
        <tr r="G136" s="66"/>
      </tp>
    </main>
    <main first="bloomberg.rtd">
      <tp t="s">
        <v>RU</v>
        <stp/>
        <stp>##V3_BDPV12</stp>
        <stp>XS0772509484 Corp</stp>
        <stp>CNTRY_OF_RISK</stp>
        <stp>[upload (2).xlsm]Base all $ 3 Duration!R78C13</stp>
        <tr r="M78" s="66"/>
      </tp>
      <tp t="s">
        <v>TGC-1</v>
        <stp/>
        <stp>##V3_BDPV12</stp>
        <stp>TGKA RX EQUITY</stp>
        <stp>SHORT_NAME</stp>
        <stp>[upload (2).xlsm]Model Portfolio!R60C2</stp>
        <tr r="B60" s="98"/>
      </tp>
      <tp t="s">
        <v>RU</v>
        <stp/>
        <stp>##V3_BDPV12</stp>
        <stp>XS0312572984 Corp</stp>
        <stp>CNTRY_OF_RISK</stp>
        <stp>[upload (2).xlsm]Base all $ 3 Duration!R22C13</stp>
        <tr r="M22" s="66"/>
      </tp>
      <tp t="s">
        <v>RU</v>
        <stp/>
        <stp>##V3_BDPV12</stp>
        <stp>XS0863583281 Corp</stp>
        <stp>CNTRY_OF_RISK</stp>
        <stp>[upload (2).xlsm]Base all $ 3 Duration!R67C13</stp>
        <tr r="M67" s="66"/>
      </tp>
      <tp t="s">
        <v>BB-</v>
        <stp/>
        <stp>##V3_BDPV12</stp>
        <stp>XS0808638612 Corp</stp>
        <stp>RTG_fitch</stp>
        <stp>[upload (2).xlsm]Base all $ 3 Duration!R105C10</stp>
        <tr r="J105" s="66"/>
        <tr r="J105" s="66"/>
      </tp>
      <tp t="s">
        <v>#N/A N/A</v>
        <stp/>
        <stp>##V3_BDPV12</stp>
        <stp>SBER RX EQUITY</stp>
        <stp>NET_DEBT_TO_EBITDA</stp>
        <stp>[upload (2).xlsm]Model Portfolio!R75C20</stp>
        <tr r="T75" s="98"/>
      </tp>
      <tp>
        <v>0.54480381669084976</v>
        <stp/>
        <stp>##V3_BDPV12</stp>
        <stp>GLTR LI EQUITY</stp>
        <stp>NET_DEBT_TO_EBITDA</stp>
        <stp>[upload (2).xlsm]Model Portfolio!R48C20</stp>
        <tr r="T48" s="98"/>
      </tp>
      <tp>
        <v>2.1219841165990601</v>
        <stp/>
        <stp>##V3_BDPV12</stp>
        <stp>FEES RX EQUITY</stp>
        <stp>NET_DEBT_TO_EBITDA</stp>
        <stp>[upload (2).xlsm]Model Portfolio!R56C20</stp>
        <tr r="T56" s="98"/>
      </tp>
      <tp t="s">
        <v>RU</v>
        <stp/>
        <stp>##V3_BDPV12</stp>
        <stp>XS0708813653 Corp</stp>
        <stp>CNTRY_OF_RISK</stp>
        <stp>[upload (2).xlsm]Base all $ 3 Duration!R93C13</stp>
        <tr r="M93" s="66"/>
      </tp>
      <tp t="s">
        <v>WD</v>
        <stp/>
        <stp>##V3_BDPV12</stp>
        <stp>XS0842078536 Corp</stp>
        <stp>RTG_fitch</stp>
        <stp>[upload (2).xlsm]Base all $ 3 Duration!R127C10</stp>
        <tr r="J127" s="66"/>
        <tr r="J127" s="66"/>
      </tp>
      <tp t="s">
        <v>RU</v>
        <stp/>
        <stp>##V3_BDPV12</stp>
        <stp>XS0588436799 Corp</stp>
        <stp>CNTRY_OF_RISK</stp>
        <stp>[upload (2).xlsm]Base all $ 3 Duration!R94C13</stp>
        <tr r="M94" s="66"/>
      </tp>
      <tp t="s">
        <v>#N/A N/A</v>
        <stp/>
        <stp>##V3_BDPV12</stp>
        <stp>MOEX RX EQUITY</stp>
        <stp>NET_DEBT_TO_EBITDA</stp>
        <stp>[upload (2).xlsm]Model Portfolio!R74C20</stp>
        <tr r="T74" s="98"/>
      </tp>
      <tp t="s">
        <v>WD</v>
        <stp/>
        <stp>##V3_BDPV12</stp>
        <stp>XS0632887997 Corp</stp>
        <stp>RTG_fitch</stp>
        <stp>[upload (2).xlsm]Base all $ 3 Duration!R125C10</stp>
        <tr r="J125" s="66"/>
        <tr r="J125" s="66"/>
      </tp>
      <tp t="s">
        <v>SBERBANK</v>
        <stp/>
        <stp>##V3_BDPV12</stp>
        <stp>SBER RX EQUITY</stp>
        <stp>SHORT_NAME</stp>
        <stp>[upload (2).xlsm]Model Portfolio!R75C2</stp>
        <tr r="B75" s="98"/>
      </tp>
      <tp t="s">
        <v>Baa1</v>
        <stp/>
        <stp>##V3_BDPV12</stp>
        <stp>XS0972645112 Corp</stp>
        <stp>RTG_moody</stp>
        <stp>[upload (2).xlsm]Base all $ 3 Duration!R116C10</stp>
        <tr r="J116" s="66"/>
        <tr r="J116" s="66"/>
      </tp>
      <tp>
        <v>6.5721769999999999</v>
        <stp/>
        <stp>##V3_BDPV12</stp>
        <stp>EPAM US EQUITY</stp>
        <stp>CHG_PCT_1M</stp>
        <stp>[upload (2).xlsm]Model Portfolio!R42C5</stp>
        <tr r="E42" s="98"/>
      </tp>
      <tp t="s">
        <v>#N/A N/A</v>
        <stp/>
        <stp>##V3_BDPV12</stp>
        <stp>XS0918604496 Corp</stp>
        <stp>RTG_moody</stp>
        <stp>[upload (2).xlsm]Base all $ 3 Duration!R103C10</stp>
        <tr r="J103" s="66"/>
      </tp>
      <tp t="s">
        <v>Ba1</v>
        <stp/>
        <stp>##V3_BDPV12</stp>
        <stp>XS0841671000 Corp</stp>
        <stp>RTG_moody</stp>
        <stp>[upload (2).xlsm]Base all $ 3 Duration!R141C10</stp>
        <tr r="J141" s="66"/>
        <tr r="J141" s="66"/>
      </tp>
      <tp t="s">
        <v>Ba1</v>
        <stp/>
        <stp>##V3_BDPV12</stp>
        <stp>XS0555493203 Corp</stp>
        <stp>RTG_moody</stp>
        <stp>[upload (2).xlsm]Base all $ 3 Duration!R109C10</stp>
        <tr r="J109" s="66"/>
        <tr r="J109" s="66"/>
      </tp>
      <tp t="s">
        <v>Ba1</v>
        <stp/>
        <stp>##V3_BDPV12</stp>
        <stp>XS0548633659 Corp</stp>
        <stp>RTG_moody</stp>
        <stp>[upload (2).xlsm]Base all $ 3 Duration!R111C10</stp>
        <tr r="J111" s="66"/>
        <tr r="J111" s="66"/>
      </tp>
      <tp>
        <v>2.9501420616844785</v>
        <stp/>
        <stp>##V3_BDPV12</stp>
        <stp>LNTA LI EQUITY</stp>
        <stp>NET_DEBT_TO_EBITDA</stp>
        <stp>[upload (2).xlsm]Model Portfolio!R37C20</stp>
        <tr r="T37" s="98"/>
      </tp>
      <tp t="s">
        <v>Ba1</v>
        <stp/>
        <stp>##V3_BDPV12</stp>
        <stp>XS0290580595 Corp</stp>
        <stp>RTG_moody</stp>
        <stp>[upload (2).xlsm]Base all $ 3 Duration!R152C10</stp>
        <tr r="J152" s="66"/>
        <tr r="J152" s="66"/>
      </tp>
      <tp t="s">
        <v>#N/A N/A</v>
        <stp/>
        <stp>##V3_BDPV12</stp>
        <stp>POG LN EQUITY</stp>
        <stp>PCT_REVENUE_FROM_FOREIGN_SOURCES</stp>
        <stp>[upload (2).xlsm]Model Portfolio!R7C30</stp>
        <tr r="AD7" s="98"/>
      </tp>
      <tp>
        <v>78.05691779182952</v>
        <stp/>
        <stp>##V3_BDPV12</stp>
        <stp>KMG LI EQUITY</stp>
        <stp>PCT_REVENUE_FROM_FOREIGN_SOURCES</stp>
        <stp>[upload (2).xlsm]Model Portfolio!R9C30</stp>
        <tr r="AD9" s="98"/>
      </tp>
      <tp>
        <v>43.209096651926714</v>
        <stp/>
        <stp>##V3_BDPV12</stp>
        <stp>POLY LN EQUITY</stp>
        <stp>PCT_REVENUE_FROM_FOREIGN_SOURCES</stp>
        <stp>[upload (2).xlsm]Model Portfolio!R6C30</stp>
        <tr r="AD6" s="98"/>
      </tp>
      <tp t="s">
        <v>#N/A Field Not Applicable</v>
        <stp/>
        <stp>##V3_BDPV12</stp>
        <stp>XS0238091507 Corp</stp>
        <stp>px_last</stp>
        <stp>[upload (2).xlsm]Base all $ 3 Duration!R5C4</stp>
        <tr r="D5" s="66"/>
      </tp>
      <tp t="s">
        <v>MMC NORILSK NICK VIA MMC</v>
        <stp/>
        <stp>##V3_BDPV12</stp>
        <stp>XS0982861287 Corp</stp>
        <stp>name</stp>
        <stp>[upload (2).xlsm]Base all $ 3 Duration!R113C1</stp>
        <tr r="A113" s="66"/>
      </tp>
      <tp>
        <v>28.645240000000001</v>
        <stp/>
        <stp>##V3_BDPV12</stp>
        <stp>SIBN RX EQUITY</stp>
        <stp>CHG_PCT_1YR</stp>
        <stp>[upload (2).xlsm]Model Portfolio!R15C6</stp>
        <tr r="F15" s="98"/>
      </tp>
      <tp>
        <v>80.3</v>
        <stp/>
        <stp>##V3_BDPV12</stp>
        <stp>XS0920334900 Corp</stp>
        <stp>px_last</stp>
        <stp>[upload (2).xlsm]Base all $ 3 Duration!R6C4</stp>
        <tr r="D6" s="66"/>
      </tp>
      <tp>
        <v>2.3849239999999998</v>
        <stp/>
        <stp>##V3_BDPV12</stp>
        <stp>KMG LI Equity</stp>
        <stp>EQY_DVD_YLD_EST</stp>
        <stp>[Copy of upload (2).xlsm]Гарез_GRENF (2)!R5C20</stp>
        <tr r="T5" s="116"/>
      </tp>
      <tp t="s">
        <v>GAZPROM (GAZ CAPITAL SA)</v>
        <stp/>
        <stp>##V3_BDPV12</stp>
        <stp>XS0708813810 Corp</stp>
        <stp>name</stp>
        <stp>[upload (2).xlsm]Base all $ 3 Duration!R153C1</stp>
        <tr r="A153" s="66"/>
      </tp>
      <tp t="s">
        <v>VIMPELCOM (VIP FIN)</v>
        <stp/>
        <stp>##V3_BDPV12</stp>
        <stp>XS0587031096 Corp</stp>
        <stp>name</stp>
        <stp>[upload (2).xlsm]Base all $ 3 Duration!R134C1</stp>
        <tr r="A134" s="66"/>
      </tp>
      <tp>
        <v>-10.383380000000001</v>
        <stp/>
        <stp>##V3_BDPV12</stp>
        <stp>SNGS RX EQUITY</stp>
        <stp>CHG_PCT_1YR</stp>
        <stp>[upload (2).xlsm]Model Portfolio!R10C6</stp>
        <tr r="F10" s="98"/>
      </tp>
      <tp>
        <v>103.5556</v>
        <stp/>
        <stp>##V3_BDPV12</stp>
        <stp>GLPR LI EQUITY</stp>
        <stp>CHG_PCT_1YR</stp>
        <stp>[upload (2).xlsm]Model Portfolio!R46C6</stp>
        <tr r="F46" s="98"/>
      </tp>
      <tp>
        <v>3.75</v>
        <stp/>
        <stp>##V3_BDPV12</stp>
        <stp>SIBN RX EQUITY</stp>
        <stp>CHG_PCT_WTD</stp>
        <stp>[upload (2).xlsm]Model Portfolio!R15C4</stp>
        <tr r="D15" s="98"/>
      </tp>
      <tp t="s">
        <v>#N/A N/A</v>
        <stp/>
        <stp>##V3_BDPV12</stp>
        <stp>US91701RAA95 Corp</stp>
        <stp>YLD_YTM_BID</stp>
        <stp>[upload (2).xlsm]Base all $ 3 Duration!R26C6</stp>
        <tr r="F26" s="66"/>
      </tp>
      <tp>
        <v>4.7196259999999999</v>
        <stp/>
        <stp>##V3_BDPV12</stp>
        <stp>SIBN RX EQUITY</stp>
        <stp>CHG_PCT_YTD</stp>
        <stp>[upload (2).xlsm]Model Portfolio!R15C7</stp>
        <tr r="G15" s="98"/>
      </tp>
      <tp>
        <v>-9.3699539999999999</v>
        <stp/>
        <stp>##V3_BDPV12</stp>
        <stp>SNGS RX EQUITY</stp>
        <stp>CHG_PCT_YTD</stp>
        <stp>[upload (2).xlsm]Model Portfolio!R10C7</stp>
        <tr r="G10" s="98"/>
      </tp>
      <tp>
        <v>14.5</v>
        <stp/>
        <stp>##V3_BDPV12</stp>
        <stp>GLPR LI EQUITY</stp>
        <stp>CHG_PCT_YTD</stp>
        <stp>[upload (2).xlsm]Model Portfolio!R46C7</stp>
        <tr r="G46" s="98"/>
      </tp>
    </main>
    <main first="bloomberg.rtd">
      <tp>
        <v>3.0701439000000001</v>
        <stp/>
        <stp>##V3_BDPV12</stp>
        <stp>XS0982861287 Corp</stp>
        <stp>YLD_YTM_ask</stp>
        <stp>[upload (2).xlsm]Base all $ 3 Duration!R113C7</stp>
        <tr r="G113" s="66"/>
      </tp>
      <tp t="s">
        <v>#N/A N/A</v>
        <stp/>
        <stp>##V3_BDPV12</stp>
        <stp>XS0238091507 Corp</stp>
        <stp>PX_GROSS_MID</stp>
        <stp>[upload (2).xlsm]Base all $ 3 Duration!R5C19</stp>
        <tr r="S5" s="66"/>
      </tp>
      <tp>
        <v>1.008281</v>
        <stp/>
        <stp>##V3_BDPV12</stp>
        <stp>SNGS RX EQUITY</stp>
        <stp>CHG_PCT_WTD</stp>
        <stp>[upload (2).xlsm]Model Portfolio!R10C4</stp>
        <tr r="D10" s="98"/>
      </tp>
      <tp>
        <v>0.65933640000000004</v>
        <stp/>
        <stp>##V3_BDPV12</stp>
        <stp>GLPR LI EQUITY</stp>
        <stp>CHG_PCT_WTD</stp>
        <stp>[upload (2).xlsm]Model Portfolio!R46C4</stp>
        <tr r="D46" s="98"/>
      </tp>
      <tp t="s">
        <v>BBB-</v>
        <stp/>
        <stp>##V3_BDPV12</stp>
        <stp>XS0885733153 Corp</stp>
        <stp>RTG_fitch</stp>
        <stp>[upload (2).xlsm]Base all $ 3 Duration!R115C10</stp>
        <tr r="J115" s="66"/>
        <tr r="J115" s="66"/>
      </tp>
      <tp t="s">
        <v>BBB-</v>
        <stp/>
        <stp>##V3_BDPV12</stp>
        <stp>XS0982861287 Corp</stp>
        <stp>RTG_fitch</stp>
        <stp>[upload (2).xlsm]Base all $ 3 Duration!R113C10</stp>
        <tr r="J113" s="66"/>
        <tr r="J113" s="66"/>
      </tp>
      <tp t="s">
        <v>#N/A N/A</v>
        <stp/>
        <stp>##V3_BDPV12</stp>
        <stp>NMTP RX EQUITY</stp>
        <stp>EPS_GROWTH</stp>
        <stp>[upload (2).xlsm]Model Portfolio!R49C22</stp>
        <tr r="V49" s="98"/>
      </tp>
      <tp>
        <v>0.99653760987720597</v>
        <stp/>
        <stp>##V3_BDPV12</stp>
        <stp>HYDR RX EQUITY</stp>
        <stp>NET_DEBT_TO_EBITDA</stp>
        <stp>[upload (2).xlsm]Model Portfolio!R58C20</stp>
        <tr r="T58" s="98"/>
      </tp>
      <tp>
        <v>11.55673</v>
        <stp/>
        <stp>##V3_BDPV12</stp>
        <stp>KMAZ RX EQUITY</stp>
        <stp>EQY_FREE_FLOAT_PCT</stp>
        <stp>[upload (2).xlsm]Model Portfolio!R73C11</stp>
        <tr r="K73" s="98"/>
      </tp>
      <tp t="s">
        <v>RU</v>
        <stp/>
        <stp>##V3_BDPV12</stp>
        <stp>XS0648402583 Corp</stp>
        <stp>CNTRY_OF_RISK</stp>
        <stp>[upload (2).xlsm]Base all $ 3 Duration!R92C13</stp>
        <tr r="M92" s="66"/>
      </tp>
      <tp t="s">
        <v>RU</v>
        <stp/>
        <stp>##V3_BDPV12</stp>
        <stp>XS0424860947 Corp</stp>
        <stp>CNTRY_OF_RISK</stp>
        <stp>[upload (2).xlsm]Base all $ 3 Duration!R46C13</stp>
        <tr r="M46" s="66"/>
      </tp>
      <tp>
        <v>-1.157616</v>
        <stp/>
        <stp>##V3_BDPV12</stp>
        <stp>BSPB RX EQUITY</stp>
        <stp>CHG_PCT_1M</stp>
        <stp>[upload (2).xlsm]Model Portfolio!R77C5</stp>
        <tr r="E77" s="98"/>
      </tp>
      <tp t="s">
        <v>BB+</v>
        <stp/>
        <stp>##V3_BDPV12</stp>
        <stp>XS0935311240 Corp</stp>
        <stp>RTG_fitch</stp>
        <stp>[upload (2).xlsm]Base all $ 3 Duration!R131C10</stp>
        <tr r="J131" s="66"/>
        <tr r="J131" s="66"/>
      </tp>
      <tp>
        <v>36.066490000000002</v>
        <stp/>
        <stp>##V3_BDPV12</stp>
        <stp>SVAV RX EQUITY</stp>
        <stp>EQY_FREE_FLOAT_PCT</stp>
        <stp>[upload (2).xlsm]Model Portfolio!R72C11</stp>
        <tr r="K72" s="98"/>
      </tp>
      <tp t="s">
        <v>RU</v>
        <stp/>
        <stp>##V3_BDPV12</stp>
        <stp>XS0652913558 Corp</stp>
        <stp>CNTRY_OF_RISK</stp>
        <stp>[upload (2).xlsm]Base all $ 3 Duration!R60C13</stp>
        <tr r="M60" s="66"/>
      </tp>
      <tp t="s">
        <v>#N/A N/A</v>
        <stp/>
        <stp>##V3_BDPV12</stp>
        <stp>GLPR LI EQUITY</stp>
        <stp>EQY_FREE_FLOAT_PCT</stp>
        <stp>[upload (2).xlsm]Model Portfolio!R46C11</stp>
        <tr r="K46" s="98"/>
      </tp>
      <tp t="s">
        <v>#N/A N/A</v>
        <stp/>
        <stp>##V3_BDPV12</stp>
        <stp>OKEY LI EQUITY</stp>
        <stp>EPS_GROWTH</stp>
        <stp>[upload (2).xlsm]Model Portfolio!R39C22</stp>
        <tr r="V39" s="98"/>
      </tp>
      <tp>
        <v>39.565089999999998</v>
        <stp/>
        <stp>##V3_BDPV12</stp>
        <stp>IRAO RX EQUITY</stp>
        <stp>EQY_FREE_FLOAT_PCT</stp>
        <stp>[upload (2).xlsm]Model Portfolio!R51C11</stp>
        <tr r="K51" s="98"/>
      </tp>
      <tp t="s">
        <v>Ba1</v>
        <stp/>
        <stp>##V3_BDPV12</stp>
        <stp>XS0743596040 Corp</stp>
        <stp>RTG_moody</stp>
        <stp>[upload (2).xlsm]Base all $ 3 Duration!R155C10</stp>
        <tr r="J155" s="66"/>
        <tr r="J155" s="66"/>
      </tp>
      <tp t="s">
        <v>#N/A N/A</v>
        <stp/>
        <stp>##V3_BDPV12</stp>
        <stp>XS0922301717 Corp</stp>
        <stp>RTG_moody</stp>
        <stp>[upload (2).xlsm]Base all $ 3 Duration!R108C10</stp>
        <tr r="J108" s="66"/>
      </tp>
      <tp t="s">
        <v>Ba2</v>
        <stp/>
        <stp>##V3_BDPV12</stp>
        <stp>XS0643183220 Corp</stp>
        <stp>RTG_moody</stp>
        <stp>[upload (2).xlsm]Base all $ 3 Duration!R133C10</stp>
        <tr r="J133" s="66"/>
        <tr r="J133" s="66"/>
      </tp>
      <tp>
        <v>-1.140684</v>
        <stp/>
        <stp>##V3_BDPV12</stp>
        <stp>SVAV RX EQUITY</stp>
        <stp>CHG_PCT_1M</stp>
        <stp>[upload (2).xlsm]Model Portfolio!R72C5</stp>
        <tr r="E72" s="98"/>
      </tp>
      <tp>
        <v>27.22223</v>
        <stp/>
        <stp>##V3_BDPV12</stp>
        <stp>GLPR LI EQUITY</stp>
        <stp>CHG_PCT_1M</stp>
        <stp>[upload (2).xlsm]Model Portfolio!R46C5</stp>
        <tr r="E46" s="98"/>
      </tp>
      <tp>
        <v>-64.222242832627373</v>
        <stp/>
        <stp>##V3_BDPV12</stp>
        <stp>KCEL LI EQUITY</stp>
        <stp>EPS_GROWTH</stp>
        <stp>[upload (2).xlsm]Model Portfolio!R65C22</stp>
        <tr r="V65" s="98"/>
      </tp>
      <tp>
        <v>9.1441618392973627</v>
        <stp/>
        <stp>##V3_BDPV12</stp>
        <stp>TATN RX EQUITY</stp>
        <stp>EPS_GROWTH</stp>
        <stp>[upload (2).xlsm]Model Portfolio!R14C22</stp>
        <tr r="V14" s="98"/>
      </tp>
      <tp>
        <v>-3.9069254901990411</v>
        <stp/>
        <stp>##V3_BDPV12</stp>
        <stp>RSTI RX EQUITY</stp>
        <stp>EPS_GROWTH</stp>
        <stp>[upload (2).xlsm]Model Portfolio!R54C22</stp>
        <tr r="V54" s="98"/>
      </tp>
      <tp t="s">
        <v>Ba1</v>
        <stp/>
        <stp>##V3_BDPV12</stp>
        <stp>XS0885736925 Corp</stp>
        <stp>RTG_moody</stp>
        <stp>[upload (2).xlsm]Base all $ 3 Duration!R140C10</stp>
        <tr r="J140" s="66"/>
        <tr r="J140" s="66"/>
      </tp>
      <tp>
        <v>246.77225567331695</v>
        <stp/>
        <stp>##V3_BDPV12</stp>
        <stp>NVTK RX EQUITY</stp>
        <stp>EPS_GROWTH</stp>
        <stp>[upload (2).xlsm]Model Portfolio!R16C22</stp>
        <tr r="V16" s="98"/>
      </tp>
      <tp t="s">
        <v>VTB BANK (VTB CAPITAL SA</v>
        <stp/>
        <stp>##V3_BDPV12</stp>
        <stp>XS0842078536 Corp</stp>
        <stp>name</stp>
        <stp>[upload (2).xlsm]Base all $ 3 Duration!R127C1</stp>
        <tr r="A127" s="66"/>
      </tp>
      <tp t="s">
        <v>MOBILE TELESYS (MTS INT)</v>
        <stp/>
        <stp>##V3_BDPV12</stp>
        <stp>XS0921331509 Corp</stp>
        <stp>name</stp>
        <stp>[upload (2).xlsm]Base all $ 3 Duration!R144C1</stp>
        <tr r="A144" s="66"/>
      </tp>
      <tp>
        <v>35.013469999999998</v>
        <stp/>
        <stp>##V3_BDPV12</stp>
        <stp>MAGN RX EQUITY</stp>
        <stp>CHG_PCT_1YR</stp>
        <stp>[upload (2).xlsm]Model Portfolio!R23C6</stp>
        <tr r="F23" s="98"/>
      </tp>
      <tp t="s">
        <v>SEVERSTAL (STEEL CAP)</v>
        <stp/>
        <stp>##V3_BDPV12</stp>
        <stp>XS0841671000 Corp</stp>
        <stp>name</stp>
        <stp>[upload (2).xlsm]Base all $ 3 Duration!R141C1</stp>
        <tr r="A141" s="66"/>
      </tp>
      <tp>
        <v>-3.8858024691358017</v>
        <stp/>
        <stp>##V3_BDPV12</stp>
        <stp>VIP US EQUITY</stp>
        <stp>NORMALIZED_ROE</stp>
        <stp>[upload (2).xlsm]Model Portfolio!R61C26</stp>
        <tr r="Z61" s="98"/>
      </tp>
      <tp>
        <v>420638</v>
        <stp/>
        <stp>##V3_BDPV12</stp>
        <stp>KCEL LI EQUITY</stp>
        <stp>AVG_DAILY_VALUE_TRADED_6M</stp>
        <stp>[upload (2).xlsm]Model Portfolio!R65C12</stp>
        <tr r="L65" s="98"/>
      </tp>
      <tp t="s">
        <v>LUKOIL INTL FINANCE BV</v>
        <stp/>
        <stp>##V3_BDPV12</stp>
        <stp>XS0304274599 Corp</stp>
        <stp>name</stp>
        <stp>[upload (2).xlsm]Base all $ 3 Duration!R151C1</stp>
        <tr r="A151" s="66"/>
      </tp>
      <tp t="s">
        <v>USD</v>
        <stp/>
        <stp>##V3_BDPV12</stp>
        <stp>XS0088543193 Corp</stp>
        <stp>CRNCY</stp>
        <stp>[Copy of upload (2).xlsm]Гарез_GRENF!R11C11</stp>
        <tr r="K11" s="115"/>
      </tp>
    </main>
    <main first="bloomberg.rtd">
      <tp>
        <v>32.653060000000004</v>
        <stp/>
        <stp>##V3_BDPV12</stp>
        <stp>ENRU RM EQUITY</stp>
        <stp>CHG_PCT_1YR</stp>
        <stp>[upload (2).xlsm]Model Portfolio!R53C6</stp>
        <tr r="F53" s="98"/>
      </tp>
      <tp>
        <v>1.453074</v>
        <stp/>
        <stp>##V3_BDPV12</stp>
        <stp>MAGN RX EQUITY</stp>
        <stp>CHG_PCT_WTD</stp>
        <stp>[upload (2).xlsm]Model Portfolio!R23C4</stp>
        <tr r="D23" s="98"/>
      </tp>
      <tp>
        <v>28.03247</v>
        <stp/>
        <stp>##V3_BDPV12</stp>
        <stp>MAGN RX EQUITY</stp>
        <stp>CHG_PCT_YTD</stp>
        <stp>[upload (2).xlsm]Model Portfolio!R23C7</stp>
        <tr r="G23" s="98"/>
      </tp>
    </main>
    <main first="bloomberg.rtd">
      <tp>
        <v>17.706240000000001</v>
        <stp/>
        <stp>##V3_BDPV12</stp>
        <stp>ENRU RM EQUITY</stp>
        <stp>CHG_PCT_YTD</stp>
        <stp>[upload (2).xlsm]Model Portfolio!R53C7</stp>
        <tr r="G53" s="98"/>
      </tp>
      <tp>
        <v>8.1627986482292769</v>
        <stp/>
        <stp>##V3_BDPV12</stp>
        <stp>XS0981028177 Corp</stp>
        <stp>YLD_YTM_ask</stp>
        <stp>[upload (2).xlsm]Base all $ 3 Duration!R119C7</stp>
        <tr r="G119" s="66"/>
      </tp>
      <tp>
        <v>0.8620719</v>
        <stp/>
        <stp>##V3_BDPV12</stp>
        <stp>ENRU RM EQUITY</stp>
        <stp>CHG_PCT_WTD</stp>
        <stp>[upload (2).xlsm]Model Portfolio!R53C4</stp>
        <tr r="D53" s="98"/>
      </tp>
      <tp>
        <v>3.996432</v>
        <stp/>
        <stp>##V3_BDPV12</stp>
        <stp>XS0889401724 Corp</stp>
        <stp>YLD_YTM_ask</stp>
        <stp>[upload (2).xlsm]Base all $ 3 Duration!R130C7</stp>
        <tr r="G130" s="66"/>
      </tp>
      <tp>
        <v>1.3192836934156378</v>
        <stp/>
        <stp>##V3_BDPV12</stp>
        <stp>ENRU RM EQUITY</stp>
        <stp>NET_DEBT_TO_EBITDA</stp>
        <stp>[upload (2).xlsm]Model Portfolio!R53C20</stp>
        <tr r="T53" s="98"/>
      </tp>
      <tp>
        <v>-6.9949544799681203</v>
        <stp/>
        <stp>##V3_BDPV12</stp>
        <stp>SNGS RX EQUITY</stp>
        <stp>NET_DEBT_TO_EBITDA</stp>
        <stp>[upload (2).xlsm]Model Portfolio!R10C20</stp>
        <tr r="T10" s="98"/>
      </tp>
      <tp t="s">
        <v>WD</v>
        <stp/>
        <stp>##V3_BDPV12</stp>
        <stp>XS0831571434 Corp</stp>
        <stp>RTG_fitch</stp>
        <stp>[upload (2).xlsm]Base all $ 3 Duration!R157C10</stp>
        <tr r="J157" s="66"/>
        <tr r="J157" s="66"/>
      </tp>
      <tp t="s">
        <v>BBB-</v>
        <stp/>
        <stp>##V3_BDPV12</stp>
        <stp>XS0805570354 Corp</stp>
        <stp>RTG_fitch</stp>
        <stp>[upload (2).xlsm]Base all $ 3 Duration!R154C10</stp>
        <tr r="J154" s="66"/>
        <tr r="J154" s="66"/>
      </tp>
      <tp t="s">
        <v>RU</v>
        <stp/>
        <stp>##V3_BDPV12</stp>
        <stp>XS0878855773 Corp</stp>
        <stp>CNTRY_OF_RISK</stp>
        <stp>[upload (2).xlsm]Base all $ 3 Duration!R44C13</stp>
        <tr r="M44" s="66"/>
      </tp>
      <tp t="s">
        <v>BB+</v>
        <stp/>
        <stp>##V3_BDPV12</stp>
        <stp>XS0620695204 Corp</stp>
        <stp>RTG_fitch</stp>
        <stp>[upload (2).xlsm]Base all $ 3 Duration!R138C10</stp>
        <tr r="J138" s="66"/>
        <tr r="J138" s="66"/>
      </tp>
      <tp t="s">
        <v>RU</v>
        <stp/>
        <stp>##V3_BDPV12</stp>
        <stp>XS0461926569 Corp</stp>
        <stp>CNTRY_OF_RISK</stp>
        <stp>[upload (2).xlsm]Base all $ 3 Duration!R53C13</stp>
        <tr r="M53" s="66"/>
      </tp>
      <tp>
        <v>25.269659999999998</v>
        <stp/>
        <stp>##V3_BDPV12</stp>
        <stp>RSTI RX EQUITY</stp>
        <stp>CHG_PCT_1M</stp>
        <stp>[upload (2).xlsm]Model Portfolio!R54C5</stp>
        <tr r="E54" s="98"/>
      </tp>
      <tp t="s">
        <v>B</v>
        <stp/>
        <stp>##V3_BDPV12</stp>
        <stp>XS0846652666 Corp</stp>
        <stp>RTG_fitch</stp>
        <stp>[upload (2).xlsm]Base all $ 3 Duration!R102C10</stp>
        <tr r="J102" s="66"/>
        <tr r="J102" s="66"/>
      </tp>
      <tp t="s">
        <v>BBB-</v>
        <stp/>
        <stp>##V3_BDPV12</stp>
        <stp>XS0919504562 Corp</stp>
        <stp>RTG_fitch</stp>
        <stp>[upload (2).xlsm]Base all $ 3 Duration!R148C10</stp>
        <tr r="J148" s="66"/>
        <tr r="J148" s="66"/>
      </tp>
      <tp t="s">
        <v>#N/A N/A</v>
        <stp/>
        <stp>##V3_BDPV12</stp>
        <stp>XS0925043100 Corp</stp>
        <stp>RTG_moody</stp>
        <stp>[upload (2).xlsm]Base all $ 3 Duration!R100C10</stp>
        <tr r="J100" s="66"/>
      </tp>
      <tp t="s">
        <v>Ba1</v>
        <stp/>
        <stp>##V3_BDPV12</stp>
        <stp>XS0484209159 Corp</stp>
        <stp>RTG_moody</stp>
        <stp>[upload (2).xlsm]Base all $ 3 Duration!R112C10</stp>
        <tr r="J112" s="66"/>
        <tr r="J112" s="66"/>
      </tp>
      <tp>
        <v>7.3273770000000003</v>
        <stp/>
        <stp>##V3_BDPV12</stp>
        <stp>SIBN RX EQUITY</stp>
        <stp>EQY_FREE_FLOAT_PCT</stp>
        <stp>[upload (2).xlsm]Model Portfolio!R15C11</stp>
        <tr r="K15" s="98"/>
      </tp>
      <tp>
        <v>1.8253071773106528</v>
        <stp/>
        <stp>##V3_BDPV12</stp>
        <stp>FIVE LI EQUITY</stp>
        <stp>NET_DEBT_TO_EBITDA</stp>
        <stp>[upload (2).xlsm]Model Portfolio!R36C20</stp>
        <tr r="T36" s="98"/>
      </tp>
      <tp t="s">
        <v>Ba1</v>
        <stp/>
        <stp>##V3_BDPV12</stp>
        <stp>XS0304274599 Corp</stp>
        <stp>RTG_moody</stp>
        <stp>[upload (2).xlsm]Base all $ 3 Duration!R151C10</stp>
        <tr r="J151" s="66"/>
        <tr r="J151" s="66"/>
      </tp>
      <tp>
        <v>0.11486146095717883</v>
        <stp/>
        <stp>##V3_BDPV12</stp>
        <stp>MAGN RX EQUITY</stp>
        <stp>NET_DEBT_TO_EBITDA</stp>
        <stp>[upload (2).xlsm]Model Portfolio!R23C20</stp>
        <tr r="T23" s="98"/>
      </tp>
      <tp>
        <v>9.8807519999999993</v>
        <stp/>
        <stp>##V3_BDPV12</stp>
        <stp>LNTA LI EQUITY</stp>
        <stp>CHG_PCT_1M</stp>
        <stp>[upload (2).xlsm]Model Portfolio!R37C5</stp>
        <tr r="E37" s="98"/>
      </tp>
      <tp t="s">
        <v>Ba1</v>
        <stp/>
        <stp>##V3_BDPV12</stp>
        <stp>XS0997544860 Corp</stp>
        <stp>RTG_moody</stp>
        <stp>[upload (2).xlsm]Base all $ 3 Duration!R136C10</stp>
        <tr r="J136" s="66"/>
        <tr r="J136" s="66"/>
      </tp>
      <tp t="s">
        <v>Ba1</v>
        <stp/>
        <stp>##V3_BDPV12</stp>
        <stp>XS0191754729 Corp</stp>
        <stp>RTG_moody</stp>
        <stp>[upload (2).xlsm]Base all $ 3 Duration!R128C10</stp>
        <tr r="J128" s="66"/>
        <tr r="J128" s="66"/>
      </tp>
      <tp t="s">
        <v>TATNEFT</v>
        <stp/>
        <stp>##V3_BDPV12</stp>
        <stp>TATN RX EQUITY</stp>
        <stp>SHORT_NAME</stp>
        <stp>[upload (2).xlsm]Model Portfolio!R14C2</stp>
        <tr r="B14" s="98"/>
      </tp>
      <tp>
        <v>0.97680100000000003</v>
        <stp/>
        <stp>##V3_BDPV12</stp>
        <stp>BANEP RX EQUITY</stp>
        <stp>CHG_PCT_YTD</stp>
        <stp>[upload (2).xlsm]Model Portfolio!R8C7</stp>
        <tr r="G8" s="98"/>
      </tp>
      <tp>
        <v>2.4360029999999999</v>
        <stp/>
        <stp>##V3_BDPV12</stp>
        <stp>BANEP RX EQUITY</stp>
        <stp>CHG_PCT_WTD</stp>
        <stp>[upload (2).xlsm]Model Portfolio!R8C4</stp>
        <tr r="D8" s="98"/>
      </tp>
      <tp t="s">
        <v>USD</v>
        <stp/>
        <stp>##V3_BDPV12</stp>
        <stp>XS0920334900 Corp</stp>
        <stp>CRNCY</stp>
        <stp>[upload (2).xlsm]Base all $ 3 Duration!R6C12</stp>
        <tr r="L6" s="66"/>
      </tp>
      <tp t="s">
        <v>23/05/2018</v>
        <stp/>
        <stp>##V3_BDPV12</stp>
        <stp>TRNFP RX EQUITY</stp>
        <stp>BDVD_NEXT_EST_DECL_DT</stp>
        <stp>[upload (2).xlsm]Model Portfolio!R20C31</stp>
        <tr r="AE20" s="98"/>
      </tp>
      <tp>
        <v>188</v>
        <stp/>
        <stp>##V3_BDHV12</stp>
        <stp>HGM LN EQUITY</stp>
        <stp>PX_LAST</stp>
        <stp>15/02/2017</stp>
        <stp>15/02/2017</stp>
        <stp>[Copy of upload (2).xlsm]Гарез_GRENF (2)!R33C8</stp>
        <tr r="H33" s="116"/>
      </tp>
      <tp t="s">
        <v>FAR EAST CPL LTD SA</v>
        <stp/>
        <stp>##V3_BDPV12</stp>
        <stp>XS0920335030 Corp</stp>
        <stp>name</stp>
        <stp>[upload (2).xlsm]Base all $ 3 Duration!R101C1</stp>
        <tr r="A101" s="66"/>
      </tp>
      <tp t="s">
        <v>SBERBANK (SB CAP SA)</v>
        <stp/>
        <stp>##V3_BDPV12</stp>
        <stp>XS1032750165 Corp</stp>
        <stp>name</stp>
        <stp>[upload (2).xlsm]Base all $ 3 Duration!R132C1</stp>
        <tr r="A132" s="66"/>
      </tp>
      <tp t="s">
        <v>SBERBANK (SB CAP SA)</v>
        <stp/>
        <stp>##V3_BDPV12</stp>
        <stp>XS0848530977 Corp</stp>
        <stp>name</stp>
        <stp>[upload (2).xlsm]Base all $ 3 Duration!R150C1</stp>
        <tr r="A150" s="66"/>
      </tp>
      <tp t="s">
        <v>GAZPROM (GAZ CAPITAL SA)</v>
        <stp/>
        <stp>##V3_BDPV12</stp>
        <stp>XS0885733153 Corp</stp>
        <stp>name</stp>
        <stp>[upload (2).xlsm]Base all $ 3 Duration!R115C1</stp>
        <tr r="A115" s="66"/>
      </tp>
      <tp t="s">
        <v>Sr Unsecured</v>
        <stp/>
        <stp>##V3_BDPV12</stp>
        <stp>XS0850393264 Corp</stp>
        <stp>PAYMENT_RANK</stp>
        <stp>[upload (2).xlsm]Base all $ 3 Duration!R4C14</stp>
        <tr r="N4" s="66"/>
      </tp>
      <tp>
        <v>2.9082634000000001</v>
        <stp/>
        <stp>##V3_BDPV12</stp>
        <stp>XS0554659671 Corp</stp>
        <stp>YLD_YTM_ask</stp>
        <stp>[upload (2).xlsm]Base all $ 3 Duration!R114C7</stp>
        <tr r="G114" s="66"/>
      </tp>
      <tp t="s">
        <v>Secured</v>
        <stp/>
        <stp>##V3_BDPV12</stp>
        <stp>XS0920334900 Corp</stp>
        <stp>PAYMENT_RANK</stp>
        <stp>[upload (2).xlsm]Base all $ 3 Duration!R6C14</stp>
        <tr r="N6" s="66"/>
      </tp>
      <tp>
        <v>78.505944444444438</v>
        <stp/>
        <stp>##V3_BDPV12</stp>
        <stp>XS0493579238 Corp</stp>
        <stp>PX_GROSS_MID</stp>
        <stp>[upload (2).xlsm]Base all $ 3 Duration!R7C19</stp>
        <tr r="S7" s="66"/>
      </tp>
      <tp t="s">
        <v>RU</v>
        <stp/>
        <stp>##V3_BDPV12</stp>
        <stp>XS0861980372 Corp</stp>
        <stp>CNTRY_OF_RISK</stp>
        <stp>[upload (2).xlsm]Base all $ 3 Duration!R80C13</stp>
        <tr r="M80" s="66"/>
      </tp>
      <tp t="s">
        <v>RU</v>
        <stp/>
        <stp>##V3_BDPV12</stp>
        <stp>XS0300998779 Corp</stp>
        <stp>CNTRY_OF_RISK</stp>
        <stp>[upload (2).xlsm]Base all $ 3 Duration!R58C13</stp>
        <tr r="M58" s="66"/>
      </tp>
      <tp t="s">
        <v>RU</v>
        <stp/>
        <stp>##V3_BDPV12</stp>
        <stp>XS0630950870 Corp</stp>
        <stp>CNTRY_OF_RISK</stp>
        <stp>[upload (2).xlsm]Base all $ 3 Duration!R75C13</stp>
        <tr r="M75" s="66"/>
      </tp>
      <tp t="s">
        <v>NORILSK NICKEL</v>
        <stp/>
        <stp>##V3_BDPV12</stp>
        <stp>GMKN RX EQUITY</stp>
        <stp>SHORT_NAME</stp>
        <stp>[upload (2).xlsm]Model Portfolio!R29C2</stp>
        <tr r="B29" s="98"/>
      </tp>
      <tp t="s">
        <v>RU</v>
        <stp/>
        <stp>##V3_BDPV12</stp>
        <stp>XS0365923977 Corp</stp>
        <stp>CNTRY_OF_RISK</stp>
        <stp>[upload (2).xlsm]Base all $ 3 Duration!R57C13</stp>
        <tr r="M57" s="66"/>
      </tp>
      <tp t="s">
        <v>MEGAFON</v>
        <stp/>
        <stp>##V3_BDPV12</stp>
        <stp>MFON RX EQUITY</stp>
        <stp>SHORT_NAME</stp>
        <stp>[upload (2).xlsm]Model Portfolio!R62C2</stp>
        <tr r="B62" s="98"/>
      </tp>
      <tp t="s">
        <v>RU</v>
        <stp/>
        <stp>##V3_BDPV12</stp>
        <stp>XS1040726587 Corp</stp>
        <stp>CNTRY_OF_RISK</stp>
        <stp>[upload (2).xlsm]Base all $ 3 Duration!R41C13</stp>
        <tr r="M41" s="66"/>
      </tp>
      <tp t="s">
        <v>RU</v>
        <stp/>
        <stp>##V3_BDPV12</stp>
        <stp>XS0592794597 Corp</stp>
        <stp>CNTRY_OF_RISK</stp>
        <stp>[upload (2).xlsm]Base all $ 3 Duration!R61C13</stp>
        <tr r="M61" s="66"/>
      </tp>
      <tp t="s">
        <v>RU</v>
        <stp/>
        <stp>##V3_BDPV12</stp>
        <stp>XS0995845566 Corp</stp>
        <stp>CNTRY_OF_RISK</stp>
        <stp>[upload (2).xlsm]Base all $ 3 Duration!R29C13</stp>
        <tr r="M29" s="66"/>
      </tp>
      <tp t="s">
        <v>RU</v>
        <stp/>
        <stp>##V3_BDPV12</stp>
        <stp>XS0841677387 Corp</stp>
        <stp>CNTRY_OF_RISK</stp>
        <stp>[upload (2).xlsm]Base all $ 3 Duration!R99C13</stp>
        <tr r="M99" s="66"/>
      </tp>
      <tp t="s">
        <v>BBB-</v>
        <stp/>
        <stp>##V3_BDPV12</stp>
        <stp>XS0800817073 Corp</stp>
        <stp>RTG_fitch</stp>
        <stp>[upload (2).xlsm]Base all $ 3 Duration!R142C10</stp>
        <tr r="J142" s="66"/>
        <tr r="J142" s="66"/>
      </tp>
      <tp t="s">
        <v>C</v>
        <stp/>
        <stp>##V3_BDPV12</stp>
        <stp>XS0920335030 Corp</stp>
        <stp>RTG_fitch</stp>
        <stp>[upload (2).xlsm]Base all $ 3 Duration!R101C10</stp>
        <tr r="J101" s="66"/>
        <tr r="J101" s="66"/>
      </tp>
      <tp t="s">
        <v>#N/A Field Not Applicable</v>
        <stp/>
        <stp>##V3_BDPV12</stp>
        <stp>KMG LI EQUITY</stp>
        <stp>CURRENT_EV_TO_12M_SALES</stp>
        <stp>[upload (2).xlsm]Model Portfolio!R9C17</stp>
        <tr r="Q9" s="98"/>
      </tp>
      <tp t="s">
        <v>NR</v>
        <stp/>
        <stp>##V3_BDPV12</stp>
        <stp>XS0981028177 Corp</stp>
        <stp>RTG_moody</stp>
        <stp>[upload (2).xlsm]Base all $ 3 Duration!R119C10</stp>
        <tr r="J119" s="66"/>
        <tr r="J119" s="66"/>
      </tp>
      <tp t="s">
        <v>#N/A N/A</v>
        <stp/>
        <stp>##V3_BDPV12</stp>
        <stp>AGRO LI EQUITY</stp>
        <stp>EQY_FREE_FLOAT_PCT</stp>
        <stp>[upload (2).xlsm]Model Portfolio!R71C11</stp>
        <tr r="K71" s="98"/>
      </tp>
      <tp>
        <v>24.91348</v>
        <stp/>
        <stp>##V3_BDPV12</stp>
        <stp>TRCN RX EQUITY</stp>
        <stp>EQY_FREE_FLOAT_PCT</stp>
        <stp>[upload (2).xlsm]Model Portfolio!R50C11</stp>
        <tr r="K50" s="98"/>
      </tp>
      <tp t="s">
        <v>Ba2</v>
        <stp/>
        <stp>##V3_BDPV12</stp>
        <stp>XS0848530977 Corp</stp>
        <stp>RTG_moody</stp>
        <stp>[upload (2).xlsm]Base all $ 3 Duration!R150C10</stp>
        <tr r="J150" s="66"/>
        <tr r="J150" s="66"/>
      </tp>
      <tp t="s">
        <v>WR</v>
        <stp/>
        <stp>##V3_BDPV12</stp>
        <stp>XS0953323317 Corp</stp>
        <stp>RTG_moody</stp>
        <stp>[upload (2).xlsm]Base all $ 3 Duration!R118C10</stp>
        <tr r="J118" s="66"/>
        <tr r="J118" s="66"/>
      </tp>
      <tp>
        <v>13.52604</v>
        <stp/>
        <stp>##V3_BDPV12</stp>
        <stp>MSNG RX EQUITY</stp>
        <stp>CHG_PCT_1M</stp>
        <stp>[upload (2).xlsm]Model Portfolio!R55C5</stp>
        <tr r="E55" s="98"/>
      </tp>
      <tp t="s">
        <v>Ba2</v>
        <stp/>
        <stp>##V3_BDPV12</stp>
        <stp>XS0889401724 Corp</stp>
        <stp>RTG_moody</stp>
        <stp>[upload (2).xlsm]Base all $ 3 Duration!R130C10</stp>
        <tr r="J130" s="66"/>
        <tr r="J130" s="66"/>
      </tp>
      <tp>
        <v>1.0158094590800966</v>
        <stp/>
        <stp>##V3_BDPV12</stp>
        <stp>FXPO LN EQUITY</stp>
        <stp>NET_DEBT_TO_EBITDA</stp>
        <stp>[upload (2).xlsm]Model Portfolio!R27C20</stp>
        <tr r="T27" s="98"/>
      </tp>
      <tp t="s">
        <v>#N/A N/A</v>
        <stp/>
        <stp>##V3_BDPV12</stp>
        <stp>XS0993162683 Corp</stp>
        <stp>RTG_moody</stp>
        <stp>[upload (2).xlsm]Base all $ 3 Duration!R139C10</stp>
        <tr r="J139" s="66"/>
      </tp>
      <tp t="s">
        <v>NCSP</v>
        <stp/>
        <stp>##V3_BDPV12</stp>
        <stp>NMTP RX EQUITY</stp>
        <stp>SHORT_NAME</stp>
        <stp>[upload (2).xlsm]Model Portfolio!R49C2</stp>
        <tr r="B49" s="98"/>
      </tp>
      <tp t="s">
        <v>CA</v>
        <stp/>
        <stp>##V3_BDPV12</stp>
        <stp>US91701RAA95 Corp</stp>
        <stp>CNTRY_OF_RISK</stp>
        <stp>[upload (2).xlsm]Base all $ 3 Duration!R26C13</stp>
        <tr r="M26" s="66"/>
      </tp>
      <tp t="s">
        <v>#N/A N/A</v>
        <stp/>
        <stp>##V3_BDPV12</stp>
        <stp>486 HK EQUITY</stp>
        <stp>BDVD_PROJ_12M_YLD</stp>
        <stp>[upload (2).xlsm]Model Portfolio!R30C27</stp>
        <tr r="AA30" s="98"/>
      </tp>
      <tp t="s">
        <v>RUB</v>
        <stp/>
        <stp>##V3_BDPV12</stp>
        <stp>POLY RX Equity</stp>
        <stp>CRNCY</stp>
        <stp>[Copy of upload (2).xlsm]Гарез_GRENF!R9C11</stp>
        <tr r="K9" s="115"/>
      </tp>
      <tp t="s">
        <v>07/07/2017</v>
        <stp/>
        <stp>##V3_BDPV12</stp>
        <stp>TATNP RX EQUITY</stp>
        <stp>DVD_RECORD_DT</stp>
        <stp>[upload (2).xlsm]Model Portfolio!R19C28</stp>
        <tr r="AB19" s="98"/>
      </tp>
      <tp t="s">
        <v>OJSC RUSS AGRIC BK(RSHB)</v>
        <stp/>
        <stp>##V3_BDPV12</stp>
        <stp>XS0632887997 Corp</stp>
        <stp>name</stp>
        <stp>[upload (2).xlsm]Base all $ 3 Duration!R125C1</stp>
        <tr r="A125" s="66"/>
      </tp>
      <tp t="s">
        <v>GAZPROM (GAZ CAPITAL SA)</v>
        <stp/>
        <stp>##V3_BDPV12</stp>
        <stp>XS0191754729 Corp</stp>
        <stp>name</stp>
        <stp>[upload (2).xlsm]Base all $ 3 Duration!R128C1</stp>
        <tr r="A128" s="66"/>
      </tp>
      <tp t="s">
        <v>ALROSA FINANCE SA</v>
        <stp/>
        <stp>##V3_BDPV12</stp>
        <stp>XS0555493203 Corp</stp>
        <stp>name</stp>
        <stp>[upload (2).xlsm]Base all $ 3 Duration!R109C1</stp>
        <tr r="A109" s="66"/>
      </tp>
      <tp t="s">
        <v>GAZPROMBK (GPB FINANCE)</v>
        <stp/>
        <stp>##V3_BDPV12</stp>
        <stp>XS0975320879 Corp</stp>
        <stp>name</stp>
        <stp>[upload (2).xlsm]Base all $ 3 Duration!R123C1</stp>
        <tr r="A123" s="66"/>
      </tp>
      <tp t="s">
        <v>VIMPELCOM HOLDINGS BV</v>
        <stp/>
        <stp>##V3_BDPV12</stp>
        <stp>XS0889401724 Corp</stp>
        <stp>name</stp>
        <stp>[upload (2).xlsm]Base all $ 3 Duration!R130C1</stp>
        <tr r="A130" s="66"/>
      </tp>
      <tp t="s">
        <v>GAZPROM (GAZ CAPITAL SA)</v>
        <stp/>
        <stp>##V3_BDPV12</stp>
        <stp>XS0316524130 Corp</stp>
        <stp>name</stp>
        <stp>[upload (2).xlsm]Base all $ 3 Duration!R129C1</stp>
        <tr r="A129" s="66"/>
      </tp>
      <tp>
        <v>252663800</v>
        <stp/>
        <stp>##V3_BDPV12</stp>
        <stp>RSTI RX EQUITY</stp>
        <stp>AVG_DAILY_VALUE_TRADED_6M</stp>
        <stp>[upload (2).xlsm]Model Portfolio!R54C12</stp>
        <tr r="L54" s="98"/>
      </tp>
      <tp>
        <v>-25.605260000000001</v>
        <stp/>
        <stp>##V3_BDPV12</stp>
        <stp>URKA RX EQUITY</stp>
        <stp>CHG_PCT_1YR</stp>
        <stp>[upload (2).xlsm]Model Portfolio!R31C6</stp>
        <tr r="F31" s="98"/>
      </tp>
      <tp t="s">
        <v>22/05/2019</v>
        <stp/>
        <stp>##V3_BDPV12</stp>
        <stp>XS0996297544 Corp</stp>
        <stp>MATURITY</stp>
        <stp>[upload (2).xlsm]Base all $ 3 Duration!R9C9</stp>
        <tr r="I9" s="66"/>
      </tp>
      <tp>
        <v>10617740</v>
        <stp/>
        <stp>##V3_BDPV12</stp>
        <stp>BSPB RX EQUITY</stp>
        <stp>AVG_DAILY_VALUE_TRADED_6M</stp>
        <stp>[upload (2).xlsm]Model Portfolio!R77C12</stp>
        <tr r="L77" s="98"/>
      </tp>
      <tp>
        <v>15598760</v>
        <stp/>
        <stp>##V3_BDPV12</stp>
        <stp>LSRG RX EQUITY</stp>
        <stp>AVG_DAILY_VALUE_TRADED_6M</stp>
        <stp>[upload (2).xlsm]Model Portfolio!R69C12</stp>
        <tr r="L69" s="98"/>
      </tp>
      <tp>
        <v>5328354</v>
        <stp/>
        <stp>##V3_BDPV12</stp>
        <stp>MSRS RX EQUITY</stp>
        <stp>AVG_DAILY_VALUE_TRADED_6M</stp>
        <stp>[upload (2).xlsm]Model Portfolio!R59C12</stp>
        <tr r="L59" s="98"/>
      </tp>
      <tp>
        <v>77928620</v>
        <stp/>
        <stp>##V3_BDPV12</stp>
        <stp>MSNG RX EQUITY</stp>
        <stp>AVG_DAILY_VALUE_TRADED_6M</stp>
        <stp>[upload (2).xlsm]Model Portfolio!R55C12</stp>
        <tr r="L55" s="98"/>
      </tp>
      <tp>
        <v>81.400000000000006</v>
        <stp/>
        <stp>##V3_BDPV12</stp>
        <stp>ALRS RX EQUITY</stp>
        <stp>PX_LAST</stp>
        <stp>[upload (2).xlsm]Model Portfolio!R5C3</stp>
        <tr r="C5" s="98"/>
      </tp>
      <tp>
        <v>-14.43704</v>
        <stp/>
        <stp>##V3_BDPV12</stp>
        <stp>URKA RX EQUITY</stp>
        <stp>CHG_PCT_YTD</stp>
        <stp>[upload (2).xlsm]Model Portfolio!R31C7</stp>
        <tr r="G31" s="98"/>
      </tp>
      <tp>
        <v>2.6506919999999998</v>
        <stp/>
        <stp>##V3_BDPV12</stp>
        <stp>URKA RX EQUITY</stp>
        <stp>CHG_PCT_WTD</stp>
        <stp>[upload (2).xlsm]Model Portfolio!R31C4</stp>
        <tr r="D31" s="98"/>
      </tp>
      <tp>
        <v>4.0796052999999999</v>
        <stp/>
        <stp>##V3_BDPV12</stp>
        <stp>XS0921331509 Corp</stp>
        <stp>YLD_YTM_ask</stp>
        <stp>[upload (2).xlsm]Base all $ 3 Duration!R144C7</stp>
        <tr r="G144" s="66"/>
      </tp>
      <tp>
        <v>3.6420113000000001</v>
        <stp/>
        <stp>##V3_BDPV12</stp>
        <stp>XS0743596040 Corp</stp>
        <stp>YLD_YTM_ask</stp>
        <stp>[upload (2).xlsm]Base all $ 3 Duration!R155C7</stp>
        <tr r="G155" s="66"/>
      </tp>
      <tp>
        <v>3.1162266000000001</v>
        <stp/>
        <stp>##V3_BDPV12</stp>
        <stp>XS0638572973 Corp</stp>
        <stp>YLD_YTM_ask</stp>
        <stp>[upload (2).xlsm]Base all $ 3 Duration!R156C7</stp>
        <tr r="G156" s="66"/>
      </tp>
      <tp>
        <v>7.5567386000000001</v>
        <stp/>
        <stp>##V3_BDPV12</stp>
        <stp>XS0805131439 Corp</stp>
        <stp>YLD_YTM_ask</stp>
        <stp>[upload (2).xlsm]Base all $ 3 Duration!R126C7</stp>
        <tr r="G126" s="66"/>
      </tp>
      <tp t="s">
        <v>#N/A N/A</v>
        <stp/>
        <stp>##V3_BDPV12</stp>
        <stp>XS0275728557 Corp</stp>
        <stp>PX_GROSS_MID</stp>
        <stp>[upload (2).xlsm]Base all $ 3 Duration!R8C19</stp>
        <tr r="S8" s="66"/>
      </tp>
      <tp>
        <v>62.407070268515639</v>
        <stp/>
        <stp>##V3_BDPV12</stp>
        <stp>TRNFP RX EQUITY</stp>
        <stp>EPS_GROWTH</stp>
        <stp>[upload (2).xlsm]Model Portfolio!R20C22</stp>
        <tr r="V20" s="98"/>
      </tp>
      <tp t="s">
        <v>RU</v>
        <stp/>
        <stp>##V3_BDPV12</stp>
        <stp>XS0650962185 Corp</stp>
        <stp>CNTRY_OF_RISK</stp>
        <stp>[upload (2).xlsm]Base all $ 3 Duration!R83C13</stp>
        <tr r="M83" s="66"/>
      </tp>
      <tp t="s">
        <v>RU</v>
        <stp/>
        <stp>##V3_BDPV12</stp>
        <stp>XS0552679879 Corp</stp>
        <stp>CNTRY_OF_RISK</stp>
        <stp>[upload (2).xlsm]Base all $ 3 Duration!R43C13</stp>
        <tr r="M43" s="66"/>
      </tp>
      <tp t="s">
        <v>BBB-</v>
        <stp/>
        <stp>##V3_BDPV12</stp>
        <stp>XS0559915961 Corp</stp>
        <stp>RTG_fitch</stp>
        <stp>[upload (2).xlsm]Base all $ 3 Duration!R135C10</stp>
        <tr r="J135" s="66"/>
        <tr r="J135" s="66"/>
      </tp>
      <tp>
        <v>48.705460000000002</v>
        <stp/>
        <stp>##V3_BDPV12</stp>
        <stp>AFLT RX EQUITY</stp>
        <stp>EQY_FREE_FLOAT_PCT</stp>
        <stp>[upload (2).xlsm]Model Portfolio!R47C11</stp>
        <tr r="K47" s="98"/>
      </tp>
      <tp>
        <v>100</v>
        <stp/>
        <stp>##V3_BDPV12</stp>
        <stp>SNGSP RX EQUITY</stp>
        <stp>EQY_FREE_FLOAT_PCT</stp>
        <stp>[upload (2).xlsm]Model Portfolio!R11C11</stp>
        <tr r="K11" s="98"/>
      </tp>
      <tp t="s">
        <v>#N/A N/A</v>
        <stp/>
        <stp>##V3_BDPV12</stp>
        <stp>XS0979891925 Corp</stp>
        <stp>RTG_fitch</stp>
        <stp>[upload (2).xlsm]Base all $ 3 Duration!R124C10</stp>
        <tr r="J124" s="66"/>
      </tp>
      <tp>
        <v>44.95167</v>
        <stp/>
        <stp>##V3_BDPV12</stp>
        <stp>MTLR RX EQUITY</stp>
        <stp>EQY_FREE_FLOAT_PCT</stp>
        <stp>[upload (2).xlsm]Model Portfolio!R24C11</stp>
        <tr r="K24" s="98"/>
      </tp>
      <tp t="s">
        <v>NL</v>
        <stp/>
        <stp>##V3_BDPV12</stp>
        <stp>XS0889401054 Corp</stp>
        <stp>CNTRY_OF_RISK</stp>
        <stp>[upload (2).xlsm]Base all $ 3 Duration!R39C13</stp>
        <tr r="M39" s="66"/>
      </tp>
      <tp t="s">
        <v>MOSCOW EXCHANGE</v>
        <stp/>
        <stp>##V3_BDPV12</stp>
        <stp>MOEX RX EQUITY</stp>
        <stp>SHORT_NAME</stp>
        <stp>[upload (2).xlsm]Model Portfolio!R74C2</stp>
        <tr r="B74" s="98"/>
      </tp>
      <tp>
        <v>7.8122999999999996</v>
        <stp/>
        <stp>##V3_BDPV12</stp>
        <stp>HKD Curncy</stp>
        <stp>PX last</stp>
        <stp>[Copy of upload (2).xlsm]Гарез_GRENF!R1C16</stp>
        <tr r="P1" s="115"/>
      </tp>
      <tp>
        <v>-0.64446150892685738</v>
        <stp/>
        <stp>##V3_BDPV12</stp>
        <stp>MVID RX EQUITY</stp>
        <stp>NET_DEBT_TO_EBITDA</stp>
        <stp>[upload (2).xlsm]Model Portfolio!R38C20</stp>
        <tr r="T38" s="98"/>
      </tp>
      <tp t="s">
        <v>NR</v>
        <stp/>
        <stp>##V3_BDPV12</stp>
        <stp>XS0848137708 Corp</stp>
        <stp>RTG_moody</stp>
        <stp>[upload (2).xlsm]Base all $ 3 Duration!R122C10</stp>
        <tr r="J122" s="66"/>
        <tr r="J122" s="66"/>
      </tp>
      <tp t="s">
        <v>Ba1u</v>
        <stp/>
        <stp>##V3_BDPV12</stp>
        <stp>XS0921331509 Corp</stp>
        <stp>RTG_moody</stp>
        <stp>[upload (2).xlsm]Base all $ 3 Duration!R144C10</stp>
        <tr r="J144" s="66"/>
        <tr r="J144" s="66"/>
      </tp>
      <tp t="s">
        <v>Ba1</v>
        <stp/>
        <stp>##V3_BDPV12</stp>
        <stp>XS0864383723 Corp</stp>
        <stp>RTG_moody</stp>
        <stp>[upload (2).xlsm]Base all $ 3 Duration!R147C10</stp>
        <tr r="J147" s="66"/>
        <tr r="J147" s="66"/>
      </tp>
      <tp t="s">
        <v>Ba1</v>
        <stp/>
        <stp>##V3_BDPV12</stp>
        <stp>XS0223715920 Corp</stp>
        <stp>RTG_moody</stp>
        <stp>[upload (2).xlsm]Base all $ 3 Duration!R137C10</stp>
        <tr r="J137" s="66"/>
        <tr r="J137" s="66"/>
      </tp>
      <tp t="s">
        <v>NR</v>
        <stp/>
        <stp>##V3_BDPV12</stp>
        <stp>XS0810596832 Corp</stp>
        <stp>RTG_moody</stp>
        <stp>[upload (2).xlsm]Base all $ 3 Duration!R121C10</stp>
        <tr r="J121" s="66"/>
        <tr r="J121" s="66"/>
      </tp>
      <tp>
        <v>1.2429842573579739</v>
        <stp/>
        <stp>##V3_BDPV12</stp>
        <stp>US91701RAA95 Corp</stp>
        <stp>MTY_YEARS_TDY</stp>
        <stp>[upload (2).xlsm]Base all $ 3 Duration!R26C3</stp>
        <tr r="C26" s="66"/>
      </tp>
      <tp>
        <v>0.59208531746006077</v>
        <stp/>
        <stp>##V3_BDPV12</stp>
        <stp>POG LN EQUITY</stp>
        <stp>PX_TO_BOOK_RATIO</stp>
        <stp>[upload (2).xlsm]Model Portfolio!R7C18</stp>
        <tr r="R7" s="98"/>
      </tp>
      <tp t="s">
        <v>#N/A Field Not Applicable</v>
        <stp/>
        <stp>##V3_BDPV12</stp>
        <stp>KMG LI EQUITY</stp>
        <stp>PX_TO_BOOK_RATIO</stp>
        <stp>[upload (2).xlsm]Model Portfolio!R9C18</stp>
        <tr r="R9" s="98"/>
      </tp>
      <tp>
        <v>4.500845406599506</v>
        <stp/>
        <stp>##V3_BDPV12</stp>
        <stp>POLY LN EQUITY</stp>
        <stp>PX_TO_BOOK_RATIO</stp>
        <stp>[upload (2).xlsm]Model Portfolio!R6C18</stp>
        <tr r="R6" s="98"/>
      </tp>
      <tp>
        <v>108.38500000000001</v>
        <stp/>
        <stp>##V3_BDPV12</stp>
        <stp>XS1255387976 Corp</stp>
        <stp>PX_LAST</stp>
        <stp>[Copy of upload (2).xlsm]Гарез_GRENF (2)!R19C5</stp>
        <tr r="E19" s="116"/>
      </tp>
      <tp t="s">
        <v>11/03/2019</v>
        <stp/>
        <stp>##V3_BDPV12</stp>
        <stp>XS0493579238 Corp</stp>
        <stp>MATURITY</stp>
        <stp>[upload (2).xlsm]Base all $ 3 Duration!R7C9</stp>
        <tr r="I7" s="66"/>
      </tp>
      <tp t="s">
        <v>VTB BANK (VTB CAPITAL SA</v>
        <stp/>
        <stp>##V3_BDPV12</stp>
        <stp>XS0548633659 Corp</stp>
        <stp>name</stp>
        <stp>[upload (2).xlsm]Base all $ 3 Duration!R111C1</stp>
        <tr r="A111" s="66"/>
      </tp>
      <tp t="s">
        <v>02/05/2018</v>
        <stp/>
        <stp>##V3_BDPV12</stp>
        <stp>XS0920334900 Corp</stp>
        <stp>MATURITY</stp>
        <stp>[upload (2).xlsm]Base all $ 3 Duration!R6C9</stp>
        <tr r="I6" s="66"/>
      </tp>
      <tp>
        <v>60.969700000000003</v>
        <stp/>
        <stp>##V3_BDPV12</stp>
        <stp>TGKA RX EQUITY</stp>
        <stp>CHG_PCT_1YR</stp>
        <stp>[upload (2).xlsm]Model Portfolio!R60C6</stp>
        <tr r="F60" s="98"/>
      </tp>
      <tp>
        <v>75.55874</v>
        <stp/>
        <stp>##V3_BDPV12</stp>
        <stp>MSNG RX EQUITY</stp>
        <stp>CHG_PCT_1YR</stp>
        <stp>[upload (2).xlsm]Model Portfolio!R55C6</stp>
        <tr r="F55" s="98"/>
      </tp>
      <tp t="s">
        <v>EDC FINANCE DAC</v>
        <stp/>
        <stp>##V3_BDPV12</stp>
        <stp>XS0918604496 Corp</stp>
        <stp>name</stp>
        <stp>[upload (2).xlsm]Base all $ 3 Duration!R103C1</stp>
        <tr r="A103" s="66"/>
      </tp>
      <tp>
        <v>43746200</v>
        <stp/>
        <stp>##V3_BDPV12</stp>
        <stp>TRMK RX EQUITY</stp>
        <stp>AVG_DAILY_VALUE_TRADED_6M</stp>
        <stp>[upload (2).xlsm]Model Portfolio!R21C12</stp>
        <tr r="L21" s="98"/>
      </tp>
      <tp>
        <v>39937410</v>
        <stp/>
        <stp>##V3_BDPV12</stp>
        <stp>URKA RX EQUITY</stp>
        <stp>AVG_DAILY_VALUE_TRADED_6M</stp>
        <stp>[upload (2).xlsm]Model Portfolio!R31C12</stp>
        <tr r="L31" s="98"/>
      </tp>
      <tp>
        <v>51.532600000000002</v>
        <stp/>
        <stp>##V3_BDPV12</stp>
        <stp>SBERP RX EQUITY</stp>
        <stp>CHG_PCT_1YR</stp>
        <stp>[upload (2).xlsm]Model Portfolio!R76C6</stp>
        <tr r="F76" s="98"/>
      </tp>
      <tp>
        <v>3977547</v>
        <stp/>
        <stp>##V3_BDPV12</stp>
        <stp>GLTR LI EQUITY</stp>
        <stp>AVG_DAILY_VALUE_TRADED_6M</stp>
        <stp>[upload (2).xlsm]Model Portfolio!R48C12</stp>
        <tr r="L48" s="98"/>
      </tp>
      <tp>
        <v>381514600</v>
        <stp/>
        <stp>##V3_BDPV12</stp>
        <stp>IRAO RX EQUITY</stp>
        <stp>AVG_DAILY_VALUE_TRADED_6M</stp>
        <stp>[upload (2).xlsm]Model Portfolio!R51C12</stp>
        <tr r="L51" s="98"/>
      </tp>
      <tp>
        <v>254859.6</v>
        <stp/>
        <stp>##V3_BDPV12</stp>
        <stp>GLPR LI EQUITY</stp>
        <stp>AVG_DAILY_VALUE_TRADED_6M</stp>
        <stp>[upload (2).xlsm]Model Portfolio!R46C12</stp>
        <tr r="L46" s="98"/>
      </tp>
      <tp>
        <v>973823</v>
        <stp/>
        <stp>##V3_BDPV12</stp>
        <stp>TRCN RX EQUITY</stp>
        <stp>AVG_DAILY_VALUE_TRADED_6M</stp>
        <stp>[upload (2).xlsm]Model Portfolio!R50C12</stp>
        <tr r="L50" s="98"/>
      </tp>
      <tp>
        <v>1.1665399999999999</v>
        <stp/>
        <stp>##V3_BDPV12</stp>
        <stp>MGNT RX EQUITY</stp>
        <stp>CHG_PCT_1YR</stp>
        <stp>[upload (2).xlsm]Model Portfolio!R35C6</stp>
        <tr r="F35" s="98"/>
      </tp>
      <tp>
        <v>88.342960000000005</v>
        <stp/>
        <stp>##V3_BDPV12</stp>
        <stp>AFLT RX EQUITY</stp>
        <stp>CHG_PCT_1YR</stp>
        <stp>[upload (2).xlsm]Model Portfolio!R47C6</stp>
        <tr r="F47" s="98"/>
      </tp>
      <tp>
        <v>-11.496169999999999</v>
        <stp/>
        <stp>##V3_BDPV12</stp>
        <stp>TGKA RX EQUITY</stp>
        <stp>CHG_PCT_YTD</stp>
        <stp>[upload (2).xlsm]Model Portfolio!R60C7</stp>
        <tr r="G60" s="98"/>
      </tp>
      <tp>
        <v>23.528220000000001</v>
        <stp/>
        <stp>##V3_BDPV12</stp>
        <stp>MSNG RX EQUITY</stp>
        <stp>CHG_PCT_YTD</stp>
        <stp>[upload (2).xlsm]Model Portfolio!R55C7</stp>
        <tr r="G55" s="98"/>
      </tp>
      <tp t="s">
        <v>GBp</v>
        <stp/>
        <stp>##V3_BDPV12</stp>
        <stp>HGM LN Equity</stp>
        <stp>CRNCY</stp>
        <stp>[Copy of upload (2).xlsm]Гарез_GRENF!R10C11</stp>
        <tr r="K10" s="115"/>
      </tp>
      <tp>
        <v>1.4403980000000001</v>
        <stp/>
        <stp>##V3_BDPV12</stp>
        <stp>MSNG RX EQUITY</stp>
        <stp>CHG_PCT_WTD</stp>
        <stp>[upload (2).xlsm]Model Portfolio!R55C4</stp>
        <tr r="D55" s="98"/>
      </tp>
      <tp>
        <v>-0.3002996</v>
        <stp/>
        <stp>##V3_BDPV12</stp>
        <stp>TGKA RX EQUITY</stp>
        <stp>CHG_PCT_WTD</stp>
        <stp>[upload (2).xlsm]Model Portfolio!R60C4</stp>
        <tr r="D60" s="98"/>
      </tp>
      <tp>
        <v>25.734100000000002</v>
        <stp/>
        <stp>##V3_BDPV12</stp>
        <stp>SBERP RX EQUITY</stp>
        <stp>CHG_PCT_YTD</stp>
        <stp>[upload (2).xlsm]Model Portfolio!R76C7</stp>
        <tr r="G76" s="98"/>
      </tp>
    </main>
    <main first="bloomberg.rtd">
      <tp>
        <v>17.706110321682171</v>
        <stp/>
        <stp>##V3_BDPV12</stp>
        <stp>XS0920335030 Corp</stp>
        <stp>YLD_YTM_ask</stp>
        <stp>[upload (2).xlsm]Base all $ 3 Duration!R101C7</stp>
        <tr r="G101" s="66"/>
      </tp>
      <tp>
        <v>27.903169999999999</v>
        <stp/>
        <stp>##V3_BDPV12</stp>
        <stp>AFLT RX EQUITY</stp>
        <stp>CHG_PCT_YTD</stp>
        <stp>[upload (2).xlsm]Model Portfolio!R47C7</stp>
        <tr r="G47" s="98"/>
      </tp>
      <tp>
        <v>-3.0272730000000001</v>
        <stp/>
        <stp>##V3_BDPV12</stp>
        <stp>MGNT RX EQUITY</stp>
        <stp>CHG_PCT_YTD</stp>
        <stp>[upload (2).xlsm]Model Portfolio!R35C7</stp>
        <tr r="G35" s="98"/>
      </tp>
      <tp>
        <v>3.104816</v>
        <stp/>
        <stp>##V3_BDPV12</stp>
        <stp>XS0548633659 Corp</stp>
        <stp>YLD_YTM_ask</stp>
        <stp>[upload (2).xlsm]Base all $ 3 Duration!R111C7</stp>
        <tr r="G111" s="66"/>
      </tp>
      <tp>
        <v>105.07600000000001</v>
        <stp/>
        <stp>##V3_BDPV12</stp>
        <stp>XS0996297544 Corp</stp>
        <stp>PX_GROSS_MID</stp>
        <stp>[upload (2).xlsm]Base all $ 3 Duration!R9C19</stp>
        <tr r="S9" s="66"/>
      </tp>
      <tp>
        <v>-0.17871129999999999</v>
        <stp/>
        <stp>##V3_BDPV12</stp>
        <stp>AFLT RX EQUITY</stp>
        <stp>CHG_PCT_WTD</stp>
        <stp>[upload (2).xlsm]Model Portfolio!R47C4</stp>
        <tr r="D47" s="98"/>
      </tp>
      <tp>
        <v>1.329914</v>
        <stp/>
        <stp>##V3_BDPV12</stp>
        <stp>MGNT RX EQUITY</stp>
        <stp>CHG_PCT_WTD</stp>
        <stp>[upload (2).xlsm]Model Portfolio!R35C4</stp>
        <tr r="D35" s="98"/>
      </tp>
      <tp>
        <v>3.6001056999999999</v>
        <stp/>
        <stp>##V3_BDPV12</stp>
        <stp>XS0918604496 Corp</stp>
        <stp>YLD_YTM_ask</stp>
        <stp>[upload (2).xlsm]Base all $ 3 Duration!R103C7</stp>
        <tr r="G103" s="66"/>
      </tp>
      <tp>
        <v>0.70370370000000004</v>
        <stp/>
        <stp>##V3_BDPV12</stp>
        <stp>SBERP RX EQUITY</stp>
        <stp>CHG_PCT_WTD</stp>
        <stp>[upload (2).xlsm]Model Portfolio!R76C4</stp>
        <tr r="D76" s="98"/>
      </tp>
      <tp>
        <v>8.8398173605758998</v>
        <stp/>
        <stp>##V3_BDPV12</stp>
        <stp>XS0810596832 Corp</stp>
        <stp>YLD_YTM_ask</stp>
        <stp>[upload (2).xlsm]Base all $ 3 Duration!R121C7</stp>
        <tr r="G121" s="66"/>
      </tp>
      <tp t="s">
        <v>RU</v>
        <stp/>
        <stp>##V3_BDPV12</stp>
        <stp>XS0772835285 Corp</stp>
        <stp>CNTRY_OF_RISK</stp>
        <stp>[upload (2).xlsm]Base all $ 3 Duration!R31C13</stp>
        <tr r="M31" s="66"/>
      </tp>
      <tp t="s">
        <v>YANDEX NV-A</v>
        <stp/>
        <stp>##V3_BDPV12</stp>
        <stp>YNDX US EQUITY</stp>
        <stp>SHORT_NAME</stp>
        <stp>[upload (2).xlsm]Model Portfolio!R43C2</stp>
        <tr r="B43" s="98"/>
      </tp>
      <tp t="s">
        <v>PHOSAGRO PJSC</v>
        <stp/>
        <stp>##V3_BDPV12</stp>
        <stp>PHOR RX EQUITY</stp>
        <stp>SHORT_NAME</stp>
        <stp>[upload (2).xlsm]Model Portfolio!R32C2</stp>
        <tr r="B32" s="98"/>
      </tp>
      <tp t="s">
        <v>RU</v>
        <stp/>
        <stp>##V3_BDPV12</stp>
        <stp>XS0359381331 Corp</stp>
        <stp>CNTRY_OF_RISK</stp>
        <stp>[upload (2).xlsm]Base all $ 3 Duration!R36C13</stp>
        <tr r="M36" s="66"/>
      </tp>
      <tp t="s">
        <v>BB+ /*-</v>
        <stp/>
        <stp>##V3_BDPV12</stp>
        <stp>XS0513723873 Corp</stp>
        <stp>RTG_fitch</stp>
        <stp>[upload (2).xlsm]Base all $ 3 Duration!R110C10</stp>
        <tr r="J110" s="66"/>
        <tr r="J110" s="66"/>
      </tp>
      <tp t="s">
        <v>RU</v>
        <stp/>
        <stp>##V3_BDPV12</stp>
        <stp>XS0922134712 Corp</stp>
        <stp>CNTRY_OF_RISK</stp>
        <stp>[upload (2).xlsm]Base all $ 3 Duration!R76C13</stp>
        <tr r="M76" s="66"/>
      </tp>
      <tp>
        <v>96.480050000000006</v>
        <stp/>
        <stp>##V3_BDPV12</stp>
        <stp>LXFT US EQUITY</stp>
        <stp>EQY_FREE_FLOAT_PCT</stp>
        <stp>[upload (2).xlsm]Model Portfolio!R41C11</stp>
        <tr r="K41" s="98"/>
      </tp>
      <tp t="s">
        <v>RU</v>
        <stp/>
        <stp>##V3_BDPV12</stp>
        <stp>XS0888245122 Corp</stp>
        <stp>CNTRY_OF_RISK</stp>
        <stp>[upload (2).xlsm]Base all $ 3 Duration!R73C13</stp>
        <tr r="M73" s="66"/>
      </tp>
      <tp>
        <v>100</v>
        <stp/>
        <stp>##V3_BDPV12</stp>
        <stp>SBERP RX EQUITY</stp>
        <stp>EQY_FREE_FLOAT_PCT</stp>
        <stp>[upload (2).xlsm]Model Portfolio!R76C11</stp>
        <tr r="K76" s="98"/>
      </tp>
      <tp t="s">
        <v>RU</v>
        <stp/>
        <stp>##V3_BDPV12</stp>
        <stp>XS0783291221 Corp</stp>
        <stp>CNTRY_OF_RISK</stp>
        <stp>[upload (2).xlsm]Base all $ 3 Duration!R72C13</stp>
        <tr r="M72" s="66"/>
      </tp>
      <tp t="s">
        <v>RU</v>
        <stp/>
        <stp>##V3_BDPV12</stp>
        <stp>XS0361041808 Corp</stp>
        <stp>CNTRY_OF_RISK</stp>
        <stp>[upload (2).xlsm]Base all $ 3 Duration!R51C13</stp>
        <tr r="M51" s="66"/>
      </tp>
      <tp>
        <v>19.753080000000001</v>
        <stp/>
        <stp>##V3_BDPV12</stp>
        <stp>KCEL LI EQUITY</stp>
        <stp>CHG_PCT_1M</stp>
        <stp>[upload (2).xlsm]Model Portfolio!R65C5</stp>
        <tr r="E65" s="98"/>
      </tp>
      <tp t="s">
        <v>#N/A N/A</v>
        <stp/>
        <stp>##V3_BDPV12</stp>
        <stp>DIXY RX EQUITY</stp>
        <stp>EPS_GROWTH</stp>
        <stp>[upload (2).xlsm]Model Portfolio!R34C22</stp>
        <tr r="V34" s="98"/>
      </tp>
      <tp t="s">
        <v>#N/A N/A</v>
        <stp/>
        <stp>##V3_BDPV12</stp>
        <stp>XS0805131439 Corp</stp>
        <stp>RTG_moody</stp>
        <stp>[upload (2).xlsm]Base all $ 3 Duration!R126C10</stp>
        <tr r="J126" s="66"/>
      </tp>
      <tp t="s">
        <v>Ba1</v>
        <stp/>
        <stp>##V3_BDPV12</stp>
        <stp>XS0638572973 Corp</stp>
        <stp>RTG_moody</stp>
        <stp>[upload (2).xlsm]Base all $ 3 Duration!R156C10</stp>
        <tr r="J156" s="66"/>
        <tr r="J156" s="66"/>
      </tp>
      <tp>
        <v>15.96917</v>
        <stp/>
        <stp>##V3_BDPV12</stp>
        <stp>NLMK RX EQUITY</stp>
        <stp>EQY_FREE_FLOAT_PCT</stp>
        <stp>[upload (2).xlsm]Model Portfolio!R22C11</stp>
        <tr r="K22" s="98"/>
      </tp>
      <tp>
        <v>29.63758</v>
        <stp/>
        <stp>##V3_BDPV12</stp>
        <stp>TRMK RX EQUITY</stp>
        <stp>EQY_FREE_FLOAT_PCT</stp>
        <stp>[upload (2).xlsm]Model Portfolio!R21C11</stp>
        <tr r="K21" s="98"/>
      </tp>
      <tp t="s">
        <v>Ba2</v>
        <stp/>
        <stp>##V3_BDPV12</stp>
        <stp>XS0918297382 Corp</stp>
        <stp>RTG_moody</stp>
        <stp>[upload (2).xlsm]Base all $ 3 Duration!R106C10</stp>
        <tr r="J106" s="66"/>
        <tr r="J106" s="66"/>
      </tp>
      <tp t="s">
        <v>Ba1</v>
        <stp/>
        <stp>##V3_BDPV12</stp>
        <stp>XS0764220017 Corp</stp>
        <stp>RTG_moody</stp>
        <stp>[upload (2).xlsm]Base all $ 3 Duration!R149C10</stp>
        <tr r="J149" s="66"/>
        <tr r="J149" s="66"/>
      </tp>
      <tp t="s">
        <v>NR</v>
        <stp/>
        <stp>##V3_BDPV12</stp>
        <stp>XS0975320879 Corp</stp>
        <stp>RTG_moody</stp>
        <stp>[upload (2).xlsm]Base all $ 3 Duration!R123C10</stp>
        <tr r="J123" s="66"/>
        <tr r="J123" s="66"/>
      </tp>
      <tp t="s">
        <v>ET-GDR REG S</v>
        <stp/>
        <stp>##V3_BDPV12</stp>
        <stp>ETLN LI EQUITY</stp>
        <stp>SHORT_NAME</stp>
        <stp>[upload (2).xlsm]Model Portfolio!R70C2</stp>
        <tr r="B70" s="98"/>
      </tp>
      <tp>
        <v>301.82621985815598</v>
        <stp/>
        <stp>##V3_BDPV12</stp>
        <stp>MAIL LI EQUITY</stp>
        <stp>EPS_GROWTH</stp>
        <stp>[upload (2).xlsm]Model Portfolio!R44C22</stp>
        <tr r="V44" s="98"/>
      </tp>
      <tp>
        <v>20.9847</v>
        <stp/>
        <stp>##V3_BDPV12</stp>
        <stp>CHMF RX EQUITY</stp>
        <stp>EQY_FREE_FLOAT_PCT</stp>
        <stp>[upload (2).xlsm]Model Portfolio!R25C11</stp>
        <tr r="K25" s="98"/>
      </tp>
      <tp>
        <v>9.5833329999999997</v>
        <stp/>
        <stp>##V3_BDPV12</stp>
        <stp>AGRO LI EQUITY</stp>
        <stp>CHG_PCT_1M</stp>
        <stp>[upload (2).xlsm]Model Portfolio!R71C5</stp>
        <tr r="E71" s="98"/>
      </tp>
      <tp t="s">
        <v>NOVATEK(NOVATEK FIN LTD)</v>
        <stp/>
        <stp>##V3_BDPV12</stp>
        <stp>XS0588433267 Corp</stp>
        <stp>name</stp>
        <stp>[upload (2).xlsm]Base all $ 3 Duration!R146C1</stp>
        <tr r="A146" s="66"/>
      </tp>
      <tp t="s">
        <v>GAZPROM (GAZ CAPITAL SA)</v>
        <stp/>
        <stp>##V3_BDPV12</stp>
        <stp>XS0885736925 Corp</stp>
        <stp>name</stp>
        <stp>[upload (2).xlsm]Base all $ 3 Duration!R140C1</stp>
        <tr r="A140" s="66"/>
      </tp>
      <tp>
        <v>24.79072</v>
        <stp/>
        <stp>##V3_BDPV12</stp>
        <stp>EPAM US EQUITY</stp>
        <stp>CHG_PCT_1YR</stp>
        <stp>[upload (2).xlsm]Model Portfolio!R42C6</stp>
        <tr r="F42" s="98"/>
      </tp>
      <tp t="s">
        <v>VNESHECONOMBANK(VEB)</v>
        <stp/>
        <stp>##V3_BDPV12</stp>
        <stp>XS0993162683 Corp</stp>
        <stp>name</stp>
        <stp>[upload (2).xlsm]Base all $ 3 Duration!R139C1</stp>
        <tr r="A139" s="66"/>
      </tp>
      <tp t="s">
        <v>#N/A Field Not Applicable</v>
        <stp/>
        <stp>##V3_BDPV12</stp>
        <stp>XS0275728557 Corp</stp>
        <stp>px_last</stp>
        <stp>[upload (2).xlsm]Base all $ 3 Duration!R8C4</stp>
        <tr r="D8" s="66"/>
      </tp>
      <tp t="s">
        <v>01/12/2016</v>
        <stp/>
        <stp>##V3_BDPV12</stp>
        <stp>XS0275728557 Corp</stp>
        <stp>MATURITY</stp>
        <stp>[upload (2).xlsm]Base all $ 3 Duration!R8C9</stp>
        <tr r="I8" s="66"/>
      </tp>
      <tp>
        <v>15.788130000000001</v>
        <stp/>
        <stp>##V3_BDPV12</stp>
        <stp>CHMF RX EQUITY</stp>
        <stp>CHG_PCT_1YR</stp>
        <stp>[upload (2).xlsm]Model Portfolio!R25C6</stp>
        <tr r="F25" s="98"/>
      </tp>
      <tp>
        <v>82.269109999999998</v>
        <stp/>
        <stp>##V3_BDPV12</stp>
        <stp>MTLR RX EQUITY</stp>
        <stp>CHG_PCT_1YR</stp>
        <stp>[upload (2).xlsm]Model Portfolio!R24C6</stp>
        <tr r="F24" s="98"/>
      </tp>
      <tp>
        <v>0.47906209999999999</v>
        <stp/>
        <stp>##V3_BDPV12</stp>
        <stp>EPAM US EQUITY</stp>
        <stp>CHG_PCT_WTD</stp>
        <stp>[upload (2).xlsm]Model Portfolio!R42C4</stp>
        <tr r="D42" s="98"/>
      </tp>
      <tp>
        <v>-3.9482080000000002</v>
        <stp/>
        <stp>##V3_BDPV12</stp>
        <stp>CHMF RX EQUITY</stp>
        <stp>CHG_PCT_YTD</stp>
        <stp>[upload (2).xlsm]Model Portfolio!R25C7</stp>
        <tr r="G25" s="98"/>
      </tp>
      <tp>
        <v>0.74585460000000003</v>
        <stp/>
        <stp>##V3_BDPV12</stp>
        <stp>CHMF RX EQUITY</stp>
        <stp>CHG_PCT_WTD</stp>
        <stp>[upload (2).xlsm]Model Portfolio!R25C4</stp>
        <tr r="D25" s="98"/>
      </tp>
      <tp>
        <v>32.12565</v>
        <stp/>
        <stp>##V3_BDPV12</stp>
        <stp>EPAM US EQUITY</stp>
        <stp>CHG_PCT_YTD</stp>
        <stp>[upload (2).xlsm]Model Portfolio!R42C7</stp>
        <tr r="G42" s="98"/>
      </tp>
      <tp>
        <v>5.1936878959887878</v>
        <stp/>
        <stp>##V3_BDPV12</stp>
        <stp>XS0191754729 Corp</stp>
        <stp>YLD_YTM_ask</stp>
        <stp>[upload (2).xlsm]Base all $ 3 Duration!R128C7</stp>
        <tr r="G128" s="66"/>
      </tp>
      <tp>
        <v>-11.806900000000001</v>
        <stp/>
        <stp>##V3_BDPV12</stp>
        <stp>MTLR RX EQUITY</stp>
        <stp>CHG_PCT_YTD</stp>
        <stp>[upload (2).xlsm]Model Portfolio!R24C7</stp>
        <tr r="G24" s="98"/>
      </tp>
      <tp>
        <v>3.6558847000000001</v>
        <stp/>
        <stp>##V3_BDPV12</stp>
        <stp>XS0831571434 Corp</stp>
        <stp>YLD_YTM_ask</stp>
        <stp>[upload (2).xlsm]Base all $ 3 Duration!R157C7</stp>
        <tr r="G157" s="66"/>
      </tp>
      <tp>
        <v>3.516262799019001</v>
        <stp/>
        <stp>##V3_BDPV12</stp>
        <stp>XS0304274599 Corp</stp>
        <stp>YLD_YTM_ask</stp>
        <stp>[upload (2).xlsm]Base all $ 3 Duration!R151C7</stp>
        <tr r="G151" s="66"/>
      </tp>
      <tp>
        <v>4.1603686</v>
        <stp/>
        <stp>##V3_BDPV12</stp>
        <stp>XS0800817073 Corp</stp>
        <stp>YLD_YTM_ask</stp>
        <stp>[upload (2).xlsm]Base all $ 3 Duration!R142C7</stp>
        <tr r="G142" s="66"/>
      </tp>
      <tp>
        <v>4.7560533999999999</v>
        <stp/>
        <stp>##V3_BDPV12</stp>
        <stp>XS0559915961 Corp</stp>
        <stp>YLD_YTM_ask</stp>
        <stp>[upload (2).xlsm]Base all $ 3 Duration!R135C7</stp>
        <tr r="G135" s="66"/>
      </tp>
      <tp t="s">
        <v>#N/A N/A</v>
        <stp/>
        <stp>##V3_BDPV12</stp>
        <stp>HGM LN Equity</stp>
        <stp>BDVD_NEXT_EST_DECL_DT</stp>
        <stp>[Copy of upload (2).xlsm]Гарез_GRENF!R10C21</stp>
        <tr r="U10" s="115"/>
      </tp>
      <tp>
        <v>3.6232009999999999</v>
        <stp/>
        <stp>##V3_BDPV12</stp>
        <stp>XS0524610812 Corp</stp>
        <stp>YLD_YTM_ask</stp>
        <stp>[upload (2).xlsm]Base all $ 3 Duration!R107C7</stp>
        <tr r="G107" s="66"/>
      </tp>
      <tp>
        <v>-1.84219</v>
        <stp/>
        <stp>##V3_BDPV12</stp>
        <stp>MTLR RX EQUITY</stp>
        <stp>CHG_PCT_WTD</stp>
        <stp>[upload (2).xlsm]Model Portfolio!R24C4</stp>
        <tr r="D24" s="98"/>
      </tp>
      <tp t="s">
        <v>RU</v>
        <stp/>
        <stp>##V3_BDPV12</stp>
        <stp>XS0524658852 Corp</stp>
        <stp>CNTRY_OF_RISK</stp>
        <stp>[upload (2).xlsm]Base all $ 3 Duration!R68C13</stp>
        <tr r="M68" s="66"/>
      </tp>
      <tp>
        <v>9.2657330000000009</v>
        <stp/>
        <stp>##V3_BDPV12</stp>
        <stp>MAIL LI EQUITY</stp>
        <stp>CHG_PCT_1M</stp>
        <stp>[upload (2).xlsm]Model Portfolio!R44C5</stp>
        <tr r="E44" s="98"/>
      </tp>
      <tp t="s">
        <v>BASHNEFT</v>
        <stp/>
        <stp>##V3_BDPV12</stp>
        <stp>BANE RX EQUITY</stp>
        <stp>SHORT_NAME</stp>
        <stp>[upload (2).xlsm]Model Portfolio!R18C2</stp>
        <tr r="B18" s="98"/>
      </tp>
      <tp>
        <v>2.8665389904941532</v>
        <stp/>
        <stp>##V3_BDPV12</stp>
        <stp>HGM LN EQUITY</stp>
        <stp>CURRENT_EV_TO_12M_SALES</stp>
        <stp>[upload (2).xlsm]Model Portfolio!R4C17</stp>
        <tr r="Q4" s="98"/>
      </tp>
      <tp>
        <v>2.7193555737094526</v>
        <stp/>
        <stp>##V3_BDPV12</stp>
        <stp>AFKS RX EQUITY</stp>
        <stp>NET_DEBT_TO_EBITDA</stp>
        <stp>[upload (2).xlsm]Model Portfolio!R64C20</stp>
        <tr r="T64" s="98"/>
      </tp>
      <tp t="s">
        <v>RU</v>
        <stp/>
        <stp>##V3_BDPV12</stp>
        <stp>XS0802648955 Corp</stp>
        <stp>CNTRY_OF_RISK</stp>
        <stp>[upload (2).xlsm]Base all $ 3 Duration!R12C13</stp>
        <tr r="M12" s="66"/>
      </tp>
      <tp>
        <v>63.817790000000002</v>
        <stp/>
        <stp>##V3_BDPV12</stp>
        <stp>MGNT RX EQUITY</stp>
        <stp>EQY_FREE_FLOAT_PCT</stp>
        <stp>[upload (2).xlsm]Model Portfolio!R35C11</stp>
        <tr r="K35" s="98"/>
      </tp>
      <tp t="s">
        <v>#N/A N/A</v>
        <stp/>
        <stp>##V3_BDPV12</stp>
        <stp>XS1042215480 Corp</stp>
        <stp>RTG_moody</stp>
        <stp>[upload (2).xlsm]Base all $ 3 Duration!R120C10</stp>
        <tr r="J120" s="66"/>
      </tp>
      <tp>
        <v>1.9723678924813919</v>
        <stp/>
        <stp>##V3_BDPV12</stp>
        <stp>OGKB RX EQUITY</stp>
        <stp>NET_DEBT_TO_EBITDA</stp>
        <stp>[upload (2).xlsm]Model Portfolio!R57C20</stp>
        <tr r="T57" s="98"/>
      </tp>
      <tp t="s">
        <v>Ba1</v>
        <stp/>
        <stp>##V3_BDPV12</stp>
        <stp>XS0316524130 Corp</stp>
        <stp>RTG_moody</stp>
        <stp>[upload (2).xlsm]Base all $ 3 Duration!R129C10</stp>
        <tr r="J129" s="66"/>
        <tr r="J129" s="66"/>
      </tp>
      <tp>
        <v>4.1613250675144293</v>
        <stp/>
        <stp>##V3_BDPV12</stp>
        <stp>URKA RX EQUITY</stp>
        <stp>NET_DEBT_TO_EBITDA</stp>
        <stp>[upload (2).xlsm]Model Portfolio!R31C20</stp>
        <tr r="T31" s="98"/>
      </tp>
      <tp>
        <v>0.9560595666512447</v>
        <stp/>
        <stp>##V3_BDPV12</stp>
        <stp>TGKA RX EQUITY</stp>
        <stp>NET_DEBT_TO_EBITDA</stp>
        <stp>[upload (2).xlsm]Model Portfolio!R60C20</stp>
        <tr r="T60" s="98"/>
      </tp>
      <tp t="s">
        <v>B1</v>
        <stp/>
        <stp>##V3_BDPV12</stp>
        <stp>XS0911599701 Corp</stp>
        <stp>RTG_moody</stp>
        <stp>[upload (2).xlsm]Base all $ 3 Duration!R104C10</stp>
        <tr r="J104" s="66"/>
        <tr r="J104" s="66"/>
      </tp>
      <tp>
        <v>20.055</v>
        <stp/>
        <stp>##V3_BDPV12</stp>
        <stp>MSNG RX EQUITY</stp>
        <stp>EQY_FREE_FLOAT_PCT</stp>
        <stp>[upload (2).xlsm]Model Portfolio!R55C11</stp>
        <tr r="K55" s="98"/>
      </tp>
      <tp>
        <v>1.4741035856573705</v>
        <stp/>
        <stp>##V3_BDPV12</stp>
        <stp>GMKN RX EQUITY</stp>
        <stp>NET_DEBT_TO_EBITDA</stp>
        <stp>[upload (2).xlsm]Model Portfolio!R29C20</stp>
        <tr r="T29" s="98"/>
      </tp>
      <tp t="s">
        <v>RASPADSKAYA</v>
        <stp/>
        <stp>##V3_BDPV12</stp>
        <stp>RASP RX EQUITY</stp>
        <stp>SHORT_NAME</stp>
        <stp>[upload (2).xlsm]Model Portfolio!R28C2</stp>
        <tr r="B28" s="98"/>
      </tp>
      <tp>
        <v>4.9299949999999999</v>
        <stp/>
        <stp>##V3_BDPV12</stp>
        <stp>BANE RX EQUITY</stp>
        <stp>EQY_FREE_FLOAT_PCT</stp>
        <stp>[upload (2).xlsm]Model Portfolio!R18C11</stp>
        <tr r="K18" s="98"/>
      </tp>
      <tp t="s">
        <v>Ba1</v>
        <stp/>
        <stp>##V3_BDPV12</stp>
        <stp>XS0588433267 Corp</stp>
        <stp>RTG_moody</stp>
        <stp>[upload (2).xlsm]Base all $ 3 Duration!R146C10</stp>
        <tr r="J146" s="66"/>
        <tr r="J146" s="66"/>
      </tp>
      <tp>
        <v>1.9365863336396292</v>
        <stp/>
        <stp>##V3_BDPV12</stp>
        <stp>RTKM RX EQUITY</stp>
        <stp>NET_DEBT_TO_EBITDA</stp>
        <stp>[upload (2).xlsm]Model Portfolio!R66C20</stp>
        <tr r="T66" s="98"/>
      </tp>
      <tp t="s">
        <v>Ba1</v>
        <stp/>
        <stp>##V3_BDPV12</stp>
        <stp>XS0554659671 Corp</stp>
        <stp>RTG_moody</stp>
        <stp>[upload (2).xlsm]Base all $ 3 Duration!R114C10</stp>
        <tr r="J114" s="66"/>
        <tr r="J114" s="66"/>
      </tp>
      <tp>
        <v>1.5477653202273076</v>
        <stp/>
        <stp>##V3_BDPV12</stp>
        <stp>PIKK RX EQUITY</stp>
        <stp>NET_DEBT_TO_EBITDA</stp>
        <stp>[upload (2).xlsm]Model Portfolio!R68C20</stp>
        <tr r="T68" s="98"/>
      </tp>
      <tp t="s">
        <v>USD</v>
        <stp/>
        <stp>##V3_BDPV12</stp>
        <stp>KMG LI Equity</stp>
        <stp>CRNCY</stp>
        <stp>[Copy of upload (2).xlsm]Гарез_GRENF!R5C11</stp>
        <tr r="K5" s="115"/>
      </tp>
      <tp t="s">
        <v>RU</v>
        <stp/>
        <stp>##V3_BDPV12</stp>
        <stp>XS0920334900 Corp</stp>
        <stp>CNTRY_OF_RISK</stp>
        <stp>[upload (2).xlsm]Base all $ 3 Duration!R6C13</stp>
        <tr r="M6" s="66"/>
      </tp>
      <tp t="s">
        <v>GAZPROMBK (GPB FINANCE)</v>
        <stp/>
        <stp>##V3_BDPV12</stp>
        <stp>XS0848137708 Corp</stp>
        <stp>name</stp>
        <stp>[upload (2).xlsm]Base all $ 3 Duration!R122C1</stp>
        <tr r="A122" s="66"/>
      </tp>
      <tp t="s">
        <v>RZD CAPITAL PLC (RZD)</v>
        <stp/>
        <stp>##V3_BDPV12</stp>
        <stp>XS0764220017 Corp</stp>
        <stp>name</stp>
        <stp>[upload (2).xlsm]Base all $ 3 Duration!R149C1</stp>
        <tr r="A149" s="66"/>
      </tp>
      <tp t="s">
        <v>POLYUS FINANCE PLC</v>
        <stp/>
        <stp>##V3_BDPV12</stp>
        <stp>XS0922301717 Corp</stp>
        <stp>name</stp>
        <stp>[upload (2).xlsm]Base all $ 3 Duration!R108C1</stp>
        <tr r="A108" s="66"/>
      </tp>
      <tp t="s">
        <v>VTB BANK (VTB CAPITAL SA</v>
        <stp/>
        <stp>##V3_BDPV12</stp>
        <stp>XS0223715920 Corp</stp>
        <stp>name</stp>
        <stp>[upload (2).xlsm]Base all $ 3 Duration!R137C1</stp>
        <tr r="A137" s="66"/>
      </tp>
      <tp t="s">
        <v>METALLOINVEST FINANCE</v>
        <stp/>
        <stp>##V3_BDPV12</stp>
        <stp>XS0918297382 Corp</stp>
        <stp>name</stp>
        <stp>[upload (2).xlsm]Base all $ 3 Duration!R106C1</stp>
        <tr r="A106" s="66"/>
      </tp>
      <tp>
        <v>67696070</v>
        <stp/>
        <stp>##V3_BDPV12</stp>
        <stp>UPRO RX EQUITY</stp>
        <stp>AVG_DAILY_VALUE_TRADED_6M</stp>
        <stp>[upload (2).xlsm]Model Portfolio!R52C12</stp>
        <tr r="L52" s="98"/>
      </tp>
      <tp>
        <v>3259441</v>
        <stp/>
        <stp>##V3_BDPV12</stp>
        <stp>LNTA LI EQUITY</stp>
        <stp>AVG_DAILY_VALUE_TRADED_6M</stp>
        <stp>[upload (2).xlsm]Model Portfolio!R37C12</stp>
        <tr r="L37" s="98"/>
      </tp>
      <tp>
        <v>3.6964717999999999</v>
        <stp/>
        <stp>##V3_BDPV12</stp>
        <stp>XS0805570354 Corp</stp>
        <stp>YLD_YTM_ask</stp>
        <stp>[upload (2).xlsm]Base all $ 3 Duration!R154C7</stp>
        <tr r="G154" s="66"/>
      </tp>
      <tp>
        <v>2.9938552</v>
        <stp/>
        <stp>##V3_BDPV12</stp>
        <stp>XS0972645112 Corp</stp>
        <stp>YLD_YTM_ask</stp>
        <stp>[upload (2).xlsm]Base all $ 3 Duration!R116C7</stp>
        <tr r="G116" s="66"/>
      </tp>
      <tp>
        <v>3.3712531999999999</v>
        <stp/>
        <stp>##V3_BDPV12</stp>
        <stp>XS0841671000 Corp</stp>
        <stp>YLD_YTM_ask</stp>
        <stp>[upload (2).xlsm]Base all $ 3 Duration!R141C7</stp>
        <tr r="G141" s="66"/>
      </tp>
      <tp>
        <v>4.0103036999999997</v>
        <stp/>
        <stp>##V3_BDPV12</stp>
        <stp>XS0848530977 Corp</stp>
        <stp>YLD_YTM_ask</stp>
        <stp>[upload (2).xlsm]Base all $ 3 Duration!R150C7</stp>
        <tr r="G150" s="66"/>
      </tp>
      <tp>
        <v>3.6379868000000002</v>
        <stp/>
        <stp>##V3_BDPV12</stp>
        <stp>XS0643183220 Corp</stp>
        <stp>YLD_YTM_ask</stp>
        <stp>[upload (2).xlsm]Base all $ 3 Duration!R133C7</stp>
        <tr r="G133" s="66"/>
      </tp>
      <tp>
        <v>8.5256057174780242</v>
        <stp/>
        <stp>##V3_BDPV12</stp>
        <stp>XS0846652666 Corp</stp>
        <stp>YLD_YTM_ask</stp>
        <stp>[upload (2).xlsm]Base all $ 3 Duration!R102C7</stp>
        <tr r="G102" s="66"/>
      </tp>
      <tp>
        <v>6.8027904458500235</v>
        <stp/>
        <stp>##V3_BDPV12</stp>
        <stp>XS0975320879 Corp</stp>
        <stp>YLD_YTM_ask</stp>
        <stp>[upload (2).xlsm]Base all $ 3 Duration!R123C7</stp>
        <tr r="G123" s="66"/>
      </tp>
      <tp t="s">
        <v>RU</v>
        <stp/>
        <stp>##V3_BDPV12</stp>
        <stp>XS1043519567 Corp</stp>
        <stp>CNTRY_OF_RISK</stp>
        <stp>[upload (2).xlsm]Base all $ 3 Duration!R74C13</stp>
        <tr r="M74" s="66"/>
      </tp>
      <tp>
        <v>23.050988560086022</v>
        <stp/>
        <stp>##V3_BDPV12</stp>
        <stp>GAZP RX EQUITY</stp>
        <stp>EPS_GROWTH</stp>
        <stp>[upload (2).xlsm]Model Portfolio!R12C22</stp>
        <tr r="V12" s="98"/>
      </tp>
      <tp t="s">
        <v>LUKOIL</v>
        <stp/>
        <stp>##V3_BDPV12</stp>
        <stp>LKOH RX EQUITY</stp>
        <stp>SHORT_NAME</stp>
        <stp>[upload (2).xlsm]Model Portfolio!R13C2</stp>
        <tr r="B13" s="98"/>
      </tp>
      <tp>
        <v>96.28219</v>
        <stp/>
        <stp>##V3_BDPV12</stp>
        <stp>YNDX US EQUITY</stp>
        <stp>EQY_FREE_FLOAT_PCT</stp>
        <stp>[upload (2).xlsm]Model Portfolio!R43C11</stp>
        <tr r="K43" s="98"/>
      </tp>
      <tp t="s">
        <v>RU</v>
        <stp/>
        <stp>##V3_BDPV12</stp>
        <stp>XS0923110232 Corp</stp>
        <stp>CNTRY_OF_RISK</stp>
        <stp>[upload (2).xlsm]Base all $ 3 Duration!R35C13</stp>
        <tr r="M35" s="66"/>
      </tp>
      <tp t="s">
        <v>BBB-</v>
        <stp/>
        <stp>##V3_BDPV12</stp>
        <stp>XS0708813810 Corp</stp>
        <stp>RTG_fitch</stp>
        <stp>[upload (2).xlsm]Base all $ 3 Duration!R153C10</stp>
        <tr r="J153" s="66"/>
        <tr r="J153" s="66"/>
      </tp>
      <tp t="s">
        <v>RU</v>
        <stp/>
        <stp>##V3_BDPV12</stp>
        <stp>XS0854763355 Corp</stp>
        <stp>CNTRY_OF_RISK</stp>
        <stp>[upload (2).xlsm]Base all $ 3 Duration!R28C13</stp>
        <tr r="M28" s="66"/>
      </tp>
      <tp t="s">
        <v>BBB-</v>
        <stp/>
        <stp>##V3_BDPV12</stp>
        <stp>XS0524610812 Corp</stp>
        <stp>RTG_fitch</stp>
        <stp>[upload (2).xlsm]Base all $ 3 Duration!R107C10</stp>
        <tr r="J107" s="66"/>
        <tr r="J107" s="66"/>
      </tp>
      <tp>
        <v>3.6655950000000002</v>
        <stp/>
        <stp>##V3_BDPV12</stp>
        <stp>LSRG RX EQUITY</stp>
        <stp>CHG_PCT_1M</stp>
        <stp>[upload (2).xlsm]Model Portfolio!R69C5</stp>
        <tr r="E69" s="98"/>
      </tp>
      <tp>
        <v>4.6044859999999996</v>
        <stp/>
        <stp>##V3_BDPV12</stp>
        <stp>MSRS RX EQUITY</stp>
        <stp>CHG_PCT_1M</stp>
        <stp>[upload (2).xlsm]Model Portfolio!R59C5</stp>
        <tr r="E59" s="98"/>
      </tp>
      <tp>
        <v>27.751539999999999</v>
        <stp/>
        <stp>##V3_BDPV12</stp>
        <stp>PHOR RX EQUITY</stp>
        <stp>EQY_FREE_FLOAT_PCT</stp>
        <stp>[upload (2).xlsm]Model Portfolio!R32C11</stp>
        <tr r="K32" s="98"/>
      </tp>
      <tp t="s">
        <v>RU</v>
        <stp/>
        <stp>##V3_BDPV12</stp>
        <stp>XS0808632847 Corp</stp>
        <stp>CNTRY_OF_RISK</stp>
        <stp>[upload (2).xlsm]Base all $ 3 Duration!R65C13</stp>
        <tr r="M65" s="66"/>
      </tp>
      <tp t="s">
        <v>RU</v>
        <stp/>
        <stp>##V3_BDPV12</stp>
        <stp>XS0742380412 Corp</stp>
        <stp>CNTRY_OF_RISK</stp>
        <stp>[upload (2).xlsm]Base all $ 3 Duration!R86C13</stp>
        <tr r="M86" s="66"/>
      </tp>
      <tp t="s">
        <v>Ba1</v>
        <stp/>
        <stp>##V3_BDPV12</stp>
        <stp>XS0830192711 Corp</stp>
        <stp>RTG_moody</stp>
        <stp>[upload (2).xlsm]Base all $ 3 Duration!R143C10</stp>
        <tr r="J143" s="66"/>
        <tr r="J143" s="66"/>
      </tp>
      <tp>
        <v>18.511240000000001</v>
        <stp/>
        <stp>##V3_BDPV12</stp>
        <stp>MFON RX EQUITY</stp>
        <stp>EQY_FREE_FLOAT_PCT</stp>
        <stp>[upload (2).xlsm]Model Portfolio!R62C11</stp>
        <tr r="K62" s="98"/>
      </tp>
      <tp t="s">
        <v>#N/A N/A</v>
        <stp/>
        <stp>##V3_BDPV12</stp>
        <stp>XS1032750165 Corp</stp>
        <stp>RTG_moody</stp>
        <stp>[upload (2).xlsm]Base all $ 3 Duration!R132C10</stp>
        <tr r="J132" s="66"/>
      </tp>
      <tp t="s">
        <v>Ba1</v>
        <stp/>
        <stp>##V3_BDPV12</stp>
        <stp>XS0861981180 Corp</stp>
        <stp>RTG_moody</stp>
        <stp>[upload (2).xlsm]Base all $ 3 Duration!R145C10</stp>
        <tr r="J145" s="66"/>
        <tr r="J145" s="66"/>
      </tp>
      <tp>
        <v>78.303700000000006</v>
        <stp/>
        <stp>##V3_BDPV12</stp>
        <stp>LKOH RX EQUITY</stp>
        <stp>EQY_FREE_FLOAT_PCT</stp>
        <stp>[upload (2).xlsm]Model Portfolio!R13C11</stp>
        <tr r="K13" s="98"/>
      </tp>
      <tp>
        <v>1.2982</v>
        <stp/>
        <stp>##V3_BDHV12</stp>
        <stp>GBP curncy</stp>
        <stp>PX_LAST</stp>
        <stp>05/05/2017</stp>
        <stp>05/05/2017</stp>
        <stp>[Copy of upload (2).xlsm]Гарез_GRENF!R31C12</stp>
        <tr r="L31" s="115"/>
      </tp>
      <tp t="s">
        <v>ACRON</v>
        <stp/>
        <stp>##V3_BDPV12</stp>
        <stp>AKRN RX EQUITY</stp>
        <stp>SHORT_NAME</stp>
        <stp>[upload (2).xlsm]Model Portfolio!R33C2</stp>
        <tr r="B33" s="98"/>
      </tp>
      <tp t="s">
        <v>Ba2</v>
        <stp/>
        <stp>##V3_BDPV12</stp>
        <stp>XS0587031096 Corp</stp>
        <stp>RTG_moody</stp>
        <stp>[upload (2).xlsm]Base all $ 3 Duration!R134C10</stp>
        <tr r="J134" s="66"/>
        <tr r="J134" s="66"/>
      </tp>
      <tp t="s">
        <v>ROSNEFT</v>
        <stp/>
        <stp>##V3_BDPV12</stp>
        <stp>ROSN RX EQUITY</stp>
        <stp>SHORT_NAME</stp>
        <stp>[upload (2).xlsm]Model Portfolio!R17C2</stp>
        <tr r="B17" s="98"/>
      </tp>
      <tp>
        <v>1.2847999999999999</v>
        <stp/>
        <stp>##V3_BDHV12</stp>
        <stp>GBP curncy</stp>
        <stp>PX_LAST</stp>
        <stp>26/04/2017</stp>
        <stp>26/04/2017</stp>
        <stp>[Copy of upload (2).xlsm]Гарез_GRENF!R32C12</stp>
        <tr r="L32" s="115"/>
      </tp>
      <tp>
        <v>-2.479266768175274</v>
        <stp/>
        <stp>##V3_BDPV12</stp>
        <stp>EPAM US EQUITY</stp>
        <stp>NET_DEBT_TO_EBITDA</stp>
        <stp>[upload (2).xlsm]Model Portfolio!R42C20</stp>
        <tr r="T42" s="98"/>
      </tp>
      <tp>
        <v>29.030169999999998</v>
        <stp/>
        <stp>##V3_BDPV12</stp>
        <stp>GLTR LI EQUITY</stp>
        <stp>CHG_PCT_1M</stp>
        <stp>[upload (2).xlsm]Model Portfolio!R48C5</stp>
        <tr r="E48" s="98"/>
      </tp>
      <tp>
        <v>1.2461</v>
        <stp/>
        <stp>##V3_BDHV12</stp>
        <stp>GBP curncy</stp>
        <stp>PX_LAST</stp>
        <stp>15/02/2017</stp>
        <stp>15/02/2017</stp>
        <stp>[Copy of upload (2).xlsm]Гарез_GRENF!R33C12</stp>
        <tr r="L33" s="115"/>
      </tp>
      <tp t="s">
        <v>USD</v>
        <stp/>
        <stp>##V3_BDPV12</stp>
        <stp>XS0850393264 Corp</stp>
        <stp>CRNCY</stp>
        <stp>[upload (2).xlsm]Base all $ 3 Duration!R4C12</stp>
        <tr r="L4" s="66"/>
      </tp>
      <tp t="s">
        <v>19/04/2018</v>
        <stp/>
        <stp>##V3_BDPV12</stp>
        <stp>SBERP RX EQUITY</stp>
        <stp>BDVD_NEXT_EST_DECL_DT</stp>
        <stp>[upload (2).xlsm]Model Portfolio!R76C31</stp>
        <tr r="AE76" s="98"/>
      </tp>
      <tp t="s">
        <v>16/12/2015</v>
        <stp/>
        <stp>##V3_BDPV12</stp>
        <stp>XS0238091507 Corp</stp>
        <stp>MATURITY</stp>
        <stp>[upload (2).xlsm]Base all $ 3 Duration!R5C9</stp>
        <tr r="I5" s="66"/>
      </tp>
      <tp t="s">
        <v>ALFA BANK (ALFA BOND)</v>
        <stp/>
        <stp>##V3_BDPV12</stp>
        <stp>XS0620695204 Corp</stp>
        <stp>name</stp>
        <stp>[upload (2).xlsm]Base all $ 3 Duration!R138C1</stp>
        <tr r="A138" s="66"/>
      </tp>
      <tp>
        <v>2.1920613275931111</v>
        <stp/>
        <stp>##V3_BDPV12</stp>
        <stp>486 HK EQUITY</stp>
        <stp>CURRENT_EV_TO_12M_SALES</stp>
        <stp>[upload (2).xlsm]Model Portfolio!R30C17</stp>
        <tr r="Q30" s="98"/>
      </tp>
      <tp t="s">
        <v>EVRAZ</v>
        <stp/>
        <stp>##V3_BDPV12</stp>
        <stp>EVR LN EQUITY</stp>
        <stp>SHORT_NAME</stp>
        <stp>[upload (2).xlsm]Model Portfolio!R26C2</stp>
        <tr r="B26" s="98"/>
      </tp>
      <tp>
        <v>24071088</v>
        <stp/>
        <stp>##V3_BDPV12</stp>
        <stp>EPAM US EQUITY</stp>
        <stp>AVG_DAILY_VALUE_TRADED_6M</stp>
        <stp>[upload (2).xlsm]Model Portfolio!R42C12</stp>
        <tr r="L42" s="98"/>
      </tp>
      <tp>
        <v>15878980</v>
        <stp/>
        <stp>##V3_BDPV12</stp>
        <stp>FIVE LI EQUITY</stp>
        <stp>AVG_DAILY_VALUE_TRADED_6M</stp>
        <stp>[upload (2).xlsm]Model Portfolio!R36C12</stp>
        <tr r="L36" s="98"/>
      </tp>
      <tp>
        <v>4.3772979999999997</v>
        <stp/>
        <stp>##V3_BDPV12</stp>
        <stp>XS0935311240 Corp</stp>
        <stp>YLD_YTM_ask</stp>
        <stp>[upload (2).xlsm]Base all $ 3 Duration!R131C7</stp>
        <tr r="G131" s="66"/>
      </tp>
      <tp>
        <v>2.9355529730878076</v>
        <stp/>
        <stp>##V3_BDPV12</stp>
        <stp>XS0484209159 Corp</stp>
        <stp>YLD_YTM_ask</stp>
        <stp>[upload (2).xlsm]Base all $ 3 Duration!R112C7</stp>
        <tr r="G112" s="66"/>
      </tp>
      <tp t="s">
        <v>RUSSIA 12 3/4 06/24/28</v>
        <stp/>
        <stp>##V3_BDPV12</stp>
        <stp>XS0088543193 Corp</stp>
        <stp>SECURITY_NAME</stp>
        <stp>[Copy of upload (2).xlsm]Гарез_GRENF (2)!R11C2</stp>
        <tr r="B11" s="116"/>
      </tp>
      <tp t="s">
        <v>RU</v>
        <stp/>
        <stp>##V3_BDPV12</stp>
        <stp>XS0276456315 Corp</stp>
        <stp>CNTRY_OF_RISK</stp>
        <stp>[upload (2).xlsm]Base all $ 3 Duration!R90C13</stp>
        <tr r="M90" s="66"/>
      </tp>
      <tp t="s">
        <v>RU</v>
        <stp/>
        <stp>##V3_BDPV12</stp>
        <stp>XS0288690539 Corp</stp>
        <stp>CNTRY_OF_RISK</stp>
        <stp>[upload (2).xlsm]Base all $ 3 Duration!R62C13</stp>
        <tr r="M62" s="66"/>
      </tp>
      <tp t="s">
        <v>RU</v>
        <stp/>
        <stp>##V3_BDPV12</stp>
        <stp>XS0940730228 Corp</stp>
        <stp>CNTRY_OF_RISK</stp>
        <stp>[upload (2).xlsm]Base all $ 3 Duration!R25C13</stp>
        <tr r="M25" s="66"/>
      </tp>
      <tp t="s">
        <v>BBB-</v>
        <stp/>
        <stp>##V3_BDPV12</stp>
        <stp>XS0588433267 Corp</stp>
        <stp>RTG_fitch</stp>
        <stp>[upload (2).xlsm]Base all $ 3 Duration!R146C10</stp>
        <tr r="J146" s="66"/>
        <tr r="J146" s="66"/>
      </tp>
      <tp t="s">
        <v>RU</v>
        <stp/>
        <stp>##V3_BDPV12</stp>
        <stp>XS0719009754 Corp</stp>
        <stp>CNTRY_OF_RISK</stp>
        <stp>[upload (2).xlsm]Base all $ 3 Duration!R77C13</stp>
        <tr r="M77" s="66"/>
      </tp>
      <tp>
        <v>-1.030344288940958</v>
        <stp/>
        <stp>##V3_BDPV12</stp>
        <stp>LXFT US EQUITY</stp>
        <stp>NET_DEBT_TO_EBITDA</stp>
        <stp>[upload (2).xlsm]Model Portfolio!R41C20</stp>
        <tr r="T41" s="98"/>
      </tp>
      <tp t="s">
        <v>RU</v>
        <stp/>
        <stp>##V3_BDPV12</stp>
        <stp>XS0587030957 Corp</stp>
        <stp>CNTRY_OF_RISK</stp>
        <stp>[upload (2).xlsm]Base all $ 3 Duration!R95C13</stp>
        <tr r="M95" s="66"/>
      </tp>
      <tp t="s">
        <v>#N/A N/A</v>
        <stp/>
        <stp>##V3_BDPV12</stp>
        <stp>XS0911599701 Corp</stp>
        <stp>RTG_fitch</stp>
        <stp>[upload (2).xlsm]Base all $ 3 Duration!R104C10</stp>
        <tr r="J104" s="66"/>
      </tp>
      <tp t="s">
        <v>#N/A N/A</v>
        <stp/>
        <stp>##V3_BDPV12</stp>
        <stp>SBERP RX EQUITY</stp>
        <stp>NET_DEBT_TO_EBITDA</stp>
        <stp>[upload (2).xlsm]Model Portfolio!R76C20</stp>
        <tr r="T76" s="98"/>
      </tp>
      <tp t="s">
        <v>RU</v>
        <stp/>
        <stp>##V3_BDPV12</stp>
        <stp>XS0783242877 Corp</stp>
        <stp>CNTRY_OF_RISK</stp>
        <stp>[upload (2).xlsm]Base all $ 3 Duration!R32C13</stp>
        <tr r="M32" s="66"/>
      </tp>
      <tp t="s">
        <v>RU</v>
        <stp/>
        <stp>##V3_BDPV12</stp>
        <stp>XS0426517701 Corp</stp>
        <stp>CNTRY_OF_RISK</stp>
        <stp>[upload (2).xlsm]Base all $ 3 Duration!R88C13</stp>
        <tr r="M88" s="66"/>
      </tp>
      <tp t="s">
        <v>BBB-</v>
        <stp/>
        <stp>##V3_BDPV12</stp>
        <stp>XS0554659671 Corp</stp>
        <stp>RTG_fitch</stp>
        <stp>[upload (2).xlsm]Base all $ 3 Duration!R114C10</stp>
        <tr r="J114" s="66"/>
        <tr r="J114" s="66"/>
      </tp>
      <tp t="s">
        <v>RU</v>
        <stp/>
        <stp>##V3_BDPV12</stp>
        <stp>XS1059697323 Corp</stp>
        <stp>CNTRY_OF_RISK</stp>
        <stp>[upload (2).xlsm]Base all $ 3 Duration!R20C13</stp>
        <tr r="M20" s="66"/>
      </tp>
      <tp t="s">
        <v>RU</v>
        <stp/>
        <stp>##V3_BDPV12</stp>
        <stp>XS0851672435 Corp</stp>
        <stp>CNTRY_OF_RISK</stp>
        <stp>[upload (2).xlsm]Base all $ 3 Duration!R23C13</stp>
        <tr r="M23" s="66"/>
      </tp>
      <tp t="s">
        <v>RU</v>
        <stp/>
        <stp>##V3_BDPV12</stp>
        <stp>XS0923472814 Corp</stp>
        <stp>CNTRY_OF_RISK</stp>
        <stp>[upload (2).xlsm]Base all $ 3 Duration!R52C13</stp>
        <tr r="M52" s="66"/>
      </tp>
      <tp t="s">
        <v>RU</v>
        <stp/>
        <stp>##V3_BDPV12</stp>
        <stp>XS0954673934 Corp</stp>
        <stp>CNTRY_OF_RISK</stp>
        <stp>[upload (2).xlsm]Base all $ 3 Duration!R16C13</stp>
        <tr r="M16" s="66"/>
      </tp>
      <tp t="s">
        <v>#N/A N/A</v>
        <stp/>
        <stp>##V3_BDPV12</stp>
        <stp>PLZL RX EQUITY</stp>
        <stp>BDVD_PROJ_12M_YLD</stp>
        <stp>[upload (2).xlsm]Model Portfolio!R2C27</stp>
        <tr r="AA2" s="98"/>
      </tp>
      <tp t="s">
        <v>RU</v>
        <stp/>
        <stp>##V3_BDPV12</stp>
        <stp>XS0292530309 Corp</stp>
        <stp>CNTRY_OF_RISK</stp>
        <stp>[upload (2).xlsm]Base all $ 3 Duration!R81C13</stp>
        <tr r="M81" s="66"/>
      </tp>
      <tp t="s">
        <v>#N/A N/A</v>
        <stp/>
        <stp>##V3_BDPV12</stp>
        <stp>XS1042215480 Corp</stp>
        <stp>RTG_fitch</stp>
        <stp>[upload (2).xlsm]Base all $ 3 Duration!R120C10</stp>
        <tr r="J120" s="66"/>
      </tp>
      <tp t="s">
        <v>RU</v>
        <stp/>
        <stp>##V3_BDPV12</stp>
        <stp>XS0869792928 Corp</stp>
        <stp>CNTRY_OF_RISK</stp>
        <stp>[upload (2).xlsm]Base all $ 3 Duration!R10C13</stp>
        <tr r="M10" s="66"/>
      </tp>
      <tp t="s">
        <v>NL</v>
        <stp/>
        <stp>##V3_BDPV12</stp>
        <stp>XS0643176448 Corp</stp>
        <stp>CNTRY_OF_RISK</stp>
        <stp>[upload (2).xlsm]Base all $ 3 Duration!R79C13</stp>
        <tr r="M79" s="66"/>
      </tp>
      <tp t="s">
        <v>BBB-</v>
        <stp/>
        <stp>##V3_BDPV12</stp>
        <stp>XS0316524130 Corp</stp>
        <stp>RTG_fitch</stp>
        <stp>[upload (2).xlsm]Base all $ 3 Duration!R129C10</stp>
        <tr r="J129" s="66"/>
        <tr r="J129" s="66"/>
      </tp>
      <tp t="s">
        <v>RU</v>
        <stp/>
        <stp>##V3_BDPV12</stp>
        <stp>XS0924078453 Corp</stp>
        <stp>CNTRY_OF_RISK</stp>
        <stp>[upload (2).xlsm]Base all $ 3 Duration!R19C13</stp>
        <tr r="M19" s="66"/>
      </tp>
      <tp t="s">
        <v>RU</v>
        <stp/>
        <stp>##V3_BDPV12</stp>
        <stp>XS0640334768 Corp</stp>
        <stp>CNTRY_OF_RISK</stp>
        <stp>[upload (2).xlsm]Base all $ 3 Duration!R15C13</stp>
        <tr r="M15" s="66"/>
      </tp>
      <tp>
        <v>0.357773851590106</v>
        <stp/>
        <stp>##V3_BDPV12</stp>
        <stp>CHMF RX EQUITY</stp>
        <stp>NET_DEBT_TO_EBITDA</stp>
        <stp>[upload (2).xlsm]Model Portfolio!R25C20</stp>
        <tr r="T25" s="98"/>
      </tp>
      <tp>
        <v>4.7256249869983504</v>
        <stp/>
        <stp>##V3_BDPV12</stp>
        <stp>POLY LN EQUITY</stp>
        <stp>BDVD_PROJ_12M_YLD</stp>
        <stp>[upload (2).xlsm]Model Portfolio!R6C27</stp>
        <tr r="AA6" s="98"/>
      </tp>
      <tp>
        <v>-9.2532467532467582</v>
        <stp/>
        <stp>##V3_BDPV12</stp>
        <stp>ETLN LI EQUITY</stp>
        <stp>EPS_GROWTH</stp>
        <stp>[upload (2).xlsm]Model Portfolio!R70C22</stp>
        <tr r="V70" s="98"/>
      </tp>
      <tp>
        <v>4.9169886434353902</v>
        <stp/>
        <stp>##V3_BDPV12</stp>
        <stp>TRMK RX EQUITY</stp>
        <stp>NET_DEBT_TO_EBITDA</stp>
        <stp>[upload (2).xlsm]Model Portfolio!R21C20</stp>
        <tr r="T21" s="98"/>
      </tp>
      <tp>
        <v>0.43126684636118601</v>
        <stp/>
        <stp>##V3_BDPV12</stp>
        <stp>NLMK RX EQUITY</stp>
        <stp>NET_DEBT_TO_EBITDA</stp>
        <stp>[upload (2).xlsm]Model Portfolio!R22C20</stp>
        <tr r="T22" s="98"/>
      </tp>
      <tp t="s">
        <v>#N/A N/A</v>
        <stp/>
        <stp>##V3_BDPV12</stp>
        <stp>AGRO LI Equity</stp>
        <stp>BDVD_NEXT_EST_DECL_DT</stp>
        <stp>[Copy of upload (2).xlsm]Гарез_GRENF!R8C22</stp>
        <tr r="V8" s="115"/>
      </tp>
      <tp t="s">
        <v>USD</v>
        <stp/>
        <stp>##V3_BDPV12</stp>
        <stp>XS0996297544 Corp</stp>
        <stp>CRNCY</stp>
        <stp>[upload (2).xlsm]Base all $ 3 Duration!R9C12</stp>
        <tr r="L9" s="66"/>
      </tp>
      <tp t="s">
        <v>#N/A N/A</v>
        <stp/>
        <stp>##V3_BDPV12</stp>
        <stp>NORD LI EQUITY</stp>
        <stp>AVG_DAILY_VALUE_TRADED_6M</stp>
        <stp>[upload (2).xlsm]Model Portfolio!R3C12</stp>
        <tr r="L3" s="98"/>
      </tp>
      <tp>
        <v>43.009700000000002</v>
        <stp/>
        <stp>##V3_BDPV12</stp>
        <stp>NLMK RX EQUITY</stp>
        <stp>CHG_PCT_1YR</stp>
        <stp>[upload (2).xlsm]Model Portfolio!R22C6</stp>
        <tr r="F22" s="98"/>
      </tp>
      <tp t="s">
        <v>MOBILE TELESYS (MTS INT)</v>
        <stp/>
        <stp>##V3_BDPV12</stp>
        <stp>XS0513723873 Corp</stp>
        <stp>name</stp>
        <stp>[upload (2).xlsm]Base all $ 3 Duration!R110C1</stp>
        <tr r="A110" s="66"/>
      </tp>
      <tp t="s">
        <v>EVRAZ GROUP SA</v>
        <stp/>
        <stp>##V3_BDPV12</stp>
        <stp>XS0808638612 Corp</stp>
        <stp>name</stp>
        <stp>[upload (2).xlsm]Base all $ 3 Duration!R105C1</stp>
        <tr r="A105" s="66"/>
      </tp>
      <tp t="s">
        <v>VNESHECONOMBANK(VEB)</v>
        <stp/>
        <stp>##V3_BDPV12</stp>
        <stp>XS0524610812 Corp</stp>
        <stp>name</stp>
        <stp>[upload (2).xlsm]Base all $ 3 Duration!R107C1</stp>
        <tr r="A107" s="66"/>
      </tp>
      <tp>
        <v>523500700</v>
        <stp/>
        <stp>##V3_BDPV12</stp>
        <stp>NVTK RX EQUITY</stp>
        <stp>AVG_DAILY_VALUE_TRADED_6M</stp>
        <stp>[upload (2).xlsm]Model Portfolio!R16C12</stp>
        <tr r="L16" s="98"/>
      </tp>
      <tp>
        <v>278638300</v>
        <stp/>
        <stp>##V3_BDPV12</stp>
        <stp>MVID RX EQUITY</stp>
        <stp>AVG_DAILY_VALUE_TRADED_6M</stp>
        <stp>[upload (2).xlsm]Model Portfolio!R38C12</stp>
        <tr r="L38" s="98"/>
      </tp>
      <tp>
        <v>-32.957819999999998</v>
        <stp/>
        <stp>##V3_BDPV12</stp>
        <stp>AFKS RX EQUITY</stp>
        <stp>CHG_PCT_1YR</stp>
        <stp>[upload (2).xlsm]Model Portfolio!R64C6</stp>
        <tr r="F64" s="98"/>
      </tp>
      <tp>
        <v>1754214</v>
        <stp/>
        <stp>##V3_BDPV12</stp>
        <stp>SVAV RX EQUITY</stp>
        <stp>AVG_DAILY_VALUE_TRADED_6M</stp>
        <stp>[upload (2).xlsm]Model Portfolio!R72C12</stp>
        <tr r="L72" s="98"/>
      </tp>
      <tp>
        <v>-0.12176099999999999</v>
        <stp/>
        <stp>##V3_BDPV12</stp>
        <stp>NLMK RX EQUITY</stp>
        <stp>CHG_PCT_WTD</stp>
        <stp>[upload (2).xlsm]Model Portfolio!R22C4</stp>
        <tr r="D22" s="98"/>
      </tp>
      <tp>
        <v>14.141590000000001</v>
        <stp/>
        <stp>##V3_BDPV12</stp>
        <stp>NLMK RX EQUITY</stp>
        <stp>CHG_PCT_YTD</stp>
        <stp>[upload (2).xlsm]Model Portfolio!R22C7</stp>
        <tr r="G22" s="98"/>
      </tp>
      <tp>
        <v>3.7999066732347337</v>
        <stp/>
        <stp>##V3_BDPV12</stp>
        <stp>XS0830192711 Corp</stp>
        <stp>YLD_YTM_ask</stp>
        <stp>[upload (2).xlsm]Base all $ 3 Duration!R143C7</stp>
        <tr r="G143" s="66"/>
      </tp>
      <tp>
        <v>-39.641779999999997</v>
        <stp/>
        <stp>##V3_BDPV12</stp>
        <stp>AFKS RX EQUITY</stp>
        <stp>CHG_PCT_YTD</stp>
        <stp>[upload (2).xlsm]Model Portfolio!R64C7</stp>
        <tr r="G64" s="98"/>
      </tp>
      <tp>
        <v>4.4072304999999998</v>
        <stp/>
        <stp>##V3_BDPV12</stp>
        <stp>XS0993162683 Corp</stp>
        <stp>YLD_YTM_ask</stp>
        <stp>[upload (2).xlsm]Base all $ 3 Duration!R139C7</stp>
        <tr r="G139" s="66"/>
      </tp>
      <tp>
        <v>3.6232088999999998</v>
        <stp/>
        <stp>##V3_BDPV12</stp>
        <stp>XS0864383723 Corp</stp>
        <stp>YLD_YTM_ask</stp>
        <stp>[upload (2).xlsm]Base all $ 3 Duration!R147C7</stp>
        <tr r="G147" s="66"/>
      </tp>
      <tp>
        <v>3.8491775427755939</v>
        <stp/>
        <stp>##V3_BDPV12</stp>
        <stp>XS0861981180 Corp</stp>
        <stp>YLD_YTM_ask</stp>
        <stp>[upload (2).xlsm]Base all $ 3 Duration!R145C7</stp>
        <tr r="G145" s="66"/>
      </tp>
      <tp>
        <v>5.7152726000000005</v>
        <stp/>
        <stp>##V3_BDPV12</stp>
        <stp>XS0979891925 Corp</stp>
        <stp>YLD_YTM_ask</stp>
        <stp>[upload (2).xlsm]Base all $ 3 Duration!R124C7</stp>
        <tr r="G124" s="66"/>
      </tp>
      <tp>
        <v>2.9333838999999999</v>
        <stp/>
        <stp>##V3_BDPV12</stp>
        <stp>XS0513723873 Corp</stp>
        <stp>YLD_YTM_ask</stp>
        <stp>[upload (2).xlsm]Base all $ 3 Duration!R110C7</stp>
        <tr r="G110" s="66"/>
      </tp>
      <tp>
        <v>1.7460899999999999</v>
        <stp/>
        <stp>##V3_BDPV12</stp>
        <stp>AFKS RX EQUITY</stp>
        <stp>CHG_PCT_WTD</stp>
        <stp>[upload (2).xlsm]Model Portfolio!R64C4</stp>
        <tr r="D64" s="98"/>
      </tp>
      <tp t="s">
        <v>RU</v>
        <stp/>
        <stp>##V3_BDPV12</stp>
        <stp>XS0879105558 Corp</stp>
        <stp>CNTRY_OF_RISK</stp>
        <stp>[upload (2).xlsm]Base all $ 3 Duration!R38C13</stp>
        <tr r="M38" s="66"/>
      </tp>
      <tp t="s">
        <v>BB+</v>
        <stp/>
        <stp>##V3_BDPV12</stp>
        <stp>XS0587031096 Corp</stp>
        <stp>RTG_fitch</stp>
        <stp>[upload (2).xlsm]Base all $ 3 Duration!R134C10</stp>
        <tr r="J134" s="66"/>
        <tr r="J134" s="66"/>
      </tp>
      <tp>
        <v>1.3307936176597215</v>
        <stp/>
        <stp>##V3_BDPV12</stp>
        <stp>AFLT RX EQUITY</stp>
        <stp>NET_DEBT_TO_EBITDA</stp>
        <stp>[upload (2).xlsm]Model Portfolio!R47C20</stp>
        <tr r="T47" s="98"/>
      </tp>
      <tp t="s">
        <v>RU</v>
        <stp/>
        <stp>##V3_BDPV12</stp>
        <stp>XS0544362972 Corp</stp>
        <stp>CNTRY_OF_RISK</stp>
        <stp>[upload (2).xlsm]Base all $ 3 Duration!R70C13</stp>
        <tr r="M70" s="66"/>
      </tp>
      <tp t="s">
        <v>RU</v>
        <stp/>
        <stp>##V3_BDPV12</stp>
        <stp>XS0779213460 Corp</stp>
        <stp>CNTRY_OF_RISK</stp>
        <stp>[upload (2).xlsm]Base all $ 3 Duration!R33C13</stp>
        <tr r="M33" s="66"/>
      </tp>
      <tp>
        <v>6.3388477786283346</v>
        <stp/>
        <stp>##V3_BDPV12</stp>
        <stp>MTLR RX EQUITY</stp>
        <stp>NET_DEBT_TO_EBITDA</stp>
        <stp>[upload (2).xlsm]Model Portfolio!R24C20</stp>
        <tr r="T24" s="98"/>
      </tp>
      <tp>
        <v>-6.9949544799681203</v>
        <stp/>
        <stp>##V3_BDPV12</stp>
        <stp>SNGSP RX EQUITY</stp>
        <stp>NET_DEBT_TO_EBITDA</stp>
        <stp>[upload (2).xlsm]Model Portfolio!R11C20</stp>
        <tr r="T11" s="98"/>
      </tp>
      <tp t="s">
        <v>RU</v>
        <stp/>
        <stp>##V3_BDPV12</stp>
        <stp>XS0381439305 Corp</stp>
        <stp>CNTRY_OF_RISK</stp>
        <stp>[upload (2).xlsm]Base all $ 3 Duration!R64C13</stp>
        <tr r="M64" s="66"/>
      </tp>
      <tp t="s">
        <v>NOVOLIPETSK STEE</v>
        <stp/>
        <stp>##V3_BDPV12</stp>
        <stp>NLMK RX EQUITY</stp>
        <stp>SHORT_NAME</stp>
        <stp>[upload (2).xlsm]Model Portfolio!R22C2</stp>
        <tr r="B22" s="98"/>
      </tp>
      <tp t="s">
        <v>RU</v>
        <stp/>
        <stp>##V3_BDPV12</stp>
        <stp>XS0299183250 Corp</stp>
        <stp>CNTRY_OF_RISK</stp>
        <stp>[upload (2).xlsm]Base all $ 3 Duration!R40C13</stp>
        <tr r="M40" s="66"/>
      </tp>
      <tp t="s">
        <v>BB+</v>
        <stp/>
        <stp>##V3_BDPV12</stp>
        <stp>XS1032750165 Corp</stp>
        <stp>RTG_fitch</stp>
        <stp>[upload (2).xlsm]Base all $ 3 Duration!R132C10</stp>
        <tr r="J132" s="66"/>
        <tr r="J132" s="66"/>
      </tp>
      <tp t="s">
        <v>RU</v>
        <stp/>
        <stp>##V3_BDPV12</stp>
        <stp>XS0848163456 Corp</stp>
        <stp>CNTRY_OF_RISK</stp>
        <stp>[upload (2).xlsm]Base all $ 3 Duration!R18C13</stp>
        <tr r="M18" s="66"/>
      </tp>
      <tp t="s">
        <v>BBB-</v>
        <stp/>
        <stp>##V3_BDPV12</stp>
        <stp>XS0830192711 Corp</stp>
        <stp>RTG_fitch</stp>
        <stp>[upload (2).xlsm]Base all $ 3 Duration!R143C10</stp>
        <tr r="J143" s="66"/>
        <tr r="J143" s="66"/>
      </tp>
      <tp t="s">
        <v>RU</v>
        <stp/>
        <stp>##V3_BDPV12</stp>
        <stp>XS0974469206 Corp</stp>
        <stp>CNTRY_OF_RISK</stp>
        <stp>[upload (2).xlsm]Base all $ 3 Duration!R14C13</stp>
        <tr r="M14" s="66"/>
      </tp>
      <tp t="s">
        <v>KAMAZ</v>
        <stp/>
        <stp>##V3_BDPV12</stp>
        <stp>KMAZ RX EQUITY</stp>
        <stp>SHORT_NAME</stp>
        <stp>[upload (2).xlsm]Model Portfolio!R73C2</stp>
        <tr r="B73" s="98"/>
      </tp>
      <tp t="s">
        <v>WD</v>
        <stp/>
        <stp>##V3_BDPV12</stp>
        <stp>XS0861981180 Corp</stp>
        <stp>RTG_fitch</stp>
        <stp>[upload (2).xlsm]Base all $ 3 Duration!R145C10</stp>
        <tr r="J145" s="66"/>
        <tr r="J145" s="66"/>
      </tp>
      <tp>
        <v>-7.2847730000000004</v>
        <stp/>
        <stp>##V3_BDPV12</stp>
        <stp>OKEY LI EQUITY</stp>
        <stp>CHG_PCT_1M</stp>
        <stp>[upload (2).xlsm]Model Portfolio!R39C5</stp>
        <tr r="E39" s="98"/>
      </tp>
      <tp t="s">
        <v>SURGUTNEFTEGAS</v>
        <stp/>
        <stp>##V3_BDPV12</stp>
        <stp>SNGS RX EQUITY</stp>
        <stp>SHORT_NAME</stp>
        <stp>[upload (2).xlsm]Model Portfolio!R10C2</stp>
        <tr r="B10" s="98"/>
      </tp>
      <tp t="s">
        <v>RU</v>
        <stp/>
        <stp>##V3_BDPV12</stp>
        <stp>XS0832412505 Corp</stp>
        <stp>CNTRY_OF_RISK</stp>
        <stp>[upload (2).xlsm]Base all $ 3 Duration!R30C13</stp>
        <tr r="M30" s="66"/>
      </tp>
      <tp t="s">
        <v>#N/A N/A</v>
        <stp/>
        <stp>##V3_BDPV12</stp>
        <stp>XS0524610812 Corp</stp>
        <stp>RTG_moody</stp>
        <stp>[upload (2).xlsm]Base all $ 3 Duration!R107C10</stp>
        <tr r="J107" s="66"/>
      </tp>
      <tp t="s">
        <v>Ba1</v>
        <stp/>
        <stp>##V3_BDPV12</stp>
        <stp>XS0708813810 Corp</stp>
        <stp>RTG_moody</stp>
        <stp>[upload (2).xlsm]Base all $ 3 Duration!R153C10</stp>
        <tr r="J153" s="66"/>
        <tr r="J153" s="66"/>
      </tp>
      <tp t="s">
        <v>QIWI PLC-SP ADR</v>
        <stp/>
        <stp>##V3_BDPV12</stp>
        <stp>QIWI US EQUITY</stp>
        <stp>SHORT_NAME</stp>
        <stp>[upload (2).xlsm]Model Portfolio!R40C2</stp>
        <tr r="B40" s="98"/>
      </tp>
      <tp>
        <v>41.879989999999999</v>
        <stp/>
        <stp>##V3_BDPV12</stp>
        <stp>MVID RX EQUITY</stp>
        <stp>EQY_FREE_FLOAT_PCT</stp>
        <stp>[upload (2).xlsm]Model Portfolio!R38C11</stp>
        <tr r="K38" s="98"/>
      </tp>
      <tp>
        <v>-54.402585822559075</v>
        <stp/>
        <stp>##V3_BDPV12</stp>
        <stp>QIWI US EQUITY</stp>
        <stp>EPS_GROWTH</stp>
        <stp>[upload (2).xlsm]Model Portfolio!R40C22</stp>
        <tr r="V40" s="98"/>
      </tp>
      <tp t="s">
        <v>USD</v>
        <stp/>
        <stp>##V3_BDPV12</stp>
        <stp>XS0275728557 Corp</stp>
        <stp>CRNCY</stp>
        <stp>[upload (2).xlsm]Base all $ 3 Duration!R8C12</stp>
        <tr r="L8" s="66"/>
      </tp>
      <tp t="s">
        <v>18/05/2018</v>
        <stp/>
        <stp>##V3_BDPV12</stp>
        <stp>SNGSP RX EQUITY</stp>
        <stp>BDVD_NEXT_EST_DECL_DT</stp>
        <stp>[upload (2).xlsm]Model Portfolio!R11C31</stp>
        <tr r="AE11" s="98"/>
      </tp>
      <tp t="s">
        <v>USD</v>
        <stp/>
        <stp>##V3_BDPV12</stp>
        <stp>VEON US Equity</stp>
        <stp>CRNCY</stp>
        <stp>[Copy of upload (2).xlsm]Гарез_GRENF!R4C11</stp>
        <tr r="K4" s="115"/>
      </tp>
      <tp>
        <v>23.19266</v>
        <stp/>
        <stp>##V3_BDPV12</stp>
        <stp>TRMK RX EQUITY</stp>
        <stp>CHG_PCT_1YR</stp>
        <stp>[upload (2).xlsm]Model Portfolio!R21C6</stp>
        <tr r="F21" s="98"/>
      </tp>
      <tp t="s">
        <v>RUSSIAN STAND BK (RSF)</v>
        <stp/>
        <stp>##V3_BDPV12</stp>
        <stp>XS0953323317 Corp</stp>
        <stp>name</stp>
        <stp>[upload (2).xlsm]Base all $ 3 Duration!R118C1</stp>
        <tr r="A118" s="66"/>
      </tp>
      <tp>
        <v>-4.7704620000000002</v>
        <stp/>
        <stp>##V3_BDPV12</stp>
        <stp>LKOH RX EQUITY</stp>
        <stp>CHG_PCT_1YR</stp>
        <stp>[upload (2).xlsm]Model Portfolio!R13C6</stp>
        <tr r="F13" s="98"/>
      </tp>
      <tp>
        <v>3.9108643000000001</v>
        <stp/>
        <stp>##V3_BDPV12</stp>
        <stp>XS0088543193 Corp</stp>
        <stp>YLD_CNV_BID</stp>
        <stp>[Copy of upload (2).xlsm]Гарез_GRENF!R11C20</stp>
        <tr r="T11" s="115"/>
      </tp>
      <tp>
        <v>49.892989999999998</v>
        <stp/>
        <stp>##V3_BDPV12</stp>
        <stp>OGKB RX EQUITY</stp>
        <stp>CHG_PCT_1YR</stp>
        <stp>[upload (2).xlsm]Model Portfolio!R57C6</stp>
        <tr r="F57" s="98"/>
      </tp>
      <tp>
        <v>200968.1</v>
        <stp/>
        <stp>##V3_BDPV12</stp>
        <stp>OKEY LI EQUITY</stp>
        <stp>AVG_DAILY_VALUE_TRADED_6M</stp>
        <stp>[upload (2).xlsm]Model Portfolio!R39C12</stp>
        <tr r="L39" s="98"/>
      </tp>
      <tp>
        <v>60.118169999999999</v>
        <stp/>
        <stp>##V3_BDPV12</stp>
        <stp>YNDX US EQUITY</stp>
        <stp>CHG_PCT_1YR</stp>
        <stp>[upload (2).xlsm]Model Portfolio!R43C6</stp>
        <tr r="F43" s="98"/>
      </tp>
      <tp>
        <v>-9.5316310000000001E-2</v>
        <stp/>
        <stp>##V3_BDPV12</stp>
        <stp>HYDR RX EQUITY</stp>
        <stp>CHG_PCT_1YR</stp>
        <stp>[upload (2).xlsm]Model Portfolio!R58C6</stp>
        <tr r="F58" s="98"/>
      </tp>
      <tp>
        <v>-9.1165430000000001</v>
        <stp/>
        <stp>##V3_BDPV12</stp>
        <stp>LXFT US EQUITY</stp>
        <stp>CHG_PCT_1YR</stp>
        <stp>[upload (2).xlsm]Model Portfolio!R41C6</stp>
        <tr r="F41" s="98"/>
      </tp>
      <tp>
        <v>8.4786470000000005</v>
        <stp/>
        <stp>##V3_BDPV12</stp>
        <stp>OGKB RX EQUITY</stp>
        <stp>CHG_PCT_YTD</stp>
        <stp>[upload (2).xlsm]Model Portfolio!R57C7</stp>
        <tr r="G57" s="98"/>
      </tp>
      <tp>
        <v>-0.35897440000000003</v>
        <stp/>
        <stp>##V3_BDPV12</stp>
        <stp>LKOH RX EQUITY</stp>
        <stp>CHG_PCT_WTD</stp>
        <stp>[upload (2).xlsm]Model Portfolio!R13C4</stp>
        <tr r="D13" s="98"/>
      </tp>
      <tp>
        <v>-1.2647060000000001</v>
        <stp/>
        <stp>##V3_BDPV12</stp>
        <stp>TRMK RX EQUITY</stp>
        <stp>CHG_PCT_WTD</stp>
        <stp>[upload (2).xlsm]Model Portfolio!R21C4</stp>
        <tr r="D21" s="98"/>
      </tp>
      <tp>
        <v>-15.01266</v>
        <stp/>
        <stp>##V3_BDPV12</stp>
        <stp>TRMK RX EQUITY</stp>
        <stp>CHG_PCT_YTD</stp>
        <stp>[upload (2).xlsm]Model Portfolio!R21C7</stp>
        <tr r="G21" s="98"/>
      </tp>
      <tp>
        <v>-15.497249999999999</v>
        <stp/>
        <stp>##V3_BDPV12</stp>
        <stp>LKOH RX EQUITY</stp>
        <stp>CHG_PCT_YTD</stp>
        <stp>[upload (2).xlsm]Model Portfolio!R13C7</stp>
        <tr r="G13" s="98"/>
      </tp>
      <tp>
        <v>2.5118019999999999</v>
        <stp/>
        <stp>##V3_BDPV12</stp>
        <stp>OGKB RX EQUITY</stp>
        <stp>CHG_PCT_WTD</stp>
        <stp>[upload (2).xlsm]Model Portfolio!R57C4</stp>
        <tr r="D57" s="98"/>
      </tp>
      <tp>
        <v>7.5825348999999997</v>
        <stp/>
        <stp>##V3_BDPV12</stp>
        <stp>XS1042215480 Corp</stp>
        <stp>YLD_YTM_ask</stp>
        <stp>[upload (2).xlsm]Base all $ 3 Duration!R120C7</stp>
        <tr r="G120" s="66"/>
      </tp>
      <tp>
        <v>-10.851900000000001</v>
        <stp/>
        <stp>##V3_BDPV12</stp>
        <stp>HYDR RX EQUITY</stp>
        <stp>CHG_PCT_YTD</stp>
        <stp>[upload (2).xlsm]Model Portfolio!R58C7</stp>
        <tr r="G58" s="98"/>
      </tp>
      <tp>
        <v>22.702502500000001</v>
        <stp/>
        <stp>##V3_BDPV12</stp>
        <stp>XS0925043100 Corp</stp>
        <stp>YLD_YTM_ask</stp>
        <stp>[upload (2).xlsm]Base all $ 3 Duration!R100C7</stp>
        <tr r="G100" s="66"/>
      </tp>
      <tp t="s">
        <v>Subordinated</v>
        <stp/>
        <stp>##V3_BDPV12</stp>
        <stp>XS0275728557 Corp</stp>
        <stp>PAYMENT_RANK</stp>
        <stp>[upload (2).xlsm]Base all $ 3 Duration!R8C14</stp>
        <tr r="N8" s="66"/>
      </tp>
      <tp>
        <v>5.0802453929681111</v>
        <stp/>
        <stp>##V3_BDPV12</stp>
        <stp>XS1032750165 Corp</stp>
        <stp>YLD_YTM_ask</stp>
        <stp>[upload (2).xlsm]Base all $ 3 Duration!R132C7</stp>
        <tr r="G132" s="66"/>
      </tp>
      <tp>
        <v>2.6043270000000001</v>
        <stp/>
        <stp>##V3_BDPV12</stp>
        <stp>YNDX US EQUITY</stp>
        <stp>CHG_PCT_WTD</stp>
        <stp>[upload (2).xlsm]Model Portfolio!R43C4</stp>
        <tr r="D43" s="98"/>
      </tp>
      <tp>
        <v>-13.967969999999999</v>
        <stp/>
        <stp>##V3_BDPV12</stp>
        <stp>LXFT US EQUITY</stp>
        <stp>CHG_PCT_YTD</stp>
        <stp>[upload (2).xlsm]Model Portfolio!R41C7</stp>
        <tr r="G41" s="98"/>
      </tp>
      <tp>
        <v>8.6138628397283572</v>
        <stp/>
        <stp>##V3_BDPV12</stp>
        <stp>XS0848137708 Corp</stp>
        <stp>YLD_YTM_ask</stp>
        <stp>[upload (2).xlsm]Base all $ 3 Duration!R122C7</stp>
        <tr r="G122" s="66"/>
      </tp>
      <tp>
        <v>0.73145570000000004</v>
        <stp/>
        <stp>##V3_BDPV12</stp>
        <stp>LXFT US EQUITY</stp>
        <stp>CHG_PCT_WTD</stp>
        <stp>[upload (2).xlsm]Model Portfolio!R41C4</stp>
        <tr r="D41" s="98"/>
      </tp>
      <tp>
        <v>61.549930000000003</v>
        <stp/>
        <stp>##V3_BDPV12</stp>
        <stp>YNDX US EQUITY</stp>
        <stp>CHG_PCT_YTD</stp>
        <stp>[upload (2).xlsm]Model Portfolio!R43C7</stp>
        <tr r="G43" s="98"/>
      </tp>
      <tp t="s">
        <v>#N/A N/A</v>
        <stp/>
        <stp>##V3_BDPV12</stp>
        <stp>XS0632887997 Corp</stp>
        <stp>YLD_YTM_ask</stp>
        <stp>[upload (2).xlsm]Base all $ 3 Duration!R125C7</stp>
        <tr r="G125" s="66"/>
      </tp>
      <tp>
        <v>6.3646350000000004E-2</v>
        <stp/>
        <stp>##V3_BDPV12</stp>
        <stp>HYDR RX EQUITY</stp>
        <stp>CHG_PCT_WTD</stp>
        <stp>[upload (2).xlsm]Model Portfolio!R58C4</stp>
        <tr r="D58" s="98"/>
      </tp>
      <tp t="s">
        <v>RU</v>
        <stp/>
        <stp>##V3_BDPV12</stp>
        <stp>XS0357281558 Corp</stp>
        <stp>CNTRY_OF_RISK</stp>
        <stp>[upload (2).xlsm]Base all $ 3 Duration!R69C13</stp>
        <tr r="M69" s="66"/>
      </tp>
      <tp t="s">
        <v>RU</v>
        <stp/>
        <stp>##V3_BDPV12</stp>
        <stp>XS0993279958 Corp</stp>
        <stp>CNTRY_OF_RISK</stp>
        <stp>[upload (2).xlsm]Base all $ 3 Duration!R13C13</stp>
        <tr r="M13" s="66"/>
      </tp>
      <tp>
        <v>1.9078047291595597</v>
        <stp/>
        <stp>##V3_BDPV12</stp>
        <stp>PHOR RX EQUITY</stp>
        <stp>NET_DEBT_TO_EBITDA</stp>
        <stp>[upload (2).xlsm]Model Portfolio!R32C20</stp>
        <tr r="T32" s="98"/>
      </tp>
      <tp t="s">
        <v>RU</v>
        <stp/>
        <stp>##V3_BDPV12</stp>
        <stp>XS0776121062 Corp</stp>
        <stp>CNTRY_OF_RISK</stp>
        <stp>[upload (2).xlsm]Base all $ 3 Duration!R27C13</stp>
        <tr r="M27" s="66"/>
      </tp>
      <tp t="s">
        <v>RU</v>
        <stp/>
        <stp>##V3_BDPV12</stp>
        <stp>XS0616784509 Corp</stp>
        <stp>CNTRY_OF_RISK</stp>
        <stp>[upload (2).xlsm]Base all $ 3 Duration!R24C13</stp>
        <tr r="M24" s="66"/>
      </tp>
      <tp t="s">
        <v>RU</v>
        <stp/>
        <stp>##V3_BDPV12</stp>
        <stp>XS0236336045 Corp</stp>
        <stp>CNTRY_OF_RISK</stp>
        <stp>[upload (2).xlsm]Base all $ 3 Duration!R97C13</stp>
        <tr r="M97" s="66"/>
      </tp>
      <tp t="s">
        <v>SEVERSTAL</v>
        <stp/>
        <stp>##V3_BDPV12</stp>
        <stp>CHMF RX EQUITY</stp>
        <stp>SHORT_NAME</stp>
        <stp>[upload (2).xlsm]Model Portfolio!R25C2</stp>
        <tr r="B25" s="98"/>
      </tp>
      <tp t="s">
        <v>#N/A N/A</v>
        <stp/>
        <stp>##V3_BDPV12</stp>
        <stp>XS0848137708 Corp</stp>
        <stp>RTG_fitch</stp>
        <stp>[upload (2).xlsm]Base all $ 3 Duration!R122C10</stp>
        <tr r="J122" s="66"/>
      </tp>
      <tp t="s">
        <v>BB+ /*-</v>
        <stp/>
        <stp>##V3_BDPV12</stp>
        <stp>XS0921331509 Corp</stp>
        <stp>RTG_fitch</stp>
        <stp>[upload (2).xlsm]Base all $ 3 Duration!R144C10</stp>
        <tr r="J144" s="66"/>
        <tr r="J144" s="66"/>
      </tp>
      <tp t="s">
        <v>RU</v>
        <stp/>
        <stp>##V3_BDPV12</stp>
        <stp>XS0808636913 Corp</stp>
        <stp>CNTRY_OF_RISK</stp>
        <stp>[upload (2).xlsm]Base all $ 3 Duration!R17C13</stp>
        <tr r="M17" s="66"/>
      </tp>
      <tp t="s">
        <v>RU</v>
        <stp/>
        <stp>##V3_BDPV12</stp>
        <stp>XS0955232854 Corp</stp>
        <stp>CNTRY_OF_RISK</stp>
        <stp>[upload (2).xlsm]Base all $ 3 Duration!R45C13</stp>
        <tr r="M45" s="66"/>
      </tp>
      <tp t="s">
        <v>#N/A N/A</v>
        <stp/>
        <stp>##V3_BDPV12</stp>
        <stp>XS0810596832 Corp</stp>
        <stp>RTG_fitch</stp>
        <stp>[upload (2).xlsm]Base all $ 3 Duration!R121C10</stp>
        <tr r="J121" s="66"/>
      </tp>
      <tp t="s">
        <v>WD</v>
        <stp/>
        <stp>##V3_BDPV12</stp>
        <stp>XS0223715920 Corp</stp>
        <stp>RTG_fitch</stp>
        <stp>[upload (2).xlsm]Base all $ 3 Duration!R137C10</stp>
        <tr r="J137" s="66"/>
        <tr r="J137" s="66"/>
      </tp>
      <tp t="s">
        <v>ENEL RUSSIA</v>
        <stp/>
        <stp>##V3_BDPV12</stp>
        <stp>ENRU RM EQUITY</stp>
        <stp>SHORT_NAME</stp>
        <stp>[upload (2).xlsm]Model Portfolio!R53C2</stp>
        <tr r="B53" s="98"/>
      </tp>
      <tp t="s">
        <v>#N/A N/A</v>
        <stp/>
        <stp>##V3_BDPV12</stp>
        <stp>ALRS RX EQUITY</stp>
        <stp>PCT_REVENUE_FROM_FOREIGN_SOURCES</stp>
        <stp>[upload (2).xlsm]Model Portfolio!R5C30</stp>
        <tr r="AD5" s="98"/>
      </tp>
      <tp t="s">
        <v>BBB-</v>
        <stp/>
        <stp>##V3_BDPV12</stp>
        <stp>XS0864383723 Corp</stp>
        <stp>RTG_fitch</stp>
        <stp>[upload (2).xlsm]Base all $ 3 Duration!R147C10</stp>
        <tr r="J147" s="66"/>
        <tr r="J147" s="66"/>
      </tp>
      <tp>
        <v>9.208786521646406E-2</v>
        <stp/>
        <stp>##V3_BDPV12</stp>
        <stp>YNDX US EQUITY</stp>
        <stp>NET_DEBT_TO_EBITDA</stp>
        <stp>[upload (2).xlsm]Model Portfolio!R43C20</stp>
        <tr r="T43" s="98"/>
      </tp>
      <tp t="s">
        <v>#N/A N/A</v>
        <stp/>
        <stp>##V3_BDPV12</stp>
        <stp>XS0559915961 Corp</stp>
        <stp>RTG_moody</stp>
        <stp>[upload (2).xlsm]Base all $ 3 Duration!R135C10</stp>
        <tr r="J135" s="66"/>
      </tp>
      <tp>
        <v>94.925079999999994</v>
        <stp/>
        <stp>##V3_BDPV12</stp>
        <stp>EPAM US EQUITY</stp>
        <stp>EQY_FREE_FLOAT_PCT</stp>
        <stp>[upload (2).xlsm]Model Portfolio!R42C11</stp>
        <tr r="K42" s="98"/>
      </tp>
      <tp t="s">
        <v>DIXY</v>
        <stp/>
        <stp>##V3_BDPV12</stp>
        <stp>DIXY RX EQUITY</stp>
        <stp>SHORT_NAME</stp>
        <stp>[upload (2).xlsm]Model Portfolio!R34C2</stp>
        <tr r="B34" s="98"/>
      </tp>
      <tp t="s">
        <v>NR</v>
        <stp/>
        <stp>##V3_BDPV12</stp>
        <stp>XS0979891925 Corp</stp>
        <stp>RTG_moody</stp>
        <stp>[upload (2).xlsm]Base all $ 3 Duration!R124C10</stp>
        <tr r="J124" s="66"/>
        <tr r="J124" s="66"/>
      </tp>
      <tp>
        <v>1.7084421728546821</v>
        <stp/>
        <stp>##V3_BDPV12</stp>
        <stp>MFON RX EQUITY</stp>
        <stp>NET_DEBT_TO_EBITDA</stp>
        <stp>[upload (2).xlsm]Model Portfolio!R62C20</stp>
        <tr r="T62" s="98"/>
      </tp>
      <tp t="s">
        <v>#N/A N/A</v>
        <stp/>
        <stp>##V3_BDPV12</stp>
        <stp>HGM LN EQUITY</stp>
        <stp>PCT_REVENUE_FROM_FOREIGN_SOURCES</stp>
        <stp>[upload (2).xlsm]Model Portfolio!R4C30</stp>
        <tr r="AD4" s="98"/>
      </tp>
      <tp>
        <v>0.45238680885008908</v>
        <stp/>
        <stp>##V3_BDPV12</stp>
        <stp>LKOH RX EQUITY</stp>
        <stp>NET_DEBT_TO_EBITDA</stp>
        <stp>[upload (2).xlsm]Model Portfolio!R13C20</stp>
        <tr r="T13" s="98"/>
      </tp>
      <tp t="s">
        <v>USD</v>
        <stp/>
        <stp>##V3_BDPV12</stp>
        <stp>XS0493579238 Corp</stp>
        <stp>CRNCY</stp>
        <stp>[upload (2).xlsm]Base all $ 3 Duration!R7C12</stp>
        <tr r="L7" s="66"/>
      </tp>
      <tp>
        <v>10</v>
        <stp/>
        <stp>##V3_BDPV12</stp>
        <stp>KMG LI EQUITY</stp>
        <stp>PX_LAST</stp>
        <stp>[upload (2).xlsm]Model Portfolio!R9C3</stp>
        <tr r="C9" s="98"/>
      </tp>
      <tp t="s">
        <v>RU</v>
        <stp/>
        <stp>##V3_BDPV12</stp>
        <stp>XS0238091507 Corp</stp>
        <stp>CNTRY_OF_RISK</stp>
        <stp>[upload (2).xlsm]Base all $ 3 Duration!R5C13</stp>
        <tr r="M5" s="66"/>
      </tp>
      <tp t="s">
        <v>GAZPROM NEFT (GPN CAPITA</v>
        <stp/>
        <stp>##V3_BDPV12</stp>
        <stp>XS0997544860 Corp</stp>
        <stp>name</stp>
        <stp>[upload (2).xlsm]Base all $ 3 Duration!R136C1</stp>
        <tr r="A136" s="66"/>
      </tp>
      <tp>
        <v>-13.744429999999999</v>
        <stp/>
        <stp>##V3_BDPV12</stp>
        <stp>MFON RX EQUITY</stp>
        <stp>CHG_PCT_1YR</stp>
        <stp>[upload (2).xlsm]Model Portfolio!R62C6</stp>
        <tr r="F62" s="98"/>
      </tp>
      <tp t="s">
        <v>HCFB LLC(EURASIA CAP SA)</v>
        <stp/>
        <stp>##V3_BDPV12</stp>
        <stp>XS0981028177 Corp</stp>
        <stp>name</stp>
        <stp>[upload (2).xlsm]Base all $ 3 Duration!R119C1</stp>
        <tr r="A119" s="66"/>
      </tp>
      <tp>
        <v>-18.982839999999999</v>
        <stp/>
        <stp>##V3_BDPV12</stp>
        <stp>RTKM RX EQUITY</stp>
        <stp>CHG_PCT_1YR</stp>
        <stp>[upload (2).xlsm]Model Portfolio!R66C6</stp>
        <tr r="F66" s="98"/>
      </tp>
      <tp t="s">
        <v>VTB BANK (VTB EURASIA)</v>
        <stp/>
        <stp>##V3_BDPV12</stp>
        <stp>XS0810596832 Corp</stp>
        <stp>name</stp>
        <stp>[upload (2).xlsm]Base all $ 3 Duration!R121C1</stp>
        <tr r="A121" s="66"/>
      </tp>
      <tp>
        <v>100.6884</v>
        <stp/>
        <stp>##V3_BDPV12</stp>
        <stp>XS0996297544 Corp</stp>
        <stp>px_last</stp>
        <stp>[upload (2).xlsm]Base all $ 3 Duration!R9C4</stp>
        <tr r="D9" s="66"/>
      </tp>
      <tp t="s">
        <v>USD</v>
        <stp/>
        <stp>##V3_BDPV12</stp>
        <stp>XS1255387976 Corp</stp>
        <stp>CRNCY</stp>
        <stp>[Copy of upload (2).xlsm]Гарез_GRENF!R19C15</stp>
        <tr r="O19" s="115"/>
      </tp>
      <tp>
        <v>493339500</v>
        <stp/>
        <stp>##V3_BDPV12</stp>
        <stp>MTSS RX EQUITY</stp>
        <stp>AVG_DAILY_VALUE_TRADED_6M</stp>
        <stp>[upload (2).xlsm]Model Portfolio!R67C12</stp>
        <tr r="L67" s="98"/>
      </tp>
      <tp>
        <v>157806600</v>
        <stp/>
        <stp>##V3_BDPV12</stp>
        <stp>MTLR RX EQUITY</stp>
        <stp>AVG_DAILY_VALUE_TRADED_6M</stp>
        <stp>[upload (2).xlsm]Model Portfolio!R24C12</stp>
        <tr r="L24" s="98"/>
      </tp>
    </main>
    <main first="bloomberg.rtd">
      <tp>
        <v>163883800</v>
        <stp/>
        <stp>##V3_BDPV12</stp>
        <stp>RTKM RX EQUITY</stp>
        <stp>AVG_DAILY_VALUE_TRADED_6M</stp>
        <stp>[upload (2).xlsm]Model Portfolio!R66C12</stp>
        <tr r="L66" s="98"/>
      </tp>
      <tp>
        <v>10.479645304312777</v>
        <stp/>
        <stp>##V3_BDPV12</stp>
        <stp>BANEP RX EQUITY</stp>
        <stp>BDVD_PROJ_12M_YLD</stp>
        <stp>[upload (2).xlsm]Model Portfolio!R8C27</stp>
        <tr r="AA8" s="98"/>
      </tp>
      <tp>
        <v>-9.1195979999999999</v>
        <stp/>
        <stp>##V3_BDPV12</stp>
        <stp>SNGSP RX EQUITY</stp>
        <stp>CHG_PCT_1YR</stp>
        <stp>[upload (2).xlsm]Model Portfolio!R11C6</stp>
        <tr r="F11" s="98"/>
      </tp>
      <tp>
        <v>-11.91489</v>
        <stp/>
        <stp>##V3_BDPV12</stp>
        <stp>PHOR RX EQUITY</stp>
        <stp>CHG_PCT_1YR</stp>
        <stp>[upload (2).xlsm]Model Portfolio!R32C6</stp>
        <tr r="F32" s="98"/>
      </tp>
      <tp>
        <v>116.3943</v>
        <stp/>
        <stp>##V3_BDPV12</stp>
        <stp>GLTR LI EQUITY</stp>
        <stp>CHG_PCT_1YR</stp>
        <stp>[upload (2).xlsm]Model Portfolio!R48C6</stp>
        <tr r="F48" s="98"/>
      </tp>
      <tp>
        <v>4</v>
        <stp/>
        <stp>##V3_BDPV12</stp>
        <stp>KMG LI Equity</stp>
        <stp>EQY_REC_CONS</stp>
        <stp>[Copy of upload (2).xlsm]Гарез_GRENF!R5C10</stp>
        <tr r="J5" s="115"/>
      </tp>
      <tp>
        <v>0.1666667</v>
        <stp/>
        <stp>##V3_BDPV12</stp>
        <stp>RTKM RX EQUITY</stp>
        <stp>CHG_PCT_WTD</stp>
        <stp>[upload (2).xlsm]Model Portfolio!R66C4</stp>
        <tr r="D66" s="98"/>
      </tp>
      <tp>
        <v>3.1578949999999999</v>
        <stp/>
        <stp>##V3_BDPV12</stp>
        <stp>POLY RX Equity</stp>
        <stp>EQY_REC_CONS</stp>
        <stp>[Copy of upload (2).xlsm]Гарез_GRENF!R9C10</stp>
        <tr r="J9" s="115"/>
      </tp>
      <tp>
        <v>0.48467850000000001</v>
        <stp/>
        <stp>##V3_BDPV12</stp>
        <stp>MFON RX EQUITY</stp>
        <stp>CHG_PCT_WTD</stp>
        <stp>[upload (2).xlsm]Model Portfolio!R62C4</stp>
        <tr r="D62" s="98"/>
      </tp>
      <tp>
        <v>4733</v>
        <stp/>
        <stp>##V3_BDPV12</stp>
        <stp>PLZL RX EQUITY</stp>
        <stp>PX_LAST</stp>
        <stp>[upload (2).xlsm]Model Portfolio!R2C3</stp>
        <tr r="C2" s="98"/>
      </tp>
      <tp>
        <v>0.1552837</v>
        <stp/>
        <stp>##V3_BDPV12</stp>
        <stp>MFON RX EQUITY</stp>
        <stp>CHG_PCT_YTD</stp>
        <stp>[upload (2).xlsm]Model Portfolio!R62C7</stp>
        <tr r="G62" s="98"/>
      </tp>
      <tp>
        <v>-21.297619999999998</v>
        <stp/>
        <stp>##V3_BDPV12</stp>
        <stp>RTKM RX EQUITY</stp>
        <stp>CHG_PCT_YTD</stp>
        <stp>[upload (2).xlsm]Model Portfolio!R66C7</stp>
        <tr r="G66" s="98"/>
      </tp>
      <tp>
        <v>-10.196440000000001</v>
        <stp/>
        <stp>##V3_BDPV12</stp>
        <stp>SNGSP RX EQUITY</stp>
        <stp>CHG_PCT_YTD</stp>
        <stp>[upload (2).xlsm]Model Portfolio!R11C7</stp>
        <tr r="G11" s="98"/>
      </tp>
      <tp t="s">
        <v>Subordinated</v>
        <stp/>
        <stp>##V3_BDPV12</stp>
        <stp>XS0996297544 Corp</stp>
        <stp>PAYMENT_RANK</stp>
        <stp>[upload (2).xlsm]Base all $ 3 Duration!R9C14</stp>
        <tr r="N9" s="66"/>
      </tp>
      <tp>
        <v>-12.389379999999999</v>
        <stp/>
        <stp>##V3_BDPV12</stp>
        <stp>PHOR RX EQUITY</stp>
        <stp>CHG_PCT_YTD</stp>
        <stp>[upload (2).xlsm]Model Portfolio!R32C7</stp>
        <tr r="G32" s="98"/>
      </tp>
      <tp>
        <v>64.090500000000006</v>
        <stp/>
        <stp>##V3_BDPV12</stp>
        <stp>GLTR LI EQUITY</stp>
        <stp>CHG_PCT_YTD</stp>
        <stp>[upload (2).xlsm]Model Portfolio!R48C7</stp>
        <tr r="G48" s="98"/>
      </tp>
      <tp t="s">
        <v>IMHRUS 10 3/4 12/28/18</v>
        <stp/>
        <stp>##V3_BDPV12</stp>
        <stp>XS1255387976 Corp</stp>
        <stp>SECURITY_NAME</stp>
        <stp>[Copy of upload (2).xlsm]Гарез_GRENF (2)!R19C2</stp>
        <tr r="B19" s="116"/>
      </tp>
      <tp>
        <v>3.2352935</v>
        <stp/>
        <stp>##V3_BDPV12</stp>
        <stp>XS0708813810 Corp</stp>
        <stp>YLD_YTM_ask</stp>
        <stp>[upload (2).xlsm]Base all $ 3 Duration!R153C7</stp>
        <tr r="G153" s="66"/>
      </tp>
      <tp>
        <v>3.1720095000000001</v>
        <stp/>
        <stp>##V3_BDPV12</stp>
        <stp>XS0918297382 Corp</stp>
        <stp>YLD_YTM_ask</stp>
        <stp>[upload (2).xlsm]Base all $ 3 Duration!R106C7</stp>
        <tr r="G106" s="66"/>
      </tp>
      <tp>
        <v>5.8877311973068842</v>
        <stp/>
        <stp>##V3_BDPV12</stp>
        <stp>XS0223715920 Corp</stp>
        <stp>YLD_YTM_ask</stp>
        <stp>[upload (2).xlsm]Base all $ 3 Duration!R137C7</stp>
        <tr r="G137" s="66"/>
      </tp>
      <tp t="s">
        <v>RUSSIA 12 3/4 06/24/28</v>
        <stp/>
        <stp>##V3_BDPV12</stp>
        <stp>XS0088543193 Corp</stp>
        <stp>SECURITY_NAME</stp>
        <stp>[Copy of upload (2).xlsm]Гарез_GRENF (2)!R42C4</stp>
        <tr r="D42" s="116"/>
      </tp>
      <tp>
        <v>-0.68965520000000002</v>
        <stp/>
        <stp>##V3_BDPV12</stp>
        <stp>SNGSP RX EQUITY</stp>
        <stp>CHG_PCT_WTD</stp>
        <stp>[upload (2).xlsm]Model Portfolio!R11C4</stp>
        <tr r="D11" s="98"/>
      </tp>
      <tp>
        <v>0</v>
        <stp/>
        <stp>##V3_BDPV12</stp>
        <stp>PHOR RX EQUITY</stp>
        <stp>CHG_PCT_WTD</stp>
        <stp>[upload (2).xlsm]Model Portfolio!R32C4</stp>
        <tr r="D32" s="98"/>
      </tp>
      <tp>
        <v>1.532176</v>
        <stp/>
        <stp>##V3_BDPV12</stp>
        <stp>GLTR LI EQUITY</stp>
        <stp>CHG_PCT_WTD</stp>
        <stp>[upload (2).xlsm]Model Portfolio!R48C4</stp>
        <tr r="D48" s="98"/>
      </tp>
      <tp t="s">
        <v>RU</v>
        <stp/>
        <stp>##V3_BDPV12</stp>
        <stp>XS0366630902 Corp</stp>
        <stp>CNTRY_OF_RISK</stp>
        <stp>[upload (2).xlsm]Base all $ 3 Duration!R49C13</stp>
        <tr r="M49" s="66"/>
      </tp>
      <tp t="s">
        <v>#N/A N/A</v>
        <stp/>
        <stp>##V3_BDPV12</stp>
        <stp>HGM LN EQUITY</stp>
        <stp>BDVD_PROJ_12M_YLD</stp>
        <stp>[upload (2).xlsm]Model Portfolio!R4C27</stp>
        <tr r="AA4" s="98"/>
      </tp>
      <tp t="s">
        <v>#N/A N/A</v>
        <stp/>
        <stp>##V3_BDPV12</stp>
        <stp>KMG LI EQUITY</stp>
        <stp>BDVD_PROJ_12M_YLD</stp>
        <stp>[upload (2).xlsm]Model Portfolio!R9C27</stp>
        <tr r="AA9" s="98"/>
      </tp>
      <tp t="s">
        <v>#N/A N/A</v>
        <stp/>
        <stp>##V3_BDPV12</stp>
        <stp>MGNT RX EQUITY</stp>
        <stp>NET_DEBT_TO_EBITDA</stp>
        <stp>[upload (2).xlsm]Model Portfolio!R35C20</stp>
        <tr r="T35" s="98"/>
      </tp>
      <tp t="s">
        <v>RU</v>
        <stp/>
        <stp>##V3_BDPV12</stp>
        <stp>XS0799357354 Corp</stp>
        <stp>CNTRY_OF_RISK</stp>
        <stp>[upload (2).xlsm]Base all $ 3 Duration!R55C13</stp>
        <tr r="M55" s="66"/>
      </tp>
      <tp t="s">
        <v>GAZPROM NEFT</v>
        <stp/>
        <stp>##V3_BDPV12</stp>
        <stp>SIBN RX EQUITY</stp>
        <stp>SHORT_NAME</stp>
        <stp>[upload (2).xlsm]Model Portfolio!R15C2</stp>
        <tr r="B15" s="98"/>
      </tp>
      <tp t="s">
        <v>BBB-</v>
        <stp/>
        <stp>##V3_BDPV12</stp>
        <stp>XS0638572973 Corp</stp>
        <stp>RTG_fitch</stp>
        <stp>[upload (2).xlsm]Base all $ 3 Duration!R156C10</stp>
        <tr r="J156" s="66"/>
        <tr r="J156" s="66"/>
      </tp>
      <tp t="s">
        <v>WD</v>
        <stp/>
        <stp>##V3_BDPV12</stp>
        <stp>XS0805131439 Corp</stp>
        <stp>RTG_fitch</stp>
        <stp>[upload (2).xlsm]Base all $ 3 Duration!R126C10</stp>
        <tr r="J126" s="66"/>
        <tr r="J126" s="66"/>
      </tp>
      <tp t="s">
        <v>B+</v>
        <stp/>
        <stp>##V3_BDPV12</stp>
        <stp>XS0975320879 Corp</stp>
        <stp>RTG_fitch</stp>
        <stp>[upload (2).xlsm]Base all $ 3 Duration!R123C10</stp>
        <tr r="J123" s="66"/>
        <tr r="J123" s="66"/>
      </tp>
      <tp>
        <v>34.827300000000001</v>
        <stp/>
        <stp>##V3_BDPV12</stp>
        <stp>AFKS RX EQUITY</stp>
        <stp>EQY_FREE_FLOAT_PCT</stp>
        <stp>[upload (2).xlsm]Model Portfolio!R64C11</stp>
        <tr r="K64" s="98"/>
      </tp>
      <tp t="s">
        <v>RU</v>
        <stp/>
        <stp>##V3_BDPV12</stp>
        <stp>XS0993162170 Corp</stp>
        <stp>CNTRY_OF_RISK</stp>
        <stp>[upload (2).xlsm]Base all $ 3 Duration!R48C13</stp>
        <tr r="M48" s="66"/>
      </tp>
      <tp t="s">
        <v>BB</v>
        <stp/>
        <stp>##V3_BDPV12</stp>
        <stp>XS0918297382 Corp</stp>
        <stp>RTG_fitch</stp>
        <stp>[upload (2).xlsm]Base all $ 3 Duration!R106C10</stp>
        <tr r="J106" s="66"/>
        <tr r="J106" s="66"/>
      </tp>
      <tp t="s">
        <v>BBB-</v>
        <stp/>
        <stp>##V3_BDPV12</stp>
        <stp>XS0764220017 Corp</stp>
        <stp>RTG_fitch</stp>
        <stp>[upload (2).xlsm]Base all $ 3 Duration!R149C10</stp>
        <tr r="J149" s="66"/>
        <tr r="J149" s="66"/>
      </tp>
      <tp t="s">
        <v>RU</v>
        <stp/>
        <stp>##V3_BDPV12</stp>
        <stp>XS0304273948 Corp</stp>
        <stp>CNTRY_OF_RISK</stp>
        <stp>[upload (2).xlsm]Base all $ 3 Duration!R87C13</stp>
        <tr r="M87" s="66"/>
      </tp>
      <tp t="s">
        <v>RU</v>
        <stp/>
        <stp>##V3_BDPV12</stp>
        <stp>XS0796426228 Corp</stp>
        <stp>CNTRY_OF_RISK</stp>
        <stp>[upload (2).xlsm]Base all $ 3 Duration!R54C13</stp>
        <tr r="M54" s="66"/>
      </tp>
      <tp t="s">
        <v>RU</v>
        <stp/>
        <stp>##V3_BDPV12</stp>
        <stp>XS0919502434 Corp</stp>
        <stp>CNTRY_OF_RISK</stp>
        <stp>[upload (2).xlsm]Base all $ 3 Duration!R66C13</stp>
        <tr r="M66" s="66"/>
      </tp>
      <tp>
        <v>2.8141180000000001</v>
        <stp/>
        <stp>##V3_BDPV12</stp>
        <stp>MVID RX EQUITY</stp>
        <stp>CHG_PCT_1M</stp>
        <stp>[upload (2).xlsm]Model Portfolio!R38C5</stp>
        <tr r="E38" s="98"/>
      </tp>
      <tp>
        <v>44.21481</v>
        <stp/>
        <stp>##V3_BDPV12</stp>
        <stp>GMKN RX EQUITY</stp>
        <stp>EQY_FREE_FLOAT_PCT</stp>
        <stp>[upload (2).xlsm]Model Portfolio!R29C11</stp>
        <tr r="K29" s="98"/>
      </tp>
      <tp>
        <v>0.11916255776131347</v>
        <stp/>
        <stp>##V3_BDPV12</stp>
        <stp>MSNG RX EQUITY</stp>
        <stp>NET_DEBT_TO_EBITDA</stp>
        <stp>[upload (2).xlsm]Model Portfolio!R55C20</stp>
        <tr r="T55" s="98"/>
      </tp>
      <tp t="s">
        <v>Ba1u</v>
        <stp/>
        <stp>##V3_BDPV12</stp>
        <stp>XS0513723873 Corp</stp>
        <stp>RTG_moody</stp>
        <stp>[upload (2).xlsm]Base all $ 3 Duration!R110C10</stp>
        <tr r="J110" s="66"/>
        <tr r="J110" s="66"/>
      </tp>
      <tp>
        <v>31.623999999999999</v>
        <stp/>
        <stp>##V3_BDPV12</stp>
        <stp>RTKM RX EQUITY</stp>
        <stp>EQY_FREE_FLOAT_PCT</stp>
        <stp>[upload (2).xlsm]Model Portfolio!R66C11</stp>
        <tr r="K66" s="98"/>
      </tp>
      <tp>
        <v>0.7676184803246342</v>
        <stp/>
        <stp>##V3_BDPV12</stp>
        <stp>BANE RX EQUITY</stp>
        <stp>NET_DEBT_TO_EBITDA</stp>
        <stp>[upload (2).xlsm]Model Portfolio!R18C20</stp>
        <tr r="T18" s="98"/>
      </tp>
      <tp>
        <v>5.7986849999999999</v>
        <stp/>
        <stp>##V3_BDPV12</stp>
        <stp>LXFT US EQUITY</stp>
        <stp>CHG_PCT_1M</stp>
        <stp>[upload (2).xlsm]Model Portfolio!R41C5</stp>
        <tr r="E41" s="98"/>
      </tp>
      <tp>
        <v>92.773910000000001</v>
        <stp/>
        <stp>##V3_BDPV12</stp>
        <stp>PIKK RX EQUITY</stp>
        <stp>EQY_FREE_FLOAT_PCT</stp>
        <stp>[upload (2).xlsm]Model Portfolio!R68C11</stp>
        <tr r="K68" s="98"/>
      </tp>
      <tp t="s">
        <v>#N/A N/A</v>
        <stp/>
        <stp>##V3_BDPV12</stp>
        <stp>POG LN EQUITY</stp>
        <stp>BDVD_PROJ_12M_YLD</stp>
        <stp>[upload (2).xlsm]Model Portfolio!R7C27</stp>
        <tr r="AA7" s="98"/>
      </tp>
      <tp>
        <v>26.332599999999999</v>
        <stp/>
        <stp>##V3_BDPV12</stp>
        <stp>OGKB RX EQUITY</stp>
        <stp>EQY_FREE_FLOAT_PCT</stp>
        <stp>[upload (2).xlsm]Model Portfolio!R57C11</stp>
        <tr r="K57" s="98"/>
      </tp>
      <tp>
        <v>30.21932</v>
        <stp/>
        <stp>##V3_BDPV12</stp>
        <stp>URKA RX EQUITY</stp>
        <stp>EQY_FREE_FLOAT_PCT</stp>
        <stp>[upload (2).xlsm]Model Portfolio!R31C11</stp>
        <tr r="K31" s="98"/>
      </tp>
      <tp>
        <v>18.763750000000002</v>
        <stp/>
        <stp>##V3_BDPV12</stp>
        <stp>TGKA RX EQUITY</stp>
        <stp>EQY_FREE_FLOAT_PCT</stp>
        <stp>[upload (2).xlsm]Model Portfolio!R60C11</stp>
        <tr r="K60" s="98"/>
      </tp>
      <tp t="s">
        <v>#N/A N/A</v>
        <stp/>
        <stp>##V3_BDPV12</stp>
        <stp>SBERP RX EQUITY</stp>
        <stp>EBITDA_MARGIN</stp>
        <stp>[upload (2).xlsm]Model Portfolio!R76C23</stp>
        <tr r="W76" s="98"/>
      </tp>
      <tp>
        <v>405602700</v>
        <stp/>
        <stp>##V3_BDPV12</stp>
        <stp>HGM LN EQUITY</stp>
        <stp>AVG_DAILY_VALUE_TRADED_6M</stp>
        <stp>[upload (2).xlsm]Model Portfolio!R4C12</stp>
        <tr r="L4" s="98"/>
      </tp>
      <tp>
        <v>1400104</v>
        <stp/>
        <stp>##V3_BDPV12</stp>
        <stp>KMG LI EQUITY</stp>
        <stp>AVG_DAILY_VALUE_TRADED_6M</stp>
        <stp>[upload (2).xlsm]Model Portfolio!R9C12</stp>
        <tr r="L9" s="98"/>
      </tp>
      <tp>
        <v>35061580</v>
        <stp/>
        <stp>##V3_BDPV12</stp>
        <stp>POG LN EQUITY</stp>
        <stp>AVG_DAILY_VALUE_TRADED_6M</stp>
        <stp>[upload (2).xlsm]Model Portfolio!R7C12</stp>
        <tr r="L7" s="98"/>
      </tp>
      <tp t="s">
        <v>#N/A N/A</v>
        <stp/>
        <stp>##V3_BDPV12</stp>
        <stp>SNGSP RX EQUITY</stp>
        <stp>EST_EV_THIS_YR_EBITDA</stp>
        <stp>[upload (2).xlsm]Model Portfolio!R11C16</stp>
        <tr r="P11" s="98"/>
      </tp>
      <tp>
        <v>-11.49137</v>
        <stp/>
        <stp>##V3_BDPV12</stp>
        <stp>NVTK RX EQUITY</stp>
        <stp>CHG_PCT_1YR</stp>
        <stp>[upload (2).xlsm]Model Portfolio!R16C6</stp>
        <tr r="F16" s="98"/>
      </tp>
      <tp>
        <v>21576520</v>
        <stp/>
        <stp>##V3_BDPV12</stp>
        <stp>AKRN RX EQUITY</stp>
        <stp>AVG_DAILY_VALUE_TRADED_6M</stp>
        <stp>[upload (2).xlsm]Model Portfolio!R33C12</stp>
        <tr r="L33" s="98"/>
      </tp>
      <tp>
        <v>1820755000</v>
        <stp/>
        <stp>##V3_BDPV12</stp>
        <stp>LKOH RX EQUITY</stp>
        <stp>AVG_DAILY_VALUE_TRADED_6M</stp>
        <stp>[upload (2).xlsm]Model Portfolio!R13C12</stp>
        <tr r="L13" s="98"/>
      </tp>
      <tp>
        <v>-1.022767</v>
        <stp/>
        <stp>##V3_BDPV12</stp>
        <stp>NVTK RX EQUITY</stp>
        <stp>CHG_PCT_WTD</stp>
        <stp>[upload (2).xlsm]Model Portfolio!R16C4</stp>
        <tr r="D16" s="98"/>
      </tp>
      <tp>
        <v>-24.232859999999999</v>
        <stp/>
        <stp>##V3_BDPV12</stp>
        <stp>NVTK RX EQUITY</stp>
        <stp>CHG_PCT_YTD</stp>
        <stp>[upload (2).xlsm]Model Portfolio!R16C7</stp>
        <tr r="G16" s="98"/>
      </tp>
      <tp>
        <v>46971790</v>
        <stp/>
        <stp>##V3_BDPV12</stp>
        <stp>BANEP RX EQUITY</stp>
        <stp>AVG_DAILY_VALUE_TRADED_6M</stp>
        <stp>[upload (2).xlsm]Model Portfolio!R8C12</stp>
        <tr r="L8" s="98"/>
      </tp>
      <tp t="s">
        <v>URALKALI</v>
        <stp/>
        <stp>##V3_BDPV12</stp>
        <stp>URKA RX EQUITY</stp>
        <stp>SHORT_NAME</stp>
        <stp>[upload (2).xlsm]Model Portfolio!R31C2</stp>
        <tr r="B31" s="98"/>
      </tp>
      <tp>
        <v>0.54703418609916232</v>
        <stp/>
        <stp>##V3_BDPV12</stp>
        <stp>TATNP RX EQUITY</stp>
        <stp>NET_DEBT_TO_EBITDA</stp>
        <stp>[upload (2).xlsm]Model Portfolio!R19C20</stp>
        <tr r="T19" s="98"/>
      </tp>
      <tp>
        <v>-48.850576487792971</v>
        <stp/>
        <stp>##V3_BDPV12</stp>
        <stp>SVAV RX EQUITY</stp>
        <stp>EPS_GROWTH</stp>
        <stp>[upload (2).xlsm]Model Portfolio!R72C22</stp>
        <tr r="V72" s="98"/>
      </tp>
      <tp t="s">
        <v>BBB-</v>
        <stp/>
        <stp>##V3_BDPV12</stp>
        <stp>XS0461926569 Corp</stp>
        <stp>RTG_SP</stp>
        <stp>[upload (2).xlsm]Base all $ 3 Duration!R53C10</stp>
        <tr r="J53" s="66"/>
        <tr r="J53" s="66"/>
      </tp>
      <tp t="s">
        <v>BB</v>
        <stp/>
        <stp>##V3_BDPV12</stp>
        <stp>XS0361041808 Corp</stp>
        <stp>RTG_SP</stp>
        <stp>[upload (2).xlsm]Base all $ 3 Duration!R51C10</stp>
        <tr r="J51" s="66"/>
        <tr r="J51" s="66"/>
      </tp>
      <tp t="s">
        <v>NR</v>
        <stp/>
        <stp>##V3_BDPV12</stp>
        <stp>XS0652913558 Corp</stp>
        <stp>RTG_SP</stp>
        <stp>[upload (2).xlsm]Base all $ 3 Duration!R60C10</stp>
        <tr r="J60" s="66"/>
        <tr r="J60" s="66"/>
      </tp>
      <tp t="s">
        <v>#N/A N/A</v>
        <stp/>
        <stp>##V3_BDPV12</stp>
        <stp>GLPR LI EQUITY</stp>
        <stp>EPS_GROWTH</stp>
        <stp>[upload (2).xlsm]Model Portfolio!R46C22</stp>
        <tr r="V46" s="98"/>
      </tp>
      <tp t="s">
        <v>#N/A N/A</v>
        <stp/>
        <stp>##V3_BDPV12</stp>
        <stp>OKEY LI EQUITY</stp>
        <stp>EQY_FREE_FLOAT_PCT</stp>
        <stp>[upload (2).xlsm]Model Portfolio!R39C11</stp>
        <tr r="K39" s="98"/>
      </tp>
      <tp t="s">
        <v>B+</v>
        <stp/>
        <stp>##V3_BDPV12</stp>
        <stp>XS0618905219 Corp</stp>
        <stp>RTG_SP</stp>
        <stp>[upload (2).xlsm]Base all $ 3 Duration!R37C10</stp>
        <tr r="J37" s="66"/>
        <tr r="J37" s="66"/>
      </tp>
      <tp t="s">
        <v>TMK</v>
        <stp/>
        <stp>##V3_BDPV12</stp>
        <stp>TRMK RX EQUITY</stp>
        <stp>SHORT_NAME</stp>
        <stp>[upload (2).xlsm]Model Portfolio!R21C2</stp>
        <tr r="B21" s="98"/>
      </tp>
      <tp t="s">
        <v>BB+</v>
        <stp/>
        <stp>##V3_BDPV12</stp>
        <stp>XS0993162170 Corp</stp>
        <stp>RTG_SP</stp>
        <stp>[upload (2).xlsm]Base all $ 3 Duration!R48C10</stp>
        <tr r="J48" s="66"/>
        <tr r="J48" s="66"/>
      </tp>
      <tp t="s">
        <v>NR</v>
        <stp/>
        <stp>##V3_BDPV12</stp>
        <stp>XS0783291221 Corp</stp>
        <stp>RTG_SP</stp>
        <stp>[upload (2).xlsm]Base all $ 3 Duration!R72C10</stp>
        <tr r="J72" s="66"/>
        <tr r="J72" s="66"/>
      </tp>
      <tp t="s">
        <v>INTER RAO</v>
        <stp/>
        <stp>##V3_BDPV12</stp>
        <stp>IRAO RX EQUITY</stp>
        <stp>SHORT_NAME</stp>
        <stp>[upload (2).xlsm]Model Portfolio!R51C2</stp>
        <tr r="B51" s="98"/>
      </tp>
      <tp t="s">
        <v>NR</v>
        <stp/>
        <stp>##V3_BDPV12</stp>
        <stp>XS0588436799 Corp</stp>
        <stp>RTG_SP</stp>
        <stp>[upload (2).xlsm]Base all $ 3 Duration!R94C10</stp>
        <tr r="J94" s="66"/>
        <tr r="J94" s="66"/>
      </tp>
      <tp t="s">
        <v>#N/A N/A</v>
        <stp/>
        <stp>##V3_BDPV12</stp>
        <stp>KMAZ RX EQUITY</stp>
        <stp>EPS_GROWTH</stp>
        <stp>[upload (2).xlsm]Model Portfolio!R73C22</stp>
        <tr r="V73" s="98"/>
      </tp>
      <tp>
        <v>19.379909999999999</v>
        <stp/>
        <stp>##V3_BDPV12</stp>
        <stp>NMTP RX EQUITY</stp>
        <stp>EQY_FREE_FLOAT_PCT</stp>
        <stp>[upload (2).xlsm]Model Portfolio!R49C11</stp>
        <tr r="K49" s="98"/>
      </tp>
      <tp t="s">
        <v>USD</v>
        <stp/>
        <stp>##V3_BDPV12</stp>
        <stp>XS0772509484 Corp</stp>
        <stp>CRNCY</stp>
        <stp>[upload (2).xlsm]Base all $ 3 Duration!R78C12</stp>
        <tr r="L78" s="66"/>
      </tp>
      <tp>
        <v>43.810679999999998</v>
        <stp/>
        <stp>##V3_BDPV12</stp>
        <stp>TATN RX EQUITY</stp>
        <stp>EQY_FREE_FLOAT_PCT</stp>
        <stp>[upload (2).xlsm]Model Portfolio!R14C11</stp>
        <tr r="K14" s="98"/>
      </tp>
      <tp>
        <v>7.3253830000000004</v>
        <stp/>
        <stp>##V3_BDPV12</stp>
        <stp>PIKK RX EQUITY</stp>
        <stp>CHG_PCT_1M</stp>
        <stp>[upload (2).xlsm]Model Portfolio!R68C5</stp>
        <tr r="E68" s="98"/>
      </tp>
      <tp t="s">
        <v>USD</v>
        <stp/>
        <stp>##V3_BDPV12</stp>
        <stp>XS0863583281 Corp</stp>
        <stp>CRNCY</stp>
        <stp>[upload (2).xlsm]Base all $ 3 Duration!R67C12</stp>
        <tr r="L67" s="66"/>
      </tp>
      <tp t="s">
        <v>USD</v>
        <stp/>
        <stp>##V3_BDPV12</stp>
        <stp>XS0312572984 Corp</stp>
        <stp>CRNCY</stp>
        <stp>[upload (2).xlsm]Base all $ 3 Duration!R22C12</stp>
        <tr r="L22" s="66"/>
      </tp>
      <tp t="s">
        <v>AT MATURITY</v>
        <stp/>
        <stp>##V3_BDPV12</stp>
        <stp>XS0851672435 Corp</stp>
        <stp>MTY_TYP</stp>
        <stp>[upload (2).xlsm]Base all $ 3 Duration!R23C15</stp>
        <tr r="O23" s="66"/>
      </tp>
      <tp t="s">
        <v>#N/A N/A</v>
        <stp/>
        <stp>##V3_BDPV12</stp>
        <stp>KCEL LI EQUITY</stp>
        <stp>EQY_FREE_FLOAT_PCT</stp>
        <stp>[upload (2).xlsm]Model Portfolio!R65C11</stp>
        <tr r="K65" s="98"/>
      </tp>
      <tp>
        <v>11.817500000000001</v>
        <stp/>
        <stp>##V3_BDPV12</stp>
        <stp>NVTK RX EQUITY</stp>
        <stp>EQY_FREE_FLOAT_PCT</stp>
        <stp>[upload (2).xlsm]Model Portfolio!R16C11</stp>
        <tr r="K16" s="98"/>
      </tp>
      <tp>
        <v>-3.6471140000000002</v>
        <stp/>
        <stp>##V3_BDPV12</stp>
        <stp>AFLT RX EQUITY</stp>
        <stp>CHG_PCT_1M</stp>
        <stp>[upload (2).xlsm]Model Portfolio!R47C5</stp>
        <tr r="E47" s="98"/>
      </tp>
      <tp t="s">
        <v>USD</v>
        <stp/>
        <stp>##V3_BDPV12</stp>
        <stp>XS0708813653 Corp</stp>
        <stp>CRNCY</stp>
        <stp>[upload (2).xlsm]Base all $ 3 Duration!R93C12</stp>
        <tr r="L93" s="66"/>
      </tp>
      <tp>
        <v>11.10549</v>
        <stp/>
        <stp>##V3_BDPV12</stp>
        <stp>RSTI RX EQUITY</stp>
        <stp>EQY_FREE_FLOAT_PCT</stp>
        <stp>[upload (2).xlsm]Model Portfolio!R54C11</stp>
        <tr r="K54" s="98"/>
      </tp>
      <tp t="s">
        <v>AT MATURITY</v>
        <stp/>
        <stp>##V3_BDPV12</stp>
        <stp>XS0650962185 Corp</stp>
        <stp>MTY_TYP</stp>
        <stp>[upload (2).xlsm]Base all $ 3 Duration!R83C15</stp>
        <tr r="O83" s="66"/>
      </tp>
      <tp t="s">
        <v>MOBILE TELESYSTE</v>
        <stp/>
        <stp>##V3_BDPV12</stp>
        <stp>MTSS RX EQUITY</stp>
        <stp>SHORT_NAME</stp>
        <stp>[upload (2).xlsm]Model Portfolio!R67C2</stp>
        <tr r="B67" s="98"/>
      </tp>
      <tp t="s">
        <v>AT MATURITY</v>
        <stp/>
        <stp>##V3_BDPV12</stp>
        <stp>XS0848163456 Corp</stp>
        <stp>MTY_TYP</stp>
        <stp>[upload (2).xlsm]Base all $ 3 Duration!R18C15</stp>
        <tr r="O18" s="66"/>
      </tp>
      <tp t="s">
        <v>AT MATURITY</v>
        <stp/>
        <stp>##V3_BDPV12</stp>
        <stp>XS0955232854 Corp</stp>
        <stp>MTY_TYP</stp>
        <stp>[upload (2).xlsm]Base all $ 3 Duration!R45C15</stp>
        <tr r="O45" s="66"/>
      </tp>
      <tp>
        <v>171.16734269805968</v>
        <stp/>
        <stp>##V3_BDPV12</stp>
        <stp>IRAO RX EQUITY</stp>
        <stp>EPS_GROWTH</stp>
        <stp>[upload (2).xlsm]Model Portfolio!R51C22</stp>
        <tr r="V51" s="98"/>
      </tp>
      <tp t="s">
        <v>USD</v>
        <stp/>
        <stp>##V3_BDPV12</stp>
        <stp>XS0588436799 Corp</stp>
        <stp>CRNCY</stp>
        <stp>[upload (2).xlsm]Base all $ 3 Duration!R94C12</stp>
        <tr r="L94" s="66"/>
      </tp>
      <tp>
        <v>21.838170000000002</v>
        <stp/>
        <stp>##V3_BDPV12</stp>
        <stp>FXPO LN EQUITY</stp>
        <stp>CHG_PCT_1M</stp>
        <stp>[upload (2).xlsm]Model Portfolio!R27C5</stp>
        <tr r="E27" s="98"/>
      </tp>
      <tp t="s">
        <v>AT MATURITY</v>
        <stp/>
        <stp>##V3_BDPV12</stp>
        <stp>XS0361041808 Corp</stp>
        <stp>MTY_TYP</stp>
        <stp>[upload (2).xlsm]Base all $ 3 Duration!R51C15</stp>
        <tr r="O51" s="66"/>
      </tp>
      <tp>
        <v>-36.72533</v>
        <stp/>
        <stp>##V3_BDPV12</stp>
        <stp>BANEP RX EQUITY</stp>
        <stp>CHG_PCT_1YR</stp>
        <stp>[upload (2).xlsm]Model Portfolio!R8C6</stp>
        <tr r="F8" s="98"/>
      </tp>
      <tp>
        <v>2578241</v>
        <stp/>
        <stp>##V3_BDPV12</stp>
        <stp>ETLN LI EQUITY</stp>
        <stp>AVG_DAILY_VALUE_TRADED_6M</stp>
        <stp>[upload (2).xlsm]Model Portfolio!R70C12</stp>
        <tr r="L70" s="98"/>
      </tp>
      <tp t="s">
        <v>#N/A N/A</v>
        <stp/>
        <stp>##V3_BDPV12</stp>
        <stp>XS0878855773 Corp</stp>
        <stp>RTG_SP</stp>
        <stp>[upload (2).xlsm]Base all $ 3 Duration!R44C10</stp>
        <tr r="J44" s="66"/>
      </tp>
      <tp t="s">
        <v>ROSTELECOM</v>
        <stp/>
        <stp>##V3_BDPV12</stp>
        <stp>RTKM RX EQUITY</stp>
        <stp>SHORT_NAME</stp>
        <stp>[upload (2).xlsm]Model Portfolio!R66C2</stp>
        <tr r="B66" s="98"/>
      </tp>
      <tp t="s">
        <v>#N/A N/A</v>
        <stp/>
        <stp>##V3_BDPV12</stp>
        <stp>XS0955232854 Corp</stp>
        <stp>RTG_SP</stp>
        <stp>[upload (2).xlsm]Base all $ 3 Duration!R45C10</stp>
        <tr r="J45" s="66"/>
      </tp>
      <tp t="s">
        <v>CENTER FOR CARGO</v>
        <stp/>
        <stp>##V3_BDPV12</stp>
        <stp>TRCN RX EQUITY</stp>
        <stp>SHORT_NAME</stp>
        <stp>[upload (2).xlsm]Model Portfolio!R50C2</stp>
        <tr r="B50" s="98"/>
      </tp>
      <tp>
        <v>36.31579</v>
        <stp/>
        <stp>##V3_BDPV12</stp>
        <stp>FESH RX EQUITY</stp>
        <stp>CHG_PCT_1M</stp>
        <stp>[upload (2).xlsm]Model Portfolio!R45C5</stp>
        <tr r="E45" s="98"/>
      </tp>
      <tp t="s">
        <v>#N/A N/A</v>
        <stp/>
        <stp>##V3_BDPV12</stp>
        <stp>XS0888245122 Corp</stp>
        <stp>RTG_SP</stp>
        <stp>[upload (2).xlsm]Base all $ 3 Duration!R73C10</stp>
        <tr r="J73" s="66"/>
      </tp>
      <tp t="s">
        <v>AT MATURITY</v>
        <stp/>
        <stp>##V3_BDPV12</stp>
        <stp>XS0776121062 Corp</stp>
        <stp>MTY_TYP</stp>
        <stp>[upload (2).xlsm]Base all $ 3 Duration!R27C15</stp>
        <tr r="O27" s="66"/>
      </tp>
      <tp t="s">
        <v>AT MATURITY</v>
        <stp/>
        <stp>##V3_BDPV12</stp>
        <stp>XS0652913558 Corp</stp>
        <stp>MTY_TYP</stp>
        <stp>[upload (2).xlsm]Base all $ 3 Duration!R60C15</stp>
        <tr r="O60" s="66"/>
      </tp>
      <tp t="s">
        <v>AT MATURITY</v>
        <stp/>
        <stp>##V3_BDPV12</stp>
        <stp>XS0854763355 Corp</stp>
        <stp>MTY_TYP</stp>
        <stp>[upload (2).xlsm]Base all $ 3 Duration!R28C15</stp>
        <tr r="O28" s="66"/>
      </tp>
      <tp>
        <v>14.228590000000001</v>
        <stp/>
        <stp>##V3_BDPV12</stp>
        <stp>OGKB RX EQUITY</stp>
        <stp>CHG_PCT_1M</stp>
        <stp>[upload (2).xlsm]Model Portfolio!R57C5</stp>
        <tr r="E57" s="98"/>
      </tp>
      <tp t="s">
        <v>AT MATURITY</v>
        <stp/>
        <stp>##V3_BDPV12</stp>
        <stp>XS0922134712 Corp</stp>
        <stp>MTY_TYP</stp>
        <stp>[upload (2).xlsm]Base all $ 3 Duration!R76C15</stp>
        <tr r="O76" s="66"/>
      </tp>
      <tp t="s">
        <v>AT MATURITY</v>
        <stp/>
        <stp>##V3_BDPV12</stp>
        <stp>XS0861980372 Corp</stp>
        <stp>MTY_TYP</stp>
        <stp>[upload (2).xlsm]Base all $ 3 Duration!R80C15</stp>
        <tr r="O80" s="66"/>
      </tp>
      <tp t="s">
        <v>#N/A N/A</v>
        <stp/>
        <stp>##V3_BDPV12</stp>
        <stp>BSPB RX EQUITY</stp>
        <stp>NET_DEBT_TO_EBITDA</stp>
        <stp>[upload (2).xlsm]Model Portfolio!R77C20</stp>
        <tr r="T77" s="98"/>
      </tp>
      <tp t="s">
        <v>USD</v>
        <stp/>
        <stp>##V3_BDPV12</stp>
        <stp>XS0424860947 Corp</stp>
        <stp>CRNCY</stp>
        <stp>[upload (2).xlsm]Base all $ 3 Duration!R46C12</stp>
        <tr r="L46" s="66"/>
      </tp>
      <tp t="s">
        <v>USD</v>
        <stp/>
        <stp>##V3_BDPV12</stp>
        <stp>XS0648402583 Corp</stp>
        <stp>CRNCY</stp>
        <stp>[upload (2).xlsm]Base all $ 3 Duration!R92C12</stp>
        <tr r="L92" s="66"/>
      </tp>
      <tp t="s">
        <v>AT MATURITY</v>
        <stp/>
        <stp>##V3_BDPV12</stp>
        <stp>XS0808636913 Corp</stp>
        <stp>MTY_TYP</stp>
        <stp>[upload (2).xlsm]Base all $ 3 Duration!R17C15</stp>
        <tr r="O17" s="66"/>
      </tp>
      <tp t="s">
        <v>UNIPRO PJSC</v>
        <stp/>
        <stp>##V3_BDPV12</stp>
        <stp>UPRO RX EQUITY</stp>
        <stp>SHORT_NAME</stp>
        <stp>[upload (2).xlsm]Model Portfolio!R52C2</stp>
        <tr r="B52" s="98"/>
      </tp>
      <tp t="s">
        <v>AT MATURITY</v>
        <stp/>
        <stp>##V3_BDPV12</stp>
        <stp>XS0366630902 Corp</stp>
        <stp>MTY_TYP</stp>
        <stp>[upload (2).xlsm]Base all $ 3 Duration!R49C15</stp>
        <tr r="O49" s="66"/>
      </tp>
      <tp t="s">
        <v>AT MATURITY</v>
        <stp/>
        <stp>##V3_BDPV12</stp>
        <stp>XS0648402583 Corp</stp>
        <stp>MTY_TYP</stp>
        <stp>[upload (2).xlsm]Base all $ 3 Duration!R92C15</stp>
        <tr r="O92" s="66"/>
      </tp>
      <tp t="s">
        <v>AT MATURITY</v>
        <stp/>
        <stp>##V3_BDPV12</stp>
        <stp>XS0954673934 Corp</stp>
        <stp>MTY_TYP</stp>
        <stp>[upload (2).xlsm]Base all $ 3 Duration!R16C15</stp>
        <tr r="O16" s="66"/>
      </tp>
      <tp t="s">
        <v>AT MATURITY</v>
        <stp/>
        <stp>##V3_BDPV12</stp>
        <stp>XS0544362972 Corp</stp>
        <stp>MTY_TYP</stp>
        <stp>[upload (2).xlsm]Base all $ 3 Duration!R70C15</stp>
        <tr r="O70" s="66"/>
      </tp>
      <tp t="s">
        <v>USD</v>
        <stp/>
        <stp>##V3_BDPV12</stp>
        <stp>XS0652913558 Corp</stp>
        <stp>CRNCY</stp>
        <stp>[upload (2).xlsm]Base all $ 3 Duration!R60C12</stp>
        <tr r="L60" s="66"/>
      </tp>
      <tp t="s">
        <v>#N/A N/A</v>
        <stp/>
        <stp>##V3_BDPV12</stp>
        <stp>PLZL RX EQUITY</stp>
        <stp>PCT_REVENUE_FROM_FOREIGN_SOURCES</stp>
        <stp>[upload (2).xlsm]Model Portfolio!R2C30</stp>
        <tr r="AD2" s="98"/>
      </tp>
      <tp>
        <v>30.032985374305287</v>
        <stp/>
        <stp>##V3_BDPV12</stp>
        <stp>SNGSP RX EQUITY</stp>
        <stp>EBITDA_MARGIN</stp>
        <stp>[upload (2).xlsm]Model Portfolio!R11C23</stp>
        <tr r="W11" s="98"/>
      </tp>
      <tp t="s">
        <v>#N/A N/A</v>
        <stp/>
        <stp>##V3_BDPV12</stp>
        <stp>SBERP RX EQUITY</stp>
        <stp>EST_EV_THIS_YR_EBITDA</stp>
        <stp>[upload (2).xlsm]Model Portfolio!R76C16</stp>
        <tr r="P76" s="98"/>
      </tp>
      <tp t="s">
        <v>19/09/2017</v>
        <stp/>
        <stp>##V3_BDPV12</stp>
        <stp>TRNFP RX EQUITY</stp>
        <stp>DVD_RECORD_DT</stp>
        <stp>[upload (2).xlsm]Model Portfolio!R20C28</stp>
        <tr r="AB20" s="98"/>
      </tp>
      <tp>
        <v>19.78295</v>
        <stp/>
        <stp>##V3_BDPV12</stp>
        <stp>RSTI RX EQUITY</stp>
        <stp>CHG_PCT_1YR</stp>
        <stp>[upload (2).xlsm]Model Portfolio!R54C6</stp>
        <tr r="F54" s="98"/>
      </tp>
      <tp>
        <v>-16.969650000000001</v>
        <stp/>
        <stp>##V3_BDPV12</stp>
        <stp>UPRO RX EQUITY</stp>
        <stp>CHG_PCT_1YR</stp>
        <stp>[upload (2).xlsm]Model Portfolio!R52C6</stp>
        <tr r="F52" s="98"/>
      </tp>
      <tp>
        <v>21.368459999999999</v>
        <stp/>
        <stp>##V3_BDPV12</stp>
        <stp>TATN RX EQUITY</stp>
        <stp>CHG_PCT_1YR</stp>
        <stp>[upload (2).xlsm]Model Portfolio!R14C6</stp>
        <tr r="F14" s="98"/>
      </tp>
      <tp>
        <v>17764580</v>
        <stp/>
        <stp>##V3_BDPV12</stp>
        <stp>DIXY RX EQUITY</stp>
        <stp>AVG_DAILY_VALUE_TRADED_6M</stp>
        <stp>[upload (2).xlsm]Model Portfolio!R34C12</stp>
        <tr r="L34" s="98"/>
      </tp>
      <tp>
        <v>73141272</v>
        <stp/>
        <stp>##V3_BDPV12</stp>
        <stp>YNDX US EQUITY</stp>
        <stp>AVG_DAILY_VALUE_TRADED_6M</stp>
        <stp>[upload (2).xlsm]Model Portfolio!R43C12</stp>
        <tr r="L43" s="98"/>
      </tp>
      <tp>
        <v>69189840</v>
        <stp/>
        <stp>##V3_BDPV12</stp>
        <stp>PIKK RX EQUITY</stp>
        <stp>AVG_DAILY_VALUE_TRADED_6M</stp>
        <stp>[upload (2).xlsm]Model Portfolio!R68C12</stp>
        <tr r="L68" s="98"/>
      </tp>
      <tp>
        <v>37817840</v>
        <stp/>
        <stp>##V3_BDPV12</stp>
        <stp>SIBN RX EQUITY</stp>
        <stp>AVG_DAILY_VALUE_TRADED_6M</stp>
        <stp>[upload (2).xlsm]Model Portfolio!R15C12</stp>
        <tr r="L15" s="98"/>
      </tp>
      <tp>
        <v>8.6844409999999997E-2</v>
        <stp/>
        <stp>##V3_BDPV12</stp>
        <stp>UPRO RX EQUITY</stp>
        <stp>CHG_PCT_WTD</stp>
        <stp>[upload (2).xlsm]Model Portfolio!R52C4</stp>
        <tr r="D52" s="98"/>
      </tp>
      <tp>
        <v>-1.6420380000000001</v>
        <stp/>
        <stp>##V3_BDPV12</stp>
        <stp>TATN RX EQUITY</stp>
        <stp>CHG_PCT_WTD</stp>
        <stp>[upload (2).xlsm]Model Portfolio!R14C4</stp>
        <tr r="D14" s="98"/>
      </tp>
      <tp>
        <v>2.2844009999999999</v>
        <stp/>
        <stp>##V3_BDPV12</stp>
        <stp>RSTI RX EQUITY</stp>
        <stp>CHG_PCT_WTD</stp>
        <stp>[upload (2).xlsm]Model Portfolio!R54C4</stp>
        <tr r="D54" s="98"/>
      </tp>
      <tp>
        <v>-2.5330569999999999</v>
        <stp/>
        <stp>##V3_BDPV12</stp>
        <stp>RSTI RX EQUITY</stp>
        <stp>CHG_PCT_YTD</stp>
        <stp>[upload (2).xlsm]Model Portfolio!R54C7</stp>
        <tr r="G54" s="98"/>
      </tp>
      <tp>
        <v>-19.909659999999999</v>
        <stp/>
        <stp>##V3_BDPV12</stp>
        <stp>UPRO RX EQUITY</stp>
        <stp>CHG_PCT_YTD</stp>
        <stp>[upload (2).xlsm]Model Portfolio!R52C7</stp>
        <tr r="G52" s="98"/>
      </tp>
      <tp>
        <v>-8.8173300000000001</v>
        <stp/>
        <stp>##V3_BDPV12</stp>
        <stp>TATN RX EQUITY</stp>
        <stp>CHG_PCT_YTD</stp>
        <stp>[upload (2).xlsm]Model Portfolio!R14C7</stp>
        <tr r="G14" s="98"/>
      </tp>
      <tp t="s">
        <v>RUB</v>
        <stp/>
        <stp>##V3_BDPV12</stp>
        <stp>IRAO RX Equity</stp>
        <stp>CRNCY</stp>
        <stp>[upload (2).xlsm]Sheet3!R5C6</stp>
        <tr r="F5" s="77"/>
      </tp>
      <tp>
        <v>3.1428569999999998</v>
        <stp/>
        <stp>##V3_BDPV12</stp>
        <stp>OGZD LI Equity</stp>
        <stp>EQY_REC_CONS</stp>
        <stp>[Copy of upload (2).xlsm]Гарез_GRENF!R7C10</stp>
        <tr r="J7" s="115"/>
      </tp>
      <tp t="s">
        <v>BBB-</v>
        <stp/>
        <stp>##V3_BDPV12</stp>
        <stp>XS0919502434 Corp</stp>
        <stp>RTG_SP</stp>
        <stp>[upload (2).xlsm]Base all $ 3 Duration!R66C10</stp>
        <tr r="J66" s="66"/>
        <tr r="J66" s="66"/>
      </tp>
      <tp t="s">
        <v>NR</v>
        <stp/>
        <stp>##V3_BDPV12</stp>
        <stp>XS0938341780 Corp</stp>
        <stp>RTG_SP</stp>
        <stp>[upload (2).xlsm]Base all $ 3 Duration!R21C10</stp>
        <tr r="J21" s="66"/>
        <tr r="J21" s="66"/>
      </tp>
      <tp>
        <v>666784600</v>
        <stp/>
        <stp>##V3_BDPV12</stp>
        <stp>EVR LN EQUITY</stp>
        <stp>AVG_DAILY_VALUE_TRADED_6M</stp>
        <stp>[upload (2).xlsm]Model Portfolio!R26C12</stp>
        <tr r="L26" s="98"/>
      </tp>
      <tp t="s">
        <v>NR</v>
        <stp/>
        <stp>##V3_BDPV12</stp>
        <stp>XS0640334768 Corp</stp>
        <stp>RTG_SP</stp>
        <stp>[upload (2).xlsm]Base all $ 3 Duration!R15C10</stp>
        <tr r="J15" s="66"/>
        <tr r="J15" s="66"/>
      </tp>
      <tp>
        <v>2.933379</v>
        <stp/>
        <stp>##V3_BDPV12</stp>
        <stp>GAZP RX EQUITY</stp>
        <stp>CHG_PCT_1M</stp>
        <stp>[upload (2).xlsm]Model Portfolio!R12C5</stp>
        <tr r="E12" s="98"/>
      </tp>
      <tp>
        <v>1.1443477444381196</v>
        <stp/>
        <stp>##V3_BDPV12</stp>
        <stp>MTSS RX EQUITY</stp>
        <stp>NET_DEBT_TO_EBITDA</stp>
        <stp>[upload (2).xlsm]Model Portfolio!R67C20</stp>
        <tr r="T67" s="98"/>
      </tp>
      <tp>
        <v>1.6906779661016949</v>
        <stp/>
        <stp>##V3_BDPV12</stp>
        <stp>RASP RX EQUITY</stp>
        <stp>NET_DEBT_TO_EBITDA</stp>
        <stp>[upload (2).xlsm]Model Portfolio!R28C20</stp>
        <tr r="T28" s="98"/>
      </tp>
      <tp t="s">
        <v>#N/A N/A</v>
        <stp/>
        <stp>##V3_BDPV12</stp>
        <stp>XS0742380412 Corp</stp>
        <stp>RTG_SP</stp>
        <stp>[upload (2).xlsm]Base all $ 3 Duration!R86C10</stp>
        <tr r="J86" s="66"/>
      </tp>
      <tp t="s">
        <v>#N/A N/A</v>
        <stp/>
        <stp>##V3_BDPV12</stp>
        <stp>XS0924078453 Corp</stp>
        <stp>RTG_SP</stp>
        <stp>[upload (2).xlsm]Base all $ 3 Duration!R19C10</stp>
        <tr r="J19" s="66"/>
      </tp>
      <tp t="s">
        <v>#N/A N/A</v>
        <stp/>
        <stp>##V3_BDPV12</stp>
        <stp>XS0796426228 Corp</stp>
        <stp>RTG_SP</stp>
        <stp>[upload (2).xlsm]Base all $ 3 Duration!R54C10</stp>
        <tr r="J54" s="66"/>
      </tp>
      <tp t="s">
        <v>#N/A N/A</v>
        <stp/>
        <stp>##V3_BDPV12</stp>
        <stp>XS0973219495 Corp</stp>
        <stp>RTG_SP</stp>
        <stp>[upload (2).xlsm]Base all $ 3 Duration!R11C10</stp>
        <tr r="J11" s="66"/>
      </tp>
      <tp t="s">
        <v>X 5 RETAIL-GDR</v>
        <stp/>
        <stp>##V3_BDPV12</stp>
        <stp>FIVE LI EQUITY</stp>
        <stp>SHORT_NAME</stp>
        <stp>[upload (2).xlsm]Model Portfolio!R36C2</stp>
        <tr r="B36" s="98"/>
      </tp>
      <tp t="s">
        <v>RUSHYDRO</v>
        <stp/>
        <stp>##V3_BDPV12</stp>
        <stp>HYDR RX EQUITY</stp>
        <stp>SHORT_NAME</stp>
        <stp>[upload (2).xlsm]Model Portfolio!R58C2</stp>
        <tr r="B58" s="98"/>
      </tp>
      <tp t="s">
        <v>CALLABLE</v>
        <stp/>
        <stp>##V3_BDPV12</stp>
        <stp>XS0236336045 Corp</stp>
        <stp>MTY_TYP</stp>
        <stp>[upload (2).xlsm]Base all $ 3 Duration!R97C15</stp>
        <tr r="O97" s="66"/>
      </tp>
      <tp t="s">
        <v>#N/A N/A</v>
        <stp/>
        <stp>##V3_BDPV12</stp>
        <stp>NORD LI EQUITY</stp>
        <stp>BDVD_PROJ_12M_YLD</stp>
        <stp>[upload (2).xlsm]Model Portfolio!R3C27</stp>
        <tr r="AA3" s="98"/>
      </tp>
      <tp t="s">
        <v>PUTABLE</v>
        <stp/>
        <stp>##V3_BDPV12</stp>
        <stp>XS0616784509 Corp</stp>
        <stp>MTY_TYP</stp>
        <stp>[upload (2).xlsm]Base all $ 3 Duration!R24C15</stp>
        <tr r="O24" s="66"/>
      </tp>
      <tp t="s">
        <v>AT MATURITY</v>
        <stp/>
        <stp>##V3_BDPV12</stp>
        <stp>XS0426517701 Corp</stp>
        <stp>MTY_TYP</stp>
        <stp>[upload (2).xlsm]Base all $ 3 Duration!R88C15</stp>
        <tr r="O88" s="66"/>
      </tp>
      <tp t="s">
        <v>AT MATURITY</v>
        <stp/>
        <stp>##V3_BDPV12</stp>
        <stp>XS0863583281 Corp</stp>
        <stp>MTY_TYP</stp>
        <stp>[upload (2).xlsm]Base all $ 3 Duration!R67C15</stp>
        <tr r="O67" s="66"/>
      </tp>
      <tp>
        <v>2.2767462422634837</v>
        <stp/>
        <stp>##V3_BDPV12</stp>
        <stp>ROSN RX EQUITY</stp>
        <stp>NET_DEBT_TO_EBITDA</stp>
        <stp>[upload (2).xlsm]Model Portfolio!R17C20</stp>
        <tr r="T17" s="98"/>
      </tp>
      <tp t="s">
        <v>PUTABLE</v>
        <stp/>
        <stp>##V3_BDPV12</stp>
        <stp>XS0365923977 Corp</stp>
        <stp>MTY_TYP</stp>
        <stp>[upload (2).xlsm]Base all $ 3 Duration!R57C15</stp>
        <tr r="O57" s="66"/>
      </tp>
      <tp>
        <v>13.528745844806139</v>
        <stp/>
        <stp>##V3_BDPV12</stp>
        <stp>TRCN RX EQUITY</stp>
        <stp>EPS_GROWTH</stp>
        <stp>[upload (2).xlsm]Model Portfolio!R50C22</stp>
        <tr r="V50" s="98"/>
      </tp>
      <tp>
        <v>-47.843677698251071</v>
        <stp/>
        <stp>##V3_BDPV12</stp>
        <stp>AGRO LI EQUITY</stp>
        <stp>EPS_GROWTH</stp>
        <stp>[upload (2).xlsm]Model Portfolio!R71C22</stp>
        <tr r="V71" s="98"/>
      </tp>
      <tp t="s">
        <v>USD</v>
        <stp/>
        <stp>##V3_BDPV12</stp>
        <stp>XS0461926569 Corp</stp>
        <stp>CRNCY</stp>
        <stp>[upload (2).xlsm]Base all $ 3 Duration!R53C12</stp>
        <tr r="L53" s="66"/>
      </tp>
      <tp>
        <v>2.1495890000000002</v>
        <stp/>
        <stp>##V3_BDPV12</stp>
        <stp>FEES RX EQUITY</stp>
        <stp>CHG_PCT_1M</stp>
        <stp>[upload (2).xlsm]Model Portfolio!R56C5</stp>
        <tr r="E56" s="98"/>
      </tp>
      <tp t="s">
        <v>USD</v>
        <stp/>
        <stp>##V3_BDPV12</stp>
        <stp>XS0878855773 Corp</stp>
        <stp>CRNCY</stp>
        <stp>[upload (2).xlsm]Base all $ 3 Duration!R44C12</stp>
        <tr r="L44" s="66"/>
      </tp>
      <tp t="s">
        <v>AT MATURITY</v>
        <stp/>
        <stp>##V3_BDPV12</stp>
        <stp>XS0559800122 Corp</stp>
        <stp>MTY_TYP</stp>
        <stp>[upload (2).xlsm]Base all $ 3 Duration!R63C15</stp>
        <tr r="O63" s="66"/>
      </tp>
      <tp>
        <v>11.358974358974359</v>
        <stp/>
        <stp>##V3_BDPV12</stp>
        <stp>FESH RX EQUITY</stp>
        <stp>NET_DEBT_TO_EBITDA</stp>
        <stp>[upload (2).xlsm]Model Portfolio!R45C20</stp>
        <tr r="T45" s="98"/>
      </tp>
      <tp>
        <v>46775600</v>
        <stp/>
        <stp>##V3_BDPV12</stp>
        <stp>PLZL RX EQUITY</stp>
        <stp>AVG_DAILY_VALUE_TRADED_6M</stp>
        <stp>[upload (2).xlsm]Model Portfolio!R2C12</stp>
        <tr r="L2" s="98"/>
      </tp>
      <tp>
        <v>1024716000</v>
        <stp/>
        <stp>##V3_BDPV12</stp>
        <stp>POLY LN EQUITY</stp>
        <stp>AVG_DAILY_VALUE_TRADED_6M</stp>
        <stp>[upload (2).xlsm]Model Portfolio!R6C12</stp>
        <tr r="L6" s="98"/>
      </tp>
      <tp>
        <v>-1.2841530000000001</v>
        <stp/>
        <stp>##V3_BDPV12</stp>
        <stp>AKRN RX EQUITY</stp>
        <stp>CHG_PCT_1YR</stp>
        <stp>[upload (2).xlsm]Model Portfolio!R33C6</stp>
        <tr r="F33" s="98"/>
      </tp>
      <tp t="s">
        <v>#N/A N/A</v>
        <stp/>
        <stp>##V3_BDPV12</stp>
        <stp>VIP US EQUITY</stp>
        <stp>CHG_PCT_1M</stp>
        <stp>[upload (2).xlsm]Model Portfolio!R61C5</stp>
        <tr r="E61" s="98"/>
      </tp>
      <tp>
        <v>42.228740000000002</v>
        <stp/>
        <stp>##V3_BDPV12</stp>
        <stp>KCEL LI EQUITY</stp>
        <stp>CHG_PCT_1YR</stp>
        <stp>[upload (2).xlsm]Model Portfolio!R65C6</stp>
        <tr r="F65" s="98"/>
      </tp>
      <tp>
        <v>545699600</v>
        <stp/>
        <stp>##V3_BDPV12</stp>
        <stp>CHMF RX EQUITY</stp>
        <stp>AVG_DAILY_VALUE_TRADED_6M</stp>
        <stp>[upload (2).xlsm]Model Portfolio!R25C12</stp>
        <tr r="L25" s="98"/>
      </tp>
      <tp>
        <v>78523180</v>
        <stp/>
        <stp>##V3_BDPV12</stp>
        <stp>PHOR RX EQUITY</stp>
        <stp>AVG_DAILY_VALUE_TRADED_6M</stp>
        <stp>[upload (2).xlsm]Model Portfolio!R32C12</stp>
        <tr r="L32" s="98"/>
      </tp>
      <tp>
        <v>-20.015630000000002</v>
        <stp/>
        <stp>##V3_BDPV12</stp>
        <stp>RTKMP RX EQUITY</stp>
        <stp>CHG_PCT_1YR</stp>
        <stp>[upload (2).xlsm]Model Portfolio!R63C6</stp>
        <tr r="F63" s="98"/>
      </tp>
      <tp>
        <v>5.4347849999999998</v>
        <stp/>
        <stp>##V3_BDPV12</stp>
        <stp>KCEL LI EQUITY</stp>
        <stp>CHG_PCT_WTD</stp>
        <stp>[upload (2).xlsm]Model Portfolio!R65C4</stp>
        <tr r="D65" s="98"/>
      </tp>
      <tp>
        <v>5.5386320000000003E-2</v>
        <stp/>
        <stp>##V3_BDPV12</stp>
        <stp>AKRN RX EQUITY</stp>
        <stp>CHG_PCT_WTD</stp>
        <stp>[upload (2).xlsm]Model Portfolio!R33C4</stp>
        <tr r="D33" s="98"/>
      </tp>
      <tp>
        <v>1.062937</v>
        <stp/>
        <stp>##V3_BDPV12</stp>
        <stp>AKRN RX EQUITY</stp>
        <stp>CHG_PCT_YTD</stp>
        <stp>[upload (2).xlsm]Model Portfolio!R33C7</stp>
        <tr r="G33" s="98"/>
      </tp>
      <tp>
        <v>51.5625</v>
        <stp/>
        <stp>##V3_BDPV12</stp>
        <stp>KCEL LI EQUITY</stp>
        <stp>CHG_PCT_YTD</stp>
        <stp>[upload (2).xlsm]Model Portfolio!R65C7</stp>
        <tr r="G65" s="98"/>
      </tp>
      <tp t="s">
        <v>#N/A N/A</v>
        <stp/>
        <stp>##V3_BDPV12</stp>
        <stp>NORD LI EQUITY</stp>
        <stp>PX_LAST</stp>
        <stp>[upload (2).xlsm]Model Portfolio!R3C3</stp>
        <tr r="C3" s="98"/>
      </tp>
      <tp>
        <v>-18.487259999999999</v>
        <stp/>
        <stp>##V3_BDPV12</stp>
        <stp>RTKMP RX EQUITY</stp>
        <stp>CHG_PCT_YTD</stp>
        <stp>[upload (2).xlsm]Model Portfolio!R63C7</stp>
        <tr r="G63" s="98"/>
      </tp>
      <tp>
        <v>0</v>
        <stp/>
        <stp>##V3_BDPV12</stp>
        <stp>RTKMP RX EQUITY</stp>
        <stp>CHG_PCT_WTD</stp>
        <stp>[upload (2).xlsm]Model Portfolio!R63C4</stp>
        <tr r="D63" s="98"/>
      </tp>
      <tp t="s">
        <v>#N/A N/A</v>
        <stp/>
        <stp>##V3_BDPV12</stp>
        <stp>XS0775984213 Corp</stp>
        <stp>RTG_SP</stp>
        <stp>[upload (2).xlsm]Base all $ 3 Duration!R42C10</stp>
        <tr r="J42" s="66"/>
      </tp>
      <tp t="s">
        <v>NR</v>
        <stp/>
        <stp>##V3_BDPV12</stp>
        <stp>XS0304273948 Corp</stp>
        <stp>RTG_SP</stp>
        <stp>[upload (2).xlsm]Base all $ 3 Duration!R87C10</stp>
        <tr r="J87" s="66"/>
        <tr r="J87" s="66"/>
      </tp>
      <tp t="s">
        <v>BBB-</v>
        <stp/>
        <stp>##V3_BDPV12</stp>
        <stp>XS0808632847 Corp</stp>
        <stp>RTG_SP</stp>
        <stp>[upload (2).xlsm]Base all $ 3 Duration!R65C10</stp>
        <tr r="J65" s="66"/>
        <tr r="J65" s="66"/>
      </tp>
      <tp t="s">
        <v>B</v>
        <stp/>
        <stp>##V3_BDPV12</stp>
        <stp>XS0832412505 Corp</stp>
        <stp>RTG_SP</stp>
        <stp>[upload (2).xlsm]Base all $ 3 Duration!R30C10</stp>
        <tr r="J30" s="66"/>
        <tr r="J30" s="66"/>
      </tp>
      <tp t="s">
        <v>BBB-</v>
        <stp/>
        <stp>##V3_BDPV12</stp>
        <stp>XS0899969702 Corp</stp>
        <stp>RTG_SP</stp>
        <stp>[upload (2).xlsm]Base all $ 3 Duration!R71C10</stp>
        <tr r="J71" s="66"/>
        <tr r="J71" s="66"/>
      </tp>
      <tp>
        <v>1.9365863336396292</v>
        <stp/>
        <stp>##V3_BDPV12</stp>
        <stp>RTKMP RX EQUITY</stp>
        <stp>NET_DEBT_TO_EBITDA</stp>
        <stp>[upload (2).xlsm]Model Portfolio!R63C20</stp>
        <tr r="T63" s="98"/>
      </tp>
      <tp>
        <v>2.1053392643565996</v>
        <stp/>
        <stp>##V3_BDPV12</stp>
        <stp>MSRS RX EQUITY</stp>
        <stp>NET_DEBT_TO_EBITDA</stp>
        <stp>[upload (2).xlsm]Model Portfolio!R59C20</stp>
        <tr r="T59" s="98"/>
      </tp>
      <tp t="s">
        <v>MECHEL</v>
        <stp/>
        <stp>##V3_BDPV12</stp>
        <stp>MTLR RX EQUITY</stp>
        <stp>SHORT_NAME</stp>
        <stp>[upload (2).xlsm]Model Portfolio!R24C2</stp>
        <tr r="B24" s="98"/>
      </tp>
      <tp t="s">
        <v>BB</v>
        <stp/>
        <stp>##V3_BDPV12</stp>
        <stp>XS0889401054 Corp</stp>
        <stp>RTG_SP</stp>
        <stp>[upload (2).xlsm]Base all $ 3 Duration!R39C10</stp>
        <tr r="J39" s="66"/>
        <tr r="J39" s="66"/>
      </tp>
      <tp t="s">
        <v>USD</v>
        <stp/>
        <stp>##V3_BDPV12</stp>
        <stp>XS0630950870 Corp</stp>
        <stp>CRNCY</stp>
        <stp>[upload (2).xlsm]Base all $ 3 Duration!R75C12</stp>
        <tr r="L75" s="66"/>
      </tp>
      <tp t="s">
        <v>USD</v>
        <stp/>
        <stp>##V3_BDPV12</stp>
        <stp>XS0300998779 Corp</stp>
        <stp>CRNCY</stp>
        <stp>[upload (2).xlsm]Base all $ 3 Duration!R58C12</stp>
        <tr r="L58" s="66"/>
      </tp>
      <tp t="s">
        <v>AT MATURITY</v>
        <stp/>
        <stp>##V3_BDPV12</stp>
        <stp>XS0742380412 Corp</stp>
        <stp>MTY_TYP</stp>
        <stp>[upload (2).xlsm]Base all $ 3 Duration!R86C15</stp>
        <tr r="O86" s="66"/>
      </tp>
      <tp t="s">
        <v>USD</v>
        <stp/>
        <stp>##V3_BDPV12</stp>
        <stp>XS0861980372 Corp</stp>
        <stp>CRNCY</stp>
        <stp>[upload (2).xlsm]Base all $ 3 Duration!R80C12</stp>
        <tr r="L80" s="66"/>
      </tp>
      <tp>
        <v>1.6773586016126185</v>
        <stp/>
        <stp>##V3_BDPV12</stp>
        <stp>LSRG RX EQUITY</stp>
        <stp>NET_DEBT_TO_EBITDA</stp>
        <stp>[upload (2).xlsm]Model Portfolio!R69C20</stp>
        <tr r="T69" s="98"/>
      </tp>
      <tp>
        <v>18.819030000000001</v>
        <stp/>
        <stp>##V3_BDPV12</stp>
        <stp>AFKS RX EQUITY</stp>
        <stp>CHG_PCT_1M</stp>
        <stp>[upload (2).xlsm]Model Portfolio!R64C5</stp>
        <tr r="E64" s="98"/>
      </tp>
      <tp t="s">
        <v>AT MATURITY</v>
        <stp/>
        <stp>##V3_BDPV12</stp>
        <stp>XS0940730228 Corp</stp>
        <stp>MTY_TYP</stp>
        <stp>[upload (2).xlsm]Base all $ 3 Duration!R25C15</stp>
        <tr r="O25" s="66"/>
      </tp>
      <tp t="s">
        <v>AT MATURITY</v>
        <stp/>
        <stp>##V3_BDPV12</stp>
        <stp>XS0357281558 Corp</stp>
        <stp>MTY_TYP</stp>
        <stp>[upload (2).xlsm]Base all $ 3 Duration!R69C15</stp>
        <tr r="O69" s="66"/>
      </tp>
      <tp t="s">
        <v>USD</v>
        <stp/>
        <stp>##V3_BDPV12</stp>
        <stp>XS0365923977 Corp</stp>
        <stp>CRNCY</stp>
        <stp>[upload (2).xlsm]Base all $ 3 Duration!R57C12</stp>
        <tr r="L57" s="66"/>
      </tp>
      <tp t="s">
        <v>USD</v>
        <stp/>
        <stp>##V3_BDPV12</stp>
        <stp>XS1040726587 Corp</stp>
        <stp>CRNCY</stp>
        <stp>[upload (2).xlsm]Base all $ 3 Duration!R41C12</stp>
        <tr r="L41" s="66"/>
      </tp>
      <tp t="s">
        <v>AT MATURITY</v>
        <stp/>
        <stp>##V3_BDPV12</stp>
        <stp>XS0869792928 Corp</stp>
        <stp>MTY_TYP</stp>
        <stp>[upload (2).xlsm]Base all $ 3 Duration!R10C15</stp>
        <tr r="O10" s="66"/>
      </tp>
      <tp>
        <v>13.98803</v>
        <stp/>
        <stp>##V3_BDPV12</stp>
        <stp>MGNT RX EQUITY</stp>
        <stp>CHG_PCT_1M</stp>
        <stp>[upload (2).xlsm]Model Portfolio!R35C5</stp>
        <tr r="E35" s="98"/>
      </tp>
      <tp t="s">
        <v>#N/A Field Not Applicable</v>
        <stp/>
        <stp>##V3_BDPV12</stp>
        <stp>BANEP RX EQUITY</stp>
        <stp>PX_TO_BOOK_RATIO</stp>
        <stp>[upload (2).xlsm]Model Portfolio!R8C18</stp>
        <tr r="R8" s="98"/>
      </tp>
      <tp t="s">
        <v>USD</v>
        <stp/>
        <stp>##V3_BDPV12</stp>
        <stp>XS0995845566 Corp</stp>
        <stp>CRNCY</stp>
        <stp>[upload (2).xlsm]Base all $ 3 Duration!R29C12</stp>
        <tr r="L29" s="66"/>
      </tp>
      <tp t="s">
        <v>USD</v>
        <stp/>
        <stp>##V3_BDPV12</stp>
        <stp>XS0592794597 Corp</stp>
        <stp>CRNCY</stp>
        <stp>[upload (2).xlsm]Base all $ 3 Duration!R61C12</stp>
        <tr r="L61" s="66"/>
      </tp>
      <tp>
        <v>2.0862501447150077</v>
        <stp/>
        <stp>##V3_BDPV12</stp>
        <stp>AKRN RX EQUITY</stp>
        <stp>NET_DEBT_TO_EBITDA</stp>
        <stp>[upload (2).xlsm]Model Portfolio!R33C20</stp>
        <tr r="T33" s="98"/>
      </tp>
      <tp>
        <v>-0.60405210363089656</v>
        <stp/>
        <stp>##V3_BDPV12</stp>
        <stp>UPRO RX EQUITY</stp>
        <stp>NET_DEBT_TO_EBITDA</stp>
        <stp>[upload (2).xlsm]Model Portfolio!R52C20</stp>
        <tr r="T52" s="98"/>
      </tp>
      <tp>
        <v>82.5487170447865</v>
        <stp/>
        <stp>##V3_BDPV12</stp>
        <stp>SIBN RX EQUITY</stp>
        <stp>EPS_GROWTH</stp>
        <stp>[upload (2).xlsm]Model Portfolio!R15C22</stp>
        <tr r="V15" s="98"/>
      </tp>
      <tp t="s">
        <v>USD</v>
        <stp/>
        <stp>##V3_BDPV12</stp>
        <stp>XS0841677387 Corp</stp>
        <stp>CRNCY</stp>
        <stp>[upload (2).xlsm]Base all $ 3 Duration!R99C12</stp>
        <tr r="L99" s="66"/>
      </tp>
      <tp t="s">
        <v>AT MATURITY</v>
        <stp/>
        <stp>##V3_BDPV12</stp>
        <stp>XS0779213460 Corp</stp>
        <stp>MTY_TYP</stp>
        <stp>[upload (2).xlsm]Base all $ 3 Duration!R33C15</stp>
        <tr r="O33" s="66"/>
      </tp>
      <tp t="s">
        <v>AT MATURITY</v>
        <stp/>
        <stp>##V3_BDPV12</stp>
        <stp>XS0618905219 Corp</stp>
        <stp>MTY_TYP</stp>
        <stp>[upload (2).xlsm]Base all $ 3 Duration!R37C15</stp>
        <tr r="O37" s="66"/>
      </tp>
      <tp t="s">
        <v>AT MATURITY</v>
        <stp/>
        <stp>##V3_BDPV12</stp>
        <stp>XS0359381331 Corp</stp>
        <stp>MTY_TYP</stp>
        <stp>[upload (2).xlsm]Base all $ 3 Duration!R36C15</stp>
        <tr r="O36" s="66"/>
      </tp>
      <tp t="s">
        <v>AT MATURITY</v>
        <stp/>
        <stp>##V3_BDPV12</stp>
        <stp>XS0253861834 Corp</stp>
        <stp>MTY_TYP</stp>
        <stp>[upload (2).xlsm]Base all $ 3 Duration!R91C15</stp>
        <tr r="O91" s="66"/>
      </tp>
      <tp>
        <v>17.830960000000001</v>
        <stp/>
        <stp>##V3_BDPV12</stp>
        <stp>MAGN RX EQUITY</stp>
        <stp>CHG_PCT_1M</stp>
        <stp>[upload (2).xlsm]Model Portfolio!R23C5</stp>
        <tr r="E23" s="98"/>
      </tp>
      <tp t="s">
        <v>NOVATEK PJSC</v>
        <stp/>
        <stp>##V3_BDPV12</stp>
        <stp>NVTK RX EQUITY</stp>
        <stp>SHORT_NAME</stp>
        <stp>[upload (2).xlsm]Model Portfolio!R16C2</stp>
        <tr r="B16" s="98"/>
      </tp>
      <tp t="s">
        <v>USD</v>
        <stp/>
        <stp>##V3_BDPV12</stp>
        <stp>LXFT US Equity</stp>
        <stp>CRNCY</stp>
        <stp>[Copy of upload (2).xlsm]Гарез_GRENF!R6C11</stp>
        <tr r="K6" s="115"/>
      </tp>
      <tp t="s">
        <v>#N/A Invalid Security</v>
        <stp/>
        <stp>##V3_BDPV12</stp>
        <stp xml:space="preserve"> Corp</stp>
        <stp>MIN_PIECE</stp>
        <stp>[upload (2).xlsm]Base all $ 3 Duration!R119C20</stp>
        <tr r="T119" s="66"/>
      </tp>
      <tp t="s">
        <v>#N/A Invalid Security</v>
        <stp/>
        <stp>##V3_BDPV12</stp>
        <stp xml:space="preserve"> Corp</stp>
        <stp>MIN_PIECE</stp>
        <stp>[upload (2).xlsm]Base all $ 3 Duration!R120C20</stp>
        <tr r="T120" s="66"/>
      </tp>
      <tp>
        <v>193.48439999999999</v>
        <stp/>
        <stp>##V3_BDPV12</stp>
        <stp>FESH RX EQUITY</stp>
        <stp>CHG_PCT_1YR</stp>
        <stp>[upload (2).xlsm]Model Portfolio!R45C6</stp>
        <tr r="F45" s="98"/>
      </tp>
      <tp>
        <v>1420894000</v>
        <stp/>
        <stp>##V3_BDPV12</stp>
        <stp>ROSN RX EQUITY</stp>
        <stp>AVG_DAILY_VALUE_TRADED_6M</stp>
        <stp>[upload (2).xlsm]Model Portfolio!R17C12</stp>
        <tr r="L17" s="98"/>
      </tp>
      <tp>
        <v>932834400</v>
        <stp/>
        <stp>##V3_BDPV12</stp>
        <stp>MOEX RX EQUITY</stp>
        <stp>AVG_DAILY_VALUE_TRADED_6M</stp>
        <stp>[upload (2).xlsm]Model Portfolio!R74C12</stp>
        <tr r="L74" s="98"/>
      </tp>
      <tp>
        <v>-6.9182399999999999</v>
        <stp/>
        <stp>##V3_BDPV12</stp>
        <stp>FESH RX EQUITY</stp>
        <stp>CHG_PCT_WTD</stp>
        <stp>[upload (2).xlsm]Model Portfolio!R45C4</stp>
        <tr r="D45" s="98"/>
      </tp>
      <tp>
        <v>65.653980000000004</v>
        <stp/>
        <stp>##V3_BDPV12</stp>
        <stp>FESH RX EQUITY</stp>
        <stp>CHG_PCT_YTD</stp>
        <stp>[upload (2).xlsm]Model Portfolio!R45C7</stp>
        <tr r="G45" s="98"/>
      </tp>
      <tp t="s">
        <v>#N/A N/A</v>
        <stp/>
        <stp>##V3_BDPV12</stp>
        <stp>XS0854763355 Corp</stp>
        <stp>RTG_SP</stp>
        <stp>[upload (2).xlsm]Base all $ 3 Duration!R28C10</stp>
        <tr r="J28" s="66"/>
      </tp>
      <tp>
        <v>112.57434154630417</v>
        <stp/>
        <stp>##V3_BDPV12</stp>
        <stp>GLTR LI EQUITY</stp>
        <stp>EPS_GROWTH</stp>
        <stp>[upload (2).xlsm]Model Portfolio!R48C22</stp>
        <tr r="V48" s="98"/>
      </tp>
      <tp>
        <v>141.80659797204279</v>
        <stp/>
        <stp>##V3_BDPV12</stp>
        <stp>SBER RX EQUITY</stp>
        <stp>EPS_GROWTH</stp>
        <stp>[upload (2).xlsm]Model Portfolio!R75C22</stp>
        <tr r="V75" s="98"/>
      </tp>
      <tp>
        <v>50.000010348029051</v>
        <stp/>
        <stp>##V3_BDPV12</stp>
        <stp>FEES RX EQUITY</stp>
        <stp>EPS_GROWTH</stp>
        <stp>[upload (2).xlsm]Model Portfolio!R56C22</stp>
        <tr r="V56" s="98"/>
      </tp>
      <tp>
        <v>-10.311750105925695</v>
        <stp/>
        <stp>##V3_BDPV12</stp>
        <stp>MOEX RX EQUITY</stp>
        <stp>EPS_GROWTH</stp>
        <stp>[upload (2).xlsm]Model Portfolio!R74C22</stp>
        <tr r="V74" s="98"/>
      </tp>
      <tp>
        <v>2.6090360000000001</v>
        <stp/>
        <stp>##V3_BDPV12</stp>
        <stp>TATN RX EQUITY</stp>
        <stp>CHG_PCT_1M</stp>
        <stp>[upload (2).xlsm]Model Portfolio!R14C5</stp>
        <tr r="E14" s="98"/>
      </tp>
      <tp t="s">
        <v>BB+</v>
        <stp/>
        <stp>##V3_BDPV12</stp>
        <stp>XS0592794597 Corp</stp>
        <stp>RTG_SP</stp>
        <stp>[upload (2).xlsm]Base all $ 3 Duration!R61C10</stp>
        <tr r="J61" s="66"/>
        <tr r="J61" s="66"/>
      </tp>
      <tp t="s">
        <v>#N/A N/A</v>
        <stp/>
        <stp>##V3_BDPV12</stp>
        <stp>XS0552679879 Corp</stp>
        <stp>RTG_SP</stp>
        <stp>[upload (2).xlsm]Base all $ 3 Duration!R43C10</stp>
        <tr r="J43" s="66"/>
      </tp>
      <tp t="s">
        <v>BB+</v>
        <stp/>
        <stp>##V3_BDPV12</stp>
        <stp>XS0995845566 Corp</stp>
        <stp>RTG_SP</stp>
        <stp>[upload (2).xlsm]Base all $ 3 Duration!R29C10</stp>
        <tr r="J29" s="66"/>
        <tr r="J29" s="66"/>
      </tp>
      <tp t="s">
        <v>LENTA -REG S</v>
        <stp/>
        <stp>##V3_BDPV12</stp>
        <stp>LNTA LI EQUITY</stp>
        <stp>SHORT_NAME</stp>
        <stp>[upload (2).xlsm]Model Portfolio!R37C2</stp>
        <tr r="B37" s="98"/>
      </tp>
      <tp t="s">
        <v>AT MATURITY</v>
        <stp/>
        <stp>##V3_BDPV12</stp>
        <stp>XS0775984213 Corp</stp>
        <stp>MTY_TYP</stp>
        <stp>[upload (2).xlsm]Base all $ 3 Duration!R42C15</stp>
        <tr r="O42" s="66"/>
      </tp>
      <tp t="s">
        <v>AT MATURITY</v>
        <stp/>
        <stp>##V3_BDPV12</stp>
        <stp>XS0841677387 Corp</stp>
        <stp>MTY_TYP</stp>
        <stp>[upload (2).xlsm]Base all $ 3 Duration!R99C15</stp>
        <tr r="O99" s="66"/>
      </tp>
      <tp>
        <v>8.8834254049154247</v>
        <stp/>
        <stp>##V3_BDPV12</stp>
        <stp>LNTA LI EQUITY</stp>
        <stp>EPS_GROWTH</stp>
        <stp>[upload (2).xlsm]Model Portfolio!R37C22</stp>
        <tr r="V37" s="98"/>
      </tp>
      <tp t="s">
        <v>AT MATURITY</v>
        <stp/>
        <stp>##V3_BDPV12</stp>
        <stp>XS0708813653 Corp</stp>
        <stp>MTY_TYP</stp>
        <stp>[upload (2).xlsm]Base all $ 3 Duration!R93C15</stp>
        <tr r="O93" s="66"/>
      </tp>
      <tp t="s">
        <v>USD</v>
        <stp/>
        <stp>##V3_BDPV12</stp>
        <stp>XS0922883318 Corp</stp>
        <stp>CRNCY</stp>
        <stp>[upload (2).xlsm]Base all $ 3 Duration!R56C12</stp>
        <tr r="L56" s="66"/>
      </tp>
      <tp t="s">
        <v>AT MATURITY</v>
        <stp/>
        <stp>##V3_BDPV12</stp>
        <stp>XS0304273948 Corp</stp>
        <stp>MTY_TYP</stp>
        <stp>[upload (2).xlsm]Base all $ 3 Duration!R87C15</stp>
        <tr r="O87" s="66"/>
      </tp>
      <tp t="s">
        <v>AT MATURITY</v>
        <stp/>
        <stp>##V3_BDPV12</stp>
        <stp>XS0919502434 Corp</stp>
        <stp>MTY_TYP</stp>
        <stp>[upload (2).xlsm]Base all $ 3 Duration!R66C15</stp>
        <tr r="O66" s="66"/>
      </tp>
      <tp t="s">
        <v>CALLABLE</v>
        <stp/>
        <stp>##V3_BDPV12</stp>
        <stp>XS0312572984 Corp</stp>
        <stp>MTY_TYP</stp>
        <stp>[upload (2).xlsm]Base all $ 3 Duration!R22C15</stp>
        <tr r="O22" s="66"/>
      </tp>
      <tp>
        <v>48.209420000000001</v>
        <stp/>
        <stp>##V3_BDPV12</stp>
        <stp>BSPB RX EQUITY</stp>
        <stp>EQY_FREE_FLOAT_PCT</stp>
        <stp>[upload (2).xlsm]Model Portfolio!R77C11</stp>
        <tr r="K77" s="98"/>
      </tp>
      <tp t="s">
        <v>AT MATURITY</v>
        <stp/>
        <stp>##V3_BDPV12</stp>
        <stp>XS0630950870 Corp</stp>
        <stp>MTY_TYP</stp>
        <stp>[upload (2).xlsm]Base all $ 3 Duration!R75C15</stp>
        <tr r="O75" s="66"/>
      </tp>
      <tp t="s">
        <v>ROSSETI PJSC</v>
        <stp/>
        <stp>##V3_BDPV12</stp>
        <stp>RSTI RX EQUITY</stp>
        <stp>SHORT_NAME</stp>
        <stp>[upload (2).xlsm]Model Portfolio!R54C2</stp>
        <tr r="B54" s="98"/>
      </tp>
      <tp t="s">
        <v>USD</v>
        <stp/>
        <stp>##V3_BDPV12</stp>
        <stp>XS0899969702 Corp</stp>
        <stp>CRNCY</stp>
        <stp>[upload (2).xlsm]Base all $ 3 Duration!R71C12</stp>
        <tr r="L71" s="66"/>
      </tp>
      <tp>
        <v>5.0382952439777631</v>
        <stp/>
        <stp>##V3_BDPV12</stp>
        <stp>SBERP RX EQUITY</stp>
        <stp>EST_PE_NXT_YR</stp>
        <stp>[upload (2).xlsm]Model Portfolio!R76C15</stp>
        <tr r="O76" s="98"/>
      </tp>
      <tp>
        <v>11330970</v>
        <stp/>
        <stp>##V3_BDPV12</stp>
        <stp>QIWI US EQUITY</stp>
        <stp>AVG_DAILY_VALUE_TRADED_6M</stp>
        <stp>[upload (2).xlsm]Model Portfolio!R40C12</stp>
        <tr r="L40" s="98"/>
      </tp>
      <tp>
        <v>-3.9382820000000001</v>
        <stp/>
        <stp>##V3_BDPV12</stp>
        <stp>BSPB RX EQUITY</stp>
        <stp>CHG_PCT_1YR</stp>
        <stp>[upload (2).xlsm]Model Portfolio!R77C6</stp>
        <tr r="F77" s="98"/>
      </tp>
      <tp>
        <v>13002190</v>
        <stp/>
        <stp>##V3_BDPV12</stp>
        <stp>ENRU RM EQUITY</stp>
        <stp>AVG_DAILY_VALUE_TRADED_6M</stp>
        <stp>[upload (2).xlsm]Model Portfolio!R53C12</stp>
        <tr r="L53" s="98"/>
      </tp>
      <tp>
        <v>440758300</v>
        <stp/>
        <stp>##V3_BDPV12</stp>
        <stp>SNGS RX EQUITY</stp>
        <stp>AVG_DAILY_VALUE_TRADED_6M</stp>
        <stp>[upload (2).xlsm]Model Portfolio!R10C12</stp>
        <tr r="L10" s="98"/>
      </tp>
      <tp>
        <v>-15.838469999999999</v>
        <stp/>
        <stp>##V3_BDPV12</stp>
        <stp>BSPB RX EQUITY</stp>
        <stp>CHG_PCT_YTD</stp>
        <stp>[upload (2).xlsm]Model Portfolio!R77C7</stp>
        <tr r="G77" s="98"/>
      </tp>
      <tp>
        <v>-0.53763300000000003</v>
        <stp/>
        <stp>##V3_BDPV12</stp>
        <stp>BSPB RX EQUITY</stp>
        <stp>CHG_PCT_WTD</stp>
        <stp>[upload (2).xlsm]Model Portfolio!R77C4</stp>
        <tr r="D77" s="98"/>
      </tp>
      <tp t="s">
        <v>NR</v>
        <stp/>
        <stp>##V3_BDPV12</stp>
        <stp>XS1059697323 Corp</stp>
        <stp>RTG_SP</stp>
        <stp>[upload (2).xlsm]Base all $ 3 Duration!R20C10</stp>
        <tr r="J20" s="66"/>
        <tr r="J20" s="66"/>
      </tp>
      <tp t="s">
        <v>#N/A N/A</v>
        <stp/>
        <stp>##V3_BDPV12</stp>
        <stp>XS0923110232 Corp</stp>
        <stp>RTG_SP</stp>
        <stp>[upload (2).xlsm]Base all $ 3 Duration!R35C10</stp>
        <tr r="J35" s="66"/>
      </tp>
      <tp t="s">
        <v>NR</v>
        <stp/>
        <stp>##V3_BDPV12</stp>
        <stp>XS0261906738 Corp</stp>
        <stp>RTG_SP</stp>
        <stp>[upload (2).xlsm]Base all $ 3 Duration!R89C10</stp>
        <tr r="J89" s="66"/>
        <tr r="J89" s="66"/>
      </tp>
      <tp t="s">
        <v>#N/A N/A</v>
        <stp/>
        <stp>##V3_BDPV12</stp>
        <stp>XS0923472814 Corp</stp>
        <stp>RTG_SP</stp>
        <stp>[upload (2).xlsm]Base all $ 3 Duration!R52C10</stp>
        <tr r="J52" s="66"/>
      </tp>
      <tp t="s">
        <v>#N/A N/A</v>
        <stp/>
        <stp>##V3_BDPV12</stp>
        <stp>XS0851672435 Corp</stp>
        <stp>RTG_SP</stp>
        <stp>[upload (2).xlsm]Base all $ 3 Duration!R23C10</stp>
        <tr r="J23" s="66"/>
      </tp>
      <tp t="s">
        <v>MOSENERGO</v>
        <stp/>
        <stp>##V3_BDPV12</stp>
        <stp>MSNG RX EQUITY</stp>
        <stp>SHORT_NAME</stp>
        <stp>[upload (2).xlsm]Model Portfolio!R55C2</stp>
        <tr r="B55" s="98"/>
      </tp>
      <tp t="s">
        <v>#N/A N/A</v>
        <stp/>
        <stp>##V3_BDPV12</stp>
        <stp>XS0954673934 Corp</stp>
        <stp>RTG_SP</stp>
        <stp>[upload (2).xlsm]Base all $ 3 Duration!R16C10</stp>
        <tr r="J16" s="66"/>
      </tp>
      <tp t="s">
        <v>#N/A N/A</v>
        <stp/>
        <stp>##V3_BDPV12</stp>
        <stp>NORD LI EQUITY</stp>
        <stp>PX_TO_BOOK_RATIO</stp>
        <stp>[upload (2).xlsm]Model Portfolio!R3C18</stp>
        <tr r="R3" s="98"/>
      </tp>
      <tp>
        <v>26.550254825971592</v>
        <stp/>
        <stp>##V3_BDPV12</stp>
        <stp>HYDR RX EQUITY</stp>
        <stp>EPS_GROWTH</stp>
        <stp>[upload (2).xlsm]Model Portfolio!R58C22</stp>
        <tr r="V58" s="98"/>
      </tp>
      <tp t="s">
        <v>#N/A N/A</v>
        <stp/>
        <stp>##V3_BDPV12</stp>
        <stp>NMTP RX EQUITY</stp>
        <stp>NET_DEBT_TO_EBITDA</stp>
        <stp>[upload (2).xlsm]Model Portfolio!R49C20</stp>
        <tr r="T49" s="98"/>
      </tp>
      <tp t="s">
        <v>B+</v>
        <stp/>
        <stp>##V3_BDPV12</stp>
        <stp>XS0359381331 Corp</stp>
        <stp>RTG_SP</stp>
        <stp>[upload (2).xlsm]Base all $ 3 Duration!R36C10</stp>
        <tr r="J36" s="66"/>
        <tr r="J36" s="66"/>
      </tp>
      <tp t="s">
        <v>#N/A N/A</v>
        <stp/>
        <stp>##V3_BDPV12</stp>
        <stp>XS0299183250 Corp</stp>
        <stp>RTG_SP</stp>
        <stp>[upload (2).xlsm]Base all $ 3 Duration!R40C10</stp>
        <tr r="J40" s="66"/>
      </tp>
      <tp>
        <v>100</v>
        <stp/>
        <stp>##V3_BDPV12</stp>
        <stp>TATNP RX EQUITY</stp>
        <stp>EQY_FREE_FLOAT_PCT</stp>
        <stp>[upload (2).xlsm]Model Portfolio!R19C11</stp>
        <tr r="K19" s="98"/>
      </tp>
      <tp>
        <v>12.054790000000001</v>
        <stp/>
        <stp>##V3_BDPV12</stp>
        <stp>NMTP RX EQUITY</stp>
        <stp>CHG_PCT_1M</stp>
        <stp>[upload (2).xlsm]Model Portfolio!R49C5</stp>
        <tr r="E49" s="98"/>
      </tp>
      <tp>
        <v>4.4591867834179322</v>
        <stp/>
        <stp>##V3_BDPV12</stp>
        <stp>OKEY LI EQUITY</stp>
        <stp>NET_DEBT_TO_EBITDA</stp>
        <stp>[upload (2).xlsm]Model Portfolio!R39C20</stp>
        <tr r="T39" s="98"/>
      </tp>
      <tp t="s">
        <v>AT MATURITY</v>
        <stp/>
        <stp>##V3_BDPV12</stp>
        <stp>XS0643176448 Corp</stp>
        <stp>MTY_TYP</stp>
        <stp>[upload (2).xlsm]Base all $ 3 Duration!R79C15</stp>
        <tr r="O79" s="66"/>
      </tp>
      <tp>
        <v>6.9888890000000004</v>
        <stp/>
        <stp>##V3_BDPV12</stp>
        <stp>GMKN RX EQUITY</stp>
        <stp>CHG_PCT_1M</stp>
        <stp>[upload (2).xlsm]Model Portfolio!R29C5</stp>
        <tr r="E29" s="98"/>
      </tp>
      <tp t="s">
        <v>AT MATURITY</v>
        <stp/>
        <stp>##V3_BDPV12</stp>
        <stp>XS0543956717 Corp</stp>
        <stp>MTY_TYP</stp>
        <stp>[upload (2).xlsm]Base all $ 3 Duration!R85C15</stp>
        <tr r="O85" s="66"/>
      </tp>
      <tp t="s">
        <v>AT MATURITY</v>
        <stp/>
        <stp>##V3_BDPV12</stp>
        <stp>XS1040726587 Corp</stp>
        <stp>MTY_TYP</stp>
        <stp>[upload (2).xlsm]Base all $ 3 Duration!R41C15</stp>
        <tr r="O41" s="66"/>
      </tp>
      <tp t="s">
        <v>USD</v>
        <stp/>
        <stp>##V3_BDPV12</stp>
        <stp>XS0543956717 Corp</stp>
        <stp>CRNCY</stp>
        <stp>[upload (2).xlsm]Base all $ 3 Duration!R85C12</stp>
        <tr r="L85" s="66"/>
      </tp>
      <tp t="s">
        <v>AT MATURITY</v>
        <stp/>
        <stp>##V3_BDPV12</stp>
        <stp>XS0562354182 Corp</stp>
        <stp>MTY_TYP</stp>
        <stp>[upload (2).xlsm]Base all $ 3 Duration!R96C15</stp>
        <tr r="O96" s="66"/>
      </tp>
      <tp>
        <v>0.39778409999999997</v>
        <stp/>
        <stp>##V3_BDPV12</stp>
        <stp>MFON RX EQUITY</stp>
        <stp>CHG_PCT_1M</stp>
        <stp>[upload (2).xlsm]Model Portfolio!R62C5</stp>
        <tr r="E62" s="98"/>
      </tp>
      <tp t="s">
        <v>AT MATURITY</v>
        <stp/>
        <stp>##V3_BDPV12</stp>
        <stp>XS0808632847 Corp</stp>
        <stp>MTY_TYP</stp>
        <stp>[upload (2).xlsm]Base all $ 3 Duration!R65C15</stp>
        <tr r="O65" s="66"/>
      </tp>
      <tp t="s">
        <v>AT MATURITY</v>
        <stp/>
        <stp>##V3_BDPV12</stp>
        <stp>XS0772835285 Corp</stp>
        <stp>MTY_TYP</stp>
        <stp>[upload (2).xlsm]Base all $ 3 Duration!R31C15</stp>
        <tr r="O31" s="66"/>
      </tp>
      <tp t="s">
        <v>AT MATURITY</v>
        <stp/>
        <stp>##V3_BDPV12</stp>
        <stp>XS0923110232 Corp</stp>
        <stp>MTY_TYP</stp>
        <stp>[upload (2).xlsm]Base all $ 3 Duration!R35C15</stp>
        <tr r="O35" s="66"/>
      </tp>
      <tp>
        <v>0.54703418609916232</v>
        <stp/>
        <stp>##V3_BDPV12</stp>
        <stp>TATN RX EQUITY</stp>
        <stp>NET_DEBT_TO_EBITDA</stp>
        <stp>[upload (2).xlsm]Model Portfolio!R14C20</stp>
        <tr r="T14" s="98"/>
      </tp>
      <tp t="s">
        <v>AT MATURITY</v>
        <stp/>
        <stp>##V3_BDPV12</stp>
        <stp>XS0938341780 Corp</stp>
        <stp>MTY_TYP</stp>
        <stp>[upload (2).xlsm]Base all $ 3 Duration!R21C15</stp>
        <tr r="O21" s="66"/>
      </tp>
      <tp t="s">
        <v>AT MATURITY</v>
        <stp/>
        <stp>##V3_BDPV12</stp>
        <stp>XS0878855773 Corp</stp>
        <stp>MTY_TYP</stp>
        <stp>[upload (2).xlsm]Base all $ 3 Duration!R44C15</stp>
        <tr r="O44" s="66"/>
      </tp>
      <tp t="s">
        <v>AT MATURITY</v>
        <stp/>
        <stp>##V3_BDPV12</stp>
        <stp>XS0879105558 Corp</stp>
        <stp>MTY_TYP</stp>
        <stp>[upload (2).xlsm]Base all $ 3 Duration!R38C15</stp>
        <tr r="O38" s="66"/>
      </tp>
      <tp>
        <v>1.0257280254717331</v>
        <stp/>
        <stp>##V3_BDPV12</stp>
        <stp>KCEL LI EQUITY</stp>
        <stp>NET_DEBT_TO_EBITDA</stp>
        <stp>[upload (2).xlsm]Model Portfolio!R65C20</stp>
        <tr r="T65" s="98"/>
      </tp>
      <tp t="s">
        <v>PUTABLE</v>
        <stp/>
        <stp>##V3_BDPV12</stp>
        <stp>XS0424860947 Corp</stp>
        <stp>MTY_TYP</stp>
        <stp>[upload (2).xlsm]Base all $ 3 Duration!R46C15</stp>
        <tr r="O46" s="66"/>
      </tp>
      <tp t="s">
        <v>USD</v>
        <stp/>
        <stp>##V3_BDPV12</stp>
        <stp>XS0618905219 Corp</stp>
        <stp>CRNCY</stp>
        <stp>[upload (2).xlsm]Base all $ 3 Duration!R37C12</stp>
        <tr r="L37" s="66"/>
      </tp>
      <tp t="s">
        <v>PUTABLE</v>
        <stp/>
        <stp>##V3_BDPV12</stp>
        <stp>XS1059697323 Corp</stp>
        <stp>MTY_TYP</stp>
        <stp>[upload (2).xlsm]Base all $ 3 Duration!R20C15</stp>
        <tr r="O20" s="66"/>
      </tp>
      <tp>
        <v>0.62018525747201625</v>
        <stp/>
        <stp>##V3_BDPV12</stp>
        <stp>NVTK RX EQUITY</stp>
        <stp>NET_DEBT_TO_EBITDA</stp>
        <stp>[upload (2).xlsm]Model Portfolio!R16C20</stp>
        <tr r="T16" s="98"/>
      </tp>
      <tp t="s">
        <v>USD</v>
        <stp/>
        <stp>##V3_BDPV12</stp>
        <stp>XS0775984213 Corp</stp>
        <stp>CRNCY</stp>
        <stp>[upload (2).xlsm]Base all $ 3 Duration!R42C12</stp>
        <tr r="L42" s="66"/>
      </tp>
      <tp>
        <v>1.4927941902551483</v>
        <stp/>
        <stp>##V3_BDPV12</stp>
        <stp>RSTI RX EQUITY</stp>
        <stp>NET_DEBT_TO_EBITDA</stp>
        <stp>[upload (2).xlsm]Model Portfolio!R54C20</stp>
        <tr r="T54" s="98"/>
      </tp>
      <tp>
        <v>-13.107060000000001</v>
        <stp/>
        <stp>##V3_BDPV12</stp>
        <stp>ROSN RX EQUITY</stp>
        <stp>CHG_PCT_1YR</stp>
        <stp>[upload (2).xlsm]Model Portfolio!R17C6</stp>
        <tr r="F17" s="98"/>
      </tp>
      <tp>
        <v>22962200</v>
        <stp/>
        <stp>##V3_BDPV12</stp>
        <stp>NMTP RX EQUITY</stp>
        <stp>AVG_DAILY_VALUE_TRADED_6M</stp>
        <stp>[upload (2).xlsm]Model Portfolio!R49C12</stp>
        <tr r="L49" s="98"/>
      </tp>
      <tp>
        <v>1694078000</v>
        <stp/>
        <stp>##V3_BDPV12</stp>
        <stp>GMKN RX EQUITY</stp>
        <stp>AVG_DAILY_VALUE_TRADED_6M</stp>
        <stp>[upload (2).xlsm]Model Portfolio!R29C12</stp>
        <tr r="L29" s="98"/>
      </tp>
      <tp>
        <v>16.23949</v>
        <stp/>
        <stp>##V3_BDPV12</stp>
        <stp>MTSS RX EQUITY</stp>
        <stp>CHG_PCT_1YR</stp>
        <stp>[upload (2).xlsm]Model Portfolio!R67C6</stp>
        <tr r="F67" s="98"/>
      </tp>
      <tp>
        <v>1817312</v>
        <stp/>
        <stp>##V3_BDPV12</stp>
        <stp>KMAZ RX EQUITY</stp>
        <stp>AVG_DAILY_VALUE_TRADED_6M</stp>
        <stp>[upload (2).xlsm]Model Portfolio!R73C12</stp>
        <tr r="L73" s="98"/>
      </tp>
      <tp>
        <v>-1.587941E-2</v>
        <stp/>
        <stp>##V3_BDPV12</stp>
        <stp>ROSN RX EQUITY</stp>
        <stp>CHG_PCT_WTD</stp>
        <stp>[upload (2).xlsm]Model Portfolio!R17C4</stp>
        <tr r="D17" s="98"/>
      </tp>
      <tp>
        <v>823</v>
        <stp/>
        <stp>##V3_BDPV12</stp>
        <stp>POLY LN EQUITY</stp>
        <stp>PX_LAST</stp>
        <stp>[upload (2).xlsm]Model Portfolio!R6C3</stp>
        <tr r="C6" s="98"/>
      </tp>
      <tp>
        <v>-21.822240000000001</v>
        <stp/>
        <stp>##V3_BDPV12</stp>
        <stp>ROSN RX EQUITY</stp>
        <stp>CHG_PCT_YTD</stp>
        <stp>[upload (2).xlsm]Model Portfolio!R17C7</stp>
        <tr r="G17" s="98"/>
      </tp>
      <tp>
        <v>9.4401539999999997</v>
        <stp/>
        <stp>##V3_BDPV12</stp>
        <stp>MTSS RX EQUITY</stp>
        <stp>CHG_PCT_YTD</stp>
        <stp>[upload (2).xlsm]Model Portfolio!R67C7</stp>
        <tr r="G67" s="98"/>
      </tp>
      <tp>
        <v>2.1257480000000002</v>
        <stp/>
        <stp>##V3_BDPV12</stp>
        <stp>MTSS RX EQUITY</stp>
        <stp>CHG_PCT_WTD</stp>
        <stp>[upload (2).xlsm]Model Portfolio!R67C4</stp>
        <tr r="D67" s="98"/>
      </tp>
      <tp t="s">
        <v>EPAM SYSTEMS INC</v>
        <stp/>
        <stp>##V3_BDPV12</stp>
        <stp>EPAM US EQUITY</stp>
        <stp>SHORT_NAME</stp>
        <stp>[upload (2).xlsm]Model Portfolio!R42C2</stp>
        <tr r="B42" s="98"/>
      </tp>
      <tp t="s">
        <v>NR</v>
        <stp/>
        <stp>##V3_BDPV12</stp>
        <stp>XS0643176448 Corp</stp>
        <stp>RTG_SP</stp>
        <stp>[upload (2).xlsm]Base all $ 3 Duration!R79C10</stp>
        <tr r="J79" s="66"/>
        <tr r="J79" s="66"/>
      </tp>
      <tp t="s">
        <v>#N/A N/A</v>
        <stp/>
        <stp>##V3_BDPV12</stp>
        <stp>ENRU RM EQUITY</stp>
        <stp>EPS_GROWTH</stp>
        <stp>[upload (2).xlsm]Model Portfolio!R53C22</stp>
        <tr r="V53" s="98"/>
      </tp>
      <tp t="s">
        <v>#N/A N/A</v>
        <stp/>
        <stp>##V3_BDPV12</stp>
        <stp>XS0922883318 Corp</stp>
        <stp>RTG_SP</stp>
        <stp>[upload (2).xlsm]Base all $ 3 Duration!R56C10</stp>
        <tr r="J56" s="66"/>
      </tp>
      <tp t="s">
        <v>#N/A N/A</v>
        <stp/>
        <stp>##V3_BDPV12</stp>
        <stp>XS0869792928 Corp</stp>
        <stp>RTG_SP</stp>
        <stp>[upload (2).xlsm]Base all $ 3 Duration!R10C10</stp>
        <tr r="J10" s="66"/>
      </tp>
      <tp t="s">
        <v>#N/A N/A</v>
        <stp/>
        <stp>##V3_BDPV12</stp>
        <stp>SNGS RX EQUITY</stp>
        <stp>EPS_GROWTH</stp>
        <stp>[upload (2).xlsm]Model Portfolio!R10C22</stp>
        <tr r="V10" s="98"/>
      </tp>
      <tp t="s">
        <v>NR</v>
        <stp/>
        <stp>##V3_BDPV12</stp>
        <stp>XS0802648955 Corp</stp>
        <stp>RTG_SP</stp>
        <stp>[upload (2).xlsm]Base all $ 3 Duration!R12C10</stp>
        <tr r="J12" s="66"/>
        <tr r="J12" s="66"/>
      </tp>
      <tp>
        <v>16.66</v>
        <stp/>
        <stp>##V3_BDPV12</stp>
        <stp>MSRS RX EQUITY</stp>
        <stp>EQY_FREE_FLOAT_PCT</stp>
        <stp>[upload (2).xlsm]Model Portfolio!R59C11</stp>
        <tr r="K59" s="98"/>
      </tp>
      <tp t="s">
        <v>BB-</v>
        <stp/>
        <stp>##V3_BDPV12</stp>
        <stp>XS0974469206 Corp</stp>
        <stp>RTG_SP</stp>
        <stp>[upload (2).xlsm]Base all $ 3 Duration!R14C10</stp>
        <tr r="J14" s="66"/>
        <tr r="J14" s="66"/>
      </tp>
      <tp>
        <v>100</v>
        <stp/>
        <stp>##V3_BDPV12</stp>
        <stp>RTKMP RX EQUITY</stp>
        <stp>EQY_FREE_FLOAT_PCT</stp>
        <stp>[upload (2).xlsm]Model Portfolio!R63C11</stp>
        <tr r="K63" s="98"/>
      </tp>
      <tp>
        <v>16.27</v>
        <stp/>
        <stp>##V3_BDPV12</stp>
        <stp>UPRO RX EQUITY</stp>
        <stp>EQY_FREE_FLOAT_PCT</stp>
        <stp>[upload (2).xlsm]Model Portfolio!R52C11</stp>
        <tr r="K52" s="98"/>
      </tp>
      <tp t="s">
        <v>USD</v>
        <stp/>
        <stp>##V3_BDPV12</stp>
        <stp>XS0855334289 Corp</stp>
        <stp>CRNCY</stp>
        <stp>[upload (2).xlsm]Base all $ 3 Duration!R50C12</stp>
        <tr r="L50" s="66"/>
      </tp>
      <tp t="s">
        <v>USD</v>
        <stp/>
        <stp>##V3_BDPV12</stp>
        <stp>XS0562354182 Corp</stp>
        <stp>CRNCY</stp>
        <stp>[upload (2).xlsm]Base all $ 3 Duration!R96C12</stp>
        <tr r="L96" s="66"/>
      </tp>
      <tp t="s">
        <v>AT MATURITY</v>
        <stp/>
        <stp>##V3_BDPV12</stp>
        <stp>XS0855334289 Corp</stp>
        <stp>MTY_TYP</stp>
        <stp>[upload (2).xlsm]Base all $ 3 Duration!R50C15</stp>
        <tr r="O50" s="66"/>
      </tp>
      <tp t="s">
        <v>AT MATURITY</v>
        <stp/>
        <stp>##V3_BDPV12</stp>
        <stp>XS0832412505 Corp</stp>
        <stp>MTY_TYP</stp>
        <stp>[upload (2).xlsm]Base all $ 3 Duration!R30C15</stp>
        <tr r="O30" s="66"/>
      </tp>
      <tp>
        <v>14.3592</v>
        <stp/>
        <stp>##V3_BDPV12</stp>
        <stp>AKRN RX EQUITY</stp>
        <stp>EQY_FREE_FLOAT_PCT</stp>
        <stp>[upload (2).xlsm]Model Portfolio!R33C11</stp>
        <tr r="K33" s="98"/>
      </tp>
      <tp>
        <v>57.247531451929355</v>
        <stp/>
        <stp>##V3_BDPV12</stp>
        <stp>FIVE LI EQUITY</stp>
        <stp>EPS_GROWTH</stp>
        <stp>[upload (2).xlsm]Model Portfolio!R36C22</stp>
        <tr r="V36" s="98"/>
      </tp>
      <tp>
        <v>2.3112469999999998</v>
        <stp/>
        <stp>##V3_BDPV12</stp>
        <stp>TGKA RX EQUITY</stp>
        <stp>CHG_PCT_1M</stp>
        <stp>[upload (2).xlsm]Model Portfolio!R60C5</stp>
        <tr r="E60" s="98"/>
      </tp>
      <tp t="s">
        <v>USD</v>
        <stp/>
        <stp>##V3_BDPV12</stp>
        <stp>XS0783934325 Corp</stp>
        <stp>CRNCY</stp>
        <stp>[upload (2).xlsm]Base all $ 3 Duration!R47C12</stp>
        <tr r="L47" s="66"/>
      </tp>
      <tp t="s">
        <v>USD</v>
        <stp/>
        <stp>##V3_BDPV12</stp>
        <stp>XS0253861834 Corp</stp>
        <stp>CRNCY</stp>
        <stp>[upload (2).xlsm]Base all $ 3 Duration!R91C12</stp>
        <tr r="L91" s="66"/>
      </tp>
      <tp t="s">
        <v>USD</v>
        <stp/>
        <stp>##V3_BDPV12</stp>
        <stp>XS0551315384 Corp</stp>
        <stp>CRNCY</stp>
        <stp>[upload (2).xlsm]Base all $ 3 Duration!R82C12</stp>
        <tr r="L82" s="66"/>
      </tp>
      <tp t="s">
        <v>AT MATURITY</v>
        <stp/>
        <stp>##V3_BDPV12</stp>
        <stp>XS0276456315 Corp</stp>
        <stp>MTY_TYP</stp>
        <stp>[upload (2).xlsm]Base all $ 3 Duration!R90C15</stp>
        <tr r="O90" s="66"/>
      </tp>
      <tp t="s">
        <v>AT MATURITY</v>
        <stp/>
        <stp>##V3_BDPV12</stp>
        <stp>XS0381439305 Corp</stp>
        <stp>MTY_TYP</stp>
        <stp>[upload (2).xlsm]Base all $ 3 Duration!R64C15</stp>
        <tr r="O64" s="66"/>
      </tp>
      <tp t="s">
        <v>USD</v>
        <stp/>
        <stp>##V3_BDPV12</stp>
        <stp>XS0585211591 Corp</stp>
        <stp>CRNCY</stp>
        <stp>[upload (2).xlsm]Base all $ 3 Duration!R34C12</stp>
        <tr r="L34" s="66"/>
      </tp>
      <tp t="s">
        <v>AT MATURITY</v>
        <stp/>
        <stp>##V3_BDPV12</stp>
        <stp>XS0922883318 Corp</stp>
        <stp>MTY_TYP</stp>
        <stp>[upload (2).xlsm]Base all $ 3 Duration!R56C15</stp>
        <tr r="O56" s="66"/>
      </tp>
      <tp>
        <v>42.021000000000001</v>
        <stp/>
        <stp>##V3_BDPV12</stp>
        <stp>LSRG RX EQUITY</stp>
        <stp>EQY_FREE_FLOAT_PCT</stp>
        <stp>[upload (2).xlsm]Model Portfolio!R69C11</stp>
        <tr r="K69" s="98"/>
      </tp>
      <tp>
        <v>160.52632275504442</v>
        <stp/>
        <stp>##V3_BDPV12</stp>
        <stp>MAGN RX EQUITY</stp>
        <stp>EPS_GROWTH</stp>
        <stp>[upload (2).xlsm]Model Portfolio!R23C22</stp>
        <tr r="V23" s="98"/>
      </tp>
      <tp t="s">
        <v>AT MATURITY</v>
        <stp/>
        <stp>##V3_BDPV12</stp>
        <stp>XS0324963932 Corp</stp>
        <stp>MTY_TYP</stp>
        <stp>[upload (2).xlsm]Base all $ 3 Duration!R59C15</stp>
        <tr r="O59" s="66"/>
      </tp>
      <tp>
        <v>10.235390000000001</v>
        <stp/>
        <stp>##V3_BDPV12</stp>
        <stp>SBER RX EQUITY</stp>
        <stp>CHG_PCT_1M</stp>
        <stp>[upload (2).xlsm]Model Portfolio!R75C5</stp>
        <tr r="E75" s="98"/>
      </tp>
      <tp t="s">
        <v>USD</v>
        <stp/>
        <stp>##V3_BDPV12</stp>
        <stp>XS0938341780 Corp</stp>
        <stp>CRNCY</stp>
        <stp>[upload (2).xlsm]Base all $ 3 Duration!R21C12</stp>
        <tr r="L21" s="66"/>
      </tp>
      <tp t="s">
        <v>USD</v>
        <stp/>
        <stp>##V3_BDPV12</stp>
        <stp>XS0973219495 Corp</stp>
        <stp>CRNCY</stp>
        <stp>[upload (2).xlsm]Base all $ 3 Duration!R11C12</stp>
        <tr r="L11" s="66"/>
      </tp>
      <tp t="s">
        <v>USD</v>
        <stp/>
        <stp>##V3_BDPV12</stp>
        <stp>OGZD LI Equity</stp>
        <stp>CRNCY</stp>
        <stp>[Copy of upload (2).xlsm]Гарез_GRENF!R7C11</stp>
        <tr r="K7" s="115"/>
      </tp>
      <tp>
        <v>696.5</v>
        <stp/>
        <stp>##V3_BDHV12</stp>
        <stp>POLY RX EQUITY</stp>
        <stp>PX_LAST</stp>
        <stp>15/02/2017</stp>
        <stp>15/02/2017</stp>
        <stp>[Copy of upload (2).xlsm]Гарез_GRENF (2)!R28C8</stp>
        <tr r="H28" s="116"/>
      </tp>
      <tp>
        <v>3.3696033696033694</v>
        <stp/>
        <stp>##V3_BDPV12</stp>
        <stp>SNGSP RX EQUITY</stp>
        <stp>EST_PE_NXT_YR</stp>
        <stp>[upload (2).xlsm]Model Portfolio!R11C15</stp>
        <tr r="O11" s="98"/>
      </tp>
      <tp t="s">
        <v>07/07/2017</v>
        <stp/>
        <stp>##V3_BDPV12</stp>
        <stp>RTKMP RX EQUITY</stp>
        <stp>DVD_RECORD_DT</stp>
        <stp>[upload (2).xlsm]Model Portfolio!R63C28</stp>
        <tr r="AB63" s="98"/>
      </tp>
      <tp>
        <v>602722500</v>
        <stp/>
        <stp>##V3_BDPV12</stp>
        <stp>NLMK RX EQUITY</stp>
        <stp>AVG_DAILY_VALUE_TRADED_6M</stp>
        <stp>[upload (2).xlsm]Model Portfolio!R22C12</stp>
        <tr r="L22" s="98"/>
      </tp>
      <tp t="s">
        <v>NR</v>
        <stp/>
        <stp>##V3_BDPV12</stp>
        <stp>XS0841677387 Corp</stp>
        <stp>RTG_SP</stp>
        <stp>[upload (2).xlsm]Base all $ 3 Duration!R99C10</stp>
        <tr r="J99" s="66"/>
        <tr r="J99" s="66"/>
      </tp>
      <tp t="s">
        <v>#N/A N/A</v>
        <stp/>
        <stp>##V3_BDPV12</stp>
        <stp>XS0848163456 Corp</stp>
        <stp>RTG_SP</stp>
        <stp>[upload (2).xlsm]Base all $ 3 Duration!R18C10</stp>
        <tr r="J18" s="66"/>
      </tp>
      <tp t="s">
        <v>BBB-</v>
        <stp/>
        <stp>##V3_BDPV12</stp>
        <stp>XS0922134712 Corp</stp>
        <stp>RTG_SP</stp>
        <stp>[upload (2).xlsm]Base all $ 3 Duration!R76C10</stp>
        <tr r="J76" s="66"/>
        <tr r="J76" s="66"/>
      </tp>
      <tp t="s">
        <v>#N/A N/A</v>
        <stp/>
        <stp>##V3_BDPV12</stp>
        <stp>XS0808636913 Corp</stp>
        <stp>RTG_SP</stp>
        <stp>[upload (2).xlsm]Base all $ 3 Duration!R17C10</stp>
        <tr r="J17" s="66"/>
      </tp>
      <tp t="s">
        <v>NR</v>
        <stp/>
        <stp>##V3_BDPV12</stp>
        <stp>XS0292530309 Corp</stp>
        <stp>RTG_SP</stp>
        <stp>[upload (2).xlsm]Base all $ 3 Duration!R81C10</stp>
        <tr r="J81" s="66"/>
        <tr r="J81" s="66"/>
      </tp>
      <tp t="s">
        <v>GLOBAL-GDR REG S</v>
        <stp/>
        <stp>##V3_BDPV12</stp>
        <stp>GLPR LI EQUITY</stp>
        <stp>SHORT_NAME</stp>
        <stp>[upload (2).xlsm]Model Portfolio!R46C2</stp>
        <tr r="B46" s="98"/>
      </tp>
      <tp t="s">
        <v>SOLLERS</v>
        <stp/>
        <stp>##V3_BDPV12</stp>
        <stp>SVAV RX EQUITY</stp>
        <stp>SHORT_NAME</stp>
        <stp>[upload (2).xlsm]Model Portfolio!R72C2</stp>
        <tr r="B72" s="98"/>
      </tp>
      <tp>
        <v>51.018610000000002</v>
        <stp/>
        <stp>##V3_BDPV12</stp>
        <stp>MTSS RX EQUITY</stp>
        <stp>EQY_FREE_FLOAT_PCT</stp>
        <stp>[upload (2).xlsm]Model Portfolio!R67C11</stp>
        <tr r="K67" s="98"/>
      </tp>
      <tp>
        <v>18.05</v>
        <stp/>
        <stp>##V3_BDPV12</stp>
        <stp>RASP RX EQUITY</stp>
        <stp>EQY_FREE_FLOAT_PCT</stp>
        <stp>[upload (2).xlsm]Model Portfolio!R28C11</stp>
        <tr r="K28" s="98"/>
      </tp>
      <tp t="s">
        <v>AT MATURITY</v>
        <stp/>
        <stp>##V3_BDPV12</stp>
        <stp>XS0261906738 Corp</stp>
        <stp>MTY_TYP</stp>
        <stp>[upload (2).xlsm]Base all $ 3 Duration!R89C15</stp>
        <tr r="O89" s="66"/>
      </tp>
      <tp t="s">
        <v>AT MATURITY</v>
        <stp/>
        <stp>##V3_BDPV12</stp>
        <stp>XS0640334768 Corp</stp>
        <stp>MTY_TYP</stp>
        <stp>[upload (2).xlsm]Base all $ 3 Duration!R15C15</stp>
        <tr r="O15" s="66"/>
      </tp>
      <tp>
        <v>10.59694</v>
        <stp/>
        <stp>##V3_BDPV12</stp>
        <stp>ROSN RX EQUITY</stp>
        <stp>EQY_FREE_FLOAT_PCT</stp>
        <stp>[upload (2).xlsm]Model Portfolio!R17C11</stp>
        <tr r="K17" s="98"/>
      </tp>
      <tp t="s">
        <v>AT MATURITY</v>
        <stp/>
        <stp>##V3_BDPV12</stp>
        <stp>XS0461926569 Corp</stp>
        <stp>MTY_TYP</stp>
        <stp>[upload (2).xlsm]Base all $ 3 Duration!R53C15</stp>
        <tr r="O53" s="66"/>
      </tp>
      <tp t="s">
        <v>USD</v>
        <stp/>
        <stp>##V3_BDPV12</stp>
        <stp>XS0499245180 Corp</stp>
        <stp>CRNCY</stp>
        <stp>[upload (2).xlsm]Base all $ 3 Duration!R84C12</stp>
        <tr r="L84" s="66"/>
      </tp>
      <tp t="s">
        <v>USD</v>
        <stp/>
        <stp>##V3_BDPV12</stp>
        <stp>XS0324963932 Corp</stp>
        <stp>CRNCY</stp>
        <stp>[upload (2).xlsm]Base all $ 3 Duration!R59C12</stp>
        <tr r="L59" s="66"/>
      </tp>
      <tp t="s">
        <v>USD</v>
        <stp/>
        <stp>##V3_BDPV12</stp>
        <stp>XS0559800122 Corp</stp>
        <stp>CRNCY</stp>
        <stp>[upload (2).xlsm]Base all $ 3 Duration!R63C12</stp>
        <tr r="L63" s="66"/>
      </tp>
      <tp t="s">
        <v>AT MATURITY</v>
        <stp/>
        <stp>##V3_BDPV12</stp>
        <stp>XS0551315384 Corp</stp>
        <stp>MTY_TYP</stp>
        <stp>[upload (2).xlsm]Base all $ 3 Duration!R82C15</stp>
        <tr r="O82" s="66"/>
      </tp>
      <tp>
        <v>100</v>
        <stp/>
        <stp>##V3_BDPV12</stp>
        <stp>FESH RX EQUITY</stp>
        <stp>EQY_FREE_FLOAT_PCT</stp>
        <stp>[upload (2).xlsm]Model Portfolio!R45C11</stp>
        <tr r="K45" s="98"/>
      </tp>
      <tp t="s">
        <v>AT MATURITY</v>
        <stp/>
        <stp>##V3_BDPV12</stp>
        <stp>XS0899969702 Corp</stp>
        <stp>MTY_TYP</stp>
        <stp>[upload (2).xlsm]Base all $ 3 Duration!R71C15</stp>
        <tr r="O71" s="66"/>
      </tp>
      <tp t="s">
        <v>USD</v>
        <stp/>
        <stp>##V3_BDPV12</stp>
        <stp>XS0261906738 Corp</stp>
        <stp>CRNCY</stp>
        <stp>[upload (2).xlsm]Base all $ 3 Duration!R89C12</stp>
        <tr r="L89" s="66"/>
      </tp>
      <tp t="s">
        <v>BANK ST PETERSBU</v>
        <stp/>
        <stp>##V3_BDPV12</stp>
        <stp>BSPB RX EQUITY</stp>
        <stp>SHORT_NAME</stp>
        <stp>[upload (2).xlsm]Model Portfolio!R77C2</stp>
        <tr r="B77" s="98"/>
      </tp>
      <tp>
        <v>466.37168141592923</v>
        <stp/>
        <stp>##V3_BDPV12</stp>
        <stp>FXPO LN EQUITY</stp>
        <stp>EPS_GROWTH</stp>
        <stp>[upload (2).xlsm]Model Portfolio!R27C22</stp>
        <tr r="V27" s="98"/>
      </tp>
      <tp t="s">
        <v>AT MATURITY</v>
        <stp/>
        <stp>##V3_BDPV12</stp>
        <stp>XS0993279958 Corp</stp>
        <stp>MTY_TYP</stp>
        <stp>[upload (2).xlsm]Base all $ 3 Duration!R13C15</stp>
        <tr r="O13" s="66"/>
      </tp>
      <tp t="s">
        <v>AT MATURITY</v>
        <stp/>
        <stp>##V3_BDPV12</stp>
        <stp>XS0923472814 Corp</stp>
        <stp>MTY_TYP</stp>
        <stp>[upload (2).xlsm]Base all $ 3 Duration!R52C15</stp>
        <tr r="O52" s="66"/>
      </tp>
      <tp>
        <v>307.5</v>
        <stp/>
        <stp>##V3_BDPV12</stp>
        <stp>EVR LN EQUITY</stp>
        <stp>PX_LAST</stp>
        <stp>[upload (2).xlsm]Model Portfolio!R26C3</stp>
        <tr r="C26" s="98"/>
      </tp>
    </main>
    <main first="bloomberg.rtd">
      <tp>
        <v>4.5789475440979004</v>
        <stp/>
        <stp>##V3_BDPV12</stp>
        <stp>VEON US Equity</stp>
        <stp>EQY_REC_CONS</stp>
        <stp>[Copy of upload (2).xlsm]Гарез_GRENF!R4C10</stp>
        <tr r="J4" s="115"/>
      </tp>
      <tp>
        <v>177.5</v>
        <stp/>
        <stp>##V3_BDPV12</stp>
        <stp>XS0088543193 Corp</stp>
        <stp>PX_ASK</stp>
        <stp>[Copy of upload (2).xlsm]Гарез_GRENF (2)!R11C7</stp>
        <tr r="G11" s="116"/>
      </tp>
      <tp t="s">
        <v>N</v>
        <stp/>
        <stp>##V3_BDPV12</stp>
        <stp>XS0996297544 Corp</stp>
        <stp>RUSSIAN_CB_LOMBARD</stp>
        <stp>[upload (2).xlsm]Base all $ 3 Duration!R9C16</stp>
        <tr r="P9" s="66"/>
      </tp>
      <tp t="s">
        <v>N</v>
        <stp/>
        <stp>##V3_BDPV12</stp>
        <stp>XS0493579238 Corp</stp>
        <stp>RUSSIAN_CB_LOMBARD</stp>
        <stp>[upload (2).xlsm]Base all $ 3 Duration!R7C16</stp>
        <tr r="P7" s="66"/>
      </tp>
      <tp t="s">
        <v>#N/A N/A</v>
        <stp/>
        <stp>##V3_BDPV12</stp>
        <stp>XS0543956717 Corp</stp>
        <stp>RTG_SP</stp>
        <stp>[upload (2).xlsm]Base all $ 3 Duration!R85C10</stp>
        <tr r="J85" s="66"/>
      </tp>
      <tp t="s">
        <v>BB+</v>
        <stp/>
        <stp>##V3_BDPV12</stp>
        <stp>XS0324963932 Corp</stp>
        <stp>RTG_SP</stp>
        <stp>[upload (2).xlsm]Base all $ 3 Duration!R59C10</stp>
        <tr r="J59" s="66"/>
        <tr r="J59" s="66"/>
      </tp>
      <tp>
        <v>0.74714673847475377</v>
        <stp/>
        <stp>##V3_BDPV12</stp>
        <stp>TRNFP RX EQUITY</stp>
        <stp>NET_DEBT_TO_EBITDA</stp>
        <stp>[upload (2).xlsm]Model Portfolio!R20C20</stp>
        <tr r="T20" s="98"/>
      </tp>
      <tp t="s">
        <v>#N/A N/A</v>
        <stp/>
        <stp>##V3_BDPV12</stp>
        <stp>VIP US EQUITY</stp>
        <stp>AVG_DAILY_VALUE_TRADED_6M</stp>
        <stp>[upload (2).xlsm]Model Portfolio!R61C12</stp>
        <tr r="L61" s="98"/>
      </tp>
      <tp t="s">
        <v>#N/A N/A</v>
        <stp/>
        <stp>##V3_BDPV12</stp>
        <stp>XS0776121062 Corp</stp>
        <stp>RTG_SP</stp>
        <stp>[upload (2).xlsm]Base all $ 3 Duration!R27C10</stp>
        <tr r="J27" s="66"/>
      </tp>
      <tp t="s">
        <v>BB+</v>
        <stp/>
        <stp>##V3_BDPV12</stp>
        <stp>XS0559800122 Corp</stp>
        <stp>RTG_SP</stp>
        <stp>[upload (2).xlsm]Base all $ 3 Duration!R63C10</stp>
        <tr r="J63" s="66"/>
        <tr r="J63" s="66"/>
      </tp>
      <tp t="s">
        <v>NR</v>
        <stp/>
        <stp>##V3_BDPV12</stp>
        <stp>XS0616784509 Corp</stp>
        <stp>RTG_SP</stp>
        <stp>[upload (2).xlsm]Base all $ 3 Duration!R24C10</stp>
        <tr r="J24" s="66"/>
        <tr r="J24" s="66"/>
      </tp>
      <tp>
        <v>8.5076669999999996</v>
        <stp/>
        <stp>##V3_BDPV12</stp>
        <stp>RASP RX EQUITY</stp>
        <stp>CHG_PCT_1M</stp>
        <stp>[upload (2).xlsm]Model Portfolio!R28C5</stp>
        <tr r="E28" s="98"/>
      </tp>
      <tp t="s">
        <v>USD</v>
        <stp/>
        <stp>##V3_BDPV12</stp>
        <stp>XS0719009754 Corp</stp>
        <stp>CRNCY</stp>
        <stp>[upload (2).xlsm]Base all $ 3 Duration!R77C12</stp>
        <tr r="L77" s="66"/>
      </tp>
      <tp>
        <v>21.773310178599033</v>
        <stp/>
        <stp>##V3_BDPV12</stp>
        <stp>MVID RX EQUITY</stp>
        <stp>EPS_GROWTH</stp>
        <stp>[upload (2).xlsm]Model Portfolio!R38C22</stp>
        <tr r="V38" s="98"/>
      </tp>
      <tp t="s">
        <v>USD</v>
        <stp/>
        <stp>##V3_BDPV12</stp>
        <stp>XS0940730228 Corp</stp>
        <stp>CRNCY</stp>
        <stp>[upload (2).xlsm]Base all $ 3 Duration!R25C12</stp>
        <tr r="L25" s="66"/>
      </tp>
      <tp t="s">
        <v>USD</v>
        <stp/>
        <stp>##V3_BDPV12</stp>
        <stp>XS0288690539 Corp</stp>
        <stp>CRNCY</stp>
        <stp>[upload (2).xlsm]Base all $ 3 Duration!R62C12</stp>
        <tr r="L62" s="66"/>
      </tp>
      <tp t="s">
        <v>USD</v>
        <stp/>
        <stp>##V3_BDPV12</stp>
        <stp>XS0276456315 Corp</stp>
        <stp>CRNCY</stp>
        <stp>[upload (2).xlsm]Base all $ 3 Duration!R90C12</stp>
        <tr r="L90" s="66"/>
      </tp>
      <tp t="s">
        <v>USD</v>
        <stp/>
        <stp>##V3_BDPV12</stp>
        <stp>XS0587030957 Corp</stp>
        <stp>CRNCY</stp>
        <stp>[upload (2).xlsm]Base all $ 3 Duration!R95C12</stp>
        <tr r="L95" s="66"/>
      </tp>
      <tp t="s">
        <v>AT MATURITY</v>
        <stp/>
        <stp>##V3_BDPV12</stp>
        <stp>XS0796426228 Corp</stp>
        <stp>MTY_TYP</stp>
        <stp>[upload (2).xlsm]Base all $ 3 Duration!R54C15</stp>
        <tr r="O54" s="66"/>
      </tp>
      <tp t="s">
        <v>MAIL.RU GROU-GDR</v>
        <stp/>
        <stp>##V3_BDPV12</stp>
        <stp>MAIL LI EQUITY</stp>
        <stp>SHORT_NAME</stp>
        <stp>[upload (2).xlsm]Model Portfolio!R44C2</stp>
        <tr r="B44" s="98"/>
      </tp>
      <tp t="s">
        <v>#N/A N/A</v>
        <stp/>
        <stp>##V3_BDPV12</stp>
        <stp>QIWI US EQUITY</stp>
        <stp>EQY_FREE_FLOAT_PCT</stp>
        <stp>[upload (2).xlsm]Model Portfolio!R40C11</stp>
        <tr r="K40" s="98"/>
      </tp>
      <tp>
        <v>-7.9207919999999996</v>
        <stp/>
        <stp>##V3_BDPV12</stp>
        <stp>BANE RX EQUITY</stp>
        <stp>CHG_PCT_1M</stp>
        <stp>[upload (2).xlsm]Model Portfolio!R18C5</stp>
        <tr r="E18" s="98"/>
      </tp>
      <tp t="s">
        <v>USD</v>
        <stp/>
        <stp>##V3_BDPV12</stp>
        <stp>XS0426517701 Corp</stp>
        <stp>CRNCY</stp>
        <stp>[upload (2).xlsm]Base all $ 3 Duration!R88C12</stp>
        <tr r="L88" s="66"/>
      </tp>
      <tp t="s">
        <v>USD</v>
        <stp/>
        <stp>##V3_BDPV12</stp>
        <stp>XS0783242877 Corp</stp>
        <stp>CRNCY</stp>
        <stp>[upload (2).xlsm]Base all $ 3 Duration!R32C12</stp>
        <tr r="L32" s="66"/>
      </tp>
      <tp t="s">
        <v>USD</v>
        <stp/>
        <stp>##V3_BDPV12</stp>
        <stp>XS0923472814 Corp</stp>
        <stp>CRNCY</stp>
        <stp>[upload (2).xlsm]Base all $ 3 Duration!R52C12</stp>
        <tr r="L52" s="66"/>
      </tp>
      <tp t="s">
        <v>USD</v>
        <stp/>
        <stp>##V3_BDPV12</stp>
        <stp>XS0851672435 Corp</stp>
        <stp>CRNCY</stp>
        <stp>[upload (2).xlsm]Base all $ 3 Duration!R23C12</stp>
        <tr r="L23" s="66"/>
      </tp>
      <tp t="s">
        <v>USD</v>
        <stp/>
        <stp>##V3_BDPV12</stp>
        <stp>XS0954673934 Corp</stp>
        <stp>CRNCY</stp>
        <stp>[upload (2).xlsm]Base all $ 3 Duration!R16C12</stp>
        <tr r="L16" s="66"/>
      </tp>
      <tp t="s">
        <v>USD</v>
        <stp/>
        <stp>##V3_BDPV12</stp>
        <stp>XS1059697323 Corp</stp>
        <stp>CRNCY</stp>
        <stp>[upload (2).xlsm]Base all $ 3 Duration!R20C12</stp>
        <tr r="L20" s="66"/>
      </tp>
      <tp t="s">
        <v>USD</v>
        <stp/>
        <stp>##V3_BDPV12</stp>
        <stp>XS0643176448 Corp</stp>
        <stp>CRNCY</stp>
        <stp>[upload (2).xlsm]Base all $ 3 Duration!R79C12</stp>
        <tr r="L79" s="66"/>
      </tp>
      <tp t="s">
        <v>USD</v>
        <stp/>
        <stp>##V3_BDPV12</stp>
        <stp>XS0869792928 Corp</stp>
        <stp>CRNCY</stp>
        <stp>[upload (2).xlsm]Base all $ 3 Duration!R10C12</stp>
        <tr r="L10" s="66"/>
      </tp>
      <tp t="s">
        <v>USD</v>
        <stp/>
        <stp>##V3_BDPV12</stp>
        <stp>XS0292530309 Corp</stp>
        <stp>CRNCY</stp>
        <stp>[upload (2).xlsm]Base all $ 3 Duration!R81C12</stp>
        <tr r="L81" s="66"/>
      </tp>
      <tp t="s">
        <v>USD</v>
        <stp/>
        <stp>##V3_BDPV12</stp>
        <stp>XS0640334768 Corp</stp>
        <stp>CRNCY</stp>
        <stp>[upload (2).xlsm]Base all $ 3 Duration!R15C12</stp>
        <tr r="L15" s="66"/>
      </tp>
      <tp t="s">
        <v>USD</v>
        <stp/>
        <stp>##V3_BDPV12</stp>
        <stp>XS0924078453 Corp</stp>
        <stp>CRNCY</stp>
        <stp>[upload (2).xlsm]Base all $ 3 Duration!R19C12</stp>
        <tr r="L19" s="66"/>
      </tp>
      <tp>
        <v>1.4419193158125325</v>
        <stp/>
        <stp>##V3_BDPV12</stp>
        <stp>TRNFP RX EQUITY</stp>
        <stp>EST_EV_THIS_YR_EBITDA</stp>
        <stp>[upload (2).xlsm]Model Portfolio!R20C16</stp>
        <tr r="P20" s="98"/>
      </tp>
      <tp t="s">
        <v>USD</v>
        <stp/>
        <stp>##V3_BDPV12</stp>
        <stp>AGRO LI Equity</stp>
        <stp>CRNCY</stp>
        <stp>[Copy of upload (2).xlsm]Гарез_GRENF!R8C11</stp>
        <tr r="K8" s="115"/>
      </tp>
      <tp t="s">
        <v>14/06/2017</v>
        <stp/>
        <stp>##V3_BDPV12</stp>
        <stp>SBERP RX EQUITY</stp>
        <stp>DVD_RECORD_DT</stp>
        <stp>[upload (2).xlsm]Model Portfolio!R76C28</stp>
        <tr r="AB76" s="98"/>
      </tp>
      <tp>
        <v>-9.9944170000000003</v>
        <stp/>
        <stp>##V3_BDPV12</stp>
        <stp>LSRG RX EQUITY</stp>
        <stp>CHG_PCT_1YR</stp>
        <stp>[upload (2).xlsm]Model Portfolio!R69C6</stp>
        <tr r="F69" s="98"/>
      </tp>
      <tp>
        <v>7717948000</v>
        <stp/>
        <stp>##V3_BDPV12</stp>
        <stp>SBER RX EQUITY</stp>
        <stp>AVG_DAILY_VALUE_TRADED_6M</stp>
        <stp>[upload (2).xlsm]Model Portfolio!R75C12</stp>
        <tr r="L75" s="98"/>
      </tp>
      <tp>
        <v>-7.7083310000000003</v>
        <stp/>
        <stp>##V3_BDPV12</stp>
        <stp>MSRS RX EQUITY</stp>
        <stp>CHG_PCT_1YR</stp>
        <stp>[upload (2).xlsm]Model Portfolio!R59C6</stp>
        <tr r="F59" s="98"/>
      </tp>
      <tp>
        <v>86.043480000000002</v>
        <stp/>
        <stp>##V3_BDPV12</stp>
        <stp>RASP RX EQUITY</stp>
        <stp>CHG_PCT_1YR</stp>
        <stp>[upload (2).xlsm]Model Portfolio!R28C6</stp>
        <tr r="F28" s="98"/>
      </tp>
      <tp>
        <v>-15.336130000000001</v>
        <stp/>
        <stp>##V3_BDPV12</stp>
        <stp>LSRG RX EQUITY</stp>
        <stp>CHG_PCT_YTD</stp>
        <stp>[upload (2).xlsm]Model Portfolio!R69C7</stp>
        <tr r="G69" s="98"/>
      </tp>
      <tp>
        <v>0.37359900000000001</v>
        <stp/>
        <stp>##V3_BDPV12</stp>
        <stp>LSRG RX EQUITY</stp>
        <stp>CHG_PCT_WTD</stp>
        <stp>[upload (2).xlsm]Model Portfolio!R69C4</stp>
        <tr r="D69" s="98"/>
      </tp>
      <tp>
        <v>-1.336303</v>
        <stp/>
        <stp>##V3_BDPV12</stp>
        <stp>MSRS RX EQUITY</stp>
        <stp>CHG_PCT_YTD</stp>
        <stp>[upload (2).xlsm]Model Portfolio!R59C7</stp>
        <tr r="G59" s="98"/>
      </tp>
      <tp>
        <v>4</v>
        <stp/>
        <stp>##V3_BDPV12</stp>
        <stp>AGRO LI Equity</stp>
        <stp>EQY_REC_CONS</stp>
        <stp>[Copy of upload (2).xlsm]Гарез_GRENF!R8C10</stp>
        <tr r="J8" s="115"/>
      </tp>
      <tp>
        <v>7.3641959999999997</v>
        <stp/>
        <stp>##V3_BDPV12</stp>
        <stp>RASP RX EQUITY</stp>
        <stp>CHG_PCT_YTD</stp>
        <stp>[upload (2).xlsm]Model Portfolio!R28C7</stp>
        <tr r="G28" s="98"/>
      </tp>
      <tp>
        <v>0.56404410000000005</v>
        <stp/>
        <stp>##V3_BDPV12</stp>
        <stp>RASP RX EQUITY</stp>
        <stp>CHG_PCT_WTD</stp>
        <stp>[upload (2).xlsm]Model Portfolio!R28C4</stp>
        <tr r="D28" s="98"/>
      </tp>
      <tp>
        <v>-0.44943660000000002</v>
        <stp/>
        <stp>##V3_BDPV12</stp>
        <stp>MSRS RX EQUITY</stp>
        <stp>CHG_PCT_WTD</stp>
        <stp>[upload (2).xlsm]Model Portfolio!R59C4</stp>
        <tr r="D59" s="98"/>
      </tp>
    </main>
    <main first="bloomberg.rtd">
      <tp>
        <v>68.926027855774777</v>
        <stp/>
        <stp>##V3_BDPV12</stp>
        <stp>NORD LI EQUITY</stp>
        <stp>PCT_REVENUE_FROM_FOREIGN_SOURCES</stp>
        <stp>[upload (2).xlsm]Model Portfolio!R3C30</stp>
        <tr r="AD3" s="98"/>
      </tp>
      <tp t="s">
        <v>NR</v>
        <stp/>
        <stp>##V3_BDPV12</stp>
        <stp>XS0993279958 Corp</stp>
        <stp>RTG_SP</stp>
        <stp>[upload (2).xlsm]Base all $ 3 Duration!R13C10</stp>
        <tr r="J13" s="66"/>
        <tr r="J13" s="66"/>
      </tp>
      <tp t="s">
        <v>BB+</v>
        <stp/>
        <stp>##V3_BDPV12</stp>
        <stp>XS0365923977 Corp</stp>
        <stp>RTG_SP</stp>
        <stp>[upload (2).xlsm]Base all $ 3 Duration!R57C10</stp>
        <tr r="J57" s="66"/>
        <tr r="J57" s="66"/>
      </tp>
      <tp t="s">
        <v>B-</v>
        <stp/>
        <stp>##V3_BDPV12</stp>
        <stp>XS0779213460 Corp</stp>
        <stp>RTG_SP</stp>
        <stp>[upload (2).xlsm]Base all $ 3 Duration!R33C10</stp>
        <tr r="J33" s="66"/>
        <tr r="J33" s="66"/>
      </tp>
      <tp>
        <v>3.6025619999999998</v>
        <stp/>
        <stp>##V3_BDPV12</stp>
        <stp>ROSN RX EQUITY</stp>
        <stp>CHG_PCT_1M</stp>
        <stp>[upload (2).xlsm]Model Portfolio!R17C5</stp>
        <tr r="E17" s="98"/>
      </tp>
      <tp>
        <v>10.45552</v>
        <stp/>
        <stp>##V3_BDPV12</stp>
        <stp>AKRN RX EQUITY</stp>
        <stp>CHG_PCT_1M</stp>
        <stp>[upload (2).xlsm]Model Portfolio!R33C5</stp>
        <tr r="E33" s="98"/>
      </tp>
      <tp t="s">
        <v>#N/A N/A</v>
        <stp/>
        <stp>##V3_BDPV12</stp>
        <stp>XS0799357354 Corp</stp>
        <stp>RTG_SP</stp>
        <stp>[upload (2).xlsm]Base all $ 3 Duration!R55C10</stp>
        <tr r="J55" s="66"/>
      </tp>
      <tp t="s">
        <v>#N/A N/A</v>
        <stp/>
        <stp>##V3_BDPV12</stp>
        <stp>XS1043519567 Corp</stp>
        <stp>RTG_SP</stp>
        <stp>[upload (2).xlsm]Base all $ 3 Duration!R74C10</stp>
        <tr r="J74" s="66"/>
      </tp>
      <tp>
        <v>3.2307825544907978</v>
        <stp/>
        <stp>##V3_BDPV12</stp>
        <stp>DIXY RX EQUITY</stp>
        <stp>NET_DEBT_TO_EBITDA</stp>
        <stp>[upload (2).xlsm]Model Portfolio!R34C20</stp>
        <tr r="T34" s="98"/>
      </tp>
      <tp t="s">
        <v>GLOBALTRANS-GDR</v>
        <stp/>
        <stp>##V3_BDPV12</stp>
        <stp>GLTR LI EQUITY</stp>
        <stp>SHORT_NAME</stp>
        <stp>[upload (2).xlsm]Model Portfolio!R48C2</stp>
        <tr r="B48" s="98"/>
      </tp>
      <tp t="s">
        <v>AT MATURITY</v>
        <stp/>
        <stp>##V3_BDPV12</stp>
        <stp>XS0772509484 Corp</stp>
        <stp>MTY_TYP</stp>
        <stp>[upload (2).xlsm]Base all $ 3 Duration!R78C15</stp>
        <tr r="O78" s="66"/>
      </tp>
      <tp t="s">
        <v>AT MATURITY</v>
        <stp/>
        <stp>##V3_BDPV12</stp>
        <stp>XS0974469206 Corp</stp>
        <stp>MTY_TYP</stp>
        <stp>[upload (2).xlsm]Base all $ 3 Duration!R14C15</stp>
        <tr r="O14" s="66"/>
      </tp>
      <tp t="s">
        <v>PERPETUAL</v>
        <stp/>
        <stp>##V3_BDPV12</stp>
        <stp>XS0973219495 Corp</stp>
        <stp>MTY_TYP</stp>
        <stp>[upload (2).xlsm]Base all $ 3 Duration!R11C15</stp>
        <tr r="O11" s="66"/>
      </tp>
      <tp t="s">
        <v>#N/A N/A</v>
        <stp/>
        <stp>##V3_BDPV12</stp>
        <stp>ETLN LI EQUITY</stp>
        <stp>EQY_FREE_FLOAT_PCT</stp>
        <stp>[upload (2).xlsm]Model Portfolio!R70C11</stp>
        <tr r="K70" s="98"/>
      </tp>
      <tp t="s">
        <v>USD</v>
        <stp/>
        <stp>##V3_BDPV12</stp>
        <stp>XS0544362972 Corp</stp>
        <stp>CRNCY</stp>
        <stp>[upload (2).xlsm]Base all $ 3 Duration!R70C12</stp>
        <tr r="L70" s="66"/>
      </tp>
      <tp t="s">
        <v>USD</v>
        <stp/>
        <stp>##V3_BDPV12</stp>
        <stp>XS0879105558 Corp</stp>
        <stp>CRNCY</stp>
        <stp>[upload (2).xlsm]Base all $ 3 Duration!R38C12</stp>
        <tr r="L38" s="66"/>
      </tp>
      <tp t="s">
        <v>USD</v>
        <stp/>
        <stp>##V3_BDPV12</stp>
        <stp>XS0779213460 Corp</stp>
        <stp>CRNCY</stp>
        <stp>[upload (2).xlsm]Base all $ 3 Duration!R33C12</stp>
        <tr r="L33" s="66"/>
      </tp>
      <tp>
        <v>1.905594</v>
        <stp/>
        <stp>##V3_BDPV12</stp>
        <stp>LKOH RX EQUITY</stp>
        <stp>CHG_PCT_1M</stp>
        <stp>[upload (2).xlsm]Model Portfolio!R13C5</stp>
        <tr r="E13" s="98"/>
      </tp>
      <tp t="s">
        <v>USD</v>
        <stp/>
        <stp>##V3_BDPV12</stp>
        <stp>XS0381439305 Corp</stp>
        <stp>CRNCY</stp>
        <stp>[upload (2).xlsm]Base all $ 3 Duration!R64C12</stp>
        <tr r="L64" s="66"/>
      </tp>
      <tp t="s">
        <v>LSR</v>
        <stp/>
        <stp>##V3_BDPV12</stp>
        <stp>LSRG RX EQUITY</stp>
        <stp>SHORT_NAME</stp>
        <stp>[upload (2).xlsm]Model Portfolio!R69C2</stp>
        <tr r="B69" s="98"/>
      </tp>
      <tp t="s">
        <v>MOESK</v>
        <stp/>
        <stp>##V3_BDPV12</stp>
        <stp>MSRS RX EQUITY</stp>
        <stp>SHORT_NAME</stp>
        <stp>[upload (2).xlsm]Model Portfolio!R59C2</stp>
        <tr r="B59" s="98"/>
      </tp>
      <tp t="s">
        <v>USD</v>
        <stp/>
        <stp>##V3_BDPV12</stp>
        <stp>XS0299183250 Corp</stp>
        <stp>CRNCY</stp>
        <stp>[upload (2).xlsm]Base all $ 3 Duration!R40C12</stp>
        <tr r="L40" s="66"/>
      </tp>
      <tp t="s">
        <v>AT MATURITY</v>
        <stp/>
        <stp>##V3_BDPV12</stp>
        <stp>XS0588436799 Corp</stp>
        <stp>MTY_TYP</stp>
        <stp>[upload (2).xlsm]Base all $ 3 Duration!R94C15</stp>
        <tr r="O94" s="66"/>
      </tp>
      <tp t="s">
        <v>USD</v>
        <stp/>
        <stp>##V3_BDPV12</stp>
        <stp>XS0974469206 Corp</stp>
        <stp>CRNCY</stp>
        <stp>[upload (2).xlsm]Base all $ 3 Duration!R14C12</stp>
        <tr r="L14" s="66"/>
      </tp>
      <tp>
        <v>-0.68375739872396035</v>
        <stp/>
        <stp>##V3_BDPV12</stp>
        <stp>MAIL LI EQUITY</stp>
        <stp>NET_DEBT_TO_EBITDA</stp>
        <stp>[upload (2).xlsm]Model Portfolio!R44C20</stp>
        <tr r="T44" s="98"/>
      </tp>
      <tp t="s">
        <v>USD</v>
        <stp/>
        <stp>##V3_BDPV12</stp>
        <stp>XS0848163456 Corp</stp>
        <stp>CRNCY</stp>
        <stp>[upload (2).xlsm]Base all $ 3 Duration!R18C12</stp>
        <tr r="L18" s="66"/>
      </tp>
      <tp t="s">
        <v>AT MATURITY</v>
        <stp/>
        <stp>##V3_BDPV12</stp>
        <stp>XS0799357354 Corp</stp>
        <stp>MTY_TYP</stp>
        <stp>[upload (2).xlsm]Base all $ 3 Duration!R55C15</stp>
        <tr r="O55" s="66"/>
      </tp>
      <tp t="s">
        <v>USD</v>
        <stp/>
        <stp>##V3_BDPV12</stp>
        <stp>XS0832412505 Corp</stp>
        <stp>CRNCY</stp>
        <stp>[upload (2).xlsm]Base all $ 3 Duration!R30C12</stp>
        <tr r="L30" s="66"/>
      </tp>
      <tp>
        <v>7.25</v>
        <stp/>
        <stp>##V3_BDPV12</stp>
        <stp>POG LN EQUITY</stp>
        <stp>PX_LAST</stp>
        <stp>[upload (2).xlsm]Model Portfolio!R7C3</stp>
        <tr r="C7" s="98"/>
      </tp>
      <tp t="s">
        <v>#N/A N/A</v>
        <stp/>
        <stp>##V3_BDPV12</stp>
        <stp>VEON US Equity</stp>
        <stp>BDVD_NEXT_EST_DECL_DT</stp>
        <stp>[Copy of upload (2).xlsm]Гарез_GRENF!R4C22</stp>
        <tr r="V4" s="115"/>
      </tp>
      <tp>
        <v>3798223000</v>
        <stp/>
        <stp>##V3_BDPV12</stp>
        <stp>GAZP RX EQUITY</stp>
        <stp>AVG_DAILY_VALUE_TRADED_6M</stp>
        <stp>[upload (2).xlsm]Model Portfolio!R12C12</stp>
        <tr r="L12" s="98"/>
      </tp>
      <tp>
        <v>549074400</v>
        <stp/>
        <stp>##V3_BDPV12</stp>
        <stp>TATN RX EQUITY</stp>
        <stp>AVG_DAILY_VALUE_TRADED_6M</stp>
        <stp>[upload (2).xlsm]Model Portfolio!R14C12</stp>
        <tr r="L14" s="98"/>
      </tp>
      <tp>
        <v>249089200</v>
        <stp/>
        <stp>##V3_BDPV12</stp>
        <stp>RASP RX EQUITY</stp>
        <stp>AVG_DAILY_VALUE_TRADED_6M</stp>
        <stp>[upload (2).xlsm]Model Portfolio!R28C12</stp>
        <tr r="L28" s="98"/>
      </tp>
      <tp>
        <v>14280730</v>
        <stp/>
        <stp>##V3_BDPV12</stp>
        <stp>BANE RX EQUITY</stp>
        <stp>AVG_DAILY_VALUE_TRADED_6M</stp>
        <stp>[upload (2).xlsm]Model Portfolio!R18C12</stp>
        <tr r="L18" s="98"/>
      </tp>
      <tp>
        <v>459199200</v>
        <stp/>
        <stp>##V3_BDPV12</stp>
        <stp>MAGN RX EQUITY</stp>
        <stp>AVG_DAILY_VALUE_TRADED_6M</stp>
        <stp>[upload (2).xlsm]Model Portfolio!R23C12</stp>
        <tr r="L23" s="98"/>
      </tp>
      <tp>
        <v>-13.12256</v>
        <stp/>
        <stp>##V3_BDPV12</stp>
        <stp>GAZP RX EQUITY</stp>
        <stp>CHG_PCT_1YR</stp>
        <stp>[upload (2).xlsm]Model Portfolio!R12C6</stp>
        <tr r="F12" s="98"/>
      </tp>
      <tp>
        <v>52.16901</v>
        <stp/>
        <stp>##V3_BDPV12</stp>
        <stp>TATNP RX EQUITY</stp>
        <stp>CHG_PCT_1YR</stp>
        <stp>[upload (2).xlsm]Model Portfolio!R19C6</stp>
        <tr r="F19" s="98"/>
      </tp>
      <tp>
        <v>-22.12229</v>
        <stp/>
        <stp>##V3_BDPV12</stp>
        <stp>GAZP RX EQUITY</stp>
        <stp>CHG_PCT_YTD</stp>
        <stp>[upload (2).xlsm]Model Portfolio!R12C7</stp>
        <tr r="G12" s="98"/>
      </tp>
      <tp>
        <v>14.936170000000001</v>
        <stp/>
        <stp>##V3_BDPV12</stp>
        <stp>TATNP RX EQUITY</stp>
        <stp>CHG_PCT_YTD</stp>
        <stp>[upload (2).xlsm]Model Portfolio!R19C7</stp>
        <tr r="G19" s="98"/>
      </tp>
      <tp>
        <v>3.703704E-2</v>
        <stp/>
        <stp>##V3_BDPV12</stp>
        <stp>TATNP RX EQUITY</stp>
        <stp>CHG_PCT_WTD</stp>
        <stp>[upload (2).xlsm]Model Portfolio!R19C4</stp>
        <tr r="D19" s="98"/>
      </tp>
      <tp>
        <v>1.6622620000000001E-2</v>
        <stp/>
        <stp>##V3_BDPV12</stp>
        <stp>GAZP RX EQUITY</stp>
        <stp>CHG_PCT_WTD</stp>
        <stp>[upload (2).xlsm]Model Portfolio!R12C4</stp>
        <tr r="D12" s="98"/>
      </tp>
      <tp t="s">
        <v>NR</v>
        <stp/>
        <stp>##V3_BDPV12</stp>
        <stp>XS0708813653 Corp</stp>
        <stp>RTG_SP</stp>
        <stp>[upload (2).xlsm]Base all $ 3 Duration!R93C10</stp>
        <tr r="J93" s="66"/>
        <tr r="J93" s="66"/>
      </tp>
      <tp t="s">
        <v>BB+</v>
        <stp/>
        <stp>##V3_BDPV12</stp>
        <stp>XS0424860947 Corp</stp>
        <stp>RTG_SP</stp>
        <stp>[upload (2).xlsm]Base all $ 3 Duration!R46C10</stp>
        <tr r="J46" s="66"/>
        <tr r="J46" s="66"/>
      </tp>
      <tp t="s">
        <v>BB+</v>
        <stp/>
        <stp>##V3_BDPV12</stp>
        <stp>XS1040726587 Corp</stp>
        <stp>RTG_SP</stp>
        <stp>[upload (2).xlsm]Base all $ 3 Duration!R41C10</stp>
        <tr r="J41" s="66"/>
        <tr r="J41" s="66"/>
      </tp>
      <tp t="s">
        <v>BB+</v>
        <stp/>
        <stp>##V3_BDPV12</stp>
        <stp>XS0381439305 Corp</stp>
        <stp>RTG_SP</stp>
        <stp>[upload (2).xlsm]Base all $ 3 Duration!R64C10</stp>
        <tr r="J64" s="66"/>
        <tr r="J64" s="66"/>
      </tp>
      <tp t="s">
        <v>#N/A N/A</v>
        <stp/>
        <stp>##V3_BDPV12</stp>
        <stp>XS0650962185 Corp</stp>
        <stp>RTG_SP</stp>
        <stp>[upload (2).xlsm]Base all $ 3 Duration!R83C10</stp>
        <tr r="J83" s="66"/>
      </tp>
      <tp t="s">
        <v>NR</v>
        <stp/>
        <stp>##V3_BDPV12</stp>
        <stp>XS0648402583 Corp</stp>
        <stp>RTG_SP</stp>
        <stp>[upload (2).xlsm]Base all $ 3 Duration!R92C10</stp>
        <tr r="J92" s="66"/>
        <tr r="J92" s="66"/>
      </tp>
      <tp>
        <v>81.024941114558843</v>
        <stp/>
        <stp>##V3_BDPV12</stp>
        <stp>AFKS RX EQUITY</stp>
        <stp>EPS_GROWTH</stp>
        <stp>[upload (2).xlsm]Model Portfolio!R64C22</stp>
        <tr r="V64" s="98"/>
      </tp>
      <tp t="s">
        <v>B+</v>
        <stp/>
        <stp>##V3_BDPV12</stp>
        <stp>XS0585211591 Corp</stp>
        <stp>RTG_SP</stp>
        <stp>[upload (2).xlsm]Base all $ 3 Duration!R34C10</stp>
        <tr r="J34" s="66"/>
        <tr r="J34" s="66"/>
      </tp>
      <tp t="s">
        <v>USD</v>
        <stp/>
        <stp>##V3_BDPV12</stp>
        <stp>XS0357281558 Corp</stp>
        <stp>CRNCY</stp>
        <stp>[upload (2).xlsm]Base all $ 3 Duration!R69C12</stp>
        <tr r="L69" s="66"/>
      </tp>
      <tp t="s">
        <v>AT MATURITY</v>
        <stp/>
        <stp>##V3_BDPV12</stp>
        <stp>XS1043519567 Corp</stp>
        <stp>MTY_TYP</stp>
        <stp>[upload (2).xlsm]Base all $ 3 Duration!R74C15</stp>
        <tr r="O74" s="66"/>
      </tp>
      <tp t="s">
        <v>AT MATURITY</v>
        <stp/>
        <stp>##V3_BDPV12</stp>
        <stp>XS0592794597 Corp</stp>
        <stp>MTY_TYP</stp>
        <stp>[upload (2).xlsm]Base all $ 3 Duration!R61C15</stp>
        <tr r="O61" s="66"/>
      </tp>
      <tp t="s">
        <v>USD</v>
        <stp/>
        <stp>##V3_BDPV12</stp>
        <stp>XS0776121062 Corp</stp>
        <stp>CRNCY</stp>
        <stp>[upload (2).xlsm]Base all $ 3 Duration!R27C12</stp>
        <tr r="L27" s="66"/>
      </tp>
      <tp t="s">
        <v>USD</v>
        <stp/>
        <stp>##V3_BDPV12</stp>
        <stp>XS0616784509 Corp</stp>
        <stp>CRNCY</stp>
        <stp>[upload (2).xlsm]Base all $ 3 Duration!R24C12</stp>
        <tr r="L24" s="66"/>
      </tp>
      <tp t="s">
        <v>USD</v>
        <stp/>
        <stp>##V3_BDPV12</stp>
        <stp>XS0993279958 Corp</stp>
        <stp>CRNCY</stp>
        <stp>[upload (2).xlsm]Base all $ 3 Duration!R13C12</stp>
        <tr r="L13" s="66"/>
      </tp>
      <tp>
        <v>-11.125234394074527</v>
        <stp/>
        <stp>##V3_BDPV12</stp>
        <stp>TGKA RX EQUITY</stp>
        <stp>EPS_GROWTH</stp>
        <stp>[upload (2).xlsm]Model Portfolio!R60C22</stp>
        <tr r="V60" s="98"/>
      </tp>
      <tp>
        <v>1122.4514561680273</v>
        <stp/>
        <stp>##V3_BDPV12</stp>
        <stp>URKA RX EQUITY</stp>
        <stp>EPS_GROWTH</stp>
        <stp>[upload (2).xlsm]Model Portfolio!R31C22</stp>
        <tr r="V31" s="98"/>
      </tp>
      <tp>
        <v>0</v>
        <stp/>
        <stp>##V3_BDPV12</stp>
        <stp>OGKB RX EQUITY</stp>
        <stp>EPS_GROWTH</stp>
        <stp>[upload (2).xlsm]Model Portfolio!R57C22</stp>
        <tr r="V57" s="98"/>
      </tp>
      <tp t="s">
        <v>USD</v>
        <stp/>
        <stp>##V3_BDPV12</stp>
        <stp>XS0236336045 Corp</stp>
        <stp>CRNCY</stp>
        <stp>[upload (2).xlsm]Base all $ 3 Duration!R97C12</stp>
        <tr r="L97" s="66"/>
      </tp>
      <tp>
        <v>-15.437849581252362</v>
        <stp/>
        <stp>##V3_BDPV12</stp>
        <stp>RTKM RX EQUITY</stp>
        <stp>EPS_GROWTH</stp>
        <stp>[upload (2).xlsm]Model Portfolio!R66C22</stp>
        <tr r="V66" s="98"/>
      </tp>
      <tp>
        <v>46.908758557908847</v>
        <stp/>
        <stp>##V3_BDPV12</stp>
        <stp>GMKN RX EQUITY</stp>
        <stp>EPS_GROWTH</stp>
        <stp>[upload (2).xlsm]Model Portfolio!R29C22</stp>
        <tr r="V29" s="98"/>
      </tp>
      <tp t="s">
        <v>USD</v>
        <stp/>
        <stp>##V3_BDPV12</stp>
        <stp>XS0808636913 Corp</stp>
        <stp>CRNCY</stp>
        <stp>[upload (2).xlsm]Base all $ 3 Duration!R17C12</stp>
        <tr r="L17" s="66"/>
      </tp>
      <tp>
        <v>-0.16082750000000001</v>
        <stp/>
        <stp>##V3_BDPV12</stp>
        <stp>MOEX RX EQUITY</stp>
        <stp>CHG_PCT_1M</stp>
        <stp>[upload (2).xlsm]Model Portfolio!R74C5</stp>
        <tr r="E74" s="98"/>
      </tp>
      <tp t="s">
        <v>USD</v>
        <stp/>
        <stp>##V3_BDPV12</stp>
        <stp>XS0955232854 Corp</stp>
        <stp>CRNCY</stp>
        <stp>[upload (2).xlsm]Base all $ 3 Duration!R45C12</stp>
        <tr r="L45" s="66"/>
      </tp>
      <tp t="s">
        <v>AT MATURITY</v>
        <stp/>
        <stp>##V3_BDPV12</stp>
        <stp>XS0888245122 Corp</stp>
        <stp>MTY_TYP</stp>
        <stp>[upload (2).xlsm]Base all $ 3 Duration!R73C15</stp>
        <tr r="O73" s="66"/>
      </tp>
      <tp>
        <v>79.801166516838464</v>
        <stp/>
        <stp>##V3_BDPV12</stp>
        <stp>PIKK RX EQUITY</stp>
        <stp>EPS_GROWTH</stp>
        <stp>[upload (2).xlsm]Model Portfolio!R68C22</stp>
        <tr r="V68" s="98"/>
      </tp>
      <tp>
        <v>8.7384772960054615</v>
        <stp/>
        <stp>##V3_BDPV12</stp>
        <stp>RTKMP RX EQUITY</stp>
        <stp>EST_PE_NXT_YR</stp>
        <stp>[upload (2).xlsm]Model Portfolio!R63C15</stp>
        <tr r="O63" s="98"/>
      </tp>
      <tp t="s">
        <v>19/07/2017</v>
        <stp/>
        <stp>##V3_BDPV12</stp>
        <stp>SNGSP RX EQUITY</stp>
        <stp>DVD_RECORD_DT</stp>
        <stp>[upload (2).xlsm]Model Portfolio!R11C28</stp>
        <tr r="AB11" s="98"/>
      </tp>
      <tp>
        <v>47.692576797111094</v>
        <stp/>
        <stp>##V3_BDPV12</stp>
        <stp>TRNFP RX EQUITY</stp>
        <stp>EBITDA_MARGIN</stp>
        <stp>[upload (2).xlsm]Model Portfolio!R20C23</stp>
        <tr r="W20" s="98"/>
      </tp>
      <tp>
        <v>16.779430000000001</v>
        <stp/>
        <stp>##V3_BDPV12</stp>
        <stp>TRNFP RX EQUITY</stp>
        <stp>CHG_PCT_1YR</stp>
        <stp>[upload (2).xlsm]Model Portfolio!R20C6</stp>
        <tr r="F20" s="98"/>
      </tp>
      <tp t="s">
        <v>N</v>
        <stp/>
        <stp>##V3_BDPV12</stp>
        <stp>XS0850393264 Corp</stp>
        <stp>RUSSIAN_CB_LOMBARD</stp>
        <stp>[upload (2).xlsm]Base all $ 3 Duration!R4C16</stp>
        <tr r="P4" s="66"/>
      </tp>
      <tp>
        <v>-12.80626</v>
        <stp/>
        <stp>##V3_BDPV12</stp>
        <stp>TRNFP RX EQUITY</stp>
        <stp>CHG_PCT_YTD</stp>
        <stp>[upload (2).xlsm]Model Portfolio!R20C7</stp>
        <tr r="G20" s="98"/>
      </tp>
      <tp>
        <v>0.29052879999999998</v>
        <stp/>
        <stp>##V3_BDPV12</stp>
        <stp>TRNFP RX EQUITY</stp>
        <stp>CHG_PCT_WTD</stp>
        <stp>[upload (2).xlsm]Model Portfolio!R20C4</stp>
        <tr r="D20" s="98"/>
      </tp>
      <tp>
        <v>16.332380000000001</v>
        <stp/>
        <stp>##V3_BDPV12</stp>
        <stp>ETLN LI EQUITY</stp>
        <stp>CHG_PCT_1M</stp>
        <stp>[upload (2).xlsm]Model Portfolio!R70C5</stp>
        <tr r="E70" s="98"/>
      </tp>
      <tp t="s">
        <v>#N/A N/A</v>
        <stp/>
        <stp>##V3_BDPV12</stp>
        <stp>XS0426517701 Corp</stp>
        <stp>RTG_SP</stp>
        <stp>[upload (2).xlsm]Base all $ 3 Duration!R88C10</stp>
        <tr r="J88" s="66"/>
      </tp>
      <tp t="s">
        <v>#N/A N/A</v>
        <stp/>
        <stp>##V3_BDPV12</stp>
        <stp>XS0236336045 Corp</stp>
        <stp>RTG_SP</stp>
        <stp>[upload (2).xlsm]Base all $ 3 Duration!R97C10</stp>
        <tr r="J97" s="66"/>
      </tp>
      <tp>
        <v>1.4560002993960262</v>
        <stp/>
        <stp>##V3_BDPV12</stp>
        <stp>GAZP RX EQUITY</stp>
        <stp>NET_DEBT_TO_EBITDA</stp>
        <stp>[upload (2).xlsm]Model Portfolio!R12C20</stp>
        <tr r="T12" s="98"/>
      </tp>
      <tp t="s">
        <v>BB /*-</v>
        <stp/>
        <stp>##V3_BDPV12</stp>
        <stp>XS0783242877 Corp</stp>
        <stp>RTG_SP</stp>
        <stp>[upload (2).xlsm]Base all $ 3 Duration!R32C10</stp>
        <tr r="J32" s="66"/>
        <tr r="J32" s="66"/>
      </tp>
      <tp t="s">
        <v>ROS AGRO-GDR REG</v>
        <stp/>
        <stp>##V3_BDPV12</stp>
        <stp>AGRO LI EQUITY</stp>
        <stp>SHORT_NAME</stp>
        <stp>[upload (2).xlsm]Model Portfolio!R71C2</stp>
        <tr r="B71" s="98"/>
      </tp>
      <tp t="s">
        <v>USD</v>
        <stp/>
        <stp>##V3_BDPV12</stp>
        <stp>XS0366630902 Corp</stp>
        <stp>CRNCY</stp>
        <stp>[upload (2).xlsm]Base all $ 3 Duration!R49C12</stp>
        <tr r="L49" s="66"/>
      </tp>
      <tp t="s">
        <v>USD</v>
        <stp/>
        <stp>##V3_BDPV12</stp>
        <stp>XS0799357354 Corp</stp>
        <stp>CRNCY</stp>
        <stp>[upload (2).xlsm]Base all $ 3 Duration!R55C12</stp>
        <tr r="L55" s="66"/>
      </tp>
      <tp>
        <v>-6.0643560000000001</v>
        <stp/>
        <stp>##V3_BDPV12</stp>
        <stp>PHOR RX EQUITY</stp>
        <stp>CHG_PCT_1M</stp>
        <stp>[upload (2).xlsm]Model Portfolio!R32C5</stp>
        <tr r="E32" s="98"/>
      </tp>
      <tp>
        <v>11.944929999999999</v>
        <stp/>
        <stp>##V3_BDPV12</stp>
        <stp>YNDX US EQUITY</stp>
        <stp>CHG_PCT_1M</stp>
        <stp>[upload (2).xlsm]Model Portfolio!R43C5</stp>
        <tr r="E43" s="98"/>
      </tp>
      <tp t="s">
        <v>AT MATURITY</v>
        <stp/>
        <stp>##V3_BDPV12</stp>
        <stp>XS0995845566 Corp</stp>
        <stp>MTY_TYP</stp>
        <stp>[upload (2).xlsm]Base all $ 3 Duration!R29C15</stp>
        <tr r="O29" s="66"/>
      </tp>
      <tp t="s">
        <v>AT MATURITY</v>
        <stp/>
        <stp>##V3_BDPV12</stp>
        <stp>XS0783934325 Corp</stp>
        <stp>MTY_TYP</stp>
        <stp>[upload (2).xlsm]Base all $ 3 Duration!R47C15</stp>
        <tr r="O47" s="66"/>
      </tp>
      <tp>
        <v>13.872832369942197</v>
        <stp/>
        <stp>##V3_BDPV12</stp>
        <stp>EPAM US EQUITY</stp>
        <stp>EPS_GROWTH</stp>
        <stp>[upload (2).xlsm]Model Portfolio!R42C22</stp>
        <tr r="V42" s="98"/>
      </tp>
      <tp t="s">
        <v>USD</v>
        <stp/>
        <stp>##V3_BDPV12</stp>
        <stp>XS0993162170 Corp</stp>
        <stp>CRNCY</stp>
        <stp>[upload (2).xlsm]Base all $ 3 Duration!R48C12</stp>
        <tr r="L48" s="66"/>
      </tp>
      <tp t="s">
        <v>AT MATURITY</v>
        <stp/>
        <stp>##V3_BDPV12</stp>
        <stp>XS0552679879 Corp</stp>
        <stp>MTY_TYP</stp>
        <stp>[upload (2).xlsm]Base all $ 3 Duration!R43C15</stp>
        <tr r="O43" s="66"/>
      </tp>
      <tp t="s">
        <v>USD</v>
        <stp/>
        <stp>##V3_BDPV12</stp>
        <stp>XS0919502434 Corp</stp>
        <stp>CRNCY</stp>
        <stp>[upload (2).xlsm]Base all $ 3 Duration!R66C12</stp>
        <tr r="L66" s="66"/>
      </tp>
      <tp t="s">
        <v>USD</v>
        <stp/>
        <stp>##V3_BDPV12</stp>
        <stp>XS0796426228 Corp</stp>
        <stp>CRNCY</stp>
        <stp>[upload (2).xlsm]Base all $ 3 Duration!R54C12</stp>
        <tr r="L54" s="66"/>
      </tp>
      <tp t="s">
        <v>AT MATURITY</v>
        <stp/>
        <stp>##V3_BDPV12</stp>
        <stp>XS0499245180 Corp</stp>
        <stp>MTY_TYP</stp>
        <stp>[upload (2).xlsm]Base all $ 3 Duration!R84C15</stp>
        <tr r="O84" s="66"/>
      </tp>
      <tp t="s">
        <v>KCELL JSC</v>
        <stp/>
        <stp>##V3_BDPV12</stp>
        <stp>KCEL LI EQUITY</stp>
        <stp>SHORT_NAME</stp>
        <stp>[upload (2).xlsm]Model Portfolio!R65C2</stp>
        <tr r="B65" s="98"/>
      </tp>
      <tp t="s">
        <v>USD</v>
        <stp/>
        <stp>##V3_BDPV12</stp>
        <stp>XS0304273948 Corp</stp>
        <stp>CRNCY</stp>
        <stp>[upload (2).xlsm]Base all $ 3 Duration!R87C12</stp>
        <tr r="L87" s="66"/>
      </tp>
      <tp>
        <v>2.0168005659452568</v>
        <stp/>
        <stp>##V3_BDPV12</stp>
        <stp>RTKMP RX EQUITY</stp>
        <stp>EST_EV_THIS_YR_EBITDA</stp>
        <stp>[upload (2).xlsm]Model Portfolio!R63C16</stp>
        <tr r="P63" s="98"/>
      </tp>
      <tp t="s">
        <v>07/12/2017</v>
        <stp/>
        <stp>##V3_BDPV12</stp>
        <stp>POLY RX Equity</stp>
        <stp>BDVD_NEXT_EST_DECL_DT</stp>
        <stp>[Copy of upload (2).xlsm]Гарез_GRENF!R9C22</stp>
        <tr r="V9" s="115"/>
      </tp>
      <tp t="s">
        <v>USD</v>
        <stp/>
        <stp>##V3_BDPV12</stp>
        <stp>US91701RAA95 Corp</stp>
        <stp>CRNCY</stp>
        <stp>[upload (2).xlsm]Base all $ 3 Duration!R26C12</stp>
        <tr r="L26" s="66"/>
      </tp>
      <tp>
        <v>958852800</v>
        <stp/>
        <stp>##V3_BDPV12</stp>
        <stp>MGNT RX EQUITY</stp>
        <stp>AVG_DAILY_VALUE_TRADED_6M</stp>
        <stp>[upload (2).xlsm]Model Portfolio!R35C12</stp>
        <tr r="L35" s="98"/>
      </tp>
      <tp>
        <v>15655090</v>
        <stp/>
        <stp>##V3_BDPV12</stp>
        <stp>TGKA RX EQUITY</stp>
        <stp>AVG_DAILY_VALUE_TRADED_6M</stp>
        <stp>[upload (2).xlsm]Model Portfolio!R60C12</stp>
        <tr r="L60" s="98"/>
      </tp>
      <tp>
        <v>50689350</v>
        <stp/>
        <stp>##V3_BDPV12</stp>
        <stp>OGKB RX EQUITY</stp>
        <stp>AVG_DAILY_VALUE_TRADED_6M</stp>
        <stp>[upload (2).xlsm]Model Portfolio!R57C12</stp>
        <tr r="L57" s="98"/>
      </tp>
      <tp>
        <v>6.4508929999999998</v>
        <stp/>
        <stp>##V3_BDPV12</stp>
        <stp>HGM LN Equity</stp>
        <stp>EQY_DVD_YLD_EST</stp>
        <stp>[Copy of upload (2).xlsm]Гарез_GRENF!R10C20</stp>
        <tr r="T10" s="115"/>
      </tp>
      <tp t="s">
        <v>N</v>
        <stp/>
        <stp>##V3_BDPV12</stp>
        <stp>XS0275728557 Corp</stp>
        <stp>RUSSIAN_CB_LOMBARD</stp>
        <stp>[upload (2).xlsm]Base all $ 3 Duration!R8C16</stp>
        <tr r="P8" s="66"/>
      </tp>
      <tp t="s">
        <v>NR</v>
        <stp/>
        <stp>##V3_BDPV12</stp>
        <stp>XS0630950870 Corp</stp>
        <stp>RTG_SP</stp>
        <stp>[upload (2).xlsm]Base all $ 3 Duration!R75C10</stp>
        <tr r="J75" s="66"/>
        <tr r="J75" s="66"/>
      </tp>
      <tp>
        <v>-11.737089201877934</v>
        <stp/>
        <stp>##V3_BDPV12</stp>
        <stp>LXFT US EQUITY</stp>
        <stp>EPS_GROWTH</stp>
        <stp>[upload (2).xlsm]Model Portfolio!R41C22</stp>
        <tr r="V41" s="98"/>
      </tp>
      <tp>
        <v>24.688880000000001</v>
        <stp/>
        <stp>##V3_BDPV12</stp>
        <stp>DIXY RX EQUITY</stp>
        <stp>CHG_PCT_1M</stp>
        <stp>[upload (2).xlsm]Model Portfolio!R34C5</stp>
        <tr r="E34" s="98"/>
      </tp>
      <tp>
        <v>57.374499999999998</v>
        <stp/>
        <stp>##V3_BDHV12</stp>
        <stp>RUB curncy</stp>
        <stp>PX_LAST</stp>
        <stp>06/09/2017</stp>
        <stp>06/09/2017</stp>
        <stp>[Copy of upload (2).xlsm]Гарез_GRENF!R97C13</stp>
        <tr r="M97" s="115"/>
      </tp>
      <tp>
        <v>57.374499999999998</v>
        <stp/>
        <stp>##V3_BDHV12</stp>
        <stp>RUB curncy</stp>
        <stp>PX_LAST</stp>
        <stp>06/09/2017</stp>
        <stp>06/09/2017</stp>
        <stp>[Copy of upload (2).xlsm]Гарез_GRENF!R84C12</stp>
        <tr r="L84" s="115"/>
      </tp>
      <tp>
        <v>58.952300000000001</v>
        <stp/>
        <stp>##V3_BDHV12</stp>
        <stp>RUB curncy</stp>
        <stp>PX_LAST</stp>
        <stp>18/08/2017</stp>
        <stp>18/08/2017</stp>
        <stp>[Copy of upload (2).xlsm]Гарез_GRENF!R65C12</stp>
        <tr r="L65" s="115"/>
      </tp>
      <tp>
        <v>57.374499999999998</v>
        <stp/>
        <stp>##V3_BDHV12</stp>
        <stp>RUB curncy</stp>
        <stp>PX_LAST</stp>
        <stp>06/09/2017</stp>
        <stp>06/09/2017</stp>
        <stp>[Copy of upload (2).xlsm]Гарез_GRENF!R97C12</stp>
        <tr r="L97" s="115"/>
      </tp>
      <tp>
        <v>57.374499999999998</v>
        <stp/>
        <stp>##V3_BDHV12</stp>
        <stp>RUB curncy</stp>
        <stp>PX_LAST</stp>
        <stp>06/09/2017</stp>
        <stp>06/09/2017</stp>
        <stp>[Copy of upload (2).xlsm]Гарез_GRENF!R84C13</stp>
        <tr r="M84" s="115"/>
      </tp>
      <tp>
        <v>58.952300000000001</v>
        <stp/>
        <stp>##V3_BDHV12</stp>
        <stp>RUB curncy</stp>
        <stp>PX_LAST</stp>
        <stp>18/08/2017</stp>
        <stp>18/08/2017</stp>
        <stp>[Copy of upload (2).xlsm]Гарез_GRENF!R65C13</stp>
        <tr r="M65" s="115"/>
      </tp>
      <tp>
        <v>59.838799999999999</v>
        <stp/>
        <stp>##V3_BDHV12</stp>
        <stp>RUB curncy</stp>
        <stp>PX_LAST</stp>
        <stp>11/08/2017</stp>
        <stp>11/08/2017</stp>
        <stp>[Copy of upload (2).xlsm]Гарез_GRENF!R80C13</stp>
        <tr r="M80" s="115"/>
      </tp>
      <tp>
        <v>59.838799999999999</v>
        <stp/>
        <stp>##V3_BDHV12</stp>
        <stp>RUB curncy</stp>
        <stp>PX_LAST</stp>
        <stp>11/08/2017</stp>
        <stp>11/08/2017</stp>
        <stp>[Copy of upload (2).xlsm]Гарез_GRENF!R80C12</stp>
        <tr r="L80" s="115"/>
      </tp>
      <tp>
        <v>47.834000000000003</v>
        <stp/>
        <stp>##V3_BDPV12</stp>
        <stp>DIXY RX EQUITY</stp>
        <stp>EQY_FREE_FLOAT_PCT</stp>
        <stp>[upload (2).xlsm]Model Portfolio!R34C11</stp>
        <tr r="K34" s="98"/>
      </tp>
      <tp t="s">
        <v>BB+</v>
        <stp/>
        <stp>##V3_BDPV12</stp>
        <stp>XS0357281558 Corp</stp>
        <stp>RTG_SP</stp>
        <stp>[upload (2).xlsm]Base all $ 3 Duration!R69C10</stp>
        <tr r="J69" s="66"/>
        <tr r="J69" s="66"/>
      </tp>
      <tp>
        <v>141.80659797204279</v>
        <stp/>
        <stp>##V3_BDPV12</stp>
        <stp>SBERP RX EQUITY</stp>
        <stp>EPS_GROWTH</stp>
        <stp>[upload (2).xlsm]Model Portfolio!R76C22</stp>
        <tr r="V76" s="98"/>
      </tp>
      <tp>
        <v>59.987000000000002</v>
        <stp/>
        <stp>##V3_BDHV12</stp>
        <stp>RUB curncy</stp>
        <stp>PX_LAST</stp>
        <stp>05/07/2017</stp>
        <stp>05/07/2017</stp>
        <stp>[Copy of upload (2).xlsm]Гарез_GRENF!R71C12</stp>
        <tr r="L71" s="115"/>
      </tp>
      <tp>
        <v>59.987000000000002</v>
        <stp/>
        <stp>##V3_BDHV12</stp>
        <stp>RUB curncy</stp>
        <stp>PX_LAST</stp>
        <stp>05/07/2017</stp>
        <stp>05/07/2017</stp>
        <stp>[Copy of upload (2).xlsm]Гарез_GRENF!R71C13</stp>
        <tr r="M71" s="115"/>
      </tp>
      <tp>
        <v>56.497900000000001</v>
        <stp/>
        <stp>##V3_BDHV12</stp>
        <stp>RUB curncy</stp>
        <stp>PX_LAST</stp>
        <stp>06/06/2017</stp>
        <stp>06/06/2017</stp>
        <stp>[Copy of upload (2).xlsm]Гарез_GRENF!R90C12</stp>
        <tr r="L90" s="115"/>
      </tp>
      <tp>
        <v>56.497900000000001</v>
        <stp/>
        <stp>##V3_BDHV12</stp>
        <stp>RUB curncy</stp>
        <stp>PX_LAST</stp>
        <stp>06/06/2017</stp>
        <stp>06/06/2017</stp>
        <stp>[Copy of upload (2).xlsm]Гарез_GRENF!R87C13</stp>
        <tr r="M87" s="115"/>
      </tp>
      <tp>
        <v>56.497900000000001</v>
        <stp/>
        <stp>##V3_BDHV12</stp>
        <stp>RUB curncy</stp>
        <stp>PX_LAST</stp>
        <stp>06/06/2017</stp>
        <stp>06/06/2017</stp>
        <stp>[Copy of upload (2).xlsm]Гарез_GRENF!R90C13</stp>
        <tr r="M90" s="115"/>
      </tp>
      <tp>
        <v>56.497900000000001</v>
        <stp/>
        <stp>##V3_BDHV12</stp>
        <stp>RUB curncy</stp>
        <stp>PX_LAST</stp>
        <stp>06/06/2017</stp>
        <stp>06/06/2017</stp>
        <stp>[Copy of upload (2).xlsm]Гарез_GRENF!R87C12</stp>
        <tr r="L87" s="115"/>
      </tp>
      <tp>
        <v>57.128399999999999</v>
        <stp/>
        <stp>##V3_BDHV12</stp>
        <stp>RUB curncy</stp>
        <stp>PX_LAST</stp>
        <stp>26/04/2017</stp>
        <stp>26/04/2017</stp>
        <stp>[Copy of upload (2).xlsm]Гарез_GRENF!R72C12</stp>
        <tr r="L72" s="115"/>
      </tp>
      <tp>
        <v>57.128399999999999</v>
        <stp/>
        <stp>##V3_BDHV12</stp>
        <stp>RUB curncy</stp>
        <stp>PX_LAST</stp>
        <stp>26/04/2017</stp>
        <stp>26/04/2017</stp>
        <stp>[Copy of upload (2).xlsm]Гарез_GRENF!R72C13</stp>
        <tr r="M72" s="115"/>
      </tp>
      <tp>
        <v>56.568100000000001</v>
        <stp/>
        <stp>##V3_BDHV12</stp>
        <stp>RUB curncy</stp>
        <stp>PX_LAST</stp>
        <stp>30/05/2017</stp>
        <stp>30/05/2017</stp>
        <stp>[Copy of upload (2).xlsm]Гарез_GRENF!R53C12</stp>
        <tr r="L53" s="115"/>
      </tp>
      <tp>
        <v>57.128399999999999</v>
        <stp/>
        <stp>##V3_BDHV12</stp>
        <stp>RUB curncy</stp>
        <stp>PX_LAST</stp>
        <stp>26/04/2017</stp>
        <stp>26/04/2017</stp>
        <stp>[Copy of upload (2).xlsm]Гарез_GRENF!R32C13</stp>
        <tr r="M32" s="115"/>
      </tp>
      <tp>
        <v>56.568100000000001</v>
        <stp/>
        <stp>##V3_BDHV12</stp>
        <stp>RUB curncy</stp>
        <stp>PX_LAST</stp>
        <stp>30/05/2017</stp>
        <stp>30/05/2017</stp>
        <stp>[Copy of upload (2).xlsm]Гарез_GRENF!R53C13</stp>
        <tr r="M53" s="115"/>
      </tp>
      <tp>
        <v>57.936799999999998</v>
        <stp/>
        <stp>##V3_BDHV12</stp>
        <stp>RUB curncy</stp>
        <stp>PX_LAST</stp>
        <stp>05/05/2017</stp>
        <stp>05/05/2017</stp>
        <stp>[Copy of upload (2).xlsm]Гарез_GRENF!R73C12</stp>
        <tr r="L73" s="115"/>
      </tp>
      <tp>
        <v>57.936799999999998</v>
        <stp/>
        <stp>##V3_BDHV12</stp>
        <stp>RUB curncy</stp>
        <stp>PX_LAST</stp>
        <stp>05/05/2017</stp>
        <stp>05/05/2017</stp>
        <stp>[Copy of upload (2).xlsm]Гарез_GRENF!R73C13</stp>
        <tr r="M73" s="115"/>
      </tp>
      <tp>
        <v>57.936799999999998</v>
        <stp/>
        <stp>##V3_BDHV12</stp>
        <stp>RUB curncy</stp>
        <stp>PX_LAST</stp>
        <stp>05/05/2017</stp>
        <stp>05/05/2017</stp>
        <stp>[Copy of upload (2).xlsm]Гарез_GRENF!R31C13</stp>
        <tr r="M31" s="115"/>
      </tp>
      <tp t="s">
        <v>NR</v>
        <stp/>
        <stp>##V3_BDPV12</stp>
        <stp>XS0719009754 Corp</stp>
        <stp>RTG_SP</stp>
        <stp>[upload (2).xlsm]Base all $ 3 Duration!R77C10</stp>
        <tr r="J77" s="66"/>
        <tr r="J77" s="66"/>
      </tp>
      <tp t="s">
        <v>#N/A N/A</v>
        <stp/>
        <stp>##V3_BDPV12</stp>
        <stp>XS0300998779 Corp</stp>
        <stp>RTG_SP</stp>
        <stp>[upload (2).xlsm]Base all $ 3 Duration!R58C10</stp>
        <tr r="J58" s="66"/>
      </tp>
      <tp>
        <v>57.07</v>
        <stp/>
        <stp>##V3_BDHV12</stp>
        <stp>RUB curncy</stp>
        <stp>PX_LAST</stp>
        <stp>11/05/2017</stp>
        <stp>11/05/2017</stp>
        <stp>[Copy of upload (2).xlsm]Гарез_GRENF!R19C18</stp>
        <tr r="R19" s="115"/>
      </tp>
      <tp>
        <v>56.308300000000003</v>
        <stp/>
        <stp>##V3_BDHV12</stp>
        <stp>RUB curncy</stp>
        <stp>PX_LAST</stp>
        <stp>06/04/2017</stp>
        <stp>06/04/2017</stp>
        <stp>[Copy of upload (2).xlsm]Гарез_GRENF!R68C13</stp>
        <tr r="M68" s="115"/>
      </tp>
      <tp>
        <v>56.308300000000003</v>
        <stp/>
        <stp>##V3_BDHV12</stp>
        <stp>RUB curncy</stp>
        <stp>PX_LAST</stp>
        <stp>06/04/2017</stp>
        <stp>06/04/2017</stp>
        <stp>[Copy of upload (2).xlsm]Гарез_GRENF!R68C12</stp>
        <tr r="L68" s="115"/>
      </tp>
      <tp>
        <v>56.308300000000003</v>
        <stp/>
        <stp>##V3_BDHV12</stp>
        <stp>RUB curncy</stp>
        <stp>PX_LAST</stp>
        <stp>06/04/2017</stp>
        <stp>06/04/2017</stp>
        <stp>[Copy of upload (2).xlsm]Гарез_GRENF!R50C12</stp>
        <tr r="L50" s="115"/>
      </tp>
      <tp>
        <v>56.308300000000003</v>
        <stp/>
        <stp>##V3_BDHV12</stp>
        <stp>RUB curncy</stp>
        <stp>PX_LAST</stp>
        <stp>06/04/2017</stp>
        <stp>06/04/2017</stp>
        <stp>[Copy of upload (2).xlsm]Гарез_GRENF!R50C13</stp>
        <tr r="M50" s="115"/>
      </tp>
      <tp>
        <v>60.282200000000003</v>
        <stp/>
        <stp>##V3_BDHV12</stp>
        <stp>RUB curncy</stp>
        <stp>PX_LAST</stp>
        <stp>21/06/2017</stp>
        <stp>21/06/2017</stp>
        <stp>[Copy of upload (2).xlsm]Гарез_GRENF!R43C12</stp>
        <tr r="L43" s="115"/>
      </tp>
      <tp>
        <v>60.282200000000003</v>
        <stp/>
        <stp>##V3_BDHV12</stp>
        <stp>RUB curncy</stp>
        <stp>PX_LAST</stp>
        <stp>21/06/2017</stp>
        <stp>21/06/2017</stp>
        <stp>[Copy of upload (2).xlsm]Гарез_GRENF!R43C13</stp>
        <tr r="M43" s="115"/>
      </tp>
      <tp>
        <v>59.451700000000002</v>
        <stp/>
        <stp>##V3_BDHV12</stp>
        <stp>RUB curncy</stp>
        <stp>PX_LAST</stp>
        <stp>23/06/2017</stp>
        <stp>23/06/2017</stp>
        <stp>[Copy of upload (2).xlsm]Гарез_GRENF!R56C13</stp>
        <tr r="M56" s="115"/>
      </tp>
      <tp>
        <v>59.451700000000002</v>
        <stp/>
        <stp>##V3_BDHV12</stp>
        <stp>RUB curncy</stp>
        <stp>PX_LAST</stp>
        <stp>23/06/2017</stp>
        <stp>23/06/2017</stp>
        <stp>[Copy of upload (2).xlsm]Гарез_GRENF!R59C13</stp>
        <tr r="M59" s="115"/>
      </tp>
      <tp>
        <v>59.451700000000002</v>
        <stp/>
        <stp>##V3_BDHV12</stp>
        <stp>RUB curncy</stp>
        <stp>PX_LAST</stp>
        <stp>23/06/2017</stp>
        <stp>23/06/2017</stp>
        <stp>[Copy of upload (2).xlsm]Гарез_GRENF!R56C12</stp>
        <tr r="L56" s="115"/>
      </tp>
      <tp>
        <v>59.451700000000002</v>
        <stp/>
        <stp>##V3_BDHV12</stp>
        <stp>RUB curncy</stp>
        <stp>PX_LAST</stp>
        <stp>23/06/2017</stp>
        <stp>23/06/2017</stp>
        <stp>[Copy of upload (2).xlsm]Гарез_GRENF!R59C12</stp>
        <tr r="L59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(2).xlsm]Гарез_GRENF!R94C12</stp>
        <tr r="L94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(2).xlsm]Гарез_GRENF!R94C13</stp>
        <tr r="M94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(2).xlsm]Гарез_GRENF!R25C13</stp>
        <tr r="M25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(2).xlsm]Гарез_GRENF!R28C13</stp>
        <tr r="M28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(2).xlsm]Гарез_GRENF!R33C13</stp>
        <tr r="M33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(2).xlsm]Гарез_GRENF!R25C12</stp>
        <tr r="L25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(2).xlsm]Гарез_GRENF!R28C12</stp>
        <tr r="L28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(2).xlsm]Гарез_GRENF!R74C12</stp>
        <tr r="L74" s="115"/>
      </tp>
      <tp>
        <v>58.291499999999999</v>
        <stp/>
        <stp>##V3_BDHV12</stp>
        <stp>RUB curncy</stp>
        <stp>PX_LAST</stp>
        <stp>17/02/2017</stp>
        <stp>17/02/2017</stp>
        <stp>[Copy of upload (2).xlsm]Гарез_GRENF!R44C13</stp>
        <tr r="M44" s="115"/>
      </tp>
      <tp>
        <v>57.211300000000001</v>
        <stp/>
        <stp>##V3_BDHV12</stp>
        <stp>RUB curncy</stp>
        <stp>PX_LAST</stp>
        <stp>15/02/2017</stp>
        <stp>15/02/2017</stp>
        <stp>[Copy of upload (2).xlsm]Гарез_GRENF!R74C13</stp>
        <tr r="M74" s="115"/>
      </tp>
      <tp>
        <v>58.291499999999999</v>
        <stp/>
        <stp>##V3_BDHV12</stp>
        <stp>RUB curncy</stp>
        <stp>PX_LAST</stp>
        <stp>17/02/2017</stp>
        <stp>17/02/2017</stp>
        <stp>[Copy of upload (2).xlsm]Гарез_GRENF!R44C12</stp>
        <tr r="L44" s="115"/>
      </tp>
      <tp>
        <v>57.615400000000001</v>
        <stp/>
        <stp>##V3_BDHV12</stp>
        <stp>RUB curncy</stp>
        <stp>PX_LAST</stp>
        <stp>16/02/2017</stp>
        <stp>16/02/2017</stp>
        <stp>[Copy of upload (2).xlsm]Гарез_GRENF!R62C12</stp>
        <tr r="L62" s="115"/>
      </tp>
      <tp>
        <v>57.615400000000001</v>
        <stp/>
        <stp>##V3_BDHV12</stp>
        <stp>RUB curncy</stp>
        <stp>PX_LAST</stp>
        <stp>16/02/2017</stp>
        <stp>16/02/2017</stp>
        <stp>[Copy of upload (2).xlsm]Гарез_GRENF!R62C13</stp>
        <tr r="M62" s="115"/>
      </tp>
      <tp t="s">
        <v>#N/A N/A</v>
        <stp/>
        <stp>##V3_BDPV12</stp>
        <stp>XS0772509484 Corp</stp>
        <stp>RTG_SP</stp>
        <stp>[upload (2).xlsm]Base all $ 3 Duration!R78C10</stp>
        <tr r="J78" s="66"/>
      </tp>
      <tp>
        <v>57.350999999999999</v>
        <stp/>
        <stp>##V3_BDHV12</stp>
        <stp>RUB curncy</stp>
        <stp>PX_LAST</stp>
        <stp>23/03/2017</stp>
        <stp>23/03/2017</stp>
        <stp>[Copy of upload (2).xlsm]Гарез_GRENF!R91C12</stp>
        <tr r="L91" s="115"/>
      </tp>
      <tp>
        <v>57.350999999999999</v>
        <stp/>
        <stp>##V3_BDHV12</stp>
        <stp>RUB curncy</stp>
        <stp>PX_LAST</stp>
        <stp>23/03/2017</stp>
        <stp>23/03/2017</stp>
        <stp>[Copy of upload (2).xlsm]Гарез_GRENF!R91C13</stp>
        <tr r="M91" s="115"/>
      </tp>
      <tp>
        <v>57.350999999999999</v>
        <stp/>
        <stp>##V3_BDHV12</stp>
        <stp>RUB curncy</stp>
        <stp>PX_LAST</stp>
        <stp>23/03/2017</stp>
        <stp>23/03/2017</stp>
        <stp>[Copy of upload (2).xlsm]Гарез_GRENF!R47C13</stp>
        <tr r="M47" s="115"/>
      </tp>
      <tp>
        <v>57.350999999999999</v>
        <stp/>
        <stp>##V3_BDHV12</stp>
        <stp>RUB curncy</stp>
        <stp>PX_LAST</stp>
        <stp>23/03/2017</stp>
        <stp>23/03/2017</stp>
        <stp>[Copy of upload (2).xlsm]Гарез_GRENF!R47C12</stp>
        <tr r="L47" s="115"/>
      </tp>
      <tp>
        <v>58.0441</v>
        <stp/>
        <stp>##V3_BDHV12</stp>
        <stp>RUB curncy</stp>
        <stp>PX_LAST</stp>
        <stp>22/02/2017</stp>
        <stp>22/02/2017</stp>
        <stp>[Copy of upload (2).xlsm]Гарез_GRENF!R81C13</stp>
        <tr r="M81" s="115"/>
      </tp>
      <tp>
        <v>58.0441</v>
        <stp/>
        <stp>##V3_BDHV12</stp>
        <stp>RUB curncy</stp>
        <stp>PX_LAST</stp>
        <stp>22/02/2017</stp>
        <stp>22/02/2017</stp>
        <stp>[Copy of upload (2).xlsm]Гарез_GRENF!R81C12</stp>
        <tr r="L81" s="115"/>
      </tp>
      <tp>
        <v>57.9786</v>
        <stp/>
        <stp>##V3_BDHV12</stp>
        <stp>RUB curncy</stp>
        <stp>PX_LAST</stp>
        <stp>20/02/2017</stp>
        <stp>20/02/2017</stp>
        <stp>[Copy of upload (2).xlsm]Гарез_GRENF!R77C12</stp>
        <tr r="L77" s="115"/>
      </tp>
      <tp>
        <v>57.9786</v>
        <stp/>
        <stp>##V3_BDHV12</stp>
        <stp>RUB curncy</stp>
        <stp>PX_LAST</stp>
        <stp>20/02/2017</stp>
        <stp>20/02/2017</stp>
        <stp>[Copy of upload (2).xlsm]Гарез_GRENF!R77C13</stp>
        <tr r="M77" s="115"/>
      </tp>
      <tp>
        <v>58.0441</v>
        <stp/>
        <stp>##V3_BDHV12</stp>
        <stp>RUB curncy</stp>
        <stp>PX_LAST</stp>
        <stp>22/02/2017</stp>
        <stp>22/02/2017</stp>
        <stp>[Copy of upload (2).xlsm]Гарез_GRENF!R36C12</stp>
        <tr r="L36" s="115"/>
      </tp>
      <tp>
        <v>58.0441</v>
        <stp/>
        <stp>##V3_BDHV12</stp>
        <stp>RUB curncy</stp>
        <stp>PX_LAST</stp>
        <stp>22/02/2017</stp>
        <stp>22/02/2017</stp>
        <stp>[Copy of upload (2).xlsm]Гарез_GRENF!R36C13</stp>
        <tr r="M36" s="115"/>
      </tp>
      <tp>
        <v>57.9786</v>
        <stp/>
        <stp>##V3_BDHV12</stp>
        <stp>RUB curncy</stp>
        <stp>PX_LAST</stp>
        <stp>20/02/2017</stp>
        <stp>20/02/2017</stp>
        <stp>[Copy of upload (2).xlsm]Гарез_GRENF!R39C12</stp>
        <tr r="L39" s="115"/>
      </tp>
      <tp>
        <v>57.9786</v>
        <stp/>
        <stp>##V3_BDHV12</stp>
        <stp>RUB curncy</stp>
        <stp>PX_LAST</stp>
        <stp>20/02/2017</stp>
        <stp>20/02/2017</stp>
        <stp>[Copy of upload (2).xlsm]Гарез_GRENF!R39C13</stp>
        <tr r="M39" s="115"/>
      </tp>
      <tp>
        <v>1.3208</v>
        <stp/>
        <stp>##V3_BDPV12</stp>
        <stp>GBP Curncy</stp>
        <stp>PX last</stp>
        <stp>[Copy of upload (2).xlsm]Гарез_GRENF!R1C11</stp>
        <tr r="K1" s="115"/>
      </tp>
      <tp>
        <v>187.41127163361622</v>
        <stp/>
        <stp>##V3_BDPV12</stp>
        <stp>CHMF RX EQUITY</stp>
        <stp>EPS_GROWTH</stp>
        <stp>[upload (2).xlsm]Model Portfolio!R25C22</stp>
        <tr r="V25" s="98"/>
      </tp>
      <tp t="s">
        <v>#N/A N/A</v>
        <stp/>
        <stp>##V3_BDPV12</stp>
        <stp>MAIL LI EQUITY</stp>
        <stp>EQY_FREE_FLOAT_PCT</stp>
        <stp>[upload (2).xlsm]Model Portfolio!R44C11</stp>
        <tr r="K44" s="98"/>
      </tp>
      <tp>
        <v>9.2995169999999998</v>
        <stp/>
        <stp>##V3_BDPV12</stp>
        <stp>CHMF RX EQUITY</stp>
        <stp>CHG_PCT_1M</stp>
        <stp>[upload (2).xlsm]Model Portfolio!R25C5</stp>
        <tr r="E25" s="98"/>
      </tp>
      <tp t="s">
        <v>AT MATURITY</v>
        <stp/>
        <stp>##V3_BDPV12</stp>
        <stp>XS0993162170 Corp</stp>
        <stp>MTY_TYP</stp>
        <stp>[upload (2).xlsm]Base all $ 3 Duration!R48C15</stp>
        <tr r="O48" s="66"/>
      </tp>
      <tp t="s">
        <v>USD</v>
        <stp/>
        <stp>##V3_BDPV12</stp>
        <stp>XS0650962185 Corp</stp>
        <stp>CRNCY</stp>
        <stp>[upload (2).xlsm]Base all $ 3 Duration!R83C12</stp>
        <tr r="L83" s="66"/>
      </tp>
      <tp t="s">
        <v>USD</v>
        <stp/>
        <stp>##V3_BDPV12</stp>
        <stp>XS0552679879 Corp</stp>
        <stp>CRNCY</stp>
        <stp>[upload (2).xlsm]Base all $ 3 Duration!R43C12</stp>
        <tr r="L43" s="66"/>
      </tp>
      <tp>
        <v>1.3020909757887014</v>
        <stp/>
        <stp>##V3_BDPV12</stp>
        <stp>ETLN LI EQUITY</stp>
        <stp>NET_DEBT_TO_EBITDA</stp>
        <stp>[upload (2).xlsm]Model Portfolio!R70C20</stp>
        <tr r="T70" s="98"/>
      </tp>
      <tp>
        <v>-6.7729080000000002</v>
        <stp/>
        <stp>##V3_BDPV12</stp>
        <stp>ENRU RM EQUITY</stp>
        <stp>CHG_PCT_1M</stp>
        <stp>[upload (2).xlsm]Model Portfolio!R53C5</stp>
        <tr r="E53" s="98"/>
      </tp>
      <tp t="s">
        <v>USD</v>
        <stp/>
        <stp>##V3_BDPV12</stp>
        <stp>XS0889401054 Corp</stp>
        <stp>CRNCY</stp>
        <stp>[upload (2).xlsm]Base all $ 3 Duration!R39C12</stp>
        <tr r="L39" s="66"/>
      </tp>
      <tp>
        <v>-3.3457260396675546</v>
        <stp/>
        <stp>##V3_BDPV12</stp>
        <stp>NLMK RX EQUITY</stp>
        <stp>EPS_GROWTH</stp>
        <stp>[upload (2).xlsm]Model Portfolio!R22C22</stp>
        <tr r="V22" s="98"/>
      </tp>
      <tp t="s">
        <v>#N/A N/A</v>
        <stp/>
        <stp>##V3_BDPV12</stp>
        <stp>TRMK RX EQUITY</stp>
        <stp>EPS_GROWTH</stp>
        <stp>[upload (2).xlsm]Model Portfolio!R21C22</stp>
        <tr r="V21" s="98"/>
      </tp>
      <tp t="s">
        <v>30/04/2018</v>
        <stp/>
        <stp>##V3_BDPV12</stp>
        <stp>TATNP RX EQUITY</stp>
        <stp>BDVD_NEXT_EST_DECL_DT</stp>
        <stp>[upload (2).xlsm]Model Portfolio!R19C31</stp>
        <tr r="AE19" s="98"/>
      </tp>
      <tp t="s">
        <v>#N/A N/A</v>
        <stp/>
        <stp>##V3_BDPV12</stp>
        <stp>VIP US EQUITY</stp>
        <stp>PX_LAST</stp>
        <stp>[upload (2).xlsm]Model Portfolio!R61C3</stp>
        <tr r="C61" s="98"/>
      </tp>
      <tp>
        <v>709625200</v>
        <stp/>
        <stp>##V3_BDPV12</stp>
        <stp>AFLT RX EQUITY</stp>
        <stp>AVG_DAILY_VALUE_TRADED_6M</stp>
        <stp>[upload (2).xlsm]Model Portfolio!R47C12</stp>
        <tr r="L47" s="98"/>
      </tp>
      <tp>
        <v>123094500</v>
        <stp/>
        <stp>##V3_BDPV12</stp>
        <stp>MFON RX EQUITY</stp>
        <stp>AVG_DAILY_VALUE_TRADED_6M</stp>
        <stp>[upload (2).xlsm]Model Portfolio!R62C12</stp>
        <tr r="L62" s="98"/>
      </tp>
      <tp>
        <v>319383000</v>
        <stp/>
        <stp>##V3_BDPV12</stp>
        <stp>AFKS RX EQUITY</stp>
        <stp>AVG_DAILY_VALUE_TRADED_6M</stp>
        <stp>[upload (2).xlsm]Model Portfolio!R64C12</stp>
        <tr r="L64" s="98"/>
      </tp>
      <tp>
        <v>901646400</v>
        <stp/>
        <stp>##V3_BDPV12</stp>
        <stp>FXPO LN EQUITY</stp>
        <stp>AVG_DAILY_VALUE_TRADED_6M</stp>
        <stp>[upload (2).xlsm]Model Portfolio!R27C12</stp>
        <tr r="L27" s="98"/>
      </tp>
    </main>
    <main first="bloomberg.rtd">
      <tp t="s">
        <v>N</v>
        <stp/>
        <stp>##V3_BDPV12</stp>
        <stp>XS0920334900 Corp</stp>
        <stp>RUSSIAN_CB_LOMBARD</stp>
        <stp>[upload (2).xlsm]Base all $ 3 Duration!R6C16</stp>
        <tr r="P6" s="66"/>
      </tp>
      <tp t="s">
        <v>#N/A N/A</v>
        <stp/>
        <stp>##V3_BDPV12</stp>
        <stp>AFLT RX EQUITY</stp>
        <stp>EPS_GROWTH</stp>
        <stp>[upload (2).xlsm]Model Portfolio!R47C22</stp>
        <tr r="V47" s="98"/>
      </tp>
      <tp t="s">
        <v>NR</v>
        <stp/>
        <stp>##V3_BDPV12</stp>
        <stp>XS0562354182 Corp</stp>
        <stp>RTG_SP</stp>
        <stp>[upload (2).xlsm]Base all $ 3 Duration!R96C10</stp>
        <tr r="J96" s="66"/>
        <tr r="J96" s="66"/>
      </tp>
      <tp t="s">
        <v>NR</v>
        <stp/>
        <stp>##V3_BDPV12</stp>
        <stp>XS0276456315 Corp</stp>
        <stp>RTG_SP</stp>
        <stp>[upload (2).xlsm]Base all $ 3 Duration!R90C10</stp>
        <tr r="J90" s="66"/>
        <tr r="J90" s="66"/>
      </tp>
      <tp t="s">
        <v>#N/A N/A</v>
        <stp/>
        <stp>##V3_BDPV12</stp>
        <stp>XS0855334289 Corp</stp>
        <stp>RTG_SP</stp>
        <stp>[upload (2).xlsm]Base all $ 3 Duration!R50C10</stp>
        <tr r="J50" s="66"/>
      </tp>
      <tp t="s">
        <v>M VIDEO</v>
        <stp/>
        <stp>##V3_BDPV12</stp>
        <stp>MVID RX EQUITY</stp>
        <stp>SHORT_NAME</stp>
        <stp>[upload (2).xlsm]Model Portfolio!R38C2</stp>
        <tr r="B38" s="98"/>
      </tp>
      <tp t="s">
        <v>#N/A N/A</v>
        <stp/>
        <stp>##V3_BDPV12</stp>
        <stp>XS0366630902 Corp</stp>
        <stp>RTG_SP</stp>
        <stp>[upload (2).xlsm]Base all $ 3 Duration!R49C10</stp>
        <tr r="J49" s="66"/>
      </tp>
      <tp t="s">
        <v>NR</v>
        <stp/>
        <stp>##V3_BDPV12</stp>
        <stp>XS0861980372 Corp</stp>
        <stp>RTG_SP</stp>
        <stp>[upload (2).xlsm]Base all $ 3 Duration!R80C10</stp>
        <tr r="J80" s="66"/>
        <tr r="J80" s="66"/>
      </tp>
      <tp t="s">
        <v>#N/A N/A</v>
        <stp/>
        <stp>##V3_BDPV12</stp>
        <stp>MTLR RX EQUITY</stp>
        <stp>EPS_GROWTH</stp>
        <stp>[upload (2).xlsm]Model Portfolio!R24C22</stp>
        <tr r="V24" s="98"/>
      </tp>
      <tp t="s">
        <v>#N/A N/A</v>
        <stp/>
        <stp>##V3_BDPV12</stp>
        <stp>XS0940730228 Corp</stp>
        <stp>RTG_SP</stp>
        <stp>[upload (2).xlsm]Base all $ 3 Duration!R25C10</stp>
        <tr r="J25" s="66"/>
      </tp>
      <tp t="s">
        <v>#N/A N/A</v>
        <stp/>
        <stp>##V3_BDPV12</stp>
        <stp>SNGSP RX EQUITY</stp>
        <stp>EPS_GROWTH</stp>
        <stp>[upload (2).xlsm]Model Portfolio!R11C22</stp>
        <tr r="V11" s="98"/>
      </tp>
      <tp t="s">
        <v>LUXOFT HOLDING I</v>
        <stp/>
        <stp>##V3_BDPV12</stp>
        <stp>LXFT US EQUITY</stp>
        <stp>SHORT_NAME</stp>
        <stp>[upload (2).xlsm]Model Portfolio!R41C2</stp>
        <tr r="B41" s="98"/>
      </tp>
      <tp t="s">
        <v>#N/A N/A</v>
        <stp/>
        <stp>##V3_BDPV12</stp>
        <stp>XS0524658852 Corp</stp>
        <stp>RTG_SP</stp>
        <stp>[upload (2).xlsm]Base all $ 3 Duration!R68C10</stp>
        <tr r="J68" s="66"/>
      </tp>
      <tp>
        <v>7.9513677811550147</v>
        <stp/>
        <stp>##V3_BDPV12</stp>
        <stp>ALRS RX EQUITY</stp>
        <stp>BDVD_PROJ_12M_YLD</stp>
        <stp>[upload (2).xlsm]Model Portfolio!R5C27</stp>
        <tr r="AA5" s="98"/>
      </tp>
      <tp t="s">
        <v>NR</v>
        <stp/>
        <stp>##V3_BDPV12</stp>
        <stp>XS0288690539 Corp</stp>
        <stp>RTG_SP</stp>
        <stp>[upload (2).xlsm]Base all $ 3 Duration!R62C10</stp>
        <tr r="J62" s="66"/>
        <tr r="J62" s="66"/>
      </tp>
      <tp>
        <v>100</v>
        <stp/>
        <stp>##V3_BDPV12</stp>
        <stp>TRNFP RX EQUITY</stp>
        <stp>EQY_FREE_FLOAT_PCT</stp>
        <stp>[upload (2).xlsm]Model Portfolio!R20C11</stp>
        <tr r="K20" s="98"/>
      </tp>
      <tp t="s">
        <v>USD</v>
        <stp/>
        <stp>##V3_BDPV12</stp>
        <stp>XS0772835285 Corp</stp>
        <stp>CRNCY</stp>
        <stp>[upload (2).xlsm]Base all $ 3 Duration!R31C12</stp>
        <tr r="L31" s="66"/>
      </tp>
      <tp t="s">
        <v>AT MATURITY</v>
        <stp/>
        <stp>##V3_BDPV12</stp>
        <stp>XS0924078453 Corp</stp>
        <stp>MTY_TYP</stp>
        <stp>[upload (2).xlsm]Base all $ 3 Duration!R19C15</stp>
        <tr r="O19" s="66"/>
      </tp>
      <tp t="s">
        <v>USD</v>
        <stp/>
        <stp>##V3_BDPV12</stp>
        <stp>XS0359381331 Corp</stp>
        <stp>CRNCY</stp>
        <stp>[upload (2).xlsm]Base all $ 3 Duration!R36C12</stp>
        <tr r="L36" s="66"/>
      </tp>
      <tp t="s">
        <v>AT MATURITY</v>
        <stp/>
        <stp>##V3_BDPV12</stp>
        <stp>XS0524658852 Corp</stp>
        <stp>MTY_TYP</stp>
        <stp>[upload (2).xlsm]Base all $ 3 Duration!R68C15</stp>
        <tr r="O68" s="66"/>
      </tp>
      <tp>
        <v>8.7864079999999998</v>
        <stp/>
        <stp>##V3_BDPV12</stp>
        <stp>SIBN RX EQUITY</stp>
        <stp>CHG_PCT_1M</stp>
        <stp>[upload (2).xlsm]Model Portfolio!R15C5</stp>
        <tr r="E15" s="98"/>
      </tp>
      <tp t="s">
        <v>USD</v>
        <stp/>
        <stp>##V3_BDPV12</stp>
        <stp>XS0922134712 Corp</stp>
        <stp>CRNCY</stp>
        <stp>[upload (2).xlsm]Base all $ 3 Duration!R76C12</stp>
        <tr r="L76" s="66"/>
      </tp>
      <tp>
        <v>88.006109049825966</v>
        <stp/>
        <stp>##V3_BDPV12</stp>
        <stp>PLZL RX EQUITY</stp>
        <stp>PX_TO_BOOK_RATIO</stp>
        <stp>[upload (2).xlsm]Model Portfolio!R2C18</stp>
        <tr r="R2" s="98"/>
      </tp>
      <tp t="s">
        <v>USD</v>
        <stp/>
        <stp>##V3_BDPV12</stp>
        <stp>XS0361041808 Corp</stp>
        <stp>CRNCY</stp>
        <stp>[upload (2).xlsm]Base all $ 3 Duration!R51C12</stp>
        <tr r="L51" s="66"/>
      </tp>
      <tp t="s">
        <v>USD</v>
        <stp/>
        <stp>##V3_BDPV12</stp>
        <stp>XS0783291221 Corp</stp>
        <stp>CRNCY</stp>
        <stp>[upload (2).xlsm]Base all $ 3 Duration!R72C12</stp>
        <tr r="L72" s="66"/>
      </tp>
      <tp t="s">
        <v>USD</v>
        <stp/>
        <stp>##V3_BDPV12</stp>
        <stp>XS0888245122 Corp</stp>
        <stp>CRNCY</stp>
        <stp>[upload (2).xlsm]Base all $ 3 Duration!R73C12</stp>
        <tr r="L73" s="66"/>
      </tp>
      <tp t="s">
        <v>AT MATURITY</v>
        <stp/>
        <stp>##V3_BDPV12</stp>
        <stp>XS0783242877 Corp</stp>
        <stp>MTY_TYP</stp>
        <stp>[upload (2).xlsm]Base all $ 3 Duration!R32C15</stp>
        <tr r="O32" s="66"/>
      </tp>
      <tp t="s">
        <v>CALLABLE</v>
        <stp/>
        <stp>##V3_BDPV12</stp>
        <stp>XS0299183250 Corp</stp>
        <stp>MTY_TYP</stp>
        <stp>[upload (2).xlsm]Base all $ 3 Duration!R40C15</stp>
        <tr r="O40" s="66"/>
      </tp>
      <tp>
        <v>-3.8964619057955288</v>
        <stp/>
        <stp>##V3_BDPV12</stp>
        <stp>QIWI US EQUITY</stp>
        <stp>NET_DEBT_TO_EBITDA</stp>
        <stp>[upload (2).xlsm]Model Portfolio!R40C20</stp>
        <tr r="T40" s="98"/>
      </tp>
      <tp>
        <v>5.4929765007537412</v>
        <stp/>
        <stp>##V3_BDPV12</stp>
        <stp>TRNFP RX EQUITY</stp>
        <stp>EST_PE_NXT_YR</stp>
        <stp>[upload (2).xlsm]Model Portfolio!R20C15</stp>
        <tr r="O20" s="98"/>
      </tp>
      <tp>
        <v>32.051942836105624</v>
        <stp/>
        <stp>##V3_BDPV12</stp>
        <stp>RTKMP RX EQUITY</stp>
        <stp>EBITDA_MARGIN</stp>
        <stp>[upload (2).xlsm]Model Portfolio!R63C23</stp>
        <tr r="W63" s="98"/>
      </tp>
      <tp>
        <v>20.052949999999999</v>
        <stp/>
        <stp>##V3_BDPV12</stp>
        <stp>QIWI US EQUITY</stp>
        <stp>CHG_PCT_1YR</stp>
        <stp>[upload (2).xlsm]Model Portfolio!R40C6</stp>
        <tr r="F40" s="98"/>
      </tp>
    </main>
    <main first="bloomberg.rtd">
      <tp>
        <v>16.389089999999999</v>
        <stp/>
        <stp>##V3_BDPV12</stp>
        <stp>EVR LN EQUITY</stp>
        <stp>CHG_PCT_1M</stp>
        <stp>[upload (2).xlsm]Model Portfolio!R26C5</stp>
        <tr r="E26" s="98"/>
      </tp>
      <tp>
        <v>77.053830000000005</v>
        <stp/>
        <stp>##V3_BDPV12</stp>
        <stp>MAIL LI EQUITY</stp>
        <stp>CHG_PCT_1YR</stp>
        <stp>[upload (2).xlsm]Model Portfolio!R44C6</stp>
        <tr r="F44" s="98"/>
      </tp>
      <tp>
        <v>2092273</v>
        <stp/>
        <stp>##V3_BDPV12</stp>
        <stp>FESH RX EQUITY</stp>
        <stp>AVG_DAILY_VALUE_TRADED_6M</stp>
        <stp>[upload (2).xlsm]Model Portfolio!R45C12</stp>
        <tr r="L45" s="98"/>
      </tp>
      <tp>
        <v>-14.693770000000001</v>
        <stp/>
        <stp>##V3_BDPV12</stp>
        <stp>DIXY RX EQUITY</stp>
        <stp>CHG_PCT_1YR</stp>
        <stp>[upload (2).xlsm]Model Portfolio!R34C6</stp>
        <tr r="F34" s="98"/>
      </tp>
      <tp>
        <v>727321500</v>
        <stp/>
        <stp>##V3_BDPV12</stp>
        <stp>FEES RX EQUITY</stp>
        <stp>AVG_DAILY_VALUE_TRADED_6M</stp>
        <stp>[upload (2).xlsm]Model Portfolio!R56C12</stp>
        <tr r="L56" s="98"/>
      </tp>
      <tp>
        <v>1.791528</v>
        <stp/>
        <stp>##V3_BDPV12</stp>
        <stp>MAIL LI EQUITY</stp>
        <stp>CHG_PCT_WTD</stp>
        <stp>[upload (2).xlsm]Model Portfolio!R44C4</stp>
        <tr r="D44" s="98"/>
      </tp>
      <tp>
        <v>3.0716730000000001</v>
        <stp/>
        <stp>##V3_BDPV12</stp>
        <stp>QIWI US EQUITY</stp>
        <stp>CHG_PCT_WTD</stp>
        <stp>[upload (2).xlsm]Model Portfolio!R40C4</stp>
        <tr r="D40" s="98"/>
      </tp>
      <tp>
        <v>42.051679999999998</v>
        <stp/>
        <stp>##V3_BDPV12</stp>
        <stp>QIWI US EQUITY</stp>
        <stp>CHG_PCT_YTD</stp>
        <stp>[upload (2).xlsm]Model Portfolio!R40C7</stp>
        <tr r="G40" s="98"/>
      </tp>
      <tp>
        <v>57.5441</v>
        <stp/>
        <stp>##V3_BDPV12</stp>
        <stp>USDRUB Curncy</stp>
        <stp>PX last</stp>
        <stp>[Copy of upload (2).xlsm]Гарез_GRENF (2)!R1C9</stp>
        <tr r="I1" s="116"/>
      </tp>
      <tp>
        <v>70.299719999999994</v>
        <stp/>
        <stp>##V3_BDPV12</stp>
        <stp>MAIL LI EQUITY</stp>
        <stp>CHG_PCT_YTD</stp>
        <stp>[upload (2).xlsm]Model Portfolio!R44C7</stp>
        <tr r="G44" s="98"/>
      </tp>
      <tp>
        <v>-0.79846890000000004</v>
        <stp/>
        <stp>##V3_BDPV12</stp>
        <stp>DIXY RX EQUITY</stp>
        <stp>CHG_PCT_WTD</stp>
        <stp>[upload (2).xlsm]Model Portfolio!R34C4</stp>
        <tr r="D34" s="98"/>
      </tp>
      <tp t="s">
        <v>N</v>
        <stp/>
        <stp>##V3_BDPV12</stp>
        <stp>XS0238091507 Corp</stp>
        <stp>RUSSIAN_CB_LOMBARD</stp>
        <stp>[upload (2).xlsm]Base all $ 3 Duration!R5C16</stp>
        <tr r="P5" s="66"/>
      </tp>
      <tp>
        <v>10.928570000000001</v>
        <stp/>
        <stp>##V3_BDPV12</stp>
        <stp>DIXY RX EQUITY</stp>
        <stp>CHG_PCT_YTD</stp>
        <stp>[upload (2).xlsm]Model Portfolio!R34C7</stp>
        <tr r="G34" s="98"/>
      </tp>
      <tp t="s">
        <v>#N/A N/A</v>
        <stp/>
        <stp>##V3_BDPV12</stp>
        <stp>XS0772835285 Corp</stp>
        <stp>RTG_SP</stp>
        <stp>[upload (2).xlsm]Base all $ 3 Duration!R31C10</stp>
        <tr r="J31" s="66"/>
      </tp>
      <tp t="s">
        <v>BB</v>
        <stp/>
        <stp>##V3_BDPV12</stp>
        <stp>XS0544362972 Corp</stp>
        <stp>RTG_SP</stp>
        <stp>[upload (2).xlsm]Base all $ 3 Duration!R70C10</stp>
        <tr r="J70" s="66"/>
        <tr r="J70" s="66"/>
      </tp>
      <tp t="s">
        <v>BB-</v>
        <stp/>
        <stp>##V3_BDPV12</stp>
        <stp>XS0863583281 Corp</stp>
        <stp>RTG_SP</stp>
        <stp>[upload (2).xlsm]Base all $ 3 Duration!R67C10</stp>
        <tr r="J67" s="66"/>
        <tr r="J67" s="66"/>
      </tp>
      <tp>
        <v>64.3268823258677</v>
        <stp/>
        <stp>##V3_BDPV12</stp>
        <stp>PHOR RX EQUITY</stp>
        <stp>EPS_GROWTH</stp>
        <stp>[upload (2).xlsm]Model Portfolio!R32C22</stp>
        <tr r="V32" s="98"/>
      </tp>
      <tp t="s">
        <v>NR</v>
        <stp/>
        <stp>##V3_BDPV12</stp>
        <stp>XS0587030957 Corp</stp>
        <stp>RTG_SP</stp>
        <stp>[upload (2).xlsm]Base all $ 3 Duration!R95C10</stp>
        <tr r="J95" s="66"/>
        <tr r="J95" s="66"/>
      </tp>
      <tp>
        <v>-30.273116156630465</v>
        <stp/>
        <stp>##V3_BDPV12</stp>
        <stp>YNDX US EQUITY</stp>
        <stp>EPS_GROWTH</stp>
        <stp>[upload (2).xlsm]Model Portfolio!R43C22</stp>
        <tr r="V43" s="98"/>
      </tp>
      <tp t="s">
        <v>BBB-</v>
        <stp/>
        <stp>##V3_BDPV12</stp>
        <stp>XS0783934325 Corp</stp>
        <stp>RTG_SP</stp>
        <stp>[upload (2).xlsm]Base all $ 3 Duration!R47C10</stp>
        <tr r="J47" s="66"/>
        <tr r="J47" s="66"/>
      </tp>
      <tp>
        <v>22.893429999999999</v>
        <stp/>
        <stp>##V3_BDPV12</stp>
        <stp>GAZP RX EQUITY</stp>
        <stp>EQY_FREE_FLOAT_PCT</stp>
        <stp>[upload (2).xlsm]Model Portfolio!R12C11</stp>
        <tr r="K12" s="98"/>
      </tp>
      <tp t="s">
        <v>USD</v>
        <stp/>
        <stp>##V3_BDPV12</stp>
        <stp>XS0524658852 Corp</stp>
        <stp>CRNCY</stp>
        <stp>[upload (2).xlsm]Base all $ 3 Duration!R68C12</stp>
        <tr r="L68" s="66"/>
      </tp>
      <tp t="s">
        <v>AT MATURITY</v>
        <stp/>
        <stp>##V3_BDPV12</stp>
        <stp>XS0585211591 Corp</stp>
        <stp>MTY_TYP</stp>
        <stp>[upload (2).xlsm]Base all $ 3 Duration!R34C15</stp>
        <tr r="O34" s="66"/>
      </tp>
      <tp t="s">
        <v>AT MATURITY</v>
        <stp/>
        <stp>##V3_BDPV12</stp>
        <stp>XS0292530309 Corp</stp>
        <stp>MTY_TYP</stp>
        <stp>[upload (2).xlsm]Base all $ 3 Duration!R81C15</stp>
        <tr r="O81" s="66"/>
      </tp>
      <tp t="s">
        <v>AT MATURITY</v>
        <stp/>
        <stp>##V3_BDPV12</stp>
        <stp>XS0783291221 Corp</stp>
        <stp>MTY_TYP</stp>
        <stp>[upload (2).xlsm]Base all $ 3 Duration!R72C15</stp>
        <tr r="O72" s="66"/>
      </tp>
      <tp t="s">
        <v>USD</v>
        <stp/>
        <stp>##V3_BDPV12</stp>
        <stp>XS0802648955 Corp</stp>
        <stp>CRNCY</stp>
        <stp>[upload (2).xlsm]Base all $ 3 Duration!R12C12</stp>
        <tr r="L12" s="66"/>
      </tp>
      <tp>
        <v>-34.694295327249023</v>
        <stp/>
        <stp>##V3_BDPV12</stp>
        <stp>MFON RX EQUITY</stp>
        <stp>EPS_GROWTH</stp>
        <stp>[upload (2).xlsm]Model Portfolio!R62C22</stp>
        <tr r="V62" s="98"/>
      </tp>
      <tp>
        <v>-28.969310537069337</v>
        <stp/>
        <stp>##V3_BDPV12</stp>
        <stp>LKOH RX EQUITY</stp>
        <stp>EPS_GROWTH</stp>
        <stp>[upload (2).xlsm]Model Portfolio!R13C22</stp>
        <tr r="V13" s="98"/>
      </tp>
      <tp t="s">
        <v>AT MATURITY</v>
        <stp/>
        <stp>##V3_BDPV12</stp>
        <stp>XS0889401054 Corp</stp>
        <stp>MTY_TYP</stp>
        <stp>[upload (2).xlsm]Base all $ 3 Duration!R39C15</stp>
        <tr r="O39" s="66"/>
      </tp>
      <tp t="s">
        <v>#N/A N/A</v>
        <stp/>
        <stp>##V3_BDPV12</stp>
        <stp>KMG LI Equity</stp>
        <stp>BDVD_NEXT_EST_DECL_DT</stp>
        <stp>[Copy of upload (2).xlsm]Гарез_GRENF!R5C22</stp>
        <tr r="V5" s="115"/>
      </tp>
      <tp>
        <v>40.727899999999998</v>
        <stp/>
        <stp>##V3_BDPV12</stp>
        <stp>ETLN LI EQUITY</stp>
        <stp>CHG_PCT_1YR</stp>
        <stp>[upload (2).xlsm]Model Portfolio!R70C6</stp>
        <tr r="F70" s="98"/>
      </tp>
      <tp>
        <v>20.34384</v>
        <stp/>
        <stp>##V3_BDPV12</stp>
        <stp>OKEY LI EQUITY</stp>
        <stp>CHG_PCT_1YR</stp>
        <stp>[upload (2).xlsm]Model Portfolio!R39C6</stp>
        <tr r="F39" s="98"/>
      </tp>
      <tp>
        <v>70.062370000000001</v>
        <stp/>
        <stp>##V3_BDPV12</stp>
        <stp>NMTP RX EQUITY</stp>
        <stp>CHG_PCT_1YR</stp>
        <stp>[upload (2).xlsm]Model Portfolio!R49C6</stp>
        <tr r="F49" s="98"/>
      </tp>
      <tp>
        <v>1.5</v>
        <stp/>
        <stp>##V3_BDPV12</stp>
        <stp>ETLN LI EQUITY</stp>
        <stp>CHG_PCT_WTD</stp>
        <stp>[upload (2).xlsm]Model Portfolio!R70C4</stp>
        <tr r="D70" s="98"/>
      </tp>
      <tp t="s">
        <v>USD</v>
        <stp/>
        <stp>##V3_BDPV12</stp>
        <stp>XS0088543193 Corp</stp>
        <stp>CRNCY</stp>
        <stp>[Copy of upload (2).xlsm]Гарез_GRENF (2)!R42C7</stp>
        <tr r="G42" s="116"/>
      </tp>
      <tp>
        <v>27.073560000000001</v>
        <stp/>
        <stp>##V3_BDPV12</stp>
        <stp>ETLN LI EQUITY</stp>
        <stp>CHG_PCT_YTD</stp>
        <stp>[upload (2).xlsm]Model Portfolio!R70C7</stp>
        <tr r="G70" s="98"/>
      </tp>
    </main>
    <main first="bloomberg.rtd">
      <tp>
        <v>24.221720000000001</v>
        <stp/>
        <stp>##V3_BDPV12</stp>
        <stp>NMTP RX EQUITY</stp>
        <stp>CHG_PCT_YTD</stp>
        <stp>[upload (2).xlsm]Model Portfolio!R49C7</stp>
        <tr r="G49" s="98"/>
      </tp>
      <tp>
        <v>0</v>
        <stp/>
        <stp>##V3_BDPV12</stp>
        <stp>OKEY LI EQUITY</stp>
        <stp>CHG_PCT_WTD</stp>
        <stp>[upload (2).xlsm]Model Portfolio!R39C4</stp>
        <tr r="D39" s="98"/>
      </tp>
    </main>
    <main first="bloomberg.rtd">
      <tp>
        <v>-19.23077</v>
        <stp/>
        <stp>##V3_BDPV12</stp>
        <stp>OKEY LI EQUITY</stp>
        <stp>CHG_PCT_YTD</stp>
        <stp>[upload (2).xlsm]Model Portfolio!R39C7</stp>
        <tr r="G39" s="98"/>
      </tp>
      <tp>
        <v>2.25</v>
        <stp/>
        <stp>##V3_BDPV12</stp>
        <stp>NMTP RX EQUITY</stp>
        <stp>CHG_PCT_WTD</stp>
        <stp>[upload (2).xlsm]Model Portfolio!R49C4</stp>
        <tr r="D49" s="98"/>
      </tp>
      <tp t="s">
        <v>#N/A N/A</v>
        <stp/>
        <stp>##V3_BDPV12</stp>
        <stp>XS0312572984 Corp</stp>
        <stp>RTG_SP</stp>
        <stp>[upload (2).xlsm]Base all $ 3 Duration!R22C10</stp>
        <tr r="J22" s="66"/>
      </tp>
      <tp>
        <v>-8.3279047434123505</v>
        <stp/>
        <stp>##V3_BDPV12</stp>
        <stp>MGNT RX EQUITY</stp>
        <stp>EPS_GROWTH</stp>
        <stp>[upload (2).xlsm]Model Portfolio!R35C22</stp>
        <tr r="V35" s="98"/>
      </tp>
      <tp t="s">
        <v>BB-</v>
        <stp/>
        <stp>##V3_BDPV12</stp>
        <stp>XS0879105558 Corp</stp>
        <stp>RTG_SP</stp>
        <stp>[upload (2).xlsm]Base all $ 3 Duration!R38C10</stp>
        <tr r="J38" s="66"/>
        <tr r="J38" s="66"/>
      </tp>
      <tp t="s">
        <v>BBB-</v>
        <stp/>
        <stp>##V3_BDPV12</stp>
        <stp>XS0551315384 Corp</stp>
        <stp>RTG_SP</stp>
        <stp>[upload (2).xlsm]Base all $ 3 Duration!R82C10</stp>
        <tr r="J82" s="66"/>
        <tr r="J82" s="66"/>
      </tp>
      <tp>
        <v>1.7957369999999999</v>
        <stp/>
        <stp>##V3_BDPV12</stp>
        <stp>QIWI US EQUITY</stp>
        <stp>CHG_PCT_1M</stp>
        <stp>[upload (2).xlsm]Model Portfolio!R40C5</stp>
        <tr r="E40" s="98"/>
      </tp>
      <tp t="s">
        <v>NR</v>
        <stp/>
        <stp>##V3_BDPV12</stp>
        <stp>XS0253861834 Corp</stp>
        <stp>RTG_SP</stp>
        <stp>[upload (2).xlsm]Base all $ 3 Duration!R91C10</stp>
        <tr r="J91" s="66"/>
        <tr r="J91" s="66"/>
      </tp>
      <tp t="s">
        <v>NR</v>
        <stp/>
        <stp>##V3_BDPV12</stp>
        <stp>XS0499245180 Corp</stp>
        <stp>RTG_SP</stp>
        <stp>[upload (2).xlsm]Base all $ 3 Duration!R84C10</stp>
        <tr r="J84" s="66"/>
        <tr r="J84" s="66"/>
      </tp>
      <tp t="s">
        <v>AT MATURITY</v>
        <stp/>
        <stp>##V3_BDPV12</stp>
        <stp>XS0300998779 Corp</stp>
        <stp>MTY_TYP</stp>
        <stp>[upload (2).xlsm]Base all $ 3 Duration!R58C15</stp>
        <tr r="O58" s="66"/>
      </tp>
      <tp>
        <v>-9.6640890089195999</v>
        <stp/>
        <stp>##V3_BDPV12</stp>
        <stp>BANE RX EQUITY</stp>
        <stp>EPS_GROWTH</stp>
        <stp>[upload (2).xlsm]Model Portfolio!R18C22</stp>
        <tr r="V18" s="98"/>
      </tp>
      <tp t="s">
        <v>#N/A N/A</v>
        <stp/>
        <stp>##V3_BDPV12</stp>
        <stp>MSNG RX EQUITY</stp>
        <stp>EPS_GROWTH</stp>
        <stp>[upload (2).xlsm]Model Portfolio!R55C22</stp>
        <tr r="V55" s="98"/>
      </tp>
      <tp>
        <v>-1.5453889999999999</v>
        <stp/>
        <stp>##V3_BDPV12</stp>
        <stp>NLMK RX EQUITY</stp>
        <stp>CHG_PCT_1M</stp>
        <stp>[upload (2).xlsm]Model Portfolio!R22C5</stp>
        <tr r="E22" s="98"/>
      </tp>
      <tp t="s">
        <v>USD</v>
        <stp/>
        <stp>##V3_BDPV12</stp>
        <stp>XS1043519567 Corp</stp>
        <stp>CRNCY</stp>
        <stp>[upload (2).xlsm]Base all $ 3 Duration!R74C12</stp>
        <tr r="L74" s="66"/>
      </tp>
      <tp t="s">
        <v>USD</v>
        <stp/>
        <stp>##V3_BDPV12</stp>
        <stp>XS0854763355 Corp</stp>
        <stp>CRNCY</stp>
        <stp>[upload (2).xlsm]Base all $ 3 Duration!R28C12</stp>
        <tr r="L28" s="66"/>
      </tp>
      <tp>
        <v>-1.2310589999999999</v>
        <stp/>
        <stp>##V3_BDPV12</stp>
        <stp>KMAZ RX EQUITY</stp>
        <stp>CHG_PCT_1M</stp>
        <stp>[upload (2).xlsm]Model Portfolio!R73C5</stp>
        <tr r="E73" s="98"/>
      </tp>
      <tp t="s">
        <v>AT MATURITY</v>
        <stp/>
        <stp>##V3_BDPV12</stp>
        <stp>XS0587030957 Corp</stp>
        <stp>MTY_TYP</stp>
        <stp>[upload (2).xlsm]Base all $ 3 Duration!R95C15</stp>
        <tr r="O95" s="66"/>
      </tp>
      <tp t="s">
        <v>AT MATURITY</v>
        <stp/>
        <stp>##V3_BDPV12</stp>
        <stp>XS0719009754 Corp</stp>
        <stp>MTY_TYP</stp>
        <stp>[upload (2).xlsm]Base all $ 3 Duration!R77C15</stp>
        <tr r="O77" s="66"/>
      </tp>
      <tp t="s">
        <v>USD</v>
        <stp/>
        <stp>##V3_BDPV12</stp>
        <stp>XS0923110232 Corp</stp>
        <stp>CRNCY</stp>
        <stp>[upload (2).xlsm]Base all $ 3 Duration!R35C12</stp>
        <tr r="L35" s="66"/>
      </tp>
      <tp t="s">
        <v>CALLABLE</v>
        <stp/>
        <stp>##V3_BDPV12</stp>
        <stp>XS0288690539 Corp</stp>
        <stp>MTY_TYP</stp>
        <stp>[upload (2).xlsm]Base all $ 3 Duration!R62C15</stp>
        <tr r="O62" s="66"/>
      </tp>
      <tp>
        <v>53.654695464745281</v>
        <stp/>
        <stp>##V3_BDPV12</stp>
        <stp>BANEP RX EQUITY</stp>
        <stp>PCT_REVENUE_FROM_FOREIGN_SOURCES</stp>
        <stp>[upload (2).xlsm]Model Portfolio!R8C30</stp>
        <tr r="AD8" s="98"/>
      </tp>
      <tp t="s">
        <v>PUTABLE</v>
        <stp/>
        <stp>##V3_BDPV12</stp>
        <stp>XS0802648955 Corp</stp>
        <stp>MTY_TYP</stp>
        <stp>[upload (2).xlsm]Base all $ 3 Duration!R12C15</stp>
        <tr r="O12" s="66"/>
      </tp>
      <tp>
        <v>6.5527030000000002</v>
        <stp/>
        <stp>##V3_BDPV12</stp>
        <stp>SNGS RX EQUITY</stp>
        <stp>CHG_PCT_1M</stp>
        <stp>[upload (2).xlsm]Model Portfolio!R10C5</stp>
        <tr r="E10" s="98"/>
      </tp>
      <tp t="s">
        <v>USD</v>
        <stp/>
        <stp>##V3_BDPV12</stp>
        <stp>XS0742380412 Corp</stp>
        <stp>CRNCY</stp>
        <stp>[upload (2).xlsm]Base all $ 3 Duration!R86C12</stp>
        <tr r="L86" s="66"/>
      </tp>
      <tp t="s">
        <v>O'KEY</v>
        <stp/>
        <stp>##V3_BDPV12</stp>
        <stp>OKEY LI EQUITY</stp>
        <stp>SHORT_NAME</stp>
        <stp>[upload (2).xlsm]Model Portfolio!R39C2</stp>
        <tr r="B39" s="98"/>
      </tp>
      <tp t="s">
        <v>USD</v>
        <stp/>
        <stp>##V3_BDPV12</stp>
        <stp>XS0808632847 Corp</stp>
        <stp>CRNCY</stp>
        <stp>[upload (2).xlsm]Base all $ 3 Duration!R65C12</stp>
        <tr r="L65" s="6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nazimanov/Desktop/Copy%20of%20ADVISORY%20RUSTAM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Portfolio (2)"/>
      <sheetName val="ELLQF"/>
      <sheetName val="INFLE"/>
      <sheetName val="Гарез_GRENF"/>
      <sheetName val="Шахарьянц_XKQQF"/>
      <sheetName val="Палочкин_PYUMF"/>
      <sheetName val="AKTOS "/>
      <sheetName val="Рыбкин_RWVQF"/>
      <sheetName val="LABKS"/>
      <sheetName val="madun2"/>
      <sheetName val="Model Portfolio"/>
      <sheetName val="Sheet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nazimanov/AppData/Local/Microsoft/Windows/Temporary%20Internet%20Files/Content.Outlook/PG6OE130/upload%20(2)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 r:id="rId2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215">
      <pivotArea outline="0" fieldPosition="0">
        <references count="1">
          <reference field="4294967294" count="1">
            <x v="0"/>
          </reference>
        </references>
      </pivotArea>
    </format>
    <format dxfId="214">
      <pivotArea dataOnly="0" outline="0" fieldPosition="0">
        <references count="1">
          <reference field="4294967294" count="1">
            <x v="1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11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210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209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208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workbookViewId="0">
      <selection activeCell="B10" sqref="B10:C10"/>
    </sheetView>
  </sheetViews>
  <sheetFormatPr defaultRowHeight="15" x14ac:dyDescent="0.25"/>
  <cols>
    <col min="3" max="3" width="25" customWidth="1"/>
  </cols>
  <sheetData>
    <row r="9" spans="2:3" x14ac:dyDescent="0.25">
      <c r="B9" t="s">
        <v>2955</v>
      </c>
      <c r="C9" t="s">
        <v>2956</v>
      </c>
    </row>
    <row r="10" spans="2:3" x14ac:dyDescent="0.25">
      <c r="B10" t="s">
        <v>2957</v>
      </c>
      <c r="C10">
        <v>22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605" workbookViewId="0">
      <selection activeCell="F634" sqref="F634"/>
    </sheetView>
  </sheetViews>
  <sheetFormatPr defaultRowHeight="15" x14ac:dyDescent="0.25"/>
  <cols>
    <col min="1" max="1" width="31.7109375" style="252" bestFit="1" customWidth="1"/>
    <col min="2" max="2" width="21.7109375" style="252" bestFit="1" customWidth="1"/>
    <col min="3" max="3" width="23.7109375" style="252" bestFit="1" customWidth="1"/>
    <col min="4" max="16384" width="9.140625" style="252"/>
  </cols>
  <sheetData>
    <row r="1" spans="1:3" x14ac:dyDescent="0.25">
      <c r="A1" s="254" t="s">
        <v>2954</v>
      </c>
      <c r="B1" s="254" t="s">
        <v>2953</v>
      </c>
      <c r="C1" s="254" t="s">
        <v>2952</v>
      </c>
    </row>
    <row r="2" spans="1:3" x14ac:dyDescent="0.25">
      <c r="A2" s="253" t="s">
        <v>2951</v>
      </c>
      <c r="B2" s="253" t="s">
        <v>2950</v>
      </c>
      <c r="C2" s="253" t="s">
        <v>479</v>
      </c>
    </row>
    <row r="3" spans="1:3" x14ac:dyDescent="0.25">
      <c r="A3" s="253" t="s">
        <v>2949</v>
      </c>
      <c r="B3" s="253" t="s">
        <v>2948</v>
      </c>
      <c r="C3" s="253" t="s">
        <v>2947</v>
      </c>
    </row>
    <row r="4" spans="1:3" x14ac:dyDescent="0.25">
      <c r="A4" s="253" t="s">
        <v>2946</v>
      </c>
      <c r="B4" s="253" t="s">
        <v>316</v>
      </c>
      <c r="C4" s="253" t="s">
        <v>2945</v>
      </c>
    </row>
    <row r="5" spans="1:3" x14ac:dyDescent="0.25">
      <c r="A5" s="253" t="s">
        <v>2944</v>
      </c>
      <c r="B5" s="253" t="s">
        <v>353</v>
      </c>
      <c r="C5" s="253" t="s">
        <v>2943</v>
      </c>
    </row>
    <row r="6" spans="1:3" x14ac:dyDescent="0.25">
      <c r="A6" s="253" t="s">
        <v>2942</v>
      </c>
      <c r="B6" s="253" t="s">
        <v>2941</v>
      </c>
      <c r="C6" s="253" t="s">
        <v>139</v>
      </c>
    </row>
    <row r="7" spans="1:3" x14ac:dyDescent="0.25">
      <c r="A7" s="253" t="s">
        <v>2940</v>
      </c>
      <c r="B7" s="253" t="s">
        <v>2939</v>
      </c>
      <c r="C7" s="253" t="s">
        <v>2938</v>
      </c>
    </row>
    <row r="8" spans="1:3" x14ac:dyDescent="0.25">
      <c r="A8" s="253" t="s">
        <v>2937</v>
      </c>
      <c r="B8" s="253" t="s">
        <v>2936</v>
      </c>
      <c r="C8" s="253" t="s">
        <v>2935</v>
      </c>
    </row>
    <row r="9" spans="1:3" x14ac:dyDescent="0.25">
      <c r="A9" s="253" t="s">
        <v>2934</v>
      </c>
      <c r="B9" s="253" t="s">
        <v>2933</v>
      </c>
      <c r="C9" s="253" t="s">
        <v>2932</v>
      </c>
    </row>
    <row r="10" spans="1:3" x14ac:dyDescent="0.25">
      <c r="A10" s="253" t="s">
        <v>2931</v>
      </c>
      <c r="B10" s="253" t="s">
        <v>2930</v>
      </c>
      <c r="C10" s="253" t="s">
        <v>2929</v>
      </c>
    </row>
    <row r="11" spans="1:3" x14ac:dyDescent="0.25">
      <c r="A11" s="253" t="s">
        <v>2928</v>
      </c>
      <c r="B11" s="253" t="s">
        <v>2927</v>
      </c>
      <c r="C11" s="253" t="s">
        <v>2926</v>
      </c>
    </row>
    <row r="12" spans="1:3" x14ac:dyDescent="0.25">
      <c r="A12" s="253" t="s">
        <v>2925</v>
      </c>
      <c r="B12" s="253" t="s">
        <v>2924</v>
      </c>
      <c r="C12" s="253" t="s">
        <v>2923</v>
      </c>
    </row>
    <row r="13" spans="1:3" x14ac:dyDescent="0.25">
      <c r="A13" s="253" t="s">
        <v>2922</v>
      </c>
      <c r="B13" s="253" t="s">
        <v>385</v>
      </c>
      <c r="C13" s="253" t="s">
        <v>228</v>
      </c>
    </row>
    <row r="14" spans="1:3" x14ac:dyDescent="0.25">
      <c r="A14" s="253" t="s">
        <v>2921</v>
      </c>
      <c r="B14" s="253" t="s">
        <v>2920</v>
      </c>
      <c r="C14" s="253" t="s">
        <v>2919</v>
      </c>
    </row>
    <row r="15" spans="1:3" x14ac:dyDescent="0.25">
      <c r="A15" s="253" t="s">
        <v>2918</v>
      </c>
      <c r="B15" s="253" t="s">
        <v>2917</v>
      </c>
      <c r="C15" s="253" t="s">
        <v>468</v>
      </c>
    </row>
    <row r="16" spans="1:3" x14ac:dyDescent="0.25">
      <c r="A16" s="253" t="s">
        <v>2916</v>
      </c>
      <c r="B16" s="253" t="s">
        <v>2915</v>
      </c>
      <c r="C16" s="253" t="s">
        <v>2915</v>
      </c>
    </row>
    <row r="17" spans="1:3" x14ac:dyDescent="0.25">
      <c r="A17" s="253" t="s">
        <v>2914</v>
      </c>
      <c r="B17" s="253" t="s">
        <v>283</v>
      </c>
      <c r="C17" s="253" t="s">
        <v>2913</v>
      </c>
    </row>
    <row r="18" spans="1:3" x14ac:dyDescent="0.25">
      <c r="A18" s="253" t="s">
        <v>2912</v>
      </c>
      <c r="B18" s="253" t="s">
        <v>527</v>
      </c>
      <c r="C18" s="253" t="s">
        <v>2911</v>
      </c>
    </row>
    <row r="19" spans="1:3" x14ac:dyDescent="0.25">
      <c r="A19" s="253" t="s">
        <v>2910</v>
      </c>
      <c r="B19" s="253" t="s">
        <v>2909</v>
      </c>
      <c r="C19" s="253" t="s">
        <v>2908</v>
      </c>
    </row>
    <row r="20" spans="1:3" x14ac:dyDescent="0.25">
      <c r="A20" s="253" t="s">
        <v>2907</v>
      </c>
      <c r="B20" s="253" t="s">
        <v>2906</v>
      </c>
      <c r="C20" s="253" t="s">
        <v>2905</v>
      </c>
    </row>
    <row r="21" spans="1:3" x14ac:dyDescent="0.25">
      <c r="A21" s="253" t="s">
        <v>2904</v>
      </c>
      <c r="B21" s="253" t="s">
        <v>2903</v>
      </c>
      <c r="C21" s="253" t="s">
        <v>145</v>
      </c>
    </row>
    <row r="22" spans="1:3" x14ac:dyDescent="0.25">
      <c r="A22" s="253" t="s">
        <v>2902</v>
      </c>
      <c r="B22" s="253" t="s">
        <v>2901</v>
      </c>
      <c r="C22" s="253" t="s">
        <v>2900</v>
      </c>
    </row>
    <row r="23" spans="1:3" x14ac:dyDescent="0.25">
      <c r="A23" s="253" t="s">
        <v>2899</v>
      </c>
      <c r="B23" s="253" t="s">
        <v>2898</v>
      </c>
      <c r="C23" s="253" t="s">
        <v>2897</v>
      </c>
    </row>
    <row r="24" spans="1:3" x14ac:dyDescent="0.25">
      <c r="A24" s="253" t="s">
        <v>2896</v>
      </c>
      <c r="B24" s="253" t="s">
        <v>2895</v>
      </c>
      <c r="C24" s="253" t="s">
        <v>2894</v>
      </c>
    </row>
    <row r="25" spans="1:3" x14ac:dyDescent="0.25">
      <c r="A25" s="253" t="s">
        <v>2893</v>
      </c>
      <c r="B25" s="253" t="s">
        <v>371</v>
      </c>
      <c r="C25" s="253" t="s">
        <v>489</v>
      </c>
    </row>
    <row r="26" spans="1:3" x14ac:dyDescent="0.25">
      <c r="A26" s="253" t="s">
        <v>2892</v>
      </c>
      <c r="B26" s="253" t="s">
        <v>2891</v>
      </c>
      <c r="C26" s="253" t="s">
        <v>2890</v>
      </c>
    </row>
    <row r="27" spans="1:3" x14ac:dyDescent="0.25">
      <c r="A27" s="253" t="s">
        <v>2889</v>
      </c>
      <c r="B27" s="253" t="s">
        <v>2888</v>
      </c>
      <c r="C27" s="253" t="s">
        <v>2887</v>
      </c>
    </row>
    <row r="28" spans="1:3" x14ac:dyDescent="0.25">
      <c r="A28" s="253" t="s">
        <v>2886</v>
      </c>
      <c r="B28" s="253" t="s">
        <v>2885</v>
      </c>
      <c r="C28" s="253" t="s">
        <v>2884</v>
      </c>
    </row>
    <row r="29" spans="1:3" x14ac:dyDescent="0.25">
      <c r="A29" s="253" t="s">
        <v>2883</v>
      </c>
      <c r="B29" s="253" t="s">
        <v>306</v>
      </c>
      <c r="C29" s="253" t="s">
        <v>2882</v>
      </c>
    </row>
    <row r="30" spans="1:3" x14ac:dyDescent="0.25">
      <c r="A30" s="253" t="s">
        <v>2881</v>
      </c>
      <c r="B30" s="253" t="s">
        <v>2880</v>
      </c>
      <c r="C30" s="253" t="s">
        <v>2879</v>
      </c>
    </row>
    <row r="31" spans="1:3" x14ac:dyDescent="0.25">
      <c r="A31" s="253" t="s">
        <v>138</v>
      </c>
      <c r="B31" s="253" t="s">
        <v>572</v>
      </c>
      <c r="C31" s="253" t="s">
        <v>2878</v>
      </c>
    </row>
    <row r="32" spans="1:3" x14ac:dyDescent="0.25">
      <c r="A32" s="253" t="s">
        <v>2877</v>
      </c>
      <c r="B32" s="253" t="s">
        <v>2876</v>
      </c>
      <c r="C32" s="253" t="s">
        <v>499</v>
      </c>
    </row>
    <row r="33" spans="1:3" x14ac:dyDescent="0.25">
      <c r="A33" s="253" t="s">
        <v>2875</v>
      </c>
      <c r="B33" s="253" t="s">
        <v>2874</v>
      </c>
      <c r="C33" s="253" t="s">
        <v>2873</v>
      </c>
    </row>
    <row r="34" spans="1:3" x14ac:dyDescent="0.25">
      <c r="A34" s="253" t="s">
        <v>2872</v>
      </c>
      <c r="B34" s="253" t="s">
        <v>2871</v>
      </c>
      <c r="C34" s="253" t="s">
        <v>2870</v>
      </c>
    </row>
    <row r="35" spans="1:3" x14ac:dyDescent="0.25">
      <c r="A35" s="253" t="s">
        <v>2869</v>
      </c>
      <c r="B35" s="253" t="s">
        <v>2868</v>
      </c>
      <c r="C35" s="253" t="s">
        <v>2868</v>
      </c>
    </row>
    <row r="36" spans="1:3" x14ac:dyDescent="0.25">
      <c r="A36" s="253" t="s">
        <v>2867</v>
      </c>
      <c r="B36" s="253" t="s">
        <v>2866</v>
      </c>
      <c r="C36" s="253" t="s">
        <v>2865</v>
      </c>
    </row>
    <row r="37" spans="1:3" x14ac:dyDescent="0.25">
      <c r="A37" s="253" t="s">
        <v>2864</v>
      </c>
      <c r="B37" s="253" t="s">
        <v>2863</v>
      </c>
      <c r="C37" s="253" t="s">
        <v>2862</v>
      </c>
    </row>
    <row r="38" spans="1:3" x14ac:dyDescent="0.25">
      <c r="A38" s="253" t="s">
        <v>2861</v>
      </c>
      <c r="B38" s="253" t="s">
        <v>2860</v>
      </c>
      <c r="C38" s="253" t="s">
        <v>2859</v>
      </c>
    </row>
    <row r="39" spans="1:3" x14ac:dyDescent="0.25">
      <c r="A39" s="253" t="s">
        <v>2858</v>
      </c>
      <c r="B39" s="253" t="s">
        <v>2857</v>
      </c>
      <c r="C39" s="253" t="s">
        <v>2856</v>
      </c>
    </row>
    <row r="40" spans="1:3" x14ac:dyDescent="0.25">
      <c r="A40" s="253" t="s">
        <v>2855</v>
      </c>
      <c r="B40" s="253" t="s">
        <v>2854</v>
      </c>
      <c r="C40" s="253" t="s">
        <v>2853</v>
      </c>
    </row>
    <row r="41" spans="1:3" x14ac:dyDescent="0.25">
      <c r="A41" s="253" t="s">
        <v>2852</v>
      </c>
      <c r="B41" s="253" t="s">
        <v>2851</v>
      </c>
      <c r="C41" s="253" t="s">
        <v>2850</v>
      </c>
    </row>
    <row r="42" spans="1:3" x14ac:dyDescent="0.25">
      <c r="A42" s="253" t="s">
        <v>2849</v>
      </c>
      <c r="B42" s="253" t="s">
        <v>2848</v>
      </c>
      <c r="C42" s="253" t="s">
        <v>2847</v>
      </c>
    </row>
    <row r="43" spans="1:3" x14ac:dyDescent="0.25">
      <c r="A43" s="253" t="s">
        <v>2846</v>
      </c>
      <c r="B43" s="253" t="s">
        <v>2845</v>
      </c>
      <c r="C43" s="253" t="s">
        <v>2844</v>
      </c>
    </row>
    <row r="44" spans="1:3" x14ac:dyDescent="0.25">
      <c r="A44" s="253" t="s">
        <v>2843</v>
      </c>
      <c r="B44" s="253" t="s">
        <v>2842</v>
      </c>
      <c r="C44" s="253" t="s">
        <v>2841</v>
      </c>
    </row>
    <row r="45" spans="1:3" x14ac:dyDescent="0.25">
      <c r="A45" s="253" t="s">
        <v>2840</v>
      </c>
      <c r="B45" s="253" t="s">
        <v>359</v>
      </c>
      <c r="C45" s="253" t="s">
        <v>467</v>
      </c>
    </row>
    <row r="46" spans="1:3" x14ac:dyDescent="0.25">
      <c r="A46" s="253" t="s">
        <v>2839</v>
      </c>
      <c r="B46" s="253" t="s">
        <v>2838</v>
      </c>
      <c r="C46" s="253" t="s">
        <v>2838</v>
      </c>
    </row>
    <row r="47" spans="1:3" x14ac:dyDescent="0.25">
      <c r="A47" s="253" t="s">
        <v>2837</v>
      </c>
      <c r="B47" s="253" t="s">
        <v>2836</v>
      </c>
      <c r="C47" s="253" t="s">
        <v>2835</v>
      </c>
    </row>
    <row r="48" spans="1:3" x14ac:dyDescent="0.25">
      <c r="A48" s="253" t="s">
        <v>2834</v>
      </c>
      <c r="B48" s="253" t="s">
        <v>2833</v>
      </c>
      <c r="C48" s="253" t="s">
        <v>2832</v>
      </c>
    </row>
    <row r="49" spans="1:3" x14ac:dyDescent="0.25">
      <c r="A49" s="253" t="s">
        <v>2831</v>
      </c>
      <c r="B49" s="253" t="s">
        <v>2830</v>
      </c>
      <c r="C49" s="253" t="s">
        <v>2829</v>
      </c>
    </row>
    <row r="50" spans="1:3" x14ac:dyDescent="0.25">
      <c r="A50" s="253" t="s">
        <v>2828</v>
      </c>
      <c r="B50" s="253" t="s">
        <v>2827</v>
      </c>
      <c r="C50" s="253" t="s">
        <v>2826</v>
      </c>
    </row>
    <row r="51" spans="1:3" x14ac:dyDescent="0.25">
      <c r="A51" s="253" t="s">
        <v>2825</v>
      </c>
      <c r="B51" s="253" t="s">
        <v>2824</v>
      </c>
      <c r="C51" s="253" t="s">
        <v>455</v>
      </c>
    </row>
    <row r="52" spans="1:3" x14ac:dyDescent="0.25">
      <c r="A52" s="253" t="s">
        <v>2823</v>
      </c>
      <c r="B52" s="253" t="s">
        <v>2822</v>
      </c>
      <c r="C52" s="253" t="s">
        <v>2821</v>
      </c>
    </row>
    <row r="53" spans="1:3" x14ac:dyDescent="0.25">
      <c r="A53" s="253" t="s">
        <v>2820</v>
      </c>
      <c r="B53" s="253" t="s">
        <v>2819</v>
      </c>
      <c r="C53" s="253" t="s">
        <v>2818</v>
      </c>
    </row>
    <row r="54" spans="1:3" x14ac:dyDescent="0.25">
      <c r="A54" s="253" t="s">
        <v>2817</v>
      </c>
      <c r="B54" s="253" t="s">
        <v>560</v>
      </c>
      <c r="C54" s="253" t="s">
        <v>135</v>
      </c>
    </row>
    <row r="55" spans="1:3" x14ac:dyDescent="0.25">
      <c r="A55" s="253" t="s">
        <v>2816</v>
      </c>
      <c r="B55" s="253" t="s">
        <v>2815</v>
      </c>
      <c r="C55" s="253" t="s">
        <v>2815</v>
      </c>
    </row>
    <row r="56" spans="1:3" x14ac:dyDescent="0.25">
      <c r="A56" s="253" t="s">
        <v>2814</v>
      </c>
      <c r="B56" s="253" t="s">
        <v>2813</v>
      </c>
      <c r="C56" s="253" t="s">
        <v>2812</v>
      </c>
    </row>
    <row r="57" spans="1:3" x14ac:dyDescent="0.25">
      <c r="A57" s="253" t="s">
        <v>2811</v>
      </c>
      <c r="B57" s="253" t="s">
        <v>2810</v>
      </c>
      <c r="C57" s="253" t="s">
        <v>189</v>
      </c>
    </row>
    <row r="58" spans="1:3" x14ac:dyDescent="0.25">
      <c r="A58" s="253" t="s">
        <v>2809</v>
      </c>
      <c r="B58" s="253" t="s">
        <v>2808</v>
      </c>
      <c r="C58" s="253" t="s">
        <v>185</v>
      </c>
    </row>
    <row r="59" spans="1:3" x14ac:dyDescent="0.25">
      <c r="A59" s="253" t="s">
        <v>2807</v>
      </c>
      <c r="B59" s="253" t="s">
        <v>2806</v>
      </c>
      <c r="C59" s="253" t="s">
        <v>2805</v>
      </c>
    </row>
    <row r="60" spans="1:3" x14ac:dyDescent="0.25">
      <c r="A60" s="253" t="s">
        <v>2804</v>
      </c>
      <c r="B60" s="253" t="s">
        <v>2803</v>
      </c>
      <c r="C60" s="253" t="s">
        <v>2802</v>
      </c>
    </row>
    <row r="61" spans="1:3" x14ac:dyDescent="0.25">
      <c r="A61" s="253" t="s">
        <v>2801</v>
      </c>
      <c r="B61" s="253" t="s">
        <v>2800</v>
      </c>
      <c r="C61" s="253" t="s">
        <v>2799</v>
      </c>
    </row>
    <row r="62" spans="1:3" x14ac:dyDescent="0.25">
      <c r="A62" s="253" t="s">
        <v>2798</v>
      </c>
      <c r="B62" s="253" t="s">
        <v>2797</v>
      </c>
      <c r="C62" s="253" t="s">
        <v>2796</v>
      </c>
    </row>
    <row r="63" spans="1:3" x14ac:dyDescent="0.25">
      <c r="A63" s="253" t="s">
        <v>2795</v>
      </c>
      <c r="B63" s="253" t="s">
        <v>2794</v>
      </c>
      <c r="C63" s="253" t="s">
        <v>2793</v>
      </c>
    </row>
    <row r="64" spans="1:3" x14ac:dyDescent="0.25">
      <c r="A64" s="253" t="s">
        <v>2792</v>
      </c>
      <c r="B64" s="253" t="s">
        <v>2791</v>
      </c>
      <c r="C64" s="253" t="s">
        <v>97</v>
      </c>
    </row>
    <row r="65" spans="1:3" x14ac:dyDescent="0.25">
      <c r="A65" s="253" t="s">
        <v>2790</v>
      </c>
      <c r="B65" s="253" t="s">
        <v>2789</v>
      </c>
      <c r="C65" s="253" t="s">
        <v>2788</v>
      </c>
    </row>
    <row r="66" spans="1:3" x14ac:dyDescent="0.25">
      <c r="A66" s="253" t="s">
        <v>2787</v>
      </c>
      <c r="B66" s="253" t="s">
        <v>2786</v>
      </c>
      <c r="C66" s="253" t="s">
        <v>2785</v>
      </c>
    </row>
    <row r="67" spans="1:3" x14ac:dyDescent="0.25">
      <c r="A67" s="253" t="s">
        <v>2784</v>
      </c>
      <c r="B67" s="253" t="s">
        <v>2783</v>
      </c>
      <c r="C67" s="253" t="s">
        <v>2782</v>
      </c>
    </row>
    <row r="68" spans="1:3" x14ac:dyDescent="0.25">
      <c r="A68" s="253" t="s">
        <v>2781</v>
      </c>
      <c r="B68" s="253" t="s">
        <v>2780</v>
      </c>
      <c r="C68" s="253" t="s">
        <v>2779</v>
      </c>
    </row>
    <row r="69" spans="1:3" x14ac:dyDescent="0.25">
      <c r="A69" s="253" t="s">
        <v>2778</v>
      </c>
      <c r="B69" s="253" t="s">
        <v>2777</v>
      </c>
      <c r="C69" s="253" t="s">
        <v>2776</v>
      </c>
    </row>
    <row r="70" spans="1:3" x14ac:dyDescent="0.25">
      <c r="A70" s="253" t="s">
        <v>2775</v>
      </c>
      <c r="B70" s="253" t="s">
        <v>2774</v>
      </c>
      <c r="C70" s="253" t="s">
        <v>2773</v>
      </c>
    </row>
    <row r="71" spans="1:3" x14ac:dyDescent="0.25">
      <c r="A71" s="253" t="s">
        <v>2772</v>
      </c>
      <c r="B71" s="253" t="s">
        <v>2771</v>
      </c>
      <c r="C71" s="253" t="s">
        <v>2770</v>
      </c>
    </row>
    <row r="72" spans="1:3" x14ac:dyDescent="0.25">
      <c r="A72" s="253" t="s">
        <v>2769</v>
      </c>
      <c r="B72" s="253" t="s">
        <v>358</v>
      </c>
      <c r="C72" s="253" t="s">
        <v>487</v>
      </c>
    </row>
    <row r="73" spans="1:3" x14ac:dyDescent="0.25">
      <c r="A73" s="253" t="s">
        <v>2768</v>
      </c>
      <c r="B73" s="253" t="s">
        <v>2767</v>
      </c>
      <c r="C73" s="253" t="s">
        <v>113</v>
      </c>
    </row>
    <row r="74" spans="1:3" x14ac:dyDescent="0.25">
      <c r="A74" s="253" t="s">
        <v>2766</v>
      </c>
      <c r="B74" s="253" t="s">
        <v>2765</v>
      </c>
      <c r="C74" s="253" t="s">
        <v>2764</v>
      </c>
    </row>
    <row r="75" spans="1:3" x14ac:dyDescent="0.25">
      <c r="A75" s="253" t="s">
        <v>2763</v>
      </c>
      <c r="B75" s="253" t="s">
        <v>522</v>
      </c>
      <c r="C75" s="253" t="s">
        <v>2762</v>
      </c>
    </row>
    <row r="76" spans="1:3" x14ac:dyDescent="0.25">
      <c r="A76" s="253" t="s">
        <v>2761</v>
      </c>
      <c r="B76" s="253" t="s">
        <v>2760</v>
      </c>
      <c r="C76" s="253" t="s">
        <v>2759</v>
      </c>
    </row>
    <row r="77" spans="1:3" x14ac:dyDescent="0.25">
      <c r="A77" s="253" t="s">
        <v>2758</v>
      </c>
      <c r="B77" s="253" t="s">
        <v>2757</v>
      </c>
      <c r="C77" s="253" t="s">
        <v>2756</v>
      </c>
    </row>
    <row r="78" spans="1:3" x14ac:dyDescent="0.25">
      <c r="A78" s="253" t="s">
        <v>2755</v>
      </c>
      <c r="B78" s="253" t="s">
        <v>2754</v>
      </c>
      <c r="C78" s="253" t="s">
        <v>2754</v>
      </c>
    </row>
    <row r="79" spans="1:3" x14ac:dyDescent="0.25">
      <c r="A79" s="253" t="s">
        <v>2753</v>
      </c>
      <c r="B79" s="253" t="s">
        <v>360</v>
      </c>
      <c r="C79" s="253" t="s">
        <v>2752</v>
      </c>
    </row>
    <row r="80" spans="1:3" x14ac:dyDescent="0.25">
      <c r="A80" s="253" t="s">
        <v>2751</v>
      </c>
      <c r="B80" s="253" t="s">
        <v>2750</v>
      </c>
      <c r="C80" s="253" t="s">
        <v>2749</v>
      </c>
    </row>
    <row r="81" spans="1:3" x14ac:dyDescent="0.25">
      <c r="A81" s="253" t="s">
        <v>2748</v>
      </c>
      <c r="B81" s="253" t="s">
        <v>2747</v>
      </c>
      <c r="C81" s="253" t="s">
        <v>2746</v>
      </c>
    </row>
    <row r="82" spans="1:3" x14ac:dyDescent="0.25">
      <c r="A82" s="253" t="s">
        <v>2745</v>
      </c>
      <c r="B82" s="253" t="s">
        <v>314</v>
      </c>
      <c r="C82" s="253" t="s">
        <v>155</v>
      </c>
    </row>
    <row r="83" spans="1:3" x14ac:dyDescent="0.25">
      <c r="A83" s="253" t="s">
        <v>2744</v>
      </c>
      <c r="B83" s="253" t="s">
        <v>2743</v>
      </c>
      <c r="C83" s="253" t="s">
        <v>2742</v>
      </c>
    </row>
    <row r="84" spans="1:3" x14ac:dyDescent="0.25">
      <c r="A84" s="253" t="s">
        <v>2741</v>
      </c>
      <c r="B84" s="253" t="s">
        <v>2740</v>
      </c>
      <c r="C84" s="253" t="s">
        <v>2739</v>
      </c>
    </row>
    <row r="85" spans="1:3" x14ac:dyDescent="0.25">
      <c r="A85" s="253" t="s">
        <v>2738</v>
      </c>
      <c r="B85" s="253" t="s">
        <v>2737</v>
      </c>
      <c r="C85" s="253" t="s">
        <v>2736</v>
      </c>
    </row>
    <row r="86" spans="1:3" x14ac:dyDescent="0.25">
      <c r="A86" s="253" t="s">
        <v>2735</v>
      </c>
      <c r="B86" s="253" t="s">
        <v>321</v>
      </c>
      <c r="C86" s="253" t="s">
        <v>120</v>
      </c>
    </row>
    <row r="87" spans="1:3" x14ac:dyDescent="0.25">
      <c r="A87" s="253" t="s">
        <v>2734</v>
      </c>
      <c r="B87" s="253" t="s">
        <v>2733</v>
      </c>
      <c r="C87" s="253" t="s">
        <v>253</v>
      </c>
    </row>
    <row r="88" spans="1:3" x14ac:dyDescent="0.25">
      <c r="A88" s="253" t="s">
        <v>2732</v>
      </c>
      <c r="B88" s="253" t="s">
        <v>2731</v>
      </c>
      <c r="C88" s="253" t="s">
        <v>2730</v>
      </c>
    </row>
    <row r="89" spans="1:3" x14ac:dyDescent="0.25">
      <c r="A89" s="253" t="s">
        <v>2729</v>
      </c>
      <c r="B89" s="253" t="s">
        <v>563</v>
      </c>
      <c r="C89" s="253" t="s">
        <v>153</v>
      </c>
    </row>
    <row r="90" spans="1:3" x14ac:dyDescent="0.25">
      <c r="A90" s="253" t="s">
        <v>2728</v>
      </c>
      <c r="B90" s="253" t="s">
        <v>343</v>
      </c>
      <c r="C90" s="253" t="s">
        <v>2727</v>
      </c>
    </row>
    <row r="91" spans="1:3" x14ac:dyDescent="0.25">
      <c r="A91" s="253" t="s">
        <v>2726</v>
      </c>
      <c r="B91" s="253" t="s">
        <v>2725</v>
      </c>
      <c r="C91" s="253" t="s">
        <v>2724</v>
      </c>
    </row>
    <row r="92" spans="1:3" x14ac:dyDescent="0.25">
      <c r="A92" s="253" t="s">
        <v>2723</v>
      </c>
      <c r="B92" s="253" t="s">
        <v>2722</v>
      </c>
      <c r="C92" s="253" t="s">
        <v>2721</v>
      </c>
    </row>
    <row r="93" spans="1:3" x14ac:dyDescent="0.25">
      <c r="A93" s="253" t="s">
        <v>2720</v>
      </c>
      <c r="B93" s="253" t="s">
        <v>2719</v>
      </c>
      <c r="C93" s="253" t="s">
        <v>2718</v>
      </c>
    </row>
    <row r="94" spans="1:3" x14ac:dyDescent="0.25">
      <c r="A94" s="253" t="s">
        <v>2717</v>
      </c>
      <c r="B94" s="253" t="s">
        <v>2716</v>
      </c>
      <c r="C94" s="253" t="s">
        <v>2715</v>
      </c>
    </row>
    <row r="95" spans="1:3" x14ac:dyDescent="0.25">
      <c r="A95" s="253" t="s">
        <v>2714</v>
      </c>
      <c r="B95" s="253" t="s">
        <v>573</v>
      </c>
      <c r="C95" s="253" t="s">
        <v>150</v>
      </c>
    </row>
    <row r="96" spans="1:3" x14ac:dyDescent="0.25">
      <c r="A96" s="253" t="s">
        <v>2713</v>
      </c>
      <c r="B96" s="253" t="s">
        <v>2712</v>
      </c>
      <c r="C96" s="253" t="s">
        <v>2711</v>
      </c>
    </row>
    <row r="97" spans="1:3" x14ac:dyDescent="0.25">
      <c r="A97" s="253" t="s">
        <v>2710</v>
      </c>
      <c r="B97" s="253" t="s">
        <v>2709</v>
      </c>
      <c r="C97" s="253" t="s">
        <v>2708</v>
      </c>
    </row>
    <row r="98" spans="1:3" x14ac:dyDescent="0.25">
      <c r="A98" s="253" t="s">
        <v>2707</v>
      </c>
      <c r="B98" s="253" t="s">
        <v>2706</v>
      </c>
      <c r="C98" s="253" t="s">
        <v>2706</v>
      </c>
    </row>
    <row r="99" spans="1:3" x14ac:dyDescent="0.25">
      <c r="A99" s="253" t="s">
        <v>2705</v>
      </c>
      <c r="B99" s="253" t="s">
        <v>2704</v>
      </c>
      <c r="C99" s="253" t="s">
        <v>2703</v>
      </c>
    </row>
    <row r="100" spans="1:3" x14ac:dyDescent="0.25">
      <c r="A100" s="253" t="s">
        <v>2702</v>
      </c>
      <c r="B100" s="253" t="s">
        <v>296</v>
      </c>
      <c r="C100" s="253" t="s">
        <v>466</v>
      </c>
    </row>
    <row r="101" spans="1:3" x14ac:dyDescent="0.25">
      <c r="A101" s="253" t="s">
        <v>121</v>
      </c>
      <c r="B101" s="253" t="s">
        <v>2701</v>
      </c>
      <c r="C101" s="253" t="s">
        <v>537</v>
      </c>
    </row>
    <row r="102" spans="1:3" x14ac:dyDescent="0.25">
      <c r="A102" s="253" t="s">
        <v>2700</v>
      </c>
      <c r="B102" s="253" t="s">
        <v>2699</v>
      </c>
      <c r="C102" s="253" t="s">
        <v>2698</v>
      </c>
    </row>
    <row r="103" spans="1:3" x14ac:dyDescent="0.25">
      <c r="A103" s="253" t="s">
        <v>2697</v>
      </c>
      <c r="B103" s="253" t="s">
        <v>2696</v>
      </c>
      <c r="C103" s="253" t="s">
        <v>2695</v>
      </c>
    </row>
    <row r="104" spans="1:3" x14ac:dyDescent="0.25">
      <c r="A104" s="253" t="s">
        <v>2694</v>
      </c>
      <c r="B104" s="253" t="s">
        <v>2693</v>
      </c>
      <c r="C104" s="253" t="s">
        <v>443</v>
      </c>
    </row>
    <row r="105" spans="1:3" x14ac:dyDescent="0.25">
      <c r="A105" s="253" t="s">
        <v>2692</v>
      </c>
      <c r="B105" s="253" t="s">
        <v>2691</v>
      </c>
      <c r="C105" s="253" t="s">
        <v>2690</v>
      </c>
    </row>
    <row r="106" spans="1:3" x14ac:dyDescent="0.25">
      <c r="A106" s="253" t="s">
        <v>2689</v>
      </c>
      <c r="B106" s="253" t="s">
        <v>2688</v>
      </c>
      <c r="C106" s="253" t="s">
        <v>2687</v>
      </c>
    </row>
    <row r="107" spans="1:3" x14ac:dyDescent="0.25">
      <c r="A107" s="253" t="s">
        <v>2686</v>
      </c>
      <c r="B107" s="253" t="s">
        <v>555</v>
      </c>
      <c r="C107" s="253" t="s">
        <v>2685</v>
      </c>
    </row>
    <row r="108" spans="1:3" x14ac:dyDescent="0.25">
      <c r="A108" s="253" t="s">
        <v>2684</v>
      </c>
      <c r="B108" s="253" t="s">
        <v>2683</v>
      </c>
      <c r="C108" s="253" t="s">
        <v>2682</v>
      </c>
    </row>
    <row r="109" spans="1:3" x14ac:dyDescent="0.25">
      <c r="A109" s="253" t="s">
        <v>2681</v>
      </c>
      <c r="B109" s="253" t="s">
        <v>2680</v>
      </c>
      <c r="C109" s="253" t="s">
        <v>2679</v>
      </c>
    </row>
    <row r="110" spans="1:3" x14ac:dyDescent="0.25">
      <c r="A110" s="253" t="s">
        <v>2678</v>
      </c>
      <c r="B110" s="253" t="s">
        <v>2677</v>
      </c>
      <c r="C110" s="253" t="s">
        <v>2676</v>
      </c>
    </row>
    <row r="111" spans="1:3" x14ac:dyDescent="0.25">
      <c r="A111" s="253" t="s">
        <v>2675</v>
      </c>
      <c r="B111" s="253" t="s">
        <v>2674</v>
      </c>
      <c r="C111" s="253" t="s">
        <v>459</v>
      </c>
    </row>
    <row r="112" spans="1:3" x14ac:dyDescent="0.25">
      <c r="A112" s="253" t="s">
        <v>2673</v>
      </c>
      <c r="B112" s="253" t="s">
        <v>2672</v>
      </c>
      <c r="C112" s="253" t="s">
        <v>2671</v>
      </c>
    </row>
    <row r="113" spans="1:3" x14ac:dyDescent="0.25">
      <c r="A113" s="253" t="s">
        <v>229</v>
      </c>
      <c r="B113" s="253" t="s">
        <v>2670</v>
      </c>
      <c r="C113" s="253" t="s">
        <v>2669</v>
      </c>
    </row>
    <row r="114" spans="1:3" x14ac:dyDescent="0.25">
      <c r="A114" s="253" t="s">
        <v>2668</v>
      </c>
      <c r="B114" s="253" t="s">
        <v>2667</v>
      </c>
      <c r="C114" s="253" t="s">
        <v>2666</v>
      </c>
    </row>
    <row r="115" spans="1:3" x14ac:dyDescent="0.25">
      <c r="A115" s="253" t="s">
        <v>2665</v>
      </c>
      <c r="B115" s="253" t="s">
        <v>2664</v>
      </c>
      <c r="C115" s="253" t="s">
        <v>2663</v>
      </c>
    </row>
    <row r="116" spans="1:3" x14ac:dyDescent="0.25">
      <c r="A116" s="253" t="s">
        <v>2662</v>
      </c>
      <c r="B116" s="253" t="s">
        <v>2661</v>
      </c>
      <c r="C116" s="253" t="s">
        <v>2660</v>
      </c>
    </row>
    <row r="117" spans="1:3" x14ac:dyDescent="0.25">
      <c r="A117" s="253" t="s">
        <v>2659</v>
      </c>
      <c r="B117" s="253" t="s">
        <v>2658</v>
      </c>
      <c r="C117" s="253" t="s">
        <v>2657</v>
      </c>
    </row>
    <row r="118" spans="1:3" x14ac:dyDescent="0.25">
      <c r="A118" s="253" t="s">
        <v>2656</v>
      </c>
      <c r="B118" s="253" t="s">
        <v>2655</v>
      </c>
      <c r="C118" s="253" t="s">
        <v>2654</v>
      </c>
    </row>
    <row r="119" spans="1:3" x14ac:dyDescent="0.25">
      <c r="A119" s="253" t="s">
        <v>2653</v>
      </c>
      <c r="B119" s="253" t="s">
        <v>2652</v>
      </c>
      <c r="C119" s="253" t="s">
        <v>2651</v>
      </c>
    </row>
    <row r="120" spans="1:3" x14ac:dyDescent="0.25">
      <c r="A120" s="253" t="s">
        <v>2650</v>
      </c>
      <c r="B120" s="253" t="s">
        <v>2649</v>
      </c>
      <c r="C120" s="253" t="s">
        <v>2648</v>
      </c>
    </row>
    <row r="121" spans="1:3" x14ac:dyDescent="0.25">
      <c r="A121" s="253" t="s">
        <v>2647</v>
      </c>
      <c r="B121" s="253" t="s">
        <v>530</v>
      </c>
      <c r="C121" s="253" t="s">
        <v>2646</v>
      </c>
    </row>
    <row r="122" spans="1:3" x14ac:dyDescent="0.25">
      <c r="A122" s="253" t="s">
        <v>2645</v>
      </c>
      <c r="B122" s="253" t="s">
        <v>2644</v>
      </c>
      <c r="C122" s="253" t="s">
        <v>2643</v>
      </c>
    </row>
    <row r="123" spans="1:3" x14ac:dyDescent="0.25">
      <c r="A123" s="253" t="s">
        <v>2642</v>
      </c>
      <c r="B123" s="253" t="s">
        <v>2641</v>
      </c>
      <c r="C123" s="253" t="s">
        <v>2640</v>
      </c>
    </row>
    <row r="124" spans="1:3" x14ac:dyDescent="0.25">
      <c r="A124" s="253" t="s">
        <v>2639</v>
      </c>
      <c r="B124" s="253" t="s">
        <v>2638</v>
      </c>
      <c r="C124" s="253" t="s">
        <v>2637</v>
      </c>
    </row>
    <row r="125" spans="1:3" x14ac:dyDescent="0.25">
      <c r="A125" s="253" t="s">
        <v>2636</v>
      </c>
      <c r="B125" s="253" t="s">
        <v>2635</v>
      </c>
      <c r="C125" s="253" t="s">
        <v>2634</v>
      </c>
    </row>
    <row r="126" spans="1:3" x14ac:dyDescent="0.25">
      <c r="A126" s="253" t="s">
        <v>2633</v>
      </c>
      <c r="B126" s="253" t="s">
        <v>2632</v>
      </c>
      <c r="C126" s="253" t="s">
        <v>2631</v>
      </c>
    </row>
    <row r="127" spans="1:3" x14ac:dyDescent="0.25">
      <c r="A127" s="253" t="s">
        <v>2630</v>
      </c>
      <c r="B127" s="253" t="s">
        <v>2629</v>
      </c>
      <c r="C127" s="253" t="s">
        <v>2628</v>
      </c>
    </row>
    <row r="128" spans="1:3" x14ac:dyDescent="0.25">
      <c r="A128" s="253" t="s">
        <v>2627</v>
      </c>
      <c r="B128" s="253" t="s">
        <v>2626</v>
      </c>
      <c r="C128" s="253" t="s">
        <v>2625</v>
      </c>
    </row>
    <row r="129" spans="1:3" x14ac:dyDescent="0.25">
      <c r="A129" s="253" t="s">
        <v>2624</v>
      </c>
      <c r="B129" s="253" t="s">
        <v>2623</v>
      </c>
      <c r="C129" s="253" t="s">
        <v>2622</v>
      </c>
    </row>
    <row r="130" spans="1:3" x14ac:dyDescent="0.25">
      <c r="A130" s="253" t="s">
        <v>2621</v>
      </c>
      <c r="B130" s="253" t="s">
        <v>558</v>
      </c>
      <c r="C130" s="253" t="s">
        <v>134</v>
      </c>
    </row>
    <row r="131" spans="1:3" x14ac:dyDescent="0.25">
      <c r="A131" s="253" t="s">
        <v>2620</v>
      </c>
      <c r="B131" s="253" t="s">
        <v>549</v>
      </c>
      <c r="C131" s="253" t="s">
        <v>116</v>
      </c>
    </row>
    <row r="132" spans="1:3" x14ac:dyDescent="0.25">
      <c r="A132" s="253" t="s">
        <v>2619</v>
      </c>
      <c r="B132" s="253" t="s">
        <v>2618</v>
      </c>
      <c r="C132" s="253" t="s">
        <v>2617</v>
      </c>
    </row>
    <row r="133" spans="1:3" x14ac:dyDescent="0.25">
      <c r="A133" s="253" t="s">
        <v>136</v>
      </c>
      <c r="B133" s="253" t="s">
        <v>2616</v>
      </c>
      <c r="C133" s="253" t="s">
        <v>137</v>
      </c>
    </row>
    <row r="134" spans="1:3" x14ac:dyDescent="0.25">
      <c r="A134" s="253" t="s">
        <v>2615</v>
      </c>
      <c r="B134" s="253" t="s">
        <v>2614</v>
      </c>
      <c r="C134" s="253" t="s">
        <v>2613</v>
      </c>
    </row>
    <row r="135" spans="1:3" x14ac:dyDescent="0.25">
      <c r="A135" s="253" t="s">
        <v>2612</v>
      </c>
      <c r="B135" s="253" t="s">
        <v>2611</v>
      </c>
      <c r="C135" s="253" t="s">
        <v>2610</v>
      </c>
    </row>
    <row r="136" spans="1:3" x14ac:dyDescent="0.25">
      <c r="A136" s="253" t="s">
        <v>2609</v>
      </c>
      <c r="B136" s="253" t="s">
        <v>2608</v>
      </c>
      <c r="C136" s="253" t="s">
        <v>2607</v>
      </c>
    </row>
    <row r="137" spans="1:3" x14ac:dyDescent="0.25">
      <c r="A137" s="253" t="s">
        <v>2606</v>
      </c>
      <c r="B137" s="253" t="s">
        <v>2605</v>
      </c>
      <c r="C137" s="253" t="s">
        <v>442</v>
      </c>
    </row>
    <row r="138" spans="1:3" x14ac:dyDescent="0.25">
      <c r="A138" s="253" t="s">
        <v>2604</v>
      </c>
      <c r="B138" s="253" t="s">
        <v>2603</v>
      </c>
      <c r="C138" s="253" t="s">
        <v>2603</v>
      </c>
    </row>
    <row r="139" spans="1:3" x14ac:dyDescent="0.25">
      <c r="A139" s="253" t="s">
        <v>2602</v>
      </c>
      <c r="B139" s="253" t="s">
        <v>2601</v>
      </c>
      <c r="C139" s="253" t="s">
        <v>201</v>
      </c>
    </row>
    <row r="140" spans="1:3" x14ac:dyDescent="0.25">
      <c r="A140" s="253" t="s">
        <v>2600</v>
      </c>
      <c r="B140" s="253" t="s">
        <v>2599</v>
      </c>
      <c r="C140" s="253" t="s">
        <v>2598</v>
      </c>
    </row>
    <row r="141" spans="1:3" x14ac:dyDescent="0.25">
      <c r="A141" s="253" t="s">
        <v>2597</v>
      </c>
      <c r="B141" s="253" t="s">
        <v>2596</v>
      </c>
      <c r="C141" s="253" t="s">
        <v>2595</v>
      </c>
    </row>
    <row r="142" spans="1:3" x14ac:dyDescent="0.25">
      <c r="A142" s="253" t="s">
        <v>2594</v>
      </c>
      <c r="B142" s="253" t="s">
        <v>2593</v>
      </c>
      <c r="C142" s="253" t="s">
        <v>2592</v>
      </c>
    </row>
    <row r="143" spans="1:3" x14ac:dyDescent="0.25">
      <c r="A143" s="253" t="s">
        <v>2591</v>
      </c>
      <c r="B143" s="253" t="s">
        <v>541</v>
      </c>
      <c r="C143" s="253" t="s">
        <v>52</v>
      </c>
    </row>
    <row r="144" spans="1:3" x14ac:dyDescent="0.25">
      <c r="A144" s="253" t="s">
        <v>2590</v>
      </c>
      <c r="B144" s="253" t="s">
        <v>2589</v>
      </c>
      <c r="C144" s="253" t="s">
        <v>2588</v>
      </c>
    </row>
    <row r="145" spans="1:3" x14ac:dyDescent="0.25">
      <c r="A145" s="253" t="s">
        <v>2587</v>
      </c>
      <c r="B145" s="253" t="s">
        <v>2586</v>
      </c>
      <c r="C145" s="253" t="s">
        <v>2585</v>
      </c>
    </row>
    <row r="146" spans="1:3" x14ac:dyDescent="0.25">
      <c r="A146" s="253" t="s">
        <v>2584</v>
      </c>
      <c r="B146" s="253" t="s">
        <v>2583</v>
      </c>
      <c r="C146" s="253" t="s">
        <v>2582</v>
      </c>
    </row>
    <row r="147" spans="1:3" x14ac:dyDescent="0.25">
      <c r="A147" s="253" t="s">
        <v>2581</v>
      </c>
      <c r="B147" s="253" t="s">
        <v>2580</v>
      </c>
      <c r="C147" s="253" t="s">
        <v>2579</v>
      </c>
    </row>
    <row r="148" spans="1:3" x14ac:dyDescent="0.25">
      <c r="A148" s="253" t="s">
        <v>2578</v>
      </c>
      <c r="B148" s="253" t="s">
        <v>2577</v>
      </c>
      <c r="C148" s="253" t="s">
        <v>2576</v>
      </c>
    </row>
    <row r="149" spans="1:3" x14ac:dyDescent="0.25">
      <c r="A149" s="253" t="s">
        <v>2575</v>
      </c>
      <c r="B149" s="253" t="s">
        <v>2574</v>
      </c>
      <c r="C149" s="253" t="s">
        <v>2573</v>
      </c>
    </row>
    <row r="150" spans="1:3" x14ac:dyDescent="0.25">
      <c r="A150" s="253" t="s">
        <v>2572</v>
      </c>
      <c r="B150" s="253" t="s">
        <v>2571</v>
      </c>
      <c r="C150" s="253" t="s">
        <v>2570</v>
      </c>
    </row>
    <row r="151" spans="1:3" x14ac:dyDescent="0.25">
      <c r="A151" s="253" t="s">
        <v>2569</v>
      </c>
      <c r="B151" s="253" t="s">
        <v>277</v>
      </c>
      <c r="C151" s="253" t="s">
        <v>2568</v>
      </c>
    </row>
    <row r="152" spans="1:3" x14ac:dyDescent="0.25">
      <c r="A152" s="253" t="s">
        <v>613</v>
      </c>
      <c r="B152" s="253" t="s">
        <v>2567</v>
      </c>
      <c r="C152" s="253" t="s">
        <v>2566</v>
      </c>
    </row>
    <row r="153" spans="1:3" x14ac:dyDescent="0.25">
      <c r="A153" s="253" t="s">
        <v>2565</v>
      </c>
      <c r="B153" s="253" t="s">
        <v>2564</v>
      </c>
      <c r="C153" s="253" t="s">
        <v>2563</v>
      </c>
    </row>
    <row r="154" spans="1:3" x14ac:dyDescent="0.25">
      <c r="A154" s="253" t="s">
        <v>2562</v>
      </c>
      <c r="B154" s="253" t="s">
        <v>2561</v>
      </c>
      <c r="C154" s="253" t="s">
        <v>2560</v>
      </c>
    </row>
    <row r="155" spans="1:3" x14ac:dyDescent="0.25">
      <c r="A155" s="253" t="s">
        <v>2559</v>
      </c>
      <c r="B155" s="253" t="s">
        <v>2558</v>
      </c>
      <c r="C155" s="253" t="s">
        <v>2558</v>
      </c>
    </row>
    <row r="156" spans="1:3" x14ac:dyDescent="0.25">
      <c r="A156" s="253" t="s">
        <v>2557</v>
      </c>
      <c r="B156" s="253" t="s">
        <v>2556</v>
      </c>
      <c r="C156" s="253" t="s">
        <v>2555</v>
      </c>
    </row>
    <row r="157" spans="1:3" x14ac:dyDescent="0.25">
      <c r="A157" s="253" t="s">
        <v>2554</v>
      </c>
      <c r="B157" s="253" t="s">
        <v>2553</v>
      </c>
      <c r="C157" s="253" t="s">
        <v>476</v>
      </c>
    </row>
    <row r="158" spans="1:3" x14ac:dyDescent="0.25">
      <c r="A158" s="253" t="s">
        <v>2552</v>
      </c>
      <c r="B158" s="253" t="s">
        <v>2551</v>
      </c>
      <c r="C158" s="253" t="s">
        <v>2550</v>
      </c>
    </row>
    <row r="159" spans="1:3" x14ac:dyDescent="0.25">
      <c r="A159" s="253" t="s">
        <v>2549</v>
      </c>
      <c r="B159" s="253" t="s">
        <v>2548</v>
      </c>
      <c r="C159" s="253" t="s">
        <v>2547</v>
      </c>
    </row>
    <row r="160" spans="1:3" x14ac:dyDescent="0.25">
      <c r="A160" s="253" t="s">
        <v>622</v>
      </c>
      <c r="B160" s="253" t="s">
        <v>2546</v>
      </c>
      <c r="C160" s="253" t="s">
        <v>2545</v>
      </c>
    </row>
    <row r="161" spans="1:3" x14ac:dyDescent="0.25">
      <c r="A161" s="253" t="s">
        <v>2544</v>
      </c>
      <c r="B161" s="253" t="s">
        <v>2543</v>
      </c>
      <c r="C161" s="253" t="s">
        <v>2542</v>
      </c>
    </row>
    <row r="162" spans="1:3" x14ac:dyDescent="0.25">
      <c r="A162" s="253" t="s">
        <v>2541</v>
      </c>
      <c r="B162" s="253" t="s">
        <v>2540</v>
      </c>
      <c r="C162" s="253" t="s">
        <v>2539</v>
      </c>
    </row>
    <row r="163" spans="1:3" x14ac:dyDescent="0.25">
      <c r="A163" s="253" t="s">
        <v>2538</v>
      </c>
      <c r="B163" s="253" t="s">
        <v>364</v>
      </c>
      <c r="C163" s="253" t="s">
        <v>156</v>
      </c>
    </row>
    <row r="164" spans="1:3" x14ac:dyDescent="0.25">
      <c r="A164" s="253" t="s">
        <v>2537</v>
      </c>
      <c r="B164" s="253" t="s">
        <v>545</v>
      </c>
      <c r="C164" s="253" t="s">
        <v>143</v>
      </c>
    </row>
    <row r="165" spans="1:3" x14ac:dyDescent="0.25">
      <c r="A165" s="253" t="s">
        <v>2536</v>
      </c>
      <c r="B165" s="253" t="s">
        <v>2535</v>
      </c>
      <c r="C165" s="253" t="s">
        <v>2534</v>
      </c>
    </row>
    <row r="166" spans="1:3" x14ac:dyDescent="0.25">
      <c r="A166" s="253" t="s">
        <v>2533</v>
      </c>
      <c r="B166" s="253" t="s">
        <v>2532</v>
      </c>
      <c r="C166" s="253" t="s">
        <v>2531</v>
      </c>
    </row>
    <row r="167" spans="1:3" x14ac:dyDescent="0.25">
      <c r="A167" s="253" t="s">
        <v>2530</v>
      </c>
      <c r="B167" s="253" t="s">
        <v>2529</v>
      </c>
      <c r="C167" s="253" t="s">
        <v>2528</v>
      </c>
    </row>
    <row r="168" spans="1:3" x14ac:dyDescent="0.25">
      <c r="A168" s="253" t="s">
        <v>2527</v>
      </c>
      <c r="B168" s="253" t="s">
        <v>2526</v>
      </c>
      <c r="C168" s="253" t="s">
        <v>2525</v>
      </c>
    </row>
    <row r="169" spans="1:3" x14ac:dyDescent="0.25">
      <c r="A169" s="253" t="s">
        <v>2524</v>
      </c>
      <c r="B169" s="253" t="s">
        <v>2523</v>
      </c>
      <c r="C169" s="253" t="s">
        <v>2522</v>
      </c>
    </row>
    <row r="170" spans="1:3" x14ac:dyDescent="0.25">
      <c r="A170" s="253" t="s">
        <v>2521</v>
      </c>
      <c r="B170" s="253" t="s">
        <v>2520</v>
      </c>
      <c r="C170" s="253" t="s">
        <v>2519</v>
      </c>
    </row>
    <row r="171" spans="1:3" x14ac:dyDescent="0.25">
      <c r="A171" s="253" t="s">
        <v>2518</v>
      </c>
      <c r="B171" s="253" t="s">
        <v>2517</v>
      </c>
      <c r="C171" s="253" t="s">
        <v>2516</v>
      </c>
    </row>
    <row r="172" spans="1:3" x14ac:dyDescent="0.25">
      <c r="A172" s="253" t="s">
        <v>2515</v>
      </c>
      <c r="B172" s="253" t="s">
        <v>2514</v>
      </c>
      <c r="C172" s="253" t="s">
        <v>2513</v>
      </c>
    </row>
    <row r="173" spans="1:3" x14ac:dyDescent="0.25">
      <c r="A173" s="253" t="s">
        <v>2512</v>
      </c>
      <c r="B173" s="253" t="s">
        <v>2511</v>
      </c>
      <c r="C173" s="253" t="s">
        <v>2510</v>
      </c>
    </row>
    <row r="174" spans="1:3" x14ac:dyDescent="0.25">
      <c r="A174" s="253" t="s">
        <v>2509</v>
      </c>
      <c r="B174" s="253" t="s">
        <v>293</v>
      </c>
      <c r="C174" s="253" t="s">
        <v>2508</v>
      </c>
    </row>
    <row r="175" spans="1:3" x14ac:dyDescent="0.25">
      <c r="A175" s="253" t="s">
        <v>2507</v>
      </c>
      <c r="B175" s="253" t="s">
        <v>289</v>
      </c>
      <c r="C175" s="253" t="s">
        <v>2506</v>
      </c>
    </row>
    <row r="176" spans="1:3" x14ac:dyDescent="0.25">
      <c r="A176" s="253" t="s">
        <v>2505</v>
      </c>
      <c r="B176" s="253" t="s">
        <v>2504</v>
      </c>
      <c r="C176" s="253" t="s">
        <v>2503</v>
      </c>
    </row>
    <row r="177" spans="1:3" x14ac:dyDescent="0.25">
      <c r="A177" s="253" t="s">
        <v>2502</v>
      </c>
      <c r="B177" s="253" t="s">
        <v>2501</v>
      </c>
      <c r="C177" s="253" t="s">
        <v>2500</v>
      </c>
    </row>
    <row r="178" spans="1:3" x14ac:dyDescent="0.25">
      <c r="A178" s="253" t="s">
        <v>2499</v>
      </c>
      <c r="B178" s="253" t="s">
        <v>2498</v>
      </c>
      <c r="C178" s="253" t="s">
        <v>2497</v>
      </c>
    </row>
    <row r="179" spans="1:3" x14ac:dyDescent="0.25">
      <c r="A179" s="253" t="s">
        <v>2496</v>
      </c>
      <c r="B179" s="253" t="s">
        <v>2495</v>
      </c>
      <c r="C179" s="253" t="s">
        <v>576</v>
      </c>
    </row>
    <row r="180" spans="1:3" x14ac:dyDescent="0.25">
      <c r="A180" s="253" t="s">
        <v>2494</v>
      </c>
      <c r="B180" s="253" t="s">
        <v>2493</v>
      </c>
      <c r="C180" s="253" t="s">
        <v>2492</v>
      </c>
    </row>
    <row r="181" spans="1:3" x14ac:dyDescent="0.25">
      <c r="A181" s="253" t="s">
        <v>2491</v>
      </c>
      <c r="B181" s="253" t="s">
        <v>2490</v>
      </c>
      <c r="C181" s="253" t="s">
        <v>2489</v>
      </c>
    </row>
    <row r="182" spans="1:3" x14ac:dyDescent="0.25">
      <c r="A182" s="253" t="s">
        <v>2488</v>
      </c>
      <c r="B182" s="253" t="s">
        <v>2487</v>
      </c>
      <c r="C182" s="253" t="s">
        <v>2486</v>
      </c>
    </row>
    <row r="183" spans="1:3" x14ac:dyDescent="0.25">
      <c r="A183" s="253" t="s">
        <v>2485</v>
      </c>
      <c r="B183" s="253" t="s">
        <v>2484</v>
      </c>
      <c r="C183" s="253" t="s">
        <v>2483</v>
      </c>
    </row>
    <row r="184" spans="1:3" x14ac:dyDescent="0.25">
      <c r="A184" s="253" t="s">
        <v>2482</v>
      </c>
      <c r="B184" s="253" t="s">
        <v>2481</v>
      </c>
      <c r="C184" s="253" t="s">
        <v>50</v>
      </c>
    </row>
    <row r="185" spans="1:3" x14ac:dyDescent="0.25">
      <c r="A185" s="253" t="s">
        <v>2480</v>
      </c>
      <c r="B185" s="253" t="s">
        <v>2479</v>
      </c>
      <c r="C185" s="253" t="s">
        <v>2478</v>
      </c>
    </row>
    <row r="186" spans="1:3" x14ac:dyDescent="0.25">
      <c r="A186" s="253" t="s">
        <v>2477</v>
      </c>
      <c r="B186" s="253" t="s">
        <v>2476</v>
      </c>
      <c r="C186" s="253" t="s">
        <v>2475</v>
      </c>
    </row>
    <row r="187" spans="1:3" x14ac:dyDescent="0.25">
      <c r="A187" s="253" t="s">
        <v>2474</v>
      </c>
      <c r="B187" s="253" t="s">
        <v>2473</v>
      </c>
      <c r="C187" s="253" t="s">
        <v>2472</v>
      </c>
    </row>
    <row r="188" spans="1:3" x14ac:dyDescent="0.25">
      <c r="A188" s="253" t="s">
        <v>2471</v>
      </c>
      <c r="B188" s="253" t="s">
        <v>2470</v>
      </c>
      <c r="C188" s="253" t="s">
        <v>2469</v>
      </c>
    </row>
    <row r="189" spans="1:3" x14ac:dyDescent="0.25">
      <c r="A189" s="253" t="s">
        <v>2468</v>
      </c>
      <c r="B189" s="253" t="s">
        <v>2467</v>
      </c>
      <c r="C189" s="253" t="s">
        <v>187</v>
      </c>
    </row>
    <row r="190" spans="1:3" x14ac:dyDescent="0.25">
      <c r="A190" s="253" t="s">
        <v>2466</v>
      </c>
      <c r="B190" s="253" t="s">
        <v>2465</v>
      </c>
      <c r="C190" s="253" t="s">
        <v>2464</v>
      </c>
    </row>
    <row r="191" spans="1:3" x14ac:dyDescent="0.25">
      <c r="A191" s="253" t="s">
        <v>2463</v>
      </c>
      <c r="B191" s="253" t="s">
        <v>2462</v>
      </c>
      <c r="C191" s="253" t="s">
        <v>2461</v>
      </c>
    </row>
    <row r="192" spans="1:3" x14ac:dyDescent="0.25">
      <c r="A192" s="253" t="s">
        <v>2460</v>
      </c>
      <c r="B192" s="253" t="s">
        <v>2459</v>
      </c>
      <c r="C192" s="253" t="s">
        <v>2458</v>
      </c>
    </row>
    <row r="193" spans="1:3" x14ac:dyDescent="0.25">
      <c r="A193" s="253" t="s">
        <v>2457</v>
      </c>
      <c r="B193" s="253" t="s">
        <v>544</v>
      </c>
      <c r="C193" s="253" t="s">
        <v>2456</v>
      </c>
    </row>
    <row r="194" spans="1:3" x14ac:dyDescent="0.25">
      <c r="A194" s="253" t="s">
        <v>2455</v>
      </c>
      <c r="B194" s="253" t="s">
        <v>2454</v>
      </c>
      <c r="C194" s="253" t="s">
        <v>478</v>
      </c>
    </row>
    <row r="195" spans="1:3" x14ac:dyDescent="0.25">
      <c r="A195" s="253" t="s">
        <v>2453</v>
      </c>
      <c r="B195" s="253" t="s">
        <v>282</v>
      </c>
      <c r="C195" s="253" t="s">
        <v>256</v>
      </c>
    </row>
    <row r="196" spans="1:3" x14ac:dyDescent="0.25">
      <c r="A196" s="253" t="s">
        <v>2452</v>
      </c>
      <c r="B196" s="253" t="s">
        <v>2451</v>
      </c>
      <c r="C196" s="253" t="s">
        <v>2450</v>
      </c>
    </row>
    <row r="197" spans="1:3" x14ac:dyDescent="0.25">
      <c r="A197" s="253" t="s">
        <v>634</v>
      </c>
      <c r="B197" s="253" t="s">
        <v>2449</v>
      </c>
      <c r="C197" s="253" t="s">
        <v>2448</v>
      </c>
    </row>
    <row r="198" spans="1:3" x14ac:dyDescent="0.25">
      <c r="A198" s="253" t="s">
        <v>2447</v>
      </c>
      <c r="B198" s="253" t="s">
        <v>521</v>
      </c>
      <c r="C198" s="253" t="s">
        <v>2446</v>
      </c>
    </row>
    <row r="199" spans="1:3" x14ac:dyDescent="0.25">
      <c r="A199" s="253" t="s">
        <v>2445</v>
      </c>
      <c r="B199" s="253" t="s">
        <v>2444</v>
      </c>
      <c r="C199" s="253" t="s">
        <v>2443</v>
      </c>
    </row>
    <row r="200" spans="1:3" x14ac:dyDescent="0.25">
      <c r="A200" s="253" t="s">
        <v>2442</v>
      </c>
      <c r="B200" s="253" t="s">
        <v>2441</v>
      </c>
      <c r="C200" s="253" t="s">
        <v>2440</v>
      </c>
    </row>
    <row r="201" spans="1:3" x14ac:dyDescent="0.25">
      <c r="A201" s="253" t="s">
        <v>2439</v>
      </c>
      <c r="B201" s="253" t="s">
        <v>2438</v>
      </c>
      <c r="C201" s="253" t="s">
        <v>2437</v>
      </c>
    </row>
    <row r="202" spans="1:3" x14ac:dyDescent="0.25">
      <c r="A202" s="253" t="s">
        <v>2436</v>
      </c>
      <c r="B202" s="253" t="s">
        <v>2435</v>
      </c>
      <c r="C202" s="253" t="s">
        <v>484</v>
      </c>
    </row>
    <row r="203" spans="1:3" x14ac:dyDescent="0.25">
      <c r="A203" s="253" t="s">
        <v>2434</v>
      </c>
      <c r="B203" s="253" t="s">
        <v>2433</v>
      </c>
      <c r="C203" s="253" t="s">
        <v>2432</v>
      </c>
    </row>
    <row r="204" spans="1:3" x14ac:dyDescent="0.25">
      <c r="A204" s="253" t="s">
        <v>2431</v>
      </c>
      <c r="B204" s="253" t="s">
        <v>2430</v>
      </c>
      <c r="C204" s="253" t="s">
        <v>2429</v>
      </c>
    </row>
    <row r="205" spans="1:3" x14ac:dyDescent="0.25">
      <c r="A205" s="253" t="s">
        <v>2428</v>
      </c>
      <c r="B205" s="253" t="s">
        <v>2427</v>
      </c>
      <c r="C205" s="253" t="s">
        <v>2426</v>
      </c>
    </row>
    <row r="206" spans="1:3" x14ac:dyDescent="0.25">
      <c r="A206" s="253" t="s">
        <v>2425</v>
      </c>
      <c r="B206" s="253" t="s">
        <v>546</v>
      </c>
      <c r="C206" s="253" t="s">
        <v>462</v>
      </c>
    </row>
    <row r="207" spans="1:3" x14ac:dyDescent="0.25">
      <c r="A207" s="253" t="s">
        <v>2424</v>
      </c>
      <c r="B207" s="253" t="s">
        <v>2423</v>
      </c>
      <c r="C207" s="253" t="s">
        <v>2422</v>
      </c>
    </row>
    <row r="208" spans="1:3" x14ac:dyDescent="0.25">
      <c r="A208" s="253" t="s">
        <v>2421</v>
      </c>
      <c r="B208" s="253" t="s">
        <v>2420</v>
      </c>
      <c r="C208" s="253" t="s">
        <v>2419</v>
      </c>
    </row>
    <row r="209" spans="1:3" x14ac:dyDescent="0.25">
      <c r="A209" s="253" t="s">
        <v>2418</v>
      </c>
      <c r="B209" s="253" t="s">
        <v>405</v>
      </c>
      <c r="C209" s="253" t="s">
        <v>249</v>
      </c>
    </row>
    <row r="210" spans="1:3" x14ac:dyDescent="0.25">
      <c r="A210" s="253" t="s">
        <v>2417</v>
      </c>
      <c r="B210" s="253" t="s">
        <v>2416</v>
      </c>
      <c r="C210" s="253" t="s">
        <v>2415</v>
      </c>
    </row>
    <row r="211" spans="1:3" x14ac:dyDescent="0.25">
      <c r="A211" s="253" t="s">
        <v>2414</v>
      </c>
      <c r="B211" s="253" t="s">
        <v>2413</v>
      </c>
      <c r="C211" s="253" t="s">
        <v>2412</v>
      </c>
    </row>
    <row r="212" spans="1:3" x14ac:dyDescent="0.25">
      <c r="A212" s="253" t="s">
        <v>2411</v>
      </c>
      <c r="B212" s="253" t="s">
        <v>2410</v>
      </c>
      <c r="C212" s="253" t="s">
        <v>2409</v>
      </c>
    </row>
    <row r="213" spans="1:3" x14ac:dyDescent="0.25">
      <c r="A213" s="253" t="s">
        <v>2408</v>
      </c>
      <c r="B213" s="253" t="s">
        <v>2407</v>
      </c>
      <c r="C213" s="253" t="s">
        <v>2406</v>
      </c>
    </row>
    <row r="214" spans="1:3" x14ac:dyDescent="0.25">
      <c r="A214" s="253" t="s">
        <v>2405</v>
      </c>
      <c r="B214" s="253" t="s">
        <v>2404</v>
      </c>
      <c r="C214" s="253" t="s">
        <v>2403</v>
      </c>
    </row>
    <row r="215" spans="1:3" x14ac:dyDescent="0.25">
      <c r="A215" s="253" t="s">
        <v>2402</v>
      </c>
      <c r="B215" s="253" t="s">
        <v>2401</v>
      </c>
      <c r="C215" s="253" t="s">
        <v>2400</v>
      </c>
    </row>
    <row r="216" spans="1:3" x14ac:dyDescent="0.25">
      <c r="A216" s="253" t="s">
        <v>2399</v>
      </c>
      <c r="B216" s="253" t="s">
        <v>2398</v>
      </c>
      <c r="C216" s="253" t="s">
        <v>2397</v>
      </c>
    </row>
    <row r="217" spans="1:3" x14ac:dyDescent="0.25">
      <c r="A217" s="253" t="s">
        <v>2396</v>
      </c>
      <c r="B217" s="253" t="s">
        <v>2395</v>
      </c>
      <c r="C217" s="253" t="s">
        <v>2394</v>
      </c>
    </row>
    <row r="218" spans="1:3" x14ac:dyDescent="0.25">
      <c r="A218" s="253" t="s">
        <v>2393</v>
      </c>
      <c r="B218" s="253" t="s">
        <v>2392</v>
      </c>
      <c r="C218" s="253" t="s">
        <v>2391</v>
      </c>
    </row>
    <row r="219" spans="1:3" x14ac:dyDescent="0.25">
      <c r="A219" s="253" t="s">
        <v>2390</v>
      </c>
      <c r="B219" s="253" t="s">
        <v>2389</v>
      </c>
      <c r="C219" s="253" t="s">
        <v>2388</v>
      </c>
    </row>
    <row r="220" spans="1:3" x14ac:dyDescent="0.25">
      <c r="A220" s="253" t="s">
        <v>2387</v>
      </c>
      <c r="B220" s="253" t="s">
        <v>326</v>
      </c>
      <c r="C220" s="253" t="s">
        <v>167</v>
      </c>
    </row>
    <row r="221" spans="1:3" x14ac:dyDescent="0.25">
      <c r="A221" s="253" t="s">
        <v>2386</v>
      </c>
      <c r="B221" s="253" t="s">
        <v>2385</v>
      </c>
      <c r="C221" s="253" t="s">
        <v>2384</v>
      </c>
    </row>
    <row r="222" spans="1:3" x14ac:dyDescent="0.25">
      <c r="A222" s="253" t="s">
        <v>2383</v>
      </c>
      <c r="B222" s="253" t="s">
        <v>2382</v>
      </c>
      <c r="C222" s="253" t="s">
        <v>2381</v>
      </c>
    </row>
    <row r="223" spans="1:3" x14ac:dyDescent="0.25">
      <c r="A223" s="253" t="s">
        <v>2380</v>
      </c>
      <c r="B223" s="253" t="s">
        <v>2379</v>
      </c>
      <c r="C223" s="253" t="s">
        <v>2378</v>
      </c>
    </row>
    <row r="224" spans="1:3" x14ac:dyDescent="0.25">
      <c r="A224" s="253" t="s">
        <v>2377</v>
      </c>
      <c r="B224" s="253" t="s">
        <v>2376</v>
      </c>
      <c r="C224" s="253" t="s">
        <v>2375</v>
      </c>
    </row>
    <row r="225" spans="1:3" x14ac:dyDescent="0.25">
      <c r="A225" s="253" t="s">
        <v>2374</v>
      </c>
      <c r="B225" s="253" t="s">
        <v>2373</v>
      </c>
      <c r="C225" s="253" t="s">
        <v>2372</v>
      </c>
    </row>
    <row r="226" spans="1:3" x14ac:dyDescent="0.25">
      <c r="A226" s="253" t="s">
        <v>2371</v>
      </c>
      <c r="B226" s="253" t="s">
        <v>2370</v>
      </c>
      <c r="C226" s="253" t="s">
        <v>2369</v>
      </c>
    </row>
    <row r="227" spans="1:3" x14ac:dyDescent="0.25">
      <c r="A227" s="253" t="s">
        <v>2368</v>
      </c>
      <c r="B227" s="253" t="s">
        <v>2367</v>
      </c>
      <c r="C227" s="253" t="s">
        <v>2366</v>
      </c>
    </row>
    <row r="228" spans="1:3" x14ac:dyDescent="0.25">
      <c r="A228" s="253" t="s">
        <v>2365</v>
      </c>
      <c r="B228" s="253" t="s">
        <v>2364</v>
      </c>
      <c r="C228" s="253" t="s">
        <v>2363</v>
      </c>
    </row>
    <row r="229" spans="1:3" x14ac:dyDescent="0.25">
      <c r="A229" s="253" t="s">
        <v>2362</v>
      </c>
      <c r="B229" s="253" t="s">
        <v>2361</v>
      </c>
      <c r="C229" s="253" t="s">
        <v>2360</v>
      </c>
    </row>
    <row r="230" spans="1:3" x14ac:dyDescent="0.25">
      <c r="A230" s="253" t="s">
        <v>2359</v>
      </c>
      <c r="B230" s="253" t="s">
        <v>2358</v>
      </c>
      <c r="C230" s="253" t="s">
        <v>2357</v>
      </c>
    </row>
    <row r="231" spans="1:3" x14ac:dyDescent="0.25">
      <c r="A231" s="253" t="s">
        <v>2356</v>
      </c>
      <c r="B231" s="253" t="s">
        <v>2355</v>
      </c>
      <c r="C231" s="253" t="s">
        <v>2354</v>
      </c>
    </row>
    <row r="232" spans="1:3" x14ac:dyDescent="0.25">
      <c r="A232" s="253" t="s">
        <v>2353</v>
      </c>
      <c r="B232" s="253" t="s">
        <v>2352</v>
      </c>
      <c r="C232" s="253" t="s">
        <v>2351</v>
      </c>
    </row>
    <row r="233" spans="1:3" x14ac:dyDescent="0.25">
      <c r="A233" s="253" t="s">
        <v>2350</v>
      </c>
      <c r="B233" s="253" t="s">
        <v>570</v>
      </c>
      <c r="C233" s="253" t="s">
        <v>127</v>
      </c>
    </row>
    <row r="234" spans="1:3" x14ac:dyDescent="0.25">
      <c r="A234" s="253" t="s">
        <v>2349</v>
      </c>
      <c r="B234" s="253" t="s">
        <v>2348</v>
      </c>
      <c r="C234" s="253" t="s">
        <v>2347</v>
      </c>
    </row>
    <row r="235" spans="1:3" x14ac:dyDescent="0.25">
      <c r="A235" s="253" t="s">
        <v>2346</v>
      </c>
      <c r="B235" s="253" t="s">
        <v>2345</v>
      </c>
      <c r="C235" s="253" t="s">
        <v>2344</v>
      </c>
    </row>
    <row r="236" spans="1:3" x14ac:dyDescent="0.25">
      <c r="A236" s="253" t="s">
        <v>2343</v>
      </c>
      <c r="B236" s="253" t="s">
        <v>2342</v>
      </c>
      <c r="C236" s="253" t="s">
        <v>2341</v>
      </c>
    </row>
    <row r="237" spans="1:3" x14ac:dyDescent="0.25">
      <c r="A237" s="253" t="s">
        <v>2340</v>
      </c>
      <c r="B237" s="253" t="s">
        <v>2339</v>
      </c>
      <c r="C237" s="253" t="s">
        <v>2338</v>
      </c>
    </row>
    <row r="238" spans="1:3" x14ac:dyDescent="0.25">
      <c r="A238" s="253" t="s">
        <v>2337</v>
      </c>
      <c r="B238" s="253" t="s">
        <v>2336</v>
      </c>
      <c r="C238" s="253" t="s">
        <v>2335</v>
      </c>
    </row>
    <row r="239" spans="1:3" x14ac:dyDescent="0.25">
      <c r="A239" s="253" t="s">
        <v>2334</v>
      </c>
      <c r="B239" s="253" t="s">
        <v>2333</v>
      </c>
      <c r="C239" s="253" t="s">
        <v>2332</v>
      </c>
    </row>
    <row r="240" spans="1:3" x14ac:dyDescent="0.25">
      <c r="A240" s="253" t="s">
        <v>2331</v>
      </c>
      <c r="B240" s="253" t="s">
        <v>2330</v>
      </c>
      <c r="C240" s="253" t="s">
        <v>2329</v>
      </c>
    </row>
    <row r="241" spans="1:3" x14ac:dyDescent="0.25">
      <c r="A241" s="253" t="s">
        <v>2328</v>
      </c>
      <c r="B241" s="253" t="s">
        <v>2327</v>
      </c>
      <c r="C241" s="253" t="s">
        <v>2326</v>
      </c>
    </row>
    <row r="242" spans="1:3" x14ac:dyDescent="0.25">
      <c r="A242" s="253" t="s">
        <v>2325</v>
      </c>
      <c r="B242" s="253" t="s">
        <v>2324</v>
      </c>
      <c r="C242" s="253" t="s">
        <v>2323</v>
      </c>
    </row>
    <row r="243" spans="1:3" x14ac:dyDescent="0.25">
      <c r="A243" s="253" t="s">
        <v>2322</v>
      </c>
      <c r="B243" s="253" t="s">
        <v>2321</v>
      </c>
      <c r="C243" s="253" t="s">
        <v>2320</v>
      </c>
    </row>
    <row r="244" spans="1:3" x14ac:dyDescent="0.25">
      <c r="A244" s="253" t="s">
        <v>2319</v>
      </c>
      <c r="B244" s="253" t="s">
        <v>2318</v>
      </c>
      <c r="C244" s="253" t="s">
        <v>2317</v>
      </c>
    </row>
    <row r="245" spans="1:3" x14ac:dyDescent="0.25">
      <c r="A245" s="253" t="s">
        <v>2316</v>
      </c>
      <c r="B245" s="253" t="s">
        <v>2315</v>
      </c>
      <c r="C245" s="253" t="s">
        <v>2314</v>
      </c>
    </row>
    <row r="246" spans="1:3" x14ac:dyDescent="0.25">
      <c r="A246" s="253" t="s">
        <v>2313</v>
      </c>
      <c r="B246" s="253" t="s">
        <v>518</v>
      </c>
      <c r="C246" s="253" t="s">
        <v>2312</v>
      </c>
    </row>
    <row r="247" spans="1:3" x14ac:dyDescent="0.25">
      <c r="A247" s="253" t="s">
        <v>2311</v>
      </c>
      <c r="B247" s="253" t="s">
        <v>2310</v>
      </c>
      <c r="C247" s="253" t="s">
        <v>2309</v>
      </c>
    </row>
    <row r="248" spans="1:3" x14ac:dyDescent="0.25">
      <c r="A248" s="253" t="s">
        <v>2308</v>
      </c>
      <c r="B248" s="253" t="s">
        <v>2307</v>
      </c>
      <c r="C248" s="253" t="s">
        <v>2306</v>
      </c>
    </row>
    <row r="249" spans="1:3" x14ac:dyDescent="0.25">
      <c r="A249" s="253" t="s">
        <v>2305</v>
      </c>
      <c r="B249" s="253" t="s">
        <v>337</v>
      </c>
      <c r="C249" s="253" t="s">
        <v>2304</v>
      </c>
    </row>
    <row r="250" spans="1:3" x14ac:dyDescent="0.25">
      <c r="A250" s="253" t="s">
        <v>2303</v>
      </c>
      <c r="B250" s="253" t="s">
        <v>299</v>
      </c>
      <c r="C250" s="253" t="s">
        <v>490</v>
      </c>
    </row>
    <row r="251" spans="1:3" x14ac:dyDescent="0.25">
      <c r="A251" s="253" t="s">
        <v>2302</v>
      </c>
      <c r="B251" s="253" t="s">
        <v>2301</v>
      </c>
      <c r="C251" s="253" t="s">
        <v>2300</v>
      </c>
    </row>
    <row r="252" spans="1:3" x14ac:dyDescent="0.25">
      <c r="A252" s="253" t="s">
        <v>2299</v>
      </c>
      <c r="B252" s="253" t="s">
        <v>2298</v>
      </c>
      <c r="C252" s="253" t="s">
        <v>2297</v>
      </c>
    </row>
    <row r="253" spans="1:3" x14ac:dyDescent="0.25">
      <c r="A253" s="253" t="s">
        <v>2296</v>
      </c>
      <c r="B253" s="253" t="s">
        <v>519</v>
      </c>
      <c r="C253" s="253" t="s">
        <v>2295</v>
      </c>
    </row>
    <row r="254" spans="1:3" x14ac:dyDescent="0.25">
      <c r="A254" s="253" t="s">
        <v>2294</v>
      </c>
      <c r="B254" s="253" t="s">
        <v>2293</v>
      </c>
      <c r="C254" s="253" t="s">
        <v>2292</v>
      </c>
    </row>
    <row r="255" spans="1:3" x14ac:dyDescent="0.25">
      <c r="A255" s="253" t="s">
        <v>2291</v>
      </c>
      <c r="B255" s="253" t="s">
        <v>308</v>
      </c>
      <c r="C255" s="253" t="s">
        <v>255</v>
      </c>
    </row>
    <row r="256" spans="1:3" x14ac:dyDescent="0.25">
      <c r="A256" s="253" t="s">
        <v>2290</v>
      </c>
      <c r="B256" s="253" t="s">
        <v>2289</v>
      </c>
      <c r="C256" s="253" t="s">
        <v>2288</v>
      </c>
    </row>
    <row r="257" spans="1:3" x14ac:dyDescent="0.25">
      <c r="A257" s="253" t="s">
        <v>2287</v>
      </c>
      <c r="B257" s="253" t="s">
        <v>2286</v>
      </c>
      <c r="C257" s="253" t="s">
        <v>2285</v>
      </c>
    </row>
    <row r="258" spans="1:3" x14ac:dyDescent="0.25">
      <c r="A258" s="253" t="s">
        <v>2284</v>
      </c>
      <c r="B258" s="253" t="s">
        <v>2283</v>
      </c>
      <c r="C258" s="253" t="s">
        <v>2282</v>
      </c>
    </row>
    <row r="259" spans="1:3" x14ac:dyDescent="0.25">
      <c r="A259" s="253" t="s">
        <v>2281</v>
      </c>
      <c r="B259" s="253" t="s">
        <v>2280</v>
      </c>
      <c r="C259" s="253" t="s">
        <v>2279</v>
      </c>
    </row>
    <row r="260" spans="1:3" x14ac:dyDescent="0.25">
      <c r="A260" s="253" t="s">
        <v>2278</v>
      </c>
      <c r="B260" s="253" t="s">
        <v>2277</v>
      </c>
      <c r="C260" s="253" t="s">
        <v>2276</v>
      </c>
    </row>
    <row r="261" spans="1:3" x14ac:dyDescent="0.25">
      <c r="A261" s="253" t="s">
        <v>2275</v>
      </c>
      <c r="B261" s="253" t="s">
        <v>2274</v>
      </c>
      <c r="C261" s="253" t="s">
        <v>444</v>
      </c>
    </row>
    <row r="262" spans="1:3" x14ac:dyDescent="0.25">
      <c r="A262" s="253" t="s">
        <v>2273</v>
      </c>
      <c r="B262" s="253" t="s">
        <v>2272</v>
      </c>
      <c r="C262" s="253" t="s">
        <v>2271</v>
      </c>
    </row>
    <row r="263" spans="1:3" x14ac:dyDescent="0.25">
      <c r="A263" s="253" t="s">
        <v>2270</v>
      </c>
      <c r="B263" s="253" t="s">
        <v>2269</v>
      </c>
      <c r="C263" s="253" t="s">
        <v>2268</v>
      </c>
    </row>
    <row r="264" spans="1:3" x14ac:dyDescent="0.25">
      <c r="A264" s="253" t="s">
        <v>2267</v>
      </c>
      <c r="B264" s="253" t="s">
        <v>2266</v>
      </c>
      <c r="C264" s="253" t="s">
        <v>2265</v>
      </c>
    </row>
    <row r="265" spans="1:3" x14ac:dyDescent="0.25">
      <c r="A265" s="253" t="s">
        <v>2264</v>
      </c>
      <c r="B265" s="253" t="s">
        <v>2263</v>
      </c>
      <c r="C265" s="253" t="s">
        <v>2262</v>
      </c>
    </row>
    <row r="266" spans="1:3" x14ac:dyDescent="0.25">
      <c r="A266" s="253" t="s">
        <v>2261</v>
      </c>
      <c r="B266" s="253" t="s">
        <v>2260</v>
      </c>
      <c r="C266" s="253" t="s">
        <v>2259</v>
      </c>
    </row>
    <row r="267" spans="1:3" x14ac:dyDescent="0.25">
      <c r="A267" s="253" t="s">
        <v>2258</v>
      </c>
      <c r="B267" s="253" t="s">
        <v>2257</v>
      </c>
      <c r="C267" s="253" t="s">
        <v>2256</v>
      </c>
    </row>
    <row r="268" spans="1:3" x14ac:dyDescent="0.25">
      <c r="A268" s="253" t="s">
        <v>226</v>
      </c>
      <c r="B268" s="253" t="s">
        <v>562</v>
      </c>
      <c r="C268" s="253" t="s">
        <v>222</v>
      </c>
    </row>
    <row r="269" spans="1:3" x14ac:dyDescent="0.25">
      <c r="A269" s="253" t="s">
        <v>2255</v>
      </c>
      <c r="B269" s="253" t="s">
        <v>298</v>
      </c>
      <c r="C269" s="253" t="s">
        <v>2254</v>
      </c>
    </row>
    <row r="270" spans="1:3" x14ac:dyDescent="0.25">
      <c r="A270" s="253" t="s">
        <v>2253</v>
      </c>
      <c r="B270" s="253" t="s">
        <v>291</v>
      </c>
      <c r="C270" s="253" t="s">
        <v>491</v>
      </c>
    </row>
    <row r="271" spans="1:3" x14ac:dyDescent="0.25">
      <c r="A271" s="253" t="s">
        <v>2252</v>
      </c>
      <c r="B271" s="253" t="s">
        <v>2251</v>
      </c>
      <c r="C271" s="253" t="s">
        <v>2250</v>
      </c>
    </row>
    <row r="272" spans="1:3" x14ac:dyDescent="0.25">
      <c r="A272" s="253" t="s">
        <v>2249</v>
      </c>
      <c r="B272" s="253" t="s">
        <v>2248</v>
      </c>
      <c r="C272" s="253" t="s">
        <v>2247</v>
      </c>
    </row>
    <row r="273" spans="1:3" x14ac:dyDescent="0.25">
      <c r="A273" s="253" t="s">
        <v>2246</v>
      </c>
      <c r="B273" s="253" t="s">
        <v>2245</v>
      </c>
      <c r="C273" s="253" t="s">
        <v>2245</v>
      </c>
    </row>
    <row r="274" spans="1:3" x14ac:dyDescent="0.25">
      <c r="A274" s="253" t="s">
        <v>2244</v>
      </c>
      <c r="B274" s="253" t="s">
        <v>2243</v>
      </c>
      <c r="C274" s="253" t="s">
        <v>2242</v>
      </c>
    </row>
    <row r="275" spans="1:3" x14ac:dyDescent="0.25">
      <c r="A275" s="253" t="s">
        <v>2241</v>
      </c>
      <c r="B275" s="253" t="s">
        <v>2240</v>
      </c>
      <c r="C275" s="253" t="s">
        <v>2239</v>
      </c>
    </row>
    <row r="276" spans="1:3" x14ac:dyDescent="0.25">
      <c r="A276" s="253" t="s">
        <v>2238</v>
      </c>
      <c r="B276" s="253" t="s">
        <v>2237</v>
      </c>
      <c r="C276" s="253" t="s">
        <v>2236</v>
      </c>
    </row>
    <row r="277" spans="1:3" x14ac:dyDescent="0.25">
      <c r="A277" s="253" t="s">
        <v>2235</v>
      </c>
      <c r="B277" s="253" t="s">
        <v>2234</v>
      </c>
      <c r="C277" s="253" t="s">
        <v>2233</v>
      </c>
    </row>
    <row r="278" spans="1:3" x14ac:dyDescent="0.25">
      <c r="A278" s="253" t="s">
        <v>2232</v>
      </c>
      <c r="B278" s="253" t="s">
        <v>270</v>
      </c>
      <c r="C278" s="253" t="s">
        <v>2231</v>
      </c>
    </row>
    <row r="279" spans="1:3" x14ac:dyDescent="0.25">
      <c r="A279" s="253" t="s">
        <v>2230</v>
      </c>
      <c r="B279" s="253" t="s">
        <v>2229</v>
      </c>
      <c r="C279" s="253" t="s">
        <v>2228</v>
      </c>
    </row>
    <row r="280" spans="1:3" x14ac:dyDescent="0.25">
      <c r="A280" s="253" t="s">
        <v>2227</v>
      </c>
      <c r="B280" s="253" t="s">
        <v>2226</v>
      </c>
      <c r="C280" s="253" t="s">
        <v>2225</v>
      </c>
    </row>
    <row r="281" spans="1:3" x14ac:dyDescent="0.25">
      <c r="A281" s="253" t="s">
        <v>2224</v>
      </c>
      <c r="B281" s="253" t="s">
        <v>2223</v>
      </c>
      <c r="C281" s="253" t="s">
        <v>2222</v>
      </c>
    </row>
    <row r="282" spans="1:3" x14ac:dyDescent="0.25">
      <c r="A282" s="253" t="s">
        <v>2221</v>
      </c>
      <c r="B282" s="253" t="s">
        <v>2220</v>
      </c>
      <c r="C282" s="253" t="s">
        <v>2219</v>
      </c>
    </row>
    <row r="283" spans="1:3" x14ac:dyDescent="0.25">
      <c r="A283" s="253" t="s">
        <v>2218</v>
      </c>
      <c r="B283" s="253" t="s">
        <v>2217</v>
      </c>
      <c r="C283" s="253" t="s">
        <v>2216</v>
      </c>
    </row>
    <row r="284" spans="1:3" x14ac:dyDescent="0.25">
      <c r="A284" s="253" t="s">
        <v>2215</v>
      </c>
      <c r="B284" s="253" t="s">
        <v>2214</v>
      </c>
      <c r="C284" s="253" t="s">
        <v>2213</v>
      </c>
    </row>
    <row r="285" spans="1:3" x14ac:dyDescent="0.25">
      <c r="A285" s="253" t="s">
        <v>2212</v>
      </c>
      <c r="B285" s="253" t="s">
        <v>2211</v>
      </c>
      <c r="C285" s="253" t="s">
        <v>460</v>
      </c>
    </row>
    <row r="286" spans="1:3" x14ac:dyDescent="0.25">
      <c r="A286" s="253" t="s">
        <v>2210</v>
      </c>
      <c r="B286" s="253" t="s">
        <v>2209</v>
      </c>
      <c r="C286" s="253" t="s">
        <v>2208</v>
      </c>
    </row>
    <row r="287" spans="1:3" x14ac:dyDescent="0.25">
      <c r="A287" s="253" t="s">
        <v>2207</v>
      </c>
      <c r="B287" s="253" t="s">
        <v>2206</v>
      </c>
      <c r="C287" s="253" t="s">
        <v>2205</v>
      </c>
    </row>
    <row r="288" spans="1:3" x14ac:dyDescent="0.25">
      <c r="A288" s="253" t="s">
        <v>2204</v>
      </c>
      <c r="B288" s="253" t="s">
        <v>2203</v>
      </c>
      <c r="C288" s="253" t="s">
        <v>2202</v>
      </c>
    </row>
    <row r="289" spans="1:3" x14ac:dyDescent="0.25">
      <c r="A289" s="253" t="s">
        <v>612</v>
      </c>
      <c r="B289" s="253" t="s">
        <v>2201</v>
      </c>
      <c r="C289" s="253" t="s">
        <v>612</v>
      </c>
    </row>
    <row r="290" spans="1:3" x14ac:dyDescent="0.25">
      <c r="A290" s="253" t="s">
        <v>2200</v>
      </c>
      <c r="B290" s="253" t="s">
        <v>2199</v>
      </c>
      <c r="C290" s="253" t="s">
        <v>2198</v>
      </c>
    </row>
    <row r="291" spans="1:3" x14ac:dyDescent="0.25">
      <c r="A291" s="253" t="s">
        <v>2197</v>
      </c>
      <c r="B291" s="253" t="s">
        <v>2196</v>
      </c>
      <c r="C291" s="253" t="s">
        <v>223</v>
      </c>
    </row>
    <row r="292" spans="1:3" x14ac:dyDescent="0.25">
      <c r="A292" s="253" t="s">
        <v>2195</v>
      </c>
      <c r="B292" s="253" t="s">
        <v>542</v>
      </c>
      <c r="C292" s="253" t="s">
        <v>2194</v>
      </c>
    </row>
    <row r="293" spans="1:3" x14ac:dyDescent="0.25">
      <c r="A293" s="253" t="s">
        <v>2193</v>
      </c>
      <c r="B293" s="253" t="s">
        <v>2192</v>
      </c>
      <c r="C293" s="253" t="s">
        <v>2191</v>
      </c>
    </row>
    <row r="294" spans="1:3" x14ac:dyDescent="0.25">
      <c r="A294" s="253" t="s">
        <v>2190</v>
      </c>
      <c r="B294" s="253" t="s">
        <v>368</v>
      </c>
      <c r="C294" s="253" t="s">
        <v>453</v>
      </c>
    </row>
    <row r="295" spans="1:3" x14ac:dyDescent="0.25">
      <c r="A295" s="253" t="s">
        <v>2189</v>
      </c>
      <c r="B295" s="253" t="s">
        <v>2188</v>
      </c>
      <c r="C295" s="253" t="s">
        <v>2187</v>
      </c>
    </row>
    <row r="296" spans="1:3" x14ac:dyDescent="0.25">
      <c r="A296" s="253" t="s">
        <v>2186</v>
      </c>
      <c r="B296" s="253" t="s">
        <v>2185</v>
      </c>
      <c r="C296" s="253" t="s">
        <v>2184</v>
      </c>
    </row>
    <row r="297" spans="1:3" x14ac:dyDescent="0.25">
      <c r="A297" s="253" t="s">
        <v>2183</v>
      </c>
      <c r="B297" s="253" t="s">
        <v>540</v>
      </c>
      <c r="C297" s="253" t="s">
        <v>2182</v>
      </c>
    </row>
    <row r="298" spans="1:3" x14ac:dyDescent="0.25">
      <c r="A298" s="253" t="s">
        <v>2181</v>
      </c>
      <c r="B298" s="253" t="s">
        <v>2180</v>
      </c>
      <c r="C298" s="253" t="s">
        <v>2180</v>
      </c>
    </row>
    <row r="299" spans="1:3" x14ac:dyDescent="0.25">
      <c r="A299" s="253" t="s">
        <v>2179</v>
      </c>
      <c r="B299" s="253" t="s">
        <v>275</v>
      </c>
      <c r="C299" s="253" t="s">
        <v>2178</v>
      </c>
    </row>
    <row r="300" spans="1:3" x14ac:dyDescent="0.25">
      <c r="A300" s="253" t="s">
        <v>2177</v>
      </c>
      <c r="B300" s="253" t="s">
        <v>2176</v>
      </c>
      <c r="C300" s="253" t="s">
        <v>485</v>
      </c>
    </row>
    <row r="301" spans="1:3" x14ac:dyDescent="0.25">
      <c r="A301" s="253" t="s">
        <v>2175</v>
      </c>
      <c r="B301" s="253" t="s">
        <v>2174</v>
      </c>
      <c r="C301" s="253" t="s">
        <v>2173</v>
      </c>
    </row>
    <row r="302" spans="1:3" x14ac:dyDescent="0.25">
      <c r="A302" s="253" t="s">
        <v>2172</v>
      </c>
      <c r="B302" s="253" t="s">
        <v>2171</v>
      </c>
      <c r="C302" s="253" t="s">
        <v>2171</v>
      </c>
    </row>
    <row r="303" spans="1:3" x14ac:dyDescent="0.25">
      <c r="A303" s="253" t="s">
        <v>2170</v>
      </c>
      <c r="B303" s="253" t="s">
        <v>2169</v>
      </c>
      <c r="C303" s="253" t="s">
        <v>2168</v>
      </c>
    </row>
    <row r="304" spans="1:3" x14ac:dyDescent="0.25">
      <c r="A304" s="253" t="s">
        <v>2167</v>
      </c>
      <c r="B304" s="253" t="s">
        <v>2166</v>
      </c>
      <c r="C304" s="253" t="s">
        <v>2165</v>
      </c>
    </row>
    <row r="305" spans="1:3" x14ac:dyDescent="0.25">
      <c r="A305" s="253" t="s">
        <v>2164</v>
      </c>
      <c r="B305" s="253" t="s">
        <v>2163</v>
      </c>
      <c r="C305" s="253" t="s">
        <v>2162</v>
      </c>
    </row>
    <row r="306" spans="1:3" x14ac:dyDescent="0.25">
      <c r="A306" s="253" t="s">
        <v>687</v>
      </c>
      <c r="B306" s="253" t="s">
        <v>2161</v>
      </c>
      <c r="C306" s="253" t="s">
        <v>2160</v>
      </c>
    </row>
    <row r="307" spans="1:3" x14ac:dyDescent="0.25">
      <c r="A307" s="253" t="s">
        <v>2159</v>
      </c>
      <c r="B307" s="253" t="s">
        <v>2158</v>
      </c>
      <c r="C307" s="253" t="s">
        <v>2157</v>
      </c>
    </row>
    <row r="308" spans="1:3" x14ac:dyDescent="0.25">
      <c r="A308" s="253" t="s">
        <v>2156</v>
      </c>
      <c r="B308" s="253" t="s">
        <v>2155</v>
      </c>
      <c r="C308" s="253" t="s">
        <v>2154</v>
      </c>
    </row>
    <row r="309" spans="1:3" x14ac:dyDescent="0.25">
      <c r="A309" s="253" t="s">
        <v>2153</v>
      </c>
      <c r="B309" s="253" t="s">
        <v>2152</v>
      </c>
      <c r="C309" s="253" t="s">
        <v>2152</v>
      </c>
    </row>
    <row r="310" spans="1:3" x14ac:dyDescent="0.25">
      <c r="A310" s="253" t="s">
        <v>2151</v>
      </c>
      <c r="B310" s="253" t="s">
        <v>2150</v>
      </c>
      <c r="C310" s="253" t="s">
        <v>2149</v>
      </c>
    </row>
    <row r="311" spans="1:3" x14ac:dyDescent="0.25">
      <c r="A311" s="253" t="s">
        <v>2148</v>
      </c>
      <c r="B311" s="253" t="s">
        <v>2147</v>
      </c>
      <c r="C311" s="253" t="s">
        <v>2146</v>
      </c>
    </row>
    <row r="312" spans="1:3" x14ac:dyDescent="0.25">
      <c r="A312" s="253" t="s">
        <v>2145</v>
      </c>
      <c r="B312" s="253" t="s">
        <v>2144</v>
      </c>
      <c r="C312" s="253" t="s">
        <v>2143</v>
      </c>
    </row>
    <row r="313" spans="1:3" x14ac:dyDescent="0.25">
      <c r="A313" s="253" t="s">
        <v>2142</v>
      </c>
      <c r="B313" s="253" t="s">
        <v>2141</v>
      </c>
      <c r="C313" s="253" t="s">
        <v>2140</v>
      </c>
    </row>
    <row r="314" spans="1:3" x14ac:dyDescent="0.25">
      <c r="A314" s="253" t="s">
        <v>624</v>
      </c>
      <c r="B314" s="253" t="s">
        <v>2139</v>
      </c>
      <c r="C314" s="253" t="s">
        <v>2138</v>
      </c>
    </row>
    <row r="315" spans="1:3" x14ac:dyDescent="0.25">
      <c r="A315" s="253" t="s">
        <v>2137</v>
      </c>
      <c r="B315" s="253" t="s">
        <v>2136</v>
      </c>
      <c r="C315" s="253" t="s">
        <v>2135</v>
      </c>
    </row>
    <row r="316" spans="1:3" x14ac:dyDescent="0.25">
      <c r="A316" s="253" t="s">
        <v>2134</v>
      </c>
      <c r="B316" s="253" t="s">
        <v>2133</v>
      </c>
      <c r="C316" s="253" t="s">
        <v>2132</v>
      </c>
    </row>
    <row r="317" spans="1:3" x14ac:dyDescent="0.25">
      <c r="A317" s="253" t="s">
        <v>2131</v>
      </c>
      <c r="B317" s="253" t="s">
        <v>2130</v>
      </c>
      <c r="C317" s="253" t="s">
        <v>2129</v>
      </c>
    </row>
    <row r="318" spans="1:3" x14ac:dyDescent="0.25">
      <c r="A318" s="253" t="s">
        <v>2128</v>
      </c>
      <c r="B318" s="253" t="s">
        <v>2127</v>
      </c>
      <c r="C318" s="253" t="s">
        <v>2126</v>
      </c>
    </row>
    <row r="319" spans="1:3" x14ac:dyDescent="0.25">
      <c r="A319" s="253" t="s">
        <v>514</v>
      </c>
      <c r="B319" s="253" t="s">
        <v>2125</v>
      </c>
      <c r="C319" s="253" t="s">
        <v>46</v>
      </c>
    </row>
    <row r="320" spans="1:3" x14ac:dyDescent="0.25">
      <c r="A320" s="253" t="s">
        <v>2124</v>
      </c>
      <c r="B320" s="253" t="s">
        <v>2123</v>
      </c>
      <c r="C320" s="253" t="s">
        <v>2123</v>
      </c>
    </row>
    <row r="321" spans="1:3" x14ac:dyDescent="0.25">
      <c r="A321" s="253" t="s">
        <v>2122</v>
      </c>
      <c r="B321" s="253" t="s">
        <v>569</v>
      </c>
      <c r="C321" s="253" t="s">
        <v>48</v>
      </c>
    </row>
    <row r="322" spans="1:3" x14ac:dyDescent="0.25">
      <c r="A322" s="253" t="s">
        <v>2121</v>
      </c>
      <c r="B322" s="253" t="s">
        <v>559</v>
      </c>
      <c r="C322" s="253" t="s">
        <v>483</v>
      </c>
    </row>
    <row r="323" spans="1:3" x14ac:dyDescent="0.25">
      <c r="A323" s="253" t="s">
        <v>2120</v>
      </c>
      <c r="B323" s="253" t="s">
        <v>320</v>
      </c>
      <c r="C323" s="253" t="s">
        <v>457</v>
      </c>
    </row>
    <row r="324" spans="1:3" x14ac:dyDescent="0.25">
      <c r="A324" s="253" t="s">
        <v>2119</v>
      </c>
      <c r="B324" s="253" t="s">
        <v>2118</v>
      </c>
      <c r="C324" s="253" t="s">
        <v>2117</v>
      </c>
    </row>
    <row r="325" spans="1:3" x14ac:dyDescent="0.25">
      <c r="A325" s="253" t="s">
        <v>2116</v>
      </c>
      <c r="B325" s="253" t="s">
        <v>2115</v>
      </c>
      <c r="C325" s="253" t="s">
        <v>2114</v>
      </c>
    </row>
    <row r="326" spans="1:3" x14ac:dyDescent="0.25">
      <c r="A326" s="253" t="s">
        <v>2113</v>
      </c>
      <c r="B326" s="253" t="s">
        <v>352</v>
      </c>
      <c r="C326" s="253" t="s">
        <v>2112</v>
      </c>
    </row>
    <row r="327" spans="1:3" x14ac:dyDescent="0.25">
      <c r="A327" s="253" t="s">
        <v>2111</v>
      </c>
      <c r="B327" s="253" t="s">
        <v>2110</v>
      </c>
      <c r="C327" s="253" t="s">
        <v>26</v>
      </c>
    </row>
    <row r="328" spans="1:3" x14ac:dyDescent="0.25">
      <c r="A328" s="253" t="s">
        <v>2109</v>
      </c>
      <c r="B328" s="253" t="s">
        <v>2108</v>
      </c>
      <c r="C328" s="253" t="s">
        <v>2107</v>
      </c>
    </row>
    <row r="329" spans="1:3" x14ac:dyDescent="0.25">
      <c r="A329" s="253" t="s">
        <v>2106</v>
      </c>
      <c r="B329" s="253" t="s">
        <v>2105</v>
      </c>
      <c r="C329" s="253" t="s">
        <v>2104</v>
      </c>
    </row>
    <row r="330" spans="1:3" x14ac:dyDescent="0.25">
      <c r="A330" s="253" t="s">
        <v>2103</v>
      </c>
      <c r="B330" s="253" t="s">
        <v>2102</v>
      </c>
      <c r="C330" s="253" t="s">
        <v>2102</v>
      </c>
    </row>
    <row r="331" spans="1:3" x14ac:dyDescent="0.25">
      <c r="A331" s="253" t="s">
        <v>2101</v>
      </c>
      <c r="B331" s="253" t="s">
        <v>374</v>
      </c>
      <c r="C331" s="253" t="s">
        <v>2100</v>
      </c>
    </row>
    <row r="332" spans="1:3" x14ac:dyDescent="0.25">
      <c r="A332" s="253" t="s">
        <v>2099</v>
      </c>
      <c r="B332" s="253" t="s">
        <v>2098</v>
      </c>
      <c r="C332" s="253" t="s">
        <v>2097</v>
      </c>
    </row>
    <row r="333" spans="1:3" x14ac:dyDescent="0.25">
      <c r="A333" s="253" t="s">
        <v>2096</v>
      </c>
      <c r="B333" s="253" t="s">
        <v>274</v>
      </c>
      <c r="C333" s="253" t="s">
        <v>2095</v>
      </c>
    </row>
    <row r="334" spans="1:3" x14ac:dyDescent="0.25">
      <c r="A334" s="253" t="s">
        <v>2094</v>
      </c>
      <c r="B334" s="253" t="s">
        <v>2093</v>
      </c>
      <c r="C334" s="253" t="s">
        <v>2092</v>
      </c>
    </row>
    <row r="335" spans="1:3" x14ac:dyDescent="0.25">
      <c r="A335" s="253" t="s">
        <v>2091</v>
      </c>
      <c r="B335" s="253" t="s">
        <v>2090</v>
      </c>
      <c r="C335" s="253" t="s">
        <v>2089</v>
      </c>
    </row>
    <row r="336" spans="1:3" x14ac:dyDescent="0.25">
      <c r="A336" s="253" t="s">
        <v>2088</v>
      </c>
      <c r="B336" s="253" t="s">
        <v>2087</v>
      </c>
      <c r="C336" s="253" t="s">
        <v>133</v>
      </c>
    </row>
    <row r="337" spans="1:3" x14ac:dyDescent="0.25">
      <c r="A337" s="253" t="s">
        <v>2086</v>
      </c>
      <c r="B337" s="253" t="s">
        <v>2085</v>
      </c>
      <c r="C337" s="253" t="s">
        <v>2084</v>
      </c>
    </row>
    <row r="338" spans="1:3" x14ac:dyDescent="0.25">
      <c r="A338" s="253" t="s">
        <v>2083</v>
      </c>
      <c r="B338" s="253" t="s">
        <v>2082</v>
      </c>
      <c r="C338" s="253" t="s">
        <v>2081</v>
      </c>
    </row>
    <row r="339" spans="1:3" x14ac:dyDescent="0.25">
      <c r="A339" s="253" t="s">
        <v>2080</v>
      </c>
      <c r="B339" s="253" t="s">
        <v>2079</v>
      </c>
      <c r="C339" s="253" t="s">
        <v>2078</v>
      </c>
    </row>
    <row r="340" spans="1:3" x14ac:dyDescent="0.25">
      <c r="A340" s="253" t="s">
        <v>2077</v>
      </c>
      <c r="B340" s="253" t="s">
        <v>2076</v>
      </c>
      <c r="C340" s="253" t="s">
        <v>252</v>
      </c>
    </row>
    <row r="341" spans="1:3" x14ac:dyDescent="0.25">
      <c r="A341" s="253" t="s">
        <v>2075</v>
      </c>
      <c r="B341" s="253" t="s">
        <v>2074</v>
      </c>
      <c r="C341" s="253" t="s">
        <v>2073</v>
      </c>
    </row>
    <row r="342" spans="1:3" x14ac:dyDescent="0.25">
      <c r="A342" s="253" t="s">
        <v>2072</v>
      </c>
      <c r="B342" s="253" t="s">
        <v>2071</v>
      </c>
      <c r="C342" s="253" t="s">
        <v>2070</v>
      </c>
    </row>
    <row r="343" spans="1:3" x14ac:dyDescent="0.25">
      <c r="A343" s="253" t="s">
        <v>2069</v>
      </c>
      <c r="B343" s="253" t="s">
        <v>2068</v>
      </c>
      <c r="C343" s="253" t="s">
        <v>2067</v>
      </c>
    </row>
    <row r="344" spans="1:3" x14ac:dyDescent="0.25">
      <c r="A344" s="253" t="s">
        <v>2066</v>
      </c>
      <c r="B344" s="253" t="s">
        <v>520</v>
      </c>
      <c r="C344" s="253" t="s">
        <v>2065</v>
      </c>
    </row>
    <row r="345" spans="1:3" x14ac:dyDescent="0.25">
      <c r="A345" s="253" t="s">
        <v>2064</v>
      </c>
      <c r="B345" s="253" t="s">
        <v>2063</v>
      </c>
      <c r="C345" s="253" t="s">
        <v>450</v>
      </c>
    </row>
    <row r="346" spans="1:3" x14ac:dyDescent="0.25">
      <c r="A346" s="253" t="s">
        <v>2062</v>
      </c>
      <c r="B346" s="253" t="s">
        <v>2061</v>
      </c>
      <c r="C346" s="253" t="s">
        <v>2060</v>
      </c>
    </row>
    <row r="347" spans="1:3" x14ac:dyDescent="0.25">
      <c r="A347" s="253" t="s">
        <v>2059</v>
      </c>
      <c r="B347" s="253" t="s">
        <v>2058</v>
      </c>
      <c r="C347" s="253" t="s">
        <v>2057</v>
      </c>
    </row>
    <row r="348" spans="1:3" x14ac:dyDescent="0.25">
      <c r="A348" s="253" t="s">
        <v>2056</v>
      </c>
      <c r="B348" s="253" t="s">
        <v>286</v>
      </c>
      <c r="C348" s="253" t="s">
        <v>486</v>
      </c>
    </row>
    <row r="349" spans="1:3" x14ac:dyDescent="0.25">
      <c r="A349" s="253" t="s">
        <v>2055</v>
      </c>
      <c r="B349" s="253" t="s">
        <v>2054</v>
      </c>
      <c r="C349" s="253" t="s">
        <v>2053</v>
      </c>
    </row>
    <row r="350" spans="1:3" x14ac:dyDescent="0.25">
      <c r="A350" s="253" t="s">
        <v>2052</v>
      </c>
      <c r="B350" s="253" t="s">
        <v>2051</v>
      </c>
      <c r="C350" s="253" t="s">
        <v>227</v>
      </c>
    </row>
    <row r="351" spans="1:3" x14ac:dyDescent="0.25">
      <c r="A351" s="253" t="s">
        <v>2050</v>
      </c>
      <c r="B351" s="253" t="s">
        <v>2049</v>
      </c>
      <c r="C351" s="253" t="s">
        <v>2048</v>
      </c>
    </row>
    <row r="352" spans="1:3" x14ac:dyDescent="0.25">
      <c r="A352" s="253" t="s">
        <v>2047</v>
      </c>
      <c r="B352" s="253" t="s">
        <v>528</v>
      </c>
      <c r="C352" s="253" t="s">
        <v>2046</v>
      </c>
    </row>
    <row r="353" spans="1:3" x14ac:dyDescent="0.25">
      <c r="A353" s="253" t="s">
        <v>2045</v>
      </c>
      <c r="B353" s="253" t="s">
        <v>2044</v>
      </c>
      <c r="C353" s="253" t="s">
        <v>2043</v>
      </c>
    </row>
    <row r="354" spans="1:3" x14ac:dyDescent="0.25">
      <c r="A354" s="253" t="s">
        <v>2042</v>
      </c>
      <c r="B354" s="253" t="s">
        <v>2041</v>
      </c>
      <c r="C354" s="253" t="s">
        <v>2040</v>
      </c>
    </row>
    <row r="355" spans="1:3" x14ac:dyDescent="0.25">
      <c r="A355" s="253" t="s">
        <v>2039</v>
      </c>
      <c r="B355" s="253" t="s">
        <v>2038</v>
      </c>
      <c r="C355" s="253" t="s">
        <v>2037</v>
      </c>
    </row>
    <row r="356" spans="1:3" x14ac:dyDescent="0.25">
      <c r="A356" s="253" t="s">
        <v>67</v>
      </c>
      <c r="B356" s="253" t="s">
        <v>1048</v>
      </c>
      <c r="C356" s="253" t="s">
        <v>2036</v>
      </c>
    </row>
    <row r="357" spans="1:3" x14ac:dyDescent="0.25">
      <c r="A357" s="253" t="s">
        <v>2035</v>
      </c>
      <c r="B357" s="253" t="s">
        <v>2034</v>
      </c>
      <c r="C357" s="253" t="s">
        <v>2033</v>
      </c>
    </row>
    <row r="358" spans="1:3" x14ac:dyDescent="0.25">
      <c r="A358" s="253" t="s">
        <v>2032</v>
      </c>
      <c r="B358" s="253" t="s">
        <v>297</v>
      </c>
      <c r="C358" s="253" t="s">
        <v>125</v>
      </c>
    </row>
    <row r="359" spans="1:3" x14ac:dyDescent="0.25">
      <c r="A359" s="253" t="s">
        <v>2031</v>
      </c>
      <c r="B359" s="253" t="s">
        <v>2030</v>
      </c>
      <c r="C359" s="253" t="s">
        <v>2029</v>
      </c>
    </row>
    <row r="360" spans="1:3" x14ac:dyDescent="0.25">
      <c r="A360" s="253" t="s">
        <v>2028</v>
      </c>
      <c r="B360" s="253" t="s">
        <v>2027</v>
      </c>
      <c r="C360" s="253" t="s">
        <v>2026</v>
      </c>
    </row>
    <row r="361" spans="1:3" x14ac:dyDescent="0.25">
      <c r="A361" s="253" t="s">
        <v>2025</v>
      </c>
      <c r="B361" s="253" t="s">
        <v>2024</v>
      </c>
      <c r="C361" s="253" t="s">
        <v>2023</v>
      </c>
    </row>
    <row r="362" spans="1:3" x14ac:dyDescent="0.25">
      <c r="A362" s="253" t="s">
        <v>2022</v>
      </c>
      <c r="B362" s="253" t="s">
        <v>378</v>
      </c>
      <c r="C362" s="253" t="s">
        <v>2021</v>
      </c>
    </row>
    <row r="363" spans="1:3" x14ac:dyDescent="0.25">
      <c r="A363" s="253" t="s">
        <v>2020</v>
      </c>
      <c r="B363" s="253" t="s">
        <v>311</v>
      </c>
      <c r="C363" s="253" t="s">
        <v>54</v>
      </c>
    </row>
    <row r="364" spans="1:3" x14ac:dyDescent="0.25">
      <c r="A364" s="253" t="s">
        <v>2019</v>
      </c>
      <c r="B364" s="253" t="s">
        <v>2018</v>
      </c>
      <c r="C364" s="253" t="s">
        <v>2017</v>
      </c>
    </row>
    <row r="365" spans="1:3" x14ac:dyDescent="0.25">
      <c r="A365" s="253" t="s">
        <v>619</v>
      </c>
      <c r="B365" s="253" t="s">
        <v>388</v>
      </c>
      <c r="C365" s="253" t="s">
        <v>441</v>
      </c>
    </row>
    <row r="366" spans="1:3" x14ac:dyDescent="0.25">
      <c r="A366" s="253" t="s">
        <v>2016</v>
      </c>
      <c r="B366" s="253" t="s">
        <v>2015</v>
      </c>
      <c r="C366" s="253" t="s">
        <v>2014</v>
      </c>
    </row>
    <row r="367" spans="1:3" x14ac:dyDescent="0.25">
      <c r="A367" s="253" t="s">
        <v>2013</v>
      </c>
      <c r="B367" s="253" t="s">
        <v>2012</v>
      </c>
      <c r="C367" s="253" t="s">
        <v>2011</v>
      </c>
    </row>
    <row r="368" spans="1:3" x14ac:dyDescent="0.25">
      <c r="A368" s="253" t="s">
        <v>2010</v>
      </c>
      <c r="B368" s="253" t="s">
        <v>2009</v>
      </c>
      <c r="C368" s="253" t="s">
        <v>2008</v>
      </c>
    </row>
    <row r="369" spans="1:3" x14ac:dyDescent="0.25">
      <c r="A369" s="253" t="s">
        <v>2007</v>
      </c>
      <c r="B369" s="253" t="s">
        <v>2006</v>
      </c>
      <c r="C369" s="253" t="s">
        <v>2005</v>
      </c>
    </row>
    <row r="370" spans="1:3" x14ac:dyDescent="0.25">
      <c r="A370" s="253" t="s">
        <v>2004</v>
      </c>
      <c r="B370" s="253" t="s">
        <v>410</v>
      </c>
      <c r="C370" s="253" t="s">
        <v>2003</v>
      </c>
    </row>
    <row r="371" spans="1:3" x14ac:dyDescent="0.25">
      <c r="A371" s="253" t="s">
        <v>2002</v>
      </c>
      <c r="B371" s="253" t="s">
        <v>2001</v>
      </c>
      <c r="C371" s="253" t="s">
        <v>69</v>
      </c>
    </row>
    <row r="372" spans="1:3" x14ac:dyDescent="0.25">
      <c r="A372" s="253" t="s">
        <v>2000</v>
      </c>
      <c r="B372" s="253" t="s">
        <v>290</v>
      </c>
      <c r="C372" s="253" t="s">
        <v>243</v>
      </c>
    </row>
    <row r="373" spans="1:3" x14ac:dyDescent="0.25">
      <c r="A373" s="253" t="s">
        <v>1999</v>
      </c>
      <c r="B373" s="253" t="s">
        <v>1998</v>
      </c>
      <c r="C373" s="253" t="s">
        <v>1997</v>
      </c>
    </row>
    <row r="374" spans="1:3" x14ac:dyDescent="0.25">
      <c r="A374" s="253" t="s">
        <v>1996</v>
      </c>
      <c r="B374" s="253" t="s">
        <v>1995</v>
      </c>
      <c r="C374" s="253" t="s">
        <v>1994</v>
      </c>
    </row>
    <row r="375" spans="1:3" x14ac:dyDescent="0.25">
      <c r="A375" s="253" t="s">
        <v>1993</v>
      </c>
      <c r="B375" s="253" t="s">
        <v>1992</v>
      </c>
      <c r="C375" s="253" t="s">
        <v>1991</v>
      </c>
    </row>
    <row r="376" spans="1:3" x14ac:dyDescent="0.25">
      <c r="A376" s="253" t="s">
        <v>1990</v>
      </c>
      <c r="B376" s="253" t="s">
        <v>380</v>
      </c>
      <c r="C376" s="253" t="s">
        <v>454</v>
      </c>
    </row>
    <row r="377" spans="1:3" x14ac:dyDescent="0.25">
      <c r="A377" s="253" t="s">
        <v>1989</v>
      </c>
      <c r="B377" s="253" t="s">
        <v>1988</v>
      </c>
      <c r="C377" s="253" t="s">
        <v>1987</v>
      </c>
    </row>
    <row r="378" spans="1:3" x14ac:dyDescent="0.25">
      <c r="A378" s="253" t="s">
        <v>1986</v>
      </c>
      <c r="B378" s="253" t="s">
        <v>1985</v>
      </c>
      <c r="C378" s="253" t="s">
        <v>1984</v>
      </c>
    </row>
    <row r="379" spans="1:3" x14ac:dyDescent="0.25">
      <c r="A379" s="253" t="s">
        <v>1983</v>
      </c>
      <c r="B379" s="253" t="s">
        <v>1982</v>
      </c>
      <c r="C379" s="253" t="s">
        <v>1981</v>
      </c>
    </row>
    <row r="380" spans="1:3" x14ac:dyDescent="0.25">
      <c r="A380" s="253" t="s">
        <v>1980</v>
      </c>
      <c r="B380" s="253" t="s">
        <v>1979</v>
      </c>
      <c r="C380" s="253" t="s">
        <v>1978</v>
      </c>
    </row>
    <row r="381" spans="1:3" x14ac:dyDescent="0.25">
      <c r="A381" s="253" t="s">
        <v>1977</v>
      </c>
      <c r="B381" s="253" t="s">
        <v>566</v>
      </c>
      <c r="C381" s="253" t="s">
        <v>140</v>
      </c>
    </row>
    <row r="382" spans="1:3" x14ac:dyDescent="0.25">
      <c r="A382" s="253" t="s">
        <v>1976</v>
      </c>
      <c r="B382" s="253" t="s">
        <v>1975</v>
      </c>
      <c r="C382" s="253" t="s">
        <v>1974</v>
      </c>
    </row>
    <row r="383" spans="1:3" x14ac:dyDescent="0.25">
      <c r="A383" s="253" t="s">
        <v>1973</v>
      </c>
      <c r="B383" s="253" t="s">
        <v>406</v>
      </c>
      <c r="C383" s="253" t="s">
        <v>126</v>
      </c>
    </row>
    <row r="384" spans="1:3" x14ac:dyDescent="0.25">
      <c r="A384" s="253" t="s">
        <v>1972</v>
      </c>
      <c r="B384" s="253" t="s">
        <v>1971</v>
      </c>
      <c r="C384" s="253" t="s">
        <v>1970</v>
      </c>
    </row>
    <row r="385" spans="1:3" x14ac:dyDescent="0.25">
      <c r="A385" s="253" t="s">
        <v>1969</v>
      </c>
      <c r="B385" s="253" t="s">
        <v>1968</v>
      </c>
      <c r="C385" s="253" t="s">
        <v>1968</v>
      </c>
    </row>
    <row r="386" spans="1:3" x14ac:dyDescent="0.25">
      <c r="A386" s="253" t="s">
        <v>1967</v>
      </c>
      <c r="B386" s="253" t="s">
        <v>1966</v>
      </c>
      <c r="C386" s="253" t="s">
        <v>262</v>
      </c>
    </row>
    <row r="387" spans="1:3" x14ac:dyDescent="0.25">
      <c r="A387" s="253" t="s">
        <v>1965</v>
      </c>
      <c r="B387" s="253" t="s">
        <v>1964</v>
      </c>
      <c r="C387" s="253" t="s">
        <v>1963</v>
      </c>
    </row>
    <row r="388" spans="1:3" x14ac:dyDescent="0.25">
      <c r="A388" s="253" t="s">
        <v>1962</v>
      </c>
      <c r="B388" s="253" t="s">
        <v>1961</v>
      </c>
      <c r="C388" s="253" t="s">
        <v>1960</v>
      </c>
    </row>
    <row r="389" spans="1:3" x14ac:dyDescent="0.25">
      <c r="A389" s="253" t="s">
        <v>1959</v>
      </c>
      <c r="B389" s="253" t="s">
        <v>1958</v>
      </c>
      <c r="C389" s="253" t="s">
        <v>1957</v>
      </c>
    </row>
    <row r="390" spans="1:3" x14ac:dyDescent="0.25">
      <c r="A390" s="253" t="s">
        <v>1956</v>
      </c>
      <c r="B390" s="253" t="s">
        <v>372</v>
      </c>
      <c r="C390" s="253" t="s">
        <v>492</v>
      </c>
    </row>
    <row r="391" spans="1:3" x14ac:dyDescent="0.25">
      <c r="A391" s="253" t="s">
        <v>1955</v>
      </c>
      <c r="B391" s="253" t="s">
        <v>548</v>
      </c>
      <c r="C391" s="253" t="s">
        <v>461</v>
      </c>
    </row>
    <row r="392" spans="1:3" x14ac:dyDescent="0.25">
      <c r="A392" s="253" t="s">
        <v>1954</v>
      </c>
      <c r="B392" s="253" t="s">
        <v>516</v>
      </c>
      <c r="C392" s="253" t="s">
        <v>1953</v>
      </c>
    </row>
    <row r="393" spans="1:3" x14ac:dyDescent="0.25">
      <c r="A393" s="253" t="s">
        <v>1952</v>
      </c>
      <c r="B393" s="253" t="s">
        <v>309</v>
      </c>
      <c r="C393" s="253" t="s">
        <v>1951</v>
      </c>
    </row>
    <row r="394" spans="1:3" x14ac:dyDescent="0.25">
      <c r="A394" s="253" t="s">
        <v>1950</v>
      </c>
      <c r="B394" s="253" t="s">
        <v>1949</v>
      </c>
      <c r="C394" s="253" t="s">
        <v>1948</v>
      </c>
    </row>
    <row r="395" spans="1:3" x14ac:dyDescent="0.25">
      <c r="A395" s="253" t="s">
        <v>1947</v>
      </c>
      <c r="B395" s="253" t="s">
        <v>1946</v>
      </c>
      <c r="C395" s="253" t="s">
        <v>1945</v>
      </c>
    </row>
    <row r="396" spans="1:3" x14ac:dyDescent="0.25">
      <c r="A396" s="253" t="s">
        <v>1944</v>
      </c>
      <c r="B396" s="253" t="s">
        <v>534</v>
      </c>
      <c r="C396" s="253" t="s">
        <v>148</v>
      </c>
    </row>
    <row r="397" spans="1:3" x14ac:dyDescent="0.25">
      <c r="A397" s="253" t="s">
        <v>1943</v>
      </c>
      <c r="B397" s="253" t="s">
        <v>1942</v>
      </c>
      <c r="C397" s="253" t="s">
        <v>1941</v>
      </c>
    </row>
    <row r="398" spans="1:3" x14ac:dyDescent="0.25">
      <c r="A398" s="253" t="s">
        <v>1940</v>
      </c>
      <c r="B398" s="253" t="s">
        <v>513</v>
      </c>
      <c r="C398" s="253" t="s">
        <v>1939</v>
      </c>
    </row>
    <row r="399" spans="1:3" x14ac:dyDescent="0.25">
      <c r="A399" s="253" t="s">
        <v>1938</v>
      </c>
      <c r="B399" s="253" t="s">
        <v>1937</v>
      </c>
      <c r="C399" s="253" t="s">
        <v>1936</v>
      </c>
    </row>
    <row r="400" spans="1:3" x14ac:dyDescent="0.25">
      <c r="A400" s="253" t="s">
        <v>1935</v>
      </c>
      <c r="B400" s="253" t="s">
        <v>1934</v>
      </c>
      <c r="C400" s="253" t="s">
        <v>1933</v>
      </c>
    </row>
    <row r="401" spans="1:3" x14ac:dyDescent="0.25">
      <c r="A401" s="253" t="s">
        <v>1932</v>
      </c>
      <c r="B401" s="253" t="s">
        <v>1931</v>
      </c>
      <c r="C401" s="253" t="s">
        <v>1931</v>
      </c>
    </row>
    <row r="402" spans="1:3" x14ac:dyDescent="0.25">
      <c r="A402" s="253" t="s">
        <v>1930</v>
      </c>
      <c r="B402" s="253" t="s">
        <v>1929</v>
      </c>
      <c r="C402" s="253" t="s">
        <v>1928</v>
      </c>
    </row>
    <row r="403" spans="1:3" x14ac:dyDescent="0.25">
      <c r="A403" s="253" t="s">
        <v>1927</v>
      </c>
      <c r="B403" s="253" t="s">
        <v>1926</v>
      </c>
      <c r="C403" s="253" t="s">
        <v>1925</v>
      </c>
    </row>
    <row r="404" spans="1:3" x14ac:dyDescent="0.25">
      <c r="A404" s="253" t="s">
        <v>1924</v>
      </c>
      <c r="B404" s="253" t="s">
        <v>1923</v>
      </c>
      <c r="C404" s="253" t="s">
        <v>1922</v>
      </c>
    </row>
    <row r="405" spans="1:3" x14ac:dyDescent="0.25">
      <c r="A405" s="253" t="s">
        <v>1921</v>
      </c>
      <c r="B405" s="253" t="s">
        <v>1920</v>
      </c>
      <c r="C405" s="253" t="s">
        <v>1919</v>
      </c>
    </row>
    <row r="406" spans="1:3" x14ac:dyDescent="0.25">
      <c r="A406" s="253" t="s">
        <v>1918</v>
      </c>
      <c r="B406" s="253" t="s">
        <v>265</v>
      </c>
      <c r="C406" s="253" t="s">
        <v>1917</v>
      </c>
    </row>
    <row r="407" spans="1:3" x14ac:dyDescent="0.25">
      <c r="A407" s="253" t="s">
        <v>1916</v>
      </c>
      <c r="B407" s="253" t="s">
        <v>1915</v>
      </c>
      <c r="C407" s="253" t="s">
        <v>1914</v>
      </c>
    </row>
    <row r="408" spans="1:3" x14ac:dyDescent="0.25">
      <c r="A408" s="253" t="s">
        <v>627</v>
      </c>
      <c r="B408" s="253" t="s">
        <v>292</v>
      </c>
      <c r="C408" s="253" t="s">
        <v>158</v>
      </c>
    </row>
    <row r="409" spans="1:3" x14ac:dyDescent="0.25">
      <c r="A409" s="253" t="s">
        <v>1913</v>
      </c>
      <c r="B409" s="253" t="s">
        <v>1912</v>
      </c>
      <c r="C409" s="253" t="s">
        <v>1911</v>
      </c>
    </row>
    <row r="410" spans="1:3" x14ac:dyDescent="0.25">
      <c r="A410" s="253" t="s">
        <v>1910</v>
      </c>
      <c r="B410" s="253" t="s">
        <v>1909</v>
      </c>
      <c r="C410" s="253" t="s">
        <v>1908</v>
      </c>
    </row>
    <row r="411" spans="1:3" x14ac:dyDescent="0.25">
      <c r="A411" s="253" t="s">
        <v>1907</v>
      </c>
      <c r="B411" s="253" t="s">
        <v>1906</v>
      </c>
      <c r="C411" s="253" t="s">
        <v>122</v>
      </c>
    </row>
    <row r="412" spans="1:3" x14ac:dyDescent="0.25">
      <c r="A412" s="253" t="s">
        <v>1905</v>
      </c>
      <c r="B412" s="253" t="s">
        <v>1904</v>
      </c>
      <c r="C412" s="253" t="s">
        <v>1903</v>
      </c>
    </row>
    <row r="413" spans="1:3" x14ac:dyDescent="0.25">
      <c r="A413" s="253" t="s">
        <v>1902</v>
      </c>
      <c r="B413" s="253" t="s">
        <v>281</v>
      </c>
      <c r="C413" s="253" t="s">
        <v>1901</v>
      </c>
    </row>
    <row r="414" spans="1:3" x14ac:dyDescent="0.25">
      <c r="A414" s="253" t="s">
        <v>1900</v>
      </c>
      <c r="B414" s="253" t="s">
        <v>1899</v>
      </c>
      <c r="C414" s="253" t="s">
        <v>1898</v>
      </c>
    </row>
    <row r="415" spans="1:3" x14ac:dyDescent="0.25">
      <c r="A415" s="253" t="s">
        <v>1897</v>
      </c>
      <c r="B415" s="253" t="s">
        <v>1896</v>
      </c>
      <c r="C415" s="253" t="s">
        <v>1895</v>
      </c>
    </row>
    <row r="416" spans="1:3" x14ac:dyDescent="0.25">
      <c r="A416" s="253" t="s">
        <v>1894</v>
      </c>
      <c r="B416" s="253" t="s">
        <v>1893</v>
      </c>
      <c r="C416" s="253" t="s">
        <v>1892</v>
      </c>
    </row>
    <row r="417" spans="1:3" x14ac:dyDescent="0.25">
      <c r="A417" s="253" t="s">
        <v>1891</v>
      </c>
      <c r="B417" s="253" t="s">
        <v>1890</v>
      </c>
      <c r="C417" s="253" t="s">
        <v>1889</v>
      </c>
    </row>
    <row r="418" spans="1:3" x14ac:dyDescent="0.25">
      <c r="A418" s="253" t="s">
        <v>1888</v>
      </c>
      <c r="B418" s="253" t="s">
        <v>1887</v>
      </c>
      <c r="C418" s="253" t="s">
        <v>1886</v>
      </c>
    </row>
    <row r="419" spans="1:3" x14ac:dyDescent="0.25">
      <c r="A419" s="253" t="s">
        <v>1885</v>
      </c>
      <c r="B419" s="253" t="s">
        <v>1884</v>
      </c>
      <c r="C419" s="253" t="s">
        <v>1883</v>
      </c>
    </row>
    <row r="420" spans="1:3" x14ac:dyDescent="0.25">
      <c r="A420" s="253" t="s">
        <v>1882</v>
      </c>
      <c r="B420" s="253" t="s">
        <v>1881</v>
      </c>
      <c r="C420" s="253" t="s">
        <v>1880</v>
      </c>
    </row>
    <row r="421" spans="1:3" x14ac:dyDescent="0.25">
      <c r="A421" s="253" t="s">
        <v>1879</v>
      </c>
      <c r="B421" s="253" t="s">
        <v>1878</v>
      </c>
      <c r="C421" s="253" t="s">
        <v>1877</v>
      </c>
    </row>
    <row r="422" spans="1:3" x14ac:dyDescent="0.25">
      <c r="A422" s="253" t="s">
        <v>632</v>
      </c>
      <c r="B422" s="253" t="s">
        <v>1876</v>
      </c>
      <c r="C422" s="253" t="s">
        <v>1875</v>
      </c>
    </row>
    <row r="423" spans="1:3" x14ac:dyDescent="0.25">
      <c r="A423" s="253" t="s">
        <v>1874</v>
      </c>
      <c r="B423" s="253" t="s">
        <v>1873</v>
      </c>
      <c r="C423" s="253" t="s">
        <v>1872</v>
      </c>
    </row>
    <row r="424" spans="1:3" x14ac:dyDescent="0.25">
      <c r="A424" s="253" t="s">
        <v>1871</v>
      </c>
      <c r="B424" s="253" t="s">
        <v>1870</v>
      </c>
      <c r="C424" s="253" t="s">
        <v>1869</v>
      </c>
    </row>
    <row r="425" spans="1:3" x14ac:dyDescent="0.25">
      <c r="A425" s="253" t="s">
        <v>1868</v>
      </c>
      <c r="B425" s="253" t="s">
        <v>1867</v>
      </c>
      <c r="C425" s="253" t="s">
        <v>1866</v>
      </c>
    </row>
    <row r="426" spans="1:3" x14ac:dyDescent="0.25">
      <c r="A426" s="253" t="s">
        <v>1865</v>
      </c>
      <c r="B426" s="253" t="s">
        <v>535</v>
      </c>
      <c r="C426" s="253" t="s">
        <v>200</v>
      </c>
    </row>
    <row r="427" spans="1:3" x14ac:dyDescent="0.25">
      <c r="A427" s="253" t="s">
        <v>1864</v>
      </c>
      <c r="B427" s="253" t="s">
        <v>1863</v>
      </c>
      <c r="C427" s="253" t="s">
        <v>1862</v>
      </c>
    </row>
    <row r="428" spans="1:3" x14ac:dyDescent="0.25">
      <c r="A428" s="253" t="s">
        <v>1861</v>
      </c>
      <c r="B428" s="253" t="s">
        <v>1860</v>
      </c>
      <c r="C428" s="253" t="s">
        <v>1859</v>
      </c>
    </row>
    <row r="429" spans="1:3" x14ac:dyDescent="0.25">
      <c r="A429" s="253" t="s">
        <v>1858</v>
      </c>
      <c r="B429" s="253" t="s">
        <v>285</v>
      </c>
      <c r="C429" s="253" t="s">
        <v>248</v>
      </c>
    </row>
    <row r="430" spans="1:3" x14ac:dyDescent="0.25">
      <c r="A430" s="253" t="s">
        <v>1857</v>
      </c>
      <c r="B430" s="253" t="s">
        <v>1856</v>
      </c>
      <c r="C430" s="253" t="s">
        <v>1855</v>
      </c>
    </row>
    <row r="431" spans="1:3" x14ac:dyDescent="0.25">
      <c r="A431" s="253" t="s">
        <v>1854</v>
      </c>
      <c r="B431" s="253" t="s">
        <v>1853</v>
      </c>
      <c r="C431" s="253" t="s">
        <v>1852</v>
      </c>
    </row>
    <row r="432" spans="1:3" x14ac:dyDescent="0.25">
      <c r="A432" s="253" t="s">
        <v>1851</v>
      </c>
      <c r="B432" s="253" t="s">
        <v>1850</v>
      </c>
      <c r="C432" s="253" t="s">
        <v>1850</v>
      </c>
    </row>
    <row r="433" spans="1:3" x14ac:dyDescent="0.25">
      <c r="A433" s="253" t="s">
        <v>1849</v>
      </c>
      <c r="B433" s="253" t="s">
        <v>1848</v>
      </c>
      <c r="C433" s="253" t="s">
        <v>508</v>
      </c>
    </row>
    <row r="434" spans="1:3" x14ac:dyDescent="0.25">
      <c r="A434" s="253" t="s">
        <v>1847</v>
      </c>
      <c r="B434" s="253" t="s">
        <v>1846</v>
      </c>
      <c r="C434" s="253" t="s">
        <v>1845</v>
      </c>
    </row>
    <row r="435" spans="1:3" x14ac:dyDescent="0.25">
      <c r="A435" s="253" t="s">
        <v>1844</v>
      </c>
      <c r="B435" s="253" t="s">
        <v>1843</v>
      </c>
      <c r="C435" s="253" t="s">
        <v>1842</v>
      </c>
    </row>
    <row r="436" spans="1:3" x14ac:dyDescent="0.25">
      <c r="A436" s="253" t="s">
        <v>1841</v>
      </c>
      <c r="B436" s="253" t="s">
        <v>1840</v>
      </c>
      <c r="C436" s="253" t="s">
        <v>1839</v>
      </c>
    </row>
    <row r="437" spans="1:3" x14ac:dyDescent="0.25">
      <c r="A437" s="253" t="s">
        <v>1838</v>
      </c>
      <c r="B437" s="253" t="s">
        <v>1837</v>
      </c>
      <c r="C437" s="253" t="s">
        <v>1836</v>
      </c>
    </row>
    <row r="438" spans="1:3" x14ac:dyDescent="0.25">
      <c r="A438" s="253" t="s">
        <v>1835</v>
      </c>
      <c r="B438" s="253" t="s">
        <v>1834</v>
      </c>
      <c r="C438" s="253" t="s">
        <v>1833</v>
      </c>
    </row>
    <row r="439" spans="1:3" x14ac:dyDescent="0.25">
      <c r="A439" s="253" t="s">
        <v>1832</v>
      </c>
      <c r="B439" s="253" t="s">
        <v>1831</v>
      </c>
      <c r="C439" s="253" t="s">
        <v>1830</v>
      </c>
    </row>
    <row r="440" spans="1:3" x14ac:dyDescent="0.25">
      <c r="A440" s="253" t="s">
        <v>506</v>
      </c>
      <c r="B440" s="253" t="s">
        <v>1829</v>
      </c>
      <c r="C440" s="253" t="s">
        <v>507</v>
      </c>
    </row>
    <row r="441" spans="1:3" x14ac:dyDescent="0.25">
      <c r="A441" s="253" t="s">
        <v>1828</v>
      </c>
      <c r="B441" s="253" t="s">
        <v>1827</v>
      </c>
      <c r="C441" s="253" t="s">
        <v>1826</v>
      </c>
    </row>
    <row r="442" spans="1:3" x14ac:dyDescent="0.25">
      <c r="A442" s="253" t="s">
        <v>1825</v>
      </c>
      <c r="B442" s="253" t="s">
        <v>305</v>
      </c>
      <c r="C442" s="253" t="s">
        <v>439</v>
      </c>
    </row>
    <row r="443" spans="1:3" x14ac:dyDescent="0.25">
      <c r="A443" s="253" t="s">
        <v>1824</v>
      </c>
      <c r="B443" s="253" t="s">
        <v>1823</v>
      </c>
      <c r="C443" s="253" t="s">
        <v>1822</v>
      </c>
    </row>
    <row r="444" spans="1:3" x14ac:dyDescent="0.25">
      <c r="A444" s="253" t="s">
        <v>1821</v>
      </c>
      <c r="B444" s="253" t="s">
        <v>1820</v>
      </c>
      <c r="C444" s="253" t="s">
        <v>1819</v>
      </c>
    </row>
    <row r="445" spans="1:3" x14ac:dyDescent="0.25">
      <c r="A445" s="253" t="s">
        <v>1818</v>
      </c>
      <c r="B445" s="253" t="s">
        <v>1817</v>
      </c>
      <c r="C445" s="253" t="s">
        <v>1816</v>
      </c>
    </row>
    <row r="446" spans="1:3" x14ac:dyDescent="0.25">
      <c r="A446" s="253" t="s">
        <v>1815</v>
      </c>
      <c r="B446" s="253" t="s">
        <v>1814</v>
      </c>
      <c r="C446" s="253" t="s">
        <v>1813</v>
      </c>
    </row>
    <row r="447" spans="1:3" x14ac:dyDescent="0.25">
      <c r="A447" s="253" t="s">
        <v>1812</v>
      </c>
      <c r="B447" s="253" t="s">
        <v>1811</v>
      </c>
      <c r="C447" s="253" t="s">
        <v>1810</v>
      </c>
    </row>
    <row r="448" spans="1:3" x14ac:dyDescent="0.25">
      <c r="A448" s="253" t="s">
        <v>1809</v>
      </c>
      <c r="B448" s="253" t="s">
        <v>539</v>
      </c>
      <c r="C448" s="253" t="s">
        <v>1808</v>
      </c>
    </row>
    <row r="449" spans="1:3" x14ac:dyDescent="0.25">
      <c r="A449" s="253" t="s">
        <v>1807</v>
      </c>
      <c r="B449" s="253" t="s">
        <v>1806</v>
      </c>
      <c r="C449" s="253" t="s">
        <v>1805</v>
      </c>
    </row>
    <row r="450" spans="1:3" x14ac:dyDescent="0.25">
      <c r="A450" s="253" t="s">
        <v>1804</v>
      </c>
      <c r="B450" s="253" t="s">
        <v>561</v>
      </c>
      <c r="C450" s="253" t="s">
        <v>47</v>
      </c>
    </row>
    <row r="451" spans="1:3" x14ac:dyDescent="0.25">
      <c r="A451" s="253" t="s">
        <v>1803</v>
      </c>
      <c r="B451" s="253" t="s">
        <v>1802</v>
      </c>
      <c r="C451" s="253" t="s">
        <v>1801</v>
      </c>
    </row>
    <row r="452" spans="1:3" x14ac:dyDescent="0.25">
      <c r="A452" s="253" t="s">
        <v>1800</v>
      </c>
      <c r="B452" s="253" t="s">
        <v>1799</v>
      </c>
      <c r="C452" s="253" t="s">
        <v>474</v>
      </c>
    </row>
    <row r="453" spans="1:3" x14ac:dyDescent="0.25">
      <c r="A453" s="253" t="s">
        <v>1798</v>
      </c>
      <c r="B453" s="253" t="s">
        <v>1797</v>
      </c>
      <c r="C453" s="253" t="s">
        <v>1796</v>
      </c>
    </row>
    <row r="454" spans="1:3" x14ac:dyDescent="0.25">
      <c r="A454" s="253" t="s">
        <v>1795</v>
      </c>
      <c r="B454" s="253" t="s">
        <v>383</v>
      </c>
      <c r="C454" s="253" t="s">
        <v>55</v>
      </c>
    </row>
    <row r="455" spans="1:3" x14ac:dyDescent="0.25">
      <c r="A455" s="253" t="s">
        <v>1794</v>
      </c>
      <c r="B455" s="253" t="s">
        <v>1793</v>
      </c>
      <c r="C455" s="253" t="s">
        <v>1792</v>
      </c>
    </row>
    <row r="456" spans="1:3" x14ac:dyDescent="0.25">
      <c r="A456" s="253" t="s">
        <v>1791</v>
      </c>
      <c r="B456" s="253" t="s">
        <v>533</v>
      </c>
      <c r="C456" s="253" t="s">
        <v>159</v>
      </c>
    </row>
    <row r="457" spans="1:3" x14ac:dyDescent="0.25">
      <c r="A457" s="253" t="s">
        <v>1790</v>
      </c>
      <c r="B457" s="253" t="s">
        <v>1789</v>
      </c>
      <c r="C457" s="253" t="s">
        <v>1788</v>
      </c>
    </row>
    <row r="458" spans="1:3" x14ac:dyDescent="0.25">
      <c r="A458" s="253" t="s">
        <v>1787</v>
      </c>
      <c r="B458" s="253" t="s">
        <v>1786</v>
      </c>
      <c r="C458" s="253" t="s">
        <v>1785</v>
      </c>
    </row>
    <row r="459" spans="1:3" x14ac:dyDescent="0.25">
      <c r="A459" s="253" t="s">
        <v>1784</v>
      </c>
      <c r="B459" s="253" t="s">
        <v>1783</v>
      </c>
      <c r="C459" s="253" t="s">
        <v>1782</v>
      </c>
    </row>
    <row r="460" spans="1:3" x14ac:dyDescent="0.25">
      <c r="A460" s="253" t="s">
        <v>1781</v>
      </c>
      <c r="B460" s="253" t="s">
        <v>355</v>
      </c>
      <c r="C460" s="253" t="s">
        <v>165</v>
      </c>
    </row>
    <row r="461" spans="1:3" x14ac:dyDescent="0.25">
      <c r="A461" s="253" t="s">
        <v>1780</v>
      </c>
      <c r="B461" s="253" t="s">
        <v>1779</v>
      </c>
      <c r="C461" s="253" t="s">
        <v>1778</v>
      </c>
    </row>
    <row r="462" spans="1:3" x14ac:dyDescent="0.25">
      <c r="A462" s="253" t="s">
        <v>1777</v>
      </c>
      <c r="B462" s="253" t="s">
        <v>1776</v>
      </c>
      <c r="C462" s="253" t="s">
        <v>1775</v>
      </c>
    </row>
    <row r="463" spans="1:3" x14ac:dyDescent="0.25">
      <c r="A463" s="253" t="s">
        <v>1774</v>
      </c>
      <c r="B463" s="253" t="s">
        <v>1773</v>
      </c>
      <c r="C463" s="253" t="s">
        <v>1772</v>
      </c>
    </row>
    <row r="464" spans="1:3" x14ac:dyDescent="0.25">
      <c r="A464" s="253" t="s">
        <v>1771</v>
      </c>
      <c r="B464" s="253" t="s">
        <v>1770</v>
      </c>
      <c r="C464" s="253" t="s">
        <v>1769</v>
      </c>
    </row>
    <row r="465" spans="1:3" x14ac:dyDescent="0.25">
      <c r="A465" s="253" t="s">
        <v>1768</v>
      </c>
      <c r="B465" s="253" t="s">
        <v>312</v>
      </c>
      <c r="C465" s="253" t="s">
        <v>1767</v>
      </c>
    </row>
    <row r="466" spans="1:3" x14ac:dyDescent="0.25">
      <c r="A466" s="253" t="s">
        <v>1766</v>
      </c>
      <c r="B466" s="253" t="s">
        <v>1765</v>
      </c>
      <c r="C466" s="253" t="s">
        <v>1764</v>
      </c>
    </row>
    <row r="467" spans="1:3" x14ac:dyDescent="0.25">
      <c r="A467" s="253" t="s">
        <v>1763</v>
      </c>
      <c r="B467" s="253" t="s">
        <v>1762</v>
      </c>
      <c r="C467" s="253" t="s">
        <v>1761</v>
      </c>
    </row>
    <row r="468" spans="1:3" x14ac:dyDescent="0.25">
      <c r="A468" s="253" t="s">
        <v>1760</v>
      </c>
      <c r="B468" s="253" t="s">
        <v>1759</v>
      </c>
      <c r="C468" s="253" t="s">
        <v>1758</v>
      </c>
    </row>
    <row r="469" spans="1:3" x14ac:dyDescent="0.25">
      <c r="A469" s="253" t="s">
        <v>1757</v>
      </c>
      <c r="B469" s="253" t="s">
        <v>553</v>
      </c>
      <c r="C469" s="253" t="s">
        <v>119</v>
      </c>
    </row>
    <row r="470" spans="1:3" x14ac:dyDescent="0.25">
      <c r="A470" s="253" t="s">
        <v>1756</v>
      </c>
      <c r="B470" s="253" t="s">
        <v>1755</v>
      </c>
      <c r="C470" s="253" t="s">
        <v>1754</v>
      </c>
    </row>
    <row r="471" spans="1:3" x14ac:dyDescent="0.25">
      <c r="A471" s="253" t="s">
        <v>1753</v>
      </c>
      <c r="B471" s="253" t="s">
        <v>1752</v>
      </c>
      <c r="C471" s="253" t="s">
        <v>1751</v>
      </c>
    </row>
    <row r="472" spans="1:3" x14ac:dyDescent="0.25">
      <c r="A472" s="253" t="s">
        <v>1750</v>
      </c>
      <c r="B472" s="253" t="s">
        <v>1749</v>
      </c>
      <c r="C472" s="253" t="s">
        <v>1748</v>
      </c>
    </row>
    <row r="473" spans="1:3" x14ac:dyDescent="0.25">
      <c r="A473" s="253" t="s">
        <v>1747</v>
      </c>
      <c r="B473" s="253" t="s">
        <v>1746</v>
      </c>
      <c r="C473" s="253" t="s">
        <v>246</v>
      </c>
    </row>
    <row r="474" spans="1:3" x14ac:dyDescent="0.25">
      <c r="A474" s="253" t="s">
        <v>1745</v>
      </c>
      <c r="B474" s="253" t="s">
        <v>1744</v>
      </c>
      <c r="C474" s="253" t="s">
        <v>1743</v>
      </c>
    </row>
    <row r="475" spans="1:3" x14ac:dyDescent="0.25">
      <c r="A475" s="253" t="s">
        <v>1742</v>
      </c>
      <c r="B475" s="253" t="s">
        <v>1741</v>
      </c>
      <c r="C475" s="253" t="s">
        <v>1740</v>
      </c>
    </row>
    <row r="476" spans="1:3" x14ac:dyDescent="0.25">
      <c r="A476" s="253" t="s">
        <v>1739</v>
      </c>
      <c r="B476" s="253" t="s">
        <v>1738</v>
      </c>
      <c r="C476" s="253" t="s">
        <v>232</v>
      </c>
    </row>
    <row r="477" spans="1:3" x14ac:dyDescent="0.25">
      <c r="A477" s="253" t="s">
        <v>1737</v>
      </c>
      <c r="B477" s="253" t="s">
        <v>1736</v>
      </c>
      <c r="C477" s="253" t="s">
        <v>1735</v>
      </c>
    </row>
    <row r="478" spans="1:3" x14ac:dyDescent="0.25">
      <c r="A478" s="253" t="s">
        <v>1734</v>
      </c>
      <c r="B478" s="253" t="s">
        <v>408</v>
      </c>
      <c r="C478" s="253" t="s">
        <v>1733</v>
      </c>
    </row>
    <row r="479" spans="1:3" x14ac:dyDescent="0.25">
      <c r="A479" s="253" t="s">
        <v>1732</v>
      </c>
      <c r="B479" s="253" t="s">
        <v>1731</v>
      </c>
      <c r="C479" s="253" t="s">
        <v>1730</v>
      </c>
    </row>
    <row r="480" spans="1:3" x14ac:dyDescent="0.25">
      <c r="A480" s="253" t="s">
        <v>1729</v>
      </c>
      <c r="B480" s="253" t="s">
        <v>1728</v>
      </c>
      <c r="C480" s="253" t="s">
        <v>1727</v>
      </c>
    </row>
    <row r="481" spans="1:3" x14ac:dyDescent="0.25">
      <c r="A481" s="253" t="s">
        <v>1726</v>
      </c>
      <c r="B481" s="253" t="s">
        <v>1725</v>
      </c>
      <c r="C481" s="253" t="s">
        <v>1724</v>
      </c>
    </row>
    <row r="482" spans="1:3" x14ac:dyDescent="0.25">
      <c r="A482" s="253" t="s">
        <v>1723</v>
      </c>
      <c r="B482" s="253" t="s">
        <v>1722</v>
      </c>
      <c r="C482" s="253" t="s">
        <v>1721</v>
      </c>
    </row>
    <row r="483" spans="1:3" x14ac:dyDescent="0.25">
      <c r="A483" s="253" t="s">
        <v>1720</v>
      </c>
      <c r="B483" s="253" t="s">
        <v>547</v>
      </c>
      <c r="C483" s="253" t="s">
        <v>124</v>
      </c>
    </row>
    <row r="484" spans="1:3" x14ac:dyDescent="0.25">
      <c r="A484" s="253" t="s">
        <v>1719</v>
      </c>
      <c r="B484" s="253" t="s">
        <v>1718</v>
      </c>
      <c r="C484" s="253" t="s">
        <v>1717</v>
      </c>
    </row>
    <row r="485" spans="1:3" x14ac:dyDescent="0.25">
      <c r="A485" s="253" t="s">
        <v>1716</v>
      </c>
      <c r="B485" s="253" t="s">
        <v>1715</v>
      </c>
      <c r="C485" s="253" t="s">
        <v>1714</v>
      </c>
    </row>
    <row r="486" spans="1:3" x14ac:dyDescent="0.25">
      <c r="A486" s="253" t="s">
        <v>1713</v>
      </c>
      <c r="B486" s="253" t="s">
        <v>1712</v>
      </c>
      <c r="C486" s="253" t="s">
        <v>1712</v>
      </c>
    </row>
    <row r="487" spans="1:3" x14ac:dyDescent="0.25">
      <c r="A487" s="253" t="s">
        <v>1711</v>
      </c>
      <c r="B487" s="253" t="s">
        <v>1710</v>
      </c>
      <c r="C487" s="253" t="s">
        <v>1709</v>
      </c>
    </row>
    <row r="488" spans="1:3" x14ac:dyDescent="0.25">
      <c r="A488" s="253" t="s">
        <v>1708</v>
      </c>
      <c r="B488" s="253" t="s">
        <v>538</v>
      </c>
      <c r="C488" s="253" t="s">
        <v>157</v>
      </c>
    </row>
    <row r="489" spans="1:3" x14ac:dyDescent="0.25">
      <c r="A489" s="253" t="s">
        <v>1707</v>
      </c>
      <c r="B489" s="253" t="s">
        <v>1706</v>
      </c>
      <c r="C489" s="253" t="s">
        <v>1705</v>
      </c>
    </row>
    <row r="490" spans="1:3" x14ac:dyDescent="0.25">
      <c r="A490" s="253" t="s">
        <v>1704</v>
      </c>
      <c r="B490" s="253" t="s">
        <v>1703</v>
      </c>
      <c r="C490" s="253" t="s">
        <v>511</v>
      </c>
    </row>
    <row r="491" spans="1:3" x14ac:dyDescent="0.25">
      <c r="A491" s="253" t="s">
        <v>674</v>
      </c>
      <c r="B491" s="253" t="s">
        <v>1702</v>
      </c>
      <c r="C491" s="253" t="s">
        <v>1701</v>
      </c>
    </row>
    <row r="492" spans="1:3" x14ac:dyDescent="0.25">
      <c r="A492" s="253" t="s">
        <v>1700</v>
      </c>
      <c r="B492" s="253" t="s">
        <v>1699</v>
      </c>
      <c r="C492" s="253" t="s">
        <v>1698</v>
      </c>
    </row>
    <row r="493" spans="1:3" x14ac:dyDescent="0.25">
      <c r="A493" s="253" t="s">
        <v>1697</v>
      </c>
      <c r="B493" s="253" t="s">
        <v>1696</v>
      </c>
      <c r="C493" s="253" t="s">
        <v>1695</v>
      </c>
    </row>
    <row r="494" spans="1:3" x14ac:dyDescent="0.25">
      <c r="A494" s="253" t="s">
        <v>1694</v>
      </c>
      <c r="B494" s="253" t="s">
        <v>552</v>
      </c>
      <c r="C494" s="253" t="s">
        <v>1693</v>
      </c>
    </row>
    <row r="495" spans="1:3" x14ac:dyDescent="0.25">
      <c r="A495" s="253" t="s">
        <v>1692</v>
      </c>
      <c r="B495" s="253" t="s">
        <v>1691</v>
      </c>
      <c r="C495" s="253" t="s">
        <v>1690</v>
      </c>
    </row>
    <row r="496" spans="1:3" x14ac:dyDescent="0.25">
      <c r="A496" s="253" t="s">
        <v>1689</v>
      </c>
      <c r="B496" s="253" t="s">
        <v>1688</v>
      </c>
      <c r="C496" s="253" t="s">
        <v>1688</v>
      </c>
    </row>
    <row r="497" spans="1:3" x14ac:dyDescent="0.25">
      <c r="A497" s="253" t="s">
        <v>1687</v>
      </c>
      <c r="B497" s="253" t="s">
        <v>1686</v>
      </c>
      <c r="C497" s="253" t="s">
        <v>1685</v>
      </c>
    </row>
    <row r="498" spans="1:3" x14ac:dyDescent="0.25">
      <c r="A498" s="253" t="s">
        <v>1684</v>
      </c>
      <c r="B498" s="253" t="s">
        <v>1683</v>
      </c>
      <c r="C498" s="253" t="s">
        <v>1682</v>
      </c>
    </row>
    <row r="499" spans="1:3" x14ac:dyDescent="0.25">
      <c r="A499" s="253" t="s">
        <v>1681</v>
      </c>
      <c r="B499" s="253" t="s">
        <v>556</v>
      </c>
      <c r="C499" s="253" t="s">
        <v>557</v>
      </c>
    </row>
    <row r="500" spans="1:3" x14ac:dyDescent="0.25">
      <c r="A500" s="253" t="s">
        <v>1680</v>
      </c>
      <c r="B500" s="253" t="s">
        <v>1679</v>
      </c>
      <c r="C500" s="253" t="s">
        <v>1679</v>
      </c>
    </row>
    <row r="501" spans="1:3" x14ac:dyDescent="0.25">
      <c r="A501" s="253" t="s">
        <v>1678</v>
      </c>
      <c r="B501" s="253" t="s">
        <v>376</v>
      </c>
      <c r="C501" s="253" t="s">
        <v>1677</v>
      </c>
    </row>
    <row r="502" spans="1:3" x14ac:dyDescent="0.25">
      <c r="A502" s="253" t="s">
        <v>233</v>
      </c>
      <c r="B502" s="253" t="s">
        <v>567</v>
      </c>
      <c r="C502" s="253" t="s">
        <v>49</v>
      </c>
    </row>
    <row r="503" spans="1:3" x14ac:dyDescent="0.25">
      <c r="A503" s="253" t="s">
        <v>1676</v>
      </c>
      <c r="B503" s="253" t="s">
        <v>387</v>
      </c>
      <c r="C503" s="253" t="s">
        <v>240</v>
      </c>
    </row>
    <row r="504" spans="1:3" x14ac:dyDescent="0.25">
      <c r="A504" s="253" t="s">
        <v>1675</v>
      </c>
      <c r="B504" s="253" t="s">
        <v>363</v>
      </c>
      <c r="C504" s="253" t="s">
        <v>488</v>
      </c>
    </row>
    <row r="505" spans="1:3" x14ac:dyDescent="0.25">
      <c r="A505" s="253" t="s">
        <v>1674</v>
      </c>
      <c r="B505" s="253" t="s">
        <v>1673</v>
      </c>
      <c r="C505" s="253" t="s">
        <v>456</v>
      </c>
    </row>
    <row r="506" spans="1:3" x14ac:dyDescent="0.25">
      <c r="A506" s="253" t="s">
        <v>1672</v>
      </c>
      <c r="B506" s="253" t="s">
        <v>1671</v>
      </c>
      <c r="C506" s="253" t="s">
        <v>1670</v>
      </c>
    </row>
    <row r="507" spans="1:3" x14ac:dyDescent="0.25">
      <c r="A507" s="253" t="s">
        <v>1669</v>
      </c>
      <c r="B507" s="253" t="s">
        <v>1668</v>
      </c>
      <c r="C507" s="253" t="s">
        <v>1667</v>
      </c>
    </row>
    <row r="508" spans="1:3" x14ac:dyDescent="0.25">
      <c r="A508" s="253" t="s">
        <v>1666</v>
      </c>
      <c r="B508" s="253" t="s">
        <v>1665</v>
      </c>
      <c r="C508" s="253" t="s">
        <v>1664</v>
      </c>
    </row>
    <row r="509" spans="1:3" x14ac:dyDescent="0.25">
      <c r="A509" s="253" t="s">
        <v>1663</v>
      </c>
      <c r="B509" s="253" t="s">
        <v>1662</v>
      </c>
      <c r="C509" s="253" t="s">
        <v>1661</v>
      </c>
    </row>
    <row r="510" spans="1:3" x14ac:dyDescent="0.25">
      <c r="A510" s="253" t="s">
        <v>1660</v>
      </c>
      <c r="B510" s="253" t="s">
        <v>1659</v>
      </c>
      <c r="C510" s="253" t="s">
        <v>1658</v>
      </c>
    </row>
    <row r="511" spans="1:3" x14ac:dyDescent="0.25">
      <c r="A511" s="253" t="s">
        <v>1657</v>
      </c>
      <c r="B511" s="253" t="s">
        <v>1656</v>
      </c>
      <c r="C511" s="253" t="s">
        <v>1655</v>
      </c>
    </row>
    <row r="512" spans="1:3" x14ac:dyDescent="0.25">
      <c r="A512" s="253" t="s">
        <v>1654</v>
      </c>
      <c r="B512" s="253" t="s">
        <v>390</v>
      </c>
      <c r="C512" s="253" t="s">
        <v>1653</v>
      </c>
    </row>
    <row r="513" spans="1:3" x14ac:dyDescent="0.25">
      <c r="A513" s="253" t="s">
        <v>1652</v>
      </c>
      <c r="B513" s="253" t="s">
        <v>1651</v>
      </c>
      <c r="C513" s="253" t="s">
        <v>1650</v>
      </c>
    </row>
    <row r="514" spans="1:3" x14ac:dyDescent="0.25">
      <c r="A514" s="253" t="s">
        <v>1649</v>
      </c>
      <c r="B514" s="253" t="s">
        <v>1648</v>
      </c>
      <c r="C514" s="253" t="s">
        <v>1647</v>
      </c>
    </row>
    <row r="515" spans="1:3" x14ac:dyDescent="0.25">
      <c r="A515" s="253" t="s">
        <v>1646</v>
      </c>
      <c r="B515" s="253" t="s">
        <v>1645</v>
      </c>
      <c r="C515" s="253" t="s">
        <v>1644</v>
      </c>
    </row>
    <row r="516" spans="1:3" x14ac:dyDescent="0.25">
      <c r="A516" s="253" t="s">
        <v>1643</v>
      </c>
      <c r="B516" s="253" t="s">
        <v>1642</v>
      </c>
      <c r="C516" s="253" t="s">
        <v>1641</v>
      </c>
    </row>
    <row r="517" spans="1:3" x14ac:dyDescent="0.25">
      <c r="A517" s="253" t="s">
        <v>1640</v>
      </c>
      <c r="B517" s="253" t="s">
        <v>1639</v>
      </c>
      <c r="C517" s="253" t="s">
        <v>1638</v>
      </c>
    </row>
    <row r="518" spans="1:3" x14ac:dyDescent="0.25">
      <c r="A518" s="253" t="s">
        <v>1637</v>
      </c>
      <c r="B518" s="253" t="s">
        <v>1636</v>
      </c>
      <c r="C518" s="253" t="s">
        <v>1635</v>
      </c>
    </row>
    <row r="519" spans="1:3" x14ac:dyDescent="0.25">
      <c r="A519" s="253" t="s">
        <v>1634</v>
      </c>
      <c r="B519" s="253" t="s">
        <v>1633</v>
      </c>
      <c r="C519" s="253" t="s">
        <v>1632</v>
      </c>
    </row>
    <row r="520" spans="1:3" x14ac:dyDescent="0.25">
      <c r="A520" s="253" t="s">
        <v>1631</v>
      </c>
      <c r="B520" s="253" t="s">
        <v>1630</v>
      </c>
      <c r="C520" s="253" t="s">
        <v>1629</v>
      </c>
    </row>
    <row r="521" spans="1:3" x14ac:dyDescent="0.25">
      <c r="A521" s="253" t="s">
        <v>1628</v>
      </c>
      <c r="B521" s="253" t="s">
        <v>1627</v>
      </c>
      <c r="C521" s="253" t="s">
        <v>1626</v>
      </c>
    </row>
    <row r="522" spans="1:3" x14ac:dyDescent="0.25">
      <c r="A522" s="253" t="s">
        <v>1625</v>
      </c>
      <c r="B522" s="253" t="s">
        <v>1624</v>
      </c>
      <c r="C522" s="253" t="s">
        <v>1623</v>
      </c>
    </row>
    <row r="523" spans="1:3" x14ac:dyDescent="0.25">
      <c r="A523" s="253" t="s">
        <v>1622</v>
      </c>
      <c r="B523" s="253" t="s">
        <v>1621</v>
      </c>
      <c r="C523" s="253" t="s">
        <v>475</v>
      </c>
    </row>
    <row r="524" spans="1:3" x14ac:dyDescent="0.25">
      <c r="A524" s="253" t="s">
        <v>1620</v>
      </c>
      <c r="B524" s="253" t="s">
        <v>1619</v>
      </c>
      <c r="C524" s="253" t="s">
        <v>1618</v>
      </c>
    </row>
    <row r="525" spans="1:3" x14ac:dyDescent="0.25">
      <c r="A525" s="253" t="s">
        <v>1617</v>
      </c>
      <c r="B525" s="253" t="s">
        <v>1616</v>
      </c>
      <c r="C525" s="253" t="s">
        <v>1615</v>
      </c>
    </row>
    <row r="526" spans="1:3" x14ac:dyDescent="0.25">
      <c r="A526" s="253" t="s">
        <v>1614</v>
      </c>
      <c r="B526" s="253" t="s">
        <v>1613</v>
      </c>
      <c r="C526" s="253" t="s">
        <v>1612</v>
      </c>
    </row>
    <row r="527" spans="1:3" x14ac:dyDescent="0.25">
      <c r="A527" s="253" t="s">
        <v>1611</v>
      </c>
      <c r="B527" s="253" t="s">
        <v>1610</v>
      </c>
      <c r="C527" s="253" t="s">
        <v>1609</v>
      </c>
    </row>
    <row r="528" spans="1:3" x14ac:dyDescent="0.25">
      <c r="A528" s="253" t="s">
        <v>1608</v>
      </c>
      <c r="B528" s="253" t="s">
        <v>377</v>
      </c>
      <c r="C528" s="253" t="s">
        <v>1607</v>
      </c>
    </row>
    <row r="529" spans="1:3" x14ac:dyDescent="0.25">
      <c r="A529" s="253" t="s">
        <v>1606</v>
      </c>
      <c r="B529" s="253" t="s">
        <v>1605</v>
      </c>
      <c r="C529" s="253" t="s">
        <v>1604</v>
      </c>
    </row>
    <row r="530" spans="1:3" x14ac:dyDescent="0.25">
      <c r="A530" s="253" t="s">
        <v>1603</v>
      </c>
      <c r="B530" s="253" t="s">
        <v>1602</v>
      </c>
      <c r="C530" s="253" t="s">
        <v>1601</v>
      </c>
    </row>
    <row r="531" spans="1:3" x14ac:dyDescent="0.25">
      <c r="A531" s="253" t="s">
        <v>1600</v>
      </c>
      <c r="B531" s="253" t="s">
        <v>1599</v>
      </c>
      <c r="C531" s="253" t="s">
        <v>1598</v>
      </c>
    </row>
    <row r="532" spans="1:3" x14ac:dyDescent="0.25">
      <c r="A532" s="253" t="s">
        <v>1597</v>
      </c>
      <c r="B532" s="253" t="s">
        <v>1596</v>
      </c>
      <c r="C532" s="253" t="s">
        <v>1595</v>
      </c>
    </row>
    <row r="533" spans="1:3" x14ac:dyDescent="0.25">
      <c r="A533" s="253" t="s">
        <v>1594</v>
      </c>
      <c r="B533" s="253" t="s">
        <v>1593</v>
      </c>
      <c r="C533" s="253" t="s">
        <v>1592</v>
      </c>
    </row>
    <row r="534" spans="1:3" x14ac:dyDescent="0.25">
      <c r="A534" s="253" t="s">
        <v>1591</v>
      </c>
      <c r="B534" s="253" t="s">
        <v>1590</v>
      </c>
      <c r="C534" s="253" t="s">
        <v>1589</v>
      </c>
    </row>
    <row r="535" spans="1:3" x14ac:dyDescent="0.25">
      <c r="A535" s="253" t="s">
        <v>1588</v>
      </c>
      <c r="B535" s="253" t="s">
        <v>1587</v>
      </c>
      <c r="C535" s="253" t="s">
        <v>1586</v>
      </c>
    </row>
    <row r="536" spans="1:3" x14ac:dyDescent="0.25">
      <c r="A536" s="253" t="s">
        <v>1585</v>
      </c>
      <c r="B536" s="253" t="s">
        <v>1584</v>
      </c>
      <c r="C536" s="253" t="s">
        <v>1583</v>
      </c>
    </row>
    <row r="537" spans="1:3" x14ac:dyDescent="0.25">
      <c r="A537" s="253" t="s">
        <v>1582</v>
      </c>
      <c r="B537" s="253" t="s">
        <v>1581</v>
      </c>
      <c r="C537" s="253" t="s">
        <v>1580</v>
      </c>
    </row>
    <row r="538" spans="1:3" x14ac:dyDescent="0.25">
      <c r="A538" s="253" t="s">
        <v>1579</v>
      </c>
      <c r="B538" s="253" t="s">
        <v>525</v>
      </c>
      <c r="C538" s="253" t="s">
        <v>1578</v>
      </c>
    </row>
    <row r="539" spans="1:3" x14ac:dyDescent="0.25">
      <c r="A539" s="253" t="s">
        <v>1577</v>
      </c>
      <c r="B539" s="253" t="s">
        <v>276</v>
      </c>
      <c r="C539" s="253" t="s">
        <v>241</v>
      </c>
    </row>
    <row r="540" spans="1:3" x14ac:dyDescent="0.25">
      <c r="A540" s="253" t="s">
        <v>1576</v>
      </c>
      <c r="B540" s="253" t="s">
        <v>1575</v>
      </c>
      <c r="C540" s="253" t="s">
        <v>1574</v>
      </c>
    </row>
    <row r="541" spans="1:3" x14ac:dyDescent="0.25">
      <c r="A541" s="253" t="s">
        <v>1573</v>
      </c>
      <c r="B541" s="253" t="s">
        <v>1572</v>
      </c>
      <c r="C541" s="253" t="s">
        <v>1572</v>
      </c>
    </row>
    <row r="542" spans="1:3" x14ac:dyDescent="0.25">
      <c r="A542" s="253" t="s">
        <v>1571</v>
      </c>
      <c r="B542" s="253" t="s">
        <v>1570</v>
      </c>
      <c r="C542" s="253" t="s">
        <v>1569</v>
      </c>
    </row>
    <row r="543" spans="1:3" x14ac:dyDescent="0.25">
      <c r="A543" s="253" t="s">
        <v>1568</v>
      </c>
      <c r="B543" s="253" t="s">
        <v>1567</v>
      </c>
      <c r="C543" s="253" t="s">
        <v>1566</v>
      </c>
    </row>
    <row r="544" spans="1:3" x14ac:dyDescent="0.25">
      <c r="A544" s="253" t="s">
        <v>1565</v>
      </c>
      <c r="B544" s="253" t="s">
        <v>529</v>
      </c>
      <c r="C544" s="253" t="s">
        <v>1564</v>
      </c>
    </row>
    <row r="545" spans="1:3" x14ac:dyDescent="0.25">
      <c r="A545" s="253" t="s">
        <v>1563</v>
      </c>
      <c r="B545" s="253" t="s">
        <v>1562</v>
      </c>
      <c r="C545" s="253" t="s">
        <v>1561</v>
      </c>
    </row>
    <row r="546" spans="1:3" x14ac:dyDescent="0.25">
      <c r="A546" s="253" t="s">
        <v>1560</v>
      </c>
      <c r="B546" s="253" t="s">
        <v>1559</v>
      </c>
      <c r="C546" s="253" t="s">
        <v>1559</v>
      </c>
    </row>
    <row r="547" spans="1:3" x14ac:dyDescent="0.25">
      <c r="A547" s="253" t="s">
        <v>1558</v>
      </c>
      <c r="B547" s="253" t="s">
        <v>1557</v>
      </c>
      <c r="C547" s="253" t="s">
        <v>1556</v>
      </c>
    </row>
    <row r="548" spans="1:3" x14ac:dyDescent="0.25">
      <c r="A548" s="253" t="s">
        <v>1555</v>
      </c>
      <c r="B548" s="253" t="s">
        <v>1554</v>
      </c>
      <c r="C548" s="253" t="s">
        <v>1553</v>
      </c>
    </row>
    <row r="549" spans="1:3" x14ac:dyDescent="0.25">
      <c r="A549" s="253" t="s">
        <v>1552</v>
      </c>
      <c r="B549" s="253" t="s">
        <v>317</v>
      </c>
      <c r="C549" s="253" t="s">
        <v>1551</v>
      </c>
    </row>
    <row r="550" spans="1:3" x14ac:dyDescent="0.25">
      <c r="A550" s="253" t="s">
        <v>1550</v>
      </c>
      <c r="B550" s="253" t="s">
        <v>1549</v>
      </c>
      <c r="C550" s="253" t="s">
        <v>1548</v>
      </c>
    </row>
    <row r="551" spans="1:3" x14ac:dyDescent="0.25">
      <c r="A551" s="253" t="s">
        <v>1547</v>
      </c>
      <c r="B551" s="253" t="s">
        <v>1546</v>
      </c>
      <c r="C551" s="253" t="s">
        <v>1545</v>
      </c>
    </row>
    <row r="552" spans="1:3" x14ac:dyDescent="0.25">
      <c r="A552" s="253" t="s">
        <v>1544</v>
      </c>
      <c r="B552" s="253" t="s">
        <v>1543</v>
      </c>
      <c r="C552" s="253" t="s">
        <v>1542</v>
      </c>
    </row>
    <row r="553" spans="1:3" x14ac:dyDescent="0.25">
      <c r="A553" s="253" t="s">
        <v>1541</v>
      </c>
      <c r="B553" s="253" t="s">
        <v>1540</v>
      </c>
      <c r="C553" s="253" t="s">
        <v>1539</v>
      </c>
    </row>
    <row r="554" spans="1:3" x14ac:dyDescent="0.25">
      <c r="A554" s="253" t="s">
        <v>1538</v>
      </c>
      <c r="B554" s="253" t="s">
        <v>543</v>
      </c>
      <c r="C554" s="253" t="s">
        <v>234</v>
      </c>
    </row>
    <row r="555" spans="1:3" x14ac:dyDescent="0.25">
      <c r="A555" s="253" t="s">
        <v>1537</v>
      </c>
      <c r="B555" s="253" t="s">
        <v>1536</v>
      </c>
      <c r="C555" s="253" t="s">
        <v>1535</v>
      </c>
    </row>
    <row r="556" spans="1:3" x14ac:dyDescent="0.25">
      <c r="A556" s="253" t="s">
        <v>1534</v>
      </c>
      <c r="B556" s="253" t="s">
        <v>1533</v>
      </c>
      <c r="C556" s="253" t="s">
        <v>1532</v>
      </c>
    </row>
    <row r="557" spans="1:3" x14ac:dyDescent="0.25">
      <c r="A557" s="253" t="s">
        <v>1531</v>
      </c>
      <c r="B557" s="253" t="s">
        <v>1530</v>
      </c>
      <c r="C557" s="253" t="s">
        <v>1529</v>
      </c>
    </row>
    <row r="558" spans="1:3" x14ac:dyDescent="0.25">
      <c r="A558" s="253" t="s">
        <v>1528</v>
      </c>
      <c r="B558" s="253" t="s">
        <v>568</v>
      </c>
      <c r="C558" s="253" t="s">
        <v>152</v>
      </c>
    </row>
    <row r="559" spans="1:3" x14ac:dyDescent="0.25">
      <c r="A559" s="253" t="s">
        <v>1527</v>
      </c>
      <c r="B559" s="253" t="s">
        <v>1526</v>
      </c>
      <c r="C559" s="253" t="s">
        <v>1525</v>
      </c>
    </row>
    <row r="560" spans="1:3" x14ac:dyDescent="0.25">
      <c r="A560" s="253" t="s">
        <v>1524</v>
      </c>
      <c r="B560" s="253" t="s">
        <v>1523</v>
      </c>
      <c r="C560" s="253" t="s">
        <v>1522</v>
      </c>
    </row>
    <row r="561" spans="1:3" x14ac:dyDescent="0.25">
      <c r="A561" s="253" t="s">
        <v>1521</v>
      </c>
      <c r="B561" s="253" t="s">
        <v>1520</v>
      </c>
      <c r="C561" s="253" t="s">
        <v>1520</v>
      </c>
    </row>
    <row r="562" spans="1:3" x14ac:dyDescent="0.25">
      <c r="A562" s="253" t="s">
        <v>1519</v>
      </c>
      <c r="B562" s="253" t="s">
        <v>1518</v>
      </c>
      <c r="C562" s="253" t="s">
        <v>1518</v>
      </c>
    </row>
    <row r="563" spans="1:3" x14ac:dyDescent="0.25">
      <c r="A563" s="253" t="s">
        <v>1517</v>
      </c>
      <c r="B563" s="253" t="s">
        <v>1516</v>
      </c>
      <c r="C563" s="253" t="s">
        <v>1515</v>
      </c>
    </row>
    <row r="564" spans="1:3" x14ac:dyDescent="0.25">
      <c r="A564" s="253" t="s">
        <v>1514</v>
      </c>
      <c r="B564" s="253" t="s">
        <v>1513</v>
      </c>
      <c r="C564" s="253" t="s">
        <v>1512</v>
      </c>
    </row>
    <row r="565" spans="1:3" x14ac:dyDescent="0.25">
      <c r="A565" s="253" t="s">
        <v>1511</v>
      </c>
      <c r="B565" s="253" t="s">
        <v>1510</v>
      </c>
      <c r="C565" s="253" t="s">
        <v>1509</v>
      </c>
    </row>
    <row r="566" spans="1:3" x14ac:dyDescent="0.25">
      <c r="A566" s="253" t="s">
        <v>1508</v>
      </c>
      <c r="B566" s="253" t="s">
        <v>1507</v>
      </c>
      <c r="C566" s="253" t="s">
        <v>1506</v>
      </c>
    </row>
    <row r="567" spans="1:3" x14ac:dyDescent="0.25">
      <c r="A567" s="253" t="s">
        <v>1505</v>
      </c>
      <c r="B567" s="253" t="s">
        <v>1504</v>
      </c>
      <c r="C567" s="253" t="s">
        <v>1503</v>
      </c>
    </row>
    <row r="568" spans="1:3" x14ac:dyDescent="0.25">
      <c r="A568" s="253" t="s">
        <v>1502</v>
      </c>
      <c r="B568" s="253" t="s">
        <v>517</v>
      </c>
      <c r="C568" s="253" t="s">
        <v>1501</v>
      </c>
    </row>
    <row r="569" spans="1:3" x14ac:dyDescent="0.25">
      <c r="A569" s="253" t="s">
        <v>1500</v>
      </c>
      <c r="B569" s="253" t="s">
        <v>1499</v>
      </c>
      <c r="C569" s="253" t="s">
        <v>1498</v>
      </c>
    </row>
    <row r="570" spans="1:3" x14ac:dyDescent="0.25">
      <c r="A570" s="253" t="s">
        <v>1497</v>
      </c>
      <c r="B570" s="253" t="s">
        <v>1496</v>
      </c>
      <c r="C570" s="253" t="s">
        <v>1495</v>
      </c>
    </row>
    <row r="571" spans="1:3" x14ac:dyDescent="0.25">
      <c r="A571" s="253" t="s">
        <v>1494</v>
      </c>
      <c r="B571" s="253" t="s">
        <v>1493</v>
      </c>
      <c r="C571" s="253" t="s">
        <v>1492</v>
      </c>
    </row>
    <row r="572" spans="1:3" x14ac:dyDescent="0.25">
      <c r="A572" s="253" t="s">
        <v>1491</v>
      </c>
      <c r="B572" s="253" t="s">
        <v>1490</v>
      </c>
      <c r="C572" s="253" t="s">
        <v>244</v>
      </c>
    </row>
    <row r="573" spans="1:3" x14ac:dyDescent="0.25">
      <c r="A573" s="253" t="s">
        <v>1489</v>
      </c>
      <c r="B573" s="253" t="s">
        <v>1488</v>
      </c>
      <c r="C573" s="253" t="s">
        <v>1488</v>
      </c>
    </row>
    <row r="574" spans="1:3" x14ac:dyDescent="0.25">
      <c r="A574" s="253" t="s">
        <v>1487</v>
      </c>
      <c r="B574" s="253" t="s">
        <v>1486</v>
      </c>
      <c r="C574" s="253" t="s">
        <v>496</v>
      </c>
    </row>
    <row r="575" spans="1:3" x14ac:dyDescent="0.25">
      <c r="A575" s="253" t="s">
        <v>625</v>
      </c>
      <c r="B575" s="253" t="s">
        <v>1485</v>
      </c>
      <c r="C575" s="253" t="s">
        <v>1484</v>
      </c>
    </row>
    <row r="576" spans="1:3" x14ac:dyDescent="0.25">
      <c r="A576" s="253" t="s">
        <v>1483</v>
      </c>
      <c r="B576" s="253" t="s">
        <v>536</v>
      </c>
      <c r="C576" s="253" t="s">
        <v>472</v>
      </c>
    </row>
    <row r="577" spans="1:3" x14ac:dyDescent="0.25">
      <c r="A577" s="253" t="s">
        <v>1482</v>
      </c>
      <c r="B577" s="253" t="s">
        <v>1481</v>
      </c>
      <c r="C577" s="253" t="s">
        <v>1480</v>
      </c>
    </row>
    <row r="578" spans="1:3" x14ac:dyDescent="0.25">
      <c r="A578" s="253" t="s">
        <v>679</v>
      </c>
      <c r="B578" s="253" t="s">
        <v>1479</v>
      </c>
      <c r="C578" s="253" t="s">
        <v>1478</v>
      </c>
    </row>
    <row r="579" spans="1:3" x14ac:dyDescent="0.25">
      <c r="A579" s="253" t="s">
        <v>1477</v>
      </c>
      <c r="B579" s="253" t="s">
        <v>284</v>
      </c>
      <c r="C579" s="253" t="s">
        <v>242</v>
      </c>
    </row>
    <row r="580" spans="1:3" x14ac:dyDescent="0.25">
      <c r="A580" s="253" t="s">
        <v>1476</v>
      </c>
      <c r="B580" s="253" t="s">
        <v>1475</v>
      </c>
      <c r="C580" s="253" t="s">
        <v>1474</v>
      </c>
    </row>
    <row r="581" spans="1:3" x14ac:dyDescent="0.25">
      <c r="A581" s="253" t="s">
        <v>1473</v>
      </c>
      <c r="B581" s="253" t="s">
        <v>1472</v>
      </c>
      <c r="C581" s="253" t="s">
        <v>1471</v>
      </c>
    </row>
    <row r="582" spans="1:3" x14ac:dyDescent="0.25">
      <c r="A582" s="253" t="s">
        <v>1470</v>
      </c>
      <c r="B582" s="253" t="s">
        <v>1469</v>
      </c>
      <c r="C582" s="253" t="s">
        <v>1468</v>
      </c>
    </row>
    <row r="583" spans="1:3" x14ac:dyDescent="0.25">
      <c r="A583" s="253" t="s">
        <v>1467</v>
      </c>
      <c r="B583" s="253" t="s">
        <v>1466</v>
      </c>
      <c r="C583" s="253" t="s">
        <v>1465</v>
      </c>
    </row>
    <row r="584" spans="1:3" x14ac:dyDescent="0.25">
      <c r="A584" s="253" t="s">
        <v>1464</v>
      </c>
      <c r="B584" s="253" t="s">
        <v>1463</v>
      </c>
      <c r="C584" s="253" t="s">
        <v>1462</v>
      </c>
    </row>
    <row r="585" spans="1:3" x14ac:dyDescent="0.25">
      <c r="A585" s="253" t="s">
        <v>1461</v>
      </c>
      <c r="B585" s="253" t="s">
        <v>1460</v>
      </c>
      <c r="C585" s="253" t="s">
        <v>1460</v>
      </c>
    </row>
    <row r="586" spans="1:3" x14ac:dyDescent="0.25">
      <c r="A586" s="253" t="s">
        <v>1459</v>
      </c>
      <c r="B586" s="253" t="s">
        <v>1458</v>
      </c>
      <c r="C586" s="253" t="s">
        <v>1457</v>
      </c>
    </row>
    <row r="587" spans="1:3" x14ac:dyDescent="0.25">
      <c r="A587" s="253" t="s">
        <v>1456</v>
      </c>
      <c r="B587" s="253" t="s">
        <v>1455</v>
      </c>
      <c r="C587" s="253" t="s">
        <v>1454</v>
      </c>
    </row>
    <row r="588" spans="1:3" x14ac:dyDescent="0.25">
      <c r="A588" s="253" t="s">
        <v>1453</v>
      </c>
      <c r="B588" s="253" t="s">
        <v>1452</v>
      </c>
      <c r="C588" s="253" t="s">
        <v>1451</v>
      </c>
    </row>
    <row r="589" spans="1:3" x14ac:dyDescent="0.25">
      <c r="A589" s="253" t="s">
        <v>1450</v>
      </c>
      <c r="B589" s="253" t="s">
        <v>1449</v>
      </c>
      <c r="C589" s="253" t="s">
        <v>51</v>
      </c>
    </row>
    <row r="590" spans="1:3" x14ac:dyDescent="0.25">
      <c r="A590" s="253" t="s">
        <v>1448</v>
      </c>
      <c r="B590" s="253" t="s">
        <v>1447</v>
      </c>
      <c r="C590" s="253" t="s">
        <v>1446</v>
      </c>
    </row>
    <row r="591" spans="1:3" x14ac:dyDescent="0.25">
      <c r="A591" s="253" t="s">
        <v>1445</v>
      </c>
      <c r="B591" s="253" t="s">
        <v>1444</v>
      </c>
      <c r="C591" s="253" t="s">
        <v>1443</v>
      </c>
    </row>
    <row r="592" spans="1:3" x14ac:dyDescent="0.25">
      <c r="A592" s="253" t="s">
        <v>1442</v>
      </c>
      <c r="B592" s="253" t="s">
        <v>1441</v>
      </c>
      <c r="C592" s="253" t="s">
        <v>1440</v>
      </c>
    </row>
    <row r="593" spans="1:3" x14ac:dyDescent="0.25">
      <c r="A593" s="253" t="s">
        <v>1439</v>
      </c>
      <c r="B593" s="253" t="s">
        <v>1438</v>
      </c>
      <c r="C593" s="253" t="s">
        <v>1437</v>
      </c>
    </row>
    <row r="594" spans="1:3" x14ac:dyDescent="0.25">
      <c r="A594" s="253" t="s">
        <v>1436</v>
      </c>
      <c r="B594" s="253" t="s">
        <v>1435</v>
      </c>
      <c r="C594" s="253" t="s">
        <v>1434</v>
      </c>
    </row>
    <row r="595" spans="1:3" x14ac:dyDescent="0.25">
      <c r="A595" s="253" t="s">
        <v>1433</v>
      </c>
      <c r="B595" s="253" t="s">
        <v>1432</v>
      </c>
      <c r="C595" s="253" t="s">
        <v>1431</v>
      </c>
    </row>
    <row r="596" spans="1:3" x14ac:dyDescent="0.25">
      <c r="A596" s="253" t="s">
        <v>1430</v>
      </c>
      <c r="B596" s="253" t="s">
        <v>1429</v>
      </c>
      <c r="C596" s="253" t="s">
        <v>1428</v>
      </c>
    </row>
    <row r="597" spans="1:3" x14ac:dyDescent="0.25">
      <c r="A597" s="253" t="s">
        <v>1427</v>
      </c>
      <c r="B597" s="253" t="s">
        <v>1426</v>
      </c>
      <c r="C597" s="253" t="s">
        <v>1425</v>
      </c>
    </row>
    <row r="598" spans="1:3" x14ac:dyDescent="0.25">
      <c r="A598" s="253" t="s">
        <v>1424</v>
      </c>
      <c r="B598" s="253" t="s">
        <v>1423</v>
      </c>
      <c r="C598" s="253" t="s">
        <v>1422</v>
      </c>
    </row>
    <row r="599" spans="1:3" x14ac:dyDescent="0.25">
      <c r="A599" s="253" t="s">
        <v>1421</v>
      </c>
      <c r="B599" s="253" t="s">
        <v>1420</v>
      </c>
      <c r="C599" s="253" t="s">
        <v>1419</v>
      </c>
    </row>
    <row r="600" spans="1:3" x14ac:dyDescent="0.25">
      <c r="A600" s="253" t="s">
        <v>1418</v>
      </c>
      <c r="B600" s="253" t="s">
        <v>1417</v>
      </c>
      <c r="C600" s="253" t="s">
        <v>1416</v>
      </c>
    </row>
    <row r="601" spans="1:3" x14ac:dyDescent="0.25">
      <c r="A601" s="253" t="s">
        <v>1415</v>
      </c>
      <c r="B601" s="253" t="s">
        <v>287</v>
      </c>
      <c r="C601" s="253" t="s">
        <v>247</v>
      </c>
    </row>
    <row r="602" spans="1:3" x14ac:dyDescent="0.25">
      <c r="A602" s="253" t="s">
        <v>1414</v>
      </c>
      <c r="B602" s="253" t="s">
        <v>332</v>
      </c>
      <c r="C602" s="253" t="s">
        <v>1413</v>
      </c>
    </row>
    <row r="603" spans="1:3" x14ac:dyDescent="0.25">
      <c r="A603" s="253" t="s">
        <v>1412</v>
      </c>
      <c r="B603" s="253" t="s">
        <v>1411</v>
      </c>
      <c r="C603" s="253" t="s">
        <v>1411</v>
      </c>
    </row>
    <row r="604" spans="1:3" x14ac:dyDescent="0.25">
      <c r="A604" s="253" t="s">
        <v>1410</v>
      </c>
      <c r="B604" s="253" t="s">
        <v>531</v>
      </c>
      <c r="C604" s="253" t="s">
        <v>1409</v>
      </c>
    </row>
    <row r="605" spans="1:3" x14ac:dyDescent="0.25">
      <c r="A605" s="253" t="s">
        <v>1408</v>
      </c>
      <c r="B605" s="253" t="s">
        <v>381</v>
      </c>
      <c r="C605" s="253" t="s">
        <v>1407</v>
      </c>
    </row>
    <row r="606" spans="1:3" x14ac:dyDescent="0.25">
      <c r="A606" s="253" t="s">
        <v>1406</v>
      </c>
      <c r="B606" s="253" t="s">
        <v>1405</v>
      </c>
      <c r="C606" s="253" t="s">
        <v>188</v>
      </c>
    </row>
    <row r="607" spans="1:3" x14ac:dyDescent="0.25">
      <c r="A607" s="253" t="s">
        <v>1404</v>
      </c>
      <c r="B607" s="253" t="s">
        <v>1403</v>
      </c>
      <c r="C607" s="253" t="s">
        <v>1402</v>
      </c>
    </row>
    <row r="608" spans="1:3" x14ac:dyDescent="0.25">
      <c r="A608" s="253" t="s">
        <v>1401</v>
      </c>
      <c r="B608" s="253" t="s">
        <v>1400</v>
      </c>
      <c r="C608" s="253" t="s">
        <v>1399</v>
      </c>
    </row>
    <row r="609" spans="1:3" x14ac:dyDescent="0.25">
      <c r="A609" s="253" t="s">
        <v>1398</v>
      </c>
      <c r="B609" s="253" t="s">
        <v>1397</v>
      </c>
      <c r="C609" s="253" t="s">
        <v>68</v>
      </c>
    </row>
    <row r="610" spans="1:3" x14ac:dyDescent="0.25">
      <c r="A610" s="253" t="s">
        <v>1396</v>
      </c>
      <c r="B610" s="253" t="s">
        <v>1395</v>
      </c>
      <c r="C610" s="253" t="s">
        <v>1394</v>
      </c>
    </row>
    <row r="611" spans="1:3" x14ac:dyDescent="0.25">
      <c r="A611" s="253" t="s">
        <v>1393</v>
      </c>
      <c r="B611" s="253" t="s">
        <v>1392</v>
      </c>
      <c r="C611" s="253" t="s">
        <v>1391</v>
      </c>
    </row>
    <row r="612" spans="1:3" x14ac:dyDescent="0.25">
      <c r="A612" s="253" t="s">
        <v>1390</v>
      </c>
      <c r="B612" s="253" t="s">
        <v>1389</v>
      </c>
      <c r="C612" s="253" t="s">
        <v>1388</v>
      </c>
    </row>
    <row r="613" spans="1:3" x14ac:dyDescent="0.25">
      <c r="A613" s="253" t="s">
        <v>1387</v>
      </c>
      <c r="B613" s="253" t="s">
        <v>1386</v>
      </c>
      <c r="C613" s="253" t="s">
        <v>1385</v>
      </c>
    </row>
    <row r="614" spans="1:3" x14ac:dyDescent="0.25">
      <c r="A614" s="253" t="s">
        <v>1384</v>
      </c>
      <c r="B614" s="253" t="s">
        <v>1383</v>
      </c>
      <c r="C614" s="253" t="s">
        <v>1382</v>
      </c>
    </row>
    <row r="615" spans="1:3" x14ac:dyDescent="0.25">
      <c r="A615" s="253" t="s">
        <v>452</v>
      </c>
      <c r="B615" s="253" t="s">
        <v>1381</v>
      </c>
      <c r="C615" s="253" t="s">
        <v>66</v>
      </c>
    </row>
    <row r="616" spans="1:3" x14ac:dyDescent="0.25">
      <c r="A616" s="253" t="s">
        <v>1380</v>
      </c>
      <c r="B616" s="253" t="s">
        <v>1379</v>
      </c>
      <c r="C616" s="253" t="s">
        <v>1378</v>
      </c>
    </row>
    <row r="617" spans="1:3" x14ac:dyDescent="0.25">
      <c r="A617" s="253" t="s">
        <v>1377</v>
      </c>
      <c r="B617" s="253" t="s">
        <v>1376</v>
      </c>
      <c r="C617" s="253" t="s">
        <v>1375</v>
      </c>
    </row>
    <row r="618" spans="1:3" x14ac:dyDescent="0.25">
      <c r="A618" s="253" t="s">
        <v>1374</v>
      </c>
      <c r="B618" s="253" t="s">
        <v>1373</v>
      </c>
      <c r="C618" s="253" t="s">
        <v>1372</v>
      </c>
    </row>
    <row r="619" spans="1:3" x14ac:dyDescent="0.25">
      <c r="A619" s="253" t="s">
        <v>1371</v>
      </c>
      <c r="B619" s="253" t="s">
        <v>1370</v>
      </c>
      <c r="C619" s="253" t="s">
        <v>1369</v>
      </c>
    </row>
    <row r="620" spans="1:3" x14ac:dyDescent="0.25">
      <c r="A620" s="253" t="s">
        <v>1368</v>
      </c>
      <c r="B620" s="253" t="s">
        <v>1367</v>
      </c>
      <c r="C620" s="253" t="s">
        <v>1366</v>
      </c>
    </row>
    <row r="621" spans="1:3" x14ac:dyDescent="0.25">
      <c r="A621" s="253" t="s">
        <v>1365</v>
      </c>
      <c r="B621" s="253" t="s">
        <v>1364</v>
      </c>
      <c r="C621" s="253" t="s">
        <v>1364</v>
      </c>
    </row>
    <row r="622" spans="1:3" x14ac:dyDescent="0.25">
      <c r="A622" s="253" t="s">
        <v>692</v>
      </c>
      <c r="B622" s="253" t="s">
        <v>1363</v>
      </c>
      <c r="C622" s="253" t="s">
        <v>1362</v>
      </c>
    </row>
    <row r="623" spans="1:3" x14ac:dyDescent="0.25">
      <c r="A623" s="253" t="s">
        <v>1361</v>
      </c>
      <c r="B623" s="253" t="s">
        <v>1360</v>
      </c>
      <c r="C623" s="253" t="s">
        <v>1360</v>
      </c>
    </row>
    <row r="624" spans="1:3" x14ac:dyDescent="0.25">
      <c r="A624" s="253" t="s">
        <v>1359</v>
      </c>
      <c r="B624" s="253" t="s">
        <v>1358</v>
      </c>
      <c r="C624" s="253" t="s">
        <v>1357</v>
      </c>
    </row>
    <row r="625" spans="1:3" x14ac:dyDescent="0.25">
      <c r="A625" s="253" t="s">
        <v>1356</v>
      </c>
      <c r="B625" s="253" t="s">
        <v>1355</v>
      </c>
      <c r="C625" s="253" t="s">
        <v>1354</v>
      </c>
    </row>
    <row r="626" spans="1:3" x14ac:dyDescent="0.25">
      <c r="A626" s="253" t="s">
        <v>1353</v>
      </c>
      <c r="B626" s="253" t="s">
        <v>1352</v>
      </c>
      <c r="C626" s="253" t="s">
        <v>1351</v>
      </c>
    </row>
    <row r="627" spans="1:3" x14ac:dyDescent="0.25">
      <c r="A627" s="253" t="s">
        <v>1350</v>
      </c>
      <c r="B627" s="253" t="s">
        <v>369</v>
      </c>
      <c r="C627" s="253" t="s">
        <v>1349</v>
      </c>
    </row>
    <row r="628" spans="1:3" x14ac:dyDescent="0.25">
      <c r="A628" s="253" t="s">
        <v>1348</v>
      </c>
      <c r="B628" s="253" t="s">
        <v>1347</v>
      </c>
      <c r="C628" s="253" t="s">
        <v>2959</v>
      </c>
    </row>
    <row r="629" spans="1:3" x14ac:dyDescent="0.25">
      <c r="A629" s="253" t="s">
        <v>1346</v>
      </c>
      <c r="B629" s="253" t="s">
        <v>523</v>
      </c>
      <c r="C629" s="253" t="s">
        <v>1345</v>
      </c>
    </row>
    <row r="630" spans="1:3" x14ac:dyDescent="0.25">
      <c r="A630" s="253" t="s">
        <v>1344</v>
      </c>
      <c r="B630" s="253" t="s">
        <v>1343</v>
      </c>
      <c r="C630" s="253" t="s">
        <v>1342</v>
      </c>
    </row>
    <row r="631" spans="1:3" x14ac:dyDescent="0.25">
      <c r="A631" s="253" t="s">
        <v>1341</v>
      </c>
      <c r="B631" s="253" t="s">
        <v>1340</v>
      </c>
      <c r="C631" s="253" t="s">
        <v>1339</v>
      </c>
    </row>
    <row r="632" spans="1:3" x14ac:dyDescent="0.25">
      <c r="A632" s="253" t="s">
        <v>1338</v>
      </c>
      <c r="B632" s="253" t="s">
        <v>1337</v>
      </c>
      <c r="C632" s="253" t="s">
        <v>231</v>
      </c>
    </row>
    <row r="633" spans="1:3" x14ac:dyDescent="0.25">
      <c r="A633" s="253" t="s">
        <v>1336</v>
      </c>
      <c r="B633" s="253" t="s">
        <v>1335</v>
      </c>
      <c r="C633" s="253" t="s">
        <v>1334</v>
      </c>
    </row>
    <row r="634" spans="1:3" x14ac:dyDescent="0.25">
      <c r="A634" s="253" t="s">
        <v>1333</v>
      </c>
      <c r="B634" s="253" t="s">
        <v>1332</v>
      </c>
      <c r="C634" s="253" t="s">
        <v>1331</v>
      </c>
    </row>
    <row r="635" spans="1:3" x14ac:dyDescent="0.25">
      <c r="A635" s="253" t="s">
        <v>1330</v>
      </c>
      <c r="B635" s="253" t="s">
        <v>526</v>
      </c>
      <c r="C635" s="253" t="s">
        <v>1329</v>
      </c>
    </row>
    <row r="636" spans="1:3" x14ac:dyDescent="0.25">
      <c r="A636" s="253" t="s">
        <v>1328</v>
      </c>
      <c r="B636" s="253" t="s">
        <v>1327</v>
      </c>
      <c r="C636" s="253" t="s">
        <v>1326</v>
      </c>
    </row>
    <row r="637" spans="1:3" x14ac:dyDescent="0.25">
      <c r="A637" s="253" t="s">
        <v>1325</v>
      </c>
      <c r="B637" s="253" t="s">
        <v>571</v>
      </c>
      <c r="C637" s="253" t="s">
        <v>184</v>
      </c>
    </row>
    <row r="638" spans="1:3" x14ac:dyDescent="0.25">
      <c r="A638" s="253" t="s">
        <v>1324</v>
      </c>
      <c r="B638" s="253" t="s">
        <v>1323</v>
      </c>
      <c r="C638" s="253" t="s">
        <v>1322</v>
      </c>
    </row>
    <row r="639" spans="1:3" x14ac:dyDescent="0.25">
      <c r="A639" s="253" t="s">
        <v>1321</v>
      </c>
      <c r="B639" s="253" t="s">
        <v>413</v>
      </c>
      <c r="C639" s="253" t="s">
        <v>1320</v>
      </c>
    </row>
    <row r="640" spans="1:3" x14ac:dyDescent="0.25">
      <c r="A640" s="253" t="s">
        <v>1319</v>
      </c>
      <c r="B640" s="253" t="s">
        <v>1318</v>
      </c>
      <c r="C640" s="253" t="s">
        <v>1317</v>
      </c>
    </row>
    <row r="641" spans="1:3" x14ac:dyDescent="0.25">
      <c r="A641" s="253" t="s">
        <v>1316</v>
      </c>
      <c r="B641" s="253" t="s">
        <v>1315</v>
      </c>
      <c r="C641" s="253" t="s">
        <v>1314</v>
      </c>
    </row>
    <row r="642" spans="1:3" x14ac:dyDescent="0.25">
      <c r="A642" s="253" t="s">
        <v>1313</v>
      </c>
      <c r="B642" s="253" t="s">
        <v>1312</v>
      </c>
      <c r="C642" s="253" t="s">
        <v>1311</v>
      </c>
    </row>
    <row r="643" spans="1:3" x14ac:dyDescent="0.25">
      <c r="A643" s="253" t="s">
        <v>1310</v>
      </c>
      <c r="B643" s="253" t="s">
        <v>1309</v>
      </c>
      <c r="C643" s="253" t="s">
        <v>1308</v>
      </c>
    </row>
    <row r="644" spans="1:3" x14ac:dyDescent="0.25">
      <c r="A644" s="253" t="s">
        <v>183</v>
      </c>
      <c r="B644" s="253" t="s">
        <v>550</v>
      </c>
      <c r="C644" s="253" t="s">
        <v>182</v>
      </c>
    </row>
    <row r="645" spans="1:3" x14ac:dyDescent="0.25">
      <c r="A645" s="253" t="s">
        <v>1307</v>
      </c>
      <c r="B645" s="253" t="s">
        <v>1306</v>
      </c>
      <c r="C645" s="253" t="s">
        <v>1305</v>
      </c>
    </row>
    <row r="646" spans="1:3" x14ac:dyDescent="0.25">
      <c r="A646" s="253" t="s">
        <v>1304</v>
      </c>
      <c r="B646" s="253" t="s">
        <v>1303</v>
      </c>
      <c r="C646" s="253" t="s">
        <v>1302</v>
      </c>
    </row>
    <row r="647" spans="1:3" x14ac:dyDescent="0.25">
      <c r="A647" s="253" t="s">
        <v>1301</v>
      </c>
      <c r="B647" s="253" t="s">
        <v>1300</v>
      </c>
      <c r="C647" s="253" t="s">
        <v>1299</v>
      </c>
    </row>
    <row r="648" spans="1:3" x14ac:dyDescent="0.25">
      <c r="A648" s="253" t="s">
        <v>1298</v>
      </c>
      <c r="B648" s="253" t="s">
        <v>1297</v>
      </c>
      <c r="C648" s="253" t="s">
        <v>1296</v>
      </c>
    </row>
    <row r="649" spans="1:3" x14ac:dyDescent="0.25">
      <c r="A649" s="253" t="s">
        <v>1295</v>
      </c>
      <c r="B649" s="253" t="s">
        <v>1294</v>
      </c>
      <c r="C649" s="253" t="s">
        <v>1293</v>
      </c>
    </row>
    <row r="650" spans="1:3" x14ac:dyDescent="0.25">
      <c r="A650" s="253" t="s">
        <v>1292</v>
      </c>
      <c r="B650" s="253" t="s">
        <v>564</v>
      </c>
      <c r="C650" s="253" t="s">
        <v>260</v>
      </c>
    </row>
    <row r="651" spans="1:3" x14ac:dyDescent="0.25">
      <c r="A651" s="253" t="s">
        <v>1291</v>
      </c>
      <c r="B651" s="253" t="s">
        <v>1290</v>
      </c>
      <c r="C651" s="253" t="s">
        <v>1289</v>
      </c>
    </row>
    <row r="652" spans="1:3" x14ac:dyDescent="0.25">
      <c r="A652" s="253" t="s">
        <v>1288</v>
      </c>
      <c r="B652" s="253" t="s">
        <v>1287</v>
      </c>
      <c r="C652" s="253" t="s">
        <v>1286</v>
      </c>
    </row>
    <row r="653" spans="1:3" x14ac:dyDescent="0.25">
      <c r="A653" s="253" t="s">
        <v>1285</v>
      </c>
      <c r="B653" s="253" t="s">
        <v>1284</v>
      </c>
      <c r="C653" s="253" t="s">
        <v>1283</v>
      </c>
    </row>
    <row r="654" spans="1:3" x14ac:dyDescent="0.25">
      <c r="A654" s="253" t="s">
        <v>1282</v>
      </c>
      <c r="B654" s="253" t="s">
        <v>1281</v>
      </c>
      <c r="C654" s="253" t="s">
        <v>1280</v>
      </c>
    </row>
    <row r="655" spans="1:3" x14ac:dyDescent="0.25">
      <c r="A655" s="253" t="s">
        <v>1279</v>
      </c>
      <c r="B655" s="253" t="s">
        <v>315</v>
      </c>
      <c r="C655" s="253" t="s">
        <v>259</v>
      </c>
    </row>
    <row r="656" spans="1:3" x14ac:dyDescent="0.25">
      <c r="A656" s="253" t="s">
        <v>1278</v>
      </c>
      <c r="B656" s="253" t="s">
        <v>272</v>
      </c>
      <c r="C656" s="253" t="s">
        <v>1277</v>
      </c>
    </row>
    <row r="657" spans="1:3" x14ac:dyDescent="0.25">
      <c r="A657" s="253" t="s">
        <v>1276</v>
      </c>
      <c r="B657" s="253" t="s">
        <v>1275</v>
      </c>
      <c r="C657" s="253" t="s">
        <v>1274</v>
      </c>
    </row>
    <row r="658" spans="1:3" x14ac:dyDescent="0.25">
      <c r="A658" s="253" t="s">
        <v>1273</v>
      </c>
      <c r="B658" s="253" t="s">
        <v>1272</v>
      </c>
      <c r="C658" s="253" t="s">
        <v>236</v>
      </c>
    </row>
    <row r="659" spans="1:3" x14ac:dyDescent="0.25">
      <c r="A659" s="253" t="s">
        <v>1271</v>
      </c>
      <c r="B659" s="253" t="s">
        <v>1270</v>
      </c>
      <c r="C659" s="253" t="s">
        <v>1269</v>
      </c>
    </row>
    <row r="660" spans="1:3" x14ac:dyDescent="0.25">
      <c r="A660" s="253" t="s">
        <v>1268</v>
      </c>
      <c r="B660" s="253" t="s">
        <v>1267</v>
      </c>
      <c r="C660" s="253" t="s">
        <v>1266</v>
      </c>
    </row>
    <row r="661" spans="1:3" x14ac:dyDescent="0.25">
      <c r="A661" s="253" t="s">
        <v>1265</v>
      </c>
      <c r="B661" s="253" t="s">
        <v>1264</v>
      </c>
      <c r="C661" s="253" t="s">
        <v>1263</v>
      </c>
    </row>
    <row r="662" spans="1:3" x14ac:dyDescent="0.25">
      <c r="A662" s="253" t="s">
        <v>1262</v>
      </c>
      <c r="B662" s="253" t="s">
        <v>1261</v>
      </c>
      <c r="C662" s="253" t="s">
        <v>1260</v>
      </c>
    </row>
    <row r="663" spans="1:3" x14ac:dyDescent="0.25">
      <c r="A663" s="253" t="s">
        <v>1259</v>
      </c>
      <c r="B663" s="253" t="s">
        <v>1258</v>
      </c>
      <c r="C663" s="253" t="s">
        <v>146</v>
      </c>
    </row>
    <row r="664" spans="1:3" x14ac:dyDescent="0.25">
      <c r="A664" s="253" t="s">
        <v>1257</v>
      </c>
      <c r="B664" s="253" t="s">
        <v>1256</v>
      </c>
      <c r="C664" s="253" t="s">
        <v>1255</v>
      </c>
    </row>
    <row r="665" spans="1:3" x14ac:dyDescent="0.25">
      <c r="A665" s="253" t="s">
        <v>1254</v>
      </c>
      <c r="B665" s="253" t="s">
        <v>1253</v>
      </c>
      <c r="C665" s="253" t="s">
        <v>510</v>
      </c>
    </row>
    <row r="666" spans="1:3" x14ac:dyDescent="0.25">
      <c r="A666" s="253" t="s">
        <v>1252</v>
      </c>
      <c r="B666" s="253" t="s">
        <v>1251</v>
      </c>
      <c r="C666" s="253" t="s">
        <v>1250</v>
      </c>
    </row>
    <row r="667" spans="1:3" x14ac:dyDescent="0.25">
      <c r="A667" s="253" t="s">
        <v>1249</v>
      </c>
      <c r="B667" s="253" t="s">
        <v>1248</v>
      </c>
      <c r="C667" s="253" t="s">
        <v>1248</v>
      </c>
    </row>
    <row r="668" spans="1:3" x14ac:dyDescent="0.25">
      <c r="A668" s="253" t="s">
        <v>1247</v>
      </c>
      <c r="B668" s="253" t="s">
        <v>1246</v>
      </c>
      <c r="C668" s="253" t="s">
        <v>1245</v>
      </c>
    </row>
    <row r="669" spans="1:3" x14ac:dyDescent="0.25">
      <c r="A669" s="253" t="s">
        <v>1244</v>
      </c>
      <c r="B669" s="253" t="s">
        <v>524</v>
      </c>
      <c r="C669" s="253" t="s">
        <v>1243</v>
      </c>
    </row>
    <row r="670" spans="1:3" x14ac:dyDescent="0.25">
      <c r="A670" s="253" t="s">
        <v>1242</v>
      </c>
      <c r="B670" s="253" t="s">
        <v>1241</v>
      </c>
      <c r="C670" s="253" t="s">
        <v>1240</v>
      </c>
    </row>
    <row r="671" spans="1:3" x14ac:dyDescent="0.25">
      <c r="A671" s="253" t="s">
        <v>1239</v>
      </c>
      <c r="B671" s="253" t="s">
        <v>1238</v>
      </c>
      <c r="C671" s="253" t="s">
        <v>1237</v>
      </c>
    </row>
    <row r="672" spans="1:3" x14ac:dyDescent="0.25">
      <c r="A672" s="253" t="s">
        <v>1236</v>
      </c>
      <c r="B672" s="253" t="s">
        <v>1235</v>
      </c>
      <c r="C672" s="253" t="s">
        <v>1234</v>
      </c>
    </row>
    <row r="673" spans="1:3" x14ac:dyDescent="0.25">
      <c r="A673" s="253" t="s">
        <v>1233</v>
      </c>
      <c r="B673" s="253" t="s">
        <v>1232</v>
      </c>
      <c r="C673" s="253" t="s">
        <v>1231</v>
      </c>
    </row>
    <row r="674" spans="1:3" x14ac:dyDescent="0.25">
      <c r="A674" s="253" t="s">
        <v>1230</v>
      </c>
      <c r="B674" s="253" t="s">
        <v>1229</v>
      </c>
      <c r="C674" s="253" t="s">
        <v>1228</v>
      </c>
    </row>
    <row r="675" spans="1:3" x14ac:dyDescent="0.25">
      <c r="A675" s="253" t="s">
        <v>1227</v>
      </c>
      <c r="B675" s="253" t="s">
        <v>1226</v>
      </c>
      <c r="C675" s="253" t="s">
        <v>1225</v>
      </c>
    </row>
    <row r="676" spans="1:3" x14ac:dyDescent="0.25">
      <c r="A676" s="253" t="s">
        <v>1224</v>
      </c>
      <c r="B676" s="253" t="s">
        <v>1223</v>
      </c>
      <c r="C676" s="253" t="s">
        <v>1222</v>
      </c>
    </row>
    <row r="677" spans="1:3" x14ac:dyDescent="0.25">
      <c r="A677" s="253" t="s">
        <v>1221</v>
      </c>
      <c r="B677" s="253" t="s">
        <v>1220</v>
      </c>
      <c r="C677" s="253" t="s">
        <v>1219</v>
      </c>
    </row>
    <row r="678" spans="1:3" x14ac:dyDescent="0.25">
      <c r="A678" s="253" t="s">
        <v>1218</v>
      </c>
      <c r="B678" s="253" t="s">
        <v>1217</v>
      </c>
      <c r="C678" s="253" t="s">
        <v>1216</v>
      </c>
    </row>
    <row r="679" spans="1:3" x14ac:dyDescent="0.25">
      <c r="A679" s="253" t="s">
        <v>1215</v>
      </c>
      <c r="B679" s="253" t="s">
        <v>574</v>
      </c>
      <c r="C679" s="253" t="s">
        <v>151</v>
      </c>
    </row>
    <row r="680" spans="1:3" x14ac:dyDescent="0.25">
      <c r="A680" s="253" t="s">
        <v>1214</v>
      </c>
      <c r="B680" s="253" t="s">
        <v>333</v>
      </c>
      <c r="C680" s="253" t="s">
        <v>166</v>
      </c>
    </row>
    <row r="681" spans="1:3" x14ac:dyDescent="0.25">
      <c r="A681" s="253" t="s">
        <v>1213</v>
      </c>
      <c r="B681" s="253" t="s">
        <v>1212</v>
      </c>
      <c r="C681" s="253" t="s">
        <v>1211</v>
      </c>
    </row>
    <row r="682" spans="1:3" x14ac:dyDescent="0.25">
      <c r="A682" s="253" t="s">
        <v>1210</v>
      </c>
      <c r="B682" s="253" t="s">
        <v>1209</v>
      </c>
      <c r="C682" s="253" t="s">
        <v>1208</v>
      </c>
    </row>
    <row r="683" spans="1:3" x14ac:dyDescent="0.25">
      <c r="A683" s="253" t="s">
        <v>1207</v>
      </c>
      <c r="B683" s="253" t="s">
        <v>1206</v>
      </c>
      <c r="C683" s="253" t="s">
        <v>1205</v>
      </c>
    </row>
    <row r="684" spans="1:3" x14ac:dyDescent="0.25">
      <c r="A684" s="253" t="s">
        <v>1204</v>
      </c>
      <c r="B684" s="253" t="s">
        <v>1203</v>
      </c>
      <c r="C684" s="253" t="s">
        <v>1202</v>
      </c>
    </row>
    <row r="685" spans="1:3" x14ac:dyDescent="0.25">
      <c r="A685" s="253" t="s">
        <v>1201</v>
      </c>
      <c r="B685" s="253" t="s">
        <v>1200</v>
      </c>
      <c r="C685" s="253" t="s">
        <v>1199</v>
      </c>
    </row>
    <row r="686" spans="1:3" x14ac:dyDescent="0.25">
      <c r="A686" s="253" t="s">
        <v>1198</v>
      </c>
      <c r="B686" s="253" t="s">
        <v>391</v>
      </c>
      <c r="C686" s="253" t="s">
        <v>1197</v>
      </c>
    </row>
    <row r="687" spans="1:3" x14ac:dyDescent="0.25">
      <c r="A687" s="253" t="s">
        <v>1196</v>
      </c>
      <c r="B687" s="253" t="s">
        <v>1195</v>
      </c>
      <c r="C687" s="253" t="s">
        <v>1194</v>
      </c>
    </row>
    <row r="688" spans="1:3" x14ac:dyDescent="0.25">
      <c r="A688" s="253" t="s">
        <v>1193</v>
      </c>
      <c r="B688" s="253" t="s">
        <v>1192</v>
      </c>
      <c r="C688" s="253" t="s">
        <v>1191</v>
      </c>
    </row>
    <row r="689" spans="1:3" x14ac:dyDescent="0.25">
      <c r="A689" s="253" t="s">
        <v>1190</v>
      </c>
      <c r="B689" s="253" t="s">
        <v>1189</v>
      </c>
      <c r="C689" s="253" t="s">
        <v>1188</v>
      </c>
    </row>
    <row r="690" spans="1:3" x14ac:dyDescent="0.25">
      <c r="A690" s="253" t="s">
        <v>1187</v>
      </c>
      <c r="B690" s="253" t="s">
        <v>1186</v>
      </c>
      <c r="C690" s="253" t="s">
        <v>1185</v>
      </c>
    </row>
    <row r="691" spans="1:3" x14ac:dyDescent="0.25">
      <c r="A691" s="253" t="s">
        <v>1184</v>
      </c>
      <c r="B691" s="253" t="s">
        <v>1183</v>
      </c>
      <c r="C691" s="253" t="s">
        <v>1182</v>
      </c>
    </row>
    <row r="692" spans="1:3" x14ac:dyDescent="0.25">
      <c r="A692" s="253" t="s">
        <v>1181</v>
      </c>
      <c r="B692" s="253" t="s">
        <v>1180</v>
      </c>
      <c r="C692" s="253" t="s">
        <v>1179</v>
      </c>
    </row>
    <row r="693" spans="1:3" x14ac:dyDescent="0.25">
      <c r="A693" s="253" t="s">
        <v>1178</v>
      </c>
      <c r="B693" s="253" t="s">
        <v>1177</v>
      </c>
      <c r="C693" s="253" t="s">
        <v>1176</v>
      </c>
    </row>
    <row r="694" spans="1:3" x14ac:dyDescent="0.25">
      <c r="A694" s="253" t="s">
        <v>1175</v>
      </c>
      <c r="B694" s="253" t="s">
        <v>1174</v>
      </c>
      <c r="C694" s="253" t="s">
        <v>1173</v>
      </c>
    </row>
    <row r="695" spans="1:3" x14ac:dyDescent="0.25">
      <c r="A695" s="253" t="s">
        <v>1172</v>
      </c>
      <c r="B695" s="253" t="s">
        <v>1171</v>
      </c>
      <c r="C695" s="253" t="s">
        <v>186</v>
      </c>
    </row>
    <row r="696" spans="1:3" x14ac:dyDescent="0.25">
      <c r="A696" s="253" t="s">
        <v>1170</v>
      </c>
      <c r="B696" s="253" t="s">
        <v>1169</v>
      </c>
      <c r="C696" s="253" t="s">
        <v>1168</v>
      </c>
    </row>
    <row r="697" spans="1:3" x14ac:dyDescent="0.25">
      <c r="A697" s="253" t="s">
        <v>1167</v>
      </c>
      <c r="B697" s="253" t="s">
        <v>1166</v>
      </c>
      <c r="C697" s="253" t="s">
        <v>1165</v>
      </c>
    </row>
    <row r="698" spans="1:3" x14ac:dyDescent="0.25">
      <c r="A698" s="253" t="s">
        <v>1164</v>
      </c>
      <c r="B698" s="253" t="s">
        <v>310</v>
      </c>
      <c r="C698" s="253" t="s">
        <v>154</v>
      </c>
    </row>
    <row r="699" spans="1:3" x14ac:dyDescent="0.25">
      <c r="A699" s="253" t="s">
        <v>1163</v>
      </c>
      <c r="B699" s="253" t="s">
        <v>1162</v>
      </c>
      <c r="C699" s="253" t="s">
        <v>1161</v>
      </c>
    </row>
    <row r="700" spans="1:3" x14ac:dyDescent="0.25">
      <c r="A700" s="253" t="s">
        <v>1160</v>
      </c>
      <c r="B700" s="253" t="s">
        <v>1159</v>
      </c>
      <c r="C700" s="253" t="s">
        <v>1158</v>
      </c>
    </row>
    <row r="701" spans="1:3" x14ac:dyDescent="0.25">
      <c r="A701" s="253" t="s">
        <v>1157</v>
      </c>
      <c r="B701" s="253" t="s">
        <v>1156</v>
      </c>
      <c r="C701" s="253" t="s">
        <v>1155</v>
      </c>
    </row>
    <row r="702" spans="1:3" x14ac:dyDescent="0.25">
      <c r="A702" s="253" t="s">
        <v>1154</v>
      </c>
      <c r="B702" s="253" t="s">
        <v>1153</v>
      </c>
      <c r="C702" s="253" t="s">
        <v>1152</v>
      </c>
    </row>
    <row r="703" spans="1:3" x14ac:dyDescent="0.25">
      <c r="A703" s="253" t="s">
        <v>1151</v>
      </c>
      <c r="B703" s="253" t="s">
        <v>1150</v>
      </c>
      <c r="C703" s="253" t="s">
        <v>1149</v>
      </c>
    </row>
    <row r="704" spans="1:3" x14ac:dyDescent="0.25">
      <c r="A704" s="253" t="s">
        <v>1148</v>
      </c>
      <c r="B704" s="253" t="s">
        <v>1147</v>
      </c>
      <c r="C704" s="253" t="s">
        <v>1146</v>
      </c>
    </row>
    <row r="705" spans="1:3" x14ac:dyDescent="0.25">
      <c r="A705" s="253" t="s">
        <v>1145</v>
      </c>
      <c r="B705" s="253" t="s">
        <v>1144</v>
      </c>
      <c r="C705" s="253" t="s">
        <v>1143</v>
      </c>
    </row>
    <row r="706" spans="1:3" x14ac:dyDescent="0.25">
      <c r="A706" s="253" t="s">
        <v>1142</v>
      </c>
      <c r="B706" s="253" t="s">
        <v>1141</v>
      </c>
      <c r="C706" s="253" t="s">
        <v>1140</v>
      </c>
    </row>
    <row r="707" spans="1:3" x14ac:dyDescent="0.25">
      <c r="A707" s="253" t="s">
        <v>1139</v>
      </c>
      <c r="B707" s="253" t="s">
        <v>1138</v>
      </c>
      <c r="C707" s="253" t="s">
        <v>1137</v>
      </c>
    </row>
    <row r="708" spans="1:3" x14ac:dyDescent="0.25">
      <c r="A708" s="253" t="s">
        <v>1136</v>
      </c>
      <c r="B708" s="253" t="s">
        <v>1135</v>
      </c>
      <c r="C708" s="253" t="s">
        <v>1134</v>
      </c>
    </row>
    <row r="709" spans="1:3" x14ac:dyDescent="0.25">
      <c r="A709" s="253" t="s">
        <v>1133</v>
      </c>
      <c r="B709" s="253" t="s">
        <v>1132</v>
      </c>
      <c r="C709" s="253" t="s">
        <v>1131</v>
      </c>
    </row>
    <row r="710" spans="1:3" x14ac:dyDescent="0.25">
      <c r="A710" s="253" t="s">
        <v>1130</v>
      </c>
      <c r="B710" s="253" t="s">
        <v>1129</v>
      </c>
      <c r="C710" s="253" t="s">
        <v>1128</v>
      </c>
    </row>
    <row r="711" spans="1:3" x14ac:dyDescent="0.25">
      <c r="A711" s="253" t="s">
        <v>1127</v>
      </c>
      <c r="B711" s="253" t="s">
        <v>1126</v>
      </c>
      <c r="C711" s="253" t="s">
        <v>1125</v>
      </c>
    </row>
    <row r="712" spans="1:3" x14ac:dyDescent="0.25">
      <c r="A712" s="253" t="s">
        <v>1124</v>
      </c>
      <c r="B712" s="253" t="s">
        <v>1123</v>
      </c>
      <c r="C712" s="253" t="s">
        <v>1122</v>
      </c>
    </row>
    <row r="713" spans="1:3" x14ac:dyDescent="0.25">
      <c r="A713" s="253" t="s">
        <v>1121</v>
      </c>
      <c r="B713" s="253" t="s">
        <v>1120</v>
      </c>
      <c r="C713" s="253" t="s">
        <v>1119</v>
      </c>
    </row>
    <row r="714" spans="1:3" x14ac:dyDescent="0.25">
      <c r="A714" s="253" t="s">
        <v>1118</v>
      </c>
      <c r="B714" s="253" t="s">
        <v>1117</v>
      </c>
      <c r="C714" s="253" t="s">
        <v>1116</v>
      </c>
    </row>
    <row r="715" spans="1:3" x14ac:dyDescent="0.25">
      <c r="A715" s="253" t="s">
        <v>1115</v>
      </c>
      <c r="B715" s="253" t="s">
        <v>1114</v>
      </c>
      <c r="C715" s="253" t="s">
        <v>1113</v>
      </c>
    </row>
    <row r="716" spans="1:3" x14ac:dyDescent="0.25">
      <c r="A716" s="253" t="s">
        <v>1112</v>
      </c>
      <c r="B716" s="253" t="s">
        <v>1111</v>
      </c>
      <c r="C716" s="253" t="s">
        <v>1110</v>
      </c>
    </row>
    <row r="717" spans="1:3" x14ac:dyDescent="0.25">
      <c r="A717" s="253" t="s">
        <v>1109</v>
      </c>
      <c r="B717" s="253" t="s">
        <v>515</v>
      </c>
      <c r="C717" s="253" t="s">
        <v>1108</v>
      </c>
    </row>
    <row r="718" spans="1:3" x14ac:dyDescent="0.25">
      <c r="A718" s="253" t="s">
        <v>1107</v>
      </c>
      <c r="B718" s="253" t="s">
        <v>1106</v>
      </c>
      <c r="C718" s="253" t="s">
        <v>1105</v>
      </c>
    </row>
    <row r="719" spans="1:3" x14ac:dyDescent="0.25">
      <c r="A719" s="253" t="s">
        <v>1104</v>
      </c>
      <c r="B719" s="253" t="s">
        <v>393</v>
      </c>
      <c r="C719" s="253" t="s">
        <v>1103</v>
      </c>
    </row>
    <row r="720" spans="1:3" x14ac:dyDescent="0.25">
      <c r="A720" s="253" t="s">
        <v>1102</v>
      </c>
      <c r="B720" s="253" t="s">
        <v>1101</v>
      </c>
      <c r="C720" s="253" t="s">
        <v>512</v>
      </c>
    </row>
    <row r="721" spans="1:3" x14ac:dyDescent="0.25">
      <c r="A721" s="253" t="s">
        <v>1100</v>
      </c>
      <c r="B721" s="253" t="s">
        <v>1099</v>
      </c>
      <c r="C721" s="253" t="s">
        <v>144</v>
      </c>
    </row>
    <row r="722" spans="1:3" x14ac:dyDescent="0.25">
      <c r="A722" s="253" t="s">
        <v>1098</v>
      </c>
      <c r="B722" s="253" t="s">
        <v>313</v>
      </c>
      <c r="C722" s="253" t="s">
        <v>239</v>
      </c>
    </row>
    <row r="723" spans="1:3" x14ac:dyDescent="0.25">
      <c r="A723" s="253" t="s">
        <v>1097</v>
      </c>
      <c r="B723" s="253" t="s">
        <v>1096</v>
      </c>
      <c r="C723" s="253" t="s">
        <v>1095</v>
      </c>
    </row>
    <row r="724" spans="1:3" x14ac:dyDescent="0.25">
      <c r="A724" s="253" t="s">
        <v>1094</v>
      </c>
      <c r="B724" s="253" t="s">
        <v>1093</v>
      </c>
      <c r="C724" s="253" t="s">
        <v>1092</v>
      </c>
    </row>
    <row r="725" spans="1:3" x14ac:dyDescent="0.25">
      <c r="A725" s="253" t="s">
        <v>1091</v>
      </c>
      <c r="B725" s="253" t="s">
        <v>273</v>
      </c>
      <c r="C725" s="253" t="s">
        <v>132</v>
      </c>
    </row>
    <row r="726" spans="1:3" x14ac:dyDescent="0.25">
      <c r="A726" s="253" t="s">
        <v>1090</v>
      </c>
      <c r="B726" s="253" t="s">
        <v>1089</v>
      </c>
      <c r="C726" s="253" t="s">
        <v>1088</v>
      </c>
    </row>
    <row r="727" spans="1:3" x14ac:dyDescent="0.25">
      <c r="A727" s="253" t="s">
        <v>1087</v>
      </c>
      <c r="B727" s="253" t="s">
        <v>1086</v>
      </c>
      <c r="C727" s="253" t="s">
        <v>1085</v>
      </c>
    </row>
    <row r="728" spans="1:3" x14ac:dyDescent="0.25">
      <c r="A728" s="253" t="s">
        <v>1084</v>
      </c>
      <c r="B728" s="253" t="s">
        <v>1083</v>
      </c>
      <c r="C728" s="253" t="s">
        <v>477</v>
      </c>
    </row>
    <row r="729" spans="1:3" x14ac:dyDescent="0.25">
      <c r="A729" s="253" t="s">
        <v>1082</v>
      </c>
      <c r="B729" s="253" t="s">
        <v>1081</v>
      </c>
      <c r="C729" s="253" t="s">
        <v>1080</v>
      </c>
    </row>
    <row r="730" spans="1:3" x14ac:dyDescent="0.25">
      <c r="A730" s="253" t="s">
        <v>1079</v>
      </c>
      <c r="B730" s="253" t="s">
        <v>1078</v>
      </c>
      <c r="C730" s="253" t="s">
        <v>1077</v>
      </c>
    </row>
    <row r="731" spans="1:3" x14ac:dyDescent="0.25">
      <c r="A731" s="253" t="s">
        <v>1076</v>
      </c>
      <c r="B731" s="253" t="s">
        <v>348</v>
      </c>
      <c r="C731" s="253" t="s">
        <v>1075</v>
      </c>
    </row>
    <row r="732" spans="1:3" x14ac:dyDescent="0.25">
      <c r="A732" s="253" t="s">
        <v>1074</v>
      </c>
      <c r="B732" s="253" t="s">
        <v>1073</v>
      </c>
      <c r="C732" s="253" t="s">
        <v>1072</v>
      </c>
    </row>
    <row r="733" spans="1:3" x14ac:dyDescent="0.25">
      <c r="A733" s="253" t="s">
        <v>1071</v>
      </c>
      <c r="B733" s="253" t="s">
        <v>1070</v>
      </c>
      <c r="C733" s="253" t="s">
        <v>1069</v>
      </c>
    </row>
    <row r="734" spans="1:3" x14ac:dyDescent="0.25">
      <c r="A734" s="253" t="s">
        <v>1068</v>
      </c>
      <c r="B734" s="253" t="s">
        <v>1067</v>
      </c>
      <c r="C734" s="253" t="s">
        <v>1066</v>
      </c>
    </row>
    <row r="735" spans="1:3" x14ac:dyDescent="0.25">
      <c r="A735" s="253" t="s">
        <v>1065</v>
      </c>
      <c r="B735" s="253" t="s">
        <v>1064</v>
      </c>
      <c r="C735" s="253" t="s">
        <v>251</v>
      </c>
    </row>
    <row r="736" spans="1:3" x14ac:dyDescent="0.25">
      <c r="A736" s="253" t="s">
        <v>1063</v>
      </c>
      <c r="B736" s="253" t="s">
        <v>1062</v>
      </c>
      <c r="C736" s="253" t="s">
        <v>1061</v>
      </c>
    </row>
    <row r="737" spans="1:3" x14ac:dyDescent="0.25">
      <c r="A737" s="253" t="s">
        <v>1060</v>
      </c>
      <c r="B737" s="253" t="s">
        <v>1059</v>
      </c>
      <c r="C737" s="253" t="s">
        <v>53</v>
      </c>
    </row>
    <row r="738" spans="1:3" x14ac:dyDescent="0.25">
      <c r="A738" s="253" t="s">
        <v>1058</v>
      </c>
      <c r="B738" s="253" t="s">
        <v>1057</v>
      </c>
      <c r="C738" s="253" t="s">
        <v>1056</v>
      </c>
    </row>
    <row r="739" spans="1:3" x14ac:dyDescent="0.25">
      <c r="A739" s="253" t="s">
        <v>1055</v>
      </c>
      <c r="B739" s="253" t="s">
        <v>1054</v>
      </c>
      <c r="C739" s="253" t="s">
        <v>1053</v>
      </c>
    </row>
    <row r="740" spans="1:3" x14ac:dyDescent="0.25">
      <c r="A740" s="253" t="s">
        <v>1052</v>
      </c>
      <c r="B740" s="253" t="s">
        <v>1051</v>
      </c>
      <c r="C740" s="253" t="s">
        <v>1050</v>
      </c>
    </row>
    <row r="741" spans="1:3" x14ac:dyDescent="0.25">
      <c r="A741" s="253" t="s">
        <v>65</v>
      </c>
      <c r="B741" s="253" t="s">
        <v>1049</v>
      </c>
      <c r="C741" s="253" t="s">
        <v>1048</v>
      </c>
    </row>
    <row r="742" spans="1:3" x14ac:dyDescent="0.25">
      <c r="A742" s="253" t="s">
        <v>1047</v>
      </c>
      <c r="B742" s="253" t="s">
        <v>532</v>
      </c>
      <c r="C742" s="253" t="s">
        <v>1046</v>
      </c>
    </row>
    <row r="743" spans="1:3" x14ac:dyDescent="0.25">
      <c r="A743" s="253" t="s">
        <v>1045</v>
      </c>
      <c r="B743" s="253" t="s">
        <v>1044</v>
      </c>
      <c r="C743" s="253" t="s">
        <v>199</v>
      </c>
    </row>
    <row r="744" spans="1:3" x14ac:dyDescent="0.25">
      <c r="A744" s="253" t="s">
        <v>1043</v>
      </c>
      <c r="B744" s="253" t="s">
        <v>1042</v>
      </c>
      <c r="C744" s="253" t="s">
        <v>1041</v>
      </c>
    </row>
    <row r="745" spans="1:3" x14ac:dyDescent="0.25">
      <c r="A745" s="253" t="s">
        <v>1040</v>
      </c>
      <c r="B745" s="253" t="s">
        <v>1039</v>
      </c>
      <c r="C745" s="253" t="s">
        <v>509</v>
      </c>
    </row>
    <row r="746" spans="1:3" x14ac:dyDescent="0.25">
      <c r="A746" s="253" t="s">
        <v>1038</v>
      </c>
      <c r="B746" s="253" t="s">
        <v>1037</v>
      </c>
      <c r="C746" s="253" t="s">
        <v>1036</v>
      </c>
    </row>
    <row r="747" spans="1:3" x14ac:dyDescent="0.25">
      <c r="A747" s="253" t="s">
        <v>1035</v>
      </c>
      <c r="B747" s="253" t="s">
        <v>1034</v>
      </c>
      <c r="C747" s="253" t="s">
        <v>1033</v>
      </c>
    </row>
    <row r="748" spans="1:3" x14ac:dyDescent="0.25">
      <c r="A748" s="253" t="s">
        <v>1032</v>
      </c>
      <c r="B748" s="253" t="s">
        <v>1031</v>
      </c>
      <c r="C748" s="253" t="s">
        <v>1031</v>
      </c>
    </row>
    <row r="749" spans="1:3" x14ac:dyDescent="0.25">
      <c r="A749" s="253" t="s">
        <v>1030</v>
      </c>
      <c r="B749" s="253" t="s">
        <v>565</v>
      </c>
      <c r="C749" s="253" t="s">
        <v>117</v>
      </c>
    </row>
    <row r="750" spans="1:3" x14ac:dyDescent="0.25">
      <c r="A750" s="253" t="s">
        <v>1029</v>
      </c>
      <c r="B750" s="253" t="s">
        <v>1028</v>
      </c>
      <c r="C750" s="253" t="s">
        <v>1027</v>
      </c>
    </row>
    <row r="751" spans="1:3" x14ac:dyDescent="0.25">
      <c r="A751" s="253" t="s">
        <v>1026</v>
      </c>
      <c r="B751" s="253" t="s">
        <v>1025</v>
      </c>
      <c r="C751" s="253" t="s">
        <v>1024</v>
      </c>
    </row>
    <row r="752" spans="1:3" x14ac:dyDescent="0.25">
      <c r="A752" s="253" t="s">
        <v>1023</v>
      </c>
      <c r="B752" s="253" t="s">
        <v>395</v>
      </c>
      <c r="C752" s="253" t="s">
        <v>1022</v>
      </c>
    </row>
    <row r="753" spans="1:3" x14ac:dyDescent="0.25">
      <c r="A753" s="253" t="s">
        <v>1021</v>
      </c>
      <c r="B753" s="253" t="s">
        <v>1020</v>
      </c>
      <c r="C753" s="253" t="s">
        <v>1019</v>
      </c>
    </row>
    <row r="754" spans="1:3" x14ac:dyDescent="0.25">
      <c r="A754" s="253" t="s">
        <v>1018</v>
      </c>
      <c r="B754" s="253" t="s">
        <v>1017</v>
      </c>
      <c r="C754" s="253" t="s">
        <v>1016</v>
      </c>
    </row>
    <row r="755" spans="1:3" x14ac:dyDescent="0.25">
      <c r="A755" s="253" t="s">
        <v>1015</v>
      </c>
      <c r="B755" s="253" t="s">
        <v>551</v>
      </c>
      <c r="C755" s="253" t="s">
        <v>1014</v>
      </c>
    </row>
    <row r="756" spans="1:3" x14ac:dyDescent="0.25">
      <c r="A756" s="253" t="s">
        <v>1013</v>
      </c>
      <c r="B756" s="253" t="s">
        <v>1012</v>
      </c>
      <c r="C756" s="253" t="s">
        <v>1011</v>
      </c>
    </row>
    <row r="757" spans="1:3" x14ac:dyDescent="0.25">
      <c r="A757" s="253" t="s">
        <v>1010</v>
      </c>
      <c r="B757" s="253" t="s">
        <v>1009</v>
      </c>
      <c r="C757" s="253" t="s">
        <v>71</v>
      </c>
    </row>
    <row r="758" spans="1:3" x14ac:dyDescent="0.25">
      <c r="A758" s="253" t="s">
        <v>1008</v>
      </c>
      <c r="B758" s="253" t="s">
        <v>1007</v>
      </c>
      <c r="C758" s="253" t="s">
        <v>98</v>
      </c>
    </row>
    <row r="759" spans="1:3" x14ac:dyDescent="0.25">
      <c r="A759" s="253" t="s">
        <v>1006</v>
      </c>
      <c r="B759" s="253" t="s">
        <v>1005</v>
      </c>
      <c r="C759" s="253" t="s">
        <v>1004</v>
      </c>
    </row>
    <row r="760" spans="1:3" x14ac:dyDescent="0.25">
      <c r="A760" s="253" t="s">
        <v>1003</v>
      </c>
      <c r="B760" s="253" t="s">
        <v>1002</v>
      </c>
      <c r="C760" s="253" t="s">
        <v>1001</v>
      </c>
    </row>
    <row r="761" spans="1:3" x14ac:dyDescent="0.25">
      <c r="A761" s="253" t="s">
        <v>1000</v>
      </c>
      <c r="B761" s="253" t="s">
        <v>999</v>
      </c>
      <c r="C761" s="253" t="s">
        <v>998</v>
      </c>
    </row>
    <row r="762" spans="1:3" x14ac:dyDescent="0.25">
      <c r="A762" s="253" t="s">
        <v>997</v>
      </c>
      <c r="B762" s="253" t="s">
        <v>996</v>
      </c>
      <c r="C762" s="253" t="s">
        <v>995</v>
      </c>
    </row>
    <row r="763" spans="1:3" x14ac:dyDescent="0.25">
      <c r="A763" s="253" t="s">
        <v>994</v>
      </c>
      <c r="B763" s="253" t="s">
        <v>993</v>
      </c>
      <c r="C763" s="253" t="s">
        <v>992</v>
      </c>
    </row>
    <row r="764" spans="1:3" x14ac:dyDescent="0.25">
      <c r="A764" s="253" t="s">
        <v>504</v>
      </c>
      <c r="B764" s="253" t="s">
        <v>554</v>
      </c>
      <c r="C764" s="253" t="s">
        <v>70</v>
      </c>
    </row>
    <row r="765" spans="1:3" x14ac:dyDescent="0.25">
      <c r="A765" s="253" t="s">
        <v>991</v>
      </c>
      <c r="B765" s="253" t="s">
        <v>990</v>
      </c>
      <c r="C765" s="253" t="s">
        <v>989</v>
      </c>
    </row>
    <row r="766" spans="1:3" x14ac:dyDescent="0.25">
      <c r="A766" s="253" t="s">
        <v>988</v>
      </c>
      <c r="B766" s="253" t="s">
        <v>987</v>
      </c>
      <c r="C766" s="253" t="s">
        <v>986</v>
      </c>
    </row>
    <row r="767" spans="1:3" x14ac:dyDescent="0.25">
      <c r="A767" s="253" t="s">
        <v>985</v>
      </c>
      <c r="B767" s="253" t="s">
        <v>300</v>
      </c>
      <c r="C767" s="253" t="s">
        <v>984</v>
      </c>
    </row>
    <row r="768" spans="1:3" x14ac:dyDescent="0.25">
      <c r="A768" s="253" t="s">
        <v>983</v>
      </c>
      <c r="B768" s="253" t="s">
        <v>982</v>
      </c>
      <c r="C768" s="253" t="s">
        <v>981</v>
      </c>
    </row>
    <row r="769" spans="1:3" x14ac:dyDescent="0.25">
      <c r="A769" s="253" t="s">
        <v>980</v>
      </c>
      <c r="B769" s="253" t="s">
        <v>379</v>
      </c>
      <c r="C769" s="253" t="s">
        <v>254</v>
      </c>
    </row>
    <row r="770" spans="1:3" x14ac:dyDescent="0.25">
      <c r="A770" s="253" t="s">
        <v>979</v>
      </c>
      <c r="B770" s="253" t="s">
        <v>978</v>
      </c>
      <c r="C770" s="253" t="s">
        <v>977</v>
      </c>
    </row>
    <row r="771" spans="1:3" x14ac:dyDescent="0.25">
      <c r="A771" s="253" t="s">
        <v>976</v>
      </c>
      <c r="B771" s="253" t="s">
        <v>975</v>
      </c>
      <c r="C771" s="253" t="s">
        <v>974</v>
      </c>
    </row>
    <row r="772" spans="1:3" x14ac:dyDescent="0.25">
      <c r="A772" s="253" t="s">
        <v>973</v>
      </c>
      <c r="B772" s="253" t="s">
        <v>972</v>
      </c>
      <c r="C772" s="253" t="s">
        <v>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I18" sqref="I18"/>
    </sheetView>
  </sheetViews>
  <sheetFormatPr defaultRowHeight="15" x14ac:dyDescent="0.25"/>
  <cols>
    <col min="1" max="1" width="23.28515625" style="242" bestFit="1" customWidth="1"/>
    <col min="2" max="2" width="5.28515625" style="242" bestFit="1" customWidth="1"/>
    <col min="3" max="3" width="5.42578125" style="242" bestFit="1" customWidth="1"/>
    <col min="4" max="4" width="7.140625" style="242" bestFit="1" customWidth="1"/>
    <col min="5" max="5" width="15.28515625" style="242" bestFit="1" customWidth="1"/>
    <col min="6" max="6" width="11.42578125" style="242" bestFit="1" customWidth="1"/>
    <col min="7" max="8" width="10.140625" style="242" bestFit="1" customWidth="1"/>
    <col min="9" max="9" width="12.5703125" style="242" bestFit="1" customWidth="1"/>
    <col min="10" max="10" width="10.85546875" style="242" bestFit="1" customWidth="1"/>
    <col min="11" max="11" width="9.5703125" style="242" bestFit="1" customWidth="1"/>
    <col min="12" max="12" width="4.85546875" style="242" bestFit="1" customWidth="1"/>
    <col min="13" max="13" width="11.7109375" style="242" bestFit="1" customWidth="1"/>
    <col min="14" max="14" width="17.42578125" style="242" bestFit="1" customWidth="1"/>
    <col min="15" max="15" width="4.7109375" style="242" bestFit="1" customWidth="1"/>
    <col min="16" max="16" width="10.140625" style="242" bestFit="1" customWidth="1"/>
    <col min="17" max="18" width="7" style="242" bestFit="1" customWidth="1"/>
    <col min="19" max="19" width="8.7109375" style="242" bestFit="1" customWidth="1"/>
    <col min="20" max="21" width="10.140625" style="242" bestFit="1" customWidth="1"/>
    <col min="22" max="22" width="5.42578125" style="242" bestFit="1" customWidth="1"/>
    <col min="23" max="23" width="8.5703125" style="242" bestFit="1" customWidth="1"/>
    <col min="24" max="24" width="13.140625" style="242" bestFit="1" customWidth="1"/>
    <col min="25" max="25" width="7.7109375" style="242" bestFit="1" customWidth="1"/>
    <col min="26" max="26" width="5.7109375" style="242" bestFit="1" customWidth="1"/>
    <col min="27" max="27" width="9.85546875" style="242" bestFit="1" customWidth="1"/>
    <col min="28" max="28" width="9.42578125" style="242" bestFit="1" customWidth="1"/>
    <col min="29" max="29" width="23.28515625" style="242" bestFit="1" customWidth="1"/>
    <col min="30" max="30" width="39.28515625" style="242" bestFit="1" customWidth="1"/>
    <col min="31" max="16384" width="9.140625" style="242"/>
  </cols>
  <sheetData>
    <row r="1" spans="1:30" ht="15.75" x14ac:dyDescent="0.25">
      <c r="A1" s="264" t="s">
        <v>577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</row>
    <row r="2" spans="1:30" x14ac:dyDescent="0.25">
      <c r="A2" s="265" t="s">
        <v>2961</v>
      </c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</row>
    <row r="3" spans="1:30" x14ac:dyDescent="0.25">
      <c r="A3" s="265"/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</row>
    <row r="4" spans="1:30" ht="9.75" hidden="1" customHeight="1" x14ac:dyDescent="0.25">
      <c r="A4" s="266"/>
      <c r="B4" s="266"/>
      <c r="C4" s="266"/>
      <c r="D4" s="266"/>
      <c r="E4" s="266"/>
      <c r="F4" s="266"/>
      <c r="G4" s="266"/>
      <c r="H4" s="266"/>
      <c r="I4" s="266"/>
      <c r="J4" s="266"/>
      <c r="K4" s="267"/>
      <c r="L4" s="266"/>
      <c r="M4" s="267"/>
      <c r="N4" s="267"/>
      <c r="O4" s="266"/>
      <c r="P4" s="266"/>
      <c r="Q4" s="266"/>
      <c r="R4" s="266"/>
      <c r="S4" s="266"/>
      <c r="T4" s="266"/>
      <c r="U4" s="266"/>
      <c r="V4" s="267"/>
      <c r="W4" s="267"/>
      <c r="X4" s="266"/>
      <c r="Y4" s="266"/>
      <c r="Z4" s="267"/>
      <c r="AA4" s="266"/>
      <c r="AB4" s="267"/>
      <c r="AC4" s="266"/>
      <c r="AD4" s="266"/>
    </row>
    <row r="5" spans="1:30" ht="33.950000000000003" customHeight="1" thickBot="1" x14ac:dyDescent="0.3">
      <c r="A5" s="268" t="s">
        <v>578</v>
      </c>
      <c r="B5" s="268" t="s">
        <v>579</v>
      </c>
      <c r="C5" s="268" t="s">
        <v>580</v>
      </c>
      <c r="D5" s="268" t="s">
        <v>581</v>
      </c>
      <c r="E5" s="268" t="s">
        <v>582</v>
      </c>
      <c r="F5" s="268" t="s">
        <v>583</v>
      </c>
      <c r="G5" s="268" t="s">
        <v>584</v>
      </c>
      <c r="H5" s="268" t="s">
        <v>585</v>
      </c>
      <c r="I5" s="268" t="s">
        <v>586</v>
      </c>
      <c r="J5" s="268" t="s">
        <v>587</v>
      </c>
      <c r="K5" s="269" t="s">
        <v>575</v>
      </c>
      <c r="L5" s="268" t="s">
        <v>588</v>
      </c>
      <c r="M5" s="269" t="s">
        <v>589</v>
      </c>
      <c r="N5" s="269" t="s">
        <v>590</v>
      </c>
      <c r="O5" s="268" t="s">
        <v>591</v>
      </c>
      <c r="P5" s="268" t="s">
        <v>592</v>
      </c>
      <c r="Q5" s="268" t="s">
        <v>593</v>
      </c>
      <c r="R5" s="268" t="s">
        <v>594</v>
      </c>
      <c r="S5" s="268" t="s">
        <v>595</v>
      </c>
      <c r="T5" s="268" t="s">
        <v>596</v>
      </c>
      <c r="U5" s="268" t="s">
        <v>597</v>
      </c>
      <c r="V5" s="269" t="s">
        <v>598</v>
      </c>
      <c r="W5" s="269" t="s">
        <v>599</v>
      </c>
      <c r="X5" s="268" t="s">
        <v>600</v>
      </c>
      <c r="Y5" s="268" t="s">
        <v>601</v>
      </c>
      <c r="Z5" s="269" t="s">
        <v>602</v>
      </c>
      <c r="AA5" s="268" t="s">
        <v>603</v>
      </c>
      <c r="AB5" s="269" t="s">
        <v>604</v>
      </c>
      <c r="AC5" s="268" t="s">
        <v>605</v>
      </c>
      <c r="AD5" s="268" t="s">
        <v>606</v>
      </c>
    </row>
    <row r="6" spans="1:30" x14ac:dyDescent="0.25">
      <c r="A6" s="270" t="s">
        <v>607</v>
      </c>
      <c r="B6" s="271"/>
      <c r="C6" s="271"/>
      <c r="D6" s="271"/>
      <c r="E6" s="271"/>
      <c r="F6" s="271"/>
      <c r="G6" s="271"/>
      <c r="H6" s="271"/>
      <c r="I6" s="271"/>
      <c r="J6" s="271"/>
      <c r="K6" s="272"/>
      <c r="L6" s="271"/>
      <c r="M6" s="272"/>
      <c r="N6" s="272"/>
      <c r="O6" s="271"/>
      <c r="P6" s="271"/>
      <c r="Q6" s="271"/>
      <c r="R6" s="271"/>
      <c r="S6" s="271"/>
      <c r="T6" s="271"/>
      <c r="U6" s="271"/>
      <c r="V6" s="272"/>
      <c r="W6" s="272"/>
      <c r="X6" s="271"/>
      <c r="Y6" s="271"/>
      <c r="Z6" s="272"/>
      <c r="AA6" s="271"/>
      <c r="AB6" s="272"/>
      <c r="AC6" s="271"/>
      <c r="AD6" s="271"/>
    </row>
    <row r="7" spans="1:30" x14ac:dyDescent="0.25">
      <c r="A7" s="270" t="s">
        <v>2962</v>
      </c>
      <c r="B7" s="271"/>
      <c r="C7" s="271"/>
      <c r="D7" s="271"/>
      <c r="E7" s="271"/>
      <c r="F7" s="271"/>
      <c r="G7" s="271"/>
      <c r="H7" s="271"/>
      <c r="I7" s="271"/>
      <c r="J7" s="271"/>
      <c r="K7" s="272"/>
      <c r="L7" s="271"/>
      <c r="M7" s="273">
        <v>442000</v>
      </c>
      <c r="N7" s="272"/>
      <c r="O7" s="271"/>
      <c r="P7" s="271"/>
      <c r="Q7" s="271"/>
      <c r="R7" s="271"/>
      <c r="S7" s="271"/>
      <c r="T7" s="271"/>
      <c r="U7" s="271"/>
      <c r="V7" s="272"/>
      <c r="W7" s="272"/>
      <c r="X7" s="271"/>
      <c r="Y7" s="271"/>
      <c r="Z7" s="272"/>
      <c r="AA7" s="271"/>
      <c r="AB7" s="272"/>
      <c r="AC7" s="271"/>
      <c r="AD7" s="271"/>
    </row>
    <row r="8" spans="1:30" x14ac:dyDescent="0.25">
      <c r="A8" s="270" t="s">
        <v>614</v>
      </c>
      <c r="B8" s="271"/>
      <c r="C8" s="271"/>
      <c r="D8" s="271"/>
      <c r="E8" s="271"/>
      <c r="F8" s="271"/>
      <c r="G8" s="271"/>
      <c r="H8" s="271"/>
      <c r="I8" s="271"/>
      <c r="J8" s="271"/>
      <c r="K8" s="272"/>
      <c r="L8" s="271"/>
      <c r="M8" s="273">
        <v>442000</v>
      </c>
      <c r="N8" s="272"/>
      <c r="O8" s="271"/>
      <c r="P8" s="271"/>
      <c r="Q8" s="271"/>
      <c r="R8" s="271"/>
      <c r="S8" s="271"/>
      <c r="T8" s="271"/>
      <c r="U8" s="271"/>
      <c r="V8" s="272"/>
      <c r="W8" s="272"/>
      <c r="X8" s="271"/>
      <c r="Y8" s="271"/>
      <c r="Z8" s="272"/>
      <c r="AA8" s="271"/>
      <c r="AB8" s="272"/>
      <c r="AC8" s="271"/>
      <c r="AD8" s="271"/>
    </row>
    <row r="9" spans="1:30" x14ac:dyDescent="0.25">
      <c r="A9" s="274" t="s">
        <v>2963</v>
      </c>
      <c r="B9" s="274" t="s">
        <v>608</v>
      </c>
      <c r="C9" s="274"/>
      <c r="D9" s="274" t="s">
        <v>2957</v>
      </c>
      <c r="E9" s="274" t="s">
        <v>2957</v>
      </c>
      <c r="F9" s="274" t="s">
        <v>615</v>
      </c>
      <c r="G9" s="275">
        <v>42907.799710648149</v>
      </c>
      <c r="H9" s="275">
        <v>42907</v>
      </c>
      <c r="I9" s="274" t="s">
        <v>2964</v>
      </c>
      <c r="J9" s="274" t="s">
        <v>610</v>
      </c>
      <c r="K9" s="276">
        <v>175.01</v>
      </c>
      <c r="L9" s="274" t="s">
        <v>611</v>
      </c>
      <c r="M9" s="276">
        <v>336000</v>
      </c>
      <c r="N9" s="276">
        <v>609334.6</v>
      </c>
      <c r="O9" s="274" t="s">
        <v>67</v>
      </c>
      <c r="P9" s="275">
        <v>42907</v>
      </c>
      <c r="Q9" s="274" t="s">
        <v>618</v>
      </c>
      <c r="R9" s="274" t="s">
        <v>618</v>
      </c>
      <c r="S9" s="274" t="s">
        <v>2965</v>
      </c>
      <c r="T9" s="274"/>
      <c r="U9" s="275">
        <v>46928</v>
      </c>
      <c r="V9" s="277"/>
      <c r="W9" s="277"/>
      <c r="X9" s="274" t="s">
        <v>1348</v>
      </c>
      <c r="Y9" s="274"/>
      <c r="Z9" s="277"/>
      <c r="AA9" s="274" t="s">
        <v>2966</v>
      </c>
      <c r="AB9" s="277" t="s">
        <v>2967</v>
      </c>
      <c r="AC9" s="274"/>
      <c r="AD9" s="274"/>
    </row>
    <row r="10" spans="1:30" x14ac:dyDescent="0.25">
      <c r="A10" s="274" t="s">
        <v>2968</v>
      </c>
      <c r="B10" s="274" t="s">
        <v>608</v>
      </c>
      <c r="C10" s="274"/>
      <c r="D10" s="274" t="s">
        <v>2957</v>
      </c>
      <c r="E10" s="274" t="s">
        <v>2957</v>
      </c>
      <c r="F10" s="274" t="s">
        <v>623</v>
      </c>
      <c r="G10" s="275">
        <v>42783.495150462964</v>
      </c>
      <c r="H10" s="275">
        <v>42783</v>
      </c>
      <c r="I10" s="274" t="s">
        <v>2964</v>
      </c>
      <c r="J10" s="274" t="s">
        <v>610</v>
      </c>
      <c r="K10" s="276">
        <v>175.28</v>
      </c>
      <c r="L10" s="274" t="s">
        <v>611</v>
      </c>
      <c r="M10" s="276">
        <v>106000</v>
      </c>
      <c r="N10" s="276">
        <v>187974.22</v>
      </c>
      <c r="O10" s="274" t="s">
        <v>67</v>
      </c>
      <c r="P10" s="275">
        <v>42783</v>
      </c>
      <c r="Q10" s="274" t="s">
        <v>618</v>
      </c>
      <c r="R10" s="274" t="s">
        <v>618</v>
      </c>
      <c r="S10" s="274" t="s">
        <v>2965</v>
      </c>
      <c r="T10" s="274"/>
      <c r="U10" s="275">
        <v>46928</v>
      </c>
      <c r="V10" s="277"/>
      <c r="W10" s="277"/>
      <c r="X10" s="274" t="s">
        <v>1348</v>
      </c>
      <c r="Y10" s="274"/>
      <c r="Z10" s="277"/>
      <c r="AA10" s="274" t="s">
        <v>2966</v>
      </c>
      <c r="AB10" s="277" t="s">
        <v>2967</v>
      </c>
      <c r="AC10" s="274"/>
      <c r="AD10" s="274" t="s">
        <v>2969</v>
      </c>
    </row>
    <row r="11" spans="1:30" x14ac:dyDescent="0.25">
      <c r="A11" s="270" t="s">
        <v>2970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2"/>
      <c r="L11" s="271"/>
      <c r="M11" s="273">
        <v>65000</v>
      </c>
      <c r="N11" s="272"/>
      <c r="O11" s="271"/>
      <c r="P11" s="271"/>
      <c r="Q11" s="271"/>
      <c r="R11" s="271"/>
      <c r="S11" s="271"/>
      <c r="T11" s="271"/>
      <c r="U11" s="271"/>
      <c r="V11" s="272"/>
      <c r="W11" s="272"/>
      <c r="X11" s="271"/>
      <c r="Y11" s="271"/>
      <c r="Z11" s="272"/>
      <c r="AA11" s="271"/>
      <c r="AB11" s="272"/>
      <c r="AC11" s="271"/>
      <c r="AD11" s="271"/>
    </row>
    <row r="12" spans="1:30" x14ac:dyDescent="0.25">
      <c r="A12" s="270" t="s">
        <v>614</v>
      </c>
      <c r="B12" s="271"/>
      <c r="C12" s="271"/>
      <c r="D12" s="271"/>
      <c r="E12" s="271"/>
      <c r="F12" s="271"/>
      <c r="G12" s="271"/>
      <c r="H12" s="271"/>
      <c r="I12" s="271"/>
      <c r="J12" s="271"/>
      <c r="K12" s="272"/>
      <c r="L12" s="271"/>
      <c r="M12" s="273">
        <v>65000</v>
      </c>
      <c r="N12" s="272"/>
      <c r="O12" s="271"/>
      <c r="P12" s="271"/>
      <c r="Q12" s="271"/>
      <c r="R12" s="271"/>
      <c r="S12" s="271"/>
      <c r="T12" s="271"/>
      <c r="U12" s="271"/>
      <c r="V12" s="272"/>
      <c r="W12" s="272"/>
      <c r="X12" s="271"/>
      <c r="Y12" s="271"/>
      <c r="Z12" s="272"/>
      <c r="AA12" s="271"/>
      <c r="AB12" s="272"/>
      <c r="AC12" s="271"/>
      <c r="AD12" s="271"/>
    </row>
    <row r="13" spans="1:30" x14ac:dyDescent="0.25">
      <c r="A13" s="274" t="s">
        <v>2971</v>
      </c>
      <c r="B13" s="274" t="s">
        <v>608</v>
      </c>
      <c r="C13" s="274"/>
      <c r="D13" s="274" t="s">
        <v>2957</v>
      </c>
      <c r="E13" s="274" t="s">
        <v>2957</v>
      </c>
      <c r="F13" s="274" t="s">
        <v>615</v>
      </c>
      <c r="G13" s="275">
        <v>42881.785810185182</v>
      </c>
      <c r="H13" s="275">
        <v>42881</v>
      </c>
      <c r="I13" s="274" t="s">
        <v>2972</v>
      </c>
      <c r="J13" s="274" t="s">
        <v>610</v>
      </c>
      <c r="K13" s="276">
        <v>95.2</v>
      </c>
      <c r="L13" s="274" t="s">
        <v>611</v>
      </c>
      <c r="M13" s="276">
        <v>65000</v>
      </c>
      <c r="N13" s="276">
        <v>61880</v>
      </c>
      <c r="O13" s="274" t="s">
        <v>67</v>
      </c>
      <c r="P13" s="275">
        <v>42885</v>
      </c>
      <c r="Q13" s="274" t="s">
        <v>618</v>
      </c>
      <c r="R13" s="274" t="s">
        <v>618</v>
      </c>
      <c r="S13" s="274"/>
      <c r="T13" s="274"/>
      <c r="U13" s="275">
        <v>43570</v>
      </c>
      <c r="V13" s="277"/>
      <c r="W13" s="277"/>
      <c r="X13" s="274" t="s">
        <v>2069</v>
      </c>
      <c r="Y13" s="274"/>
      <c r="Z13" s="277"/>
      <c r="AA13" s="274" t="s">
        <v>620</v>
      </c>
      <c r="AB13" s="277" t="s">
        <v>2973</v>
      </c>
      <c r="AC13" s="274"/>
      <c r="AD13" s="274"/>
    </row>
    <row r="14" spans="1:30" x14ac:dyDescent="0.25">
      <c r="A14" s="270" t="s">
        <v>2974</v>
      </c>
      <c r="B14" s="271"/>
      <c r="C14" s="271"/>
      <c r="D14" s="271"/>
      <c r="E14" s="271"/>
      <c r="F14" s="271"/>
      <c r="G14" s="271"/>
      <c r="H14" s="271"/>
      <c r="I14" s="271"/>
      <c r="J14" s="271"/>
      <c r="K14" s="272"/>
      <c r="L14" s="271"/>
      <c r="M14" s="273">
        <v>200000</v>
      </c>
      <c r="N14" s="272"/>
      <c r="O14" s="271"/>
      <c r="P14" s="271"/>
      <c r="Q14" s="271"/>
      <c r="R14" s="271"/>
      <c r="S14" s="271"/>
      <c r="T14" s="271"/>
      <c r="U14" s="271"/>
      <c r="V14" s="272"/>
      <c r="W14" s="272"/>
      <c r="X14" s="271"/>
      <c r="Y14" s="271"/>
      <c r="Z14" s="272"/>
      <c r="AA14" s="271"/>
      <c r="AB14" s="272"/>
      <c r="AC14" s="271"/>
      <c r="AD14" s="271"/>
    </row>
    <row r="15" spans="1:30" x14ac:dyDescent="0.25">
      <c r="A15" s="270" t="s">
        <v>614</v>
      </c>
      <c r="B15" s="271"/>
      <c r="C15" s="271"/>
      <c r="D15" s="271"/>
      <c r="E15" s="271"/>
      <c r="F15" s="271"/>
      <c r="G15" s="271"/>
      <c r="H15" s="271"/>
      <c r="I15" s="271"/>
      <c r="J15" s="271"/>
      <c r="K15" s="272"/>
      <c r="L15" s="271"/>
      <c r="M15" s="273">
        <v>200000</v>
      </c>
      <c r="N15" s="272"/>
      <c r="O15" s="271"/>
      <c r="P15" s="271"/>
      <c r="Q15" s="271"/>
      <c r="R15" s="271"/>
      <c r="S15" s="271"/>
      <c r="T15" s="271"/>
      <c r="U15" s="271"/>
      <c r="V15" s="272"/>
      <c r="W15" s="272"/>
      <c r="X15" s="271"/>
      <c r="Y15" s="271"/>
      <c r="Z15" s="272"/>
      <c r="AA15" s="271"/>
      <c r="AB15" s="272"/>
      <c r="AC15" s="271"/>
      <c r="AD15" s="271"/>
    </row>
    <row r="16" spans="1:30" x14ac:dyDescent="0.25">
      <c r="A16" s="274" t="s">
        <v>2975</v>
      </c>
      <c r="B16" s="274" t="s">
        <v>608</v>
      </c>
      <c r="C16" s="274"/>
      <c r="D16" s="274" t="s">
        <v>2957</v>
      </c>
      <c r="E16" s="274" t="s">
        <v>2957</v>
      </c>
      <c r="F16" s="274" t="s">
        <v>615</v>
      </c>
      <c r="G16" s="275">
        <v>42909.665023148147</v>
      </c>
      <c r="H16" s="275">
        <v>42909</v>
      </c>
      <c r="I16" s="274" t="s">
        <v>616</v>
      </c>
      <c r="J16" s="274" t="s">
        <v>610</v>
      </c>
      <c r="K16" s="276">
        <v>111.53</v>
      </c>
      <c r="L16" s="274" t="s">
        <v>611</v>
      </c>
      <c r="M16" s="276">
        <v>200000</v>
      </c>
      <c r="N16" s="276">
        <v>229935</v>
      </c>
      <c r="O16" s="274" t="s">
        <v>67</v>
      </c>
      <c r="P16" s="275">
        <v>42909</v>
      </c>
      <c r="Q16" s="274" t="s">
        <v>618</v>
      </c>
      <c r="R16" s="274" t="s">
        <v>618</v>
      </c>
      <c r="S16" s="274"/>
      <c r="T16" s="274"/>
      <c r="U16" s="275">
        <v>44224</v>
      </c>
      <c r="V16" s="277"/>
      <c r="W16" s="277"/>
      <c r="X16" s="274" t="s">
        <v>2436</v>
      </c>
      <c r="Y16" s="274"/>
      <c r="Z16" s="277"/>
      <c r="AA16" s="274" t="s">
        <v>626</v>
      </c>
      <c r="AB16" s="277" t="s">
        <v>2976</v>
      </c>
      <c r="AC16" s="274"/>
      <c r="AD16" s="274"/>
    </row>
    <row r="17" spans="1:30" x14ac:dyDescent="0.25">
      <c r="A17" s="270" t="s">
        <v>2977</v>
      </c>
      <c r="B17" s="271"/>
      <c r="C17" s="271"/>
      <c r="D17" s="271"/>
      <c r="E17" s="271"/>
      <c r="F17" s="271"/>
      <c r="G17" s="271"/>
      <c r="H17" s="271"/>
      <c r="I17" s="271"/>
      <c r="J17" s="271"/>
      <c r="K17" s="272"/>
      <c r="L17" s="271"/>
      <c r="M17" s="273">
        <v>200000</v>
      </c>
      <c r="N17" s="272"/>
      <c r="O17" s="271"/>
      <c r="P17" s="271"/>
      <c r="Q17" s="271"/>
      <c r="R17" s="271"/>
      <c r="S17" s="271"/>
      <c r="T17" s="271"/>
      <c r="U17" s="271"/>
      <c r="V17" s="272"/>
      <c r="W17" s="272"/>
      <c r="X17" s="271"/>
      <c r="Y17" s="271"/>
      <c r="Z17" s="272"/>
      <c r="AA17" s="271"/>
      <c r="AB17" s="272"/>
      <c r="AC17" s="271"/>
      <c r="AD17" s="271"/>
    </row>
    <row r="18" spans="1:30" x14ac:dyDescent="0.25">
      <c r="A18" s="270" t="s">
        <v>614</v>
      </c>
      <c r="B18" s="271"/>
      <c r="C18" s="271"/>
      <c r="D18" s="271"/>
      <c r="E18" s="271"/>
      <c r="F18" s="271"/>
      <c r="G18" s="271"/>
      <c r="H18" s="271"/>
      <c r="I18" s="271"/>
      <c r="J18" s="271"/>
      <c r="K18" s="272"/>
      <c r="L18" s="271"/>
      <c r="M18" s="273">
        <v>200000</v>
      </c>
      <c r="N18" s="272"/>
      <c r="O18" s="271"/>
      <c r="P18" s="271"/>
      <c r="Q18" s="271"/>
      <c r="R18" s="271"/>
      <c r="S18" s="271"/>
      <c r="T18" s="271"/>
      <c r="U18" s="271"/>
      <c r="V18" s="272"/>
      <c r="W18" s="272"/>
      <c r="X18" s="271"/>
      <c r="Y18" s="271"/>
      <c r="Z18" s="272"/>
      <c r="AA18" s="271"/>
      <c r="AB18" s="272"/>
      <c r="AC18" s="271"/>
      <c r="AD18" s="271"/>
    </row>
    <row r="19" spans="1:30" x14ac:dyDescent="0.25">
      <c r="A19" s="274" t="s">
        <v>2978</v>
      </c>
      <c r="B19" s="274" t="s">
        <v>608</v>
      </c>
      <c r="C19" s="274"/>
      <c r="D19" s="274" t="s">
        <v>2957</v>
      </c>
      <c r="E19" s="274" t="s">
        <v>2957</v>
      </c>
      <c r="F19" s="274" t="s">
        <v>615</v>
      </c>
      <c r="G19" s="275">
        <v>42909.654918981483</v>
      </c>
      <c r="H19" s="275">
        <v>42909</v>
      </c>
      <c r="I19" s="274" t="s">
        <v>616</v>
      </c>
      <c r="J19" s="274" t="s">
        <v>610</v>
      </c>
      <c r="K19" s="276">
        <v>110.61</v>
      </c>
      <c r="L19" s="274" t="s">
        <v>611</v>
      </c>
      <c r="M19" s="276">
        <v>200000</v>
      </c>
      <c r="N19" s="276">
        <v>225234.5</v>
      </c>
      <c r="O19" s="274" t="s">
        <v>67</v>
      </c>
      <c r="P19" s="275">
        <v>42909</v>
      </c>
      <c r="Q19" s="274" t="s">
        <v>618</v>
      </c>
      <c r="R19" s="274" t="s">
        <v>618</v>
      </c>
      <c r="S19" s="274" t="s">
        <v>2965</v>
      </c>
      <c r="T19" s="274"/>
      <c r="U19" s="275">
        <v>44627</v>
      </c>
      <c r="V19" s="277"/>
      <c r="W19" s="277"/>
      <c r="X19" s="274" t="s">
        <v>2232</v>
      </c>
      <c r="Y19" s="274"/>
      <c r="Z19" s="277"/>
      <c r="AA19" s="274" t="s">
        <v>2979</v>
      </c>
      <c r="AB19" s="277" t="s">
        <v>2980</v>
      </c>
      <c r="AC19" s="274"/>
      <c r="AD19" s="274"/>
    </row>
    <row r="20" spans="1:30" x14ac:dyDescent="0.25">
      <c r="A20" s="270" t="s">
        <v>2981</v>
      </c>
      <c r="B20" s="271"/>
      <c r="C20" s="271"/>
      <c r="D20" s="271"/>
      <c r="E20" s="271"/>
      <c r="F20" s="271"/>
      <c r="G20" s="271"/>
      <c r="H20" s="271"/>
      <c r="I20" s="271"/>
      <c r="J20" s="271"/>
      <c r="K20" s="272"/>
      <c r="L20" s="271"/>
      <c r="M20" s="273">
        <v>200000</v>
      </c>
      <c r="N20" s="272"/>
      <c r="O20" s="271"/>
      <c r="P20" s="271"/>
      <c r="Q20" s="271"/>
      <c r="R20" s="271"/>
      <c r="S20" s="271"/>
      <c r="T20" s="271"/>
      <c r="U20" s="271"/>
      <c r="V20" s="272"/>
      <c r="W20" s="272"/>
      <c r="X20" s="271"/>
      <c r="Y20" s="271"/>
      <c r="Z20" s="272"/>
      <c r="AA20" s="271"/>
      <c r="AB20" s="272"/>
      <c r="AC20" s="271"/>
      <c r="AD20" s="271"/>
    </row>
    <row r="21" spans="1:30" x14ac:dyDescent="0.25">
      <c r="A21" s="270" t="s">
        <v>614</v>
      </c>
      <c r="B21" s="271"/>
      <c r="C21" s="271"/>
      <c r="D21" s="271"/>
      <c r="E21" s="271"/>
      <c r="F21" s="271"/>
      <c r="G21" s="271"/>
      <c r="H21" s="271"/>
      <c r="I21" s="271"/>
      <c r="J21" s="271"/>
      <c r="K21" s="272"/>
      <c r="L21" s="271"/>
      <c r="M21" s="273">
        <v>200000</v>
      </c>
      <c r="N21" s="272"/>
      <c r="O21" s="271"/>
      <c r="P21" s="271"/>
      <c r="Q21" s="271"/>
      <c r="R21" s="271"/>
      <c r="S21" s="271"/>
      <c r="T21" s="271"/>
      <c r="U21" s="271"/>
      <c r="V21" s="272"/>
      <c r="W21" s="272"/>
      <c r="X21" s="271"/>
      <c r="Y21" s="271"/>
      <c r="Z21" s="272"/>
      <c r="AA21" s="271"/>
      <c r="AB21" s="272"/>
      <c r="AC21" s="271"/>
      <c r="AD21" s="271"/>
    </row>
    <row r="22" spans="1:30" x14ac:dyDescent="0.25">
      <c r="A22" s="274" t="s">
        <v>2982</v>
      </c>
      <c r="B22" s="274" t="s">
        <v>608</v>
      </c>
      <c r="C22" s="274"/>
      <c r="D22" s="274" t="s">
        <v>2957</v>
      </c>
      <c r="E22" s="274" t="s">
        <v>2957</v>
      </c>
      <c r="F22" s="274" t="s">
        <v>615</v>
      </c>
      <c r="G22" s="275">
        <v>42782.518703703703</v>
      </c>
      <c r="H22" s="275">
        <v>42782</v>
      </c>
      <c r="I22" s="274" t="s">
        <v>616</v>
      </c>
      <c r="J22" s="274" t="s">
        <v>610</v>
      </c>
      <c r="K22" s="276">
        <v>100.75</v>
      </c>
      <c r="L22" s="274" t="s">
        <v>611</v>
      </c>
      <c r="M22" s="276">
        <v>200000</v>
      </c>
      <c r="N22" s="276">
        <v>204426.39</v>
      </c>
      <c r="O22" s="274" t="s">
        <v>67</v>
      </c>
      <c r="P22" s="275">
        <v>42782</v>
      </c>
      <c r="Q22" s="274" t="s">
        <v>618</v>
      </c>
      <c r="R22" s="274" t="s">
        <v>618</v>
      </c>
      <c r="S22" s="274"/>
      <c r="T22" s="274"/>
      <c r="U22" s="275">
        <v>43462</v>
      </c>
      <c r="V22" s="277"/>
      <c r="W22" s="277"/>
      <c r="X22" s="274" t="s">
        <v>2212</v>
      </c>
      <c r="Y22" s="274"/>
      <c r="Z22" s="277"/>
      <c r="AA22" s="274" t="s">
        <v>2983</v>
      </c>
      <c r="AB22" s="277" t="s">
        <v>2984</v>
      </c>
      <c r="AC22" s="274"/>
      <c r="AD22" s="274"/>
    </row>
    <row r="23" spans="1:30" x14ac:dyDescent="0.25">
      <c r="A23" s="270" t="s">
        <v>2985</v>
      </c>
      <c r="B23" s="271"/>
      <c r="C23" s="271"/>
      <c r="D23" s="271"/>
      <c r="E23" s="271"/>
      <c r="F23" s="271"/>
      <c r="G23" s="271"/>
      <c r="H23" s="271"/>
      <c r="I23" s="271"/>
      <c r="J23" s="271"/>
      <c r="K23" s="272"/>
      <c r="L23" s="271"/>
      <c r="M23" s="273">
        <v>200000</v>
      </c>
      <c r="N23" s="272"/>
      <c r="O23" s="271"/>
      <c r="P23" s="271"/>
      <c r="Q23" s="271"/>
      <c r="R23" s="271"/>
      <c r="S23" s="271"/>
      <c r="T23" s="271"/>
      <c r="U23" s="271"/>
      <c r="V23" s="272"/>
      <c r="W23" s="272"/>
      <c r="X23" s="271"/>
      <c r="Y23" s="271"/>
      <c r="Z23" s="272"/>
      <c r="AA23" s="271"/>
      <c r="AB23" s="272"/>
      <c r="AC23" s="271"/>
      <c r="AD23" s="271"/>
    </row>
    <row r="24" spans="1:30" x14ac:dyDescent="0.25">
      <c r="A24" s="270" t="s">
        <v>614</v>
      </c>
      <c r="B24" s="271"/>
      <c r="C24" s="271"/>
      <c r="D24" s="271"/>
      <c r="E24" s="271"/>
      <c r="F24" s="271"/>
      <c r="G24" s="271"/>
      <c r="H24" s="271"/>
      <c r="I24" s="271"/>
      <c r="J24" s="271"/>
      <c r="K24" s="272"/>
      <c r="L24" s="271"/>
      <c r="M24" s="273">
        <v>200000</v>
      </c>
      <c r="N24" s="272"/>
      <c r="O24" s="271"/>
      <c r="P24" s="271"/>
      <c r="Q24" s="271"/>
      <c r="R24" s="271"/>
      <c r="S24" s="271"/>
      <c r="T24" s="271"/>
      <c r="U24" s="271"/>
      <c r="V24" s="272"/>
      <c r="W24" s="272"/>
      <c r="X24" s="271"/>
      <c r="Y24" s="271"/>
      <c r="Z24" s="272"/>
      <c r="AA24" s="271"/>
      <c r="AB24" s="272"/>
      <c r="AC24" s="271"/>
      <c r="AD24" s="271"/>
    </row>
    <row r="25" spans="1:30" x14ac:dyDescent="0.25">
      <c r="A25" s="274" t="s">
        <v>2986</v>
      </c>
      <c r="B25" s="274" t="s">
        <v>608</v>
      </c>
      <c r="C25" s="274"/>
      <c r="D25" s="274" t="s">
        <v>2957</v>
      </c>
      <c r="E25" s="274" t="s">
        <v>2957</v>
      </c>
      <c r="F25" s="274" t="s">
        <v>630</v>
      </c>
      <c r="G25" s="275">
        <v>42965.64340277778</v>
      </c>
      <c r="H25" s="275">
        <v>42965</v>
      </c>
      <c r="I25" s="274" t="s">
        <v>616</v>
      </c>
      <c r="J25" s="274" t="s">
        <v>610</v>
      </c>
      <c r="K25" s="276">
        <v>95.515000000000001</v>
      </c>
      <c r="L25" s="274" t="s">
        <v>611</v>
      </c>
      <c r="M25" s="276">
        <v>200000</v>
      </c>
      <c r="N25" s="276">
        <v>197530</v>
      </c>
      <c r="O25" s="274" t="s">
        <v>67</v>
      </c>
      <c r="P25" s="275">
        <v>42965</v>
      </c>
      <c r="Q25" s="274" t="s">
        <v>618</v>
      </c>
      <c r="R25" s="274" t="s">
        <v>618</v>
      </c>
      <c r="S25" s="274"/>
      <c r="T25" s="274"/>
      <c r="U25" s="275">
        <v>43581</v>
      </c>
      <c r="V25" s="277"/>
      <c r="W25" s="277"/>
      <c r="X25" s="274" t="s">
        <v>1104</v>
      </c>
      <c r="Y25" s="274"/>
      <c r="Z25" s="277"/>
      <c r="AA25" s="274" t="s">
        <v>620</v>
      </c>
      <c r="AB25" s="277" t="s">
        <v>2987</v>
      </c>
      <c r="AC25" s="274"/>
      <c r="AD25" s="274"/>
    </row>
    <row r="26" spans="1:30" x14ac:dyDescent="0.25">
      <c r="A26" s="270" t="s">
        <v>628</v>
      </c>
      <c r="B26" s="271"/>
      <c r="C26" s="271"/>
      <c r="D26" s="271"/>
      <c r="E26" s="271"/>
      <c r="F26" s="271"/>
      <c r="G26" s="271"/>
      <c r="H26" s="271"/>
      <c r="I26" s="271"/>
      <c r="J26" s="271"/>
      <c r="K26" s="272"/>
      <c r="L26" s="271"/>
      <c r="M26" s="272"/>
      <c r="N26" s="272"/>
      <c r="O26" s="271"/>
      <c r="P26" s="271"/>
      <c r="Q26" s="271"/>
      <c r="R26" s="271"/>
      <c r="S26" s="271"/>
      <c r="T26" s="271"/>
      <c r="U26" s="271"/>
      <c r="V26" s="272"/>
      <c r="W26" s="272"/>
      <c r="X26" s="271"/>
      <c r="Y26" s="271"/>
      <c r="Z26" s="272"/>
      <c r="AA26" s="271"/>
      <c r="AB26" s="272"/>
      <c r="AC26" s="271"/>
      <c r="AD26" s="271"/>
    </row>
    <row r="27" spans="1:30" x14ac:dyDescent="0.25">
      <c r="A27" s="270" t="s">
        <v>2988</v>
      </c>
      <c r="B27" s="271"/>
      <c r="C27" s="271"/>
      <c r="D27" s="271"/>
      <c r="E27" s="271"/>
      <c r="F27" s="271"/>
      <c r="G27" s="271"/>
      <c r="H27" s="271"/>
      <c r="I27" s="271"/>
      <c r="J27" s="271"/>
      <c r="K27" s="272"/>
      <c r="L27" s="271"/>
      <c r="M27" s="273">
        <v>3950</v>
      </c>
      <c r="N27" s="272"/>
      <c r="O27" s="271"/>
      <c r="P27" s="271"/>
      <c r="Q27" s="271"/>
      <c r="R27" s="271"/>
      <c r="S27" s="271"/>
      <c r="T27" s="271"/>
      <c r="U27" s="271"/>
      <c r="V27" s="272"/>
      <c r="W27" s="272"/>
      <c r="X27" s="271"/>
      <c r="Y27" s="271"/>
      <c r="Z27" s="272"/>
      <c r="AA27" s="271"/>
      <c r="AB27" s="272"/>
      <c r="AC27" s="271"/>
      <c r="AD27" s="271"/>
    </row>
    <row r="28" spans="1:30" x14ac:dyDescent="0.25">
      <c r="A28" s="270" t="s">
        <v>614</v>
      </c>
      <c r="B28" s="271"/>
      <c r="C28" s="271"/>
      <c r="D28" s="271"/>
      <c r="E28" s="271"/>
      <c r="F28" s="271"/>
      <c r="G28" s="271"/>
      <c r="H28" s="271"/>
      <c r="I28" s="271"/>
      <c r="J28" s="271"/>
      <c r="K28" s="272"/>
      <c r="L28" s="271"/>
      <c r="M28" s="273">
        <v>3950</v>
      </c>
      <c r="N28" s="272"/>
      <c r="O28" s="271"/>
      <c r="P28" s="271"/>
      <c r="Q28" s="271"/>
      <c r="R28" s="271"/>
      <c r="S28" s="271"/>
      <c r="T28" s="271"/>
      <c r="U28" s="271"/>
      <c r="V28" s="272"/>
      <c r="W28" s="272"/>
      <c r="X28" s="271"/>
      <c r="Y28" s="271"/>
      <c r="Z28" s="272"/>
      <c r="AA28" s="271"/>
      <c r="AB28" s="272"/>
      <c r="AC28" s="271"/>
      <c r="AD28" s="271"/>
    </row>
    <row r="29" spans="1:30" x14ac:dyDescent="0.25">
      <c r="A29" s="274" t="s">
        <v>2989</v>
      </c>
      <c r="B29" s="274" t="s">
        <v>608</v>
      </c>
      <c r="C29" s="274"/>
      <c r="D29" s="274" t="s">
        <v>2957</v>
      </c>
      <c r="E29" s="274" t="s">
        <v>2957</v>
      </c>
      <c r="F29" s="274" t="s">
        <v>630</v>
      </c>
      <c r="G29" s="275">
        <v>42831.711643518516</v>
      </c>
      <c r="H29" s="275">
        <v>42831</v>
      </c>
      <c r="I29" s="274" t="s">
        <v>691</v>
      </c>
      <c r="J29" s="274" t="s">
        <v>610</v>
      </c>
      <c r="K29" s="276">
        <v>12.6</v>
      </c>
      <c r="L29" s="274" t="s">
        <v>67</v>
      </c>
      <c r="M29" s="276">
        <v>3950</v>
      </c>
      <c r="N29" s="276">
        <v>49770</v>
      </c>
      <c r="O29" s="274" t="s">
        <v>67</v>
      </c>
      <c r="P29" s="275">
        <v>42831</v>
      </c>
      <c r="Q29" s="274" t="s">
        <v>618</v>
      </c>
      <c r="R29" s="274" t="s">
        <v>618</v>
      </c>
      <c r="S29" s="274" t="s">
        <v>633</v>
      </c>
      <c r="T29" s="274"/>
      <c r="U29" s="274"/>
      <c r="V29" s="277"/>
      <c r="W29" s="277"/>
      <c r="X29" s="274" t="s">
        <v>2252</v>
      </c>
      <c r="Y29" s="274"/>
      <c r="Z29" s="277"/>
      <c r="AA29" s="274"/>
      <c r="AB29" s="277"/>
      <c r="AC29" s="274" t="s">
        <v>2990</v>
      </c>
      <c r="AD29" s="274" t="s">
        <v>2991</v>
      </c>
    </row>
    <row r="30" spans="1:30" x14ac:dyDescent="0.25">
      <c r="A30" s="270" t="s">
        <v>2992</v>
      </c>
      <c r="B30" s="271"/>
      <c r="C30" s="271"/>
      <c r="D30" s="271"/>
      <c r="E30" s="271"/>
      <c r="F30" s="271"/>
      <c r="G30" s="271"/>
      <c r="H30" s="271"/>
      <c r="I30" s="271"/>
      <c r="J30" s="271"/>
      <c r="K30" s="272"/>
      <c r="L30" s="271"/>
      <c r="M30" s="273">
        <v>90438</v>
      </c>
      <c r="N30" s="272"/>
      <c r="O30" s="271"/>
      <c r="P30" s="271"/>
      <c r="Q30" s="271"/>
      <c r="R30" s="271"/>
      <c r="S30" s="271"/>
      <c r="T30" s="271"/>
      <c r="U30" s="271"/>
      <c r="V30" s="272"/>
      <c r="W30" s="272"/>
      <c r="X30" s="271"/>
      <c r="Y30" s="271"/>
      <c r="Z30" s="272"/>
      <c r="AA30" s="271"/>
      <c r="AB30" s="272"/>
      <c r="AC30" s="271"/>
      <c r="AD30" s="271"/>
    </row>
    <row r="31" spans="1:30" x14ac:dyDescent="0.25">
      <c r="A31" s="270" t="s">
        <v>614</v>
      </c>
      <c r="B31" s="271"/>
      <c r="C31" s="271"/>
      <c r="D31" s="271"/>
      <c r="E31" s="271"/>
      <c r="F31" s="271"/>
      <c r="G31" s="271"/>
      <c r="H31" s="271"/>
      <c r="I31" s="271"/>
      <c r="J31" s="271"/>
      <c r="K31" s="272"/>
      <c r="L31" s="271"/>
      <c r="M31" s="273">
        <v>90438</v>
      </c>
      <c r="N31" s="272"/>
      <c r="O31" s="271"/>
      <c r="P31" s="271"/>
      <c r="Q31" s="271"/>
      <c r="R31" s="271"/>
      <c r="S31" s="271"/>
      <c r="T31" s="271"/>
      <c r="U31" s="271"/>
      <c r="V31" s="272"/>
      <c r="W31" s="272"/>
      <c r="X31" s="271"/>
      <c r="Y31" s="271"/>
      <c r="Z31" s="272"/>
      <c r="AA31" s="271"/>
      <c r="AB31" s="272"/>
      <c r="AC31" s="271"/>
      <c r="AD31" s="271"/>
    </row>
    <row r="32" spans="1:30" x14ac:dyDescent="0.25">
      <c r="A32" s="274" t="s">
        <v>2993</v>
      </c>
      <c r="B32" s="274" t="s">
        <v>608</v>
      </c>
      <c r="C32" s="274"/>
      <c r="D32" s="274" t="s">
        <v>2957</v>
      </c>
      <c r="E32" s="274" t="s">
        <v>2957</v>
      </c>
      <c r="F32" s="274" t="s">
        <v>630</v>
      </c>
      <c r="G32" s="275">
        <v>42781.786747685182</v>
      </c>
      <c r="H32" s="275">
        <v>42781</v>
      </c>
      <c r="I32" s="274" t="s">
        <v>631</v>
      </c>
      <c r="J32" s="274" t="s">
        <v>610</v>
      </c>
      <c r="K32" s="276">
        <v>2.3521429999999999</v>
      </c>
      <c r="L32" s="274" t="s">
        <v>67</v>
      </c>
      <c r="M32" s="276">
        <v>26800</v>
      </c>
      <c r="N32" s="276">
        <v>63037.43</v>
      </c>
      <c r="O32" s="274" t="s">
        <v>67</v>
      </c>
      <c r="P32" s="275">
        <v>42781</v>
      </c>
      <c r="Q32" s="274" t="s">
        <v>618</v>
      </c>
      <c r="R32" s="274" t="s">
        <v>618</v>
      </c>
      <c r="S32" s="274" t="s">
        <v>633</v>
      </c>
      <c r="T32" s="274"/>
      <c r="U32" s="274"/>
      <c r="V32" s="277"/>
      <c r="W32" s="277"/>
      <c r="X32" s="274" t="s">
        <v>1977</v>
      </c>
      <c r="Y32" s="274"/>
      <c r="Z32" s="277"/>
      <c r="AA32" s="274"/>
      <c r="AB32" s="277"/>
      <c r="AC32" s="274"/>
      <c r="AD32" s="274"/>
    </row>
    <row r="33" spans="1:30" x14ac:dyDescent="0.25">
      <c r="A33" s="274" t="s">
        <v>2994</v>
      </c>
      <c r="B33" s="274" t="s">
        <v>608</v>
      </c>
      <c r="C33" s="274"/>
      <c r="D33" s="274" t="s">
        <v>2957</v>
      </c>
      <c r="E33" s="274" t="s">
        <v>2957</v>
      </c>
      <c r="F33" s="274" t="s">
        <v>630</v>
      </c>
      <c r="G33" s="275">
        <v>42860.646886574075</v>
      </c>
      <c r="H33" s="275">
        <v>42860</v>
      </c>
      <c r="I33" s="274" t="s">
        <v>631</v>
      </c>
      <c r="J33" s="274" t="s">
        <v>610</v>
      </c>
      <c r="K33" s="276">
        <v>1.7598400000000001</v>
      </c>
      <c r="L33" s="274" t="s">
        <v>67</v>
      </c>
      <c r="M33" s="276">
        <v>35500</v>
      </c>
      <c r="N33" s="276">
        <v>62474.32</v>
      </c>
      <c r="O33" s="274" t="s">
        <v>67</v>
      </c>
      <c r="P33" s="275">
        <v>42860</v>
      </c>
      <c r="Q33" s="274" t="s">
        <v>618</v>
      </c>
      <c r="R33" s="274" t="s">
        <v>618</v>
      </c>
      <c r="S33" s="274" t="s">
        <v>633</v>
      </c>
      <c r="T33" s="274"/>
      <c r="U33" s="274"/>
      <c r="V33" s="277"/>
      <c r="W33" s="277"/>
      <c r="X33" s="274" t="s">
        <v>1977</v>
      </c>
      <c r="Y33" s="274"/>
      <c r="Z33" s="277"/>
      <c r="AA33" s="274"/>
      <c r="AB33" s="277"/>
      <c r="AC33" s="274"/>
      <c r="AD33" s="274" t="s">
        <v>2995</v>
      </c>
    </row>
    <row r="34" spans="1:30" x14ac:dyDescent="0.25">
      <c r="A34" s="274" t="s">
        <v>2996</v>
      </c>
      <c r="B34" s="274" t="s">
        <v>608</v>
      </c>
      <c r="C34" s="274"/>
      <c r="D34" s="274" t="s">
        <v>2957</v>
      </c>
      <c r="E34" s="274" t="s">
        <v>2957</v>
      </c>
      <c r="F34" s="274" t="s">
        <v>630</v>
      </c>
      <c r="G34" s="275">
        <v>42851.585104166668</v>
      </c>
      <c r="H34" s="275">
        <v>42851</v>
      </c>
      <c r="I34" s="274" t="s">
        <v>631</v>
      </c>
      <c r="J34" s="274" t="s">
        <v>610</v>
      </c>
      <c r="K34" s="276">
        <v>1.8424990000000001</v>
      </c>
      <c r="L34" s="274" t="s">
        <v>67</v>
      </c>
      <c r="M34" s="276">
        <v>27070</v>
      </c>
      <c r="N34" s="276">
        <v>49876.45</v>
      </c>
      <c r="O34" s="274" t="s">
        <v>67</v>
      </c>
      <c r="P34" s="275">
        <v>42851</v>
      </c>
      <c r="Q34" s="274" t="s">
        <v>618</v>
      </c>
      <c r="R34" s="274" t="s">
        <v>618</v>
      </c>
      <c r="S34" s="274" t="s">
        <v>633</v>
      </c>
      <c r="T34" s="274"/>
      <c r="U34" s="274"/>
      <c r="V34" s="277"/>
      <c r="W34" s="277"/>
      <c r="X34" s="274" t="s">
        <v>1977</v>
      </c>
      <c r="Y34" s="274"/>
      <c r="Z34" s="277"/>
      <c r="AA34" s="274"/>
      <c r="AB34" s="277"/>
      <c r="AC34" s="274"/>
      <c r="AD34" s="274" t="s">
        <v>2997</v>
      </c>
    </row>
    <row r="35" spans="1:30" x14ac:dyDescent="0.25">
      <c r="A35" s="274" t="s">
        <v>2998</v>
      </c>
      <c r="B35" s="274" t="s">
        <v>608</v>
      </c>
      <c r="C35" s="274"/>
      <c r="D35" s="274" t="s">
        <v>2957</v>
      </c>
      <c r="E35" s="274" t="s">
        <v>2957</v>
      </c>
      <c r="F35" s="274" t="s">
        <v>615</v>
      </c>
      <c r="G35" s="275">
        <v>42921.602708333332</v>
      </c>
      <c r="H35" s="275">
        <v>42921</v>
      </c>
      <c r="I35" s="274" t="s">
        <v>631</v>
      </c>
      <c r="J35" s="274" t="s">
        <v>610</v>
      </c>
      <c r="K35" s="276">
        <v>1.355</v>
      </c>
      <c r="L35" s="274" t="s">
        <v>2278</v>
      </c>
      <c r="M35" s="276">
        <v>1068</v>
      </c>
      <c r="N35" s="276">
        <v>1447.14</v>
      </c>
      <c r="O35" s="274" t="s">
        <v>2278</v>
      </c>
      <c r="P35" s="275">
        <v>42921</v>
      </c>
      <c r="Q35" s="274" t="s">
        <v>618</v>
      </c>
      <c r="R35" s="274" t="s">
        <v>618</v>
      </c>
      <c r="S35" s="274" t="s">
        <v>633</v>
      </c>
      <c r="T35" s="274"/>
      <c r="U35" s="274"/>
      <c r="V35" s="277"/>
      <c r="W35" s="277"/>
      <c r="X35" s="274" t="s">
        <v>1977</v>
      </c>
      <c r="Y35" s="274"/>
      <c r="Z35" s="277"/>
      <c r="AA35" s="274"/>
      <c r="AB35" s="277"/>
      <c r="AC35" s="274"/>
      <c r="AD35" s="274"/>
    </row>
    <row r="36" spans="1:30" x14ac:dyDescent="0.25">
      <c r="A36" s="270" t="s">
        <v>2999</v>
      </c>
      <c r="B36" s="271"/>
      <c r="C36" s="271"/>
      <c r="D36" s="271"/>
      <c r="E36" s="271"/>
      <c r="F36" s="271"/>
      <c r="G36" s="271"/>
      <c r="H36" s="271"/>
      <c r="I36" s="271"/>
      <c r="J36" s="271"/>
      <c r="K36" s="272"/>
      <c r="L36" s="271"/>
      <c r="M36" s="273">
        <v>6250</v>
      </c>
      <c r="N36" s="272"/>
      <c r="O36" s="271"/>
      <c r="P36" s="271"/>
      <c r="Q36" s="271"/>
      <c r="R36" s="271"/>
      <c r="S36" s="271"/>
      <c r="T36" s="271"/>
      <c r="U36" s="271"/>
      <c r="V36" s="272"/>
      <c r="W36" s="272"/>
      <c r="X36" s="271"/>
      <c r="Y36" s="271"/>
      <c r="Z36" s="272"/>
      <c r="AA36" s="271"/>
      <c r="AB36" s="272"/>
      <c r="AC36" s="271"/>
      <c r="AD36" s="271"/>
    </row>
    <row r="37" spans="1:30" x14ac:dyDescent="0.25">
      <c r="A37" s="270" t="s">
        <v>614</v>
      </c>
      <c r="B37" s="271"/>
      <c r="C37" s="271"/>
      <c r="D37" s="271"/>
      <c r="E37" s="271"/>
      <c r="F37" s="271"/>
      <c r="G37" s="271"/>
      <c r="H37" s="271"/>
      <c r="I37" s="271"/>
      <c r="J37" s="271"/>
      <c r="K37" s="272"/>
      <c r="L37" s="271"/>
      <c r="M37" s="273">
        <v>6250</v>
      </c>
      <c r="N37" s="272"/>
      <c r="O37" s="271"/>
      <c r="P37" s="271"/>
      <c r="Q37" s="271"/>
      <c r="R37" s="271"/>
      <c r="S37" s="271"/>
      <c r="T37" s="271"/>
      <c r="U37" s="271"/>
      <c r="V37" s="272"/>
      <c r="W37" s="272"/>
      <c r="X37" s="271"/>
      <c r="Y37" s="271"/>
      <c r="Z37" s="272"/>
      <c r="AA37" s="271"/>
      <c r="AB37" s="272"/>
      <c r="AC37" s="271"/>
      <c r="AD37" s="271"/>
    </row>
    <row r="38" spans="1:30" x14ac:dyDescent="0.25">
      <c r="A38" s="274" t="s">
        <v>3000</v>
      </c>
      <c r="B38" s="274" t="s">
        <v>608</v>
      </c>
      <c r="C38" s="274"/>
      <c r="D38" s="274" t="s">
        <v>2957</v>
      </c>
      <c r="E38" s="274" t="s">
        <v>2957</v>
      </c>
      <c r="F38" s="274" t="s">
        <v>615</v>
      </c>
      <c r="G38" s="275">
        <v>42786.577685185184</v>
      </c>
      <c r="H38" s="275">
        <v>42786</v>
      </c>
      <c r="I38" s="274" t="s">
        <v>3001</v>
      </c>
      <c r="J38" s="274" t="s">
        <v>610</v>
      </c>
      <c r="K38" s="276">
        <v>9.9023000000000003</v>
      </c>
      <c r="L38" s="274" t="s">
        <v>67</v>
      </c>
      <c r="M38" s="276">
        <v>6250</v>
      </c>
      <c r="N38" s="276">
        <v>61889.38</v>
      </c>
      <c r="O38" s="274" t="s">
        <v>67</v>
      </c>
      <c r="P38" s="275">
        <v>42786</v>
      </c>
      <c r="Q38" s="274" t="s">
        <v>618</v>
      </c>
      <c r="R38" s="274" t="s">
        <v>618</v>
      </c>
      <c r="S38" s="274" t="s">
        <v>633</v>
      </c>
      <c r="T38" s="274"/>
      <c r="U38" s="274"/>
      <c r="V38" s="277"/>
      <c r="W38" s="277"/>
      <c r="X38" s="274" t="s">
        <v>226</v>
      </c>
      <c r="Y38" s="274"/>
      <c r="Z38" s="277"/>
      <c r="AA38" s="274"/>
      <c r="AB38" s="277"/>
      <c r="AC38" s="274" t="s">
        <v>3002</v>
      </c>
      <c r="AD38" s="274"/>
    </row>
    <row r="39" spans="1:30" x14ac:dyDescent="0.25">
      <c r="A39" s="270" t="s">
        <v>3003</v>
      </c>
      <c r="B39" s="271"/>
      <c r="C39" s="271"/>
      <c r="D39" s="271"/>
      <c r="E39" s="271"/>
      <c r="F39" s="271"/>
      <c r="G39" s="271"/>
      <c r="H39" s="271"/>
      <c r="I39" s="271"/>
      <c r="J39" s="271"/>
      <c r="K39" s="272"/>
      <c r="L39" s="271"/>
      <c r="M39" s="273">
        <v>2271</v>
      </c>
      <c r="N39" s="272"/>
      <c r="O39" s="271"/>
      <c r="P39" s="271"/>
      <c r="Q39" s="271"/>
      <c r="R39" s="271"/>
      <c r="S39" s="271"/>
      <c r="T39" s="271"/>
      <c r="U39" s="271"/>
      <c r="V39" s="272"/>
      <c r="W39" s="272"/>
      <c r="X39" s="271"/>
      <c r="Y39" s="271"/>
      <c r="Z39" s="272"/>
      <c r="AA39" s="271"/>
      <c r="AB39" s="272"/>
      <c r="AC39" s="271"/>
      <c r="AD39" s="271"/>
    </row>
    <row r="40" spans="1:30" x14ac:dyDescent="0.25">
      <c r="A40" s="270" t="s">
        <v>614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2"/>
      <c r="L40" s="271"/>
      <c r="M40" s="273">
        <v>2271</v>
      </c>
      <c r="N40" s="272"/>
      <c r="O40" s="271"/>
      <c r="P40" s="271"/>
      <c r="Q40" s="271"/>
      <c r="R40" s="271"/>
      <c r="S40" s="271"/>
      <c r="T40" s="271"/>
      <c r="U40" s="271"/>
      <c r="V40" s="272"/>
      <c r="W40" s="272"/>
      <c r="X40" s="271"/>
      <c r="Y40" s="271"/>
      <c r="Z40" s="272"/>
      <c r="AA40" s="271"/>
      <c r="AB40" s="272"/>
      <c r="AC40" s="271"/>
      <c r="AD40" s="271"/>
    </row>
    <row r="41" spans="1:30" x14ac:dyDescent="0.25">
      <c r="A41" s="274" t="s">
        <v>3004</v>
      </c>
      <c r="B41" s="274" t="s">
        <v>608</v>
      </c>
      <c r="C41" s="274"/>
      <c r="D41" s="274" t="s">
        <v>2957</v>
      </c>
      <c r="E41" s="274" t="s">
        <v>2957</v>
      </c>
      <c r="F41" s="274" t="s">
        <v>615</v>
      </c>
      <c r="G41" s="275">
        <v>42788.787569444445</v>
      </c>
      <c r="H41" s="275">
        <v>42788</v>
      </c>
      <c r="I41" s="274" t="s">
        <v>631</v>
      </c>
      <c r="J41" s="274" t="s">
        <v>610</v>
      </c>
      <c r="K41" s="276">
        <v>55</v>
      </c>
      <c r="L41" s="274" t="s">
        <v>67</v>
      </c>
      <c r="M41" s="276">
        <v>1136</v>
      </c>
      <c r="N41" s="276">
        <v>62480</v>
      </c>
      <c r="O41" s="274" t="s">
        <v>67</v>
      </c>
      <c r="P41" s="275">
        <v>42788</v>
      </c>
      <c r="Q41" s="274" t="s">
        <v>618</v>
      </c>
      <c r="R41" s="274" t="s">
        <v>618</v>
      </c>
      <c r="S41" s="274" t="s">
        <v>633</v>
      </c>
      <c r="T41" s="274"/>
      <c r="U41" s="274"/>
      <c r="V41" s="277"/>
      <c r="W41" s="277"/>
      <c r="X41" s="274" t="s">
        <v>2121</v>
      </c>
      <c r="Y41" s="274"/>
      <c r="Z41" s="277"/>
      <c r="AA41" s="274"/>
      <c r="AB41" s="277"/>
      <c r="AC41" s="274" t="s">
        <v>3005</v>
      </c>
      <c r="AD41" s="274"/>
    </row>
    <row r="42" spans="1:30" x14ac:dyDescent="0.25">
      <c r="A42" s="274" t="s">
        <v>3006</v>
      </c>
      <c r="B42" s="274" t="s">
        <v>608</v>
      </c>
      <c r="C42" s="274"/>
      <c r="D42" s="274" t="s">
        <v>2957</v>
      </c>
      <c r="E42" s="274" t="s">
        <v>2957</v>
      </c>
      <c r="F42" s="274" t="s">
        <v>630</v>
      </c>
      <c r="G42" s="275">
        <v>42958.80259259259</v>
      </c>
      <c r="H42" s="275">
        <v>42958</v>
      </c>
      <c r="I42" s="274" t="s">
        <v>631</v>
      </c>
      <c r="J42" s="274" t="s">
        <v>610</v>
      </c>
      <c r="K42" s="276">
        <v>42.862738</v>
      </c>
      <c r="L42" s="274" t="s">
        <v>67</v>
      </c>
      <c r="M42" s="276">
        <v>1135</v>
      </c>
      <c r="N42" s="276">
        <v>48649.21</v>
      </c>
      <c r="O42" s="274" t="s">
        <v>67</v>
      </c>
      <c r="P42" s="275">
        <v>42958</v>
      </c>
      <c r="Q42" s="274" t="s">
        <v>618</v>
      </c>
      <c r="R42" s="274" t="s">
        <v>618</v>
      </c>
      <c r="S42" s="274"/>
      <c r="T42" s="274"/>
      <c r="U42" s="274"/>
      <c r="V42" s="277"/>
      <c r="W42" s="277"/>
      <c r="X42" s="274" t="s">
        <v>2121</v>
      </c>
      <c r="Y42" s="274"/>
      <c r="Z42" s="277"/>
      <c r="AA42" s="274"/>
      <c r="AB42" s="277"/>
      <c r="AC42" s="274"/>
      <c r="AD42" s="274"/>
    </row>
    <row r="43" spans="1:30" x14ac:dyDescent="0.25">
      <c r="A43" s="270" t="s">
        <v>3007</v>
      </c>
      <c r="B43" s="271"/>
      <c r="C43" s="271"/>
      <c r="D43" s="271"/>
      <c r="E43" s="271"/>
      <c r="F43" s="271"/>
      <c r="G43" s="271"/>
      <c r="H43" s="271"/>
      <c r="I43" s="271"/>
      <c r="J43" s="271"/>
      <c r="K43" s="272"/>
      <c r="L43" s="271"/>
      <c r="M43" s="273">
        <v>2850</v>
      </c>
      <c r="N43" s="272"/>
      <c r="O43" s="271"/>
      <c r="P43" s="271"/>
      <c r="Q43" s="271"/>
      <c r="R43" s="271"/>
      <c r="S43" s="271"/>
      <c r="T43" s="271"/>
      <c r="U43" s="271"/>
      <c r="V43" s="272"/>
      <c r="W43" s="272"/>
      <c r="X43" s="271"/>
      <c r="Y43" s="271"/>
      <c r="Z43" s="272"/>
      <c r="AA43" s="271"/>
      <c r="AB43" s="272"/>
      <c r="AC43" s="271"/>
      <c r="AD43" s="271"/>
    </row>
    <row r="44" spans="1:30" x14ac:dyDescent="0.25">
      <c r="A44" s="270" t="s">
        <v>614</v>
      </c>
      <c r="B44" s="271"/>
      <c r="C44" s="271"/>
      <c r="D44" s="271"/>
      <c r="E44" s="271"/>
      <c r="F44" s="271"/>
      <c r="G44" s="271"/>
      <c r="H44" s="271"/>
      <c r="I44" s="271"/>
      <c r="J44" s="271"/>
      <c r="K44" s="272"/>
      <c r="L44" s="271"/>
      <c r="M44" s="273">
        <v>2850</v>
      </c>
      <c r="N44" s="272"/>
      <c r="O44" s="271"/>
      <c r="P44" s="271"/>
      <c r="Q44" s="271"/>
      <c r="R44" s="271"/>
      <c r="S44" s="271"/>
      <c r="T44" s="271"/>
      <c r="U44" s="271"/>
      <c r="V44" s="272"/>
      <c r="W44" s="272"/>
      <c r="X44" s="271"/>
      <c r="Y44" s="271"/>
      <c r="Z44" s="272"/>
      <c r="AA44" s="271"/>
      <c r="AB44" s="272"/>
      <c r="AC44" s="271"/>
      <c r="AD44" s="271"/>
    </row>
    <row r="45" spans="1:30" x14ac:dyDescent="0.25">
      <c r="A45" s="274" t="s">
        <v>3008</v>
      </c>
      <c r="B45" s="274" t="s">
        <v>608</v>
      </c>
      <c r="C45" s="274"/>
      <c r="D45" s="274" t="s">
        <v>2957</v>
      </c>
      <c r="E45" s="274" t="s">
        <v>2957</v>
      </c>
      <c r="F45" s="274" t="s">
        <v>615</v>
      </c>
      <c r="G45" s="275">
        <v>42986.809444444443</v>
      </c>
      <c r="H45" s="275">
        <v>42986</v>
      </c>
      <c r="I45" s="274" t="s">
        <v>631</v>
      </c>
      <c r="J45" s="274" t="s">
        <v>610</v>
      </c>
      <c r="K45" s="276">
        <v>21.85</v>
      </c>
      <c r="L45" s="274" t="s">
        <v>67</v>
      </c>
      <c r="M45" s="276">
        <v>2850</v>
      </c>
      <c r="N45" s="276">
        <v>62272.5</v>
      </c>
      <c r="O45" s="274" t="s">
        <v>67</v>
      </c>
      <c r="P45" s="275">
        <v>42984</v>
      </c>
      <c r="Q45" s="274" t="s">
        <v>618</v>
      </c>
      <c r="R45" s="274" t="s">
        <v>618</v>
      </c>
      <c r="S45" s="274" t="s">
        <v>633</v>
      </c>
      <c r="T45" s="274"/>
      <c r="U45" s="274"/>
      <c r="V45" s="277"/>
      <c r="W45" s="277"/>
      <c r="X45" s="274" t="s">
        <v>1097</v>
      </c>
      <c r="Y45" s="274"/>
      <c r="Z45" s="277"/>
      <c r="AA45" s="274"/>
      <c r="AB45" s="277"/>
      <c r="AC45" s="274" t="s">
        <v>3009</v>
      </c>
      <c r="AD45" s="274"/>
    </row>
    <row r="46" spans="1:30" x14ac:dyDescent="0.25">
      <c r="A46" s="270" t="s">
        <v>3010</v>
      </c>
      <c r="B46" s="271"/>
      <c r="C46" s="271"/>
      <c r="D46" s="271"/>
      <c r="E46" s="271"/>
      <c r="F46" s="271"/>
      <c r="G46" s="271"/>
      <c r="H46" s="271"/>
      <c r="I46" s="271"/>
      <c r="J46" s="271"/>
      <c r="K46" s="272"/>
      <c r="L46" s="271"/>
      <c r="M46" s="273">
        <v>5750</v>
      </c>
      <c r="N46" s="272"/>
      <c r="O46" s="271"/>
      <c r="P46" s="271"/>
      <c r="Q46" s="271"/>
      <c r="R46" s="271"/>
      <c r="S46" s="271"/>
      <c r="T46" s="271"/>
      <c r="U46" s="271"/>
      <c r="V46" s="272"/>
      <c r="W46" s="272"/>
      <c r="X46" s="271"/>
      <c r="Y46" s="271"/>
      <c r="Z46" s="272"/>
      <c r="AA46" s="271"/>
      <c r="AB46" s="272"/>
      <c r="AC46" s="271"/>
      <c r="AD46" s="271"/>
    </row>
    <row r="47" spans="1:30" x14ac:dyDescent="0.25">
      <c r="A47" s="270" t="s">
        <v>614</v>
      </c>
      <c r="B47" s="271"/>
      <c r="C47" s="271"/>
      <c r="D47" s="271"/>
      <c r="E47" s="271"/>
      <c r="F47" s="271"/>
      <c r="G47" s="271"/>
      <c r="H47" s="271"/>
      <c r="I47" s="271"/>
      <c r="J47" s="271"/>
      <c r="K47" s="272"/>
      <c r="L47" s="271"/>
      <c r="M47" s="273">
        <v>5750</v>
      </c>
      <c r="N47" s="272"/>
      <c r="O47" s="271"/>
      <c r="P47" s="271"/>
      <c r="Q47" s="271"/>
      <c r="R47" s="271"/>
      <c r="S47" s="271"/>
      <c r="T47" s="271"/>
      <c r="U47" s="271"/>
      <c r="V47" s="272"/>
      <c r="W47" s="272"/>
      <c r="X47" s="271"/>
      <c r="Y47" s="271"/>
      <c r="Z47" s="272"/>
      <c r="AA47" s="271"/>
      <c r="AB47" s="272"/>
      <c r="AC47" s="271"/>
      <c r="AD47" s="271"/>
    </row>
    <row r="48" spans="1:30" x14ac:dyDescent="0.25">
      <c r="A48" s="274" t="s">
        <v>3011</v>
      </c>
      <c r="B48" s="274" t="s">
        <v>608</v>
      </c>
      <c r="C48" s="274"/>
      <c r="D48" s="274" t="s">
        <v>2957</v>
      </c>
      <c r="E48" s="274" t="s">
        <v>2957</v>
      </c>
      <c r="F48" s="274" t="s">
        <v>630</v>
      </c>
      <c r="G48" s="275">
        <v>42892.602511574078</v>
      </c>
      <c r="H48" s="275">
        <v>42892</v>
      </c>
      <c r="I48" s="274" t="s">
        <v>637</v>
      </c>
      <c r="J48" s="274" t="s">
        <v>610</v>
      </c>
      <c r="K48" s="276">
        <v>10.900309999999999</v>
      </c>
      <c r="L48" s="274" t="s">
        <v>67</v>
      </c>
      <c r="M48" s="276">
        <v>5750</v>
      </c>
      <c r="N48" s="276">
        <v>62676.78</v>
      </c>
      <c r="O48" s="274" t="s">
        <v>67</v>
      </c>
      <c r="P48" s="275">
        <v>42892</v>
      </c>
      <c r="Q48" s="274" t="s">
        <v>618</v>
      </c>
      <c r="R48" s="274" t="s">
        <v>618</v>
      </c>
      <c r="S48" s="274" t="s">
        <v>633</v>
      </c>
      <c r="T48" s="274"/>
      <c r="U48" s="274"/>
      <c r="V48" s="277"/>
      <c r="W48" s="277"/>
      <c r="X48" s="274" t="s">
        <v>1045</v>
      </c>
      <c r="Y48" s="274"/>
      <c r="Z48" s="277"/>
      <c r="AA48" s="274"/>
      <c r="AB48" s="277"/>
      <c r="AC48" s="274"/>
      <c r="AD48" s="274" t="s">
        <v>3012</v>
      </c>
    </row>
    <row r="49" spans="1:30" x14ac:dyDescent="0.25">
      <c r="A49" s="270" t="s">
        <v>3013</v>
      </c>
      <c r="B49" s="271"/>
      <c r="C49" s="271"/>
      <c r="D49" s="271"/>
      <c r="E49" s="271"/>
      <c r="F49" s="271"/>
      <c r="G49" s="271"/>
      <c r="H49" s="271"/>
      <c r="I49" s="271"/>
      <c r="J49" s="271"/>
      <c r="K49" s="272"/>
      <c r="L49" s="271"/>
      <c r="M49" s="273">
        <v>28900</v>
      </c>
      <c r="N49" s="272"/>
      <c r="O49" s="271"/>
      <c r="P49" s="271"/>
      <c r="Q49" s="271"/>
      <c r="R49" s="271"/>
      <c r="S49" s="271"/>
      <c r="T49" s="271"/>
      <c r="U49" s="271"/>
      <c r="V49" s="272"/>
      <c r="W49" s="272"/>
      <c r="X49" s="271"/>
      <c r="Y49" s="271"/>
      <c r="Z49" s="272"/>
      <c r="AA49" s="271"/>
      <c r="AB49" s="272"/>
      <c r="AC49" s="271"/>
      <c r="AD49" s="271"/>
    </row>
    <row r="50" spans="1:30" x14ac:dyDescent="0.25">
      <c r="A50" s="270" t="s">
        <v>614</v>
      </c>
      <c r="B50" s="271"/>
      <c r="C50" s="271"/>
      <c r="D50" s="271"/>
      <c r="E50" s="271"/>
      <c r="F50" s="271"/>
      <c r="G50" s="271"/>
      <c r="H50" s="271"/>
      <c r="I50" s="271"/>
      <c r="J50" s="271"/>
      <c r="K50" s="272"/>
      <c r="L50" s="271"/>
      <c r="M50" s="273">
        <v>28900</v>
      </c>
      <c r="N50" s="272"/>
      <c r="O50" s="271"/>
      <c r="P50" s="271"/>
      <c r="Q50" s="271"/>
      <c r="R50" s="271"/>
      <c r="S50" s="271"/>
      <c r="T50" s="271"/>
      <c r="U50" s="271"/>
      <c r="V50" s="272"/>
      <c r="W50" s="272"/>
      <c r="X50" s="271"/>
      <c r="Y50" s="271"/>
      <c r="Z50" s="272"/>
      <c r="AA50" s="271"/>
      <c r="AB50" s="272"/>
      <c r="AC50" s="271"/>
      <c r="AD50" s="271"/>
    </row>
    <row r="51" spans="1:30" x14ac:dyDescent="0.25">
      <c r="A51" s="274" t="s">
        <v>3014</v>
      </c>
      <c r="B51" s="274" t="s">
        <v>608</v>
      </c>
      <c r="C51" s="274"/>
      <c r="D51" s="274" t="s">
        <v>2957</v>
      </c>
      <c r="E51" s="274" t="s">
        <v>2957</v>
      </c>
      <c r="F51" s="274" t="s">
        <v>630</v>
      </c>
      <c r="G51" s="275">
        <v>42817.641574074078</v>
      </c>
      <c r="H51" s="275">
        <v>42817</v>
      </c>
      <c r="I51" s="274" t="s">
        <v>691</v>
      </c>
      <c r="J51" s="274" t="s">
        <v>610</v>
      </c>
      <c r="K51" s="276">
        <v>4.4821</v>
      </c>
      <c r="L51" s="274" t="s">
        <v>67</v>
      </c>
      <c r="M51" s="276">
        <v>13900</v>
      </c>
      <c r="N51" s="276">
        <v>62301.19</v>
      </c>
      <c r="O51" s="274" t="s">
        <v>67</v>
      </c>
      <c r="P51" s="275">
        <v>42817</v>
      </c>
      <c r="Q51" s="274" t="s">
        <v>618</v>
      </c>
      <c r="R51" s="274" t="s">
        <v>618</v>
      </c>
      <c r="S51" s="274" t="s">
        <v>633</v>
      </c>
      <c r="T51" s="274"/>
      <c r="U51" s="274"/>
      <c r="V51" s="277"/>
      <c r="W51" s="277"/>
      <c r="X51" s="274" t="s">
        <v>1338</v>
      </c>
      <c r="Y51" s="274"/>
      <c r="Z51" s="277"/>
      <c r="AA51" s="274"/>
      <c r="AB51" s="277"/>
      <c r="AC51" s="274" t="s">
        <v>3015</v>
      </c>
      <c r="AD51" s="274"/>
    </row>
    <row r="52" spans="1:30" x14ac:dyDescent="0.25">
      <c r="A52" s="274" t="s">
        <v>3016</v>
      </c>
      <c r="B52" s="274" t="s">
        <v>608</v>
      </c>
      <c r="C52" s="274"/>
      <c r="D52" s="274" t="s">
        <v>2957</v>
      </c>
      <c r="E52" s="274" t="s">
        <v>2957</v>
      </c>
      <c r="F52" s="274" t="s">
        <v>630</v>
      </c>
      <c r="G52" s="275">
        <v>42892.592523148145</v>
      </c>
      <c r="H52" s="275">
        <v>42892</v>
      </c>
      <c r="I52" s="274" t="s">
        <v>691</v>
      </c>
      <c r="J52" s="274" t="s">
        <v>610</v>
      </c>
      <c r="K52" s="276">
        <v>4.1764999999999999</v>
      </c>
      <c r="L52" s="274" t="s">
        <v>67</v>
      </c>
      <c r="M52" s="276">
        <v>15000</v>
      </c>
      <c r="N52" s="276">
        <v>62647.5</v>
      </c>
      <c r="O52" s="274" t="s">
        <v>67</v>
      </c>
      <c r="P52" s="275">
        <v>42892</v>
      </c>
      <c r="Q52" s="274" t="s">
        <v>618</v>
      </c>
      <c r="R52" s="274" t="s">
        <v>618</v>
      </c>
      <c r="S52" s="274" t="s">
        <v>633</v>
      </c>
      <c r="T52" s="274"/>
      <c r="U52" s="274"/>
      <c r="V52" s="277"/>
      <c r="W52" s="277"/>
      <c r="X52" s="274" t="s">
        <v>1338</v>
      </c>
      <c r="Y52" s="274"/>
      <c r="Z52" s="277"/>
      <c r="AA52" s="274"/>
      <c r="AB52" s="277"/>
      <c r="AC52" s="274"/>
      <c r="AD52" s="274"/>
    </row>
    <row r="53" spans="1:30" x14ac:dyDescent="0.25">
      <c r="A53" s="270" t="s">
        <v>3017</v>
      </c>
      <c r="B53" s="271"/>
      <c r="C53" s="271"/>
      <c r="D53" s="271"/>
      <c r="E53" s="271"/>
      <c r="F53" s="271"/>
      <c r="G53" s="271"/>
      <c r="H53" s="271"/>
      <c r="I53" s="271"/>
      <c r="J53" s="271"/>
      <c r="K53" s="272"/>
      <c r="L53" s="271"/>
      <c r="M53" s="273">
        <v>5150</v>
      </c>
      <c r="N53" s="272"/>
      <c r="O53" s="271"/>
      <c r="P53" s="271"/>
      <c r="Q53" s="271"/>
      <c r="R53" s="271"/>
      <c r="S53" s="271"/>
      <c r="T53" s="271"/>
      <c r="U53" s="271"/>
      <c r="V53" s="272"/>
      <c r="W53" s="272"/>
      <c r="X53" s="271"/>
      <c r="Y53" s="271"/>
      <c r="Z53" s="272"/>
      <c r="AA53" s="271"/>
      <c r="AB53" s="272"/>
      <c r="AC53" s="271"/>
      <c r="AD53" s="271"/>
    </row>
    <row r="54" spans="1:30" x14ac:dyDescent="0.25">
      <c r="A54" s="270" t="s">
        <v>614</v>
      </c>
      <c r="B54" s="271"/>
      <c r="C54" s="271"/>
      <c r="D54" s="271"/>
      <c r="E54" s="271"/>
      <c r="F54" s="271"/>
      <c r="G54" s="271"/>
      <c r="H54" s="271"/>
      <c r="I54" s="271"/>
      <c r="J54" s="271"/>
      <c r="K54" s="272"/>
      <c r="L54" s="271"/>
      <c r="M54" s="273">
        <v>5150</v>
      </c>
      <c r="N54" s="272"/>
      <c r="O54" s="271"/>
      <c r="P54" s="271"/>
      <c r="Q54" s="271"/>
      <c r="R54" s="271"/>
      <c r="S54" s="271"/>
      <c r="T54" s="271"/>
      <c r="U54" s="271"/>
      <c r="V54" s="272"/>
      <c r="W54" s="272"/>
      <c r="X54" s="271"/>
      <c r="Y54" s="271"/>
      <c r="Z54" s="272"/>
      <c r="AA54" s="271"/>
      <c r="AB54" s="272"/>
      <c r="AC54" s="271"/>
      <c r="AD54" s="271"/>
    </row>
    <row r="55" spans="1:30" x14ac:dyDescent="0.25">
      <c r="A55" s="274" t="s">
        <v>3018</v>
      </c>
      <c r="B55" s="274" t="s">
        <v>608</v>
      </c>
      <c r="C55" s="274"/>
      <c r="D55" s="274" t="s">
        <v>2957</v>
      </c>
      <c r="E55" s="274" t="s">
        <v>2957</v>
      </c>
      <c r="F55" s="274" t="s">
        <v>630</v>
      </c>
      <c r="G55" s="275">
        <v>42781.780335648145</v>
      </c>
      <c r="H55" s="275">
        <v>42781</v>
      </c>
      <c r="I55" s="274" t="s">
        <v>631</v>
      </c>
      <c r="J55" s="274" t="s">
        <v>610</v>
      </c>
      <c r="K55" s="276">
        <v>12.150689</v>
      </c>
      <c r="L55" s="274" t="s">
        <v>67</v>
      </c>
      <c r="M55" s="276">
        <v>5150</v>
      </c>
      <c r="N55" s="276">
        <v>62576.05</v>
      </c>
      <c r="O55" s="274" t="s">
        <v>67</v>
      </c>
      <c r="P55" s="275">
        <v>42781</v>
      </c>
      <c r="Q55" s="274" t="s">
        <v>618</v>
      </c>
      <c r="R55" s="274" t="s">
        <v>618</v>
      </c>
      <c r="S55" s="274"/>
      <c r="T55" s="274"/>
      <c r="U55" s="274"/>
      <c r="V55" s="277"/>
      <c r="W55" s="277"/>
      <c r="X55" s="274" t="s">
        <v>2537</v>
      </c>
      <c r="Y55" s="274"/>
      <c r="Z55" s="277"/>
      <c r="AA55" s="274"/>
      <c r="AB55" s="277"/>
      <c r="AC55" s="274"/>
      <c r="AD55" s="274"/>
    </row>
    <row r="56" spans="1:30" x14ac:dyDescent="0.25">
      <c r="A56" s="270" t="s">
        <v>3019</v>
      </c>
      <c r="B56" s="271"/>
      <c r="C56" s="271"/>
      <c r="D56" s="271"/>
      <c r="E56" s="271"/>
      <c r="F56" s="271"/>
      <c r="G56" s="271"/>
      <c r="H56" s="271"/>
      <c r="I56" s="271"/>
      <c r="J56" s="271"/>
      <c r="K56" s="272"/>
      <c r="L56" s="271"/>
      <c r="M56" s="273">
        <v>3850</v>
      </c>
      <c r="N56" s="272"/>
      <c r="O56" s="271"/>
      <c r="P56" s="271"/>
      <c r="Q56" s="271"/>
      <c r="R56" s="271"/>
      <c r="S56" s="271"/>
      <c r="T56" s="271"/>
      <c r="U56" s="271"/>
      <c r="V56" s="272"/>
      <c r="W56" s="272"/>
      <c r="X56" s="271"/>
      <c r="Y56" s="271"/>
      <c r="Z56" s="272"/>
      <c r="AA56" s="271"/>
      <c r="AB56" s="272"/>
      <c r="AC56" s="271"/>
      <c r="AD56" s="271"/>
    </row>
    <row r="57" spans="1:30" x14ac:dyDescent="0.25">
      <c r="A57" s="270" t="s">
        <v>614</v>
      </c>
      <c r="B57" s="271"/>
      <c r="C57" s="271"/>
      <c r="D57" s="271"/>
      <c r="E57" s="271"/>
      <c r="F57" s="271"/>
      <c r="G57" s="271"/>
      <c r="H57" s="271"/>
      <c r="I57" s="271"/>
      <c r="J57" s="271"/>
      <c r="K57" s="272"/>
      <c r="L57" s="271"/>
      <c r="M57" s="273">
        <v>3850</v>
      </c>
      <c r="N57" s="272"/>
      <c r="O57" s="271"/>
      <c r="P57" s="271"/>
      <c r="Q57" s="271"/>
      <c r="R57" s="271"/>
      <c r="S57" s="271"/>
      <c r="T57" s="271"/>
      <c r="U57" s="271"/>
      <c r="V57" s="272"/>
      <c r="W57" s="272"/>
      <c r="X57" s="271"/>
      <c r="Y57" s="271"/>
      <c r="Z57" s="272"/>
      <c r="AA57" s="271"/>
      <c r="AB57" s="272"/>
      <c r="AC57" s="271"/>
      <c r="AD57" s="271"/>
    </row>
    <row r="58" spans="1:30" x14ac:dyDescent="0.25">
      <c r="A58" s="274" t="s">
        <v>3020</v>
      </c>
      <c r="B58" s="274" t="s">
        <v>608</v>
      </c>
      <c r="C58" s="274"/>
      <c r="D58" s="274" t="s">
        <v>2957</v>
      </c>
      <c r="E58" s="274" t="s">
        <v>2957</v>
      </c>
      <c r="F58" s="274" t="s">
        <v>615</v>
      </c>
      <c r="G58" s="275">
        <v>42984.787407407406</v>
      </c>
      <c r="H58" s="275">
        <v>42984</v>
      </c>
      <c r="I58" s="274" t="s">
        <v>691</v>
      </c>
      <c r="J58" s="274" t="s">
        <v>610</v>
      </c>
      <c r="K58" s="276">
        <v>16.230599999999999</v>
      </c>
      <c r="L58" s="274" t="s">
        <v>67</v>
      </c>
      <c r="M58" s="276">
        <v>3850</v>
      </c>
      <c r="N58" s="276">
        <v>62487.81</v>
      </c>
      <c r="O58" s="274" t="s">
        <v>67</v>
      </c>
      <c r="P58" s="275">
        <v>42984</v>
      </c>
      <c r="Q58" s="274" t="s">
        <v>618</v>
      </c>
      <c r="R58" s="274" t="s">
        <v>618</v>
      </c>
      <c r="S58" s="274" t="s">
        <v>633</v>
      </c>
      <c r="T58" s="274"/>
      <c r="U58" s="274"/>
      <c r="V58" s="277"/>
      <c r="W58" s="277"/>
      <c r="X58" s="274" t="s">
        <v>1538</v>
      </c>
      <c r="Y58" s="274"/>
      <c r="Z58" s="277"/>
      <c r="AA58" s="274"/>
      <c r="AB58" s="277"/>
      <c r="AC58" s="274" t="s">
        <v>3021</v>
      </c>
      <c r="AD58" s="274"/>
    </row>
    <row r="59" spans="1:30" x14ac:dyDescent="0.25">
      <c r="A59" s="270" t="s">
        <v>3022</v>
      </c>
      <c r="B59" s="271"/>
      <c r="C59" s="271"/>
      <c r="D59" s="271"/>
      <c r="E59" s="271"/>
      <c r="F59" s="271"/>
      <c r="G59" s="271"/>
      <c r="H59" s="271"/>
      <c r="I59" s="271"/>
      <c r="J59" s="271"/>
      <c r="K59" s="272"/>
      <c r="L59" s="271"/>
      <c r="M59" s="273">
        <v>14205</v>
      </c>
      <c r="N59" s="272"/>
      <c r="O59" s="271"/>
      <c r="P59" s="271"/>
      <c r="Q59" s="271"/>
      <c r="R59" s="271"/>
      <c r="S59" s="271"/>
      <c r="T59" s="271"/>
      <c r="U59" s="271"/>
      <c r="V59" s="272"/>
      <c r="W59" s="272"/>
      <c r="X59" s="271"/>
      <c r="Y59" s="271"/>
      <c r="Z59" s="272"/>
      <c r="AA59" s="271"/>
      <c r="AB59" s="272"/>
      <c r="AC59" s="271"/>
      <c r="AD59" s="271"/>
    </row>
    <row r="60" spans="1:30" x14ac:dyDescent="0.25">
      <c r="A60" s="270" t="s">
        <v>614</v>
      </c>
      <c r="B60" s="271"/>
      <c r="C60" s="271"/>
      <c r="D60" s="271"/>
      <c r="E60" s="271"/>
      <c r="F60" s="271"/>
      <c r="G60" s="271"/>
      <c r="H60" s="271"/>
      <c r="I60" s="271"/>
      <c r="J60" s="271"/>
      <c r="K60" s="272"/>
      <c r="L60" s="271"/>
      <c r="M60" s="273">
        <v>14205</v>
      </c>
      <c r="N60" s="272"/>
      <c r="O60" s="271"/>
      <c r="P60" s="271"/>
      <c r="Q60" s="271"/>
      <c r="R60" s="271"/>
      <c r="S60" s="271"/>
      <c r="T60" s="271"/>
      <c r="U60" s="271"/>
      <c r="V60" s="272"/>
      <c r="W60" s="272"/>
      <c r="X60" s="271"/>
      <c r="Y60" s="271"/>
      <c r="Z60" s="272"/>
      <c r="AA60" s="271"/>
      <c r="AB60" s="272"/>
      <c r="AC60" s="271"/>
      <c r="AD60" s="271"/>
    </row>
    <row r="61" spans="1:30" x14ac:dyDescent="0.25">
      <c r="A61" s="274" t="s">
        <v>3023</v>
      </c>
      <c r="B61" s="274" t="s">
        <v>608</v>
      </c>
      <c r="C61" s="274"/>
      <c r="D61" s="274" t="s">
        <v>2957</v>
      </c>
      <c r="E61" s="274" t="s">
        <v>2957</v>
      </c>
      <c r="F61" s="274" t="s">
        <v>630</v>
      </c>
      <c r="G61" s="275">
        <v>42781.778634259259</v>
      </c>
      <c r="H61" s="275">
        <v>42781</v>
      </c>
      <c r="I61" s="274" t="s">
        <v>691</v>
      </c>
      <c r="J61" s="274" t="s">
        <v>610</v>
      </c>
      <c r="K61" s="276">
        <v>4.3792609999999996</v>
      </c>
      <c r="L61" s="274" t="s">
        <v>67</v>
      </c>
      <c r="M61" s="276">
        <v>14205</v>
      </c>
      <c r="N61" s="276">
        <v>62207.4</v>
      </c>
      <c r="O61" s="274" t="s">
        <v>67</v>
      </c>
      <c r="P61" s="275">
        <v>42781</v>
      </c>
      <c r="Q61" s="274" t="s">
        <v>618</v>
      </c>
      <c r="R61" s="274" t="s">
        <v>618</v>
      </c>
      <c r="S61" s="274" t="s">
        <v>633</v>
      </c>
      <c r="T61" s="274"/>
      <c r="U61" s="274"/>
      <c r="V61" s="277"/>
      <c r="W61" s="277"/>
      <c r="X61" s="274" t="s">
        <v>1944</v>
      </c>
      <c r="Y61" s="274"/>
      <c r="Z61" s="277"/>
      <c r="AA61" s="274"/>
      <c r="AB61" s="277"/>
      <c r="AC61" s="274"/>
      <c r="AD61" s="274"/>
    </row>
    <row r="62" spans="1:30" x14ac:dyDescent="0.25">
      <c r="A62" s="247" t="s">
        <v>639</v>
      </c>
      <c r="B62" s="247" t="s">
        <v>608</v>
      </c>
      <c r="C62" s="247"/>
      <c r="D62" s="247" t="s">
        <v>635</v>
      </c>
      <c r="E62" s="247" t="s">
        <v>636</v>
      </c>
      <c r="F62" s="247" t="s">
        <v>609</v>
      </c>
      <c r="G62" s="248">
        <v>42976.558865740742</v>
      </c>
      <c r="H62" s="248">
        <v>42976</v>
      </c>
      <c r="I62" s="247" t="s">
        <v>637</v>
      </c>
      <c r="J62" s="247" t="s">
        <v>617</v>
      </c>
      <c r="K62" s="249">
        <v>9391</v>
      </c>
      <c r="L62" s="247" t="s">
        <v>612</v>
      </c>
      <c r="M62" s="249">
        <v>-66</v>
      </c>
      <c r="N62" s="249">
        <v>617923.64229999995</v>
      </c>
      <c r="O62" s="247" t="s">
        <v>612</v>
      </c>
      <c r="P62" s="248">
        <v>42976</v>
      </c>
      <c r="Q62" s="247"/>
      <c r="R62" s="247"/>
      <c r="S62" s="247" t="s">
        <v>633</v>
      </c>
      <c r="T62" s="247"/>
      <c r="U62" s="247"/>
      <c r="V62" s="250"/>
      <c r="W62" s="250"/>
      <c r="X62" s="247" t="s">
        <v>233</v>
      </c>
      <c r="Y62" s="247"/>
      <c r="Z62" s="250"/>
      <c r="AA62" s="247"/>
      <c r="AB62" s="250"/>
      <c r="AC62" s="247" t="s">
        <v>640</v>
      </c>
      <c r="AD62" s="247" t="s">
        <v>638</v>
      </c>
    </row>
    <row r="63" spans="1:30" x14ac:dyDescent="0.25">
      <c r="A63" s="247" t="s">
        <v>641</v>
      </c>
      <c r="B63" s="247" t="s">
        <v>608</v>
      </c>
      <c r="C63" s="247"/>
      <c r="D63" s="247" t="s">
        <v>635</v>
      </c>
      <c r="E63" s="247" t="s">
        <v>636</v>
      </c>
      <c r="F63" s="247" t="s">
        <v>609</v>
      </c>
      <c r="G63" s="248">
        <v>42976.558865740742</v>
      </c>
      <c r="H63" s="248">
        <v>42976</v>
      </c>
      <c r="I63" s="247" t="s">
        <v>637</v>
      </c>
      <c r="J63" s="247" t="s">
        <v>617</v>
      </c>
      <c r="K63" s="249">
        <v>9391</v>
      </c>
      <c r="L63" s="247" t="s">
        <v>612</v>
      </c>
      <c r="M63" s="249">
        <v>-147</v>
      </c>
      <c r="N63" s="249">
        <v>1376284.49285</v>
      </c>
      <c r="O63" s="247" t="s">
        <v>612</v>
      </c>
      <c r="P63" s="248">
        <v>42976</v>
      </c>
      <c r="Q63" s="247"/>
      <c r="R63" s="247"/>
      <c r="S63" s="247" t="s">
        <v>633</v>
      </c>
      <c r="T63" s="247"/>
      <c r="U63" s="247"/>
      <c r="V63" s="250"/>
      <c r="W63" s="250"/>
      <c r="X63" s="247" t="s">
        <v>233</v>
      </c>
      <c r="Y63" s="247"/>
      <c r="Z63" s="250"/>
      <c r="AA63" s="247"/>
      <c r="AB63" s="250"/>
      <c r="AC63" s="247" t="s">
        <v>642</v>
      </c>
      <c r="AD63" s="247" t="s">
        <v>638</v>
      </c>
    </row>
    <row r="64" spans="1:30" x14ac:dyDescent="0.25">
      <c r="A64" s="247" t="s">
        <v>643</v>
      </c>
      <c r="B64" s="247" t="s">
        <v>608</v>
      </c>
      <c r="C64" s="247"/>
      <c r="D64" s="247" t="s">
        <v>635</v>
      </c>
      <c r="E64" s="247" t="s">
        <v>636</v>
      </c>
      <c r="F64" s="247" t="s">
        <v>609</v>
      </c>
      <c r="G64" s="248">
        <v>42976.558865740742</v>
      </c>
      <c r="H64" s="248">
        <v>42976</v>
      </c>
      <c r="I64" s="247" t="s">
        <v>637</v>
      </c>
      <c r="J64" s="247" t="s">
        <v>617</v>
      </c>
      <c r="K64" s="249">
        <v>9390</v>
      </c>
      <c r="L64" s="247" t="s">
        <v>612</v>
      </c>
      <c r="M64" s="249">
        <v>-50</v>
      </c>
      <c r="N64" s="249">
        <v>468074.125</v>
      </c>
      <c r="O64" s="247" t="s">
        <v>612</v>
      </c>
      <c r="P64" s="248">
        <v>42976</v>
      </c>
      <c r="Q64" s="247"/>
      <c r="R64" s="247"/>
      <c r="S64" s="247" t="s">
        <v>633</v>
      </c>
      <c r="T64" s="247"/>
      <c r="U64" s="247"/>
      <c r="V64" s="250"/>
      <c r="W64" s="250"/>
      <c r="X64" s="247" t="s">
        <v>233</v>
      </c>
      <c r="Y64" s="247"/>
      <c r="Z64" s="250"/>
      <c r="AA64" s="247"/>
      <c r="AB64" s="250"/>
      <c r="AC64" s="247" t="s">
        <v>644</v>
      </c>
      <c r="AD64" s="247" t="s">
        <v>638</v>
      </c>
    </row>
    <row r="65" spans="1:30" x14ac:dyDescent="0.25">
      <c r="A65" s="247" t="s">
        <v>645</v>
      </c>
      <c r="B65" s="247" t="s">
        <v>608</v>
      </c>
      <c r="C65" s="247"/>
      <c r="D65" s="247" t="s">
        <v>635</v>
      </c>
      <c r="E65" s="247" t="s">
        <v>636</v>
      </c>
      <c r="F65" s="247" t="s">
        <v>609</v>
      </c>
      <c r="G65" s="248">
        <v>42976.558865740742</v>
      </c>
      <c r="H65" s="248">
        <v>42976</v>
      </c>
      <c r="I65" s="247" t="s">
        <v>637</v>
      </c>
      <c r="J65" s="247" t="s">
        <v>617</v>
      </c>
      <c r="K65" s="249">
        <v>9389</v>
      </c>
      <c r="L65" s="247" t="s">
        <v>612</v>
      </c>
      <c r="M65" s="249">
        <v>-71</v>
      </c>
      <c r="N65" s="249">
        <v>664594.47395000001</v>
      </c>
      <c r="O65" s="247" t="s">
        <v>612</v>
      </c>
      <c r="P65" s="248">
        <v>42976</v>
      </c>
      <c r="Q65" s="247"/>
      <c r="R65" s="247"/>
      <c r="S65" s="247" t="s">
        <v>633</v>
      </c>
      <c r="T65" s="247"/>
      <c r="U65" s="247"/>
      <c r="V65" s="250"/>
      <c r="W65" s="250"/>
      <c r="X65" s="247" t="s">
        <v>233</v>
      </c>
      <c r="Y65" s="247"/>
      <c r="Z65" s="250"/>
      <c r="AA65" s="247"/>
      <c r="AB65" s="250"/>
      <c r="AC65" s="247" t="s">
        <v>646</v>
      </c>
      <c r="AD65" s="247" t="s">
        <v>638</v>
      </c>
    </row>
    <row r="66" spans="1:30" x14ac:dyDescent="0.25">
      <c r="A66" s="247" t="s">
        <v>647</v>
      </c>
      <c r="B66" s="247" t="s">
        <v>608</v>
      </c>
      <c r="C66" s="247"/>
      <c r="D66" s="247" t="s">
        <v>635</v>
      </c>
      <c r="E66" s="247" t="s">
        <v>636</v>
      </c>
      <c r="F66" s="247" t="s">
        <v>609</v>
      </c>
      <c r="G66" s="248">
        <v>42976.558865740742</v>
      </c>
      <c r="H66" s="248">
        <v>42976</v>
      </c>
      <c r="I66" s="247" t="s">
        <v>637</v>
      </c>
      <c r="J66" s="247" t="s">
        <v>617</v>
      </c>
      <c r="K66" s="249">
        <v>9389</v>
      </c>
      <c r="L66" s="247" t="s">
        <v>612</v>
      </c>
      <c r="M66" s="249">
        <v>-2</v>
      </c>
      <c r="N66" s="249">
        <v>18720.974900000001</v>
      </c>
      <c r="O66" s="247" t="s">
        <v>612</v>
      </c>
      <c r="P66" s="248">
        <v>42976</v>
      </c>
      <c r="Q66" s="247"/>
      <c r="R66" s="247"/>
      <c r="S66" s="247" t="s">
        <v>633</v>
      </c>
      <c r="T66" s="247"/>
      <c r="U66" s="247"/>
      <c r="V66" s="250"/>
      <c r="W66" s="250"/>
      <c r="X66" s="247" t="s">
        <v>233</v>
      </c>
      <c r="Y66" s="247"/>
      <c r="Z66" s="250"/>
      <c r="AA66" s="247"/>
      <c r="AB66" s="250"/>
      <c r="AC66" s="247" t="s">
        <v>648</v>
      </c>
      <c r="AD66" s="247" t="s">
        <v>638</v>
      </c>
    </row>
    <row r="67" spans="1:30" x14ac:dyDescent="0.25">
      <c r="A67" s="247" t="s">
        <v>649</v>
      </c>
      <c r="B67" s="247" t="s">
        <v>608</v>
      </c>
      <c r="C67" s="247"/>
      <c r="D67" s="247" t="s">
        <v>635</v>
      </c>
      <c r="E67" s="247" t="s">
        <v>636</v>
      </c>
      <c r="F67" s="247" t="s">
        <v>609</v>
      </c>
      <c r="G67" s="248">
        <v>42976.558865740742</v>
      </c>
      <c r="H67" s="248">
        <v>42976</v>
      </c>
      <c r="I67" s="247" t="s">
        <v>637</v>
      </c>
      <c r="J67" s="247" t="s">
        <v>617</v>
      </c>
      <c r="K67" s="249">
        <v>9389</v>
      </c>
      <c r="L67" s="247" t="s">
        <v>612</v>
      </c>
      <c r="M67" s="249">
        <v>-132</v>
      </c>
      <c r="N67" s="249">
        <v>1235584.1133999999</v>
      </c>
      <c r="O67" s="247" t="s">
        <v>612</v>
      </c>
      <c r="P67" s="248">
        <v>42976</v>
      </c>
      <c r="Q67" s="247"/>
      <c r="R67" s="247"/>
      <c r="S67" s="247" t="s">
        <v>633</v>
      </c>
      <c r="T67" s="247"/>
      <c r="U67" s="247"/>
      <c r="V67" s="250"/>
      <c r="W67" s="250"/>
      <c r="X67" s="247" t="s">
        <v>233</v>
      </c>
      <c r="Y67" s="247"/>
      <c r="Z67" s="250"/>
      <c r="AA67" s="247"/>
      <c r="AB67" s="250"/>
      <c r="AC67" s="247" t="s">
        <v>650</v>
      </c>
      <c r="AD67" s="247" t="s">
        <v>638</v>
      </c>
    </row>
    <row r="68" spans="1:30" x14ac:dyDescent="0.25">
      <c r="A68" s="247" t="s">
        <v>651</v>
      </c>
      <c r="B68" s="247" t="s">
        <v>608</v>
      </c>
      <c r="C68" s="247"/>
      <c r="D68" s="247" t="s">
        <v>635</v>
      </c>
      <c r="E68" s="247" t="s">
        <v>636</v>
      </c>
      <c r="F68" s="247" t="s">
        <v>609</v>
      </c>
      <c r="G68" s="248">
        <v>42976.558854166666</v>
      </c>
      <c r="H68" s="248">
        <v>42976</v>
      </c>
      <c r="I68" s="247" t="s">
        <v>637</v>
      </c>
      <c r="J68" s="247" t="s">
        <v>617</v>
      </c>
      <c r="K68" s="249">
        <v>9401</v>
      </c>
      <c r="L68" s="247" t="s">
        <v>612</v>
      </c>
      <c r="M68" s="249">
        <v>-4</v>
      </c>
      <c r="N68" s="249">
        <v>37489.798199999997</v>
      </c>
      <c r="O68" s="247" t="s">
        <v>612</v>
      </c>
      <c r="P68" s="248">
        <v>42976</v>
      </c>
      <c r="Q68" s="247"/>
      <c r="R68" s="247"/>
      <c r="S68" s="247" t="s">
        <v>633</v>
      </c>
      <c r="T68" s="247"/>
      <c r="U68" s="247"/>
      <c r="V68" s="250"/>
      <c r="W68" s="250"/>
      <c r="X68" s="247" t="s">
        <v>233</v>
      </c>
      <c r="Y68" s="247"/>
      <c r="Z68" s="250"/>
      <c r="AA68" s="247"/>
      <c r="AB68" s="250"/>
      <c r="AC68" s="247" t="s">
        <v>652</v>
      </c>
      <c r="AD68" s="247" t="s">
        <v>638</v>
      </c>
    </row>
    <row r="69" spans="1:30" x14ac:dyDescent="0.25">
      <c r="A69" s="247" t="s">
        <v>653</v>
      </c>
      <c r="B69" s="247" t="s">
        <v>608</v>
      </c>
      <c r="C69" s="247"/>
      <c r="D69" s="247" t="s">
        <v>635</v>
      </c>
      <c r="E69" s="247" t="s">
        <v>636</v>
      </c>
      <c r="F69" s="247" t="s">
        <v>609</v>
      </c>
      <c r="G69" s="248">
        <v>42976.558842592596</v>
      </c>
      <c r="H69" s="248">
        <v>42976</v>
      </c>
      <c r="I69" s="247" t="s">
        <v>637</v>
      </c>
      <c r="J69" s="247" t="s">
        <v>617</v>
      </c>
      <c r="K69" s="249">
        <v>9401</v>
      </c>
      <c r="L69" s="247" t="s">
        <v>612</v>
      </c>
      <c r="M69" s="249">
        <v>-1</v>
      </c>
      <c r="N69" s="249">
        <v>9372.4470500000007</v>
      </c>
      <c r="O69" s="247" t="s">
        <v>612</v>
      </c>
      <c r="P69" s="248">
        <v>42976</v>
      </c>
      <c r="Q69" s="247"/>
      <c r="R69" s="247"/>
      <c r="S69" s="247" t="s">
        <v>633</v>
      </c>
      <c r="T69" s="247"/>
      <c r="U69" s="247"/>
      <c r="V69" s="250"/>
      <c r="W69" s="250"/>
      <c r="X69" s="247" t="s">
        <v>233</v>
      </c>
      <c r="Y69" s="247"/>
      <c r="Z69" s="250"/>
      <c r="AA69" s="247"/>
      <c r="AB69" s="250"/>
      <c r="AC69" s="247" t="s">
        <v>654</v>
      </c>
      <c r="AD69" s="247" t="s">
        <v>638</v>
      </c>
    </row>
    <row r="70" spans="1:30" x14ac:dyDescent="0.25">
      <c r="A70" s="247" t="s">
        <v>655</v>
      </c>
      <c r="B70" s="247" t="s">
        <v>608</v>
      </c>
      <c r="C70" s="247"/>
      <c r="D70" s="247" t="s">
        <v>635</v>
      </c>
      <c r="E70" s="247" t="s">
        <v>636</v>
      </c>
      <c r="F70" s="247" t="s">
        <v>609</v>
      </c>
      <c r="G70" s="248">
        <v>42976.558842592596</v>
      </c>
      <c r="H70" s="248">
        <v>42976</v>
      </c>
      <c r="I70" s="247" t="s">
        <v>637</v>
      </c>
      <c r="J70" s="247" t="s">
        <v>617</v>
      </c>
      <c r="K70" s="249">
        <v>9401</v>
      </c>
      <c r="L70" s="247" t="s">
        <v>612</v>
      </c>
      <c r="M70" s="249">
        <v>-23</v>
      </c>
      <c r="N70" s="249">
        <v>215566.34215000001</v>
      </c>
      <c r="O70" s="247" t="s">
        <v>612</v>
      </c>
      <c r="P70" s="248">
        <v>42976</v>
      </c>
      <c r="Q70" s="247"/>
      <c r="R70" s="247"/>
      <c r="S70" s="247" t="s">
        <v>633</v>
      </c>
      <c r="T70" s="247"/>
      <c r="U70" s="247"/>
      <c r="V70" s="250"/>
      <c r="W70" s="250"/>
      <c r="X70" s="247" t="s">
        <v>233</v>
      </c>
      <c r="Y70" s="247"/>
      <c r="Z70" s="250"/>
      <c r="AA70" s="247"/>
      <c r="AB70" s="250"/>
      <c r="AC70" s="247" t="s">
        <v>656</v>
      </c>
      <c r="AD70" s="247" t="s">
        <v>638</v>
      </c>
    </row>
    <row r="71" spans="1:30" x14ac:dyDescent="0.25">
      <c r="A71" s="247" t="s">
        <v>657</v>
      </c>
      <c r="B71" s="247" t="s">
        <v>608</v>
      </c>
      <c r="C71" s="247"/>
      <c r="D71" s="247" t="s">
        <v>635</v>
      </c>
      <c r="E71" s="247" t="s">
        <v>636</v>
      </c>
      <c r="F71" s="247" t="s">
        <v>609</v>
      </c>
      <c r="G71" s="248">
        <v>42976.558854166666</v>
      </c>
      <c r="H71" s="248">
        <v>42976</v>
      </c>
      <c r="I71" s="247" t="s">
        <v>637</v>
      </c>
      <c r="J71" s="247" t="s">
        <v>617</v>
      </c>
      <c r="K71" s="249">
        <v>9400</v>
      </c>
      <c r="L71" s="247" t="s">
        <v>612</v>
      </c>
      <c r="M71" s="249">
        <v>-2</v>
      </c>
      <c r="N71" s="249">
        <v>18742.89</v>
      </c>
      <c r="O71" s="247" t="s">
        <v>612</v>
      </c>
      <c r="P71" s="248">
        <v>42976</v>
      </c>
      <c r="Q71" s="247"/>
      <c r="R71" s="247"/>
      <c r="S71" s="247" t="s">
        <v>633</v>
      </c>
      <c r="T71" s="247"/>
      <c r="U71" s="247"/>
      <c r="V71" s="250"/>
      <c r="W71" s="250"/>
      <c r="X71" s="247" t="s">
        <v>233</v>
      </c>
      <c r="Y71" s="247"/>
      <c r="Z71" s="250"/>
      <c r="AA71" s="247"/>
      <c r="AB71" s="250"/>
      <c r="AC71" s="247" t="s">
        <v>658</v>
      </c>
      <c r="AD71" s="247" t="s">
        <v>638</v>
      </c>
    </row>
    <row r="72" spans="1:30" x14ac:dyDescent="0.25">
      <c r="A72" s="247" t="s">
        <v>659</v>
      </c>
      <c r="B72" s="247" t="s">
        <v>608</v>
      </c>
      <c r="C72" s="247"/>
      <c r="D72" s="247" t="s">
        <v>635</v>
      </c>
      <c r="E72" s="247" t="s">
        <v>636</v>
      </c>
      <c r="F72" s="247" t="s">
        <v>609</v>
      </c>
      <c r="G72" s="248">
        <v>42976.558854166666</v>
      </c>
      <c r="H72" s="248">
        <v>42976</v>
      </c>
      <c r="I72" s="247" t="s">
        <v>637</v>
      </c>
      <c r="J72" s="247" t="s">
        <v>617</v>
      </c>
      <c r="K72" s="249">
        <v>9400</v>
      </c>
      <c r="L72" s="247" t="s">
        <v>612</v>
      </c>
      <c r="M72" s="249">
        <v>-1</v>
      </c>
      <c r="N72" s="249">
        <v>9371.4500000000007</v>
      </c>
      <c r="O72" s="247" t="s">
        <v>612</v>
      </c>
      <c r="P72" s="248">
        <v>42976</v>
      </c>
      <c r="Q72" s="247"/>
      <c r="R72" s="247"/>
      <c r="S72" s="247" t="s">
        <v>633</v>
      </c>
      <c r="T72" s="247"/>
      <c r="U72" s="247"/>
      <c r="V72" s="250"/>
      <c r="W72" s="250"/>
      <c r="X72" s="247" t="s">
        <v>233</v>
      </c>
      <c r="Y72" s="247"/>
      <c r="Z72" s="250"/>
      <c r="AA72" s="247"/>
      <c r="AB72" s="250"/>
      <c r="AC72" s="247" t="s">
        <v>660</v>
      </c>
      <c r="AD72" s="247" t="s">
        <v>638</v>
      </c>
    </row>
    <row r="73" spans="1:30" x14ac:dyDescent="0.25">
      <c r="A73" s="247" t="s">
        <v>661</v>
      </c>
      <c r="B73" s="247" t="s">
        <v>608</v>
      </c>
      <c r="C73" s="247"/>
      <c r="D73" s="247" t="s">
        <v>635</v>
      </c>
      <c r="E73" s="247" t="s">
        <v>636</v>
      </c>
      <c r="F73" s="247" t="s">
        <v>609</v>
      </c>
      <c r="G73" s="248">
        <v>42976.558865740742</v>
      </c>
      <c r="H73" s="248">
        <v>42976</v>
      </c>
      <c r="I73" s="247" t="s">
        <v>637</v>
      </c>
      <c r="J73" s="247" t="s">
        <v>617</v>
      </c>
      <c r="K73" s="249">
        <v>9395</v>
      </c>
      <c r="L73" s="247" t="s">
        <v>612</v>
      </c>
      <c r="M73" s="249">
        <v>-1</v>
      </c>
      <c r="N73" s="249">
        <v>9366.4647499999992</v>
      </c>
      <c r="O73" s="247" t="s">
        <v>612</v>
      </c>
      <c r="P73" s="248">
        <v>42976</v>
      </c>
      <c r="Q73" s="247"/>
      <c r="R73" s="247"/>
      <c r="S73" s="247" t="s">
        <v>633</v>
      </c>
      <c r="T73" s="247"/>
      <c r="U73" s="247"/>
      <c r="V73" s="250"/>
      <c r="W73" s="250"/>
      <c r="X73" s="247" t="s">
        <v>233</v>
      </c>
      <c r="Y73" s="247"/>
      <c r="Z73" s="250"/>
      <c r="AA73" s="247"/>
      <c r="AB73" s="250"/>
      <c r="AC73" s="247" t="s">
        <v>662</v>
      </c>
      <c r="AD73" s="247" t="s">
        <v>638</v>
      </c>
    </row>
    <row r="74" spans="1:30" x14ac:dyDescent="0.25">
      <c r="A74" s="247" t="s">
        <v>663</v>
      </c>
      <c r="B74" s="247" t="s">
        <v>608</v>
      </c>
      <c r="C74" s="247"/>
      <c r="D74" s="247" t="s">
        <v>635</v>
      </c>
      <c r="E74" s="247" t="s">
        <v>636</v>
      </c>
      <c r="F74" s="247" t="s">
        <v>609</v>
      </c>
      <c r="G74" s="248">
        <v>42976.558854166666</v>
      </c>
      <c r="H74" s="248">
        <v>42976</v>
      </c>
      <c r="I74" s="247" t="s">
        <v>637</v>
      </c>
      <c r="J74" s="247" t="s">
        <v>617</v>
      </c>
      <c r="K74" s="249">
        <v>9401</v>
      </c>
      <c r="L74" s="247" t="s">
        <v>612</v>
      </c>
      <c r="M74" s="249">
        <v>-6</v>
      </c>
      <c r="N74" s="249">
        <v>56234.6823</v>
      </c>
      <c r="O74" s="247" t="s">
        <v>612</v>
      </c>
      <c r="P74" s="248">
        <v>42976</v>
      </c>
      <c r="Q74" s="247"/>
      <c r="R74" s="247"/>
      <c r="S74" s="247" t="s">
        <v>633</v>
      </c>
      <c r="T74" s="247"/>
      <c r="U74" s="247"/>
      <c r="V74" s="250"/>
      <c r="W74" s="250"/>
      <c r="X74" s="247" t="s">
        <v>233</v>
      </c>
      <c r="Y74" s="247"/>
      <c r="Z74" s="250"/>
      <c r="AA74" s="247"/>
      <c r="AB74" s="250"/>
      <c r="AC74" s="247" t="s">
        <v>664</v>
      </c>
      <c r="AD74" s="247" t="s">
        <v>638</v>
      </c>
    </row>
    <row r="75" spans="1:30" x14ac:dyDescent="0.25">
      <c r="A75" s="247" t="s">
        <v>665</v>
      </c>
      <c r="B75" s="247" t="s">
        <v>608</v>
      </c>
      <c r="C75" s="247"/>
      <c r="D75" s="247" t="s">
        <v>635</v>
      </c>
      <c r="E75" s="247" t="s">
        <v>636</v>
      </c>
      <c r="F75" s="247" t="s">
        <v>609</v>
      </c>
      <c r="G75" s="248">
        <v>42976.558865740742</v>
      </c>
      <c r="H75" s="248">
        <v>42976</v>
      </c>
      <c r="I75" s="247" t="s">
        <v>637</v>
      </c>
      <c r="J75" s="247" t="s">
        <v>617</v>
      </c>
      <c r="K75" s="249">
        <v>9396</v>
      </c>
      <c r="L75" s="247" t="s">
        <v>612</v>
      </c>
      <c r="M75" s="249">
        <v>-25</v>
      </c>
      <c r="N75" s="249">
        <v>234186.595</v>
      </c>
      <c r="O75" s="247" t="s">
        <v>612</v>
      </c>
      <c r="P75" s="248">
        <v>42976</v>
      </c>
      <c r="Q75" s="247"/>
      <c r="R75" s="247"/>
      <c r="S75" s="247" t="s">
        <v>633</v>
      </c>
      <c r="T75" s="247"/>
      <c r="U75" s="247"/>
      <c r="V75" s="250"/>
      <c r="W75" s="250"/>
      <c r="X75" s="247" t="s">
        <v>233</v>
      </c>
      <c r="Y75" s="247"/>
      <c r="Z75" s="250"/>
      <c r="AA75" s="247"/>
      <c r="AB75" s="250"/>
      <c r="AC75" s="247" t="s">
        <v>666</v>
      </c>
      <c r="AD75" s="247" t="s">
        <v>638</v>
      </c>
    </row>
    <row r="76" spans="1:30" x14ac:dyDescent="0.25">
      <c r="A76" s="243" t="s">
        <v>667</v>
      </c>
      <c r="B76" s="244"/>
      <c r="C76" s="244"/>
      <c r="D76" s="244"/>
      <c r="E76" s="244"/>
      <c r="F76" s="244"/>
      <c r="G76" s="244"/>
      <c r="H76" s="244"/>
      <c r="I76" s="244"/>
      <c r="J76" s="244"/>
      <c r="K76" s="245"/>
      <c r="L76" s="244"/>
      <c r="M76" s="246">
        <v>1000</v>
      </c>
      <c r="N76" s="245"/>
      <c r="O76" s="244"/>
      <c r="P76" s="244"/>
      <c r="Q76" s="244"/>
      <c r="R76" s="244"/>
      <c r="S76" s="244"/>
      <c r="T76" s="244"/>
      <c r="U76" s="244"/>
      <c r="V76" s="245"/>
      <c r="W76" s="245"/>
      <c r="X76" s="244"/>
      <c r="Y76" s="244"/>
      <c r="Z76" s="245"/>
      <c r="AA76" s="244"/>
      <c r="AB76" s="245"/>
      <c r="AC76" s="244"/>
      <c r="AD76" s="244"/>
    </row>
    <row r="77" spans="1:30" x14ac:dyDescent="0.25">
      <c r="A77" s="243" t="s">
        <v>614</v>
      </c>
      <c r="B77" s="244"/>
      <c r="C77" s="244"/>
      <c r="D77" s="244"/>
      <c r="E77" s="244"/>
      <c r="F77" s="244"/>
      <c r="G77" s="244"/>
      <c r="H77" s="244"/>
      <c r="I77" s="244"/>
      <c r="J77" s="244"/>
      <c r="K77" s="245"/>
      <c r="L77" s="244"/>
      <c r="M77" s="246">
        <v>1000</v>
      </c>
      <c r="N77" s="245"/>
      <c r="O77" s="244"/>
      <c r="P77" s="244"/>
      <c r="Q77" s="244"/>
      <c r="R77" s="244"/>
      <c r="S77" s="244"/>
      <c r="T77" s="244"/>
      <c r="U77" s="244"/>
      <c r="V77" s="245"/>
      <c r="W77" s="245"/>
      <c r="X77" s="244"/>
      <c r="Y77" s="244"/>
      <c r="Z77" s="245"/>
      <c r="AA77" s="244"/>
      <c r="AB77" s="245"/>
      <c r="AC77" s="244"/>
      <c r="AD77" s="244"/>
    </row>
    <row r="78" spans="1:30" x14ac:dyDescent="0.25">
      <c r="A78" s="247" t="s">
        <v>668</v>
      </c>
      <c r="B78" s="247" t="s">
        <v>608</v>
      </c>
      <c r="C78" s="247"/>
      <c r="D78" s="247" t="s">
        <v>629</v>
      </c>
      <c r="E78" s="247" t="s">
        <v>629</v>
      </c>
      <c r="F78" s="247" t="s">
        <v>621</v>
      </c>
      <c r="G78" s="248">
        <v>42976.688078703701</v>
      </c>
      <c r="H78" s="248">
        <v>42976</v>
      </c>
      <c r="I78" s="247" t="s">
        <v>631</v>
      </c>
      <c r="J78" s="247" t="s">
        <v>610</v>
      </c>
      <c r="K78" s="249">
        <v>217</v>
      </c>
      <c r="L78" s="247" t="s">
        <v>67</v>
      </c>
      <c r="M78" s="249">
        <v>1000</v>
      </c>
      <c r="N78" s="249">
        <v>217000</v>
      </c>
      <c r="O78" s="247" t="s">
        <v>67</v>
      </c>
      <c r="P78" s="248">
        <v>42976</v>
      </c>
      <c r="Q78" s="247" t="s">
        <v>618</v>
      </c>
      <c r="R78" s="247" t="s">
        <v>618</v>
      </c>
      <c r="S78" s="247" t="s">
        <v>633</v>
      </c>
      <c r="T78" s="247"/>
      <c r="U78" s="247"/>
      <c r="V78" s="250"/>
      <c r="W78" s="250"/>
      <c r="X78" s="247" t="s">
        <v>669</v>
      </c>
      <c r="Y78" s="247"/>
      <c r="Z78" s="250"/>
      <c r="AA78" s="247"/>
      <c r="AB78" s="250"/>
      <c r="AC78" s="247" t="s">
        <v>670</v>
      </c>
      <c r="AD78" s="247"/>
    </row>
    <row r="79" spans="1:30" x14ac:dyDescent="0.25">
      <c r="A79" s="243" t="s">
        <v>671</v>
      </c>
      <c r="B79" s="244"/>
      <c r="C79" s="244"/>
      <c r="D79" s="244"/>
      <c r="E79" s="244"/>
      <c r="F79" s="244"/>
      <c r="G79" s="244"/>
      <c r="H79" s="244"/>
      <c r="I79" s="244"/>
      <c r="J79" s="244"/>
      <c r="K79" s="245"/>
      <c r="L79" s="244"/>
      <c r="M79" s="246">
        <v>780</v>
      </c>
      <c r="N79" s="245"/>
      <c r="O79" s="244"/>
      <c r="P79" s="244"/>
      <c r="Q79" s="244"/>
      <c r="R79" s="244"/>
      <c r="S79" s="244"/>
      <c r="T79" s="244"/>
      <c r="U79" s="244"/>
      <c r="V79" s="245"/>
      <c r="W79" s="245"/>
      <c r="X79" s="244"/>
      <c r="Y79" s="244"/>
      <c r="Z79" s="245"/>
      <c r="AA79" s="244"/>
      <c r="AB79" s="245"/>
      <c r="AC79" s="244"/>
      <c r="AD79" s="244"/>
    </row>
    <row r="80" spans="1:30" x14ac:dyDescent="0.25">
      <c r="A80" s="243" t="s">
        <v>614</v>
      </c>
      <c r="B80" s="244"/>
      <c r="C80" s="244"/>
      <c r="D80" s="244"/>
      <c r="E80" s="244"/>
      <c r="F80" s="244"/>
      <c r="G80" s="244"/>
      <c r="H80" s="244"/>
      <c r="I80" s="244"/>
      <c r="J80" s="244"/>
      <c r="K80" s="245"/>
      <c r="L80" s="244"/>
      <c r="M80" s="246">
        <v>780</v>
      </c>
      <c r="N80" s="245"/>
      <c r="O80" s="244"/>
      <c r="P80" s="244"/>
      <c r="Q80" s="244"/>
      <c r="R80" s="244"/>
      <c r="S80" s="244"/>
      <c r="T80" s="244"/>
      <c r="U80" s="244"/>
      <c r="V80" s="245"/>
      <c r="W80" s="245"/>
      <c r="X80" s="244"/>
      <c r="Y80" s="244"/>
      <c r="Z80" s="245"/>
      <c r="AA80" s="244"/>
      <c r="AB80" s="245"/>
      <c r="AC80" s="244"/>
      <c r="AD80" s="244"/>
    </row>
    <row r="81" spans="1:30" x14ac:dyDescent="0.25">
      <c r="A81" s="247" t="s">
        <v>672</v>
      </c>
      <c r="B81" s="247" t="s">
        <v>608</v>
      </c>
      <c r="C81" s="247"/>
      <c r="D81" s="247" t="s">
        <v>458</v>
      </c>
      <c r="E81" s="247" t="s">
        <v>458</v>
      </c>
      <c r="F81" s="247" t="s">
        <v>673</v>
      </c>
      <c r="G81" s="248">
        <v>42976.63622685185</v>
      </c>
      <c r="H81" s="248">
        <v>42976</v>
      </c>
      <c r="I81" s="247" t="s">
        <v>631</v>
      </c>
      <c r="J81" s="247" t="s">
        <v>610</v>
      </c>
      <c r="K81" s="249">
        <v>3750.54</v>
      </c>
      <c r="L81" s="247" t="s">
        <v>612</v>
      </c>
      <c r="M81" s="249">
        <v>780</v>
      </c>
      <c r="N81" s="249">
        <v>2934197.46</v>
      </c>
      <c r="O81" s="247" t="s">
        <v>612</v>
      </c>
      <c r="P81" s="248">
        <v>42976</v>
      </c>
      <c r="Q81" s="247" t="s">
        <v>618</v>
      </c>
      <c r="R81" s="247" t="s">
        <v>618</v>
      </c>
      <c r="S81" s="247" t="s">
        <v>633</v>
      </c>
      <c r="T81" s="247"/>
      <c r="U81" s="247"/>
      <c r="V81" s="250"/>
      <c r="W81" s="250"/>
      <c r="X81" s="247" t="s">
        <v>674</v>
      </c>
      <c r="Y81" s="247"/>
      <c r="Z81" s="250"/>
      <c r="AA81" s="247"/>
      <c r="AB81" s="250"/>
      <c r="AC81" s="247"/>
      <c r="AD81" s="247" t="s">
        <v>675</v>
      </c>
    </row>
    <row r="82" spans="1:30" x14ac:dyDescent="0.25">
      <c r="A82" s="243" t="s">
        <v>676</v>
      </c>
      <c r="B82" s="244"/>
      <c r="C82" s="244"/>
      <c r="D82" s="244"/>
      <c r="E82" s="244"/>
      <c r="F82" s="244"/>
      <c r="G82" s="244"/>
      <c r="H82" s="244"/>
      <c r="I82" s="244"/>
      <c r="J82" s="244"/>
      <c r="K82" s="245"/>
      <c r="L82" s="244"/>
      <c r="M82" s="246">
        <v>-3500000</v>
      </c>
      <c r="N82" s="245"/>
      <c r="O82" s="244"/>
      <c r="P82" s="244"/>
      <c r="Q82" s="244"/>
      <c r="R82" s="244"/>
      <c r="S82" s="244"/>
      <c r="T82" s="244"/>
      <c r="U82" s="244"/>
      <c r="V82" s="245"/>
      <c r="W82" s="245"/>
      <c r="X82" s="244"/>
      <c r="Y82" s="244"/>
      <c r="Z82" s="245"/>
      <c r="AA82" s="244"/>
      <c r="AB82" s="245"/>
      <c r="AC82" s="244"/>
      <c r="AD82" s="244"/>
    </row>
    <row r="83" spans="1:30" x14ac:dyDescent="0.25">
      <c r="A83" s="243" t="s">
        <v>614</v>
      </c>
      <c r="B83" s="244"/>
      <c r="C83" s="244"/>
      <c r="D83" s="244"/>
      <c r="E83" s="244"/>
      <c r="F83" s="244"/>
      <c r="G83" s="244"/>
      <c r="H83" s="244"/>
      <c r="I83" s="244"/>
      <c r="J83" s="244"/>
      <c r="K83" s="245"/>
      <c r="L83" s="244"/>
      <c r="M83" s="246">
        <v>-3500000</v>
      </c>
      <c r="N83" s="245"/>
      <c r="O83" s="244"/>
      <c r="P83" s="244"/>
      <c r="Q83" s="244"/>
      <c r="R83" s="244"/>
      <c r="S83" s="244"/>
      <c r="T83" s="244"/>
      <c r="U83" s="244"/>
      <c r="V83" s="245"/>
      <c r="W83" s="245"/>
      <c r="X83" s="244"/>
      <c r="Y83" s="244"/>
      <c r="Z83" s="245"/>
      <c r="AA83" s="244"/>
      <c r="AB83" s="245"/>
      <c r="AC83" s="244"/>
      <c r="AD83" s="244"/>
    </row>
    <row r="84" spans="1:30" x14ac:dyDescent="0.25">
      <c r="A84" s="247" t="s">
        <v>677</v>
      </c>
      <c r="B84" s="247" t="s">
        <v>608</v>
      </c>
      <c r="C84" s="247"/>
      <c r="D84" s="247" t="s">
        <v>678</v>
      </c>
      <c r="E84" s="247" t="s">
        <v>678</v>
      </c>
      <c r="F84" s="247" t="s">
        <v>621</v>
      </c>
      <c r="G84" s="248">
        <v>42976.434004629627</v>
      </c>
      <c r="H84" s="248">
        <v>42976</v>
      </c>
      <c r="I84" s="247" t="s">
        <v>637</v>
      </c>
      <c r="J84" s="247" t="s">
        <v>617</v>
      </c>
      <c r="K84" s="249">
        <v>1.72E-2</v>
      </c>
      <c r="L84" s="247" t="s">
        <v>67</v>
      </c>
      <c r="M84" s="249">
        <v>-3500000</v>
      </c>
      <c r="N84" s="249">
        <v>60200</v>
      </c>
      <c r="O84" s="247" t="s">
        <v>67</v>
      </c>
      <c r="P84" s="248">
        <v>42978</v>
      </c>
      <c r="Q84" s="247" t="s">
        <v>618</v>
      </c>
      <c r="R84" s="247" t="s">
        <v>618</v>
      </c>
      <c r="S84" s="247"/>
      <c r="T84" s="247"/>
      <c r="U84" s="247"/>
      <c r="V84" s="250"/>
      <c r="W84" s="250"/>
      <c r="X84" s="247" t="s">
        <v>679</v>
      </c>
      <c r="Y84" s="247"/>
      <c r="Z84" s="250"/>
      <c r="AA84" s="247"/>
      <c r="AB84" s="250"/>
      <c r="AC84" s="247"/>
      <c r="AD84" s="247" t="s">
        <v>680</v>
      </c>
    </row>
    <row r="85" spans="1:30" x14ac:dyDescent="0.25">
      <c r="A85" s="243" t="s">
        <v>681</v>
      </c>
      <c r="B85" s="244"/>
      <c r="C85" s="244"/>
      <c r="D85" s="244"/>
      <c r="E85" s="244"/>
      <c r="F85" s="244"/>
      <c r="G85" s="244"/>
      <c r="H85" s="244"/>
      <c r="I85" s="244"/>
      <c r="J85" s="244"/>
      <c r="K85" s="245"/>
      <c r="L85" s="244"/>
      <c r="M85" s="246">
        <v>-4762</v>
      </c>
      <c r="N85" s="245"/>
      <c r="O85" s="244"/>
      <c r="P85" s="244"/>
      <c r="Q85" s="244"/>
      <c r="R85" s="244"/>
      <c r="S85" s="244"/>
      <c r="T85" s="244"/>
      <c r="U85" s="244"/>
      <c r="V85" s="245"/>
      <c r="W85" s="245"/>
      <c r="X85" s="244"/>
      <c r="Y85" s="244"/>
      <c r="Z85" s="245"/>
      <c r="AA85" s="244"/>
      <c r="AB85" s="245"/>
      <c r="AC85" s="244"/>
      <c r="AD85" s="244"/>
    </row>
    <row r="86" spans="1:30" x14ac:dyDescent="0.25">
      <c r="A86" s="243" t="s">
        <v>614</v>
      </c>
      <c r="B86" s="244"/>
      <c r="C86" s="244"/>
      <c r="D86" s="244"/>
      <c r="E86" s="244"/>
      <c r="F86" s="244"/>
      <c r="G86" s="244"/>
      <c r="H86" s="244"/>
      <c r="I86" s="244"/>
      <c r="J86" s="244"/>
      <c r="K86" s="245"/>
      <c r="L86" s="244"/>
      <c r="M86" s="246">
        <v>-4762</v>
      </c>
      <c r="N86" s="245"/>
      <c r="O86" s="244"/>
      <c r="P86" s="244"/>
      <c r="Q86" s="244"/>
      <c r="R86" s="244"/>
      <c r="S86" s="244"/>
      <c r="T86" s="244"/>
      <c r="U86" s="244"/>
      <c r="V86" s="245"/>
      <c r="W86" s="245"/>
      <c r="X86" s="244"/>
      <c r="Y86" s="244"/>
      <c r="Z86" s="245"/>
      <c r="AA86" s="244"/>
      <c r="AB86" s="245"/>
      <c r="AC86" s="244"/>
      <c r="AD86" s="244"/>
    </row>
    <row r="87" spans="1:30" x14ac:dyDescent="0.25">
      <c r="A87" s="247" t="s">
        <v>682</v>
      </c>
      <c r="B87" s="247" t="s">
        <v>608</v>
      </c>
      <c r="C87" s="247"/>
      <c r="D87" s="247" t="s">
        <v>683</v>
      </c>
      <c r="E87" s="247" t="s">
        <v>683</v>
      </c>
      <c r="F87" s="247" t="s">
        <v>630</v>
      </c>
      <c r="G87" s="248">
        <v>42976.732025462959</v>
      </c>
      <c r="H87" s="248">
        <v>42976</v>
      </c>
      <c r="I87" s="247" t="s">
        <v>631</v>
      </c>
      <c r="J87" s="247" t="s">
        <v>617</v>
      </c>
      <c r="K87" s="249">
        <v>42</v>
      </c>
      <c r="L87" s="247" t="s">
        <v>67</v>
      </c>
      <c r="M87" s="249">
        <v>-4762</v>
      </c>
      <c r="N87" s="249">
        <v>200004</v>
      </c>
      <c r="O87" s="247" t="s">
        <v>67</v>
      </c>
      <c r="P87" s="248">
        <v>42979</v>
      </c>
      <c r="Q87" s="247" t="s">
        <v>618</v>
      </c>
      <c r="R87" s="247" t="s">
        <v>618</v>
      </c>
      <c r="S87" s="247"/>
      <c r="T87" s="247"/>
      <c r="U87" s="247"/>
      <c r="V87" s="250"/>
      <c r="W87" s="250"/>
      <c r="X87" s="247" t="s">
        <v>684</v>
      </c>
      <c r="Y87" s="247"/>
      <c r="Z87" s="250"/>
      <c r="AA87" s="247"/>
      <c r="AB87" s="250"/>
      <c r="AC87" s="247"/>
      <c r="AD87" s="247"/>
    </row>
    <row r="88" spans="1:30" x14ac:dyDescent="0.25">
      <c r="A88" s="243" t="s">
        <v>685</v>
      </c>
      <c r="B88" s="244"/>
      <c r="C88" s="244"/>
      <c r="D88" s="244"/>
      <c r="E88" s="244"/>
      <c r="F88" s="244"/>
      <c r="G88" s="244"/>
      <c r="H88" s="244"/>
      <c r="I88" s="244"/>
      <c r="J88" s="244"/>
      <c r="K88" s="245"/>
      <c r="L88" s="244"/>
      <c r="M88" s="246">
        <v>1450</v>
      </c>
      <c r="N88" s="245"/>
      <c r="O88" s="244"/>
      <c r="P88" s="244"/>
      <c r="Q88" s="244"/>
      <c r="R88" s="244"/>
      <c r="S88" s="244"/>
      <c r="T88" s="244"/>
      <c r="U88" s="244"/>
      <c r="V88" s="245"/>
      <c r="W88" s="245"/>
      <c r="X88" s="244"/>
      <c r="Y88" s="244"/>
      <c r="Z88" s="245"/>
      <c r="AA88" s="244"/>
      <c r="AB88" s="245"/>
      <c r="AC88" s="244"/>
      <c r="AD88" s="244"/>
    </row>
    <row r="89" spans="1:30" x14ac:dyDescent="0.25">
      <c r="A89" s="243" t="s">
        <v>614</v>
      </c>
      <c r="B89" s="244"/>
      <c r="C89" s="244"/>
      <c r="D89" s="244"/>
      <c r="E89" s="244"/>
      <c r="F89" s="244"/>
      <c r="G89" s="244"/>
      <c r="H89" s="244"/>
      <c r="I89" s="244"/>
      <c r="J89" s="244"/>
      <c r="K89" s="245"/>
      <c r="L89" s="244"/>
      <c r="M89" s="246">
        <v>1450</v>
      </c>
      <c r="N89" s="245"/>
      <c r="O89" s="244"/>
      <c r="P89" s="244"/>
      <c r="Q89" s="244"/>
      <c r="R89" s="244"/>
      <c r="S89" s="244"/>
      <c r="T89" s="244"/>
      <c r="U89" s="244"/>
      <c r="V89" s="245"/>
      <c r="W89" s="245"/>
      <c r="X89" s="244"/>
      <c r="Y89" s="244"/>
      <c r="Z89" s="245"/>
      <c r="AA89" s="244"/>
      <c r="AB89" s="245"/>
      <c r="AC89" s="244"/>
      <c r="AD89" s="244"/>
    </row>
    <row r="90" spans="1:30" x14ac:dyDescent="0.25">
      <c r="A90" s="247" t="s">
        <v>686</v>
      </c>
      <c r="B90" s="247" t="s">
        <v>608</v>
      </c>
      <c r="C90" s="247"/>
      <c r="D90" s="247" t="s">
        <v>458</v>
      </c>
      <c r="E90" s="247" t="s">
        <v>458</v>
      </c>
      <c r="F90" s="247" t="s">
        <v>673</v>
      </c>
      <c r="G90" s="248">
        <v>42976.636412037034</v>
      </c>
      <c r="H90" s="248">
        <v>42976</v>
      </c>
      <c r="I90" s="247" t="s">
        <v>631</v>
      </c>
      <c r="J90" s="247" t="s">
        <v>610</v>
      </c>
      <c r="K90" s="249">
        <v>2019.53</v>
      </c>
      <c r="L90" s="247" t="s">
        <v>612</v>
      </c>
      <c r="M90" s="249">
        <v>1450</v>
      </c>
      <c r="N90" s="249">
        <v>2937103.46</v>
      </c>
      <c r="O90" s="247" t="s">
        <v>612</v>
      </c>
      <c r="P90" s="248">
        <v>42976</v>
      </c>
      <c r="Q90" s="247" t="s">
        <v>618</v>
      </c>
      <c r="R90" s="247" t="s">
        <v>618</v>
      </c>
      <c r="S90" s="247" t="s">
        <v>633</v>
      </c>
      <c r="T90" s="247"/>
      <c r="U90" s="247"/>
      <c r="V90" s="250"/>
      <c r="W90" s="250"/>
      <c r="X90" s="247" t="s">
        <v>687</v>
      </c>
      <c r="Y90" s="247"/>
      <c r="Z90" s="250"/>
      <c r="AA90" s="247"/>
      <c r="AB90" s="250"/>
      <c r="AC90" s="247"/>
      <c r="AD90" s="247" t="s">
        <v>688</v>
      </c>
    </row>
    <row r="91" spans="1:30" x14ac:dyDescent="0.25">
      <c r="A91" s="243" t="s">
        <v>689</v>
      </c>
      <c r="B91" s="244"/>
      <c r="C91" s="244"/>
      <c r="D91" s="244"/>
      <c r="E91" s="244"/>
      <c r="F91" s="244"/>
      <c r="G91" s="244"/>
      <c r="H91" s="244"/>
      <c r="I91" s="244"/>
      <c r="J91" s="244"/>
      <c r="K91" s="245"/>
      <c r="L91" s="244"/>
      <c r="M91" s="246">
        <v>-8715</v>
      </c>
      <c r="N91" s="245"/>
      <c r="O91" s="244"/>
      <c r="P91" s="244"/>
      <c r="Q91" s="244"/>
      <c r="R91" s="244"/>
      <c r="S91" s="244"/>
      <c r="T91" s="244"/>
      <c r="U91" s="244"/>
      <c r="V91" s="245"/>
      <c r="W91" s="245"/>
      <c r="X91" s="244"/>
      <c r="Y91" s="244"/>
      <c r="Z91" s="245"/>
      <c r="AA91" s="244"/>
      <c r="AB91" s="245"/>
      <c r="AC91" s="244"/>
      <c r="AD91" s="244"/>
    </row>
    <row r="92" spans="1:30" x14ac:dyDescent="0.25">
      <c r="A92" s="243" t="s">
        <v>614</v>
      </c>
      <c r="B92" s="244"/>
      <c r="C92" s="244"/>
      <c r="D92" s="244"/>
      <c r="E92" s="244"/>
      <c r="F92" s="244"/>
      <c r="G92" s="244"/>
      <c r="H92" s="244"/>
      <c r="I92" s="244"/>
      <c r="J92" s="244"/>
      <c r="K92" s="245"/>
      <c r="L92" s="244"/>
      <c r="M92" s="246">
        <v>-8715</v>
      </c>
      <c r="N92" s="245"/>
      <c r="O92" s="244"/>
      <c r="P92" s="244"/>
      <c r="Q92" s="244"/>
      <c r="R92" s="244"/>
      <c r="S92" s="244"/>
      <c r="T92" s="244"/>
      <c r="U92" s="244"/>
      <c r="V92" s="245"/>
      <c r="W92" s="245"/>
      <c r="X92" s="244"/>
      <c r="Y92" s="244"/>
      <c r="Z92" s="245"/>
      <c r="AA92" s="244"/>
      <c r="AB92" s="245"/>
      <c r="AC92" s="244"/>
      <c r="AD92" s="244"/>
    </row>
    <row r="93" spans="1:30" x14ac:dyDescent="0.25">
      <c r="A93" s="247" t="s">
        <v>690</v>
      </c>
      <c r="B93" s="247" t="s">
        <v>608</v>
      </c>
      <c r="C93" s="247"/>
      <c r="D93" s="247" t="s">
        <v>635</v>
      </c>
      <c r="E93" s="247" t="s">
        <v>635</v>
      </c>
      <c r="F93" s="247" t="s">
        <v>621</v>
      </c>
      <c r="G93" s="248">
        <v>42976.556944444441</v>
      </c>
      <c r="H93" s="248">
        <v>42976</v>
      </c>
      <c r="I93" s="247" t="s">
        <v>691</v>
      </c>
      <c r="J93" s="247" t="s">
        <v>617</v>
      </c>
      <c r="K93" s="249">
        <v>14.173379000000001</v>
      </c>
      <c r="L93" s="247" t="s">
        <v>67</v>
      </c>
      <c r="M93" s="249">
        <v>-8715</v>
      </c>
      <c r="N93" s="249">
        <v>123521</v>
      </c>
      <c r="O93" s="247" t="s">
        <v>67</v>
      </c>
      <c r="P93" s="248">
        <v>42979</v>
      </c>
      <c r="Q93" s="247" t="s">
        <v>618</v>
      </c>
      <c r="R93" s="247" t="s">
        <v>618</v>
      </c>
      <c r="S93" s="247"/>
      <c r="T93" s="247"/>
      <c r="U93" s="247"/>
      <c r="V93" s="250"/>
      <c r="W93" s="250"/>
      <c r="X93" s="247" t="s">
        <v>692</v>
      </c>
      <c r="Y93" s="247"/>
      <c r="Z93" s="250"/>
      <c r="AA93" s="247"/>
      <c r="AB93" s="250"/>
      <c r="AC93" s="247"/>
      <c r="AD93" s="247"/>
    </row>
    <row r="94" spans="1:30" x14ac:dyDescent="0.25">
      <c r="A94" s="243" t="s">
        <v>693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5"/>
      <c r="L94" s="244"/>
      <c r="M94" s="246">
        <v>-1000</v>
      </c>
      <c r="N94" s="245"/>
      <c r="O94" s="244"/>
      <c r="P94" s="244"/>
      <c r="Q94" s="244"/>
      <c r="R94" s="244"/>
      <c r="S94" s="244"/>
      <c r="T94" s="244"/>
      <c r="U94" s="244"/>
      <c r="V94" s="245"/>
      <c r="W94" s="245"/>
      <c r="X94" s="244"/>
      <c r="Y94" s="244"/>
      <c r="Z94" s="245"/>
      <c r="AA94" s="244"/>
      <c r="AB94" s="245"/>
      <c r="AC94" s="244"/>
      <c r="AD94" s="244"/>
    </row>
    <row r="95" spans="1:30" x14ac:dyDescent="0.25">
      <c r="A95" s="243" t="s">
        <v>614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5"/>
      <c r="L95" s="244"/>
      <c r="M95" s="246">
        <v>-1000</v>
      </c>
      <c r="N95" s="245"/>
      <c r="O95" s="244"/>
      <c r="P95" s="244"/>
      <c r="Q95" s="244"/>
      <c r="R95" s="244"/>
      <c r="S95" s="244"/>
      <c r="T95" s="244"/>
      <c r="U95" s="244"/>
      <c r="V95" s="245"/>
      <c r="W95" s="245"/>
      <c r="X95" s="244"/>
      <c r="Y95" s="244"/>
      <c r="Z95" s="245"/>
      <c r="AA95" s="244"/>
      <c r="AB95" s="245"/>
      <c r="AC95" s="244"/>
      <c r="AD95" s="244"/>
    </row>
    <row r="96" spans="1:30" x14ac:dyDescent="0.25">
      <c r="A96" s="247" t="s">
        <v>694</v>
      </c>
      <c r="B96" s="247" t="s">
        <v>608</v>
      </c>
      <c r="C96" s="247"/>
      <c r="D96" s="247" t="s">
        <v>629</v>
      </c>
      <c r="E96" s="247" t="s">
        <v>629</v>
      </c>
      <c r="F96" s="247" t="s">
        <v>630</v>
      </c>
      <c r="G96" s="248">
        <v>42976.710914351854</v>
      </c>
      <c r="H96" s="248">
        <v>42976</v>
      </c>
      <c r="I96" s="247" t="s">
        <v>631</v>
      </c>
      <c r="J96" s="247" t="s">
        <v>617</v>
      </c>
      <c r="K96" s="249">
        <v>342</v>
      </c>
      <c r="L96" s="247" t="s">
        <v>67</v>
      </c>
      <c r="M96" s="249">
        <v>-1000</v>
      </c>
      <c r="N96" s="249">
        <v>342000</v>
      </c>
      <c r="O96" s="247" t="s">
        <v>67</v>
      </c>
      <c r="P96" s="248">
        <v>42976</v>
      </c>
      <c r="Q96" s="247" t="s">
        <v>618</v>
      </c>
      <c r="R96" s="247" t="s">
        <v>618</v>
      </c>
      <c r="S96" s="247"/>
      <c r="T96" s="247"/>
      <c r="U96" s="247"/>
      <c r="V96" s="250"/>
      <c r="W96" s="250"/>
      <c r="X96" s="247" t="s">
        <v>695</v>
      </c>
      <c r="Y96" s="247"/>
      <c r="Z96" s="250"/>
      <c r="AA96" s="247"/>
      <c r="AB96" s="250"/>
      <c r="AC96" s="247"/>
      <c r="AD96" s="247"/>
    </row>
    <row r="97" spans="1:30" x14ac:dyDescent="0.25">
      <c r="A97" s="243" t="s">
        <v>696</v>
      </c>
      <c r="B97" s="244"/>
      <c r="C97" s="244"/>
      <c r="D97" s="244"/>
      <c r="E97" s="244"/>
      <c r="F97" s="244"/>
      <c r="G97" s="244"/>
      <c r="H97" s="244"/>
      <c r="I97" s="244"/>
      <c r="J97" s="244"/>
      <c r="K97" s="245"/>
      <c r="L97" s="244"/>
      <c r="M97" s="245"/>
      <c r="N97" s="245"/>
      <c r="O97" s="244"/>
      <c r="P97" s="244"/>
      <c r="Q97" s="244"/>
      <c r="R97" s="244"/>
      <c r="S97" s="244"/>
      <c r="T97" s="244"/>
      <c r="U97" s="244"/>
      <c r="V97" s="245"/>
      <c r="W97" s="245"/>
      <c r="X97" s="244"/>
      <c r="Y97" s="244"/>
      <c r="Z97" s="245"/>
      <c r="AA97" s="244"/>
      <c r="AB97" s="245"/>
      <c r="AC97" s="244"/>
      <c r="AD97" s="244"/>
    </row>
    <row r="98" spans="1:30" x14ac:dyDescent="0.25">
      <c r="A98" s="243" t="s">
        <v>697</v>
      </c>
      <c r="B98" s="244"/>
      <c r="C98" s="244"/>
      <c r="D98" s="244"/>
      <c r="E98" s="244"/>
      <c r="F98" s="244"/>
      <c r="G98" s="244"/>
      <c r="H98" s="244"/>
      <c r="I98" s="244"/>
      <c r="J98" s="244"/>
      <c r="K98" s="245"/>
      <c r="L98" s="244"/>
      <c r="M98" s="246">
        <v>3486072.1100000003</v>
      </c>
      <c r="N98" s="245"/>
      <c r="O98" s="244"/>
      <c r="P98" s="244"/>
      <c r="Q98" s="244"/>
      <c r="R98" s="244"/>
      <c r="S98" s="244"/>
      <c r="T98" s="244"/>
      <c r="U98" s="244"/>
      <c r="V98" s="245"/>
      <c r="W98" s="245"/>
      <c r="X98" s="244"/>
      <c r="Y98" s="244"/>
      <c r="Z98" s="245"/>
      <c r="AA98" s="244"/>
      <c r="AB98" s="245"/>
      <c r="AC98" s="244"/>
      <c r="AD98" s="244"/>
    </row>
    <row r="99" spans="1:30" x14ac:dyDescent="0.25">
      <c r="A99" s="243" t="s">
        <v>614</v>
      </c>
      <c r="B99" s="244"/>
      <c r="C99" s="244"/>
      <c r="D99" s="244"/>
      <c r="E99" s="244"/>
      <c r="F99" s="244"/>
      <c r="G99" s="244"/>
      <c r="H99" s="244"/>
      <c r="I99" s="244"/>
      <c r="J99" s="244"/>
      <c r="K99" s="245"/>
      <c r="L99" s="244"/>
      <c r="M99" s="246">
        <v>3486072.1100000003</v>
      </c>
      <c r="N99" s="245"/>
      <c r="O99" s="244"/>
      <c r="P99" s="244"/>
      <c r="Q99" s="244"/>
      <c r="R99" s="244"/>
      <c r="S99" s="244"/>
      <c r="T99" s="244"/>
      <c r="U99" s="244"/>
      <c r="V99" s="245"/>
      <c r="W99" s="245"/>
      <c r="X99" s="244"/>
      <c r="Y99" s="244"/>
      <c r="Z99" s="245"/>
      <c r="AA99" s="244"/>
      <c r="AB99" s="245"/>
      <c r="AC99" s="244"/>
      <c r="AD99" s="244"/>
    </row>
    <row r="100" spans="1:30" x14ac:dyDescent="0.25">
      <c r="A100" s="247" t="s">
        <v>698</v>
      </c>
      <c r="B100" s="247" t="s">
        <v>608</v>
      </c>
      <c r="C100" s="247"/>
      <c r="D100" s="247"/>
      <c r="E100" s="247" t="s">
        <v>699</v>
      </c>
      <c r="F100" s="247"/>
      <c r="G100" s="248">
        <v>42976.586134259262</v>
      </c>
      <c r="H100" s="248">
        <v>42976</v>
      </c>
      <c r="I100" s="247" t="s">
        <v>700</v>
      </c>
      <c r="J100" s="247" t="s">
        <v>701</v>
      </c>
      <c r="K100" s="250"/>
      <c r="L100" s="247"/>
      <c r="M100" s="249">
        <v>-1066.8</v>
      </c>
      <c r="N100" s="249">
        <v>-1066.8</v>
      </c>
      <c r="O100" s="247"/>
      <c r="P100" s="247"/>
      <c r="Q100" s="247"/>
      <c r="R100" s="247"/>
      <c r="S100" s="247"/>
      <c r="T100" s="247"/>
      <c r="U100" s="247"/>
      <c r="V100" s="250"/>
      <c r="W100" s="250"/>
      <c r="X100" s="247" t="s">
        <v>612</v>
      </c>
      <c r="Y100" s="247"/>
      <c r="Z100" s="250"/>
      <c r="AA100" s="247"/>
      <c r="AB100" s="250"/>
      <c r="AC100" s="247" t="s">
        <v>702</v>
      </c>
      <c r="AD100" s="247" t="s">
        <v>703</v>
      </c>
    </row>
    <row r="101" spans="1:30" x14ac:dyDescent="0.25">
      <c r="A101" s="247" t="s">
        <v>704</v>
      </c>
      <c r="B101" s="247" t="s">
        <v>608</v>
      </c>
      <c r="C101" s="247"/>
      <c r="D101" s="247"/>
      <c r="E101" s="247" t="s">
        <v>705</v>
      </c>
      <c r="F101" s="247"/>
      <c r="G101" s="248">
        <v>42976.586134259262</v>
      </c>
      <c r="H101" s="248">
        <v>42976</v>
      </c>
      <c r="I101" s="247" t="s">
        <v>700</v>
      </c>
      <c r="J101" s="247" t="s">
        <v>701</v>
      </c>
      <c r="K101" s="250"/>
      <c r="L101" s="247"/>
      <c r="M101" s="249">
        <v>-10548.56</v>
      </c>
      <c r="N101" s="249">
        <v>-10548.56</v>
      </c>
      <c r="O101" s="247"/>
      <c r="P101" s="247"/>
      <c r="Q101" s="247"/>
      <c r="R101" s="247"/>
      <c r="S101" s="247"/>
      <c r="T101" s="247"/>
      <c r="U101" s="247"/>
      <c r="V101" s="250"/>
      <c r="W101" s="250"/>
      <c r="X101" s="247" t="s">
        <v>612</v>
      </c>
      <c r="Y101" s="247"/>
      <c r="Z101" s="250"/>
      <c r="AA101" s="247"/>
      <c r="AB101" s="250"/>
      <c r="AC101" s="247" t="s">
        <v>706</v>
      </c>
      <c r="AD101" s="247" t="s">
        <v>707</v>
      </c>
    </row>
    <row r="102" spans="1:30" x14ac:dyDescent="0.25">
      <c r="A102" s="247" t="s">
        <v>708</v>
      </c>
      <c r="B102" s="247" t="s">
        <v>608</v>
      </c>
      <c r="C102" s="247"/>
      <c r="D102" s="247"/>
      <c r="E102" s="247" t="s">
        <v>709</v>
      </c>
      <c r="F102" s="247"/>
      <c r="G102" s="248">
        <v>42976.586134259262</v>
      </c>
      <c r="H102" s="248">
        <v>42976</v>
      </c>
      <c r="I102" s="247" t="s">
        <v>700</v>
      </c>
      <c r="J102" s="247" t="s">
        <v>701</v>
      </c>
      <c r="K102" s="250"/>
      <c r="L102" s="247"/>
      <c r="M102" s="249">
        <v>-548.33000000000004</v>
      </c>
      <c r="N102" s="249">
        <v>-548.33000000000004</v>
      </c>
      <c r="O102" s="247"/>
      <c r="P102" s="247"/>
      <c r="Q102" s="247"/>
      <c r="R102" s="247"/>
      <c r="S102" s="247"/>
      <c r="T102" s="247"/>
      <c r="U102" s="247"/>
      <c r="V102" s="250"/>
      <c r="W102" s="250"/>
      <c r="X102" s="247" t="s">
        <v>612</v>
      </c>
      <c r="Y102" s="247"/>
      <c r="Z102" s="250"/>
      <c r="AA102" s="247"/>
      <c r="AB102" s="250"/>
      <c r="AC102" s="247" t="s">
        <v>710</v>
      </c>
      <c r="AD102" s="247" t="s">
        <v>711</v>
      </c>
    </row>
    <row r="103" spans="1:30" x14ac:dyDescent="0.25">
      <c r="A103" s="247" t="s">
        <v>712</v>
      </c>
      <c r="B103" s="247" t="s">
        <v>608</v>
      </c>
      <c r="C103" s="247"/>
      <c r="D103" s="247"/>
      <c r="E103" s="247" t="s">
        <v>713</v>
      </c>
      <c r="F103" s="247"/>
      <c r="G103" s="248">
        <v>42976.586134259262</v>
      </c>
      <c r="H103" s="248">
        <v>42976</v>
      </c>
      <c r="I103" s="247" t="s">
        <v>700</v>
      </c>
      <c r="J103" s="247" t="s">
        <v>701</v>
      </c>
      <c r="K103" s="250"/>
      <c r="L103" s="247"/>
      <c r="M103" s="249">
        <v>-6341.08</v>
      </c>
      <c r="N103" s="249">
        <v>-6341.08</v>
      </c>
      <c r="O103" s="247"/>
      <c r="P103" s="247"/>
      <c r="Q103" s="247"/>
      <c r="R103" s="247"/>
      <c r="S103" s="247"/>
      <c r="T103" s="247"/>
      <c r="U103" s="247"/>
      <c r="V103" s="250"/>
      <c r="W103" s="250"/>
      <c r="X103" s="247" t="s">
        <v>612</v>
      </c>
      <c r="Y103" s="247"/>
      <c r="Z103" s="250"/>
      <c r="AA103" s="247"/>
      <c r="AB103" s="250"/>
      <c r="AC103" s="247" t="s">
        <v>714</v>
      </c>
      <c r="AD103" s="247" t="s">
        <v>715</v>
      </c>
    </row>
    <row r="104" spans="1:30" x14ac:dyDescent="0.25">
      <c r="A104" s="247" t="s">
        <v>716</v>
      </c>
      <c r="B104" s="247" t="s">
        <v>608</v>
      </c>
      <c r="C104" s="247"/>
      <c r="D104" s="247"/>
      <c r="E104" s="247" t="s">
        <v>717</v>
      </c>
      <c r="F104" s="247"/>
      <c r="G104" s="248">
        <v>42976.586134259262</v>
      </c>
      <c r="H104" s="248">
        <v>42976</v>
      </c>
      <c r="I104" s="247" t="s">
        <v>700</v>
      </c>
      <c r="J104" s="247" t="s">
        <v>718</v>
      </c>
      <c r="K104" s="250"/>
      <c r="L104" s="247"/>
      <c r="M104" s="249">
        <v>182286</v>
      </c>
      <c r="N104" s="249">
        <v>182286</v>
      </c>
      <c r="O104" s="247"/>
      <c r="P104" s="247"/>
      <c r="Q104" s="247"/>
      <c r="R104" s="247"/>
      <c r="S104" s="247"/>
      <c r="T104" s="247"/>
      <c r="U104" s="247"/>
      <c r="V104" s="250"/>
      <c r="W104" s="250"/>
      <c r="X104" s="247" t="s">
        <v>612</v>
      </c>
      <c r="Y104" s="247"/>
      <c r="Z104" s="250"/>
      <c r="AA104" s="247"/>
      <c r="AB104" s="250"/>
      <c r="AC104" s="247" t="s">
        <v>719</v>
      </c>
      <c r="AD104" s="247" t="s">
        <v>720</v>
      </c>
    </row>
    <row r="105" spans="1:30" x14ac:dyDescent="0.25">
      <c r="A105" s="247" t="s">
        <v>721</v>
      </c>
      <c r="B105" s="247" t="s">
        <v>608</v>
      </c>
      <c r="C105" s="247"/>
      <c r="D105" s="247"/>
      <c r="E105" s="247" t="s">
        <v>722</v>
      </c>
      <c r="F105" s="247"/>
      <c r="G105" s="248">
        <v>42976.586134259262</v>
      </c>
      <c r="H105" s="248">
        <v>42976</v>
      </c>
      <c r="I105" s="247" t="s">
        <v>700</v>
      </c>
      <c r="J105" s="247" t="s">
        <v>701</v>
      </c>
      <c r="K105" s="250"/>
      <c r="L105" s="247"/>
      <c r="M105" s="249">
        <v>-10548.56</v>
      </c>
      <c r="N105" s="249">
        <v>-10548.56</v>
      </c>
      <c r="O105" s="247"/>
      <c r="P105" s="247"/>
      <c r="Q105" s="247"/>
      <c r="R105" s="247"/>
      <c r="S105" s="247"/>
      <c r="T105" s="247"/>
      <c r="U105" s="247"/>
      <c r="V105" s="250"/>
      <c r="W105" s="250"/>
      <c r="X105" s="247" t="s">
        <v>612</v>
      </c>
      <c r="Y105" s="247"/>
      <c r="Z105" s="250"/>
      <c r="AA105" s="247"/>
      <c r="AB105" s="250"/>
      <c r="AC105" s="247" t="s">
        <v>723</v>
      </c>
      <c r="AD105" s="247" t="s">
        <v>724</v>
      </c>
    </row>
    <row r="106" spans="1:30" x14ac:dyDescent="0.25">
      <c r="A106" s="247" t="s">
        <v>725</v>
      </c>
      <c r="B106" s="247" t="s">
        <v>608</v>
      </c>
      <c r="C106" s="247"/>
      <c r="D106" s="247"/>
      <c r="E106" s="247" t="s">
        <v>726</v>
      </c>
      <c r="F106" s="247"/>
      <c r="G106" s="248">
        <v>42976.586134259262</v>
      </c>
      <c r="H106" s="248">
        <v>42976</v>
      </c>
      <c r="I106" s="247" t="s">
        <v>700</v>
      </c>
      <c r="J106" s="247" t="s">
        <v>701</v>
      </c>
      <c r="K106" s="250"/>
      <c r="L106" s="247"/>
      <c r="M106" s="249">
        <v>-3401.26</v>
      </c>
      <c r="N106" s="249">
        <v>-3401.26</v>
      </c>
      <c r="O106" s="247"/>
      <c r="P106" s="247"/>
      <c r="Q106" s="247"/>
      <c r="R106" s="247"/>
      <c r="S106" s="247"/>
      <c r="T106" s="247"/>
      <c r="U106" s="247"/>
      <c r="V106" s="250"/>
      <c r="W106" s="250"/>
      <c r="X106" s="247" t="s">
        <v>612</v>
      </c>
      <c r="Y106" s="247"/>
      <c r="Z106" s="250"/>
      <c r="AA106" s="247"/>
      <c r="AB106" s="250"/>
      <c r="AC106" s="247" t="s">
        <v>727</v>
      </c>
      <c r="AD106" s="247" t="s">
        <v>728</v>
      </c>
    </row>
    <row r="107" spans="1:30" x14ac:dyDescent="0.25">
      <c r="A107" s="247" t="s">
        <v>729</v>
      </c>
      <c r="B107" s="247" t="s">
        <v>608</v>
      </c>
      <c r="C107" s="247"/>
      <c r="D107" s="247"/>
      <c r="E107" s="247" t="s">
        <v>730</v>
      </c>
      <c r="F107" s="247"/>
      <c r="G107" s="248">
        <v>42976.586134259262</v>
      </c>
      <c r="H107" s="248">
        <v>42976</v>
      </c>
      <c r="I107" s="247" t="s">
        <v>700</v>
      </c>
      <c r="J107" s="247" t="s">
        <v>701</v>
      </c>
      <c r="K107" s="250"/>
      <c r="L107" s="247"/>
      <c r="M107" s="249">
        <v>-4136.91</v>
      </c>
      <c r="N107" s="249">
        <v>-4136.91</v>
      </c>
      <c r="O107" s="247"/>
      <c r="P107" s="247"/>
      <c r="Q107" s="247"/>
      <c r="R107" s="247"/>
      <c r="S107" s="247"/>
      <c r="T107" s="247"/>
      <c r="U107" s="247"/>
      <c r="V107" s="250"/>
      <c r="W107" s="250"/>
      <c r="X107" s="247" t="s">
        <v>612</v>
      </c>
      <c r="Y107" s="247"/>
      <c r="Z107" s="250"/>
      <c r="AA107" s="247"/>
      <c r="AB107" s="250"/>
      <c r="AC107" s="247" t="s">
        <v>731</v>
      </c>
      <c r="AD107" s="247" t="s">
        <v>732</v>
      </c>
    </row>
    <row r="108" spans="1:30" x14ac:dyDescent="0.25">
      <c r="A108" s="247" t="s">
        <v>733</v>
      </c>
      <c r="B108" s="247" t="s">
        <v>608</v>
      </c>
      <c r="C108" s="247"/>
      <c r="D108" s="247"/>
      <c r="E108" s="247" t="s">
        <v>734</v>
      </c>
      <c r="F108" s="247"/>
      <c r="G108" s="248">
        <v>42976.586134259262</v>
      </c>
      <c r="H108" s="248">
        <v>42976</v>
      </c>
      <c r="I108" s="247" t="s">
        <v>700</v>
      </c>
      <c r="J108" s="247" t="s">
        <v>701</v>
      </c>
      <c r="K108" s="250"/>
      <c r="L108" s="247"/>
      <c r="M108" s="249">
        <v>-27436.73</v>
      </c>
      <c r="N108" s="249">
        <v>-27436.73</v>
      </c>
      <c r="O108" s="247"/>
      <c r="P108" s="247"/>
      <c r="Q108" s="247"/>
      <c r="R108" s="247"/>
      <c r="S108" s="247"/>
      <c r="T108" s="247"/>
      <c r="U108" s="247"/>
      <c r="V108" s="250"/>
      <c r="W108" s="250"/>
      <c r="X108" s="247" t="s">
        <v>612</v>
      </c>
      <c r="Y108" s="247"/>
      <c r="Z108" s="250"/>
      <c r="AA108" s="247"/>
      <c r="AB108" s="250"/>
      <c r="AC108" s="247" t="s">
        <v>735</v>
      </c>
      <c r="AD108" s="247" t="s">
        <v>736</v>
      </c>
    </row>
    <row r="109" spans="1:30" x14ac:dyDescent="0.25">
      <c r="A109" s="247" t="s">
        <v>737</v>
      </c>
      <c r="B109" s="247" t="s">
        <v>608</v>
      </c>
      <c r="C109" s="247"/>
      <c r="D109" s="247"/>
      <c r="E109" s="247" t="s">
        <v>738</v>
      </c>
      <c r="F109" s="247"/>
      <c r="G109" s="248">
        <v>42976.586134259262</v>
      </c>
      <c r="H109" s="248">
        <v>42976</v>
      </c>
      <c r="I109" s="247" t="s">
        <v>700</v>
      </c>
      <c r="J109" s="247" t="s">
        <v>701</v>
      </c>
      <c r="K109" s="250"/>
      <c r="L109" s="247"/>
      <c r="M109" s="249">
        <v>-2532.63</v>
      </c>
      <c r="N109" s="249">
        <v>-2532.63</v>
      </c>
      <c r="O109" s="247"/>
      <c r="P109" s="247"/>
      <c r="Q109" s="247"/>
      <c r="R109" s="247"/>
      <c r="S109" s="247"/>
      <c r="T109" s="247"/>
      <c r="U109" s="247"/>
      <c r="V109" s="250"/>
      <c r="W109" s="250"/>
      <c r="X109" s="247" t="s">
        <v>612</v>
      </c>
      <c r="Y109" s="247"/>
      <c r="Z109" s="250"/>
      <c r="AA109" s="247"/>
      <c r="AB109" s="250"/>
      <c r="AC109" s="247" t="s">
        <v>739</v>
      </c>
      <c r="AD109" s="247" t="s">
        <v>740</v>
      </c>
    </row>
    <row r="110" spans="1:30" x14ac:dyDescent="0.25">
      <c r="A110" s="247" t="s">
        <v>741</v>
      </c>
      <c r="B110" s="247" t="s">
        <v>608</v>
      </c>
      <c r="C110" s="247"/>
      <c r="D110" s="247"/>
      <c r="E110" s="247" t="s">
        <v>742</v>
      </c>
      <c r="F110" s="247"/>
      <c r="G110" s="248">
        <v>42976.586134259262</v>
      </c>
      <c r="H110" s="248">
        <v>42976</v>
      </c>
      <c r="I110" s="247" t="s">
        <v>700</v>
      </c>
      <c r="J110" s="247" t="s">
        <v>701</v>
      </c>
      <c r="K110" s="250"/>
      <c r="L110" s="247"/>
      <c r="M110" s="249">
        <v>-3949.59</v>
      </c>
      <c r="N110" s="249">
        <v>-3949.59</v>
      </c>
      <c r="O110" s="247"/>
      <c r="P110" s="247"/>
      <c r="Q110" s="247"/>
      <c r="R110" s="247"/>
      <c r="S110" s="247"/>
      <c r="T110" s="247"/>
      <c r="U110" s="247"/>
      <c r="V110" s="250"/>
      <c r="W110" s="250"/>
      <c r="X110" s="247" t="s">
        <v>612</v>
      </c>
      <c r="Y110" s="247"/>
      <c r="Z110" s="250"/>
      <c r="AA110" s="247"/>
      <c r="AB110" s="250"/>
      <c r="AC110" s="247" t="s">
        <v>743</v>
      </c>
      <c r="AD110" s="247" t="s">
        <v>744</v>
      </c>
    </row>
    <row r="111" spans="1:30" x14ac:dyDescent="0.25">
      <c r="A111" s="247" t="s">
        <v>745</v>
      </c>
      <c r="B111" s="247" t="s">
        <v>608</v>
      </c>
      <c r="C111" s="247"/>
      <c r="D111" s="247"/>
      <c r="E111" s="247" t="s">
        <v>746</v>
      </c>
      <c r="F111" s="247"/>
      <c r="G111" s="248">
        <v>42976.586134259262</v>
      </c>
      <c r="H111" s="248">
        <v>42976</v>
      </c>
      <c r="I111" s="247" t="s">
        <v>700</v>
      </c>
      <c r="J111" s="247" t="s">
        <v>701</v>
      </c>
      <c r="K111" s="250"/>
      <c r="L111" s="247"/>
      <c r="M111" s="249">
        <v>-11848.77</v>
      </c>
      <c r="N111" s="249">
        <v>-11848.77</v>
      </c>
      <c r="O111" s="247"/>
      <c r="P111" s="247"/>
      <c r="Q111" s="247"/>
      <c r="R111" s="247"/>
      <c r="S111" s="247"/>
      <c r="T111" s="247"/>
      <c r="U111" s="247"/>
      <c r="V111" s="250"/>
      <c r="W111" s="250"/>
      <c r="X111" s="247" t="s">
        <v>612</v>
      </c>
      <c r="Y111" s="247"/>
      <c r="Z111" s="250"/>
      <c r="AA111" s="247"/>
      <c r="AB111" s="250"/>
      <c r="AC111" s="247" t="s">
        <v>747</v>
      </c>
      <c r="AD111" s="247" t="s">
        <v>748</v>
      </c>
    </row>
    <row r="112" spans="1:30" x14ac:dyDescent="0.25">
      <c r="A112" s="247" t="s">
        <v>749</v>
      </c>
      <c r="B112" s="247" t="s">
        <v>608</v>
      </c>
      <c r="C112" s="247"/>
      <c r="D112" s="247"/>
      <c r="E112" s="247" t="s">
        <v>750</v>
      </c>
      <c r="F112" s="247"/>
      <c r="G112" s="248">
        <v>42976.586134259262</v>
      </c>
      <c r="H112" s="248">
        <v>42976</v>
      </c>
      <c r="I112" s="247" t="s">
        <v>700</v>
      </c>
      <c r="J112" s="247" t="s">
        <v>718</v>
      </c>
      <c r="K112" s="250"/>
      <c r="L112" s="247"/>
      <c r="M112" s="249">
        <v>266760</v>
      </c>
      <c r="N112" s="249">
        <v>266760</v>
      </c>
      <c r="O112" s="247"/>
      <c r="P112" s="247"/>
      <c r="Q112" s="247"/>
      <c r="R112" s="247"/>
      <c r="S112" s="247"/>
      <c r="T112" s="247"/>
      <c r="U112" s="247"/>
      <c r="V112" s="250"/>
      <c r="W112" s="250"/>
      <c r="X112" s="247" t="s">
        <v>612</v>
      </c>
      <c r="Y112" s="247"/>
      <c r="Z112" s="250"/>
      <c r="AA112" s="247"/>
      <c r="AB112" s="250"/>
      <c r="AC112" s="247" t="s">
        <v>751</v>
      </c>
      <c r="AD112" s="247" t="s">
        <v>752</v>
      </c>
    </row>
    <row r="113" spans="1:30" x14ac:dyDescent="0.25">
      <c r="A113" s="247" t="s">
        <v>753</v>
      </c>
      <c r="B113" s="247" t="s">
        <v>608</v>
      </c>
      <c r="C113" s="247"/>
      <c r="D113" s="247"/>
      <c r="E113" s="247" t="s">
        <v>754</v>
      </c>
      <c r="F113" s="247"/>
      <c r="G113" s="248">
        <v>42976.586134259262</v>
      </c>
      <c r="H113" s="248">
        <v>42976</v>
      </c>
      <c r="I113" s="247" t="s">
        <v>700</v>
      </c>
      <c r="J113" s="247" t="s">
        <v>701</v>
      </c>
      <c r="K113" s="250"/>
      <c r="L113" s="247"/>
      <c r="M113" s="249">
        <v>-3241.11</v>
      </c>
      <c r="N113" s="249">
        <v>-3241.11</v>
      </c>
      <c r="O113" s="247"/>
      <c r="P113" s="247"/>
      <c r="Q113" s="247"/>
      <c r="R113" s="247"/>
      <c r="S113" s="247"/>
      <c r="T113" s="247"/>
      <c r="U113" s="247"/>
      <c r="V113" s="250"/>
      <c r="W113" s="250"/>
      <c r="X113" s="247" t="s">
        <v>612</v>
      </c>
      <c r="Y113" s="247"/>
      <c r="Z113" s="250"/>
      <c r="AA113" s="247"/>
      <c r="AB113" s="250"/>
      <c r="AC113" s="247" t="s">
        <v>755</v>
      </c>
      <c r="AD113" s="247" t="s">
        <v>756</v>
      </c>
    </row>
    <row r="114" spans="1:30" x14ac:dyDescent="0.25">
      <c r="A114" s="247" t="s">
        <v>757</v>
      </c>
      <c r="B114" s="247" t="s">
        <v>608</v>
      </c>
      <c r="C114" s="247"/>
      <c r="D114" s="247"/>
      <c r="E114" s="247" t="s">
        <v>758</v>
      </c>
      <c r="F114" s="247"/>
      <c r="G114" s="248">
        <v>42976.586134259262</v>
      </c>
      <c r="H114" s="248">
        <v>42976</v>
      </c>
      <c r="I114" s="247" t="s">
        <v>700</v>
      </c>
      <c r="J114" s="247" t="s">
        <v>718</v>
      </c>
      <c r="K114" s="250"/>
      <c r="L114" s="247"/>
      <c r="M114" s="249">
        <v>42750</v>
      </c>
      <c r="N114" s="249">
        <v>42750</v>
      </c>
      <c r="O114" s="247"/>
      <c r="P114" s="247"/>
      <c r="Q114" s="247"/>
      <c r="R114" s="247"/>
      <c r="S114" s="247"/>
      <c r="T114" s="247"/>
      <c r="U114" s="247"/>
      <c r="V114" s="250"/>
      <c r="W114" s="250"/>
      <c r="X114" s="247" t="s">
        <v>612</v>
      </c>
      <c r="Y114" s="247"/>
      <c r="Z114" s="250"/>
      <c r="AA114" s="247"/>
      <c r="AB114" s="250"/>
      <c r="AC114" s="247" t="s">
        <v>759</v>
      </c>
      <c r="AD114" s="247" t="s">
        <v>760</v>
      </c>
    </row>
    <row r="115" spans="1:30" x14ac:dyDescent="0.25">
      <c r="A115" s="247" t="s">
        <v>761</v>
      </c>
      <c r="B115" s="247" t="s">
        <v>608</v>
      </c>
      <c r="C115" s="247"/>
      <c r="D115" s="247"/>
      <c r="E115" s="247" t="s">
        <v>762</v>
      </c>
      <c r="F115" s="247"/>
      <c r="G115" s="248">
        <v>42976.586134259262</v>
      </c>
      <c r="H115" s="248">
        <v>42976</v>
      </c>
      <c r="I115" s="247" t="s">
        <v>700</v>
      </c>
      <c r="J115" s="247" t="s">
        <v>718</v>
      </c>
      <c r="K115" s="250"/>
      <c r="L115" s="247"/>
      <c r="M115" s="249">
        <v>288806</v>
      </c>
      <c r="N115" s="249">
        <v>288806</v>
      </c>
      <c r="O115" s="247"/>
      <c r="P115" s="247"/>
      <c r="Q115" s="247"/>
      <c r="R115" s="247"/>
      <c r="S115" s="247"/>
      <c r="T115" s="247"/>
      <c r="U115" s="247"/>
      <c r="V115" s="250"/>
      <c r="W115" s="250"/>
      <c r="X115" s="247" t="s">
        <v>612</v>
      </c>
      <c r="Y115" s="247"/>
      <c r="Z115" s="250"/>
      <c r="AA115" s="247"/>
      <c r="AB115" s="250"/>
      <c r="AC115" s="247" t="s">
        <v>763</v>
      </c>
      <c r="AD115" s="247" t="s">
        <v>764</v>
      </c>
    </row>
    <row r="116" spans="1:30" x14ac:dyDescent="0.25">
      <c r="A116" s="247" t="s">
        <v>765</v>
      </c>
      <c r="B116" s="247" t="s">
        <v>608</v>
      </c>
      <c r="C116" s="247"/>
      <c r="D116" s="247"/>
      <c r="E116" s="247" t="s">
        <v>766</v>
      </c>
      <c r="F116" s="247"/>
      <c r="G116" s="248">
        <v>42976.548807870371</v>
      </c>
      <c r="H116" s="248">
        <v>42976</v>
      </c>
      <c r="I116" s="247" t="s">
        <v>700</v>
      </c>
      <c r="J116" s="247" t="s">
        <v>701</v>
      </c>
      <c r="K116" s="250"/>
      <c r="L116" s="247"/>
      <c r="M116" s="249">
        <v>-421.95</v>
      </c>
      <c r="N116" s="249">
        <v>-421.95</v>
      </c>
      <c r="O116" s="247"/>
      <c r="P116" s="247"/>
      <c r="Q116" s="247"/>
      <c r="R116" s="247"/>
      <c r="S116" s="247"/>
      <c r="T116" s="247"/>
      <c r="U116" s="247"/>
      <c r="V116" s="250"/>
      <c r="W116" s="250"/>
      <c r="X116" s="247" t="s">
        <v>612</v>
      </c>
      <c r="Y116" s="247"/>
      <c r="Z116" s="250"/>
      <c r="AA116" s="247"/>
      <c r="AB116" s="250"/>
      <c r="AC116" s="247" t="s">
        <v>767</v>
      </c>
      <c r="AD116" s="247" t="s">
        <v>768</v>
      </c>
    </row>
    <row r="117" spans="1:30" x14ac:dyDescent="0.25">
      <c r="A117" s="247" t="s">
        <v>769</v>
      </c>
      <c r="B117" s="247" t="s">
        <v>608</v>
      </c>
      <c r="C117" s="247"/>
      <c r="D117" s="247"/>
      <c r="E117" s="247" t="s">
        <v>770</v>
      </c>
      <c r="F117" s="247"/>
      <c r="G117" s="248">
        <v>42976.586157407408</v>
      </c>
      <c r="H117" s="248">
        <v>42976</v>
      </c>
      <c r="I117" s="247" t="s">
        <v>700</v>
      </c>
      <c r="J117" s="247" t="s">
        <v>718</v>
      </c>
      <c r="K117" s="250"/>
      <c r="L117" s="247"/>
      <c r="M117" s="249">
        <v>102524.81</v>
      </c>
      <c r="N117" s="249">
        <v>102524.81</v>
      </c>
      <c r="O117" s="247"/>
      <c r="P117" s="247"/>
      <c r="Q117" s="247"/>
      <c r="R117" s="247"/>
      <c r="S117" s="247"/>
      <c r="T117" s="247"/>
      <c r="U117" s="247"/>
      <c r="V117" s="250"/>
      <c r="W117" s="250"/>
      <c r="X117" s="247" t="s">
        <v>612</v>
      </c>
      <c r="Y117" s="247"/>
      <c r="Z117" s="250"/>
      <c r="AA117" s="247"/>
      <c r="AB117" s="250"/>
      <c r="AC117" s="247" t="s">
        <v>771</v>
      </c>
      <c r="AD117" s="247" t="s">
        <v>772</v>
      </c>
    </row>
    <row r="118" spans="1:30" x14ac:dyDescent="0.25">
      <c r="A118" s="247" t="s">
        <v>773</v>
      </c>
      <c r="B118" s="247" t="s">
        <v>608</v>
      </c>
      <c r="C118" s="247"/>
      <c r="D118" s="247"/>
      <c r="E118" s="247" t="s">
        <v>774</v>
      </c>
      <c r="F118" s="247"/>
      <c r="G118" s="248">
        <v>42976.548807870371</v>
      </c>
      <c r="H118" s="248">
        <v>42976</v>
      </c>
      <c r="I118" s="247" t="s">
        <v>700</v>
      </c>
      <c r="J118" s="247" t="s">
        <v>701</v>
      </c>
      <c r="K118" s="250"/>
      <c r="L118" s="247"/>
      <c r="M118" s="249">
        <v>-480.15</v>
      </c>
      <c r="N118" s="249">
        <v>-480.15</v>
      </c>
      <c r="O118" s="247"/>
      <c r="P118" s="247"/>
      <c r="Q118" s="247"/>
      <c r="R118" s="247"/>
      <c r="S118" s="247"/>
      <c r="T118" s="247"/>
      <c r="U118" s="247"/>
      <c r="V118" s="250"/>
      <c r="W118" s="250"/>
      <c r="X118" s="247" t="s">
        <v>612</v>
      </c>
      <c r="Y118" s="247"/>
      <c r="Z118" s="250"/>
      <c r="AA118" s="247"/>
      <c r="AB118" s="250"/>
      <c r="AC118" s="247" t="s">
        <v>775</v>
      </c>
      <c r="AD118" s="247" t="s">
        <v>776</v>
      </c>
    </row>
    <row r="119" spans="1:30" x14ac:dyDescent="0.25">
      <c r="A119" s="247" t="s">
        <v>777</v>
      </c>
      <c r="B119" s="247" t="s">
        <v>608</v>
      </c>
      <c r="C119" s="247"/>
      <c r="D119" s="247"/>
      <c r="E119" s="247" t="s">
        <v>766</v>
      </c>
      <c r="F119" s="247"/>
      <c r="G119" s="248">
        <v>42976.548807870371</v>
      </c>
      <c r="H119" s="248">
        <v>42976</v>
      </c>
      <c r="I119" s="247" t="s">
        <v>700</v>
      </c>
      <c r="J119" s="247" t="s">
        <v>701</v>
      </c>
      <c r="K119" s="250"/>
      <c r="L119" s="247"/>
      <c r="M119" s="249">
        <v>-158886.26</v>
      </c>
      <c r="N119" s="249">
        <v>-158886.26</v>
      </c>
      <c r="O119" s="247"/>
      <c r="P119" s="247"/>
      <c r="Q119" s="247"/>
      <c r="R119" s="247"/>
      <c r="S119" s="247"/>
      <c r="T119" s="247"/>
      <c r="U119" s="247"/>
      <c r="V119" s="250"/>
      <c r="W119" s="250"/>
      <c r="X119" s="247" t="s">
        <v>612</v>
      </c>
      <c r="Y119" s="247"/>
      <c r="Z119" s="250"/>
      <c r="AA119" s="247"/>
      <c r="AB119" s="250"/>
      <c r="AC119" s="247" t="s">
        <v>778</v>
      </c>
      <c r="AD119" s="247" t="s">
        <v>779</v>
      </c>
    </row>
    <row r="120" spans="1:30" x14ac:dyDescent="0.25">
      <c r="A120" s="247" t="s">
        <v>780</v>
      </c>
      <c r="B120" s="247" t="s">
        <v>608</v>
      </c>
      <c r="C120" s="247"/>
      <c r="D120" s="247"/>
      <c r="E120" s="247" t="s">
        <v>774</v>
      </c>
      <c r="F120" s="247"/>
      <c r="G120" s="248">
        <v>42976.548807870371</v>
      </c>
      <c r="H120" s="248">
        <v>42976</v>
      </c>
      <c r="I120" s="247" t="s">
        <v>700</v>
      </c>
      <c r="J120" s="247" t="s">
        <v>701</v>
      </c>
      <c r="K120" s="250"/>
      <c r="L120" s="247"/>
      <c r="M120" s="249">
        <v>-84635.85</v>
      </c>
      <c r="N120" s="249">
        <v>-84635.85</v>
      </c>
      <c r="O120" s="247"/>
      <c r="P120" s="247"/>
      <c r="Q120" s="247"/>
      <c r="R120" s="247"/>
      <c r="S120" s="247"/>
      <c r="T120" s="247"/>
      <c r="U120" s="247"/>
      <c r="V120" s="250"/>
      <c r="W120" s="250"/>
      <c r="X120" s="247" t="s">
        <v>612</v>
      </c>
      <c r="Y120" s="247"/>
      <c r="Z120" s="250"/>
      <c r="AA120" s="247"/>
      <c r="AB120" s="250"/>
      <c r="AC120" s="247" t="s">
        <v>781</v>
      </c>
      <c r="AD120" s="247" t="s">
        <v>782</v>
      </c>
    </row>
    <row r="121" spans="1:30" x14ac:dyDescent="0.25">
      <c r="A121" s="247" t="s">
        <v>783</v>
      </c>
      <c r="B121" s="247" t="s">
        <v>608</v>
      </c>
      <c r="C121" s="247"/>
      <c r="D121" s="247"/>
      <c r="E121" s="247" t="s">
        <v>784</v>
      </c>
      <c r="F121" s="247"/>
      <c r="G121" s="248">
        <v>42976.548113425924</v>
      </c>
      <c r="H121" s="248">
        <v>42976</v>
      </c>
      <c r="I121" s="247" t="s">
        <v>700</v>
      </c>
      <c r="J121" s="247" t="s">
        <v>701</v>
      </c>
      <c r="K121" s="250"/>
      <c r="L121" s="247"/>
      <c r="M121" s="249">
        <v>-421.95</v>
      </c>
      <c r="N121" s="249">
        <v>-421.95</v>
      </c>
      <c r="O121" s="247"/>
      <c r="P121" s="247"/>
      <c r="Q121" s="247"/>
      <c r="R121" s="247"/>
      <c r="S121" s="247"/>
      <c r="T121" s="247"/>
      <c r="U121" s="247"/>
      <c r="V121" s="250"/>
      <c r="W121" s="250"/>
      <c r="X121" s="247" t="s">
        <v>612</v>
      </c>
      <c r="Y121" s="247"/>
      <c r="Z121" s="250"/>
      <c r="AA121" s="247"/>
      <c r="AB121" s="250"/>
      <c r="AC121" s="247" t="s">
        <v>785</v>
      </c>
      <c r="AD121" s="247" t="s">
        <v>786</v>
      </c>
    </row>
    <row r="122" spans="1:30" x14ac:dyDescent="0.25">
      <c r="A122" s="247" t="s">
        <v>787</v>
      </c>
      <c r="B122" s="247" t="s">
        <v>608</v>
      </c>
      <c r="C122" s="247"/>
      <c r="D122" s="247"/>
      <c r="E122" s="247" t="s">
        <v>788</v>
      </c>
      <c r="F122" s="247"/>
      <c r="G122" s="248">
        <v>42976.548113425924</v>
      </c>
      <c r="H122" s="248">
        <v>42976</v>
      </c>
      <c r="I122" s="247" t="s">
        <v>700</v>
      </c>
      <c r="J122" s="247" t="s">
        <v>701</v>
      </c>
      <c r="K122" s="250"/>
      <c r="L122" s="247"/>
      <c r="M122" s="249">
        <v>-712.95</v>
      </c>
      <c r="N122" s="249">
        <v>-712.95</v>
      </c>
      <c r="O122" s="247"/>
      <c r="P122" s="247"/>
      <c r="Q122" s="247"/>
      <c r="R122" s="247"/>
      <c r="S122" s="247"/>
      <c r="T122" s="247"/>
      <c r="U122" s="247"/>
      <c r="V122" s="250"/>
      <c r="W122" s="250"/>
      <c r="X122" s="247" t="s">
        <v>612</v>
      </c>
      <c r="Y122" s="247"/>
      <c r="Z122" s="250"/>
      <c r="AA122" s="247"/>
      <c r="AB122" s="250"/>
      <c r="AC122" s="247" t="s">
        <v>789</v>
      </c>
      <c r="AD122" s="247" t="s">
        <v>790</v>
      </c>
    </row>
    <row r="123" spans="1:30" x14ac:dyDescent="0.25">
      <c r="A123" s="247" t="s">
        <v>791</v>
      </c>
      <c r="B123" s="247" t="s">
        <v>608</v>
      </c>
      <c r="C123" s="247"/>
      <c r="D123" s="247"/>
      <c r="E123" s="247" t="s">
        <v>784</v>
      </c>
      <c r="F123" s="247"/>
      <c r="G123" s="248">
        <v>42976.548113425924</v>
      </c>
      <c r="H123" s="248">
        <v>42976</v>
      </c>
      <c r="I123" s="247" t="s">
        <v>700</v>
      </c>
      <c r="J123" s="247" t="s">
        <v>701</v>
      </c>
      <c r="K123" s="250"/>
      <c r="L123" s="247"/>
      <c r="M123" s="249">
        <v>-138143.54</v>
      </c>
      <c r="N123" s="249">
        <v>-138143.54</v>
      </c>
      <c r="O123" s="247"/>
      <c r="P123" s="247"/>
      <c r="Q123" s="247"/>
      <c r="R123" s="247"/>
      <c r="S123" s="247"/>
      <c r="T123" s="247"/>
      <c r="U123" s="247"/>
      <c r="V123" s="250"/>
      <c r="W123" s="250"/>
      <c r="X123" s="247" t="s">
        <v>612</v>
      </c>
      <c r="Y123" s="247"/>
      <c r="Z123" s="250"/>
      <c r="AA123" s="247"/>
      <c r="AB123" s="250"/>
      <c r="AC123" s="247" t="s">
        <v>792</v>
      </c>
      <c r="AD123" s="247" t="s">
        <v>793</v>
      </c>
    </row>
    <row r="124" spans="1:30" x14ac:dyDescent="0.25">
      <c r="A124" s="247" t="s">
        <v>794</v>
      </c>
      <c r="B124" s="247" t="s">
        <v>608</v>
      </c>
      <c r="C124" s="247"/>
      <c r="D124" s="247"/>
      <c r="E124" s="247" t="s">
        <v>788</v>
      </c>
      <c r="F124" s="247"/>
      <c r="G124" s="248">
        <v>42976.548113425924</v>
      </c>
      <c r="H124" s="248">
        <v>42976</v>
      </c>
      <c r="I124" s="247" t="s">
        <v>700</v>
      </c>
      <c r="J124" s="247" t="s">
        <v>701</v>
      </c>
      <c r="K124" s="250"/>
      <c r="L124" s="247"/>
      <c r="M124" s="249">
        <v>-254054.21</v>
      </c>
      <c r="N124" s="249">
        <v>-254054.21</v>
      </c>
      <c r="O124" s="247"/>
      <c r="P124" s="247"/>
      <c r="Q124" s="247"/>
      <c r="R124" s="247"/>
      <c r="S124" s="247"/>
      <c r="T124" s="247"/>
      <c r="U124" s="247"/>
      <c r="V124" s="250"/>
      <c r="W124" s="250"/>
      <c r="X124" s="247" t="s">
        <v>612</v>
      </c>
      <c r="Y124" s="247"/>
      <c r="Z124" s="250"/>
      <c r="AA124" s="247"/>
      <c r="AB124" s="250"/>
      <c r="AC124" s="247" t="s">
        <v>795</v>
      </c>
      <c r="AD124" s="247" t="s">
        <v>796</v>
      </c>
    </row>
    <row r="125" spans="1:30" x14ac:dyDescent="0.25">
      <c r="A125" s="247" t="s">
        <v>797</v>
      </c>
      <c r="B125" s="247" t="s">
        <v>608</v>
      </c>
      <c r="C125" s="247"/>
      <c r="D125" s="247"/>
      <c r="E125" s="247" t="s">
        <v>770</v>
      </c>
      <c r="F125" s="247"/>
      <c r="G125" s="248">
        <v>42976.421064814815</v>
      </c>
      <c r="H125" s="248">
        <v>42976.801759259259</v>
      </c>
      <c r="I125" s="247" t="s">
        <v>700</v>
      </c>
      <c r="J125" s="247" t="s">
        <v>701</v>
      </c>
      <c r="K125" s="250"/>
      <c r="L125" s="247"/>
      <c r="M125" s="249">
        <v>-8372.92</v>
      </c>
      <c r="N125" s="249">
        <v>-8372.92</v>
      </c>
      <c r="O125" s="247"/>
      <c r="P125" s="247"/>
      <c r="Q125" s="247"/>
      <c r="R125" s="247"/>
      <c r="S125" s="247"/>
      <c r="T125" s="247"/>
      <c r="U125" s="247"/>
      <c r="V125" s="250"/>
      <c r="W125" s="250"/>
      <c r="X125" s="247" t="s">
        <v>612</v>
      </c>
      <c r="Y125" s="247"/>
      <c r="Z125" s="250"/>
      <c r="AA125" s="247"/>
      <c r="AB125" s="250"/>
      <c r="AC125" s="247" t="s">
        <v>798</v>
      </c>
      <c r="AD125" s="247" t="s">
        <v>799</v>
      </c>
    </row>
    <row r="126" spans="1:30" x14ac:dyDescent="0.25">
      <c r="A126" s="247" t="s">
        <v>800</v>
      </c>
      <c r="B126" s="247" t="s">
        <v>608</v>
      </c>
      <c r="C126" s="247"/>
      <c r="D126" s="247"/>
      <c r="E126" s="247" t="s">
        <v>784</v>
      </c>
      <c r="F126" s="247"/>
      <c r="G126" s="248">
        <v>42976.421064814815</v>
      </c>
      <c r="H126" s="248">
        <v>42976.801064814812</v>
      </c>
      <c r="I126" s="247" t="s">
        <v>700</v>
      </c>
      <c r="J126" s="247" t="s">
        <v>718</v>
      </c>
      <c r="K126" s="250"/>
      <c r="L126" s="247"/>
      <c r="M126" s="249">
        <v>715919.82</v>
      </c>
      <c r="N126" s="249">
        <v>715919.82</v>
      </c>
      <c r="O126" s="247"/>
      <c r="P126" s="247"/>
      <c r="Q126" s="247"/>
      <c r="R126" s="247"/>
      <c r="S126" s="247"/>
      <c r="T126" s="247"/>
      <c r="U126" s="247"/>
      <c r="V126" s="250"/>
      <c r="W126" s="250"/>
      <c r="X126" s="247" t="s">
        <v>612</v>
      </c>
      <c r="Y126" s="247"/>
      <c r="Z126" s="250"/>
      <c r="AA126" s="247"/>
      <c r="AB126" s="250"/>
      <c r="AC126" s="247" t="s">
        <v>801</v>
      </c>
      <c r="AD126" s="247" t="s">
        <v>802</v>
      </c>
    </row>
    <row r="127" spans="1:30" x14ac:dyDescent="0.25">
      <c r="A127" s="247" t="s">
        <v>803</v>
      </c>
      <c r="B127" s="247" t="s">
        <v>608</v>
      </c>
      <c r="C127" s="247"/>
      <c r="D127" s="247"/>
      <c r="E127" s="247" t="s">
        <v>699</v>
      </c>
      <c r="F127" s="247"/>
      <c r="G127" s="248">
        <v>42976.421064814815</v>
      </c>
      <c r="H127" s="248">
        <v>42976.801064814812</v>
      </c>
      <c r="I127" s="247" t="s">
        <v>700</v>
      </c>
      <c r="J127" s="247" t="s">
        <v>701</v>
      </c>
      <c r="K127" s="250"/>
      <c r="L127" s="247"/>
      <c r="M127" s="249">
        <v>-1768.99</v>
      </c>
      <c r="N127" s="249">
        <v>-1768.99</v>
      </c>
      <c r="O127" s="247"/>
      <c r="P127" s="247"/>
      <c r="Q127" s="247"/>
      <c r="R127" s="247"/>
      <c r="S127" s="247"/>
      <c r="T127" s="247"/>
      <c r="U127" s="247"/>
      <c r="V127" s="250"/>
      <c r="W127" s="250"/>
      <c r="X127" s="247" t="s">
        <v>612</v>
      </c>
      <c r="Y127" s="247"/>
      <c r="Z127" s="250"/>
      <c r="AA127" s="247"/>
      <c r="AB127" s="250"/>
      <c r="AC127" s="247" t="s">
        <v>804</v>
      </c>
      <c r="AD127" s="247" t="s">
        <v>805</v>
      </c>
    </row>
    <row r="128" spans="1:30" x14ac:dyDescent="0.25">
      <c r="A128" s="247" t="s">
        <v>806</v>
      </c>
      <c r="B128" s="247" t="s">
        <v>608</v>
      </c>
      <c r="C128" s="247"/>
      <c r="D128" s="247"/>
      <c r="E128" s="247" t="s">
        <v>766</v>
      </c>
      <c r="F128" s="247"/>
      <c r="G128" s="248">
        <v>42976.421064814815</v>
      </c>
      <c r="H128" s="248">
        <v>42976.801759259259</v>
      </c>
      <c r="I128" s="247" t="s">
        <v>700</v>
      </c>
      <c r="J128" s="247" t="s">
        <v>718</v>
      </c>
      <c r="K128" s="250"/>
      <c r="L128" s="247"/>
      <c r="M128" s="249">
        <v>729210.14</v>
      </c>
      <c r="N128" s="249">
        <v>729210.14</v>
      </c>
      <c r="O128" s="247"/>
      <c r="P128" s="247"/>
      <c r="Q128" s="247"/>
      <c r="R128" s="247"/>
      <c r="S128" s="247"/>
      <c r="T128" s="247"/>
      <c r="U128" s="247"/>
      <c r="V128" s="250"/>
      <c r="W128" s="250"/>
      <c r="X128" s="247" t="s">
        <v>612</v>
      </c>
      <c r="Y128" s="247"/>
      <c r="Z128" s="250"/>
      <c r="AA128" s="247"/>
      <c r="AB128" s="250"/>
      <c r="AC128" s="247" t="s">
        <v>807</v>
      </c>
      <c r="AD128" s="247" t="s">
        <v>808</v>
      </c>
    </row>
    <row r="129" spans="1:30" x14ac:dyDescent="0.25">
      <c r="A129" s="247" t="s">
        <v>809</v>
      </c>
      <c r="B129" s="247" t="s">
        <v>608</v>
      </c>
      <c r="C129" s="247"/>
      <c r="D129" s="247"/>
      <c r="E129" s="247" t="s">
        <v>705</v>
      </c>
      <c r="F129" s="247"/>
      <c r="G129" s="248">
        <v>42976.421064814815</v>
      </c>
      <c r="H129" s="248">
        <v>42976.801064814812</v>
      </c>
      <c r="I129" s="247" t="s">
        <v>700</v>
      </c>
      <c r="J129" s="247" t="s">
        <v>701</v>
      </c>
      <c r="K129" s="250"/>
      <c r="L129" s="247"/>
      <c r="M129" s="249">
        <v>-17455.36</v>
      </c>
      <c r="N129" s="249">
        <v>-17455.36</v>
      </c>
      <c r="O129" s="247"/>
      <c r="P129" s="247"/>
      <c r="Q129" s="247"/>
      <c r="R129" s="247"/>
      <c r="S129" s="247"/>
      <c r="T129" s="247"/>
      <c r="U129" s="247"/>
      <c r="V129" s="250"/>
      <c r="W129" s="250"/>
      <c r="X129" s="247" t="s">
        <v>612</v>
      </c>
      <c r="Y129" s="247"/>
      <c r="Z129" s="250"/>
      <c r="AA129" s="247"/>
      <c r="AB129" s="250"/>
      <c r="AC129" s="247" t="s">
        <v>810</v>
      </c>
      <c r="AD129" s="247" t="s">
        <v>811</v>
      </c>
    </row>
    <row r="130" spans="1:30" x14ac:dyDescent="0.25">
      <c r="A130" s="247" t="s">
        <v>812</v>
      </c>
      <c r="B130" s="247" t="s">
        <v>608</v>
      </c>
      <c r="C130" s="247"/>
      <c r="D130" s="247"/>
      <c r="E130" s="247" t="s">
        <v>709</v>
      </c>
      <c r="F130" s="247"/>
      <c r="G130" s="248">
        <v>42976.421064814815</v>
      </c>
      <c r="H130" s="248">
        <v>42976.801759259259</v>
      </c>
      <c r="I130" s="247" t="s">
        <v>700</v>
      </c>
      <c r="J130" s="247" t="s">
        <v>701</v>
      </c>
      <c r="K130" s="250"/>
      <c r="L130" s="247"/>
      <c r="M130" s="249">
        <v>-913.81</v>
      </c>
      <c r="N130" s="249">
        <v>-913.81</v>
      </c>
      <c r="O130" s="247"/>
      <c r="P130" s="247"/>
      <c r="Q130" s="247"/>
      <c r="R130" s="247"/>
      <c r="S130" s="247"/>
      <c r="T130" s="247"/>
      <c r="U130" s="247"/>
      <c r="V130" s="250"/>
      <c r="W130" s="250"/>
      <c r="X130" s="247" t="s">
        <v>612</v>
      </c>
      <c r="Y130" s="247"/>
      <c r="Z130" s="250"/>
      <c r="AA130" s="247"/>
      <c r="AB130" s="250"/>
      <c r="AC130" s="247" t="s">
        <v>813</v>
      </c>
      <c r="AD130" s="247" t="s">
        <v>814</v>
      </c>
    </row>
    <row r="131" spans="1:30" x14ac:dyDescent="0.25">
      <c r="A131" s="247" t="s">
        <v>815</v>
      </c>
      <c r="B131" s="247" t="s">
        <v>608</v>
      </c>
      <c r="C131" s="247"/>
      <c r="D131" s="247"/>
      <c r="E131" s="247" t="s">
        <v>713</v>
      </c>
      <c r="F131" s="247"/>
      <c r="G131" s="248">
        <v>42976.421064814815</v>
      </c>
      <c r="H131" s="248">
        <v>42976.801759259259</v>
      </c>
      <c r="I131" s="247" t="s">
        <v>700</v>
      </c>
      <c r="J131" s="247" t="s">
        <v>701</v>
      </c>
      <c r="K131" s="250"/>
      <c r="L131" s="247"/>
      <c r="M131" s="249">
        <v>-10496.67</v>
      </c>
      <c r="N131" s="249">
        <v>-10496.67</v>
      </c>
      <c r="O131" s="247"/>
      <c r="P131" s="247"/>
      <c r="Q131" s="247"/>
      <c r="R131" s="247"/>
      <c r="S131" s="247"/>
      <c r="T131" s="247"/>
      <c r="U131" s="247"/>
      <c r="V131" s="250"/>
      <c r="W131" s="250"/>
      <c r="X131" s="247" t="s">
        <v>612</v>
      </c>
      <c r="Y131" s="247"/>
      <c r="Z131" s="250"/>
      <c r="AA131" s="247"/>
      <c r="AB131" s="250"/>
      <c r="AC131" s="247" t="s">
        <v>816</v>
      </c>
      <c r="AD131" s="247" t="s">
        <v>817</v>
      </c>
    </row>
    <row r="132" spans="1:30" x14ac:dyDescent="0.25">
      <c r="A132" s="247" t="s">
        <v>818</v>
      </c>
      <c r="B132" s="247" t="s">
        <v>608</v>
      </c>
      <c r="C132" s="247"/>
      <c r="D132" s="247"/>
      <c r="E132" s="247" t="s">
        <v>717</v>
      </c>
      <c r="F132" s="247"/>
      <c r="G132" s="248">
        <v>42976.421064814815</v>
      </c>
      <c r="H132" s="248">
        <v>42976.801759259259</v>
      </c>
      <c r="I132" s="247" t="s">
        <v>700</v>
      </c>
      <c r="J132" s="247" t="s">
        <v>701</v>
      </c>
      <c r="K132" s="250"/>
      <c r="L132" s="247"/>
      <c r="M132" s="249">
        <v>-10660</v>
      </c>
      <c r="N132" s="249">
        <v>-10660</v>
      </c>
      <c r="O132" s="247"/>
      <c r="P132" s="247"/>
      <c r="Q132" s="247"/>
      <c r="R132" s="247"/>
      <c r="S132" s="247"/>
      <c r="T132" s="247"/>
      <c r="U132" s="247"/>
      <c r="V132" s="250"/>
      <c r="W132" s="250"/>
      <c r="X132" s="247" t="s">
        <v>612</v>
      </c>
      <c r="Y132" s="247"/>
      <c r="Z132" s="250"/>
      <c r="AA132" s="247"/>
      <c r="AB132" s="250"/>
      <c r="AC132" s="247" t="s">
        <v>819</v>
      </c>
      <c r="AD132" s="247" t="s">
        <v>820</v>
      </c>
    </row>
    <row r="133" spans="1:30" x14ac:dyDescent="0.25">
      <c r="A133" s="247" t="s">
        <v>821</v>
      </c>
      <c r="B133" s="247" t="s">
        <v>608</v>
      </c>
      <c r="C133" s="247"/>
      <c r="D133" s="247"/>
      <c r="E133" s="247" t="s">
        <v>722</v>
      </c>
      <c r="F133" s="247"/>
      <c r="G133" s="248">
        <v>42976.421064814815</v>
      </c>
      <c r="H133" s="248">
        <v>42976.801759259259</v>
      </c>
      <c r="I133" s="247" t="s">
        <v>700</v>
      </c>
      <c r="J133" s="247" t="s">
        <v>701</v>
      </c>
      <c r="K133" s="250"/>
      <c r="L133" s="247"/>
      <c r="M133" s="249">
        <v>-17455.36</v>
      </c>
      <c r="N133" s="249">
        <v>-17455.36</v>
      </c>
      <c r="O133" s="247"/>
      <c r="P133" s="247"/>
      <c r="Q133" s="247"/>
      <c r="R133" s="247"/>
      <c r="S133" s="247"/>
      <c r="T133" s="247"/>
      <c r="U133" s="247"/>
      <c r="V133" s="250"/>
      <c r="W133" s="250"/>
      <c r="X133" s="247" t="s">
        <v>612</v>
      </c>
      <c r="Y133" s="247"/>
      <c r="Z133" s="250"/>
      <c r="AA133" s="247"/>
      <c r="AB133" s="250"/>
      <c r="AC133" s="247" t="s">
        <v>822</v>
      </c>
      <c r="AD133" s="247" t="s">
        <v>823</v>
      </c>
    </row>
    <row r="134" spans="1:30" x14ac:dyDescent="0.25">
      <c r="A134" s="247" t="s">
        <v>824</v>
      </c>
      <c r="B134" s="247" t="s">
        <v>608</v>
      </c>
      <c r="C134" s="247"/>
      <c r="D134" s="247"/>
      <c r="E134" s="247" t="s">
        <v>726</v>
      </c>
      <c r="F134" s="247"/>
      <c r="G134" s="248">
        <v>42976.421064814815</v>
      </c>
      <c r="H134" s="248">
        <v>42976.801759259259</v>
      </c>
      <c r="I134" s="247" t="s">
        <v>700</v>
      </c>
      <c r="J134" s="247" t="s">
        <v>701</v>
      </c>
      <c r="K134" s="250"/>
      <c r="L134" s="247"/>
      <c r="M134" s="249">
        <v>-5375.6</v>
      </c>
      <c r="N134" s="249">
        <v>-5375.6</v>
      </c>
      <c r="O134" s="247"/>
      <c r="P134" s="247"/>
      <c r="Q134" s="247"/>
      <c r="R134" s="247"/>
      <c r="S134" s="247"/>
      <c r="T134" s="247"/>
      <c r="U134" s="247"/>
      <c r="V134" s="250"/>
      <c r="W134" s="250"/>
      <c r="X134" s="247" t="s">
        <v>612</v>
      </c>
      <c r="Y134" s="247"/>
      <c r="Z134" s="250"/>
      <c r="AA134" s="247"/>
      <c r="AB134" s="250"/>
      <c r="AC134" s="247" t="s">
        <v>825</v>
      </c>
      <c r="AD134" s="247" t="s">
        <v>826</v>
      </c>
    </row>
    <row r="135" spans="1:30" x14ac:dyDescent="0.25">
      <c r="A135" s="247" t="s">
        <v>827</v>
      </c>
      <c r="B135" s="247" t="s">
        <v>608</v>
      </c>
      <c r="C135" s="247"/>
      <c r="D135" s="247"/>
      <c r="E135" s="247" t="s">
        <v>774</v>
      </c>
      <c r="F135" s="247"/>
      <c r="G135" s="248">
        <v>42976.421064814815</v>
      </c>
      <c r="H135" s="248">
        <v>42976.801759259259</v>
      </c>
      <c r="I135" s="247" t="s">
        <v>700</v>
      </c>
      <c r="J135" s="247" t="s">
        <v>718</v>
      </c>
      <c r="K135" s="250"/>
      <c r="L135" s="247"/>
      <c r="M135" s="249">
        <v>797040.18</v>
      </c>
      <c r="N135" s="249">
        <v>797040.18</v>
      </c>
      <c r="O135" s="247"/>
      <c r="P135" s="247"/>
      <c r="Q135" s="247"/>
      <c r="R135" s="247"/>
      <c r="S135" s="247"/>
      <c r="T135" s="247"/>
      <c r="U135" s="247"/>
      <c r="V135" s="250"/>
      <c r="W135" s="250"/>
      <c r="X135" s="247" t="s">
        <v>612</v>
      </c>
      <c r="Y135" s="247"/>
      <c r="Z135" s="250"/>
      <c r="AA135" s="247"/>
      <c r="AB135" s="250"/>
      <c r="AC135" s="247" t="s">
        <v>828</v>
      </c>
      <c r="AD135" s="247" t="s">
        <v>829</v>
      </c>
    </row>
    <row r="136" spans="1:30" x14ac:dyDescent="0.25">
      <c r="A136" s="247" t="s">
        <v>830</v>
      </c>
      <c r="B136" s="247" t="s">
        <v>608</v>
      </c>
      <c r="C136" s="247"/>
      <c r="D136" s="247"/>
      <c r="E136" s="247" t="s">
        <v>730</v>
      </c>
      <c r="F136" s="247"/>
      <c r="G136" s="248">
        <v>42976.421064814815</v>
      </c>
      <c r="H136" s="248">
        <v>42976.801759259259</v>
      </c>
      <c r="I136" s="247" t="s">
        <v>700</v>
      </c>
      <c r="J136" s="247" t="s">
        <v>701</v>
      </c>
      <c r="K136" s="250"/>
      <c r="L136" s="247"/>
      <c r="M136" s="249">
        <v>-6983.01</v>
      </c>
      <c r="N136" s="249">
        <v>-6983.01</v>
      </c>
      <c r="O136" s="247"/>
      <c r="P136" s="247"/>
      <c r="Q136" s="247"/>
      <c r="R136" s="247"/>
      <c r="S136" s="247"/>
      <c r="T136" s="247"/>
      <c r="U136" s="247"/>
      <c r="V136" s="250"/>
      <c r="W136" s="250"/>
      <c r="X136" s="247" t="s">
        <v>612</v>
      </c>
      <c r="Y136" s="247"/>
      <c r="Z136" s="250"/>
      <c r="AA136" s="247"/>
      <c r="AB136" s="250"/>
      <c r="AC136" s="247" t="s">
        <v>831</v>
      </c>
      <c r="AD136" s="247" t="s">
        <v>832</v>
      </c>
    </row>
    <row r="137" spans="1:30" x14ac:dyDescent="0.25">
      <c r="A137" s="247" t="s">
        <v>833</v>
      </c>
      <c r="B137" s="247" t="s">
        <v>608</v>
      </c>
      <c r="C137" s="247"/>
      <c r="D137" s="247"/>
      <c r="E137" s="247" t="s">
        <v>734</v>
      </c>
      <c r="F137" s="247"/>
      <c r="G137" s="248">
        <v>42976.421064814815</v>
      </c>
      <c r="H137" s="248">
        <v>42976.801759259259</v>
      </c>
      <c r="I137" s="247" t="s">
        <v>700</v>
      </c>
      <c r="J137" s="247" t="s">
        <v>701</v>
      </c>
      <c r="K137" s="250"/>
      <c r="L137" s="247"/>
      <c r="M137" s="249">
        <v>-3756.19</v>
      </c>
      <c r="N137" s="249">
        <v>-3756.19</v>
      </c>
      <c r="O137" s="247"/>
      <c r="P137" s="247"/>
      <c r="Q137" s="247"/>
      <c r="R137" s="247"/>
      <c r="S137" s="247"/>
      <c r="T137" s="247"/>
      <c r="U137" s="247"/>
      <c r="V137" s="250"/>
      <c r="W137" s="250"/>
      <c r="X137" s="247" t="s">
        <v>612</v>
      </c>
      <c r="Y137" s="247"/>
      <c r="Z137" s="250"/>
      <c r="AA137" s="247"/>
      <c r="AB137" s="250"/>
      <c r="AC137" s="247" t="s">
        <v>834</v>
      </c>
      <c r="AD137" s="247" t="s">
        <v>835</v>
      </c>
    </row>
    <row r="138" spans="1:30" x14ac:dyDescent="0.25">
      <c r="A138" s="247" t="s">
        <v>836</v>
      </c>
      <c r="B138" s="247" t="s">
        <v>608</v>
      </c>
      <c r="C138" s="247"/>
      <c r="D138" s="247"/>
      <c r="E138" s="247" t="s">
        <v>738</v>
      </c>
      <c r="F138" s="247"/>
      <c r="G138" s="248">
        <v>42976.421064814815</v>
      </c>
      <c r="H138" s="248">
        <v>42976.801759259259</v>
      </c>
      <c r="I138" s="247" t="s">
        <v>700</v>
      </c>
      <c r="J138" s="247" t="s">
        <v>701</v>
      </c>
      <c r="K138" s="250"/>
      <c r="L138" s="247"/>
      <c r="M138" s="249">
        <v>-4158.63</v>
      </c>
      <c r="N138" s="249">
        <v>-4158.63</v>
      </c>
      <c r="O138" s="247"/>
      <c r="P138" s="247"/>
      <c r="Q138" s="247"/>
      <c r="R138" s="247"/>
      <c r="S138" s="247"/>
      <c r="T138" s="247"/>
      <c r="U138" s="247"/>
      <c r="V138" s="250"/>
      <c r="W138" s="250"/>
      <c r="X138" s="247" t="s">
        <v>612</v>
      </c>
      <c r="Y138" s="247"/>
      <c r="Z138" s="250"/>
      <c r="AA138" s="247"/>
      <c r="AB138" s="250"/>
      <c r="AC138" s="247" t="s">
        <v>837</v>
      </c>
      <c r="AD138" s="247" t="s">
        <v>838</v>
      </c>
    </row>
    <row r="139" spans="1:30" x14ac:dyDescent="0.25">
      <c r="A139" s="247" t="s">
        <v>839</v>
      </c>
      <c r="B139" s="247" t="s">
        <v>608</v>
      </c>
      <c r="C139" s="247"/>
      <c r="D139" s="247"/>
      <c r="E139" s="247" t="s">
        <v>742</v>
      </c>
      <c r="F139" s="247"/>
      <c r="G139" s="248">
        <v>42976.421064814815</v>
      </c>
      <c r="H139" s="248">
        <v>42976.801759259259</v>
      </c>
      <c r="I139" s="247" t="s">
        <v>700</v>
      </c>
      <c r="J139" s="247" t="s">
        <v>701</v>
      </c>
      <c r="K139" s="250"/>
      <c r="L139" s="247"/>
      <c r="M139" s="249">
        <v>-6289.41</v>
      </c>
      <c r="N139" s="249">
        <v>-6289.41</v>
      </c>
      <c r="O139" s="247"/>
      <c r="P139" s="247"/>
      <c r="Q139" s="247"/>
      <c r="R139" s="247"/>
      <c r="S139" s="247"/>
      <c r="T139" s="247"/>
      <c r="U139" s="247"/>
      <c r="V139" s="250"/>
      <c r="W139" s="250"/>
      <c r="X139" s="247" t="s">
        <v>612</v>
      </c>
      <c r="Y139" s="247"/>
      <c r="Z139" s="250"/>
      <c r="AA139" s="247"/>
      <c r="AB139" s="250"/>
      <c r="AC139" s="247" t="s">
        <v>840</v>
      </c>
      <c r="AD139" s="247" t="s">
        <v>841</v>
      </c>
    </row>
    <row r="140" spans="1:30" x14ac:dyDescent="0.25">
      <c r="A140" s="247" t="s">
        <v>842</v>
      </c>
      <c r="B140" s="247" t="s">
        <v>608</v>
      </c>
      <c r="C140" s="247"/>
      <c r="D140" s="247"/>
      <c r="E140" s="247" t="s">
        <v>746</v>
      </c>
      <c r="F140" s="247"/>
      <c r="G140" s="248">
        <v>42976.421064814815</v>
      </c>
      <c r="H140" s="248">
        <v>42976.801759259259</v>
      </c>
      <c r="I140" s="247" t="s">
        <v>700</v>
      </c>
      <c r="J140" s="247" t="s">
        <v>701</v>
      </c>
      <c r="K140" s="250"/>
      <c r="L140" s="247"/>
      <c r="M140" s="249">
        <v>-18868.23</v>
      </c>
      <c r="N140" s="249">
        <v>-18868.23</v>
      </c>
      <c r="O140" s="247"/>
      <c r="P140" s="247"/>
      <c r="Q140" s="247"/>
      <c r="R140" s="247"/>
      <c r="S140" s="247"/>
      <c r="T140" s="247"/>
      <c r="U140" s="247"/>
      <c r="V140" s="250"/>
      <c r="W140" s="250"/>
      <c r="X140" s="247" t="s">
        <v>612</v>
      </c>
      <c r="Y140" s="247"/>
      <c r="Z140" s="250"/>
      <c r="AA140" s="247"/>
      <c r="AB140" s="250"/>
      <c r="AC140" s="247" t="s">
        <v>843</v>
      </c>
      <c r="AD140" s="247" t="s">
        <v>844</v>
      </c>
    </row>
    <row r="141" spans="1:30" x14ac:dyDescent="0.25">
      <c r="A141" s="247" t="s">
        <v>845</v>
      </c>
      <c r="B141" s="247" t="s">
        <v>608</v>
      </c>
      <c r="C141" s="247"/>
      <c r="D141" s="247"/>
      <c r="E141" s="247" t="s">
        <v>750</v>
      </c>
      <c r="F141" s="247"/>
      <c r="G141" s="248">
        <v>42976.421064814815</v>
      </c>
      <c r="H141" s="248">
        <v>42976.801759259259</v>
      </c>
      <c r="I141" s="247" t="s">
        <v>700</v>
      </c>
      <c r="J141" s="247" t="s">
        <v>701</v>
      </c>
      <c r="K141" s="250"/>
      <c r="L141" s="247"/>
      <c r="M141" s="249">
        <v>-15600</v>
      </c>
      <c r="N141" s="249">
        <v>-15600</v>
      </c>
      <c r="O141" s="247"/>
      <c r="P141" s="247"/>
      <c r="Q141" s="247"/>
      <c r="R141" s="247"/>
      <c r="S141" s="247"/>
      <c r="T141" s="247"/>
      <c r="U141" s="247"/>
      <c r="V141" s="250"/>
      <c r="W141" s="250"/>
      <c r="X141" s="247" t="s">
        <v>612</v>
      </c>
      <c r="Y141" s="247"/>
      <c r="Z141" s="250"/>
      <c r="AA141" s="247"/>
      <c r="AB141" s="250"/>
      <c r="AC141" s="247" t="s">
        <v>846</v>
      </c>
      <c r="AD141" s="247" t="s">
        <v>847</v>
      </c>
    </row>
    <row r="142" spans="1:30" x14ac:dyDescent="0.25">
      <c r="A142" s="247" t="s">
        <v>848</v>
      </c>
      <c r="B142" s="247" t="s">
        <v>608</v>
      </c>
      <c r="C142" s="247"/>
      <c r="D142" s="247"/>
      <c r="E142" s="247" t="s">
        <v>754</v>
      </c>
      <c r="F142" s="247"/>
      <c r="G142" s="248">
        <v>42976.421064814815</v>
      </c>
      <c r="H142" s="248">
        <v>42976.801759259259</v>
      </c>
      <c r="I142" s="247" t="s">
        <v>700</v>
      </c>
      <c r="J142" s="247" t="s">
        <v>701</v>
      </c>
      <c r="K142" s="250"/>
      <c r="L142" s="247"/>
      <c r="M142" s="249">
        <v>-5224.0200000000004</v>
      </c>
      <c r="N142" s="249">
        <v>-5224.0200000000004</v>
      </c>
      <c r="O142" s="247"/>
      <c r="P142" s="247"/>
      <c r="Q142" s="247"/>
      <c r="R142" s="247"/>
      <c r="S142" s="247"/>
      <c r="T142" s="247"/>
      <c r="U142" s="247"/>
      <c r="V142" s="250"/>
      <c r="W142" s="250"/>
      <c r="X142" s="247" t="s">
        <v>612</v>
      </c>
      <c r="Y142" s="247"/>
      <c r="Z142" s="250"/>
      <c r="AA142" s="247"/>
      <c r="AB142" s="250"/>
      <c r="AC142" s="247" t="s">
        <v>849</v>
      </c>
      <c r="AD142" s="247" t="s">
        <v>850</v>
      </c>
    </row>
    <row r="143" spans="1:30" x14ac:dyDescent="0.25">
      <c r="A143" s="247" t="s">
        <v>851</v>
      </c>
      <c r="B143" s="247" t="s">
        <v>608</v>
      </c>
      <c r="C143" s="247"/>
      <c r="D143" s="247"/>
      <c r="E143" s="247" t="s">
        <v>758</v>
      </c>
      <c r="F143" s="247"/>
      <c r="G143" s="248">
        <v>42976.421064814815</v>
      </c>
      <c r="H143" s="248">
        <v>42976.801759259259</v>
      </c>
      <c r="I143" s="247" t="s">
        <v>700</v>
      </c>
      <c r="J143" s="247" t="s">
        <v>701</v>
      </c>
      <c r="K143" s="250"/>
      <c r="L143" s="247"/>
      <c r="M143" s="249">
        <v>-2500</v>
      </c>
      <c r="N143" s="249">
        <v>-2500</v>
      </c>
      <c r="O143" s="247"/>
      <c r="P143" s="247"/>
      <c r="Q143" s="247"/>
      <c r="R143" s="247"/>
      <c r="S143" s="247"/>
      <c r="T143" s="247"/>
      <c r="U143" s="247"/>
      <c r="V143" s="250"/>
      <c r="W143" s="250"/>
      <c r="X143" s="247" t="s">
        <v>612</v>
      </c>
      <c r="Y143" s="247"/>
      <c r="Z143" s="250"/>
      <c r="AA143" s="247"/>
      <c r="AB143" s="250"/>
      <c r="AC143" s="247" t="s">
        <v>852</v>
      </c>
      <c r="AD143" s="247" t="s">
        <v>853</v>
      </c>
    </row>
    <row r="144" spans="1:30" x14ac:dyDescent="0.25">
      <c r="A144" s="247" t="s">
        <v>854</v>
      </c>
      <c r="B144" s="247" t="s">
        <v>608</v>
      </c>
      <c r="C144" s="247"/>
      <c r="D144" s="247"/>
      <c r="E144" s="247" t="s">
        <v>762</v>
      </c>
      <c r="F144" s="247"/>
      <c r="G144" s="248">
        <v>42976.421064814815</v>
      </c>
      <c r="H144" s="248">
        <v>42976.801759259259</v>
      </c>
      <c r="I144" s="247" t="s">
        <v>700</v>
      </c>
      <c r="J144" s="247" t="s">
        <v>701</v>
      </c>
      <c r="K144" s="250"/>
      <c r="L144" s="247"/>
      <c r="M144" s="249">
        <v>-16304</v>
      </c>
      <c r="N144" s="249">
        <v>-16304</v>
      </c>
      <c r="O144" s="247"/>
      <c r="P144" s="247"/>
      <c r="Q144" s="247"/>
      <c r="R144" s="247"/>
      <c r="S144" s="247"/>
      <c r="T144" s="247"/>
      <c r="U144" s="247"/>
      <c r="V144" s="250"/>
      <c r="W144" s="250"/>
      <c r="X144" s="247" t="s">
        <v>612</v>
      </c>
      <c r="Y144" s="247"/>
      <c r="Z144" s="250"/>
      <c r="AA144" s="247"/>
      <c r="AB144" s="250"/>
      <c r="AC144" s="247" t="s">
        <v>855</v>
      </c>
      <c r="AD144" s="247" t="s">
        <v>856</v>
      </c>
    </row>
    <row r="145" spans="1:30" x14ac:dyDescent="0.25">
      <c r="A145" s="247" t="s">
        <v>857</v>
      </c>
      <c r="B145" s="247" t="s">
        <v>608</v>
      </c>
      <c r="C145" s="247"/>
      <c r="D145" s="247"/>
      <c r="E145" s="247" t="s">
        <v>788</v>
      </c>
      <c r="F145" s="247"/>
      <c r="G145" s="248">
        <v>42976.421064814815</v>
      </c>
      <c r="H145" s="248">
        <v>42976.801759259259</v>
      </c>
      <c r="I145" s="247" t="s">
        <v>700</v>
      </c>
      <c r="J145" s="247" t="s">
        <v>718</v>
      </c>
      <c r="K145" s="250"/>
      <c r="L145" s="247"/>
      <c r="M145" s="249">
        <v>1236314.55</v>
      </c>
      <c r="N145" s="249">
        <v>1236314.55</v>
      </c>
      <c r="O145" s="247"/>
      <c r="P145" s="247"/>
      <c r="Q145" s="247"/>
      <c r="R145" s="247"/>
      <c r="S145" s="247"/>
      <c r="T145" s="247"/>
      <c r="U145" s="247"/>
      <c r="V145" s="250"/>
      <c r="W145" s="250"/>
      <c r="X145" s="247" t="s">
        <v>612</v>
      </c>
      <c r="Y145" s="247"/>
      <c r="Z145" s="250"/>
      <c r="AA145" s="247"/>
      <c r="AB145" s="250"/>
      <c r="AC145" s="247" t="s">
        <v>858</v>
      </c>
      <c r="AD145" s="247" t="s">
        <v>859</v>
      </c>
    </row>
    <row r="146" spans="1:30" x14ac:dyDescent="0.25">
      <c r="A146" s="243" t="s">
        <v>860</v>
      </c>
      <c r="B146" s="244"/>
      <c r="C146" s="244"/>
      <c r="D146" s="244"/>
      <c r="E146" s="244"/>
      <c r="F146" s="244"/>
      <c r="G146" s="244"/>
      <c r="H146" s="244"/>
      <c r="I146" s="244"/>
      <c r="J146" s="244"/>
      <c r="K146" s="245"/>
      <c r="L146" s="244"/>
      <c r="M146" s="245"/>
      <c r="N146" s="245"/>
      <c r="O146" s="244"/>
      <c r="P146" s="244"/>
      <c r="Q146" s="244"/>
      <c r="R146" s="244"/>
      <c r="S146" s="244"/>
      <c r="T146" s="244"/>
      <c r="U146" s="244"/>
      <c r="V146" s="245"/>
      <c r="W146" s="245"/>
      <c r="X146" s="244"/>
      <c r="Y146" s="244"/>
      <c r="Z146" s="245"/>
      <c r="AA146" s="244"/>
      <c r="AB146" s="245"/>
      <c r="AC146" s="244"/>
      <c r="AD146" s="244"/>
    </row>
    <row r="147" spans="1:30" x14ac:dyDescent="0.25">
      <c r="A147" s="243" t="s">
        <v>861</v>
      </c>
      <c r="B147" s="244"/>
      <c r="C147" s="244"/>
      <c r="D147" s="244"/>
      <c r="E147" s="244"/>
      <c r="F147" s="244"/>
      <c r="G147" s="244"/>
      <c r="H147" s="244"/>
      <c r="I147" s="244"/>
      <c r="J147" s="244"/>
      <c r="K147" s="245"/>
      <c r="L147" s="244"/>
      <c r="M147" s="246">
        <v>700</v>
      </c>
      <c r="N147" s="245"/>
      <c r="O147" s="244"/>
      <c r="P147" s="244"/>
      <c r="Q147" s="244"/>
      <c r="R147" s="244"/>
      <c r="S147" s="244"/>
      <c r="T147" s="244"/>
      <c r="U147" s="244"/>
      <c r="V147" s="245"/>
      <c r="W147" s="245"/>
      <c r="X147" s="244"/>
      <c r="Y147" s="244"/>
      <c r="Z147" s="245"/>
      <c r="AA147" s="244"/>
      <c r="AB147" s="245"/>
      <c r="AC147" s="244"/>
      <c r="AD147" s="244"/>
    </row>
    <row r="148" spans="1:30" x14ac:dyDescent="0.25">
      <c r="A148" s="243" t="s">
        <v>862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5"/>
      <c r="L148" s="244"/>
      <c r="M148" s="246">
        <v>700</v>
      </c>
      <c r="N148" s="245"/>
      <c r="O148" s="244"/>
      <c r="P148" s="244"/>
      <c r="Q148" s="244"/>
      <c r="R148" s="244"/>
      <c r="S148" s="244"/>
      <c r="T148" s="244"/>
      <c r="U148" s="244"/>
      <c r="V148" s="245"/>
      <c r="W148" s="245"/>
      <c r="X148" s="244"/>
      <c r="Y148" s="244"/>
      <c r="Z148" s="245"/>
      <c r="AA148" s="244"/>
      <c r="AB148" s="245"/>
      <c r="AC148" s="244"/>
      <c r="AD148" s="244"/>
    </row>
    <row r="149" spans="1:30" x14ac:dyDescent="0.25">
      <c r="A149" s="247" t="s">
        <v>863</v>
      </c>
      <c r="B149" s="247" t="s">
        <v>608</v>
      </c>
      <c r="C149" s="247"/>
      <c r="D149" s="247" t="s">
        <v>864</v>
      </c>
      <c r="E149" s="247" t="s">
        <v>774</v>
      </c>
      <c r="F149" s="247" t="s">
        <v>609</v>
      </c>
      <c r="G149" s="248">
        <v>42976.547719907408</v>
      </c>
      <c r="H149" s="248">
        <v>42976</v>
      </c>
      <c r="I149" s="247" t="s">
        <v>865</v>
      </c>
      <c r="J149" s="247" t="s">
        <v>610</v>
      </c>
      <c r="K149" s="249">
        <v>1323.6</v>
      </c>
      <c r="L149" s="247" t="s">
        <v>612</v>
      </c>
      <c r="M149" s="249">
        <v>42</v>
      </c>
      <c r="N149" s="249">
        <v>55597.65862923571</v>
      </c>
      <c r="O149" s="247" t="s">
        <v>612</v>
      </c>
      <c r="P149" s="248">
        <v>42976</v>
      </c>
      <c r="Q149" s="247"/>
      <c r="R149" s="247"/>
      <c r="S149" s="247"/>
      <c r="T149" s="247"/>
      <c r="U149" s="248">
        <v>42999</v>
      </c>
      <c r="V149" s="250"/>
      <c r="W149" s="250"/>
      <c r="X149" s="247" t="s">
        <v>866</v>
      </c>
      <c r="Y149" s="247"/>
      <c r="Z149" s="250"/>
      <c r="AA149" s="247" t="s">
        <v>867</v>
      </c>
      <c r="AB149" s="250" t="s">
        <v>868</v>
      </c>
      <c r="AC149" s="247" t="s">
        <v>869</v>
      </c>
      <c r="AD149" s="247"/>
    </row>
    <row r="150" spans="1:30" x14ac:dyDescent="0.25">
      <c r="A150" s="247" t="s">
        <v>870</v>
      </c>
      <c r="B150" s="247" t="s">
        <v>608</v>
      </c>
      <c r="C150" s="247"/>
      <c r="D150" s="247" t="s">
        <v>864</v>
      </c>
      <c r="E150" s="247" t="s">
        <v>774</v>
      </c>
      <c r="F150" s="247" t="s">
        <v>609</v>
      </c>
      <c r="G150" s="248">
        <v>42976.547719907408</v>
      </c>
      <c r="H150" s="248">
        <v>42976</v>
      </c>
      <c r="I150" s="247" t="s">
        <v>865</v>
      </c>
      <c r="J150" s="247" t="s">
        <v>610</v>
      </c>
      <c r="K150" s="249">
        <v>1323.6</v>
      </c>
      <c r="L150" s="247" t="s">
        <v>612</v>
      </c>
      <c r="M150" s="249">
        <v>3</v>
      </c>
      <c r="N150" s="249">
        <v>3971.26133065969</v>
      </c>
      <c r="O150" s="247" t="s">
        <v>612</v>
      </c>
      <c r="P150" s="248">
        <v>42976</v>
      </c>
      <c r="Q150" s="247"/>
      <c r="R150" s="247"/>
      <c r="S150" s="247"/>
      <c r="T150" s="247"/>
      <c r="U150" s="248">
        <v>42999</v>
      </c>
      <c r="V150" s="250"/>
      <c r="W150" s="250"/>
      <c r="X150" s="247" t="s">
        <v>866</v>
      </c>
      <c r="Y150" s="247"/>
      <c r="Z150" s="250"/>
      <c r="AA150" s="247" t="s">
        <v>867</v>
      </c>
      <c r="AB150" s="250" t="s">
        <v>868</v>
      </c>
      <c r="AC150" s="247" t="s">
        <v>871</v>
      </c>
      <c r="AD150" s="247"/>
    </row>
    <row r="151" spans="1:30" x14ac:dyDescent="0.25">
      <c r="A151" s="247" t="s">
        <v>872</v>
      </c>
      <c r="B151" s="247" t="s">
        <v>608</v>
      </c>
      <c r="C151" s="247"/>
      <c r="D151" s="247" t="s">
        <v>864</v>
      </c>
      <c r="E151" s="247" t="s">
        <v>774</v>
      </c>
      <c r="F151" s="247" t="s">
        <v>609</v>
      </c>
      <c r="G151" s="248">
        <v>42976.547719907408</v>
      </c>
      <c r="H151" s="248">
        <v>42976</v>
      </c>
      <c r="I151" s="247" t="s">
        <v>865</v>
      </c>
      <c r="J151" s="247" t="s">
        <v>610</v>
      </c>
      <c r="K151" s="249">
        <v>1323.6</v>
      </c>
      <c r="L151" s="247" t="s">
        <v>612</v>
      </c>
      <c r="M151" s="249">
        <v>2</v>
      </c>
      <c r="N151" s="249">
        <v>2647.50755377313</v>
      </c>
      <c r="O151" s="247" t="s">
        <v>612</v>
      </c>
      <c r="P151" s="248">
        <v>42976</v>
      </c>
      <c r="Q151" s="247"/>
      <c r="R151" s="247"/>
      <c r="S151" s="247"/>
      <c r="T151" s="247"/>
      <c r="U151" s="248">
        <v>42999</v>
      </c>
      <c r="V151" s="250"/>
      <c r="W151" s="250"/>
      <c r="X151" s="247" t="s">
        <v>866</v>
      </c>
      <c r="Y151" s="247"/>
      <c r="Z151" s="250"/>
      <c r="AA151" s="247" t="s">
        <v>867</v>
      </c>
      <c r="AB151" s="250" t="s">
        <v>868</v>
      </c>
      <c r="AC151" s="247" t="s">
        <v>873</v>
      </c>
      <c r="AD151" s="247"/>
    </row>
    <row r="152" spans="1:30" x14ac:dyDescent="0.25">
      <c r="A152" s="247" t="s">
        <v>874</v>
      </c>
      <c r="B152" s="247" t="s">
        <v>608</v>
      </c>
      <c r="C152" s="247"/>
      <c r="D152" s="247" t="s">
        <v>864</v>
      </c>
      <c r="E152" s="247" t="s">
        <v>774</v>
      </c>
      <c r="F152" s="247" t="s">
        <v>609</v>
      </c>
      <c r="G152" s="248">
        <v>42976.547719907408</v>
      </c>
      <c r="H152" s="248">
        <v>42976</v>
      </c>
      <c r="I152" s="247" t="s">
        <v>865</v>
      </c>
      <c r="J152" s="247" t="s">
        <v>610</v>
      </c>
      <c r="K152" s="249">
        <v>1323.5</v>
      </c>
      <c r="L152" s="247" t="s">
        <v>612</v>
      </c>
      <c r="M152" s="249">
        <v>6</v>
      </c>
      <c r="N152" s="249">
        <v>7941.9221171402796</v>
      </c>
      <c r="O152" s="247" t="s">
        <v>612</v>
      </c>
      <c r="P152" s="248">
        <v>42976</v>
      </c>
      <c r="Q152" s="247"/>
      <c r="R152" s="247"/>
      <c r="S152" s="247"/>
      <c r="T152" s="247"/>
      <c r="U152" s="248">
        <v>42999</v>
      </c>
      <c r="V152" s="250"/>
      <c r="W152" s="250"/>
      <c r="X152" s="247" t="s">
        <v>866</v>
      </c>
      <c r="Y152" s="247"/>
      <c r="Z152" s="250"/>
      <c r="AA152" s="247" t="s">
        <v>867</v>
      </c>
      <c r="AB152" s="250" t="s">
        <v>868</v>
      </c>
      <c r="AC152" s="247" t="s">
        <v>875</v>
      </c>
      <c r="AD152" s="247"/>
    </row>
    <row r="153" spans="1:30" x14ac:dyDescent="0.25">
      <c r="A153" s="247" t="s">
        <v>876</v>
      </c>
      <c r="B153" s="247" t="s">
        <v>608</v>
      </c>
      <c r="C153" s="247"/>
      <c r="D153" s="247" t="s">
        <v>864</v>
      </c>
      <c r="E153" s="247" t="s">
        <v>774</v>
      </c>
      <c r="F153" s="247" t="s">
        <v>609</v>
      </c>
      <c r="G153" s="248">
        <v>42976.547719907408</v>
      </c>
      <c r="H153" s="248">
        <v>42976</v>
      </c>
      <c r="I153" s="247" t="s">
        <v>865</v>
      </c>
      <c r="J153" s="247" t="s">
        <v>610</v>
      </c>
      <c r="K153" s="249">
        <v>1323.5</v>
      </c>
      <c r="L153" s="247" t="s">
        <v>612</v>
      </c>
      <c r="M153" s="249">
        <v>67</v>
      </c>
      <c r="N153" s="249">
        <v>88684.796974733079</v>
      </c>
      <c r="O153" s="247" t="s">
        <v>612</v>
      </c>
      <c r="P153" s="248">
        <v>42976</v>
      </c>
      <c r="Q153" s="247"/>
      <c r="R153" s="247"/>
      <c r="S153" s="247"/>
      <c r="T153" s="247"/>
      <c r="U153" s="248">
        <v>42999</v>
      </c>
      <c r="V153" s="250"/>
      <c r="W153" s="250"/>
      <c r="X153" s="247" t="s">
        <v>866</v>
      </c>
      <c r="Y153" s="247"/>
      <c r="Z153" s="250"/>
      <c r="AA153" s="247" t="s">
        <v>867</v>
      </c>
      <c r="AB153" s="250" t="s">
        <v>868</v>
      </c>
      <c r="AC153" s="247" t="s">
        <v>877</v>
      </c>
      <c r="AD153" s="247"/>
    </row>
    <row r="154" spans="1:30" x14ac:dyDescent="0.25">
      <c r="A154" s="247" t="s">
        <v>878</v>
      </c>
      <c r="B154" s="247" t="s">
        <v>608</v>
      </c>
      <c r="C154" s="247"/>
      <c r="D154" s="247" t="s">
        <v>864</v>
      </c>
      <c r="E154" s="247" t="s">
        <v>774</v>
      </c>
      <c r="F154" s="247" t="s">
        <v>609</v>
      </c>
      <c r="G154" s="248">
        <v>42976.547719907408</v>
      </c>
      <c r="H154" s="248">
        <v>42976</v>
      </c>
      <c r="I154" s="247" t="s">
        <v>865</v>
      </c>
      <c r="J154" s="247" t="s">
        <v>610</v>
      </c>
      <c r="K154" s="249">
        <v>1323.5</v>
      </c>
      <c r="L154" s="247" t="s">
        <v>612</v>
      </c>
      <c r="M154" s="249">
        <v>2</v>
      </c>
      <c r="N154" s="249">
        <v>2647.3073723800899</v>
      </c>
      <c r="O154" s="247" t="s">
        <v>612</v>
      </c>
      <c r="P154" s="248">
        <v>42976</v>
      </c>
      <c r="Q154" s="247"/>
      <c r="R154" s="247"/>
      <c r="S154" s="247"/>
      <c r="T154" s="247"/>
      <c r="U154" s="248">
        <v>42999</v>
      </c>
      <c r="V154" s="250"/>
      <c r="W154" s="250"/>
      <c r="X154" s="247" t="s">
        <v>866</v>
      </c>
      <c r="Y154" s="247"/>
      <c r="Z154" s="250"/>
      <c r="AA154" s="247" t="s">
        <v>867</v>
      </c>
      <c r="AB154" s="250" t="s">
        <v>868</v>
      </c>
      <c r="AC154" s="247" t="s">
        <v>879</v>
      </c>
      <c r="AD154" s="247"/>
    </row>
    <row r="155" spans="1:30" x14ac:dyDescent="0.25">
      <c r="A155" s="247" t="s">
        <v>880</v>
      </c>
      <c r="B155" s="247" t="s">
        <v>608</v>
      </c>
      <c r="C155" s="247"/>
      <c r="D155" s="247" t="s">
        <v>864</v>
      </c>
      <c r="E155" s="247" t="s">
        <v>774</v>
      </c>
      <c r="F155" s="247" t="s">
        <v>609</v>
      </c>
      <c r="G155" s="248">
        <v>42976.547719907408</v>
      </c>
      <c r="H155" s="248">
        <v>42976</v>
      </c>
      <c r="I155" s="247" t="s">
        <v>865</v>
      </c>
      <c r="J155" s="247" t="s">
        <v>610</v>
      </c>
      <c r="K155" s="249">
        <v>1323.5</v>
      </c>
      <c r="L155" s="247" t="s">
        <v>612</v>
      </c>
      <c r="M155" s="249">
        <v>25</v>
      </c>
      <c r="N155" s="249">
        <v>33091.342154751153</v>
      </c>
      <c r="O155" s="247" t="s">
        <v>612</v>
      </c>
      <c r="P155" s="248">
        <v>42976</v>
      </c>
      <c r="Q155" s="247"/>
      <c r="R155" s="247"/>
      <c r="S155" s="247"/>
      <c r="T155" s="247"/>
      <c r="U155" s="248">
        <v>42999</v>
      </c>
      <c r="V155" s="250"/>
      <c r="W155" s="250"/>
      <c r="X155" s="247" t="s">
        <v>866</v>
      </c>
      <c r="Y155" s="247"/>
      <c r="Z155" s="250"/>
      <c r="AA155" s="247" t="s">
        <v>867</v>
      </c>
      <c r="AB155" s="250" t="s">
        <v>868</v>
      </c>
      <c r="AC155" s="247" t="s">
        <v>881</v>
      </c>
      <c r="AD155" s="247"/>
    </row>
    <row r="156" spans="1:30" x14ac:dyDescent="0.25">
      <c r="A156" s="247" t="s">
        <v>882</v>
      </c>
      <c r="B156" s="247" t="s">
        <v>608</v>
      </c>
      <c r="C156" s="247"/>
      <c r="D156" s="247" t="s">
        <v>864</v>
      </c>
      <c r="E156" s="247" t="s">
        <v>774</v>
      </c>
      <c r="F156" s="247" t="s">
        <v>609</v>
      </c>
      <c r="G156" s="248">
        <v>42976.547719907408</v>
      </c>
      <c r="H156" s="248">
        <v>42976</v>
      </c>
      <c r="I156" s="247" t="s">
        <v>865</v>
      </c>
      <c r="J156" s="247" t="s">
        <v>610</v>
      </c>
      <c r="K156" s="249">
        <v>1323.5</v>
      </c>
      <c r="L156" s="247" t="s">
        <v>612</v>
      </c>
      <c r="M156" s="249">
        <v>2</v>
      </c>
      <c r="N156" s="249">
        <v>2647.3073723800899</v>
      </c>
      <c r="O156" s="247" t="s">
        <v>612</v>
      </c>
      <c r="P156" s="248">
        <v>42976</v>
      </c>
      <c r="Q156" s="247"/>
      <c r="R156" s="247"/>
      <c r="S156" s="247"/>
      <c r="T156" s="247"/>
      <c r="U156" s="248">
        <v>42999</v>
      </c>
      <c r="V156" s="250"/>
      <c r="W156" s="250"/>
      <c r="X156" s="247" t="s">
        <v>866</v>
      </c>
      <c r="Y156" s="247"/>
      <c r="Z156" s="250"/>
      <c r="AA156" s="247" t="s">
        <v>867</v>
      </c>
      <c r="AB156" s="250" t="s">
        <v>868</v>
      </c>
      <c r="AC156" s="247" t="s">
        <v>883</v>
      </c>
      <c r="AD156" s="247"/>
    </row>
    <row r="157" spans="1:30" x14ac:dyDescent="0.25">
      <c r="A157" s="247" t="s">
        <v>884</v>
      </c>
      <c r="B157" s="247" t="s">
        <v>608</v>
      </c>
      <c r="C157" s="247"/>
      <c r="D157" s="247" t="s">
        <v>864</v>
      </c>
      <c r="E157" s="247" t="s">
        <v>774</v>
      </c>
      <c r="F157" s="247" t="s">
        <v>609</v>
      </c>
      <c r="G157" s="248">
        <v>42976.547719907408</v>
      </c>
      <c r="H157" s="248">
        <v>42976</v>
      </c>
      <c r="I157" s="247" t="s">
        <v>865</v>
      </c>
      <c r="J157" s="247" t="s">
        <v>610</v>
      </c>
      <c r="K157" s="249">
        <v>1323.5</v>
      </c>
      <c r="L157" s="247" t="s">
        <v>612</v>
      </c>
      <c r="M157" s="249">
        <v>3</v>
      </c>
      <c r="N157" s="249">
        <v>3970.9610585701398</v>
      </c>
      <c r="O157" s="247" t="s">
        <v>612</v>
      </c>
      <c r="P157" s="248">
        <v>42976</v>
      </c>
      <c r="Q157" s="247"/>
      <c r="R157" s="247"/>
      <c r="S157" s="247"/>
      <c r="T157" s="247"/>
      <c r="U157" s="248">
        <v>42999</v>
      </c>
      <c r="V157" s="250"/>
      <c r="W157" s="250"/>
      <c r="X157" s="247" t="s">
        <v>866</v>
      </c>
      <c r="Y157" s="247"/>
      <c r="Z157" s="250"/>
      <c r="AA157" s="247" t="s">
        <v>867</v>
      </c>
      <c r="AB157" s="250" t="s">
        <v>868</v>
      </c>
      <c r="AC157" s="247" t="s">
        <v>885</v>
      </c>
      <c r="AD157" s="247"/>
    </row>
    <row r="158" spans="1:30" x14ac:dyDescent="0.25">
      <c r="A158" s="247" t="s">
        <v>886</v>
      </c>
      <c r="B158" s="247" t="s">
        <v>608</v>
      </c>
      <c r="C158" s="247"/>
      <c r="D158" s="247" t="s">
        <v>864</v>
      </c>
      <c r="E158" s="247" t="s">
        <v>774</v>
      </c>
      <c r="F158" s="247" t="s">
        <v>609</v>
      </c>
      <c r="G158" s="248">
        <v>42976.547719907408</v>
      </c>
      <c r="H158" s="248">
        <v>42976</v>
      </c>
      <c r="I158" s="247" t="s">
        <v>865</v>
      </c>
      <c r="J158" s="247" t="s">
        <v>610</v>
      </c>
      <c r="K158" s="249">
        <v>1323.5</v>
      </c>
      <c r="L158" s="247" t="s">
        <v>612</v>
      </c>
      <c r="M158" s="249">
        <v>13</v>
      </c>
      <c r="N158" s="249">
        <v>17207.4979204706</v>
      </c>
      <c r="O158" s="247" t="s">
        <v>612</v>
      </c>
      <c r="P158" s="248">
        <v>42976</v>
      </c>
      <c r="Q158" s="247"/>
      <c r="R158" s="247"/>
      <c r="S158" s="247"/>
      <c r="T158" s="247"/>
      <c r="U158" s="248">
        <v>42999</v>
      </c>
      <c r="V158" s="250"/>
      <c r="W158" s="250"/>
      <c r="X158" s="247" t="s">
        <v>866</v>
      </c>
      <c r="Y158" s="247"/>
      <c r="Z158" s="250"/>
      <c r="AA158" s="247" t="s">
        <v>867</v>
      </c>
      <c r="AB158" s="250" t="s">
        <v>868</v>
      </c>
      <c r="AC158" s="247" t="s">
        <v>887</v>
      </c>
      <c r="AD158" s="247"/>
    </row>
    <row r="159" spans="1:30" x14ac:dyDescent="0.25">
      <c r="A159" s="247" t="s">
        <v>888</v>
      </c>
      <c r="B159" s="247" t="s">
        <v>608</v>
      </c>
      <c r="C159" s="247"/>
      <c r="D159" s="247" t="s">
        <v>889</v>
      </c>
      <c r="E159" s="247" t="s">
        <v>766</v>
      </c>
      <c r="F159" s="247" t="s">
        <v>609</v>
      </c>
      <c r="G159" s="248">
        <v>42976.548078703701</v>
      </c>
      <c r="H159" s="248">
        <v>42976</v>
      </c>
      <c r="I159" s="247" t="s">
        <v>865</v>
      </c>
      <c r="J159" s="247" t="s">
        <v>610</v>
      </c>
      <c r="K159" s="249">
        <v>1323.8</v>
      </c>
      <c r="L159" s="247" t="s">
        <v>612</v>
      </c>
      <c r="M159" s="249">
        <v>68</v>
      </c>
      <c r="N159" s="249">
        <v>90028.857548392814</v>
      </c>
      <c r="O159" s="247" t="s">
        <v>612</v>
      </c>
      <c r="P159" s="248">
        <v>42976</v>
      </c>
      <c r="Q159" s="247"/>
      <c r="R159" s="247"/>
      <c r="S159" s="247"/>
      <c r="T159" s="247"/>
      <c r="U159" s="248">
        <v>42999</v>
      </c>
      <c r="V159" s="250"/>
      <c r="W159" s="250"/>
      <c r="X159" s="247" t="s">
        <v>866</v>
      </c>
      <c r="Y159" s="247"/>
      <c r="Z159" s="250"/>
      <c r="AA159" s="247" t="s">
        <v>867</v>
      </c>
      <c r="AB159" s="250" t="s">
        <v>868</v>
      </c>
      <c r="AC159" s="247" t="s">
        <v>890</v>
      </c>
      <c r="AD159" s="247"/>
    </row>
    <row r="160" spans="1:30" x14ac:dyDescent="0.25">
      <c r="A160" s="247" t="s">
        <v>891</v>
      </c>
      <c r="B160" s="247" t="s">
        <v>608</v>
      </c>
      <c r="C160" s="247"/>
      <c r="D160" s="247" t="s">
        <v>889</v>
      </c>
      <c r="E160" s="247" t="s">
        <v>766</v>
      </c>
      <c r="F160" s="247" t="s">
        <v>609</v>
      </c>
      <c r="G160" s="248">
        <v>42976.548078703701</v>
      </c>
      <c r="H160" s="248">
        <v>42976</v>
      </c>
      <c r="I160" s="247" t="s">
        <v>865</v>
      </c>
      <c r="J160" s="247" t="s">
        <v>610</v>
      </c>
      <c r="K160" s="249">
        <v>1323.8</v>
      </c>
      <c r="L160" s="247" t="s">
        <v>612</v>
      </c>
      <c r="M160" s="249">
        <v>2</v>
      </c>
      <c r="N160" s="249">
        <v>2647.9075749527301</v>
      </c>
      <c r="O160" s="247" t="s">
        <v>612</v>
      </c>
      <c r="P160" s="248">
        <v>42976</v>
      </c>
      <c r="Q160" s="247"/>
      <c r="R160" s="247"/>
      <c r="S160" s="247"/>
      <c r="T160" s="247"/>
      <c r="U160" s="248">
        <v>42999</v>
      </c>
      <c r="V160" s="250"/>
      <c r="W160" s="250"/>
      <c r="X160" s="247" t="s">
        <v>866</v>
      </c>
      <c r="Y160" s="247"/>
      <c r="Z160" s="250"/>
      <c r="AA160" s="247" t="s">
        <v>867</v>
      </c>
      <c r="AB160" s="250" t="s">
        <v>868</v>
      </c>
      <c r="AC160" s="247" t="s">
        <v>892</v>
      </c>
      <c r="AD160" s="247"/>
    </row>
    <row r="161" spans="1:30" x14ac:dyDescent="0.25">
      <c r="A161" s="247" t="s">
        <v>893</v>
      </c>
      <c r="B161" s="247" t="s">
        <v>608</v>
      </c>
      <c r="C161" s="247"/>
      <c r="D161" s="247" t="s">
        <v>889</v>
      </c>
      <c r="E161" s="247" t="s">
        <v>766</v>
      </c>
      <c r="F161" s="247" t="s">
        <v>609</v>
      </c>
      <c r="G161" s="248">
        <v>42976.548078703701</v>
      </c>
      <c r="H161" s="248">
        <v>42976</v>
      </c>
      <c r="I161" s="247" t="s">
        <v>865</v>
      </c>
      <c r="J161" s="247" t="s">
        <v>610</v>
      </c>
      <c r="K161" s="249">
        <v>1323.8</v>
      </c>
      <c r="L161" s="247" t="s">
        <v>612</v>
      </c>
      <c r="M161" s="249">
        <v>1</v>
      </c>
      <c r="N161" s="249">
        <v>1323.9537874763701</v>
      </c>
      <c r="O161" s="247" t="s">
        <v>612</v>
      </c>
      <c r="P161" s="248">
        <v>42976</v>
      </c>
      <c r="Q161" s="247"/>
      <c r="R161" s="247"/>
      <c r="S161" s="247"/>
      <c r="T161" s="247"/>
      <c r="U161" s="248">
        <v>42999</v>
      </c>
      <c r="V161" s="250"/>
      <c r="W161" s="250"/>
      <c r="X161" s="247" t="s">
        <v>866</v>
      </c>
      <c r="Y161" s="247"/>
      <c r="Z161" s="250"/>
      <c r="AA161" s="247" t="s">
        <v>867</v>
      </c>
      <c r="AB161" s="250" t="s">
        <v>868</v>
      </c>
      <c r="AC161" s="247" t="s">
        <v>894</v>
      </c>
      <c r="AD161" s="247"/>
    </row>
    <row r="162" spans="1:30" x14ac:dyDescent="0.25">
      <c r="A162" s="247" t="s">
        <v>895</v>
      </c>
      <c r="B162" s="247" t="s">
        <v>608</v>
      </c>
      <c r="C162" s="247"/>
      <c r="D162" s="247" t="s">
        <v>889</v>
      </c>
      <c r="E162" s="247" t="s">
        <v>766</v>
      </c>
      <c r="F162" s="247" t="s">
        <v>609</v>
      </c>
      <c r="G162" s="248">
        <v>42976.548078703701</v>
      </c>
      <c r="H162" s="248">
        <v>42976</v>
      </c>
      <c r="I162" s="247" t="s">
        <v>865</v>
      </c>
      <c r="J162" s="247" t="s">
        <v>610</v>
      </c>
      <c r="K162" s="249">
        <v>1323.8</v>
      </c>
      <c r="L162" s="247" t="s">
        <v>612</v>
      </c>
      <c r="M162" s="249">
        <v>20</v>
      </c>
      <c r="N162" s="249">
        <v>26479.075749527299</v>
      </c>
      <c r="O162" s="247" t="s">
        <v>612</v>
      </c>
      <c r="P162" s="248">
        <v>42976</v>
      </c>
      <c r="Q162" s="247"/>
      <c r="R162" s="247"/>
      <c r="S162" s="247"/>
      <c r="T162" s="247"/>
      <c r="U162" s="248">
        <v>42999</v>
      </c>
      <c r="V162" s="250"/>
      <c r="W162" s="250"/>
      <c r="X162" s="247" t="s">
        <v>866</v>
      </c>
      <c r="Y162" s="247"/>
      <c r="Z162" s="250"/>
      <c r="AA162" s="247" t="s">
        <v>867</v>
      </c>
      <c r="AB162" s="250" t="s">
        <v>868</v>
      </c>
      <c r="AC162" s="247" t="s">
        <v>896</v>
      </c>
      <c r="AD162" s="247"/>
    </row>
    <row r="163" spans="1:30" x14ac:dyDescent="0.25">
      <c r="A163" s="247" t="s">
        <v>897</v>
      </c>
      <c r="B163" s="247" t="s">
        <v>608</v>
      </c>
      <c r="C163" s="247"/>
      <c r="D163" s="247" t="s">
        <v>889</v>
      </c>
      <c r="E163" s="247" t="s">
        <v>766</v>
      </c>
      <c r="F163" s="247" t="s">
        <v>609</v>
      </c>
      <c r="G163" s="248">
        <v>42976.548078703701</v>
      </c>
      <c r="H163" s="248">
        <v>42976</v>
      </c>
      <c r="I163" s="247" t="s">
        <v>865</v>
      </c>
      <c r="J163" s="247" t="s">
        <v>610</v>
      </c>
      <c r="K163" s="249">
        <v>1323.8</v>
      </c>
      <c r="L163" s="247" t="s">
        <v>612</v>
      </c>
      <c r="M163" s="249">
        <v>14</v>
      </c>
      <c r="N163" s="249">
        <v>18535.353024669112</v>
      </c>
      <c r="O163" s="247" t="s">
        <v>612</v>
      </c>
      <c r="P163" s="248">
        <v>42976</v>
      </c>
      <c r="Q163" s="247"/>
      <c r="R163" s="247"/>
      <c r="S163" s="247"/>
      <c r="T163" s="247"/>
      <c r="U163" s="248">
        <v>42999</v>
      </c>
      <c r="V163" s="250"/>
      <c r="W163" s="250"/>
      <c r="X163" s="247" t="s">
        <v>866</v>
      </c>
      <c r="Y163" s="247"/>
      <c r="Z163" s="250"/>
      <c r="AA163" s="247" t="s">
        <v>867</v>
      </c>
      <c r="AB163" s="250" t="s">
        <v>868</v>
      </c>
      <c r="AC163" s="247" t="s">
        <v>898</v>
      </c>
      <c r="AD163" s="247"/>
    </row>
    <row r="164" spans="1:30" x14ac:dyDescent="0.25">
      <c r="A164" s="247" t="s">
        <v>899</v>
      </c>
      <c r="B164" s="247" t="s">
        <v>608</v>
      </c>
      <c r="C164" s="247"/>
      <c r="D164" s="247" t="s">
        <v>889</v>
      </c>
      <c r="E164" s="247" t="s">
        <v>766</v>
      </c>
      <c r="F164" s="247" t="s">
        <v>609</v>
      </c>
      <c r="G164" s="248">
        <v>42976.548078703701</v>
      </c>
      <c r="H164" s="248">
        <v>42976</v>
      </c>
      <c r="I164" s="247" t="s">
        <v>865</v>
      </c>
      <c r="J164" s="247" t="s">
        <v>610</v>
      </c>
      <c r="K164" s="249">
        <v>1323.8</v>
      </c>
      <c r="L164" s="247" t="s">
        <v>612</v>
      </c>
      <c r="M164" s="249">
        <v>2</v>
      </c>
      <c r="N164" s="249">
        <v>2647.9075749527301</v>
      </c>
      <c r="O164" s="247" t="s">
        <v>612</v>
      </c>
      <c r="P164" s="248">
        <v>42976</v>
      </c>
      <c r="Q164" s="247"/>
      <c r="R164" s="247"/>
      <c r="S164" s="247"/>
      <c r="T164" s="247"/>
      <c r="U164" s="248">
        <v>42999</v>
      </c>
      <c r="V164" s="250"/>
      <c r="W164" s="250"/>
      <c r="X164" s="247" t="s">
        <v>866</v>
      </c>
      <c r="Y164" s="247"/>
      <c r="Z164" s="250"/>
      <c r="AA164" s="247" t="s">
        <v>867</v>
      </c>
      <c r="AB164" s="250" t="s">
        <v>868</v>
      </c>
      <c r="AC164" s="247" t="s">
        <v>900</v>
      </c>
      <c r="AD164" s="247"/>
    </row>
    <row r="165" spans="1:30" x14ac:dyDescent="0.25">
      <c r="A165" s="247" t="s">
        <v>901</v>
      </c>
      <c r="B165" s="247" t="s">
        <v>608</v>
      </c>
      <c r="C165" s="247"/>
      <c r="D165" s="247" t="s">
        <v>889</v>
      </c>
      <c r="E165" s="247" t="s">
        <v>766</v>
      </c>
      <c r="F165" s="247" t="s">
        <v>609</v>
      </c>
      <c r="G165" s="248">
        <v>42976.548078703701</v>
      </c>
      <c r="H165" s="248">
        <v>42976</v>
      </c>
      <c r="I165" s="247" t="s">
        <v>865</v>
      </c>
      <c r="J165" s="247" t="s">
        <v>610</v>
      </c>
      <c r="K165" s="249">
        <v>1323.8</v>
      </c>
      <c r="L165" s="247" t="s">
        <v>612</v>
      </c>
      <c r="M165" s="249">
        <v>2</v>
      </c>
      <c r="N165" s="249">
        <v>2647.9075749527301</v>
      </c>
      <c r="O165" s="247" t="s">
        <v>612</v>
      </c>
      <c r="P165" s="248">
        <v>42976</v>
      </c>
      <c r="Q165" s="247"/>
      <c r="R165" s="247"/>
      <c r="S165" s="247"/>
      <c r="T165" s="247"/>
      <c r="U165" s="248">
        <v>42999</v>
      </c>
      <c r="V165" s="250"/>
      <c r="W165" s="250"/>
      <c r="X165" s="247" t="s">
        <v>866</v>
      </c>
      <c r="Y165" s="247"/>
      <c r="Z165" s="250"/>
      <c r="AA165" s="247" t="s">
        <v>867</v>
      </c>
      <c r="AB165" s="250" t="s">
        <v>868</v>
      </c>
      <c r="AC165" s="247" t="s">
        <v>902</v>
      </c>
      <c r="AD165" s="247"/>
    </row>
    <row r="166" spans="1:30" x14ac:dyDescent="0.25">
      <c r="A166" s="247" t="s">
        <v>903</v>
      </c>
      <c r="B166" s="247" t="s">
        <v>608</v>
      </c>
      <c r="C166" s="247"/>
      <c r="D166" s="247" t="s">
        <v>889</v>
      </c>
      <c r="E166" s="247" t="s">
        <v>766</v>
      </c>
      <c r="F166" s="247" t="s">
        <v>609</v>
      </c>
      <c r="G166" s="248">
        <v>42976.548078703701</v>
      </c>
      <c r="H166" s="248">
        <v>42976</v>
      </c>
      <c r="I166" s="247" t="s">
        <v>865</v>
      </c>
      <c r="J166" s="247" t="s">
        <v>610</v>
      </c>
      <c r="K166" s="249">
        <v>1323.8</v>
      </c>
      <c r="L166" s="247" t="s">
        <v>612</v>
      </c>
      <c r="M166" s="249">
        <v>2</v>
      </c>
      <c r="N166" s="249">
        <v>2647.9075749527301</v>
      </c>
      <c r="O166" s="247" t="s">
        <v>612</v>
      </c>
      <c r="P166" s="248">
        <v>42976</v>
      </c>
      <c r="Q166" s="247"/>
      <c r="R166" s="247"/>
      <c r="S166" s="247"/>
      <c r="T166" s="247"/>
      <c r="U166" s="248">
        <v>42999</v>
      </c>
      <c r="V166" s="250"/>
      <c r="W166" s="250"/>
      <c r="X166" s="247" t="s">
        <v>866</v>
      </c>
      <c r="Y166" s="247"/>
      <c r="Z166" s="250"/>
      <c r="AA166" s="247" t="s">
        <v>867</v>
      </c>
      <c r="AB166" s="250" t="s">
        <v>868</v>
      </c>
      <c r="AC166" s="247" t="s">
        <v>904</v>
      </c>
      <c r="AD166" s="247"/>
    </row>
    <row r="167" spans="1:30" x14ac:dyDescent="0.25">
      <c r="A167" s="247" t="s">
        <v>905</v>
      </c>
      <c r="B167" s="247" t="s">
        <v>608</v>
      </c>
      <c r="C167" s="247"/>
      <c r="D167" s="247" t="s">
        <v>889</v>
      </c>
      <c r="E167" s="247" t="s">
        <v>766</v>
      </c>
      <c r="F167" s="247" t="s">
        <v>609</v>
      </c>
      <c r="G167" s="248">
        <v>42976.548078703701</v>
      </c>
      <c r="H167" s="248">
        <v>42976</v>
      </c>
      <c r="I167" s="247" t="s">
        <v>865</v>
      </c>
      <c r="J167" s="247" t="s">
        <v>610</v>
      </c>
      <c r="K167" s="249">
        <v>1323.8</v>
      </c>
      <c r="L167" s="247" t="s">
        <v>612</v>
      </c>
      <c r="M167" s="249">
        <v>1</v>
      </c>
      <c r="N167" s="249">
        <v>1323.9537874763701</v>
      </c>
      <c r="O167" s="247" t="s">
        <v>612</v>
      </c>
      <c r="P167" s="248">
        <v>42976</v>
      </c>
      <c r="Q167" s="247"/>
      <c r="R167" s="247"/>
      <c r="S167" s="247"/>
      <c r="T167" s="247"/>
      <c r="U167" s="248">
        <v>42999</v>
      </c>
      <c r="V167" s="250"/>
      <c r="W167" s="250"/>
      <c r="X167" s="247" t="s">
        <v>866</v>
      </c>
      <c r="Y167" s="247"/>
      <c r="Z167" s="250"/>
      <c r="AA167" s="247" t="s">
        <v>867</v>
      </c>
      <c r="AB167" s="250" t="s">
        <v>868</v>
      </c>
      <c r="AC167" s="247" t="s">
        <v>906</v>
      </c>
      <c r="AD167" s="247"/>
    </row>
    <row r="168" spans="1:30" x14ac:dyDescent="0.25">
      <c r="A168" s="247" t="s">
        <v>907</v>
      </c>
      <c r="B168" s="247" t="s">
        <v>608</v>
      </c>
      <c r="C168" s="247"/>
      <c r="D168" s="247" t="s">
        <v>889</v>
      </c>
      <c r="E168" s="247" t="s">
        <v>766</v>
      </c>
      <c r="F168" s="247" t="s">
        <v>609</v>
      </c>
      <c r="G168" s="248">
        <v>42976.548078703701</v>
      </c>
      <c r="H168" s="248">
        <v>42976</v>
      </c>
      <c r="I168" s="247" t="s">
        <v>865</v>
      </c>
      <c r="J168" s="247" t="s">
        <v>610</v>
      </c>
      <c r="K168" s="249">
        <v>1323.7</v>
      </c>
      <c r="L168" s="247" t="s">
        <v>612</v>
      </c>
      <c r="M168" s="249">
        <v>25</v>
      </c>
      <c r="N168" s="249">
        <v>33096.342419496163</v>
      </c>
      <c r="O168" s="247" t="s">
        <v>612</v>
      </c>
      <c r="P168" s="248">
        <v>42976</v>
      </c>
      <c r="Q168" s="247"/>
      <c r="R168" s="247"/>
      <c r="S168" s="247"/>
      <c r="T168" s="247"/>
      <c r="U168" s="248">
        <v>42999</v>
      </c>
      <c r="V168" s="250"/>
      <c r="W168" s="250"/>
      <c r="X168" s="247" t="s">
        <v>866</v>
      </c>
      <c r="Y168" s="247"/>
      <c r="Z168" s="250"/>
      <c r="AA168" s="247" t="s">
        <v>867</v>
      </c>
      <c r="AB168" s="250" t="s">
        <v>868</v>
      </c>
      <c r="AC168" s="247" t="s">
        <v>908</v>
      </c>
      <c r="AD168" s="247"/>
    </row>
    <row r="169" spans="1:30" x14ac:dyDescent="0.25">
      <c r="A169" s="247" t="s">
        <v>909</v>
      </c>
      <c r="B169" s="247" t="s">
        <v>608</v>
      </c>
      <c r="C169" s="247"/>
      <c r="D169" s="247" t="s">
        <v>889</v>
      </c>
      <c r="E169" s="247" t="s">
        <v>766</v>
      </c>
      <c r="F169" s="247" t="s">
        <v>609</v>
      </c>
      <c r="G169" s="248">
        <v>42976.548078703701</v>
      </c>
      <c r="H169" s="248">
        <v>42976</v>
      </c>
      <c r="I169" s="247" t="s">
        <v>865</v>
      </c>
      <c r="J169" s="247" t="s">
        <v>610</v>
      </c>
      <c r="K169" s="249">
        <v>1323.7</v>
      </c>
      <c r="L169" s="247" t="s">
        <v>612</v>
      </c>
      <c r="M169" s="249">
        <v>1</v>
      </c>
      <c r="N169" s="249">
        <v>1323.85369677985</v>
      </c>
      <c r="O169" s="247" t="s">
        <v>612</v>
      </c>
      <c r="P169" s="248">
        <v>42976</v>
      </c>
      <c r="Q169" s="247"/>
      <c r="R169" s="247"/>
      <c r="S169" s="247"/>
      <c r="T169" s="247"/>
      <c r="U169" s="248">
        <v>42999</v>
      </c>
      <c r="V169" s="250"/>
      <c r="W169" s="250"/>
      <c r="X169" s="247" t="s">
        <v>866</v>
      </c>
      <c r="Y169" s="247"/>
      <c r="Z169" s="250"/>
      <c r="AA169" s="247" t="s">
        <v>867</v>
      </c>
      <c r="AB169" s="250" t="s">
        <v>868</v>
      </c>
      <c r="AC169" s="247" t="s">
        <v>910</v>
      </c>
      <c r="AD169" s="247"/>
    </row>
    <row r="170" spans="1:30" x14ac:dyDescent="0.25">
      <c r="A170" s="247" t="s">
        <v>911</v>
      </c>
      <c r="B170" s="247" t="s">
        <v>608</v>
      </c>
      <c r="C170" s="247"/>
      <c r="D170" s="247" t="s">
        <v>889</v>
      </c>
      <c r="E170" s="247" t="s">
        <v>766</v>
      </c>
      <c r="F170" s="247" t="s">
        <v>609</v>
      </c>
      <c r="G170" s="248">
        <v>42976.548067129632</v>
      </c>
      <c r="H170" s="248">
        <v>42976</v>
      </c>
      <c r="I170" s="247" t="s">
        <v>865</v>
      </c>
      <c r="J170" s="247" t="s">
        <v>610</v>
      </c>
      <c r="K170" s="249">
        <v>1323.7</v>
      </c>
      <c r="L170" s="247" t="s">
        <v>612</v>
      </c>
      <c r="M170" s="249">
        <v>1</v>
      </c>
      <c r="N170" s="249">
        <v>1323.85369677985</v>
      </c>
      <c r="O170" s="247" t="s">
        <v>612</v>
      </c>
      <c r="P170" s="248">
        <v>42976</v>
      </c>
      <c r="Q170" s="247"/>
      <c r="R170" s="247"/>
      <c r="S170" s="247"/>
      <c r="T170" s="247"/>
      <c r="U170" s="248">
        <v>42999</v>
      </c>
      <c r="V170" s="250"/>
      <c r="W170" s="250"/>
      <c r="X170" s="247" t="s">
        <v>866</v>
      </c>
      <c r="Y170" s="247"/>
      <c r="Z170" s="250"/>
      <c r="AA170" s="247" t="s">
        <v>867</v>
      </c>
      <c r="AB170" s="250" t="s">
        <v>868</v>
      </c>
      <c r="AC170" s="247" t="s">
        <v>912</v>
      </c>
      <c r="AD170" s="247"/>
    </row>
    <row r="171" spans="1:30" x14ac:dyDescent="0.25">
      <c r="A171" s="247" t="s">
        <v>913</v>
      </c>
      <c r="B171" s="247" t="s">
        <v>608</v>
      </c>
      <c r="C171" s="247"/>
      <c r="D171" s="247" t="s">
        <v>889</v>
      </c>
      <c r="E171" s="247" t="s">
        <v>766</v>
      </c>
      <c r="F171" s="247" t="s">
        <v>609</v>
      </c>
      <c r="G171" s="248">
        <v>42976.548067129632</v>
      </c>
      <c r="H171" s="248">
        <v>42976</v>
      </c>
      <c r="I171" s="247" t="s">
        <v>865</v>
      </c>
      <c r="J171" s="247" t="s">
        <v>610</v>
      </c>
      <c r="K171" s="249">
        <v>1323.7</v>
      </c>
      <c r="L171" s="247" t="s">
        <v>612</v>
      </c>
      <c r="M171" s="249">
        <v>1</v>
      </c>
      <c r="N171" s="249">
        <v>1323.85369677985</v>
      </c>
      <c r="O171" s="247" t="s">
        <v>612</v>
      </c>
      <c r="P171" s="248">
        <v>42976</v>
      </c>
      <c r="Q171" s="247"/>
      <c r="R171" s="247"/>
      <c r="S171" s="247"/>
      <c r="T171" s="247"/>
      <c r="U171" s="248">
        <v>42999</v>
      </c>
      <c r="V171" s="250"/>
      <c r="W171" s="250"/>
      <c r="X171" s="247" t="s">
        <v>866</v>
      </c>
      <c r="Y171" s="247"/>
      <c r="Z171" s="250"/>
      <c r="AA171" s="247" t="s">
        <v>867</v>
      </c>
      <c r="AB171" s="250" t="s">
        <v>868</v>
      </c>
      <c r="AC171" s="247" t="s">
        <v>914</v>
      </c>
      <c r="AD171" s="247"/>
    </row>
    <row r="172" spans="1:30" x14ac:dyDescent="0.25">
      <c r="A172" s="247" t="s">
        <v>915</v>
      </c>
      <c r="B172" s="247" t="s">
        <v>608</v>
      </c>
      <c r="C172" s="247"/>
      <c r="D172" s="247" t="s">
        <v>889</v>
      </c>
      <c r="E172" s="247" t="s">
        <v>766</v>
      </c>
      <c r="F172" s="247" t="s">
        <v>609</v>
      </c>
      <c r="G172" s="248">
        <v>42976.548067129632</v>
      </c>
      <c r="H172" s="248">
        <v>42976</v>
      </c>
      <c r="I172" s="247" t="s">
        <v>865</v>
      </c>
      <c r="J172" s="247" t="s">
        <v>610</v>
      </c>
      <c r="K172" s="249">
        <v>1323.7</v>
      </c>
      <c r="L172" s="247" t="s">
        <v>612</v>
      </c>
      <c r="M172" s="249">
        <v>2</v>
      </c>
      <c r="N172" s="249">
        <v>2647.70739355969</v>
      </c>
      <c r="O172" s="247" t="s">
        <v>612</v>
      </c>
      <c r="P172" s="248">
        <v>42976</v>
      </c>
      <c r="Q172" s="247"/>
      <c r="R172" s="247"/>
      <c r="S172" s="247"/>
      <c r="T172" s="247"/>
      <c r="U172" s="248">
        <v>42999</v>
      </c>
      <c r="V172" s="250"/>
      <c r="W172" s="250"/>
      <c r="X172" s="247" t="s">
        <v>866</v>
      </c>
      <c r="Y172" s="247"/>
      <c r="Z172" s="250"/>
      <c r="AA172" s="247" t="s">
        <v>867</v>
      </c>
      <c r="AB172" s="250" t="s">
        <v>868</v>
      </c>
      <c r="AC172" s="247" t="s">
        <v>916</v>
      </c>
      <c r="AD172" s="247"/>
    </row>
    <row r="173" spans="1:30" x14ac:dyDescent="0.25">
      <c r="A173" s="247" t="s">
        <v>917</v>
      </c>
      <c r="B173" s="247" t="s">
        <v>608</v>
      </c>
      <c r="C173" s="247"/>
      <c r="D173" s="247" t="s">
        <v>889</v>
      </c>
      <c r="E173" s="247" t="s">
        <v>766</v>
      </c>
      <c r="F173" s="247" t="s">
        <v>609</v>
      </c>
      <c r="G173" s="248">
        <v>42976.548067129632</v>
      </c>
      <c r="H173" s="248">
        <v>42976</v>
      </c>
      <c r="I173" s="247" t="s">
        <v>865</v>
      </c>
      <c r="J173" s="247" t="s">
        <v>610</v>
      </c>
      <c r="K173" s="249">
        <v>1323.7</v>
      </c>
      <c r="L173" s="247" t="s">
        <v>612</v>
      </c>
      <c r="M173" s="249">
        <v>3</v>
      </c>
      <c r="N173" s="249">
        <v>3971.56109033954</v>
      </c>
      <c r="O173" s="247" t="s">
        <v>612</v>
      </c>
      <c r="P173" s="248">
        <v>42976</v>
      </c>
      <c r="Q173" s="247"/>
      <c r="R173" s="247"/>
      <c r="S173" s="247"/>
      <c r="T173" s="247"/>
      <c r="U173" s="248">
        <v>42999</v>
      </c>
      <c r="V173" s="250"/>
      <c r="W173" s="250"/>
      <c r="X173" s="247" t="s">
        <v>866</v>
      </c>
      <c r="Y173" s="247"/>
      <c r="Z173" s="250"/>
      <c r="AA173" s="247" t="s">
        <v>867</v>
      </c>
      <c r="AB173" s="250" t="s">
        <v>868</v>
      </c>
      <c r="AC173" s="247" t="s">
        <v>918</v>
      </c>
      <c r="AD173" s="247"/>
    </row>
    <row r="174" spans="1:30" x14ac:dyDescent="0.25">
      <c r="A174" s="247" t="s">
        <v>919</v>
      </c>
      <c r="B174" s="247" t="s">
        <v>608</v>
      </c>
      <c r="C174" s="247"/>
      <c r="D174" s="247" t="s">
        <v>920</v>
      </c>
      <c r="E174" s="247" t="s">
        <v>784</v>
      </c>
      <c r="F174" s="247" t="s">
        <v>609</v>
      </c>
      <c r="G174" s="248">
        <v>42976.547442129631</v>
      </c>
      <c r="H174" s="248">
        <v>42976</v>
      </c>
      <c r="I174" s="247" t="s">
        <v>865</v>
      </c>
      <c r="J174" s="247" t="s">
        <v>610</v>
      </c>
      <c r="K174" s="249">
        <v>1323.7</v>
      </c>
      <c r="L174" s="247" t="s">
        <v>612</v>
      </c>
      <c r="M174" s="249">
        <v>46</v>
      </c>
      <c r="N174" s="249">
        <v>60897.27005187294</v>
      </c>
      <c r="O174" s="247" t="s">
        <v>612</v>
      </c>
      <c r="P174" s="248">
        <v>42976</v>
      </c>
      <c r="Q174" s="247"/>
      <c r="R174" s="247"/>
      <c r="S174" s="247"/>
      <c r="T174" s="247"/>
      <c r="U174" s="248">
        <v>42999</v>
      </c>
      <c r="V174" s="250"/>
      <c r="W174" s="250"/>
      <c r="X174" s="247" t="s">
        <v>866</v>
      </c>
      <c r="Y174" s="247"/>
      <c r="Z174" s="250"/>
      <c r="AA174" s="247" t="s">
        <v>867</v>
      </c>
      <c r="AB174" s="250" t="s">
        <v>868</v>
      </c>
      <c r="AC174" s="247" t="s">
        <v>921</v>
      </c>
      <c r="AD174" s="247"/>
    </row>
    <row r="175" spans="1:30" x14ac:dyDescent="0.25">
      <c r="A175" s="247" t="s">
        <v>922</v>
      </c>
      <c r="B175" s="247" t="s">
        <v>608</v>
      </c>
      <c r="C175" s="247"/>
      <c r="D175" s="247" t="s">
        <v>920</v>
      </c>
      <c r="E175" s="247" t="s">
        <v>784</v>
      </c>
      <c r="F175" s="247" t="s">
        <v>609</v>
      </c>
      <c r="G175" s="248">
        <v>42976.547442129631</v>
      </c>
      <c r="H175" s="248">
        <v>42976</v>
      </c>
      <c r="I175" s="247" t="s">
        <v>865</v>
      </c>
      <c r="J175" s="247" t="s">
        <v>610</v>
      </c>
      <c r="K175" s="249">
        <v>1323.6</v>
      </c>
      <c r="L175" s="247" t="s">
        <v>612</v>
      </c>
      <c r="M175" s="249">
        <v>1</v>
      </c>
      <c r="N175" s="249">
        <v>1323.75377688656</v>
      </c>
      <c r="O175" s="247" t="s">
        <v>612</v>
      </c>
      <c r="P175" s="248">
        <v>42976</v>
      </c>
      <c r="Q175" s="247"/>
      <c r="R175" s="247"/>
      <c r="S175" s="247"/>
      <c r="T175" s="247"/>
      <c r="U175" s="248">
        <v>42999</v>
      </c>
      <c r="V175" s="250"/>
      <c r="W175" s="250"/>
      <c r="X175" s="247" t="s">
        <v>866</v>
      </c>
      <c r="Y175" s="247"/>
      <c r="Z175" s="250"/>
      <c r="AA175" s="247" t="s">
        <v>867</v>
      </c>
      <c r="AB175" s="250" t="s">
        <v>868</v>
      </c>
      <c r="AC175" s="247" t="s">
        <v>923</v>
      </c>
      <c r="AD175" s="247"/>
    </row>
    <row r="176" spans="1:30" x14ac:dyDescent="0.25">
      <c r="A176" s="247" t="s">
        <v>924</v>
      </c>
      <c r="B176" s="247" t="s">
        <v>608</v>
      </c>
      <c r="C176" s="247"/>
      <c r="D176" s="247" t="s">
        <v>920</v>
      </c>
      <c r="E176" s="247" t="s">
        <v>784</v>
      </c>
      <c r="F176" s="247" t="s">
        <v>609</v>
      </c>
      <c r="G176" s="248">
        <v>42976.547442129631</v>
      </c>
      <c r="H176" s="248">
        <v>42976</v>
      </c>
      <c r="I176" s="247" t="s">
        <v>865</v>
      </c>
      <c r="J176" s="247" t="s">
        <v>610</v>
      </c>
      <c r="K176" s="249">
        <v>1323.6</v>
      </c>
      <c r="L176" s="247" t="s">
        <v>612</v>
      </c>
      <c r="M176" s="249">
        <v>10</v>
      </c>
      <c r="N176" s="249">
        <v>13237.537768865641</v>
      </c>
      <c r="O176" s="247" t="s">
        <v>612</v>
      </c>
      <c r="P176" s="248">
        <v>42976</v>
      </c>
      <c r="Q176" s="247"/>
      <c r="R176" s="247"/>
      <c r="S176" s="247"/>
      <c r="T176" s="247"/>
      <c r="U176" s="248">
        <v>42999</v>
      </c>
      <c r="V176" s="250"/>
      <c r="W176" s="250"/>
      <c r="X176" s="247" t="s">
        <v>866</v>
      </c>
      <c r="Y176" s="247"/>
      <c r="Z176" s="250"/>
      <c r="AA176" s="247" t="s">
        <v>867</v>
      </c>
      <c r="AB176" s="250" t="s">
        <v>868</v>
      </c>
      <c r="AC176" s="247" t="s">
        <v>925</v>
      </c>
      <c r="AD176" s="247"/>
    </row>
    <row r="177" spans="1:30" x14ac:dyDescent="0.25">
      <c r="A177" s="247" t="s">
        <v>926</v>
      </c>
      <c r="B177" s="247" t="s">
        <v>608</v>
      </c>
      <c r="C177" s="247"/>
      <c r="D177" s="247" t="s">
        <v>927</v>
      </c>
      <c r="E177" s="247" t="s">
        <v>788</v>
      </c>
      <c r="F177" s="247" t="s">
        <v>609</v>
      </c>
      <c r="G177" s="248">
        <v>42976.54724537037</v>
      </c>
      <c r="H177" s="248">
        <v>42976</v>
      </c>
      <c r="I177" s="247" t="s">
        <v>865</v>
      </c>
      <c r="J177" s="247" t="s">
        <v>610</v>
      </c>
      <c r="K177" s="249">
        <v>1323.7</v>
      </c>
      <c r="L177" s="247" t="s">
        <v>612</v>
      </c>
      <c r="M177" s="249">
        <v>13</v>
      </c>
      <c r="N177" s="249">
        <v>17210.09805813801</v>
      </c>
      <c r="O177" s="247" t="s">
        <v>612</v>
      </c>
      <c r="P177" s="248">
        <v>42976</v>
      </c>
      <c r="Q177" s="247"/>
      <c r="R177" s="247"/>
      <c r="S177" s="247"/>
      <c r="T177" s="247"/>
      <c r="U177" s="248">
        <v>42999</v>
      </c>
      <c r="V177" s="250"/>
      <c r="W177" s="250"/>
      <c r="X177" s="247" t="s">
        <v>866</v>
      </c>
      <c r="Y177" s="247"/>
      <c r="Z177" s="250"/>
      <c r="AA177" s="247" t="s">
        <v>867</v>
      </c>
      <c r="AB177" s="250" t="s">
        <v>868</v>
      </c>
      <c r="AC177" s="247" t="s">
        <v>928</v>
      </c>
      <c r="AD177" s="247"/>
    </row>
    <row r="178" spans="1:30" x14ac:dyDescent="0.25">
      <c r="A178" s="247" t="s">
        <v>929</v>
      </c>
      <c r="B178" s="247" t="s">
        <v>608</v>
      </c>
      <c r="C178" s="247"/>
      <c r="D178" s="247" t="s">
        <v>927</v>
      </c>
      <c r="E178" s="247" t="s">
        <v>788</v>
      </c>
      <c r="F178" s="247" t="s">
        <v>609</v>
      </c>
      <c r="G178" s="248">
        <v>42976.54724537037</v>
      </c>
      <c r="H178" s="248">
        <v>42976</v>
      </c>
      <c r="I178" s="247" t="s">
        <v>865</v>
      </c>
      <c r="J178" s="247" t="s">
        <v>610</v>
      </c>
      <c r="K178" s="249">
        <v>1323.7</v>
      </c>
      <c r="L178" s="247" t="s">
        <v>612</v>
      </c>
      <c r="M178" s="249">
        <v>2</v>
      </c>
      <c r="N178" s="249">
        <v>2647.70739355969</v>
      </c>
      <c r="O178" s="247" t="s">
        <v>612</v>
      </c>
      <c r="P178" s="248">
        <v>42976</v>
      </c>
      <c r="Q178" s="247"/>
      <c r="R178" s="247"/>
      <c r="S178" s="247"/>
      <c r="T178" s="247"/>
      <c r="U178" s="248">
        <v>42999</v>
      </c>
      <c r="V178" s="250"/>
      <c r="W178" s="250"/>
      <c r="X178" s="247" t="s">
        <v>866</v>
      </c>
      <c r="Y178" s="247"/>
      <c r="Z178" s="250"/>
      <c r="AA178" s="247" t="s">
        <v>867</v>
      </c>
      <c r="AB178" s="250" t="s">
        <v>868</v>
      </c>
      <c r="AC178" s="247" t="s">
        <v>930</v>
      </c>
      <c r="AD178" s="247"/>
    </row>
    <row r="179" spans="1:30" x14ac:dyDescent="0.25">
      <c r="A179" s="247" t="s">
        <v>931</v>
      </c>
      <c r="B179" s="247" t="s">
        <v>608</v>
      </c>
      <c r="C179" s="247"/>
      <c r="D179" s="247" t="s">
        <v>927</v>
      </c>
      <c r="E179" s="247" t="s">
        <v>788</v>
      </c>
      <c r="F179" s="247" t="s">
        <v>609</v>
      </c>
      <c r="G179" s="248">
        <v>42976.54724537037</v>
      </c>
      <c r="H179" s="248">
        <v>42976</v>
      </c>
      <c r="I179" s="247" t="s">
        <v>865</v>
      </c>
      <c r="J179" s="247" t="s">
        <v>610</v>
      </c>
      <c r="K179" s="249">
        <v>1323.7</v>
      </c>
      <c r="L179" s="247" t="s">
        <v>612</v>
      </c>
      <c r="M179" s="249">
        <v>2</v>
      </c>
      <c r="N179" s="249">
        <v>2647.70739355969</v>
      </c>
      <c r="O179" s="247" t="s">
        <v>612</v>
      </c>
      <c r="P179" s="248">
        <v>42976</v>
      </c>
      <c r="Q179" s="247"/>
      <c r="R179" s="247"/>
      <c r="S179" s="247"/>
      <c r="T179" s="247"/>
      <c r="U179" s="248">
        <v>42999</v>
      </c>
      <c r="V179" s="250"/>
      <c r="W179" s="250"/>
      <c r="X179" s="247" t="s">
        <v>866</v>
      </c>
      <c r="Y179" s="247"/>
      <c r="Z179" s="250"/>
      <c r="AA179" s="247" t="s">
        <v>867</v>
      </c>
      <c r="AB179" s="250" t="s">
        <v>868</v>
      </c>
      <c r="AC179" s="247" t="s">
        <v>932</v>
      </c>
      <c r="AD179" s="247"/>
    </row>
    <row r="180" spans="1:30" x14ac:dyDescent="0.25">
      <c r="A180" s="247" t="s">
        <v>933</v>
      </c>
      <c r="B180" s="247" t="s">
        <v>608</v>
      </c>
      <c r="C180" s="247"/>
      <c r="D180" s="247" t="s">
        <v>927</v>
      </c>
      <c r="E180" s="247" t="s">
        <v>788</v>
      </c>
      <c r="F180" s="247" t="s">
        <v>609</v>
      </c>
      <c r="G180" s="248">
        <v>42976.54724537037</v>
      </c>
      <c r="H180" s="248">
        <v>42976</v>
      </c>
      <c r="I180" s="247" t="s">
        <v>865</v>
      </c>
      <c r="J180" s="247" t="s">
        <v>610</v>
      </c>
      <c r="K180" s="249">
        <v>1323.7</v>
      </c>
      <c r="L180" s="247" t="s">
        <v>612</v>
      </c>
      <c r="M180" s="249">
        <v>20</v>
      </c>
      <c r="N180" s="249">
        <v>26477.073935596931</v>
      </c>
      <c r="O180" s="247" t="s">
        <v>612</v>
      </c>
      <c r="P180" s="248">
        <v>42976</v>
      </c>
      <c r="Q180" s="247"/>
      <c r="R180" s="247"/>
      <c r="S180" s="247"/>
      <c r="T180" s="247"/>
      <c r="U180" s="248">
        <v>42999</v>
      </c>
      <c r="V180" s="250"/>
      <c r="W180" s="250"/>
      <c r="X180" s="247" t="s">
        <v>866</v>
      </c>
      <c r="Y180" s="247"/>
      <c r="Z180" s="250"/>
      <c r="AA180" s="247" t="s">
        <v>867</v>
      </c>
      <c r="AB180" s="250" t="s">
        <v>868</v>
      </c>
      <c r="AC180" s="247" t="s">
        <v>934</v>
      </c>
      <c r="AD180" s="247"/>
    </row>
    <row r="181" spans="1:30" x14ac:dyDescent="0.25">
      <c r="A181" s="247" t="s">
        <v>935</v>
      </c>
      <c r="B181" s="247" t="s">
        <v>608</v>
      </c>
      <c r="C181" s="247"/>
      <c r="D181" s="247" t="s">
        <v>927</v>
      </c>
      <c r="E181" s="247" t="s">
        <v>788</v>
      </c>
      <c r="F181" s="247" t="s">
        <v>609</v>
      </c>
      <c r="G181" s="248">
        <v>42976.54724537037</v>
      </c>
      <c r="H181" s="248">
        <v>42976</v>
      </c>
      <c r="I181" s="247" t="s">
        <v>865</v>
      </c>
      <c r="J181" s="247" t="s">
        <v>610</v>
      </c>
      <c r="K181" s="249">
        <v>1323.7</v>
      </c>
      <c r="L181" s="247" t="s">
        <v>612</v>
      </c>
      <c r="M181" s="249">
        <v>14</v>
      </c>
      <c r="N181" s="249">
        <v>18533.951754917849</v>
      </c>
      <c r="O181" s="247" t="s">
        <v>612</v>
      </c>
      <c r="P181" s="248">
        <v>42976</v>
      </c>
      <c r="Q181" s="247"/>
      <c r="R181" s="247"/>
      <c r="S181" s="247"/>
      <c r="T181" s="247"/>
      <c r="U181" s="248">
        <v>42999</v>
      </c>
      <c r="V181" s="250"/>
      <c r="W181" s="250"/>
      <c r="X181" s="247" t="s">
        <v>866</v>
      </c>
      <c r="Y181" s="247"/>
      <c r="Z181" s="250"/>
      <c r="AA181" s="247" t="s">
        <v>867</v>
      </c>
      <c r="AB181" s="250" t="s">
        <v>868</v>
      </c>
      <c r="AC181" s="247" t="s">
        <v>936</v>
      </c>
      <c r="AD181" s="247"/>
    </row>
    <row r="182" spans="1:30" x14ac:dyDescent="0.25">
      <c r="A182" s="247" t="s">
        <v>937</v>
      </c>
      <c r="B182" s="247" t="s">
        <v>608</v>
      </c>
      <c r="C182" s="247"/>
      <c r="D182" s="247" t="s">
        <v>927</v>
      </c>
      <c r="E182" s="247" t="s">
        <v>788</v>
      </c>
      <c r="F182" s="247" t="s">
        <v>609</v>
      </c>
      <c r="G182" s="248">
        <v>42976.54724537037</v>
      </c>
      <c r="H182" s="248">
        <v>42976</v>
      </c>
      <c r="I182" s="247" t="s">
        <v>865</v>
      </c>
      <c r="J182" s="247" t="s">
        <v>610</v>
      </c>
      <c r="K182" s="249">
        <v>1323.7</v>
      </c>
      <c r="L182" s="247" t="s">
        <v>612</v>
      </c>
      <c r="M182" s="249">
        <v>1</v>
      </c>
      <c r="N182" s="249">
        <v>1323.85369677985</v>
      </c>
      <c r="O182" s="247" t="s">
        <v>612</v>
      </c>
      <c r="P182" s="248">
        <v>42976</v>
      </c>
      <c r="Q182" s="247"/>
      <c r="R182" s="247"/>
      <c r="S182" s="247"/>
      <c r="T182" s="247"/>
      <c r="U182" s="248">
        <v>42999</v>
      </c>
      <c r="V182" s="250"/>
      <c r="W182" s="250"/>
      <c r="X182" s="247" t="s">
        <v>866</v>
      </c>
      <c r="Y182" s="247"/>
      <c r="Z182" s="250"/>
      <c r="AA182" s="247" t="s">
        <v>867</v>
      </c>
      <c r="AB182" s="250" t="s">
        <v>868</v>
      </c>
      <c r="AC182" s="247" t="s">
        <v>938</v>
      </c>
      <c r="AD182" s="247"/>
    </row>
    <row r="183" spans="1:30" x14ac:dyDescent="0.25">
      <c r="A183" s="247" t="s">
        <v>939</v>
      </c>
      <c r="B183" s="247" t="s">
        <v>608</v>
      </c>
      <c r="C183" s="247"/>
      <c r="D183" s="247" t="s">
        <v>927</v>
      </c>
      <c r="E183" s="247" t="s">
        <v>788</v>
      </c>
      <c r="F183" s="247" t="s">
        <v>609</v>
      </c>
      <c r="G183" s="248">
        <v>42976.54724537037</v>
      </c>
      <c r="H183" s="248">
        <v>42976</v>
      </c>
      <c r="I183" s="247" t="s">
        <v>865</v>
      </c>
      <c r="J183" s="247" t="s">
        <v>610</v>
      </c>
      <c r="K183" s="249">
        <v>1323.7</v>
      </c>
      <c r="L183" s="247" t="s">
        <v>612</v>
      </c>
      <c r="M183" s="249">
        <v>2</v>
      </c>
      <c r="N183" s="249">
        <v>2647.70739355969</v>
      </c>
      <c r="O183" s="247" t="s">
        <v>612</v>
      </c>
      <c r="P183" s="248">
        <v>42976</v>
      </c>
      <c r="Q183" s="247"/>
      <c r="R183" s="247"/>
      <c r="S183" s="247"/>
      <c r="T183" s="247"/>
      <c r="U183" s="248">
        <v>42999</v>
      </c>
      <c r="V183" s="250"/>
      <c r="W183" s="250"/>
      <c r="X183" s="247" t="s">
        <v>866</v>
      </c>
      <c r="Y183" s="247"/>
      <c r="Z183" s="250"/>
      <c r="AA183" s="247" t="s">
        <v>867</v>
      </c>
      <c r="AB183" s="250" t="s">
        <v>868</v>
      </c>
      <c r="AC183" s="247" t="s">
        <v>940</v>
      </c>
      <c r="AD183" s="247"/>
    </row>
    <row r="184" spans="1:30" x14ac:dyDescent="0.25">
      <c r="A184" s="247" t="s">
        <v>941</v>
      </c>
      <c r="B184" s="247" t="s">
        <v>608</v>
      </c>
      <c r="C184" s="247"/>
      <c r="D184" s="247" t="s">
        <v>927</v>
      </c>
      <c r="E184" s="247" t="s">
        <v>788</v>
      </c>
      <c r="F184" s="247" t="s">
        <v>609</v>
      </c>
      <c r="G184" s="248">
        <v>42976.54724537037</v>
      </c>
      <c r="H184" s="248">
        <v>42976</v>
      </c>
      <c r="I184" s="247" t="s">
        <v>865</v>
      </c>
      <c r="J184" s="247" t="s">
        <v>610</v>
      </c>
      <c r="K184" s="249">
        <v>1323.7</v>
      </c>
      <c r="L184" s="247" t="s">
        <v>612</v>
      </c>
      <c r="M184" s="249">
        <v>2</v>
      </c>
      <c r="N184" s="249">
        <v>2647.70739355969</v>
      </c>
      <c r="O184" s="247" t="s">
        <v>612</v>
      </c>
      <c r="P184" s="248">
        <v>42976</v>
      </c>
      <c r="Q184" s="247"/>
      <c r="R184" s="247"/>
      <c r="S184" s="247"/>
      <c r="T184" s="247"/>
      <c r="U184" s="248">
        <v>42999</v>
      </c>
      <c r="V184" s="250"/>
      <c r="W184" s="250"/>
      <c r="X184" s="247" t="s">
        <v>866</v>
      </c>
      <c r="Y184" s="247"/>
      <c r="Z184" s="250"/>
      <c r="AA184" s="247" t="s">
        <v>867</v>
      </c>
      <c r="AB184" s="250" t="s">
        <v>868</v>
      </c>
      <c r="AC184" s="247" t="s">
        <v>942</v>
      </c>
      <c r="AD184" s="247"/>
    </row>
    <row r="185" spans="1:30" x14ac:dyDescent="0.25">
      <c r="A185" s="247" t="s">
        <v>943</v>
      </c>
      <c r="B185" s="247" t="s">
        <v>608</v>
      </c>
      <c r="C185" s="247"/>
      <c r="D185" s="247" t="s">
        <v>927</v>
      </c>
      <c r="E185" s="247" t="s">
        <v>788</v>
      </c>
      <c r="F185" s="247" t="s">
        <v>609</v>
      </c>
      <c r="G185" s="248">
        <v>42976.54724537037</v>
      </c>
      <c r="H185" s="248">
        <v>42976</v>
      </c>
      <c r="I185" s="247" t="s">
        <v>865</v>
      </c>
      <c r="J185" s="247" t="s">
        <v>610</v>
      </c>
      <c r="K185" s="249">
        <v>1323.6</v>
      </c>
      <c r="L185" s="247" t="s">
        <v>612</v>
      </c>
      <c r="M185" s="249">
        <v>14</v>
      </c>
      <c r="N185" s="249">
        <v>18532.552876411901</v>
      </c>
      <c r="O185" s="247" t="s">
        <v>612</v>
      </c>
      <c r="P185" s="248">
        <v>42976</v>
      </c>
      <c r="Q185" s="247"/>
      <c r="R185" s="247"/>
      <c r="S185" s="247"/>
      <c r="T185" s="247"/>
      <c r="U185" s="248">
        <v>42999</v>
      </c>
      <c r="V185" s="250"/>
      <c r="W185" s="250"/>
      <c r="X185" s="247" t="s">
        <v>866</v>
      </c>
      <c r="Y185" s="247"/>
      <c r="Z185" s="250"/>
      <c r="AA185" s="247" t="s">
        <v>867</v>
      </c>
      <c r="AB185" s="250" t="s">
        <v>868</v>
      </c>
      <c r="AC185" s="247" t="s">
        <v>944</v>
      </c>
      <c r="AD185" s="247"/>
    </row>
    <row r="186" spans="1:30" x14ac:dyDescent="0.25">
      <c r="A186" s="247" t="s">
        <v>945</v>
      </c>
      <c r="B186" s="247" t="s">
        <v>608</v>
      </c>
      <c r="C186" s="247"/>
      <c r="D186" s="247" t="s">
        <v>927</v>
      </c>
      <c r="E186" s="247" t="s">
        <v>788</v>
      </c>
      <c r="F186" s="247" t="s">
        <v>609</v>
      </c>
      <c r="G186" s="248">
        <v>42976.54724537037</v>
      </c>
      <c r="H186" s="248">
        <v>42976</v>
      </c>
      <c r="I186" s="247" t="s">
        <v>865</v>
      </c>
      <c r="J186" s="247" t="s">
        <v>610</v>
      </c>
      <c r="K186" s="249">
        <v>1323.6</v>
      </c>
      <c r="L186" s="247" t="s">
        <v>612</v>
      </c>
      <c r="M186" s="249">
        <v>20</v>
      </c>
      <c r="N186" s="249">
        <v>26475.075537731289</v>
      </c>
      <c r="O186" s="247" t="s">
        <v>612</v>
      </c>
      <c r="P186" s="248">
        <v>42976</v>
      </c>
      <c r="Q186" s="247"/>
      <c r="R186" s="247"/>
      <c r="S186" s="247"/>
      <c r="T186" s="247"/>
      <c r="U186" s="248">
        <v>42999</v>
      </c>
      <c r="V186" s="250"/>
      <c r="W186" s="250"/>
      <c r="X186" s="247" t="s">
        <v>866</v>
      </c>
      <c r="Y186" s="247"/>
      <c r="Z186" s="250"/>
      <c r="AA186" s="247" t="s">
        <v>867</v>
      </c>
      <c r="AB186" s="250" t="s">
        <v>868</v>
      </c>
      <c r="AC186" s="247" t="s">
        <v>946</v>
      </c>
      <c r="AD186" s="247"/>
    </row>
    <row r="187" spans="1:30" x14ac:dyDescent="0.25">
      <c r="A187" s="247" t="s">
        <v>947</v>
      </c>
      <c r="B187" s="247" t="s">
        <v>608</v>
      </c>
      <c r="C187" s="247"/>
      <c r="D187" s="247" t="s">
        <v>927</v>
      </c>
      <c r="E187" s="247" t="s">
        <v>788</v>
      </c>
      <c r="F187" s="247" t="s">
        <v>609</v>
      </c>
      <c r="G187" s="248">
        <v>42976.547233796293</v>
      </c>
      <c r="H187" s="248">
        <v>42976</v>
      </c>
      <c r="I187" s="247" t="s">
        <v>865</v>
      </c>
      <c r="J187" s="247" t="s">
        <v>610</v>
      </c>
      <c r="K187" s="249">
        <v>1323.6</v>
      </c>
      <c r="L187" s="247" t="s">
        <v>612</v>
      </c>
      <c r="M187" s="249">
        <v>5</v>
      </c>
      <c r="N187" s="249">
        <v>6618.7688844328204</v>
      </c>
      <c r="O187" s="247" t="s">
        <v>612</v>
      </c>
      <c r="P187" s="248">
        <v>42976</v>
      </c>
      <c r="Q187" s="247"/>
      <c r="R187" s="247"/>
      <c r="S187" s="247"/>
      <c r="T187" s="247"/>
      <c r="U187" s="248">
        <v>42999</v>
      </c>
      <c r="V187" s="250"/>
      <c r="W187" s="250"/>
      <c r="X187" s="247" t="s">
        <v>866</v>
      </c>
      <c r="Y187" s="247"/>
      <c r="Z187" s="250"/>
      <c r="AA187" s="247" t="s">
        <v>867</v>
      </c>
      <c r="AB187" s="250" t="s">
        <v>868</v>
      </c>
      <c r="AC187" s="247" t="s">
        <v>948</v>
      </c>
      <c r="AD187" s="247"/>
    </row>
    <row r="188" spans="1:30" x14ac:dyDescent="0.25">
      <c r="A188" s="247" t="s">
        <v>949</v>
      </c>
      <c r="B188" s="247" t="s">
        <v>608</v>
      </c>
      <c r="C188" s="247"/>
      <c r="D188" s="247" t="s">
        <v>927</v>
      </c>
      <c r="E188" s="247" t="s">
        <v>788</v>
      </c>
      <c r="F188" s="247" t="s">
        <v>609</v>
      </c>
      <c r="G188" s="248">
        <v>42976.547233796293</v>
      </c>
      <c r="H188" s="248">
        <v>42976</v>
      </c>
      <c r="I188" s="247" t="s">
        <v>865</v>
      </c>
      <c r="J188" s="247" t="s">
        <v>610</v>
      </c>
      <c r="K188" s="249">
        <v>1323.6</v>
      </c>
      <c r="L188" s="247" t="s">
        <v>612</v>
      </c>
      <c r="M188" s="249">
        <v>50</v>
      </c>
      <c r="N188" s="249">
        <v>66187.688844328222</v>
      </c>
      <c r="O188" s="247" t="s">
        <v>612</v>
      </c>
      <c r="P188" s="248">
        <v>42976</v>
      </c>
      <c r="Q188" s="247"/>
      <c r="R188" s="247"/>
      <c r="S188" s="247"/>
      <c r="T188" s="247"/>
      <c r="U188" s="248">
        <v>42999</v>
      </c>
      <c r="V188" s="250"/>
      <c r="W188" s="250"/>
      <c r="X188" s="247" t="s">
        <v>866</v>
      </c>
      <c r="Y188" s="247"/>
      <c r="Z188" s="250"/>
      <c r="AA188" s="247" t="s">
        <v>867</v>
      </c>
      <c r="AB188" s="250" t="s">
        <v>868</v>
      </c>
      <c r="AC188" s="247" t="s">
        <v>950</v>
      </c>
      <c r="AD188" s="247"/>
    </row>
    <row r="189" spans="1:30" x14ac:dyDescent="0.25">
      <c r="A189" s="247" t="s">
        <v>951</v>
      </c>
      <c r="B189" s="247" t="s">
        <v>608</v>
      </c>
      <c r="C189" s="247"/>
      <c r="D189" s="247" t="s">
        <v>927</v>
      </c>
      <c r="E189" s="247" t="s">
        <v>788</v>
      </c>
      <c r="F189" s="247" t="s">
        <v>609</v>
      </c>
      <c r="G189" s="248">
        <v>42976.547233796293</v>
      </c>
      <c r="H189" s="248">
        <v>42976</v>
      </c>
      <c r="I189" s="247" t="s">
        <v>865</v>
      </c>
      <c r="J189" s="247" t="s">
        <v>610</v>
      </c>
      <c r="K189" s="249">
        <v>1323.6</v>
      </c>
      <c r="L189" s="247" t="s">
        <v>612</v>
      </c>
      <c r="M189" s="249">
        <v>18</v>
      </c>
      <c r="N189" s="249">
        <v>23827.567983958161</v>
      </c>
      <c r="O189" s="247" t="s">
        <v>612</v>
      </c>
      <c r="P189" s="248">
        <v>42976</v>
      </c>
      <c r="Q189" s="247"/>
      <c r="R189" s="247"/>
      <c r="S189" s="247"/>
      <c r="T189" s="247"/>
      <c r="U189" s="248">
        <v>42999</v>
      </c>
      <c r="V189" s="250"/>
      <c r="W189" s="250"/>
      <c r="X189" s="247" t="s">
        <v>866</v>
      </c>
      <c r="Y189" s="247"/>
      <c r="Z189" s="250"/>
      <c r="AA189" s="247" t="s">
        <v>867</v>
      </c>
      <c r="AB189" s="250" t="s">
        <v>868</v>
      </c>
      <c r="AC189" s="247" t="s">
        <v>952</v>
      </c>
      <c r="AD189" s="247"/>
    </row>
    <row r="190" spans="1:30" x14ac:dyDescent="0.25">
      <c r="A190" s="247" t="s">
        <v>953</v>
      </c>
      <c r="B190" s="247" t="s">
        <v>608</v>
      </c>
      <c r="C190" s="247"/>
      <c r="D190" s="247" t="s">
        <v>927</v>
      </c>
      <c r="E190" s="247" t="s">
        <v>788</v>
      </c>
      <c r="F190" s="247" t="s">
        <v>609</v>
      </c>
      <c r="G190" s="248">
        <v>42976.547233796293</v>
      </c>
      <c r="H190" s="248">
        <v>42976</v>
      </c>
      <c r="I190" s="247" t="s">
        <v>865</v>
      </c>
      <c r="J190" s="247" t="s">
        <v>610</v>
      </c>
      <c r="K190" s="249">
        <v>1323.6</v>
      </c>
      <c r="L190" s="247" t="s">
        <v>612</v>
      </c>
      <c r="M190" s="249">
        <v>82</v>
      </c>
      <c r="N190" s="249">
        <v>108547.80970469827</v>
      </c>
      <c r="O190" s="247" t="s">
        <v>612</v>
      </c>
      <c r="P190" s="248">
        <v>42976</v>
      </c>
      <c r="Q190" s="247"/>
      <c r="R190" s="247"/>
      <c r="S190" s="247"/>
      <c r="T190" s="247"/>
      <c r="U190" s="248">
        <v>42999</v>
      </c>
      <c r="V190" s="250"/>
      <c r="W190" s="250"/>
      <c r="X190" s="247" t="s">
        <v>866</v>
      </c>
      <c r="Y190" s="247"/>
      <c r="Z190" s="250"/>
      <c r="AA190" s="247" t="s">
        <v>867</v>
      </c>
      <c r="AB190" s="250" t="s">
        <v>868</v>
      </c>
      <c r="AC190" s="247" t="s">
        <v>954</v>
      </c>
      <c r="AD190" s="247"/>
    </row>
    <row r="191" spans="1:30" x14ac:dyDescent="0.25">
      <c r="A191" s="247" t="s">
        <v>955</v>
      </c>
      <c r="B191" s="247" t="s">
        <v>608</v>
      </c>
      <c r="C191" s="247"/>
      <c r="D191" s="247" t="s">
        <v>920</v>
      </c>
      <c r="E191" s="247" t="s">
        <v>784</v>
      </c>
      <c r="F191" s="247" t="s">
        <v>609</v>
      </c>
      <c r="G191" s="248">
        <v>42976.547442129631</v>
      </c>
      <c r="H191" s="248">
        <v>42976</v>
      </c>
      <c r="I191" s="247" t="s">
        <v>865</v>
      </c>
      <c r="J191" s="247" t="s">
        <v>610</v>
      </c>
      <c r="K191" s="249">
        <v>1323.6</v>
      </c>
      <c r="L191" s="247" t="s">
        <v>612</v>
      </c>
      <c r="M191" s="249">
        <v>88</v>
      </c>
      <c r="N191" s="249">
        <v>116490.33236601768</v>
      </c>
      <c r="O191" s="247" t="s">
        <v>612</v>
      </c>
      <c r="P191" s="248">
        <v>42976</v>
      </c>
      <c r="Q191" s="247"/>
      <c r="R191" s="247"/>
      <c r="S191" s="247"/>
      <c r="T191" s="247"/>
      <c r="U191" s="248">
        <v>42999</v>
      </c>
      <c r="V191" s="250"/>
      <c r="W191" s="250"/>
      <c r="X191" s="247" t="s">
        <v>866</v>
      </c>
      <c r="Y191" s="247"/>
      <c r="Z191" s="250"/>
      <c r="AA191" s="247" t="s">
        <v>867</v>
      </c>
      <c r="AB191" s="250" t="s">
        <v>868</v>
      </c>
      <c r="AC191" s="247" t="s">
        <v>956</v>
      </c>
      <c r="AD191" s="247"/>
    </row>
    <row r="192" spans="1:30" x14ac:dyDescent="0.25">
      <c r="A192" s="243" t="s">
        <v>957</v>
      </c>
      <c r="B192" s="244"/>
      <c r="C192" s="244"/>
      <c r="D192" s="244"/>
      <c r="E192" s="244"/>
      <c r="F192" s="244"/>
      <c r="G192" s="244"/>
      <c r="H192" s="244"/>
      <c r="I192" s="244"/>
      <c r="J192" s="244"/>
      <c r="K192" s="245"/>
      <c r="L192" s="244"/>
      <c r="M192" s="245"/>
      <c r="N192" s="245"/>
      <c r="O192" s="244"/>
      <c r="P192" s="244"/>
      <c r="Q192" s="244"/>
      <c r="R192" s="244"/>
      <c r="S192" s="244"/>
      <c r="T192" s="244"/>
      <c r="U192" s="244"/>
      <c r="V192" s="245"/>
      <c r="W192" s="245"/>
      <c r="X192" s="244"/>
      <c r="Y192" s="244"/>
      <c r="Z192" s="245"/>
      <c r="AA192" s="244"/>
      <c r="AB192" s="245"/>
      <c r="AC192" s="244"/>
      <c r="AD192" s="244"/>
    </row>
    <row r="193" spans="1:30" x14ac:dyDescent="0.25">
      <c r="A193" s="243" t="s">
        <v>958</v>
      </c>
      <c r="B193" s="244"/>
      <c r="C193" s="244"/>
      <c r="D193" s="244"/>
      <c r="E193" s="244"/>
      <c r="F193" s="244"/>
      <c r="G193" s="244"/>
      <c r="H193" s="244"/>
      <c r="I193" s="244"/>
      <c r="J193" s="244"/>
      <c r="K193" s="245"/>
      <c r="L193" s="244"/>
      <c r="M193" s="246">
        <v>11400</v>
      </c>
      <c r="N193" s="245"/>
      <c r="O193" s="244"/>
      <c r="P193" s="244"/>
      <c r="Q193" s="244"/>
      <c r="R193" s="244"/>
      <c r="S193" s="244"/>
      <c r="T193" s="244"/>
      <c r="U193" s="244"/>
      <c r="V193" s="245"/>
      <c r="W193" s="245"/>
      <c r="X193" s="244"/>
      <c r="Y193" s="244"/>
      <c r="Z193" s="245"/>
      <c r="AA193" s="244"/>
      <c r="AB193" s="245"/>
      <c r="AC193" s="244"/>
      <c r="AD193" s="244"/>
    </row>
    <row r="194" spans="1:30" x14ac:dyDescent="0.25">
      <c r="A194" s="243" t="s">
        <v>614</v>
      </c>
      <c r="B194" s="244"/>
      <c r="C194" s="244"/>
      <c r="D194" s="244"/>
      <c r="E194" s="244"/>
      <c r="F194" s="244"/>
      <c r="G194" s="244"/>
      <c r="H194" s="244"/>
      <c r="I194" s="244"/>
      <c r="J194" s="244"/>
      <c r="K194" s="245"/>
      <c r="L194" s="244"/>
      <c r="M194" s="246">
        <v>11400</v>
      </c>
      <c r="N194" s="245"/>
      <c r="O194" s="244"/>
      <c r="P194" s="244"/>
      <c r="Q194" s="244"/>
      <c r="R194" s="244"/>
      <c r="S194" s="244"/>
      <c r="T194" s="244"/>
      <c r="U194" s="244"/>
      <c r="V194" s="245"/>
      <c r="W194" s="245"/>
      <c r="X194" s="244"/>
      <c r="Y194" s="244"/>
      <c r="Z194" s="245"/>
      <c r="AA194" s="244"/>
      <c r="AB194" s="245"/>
      <c r="AC194" s="244"/>
      <c r="AD194" s="244"/>
    </row>
    <row r="195" spans="1:30" x14ac:dyDescent="0.25">
      <c r="A195" s="247" t="s">
        <v>959</v>
      </c>
      <c r="B195" s="247" t="s">
        <v>960</v>
      </c>
      <c r="C195" s="247"/>
      <c r="D195" s="247" t="s">
        <v>961</v>
      </c>
      <c r="E195" s="247" t="s">
        <v>961</v>
      </c>
      <c r="F195" s="247" t="s">
        <v>623</v>
      </c>
      <c r="G195" s="248">
        <v>42976.677615740744</v>
      </c>
      <c r="H195" s="248">
        <v>42975</v>
      </c>
      <c r="I195" s="247" t="s">
        <v>637</v>
      </c>
      <c r="J195" s="247" t="s">
        <v>962</v>
      </c>
      <c r="K195" s="249">
        <v>250.45</v>
      </c>
      <c r="L195" s="247" t="s">
        <v>67</v>
      </c>
      <c r="M195" s="249">
        <v>11400</v>
      </c>
      <c r="N195" s="249">
        <v>48849.48</v>
      </c>
      <c r="O195" s="247" t="s">
        <v>612</v>
      </c>
      <c r="P195" s="248">
        <v>42975</v>
      </c>
      <c r="Q195" s="247"/>
      <c r="R195" s="247"/>
      <c r="S195" s="247"/>
      <c r="T195" s="248">
        <v>42975</v>
      </c>
      <c r="U195" s="248">
        <v>42976</v>
      </c>
      <c r="V195" s="249">
        <v>1</v>
      </c>
      <c r="W195" s="251">
        <v>224.54</v>
      </c>
      <c r="X195" s="247" t="s">
        <v>504</v>
      </c>
      <c r="Y195" s="247"/>
      <c r="Z195" s="250"/>
      <c r="AA195" s="247" t="s">
        <v>963</v>
      </c>
      <c r="AB195" s="250" t="s">
        <v>964</v>
      </c>
      <c r="AC195" s="247"/>
      <c r="AD195" s="247" t="s">
        <v>965</v>
      </c>
    </row>
    <row r="196" spans="1:30" x14ac:dyDescent="0.25">
      <c r="A196" s="243" t="s">
        <v>966</v>
      </c>
      <c r="B196" s="244"/>
      <c r="C196" s="244"/>
      <c r="D196" s="244"/>
      <c r="E196" s="244"/>
      <c r="F196" s="244"/>
      <c r="G196" s="244"/>
      <c r="H196" s="244"/>
      <c r="I196" s="244"/>
      <c r="J196" s="244"/>
      <c r="K196" s="245"/>
      <c r="L196" s="244"/>
      <c r="M196" s="246">
        <v>149310</v>
      </c>
      <c r="N196" s="245"/>
      <c r="O196" s="244"/>
      <c r="P196" s="244"/>
      <c r="Q196" s="244"/>
      <c r="R196" s="244"/>
      <c r="S196" s="244"/>
      <c r="T196" s="244"/>
      <c r="U196" s="244"/>
      <c r="V196" s="245"/>
      <c r="W196" s="245"/>
      <c r="X196" s="244"/>
      <c r="Y196" s="244"/>
      <c r="Z196" s="245"/>
      <c r="AA196" s="244"/>
      <c r="AB196" s="245"/>
      <c r="AC196" s="244"/>
      <c r="AD196" s="244"/>
    </row>
    <row r="197" spans="1:30" x14ac:dyDescent="0.25">
      <c r="A197" s="243" t="s">
        <v>614</v>
      </c>
      <c r="B197" s="244"/>
      <c r="C197" s="244"/>
      <c r="D197" s="244"/>
      <c r="E197" s="244"/>
      <c r="F197" s="244"/>
      <c r="G197" s="244"/>
      <c r="H197" s="244"/>
      <c r="I197" s="244"/>
      <c r="J197" s="244"/>
      <c r="K197" s="245"/>
      <c r="L197" s="244"/>
      <c r="M197" s="246">
        <v>149310</v>
      </c>
      <c r="N197" s="245"/>
      <c r="O197" s="244"/>
      <c r="P197" s="244"/>
      <c r="Q197" s="244"/>
      <c r="R197" s="244"/>
      <c r="S197" s="244"/>
      <c r="T197" s="244"/>
      <c r="U197" s="244"/>
      <c r="V197" s="245"/>
      <c r="W197" s="245"/>
      <c r="X197" s="244"/>
      <c r="Y197" s="244"/>
      <c r="Z197" s="245"/>
      <c r="AA197" s="244"/>
      <c r="AB197" s="245"/>
      <c r="AC197" s="244"/>
      <c r="AD197" s="244"/>
    </row>
    <row r="198" spans="1:30" x14ac:dyDescent="0.25">
      <c r="A198" s="247" t="s">
        <v>967</v>
      </c>
      <c r="B198" s="247" t="s">
        <v>608</v>
      </c>
      <c r="C198" s="247" t="s">
        <v>968</v>
      </c>
      <c r="D198" s="247" t="s">
        <v>961</v>
      </c>
      <c r="E198" s="247" t="s">
        <v>961</v>
      </c>
      <c r="F198" s="247" t="s">
        <v>623</v>
      </c>
      <c r="G198" s="248">
        <v>42976.416307870371</v>
      </c>
      <c r="H198" s="248">
        <v>42976</v>
      </c>
      <c r="I198" s="247" t="s">
        <v>637</v>
      </c>
      <c r="J198" s="247" t="s">
        <v>962</v>
      </c>
      <c r="K198" s="249">
        <v>127.9</v>
      </c>
      <c r="L198" s="247" t="s">
        <v>67</v>
      </c>
      <c r="M198" s="249">
        <v>149310</v>
      </c>
      <c r="N198" s="249">
        <v>326116.82</v>
      </c>
      <c r="O198" s="247" t="s">
        <v>612</v>
      </c>
      <c r="P198" s="248">
        <v>42976</v>
      </c>
      <c r="Q198" s="247"/>
      <c r="R198" s="247"/>
      <c r="S198" s="247"/>
      <c r="T198" s="248">
        <v>42976</v>
      </c>
      <c r="U198" s="248">
        <v>43021</v>
      </c>
      <c r="V198" s="249">
        <v>45</v>
      </c>
      <c r="W198" s="251">
        <v>226.17</v>
      </c>
      <c r="X198" s="247" t="s">
        <v>136</v>
      </c>
      <c r="Y198" s="247"/>
      <c r="Z198" s="250"/>
      <c r="AA198" s="247" t="s">
        <v>969</v>
      </c>
      <c r="AB198" s="250" t="s">
        <v>970</v>
      </c>
      <c r="AC198" s="247"/>
      <c r="AD198" s="24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V101"/>
  <sheetViews>
    <sheetView showGridLines="0" tabSelected="1" topLeftCell="A22" zoomScale="90" zoomScaleNormal="90" workbookViewId="0">
      <pane xSplit="2" topLeftCell="C1" activePane="topRight" state="frozen"/>
      <selection pane="topRight" activeCell="D65" sqref="D6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3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3.140625" style="9" bestFit="1" customWidth="1"/>
    <col min="11" max="11" width="15" style="9" bestFit="1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2" style="9" customWidth="1"/>
    <col min="22" max="22" width="11.42578125" style="9" customWidth="1"/>
    <col min="23" max="16384" width="9.140625" style="9"/>
  </cols>
  <sheetData>
    <row r="1" spans="1:22" x14ac:dyDescent="0.2">
      <c r="F1" s="9" t="s">
        <v>147</v>
      </c>
      <c r="G1" s="9">
        <f>_xll.BDP($F$1,"PX last")</f>
        <v>1.1893</v>
      </c>
      <c r="H1" s="9" t="s">
        <v>108</v>
      </c>
      <c r="I1" s="9">
        <f>_xll.BDP($H$1,"PX last")</f>
        <v>57.5441</v>
      </c>
      <c r="J1" s="9" t="s">
        <v>141</v>
      </c>
      <c r="K1" s="9">
        <f>_xll.BDP($J$1,"PX last")</f>
        <v>1.3208</v>
      </c>
      <c r="M1" s="9" t="s">
        <v>107</v>
      </c>
      <c r="O1" s="9" t="s">
        <v>202</v>
      </c>
      <c r="P1" s="9">
        <f>_xll.BDP($O$1,"PX last")</f>
        <v>7.8122999999999996</v>
      </c>
    </row>
    <row r="3" spans="1:22" s="178" customFormat="1" ht="63.75" x14ac:dyDescent="0.25">
      <c r="A3" s="176"/>
      <c r="B3" s="176" t="s">
        <v>95</v>
      </c>
      <c r="C3" s="177" t="s">
        <v>94</v>
      </c>
      <c r="D3" s="177" t="s">
        <v>106</v>
      </c>
      <c r="E3" s="177" t="s">
        <v>105</v>
      </c>
      <c r="F3" s="177" t="s">
        <v>90</v>
      </c>
      <c r="G3" s="177" t="s">
        <v>104</v>
      </c>
      <c r="H3" s="177" t="s">
        <v>500</v>
      </c>
      <c r="I3" s="177" t="s">
        <v>501</v>
      </c>
      <c r="J3" s="176" t="s">
        <v>23</v>
      </c>
      <c r="K3" s="177" t="s">
        <v>87</v>
      </c>
      <c r="L3" s="177" t="s">
        <v>235</v>
      </c>
      <c r="M3" s="177" t="s">
        <v>114</v>
      </c>
      <c r="N3" s="177" t="s">
        <v>103</v>
      </c>
      <c r="O3" s="177" t="s">
        <v>110</v>
      </c>
      <c r="P3" s="177" t="s">
        <v>102</v>
      </c>
      <c r="Q3" s="177" t="s">
        <v>101</v>
      </c>
      <c r="R3" s="177" t="s">
        <v>99</v>
      </c>
      <c r="S3" s="177" t="s">
        <v>100</v>
      </c>
      <c r="T3" s="177" t="s">
        <v>505</v>
      </c>
      <c r="U3" s="177" t="s">
        <v>493</v>
      </c>
      <c r="V3" s="177" t="s">
        <v>494</v>
      </c>
    </row>
    <row r="4" spans="1:22" s="133" customFormat="1" x14ac:dyDescent="0.2">
      <c r="A4" s="18" t="s">
        <v>2957</v>
      </c>
      <c r="B4" s="76" t="s">
        <v>149</v>
      </c>
      <c r="C4" s="77" t="s">
        <v>1810</v>
      </c>
      <c r="D4" s="78">
        <f t="shared" ref="D4:D12" si="0">$Q4/$Q$13</f>
        <v>1.1001250779526555E-2</v>
      </c>
      <c r="E4" s="79">
        <f>$F$26</f>
        <v>14205</v>
      </c>
      <c r="F4" s="96">
        <f>$H$26</f>
        <v>4.3792609999999996</v>
      </c>
      <c r="G4" s="96">
        <f>_xll.BDP($C4,"PX_LAST")</f>
        <v>4.3</v>
      </c>
      <c r="H4" s="96">
        <f>_xll.BDP($C4,"BEST_TARGET_PRICE")</f>
        <v>5.3985714912414551</v>
      </c>
      <c r="I4" s="175">
        <f t="shared" ref="I4:I10" si="1">H4/G4-1</f>
        <v>0.25548174214917574</v>
      </c>
      <c r="J4" s="96">
        <f>_xll.BDP($C4,"EQY_REC_CONS")</f>
        <v>4.5789475440979004</v>
      </c>
      <c r="K4" s="80" t="str">
        <f>_xll.BDP($C4,"CRNCY")</f>
        <v>USD</v>
      </c>
      <c r="L4" s="78">
        <f>$P4/$N4-1</f>
        <v>-1.2387423268144793E-2</v>
      </c>
      <c r="M4" s="78">
        <f>G4/F4-1</f>
        <v>-1.8099172440281586E-2</v>
      </c>
      <c r="N4" s="79">
        <f>$K$26</f>
        <v>3558966.3669343065</v>
      </c>
      <c r="O4" s="79">
        <f>$E4*$F4</f>
        <v>62207.402504999998</v>
      </c>
      <c r="P4" s="79">
        <f>E4*G4*$I$1</f>
        <v>3514879.9441499999</v>
      </c>
      <c r="Q4" s="97">
        <f>E4*G4</f>
        <v>61081.5</v>
      </c>
      <c r="R4" s="81">
        <f t="shared" ref="R4:S11" si="2">P4-N4</f>
        <v>-44086.422784306575</v>
      </c>
      <c r="S4" s="81">
        <f t="shared" si="2"/>
        <v>-1125.9025049999982</v>
      </c>
      <c r="T4" s="81">
        <f>_xll.BDP($C4,"EQY_DVD_YLD_EST")</f>
        <v>6.3720930232558146</v>
      </c>
      <c r="U4" s="82" t="str">
        <f>_xll.BDP($C4,"DVD_EX_DT")</f>
        <v>10/08/2017</v>
      </c>
      <c r="V4" s="82" t="str">
        <f>_xll.BDP($C4,"BDVD_NEXT_EST_DECL_DT")</f>
        <v>#N/A N/A</v>
      </c>
    </row>
    <row r="5" spans="1:22" s="133" customFormat="1" x14ac:dyDescent="0.2">
      <c r="A5" s="18" t="s">
        <v>2957</v>
      </c>
      <c r="B5" s="76" t="s">
        <v>230</v>
      </c>
      <c r="C5" s="77" t="s">
        <v>222</v>
      </c>
      <c r="D5" s="78">
        <f t="shared" si="0"/>
        <v>1.1256733605435519E-2</v>
      </c>
      <c r="E5" s="79">
        <f>$F$40</f>
        <v>6250</v>
      </c>
      <c r="F5" s="96">
        <f>$H$40</f>
        <v>9.9023000000000003</v>
      </c>
      <c r="G5" s="96">
        <f>_xll.BDP($C5,"PX_LAST")</f>
        <v>10</v>
      </c>
      <c r="H5" s="96">
        <f>_xll.BDP($C5,"BEST_TARGET_PRICE")</f>
        <v>12.059999465942383</v>
      </c>
      <c r="I5" s="175">
        <f t="shared" si="1"/>
        <v>0.20599994659423837</v>
      </c>
      <c r="J5" s="96">
        <f>_xll.BDP($C5,"EQY_REC_CONS")</f>
        <v>4</v>
      </c>
      <c r="K5" s="80" t="str">
        <f>_xll.BDP($C5,"CRNCY")</f>
        <v>USD</v>
      </c>
      <c r="L5" s="78">
        <f>$P5/$N5-1</f>
        <v>2.2983100984554916E-3</v>
      </c>
      <c r="M5" s="78">
        <f>G5/F5-1</f>
        <v>9.8663946759842691E-3</v>
      </c>
      <c r="N5" s="79">
        <f>$K$40</f>
        <v>3588259.3173750001</v>
      </c>
      <c r="O5" s="79">
        <f>$E5*$F5</f>
        <v>61889.375</v>
      </c>
      <c r="P5" s="79">
        <f>E5*G5*$I$1</f>
        <v>3596506.25</v>
      </c>
      <c r="Q5" s="97">
        <f>E5*G5</f>
        <v>62500</v>
      </c>
      <c r="R5" s="81">
        <f t="shared" si="2"/>
        <v>8246.9326249998994</v>
      </c>
      <c r="S5" s="81">
        <f t="shared" si="2"/>
        <v>610.625</v>
      </c>
      <c r="T5" s="81">
        <f>_xll.BDP($C5,"EQY_DVD_YLD_EST")</f>
        <v>2.3849239999999998</v>
      </c>
      <c r="U5" s="82" t="str">
        <f>_xll.BDP($C5,"DVD_EX_DT")</f>
        <v>01/06/2017</v>
      </c>
      <c r="V5" s="82" t="str">
        <f>_xll.BDP($C5,"BDVD_NEXT_EST_DECL_DT")</f>
        <v>#N/A N/A</v>
      </c>
    </row>
    <row r="6" spans="1:22" s="133" customFormat="1" x14ac:dyDescent="0.2">
      <c r="A6" s="18" t="s">
        <v>2957</v>
      </c>
      <c r="B6" s="76" t="s">
        <v>471</v>
      </c>
      <c r="C6" s="77" t="s">
        <v>483</v>
      </c>
      <c r="D6" s="78">
        <f t="shared" si="0"/>
        <v>9.8925255570993468E-3</v>
      </c>
      <c r="E6" s="79">
        <f>$F$37</f>
        <v>1136</v>
      </c>
      <c r="F6" s="96">
        <f>$H$37</f>
        <v>55</v>
      </c>
      <c r="G6" s="96">
        <f>_xll.BDP($C6,"PX_LAST")</f>
        <v>48.35</v>
      </c>
      <c r="H6" s="96">
        <f>_xll.BDP($C6,"BEST_TARGET_PRICE")</f>
        <v>58.099998474121094</v>
      </c>
      <c r="I6" s="175">
        <f t="shared" si="1"/>
        <v>0.20165457030240108</v>
      </c>
      <c r="J6" s="96">
        <f>_xll.BDP($C6,"EQY_REC_CONS")</f>
        <v>3.923076868057251</v>
      </c>
      <c r="K6" s="80" t="str">
        <f>_xll.BDP($C6,"CRNCY")</f>
        <v>USD</v>
      </c>
      <c r="L6" s="78">
        <f>$P6/$N6-1</f>
        <v>-0.12848170301859829</v>
      </c>
      <c r="M6" s="78">
        <f>G6/F6-1</f>
        <v>-0.12090909090909085</v>
      </c>
      <c r="N6" s="79">
        <f>$K$37</f>
        <v>3626595.3679999998</v>
      </c>
      <c r="O6" s="79">
        <f>$E6*$F6</f>
        <v>62480</v>
      </c>
      <c r="P6" s="79">
        <f>E6*G6*$I$1</f>
        <v>3160644.2189599997</v>
      </c>
      <c r="Q6" s="97">
        <f>E6*G6</f>
        <v>54925.599999999999</v>
      </c>
      <c r="R6" s="81">
        <f>P6-N6</f>
        <v>-465951.14904000005</v>
      </c>
      <c r="S6" s="81">
        <f>Q6-O6</f>
        <v>-7554.4000000000015</v>
      </c>
      <c r="T6" s="81" t="str">
        <f>_xll.BDP($C6,"EQY_DVD_YLD_EST")</f>
        <v>#N/A N/A</v>
      </c>
      <c r="U6" s="82" t="str">
        <f>_xll.BDP($C6,"DVD_EX_DT")</f>
        <v>#N/A N/A</v>
      </c>
      <c r="V6" s="82" t="str">
        <f>_xll.BDP($C6,"BDVD_NEXT_EST_DECL_DT")</f>
        <v>#N/A N/A</v>
      </c>
    </row>
    <row r="7" spans="1:22" s="133" customFormat="1" x14ac:dyDescent="0.2">
      <c r="A7" s="18" t="s">
        <v>2957</v>
      </c>
      <c r="B7" s="76" t="s">
        <v>123</v>
      </c>
      <c r="C7" s="77" t="s">
        <v>231</v>
      </c>
      <c r="D7" s="78">
        <f t="shared" si="0"/>
        <v>1.0487151253072872E-2</v>
      </c>
      <c r="E7" s="79">
        <f>$F$48</f>
        <v>13900</v>
      </c>
      <c r="F7" s="96">
        <f>$H$48</f>
        <v>4.4821</v>
      </c>
      <c r="G7" s="96">
        <f>_xll.BDP($C7,"PX_LAST")</f>
        <v>4.1890000000000001</v>
      </c>
      <c r="H7" s="96">
        <f>_xll.BDP($C7,"BEST_TARGET_PRICE")</f>
        <v>4.4437499046325684</v>
      </c>
      <c r="I7" s="175">
        <f t="shared" si="1"/>
        <v>6.0814013996793648E-2</v>
      </c>
      <c r="J7" s="96">
        <f>_xll.BDP($C7,"EQY_REC_CONS")</f>
        <v>3.1428569999999998</v>
      </c>
      <c r="K7" s="80" t="str">
        <f>_xll.BDP($C7,"CRNCY")</f>
        <v>USD</v>
      </c>
      <c r="L7" s="78">
        <f>$P7/$N7-1</f>
        <v>-6.2246647034841285E-2</v>
      </c>
      <c r="M7" s="78">
        <f>G7/F7-1</f>
        <v>-6.5393453961312797E-2</v>
      </c>
      <c r="N7" s="79">
        <f>$K$48</f>
        <v>3573035.5476899999</v>
      </c>
      <c r="O7" s="79">
        <f>$E7*$F7</f>
        <v>62301.19</v>
      </c>
      <c r="P7" s="79">
        <f>E7*G7*$I$1</f>
        <v>3350626.0651099999</v>
      </c>
      <c r="Q7" s="97">
        <f>E7*G7</f>
        <v>58227.1</v>
      </c>
      <c r="R7" s="81">
        <f>P7-N7</f>
        <v>-222409.48258000007</v>
      </c>
      <c r="S7" s="81">
        <f>Q7-O7</f>
        <v>-4074.0900000000038</v>
      </c>
      <c r="T7" s="81">
        <f>_xll.BDP($C7,"EQY_DVD_YLD_EST")</f>
        <v>6.5429349999999999</v>
      </c>
      <c r="U7" s="82" t="str">
        <f>_xll.BDP($C7,"DVD_EX_DT")</f>
        <v>19/07/2017</v>
      </c>
      <c r="V7" s="82" t="str">
        <f>_xll.BDP($C7,"BDVD_NEXT_EST_DECL_DT")</f>
        <v>01/06/2018</v>
      </c>
    </row>
    <row r="8" spans="1:22" s="133" customFormat="1" x14ac:dyDescent="0.2">
      <c r="A8" s="18" t="s">
        <v>2957</v>
      </c>
      <c r="B8" s="76" t="s">
        <v>2958</v>
      </c>
      <c r="C8" s="77" t="s">
        <v>2250</v>
      </c>
      <c r="D8" s="78">
        <f t="shared" si="0"/>
        <v>9.355246164805351E-3</v>
      </c>
      <c r="E8" s="79">
        <f>$F$51</f>
        <v>3950</v>
      </c>
      <c r="F8" s="96">
        <f>$H$51</f>
        <v>12.6</v>
      </c>
      <c r="G8" s="96">
        <f>_xll.BDP($C8,"PX_LAST")</f>
        <v>13.15</v>
      </c>
      <c r="H8" s="96">
        <f>_xll.BDP($C8,"BEST_TARGET_PRICE")</f>
        <v>15.5</v>
      </c>
      <c r="I8" s="175">
        <f t="shared" si="1"/>
        <v>0.17870722433460062</v>
      </c>
      <c r="J8" s="96">
        <f>_xll.BDP($C8,"EQY_REC_CONS")</f>
        <v>4</v>
      </c>
      <c r="K8" s="80" t="str">
        <f>_xll.BDP($C8,"CRNCY")</f>
        <v>USD</v>
      </c>
      <c r="L8" s="78">
        <f>$P8/$N8-1</f>
        <v>6.6555829867366523E-2</v>
      </c>
      <c r="M8" s="78">
        <f>G8/F8-1</f>
        <v>4.3650793650793718E-2</v>
      </c>
      <c r="N8" s="79">
        <f>$K$51</f>
        <v>2802464.091</v>
      </c>
      <c r="O8" s="79">
        <f>$E8*$F8</f>
        <v>49770</v>
      </c>
      <c r="P8" s="79">
        <f>E8*G8*$I$1</f>
        <v>2988984.4142499999</v>
      </c>
      <c r="Q8" s="97">
        <f>E8*G8</f>
        <v>51942.5</v>
      </c>
      <c r="R8" s="81">
        <f t="shared" si="2"/>
        <v>186520.3232499999</v>
      </c>
      <c r="S8" s="81">
        <f t="shared" si="2"/>
        <v>2172.5</v>
      </c>
      <c r="T8" s="81">
        <f>_xll.BDP($C8,"EQY_DVD_YLD_EST")</f>
        <v>4.4682539999999999</v>
      </c>
      <c r="U8" s="82" t="str">
        <f>_xll.BDP($C8,"DVD_EX_DT")</f>
        <v>13/09/2017</v>
      </c>
      <c r="V8" s="82" t="str">
        <f>_xll.BDP($C8,"BDVD_NEXT_EST_DECL_DT")</f>
        <v>#N/A N/A</v>
      </c>
    </row>
    <row r="9" spans="1:22" s="133" customFormat="1" x14ac:dyDescent="0.2">
      <c r="A9" s="18" t="s">
        <v>2957</v>
      </c>
      <c r="B9" s="76" t="s">
        <v>142</v>
      </c>
      <c r="C9" s="77" t="s">
        <v>224</v>
      </c>
      <c r="D9" s="78">
        <f t="shared" si="0"/>
        <v>1.1009294817835828E-2</v>
      </c>
      <c r="E9" s="79">
        <f>$F$29</f>
        <v>5150</v>
      </c>
      <c r="F9" s="96">
        <f>$H$29</f>
        <v>696.5</v>
      </c>
      <c r="G9" s="96">
        <f>_xll.BDP($C9,"PX_LAST")</f>
        <v>683</v>
      </c>
      <c r="H9" s="96">
        <f>_xll.BDP($C9,"BEST_TARGET_PRICE")</f>
        <v>730.55926513671875</v>
      </c>
      <c r="I9" s="175">
        <f t="shared" si="1"/>
        <v>6.9632891854639389E-2</v>
      </c>
      <c r="J9" s="96">
        <f>_xll.BDP($C9,"EQY_REC_CONS")</f>
        <v>3.1578949999999999</v>
      </c>
      <c r="K9" s="80" t="str">
        <f>_xll.BDP($C9,"CRNCY")</f>
        <v>RUB</v>
      </c>
      <c r="L9" s="78">
        <f>G9/F9-1</f>
        <v>-1.938262742282848E-2</v>
      </c>
      <c r="M9" s="78">
        <f>Q9/O9-1</f>
        <v>-2.5053920597866042E-2</v>
      </c>
      <c r="N9" s="79">
        <f>E9*F9</f>
        <v>3586975</v>
      </c>
      <c r="O9" s="79">
        <f>$J$29</f>
        <v>62696.967207527181</v>
      </c>
      <c r="P9" s="79">
        <f>E9*G9</f>
        <v>3517450</v>
      </c>
      <c r="Q9" s="97">
        <f>P9/$I$1</f>
        <v>61126.162369382786</v>
      </c>
      <c r="R9" s="81">
        <f t="shared" si="2"/>
        <v>-69525</v>
      </c>
      <c r="S9" s="81">
        <f t="shared" si="2"/>
        <v>-1570.804838144395</v>
      </c>
      <c r="T9" s="81">
        <f>_xll.BDP($C9,"EQY_DVD_YLD_EST")</f>
        <v>3.764154</v>
      </c>
      <c r="U9" s="82" t="str">
        <f>_xll.BDP($C9,"DVD_EX_DT")</f>
        <v>07/09/2017</v>
      </c>
      <c r="V9" s="82" t="str">
        <f>_xll.BDP($C9,"BDVD_NEXT_EST_DECL_DT")</f>
        <v>07/12/2017</v>
      </c>
    </row>
    <row r="10" spans="1:22" s="133" customFormat="1" x14ac:dyDescent="0.2">
      <c r="A10" s="18" t="s">
        <v>2957</v>
      </c>
      <c r="B10" s="76" t="s">
        <v>245</v>
      </c>
      <c r="C10" s="77" t="s">
        <v>140</v>
      </c>
      <c r="D10" s="78">
        <f t="shared" si="0"/>
        <v>3.1677248951793878E-2</v>
      </c>
      <c r="E10" s="79">
        <f>$F$34</f>
        <v>89370</v>
      </c>
      <c r="F10" s="96">
        <f>$H$34</f>
        <v>153.92538557357054</v>
      </c>
      <c r="G10" s="96">
        <f>_xll.BDP($C10,"PX_LAST")</f>
        <v>149</v>
      </c>
      <c r="H10" s="96">
        <f>_xll.BDP($C10,"BEST_TARGET_PRICE")</f>
        <v>215</v>
      </c>
      <c r="I10" s="175">
        <f t="shared" si="1"/>
        <v>0.44295302013422821</v>
      </c>
      <c r="J10" s="96">
        <f>_xll.BDP($C10,"EQY_REC_CONS")</f>
        <v>5</v>
      </c>
      <c r="K10" s="80" t="str">
        <f>_xll.BDP($C10,"CRNCY")</f>
        <v>GBp</v>
      </c>
      <c r="L10" s="78">
        <f>P10/N10-1</f>
        <v>4.2118596511180328E-3</v>
      </c>
      <c r="M10" s="78">
        <f>Q10/O10-1</f>
        <v>2.5151936502583183E-3</v>
      </c>
      <c r="N10" s="79">
        <f>$K$34</f>
        <v>10078375.669495108</v>
      </c>
      <c r="O10" s="79">
        <f>$J$34</f>
        <v>175438.18403350608</v>
      </c>
      <c r="P10" s="79">
        <f>E10*G10*$K$1/100*$I$1</f>
        <v>10120824.373326264</v>
      </c>
      <c r="Q10" s="97">
        <f>P10/$I$1</f>
        <v>175879.44503999999</v>
      </c>
      <c r="R10" s="81">
        <f t="shared" si="2"/>
        <v>42448.703831156716</v>
      </c>
      <c r="S10" s="81">
        <f t="shared" si="2"/>
        <v>441.26100649390719</v>
      </c>
      <c r="T10" s="81">
        <f>_xll.BDP($C10,"EQY_DVD_YLD_EST")</f>
        <v>6.4508929999999998</v>
      </c>
      <c r="U10" s="82" t="str">
        <f>_xll.BDP($C10,"BDVD_NEXT_EST_DECL_DT")</f>
        <v>#N/A N/A</v>
      </c>
    </row>
    <row r="11" spans="1:22" s="146" customFormat="1" x14ac:dyDescent="0.2">
      <c r="A11" s="18" t="s">
        <v>2957</v>
      </c>
      <c r="B11" s="136" t="str">
        <f>_xll.BDP(C11,"SECURITY_NAME")</f>
        <v>RUSSIA 12 3/4 06/24/28</v>
      </c>
      <c r="C11" s="135" t="s">
        <v>2959</v>
      </c>
      <c r="D11" s="137">
        <f t="shared" si="0"/>
        <v>0.14130352560231099</v>
      </c>
      <c r="E11" s="138">
        <f>$F$45</f>
        <v>442000</v>
      </c>
      <c r="F11" s="149">
        <f>$H$45</f>
        <v>175.07475113122172</v>
      </c>
      <c r="G11" s="139">
        <f>_xll.BDP(C11,"PX_ASK")</f>
        <v>177.5</v>
      </c>
      <c r="H11" s="139"/>
      <c r="I11" s="139"/>
      <c r="K11" s="147" t="str">
        <f>_xll.BDP($C11,"CRNCY")</f>
        <v>USD</v>
      </c>
      <c r="L11" s="137">
        <f>P11/N11-1</f>
        <v>-2.4463058944360849E-2</v>
      </c>
      <c r="M11" s="137">
        <f>G11/F11-1</f>
        <v>1.3852647815335351E-2</v>
      </c>
      <c r="N11" s="138">
        <f>$K$45</f>
        <v>46278333.249119997</v>
      </c>
      <c r="O11" s="138">
        <f>E11*F11/100</f>
        <v>773830.4</v>
      </c>
      <c r="P11" s="138">
        <f>G11*E11/100*$I$1</f>
        <v>45146223.655000001</v>
      </c>
      <c r="Q11" s="148">
        <f>P11/$I$1</f>
        <v>784550</v>
      </c>
      <c r="R11" s="140">
        <f t="shared" si="2"/>
        <v>-1132109.5941199958</v>
      </c>
      <c r="S11" s="140">
        <f t="shared" si="2"/>
        <v>10719.599999999977</v>
      </c>
      <c r="T11" s="142">
        <f>_xll.BDP(C11,"YLD_CNV_BID")</f>
        <v>3.9108643000000001</v>
      </c>
      <c r="U11" s="142"/>
    </row>
    <row r="12" spans="1:22" x14ac:dyDescent="0.2">
      <c r="A12" s="18" t="s">
        <v>2957</v>
      </c>
      <c r="B12" s="56" t="s">
        <v>96</v>
      </c>
      <c r="C12" s="56" t="s">
        <v>96</v>
      </c>
      <c r="D12" s="69">
        <f t="shared" si="0"/>
        <v>0.7640170232681196</v>
      </c>
      <c r="E12" s="52"/>
      <c r="F12" s="55"/>
      <c r="G12" s="54"/>
      <c r="H12" s="54"/>
      <c r="I12" s="54"/>
      <c r="J12" s="48"/>
      <c r="K12" s="48"/>
      <c r="L12" s="53"/>
      <c r="M12" s="53"/>
      <c r="N12" s="52"/>
      <c r="O12" s="52"/>
      <c r="P12" s="52"/>
      <c r="Q12" s="51">
        <f>571000+226000+3445000</f>
        <v>4242000</v>
      </c>
      <c r="R12" s="50"/>
      <c r="S12" s="49"/>
      <c r="T12" s="49"/>
      <c r="U12" s="48"/>
      <c r="V12" s="48"/>
    </row>
    <row r="13" spans="1:22" ht="13.5" customHeight="1" thickBot="1" x14ac:dyDescent="0.25">
      <c r="B13" s="46"/>
      <c r="C13" s="46"/>
      <c r="D13" s="47">
        <f>SUM(D4:D12)</f>
        <v>1</v>
      </c>
      <c r="E13" s="46"/>
      <c r="F13" s="46"/>
      <c r="G13" s="46"/>
      <c r="H13" s="46"/>
      <c r="I13" s="174">
        <f>SUMPRODUCT(D4:D11,I4:I11)</f>
        <v>2.4232136193298361E-2</v>
      </c>
      <c r="J13" s="45"/>
      <c r="K13" s="45"/>
      <c r="L13" s="174">
        <f>SUMPRODUCT($D$4:$D$11,L4:L11)</f>
        <v>-4.9482434552130848E-3</v>
      </c>
      <c r="M13" s="174">
        <f>SUMPRODUCT($D$4:$D$11,M4:M11)</f>
        <v>1.997028393822156E-4</v>
      </c>
      <c r="N13" s="134">
        <f>SUM(N4:N12)</f>
        <v>77093004.609614402</v>
      </c>
      <c r="O13" s="134">
        <f>5000000-54000</f>
        <v>4946000</v>
      </c>
      <c r="P13" s="134">
        <f>SUM(P4:P12)</f>
        <v>75396138.92079626</v>
      </c>
      <c r="Q13" s="134">
        <f>SUM(Q4:Q12)</f>
        <v>5552232.3074093834</v>
      </c>
      <c r="R13" s="98">
        <f>SUM(R4:R11)</f>
        <v>-1696865.688818146</v>
      </c>
      <c r="S13" s="86">
        <f>SUM(S4:S11)</f>
        <v>-381.21133665051457</v>
      </c>
      <c r="T13" s="173">
        <f>SUMPRODUCT(D4:D11,T4:T11)</f>
        <v>1.0057719509477536</v>
      </c>
      <c r="U13" s="45"/>
      <c r="V13" s="45"/>
    </row>
    <row r="14" spans="1:22" ht="13.5" customHeight="1" x14ac:dyDescent="0.2">
      <c r="B14" s="36"/>
      <c r="C14" s="36"/>
      <c r="D14" s="44"/>
      <c r="E14" s="36"/>
      <c r="F14" s="36"/>
      <c r="G14" s="36"/>
      <c r="I14" s="11" t="s">
        <v>503</v>
      </c>
      <c r="K14" s="36"/>
      <c r="L14" s="35"/>
      <c r="M14" s="35"/>
      <c r="N14" s="35"/>
      <c r="O14" s="35"/>
      <c r="P14" s="43"/>
      <c r="Q14" s="261">
        <f>Q13/O13-1</f>
        <v>0.12257021985632499</v>
      </c>
      <c r="S14" s="85"/>
      <c r="T14" s="255" t="s">
        <v>502</v>
      </c>
    </row>
    <row r="15" spans="1:22" x14ac:dyDescent="0.2">
      <c r="E15" s="10"/>
      <c r="K15" s="26"/>
      <c r="L15" s="26" t="s">
        <v>2960</v>
      </c>
      <c r="M15" s="26"/>
      <c r="N15" s="34"/>
      <c r="O15" s="31"/>
      <c r="P15" s="31"/>
      <c r="Q15" s="27"/>
      <c r="T15" s="256"/>
    </row>
    <row r="16" spans="1:22" x14ac:dyDescent="0.2">
      <c r="B16" s="29" t="s">
        <v>190</v>
      </c>
      <c r="E16" s="10"/>
      <c r="M16" s="34"/>
      <c r="N16" s="31"/>
      <c r="O16" s="31"/>
      <c r="P16" s="27"/>
    </row>
    <row r="17" spans="2:18" x14ac:dyDescent="0.2">
      <c r="B17" s="122">
        <v>2017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6"/>
      <c r="N17" s="31"/>
      <c r="O17" s="31"/>
      <c r="P17" s="27"/>
    </row>
    <row r="18" spans="2:18" ht="51" x14ac:dyDescent="0.2">
      <c r="B18" s="42" t="s">
        <v>95</v>
      </c>
      <c r="C18" s="41" t="s">
        <v>94</v>
      </c>
      <c r="D18" s="41" t="s">
        <v>130</v>
      </c>
      <c r="E18" s="41" t="s">
        <v>129</v>
      </c>
      <c r="F18" s="41" t="s">
        <v>131</v>
      </c>
      <c r="G18" s="41" t="s">
        <v>128</v>
      </c>
      <c r="H18" s="41" t="s">
        <v>93</v>
      </c>
      <c r="I18" s="41" t="s">
        <v>92</v>
      </c>
      <c r="J18" s="41" t="s">
        <v>91</v>
      </c>
      <c r="K18" s="41" t="s">
        <v>90</v>
      </c>
      <c r="L18" s="41" t="s">
        <v>89</v>
      </c>
      <c r="M18" s="41" t="s">
        <v>88</v>
      </c>
      <c r="N18" s="41" t="s">
        <v>257</v>
      </c>
      <c r="O18" s="41" t="s">
        <v>87</v>
      </c>
      <c r="P18" s="41" t="s">
        <v>193</v>
      </c>
      <c r="Q18" s="41" t="s">
        <v>191</v>
      </c>
      <c r="R18" s="41" t="s">
        <v>192</v>
      </c>
    </row>
    <row r="19" spans="2:18" x14ac:dyDescent="0.2">
      <c r="B19" s="70" t="str">
        <f>_xll.BDP(C19,"SECURITY_NAME")</f>
        <v>IMHRUS 10 3/4 12/28/18</v>
      </c>
      <c r="C19" s="70" t="s">
        <v>460</v>
      </c>
      <c r="D19" s="59" t="s">
        <v>45</v>
      </c>
      <c r="E19" s="37">
        <f>F19*_xll.BDP(C19,"PX_LAST")/100</f>
        <v>216770</v>
      </c>
      <c r="F19" s="37">
        <v>200000</v>
      </c>
      <c r="G19" s="37">
        <v>200000</v>
      </c>
      <c r="H19" s="40">
        <f>G19/F19</f>
        <v>1</v>
      </c>
      <c r="I19" s="37">
        <f>G19*K19/100</f>
        <v>201500</v>
      </c>
      <c r="J19" s="38">
        <f>G19*L19/100</f>
        <v>215000</v>
      </c>
      <c r="K19" s="33">
        <v>100.75</v>
      </c>
      <c r="L19" s="33">
        <v>107.5</v>
      </c>
      <c r="M19" s="78">
        <f>L19/K19-1</f>
        <v>6.6997518610421913E-2</v>
      </c>
      <c r="N19" s="79">
        <f>(J19-I19)*R19</f>
        <v>770445</v>
      </c>
      <c r="O19" s="73" t="str">
        <f>_xll.BDP($C19,"CRNCY")</f>
        <v>USD</v>
      </c>
      <c r="P19" s="37">
        <f>N19/R19</f>
        <v>13500</v>
      </c>
      <c r="Q19" s="12">
        <v>42866</v>
      </c>
      <c r="R19" s="19">
        <f>_xll.BDH("RUB curncy","PX_LAST",$Q19)</f>
        <v>57.07</v>
      </c>
    </row>
    <row r="20" spans="2:18" x14ac:dyDescent="0.2">
      <c r="B20" s="39"/>
      <c r="C20" s="36"/>
      <c r="D20" s="59"/>
      <c r="E20" s="37"/>
      <c r="F20" s="37"/>
      <c r="G20" s="71"/>
      <c r="H20" s="40"/>
      <c r="I20" s="37"/>
      <c r="J20" s="38"/>
      <c r="K20" s="72"/>
      <c r="L20" s="72"/>
      <c r="M20" s="32" t="s">
        <v>86</v>
      </c>
      <c r="N20" s="84">
        <f>SUM(N19)</f>
        <v>770445</v>
      </c>
      <c r="O20" s="31" t="s">
        <v>67</v>
      </c>
      <c r="P20" s="84">
        <f>SUM(P19)</f>
        <v>13500</v>
      </c>
      <c r="Q20" s="12"/>
      <c r="R20" s="61"/>
    </row>
    <row r="21" spans="2:18" x14ac:dyDescent="0.2">
      <c r="B21" s="29" t="s">
        <v>85</v>
      </c>
      <c r="C21" s="10"/>
      <c r="D21" s="28"/>
      <c r="H21" s="28"/>
      <c r="I21" s="10"/>
      <c r="J21" s="10"/>
      <c r="K21" s="26"/>
    </row>
    <row r="22" spans="2:18" ht="13.5" thickBot="1" x14ac:dyDescent="0.25">
      <c r="C22" s="26"/>
      <c r="D22" s="26"/>
      <c r="G22" s="26"/>
      <c r="H22" s="10"/>
      <c r="I22" s="27"/>
      <c r="J22" s="10"/>
      <c r="K22" s="26"/>
    </row>
    <row r="23" spans="2:18" ht="15" x14ac:dyDescent="0.35">
      <c r="B23" s="23"/>
      <c r="C23" s="23"/>
      <c r="D23" s="23"/>
      <c r="E23" s="23"/>
      <c r="F23" s="23"/>
      <c r="G23" s="23"/>
      <c r="H23" s="25" t="s">
        <v>84</v>
      </c>
      <c r="I23" s="24" t="s">
        <v>83</v>
      </c>
      <c r="J23" s="24" t="s">
        <v>82</v>
      </c>
      <c r="K23" s="24"/>
      <c r="L23" s="23"/>
      <c r="M23" s="23"/>
      <c r="N23" s="23"/>
      <c r="Q23" s="83"/>
    </row>
    <row r="24" spans="2:18" ht="15" x14ac:dyDescent="0.35">
      <c r="B24" s="20" t="s">
        <v>81</v>
      </c>
      <c r="C24" s="20" t="s">
        <v>80</v>
      </c>
      <c r="D24" s="20" t="s">
        <v>79</v>
      </c>
      <c r="E24" s="20" t="s">
        <v>78</v>
      </c>
      <c r="F24" s="20" t="s">
        <v>77</v>
      </c>
      <c r="G24" s="20" t="s">
        <v>76</v>
      </c>
      <c r="H24" s="22" t="s">
        <v>75</v>
      </c>
      <c r="I24" s="21" t="s">
        <v>75</v>
      </c>
      <c r="J24" s="21" t="s">
        <v>67</v>
      </c>
      <c r="K24" s="21" t="s">
        <v>65</v>
      </c>
      <c r="L24" s="20" t="s">
        <v>74</v>
      </c>
      <c r="M24" s="20" t="s">
        <v>73</v>
      </c>
      <c r="N24" s="20" t="s">
        <v>72</v>
      </c>
    </row>
    <row r="25" spans="2:18" x14ac:dyDescent="0.2">
      <c r="B25" s="18" t="s">
        <v>2957</v>
      </c>
      <c r="C25" s="17" t="s">
        <v>39</v>
      </c>
      <c r="D25" s="15" t="str">
        <f>_xll.BDP(C25,"SECURITY_NAME")</f>
        <v>VEON Ltd</v>
      </c>
      <c r="E25" s="15" t="s">
        <v>44</v>
      </c>
      <c r="F25" s="16">
        <v>14205</v>
      </c>
      <c r="G25" s="15" t="str">
        <f>_xll.BDP(C25,"CRNCY")</f>
        <v>USD</v>
      </c>
      <c r="H25" s="88">
        <v>4.3792609999999996</v>
      </c>
      <c r="I25" s="13">
        <f>F25*H25</f>
        <v>62207.402504999998</v>
      </c>
      <c r="J25" s="14">
        <f>I25</f>
        <v>62207.402504999998</v>
      </c>
      <c r="K25" s="13">
        <f>J25*L25</f>
        <v>3558966.3669343065</v>
      </c>
      <c r="L25" s="19">
        <f>_xll.BDH("RUB curncy","PX_LAST",$N25)</f>
        <v>57.211300000000001</v>
      </c>
      <c r="M25" s="64">
        <f>1/_xll.BDH("RUB curncy","PX_LAST",$N25)</f>
        <v>1.747906445055435E-2</v>
      </c>
      <c r="N25" s="12">
        <v>42781</v>
      </c>
      <c r="P25" s="89">
        <f>F25*0.14586</f>
        <v>2071.9413</v>
      </c>
    </row>
    <row r="26" spans="2:18" s="29" customFormat="1" x14ac:dyDescent="0.2">
      <c r="B26" s="94"/>
      <c r="C26" s="93"/>
      <c r="D26" s="66"/>
      <c r="E26" s="66"/>
      <c r="F26" s="62">
        <f>SUM(F25:F25)</f>
        <v>14205</v>
      </c>
      <c r="G26" s="66"/>
      <c r="H26" s="67">
        <f>I26/F26</f>
        <v>4.3792609999999996</v>
      </c>
      <c r="I26" s="62">
        <f>SUM(I25:I25)</f>
        <v>62207.402504999998</v>
      </c>
      <c r="J26" s="62">
        <f>SUM(J25:J25)</f>
        <v>62207.402504999998</v>
      </c>
      <c r="K26" s="62">
        <f>SUM(K25:K25)</f>
        <v>3558966.3669343065</v>
      </c>
      <c r="L26" s="63"/>
      <c r="M26" s="92"/>
      <c r="N26" s="91"/>
    </row>
    <row r="28" spans="2:18" x14ac:dyDescent="0.2">
      <c r="B28" s="18" t="s">
        <v>2957</v>
      </c>
      <c r="C28" s="17" t="s">
        <v>225</v>
      </c>
      <c r="D28" s="15" t="str">
        <f>_xll.BDP(C28,"SECURITY_NAME")</f>
        <v>Polymetal International PLC</v>
      </c>
      <c r="E28" s="15" t="s">
        <v>44</v>
      </c>
      <c r="F28" s="16">
        <v>5150</v>
      </c>
      <c r="G28" s="15" t="str">
        <f>_xll.BDP(C28,"CRNCY")</f>
        <v>RUB</v>
      </c>
      <c r="H28" s="88">
        <f>_xll.BDH(C28,"PX_LAST",N28)</f>
        <v>696.5</v>
      </c>
      <c r="I28" s="13">
        <f>F28*H28</f>
        <v>3586975</v>
      </c>
      <c r="J28" s="14">
        <f>I28/L28</f>
        <v>62696.967207527181</v>
      </c>
      <c r="K28" s="13">
        <f>J28*L28</f>
        <v>3586975</v>
      </c>
      <c r="L28" s="19">
        <f>_xll.BDH("RUB curncy","PX_LAST",$N28)</f>
        <v>57.211300000000001</v>
      </c>
      <c r="M28" s="64">
        <f>1/_xll.BDH("RUB curncy","PX_LAST",$N28)</f>
        <v>1.747906445055435E-2</v>
      </c>
      <c r="N28" s="12">
        <v>42781</v>
      </c>
      <c r="P28" s="89">
        <f>F28*0.18</f>
        <v>927</v>
      </c>
    </row>
    <row r="29" spans="2:18" s="29" customFormat="1" x14ac:dyDescent="0.2">
      <c r="B29" s="94"/>
      <c r="C29" s="93"/>
      <c r="D29" s="66"/>
      <c r="E29" s="66"/>
      <c r="F29" s="62">
        <f>SUM(F28:F28)</f>
        <v>5150</v>
      </c>
      <c r="G29" s="66"/>
      <c r="H29" s="67">
        <f>I29/F29</f>
        <v>696.5</v>
      </c>
      <c r="I29" s="62">
        <f>SUM(I28:I28)</f>
        <v>3586975</v>
      </c>
      <c r="J29" s="62">
        <f>SUM(J28:J28)</f>
        <v>62696.967207527181</v>
      </c>
      <c r="K29" s="62">
        <f>SUM(K28:K28)</f>
        <v>3586975</v>
      </c>
      <c r="L29" s="63"/>
      <c r="M29" s="95"/>
      <c r="N29" s="91"/>
    </row>
    <row r="30" spans="2:18" s="30" customFormat="1" x14ac:dyDescent="0.2">
      <c r="B30" s="57"/>
      <c r="C30" s="58"/>
      <c r="D30" s="59"/>
      <c r="E30" s="59"/>
      <c r="F30" s="60"/>
      <c r="G30" s="59"/>
      <c r="H30" s="87"/>
      <c r="I30" s="60"/>
      <c r="J30" s="60"/>
      <c r="K30" s="60"/>
      <c r="L30" s="61"/>
      <c r="M30" s="65"/>
      <c r="N30" s="12"/>
    </row>
    <row r="31" spans="2:18" x14ac:dyDescent="0.2">
      <c r="B31" s="18" t="s">
        <v>2957</v>
      </c>
      <c r="C31" s="17" t="s">
        <v>112</v>
      </c>
      <c r="D31" s="15" t="str">
        <f>_xll.BDP(C31,"SECURITY_NAME")</f>
        <v>Highland Gold Mining Ltd</v>
      </c>
      <c r="E31" s="15" t="s">
        <v>44</v>
      </c>
      <c r="F31" s="16">
        <v>35500</v>
      </c>
      <c r="G31" s="15" t="str">
        <f>_xll.BDP(C31,"CRNCY")</f>
        <v>GBp</v>
      </c>
      <c r="H31" s="88">
        <v>136</v>
      </c>
      <c r="I31" s="13">
        <f>F31*H31/100</f>
        <v>48280</v>
      </c>
      <c r="J31" s="14">
        <f>I31*L31</f>
        <v>62677.095999999998</v>
      </c>
      <c r="K31" s="13">
        <f>J31/M31</f>
        <v>3631310.3755327999</v>
      </c>
      <c r="L31" s="19">
        <f>_xll.BDH("GBP curncy","PX_LAST",$N31)</f>
        <v>1.2982</v>
      </c>
      <c r="M31" s="64">
        <f>1/_xll.BDH("RUB curncy","PX_LAST",$N31)</f>
        <v>1.7260186962345176E-2</v>
      </c>
      <c r="N31" s="12">
        <v>42860</v>
      </c>
    </row>
    <row r="32" spans="2:18" x14ac:dyDescent="0.2">
      <c r="B32" s="18" t="s">
        <v>2957</v>
      </c>
      <c r="C32" s="17" t="s">
        <v>112</v>
      </c>
      <c r="D32" s="15" t="str">
        <f>_xll.BDP(C32,"SECURITY_NAME")</f>
        <v>Highland Gold Mining Ltd</v>
      </c>
      <c r="E32" s="15" t="s">
        <v>44</v>
      </c>
      <c r="F32" s="16">
        <v>27070</v>
      </c>
      <c r="G32" s="15" t="str">
        <f>_xll.BDP(C32,"CRNCY")</f>
        <v>GBp</v>
      </c>
      <c r="H32" s="88">
        <v>143.69825299999999</v>
      </c>
      <c r="I32" s="13">
        <f>F32*H32/100</f>
        <v>38899.117087099999</v>
      </c>
      <c r="J32" s="14">
        <f>I32*L32</f>
        <v>49977.585633506074</v>
      </c>
      <c r="K32" s="13">
        <f>J32/M32</f>
        <v>2855139.5031051883</v>
      </c>
      <c r="L32" s="19">
        <f>_xll.BDH("GBP curncy","PX_LAST",$N32)</f>
        <v>1.2847999999999999</v>
      </c>
      <c r="M32" s="64">
        <f>1/_xll.BDH("RUB curncy","PX_LAST",$N32)</f>
        <v>1.7504428620440972E-2</v>
      </c>
      <c r="N32" s="12">
        <v>42851</v>
      </c>
    </row>
    <row r="33" spans="2:16" x14ac:dyDescent="0.2">
      <c r="B33" s="18" t="s">
        <v>2957</v>
      </c>
      <c r="C33" s="17" t="s">
        <v>112</v>
      </c>
      <c r="D33" s="15" t="str">
        <f>_xll.BDP(C33,"SECURITY_NAME")</f>
        <v>Highland Gold Mining Ltd</v>
      </c>
      <c r="E33" s="15" t="s">
        <v>44</v>
      </c>
      <c r="F33" s="16">
        <v>26800</v>
      </c>
      <c r="G33" s="15" t="str">
        <f>_xll.BDP(C33,"CRNCY")</f>
        <v>GBp</v>
      </c>
      <c r="H33" s="88">
        <f>_xll.BDH(C33,"PX_LAST",N33)</f>
        <v>188</v>
      </c>
      <c r="I33" s="13">
        <f>F33*H33/100</f>
        <v>50384</v>
      </c>
      <c r="J33" s="14">
        <f>I33*L33</f>
        <v>62783.502399999998</v>
      </c>
      <c r="K33" s="13">
        <f>J33/M33</f>
        <v>3591925.7908571195</v>
      </c>
      <c r="L33" s="19">
        <f>_xll.BDH("GBP curncy","PX_LAST",$N33)</f>
        <v>1.2461</v>
      </c>
      <c r="M33" s="64">
        <f>1/_xll.BDH("RUB curncy","PX_LAST",$N33)</f>
        <v>1.747906445055435E-2</v>
      </c>
      <c r="N33" s="12">
        <v>42781</v>
      </c>
      <c r="P33" s="89">
        <f>F33*0.054*K1</f>
        <v>1911.4617599999999</v>
      </c>
    </row>
    <row r="34" spans="2:16" s="29" customFormat="1" x14ac:dyDescent="0.2">
      <c r="B34" s="94"/>
      <c r="C34" s="93"/>
      <c r="D34" s="66"/>
      <c r="E34" s="66"/>
      <c r="F34" s="62">
        <f>SUM(F31:F33)</f>
        <v>89370</v>
      </c>
      <c r="G34" s="66"/>
      <c r="H34" s="67">
        <f>I34/F34*100</f>
        <v>153.92538557357054</v>
      </c>
      <c r="I34" s="62">
        <f>SUM(I31:I33)</f>
        <v>137563.11708709999</v>
      </c>
      <c r="J34" s="62">
        <f>SUM(J31:J33)</f>
        <v>175438.18403350608</v>
      </c>
      <c r="K34" s="62">
        <f>SUM(K31:K33)</f>
        <v>10078375.669495108</v>
      </c>
      <c r="L34" s="63"/>
      <c r="M34" s="95"/>
      <c r="N34" s="91"/>
    </row>
    <row r="35" spans="2:16" x14ac:dyDescent="0.2">
      <c r="J35" s="90">
        <f>J34/F34</f>
        <v>1.9630545376916873</v>
      </c>
    </row>
    <row r="36" spans="2:16" x14ac:dyDescent="0.2">
      <c r="B36" s="18" t="s">
        <v>2957</v>
      </c>
      <c r="C36" s="17" t="s">
        <v>14</v>
      </c>
      <c r="D36" s="15" t="str">
        <f>_xll.BDP(C36,"SECURITY_NAME")</f>
        <v>Luxoft Holding Inc</v>
      </c>
      <c r="E36" s="15" t="s">
        <v>44</v>
      </c>
      <c r="F36" s="16">
        <v>1136</v>
      </c>
      <c r="G36" s="15" t="str">
        <f>_xll.BDP(C36,"CRNCY")</f>
        <v>USD</v>
      </c>
      <c r="H36" s="88">
        <v>55</v>
      </c>
      <c r="I36" s="13">
        <f>F36*H36</f>
        <v>62480</v>
      </c>
      <c r="J36" s="14">
        <f>I36</f>
        <v>62480</v>
      </c>
      <c r="K36" s="13">
        <f>J36*L36</f>
        <v>3626595.3679999998</v>
      </c>
      <c r="L36" s="19">
        <f>_xll.BDH("RUB curncy","PX_LAST",$N36)</f>
        <v>58.0441</v>
      </c>
      <c r="M36" s="64">
        <f>1/_xll.BDH("RUB curncy","PX_LAST",$N36)</f>
        <v>1.7228279876852257E-2</v>
      </c>
      <c r="N36" s="12">
        <v>42788</v>
      </c>
    </row>
    <row r="37" spans="2:16" x14ac:dyDescent="0.2">
      <c r="B37" s="94"/>
      <c r="C37" s="93"/>
      <c r="D37" s="66"/>
      <c r="E37" s="66"/>
      <c r="F37" s="62">
        <f>SUM(F36:F36)</f>
        <v>1136</v>
      </c>
      <c r="G37" s="66"/>
      <c r="H37" s="67">
        <f>I37/F37</f>
        <v>55</v>
      </c>
      <c r="I37" s="62">
        <f>SUM(I36:I36)</f>
        <v>62480</v>
      </c>
      <c r="J37" s="62">
        <f>SUM(J36:J36)</f>
        <v>62480</v>
      </c>
      <c r="K37" s="62">
        <f>SUM(K36:K36)</f>
        <v>3626595.3679999998</v>
      </c>
      <c r="L37" s="63"/>
      <c r="M37" s="92"/>
      <c r="N37" s="91"/>
    </row>
    <row r="39" spans="2:16" x14ac:dyDescent="0.2">
      <c r="B39" s="18" t="s">
        <v>2957</v>
      </c>
      <c r="C39" s="17" t="s">
        <v>59</v>
      </c>
      <c r="D39" s="15" t="str">
        <f>_xll.BDP(C39,"SECURITY_NAME")</f>
        <v>KazMunaiGas Exploration Produc</v>
      </c>
      <c r="E39" s="15" t="s">
        <v>44</v>
      </c>
      <c r="F39" s="16">
        <v>6250</v>
      </c>
      <c r="G39" s="15" t="str">
        <f>_xll.BDP(C39,"CRNCY")</f>
        <v>USD</v>
      </c>
      <c r="H39" s="88">
        <v>9.9023000000000003</v>
      </c>
      <c r="I39" s="13">
        <f>F39*H39</f>
        <v>61889.375</v>
      </c>
      <c r="J39" s="14">
        <f>I39</f>
        <v>61889.375</v>
      </c>
      <c r="K39" s="13">
        <f>J39*L39</f>
        <v>3588259.3173750001</v>
      </c>
      <c r="L39" s="19">
        <f>_xll.BDH("RUB curncy","PX_LAST",$N39)</f>
        <v>57.9786</v>
      </c>
      <c r="M39" s="64">
        <f>1/_xll.BDH("RUB curncy","PX_LAST",$N39)</f>
        <v>1.7247743132811071E-2</v>
      </c>
      <c r="N39" s="12">
        <v>42786</v>
      </c>
      <c r="P39" s="89">
        <f>F39*0.114678</f>
        <v>716.73750000000007</v>
      </c>
    </row>
    <row r="40" spans="2:16" x14ac:dyDescent="0.2">
      <c r="B40" s="94"/>
      <c r="C40" s="93"/>
      <c r="D40" s="66"/>
      <c r="E40" s="66"/>
      <c r="F40" s="62">
        <f>SUM(F39:F39)</f>
        <v>6250</v>
      </c>
      <c r="G40" s="66"/>
      <c r="H40" s="67">
        <f>I40/F40</f>
        <v>9.9023000000000003</v>
      </c>
      <c r="I40" s="62">
        <f>SUM(I39:I39)</f>
        <v>61889.375</v>
      </c>
      <c r="J40" s="62">
        <f>SUM(J39:J39)</f>
        <v>61889.375</v>
      </c>
      <c r="K40" s="62">
        <f>SUM(K39:K39)</f>
        <v>3588259.3173750001</v>
      </c>
      <c r="L40" s="63"/>
      <c r="M40" s="92"/>
      <c r="N40" s="91"/>
    </row>
    <row r="42" spans="2:16" x14ac:dyDescent="0.2">
      <c r="B42" s="18"/>
      <c r="C42" s="77"/>
      <c r="D42" s="15"/>
      <c r="E42" s="15"/>
      <c r="F42" s="16"/>
      <c r="G42" s="15"/>
      <c r="H42" s="19"/>
      <c r="I42" s="13"/>
      <c r="J42" s="14"/>
      <c r="K42" s="13"/>
      <c r="L42" s="19"/>
      <c r="M42" s="64"/>
      <c r="N42" s="12"/>
    </row>
    <row r="43" spans="2:16" x14ac:dyDescent="0.2">
      <c r="B43" s="18" t="s">
        <v>2957</v>
      </c>
      <c r="C43" s="77" t="s">
        <v>2959</v>
      </c>
      <c r="D43" s="15" t="str">
        <f>_xll.BDP(C43,"SECURITY_NAME")</f>
        <v>RUSSIA 12 3/4 06/24/28</v>
      </c>
      <c r="E43" s="15" t="s">
        <v>44</v>
      </c>
      <c r="F43" s="16">
        <v>336000</v>
      </c>
      <c r="G43" s="15" t="s">
        <v>67</v>
      </c>
      <c r="H43" s="19">
        <v>175.01</v>
      </c>
      <c r="I43" s="13">
        <f>F43*H43/100</f>
        <v>588033.6</v>
      </c>
      <c r="J43" s="14">
        <f>I43</f>
        <v>588033.6</v>
      </c>
      <c r="K43" s="13">
        <f>J43*L43</f>
        <v>35447959.081919998</v>
      </c>
      <c r="L43" s="19">
        <f>_xll.BDH("RUB curncy","PX_LAST",$N43)</f>
        <v>60.282200000000003</v>
      </c>
      <c r="M43" s="64">
        <f>1/_xll.BDH("RUB curncy","PX_LAST",$N43)</f>
        <v>1.6588644740901957E-2</v>
      </c>
      <c r="N43" s="12">
        <v>42907</v>
      </c>
    </row>
    <row r="44" spans="2:16" x14ac:dyDescent="0.2">
      <c r="B44" s="18" t="s">
        <v>2957</v>
      </c>
      <c r="C44" s="77" t="s">
        <v>2959</v>
      </c>
      <c r="D44" s="15" t="str">
        <f>_xll.BDP(C44,"SECURITY_NAME")</f>
        <v>RUSSIA 12 3/4 06/24/28</v>
      </c>
      <c r="E44" s="15" t="s">
        <v>44</v>
      </c>
      <c r="F44" s="16">
        <v>106000</v>
      </c>
      <c r="G44" s="15" t="str">
        <f>_xll.BDP(C44,"CRNCY")</f>
        <v>USD</v>
      </c>
      <c r="H44" s="19">
        <v>175.28</v>
      </c>
      <c r="I44" s="13">
        <f>F44*H44/100</f>
        <v>185796.8</v>
      </c>
      <c r="J44" s="14">
        <f>I44</f>
        <v>185796.8</v>
      </c>
      <c r="K44" s="13">
        <f>J44*L44</f>
        <v>10830374.167199999</v>
      </c>
      <c r="L44" s="19">
        <f>_xll.BDH("RUB curncy","PX_LAST",$N44)</f>
        <v>58.291499999999999</v>
      </c>
      <c r="M44" s="64">
        <f>1/_xll.BDH("RUB curncy","PX_LAST",$N44)</f>
        <v>1.7155159843201838E-2</v>
      </c>
      <c r="N44" s="12">
        <v>42783</v>
      </c>
    </row>
    <row r="45" spans="2:16" x14ac:dyDescent="0.2">
      <c r="B45" s="57"/>
      <c r="C45" s="58"/>
      <c r="D45" s="59"/>
      <c r="E45" s="59"/>
      <c r="F45" s="62">
        <f>SUM(F42:F44)</f>
        <v>442000</v>
      </c>
      <c r="G45" s="66"/>
      <c r="H45" s="68">
        <f>I45/F45*100</f>
        <v>175.07475113122172</v>
      </c>
      <c r="I45" s="62">
        <f>SUM(I42:I44)</f>
        <v>773830.39999999991</v>
      </c>
      <c r="J45" s="62">
        <f>SUM(J42:J44)</f>
        <v>773830.39999999991</v>
      </c>
      <c r="K45" s="62">
        <f>SUM(K42:K44)</f>
        <v>46278333.249119997</v>
      </c>
      <c r="L45" s="61"/>
      <c r="M45" s="65"/>
      <c r="N45" s="12"/>
    </row>
    <row r="46" spans="2:16" x14ac:dyDescent="0.2">
      <c r="B46" s="57"/>
      <c r="C46" s="58"/>
      <c r="D46" s="59"/>
      <c r="E46" s="59"/>
      <c r="F46" s="62"/>
      <c r="G46" s="66"/>
      <c r="H46" s="68"/>
      <c r="I46" s="62"/>
      <c r="J46" s="62"/>
      <c r="K46" s="62"/>
      <c r="L46" s="61"/>
      <c r="M46" s="65"/>
      <c r="N46" s="12"/>
    </row>
    <row r="47" spans="2:16" x14ac:dyDescent="0.2">
      <c r="B47" s="18" t="s">
        <v>2957</v>
      </c>
      <c r="C47" s="17" t="s">
        <v>56</v>
      </c>
      <c r="D47" s="15" t="str">
        <f>_xll.BDP(C47,"SECURITY_NAME")</f>
        <v>Gazprom PJSC</v>
      </c>
      <c r="E47" s="15" t="s">
        <v>44</v>
      </c>
      <c r="F47" s="16">
        <v>13900</v>
      </c>
      <c r="G47" s="15" t="str">
        <f>_xll.BDP(C47,"CRNCY")</f>
        <v>USD</v>
      </c>
      <c r="H47" s="88">
        <v>4.4821</v>
      </c>
      <c r="I47" s="13">
        <f>F47*H47</f>
        <v>62301.19</v>
      </c>
      <c r="J47" s="14">
        <f>I47</f>
        <v>62301.19</v>
      </c>
      <c r="K47" s="13">
        <f>J47*L47</f>
        <v>3573035.5476899999</v>
      </c>
      <c r="L47" s="19">
        <f>_xll.BDH("RUB curncy","PX_LAST",$N47)</f>
        <v>57.350999999999999</v>
      </c>
      <c r="M47" s="64">
        <f>1/_xll.BDH("RUB curncy","PX_LAST",$N47)</f>
        <v>1.7436487593939076E-2</v>
      </c>
      <c r="N47" s="12">
        <v>42817</v>
      </c>
      <c r="P47" s="89">
        <f>F47*0.278374</f>
        <v>3869.3986</v>
      </c>
    </row>
    <row r="48" spans="2:16" x14ac:dyDescent="0.2">
      <c r="B48" s="94"/>
      <c r="C48" s="93"/>
      <c r="D48" s="66"/>
      <c r="E48" s="66"/>
      <c r="F48" s="62">
        <f>SUM(F47:F47)</f>
        <v>13900</v>
      </c>
      <c r="G48" s="66"/>
      <c r="H48" s="67">
        <f>I48/F48</f>
        <v>4.4821</v>
      </c>
      <c r="I48" s="62">
        <f>SUM(I47:I47)</f>
        <v>62301.19</v>
      </c>
      <c r="J48" s="62">
        <f>SUM(J47:J47)</f>
        <v>62301.19</v>
      </c>
      <c r="K48" s="62">
        <f>SUM(K47:K47)</f>
        <v>3573035.5476899999</v>
      </c>
      <c r="L48" s="63"/>
      <c r="M48" s="92"/>
      <c r="N48" s="91"/>
    </row>
    <row r="50" spans="2:16" x14ac:dyDescent="0.2">
      <c r="B50" s="18" t="s">
        <v>2957</v>
      </c>
      <c r="C50" s="17" t="s">
        <v>469</v>
      </c>
      <c r="D50" s="15" t="str">
        <f>_xll.BDP(C50,"SECURITY_NAME")</f>
        <v>Ros Agro PLC</v>
      </c>
      <c r="E50" s="15" t="s">
        <v>44</v>
      </c>
      <c r="F50" s="16">
        <v>3950</v>
      </c>
      <c r="G50" s="15" t="str">
        <f>_xll.BDP(C50,"CRNCY")</f>
        <v>USD</v>
      </c>
      <c r="H50" s="88">
        <v>12.6</v>
      </c>
      <c r="I50" s="13">
        <f>F50*H50</f>
        <v>49770</v>
      </c>
      <c r="J50" s="14">
        <f>I50</f>
        <v>49770</v>
      </c>
      <c r="K50" s="13">
        <f>J50*L50</f>
        <v>2802464.091</v>
      </c>
      <c r="L50" s="19">
        <f>_xll.BDH("RUB curncy","PX_LAST",$N50)</f>
        <v>56.308300000000003</v>
      </c>
      <c r="M50" s="64">
        <f>1/_xll.BDH("RUB curncy","PX_LAST",$N50)</f>
        <v>1.7759371176185392E-2</v>
      </c>
      <c r="N50" s="12">
        <v>42831</v>
      </c>
      <c r="P50" s="89">
        <f>F50*0.55</f>
        <v>2172.5</v>
      </c>
    </row>
    <row r="51" spans="2:16" x14ac:dyDescent="0.2">
      <c r="B51" s="94"/>
      <c r="C51" s="93"/>
      <c r="D51" s="66"/>
      <c r="E51" s="66"/>
      <c r="F51" s="62">
        <f>SUM(F50:F50)</f>
        <v>3950</v>
      </c>
      <c r="G51" s="66"/>
      <c r="H51" s="67">
        <f>I51/F51</f>
        <v>12.6</v>
      </c>
      <c r="I51" s="62">
        <f>SUM(I50:I50)</f>
        <v>49770</v>
      </c>
      <c r="J51" s="62">
        <f>SUM(J50:J50)</f>
        <v>49770</v>
      </c>
      <c r="K51" s="62">
        <f>SUM(K50:K50)</f>
        <v>2802464.091</v>
      </c>
      <c r="L51" s="63"/>
      <c r="M51" s="92"/>
      <c r="N51" s="91"/>
    </row>
    <row r="53" spans="2:16" x14ac:dyDescent="0.2">
      <c r="B53" s="18" t="s">
        <v>2957</v>
      </c>
      <c r="C53" s="17" t="s">
        <v>2067</v>
      </c>
      <c r="D53" s="15" t="str">
        <f>_xll.BDP(C53,"SECURITY_NAME")</f>
        <v>KNFP 0 04/15/19</v>
      </c>
      <c r="E53" s="15" t="s">
        <v>44</v>
      </c>
      <c r="F53" s="16">
        <v>65000</v>
      </c>
      <c r="G53" s="15" t="s">
        <v>67</v>
      </c>
      <c r="H53" s="88">
        <v>95.2</v>
      </c>
      <c r="I53" s="13">
        <f>F53*H53</f>
        <v>6188000</v>
      </c>
      <c r="J53" s="14">
        <f>I53</f>
        <v>6188000</v>
      </c>
      <c r="K53" s="13">
        <f>J53*L53</f>
        <v>350043402.80000001</v>
      </c>
      <c r="L53" s="19">
        <f>_xll.BDH("RUB curncy","PX_LAST",$N53)</f>
        <v>56.568100000000001</v>
      </c>
      <c r="M53" s="64">
        <f>1/_xll.BDH("RUB curncy","PX_LAST",$N53)</f>
        <v>1.7677807810409046E-2</v>
      </c>
      <c r="N53" s="12">
        <v>42885</v>
      </c>
      <c r="P53" s="89">
        <f>F53*0.14586</f>
        <v>9480.9</v>
      </c>
    </row>
    <row r="54" spans="2:16" x14ac:dyDescent="0.2">
      <c r="F54" s="75">
        <f>SUM(F53:F53)</f>
        <v>65000</v>
      </c>
      <c r="H54" s="9">
        <f>I54/F54</f>
        <v>95.2</v>
      </c>
      <c r="I54" s="75">
        <f>SUM(I53:I53)</f>
        <v>6188000</v>
      </c>
      <c r="J54" s="262">
        <f>SUM(J53:J53)</f>
        <v>6188000</v>
      </c>
      <c r="K54" s="75">
        <f>SUM(K53:K53)</f>
        <v>350043402.80000001</v>
      </c>
      <c r="P54" s="89">
        <f>P50+P33+P28+P25</f>
        <v>7082.9030600000006</v>
      </c>
    </row>
    <row r="56" spans="2:16" x14ac:dyDescent="0.2">
      <c r="B56" s="18" t="s">
        <v>2957</v>
      </c>
      <c r="C56" s="17" t="s">
        <v>484</v>
      </c>
      <c r="D56" s="15" t="str">
        <f>_xll.BDP(C56,"SECURITY_NAME")</f>
        <v>EVRAZ 8 1/4 01/28/21</v>
      </c>
      <c r="E56" s="15" t="s">
        <v>44</v>
      </c>
      <c r="F56" s="16">
        <v>200000</v>
      </c>
      <c r="G56" s="15" t="s">
        <v>67</v>
      </c>
      <c r="H56" s="88">
        <v>111.53</v>
      </c>
      <c r="I56" s="13">
        <f>F56*H56</f>
        <v>22306000</v>
      </c>
      <c r="J56" s="14">
        <f>I56</f>
        <v>22306000</v>
      </c>
      <c r="K56" s="13">
        <f>J56*L56</f>
        <v>1326129620.2</v>
      </c>
      <c r="L56" s="19">
        <f>_xll.BDH("RUB curncy","PX_LAST",$N56)</f>
        <v>59.451700000000002</v>
      </c>
      <c r="M56" s="64">
        <f>1/_xll.BDH("RUB curncy","PX_LAST",$N56)</f>
        <v>1.6820376877364315E-2</v>
      </c>
      <c r="N56" s="12">
        <v>42909</v>
      </c>
      <c r="P56" s="89">
        <f>F56*0.14586</f>
        <v>29171.999999999996</v>
      </c>
    </row>
    <row r="57" spans="2:16" x14ac:dyDescent="0.2">
      <c r="F57" s="75">
        <f>SUM(F56:F56)</f>
        <v>200000</v>
      </c>
      <c r="H57" s="9">
        <f>I57/F57</f>
        <v>111.53</v>
      </c>
      <c r="I57" s="75">
        <f>SUM(I56:I56)</f>
        <v>22306000</v>
      </c>
      <c r="J57" s="262">
        <f>SUM(J56:J56)</f>
        <v>22306000</v>
      </c>
      <c r="K57" s="75">
        <f>SUM(K56:K56)</f>
        <v>1326129620.2</v>
      </c>
    </row>
    <row r="59" spans="2:16" x14ac:dyDescent="0.2">
      <c r="B59" s="18" t="s">
        <v>2957</v>
      </c>
      <c r="C59" s="17" t="s">
        <v>2231</v>
      </c>
      <c r="D59" s="15" t="str">
        <f>_xll.BDP(C59,"SECURITY_NAME")</f>
        <v>GAZPRU 6.51 03/07/22</v>
      </c>
      <c r="E59" s="15" t="s">
        <v>44</v>
      </c>
      <c r="F59" s="16">
        <v>200000</v>
      </c>
      <c r="G59" s="15" t="s">
        <v>67</v>
      </c>
      <c r="H59" s="88">
        <v>110.61</v>
      </c>
      <c r="I59" s="13">
        <f>F59*H59</f>
        <v>22122000</v>
      </c>
      <c r="J59" s="14">
        <f>I59</f>
        <v>22122000</v>
      </c>
      <c r="K59" s="13">
        <f>J59*L59</f>
        <v>1315190507.4000001</v>
      </c>
      <c r="L59" s="19">
        <f>_xll.BDH("RUB curncy","PX_LAST",$N59)</f>
        <v>59.451700000000002</v>
      </c>
      <c r="M59" s="64">
        <f>1/_xll.BDH("RUB curncy","PX_LAST",$N59)</f>
        <v>1.6820376877364315E-2</v>
      </c>
      <c r="N59" s="12">
        <v>42909</v>
      </c>
      <c r="P59" s="89">
        <f>F59*0.14586</f>
        <v>29171.999999999996</v>
      </c>
    </row>
    <row r="60" spans="2:16" x14ac:dyDescent="0.2">
      <c r="F60" s="75">
        <f>SUM(F59:F59)</f>
        <v>200000</v>
      </c>
      <c r="H60" s="9">
        <f>I60/F60</f>
        <v>110.61</v>
      </c>
      <c r="I60" s="75">
        <f>SUM(I59:I59)</f>
        <v>22122000</v>
      </c>
      <c r="J60" s="262">
        <f>SUM(J59:J59)</f>
        <v>22122000</v>
      </c>
      <c r="K60" s="75">
        <f>SUM(K59:K59)</f>
        <v>1315190507.4000001</v>
      </c>
    </row>
    <row r="62" spans="2:16" x14ac:dyDescent="0.2">
      <c r="B62" s="18" t="s">
        <v>2957</v>
      </c>
      <c r="C62" s="17" t="s">
        <v>460</v>
      </c>
      <c r="D62" s="15" t="str">
        <f>_xll.BDP(C62,"SECURITY_NAME")</f>
        <v>IMHRUS 10 3/4 12/28/18</v>
      </c>
      <c r="E62" s="15" t="s">
        <v>44</v>
      </c>
      <c r="F62" s="16">
        <v>200000</v>
      </c>
      <c r="G62" s="15" t="s">
        <v>67</v>
      </c>
      <c r="H62" s="88">
        <v>100.75</v>
      </c>
      <c r="I62" s="13">
        <f>F62*H62</f>
        <v>20150000</v>
      </c>
      <c r="J62" s="14">
        <f>I62</f>
        <v>20150000</v>
      </c>
      <c r="K62" s="13">
        <f>J62*L62</f>
        <v>1160950310</v>
      </c>
      <c r="L62" s="19">
        <f>_xll.BDH("RUB curncy","PX_LAST",$N62)</f>
        <v>57.615400000000001</v>
      </c>
      <c r="M62" s="64">
        <f>1/_xll.BDH("RUB curncy","PX_LAST",$N62)</f>
        <v>1.7356470665828929E-2</v>
      </c>
      <c r="N62" s="12">
        <v>42782</v>
      </c>
      <c r="P62" s="89">
        <f>F62*0.14586</f>
        <v>29171.999999999996</v>
      </c>
    </row>
    <row r="63" spans="2:16" x14ac:dyDescent="0.2">
      <c r="F63" s="75">
        <f>SUM(F62:F62)</f>
        <v>200000</v>
      </c>
      <c r="H63" s="9">
        <f>I63/F63</f>
        <v>100.75</v>
      </c>
      <c r="I63" s="75">
        <f>SUM(I62:I62)</f>
        <v>20150000</v>
      </c>
      <c r="J63" s="262">
        <f>SUM(J62:J62)</f>
        <v>20150000</v>
      </c>
      <c r="K63" s="75">
        <f>SUM(K62:K62)</f>
        <v>1160950310</v>
      </c>
    </row>
    <row r="65" spans="2:16" x14ac:dyDescent="0.2">
      <c r="B65" s="18" t="s">
        <v>2957</v>
      </c>
      <c r="C65" s="17" t="s">
        <v>1103</v>
      </c>
      <c r="D65" s="15" t="str">
        <f>_xll.BDP(C65,"SECURITY_NAME")</f>
        <v>NMOSRM 10 04/26/19</v>
      </c>
      <c r="E65" s="15" t="s">
        <v>44</v>
      </c>
      <c r="F65" s="16">
        <v>200000</v>
      </c>
      <c r="G65" s="15" t="s">
        <v>67</v>
      </c>
      <c r="H65" s="88">
        <v>95.515000000000001</v>
      </c>
      <c r="I65" s="13">
        <f>F65*H65</f>
        <v>19103000</v>
      </c>
      <c r="J65" s="14">
        <f>I65</f>
        <v>19103000</v>
      </c>
      <c r="K65" s="13">
        <f>J65*L65</f>
        <v>1126165786.9000001</v>
      </c>
      <c r="L65" s="19">
        <f>_xll.BDH("RUB curncy","PX_LAST",$N65)</f>
        <v>58.952300000000001</v>
      </c>
      <c r="M65" s="64">
        <f>1/_xll.BDH("RUB curncy","PX_LAST",$N65)</f>
        <v>1.6962866588750566E-2</v>
      </c>
      <c r="N65" s="12">
        <v>42965</v>
      </c>
      <c r="P65" s="89">
        <f>F65*0.14586</f>
        <v>29171.999999999996</v>
      </c>
    </row>
    <row r="66" spans="2:16" x14ac:dyDescent="0.2">
      <c r="F66" s="75">
        <f>SUM(F65:F65)</f>
        <v>200000</v>
      </c>
      <c r="H66" s="9">
        <f>I66/F66</f>
        <v>95.515000000000001</v>
      </c>
      <c r="I66" s="75">
        <f>SUM(I65:I65)</f>
        <v>19103000</v>
      </c>
      <c r="J66" s="262">
        <f>SUM(J65:J65)</f>
        <v>19103000</v>
      </c>
      <c r="K66" s="75">
        <f>SUM(K65:K65)</f>
        <v>1126165786.9000001</v>
      </c>
    </row>
    <row r="68" spans="2:16" x14ac:dyDescent="0.2">
      <c r="B68" s="18" t="s">
        <v>2957</v>
      </c>
      <c r="C68" s="17" t="s">
        <v>2250</v>
      </c>
      <c r="D68" s="15" t="str">
        <f>_xll.BDP(C68,"SECURITY_NAME")</f>
        <v>Ros Agro PLC</v>
      </c>
      <c r="E68" s="15" t="s">
        <v>44</v>
      </c>
      <c r="F68" s="16">
        <v>3950</v>
      </c>
      <c r="G68" s="15" t="s">
        <v>67</v>
      </c>
      <c r="H68" s="88">
        <v>12.6</v>
      </c>
      <c r="I68" s="13">
        <f>F68*H68</f>
        <v>49770</v>
      </c>
      <c r="J68" s="14">
        <f>I68</f>
        <v>49770</v>
      </c>
      <c r="K68" s="13">
        <f>J68*L68</f>
        <v>2802464.091</v>
      </c>
      <c r="L68" s="19">
        <f>_xll.BDH("RUB curncy","PX_LAST",$N68)</f>
        <v>56.308300000000003</v>
      </c>
      <c r="M68" s="64">
        <f>1/_xll.BDH("RUB curncy","PX_LAST",$N68)</f>
        <v>1.7759371176185392E-2</v>
      </c>
      <c r="N68" s="12">
        <v>42831</v>
      </c>
      <c r="P68" s="89">
        <f>F68*0.14586</f>
        <v>576.14699999999993</v>
      </c>
    </row>
    <row r="69" spans="2:16" x14ac:dyDescent="0.2">
      <c r="F69" s="75">
        <f>SUM(F68:F68)</f>
        <v>3950</v>
      </c>
      <c r="H69" s="9">
        <f>I69/F69</f>
        <v>12.6</v>
      </c>
      <c r="I69" s="75">
        <f>SUM(I68:I68)</f>
        <v>49770</v>
      </c>
      <c r="J69" s="262">
        <f>SUM(J68:J68)</f>
        <v>49770</v>
      </c>
      <c r="K69" s="75">
        <f>SUM(K68:K68)</f>
        <v>2802464.091</v>
      </c>
    </row>
    <row r="71" spans="2:16" x14ac:dyDescent="0.2">
      <c r="B71" s="18" t="s">
        <v>2957</v>
      </c>
      <c r="C71" s="17" t="s">
        <v>140</v>
      </c>
      <c r="D71" s="15" t="str">
        <f>_xll.BDP(C71,"SECURITY_NAME")</f>
        <v>Highland Gold Mining Ltd</v>
      </c>
      <c r="E71" s="15" t="s">
        <v>44</v>
      </c>
      <c r="F71" s="16">
        <v>1068</v>
      </c>
      <c r="G71" s="15" t="s">
        <v>2278</v>
      </c>
      <c r="H71" s="88">
        <v>1.355</v>
      </c>
      <c r="I71" s="13">
        <f>F71*H71</f>
        <v>1447.1399999999999</v>
      </c>
      <c r="J71" s="14">
        <f>I71</f>
        <v>1447.1399999999999</v>
      </c>
      <c r="K71" s="13">
        <f>J71*L71</f>
        <v>86809.587180000002</v>
      </c>
      <c r="L71" s="19">
        <f>_xll.BDH("RUB curncy","PX_LAST",$N71)</f>
        <v>59.987000000000002</v>
      </c>
      <c r="M71" s="64">
        <f>1/_xll.BDH("RUB curncy","PX_LAST",$N71)</f>
        <v>1.6670278560354742E-2</v>
      </c>
      <c r="N71" s="12">
        <v>42921</v>
      </c>
      <c r="P71" s="89">
        <f>F71*0.14586</f>
        <v>155.77848</v>
      </c>
    </row>
    <row r="72" spans="2:16" x14ac:dyDescent="0.2">
      <c r="B72" s="18" t="s">
        <v>2957</v>
      </c>
      <c r="C72" s="17" t="s">
        <v>140</v>
      </c>
      <c r="D72" s="15" t="str">
        <f>_xll.BDP(C72,"SECURITY_NAME")</f>
        <v>Highland Gold Mining Ltd</v>
      </c>
      <c r="E72" s="15" t="s">
        <v>44</v>
      </c>
      <c r="F72" s="16">
        <v>27070</v>
      </c>
      <c r="G72" s="15" t="s">
        <v>67</v>
      </c>
      <c r="H72" s="88">
        <v>1.8424990000000001</v>
      </c>
      <c r="I72" s="13">
        <f>F72*H72</f>
        <v>49876.447930000002</v>
      </c>
      <c r="J72" s="14">
        <f>I72</f>
        <v>49876.447930000002</v>
      </c>
      <c r="K72" s="13">
        <f>J72*L72</f>
        <v>2849361.6679242123</v>
      </c>
      <c r="L72" s="19">
        <f>_xll.BDH("RUB curncy","PX_LAST",$N72)</f>
        <v>57.128399999999999</v>
      </c>
      <c r="M72" s="64">
        <f>1/_xll.BDH("RUB curncy","PX_LAST",$N72)</f>
        <v>1.7504428620440972E-2</v>
      </c>
      <c r="N72" s="12">
        <v>42851</v>
      </c>
      <c r="P72" s="89">
        <f>F72*0.14586</f>
        <v>3948.4301999999998</v>
      </c>
    </row>
    <row r="73" spans="2:16" x14ac:dyDescent="0.2">
      <c r="B73" s="18" t="s">
        <v>2957</v>
      </c>
      <c r="C73" s="17" t="s">
        <v>140</v>
      </c>
      <c r="D73" s="15" t="str">
        <f>_xll.BDP(C73,"SECURITY_NAME")</f>
        <v>Highland Gold Mining Ltd</v>
      </c>
      <c r="E73" s="15" t="s">
        <v>44</v>
      </c>
      <c r="F73" s="16">
        <v>35500</v>
      </c>
      <c r="G73" s="15" t="s">
        <v>67</v>
      </c>
      <c r="H73" s="88">
        <v>1.7598400000000001</v>
      </c>
      <c r="I73" s="13">
        <f>F73*H73</f>
        <v>62474.32</v>
      </c>
      <c r="J73" s="14">
        <f>I73</f>
        <v>62474.32</v>
      </c>
      <c r="K73" s="13">
        <f>J73*L73</f>
        <v>3619562.182976</v>
      </c>
      <c r="L73" s="19">
        <f>_xll.BDH("RUB curncy","PX_LAST",$N73)</f>
        <v>57.936799999999998</v>
      </c>
      <c r="M73" s="64">
        <f>1/_xll.BDH("RUB curncy","PX_LAST",$N73)</f>
        <v>1.7260186962345176E-2</v>
      </c>
      <c r="N73" s="12">
        <v>42860</v>
      </c>
      <c r="P73" s="89">
        <f>F73*0.14586</f>
        <v>5178.03</v>
      </c>
    </row>
    <row r="74" spans="2:16" x14ac:dyDescent="0.2">
      <c r="B74" s="18" t="s">
        <v>2957</v>
      </c>
      <c r="C74" s="17" t="s">
        <v>140</v>
      </c>
      <c r="D74" s="15" t="str">
        <f>_xll.BDP(C74,"SECURITY_NAME")</f>
        <v>Highland Gold Mining Ltd</v>
      </c>
      <c r="E74" s="15" t="s">
        <v>44</v>
      </c>
      <c r="F74" s="16">
        <v>26800</v>
      </c>
      <c r="G74" s="15" t="s">
        <v>67</v>
      </c>
      <c r="H74" s="88">
        <v>2.3521429999999999</v>
      </c>
      <c r="I74" s="13">
        <f>F74*H74</f>
        <v>63037.432399999998</v>
      </c>
      <c r="J74" s="14">
        <f>I74</f>
        <v>63037.432399999998</v>
      </c>
      <c r="K74" s="13">
        <f>J74*L74</f>
        <v>3606453.4562661201</v>
      </c>
      <c r="L74" s="19">
        <f>_xll.BDH("RUB curncy","PX_LAST",$N74)</f>
        <v>57.211300000000001</v>
      </c>
      <c r="M74" s="64">
        <f>1/_xll.BDH("RUB curncy","PX_LAST",$N74)</f>
        <v>1.747906445055435E-2</v>
      </c>
      <c r="N74" s="12">
        <v>42781</v>
      </c>
      <c r="P74" s="89">
        <f>F74*0.14586</f>
        <v>3909.0479999999998</v>
      </c>
    </row>
    <row r="75" spans="2:16" x14ac:dyDescent="0.2">
      <c r="F75" s="75">
        <f>SUM(F71:F74)</f>
        <v>90438</v>
      </c>
      <c r="H75" s="9">
        <f>I75/F75</f>
        <v>1.9553212181826225</v>
      </c>
      <c r="I75" s="75">
        <f>SUM(I71:I74)</f>
        <v>176835.34033000001</v>
      </c>
      <c r="J75" s="262">
        <f>SUM(J71:J74)</f>
        <v>176835.34033000001</v>
      </c>
      <c r="K75" s="75">
        <f>SUM(K71:K74)</f>
        <v>10162186.894346332</v>
      </c>
    </row>
    <row r="77" spans="2:16" x14ac:dyDescent="0.2">
      <c r="B77" s="18" t="s">
        <v>2957</v>
      </c>
      <c r="C77" s="17" t="s">
        <v>222</v>
      </c>
      <c r="D77" s="15" t="str">
        <f>_xll.BDP(C77,"SECURITY_NAME")</f>
        <v>KazMunaiGas Exploration Produc</v>
      </c>
      <c r="E77" s="15" t="s">
        <v>44</v>
      </c>
      <c r="F77" s="16">
        <v>6250</v>
      </c>
      <c r="G77" s="15" t="s">
        <v>67</v>
      </c>
      <c r="H77" s="88">
        <v>9.9023000000000003</v>
      </c>
      <c r="I77" s="13">
        <f>F77*H77</f>
        <v>61889.375</v>
      </c>
      <c r="J77" s="14">
        <f>I77</f>
        <v>61889.375</v>
      </c>
      <c r="K77" s="13">
        <f>J77*L77</f>
        <v>3588259.3173750001</v>
      </c>
      <c r="L77" s="19">
        <f>_xll.BDH("RUB curncy","PX_LAST",$N77)</f>
        <v>57.9786</v>
      </c>
      <c r="M77" s="64">
        <f>1/_xll.BDH("RUB curncy","PX_LAST",$N77)</f>
        <v>1.7247743132811071E-2</v>
      </c>
      <c r="N77" s="12">
        <v>42786</v>
      </c>
      <c r="P77" s="89">
        <f>F77*0.14586</f>
        <v>911.62499999999989</v>
      </c>
    </row>
    <row r="78" spans="2:16" x14ac:dyDescent="0.2">
      <c r="F78" s="75">
        <f>SUM(F77:F77)</f>
        <v>6250</v>
      </c>
      <c r="H78" s="9">
        <f>I78/F78</f>
        <v>9.9023000000000003</v>
      </c>
      <c r="I78" s="75">
        <f>SUM(I77:I77)</f>
        <v>61889.375</v>
      </c>
      <c r="J78" s="262">
        <f>SUM(J77:J77)</f>
        <v>61889.375</v>
      </c>
      <c r="K78" s="75">
        <f>SUM(K77:K77)</f>
        <v>3588259.3173750001</v>
      </c>
    </row>
    <row r="80" spans="2:16" x14ac:dyDescent="0.2">
      <c r="B80" s="18" t="s">
        <v>2957</v>
      </c>
      <c r="C80" s="17" t="s">
        <v>483</v>
      </c>
      <c r="D80" s="15" t="str">
        <f>_xll.BDP(C80,"SECURITY_NAME")</f>
        <v>Luxoft Holding Inc</v>
      </c>
      <c r="E80" s="15" t="s">
        <v>44</v>
      </c>
      <c r="F80" s="16">
        <v>1135</v>
      </c>
      <c r="G80" s="15" t="s">
        <v>67</v>
      </c>
      <c r="H80" s="88">
        <v>42.862738</v>
      </c>
      <c r="I80" s="13">
        <f>F80*H80</f>
        <v>48649.207629999997</v>
      </c>
      <c r="J80" s="14">
        <f>I80</f>
        <v>48649.207629999997</v>
      </c>
      <c r="K80" s="13">
        <f>J80*L80</f>
        <v>2911110.2055300437</v>
      </c>
      <c r="L80" s="19">
        <f>_xll.BDH("RUB curncy","PX_LAST",$N80)</f>
        <v>59.838799999999999</v>
      </c>
      <c r="M80" s="64">
        <f>1/_xll.BDH("RUB curncy","PX_LAST",$N80)</f>
        <v>1.6711565071492077E-2</v>
      </c>
      <c r="N80" s="12">
        <v>42958</v>
      </c>
      <c r="P80" s="89">
        <f>F80*0.14586</f>
        <v>165.55109999999999</v>
      </c>
    </row>
    <row r="81" spans="2:16" x14ac:dyDescent="0.2">
      <c r="B81" s="18" t="s">
        <v>2957</v>
      </c>
      <c r="C81" s="17" t="s">
        <v>483</v>
      </c>
      <c r="D81" s="15" t="str">
        <f>_xll.BDP(C81,"SECURITY_NAME")</f>
        <v>Luxoft Holding Inc</v>
      </c>
      <c r="E81" s="15" t="s">
        <v>44</v>
      </c>
      <c r="F81" s="16">
        <v>1136</v>
      </c>
      <c r="G81" s="15" t="s">
        <v>67</v>
      </c>
      <c r="H81" s="88">
        <v>55</v>
      </c>
      <c r="I81" s="13">
        <f>F81*H81</f>
        <v>62480</v>
      </c>
      <c r="J81" s="14">
        <f>I81</f>
        <v>62480</v>
      </c>
      <c r="K81" s="13">
        <f>J81*L81</f>
        <v>3626595.3679999998</v>
      </c>
      <c r="L81" s="19">
        <f>_xll.BDH("RUB curncy","PX_LAST",$N81)</f>
        <v>58.0441</v>
      </c>
      <c r="M81" s="64">
        <f>1/_xll.BDH("RUB curncy","PX_LAST",$N81)</f>
        <v>1.7228279876852257E-2</v>
      </c>
      <c r="N81" s="12">
        <v>42788</v>
      </c>
      <c r="P81" s="89">
        <f>F81*0.14586</f>
        <v>165.69695999999999</v>
      </c>
    </row>
    <row r="82" spans="2:16" x14ac:dyDescent="0.2">
      <c r="F82" s="75">
        <f>SUM(F80:F81)</f>
        <v>2271</v>
      </c>
      <c r="H82" s="9">
        <f>I82/F82</f>
        <v>48.93404122853368</v>
      </c>
      <c r="I82" s="75">
        <f>SUM(I80:I81)</f>
        <v>111129.20762999999</v>
      </c>
      <c r="J82" s="262">
        <f>SUM(J80:J81)</f>
        <v>111129.20762999999</v>
      </c>
      <c r="K82" s="75">
        <f>SUM(K80:K81)</f>
        <v>6537705.5735300435</v>
      </c>
    </row>
    <row r="84" spans="2:16" x14ac:dyDescent="0.2">
      <c r="B84" s="18" t="s">
        <v>2957</v>
      </c>
      <c r="C84" s="17" t="s">
        <v>1095</v>
      </c>
      <c r="D84" s="15" t="str">
        <f>_xll.BDP(C84,"SECURITY_NAME")</f>
        <v>Macy's Inc</v>
      </c>
      <c r="E84" s="15" t="s">
        <v>44</v>
      </c>
      <c r="F84" s="16">
        <v>2850</v>
      </c>
      <c r="G84" s="15" t="s">
        <v>67</v>
      </c>
      <c r="H84" s="88">
        <v>21.85</v>
      </c>
      <c r="I84" s="13">
        <f>F84*H84</f>
        <v>62272.500000000007</v>
      </c>
      <c r="J84" s="14">
        <f>I84</f>
        <v>62272.500000000007</v>
      </c>
      <c r="K84" s="13">
        <f>J84*L84</f>
        <v>3572853.5512500005</v>
      </c>
      <c r="L84" s="19">
        <f>_xll.BDH("RUB curncy","PX_LAST",$N84)</f>
        <v>57.374499999999998</v>
      </c>
      <c r="M84" s="64">
        <f>1/_xll.BDH("RUB curncy","PX_LAST",$N84)</f>
        <v>1.7429345789505793E-2</v>
      </c>
      <c r="N84" s="12">
        <v>42984</v>
      </c>
      <c r="P84" s="89">
        <f>F84*0.14586</f>
        <v>415.70099999999996</v>
      </c>
    </row>
    <row r="85" spans="2:16" x14ac:dyDescent="0.2">
      <c r="F85" s="75">
        <f>SUM(F84:F84)</f>
        <v>2850</v>
      </c>
      <c r="H85" s="9">
        <f>I85/F85</f>
        <v>21.85</v>
      </c>
      <c r="I85" s="75">
        <f>SUM(I84:I84)</f>
        <v>62272.500000000007</v>
      </c>
      <c r="J85" s="262">
        <f>SUM(J84:J84)</f>
        <v>62272.500000000007</v>
      </c>
      <c r="K85" s="75">
        <f>SUM(K84:K84)</f>
        <v>3572853.5512500005</v>
      </c>
    </row>
    <row r="87" spans="2:16" x14ac:dyDescent="0.2">
      <c r="B87" s="18" t="s">
        <v>2957</v>
      </c>
      <c r="C87" s="17" t="s">
        <v>199</v>
      </c>
      <c r="D87" s="15" t="str">
        <f>_xll.BDP(C87,"SECURITY_NAME")</f>
        <v>Novatek PJSC</v>
      </c>
      <c r="E87" s="15" t="s">
        <v>44</v>
      </c>
      <c r="F87" s="16">
        <v>5750</v>
      </c>
      <c r="G87" s="15" t="s">
        <v>67</v>
      </c>
      <c r="H87" s="88">
        <v>10.900309999999999</v>
      </c>
      <c r="I87" s="13">
        <f>F87*H87</f>
        <v>62676.782499999994</v>
      </c>
      <c r="J87" s="14">
        <f>I87</f>
        <v>62676.782499999994</v>
      </c>
      <c r="K87" s="13">
        <f>J87*L87</f>
        <v>3541106.5900067496</v>
      </c>
      <c r="L87" s="19">
        <f>_xll.BDH("RUB curncy","PX_LAST",$N87)</f>
        <v>56.497900000000001</v>
      </c>
      <c r="M87" s="64">
        <f>1/_xll.BDH("RUB curncy","PX_LAST",$N87)</f>
        <v>1.769977291191354E-2</v>
      </c>
      <c r="N87" s="12">
        <v>42892</v>
      </c>
      <c r="P87" s="89">
        <f>F87*0.14586</f>
        <v>838.69499999999994</v>
      </c>
    </row>
    <row r="88" spans="2:16" x14ac:dyDescent="0.2">
      <c r="F88" s="75">
        <f>SUM(F87:F87)</f>
        <v>5750</v>
      </c>
      <c r="H88" s="9">
        <f>I88/F88</f>
        <v>10.900309999999999</v>
      </c>
      <c r="I88" s="75">
        <f>SUM(I87:I87)</f>
        <v>62676.782499999994</v>
      </c>
      <c r="J88" s="262">
        <f>SUM(J87:J87)</f>
        <v>62676.782499999994</v>
      </c>
      <c r="K88" s="75">
        <f>SUM(K87:K87)</f>
        <v>3541106.5900067496</v>
      </c>
    </row>
    <row r="90" spans="2:16" x14ac:dyDescent="0.2">
      <c r="B90" s="18" t="s">
        <v>2957</v>
      </c>
      <c r="C90" s="17" t="s">
        <v>231</v>
      </c>
      <c r="D90" s="15" t="str">
        <f>_xll.BDP(C90,"SECURITY_NAME")</f>
        <v>Gazprom PJSC</v>
      </c>
      <c r="E90" s="15" t="s">
        <v>44</v>
      </c>
      <c r="F90" s="16">
        <v>15000</v>
      </c>
      <c r="G90" s="15" t="s">
        <v>67</v>
      </c>
      <c r="H90" s="88">
        <v>4.1764999999999999</v>
      </c>
      <c r="I90" s="13">
        <f>F90*H90</f>
        <v>62647.5</v>
      </c>
      <c r="J90" s="14">
        <f>I90</f>
        <v>62647.5</v>
      </c>
      <c r="K90" s="13">
        <f>J90*L90</f>
        <v>3539452.19025</v>
      </c>
      <c r="L90" s="19">
        <f>_xll.BDH("RUB curncy","PX_LAST",$N90)</f>
        <v>56.497900000000001</v>
      </c>
      <c r="M90" s="64">
        <f>1/_xll.BDH("RUB curncy","PX_LAST",$N90)</f>
        <v>1.769977291191354E-2</v>
      </c>
      <c r="N90" s="12">
        <v>42892</v>
      </c>
      <c r="P90" s="89">
        <f>F90*0.14586</f>
        <v>2187.8999999999996</v>
      </c>
    </row>
    <row r="91" spans="2:16" x14ac:dyDescent="0.2">
      <c r="B91" s="18" t="s">
        <v>2957</v>
      </c>
      <c r="C91" s="17" t="s">
        <v>231</v>
      </c>
      <c r="D91" s="15" t="str">
        <f>_xll.BDP(C91,"SECURITY_NAME")</f>
        <v>Gazprom PJSC</v>
      </c>
      <c r="E91" s="15" t="s">
        <v>44</v>
      </c>
      <c r="F91" s="16">
        <v>13900</v>
      </c>
      <c r="G91" s="15" t="s">
        <v>67</v>
      </c>
      <c r="H91" s="88">
        <v>4.4821</v>
      </c>
      <c r="I91" s="13">
        <f>F91*H91</f>
        <v>62301.19</v>
      </c>
      <c r="J91" s="14">
        <f>I91</f>
        <v>62301.19</v>
      </c>
      <c r="K91" s="13">
        <f>J91*L91</f>
        <v>3573035.5476899999</v>
      </c>
      <c r="L91" s="19">
        <f>_xll.BDH("RUB curncy","PX_LAST",$N91)</f>
        <v>57.350999999999999</v>
      </c>
      <c r="M91" s="64">
        <f>1/_xll.BDH("RUB curncy","PX_LAST",$N91)</f>
        <v>1.7436487593939076E-2</v>
      </c>
      <c r="N91" s="12">
        <v>42817</v>
      </c>
      <c r="P91" s="89">
        <f>F91*0.14586</f>
        <v>2027.454</v>
      </c>
    </row>
    <row r="92" spans="2:16" x14ac:dyDescent="0.2">
      <c r="F92" s="75">
        <f>SUM(F90:F91)</f>
        <v>28900</v>
      </c>
      <c r="H92" s="9">
        <f>I92/F92</f>
        <v>4.323484083044983</v>
      </c>
      <c r="I92" s="75">
        <f>SUM(I90:I91)</f>
        <v>124948.69</v>
      </c>
      <c r="J92" s="262">
        <f>SUM(J90:J91)</f>
        <v>124948.69</v>
      </c>
      <c r="K92" s="75">
        <f>SUM(K90:K91)</f>
        <v>7112487.7379400004</v>
      </c>
    </row>
    <row r="94" spans="2:16" x14ac:dyDescent="0.2">
      <c r="B94" s="18" t="s">
        <v>2957</v>
      </c>
      <c r="C94" s="17" t="s">
        <v>143</v>
      </c>
      <c r="D94" s="15" t="str">
        <f>_xll.BDP(C94,"SECURITY_NAME")</f>
        <v>Polymetal International PLC</v>
      </c>
      <c r="E94" s="15" t="s">
        <v>44</v>
      </c>
      <c r="F94" s="16">
        <v>5150</v>
      </c>
      <c r="G94" s="15" t="s">
        <v>67</v>
      </c>
      <c r="H94" s="88">
        <v>12.150689</v>
      </c>
      <c r="I94" s="13">
        <f>F94*H94</f>
        <v>62576.048349999997</v>
      </c>
      <c r="J94" s="14">
        <f>I94</f>
        <v>62576.048349999997</v>
      </c>
      <c r="K94" s="13">
        <f>J94*L94</f>
        <v>3580057.0749663548</v>
      </c>
      <c r="L94" s="19">
        <f>_xll.BDH("RUB curncy","PX_LAST",$N94)</f>
        <v>57.211300000000001</v>
      </c>
      <c r="M94" s="64">
        <f>1/_xll.BDH("RUB curncy","PX_LAST",$N94)</f>
        <v>1.747906445055435E-2</v>
      </c>
      <c r="N94" s="12">
        <v>42781</v>
      </c>
      <c r="P94" s="89">
        <f>F94*0.14586</f>
        <v>751.17899999999997</v>
      </c>
    </row>
    <row r="95" spans="2:16" x14ac:dyDescent="0.2">
      <c r="F95" s="75">
        <f>SUM(F94:F94)</f>
        <v>5150</v>
      </c>
      <c r="H95" s="9">
        <f>I95/F95</f>
        <v>12.150689</v>
      </c>
      <c r="I95" s="75">
        <f>SUM(I94:I94)</f>
        <v>62576.048349999997</v>
      </c>
      <c r="J95" s="262">
        <f>SUM(J94:J94)</f>
        <v>62576.048349999997</v>
      </c>
      <c r="K95" s="75">
        <f>SUM(K94:K94)</f>
        <v>3580057.0749663548</v>
      </c>
    </row>
    <row r="97" spans="2:16" x14ac:dyDescent="0.2">
      <c r="B97" s="18" t="s">
        <v>2957</v>
      </c>
      <c r="C97" s="17" t="s">
        <v>234</v>
      </c>
      <c r="D97" s="15" t="str">
        <f>_xll.BDP(C97,"SECURITY_NAME")</f>
        <v>QIWI plc</v>
      </c>
      <c r="E97" s="15" t="s">
        <v>44</v>
      </c>
      <c r="F97" s="16">
        <v>3850</v>
      </c>
      <c r="G97" s="15" t="s">
        <v>67</v>
      </c>
      <c r="H97" s="88">
        <v>16.230599999999999</v>
      </c>
      <c r="I97" s="13">
        <f>F97*H97</f>
        <v>62487.81</v>
      </c>
      <c r="J97" s="14">
        <f>I97</f>
        <v>62487.81</v>
      </c>
      <c r="K97" s="13">
        <f>J97*L97</f>
        <v>3585206.8548449995</v>
      </c>
      <c r="L97" s="19">
        <f>_xll.BDH("RUB curncy","PX_LAST",$N97)</f>
        <v>57.374499999999998</v>
      </c>
      <c r="M97" s="64">
        <f>1/_xll.BDH("RUB curncy","PX_LAST",$N97)</f>
        <v>1.7429345789505793E-2</v>
      </c>
      <c r="N97" s="12">
        <v>42984</v>
      </c>
      <c r="P97" s="89">
        <f>F97*0.14586</f>
        <v>561.56099999999992</v>
      </c>
    </row>
    <row r="98" spans="2:16" x14ac:dyDescent="0.2">
      <c r="F98" s="75">
        <f>SUM(F97:F97)</f>
        <v>3850</v>
      </c>
      <c r="H98" s="9">
        <f>I98/F98</f>
        <v>16.230599999999999</v>
      </c>
      <c r="I98" s="75">
        <f>SUM(I97:I97)</f>
        <v>62487.81</v>
      </c>
      <c r="J98" s="262">
        <f>SUM(J97:J97)</f>
        <v>62487.81</v>
      </c>
      <c r="K98" s="75">
        <f>SUM(K97:K97)</f>
        <v>3585206.8548449995</v>
      </c>
    </row>
    <row r="100" spans="2:16" x14ac:dyDescent="0.2">
      <c r="B100" s="18" t="s">
        <v>2957</v>
      </c>
      <c r="C100" s="17" t="s">
        <v>148</v>
      </c>
      <c r="D100" s="15" t="str">
        <f>_xll.BDP(C100,"SECURITY_NAME")</f>
        <v>VEON Ltd</v>
      </c>
      <c r="E100" s="15" t="s">
        <v>44</v>
      </c>
      <c r="F100" s="16">
        <v>14205</v>
      </c>
      <c r="G100" s="15" t="s">
        <v>67</v>
      </c>
      <c r="H100" s="88">
        <v>4.3792609999999996</v>
      </c>
      <c r="I100" s="13">
        <f>F100*H100</f>
        <v>62207.402504999998</v>
      </c>
      <c r="J100" s="14">
        <f>I100</f>
        <v>62207.402504999998</v>
      </c>
      <c r="K100" s="13">
        <f>J100*L100</f>
        <v>3558966.3669343065</v>
      </c>
      <c r="L100" s="19">
        <f>_xll.BDH("RUB curncy","PX_LAST",$N100)</f>
        <v>57.211300000000001</v>
      </c>
      <c r="M100" s="64">
        <f>1/_xll.BDH("RUB curncy","PX_LAST",$N100)</f>
        <v>1.747906445055435E-2</v>
      </c>
      <c r="N100" s="12">
        <v>42781</v>
      </c>
      <c r="P100" s="89">
        <f>F100*0.14586</f>
        <v>2071.9413</v>
      </c>
    </row>
    <row r="101" spans="2:16" x14ac:dyDescent="0.2">
      <c r="F101" s="75">
        <f>SUM(F100:F100)</f>
        <v>14205</v>
      </c>
      <c r="H101" s="9">
        <f>I101/F101</f>
        <v>4.3792609999999996</v>
      </c>
      <c r="I101" s="75">
        <f>SUM(I100:I100)</f>
        <v>62207.402504999998</v>
      </c>
      <c r="J101" s="262">
        <f>SUM(J100:J100)</f>
        <v>62207.402504999998</v>
      </c>
      <c r="K101" s="75">
        <f>SUM(K100:K100)</f>
        <v>3558966.3669343065</v>
      </c>
    </row>
  </sheetData>
  <mergeCells count="1">
    <mergeCell ref="T14:T15"/>
  </mergeCells>
  <conditionalFormatting sqref="E30 E26">
    <cfRule type="containsText" dxfId="205" priority="247" operator="containsText" text="Buy">
      <formula>NOT(ISERROR(SEARCH("Buy",E26)))</formula>
    </cfRule>
    <cfRule type="containsText" dxfId="204" priority="248" operator="containsText" text="Sell">
      <formula>NOT(ISERROR(SEARCH("Sell",E26)))</formula>
    </cfRule>
  </conditionalFormatting>
  <conditionalFormatting sqref="L8:L9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{4BD6D9C1-A99F-4765-AC75-222D6BEC313E}</x14:id>
        </ext>
      </extLst>
    </cfRule>
  </conditionalFormatting>
  <conditionalFormatting sqref="L8:M9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{B8A72F02-E8CA-4BA8-906E-1E0A6B05B8AD}</x14:id>
        </ext>
      </extLst>
    </cfRule>
  </conditionalFormatting>
  <conditionalFormatting sqref="D20">
    <cfRule type="containsText" dxfId="198" priority="234" operator="containsText" text="Buy">
      <formula>NOT(ISERROR(SEARCH("Buy",D20)))</formula>
    </cfRule>
    <cfRule type="containsText" dxfId="197" priority="235" operator="containsText" text="Sell">
      <formula>NOT(ISERROR(SEARCH("Sell",D20)))</formula>
    </cfRule>
  </conditionalFormatting>
  <conditionalFormatting sqref="L4:M4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{514653D9-3D37-4015-AEC0-E840F351B742}</x14:id>
        </ext>
      </extLst>
    </cfRule>
  </conditionalFormatting>
  <conditionalFormatting sqref="T4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{4053F566-A1D3-4B9C-B72D-EDF72F101943}</x14:id>
        </ext>
      </extLst>
    </cfRule>
  </conditionalFormatting>
  <conditionalFormatting sqref="I4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{2C117FFB-BDFF-419F-BA92-72E6FFDDED3A}</x14:id>
        </ext>
      </extLst>
    </cfRule>
  </conditionalFormatting>
  <conditionalFormatting sqref="E29">
    <cfRule type="containsText" dxfId="196" priority="241" operator="containsText" text="Buy">
      <formula>NOT(ISERROR(SEARCH("Buy",E29)))</formula>
    </cfRule>
    <cfRule type="containsText" dxfId="195" priority="242" operator="containsText" text="Sell">
      <formula>NOT(ISERROR(SEARCH("Sell",E29)))</formula>
    </cfRule>
  </conditionalFormatting>
  <conditionalFormatting sqref="L5:M5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{40A5FF68-D356-40EE-A062-39D2A81BCADF}</x14:id>
        </ext>
      </extLst>
    </cfRule>
  </conditionalFormatting>
  <conditionalFormatting sqref="T5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{BBD53FA1-B182-4DFA-B64D-0862301412B4}</x14:id>
        </ext>
      </extLst>
    </cfRule>
  </conditionalFormatting>
  <conditionalFormatting sqref="I5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{E8497291-5F25-4252-9303-043C0C5C7E93}</x14:id>
        </ext>
      </extLst>
    </cfRule>
  </conditionalFormatting>
  <conditionalFormatting sqref="E40">
    <cfRule type="containsText" dxfId="190" priority="178" operator="containsText" text="Buy">
      <formula>NOT(ISERROR(SEARCH("Buy",E40)))</formula>
    </cfRule>
    <cfRule type="containsText" dxfId="189" priority="179" operator="containsText" text="Sell">
      <formula>NOT(ISERROR(SEARCH("Sell",E40)))</formula>
    </cfRule>
  </conditionalFormatting>
  <conditionalFormatting sqref="L10:M10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{0B8F94D0-A954-49A7-84F7-7D6BBCAD1606}</x14:id>
        </ext>
      </extLst>
    </cfRule>
  </conditionalFormatting>
  <conditionalFormatting sqref="I10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{4ED65141-FF1E-4C6B-A807-6C509F85270A}</x14:id>
        </ext>
      </extLst>
    </cfRule>
  </conditionalFormatting>
  <conditionalFormatting sqref="T10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{227E6E23-7701-465B-8CC6-B0E7EFCCF2A2}</x14:id>
        </ext>
      </extLst>
    </cfRule>
  </conditionalFormatting>
  <conditionalFormatting sqref="T10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{2C429121-9D1E-4A98-BBDA-D2B4234E230F}</x14:id>
        </ext>
      </extLst>
    </cfRule>
  </conditionalFormatting>
  <conditionalFormatting sqref="I10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{1D4BFEF7-F19F-4345-9601-3370C5AF8505}</x14:id>
        </ext>
      </extLst>
    </cfRule>
  </conditionalFormatting>
  <conditionalFormatting sqref="T10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{ACFAE275-BF48-4479-9AC6-22E7E91F0BF8}</x14:id>
        </ext>
      </extLst>
    </cfRule>
  </conditionalFormatting>
  <conditionalFormatting sqref="L10:M10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{ECFB1532-42F4-401B-9B7D-B0F8DB8D9DF0}</x14:id>
        </ext>
      </extLst>
    </cfRule>
  </conditionalFormatting>
  <conditionalFormatting sqref="I10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{FEC00E1A-5151-4CE2-A917-DDE5EC1391BD}</x14:id>
        </ext>
      </extLst>
    </cfRule>
  </conditionalFormatting>
  <conditionalFormatting sqref="L10:M10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{8E67E5A4-708E-4E94-8353-7F13AFD095BD}</x14:id>
        </ext>
      </extLst>
    </cfRule>
  </conditionalFormatting>
  <conditionalFormatting sqref="T10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{890E34F7-E563-4AFE-895C-32F1F8914713}</x14:id>
        </ext>
      </extLst>
    </cfRule>
  </conditionalFormatting>
  <conditionalFormatting sqref="E34">
    <cfRule type="containsText" dxfId="186" priority="143" operator="containsText" text="Buy">
      <formula>NOT(ISERROR(SEARCH("Buy",E34)))</formula>
    </cfRule>
    <cfRule type="containsText" dxfId="185" priority="144" operator="containsText" text="Sell">
      <formula>NOT(ISERROR(SEARCH("Sell",E34)))</formula>
    </cfRule>
  </conditionalFormatting>
  <conditionalFormatting sqref="T11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{A32BBDB2-2F87-4198-AF6D-BE1F56989A84}</x14:id>
        </ext>
      </extLst>
    </cfRule>
  </conditionalFormatting>
  <conditionalFormatting sqref="L11:M11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{6D42F6D5-CCE2-4B97-96C0-3E5FFC797E48}</x14:id>
        </ext>
      </extLst>
    </cfRule>
  </conditionalFormatting>
  <conditionalFormatting sqref="M11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{C11260C5-7E99-41C7-8B7B-3AE1C06E397D}</x14:id>
        </ext>
      </extLst>
    </cfRule>
  </conditionalFormatting>
  <conditionalFormatting sqref="L11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{B3D8D777-DB14-450A-BDBE-20CDEB8257C4}</x14:id>
        </ext>
      </extLst>
    </cfRule>
  </conditionalFormatting>
  <conditionalFormatting sqref="T11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{9C0BF615-5328-4A43-9395-8939B9C69CC8}</x14:id>
        </ext>
      </extLst>
    </cfRule>
  </conditionalFormatting>
  <conditionalFormatting sqref="L11:M11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{03A74E1A-CEB4-4F0C-9EBD-8D2269FCB74E}</x14:id>
        </ext>
      </extLst>
    </cfRule>
  </conditionalFormatting>
  <conditionalFormatting sqref="T11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{85036A4D-70BD-404D-B023-964E1A554223}</x14:id>
        </ext>
      </extLst>
    </cfRule>
  </conditionalFormatting>
  <conditionalFormatting sqref="T11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{7485A688-1366-4170-8E4E-457E8C51447F}</x14:id>
        </ext>
      </extLst>
    </cfRule>
  </conditionalFormatting>
  <conditionalFormatting sqref="I11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{B4C80766-63E5-45F1-A305-C5866C495EF9}</x14:id>
        </ext>
      </extLst>
    </cfRule>
  </conditionalFormatting>
  <conditionalFormatting sqref="I11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{245022E3-DF14-4FD5-B963-F38E147CED31}</x14:id>
        </ext>
      </extLst>
    </cfRule>
  </conditionalFormatting>
  <conditionalFormatting sqref="L11:M11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{56DEECFB-B7F3-40D5-900B-E1710BD218FE}</x14:id>
        </ext>
      </extLst>
    </cfRule>
  </conditionalFormatting>
  <conditionalFormatting sqref="T11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{F120C61B-5757-4349-93A5-52A349822EEE}</x14:id>
        </ext>
      </extLst>
    </cfRule>
  </conditionalFormatting>
  <conditionalFormatting sqref="L6:M6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{7B8C6361-DB4D-473F-BD1F-EC433689AC5D}</x14:id>
        </ext>
      </extLst>
    </cfRule>
  </conditionalFormatting>
  <conditionalFormatting sqref="L6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{779B94E4-76F9-438D-BFC4-BF49578C6970}</x14:id>
        </ext>
      </extLst>
    </cfRule>
  </conditionalFormatting>
  <conditionalFormatting sqref="L6: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{478135E4-8C91-4D3F-A706-8ACD70F3AD03}</x14:id>
        </ext>
      </extLst>
    </cfRule>
  </conditionalFormatting>
  <conditionalFormatting sqref="I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{1FDB91FC-AB7B-4583-BA77-40416A40BB8C}</x14:id>
        </ext>
      </extLst>
    </cfRule>
  </conditionalFormatting>
  <conditionalFormatting sqref="T6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{16DB7EF1-7314-424A-BECC-B2DDCBE00B8B}</x14:id>
        </ext>
      </extLst>
    </cfRule>
  </conditionalFormatting>
  <conditionalFormatting sqref="T6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{A1E10DA0-73CB-44BE-A496-5365049FB641}</x14:id>
        </ext>
      </extLst>
    </cfRule>
  </conditionalFormatting>
  <conditionalFormatting sqref="E48">
    <cfRule type="containsText" dxfId="179" priority="78" operator="containsText" text="Buy">
      <formula>NOT(ISERROR(SEARCH("Buy",E48)))</formula>
    </cfRule>
    <cfRule type="containsText" dxfId="178" priority="79" operator="containsText" text="Sell">
      <formula>NOT(ISERROR(SEARCH("Sell",E48)))</formula>
    </cfRule>
  </conditionalFormatting>
  <conditionalFormatting sqref="E47">
    <cfRule type="containsText" dxfId="175" priority="76" operator="containsText" text="Buy">
      <formula>NOT(ISERROR(SEARCH("Buy",E47)))</formula>
    </cfRule>
    <cfRule type="containsText" dxfId="174" priority="77" operator="containsText" text="Sell">
      <formula>NOT(ISERROR(SEARCH("Sell",E47)))</formula>
    </cfRule>
  </conditionalFormatting>
  <conditionalFormatting sqref="L7:M7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{5CB25141-30AC-4934-8D1D-B34C41A789E6}</x14:id>
        </ext>
      </extLst>
    </cfRule>
  </conditionalFormatting>
  <conditionalFormatting sqref="L7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{0521417C-73A9-4C23-89DD-AF2E68C5EDBC}</x14:id>
        </ext>
      </extLst>
    </cfRule>
  </conditionalFormatting>
  <conditionalFormatting sqref="L7:M7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{52CCEE55-7B37-4BAC-8761-9474ABCB19BE}</x14:id>
        </ext>
      </extLst>
    </cfRule>
  </conditionalFormatting>
  <conditionalFormatting sqref="I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{0C0CC9A7-1386-4F47-8A18-397C247285BF}</x14:id>
        </ext>
      </extLst>
    </cfRule>
  </conditionalFormatting>
  <conditionalFormatting sqref="T7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{096697F0-73B2-4CB7-AAD0-1D3D343F1DF1}</x14:id>
        </ext>
      </extLst>
    </cfRule>
  </conditionalFormatting>
  <conditionalFormatting sqref="T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{A05E7102-EDF8-4086-926D-E4767F5A07DD}</x14:id>
        </ext>
      </extLst>
    </cfRule>
  </conditionalFormatting>
  <conditionalFormatting sqref="E32">
    <cfRule type="containsText" dxfId="171" priority="47" operator="containsText" text="Buy">
      <formula>NOT(ISERROR(SEARCH("Buy",E32)))</formula>
    </cfRule>
    <cfRule type="containsText" dxfId="170" priority="48" operator="containsText" text="Sell">
      <formula>NOT(ISERROR(SEARCH("Sell",E32)))</formula>
    </cfRule>
  </conditionalFormatting>
  <conditionalFormatting sqref="E31">
    <cfRule type="containsText" dxfId="165" priority="45" operator="containsText" text="Buy">
      <formula>NOT(ISERROR(SEARCH("Buy",E31)))</formula>
    </cfRule>
    <cfRule type="containsText" dxfId="164" priority="46" operator="containsText" text="Sell">
      <formula>NOT(ISERROR(SEARCH("Sell",E31)))</formula>
    </cfRule>
  </conditionalFormatting>
  <conditionalFormatting sqref="E43">
    <cfRule type="containsText" dxfId="161" priority="43" operator="containsText" text="Buy">
      <formula>NOT(ISERROR(SEARCH("Buy",E43)))</formula>
    </cfRule>
    <cfRule type="containsText" dxfId="160" priority="44" operator="containsText" text="Sell">
      <formula>NOT(ISERROR(SEARCH("Sell",E43)))</formula>
    </cfRule>
  </conditionalFormatting>
  <conditionalFormatting sqref="E42">
    <cfRule type="containsText" dxfId="157" priority="41" operator="containsText" text="Buy">
      <formula>NOT(ISERROR(SEARCH("Buy",E42)))</formula>
    </cfRule>
    <cfRule type="containsText" dxfId="156" priority="42" operator="containsText" text="Sell">
      <formula>NOT(ISERROR(SEARCH("Sell",E42)))</formula>
    </cfRule>
  </conditionalFormatting>
  <conditionalFormatting sqref="E53">
    <cfRule type="containsText" dxfId="153" priority="39" operator="containsText" text="Buy">
      <formula>NOT(ISERROR(SEARCH("Buy",E53)))</formula>
    </cfRule>
    <cfRule type="containsText" dxfId="152" priority="40" operator="containsText" text="Sell">
      <formula>NOT(ISERROR(SEARCH("Sell",E53)))</formula>
    </cfRule>
  </conditionalFormatting>
  <conditionalFormatting sqref="E56">
    <cfRule type="containsText" dxfId="149" priority="37" operator="containsText" text="Buy">
      <formula>NOT(ISERROR(SEARCH("Buy",E56)))</formula>
    </cfRule>
    <cfRule type="containsText" dxfId="148" priority="38" operator="containsText" text="Sell">
      <formula>NOT(ISERROR(SEARCH("Sell",E56)))</formula>
    </cfRule>
  </conditionalFormatting>
  <conditionalFormatting sqref="E59">
    <cfRule type="containsText" dxfId="145" priority="35" operator="containsText" text="Buy">
      <formula>NOT(ISERROR(SEARCH("Buy",E59)))</formula>
    </cfRule>
    <cfRule type="containsText" dxfId="144" priority="36" operator="containsText" text="Sell">
      <formula>NOT(ISERROR(SEARCH("Sell",E59)))</formula>
    </cfRule>
  </conditionalFormatting>
  <conditionalFormatting sqref="E62">
    <cfRule type="containsText" dxfId="141" priority="33" operator="containsText" text="Buy">
      <formula>NOT(ISERROR(SEARCH("Buy",E62)))</formula>
    </cfRule>
    <cfRule type="containsText" dxfId="140" priority="34" operator="containsText" text="Sell">
      <formula>NOT(ISERROR(SEARCH("Sell",E62)))</formula>
    </cfRule>
  </conditionalFormatting>
  <conditionalFormatting sqref="E65">
    <cfRule type="containsText" dxfId="137" priority="31" operator="containsText" text="Buy">
      <formula>NOT(ISERROR(SEARCH("Buy",E65)))</formula>
    </cfRule>
    <cfRule type="containsText" dxfId="136" priority="32" operator="containsText" text="Sell">
      <formula>NOT(ISERROR(SEARCH("Sell",E65)))</formula>
    </cfRule>
  </conditionalFormatting>
  <conditionalFormatting sqref="E68">
    <cfRule type="containsText" dxfId="133" priority="29" operator="containsText" text="Buy">
      <formula>NOT(ISERROR(SEARCH("Buy",E68)))</formula>
    </cfRule>
    <cfRule type="containsText" dxfId="132" priority="30" operator="containsText" text="Sell">
      <formula>NOT(ISERROR(SEARCH("Sell",E68)))</formula>
    </cfRule>
  </conditionalFormatting>
  <conditionalFormatting sqref="E74">
    <cfRule type="containsText" dxfId="129" priority="27" operator="containsText" text="Buy">
      <formula>NOT(ISERROR(SEARCH("Buy",E74)))</formula>
    </cfRule>
    <cfRule type="containsText" dxfId="128" priority="28" operator="containsText" text="Sell">
      <formula>NOT(ISERROR(SEARCH("Sell",E74)))</formula>
    </cfRule>
  </conditionalFormatting>
  <conditionalFormatting sqref="E73">
    <cfRule type="containsText" dxfId="125" priority="25" operator="containsText" text="Buy">
      <formula>NOT(ISERROR(SEARCH("Buy",E73)))</formula>
    </cfRule>
    <cfRule type="containsText" dxfId="124" priority="26" operator="containsText" text="Sell">
      <formula>NOT(ISERROR(SEARCH("Sell",E73)))</formula>
    </cfRule>
  </conditionalFormatting>
  <conditionalFormatting sqref="E28">
    <cfRule type="containsText" dxfId="123" priority="231" operator="containsText" text="Buy">
      <formula>NOT(ISERROR(SEARCH("Buy",E28)))</formula>
    </cfRule>
    <cfRule type="containsText" dxfId="122" priority="232" operator="containsText" text="Sell">
      <formula>NOT(ISERROR(SEARCH("Sell",E28)))</formula>
    </cfRule>
  </conditionalFormatting>
  <conditionalFormatting sqref="L8:M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{4A0F2D00-31B1-4BCD-8B32-B6D5DCB4626D}</x14:id>
        </ext>
      </extLst>
    </cfRule>
  </conditionalFormatting>
  <conditionalFormatting sqref="L8:M8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{9FC4E3A0-3F2E-490B-9755-66DADB6E5298}</x14:id>
        </ext>
      </extLst>
    </cfRule>
  </conditionalFormatting>
  <conditionalFormatting sqref="L8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{7EFBF069-C37F-4004-A995-2B12DA8A4957}</x14:id>
        </ext>
      </extLst>
    </cfRule>
  </conditionalFormatting>
  <conditionalFormatting sqref="M8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{BCF78204-14A5-472E-94B2-AD2AD2779373}</x14:id>
        </ext>
      </extLst>
    </cfRule>
  </conditionalFormatting>
  <conditionalFormatting sqref="L9:M9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{B4661297-2439-4032-88EB-347C0A09876F}</x14:id>
        </ext>
      </extLst>
    </cfRule>
  </conditionalFormatting>
  <conditionalFormatting sqref="L9:M9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{DEF129DA-18FE-4CBA-BBEC-30CCB453F756}</x14:id>
        </ext>
      </extLst>
    </cfRule>
  </conditionalFormatting>
  <conditionalFormatting sqref="L9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{199BC9E3-327B-45AC-8CCC-915E2C3DB6C1}</x14:id>
        </ext>
      </extLst>
    </cfRule>
  </conditionalFormatting>
  <conditionalFormatting sqref="M9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{5E9ABC95-2970-4B75-88AB-921B1B7B9FCA}</x14:id>
        </ext>
      </extLst>
    </cfRule>
  </conditionalFormatting>
  <conditionalFormatting sqref="H2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{72A78C4F-E38E-4D65-A55F-5ECDAE2EE0C8}</x14:id>
        </ext>
      </extLst>
    </cfRule>
    <cfRule type="cellIs" dxfId="119" priority="236" operator="equal">
      <formula>1</formula>
    </cfRule>
  </conditionalFormatting>
  <conditionalFormatting sqref="E37">
    <cfRule type="containsText" dxfId="116" priority="203" operator="containsText" text="Buy">
      <formula>NOT(ISERROR(SEARCH("Buy",E37)))</formula>
    </cfRule>
    <cfRule type="containsText" dxfId="115" priority="204" operator="containsText" text="Sell">
      <formula>NOT(ISERROR(SEARCH("Sell",E37)))</formula>
    </cfRule>
  </conditionalFormatting>
  <conditionalFormatting sqref="L13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{1DBD0D21-3D08-4E5E-A9B9-D5F7B3B383E7}</x14:id>
        </ext>
      </extLst>
    </cfRule>
  </conditionalFormatting>
  <conditionalFormatting sqref="L8:L9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{D22A4FF6-67D7-43CF-B05E-83F63532B74D}</x14:id>
        </ext>
      </extLst>
    </cfRule>
  </conditionalFormatting>
  <conditionalFormatting sqref="L8:M9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{CABFE76B-CBB3-4A15-B8B7-733A5E77A326}</x14:id>
        </ext>
      </extLst>
    </cfRule>
  </conditionalFormatting>
  <conditionalFormatting sqref="E25">
    <cfRule type="containsText" dxfId="114" priority="228" operator="containsText" text="Buy">
      <formula>NOT(ISERROR(SEARCH("Buy",E25)))</formula>
    </cfRule>
    <cfRule type="containsText" dxfId="113" priority="229" operator="containsText" text="Sell">
      <formula>NOT(ISERROR(SEARCH("Sell",E25)))</formula>
    </cfRule>
  </conditionalFormatting>
  <conditionalFormatting sqref="M13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{30BE798B-017D-4FF3-9406-0C95E92AD72A}</x14:id>
        </ext>
      </extLst>
    </cfRule>
  </conditionalFormatting>
  <conditionalFormatting sqref="M13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{5DDCF747-53D7-4343-A507-CF6A03244C06}</x14:id>
        </ext>
      </extLst>
    </cfRule>
  </conditionalFormatting>
  <conditionalFormatting sqref="L4:M4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{0834ED87-EF1F-4D10-A9D8-DF70EFEE71D6}</x14:id>
        </ext>
      </extLst>
    </cfRule>
  </conditionalFormatting>
  <conditionalFormatting sqref="L4:M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{B0BEA0B3-8E3E-4FB5-975F-E5E62DD5BB70}</x14:id>
        </ext>
      </extLst>
    </cfRule>
  </conditionalFormatting>
  <conditionalFormatting sqref="L4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{3B3D84D2-1174-4ACA-BB81-F55ED4127E75}</x14:id>
        </ext>
      </extLst>
    </cfRule>
  </conditionalFormatting>
  <conditionalFormatting sqref="M4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{1E2A89C0-F9ED-4373-9254-6119161B4A95}</x14:id>
        </ext>
      </extLst>
    </cfRule>
  </conditionalFormatting>
  <conditionalFormatting sqref="L4:M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{D61A065C-4676-4043-992A-C04CB1385DED}</x14:id>
        </ext>
      </extLst>
    </cfRule>
  </conditionalFormatting>
  <conditionalFormatting sqref="L4:M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{EE8CFAC7-EF58-4935-8D9F-2CB17BEBDAA9}</x14:id>
        </ext>
      </extLst>
    </cfRule>
  </conditionalFormatting>
  <conditionalFormatting sqref="L4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{7160DE66-2215-4455-B455-1F73D2E4A597}</x14:id>
        </ext>
      </extLst>
    </cfRule>
  </conditionalFormatting>
  <conditionalFormatting sqref="L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{47E86E10-D749-41A4-96E3-82E6BE454A17}</x14:id>
        </ext>
      </extLst>
    </cfRule>
  </conditionalFormatting>
  <conditionalFormatting sqref="V4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{7A853793-23C7-4C44-B9BD-DF7F1F3CE678}</x14:id>
        </ext>
      </extLst>
    </cfRule>
  </conditionalFormatting>
  <conditionalFormatting sqref="U4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{6868E8D4-50DC-4751-9BDD-AA3A6635A058}</x14:id>
        </ext>
      </extLst>
    </cfRule>
  </conditionalFormatting>
  <conditionalFormatting sqref="T4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{AF121ECE-8D68-409B-9800-A43B37CAE207}</x14:id>
        </ext>
      </extLst>
    </cfRule>
  </conditionalFormatting>
  <conditionalFormatting sqref="L4:M4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{6045A79A-1B42-4EAC-A2C3-B52A6567513A}</x14:id>
        </ext>
      </extLst>
    </cfRule>
  </conditionalFormatting>
  <conditionalFormatting sqref="I4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{81672F86-585C-48E7-9FDD-630080FA10E2}</x14:id>
        </ext>
      </extLst>
    </cfRule>
  </conditionalFormatting>
  <conditionalFormatting sqref="T4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{438A8FE9-5EAA-4107-B9AD-B3478FF3CFC5}</x14:id>
        </ext>
      </extLst>
    </cfRule>
  </conditionalFormatting>
  <conditionalFormatting sqref="L4">
    <cfRule type="dataBar" priority="2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{CD1227DE-5245-4F15-889E-5C50382B9795}</x14:id>
        </ext>
      </extLst>
    </cfRule>
  </conditionalFormatting>
  <conditionalFormatting sqref="M4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{58F75D07-4C00-477E-9635-4188DF1713F9}</x14:id>
        </ext>
      </extLst>
    </cfRule>
  </conditionalFormatting>
  <conditionalFormatting sqref="I4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{0F41D56F-941E-4BFA-BE3F-569765304289}</x14:id>
        </ext>
      </extLst>
    </cfRule>
  </conditionalFormatting>
  <conditionalFormatting sqref="E36">
    <cfRule type="containsText" dxfId="110" priority="201" operator="containsText" text="Buy">
      <formula>NOT(ISERROR(SEARCH("Buy",E36)))</formula>
    </cfRule>
    <cfRule type="containsText" dxfId="109" priority="202" operator="containsText" text="Sell">
      <formula>NOT(ISERROR(SEARCH("Sell",E36)))</formula>
    </cfRule>
  </conditionalFormatting>
  <conditionalFormatting sqref="L5:M5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{5895B8BE-52AC-4328-BA27-23D5754237C7}</x14:id>
        </ext>
      </extLst>
    </cfRule>
  </conditionalFormatting>
  <conditionalFormatting sqref="L5:M5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{6228A6A0-DAFE-4A3C-AEA3-79517239308F}</x14:id>
        </ext>
      </extLst>
    </cfRule>
  </conditionalFormatting>
  <conditionalFormatting sqref="L5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{A9C458F5-1C06-460D-B3CB-B735608AD326}</x14:id>
        </ext>
      </extLst>
    </cfRule>
  </conditionalFormatting>
  <conditionalFormatting sqref="M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{68491507-8E5A-403D-97E3-46E3FC4BD5F4}</x14:id>
        </ext>
      </extLst>
    </cfRule>
  </conditionalFormatting>
  <conditionalFormatting sqref="L5:M5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{A9F6D034-EFBC-40A9-89E8-F638AA580E35}</x14:id>
        </ext>
      </extLst>
    </cfRule>
  </conditionalFormatting>
  <conditionalFormatting sqref="L5:M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{A23C897C-1EB1-454D-9092-B3DCB5445CB3}</x14:id>
        </ext>
      </extLst>
    </cfRule>
  </conditionalFormatting>
  <conditionalFormatting sqref="L5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{FF18AC6A-9853-4393-A3F0-BB2B52EE3A61}</x14:id>
        </ext>
      </extLst>
    </cfRule>
  </conditionalFormatting>
  <conditionalFormatting sqref="L5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{59AC6FF3-03D8-4813-9AA8-13AF07AECE57}</x14:id>
        </ext>
      </extLst>
    </cfRule>
  </conditionalFormatting>
  <conditionalFormatting sqref="V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{96871A4F-2096-4ACF-8518-7A8D30EA163C}</x14:id>
        </ext>
      </extLst>
    </cfRule>
  </conditionalFormatting>
  <conditionalFormatting sqref="U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{ACDADB60-B4B1-4EAA-A898-ECF738374504}</x14:id>
        </ext>
      </extLst>
    </cfRule>
  </conditionalFormatting>
  <conditionalFormatting sqref="T5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{2231EE9E-183C-4A6C-B089-135C028549F5}</x14:id>
        </ext>
      </extLst>
    </cfRule>
  </conditionalFormatting>
  <conditionalFormatting sqref="L5:M5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{EE3DE8BC-38FF-4CD6-832A-8FC25F52610D}</x14:id>
        </ext>
      </extLst>
    </cfRule>
  </conditionalFormatting>
  <conditionalFormatting sqref="I5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{D04F27F1-3861-4E21-A738-813DB0D77ACF}</x14:id>
        </ext>
      </extLst>
    </cfRule>
  </conditionalFormatting>
  <conditionalFormatting sqref="T5">
    <cfRule type="dataBar" priority="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{61ACC2F6-A977-406F-A58D-6E68AC398DC5}</x14:id>
        </ext>
      </extLst>
    </cfRule>
  </conditionalFormatting>
  <conditionalFormatting sqref="L5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{0AFCDB41-5E50-4078-8E1C-048F9A97E0E9}</x14:id>
        </ext>
      </extLst>
    </cfRule>
  </conditionalFormatting>
  <conditionalFormatting sqref="M5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{2F28A81F-91C0-4C2E-8A72-B418DA240D7B}</x14:id>
        </ext>
      </extLst>
    </cfRule>
  </conditionalFormatting>
  <conditionalFormatting sqref="I5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{3E36EA1A-BE86-49D2-87D5-0400F96E2CF5}</x14:id>
        </ext>
      </extLst>
    </cfRule>
  </conditionalFormatting>
  <conditionalFormatting sqref="E39">
    <cfRule type="containsText" dxfId="106" priority="176" operator="containsText" text="Buy">
      <formula>NOT(ISERROR(SEARCH("Buy",E39)))</formula>
    </cfRule>
    <cfRule type="containsText" dxfId="105" priority="177" operator="containsText" text="Sell">
      <formula>NOT(ISERROR(SEARCH("Sell",E39)))</formula>
    </cfRule>
  </conditionalFormatting>
  <conditionalFormatting sqref="M10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{687027C8-63B0-44E1-8526-BC790F809EC1}</x14:id>
        </ext>
      </extLst>
    </cfRule>
  </conditionalFormatting>
  <conditionalFormatting sqref="M10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{B79DBA0D-4D5F-4C07-87CC-0E511170881C}</x14:id>
        </ext>
      </extLst>
    </cfRule>
  </conditionalFormatting>
  <conditionalFormatting sqref="L10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{C3ABDEE9-9B33-45B1-83DA-C5995F0B7722}</x14:id>
        </ext>
      </extLst>
    </cfRule>
  </conditionalFormatting>
  <conditionalFormatting sqref="L10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{F2D2B8F0-046C-4DFB-A3E6-E0E51F613F47}</x14:id>
        </ext>
      </extLst>
    </cfRule>
  </conditionalFormatting>
  <conditionalFormatting sqref="L10:M1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{3F87CC4A-45F4-4C28-A60A-549E9095C24F}</x14:id>
        </ext>
      </extLst>
    </cfRule>
  </conditionalFormatting>
  <conditionalFormatting sqref="L10:M10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{C627769B-73FD-408F-92DC-93D6582CE65C}</x14:id>
        </ext>
      </extLst>
    </cfRule>
  </conditionalFormatting>
  <conditionalFormatting sqref="L10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{C0165C82-AEB0-49F2-8076-B0F5CED96156}</x14:id>
        </ext>
      </extLst>
    </cfRule>
  </conditionalFormatting>
  <conditionalFormatting sqref="L10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{3D538ED2-8B85-455E-8F5A-E5B47E1FFA49}</x14:id>
        </ext>
      </extLst>
    </cfRule>
  </conditionalFormatting>
  <conditionalFormatting sqref="U1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{331A4CC3-684C-4FBC-94AD-9E5FD0CB913F}</x14:id>
        </ext>
      </extLst>
    </cfRule>
  </conditionalFormatting>
  <conditionalFormatting sqref="I10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{E76B8415-C973-4823-AB63-D79420BBAD7C}</x14:id>
        </ext>
      </extLst>
    </cfRule>
  </conditionalFormatting>
  <conditionalFormatting sqref="T10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{40A42A23-9690-4EFB-9027-ACF75FEB93C4}</x14:id>
        </ext>
      </extLst>
    </cfRule>
  </conditionalFormatting>
  <conditionalFormatting sqref="L10:M10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{14569BE1-8A3E-4976-8A64-915907829454}</x14:id>
        </ext>
      </extLst>
    </cfRule>
  </conditionalFormatting>
  <conditionalFormatting sqref="T10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{7975E238-06F6-450F-A51F-860D9E351C6A}</x14:id>
        </ext>
      </extLst>
    </cfRule>
  </conditionalFormatting>
  <conditionalFormatting sqref="I10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{C307EFEC-294B-42B4-B857-F9DA25859440}</x14:id>
        </ext>
      </extLst>
    </cfRule>
  </conditionalFormatting>
  <conditionalFormatting sqref="T10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{243098CB-88C3-4B6B-929D-52D0DE493069}</x14:id>
        </ext>
      </extLst>
    </cfRule>
  </conditionalFormatting>
  <conditionalFormatting sqref="L10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{AEC30F28-77D5-4C32-9955-F6B671CF2B56}</x14:id>
        </ext>
      </extLst>
    </cfRule>
  </conditionalFormatting>
  <conditionalFormatting sqref="L10:M10">
    <cfRule type="dataBar" priority="1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{CB7093A2-E043-4328-AC2E-7D2C84A0D326}</x14:id>
        </ext>
      </extLst>
    </cfRule>
  </conditionalFormatting>
  <conditionalFormatting sqref="I10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{8DB117E7-57C5-4DBE-9A0D-2E465A738400}</x14:id>
        </ext>
      </extLst>
    </cfRule>
  </conditionalFormatting>
  <conditionalFormatting sqref="L10:M10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{B89A5E90-95C5-463E-85EC-B6D01685B19A}</x14:id>
        </ext>
      </extLst>
    </cfRule>
  </conditionalFormatting>
  <conditionalFormatting sqref="T10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{67FC4EF9-7A8F-4B79-9983-95F6D34AF4AE}</x14:id>
        </ext>
      </extLst>
    </cfRule>
  </conditionalFormatting>
  <conditionalFormatting sqref="L8:M9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{3CF76732-8A46-4193-8D1D-8C3243CF85C2}</x14:id>
        </ext>
      </extLst>
    </cfRule>
  </conditionalFormatting>
  <conditionalFormatting sqref="V8:V9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{D2F68C47-23DB-43E0-80C5-BF2E28CB71E9}</x14:id>
        </ext>
      </extLst>
    </cfRule>
  </conditionalFormatting>
  <conditionalFormatting sqref="U8:U9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{1C12273B-C731-40DE-A13C-101BC7ADCF2B}</x14:id>
        </ext>
      </extLst>
    </cfRule>
  </conditionalFormatting>
  <conditionalFormatting sqref="I8:I9">
    <cfRule type="dataBar" priority="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{6BFEDD1F-ED9C-4463-800B-072EFAB19B8C}</x14:id>
        </ext>
      </extLst>
    </cfRule>
  </conditionalFormatting>
  <conditionalFormatting sqref="T8:T9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{1184212D-7DC5-451C-9348-18CD21A5DB61}</x14:id>
        </ext>
      </extLst>
    </cfRule>
  </conditionalFormatting>
  <conditionalFormatting sqref="L8:M9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{EC2F100F-F45C-47D6-A778-B1DCF3952CB1}</x14:id>
        </ext>
      </extLst>
    </cfRule>
  </conditionalFormatting>
  <conditionalFormatting sqref="T12:T13 T8:T9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{F6BD9DF4-0802-457D-BFB3-5F62B4D078CC}</x14:id>
        </ext>
      </extLst>
    </cfRule>
  </conditionalFormatting>
  <conditionalFormatting sqref="I12:I13 I8:I9">
    <cfRule type="dataBar" priority="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{0752C569-3805-4863-A6B1-C8509F6E79E5}</x14:id>
        </ext>
      </extLst>
    </cfRule>
  </conditionalFormatting>
  <conditionalFormatting sqref="T12:T13 T3 T8:T9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{1C4A2A38-33C0-4226-81E6-F2CDD49D87BF}</x14:id>
        </ext>
      </extLst>
    </cfRule>
  </conditionalFormatting>
  <conditionalFormatting sqref="L12:L13 L8:L9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{A07D8E8B-C87A-45D6-AE3E-1C2BD57D3342}</x14:id>
        </ext>
      </extLst>
    </cfRule>
  </conditionalFormatting>
  <conditionalFormatting sqref="M8:M9 M12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{EE14A676-40CE-490A-993B-49B7E51F7FF8}</x14:id>
        </ext>
      </extLst>
    </cfRule>
  </conditionalFormatting>
  <conditionalFormatting sqref="E33">
    <cfRule type="containsText" dxfId="104" priority="141" operator="containsText" text="Buy">
      <formula>NOT(ISERROR(SEARCH("Buy",E33)))</formula>
    </cfRule>
    <cfRule type="containsText" dxfId="103" priority="142" operator="containsText" text="Sell">
      <formula>NOT(ISERROR(SEARCH("Sell",E33)))</formula>
    </cfRule>
  </conditionalFormatting>
  <conditionalFormatting sqref="E44:E46">
    <cfRule type="containsText" dxfId="100" priority="139" operator="containsText" text="Buy">
      <formula>NOT(ISERROR(SEARCH("Buy",E44)))</formula>
    </cfRule>
    <cfRule type="containsText" dxfId="99" priority="140" operator="containsText" text="Sell">
      <formula>NOT(ISERROR(SEARCH("Sell",E44)))</formula>
    </cfRule>
  </conditionalFormatting>
  <conditionalFormatting sqref="T1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{F95E58F5-FBE3-4870-9972-1D032F8AD23A}</x14:id>
        </ext>
      </extLst>
    </cfRule>
  </conditionalFormatting>
  <conditionalFormatting sqref="T1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{600EF021-4884-4DFC-8857-5B76B9A900DE}</x14:id>
        </ext>
      </extLst>
    </cfRule>
  </conditionalFormatting>
  <conditionalFormatting sqref="T1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{AB3B4063-1B30-429D-95D0-B9507AEF9CAC}</x14:id>
        </ext>
      </extLst>
    </cfRule>
  </conditionalFormatting>
  <conditionalFormatting sqref="U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{8327D699-17A7-4885-8B73-F69418A03C00}</x14:id>
        </ext>
      </extLst>
    </cfRule>
  </conditionalFormatting>
  <conditionalFormatting sqref="L11:M11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{97549604-0AAF-4164-8F5B-5A16B8B73F1F}</x14:id>
        </ext>
      </extLst>
    </cfRule>
  </conditionalFormatting>
  <conditionalFormatting sqref="M11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{CCED23DE-151E-457F-ABC1-E18E2787BAD1}</x14:id>
        </ext>
      </extLst>
    </cfRule>
  </conditionalFormatting>
  <conditionalFormatting sqref="L1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{750FE309-9719-484E-BC49-EC04C3BE4D03}</x14:id>
        </ext>
      </extLst>
    </cfRule>
  </conditionalFormatting>
  <conditionalFormatting sqref="M11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{07153C7D-3B1C-4AE2-A4BB-62CFB550D0D0}</x14:id>
        </ext>
      </extLst>
    </cfRule>
  </conditionalFormatting>
  <conditionalFormatting sqref="L11:M11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{CAFCAD3A-9475-42C3-8805-EA969F61E366}</x14:id>
        </ext>
      </extLst>
    </cfRule>
  </conditionalFormatting>
  <conditionalFormatting sqref="T11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{AE9B11C3-2351-46D8-A8A5-B37A64E3DD02}</x14:id>
        </ext>
      </extLst>
    </cfRule>
  </conditionalFormatting>
  <conditionalFormatting sqref="L11:M11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{39BE080A-C849-43DE-81F3-C7E065C82AFE}</x14:id>
        </ext>
      </extLst>
    </cfRule>
  </conditionalFormatting>
  <conditionalFormatting sqref="T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{4335B752-5AD2-4781-BDD4-773C83728305}</x14:id>
        </ext>
      </extLst>
    </cfRule>
  </conditionalFormatting>
  <conditionalFormatting sqref="T11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{F142FDC6-2895-4E00-8FAE-A06CF97E54E9}</x14:id>
        </ext>
      </extLst>
    </cfRule>
  </conditionalFormatting>
  <conditionalFormatting sqref="L11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{8CD02FC5-D710-49F5-9C83-0626C1A5A5A6}</x14:id>
        </ext>
      </extLst>
    </cfRule>
  </conditionalFormatting>
  <conditionalFormatting sqref="I11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{94E97019-0532-4DBD-87FD-C2E1DA638F20}</x14:id>
        </ext>
      </extLst>
    </cfRule>
  </conditionalFormatting>
  <conditionalFormatting sqref="L11:M11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{52E81865-F1C2-4FD9-BBA5-EAC38741FED5}</x14:id>
        </ext>
      </extLst>
    </cfRule>
  </conditionalFormatting>
  <conditionalFormatting sqref="I11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{9F8404B3-8AA9-4C2E-829F-7F92F8D8E5B5}</x14:id>
        </ext>
      </extLst>
    </cfRule>
  </conditionalFormatting>
  <conditionalFormatting sqref="I11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{871EBB78-A21C-43CA-929F-BD5B033EFF1D}</x14:id>
        </ext>
      </extLst>
    </cfRule>
  </conditionalFormatting>
  <conditionalFormatting sqref="L11:M11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{E91907E0-D8FF-4EEB-BFC0-C75C85E53117}</x14:id>
        </ext>
      </extLst>
    </cfRule>
  </conditionalFormatting>
  <conditionalFormatting sqref="T11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{9E0E1EEA-9F42-4F67-B9BD-B959ACA36D9B}</x14:id>
        </ext>
      </extLst>
    </cfRule>
  </conditionalFormatting>
  <conditionalFormatting sqref="H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{613D6585-3FD9-43B5-BC54-14518154B550}</x14:id>
        </ext>
      </extLst>
    </cfRule>
    <cfRule type="cellIs" dxfId="98" priority="106" operator="equal">
      <formula>1</formula>
    </cfRule>
  </conditionalFormatting>
  <conditionalFormatting sqref="I4:I5 I8:I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{F8508CA1-BA23-4543-84FF-51C52D243657}</x14:id>
        </ext>
      </extLst>
    </cfRule>
  </conditionalFormatting>
  <conditionalFormatting sqref="L4:M5 L8:M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{9DA893C7-9676-4028-92A4-0D9C502997F0}</x14:id>
        </ext>
      </extLst>
    </cfRule>
  </conditionalFormatting>
  <conditionalFormatting sqref="T4:T5 T8:T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{F995B44F-452E-452F-B23C-8F6E37977F64}</x14:id>
        </ext>
      </extLst>
    </cfRule>
  </conditionalFormatting>
  <conditionalFormatting sqref="L6:M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{AA62FD32-D0CE-435D-998A-F67ABBA0E719}</x14:id>
        </ext>
      </extLst>
    </cfRule>
  </conditionalFormatting>
  <conditionalFormatting sqref="L6:M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{74DFA88B-B39B-478B-864E-837B49312B52}</x14:id>
        </ext>
      </extLst>
    </cfRule>
  </conditionalFormatting>
  <conditionalFormatting sqref="L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{00E70CCA-0659-4929-9B99-EB5FFDF98C4E}</x14:id>
        </ext>
      </extLst>
    </cfRule>
  </conditionalFormatting>
  <conditionalFormatting sqref="M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{DB4A15C1-5974-4169-9875-62065324607F}</x14:id>
        </ext>
      </extLst>
    </cfRule>
  </conditionalFormatting>
  <conditionalFormatting sqref="L6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{E16D4B07-4995-4250-B866-CA58478C9A46}</x14:id>
        </ext>
      </extLst>
    </cfRule>
  </conditionalFormatting>
  <conditionalFormatting sqref="L6: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{D2F93CE3-8FD6-4931-B797-C4EFC004288D}</x14:id>
        </ext>
      </extLst>
    </cfRule>
  </conditionalFormatting>
  <conditionalFormatting sqref="L6:M6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{A4FB395A-CD4D-449D-8DD0-92015B8E509C}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{6BB8A6D9-C0BC-4709-B95F-86CFBF8290EE}</x14:id>
        </ext>
      </extLst>
    </cfRule>
  </conditionalFormatting>
  <conditionalFormatting sqref="U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{03F2EFB0-8B93-4FCE-9190-8899DB9FB035}</x14:id>
        </ext>
      </extLst>
    </cfRule>
  </conditionalFormatting>
  <conditionalFormatting sqref="I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{E63F1035-0473-48EF-9A34-D3AE3AC30324}</x14:id>
        </ext>
      </extLst>
    </cfRule>
  </conditionalFormatting>
  <conditionalFormatting sqref="T6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{9B31AE13-4484-4A91-8AC1-FEEC79936CCD}</x14:id>
        </ext>
      </extLst>
    </cfRule>
  </conditionalFormatting>
  <conditionalFormatting sqref="L6:M6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{1777E6F8-A5BB-4E08-A78A-F48D30A3B917}</x14:id>
        </ext>
      </extLst>
    </cfRule>
  </conditionalFormatting>
  <conditionalFormatting sqref="T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{8F7C4571-BCE0-413D-AC1C-493FE171D6FF}</x14:id>
        </ext>
      </extLst>
    </cfRule>
  </conditionalFormatting>
  <conditionalFormatting sqref="L6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{8D38E05C-3750-4483-A14E-93256E365025}</x14:id>
        </ext>
      </extLst>
    </cfRule>
  </conditionalFormatting>
  <conditionalFormatting sqref="M6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{D049243C-5595-4A11-AA93-CE142230561C}</x14:id>
        </ext>
      </extLst>
    </cfRule>
  </conditionalFormatting>
  <conditionalFormatting sqref="I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{016C7BC2-8638-43BE-9A32-8B0CA696AD76}</x14:id>
        </ext>
      </extLst>
    </cfRule>
  </conditionalFormatting>
  <conditionalFormatting sqref="E51">
    <cfRule type="containsText" dxfId="95" priority="74" operator="containsText" text="Buy">
      <formula>NOT(ISERROR(SEARCH("Buy",E51)))</formula>
    </cfRule>
    <cfRule type="containsText" dxfId="94" priority="75" operator="containsText" text="Sell">
      <formula>NOT(ISERROR(SEARCH("Sell",E51)))</formula>
    </cfRule>
  </conditionalFormatting>
  <conditionalFormatting sqref="E50">
    <cfRule type="containsText" dxfId="91" priority="72" operator="containsText" text="Buy">
      <formula>NOT(ISERROR(SEARCH("Buy",E50)))</formula>
    </cfRule>
    <cfRule type="containsText" dxfId="90" priority="73" operator="containsText" text="Sell">
      <formula>NOT(ISERROR(SEARCH("Sell",E50)))</formula>
    </cfRule>
  </conditionalFormatting>
  <conditionalFormatting sqref="L7:M7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{E291F578-D234-4B2D-875C-635AB05710E7}</x14:id>
        </ext>
      </extLst>
    </cfRule>
  </conditionalFormatting>
  <conditionalFormatting sqref="L7:M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{63B3EC10-68EE-462D-94CA-B3D095E359E1}</x14:id>
        </ext>
      </extLst>
    </cfRule>
  </conditionalFormatting>
  <conditionalFormatting sqref="L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{1D07A918-5786-42D2-A9E2-F957B7B704F9}</x14:id>
        </ext>
      </extLst>
    </cfRule>
  </conditionalFormatting>
  <conditionalFormatting sqref="M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{9602E607-DED1-4CC6-95AA-8E10795DDBBF}</x14:id>
        </ext>
      </extLst>
    </cfRule>
  </conditionalFormatting>
  <conditionalFormatting sqref="L7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{5597B414-A3DD-4CB8-9059-6C8A6258BE53}</x14:id>
        </ext>
      </extLst>
    </cfRule>
  </conditionalFormatting>
  <conditionalFormatting sqref="L7:M7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{57A3F990-E29A-48B9-A30D-F95DAEB2F5D8}</x14:id>
        </ext>
      </extLst>
    </cfRule>
  </conditionalFormatting>
  <conditionalFormatting sqref="L7:M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{2996C7F8-AF24-4327-B400-B43E056BE50C}</x14:id>
        </ext>
      </extLst>
    </cfRule>
  </conditionalFormatting>
  <conditionalFormatting sqref="V7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{CEE2399A-9F8F-4D82-A0D7-9DF31761A91E}</x14:id>
        </ext>
      </extLst>
    </cfRule>
  </conditionalFormatting>
  <conditionalFormatting sqref="U7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{327BEE59-16B8-43CE-8D23-9832B90C87B7}</x14:id>
        </ext>
      </extLst>
    </cfRule>
  </conditionalFormatting>
  <conditionalFormatting sqref="I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{333CD114-E05F-4A88-B649-8652D66961BF}</x14:id>
        </ext>
      </extLst>
    </cfRule>
  </conditionalFormatting>
  <conditionalFormatting sqref="T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{BC6119A6-8B1D-4207-8A11-9A95D2F49E7A}</x14:id>
        </ext>
      </extLst>
    </cfRule>
  </conditionalFormatting>
  <conditionalFormatting sqref="L7:M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{79780793-F760-4C4E-A9D6-5FBF4B6CDB79}</x14:id>
        </ext>
      </extLst>
    </cfRule>
  </conditionalFormatting>
  <conditionalFormatting sqref="T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{1B5DC8E6-B39B-4D65-90E0-C124D68F56BC}</x14:id>
        </ext>
      </extLst>
    </cfRule>
  </conditionalFormatting>
  <conditionalFormatting sqref="L7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{D6E30068-C1CC-4CC3-BC7E-9E5FD821B2B1}</x14:id>
        </ext>
      </extLst>
    </cfRule>
  </conditionalFormatting>
  <conditionalFormatting sqref="M7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{2E43BC23-D509-4E17-BADD-82611A3CE9A0}</x14:id>
        </ext>
      </extLst>
    </cfRule>
  </conditionalFormatting>
  <conditionalFormatting sqref="I7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{F0AED833-B947-4BFF-BA4A-23D2DCDA540A}</x14:id>
        </ext>
      </extLst>
    </cfRule>
  </conditionalFormatting>
  <conditionalFormatting sqref="E72">
    <cfRule type="containsText" dxfId="87" priority="23" operator="containsText" text="Buy">
      <formula>NOT(ISERROR(SEARCH("Buy",E72)))</formula>
    </cfRule>
    <cfRule type="containsText" dxfId="86" priority="24" operator="containsText" text="Sell">
      <formula>NOT(ISERROR(SEARCH("Sell",E72)))</formula>
    </cfRule>
  </conditionalFormatting>
  <conditionalFormatting sqref="E71">
    <cfRule type="containsText" dxfId="81" priority="21" operator="containsText" text="Buy">
      <formula>NOT(ISERROR(SEARCH("Buy",E71)))</formula>
    </cfRule>
    <cfRule type="containsText" dxfId="80" priority="22" operator="containsText" text="Sell">
      <formula>NOT(ISERROR(SEARCH("Sell",E71)))</formula>
    </cfRule>
  </conditionalFormatting>
  <conditionalFormatting sqref="E77">
    <cfRule type="containsText" dxfId="77" priority="19" operator="containsText" text="Buy">
      <formula>NOT(ISERROR(SEARCH("Buy",E77)))</formula>
    </cfRule>
    <cfRule type="containsText" dxfId="76" priority="20" operator="containsText" text="Sell">
      <formula>NOT(ISERROR(SEARCH("Sell",E77)))</formula>
    </cfRule>
  </conditionalFormatting>
  <conditionalFormatting sqref="E81">
    <cfRule type="containsText" dxfId="73" priority="17" operator="containsText" text="Buy">
      <formula>NOT(ISERROR(SEARCH("Buy",E81)))</formula>
    </cfRule>
    <cfRule type="containsText" dxfId="72" priority="18" operator="containsText" text="Sell">
      <formula>NOT(ISERROR(SEARCH("Sell",E81)))</formula>
    </cfRule>
  </conditionalFormatting>
  <conditionalFormatting sqref="E80">
    <cfRule type="containsText" dxfId="69" priority="15" operator="containsText" text="Buy">
      <formula>NOT(ISERROR(SEARCH("Buy",E80)))</formula>
    </cfRule>
    <cfRule type="containsText" dxfId="68" priority="16" operator="containsText" text="Sell">
      <formula>NOT(ISERROR(SEARCH("Sell",E80)))</formula>
    </cfRule>
  </conditionalFormatting>
  <conditionalFormatting sqref="E84">
    <cfRule type="containsText" dxfId="65" priority="13" operator="containsText" text="Buy">
      <formula>NOT(ISERROR(SEARCH("Buy",E84)))</formula>
    </cfRule>
    <cfRule type="containsText" dxfId="64" priority="14" operator="containsText" text="Sell">
      <formula>NOT(ISERROR(SEARCH("Sell",E84)))</formula>
    </cfRule>
  </conditionalFormatting>
  <conditionalFormatting sqref="E87">
    <cfRule type="containsText" dxfId="61" priority="11" operator="containsText" text="Buy">
      <formula>NOT(ISERROR(SEARCH("Buy",E87)))</formula>
    </cfRule>
    <cfRule type="containsText" dxfId="60" priority="12" operator="containsText" text="Sell">
      <formula>NOT(ISERROR(SEARCH("Sell",E87)))</formula>
    </cfRule>
  </conditionalFormatting>
  <conditionalFormatting sqref="E91">
    <cfRule type="containsText" dxfId="57" priority="9" operator="containsText" text="Buy">
      <formula>NOT(ISERROR(SEARCH("Buy",E91)))</formula>
    </cfRule>
    <cfRule type="containsText" dxfId="56" priority="10" operator="containsText" text="Sell">
      <formula>NOT(ISERROR(SEARCH("Sell",E91)))</formula>
    </cfRule>
  </conditionalFormatting>
  <conditionalFormatting sqref="E90">
    <cfRule type="containsText" dxfId="53" priority="7" operator="containsText" text="Buy">
      <formula>NOT(ISERROR(SEARCH("Buy",E90)))</formula>
    </cfRule>
    <cfRule type="containsText" dxfId="52" priority="8" operator="containsText" text="Sell">
      <formula>NOT(ISERROR(SEARCH("Sell",E90)))</formula>
    </cfRule>
  </conditionalFormatting>
  <conditionalFormatting sqref="E94">
    <cfRule type="containsText" dxfId="49" priority="5" operator="containsText" text="Buy">
      <formula>NOT(ISERROR(SEARCH("Buy",E94)))</formula>
    </cfRule>
    <cfRule type="containsText" dxfId="48" priority="6" operator="containsText" text="Sell">
      <formula>NOT(ISERROR(SEARCH("Sell",E94)))</formula>
    </cfRule>
  </conditionalFormatting>
  <conditionalFormatting sqref="E97">
    <cfRule type="containsText" dxfId="45" priority="3" operator="containsText" text="Buy">
      <formula>NOT(ISERROR(SEARCH("Buy",E97)))</formula>
    </cfRule>
    <cfRule type="containsText" dxfId="44" priority="4" operator="containsText" text="Sell">
      <formula>NOT(ISERROR(SEARCH("Sell",E97)))</formula>
    </cfRule>
  </conditionalFormatting>
  <conditionalFormatting sqref="E100">
    <cfRule type="containsText" dxfId="1" priority="1" operator="containsText" text="Buy">
      <formula>NOT(ISERROR(SEARCH("Buy",E100)))</formula>
    </cfRule>
    <cfRule type="containsText" dxfId="0" priority="2" operator="containsText" text="Sell">
      <formula>NOT(ISERROR(SEARCH("Sell",E100)))</formula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D6D9C1-A99F-4765-AC75-222D6BEC3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B8A72F02-E8CA-4BA8-906E-1E0A6B05B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514653D9-3D37-4015-AEC0-E840F351B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053F566-A1D3-4B9C-B72D-EDF72F101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C117FFB-BDFF-419F-BA92-72E6FFDD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0A5FF68-D356-40EE-A062-39D2A81BCA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BD53FA1-B182-4DFA-B64D-086230141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8497291-5F25-4252-9303-043C0C5C7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F94D0-A954-49A7-84F7-7D6BBCAD1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ED65141-FF1E-4C6B-A807-6C509F852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27E6E23-7701-465B-8CC6-B0E7EFCCF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2C429121-9D1E-4A98-BBDA-D2B4234E23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D4BFEF7-F19F-4345-9601-3370C5AF8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FAE275-BF48-4479-9AC6-22E7E91F0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ECFB1532-42F4-401B-9B7D-B0F8DB8D9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FEC00E1A-5151-4CE2-A917-DDE5EC1391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E67E5A4-708E-4E94-8353-7F13AFD095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90E34F7-E563-4AFE-895C-32F1F8914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32BBDB2-2F87-4198-AF6D-BE1F56989A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D42F6D5-CCE2-4B97-96C0-3E5FFC797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11260C5-7E99-41C7-8B7B-3AE1C06E3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D8D777-DB14-450A-BDBE-20CDEB8257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C0BF615-5328-4A43-9395-8939B9C69C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3A74E1A-CEB4-4F0C-9EBD-8D2269FCB7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5036A4D-70BD-404D-B023-964E1A554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485A688-1366-4170-8E4E-457E8C5144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B4C80766-63E5-45F1-A305-C5866C495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45022E3-DF14-4FD5-B963-F38E147CED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6DEECFB-B7F3-40D5-900B-E1710BD21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120C61B-5757-4349-93A5-52A349822E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B8C6361-DB4D-473F-BD1F-EC433689AC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79B94E4-76F9-438D-BFC4-BF49578C6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478135E4-8C91-4D3F-A706-8ACD70F3A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FDB91FC-AB7B-4583-BA77-40416A40B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6DB7EF1-7314-424A-BECC-B2DDCBE00B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1E10DA0-73CB-44BE-A496-5365049FB6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CB25141-30AC-4934-8D1D-B34C41A78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521417C-73A9-4C23-89DD-AF2E68C5E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2CCEE55-7B37-4BAC-8761-9474ABCB1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0CC9A7-1386-4F47-8A18-397C247285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96697F0-73B2-4CB7-AAD0-1D3D343F1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05E7102-EDF8-4086-926D-E4767F5A07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4A0F2D00-31B1-4BCD-8B32-B6D5DCB46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FC4E3A0-3F2E-490B-9755-66DADB6E5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EFBF069-C37F-4004-A995-2B12DA8A4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CF78204-14A5-472E-94B2-AD2AD27793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4661297-2439-4032-88EB-347C0A0987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EF129DA-18FE-4CBA-BBEC-30CCB453F7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99BC9E3-327B-45AC-8CCC-915E2C3DB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E9ABC95-2970-4B75-88AB-921B1B7B9F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2A78C4F-E38E-4D65-A55F-5ECDAE2E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1DBD0D21-3D08-4E5E-A9B9-D5F7B3B38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22A4FF6-67D7-43CF-B05E-83F63532B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CABFE76B-CBB3-4A15-B8B7-733A5E77A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30BE798B-017D-4FF3-9406-0C95E92AD7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DDCF747-53D7-4343-A507-CF6A03244C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834ED87-EF1F-4D10-A9D8-DF70EFEE7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0BEA0B3-8E3E-4FB5-975F-E5E62DD5BB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B3D84D2-1174-4ACA-BB81-F55ED412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E2A89C0-F9ED-4373-9254-6119161B4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61A065C-4676-4043-992A-C04CB1385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E8CFAC7-EF58-4935-8D9F-2CB17BEBD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160DE66-2215-4455-B455-1F73D2E4A5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7E86E10-D749-41A4-96E3-82E6BE454A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A853793-23C7-4C44-B9BD-DF7F1F3CE6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868E8D4-50DC-4751-9BDD-AA3A6635A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F121ECE-8D68-409B-9800-A43B37CAE2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045A79A-1B42-4EAC-A2C3-B52A656751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1672F86-585C-48E7-9FDD-630080FA10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38A8FE9-5EAA-4107-B9AD-B3478FF3CF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D1227DE-5245-4F15-889E-5C50382B97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F75D07-4C00-477E-9635-4188DF1713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41D56F-941E-4BFA-BE3F-569765304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95B8BE-52AC-4328-BA27-23D575423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228A6A0-DAFE-4A3C-AEA3-7951723930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9C458F5-1C06-460D-B3CB-B735608AD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8491507-8E5A-403D-97E3-46E3FC4B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9F6D034-EFBC-40A9-89E8-F638AA58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23C897C-1EB1-454D-9092-B3DCB5445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F18AC6A-9853-4393-A3F0-BB2B52EE3A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9AC6FF3-03D8-4813-9AA8-13AF07AEC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6871A4F-2096-4ACF-8518-7A8D30EA16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CDADB60-B4B1-4EAA-A898-ECF7383745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231EE9E-183C-4A6C-B089-135C02854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E3DE8BC-38FF-4CD6-832A-8FC25F526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04F27F1-3861-4E21-A738-813DB0D77A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1ACC2F6-A977-406F-A58D-6E68AC398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AFCDB41-5E50-4078-8E1C-048F9A97E0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F28A81F-91C0-4C2E-8A72-B418DA240D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E36EA1A-BE86-49D2-87D5-0400F96E2C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87027C8-63B0-44E1-8526-BC790F809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9DBA0D-4D5F-4C07-87CC-0E5111708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3ABDEE9-9B33-45B1-83DA-C5995F0B77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2D2B8F0-046C-4DFB-A3E6-E0E51F613F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F87CC4A-45F4-4C28-A60A-549E9095C2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C627769B-73FD-408F-92DC-93D6582CE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C0165C82-AEB0-49F2-8076-B0F5CED961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D538ED2-8B85-455E-8F5A-E5B47E1FF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31A4CC3-684C-4FBC-94AD-9E5FD0CB9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76B8415-C973-4823-AB63-D79420BBAD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0A42A23-9690-4EFB-9027-ACF75FEB93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4569BE1-8A3E-4976-8A64-9159078294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975E238-06F6-450F-A51F-860D9E351C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307EFEC-294B-42B4-B857-F9DA258594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3098CB-88C3-4B6B-929D-52D0DE493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EC30F28-77D5-4C32-9955-F6B671CF2B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B7093A2-E043-4328-AC2E-7D2C84A0D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DB117E7-57C5-4DBE-9A0D-2E465A7384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B89A5E90-95C5-463E-85EC-B6D01685B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7FC4EF9-7A8F-4B79-9983-95F6D34AF4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CF76732-8A46-4193-8D1D-8C3243CF8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2F68C47-23DB-43E0-80C5-BF2E28CB7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1C12273B-C731-40DE-A13C-101BC7ADC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6BFEDD1F-ED9C-4463-800B-072EFAB19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1184212D-7DC5-451C-9348-18CD21A5D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EC2F100F-F45C-47D6-A778-B1DCF3952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F6BD9DF4-0802-457D-BFB3-5F62B4D078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0752C569-3805-4863-A6B1-C8509F6E7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1C4A2A38-33C0-4226-81E6-F2CDD49D87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A07D8E8B-C87A-45D6-AE3E-1C2BD57D33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EE14A676-40CE-490A-993B-49B7E51F7F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F95E58F5-FBE3-4870-9972-1D032F8AD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00EF021-4884-4DFC-8857-5B76B9A90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B3B4063-1B30-429D-95D0-B9507AEF9C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327D699-17A7-4885-8B73-F69418A03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97549604-0AAF-4164-8F5B-5A16B8B73F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CED23DE-151E-457F-ABC1-E18E2787BA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750FE309-9719-484E-BC49-EC04C3BE4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7153C7D-3B1C-4AE2-A4BB-62CFB550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FCAD3A-9475-42C3-8805-EA969F61E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E9B11C3-2351-46D8-A8A5-B37A64E3D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9BE080A-C849-43DE-81F3-C7E065C82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335B752-5AD2-4781-BDD4-773C8372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142FDC6-2895-4E00-8FAE-A06CF97E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CD02FC5-D710-49F5-9C83-0626C1A5A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4E97019-0532-4DBD-87FD-C2E1DA638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2E81865-F1C2-4FD9-BBA5-EAC38741FE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8404B3-8AA9-4C2E-829F-7F92F8D8E5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71EBB78-A21C-43CA-929F-BD5B033EF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91907E0-D8FF-4EEB-BFC0-C75C85E531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E0E1EEA-9F42-4F67-B9BD-B959ACA36D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13D6585-3FD9-43B5-BC54-14518154B5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8508CA1-BA23-4543-84FF-51C52D2436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9DA893C7-9676-4028-92A4-0D9C50299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F995B44F-452E-452F-B23C-8F6E37977F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AA62FD32-D0CE-435D-998A-F67ABBA0E7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4DFA88B-B39B-478B-864E-837B49312B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0E70CCA-0659-4929-9B99-EB5FFDF98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B4A15C1-5974-4169-9875-620653246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16D4B07-4995-4250-B866-CA58478C9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2F93CE3-8FD6-4931-B797-C4EFC0042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4FB395A-CD4D-449D-8DD0-92015B8E50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BB8A6D9-C0BC-4709-B95F-86CFBF829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3F2EFB0-8B93-4FCE-9190-8899DB9FB0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63F1035-0473-48EF-9A34-D3AE3AC303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9B31AE13-4484-4A91-8AC1-FEEC79936C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777E6F8-A5BB-4E08-A78A-F48D30A3B9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F7C4571-BCE0-413D-AC1C-493FE171D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D38E05C-3750-4483-A14E-93256E3650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049243C-5595-4A11-AA93-CE14223056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16C7BC2-8638-43BE-9A32-8B0CA696A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291F578-D234-4B2D-875C-635AB05710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B3EC10-68EE-462D-94CA-B3D095E35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D07A918-5786-42D2-A9E2-F957B7B70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602E607-DED1-4CC6-95AA-8E10795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597B414-A3DD-4CB8-9059-6C8A6258B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7A3F990-E29A-48B9-A30D-F95DAEB2F5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996C7F8-AF24-4327-B400-B43E056BE5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EE2399A-9F8F-4D82-A0D7-9DF31761A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27BEE59-16B8-43CE-8D23-9832B90C8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33CD114-E05F-4A88-B649-8652D66961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C6119A6-8B1D-4207-8A11-9A95D2F49E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79780793-F760-4C4E-A9D6-5FBF4B6CDB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B5DC8E6-B39B-4D65-90E0-C124D68F56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6E30068-C1CC-4CC3-BC7E-9E5FD821B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43BC23-D509-4E17-BADD-82611A3CE9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AED833-B947-4BFF-BA4A-23D2DCDA54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iconSet" priority="221" id="{6220F05A-F5D5-43C6-BD00-A0D80D86C2A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96" id="{CA30DF4D-6B58-4BC1-BBEE-0B66C5B7DD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8" id="{707BE408-3F35-4AC0-AF4E-D785942352F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264" id="{A444D10C-E87B-40E5-B610-2DA6B2A245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containsText" priority="104" operator="containsText" text="Buy" id="{23C6AC3D-C9CE-4BAA-844D-117FB3F379E2}">
            <xm:f>NOT(ISERROR(SEARCH("Buy",'\Users\rnazimanov\Desktop\[Copy of ADVISORY RUSTAM 2.xlsx]Палочкин_PYUMF'!#REF!)))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05" operator="containsText" text="Sell" id="{EF70E8A4-4448-4ACA-AE4D-E8130DCD02DF}">
            <xm:f>NOT(ISERROR(SEARCH("Sell",'\Users\rnazimanov\Desktop\[Copy of ADVISORY RUSTAM 2.xlsx]Палочкин_PYUMF'!#REF!)))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iconSet" priority="99" id="{CAF08175-4603-46C6-A37C-667F168E79A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68" id="{79E99A29-16DE-4157-8C6F-54CA1D21B66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V51"/>
  <sheetViews>
    <sheetView showGridLines="0" zoomScale="90" zoomScaleNormal="90" workbookViewId="0">
      <pane xSplit="2" topLeftCell="C1" activePane="topRight" state="frozen"/>
      <selection pane="topRight" sqref="A1:XFD1048576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3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2" style="9" customWidth="1"/>
    <col min="22" max="22" width="11.42578125" style="9" customWidth="1"/>
    <col min="23" max="16384" width="9.140625" style="9"/>
  </cols>
  <sheetData>
    <row r="1" spans="1:22" x14ac:dyDescent="0.2">
      <c r="F1" s="9" t="s">
        <v>147</v>
      </c>
      <c r="G1" s="9">
        <f>_xll.BDP($F$1,"PX last")</f>
        <v>1.1893</v>
      </c>
      <c r="H1" s="9" t="s">
        <v>108</v>
      </c>
      <c r="I1" s="9">
        <f>_xll.BDP($H$1,"PX last")</f>
        <v>57.5441</v>
      </c>
      <c r="J1" s="9" t="s">
        <v>141</v>
      </c>
      <c r="K1" s="9">
        <f>_xll.BDP($J$1,"PX last")</f>
        <v>1.3208</v>
      </c>
      <c r="M1" s="9" t="s">
        <v>107</v>
      </c>
      <c r="O1" s="9" t="s">
        <v>202</v>
      </c>
      <c r="P1" s="9">
        <f>_xll.BDP($O$1,"PX last")</f>
        <v>7.8122999999999996</v>
      </c>
    </row>
    <row r="3" spans="1:22" s="178" customFormat="1" ht="63.75" x14ac:dyDescent="0.25">
      <c r="A3" s="176"/>
      <c r="B3" s="176" t="s">
        <v>95</v>
      </c>
      <c r="C3" s="177" t="s">
        <v>94</v>
      </c>
      <c r="D3" s="177" t="s">
        <v>106</v>
      </c>
      <c r="E3" s="177" t="s">
        <v>105</v>
      </c>
      <c r="F3" s="177" t="s">
        <v>90</v>
      </c>
      <c r="G3" s="177" t="s">
        <v>104</v>
      </c>
      <c r="H3" s="177" t="s">
        <v>500</v>
      </c>
      <c r="I3" s="177" t="s">
        <v>501</v>
      </c>
      <c r="J3" s="176" t="s">
        <v>23</v>
      </c>
      <c r="K3" s="177" t="s">
        <v>87</v>
      </c>
      <c r="L3" s="177" t="s">
        <v>235</v>
      </c>
      <c r="M3" s="177" t="s">
        <v>114</v>
      </c>
      <c r="N3" s="177" t="s">
        <v>103</v>
      </c>
      <c r="O3" s="177" t="s">
        <v>110</v>
      </c>
      <c r="P3" s="177" t="s">
        <v>102</v>
      </c>
      <c r="Q3" s="177" t="s">
        <v>101</v>
      </c>
      <c r="R3" s="177" t="s">
        <v>99</v>
      </c>
      <c r="S3" s="177" t="s">
        <v>100</v>
      </c>
      <c r="T3" s="177" t="s">
        <v>505</v>
      </c>
      <c r="U3" s="177" t="s">
        <v>493</v>
      </c>
      <c r="V3" s="177" t="s">
        <v>494</v>
      </c>
    </row>
    <row r="4" spans="1:22" s="133" customFormat="1" x14ac:dyDescent="0.2">
      <c r="A4" s="18" t="s">
        <v>2957</v>
      </c>
      <c r="B4" s="76" t="s">
        <v>149</v>
      </c>
      <c r="C4" s="77" t="s">
        <v>1810</v>
      </c>
      <c r="D4" s="78">
        <f t="shared" ref="D4:D12" si="0">$Q4/$Q$13</f>
        <v>1.2325174907286121E-2</v>
      </c>
      <c r="E4" s="79">
        <f>$F$26</f>
        <v>14205</v>
      </c>
      <c r="F4" s="96">
        <f>$H$26</f>
        <v>4.3792609999999996</v>
      </c>
      <c r="G4" s="96">
        <f>_xll.BDP($C4,"PX_LAST")</f>
        <v>4.3</v>
      </c>
      <c r="H4" s="96">
        <f>_xll.BDP($C4,"BEST_TARGET_PRICE")</f>
        <v>5.3985714912414551</v>
      </c>
      <c r="I4" s="175">
        <f t="shared" ref="I4:I10" si="1">H4/G4-1</f>
        <v>0.25548174214917574</v>
      </c>
      <c r="J4" s="96">
        <f>_xll.BDP($C4,"EQY_REC_CONS")</f>
        <v>4.5789475440979004</v>
      </c>
      <c r="K4" s="80" t="str">
        <f>_xll.BDP($C4,"CRNCY")</f>
        <v>USD</v>
      </c>
      <c r="L4" s="78">
        <f>$P4/$N4-1</f>
        <v>-1.2387423268144793E-2</v>
      </c>
      <c r="M4" s="78">
        <f>G4/F4-1</f>
        <v>-1.8099172440281586E-2</v>
      </c>
      <c r="N4" s="79">
        <f>$K$26</f>
        <v>3558966.3669343065</v>
      </c>
      <c r="O4" s="79">
        <f>$E4*$F4</f>
        <v>62207.402504999998</v>
      </c>
      <c r="P4" s="79">
        <f>E4*G4*$I$1</f>
        <v>3514879.9441499999</v>
      </c>
      <c r="Q4" s="97">
        <f>E4*G4</f>
        <v>61081.5</v>
      </c>
      <c r="R4" s="81">
        <f t="shared" ref="R4:S11" si="2">P4-N4</f>
        <v>-44086.422784306575</v>
      </c>
      <c r="S4" s="81">
        <f t="shared" si="2"/>
        <v>-1125.9025049999982</v>
      </c>
      <c r="T4" s="81">
        <f>_xll.BDP($C4,"EQY_DVD_YLD_EST")</f>
        <v>6.3720930232558146</v>
      </c>
      <c r="U4" s="82" t="str">
        <f>_xll.BDP($C4,"DVD_EX_DT")</f>
        <v>10/08/2017</v>
      </c>
      <c r="V4" s="82" t="str">
        <f>_xll.BDP($C4,"BDVD_NEXT_EST_DECL_DT")</f>
        <v>#N/A N/A</v>
      </c>
    </row>
    <row r="5" spans="1:22" s="133" customFormat="1" x14ac:dyDescent="0.2">
      <c r="A5" s="18" t="s">
        <v>2957</v>
      </c>
      <c r="B5" s="76" t="s">
        <v>230</v>
      </c>
      <c r="C5" s="77" t="s">
        <v>222</v>
      </c>
      <c r="D5" s="78">
        <f t="shared" si="0"/>
        <v>1.2611403316968028E-2</v>
      </c>
      <c r="E5" s="79">
        <f>$F$40</f>
        <v>6250</v>
      </c>
      <c r="F5" s="96">
        <f>$H$40</f>
        <v>9.9023000000000003</v>
      </c>
      <c r="G5" s="96">
        <f>_xll.BDP($C5,"PX_LAST")</f>
        <v>10</v>
      </c>
      <c r="H5" s="96">
        <f>_xll.BDP($C5,"BEST_TARGET_PRICE")</f>
        <v>12.059999465942383</v>
      </c>
      <c r="I5" s="175">
        <f t="shared" si="1"/>
        <v>0.20599994659423837</v>
      </c>
      <c r="J5" s="96">
        <f>_xll.BDP($C5,"EQY_REC_CONS")</f>
        <v>4</v>
      </c>
      <c r="K5" s="80" t="str">
        <f>_xll.BDP($C5,"CRNCY")</f>
        <v>USD</v>
      </c>
      <c r="L5" s="78">
        <f>$P5/$N5-1</f>
        <v>2.2983100984554916E-3</v>
      </c>
      <c r="M5" s="78">
        <f>G5/F5-1</f>
        <v>9.8663946759842691E-3</v>
      </c>
      <c r="N5" s="79">
        <f>$K$40</f>
        <v>3588259.3173750001</v>
      </c>
      <c r="O5" s="79">
        <f>$E5*$F5</f>
        <v>61889.375</v>
      </c>
      <c r="P5" s="79">
        <f>E5*G5*$I$1</f>
        <v>3596506.25</v>
      </c>
      <c r="Q5" s="97">
        <f>E5*G5</f>
        <v>62500</v>
      </c>
      <c r="R5" s="81">
        <f t="shared" si="2"/>
        <v>8246.9326249998994</v>
      </c>
      <c r="S5" s="81">
        <f t="shared" si="2"/>
        <v>610.625</v>
      </c>
      <c r="T5" s="81">
        <f>_xll.BDP($C5,"EQY_DVD_YLD_EST")</f>
        <v>2.3849239999999998</v>
      </c>
      <c r="U5" s="82" t="str">
        <f>_xll.BDP($C5,"DVD_EX_DT")</f>
        <v>01/06/2017</v>
      </c>
      <c r="V5" s="82" t="str">
        <f>_xll.BDP($C5,"BDVD_NEXT_EST_DECL_DT")</f>
        <v>#N/A N/A</v>
      </c>
    </row>
    <row r="6" spans="1:22" s="133" customFormat="1" x14ac:dyDescent="0.2">
      <c r="A6" s="18" t="s">
        <v>2957</v>
      </c>
      <c r="B6" s="76" t="s">
        <v>471</v>
      </c>
      <c r="C6" s="77" t="s">
        <v>483</v>
      </c>
      <c r="D6" s="78">
        <f t="shared" si="0"/>
        <v>1.1083022304423346E-2</v>
      </c>
      <c r="E6" s="79">
        <f>$F$37</f>
        <v>1136</v>
      </c>
      <c r="F6" s="96">
        <f>$H$37</f>
        <v>55</v>
      </c>
      <c r="G6" s="96">
        <f>_xll.BDP($C6,"PX_LAST")</f>
        <v>48.35</v>
      </c>
      <c r="H6" s="96">
        <f>_xll.BDP($C6,"BEST_TARGET_PRICE")</f>
        <v>58.099998474121094</v>
      </c>
      <c r="I6" s="175">
        <f t="shared" si="1"/>
        <v>0.20165457030240108</v>
      </c>
      <c r="J6" s="96">
        <f>_xll.BDP($C6,"EQY_REC_CONS")</f>
        <v>3.923076868057251</v>
      </c>
      <c r="K6" s="80" t="str">
        <f>_xll.BDP($C6,"CRNCY")</f>
        <v>USD</v>
      </c>
      <c r="L6" s="78">
        <f>$P6/$N6-1</f>
        <v>-0.12848170301859829</v>
      </c>
      <c r="M6" s="78">
        <f>G6/F6-1</f>
        <v>-0.12090909090909085</v>
      </c>
      <c r="N6" s="79">
        <f>$K$37</f>
        <v>3626595.3679999998</v>
      </c>
      <c r="O6" s="79">
        <f>$E6*$F6</f>
        <v>62480</v>
      </c>
      <c r="P6" s="79">
        <f>E6*G6*$I$1</f>
        <v>3160644.2189599997</v>
      </c>
      <c r="Q6" s="97">
        <f>E6*G6</f>
        <v>54925.599999999999</v>
      </c>
      <c r="R6" s="81">
        <f>P6-N6</f>
        <v>-465951.14904000005</v>
      </c>
      <c r="S6" s="81">
        <f>Q6-O6</f>
        <v>-7554.4000000000015</v>
      </c>
      <c r="T6" s="81" t="str">
        <f>_xll.BDP($C6,"EQY_DVD_YLD_EST")</f>
        <v>#N/A N/A</v>
      </c>
      <c r="U6" s="82" t="str">
        <f>_xll.BDP($C6,"DVD_EX_DT")</f>
        <v>#N/A N/A</v>
      </c>
      <c r="V6" s="82" t="str">
        <f>_xll.BDP($C6,"BDVD_NEXT_EST_DECL_DT")</f>
        <v>#N/A N/A</v>
      </c>
    </row>
    <row r="7" spans="1:22" s="133" customFormat="1" x14ac:dyDescent="0.2">
      <c r="A7" s="18" t="s">
        <v>2957</v>
      </c>
      <c r="B7" s="76" t="s">
        <v>123</v>
      </c>
      <c r="C7" s="77" t="s">
        <v>231</v>
      </c>
      <c r="D7" s="78">
        <f t="shared" si="0"/>
        <v>1.1749207073238864E-2</v>
      </c>
      <c r="E7" s="79">
        <f>$F$46</f>
        <v>13900</v>
      </c>
      <c r="F7" s="96">
        <f>$H$46</f>
        <v>4.4821</v>
      </c>
      <c r="G7" s="96">
        <f>_xll.BDP($C7,"PX_LAST")</f>
        <v>4.1890000000000001</v>
      </c>
      <c r="H7" s="96">
        <f>_xll.BDP($C7,"BEST_TARGET_PRICE")</f>
        <v>4.4437499046325684</v>
      </c>
      <c r="I7" s="175">
        <f t="shared" si="1"/>
        <v>6.0814013996793648E-2</v>
      </c>
      <c r="J7" s="96">
        <f>_xll.BDP($C7,"EQY_REC_CONS")</f>
        <v>3.1428569999999998</v>
      </c>
      <c r="K7" s="80" t="str">
        <f>_xll.BDP($C7,"CRNCY")</f>
        <v>USD</v>
      </c>
      <c r="L7" s="78">
        <f>$P7/$N7-1</f>
        <v>-6.2246647034841285E-2</v>
      </c>
      <c r="M7" s="78">
        <f>G7/F7-1</f>
        <v>-6.5393453961312797E-2</v>
      </c>
      <c r="N7" s="79">
        <f>$K$46</f>
        <v>3573035.5476899999</v>
      </c>
      <c r="O7" s="79">
        <f>$E7*$F7</f>
        <v>62301.19</v>
      </c>
      <c r="P7" s="79">
        <f>E7*G7*$I$1</f>
        <v>3350626.0651099999</v>
      </c>
      <c r="Q7" s="97">
        <f>E7*G7</f>
        <v>58227.1</v>
      </c>
      <c r="R7" s="81">
        <f>P7-N7</f>
        <v>-222409.48258000007</v>
      </c>
      <c r="S7" s="81">
        <f>Q7-O7</f>
        <v>-4074.0900000000038</v>
      </c>
      <c r="T7" s="81">
        <f>_xll.BDP($C7,"EQY_DVD_YLD_EST")</f>
        <v>6.5429349999999999</v>
      </c>
      <c r="U7" s="82" t="str">
        <f>_xll.BDP($C7,"DVD_EX_DT")</f>
        <v>19/07/2017</v>
      </c>
      <c r="V7" s="82" t="str">
        <f>_xll.BDP($C7,"BDVD_NEXT_EST_DECL_DT")</f>
        <v>01/06/2018</v>
      </c>
    </row>
    <row r="8" spans="1:22" s="133" customFormat="1" x14ac:dyDescent="0.2">
      <c r="A8" s="18" t="s">
        <v>2957</v>
      </c>
      <c r="B8" s="76" t="s">
        <v>2958</v>
      </c>
      <c r="C8" s="77" t="s">
        <v>2250</v>
      </c>
      <c r="D8" s="78">
        <f t="shared" si="0"/>
        <v>1.0481085068665788E-2</v>
      </c>
      <c r="E8" s="79">
        <f>$F$49</f>
        <v>3950</v>
      </c>
      <c r="F8" s="96">
        <f>$H$49</f>
        <v>12.6</v>
      </c>
      <c r="G8" s="96">
        <f>_xll.BDP($C8,"PX_LAST")</f>
        <v>13.15</v>
      </c>
      <c r="H8" s="96">
        <f>_xll.BDP($C8,"BEST_TARGET_PRICE")</f>
        <v>15.5</v>
      </c>
      <c r="I8" s="175">
        <f t="shared" si="1"/>
        <v>0.17870722433460062</v>
      </c>
      <c r="J8" s="96">
        <f>_xll.BDP($C8,"EQY_REC_CONS")</f>
        <v>4</v>
      </c>
      <c r="K8" s="80" t="str">
        <f>_xll.BDP($C8,"CRNCY")</f>
        <v>USD</v>
      </c>
      <c r="L8" s="78">
        <f>$P8/$N8-1</f>
        <v>6.6555829867366523E-2</v>
      </c>
      <c r="M8" s="78">
        <f>G8/F8-1</f>
        <v>4.3650793650793718E-2</v>
      </c>
      <c r="N8" s="79">
        <f>$K$49</f>
        <v>2802464.091</v>
      </c>
      <c r="O8" s="79">
        <f>$E8*$F8</f>
        <v>49770</v>
      </c>
      <c r="P8" s="79">
        <f>E8*G8*$I$1</f>
        <v>2988984.4142499999</v>
      </c>
      <c r="Q8" s="97">
        <f>E8*G8</f>
        <v>51942.5</v>
      </c>
      <c r="R8" s="81">
        <f t="shared" si="2"/>
        <v>186520.3232499999</v>
      </c>
      <c r="S8" s="81">
        <f t="shared" si="2"/>
        <v>2172.5</v>
      </c>
      <c r="T8" s="81">
        <f>_xll.BDP($C8,"EQY_DVD_YLD_EST")</f>
        <v>4.4682539999999999</v>
      </c>
      <c r="U8" s="82" t="str">
        <f>_xll.BDP($C8,"DVD_EX_DT")</f>
        <v>13/09/2017</v>
      </c>
      <c r="V8" s="82" t="str">
        <f>_xll.BDP($C8,"BDVD_NEXT_EST_DECL_DT")</f>
        <v>#N/A N/A</v>
      </c>
    </row>
    <row r="9" spans="1:22" s="133" customFormat="1" x14ac:dyDescent="0.2">
      <c r="A9" s="18" t="s">
        <v>2957</v>
      </c>
      <c r="B9" s="76" t="s">
        <v>142</v>
      </c>
      <c r="C9" s="77" t="s">
        <v>224</v>
      </c>
      <c r="D9" s="78">
        <f t="shared" si="0"/>
        <v>1.2334186989740165E-2</v>
      </c>
      <c r="E9" s="79">
        <f>$F$29</f>
        <v>5150</v>
      </c>
      <c r="F9" s="96">
        <f>$H$29</f>
        <v>696.5</v>
      </c>
      <c r="G9" s="96">
        <f>_xll.BDP($C9,"PX_LAST")</f>
        <v>683</v>
      </c>
      <c r="H9" s="96">
        <f>_xll.BDP($C9,"BEST_TARGET_PRICE")</f>
        <v>730.55926513671875</v>
      </c>
      <c r="I9" s="175">
        <f t="shared" si="1"/>
        <v>6.9632891854639389E-2</v>
      </c>
      <c r="J9" s="96">
        <f>_xll.BDP($C9,"EQY_REC_CONS")</f>
        <v>3.1578949999999999</v>
      </c>
      <c r="K9" s="80" t="str">
        <f>_xll.BDP($C9,"CRNCY")</f>
        <v>RUB</v>
      </c>
      <c r="L9" s="78">
        <f>G9/F9-1</f>
        <v>-1.938262742282848E-2</v>
      </c>
      <c r="M9" s="78">
        <f>Q9/O9-1</f>
        <v>-2.5053920597866042E-2</v>
      </c>
      <c r="N9" s="79">
        <f>E9*F9</f>
        <v>3586975</v>
      </c>
      <c r="O9" s="79">
        <f>$J$29</f>
        <v>62696.967207527181</v>
      </c>
      <c r="P9" s="79">
        <f>E9*G9</f>
        <v>3517450</v>
      </c>
      <c r="Q9" s="97">
        <f>P9/$I$1</f>
        <v>61126.162369382786</v>
      </c>
      <c r="R9" s="81">
        <f t="shared" si="2"/>
        <v>-69525</v>
      </c>
      <c r="S9" s="81">
        <f t="shared" si="2"/>
        <v>-1570.804838144395</v>
      </c>
      <c r="T9" s="81">
        <f>_xll.BDP($C9,"EQY_DVD_YLD_EST")</f>
        <v>3.764154</v>
      </c>
      <c r="U9" s="82" t="str">
        <f>_xll.BDP($C9,"DVD_EX_DT")</f>
        <v>07/09/2017</v>
      </c>
      <c r="V9" s="82" t="str">
        <f>_xll.BDP($C9,"BDVD_NEXT_EST_DECL_DT")</f>
        <v>07/12/2017</v>
      </c>
    </row>
    <row r="10" spans="1:22" s="133" customFormat="1" x14ac:dyDescent="0.2">
      <c r="A10" s="18" t="s">
        <v>2957</v>
      </c>
      <c r="B10" s="76" t="s">
        <v>245</v>
      </c>
      <c r="C10" s="77" t="s">
        <v>140</v>
      </c>
      <c r="D10" s="78">
        <f t="shared" si="0"/>
        <v>3.5489385865023232E-2</v>
      </c>
      <c r="E10" s="79">
        <f>$F$34</f>
        <v>89370</v>
      </c>
      <c r="F10" s="96">
        <f>$H$34</f>
        <v>153.92538557357054</v>
      </c>
      <c r="G10" s="96">
        <f>_xll.BDP($C10,"PX_LAST")</f>
        <v>149</v>
      </c>
      <c r="H10" s="96">
        <f>_xll.BDP($C10,"BEST_TARGET_PRICE")</f>
        <v>215</v>
      </c>
      <c r="I10" s="175">
        <f t="shared" si="1"/>
        <v>0.44295302013422821</v>
      </c>
      <c r="J10" s="96">
        <f>_xll.BDP($C10,"EQY_REC_CONS")</f>
        <v>5</v>
      </c>
      <c r="K10" s="80" t="str">
        <f>_xll.BDP($C10,"CRNCY")</f>
        <v>GBp</v>
      </c>
      <c r="L10" s="78">
        <f>P10/N10-1</f>
        <v>4.2118596511180328E-3</v>
      </c>
      <c r="M10" s="78">
        <f>Q10/O10-1</f>
        <v>2.5151936502583183E-3</v>
      </c>
      <c r="N10" s="79">
        <f>$K$34</f>
        <v>10078375.669495108</v>
      </c>
      <c r="O10" s="79">
        <f>$J$34</f>
        <v>175438.18403350608</v>
      </c>
      <c r="P10" s="79">
        <f>E10*G10*$K$1/100*$I$1</f>
        <v>10120824.373326264</v>
      </c>
      <c r="Q10" s="97">
        <f>P10/$I$1</f>
        <v>175879.44503999999</v>
      </c>
      <c r="R10" s="81">
        <f t="shared" si="2"/>
        <v>42448.703831156716</v>
      </c>
      <c r="S10" s="81">
        <f t="shared" si="2"/>
        <v>441.26100649390719</v>
      </c>
      <c r="T10" s="81">
        <f>_xll.BDP($C10,"EQY_DVD_YLD_EST")</f>
        <v>6.4508929999999998</v>
      </c>
      <c r="U10" s="82" t="str">
        <f>_xll.BDP($C10,"BDVD_NEXT_EST_DECL_DT")</f>
        <v>#N/A N/A</v>
      </c>
    </row>
    <row r="11" spans="1:22" s="146" customFormat="1" x14ac:dyDescent="0.2">
      <c r="A11" s="18" t="s">
        <v>2957</v>
      </c>
      <c r="B11" s="136" t="str">
        <f>_xll.BDP(C11,"SECURITY_NAME")</f>
        <v>RUSSIA 12 3/4 06/24/28</v>
      </c>
      <c r="C11" s="135" t="s">
        <v>2959</v>
      </c>
      <c r="D11" s="137">
        <f t="shared" si="0"/>
        <v>3.7965368545400557E-2</v>
      </c>
      <c r="E11" s="138">
        <f>$F$43</f>
        <v>106000</v>
      </c>
      <c r="F11" s="149">
        <f>$H$43</f>
        <v>175.28</v>
      </c>
      <c r="G11" s="139">
        <f>_xll.BDP(C11,"PX_ASK")</f>
        <v>177.5</v>
      </c>
      <c r="H11" s="139"/>
      <c r="I11" s="139"/>
      <c r="K11" s="147" t="str">
        <f>_xll.BDP($C11,"CRNCY")</f>
        <v>USD</v>
      </c>
      <c r="L11" s="137">
        <f>P11/N11-1</f>
        <v>-3.1871033693853246E-4</v>
      </c>
      <c r="M11" s="137">
        <f>G11/F11-1</f>
        <v>1.2665449566408027E-2</v>
      </c>
      <c r="N11" s="138">
        <f>$K$43</f>
        <v>10830374.167199999</v>
      </c>
      <c r="O11" s="138">
        <f>E11*F11/100</f>
        <v>185796.8</v>
      </c>
      <c r="P11" s="138">
        <f>G11*E11/100*$I$1</f>
        <v>10826922.415000001</v>
      </c>
      <c r="Q11" s="148">
        <f>P11/$I$1</f>
        <v>188150.00000000003</v>
      </c>
      <c r="R11" s="140">
        <f t="shared" si="2"/>
        <v>-3451.7521999981254</v>
      </c>
      <c r="S11" s="140">
        <f t="shared" si="2"/>
        <v>2353.2000000000407</v>
      </c>
      <c r="T11" s="142">
        <f>_xll.BDP(C11,"YLD_CNV_BID")</f>
        <v>3.9108643000000001</v>
      </c>
      <c r="U11" s="142"/>
    </row>
    <row r="12" spans="1:22" x14ac:dyDescent="0.2">
      <c r="A12" s="18" t="s">
        <v>2957</v>
      </c>
      <c r="B12" s="56" t="s">
        <v>96</v>
      </c>
      <c r="C12" s="56" t="s">
        <v>96</v>
      </c>
      <c r="D12" s="69">
        <f t="shared" si="0"/>
        <v>0.85596116592925398</v>
      </c>
      <c r="E12" s="52"/>
      <c r="F12" s="55"/>
      <c r="G12" s="54"/>
      <c r="H12" s="54"/>
      <c r="I12" s="54"/>
      <c r="J12" s="48"/>
      <c r="K12" s="48"/>
      <c r="L12" s="53"/>
      <c r="M12" s="53"/>
      <c r="N12" s="52"/>
      <c r="O12" s="52"/>
      <c r="P12" s="52"/>
      <c r="Q12" s="51">
        <f>571000+226000+3445000</f>
        <v>4242000</v>
      </c>
      <c r="R12" s="50"/>
      <c r="S12" s="49"/>
      <c r="T12" s="49"/>
      <c r="U12" s="48"/>
      <c r="V12" s="48"/>
    </row>
    <row r="13" spans="1:22" ht="13.5" customHeight="1" thickBot="1" x14ac:dyDescent="0.25">
      <c r="B13" s="46"/>
      <c r="C13" s="46"/>
      <c r="D13" s="47">
        <f>SUM(D4:D12)</f>
        <v>1</v>
      </c>
      <c r="E13" s="46"/>
      <c r="F13" s="46"/>
      <c r="G13" s="46"/>
      <c r="H13" s="46"/>
      <c r="I13" s="174">
        <f>SUMPRODUCT(D4:D11,I4:I11)</f>
        <v>2.7148305492262766E-2</v>
      </c>
      <c r="J13" s="45"/>
      <c r="K13" s="45"/>
      <c r="L13" s="174">
        <f>SUMPRODUCT($D$4:$D$11,L4:L11)</f>
        <v>-1.6831218480873357E-3</v>
      </c>
      <c r="M13" s="174">
        <f>SUMPRODUCT($D$4:$D$11,M4:M11)</f>
        <v>-1.488406687989458E-3</v>
      </c>
      <c r="N13" s="134">
        <f>SUM(N4:N12)</f>
        <v>41645045.527694412</v>
      </c>
      <c r="O13" s="134">
        <f>5000000-54000</f>
        <v>4946000</v>
      </c>
      <c r="P13" s="134">
        <f>SUM(P4:P12)</f>
        <v>41076837.680796266</v>
      </c>
      <c r="Q13" s="134">
        <f>SUM(Q4:Q12)</f>
        <v>4955832.3074093824</v>
      </c>
      <c r="R13" s="98">
        <f>SUM(R4:R11)</f>
        <v>-568207.8468981483</v>
      </c>
      <c r="S13" s="86">
        <f>SUM(S4:S11)</f>
        <v>-8747.6113366504505</v>
      </c>
      <c r="T13" s="173">
        <f>SUMPRODUCT(D4:D11,T4:T11)</f>
        <v>0.65616426257129623</v>
      </c>
      <c r="U13" s="45"/>
      <c r="V13" s="45"/>
    </row>
    <row r="14" spans="1:22" ht="13.5" customHeight="1" x14ac:dyDescent="0.2">
      <c r="B14" s="36"/>
      <c r="C14" s="36"/>
      <c r="D14" s="44"/>
      <c r="E14" s="36"/>
      <c r="F14" s="36"/>
      <c r="G14" s="36"/>
      <c r="I14" s="11" t="s">
        <v>503</v>
      </c>
      <c r="K14" s="36"/>
      <c r="L14" s="35"/>
      <c r="M14" s="35"/>
      <c r="N14" s="35"/>
      <c r="O14" s="35"/>
      <c r="P14" s="43"/>
      <c r="Q14" s="261">
        <f>Q13/O13-1</f>
        <v>1.9879311381687526E-3</v>
      </c>
      <c r="S14" s="85"/>
      <c r="T14" s="255" t="s">
        <v>502</v>
      </c>
    </row>
    <row r="15" spans="1:22" x14ac:dyDescent="0.2">
      <c r="E15" s="10"/>
      <c r="K15" s="26"/>
      <c r="L15" s="26" t="s">
        <v>2960</v>
      </c>
      <c r="M15" s="26"/>
      <c r="N15" s="34"/>
      <c r="O15" s="31"/>
      <c r="P15" s="31"/>
      <c r="Q15" s="27"/>
      <c r="T15" s="256"/>
    </row>
    <row r="16" spans="1:22" x14ac:dyDescent="0.2">
      <c r="B16" s="29" t="s">
        <v>190</v>
      </c>
      <c r="E16" s="10"/>
      <c r="M16" s="34"/>
      <c r="N16" s="31"/>
      <c r="O16" s="31"/>
      <c r="P16" s="27"/>
    </row>
    <row r="17" spans="2:18" x14ac:dyDescent="0.2">
      <c r="B17" s="122">
        <v>2017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6"/>
      <c r="N17" s="31"/>
      <c r="O17" s="31"/>
      <c r="P17" s="27"/>
    </row>
    <row r="18" spans="2:18" ht="51" x14ac:dyDescent="0.2">
      <c r="B18" s="42" t="s">
        <v>95</v>
      </c>
      <c r="C18" s="41" t="s">
        <v>94</v>
      </c>
      <c r="D18" s="41" t="s">
        <v>130</v>
      </c>
      <c r="E18" s="41" t="s">
        <v>129</v>
      </c>
      <c r="F18" s="41" t="s">
        <v>131</v>
      </c>
      <c r="G18" s="41" t="s">
        <v>128</v>
      </c>
      <c r="H18" s="41" t="s">
        <v>93</v>
      </c>
      <c r="I18" s="41" t="s">
        <v>92</v>
      </c>
      <c r="J18" s="41" t="s">
        <v>91</v>
      </c>
      <c r="K18" s="41" t="s">
        <v>90</v>
      </c>
      <c r="L18" s="41" t="s">
        <v>89</v>
      </c>
      <c r="M18" s="41" t="s">
        <v>88</v>
      </c>
      <c r="N18" s="41" t="s">
        <v>257</v>
      </c>
      <c r="O18" s="41" t="s">
        <v>87</v>
      </c>
      <c r="P18" s="41" t="s">
        <v>193</v>
      </c>
      <c r="Q18" s="41" t="s">
        <v>191</v>
      </c>
      <c r="R18" s="41" t="s">
        <v>192</v>
      </c>
    </row>
    <row r="19" spans="2:18" x14ac:dyDescent="0.2">
      <c r="B19" s="70" t="str">
        <f>_xll.BDP(C19,"SECURITY_NAME")</f>
        <v>IMHRUS 10 3/4 12/28/18</v>
      </c>
      <c r="C19" s="70" t="s">
        <v>460</v>
      </c>
      <c r="D19" s="59" t="s">
        <v>45</v>
      </c>
      <c r="E19" s="37">
        <f>F19*_xll.BDP(C19,"PX_LAST")/100</f>
        <v>216770</v>
      </c>
      <c r="F19" s="37">
        <v>200000</v>
      </c>
      <c r="G19" s="37">
        <v>200000</v>
      </c>
      <c r="H19" s="40">
        <f>G19/F19</f>
        <v>1</v>
      </c>
      <c r="I19" s="37">
        <f>G19*K19/100</f>
        <v>201500</v>
      </c>
      <c r="J19" s="38">
        <f>G19*L19/100</f>
        <v>215000</v>
      </c>
      <c r="K19" s="33">
        <v>100.75</v>
      </c>
      <c r="L19" s="33">
        <v>107.5</v>
      </c>
      <c r="M19" s="78">
        <f>L19/K19-1</f>
        <v>6.6997518610421913E-2</v>
      </c>
      <c r="N19" s="79">
        <f>(J19-I19)*R19</f>
        <v>770445</v>
      </c>
      <c r="O19" s="73" t="str">
        <f>_xll.BDP($C19,"CRNCY")</f>
        <v>USD</v>
      </c>
      <c r="P19" s="37">
        <f>N19/R19</f>
        <v>13500</v>
      </c>
      <c r="Q19" s="12">
        <v>42866</v>
      </c>
      <c r="R19" s="19">
        <f>_xll.BDH("RUB curncy","PX_LAST",$Q19)</f>
        <v>57.07</v>
      </c>
    </row>
    <row r="20" spans="2:18" x14ac:dyDescent="0.2">
      <c r="B20" s="39"/>
      <c r="C20" s="36"/>
      <c r="D20" s="59"/>
      <c r="E20" s="37"/>
      <c r="F20" s="37"/>
      <c r="G20" s="71"/>
      <c r="H20" s="40"/>
      <c r="I20" s="37"/>
      <c r="J20" s="38"/>
      <c r="K20" s="72"/>
      <c r="L20" s="72"/>
      <c r="M20" s="32" t="s">
        <v>86</v>
      </c>
      <c r="N20" s="84">
        <f>SUM(N19)</f>
        <v>770445</v>
      </c>
      <c r="O20" s="31" t="s">
        <v>67</v>
      </c>
      <c r="P20" s="84">
        <f>SUM(P19)</f>
        <v>13500</v>
      </c>
      <c r="Q20" s="12"/>
      <c r="R20" s="61"/>
    </row>
    <row r="21" spans="2:18" x14ac:dyDescent="0.2">
      <c r="B21" s="29" t="s">
        <v>85</v>
      </c>
      <c r="C21" s="10"/>
      <c r="D21" s="28"/>
      <c r="H21" s="28"/>
      <c r="I21" s="10"/>
      <c r="J21" s="10"/>
      <c r="K21" s="26"/>
    </row>
    <row r="22" spans="2:18" ht="13.5" thickBot="1" x14ac:dyDescent="0.25">
      <c r="C22" s="26"/>
      <c r="D22" s="26"/>
      <c r="G22" s="26"/>
      <c r="H22" s="10"/>
      <c r="I22" s="27"/>
      <c r="J22" s="10"/>
      <c r="K22" s="26"/>
    </row>
    <row r="23" spans="2:18" ht="15" x14ac:dyDescent="0.35">
      <c r="B23" s="23"/>
      <c r="C23" s="23"/>
      <c r="D23" s="23"/>
      <c r="E23" s="23"/>
      <c r="F23" s="23"/>
      <c r="G23" s="23"/>
      <c r="H23" s="25" t="s">
        <v>84</v>
      </c>
      <c r="I23" s="24" t="s">
        <v>83</v>
      </c>
      <c r="J23" s="24" t="s">
        <v>82</v>
      </c>
      <c r="K23" s="24"/>
      <c r="L23" s="23"/>
      <c r="M23" s="23"/>
      <c r="N23" s="23"/>
      <c r="Q23" s="83"/>
    </row>
    <row r="24" spans="2:18" ht="15" x14ac:dyDescent="0.35">
      <c r="B24" s="20" t="s">
        <v>81</v>
      </c>
      <c r="C24" s="20" t="s">
        <v>80</v>
      </c>
      <c r="D24" s="20" t="s">
        <v>79</v>
      </c>
      <c r="E24" s="20" t="s">
        <v>78</v>
      </c>
      <c r="F24" s="20" t="s">
        <v>77</v>
      </c>
      <c r="G24" s="20" t="s">
        <v>76</v>
      </c>
      <c r="H24" s="22" t="s">
        <v>75</v>
      </c>
      <c r="I24" s="21" t="s">
        <v>75</v>
      </c>
      <c r="J24" s="21" t="s">
        <v>67</v>
      </c>
      <c r="K24" s="21" t="s">
        <v>65</v>
      </c>
      <c r="L24" s="20" t="s">
        <v>74</v>
      </c>
      <c r="M24" s="20" t="s">
        <v>73</v>
      </c>
      <c r="N24" s="20" t="s">
        <v>72</v>
      </c>
    </row>
    <row r="25" spans="2:18" x14ac:dyDescent="0.2">
      <c r="B25" s="18" t="s">
        <v>2957</v>
      </c>
      <c r="C25" s="17" t="s">
        <v>39</v>
      </c>
      <c r="D25" s="15" t="str">
        <f>_xll.BDP(C25,"SECURITY_NAME")</f>
        <v>VEON Ltd</v>
      </c>
      <c r="E25" s="15" t="s">
        <v>44</v>
      </c>
      <c r="F25" s="16">
        <v>14205</v>
      </c>
      <c r="G25" s="15" t="str">
        <f>_xll.BDP(C25,"CRNCY")</f>
        <v>USD</v>
      </c>
      <c r="H25" s="88">
        <v>4.3792609999999996</v>
      </c>
      <c r="I25" s="13">
        <f>F25*H25</f>
        <v>62207.402504999998</v>
      </c>
      <c r="J25" s="14">
        <f>I25</f>
        <v>62207.402504999998</v>
      </c>
      <c r="K25" s="13">
        <f>J25*L25</f>
        <v>3558966.3669343065</v>
      </c>
      <c r="L25" s="19">
        <f>_xll.BDH("RUB curncy","PX_LAST",$N25)</f>
        <v>57.211300000000001</v>
      </c>
      <c r="M25" s="64">
        <f>1/_xll.BDH("RUB curncy","PX_LAST",$N25)</f>
        <v>1.747906445055435E-2</v>
      </c>
      <c r="N25" s="12">
        <v>42781</v>
      </c>
      <c r="P25" s="89">
        <f>F25*0.14586</f>
        <v>2071.9413</v>
      </c>
    </row>
    <row r="26" spans="2:18" s="29" customFormat="1" x14ac:dyDescent="0.2">
      <c r="B26" s="94"/>
      <c r="C26" s="93"/>
      <c r="D26" s="66"/>
      <c r="E26" s="66"/>
      <c r="F26" s="62">
        <f>SUM(F25:F25)</f>
        <v>14205</v>
      </c>
      <c r="G26" s="66"/>
      <c r="H26" s="67">
        <f>I26/F26</f>
        <v>4.3792609999999996</v>
      </c>
      <c r="I26" s="62">
        <f>SUM(I25:I25)</f>
        <v>62207.402504999998</v>
      </c>
      <c r="J26" s="62">
        <f>SUM(J25:J25)</f>
        <v>62207.402504999998</v>
      </c>
      <c r="K26" s="62">
        <f>SUM(K25:K25)</f>
        <v>3558966.3669343065</v>
      </c>
      <c r="L26" s="63"/>
      <c r="M26" s="92"/>
      <c r="N26" s="91"/>
    </row>
    <row r="28" spans="2:18" x14ac:dyDescent="0.2">
      <c r="B28" s="18" t="s">
        <v>2957</v>
      </c>
      <c r="C28" s="17" t="s">
        <v>225</v>
      </c>
      <c r="D28" s="15" t="str">
        <f>_xll.BDP(C28,"SECURITY_NAME")</f>
        <v>Polymetal International PLC</v>
      </c>
      <c r="E28" s="15" t="s">
        <v>44</v>
      </c>
      <c r="F28" s="16">
        <v>5150</v>
      </c>
      <c r="G28" s="15" t="str">
        <f>_xll.BDP(C28,"CRNCY")</f>
        <v>RUB</v>
      </c>
      <c r="H28" s="88">
        <f>_xll.BDH(C28,"PX_LAST",N28)</f>
        <v>696.5</v>
      </c>
      <c r="I28" s="13">
        <f>F28*H28</f>
        <v>3586975</v>
      </c>
      <c r="J28" s="14">
        <f>I28/L28</f>
        <v>62696.967207527181</v>
      </c>
      <c r="K28" s="13">
        <f>J28*L28</f>
        <v>3586975</v>
      </c>
      <c r="L28" s="19">
        <f>_xll.BDH("RUB curncy","PX_LAST",$N28)</f>
        <v>57.211300000000001</v>
      </c>
      <c r="M28" s="64">
        <f>1/_xll.BDH("RUB curncy","PX_LAST",$N28)</f>
        <v>1.747906445055435E-2</v>
      </c>
      <c r="N28" s="12">
        <v>42781</v>
      </c>
      <c r="P28" s="89">
        <f>F28*0.18</f>
        <v>927</v>
      </c>
    </row>
    <row r="29" spans="2:18" s="29" customFormat="1" x14ac:dyDescent="0.2">
      <c r="B29" s="94"/>
      <c r="C29" s="93"/>
      <c r="D29" s="66"/>
      <c r="E29" s="66"/>
      <c r="F29" s="62">
        <f>SUM(F28:F28)</f>
        <v>5150</v>
      </c>
      <c r="G29" s="66"/>
      <c r="H29" s="67">
        <f>I29/F29</f>
        <v>696.5</v>
      </c>
      <c r="I29" s="62">
        <f>SUM(I28:I28)</f>
        <v>3586975</v>
      </c>
      <c r="J29" s="62">
        <f>SUM(J28:J28)</f>
        <v>62696.967207527181</v>
      </c>
      <c r="K29" s="62">
        <f>SUM(K28:K28)</f>
        <v>3586975</v>
      </c>
      <c r="L29" s="63"/>
      <c r="M29" s="95"/>
      <c r="N29" s="91"/>
    </row>
    <row r="30" spans="2:18" s="30" customFormat="1" x14ac:dyDescent="0.2">
      <c r="B30" s="57"/>
      <c r="C30" s="58"/>
      <c r="D30" s="59"/>
      <c r="E30" s="59"/>
      <c r="F30" s="60"/>
      <c r="G30" s="59"/>
      <c r="H30" s="87"/>
      <c r="I30" s="60"/>
      <c r="J30" s="60"/>
      <c r="K30" s="60"/>
      <c r="L30" s="61"/>
      <c r="M30" s="65"/>
      <c r="N30" s="12"/>
    </row>
    <row r="31" spans="2:18" x14ac:dyDescent="0.2">
      <c r="B31" s="18" t="s">
        <v>2957</v>
      </c>
      <c r="C31" s="17" t="s">
        <v>112</v>
      </c>
      <c r="D31" s="15" t="str">
        <f>_xll.BDP(C31,"SECURITY_NAME")</f>
        <v>Highland Gold Mining Ltd</v>
      </c>
      <c r="E31" s="15" t="s">
        <v>44</v>
      </c>
      <c r="F31" s="16">
        <v>35500</v>
      </c>
      <c r="G31" s="15" t="str">
        <f>_xll.BDP(C31,"CRNCY")</f>
        <v>GBp</v>
      </c>
      <c r="H31" s="88">
        <v>136</v>
      </c>
      <c r="I31" s="13">
        <f>F31*H31/100</f>
        <v>48280</v>
      </c>
      <c r="J31" s="14">
        <f>I31*L31</f>
        <v>62677.095999999998</v>
      </c>
      <c r="K31" s="13">
        <f>J31/M31</f>
        <v>3631310.3755327999</v>
      </c>
      <c r="L31" s="19">
        <f>_xll.BDH("GBP curncy","PX_LAST",$N31)</f>
        <v>1.2982</v>
      </c>
      <c r="M31" s="64">
        <f>1/_xll.BDH("RUB curncy","PX_LAST",$N31)</f>
        <v>1.7260186962345176E-2</v>
      </c>
      <c r="N31" s="12">
        <v>42860</v>
      </c>
    </row>
    <row r="32" spans="2:18" x14ac:dyDescent="0.2">
      <c r="B32" s="18" t="s">
        <v>2957</v>
      </c>
      <c r="C32" s="17" t="s">
        <v>112</v>
      </c>
      <c r="D32" s="15" t="str">
        <f>_xll.BDP(C32,"SECURITY_NAME")</f>
        <v>Highland Gold Mining Ltd</v>
      </c>
      <c r="E32" s="15" t="s">
        <v>44</v>
      </c>
      <c r="F32" s="16">
        <v>27070</v>
      </c>
      <c r="G32" s="15" t="str">
        <f>_xll.BDP(C32,"CRNCY")</f>
        <v>GBp</v>
      </c>
      <c r="H32" s="88">
        <v>143.69825299999999</v>
      </c>
      <c r="I32" s="13">
        <f>F32*H32/100</f>
        <v>38899.117087099999</v>
      </c>
      <c r="J32" s="14">
        <f>I32*L32</f>
        <v>49977.585633506074</v>
      </c>
      <c r="K32" s="13">
        <f>J32/M32</f>
        <v>2855139.5031051883</v>
      </c>
      <c r="L32" s="19">
        <f>_xll.BDH("GBP curncy","PX_LAST",$N32)</f>
        <v>1.2847999999999999</v>
      </c>
      <c r="M32" s="64">
        <f>1/_xll.BDH("RUB curncy","PX_LAST",$N32)</f>
        <v>1.7504428620440972E-2</v>
      </c>
      <c r="N32" s="12">
        <v>42851</v>
      </c>
    </row>
    <row r="33" spans="2:16" x14ac:dyDescent="0.2">
      <c r="B33" s="18" t="s">
        <v>2957</v>
      </c>
      <c r="C33" s="17" t="s">
        <v>112</v>
      </c>
      <c r="D33" s="15" t="str">
        <f>_xll.BDP(C33,"SECURITY_NAME")</f>
        <v>Highland Gold Mining Ltd</v>
      </c>
      <c r="E33" s="15" t="s">
        <v>44</v>
      </c>
      <c r="F33" s="16">
        <v>26800</v>
      </c>
      <c r="G33" s="15" t="str">
        <f>_xll.BDP(C33,"CRNCY")</f>
        <v>GBp</v>
      </c>
      <c r="H33" s="88">
        <f>_xll.BDH(C33,"PX_LAST",N33)</f>
        <v>188</v>
      </c>
      <c r="I33" s="13">
        <f>F33*H33/100</f>
        <v>50384</v>
      </c>
      <c r="J33" s="14">
        <f>I33*L33</f>
        <v>62783.502399999998</v>
      </c>
      <c r="K33" s="13">
        <f>J33/M33</f>
        <v>3591925.7908571195</v>
      </c>
      <c r="L33" s="19">
        <f>_xll.BDH("GBP curncy","PX_LAST",$N33)</f>
        <v>1.2461</v>
      </c>
      <c r="M33" s="64">
        <f>1/_xll.BDH("RUB curncy","PX_LAST",$N33)</f>
        <v>1.747906445055435E-2</v>
      </c>
      <c r="N33" s="12">
        <v>42781</v>
      </c>
      <c r="P33" s="89">
        <f>F33*0.054*K1</f>
        <v>1911.4617599999999</v>
      </c>
    </row>
    <row r="34" spans="2:16" s="29" customFormat="1" x14ac:dyDescent="0.2">
      <c r="B34" s="94"/>
      <c r="C34" s="93"/>
      <c r="D34" s="66"/>
      <c r="E34" s="66"/>
      <c r="F34" s="62">
        <f>SUM(F31:F33)</f>
        <v>89370</v>
      </c>
      <c r="G34" s="66"/>
      <c r="H34" s="67">
        <f>I34/F34*100</f>
        <v>153.92538557357054</v>
      </c>
      <c r="I34" s="62">
        <f>SUM(I31:I33)</f>
        <v>137563.11708709999</v>
      </c>
      <c r="J34" s="62">
        <f>SUM(J31:J33)</f>
        <v>175438.18403350608</v>
      </c>
      <c r="K34" s="62">
        <f>SUM(K31:K33)</f>
        <v>10078375.669495108</v>
      </c>
      <c r="L34" s="63"/>
      <c r="M34" s="95"/>
      <c r="N34" s="91"/>
    </row>
    <row r="35" spans="2:16" x14ac:dyDescent="0.2">
      <c r="J35" s="90">
        <f>J34/F34</f>
        <v>1.9630545376916873</v>
      </c>
    </row>
    <row r="36" spans="2:16" x14ac:dyDescent="0.2">
      <c r="B36" s="18" t="s">
        <v>2957</v>
      </c>
      <c r="C36" s="17" t="s">
        <v>14</v>
      </c>
      <c r="D36" s="15" t="str">
        <f>_xll.BDP(C36,"SECURITY_NAME")</f>
        <v>Luxoft Holding Inc</v>
      </c>
      <c r="E36" s="15" t="s">
        <v>44</v>
      </c>
      <c r="F36" s="16">
        <v>1136</v>
      </c>
      <c r="G36" s="15" t="str">
        <f>_xll.BDP(C36,"CRNCY")</f>
        <v>USD</v>
      </c>
      <c r="H36" s="88">
        <v>55</v>
      </c>
      <c r="I36" s="13">
        <f>F36*H36</f>
        <v>62480</v>
      </c>
      <c r="J36" s="14">
        <f>I36</f>
        <v>62480</v>
      </c>
      <c r="K36" s="13">
        <f>J36*L36</f>
        <v>3626595.3679999998</v>
      </c>
      <c r="L36" s="19">
        <f>_xll.BDH("RUB curncy","PX_LAST",$N36)</f>
        <v>58.0441</v>
      </c>
      <c r="M36" s="64">
        <f>1/_xll.BDH("RUB curncy","PX_LAST",$N36)</f>
        <v>1.7228279876852257E-2</v>
      </c>
      <c r="N36" s="12">
        <v>42788</v>
      </c>
    </row>
    <row r="37" spans="2:16" x14ac:dyDescent="0.2">
      <c r="B37" s="94"/>
      <c r="C37" s="93"/>
      <c r="D37" s="66"/>
      <c r="E37" s="66"/>
      <c r="F37" s="62">
        <f>SUM(F36:F36)</f>
        <v>1136</v>
      </c>
      <c r="G37" s="66"/>
      <c r="H37" s="67">
        <f>I37/F37</f>
        <v>55</v>
      </c>
      <c r="I37" s="62">
        <f>SUM(I36:I36)</f>
        <v>62480</v>
      </c>
      <c r="J37" s="62">
        <f>SUM(J36:J36)</f>
        <v>62480</v>
      </c>
      <c r="K37" s="62">
        <f>SUM(K36:K36)</f>
        <v>3626595.3679999998</v>
      </c>
      <c r="L37" s="63"/>
      <c r="M37" s="92"/>
      <c r="N37" s="91"/>
    </row>
    <row r="39" spans="2:16" x14ac:dyDescent="0.2">
      <c r="B39" s="18" t="s">
        <v>2957</v>
      </c>
      <c r="C39" s="17" t="s">
        <v>59</v>
      </c>
      <c r="D39" s="15" t="str">
        <f>_xll.BDP(C39,"SECURITY_NAME")</f>
        <v>KazMunaiGas Exploration Produc</v>
      </c>
      <c r="E39" s="15" t="s">
        <v>44</v>
      </c>
      <c r="F39" s="16">
        <v>6250</v>
      </c>
      <c r="G39" s="15" t="str">
        <f>_xll.BDP(C39,"CRNCY")</f>
        <v>USD</v>
      </c>
      <c r="H39" s="88">
        <v>9.9023000000000003</v>
      </c>
      <c r="I39" s="13">
        <f>F39*H39</f>
        <v>61889.375</v>
      </c>
      <c r="J39" s="14">
        <f>I39</f>
        <v>61889.375</v>
      </c>
      <c r="K39" s="13">
        <f>J39*L39</f>
        <v>3588259.3173750001</v>
      </c>
      <c r="L39" s="19">
        <f>_xll.BDH("RUB curncy","PX_LAST",$N39)</f>
        <v>57.9786</v>
      </c>
      <c r="M39" s="64">
        <f>1/_xll.BDH("RUB curncy","PX_LAST",$N39)</f>
        <v>1.7247743132811071E-2</v>
      </c>
      <c r="N39" s="12">
        <v>42786</v>
      </c>
      <c r="P39" s="89">
        <f>F39*0.114678</f>
        <v>716.73750000000007</v>
      </c>
    </row>
    <row r="40" spans="2:16" x14ac:dyDescent="0.2">
      <c r="B40" s="94"/>
      <c r="C40" s="93"/>
      <c r="D40" s="66"/>
      <c r="E40" s="66"/>
      <c r="F40" s="62">
        <f>SUM(F39:F39)</f>
        <v>6250</v>
      </c>
      <c r="G40" s="66"/>
      <c r="H40" s="67">
        <f>I40/F40</f>
        <v>9.9023000000000003</v>
      </c>
      <c r="I40" s="62">
        <f>SUM(I39:I39)</f>
        <v>61889.375</v>
      </c>
      <c r="J40" s="62">
        <f>SUM(J39:J39)</f>
        <v>61889.375</v>
      </c>
      <c r="K40" s="62">
        <f>SUM(K39:K39)</f>
        <v>3588259.3173750001</v>
      </c>
      <c r="L40" s="63"/>
      <c r="M40" s="92"/>
      <c r="N40" s="91"/>
    </row>
    <row r="42" spans="2:16" x14ac:dyDescent="0.2">
      <c r="B42" s="18" t="s">
        <v>2957</v>
      </c>
      <c r="C42" s="77" t="s">
        <v>2959</v>
      </c>
      <c r="D42" s="15" t="str">
        <f>_xll.BDP(C42,"SECURITY_NAME")</f>
        <v>RUSSIA 12 3/4 06/24/28</v>
      </c>
      <c r="E42" s="15" t="s">
        <v>44</v>
      </c>
      <c r="F42" s="16">
        <v>106000</v>
      </c>
      <c r="G42" s="15" t="str">
        <f>_xll.BDP(C42,"CRNCY")</f>
        <v>USD</v>
      </c>
      <c r="H42" s="19">
        <v>175.28</v>
      </c>
      <c r="I42" s="13">
        <f>F42*H42/100</f>
        <v>185796.8</v>
      </c>
      <c r="J42" s="14">
        <f>I42</f>
        <v>185796.8</v>
      </c>
      <c r="K42" s="13">
        <f>J42*L42</f>
        <v>10830374.167199999</v>
      </c>
      <c r="L42" s="19">
        <f>_xll.BDH("RUB curncy","PX_LAST",$N42)</f>
        <v>58.291499999999999</v>
      </c>
      <c r="M42" s="64">
        <f>1/_xll.BDH("RUB curncy","PX_LAST",$N42)</f>
        <v>1.7155159843201838E-2</v>
      </c>
      <c r="N42" s="12">
        <v>42783</v>
      </c>
    </row>
    <row r="43" spans="2:16" x14ac:dyDescent="0.2">
      <c r="B43" s="57"/>
      <c r="C43" s="58"/>
      <c r="D43" s="59"/>
      <c r="E43" s="59"/>
      <c r="F43" s="62">
        <f>SUM(F42:F42)</f>
        <v>106000</v>
      </c>
      <c r="G43" s="66"/>
      <c r="H43" s="68">
        <f>I43/F43*100</f>
        <v>175.28</v>
      </c>
      <c r="I43" s="62">
        <f>SUM(I42:I42)</f>
        <v>185796.8</v>
      </c>
      <c r="J43" s="62">
        <f>SUM(J42:J42)</f>
        <v>185796.8</v>
      </c>
      <c r="K43" s="62">
        <f>SUM(K42:K42)</f>
        <v>10830374.167199999</v>
      </c>
      <c r="L43" s="61"/>
      <c r="M43" s="65"/>
      <c r="N43" s="12"/>
    </row>
    <row r="44" spans="2:16" x14ac:dyDescent="0.2">
      <c r="B44" s="57"/>
      <c r="C44" s="58"/>
      <c r="D44" s="59"/>
      <c r="E44" s="59"/>
      <c r="F44" s="62"/>
      <c r="G44" s="66"/>
      <c r="H44" s="68"/>
      <c r="I44" s="62"/>
      <c r="J44" s="62"/>
      <c r="K44" s="62"/>
      <c r="L44" s="61"/>
      <c r="M44" s="65"/>
      <c r="N44" s="12"/>
    </row>
    <row r="45" spans="2:16" x14ac:dyDescent="0.2">
      <c r="B45" s="18" t="s">
        <v>2957</v>
      </c>
      <c r="C45" s="17" t="s">
        <v>56</v>
      </c>
      <c r="D45" s="15" t="str">
        <f>_xll.BDP(C45,"SECURITY_NAME")</f>
        <v>Gazprom PJSC</v>
      </c>
      <c r="E45" s="15" t="s">
        <v>44</v>
      </c>
      <c r="F45" s="16">
        <v>13900</v>
      </c>
      <c r="G45" s="15" t="str">
        <f>_xll.BDP(C45,"CRNCY")</f>
        <v>USD</v>
      </c>
      <c r="H45" s="88">
        <v>4.4821</v>
      </c>
      <c r="I45" s="13">
        <f>F45*H45</f>
        <v>62301.19</v>
      </c>
      <c r="J45" s="14">
        <f>I45</f>
        <v>62301.19</v>
      </c>
      <c r="K45" s="13">
        <f>J45*L45</f>
        <v>3573035.5476899999</v>
      </c>
      <c r="L45" s="19">
        <f>_xll.BDH("RUB curncy","PX_LAST",$N45)</f>
        <v>57.350999999999999</v>
      </c>
      <c r="M45" s="64">
        <f>1/_xll.BDH("RUB curncy","PX_LAST",$N45)</f>
        <v>1.7436487593939076E-2</v>
      </c>
      <c r="N45" s="12">
        <v>42817</v>
      </c>
      <c r="P45" s="89">
        <f>F45*0.278374</f>
        <v>3869.3986</v>
      </c>
    </row>
    <row r="46" spans="2:16" x14ac:dyDescent="0.2">
      <c r="B46" s="94"/>
      <c r="C46" s="93"/>
      <c r="D46" s="66"/>
      <c r="E46" s="66"/>
      <c r="F46" s="62">
        <f>SUM(F45:F45)</f>
        <v>13900</v>
      </c>
      <c r="G46" s="66"/>
      <c r="H46" s="67">
        <f>I46/F46</f>
        <v>4.4821</v>
      </c>
      <c r="I46" s="62">
        <f>SUM(I45:I45)</f>
        <v>62301.19</v>
      </c>
      <c r="J46" s="62">
        <f>SUM(J45:J45)</f>
        <v>62301.19</v>
      </c>
      <c r="K46" s="62">
        <f>SUM(K45:K45)</f>
        <v>3573035.5476899999</v>
      </c>
      <c r="L46" s="63"/>
      <c r="M46" s="92"/>
      <c r="N46" s="91"/>
    </row>
    <row r="48" spans="2:16" x14ac:dyDescent="0.2">
      <c r="B48" s="18" t="s">
        <v>2957</v>
      </c>
      <c r="C48" s="17" t="s">
        <v>469</v>
      </c>
      <c r="D48" s="15" t="str">
        <f>_xll.BDP(C48,"SECURITY_NAME")</f>
        <v>Ros Agro PLC</v>
      </c>
      <c r="E48" s="15" t="s">
        <v>44</v>
      </c>
      <c r="F48" s="16">
        <v>3950</v>
      </c>
      <c r="G48" s="15" t="str">
        <f>_xll.BDP(C48,"CRNCY")</f>
        <v>USD</v>
      </c>
      <c r="H48" s="88">
        <v>12.6</v>
      </c>
      <c r="I48" s="13">
        <f>F48*H48</f>
        <v>49770</v>
      </c>
      <c r="J48" s="14">
        <f>I48</f>
        <v>49770</v>
      </c>
      <c r="K48" s="13">
        <f>J48*L48</f>
        <v>2802464.091</v>
      </c>
      <c r="L48" s="19">
        <f>_xll.BDH("RUB curncy","PX_LAST",$N48)</f>
        <v>56.308300000000003</v>
      </c>
      <c r="M48" s="64">
        <f>1/_xll.BDH("RUB curncy","PX_LAST",$N48)</f>
        <v>1.7759371176185392E-2</v>
      </c>
      <c r="N48" s="12">
        <v>42831</v>
      </c>
      <c r="P48" s="89">
        <f>F48*0.55</f>
        <v>2172.5</v>
      </c>
    </row>
    <row r="49" spans="2:16" x14ac:dyDescent="0.2">
      <c r="B49" s="94"/>
      <c r="C49" s="93"/>
      <c r="D49" s="66"/>
      <c r="E49" s="66"/>
      <c r="F49" s="62">
        <f>SUM(F48:F48)</f>
        <v>3950</v>
      </c>
      <c r="G49" s="66"/>
      <c r="H49" s="67">
        <f>I49/F49</f>
        <v>12.6</v>
      </c>
      <c r="I49" s="62">
        <f>SUM(I48:I48)</f>
        <v>49770</v>
      </c>
      <c r="J49" s="62">
        <f>SUM(J48:J48)</f>
        <v>49770</v>
      </c>
      <c r="K49" s="62">
        <f>SUM(K48:K48)</f>
        <v>2802464.091</v>
      </c>
      <c r="L49" s="63"/>
      <c r="M49" s="92"/>
      <c r="N49" s="91"/>
    </row>
    <row r="51" spans="2:16" x14ac:dyDescent="0.2">
      <c r="P51" s="89">
        <f>P48+P33+P28+P25</f>
        <v>7082.9030600000006</v>
      </c>
    </row>
  </sheetData>
  <mergeCells count="1">
    <mergeCell ref="T14:T15"/>
  </mergeCells>
  <conditionalFormatting sqref="E30 E26">
    <cfRule type="containsText" dxfId="41" priority="203" operator="containsText" text="Buy">
      <formula>NOT(ISERROR(SEARCH("Buy",E26)))</formula>
    </cfRule>
    <cfRule type="containsText" dxfId="40" priority="204" operator="containsText" text="Sell">
      <formula>NOT(ISERROR(SEARCH("Sell",E26)))</formula>
    </cfRule>
  </conditionalFormatting>
  <conditionalFormatting sqref="L8:M8">
    <cfRule type="dataBar" priority="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{F6DA3696-B5D7-40C4-9AE9-206E9019F66E}</x14:id>
        </ext>
      </extLst>
    </cfRule>
  </conditionalFormatting>
  <conditionalFormatting sqref="L8:M8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{2617FA66-161A-4C46-A6A1-28DA5D3A72C3}</x14:id>
        </ext>
      </extLst>
    </cfRule>
  </conditionalFormatting>
  <conditionalFormatting sqref="L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{3F80AF81-2818-40B0-A575-314522502ADE}</x14:id>
        </ext>
      </extLst>
    </cfRule>
  </conditionalFormatting>
  <conditionalFormatting sqref="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{94D8421F-4CA1-41EE-8689-36214D72AE15}</x14:id>
        </ext>
      </extLst>
    </cfRule>
  </conditionalFormatting>
  <conditionalFormatting sqref="E29">
    <cfRule type="containsText" dxfId="39" priority="197" operator="containsText" text="Buy">
      <formula>NOT(ISERROR(SEARCH("Buy",E29)))</formula>
    </cfRule>
    <cfRule type="containsText" dxfId="38" priority="198" operator="containsText" text="Sell">
      <formula>NOT(ISERROR(SEARCH("Sell",E29)))</formula>
    </cfRule>
  </conditionalFormatting>
  <conditionalFormatting sqref="L9:M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{149F1F16-6B99-45ED-81B7-6FB4FA57514E}</x14:id>
        </ext>
      </extLst>
    </cfRule>
  </conditionalFormatting>
  <conditionalFormatting sqref="L9:M9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{39BD9A03-59C0-4799-BB66-33F03EA5FEC0}</x14:id>
        </ext>
      </extLst>
    </cfRule>
  </conditionalFormatting>
  <conditionalFormatting sqref="L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{0445777F-D8AA-43E0-91E0-14D88ADEE5B1}</x14:id>
        </ext>
      </extLst>
    </cfRule>
  </conditionalFormatting>
  <conditionalFormatting sqref="M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{91736887-0390-44A4-B5B7-7505F7F213A1}</x14:id>
        </ext>
      </extLst>
    </cfRule>
  </conditionalFormatting>
  <conditionalFormatting sqref="H2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{F4B0B0B3-DE14-4BDA-9682-AD09F32A8C7C}</x14:id>
        </ext>
      </extLst>
    </cfRule>
    <cfRule type="cellIs" dxfId="37" priority="192" operator="equal">
      <formula>1</formula>
    </cfRule>
  </conditionalFormatting>
  <conditionalFormatting sqref="D20">
    <cfRule type="containsText" dxfId="36" priority="190" operator="containsText" text="Buy">
      <formula>NOT(ISERROR(SEARCH("Buy",D20)))</formula>
    </cfRule>
    <cfRule type="containsText" dxfId="35" priority="191" operator="containsText" text="Sell">
      <formula>NOT(ISERROR(SEARCH("Sell",D20)))</formula>
    </cfRule>
  </conditionalFormatting>
  <conditionalFormatting sqref="E28">
    <cfRule type="containsText" dxfId="34" priority="187" operator="containsText" text="Buy">
      <formula>NOT(ISERROR(SEARCH("Buy",E28)))</formula>
    </cfRule>
    <cfRule type="containsText" dxfId="33" priority="188" operator="containsText" text="Sell">
      <formula>NOT(ISERROR(SEARCH("Sell",E28)))</formula>
    </cfRule>
  </conditionalFormatting>
  <conditionalFormatting sqref="L13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{6D654567-FC4E-4235-93F6-A6DEC5C78899}</x14:id>
        </ext>
      </extLst>
    </cfRule>
  </conditionalFormatting>
  <conditionalFormatting sqref="L8:L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{8FAA5258-697B-4BAF-825A-87E5AC878682}</x14:id>
        </ext>
      </extLst>
    </cfRule>
  </conditionalFormatting>
  <conditionalFormatting sqref="L8:M9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{5D634183-8CEB-424E-8DC2-B575727DFD1D}</x14:id>
        </ext>
      </extLst>
    </cfRule>
  </conditionalFormatting>
  <conditionalFormatting sqref="E25">
    <cfRule type="containsText" dxfId="32" priority="184" operator="containsText" text="Buy">
      <formula>NOT(ISERROR(SEARCH("Buy",E25)))</formula>
    </cfRule>
    <cfRule type="containsText" dxfId="31" priority="185" operator="containsText" text="Sell">
      <formula>NOT(ISERROR(SEARCH("Sell",E25)))</formula>
    </cfRule>
  </conditionalFormatting>
  <conditionalFormatting sqref="M13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{E1854167-ECF8-4B44-94B7-26D5090000FF}</x14:id>
        </ext>
      </extLst>
    </cfRule>
  </conditionalFormatting>
  <conditionalFormatting sqref="M13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{2EE3DF7A-C322-4593-93C6-27E283614AC5}</x14:id>
        </ext>
      </extLst>
    </cfRule>
  </conditionalFormatting>
  <conditionalFormatting sqref="L4:M4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{4EE8426C-75AF-42DC-8C86-61ECC523E627}</x14:id>
        </ext>
      </extLst>
    </cfRule>
  </conditionalFormatting>
  <conditionalFormatting sqref="L4:M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{1ED0E432-1A29-48F1-AAEB-E8856D89CF84}</x14:id>
        </ext>
      </extLst>
    </cfRule>
  </conditionalFormatting>
  <conditionalFormatting sqref="L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{033C222A-F2FA-4DEC-93B4-AC02DBF3E54E}</x14:id>
        </ext>
      </extLst>
    </cfRule>
  </conditionalFormatting>
  <conditionalFormatting sqref="M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{B3DFCDC0-FE24-42CD-95D6-1C79ACA8E61E}</x14:id>
        </ext>
      </extLst>
    </cfRule>
  </conditionalFormatting>
  <conditionalFormatting sqref="L4:M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{8A69BCA8-4D9B-4F66-AA03-BA11E0139BAE}</x14:id>
        </ext>
      </extLst>
    </cfRule>
  </conditionalFormatting>
  <conditionalFormatting sqref="L4:M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{ACC9B12D-5B9B-4793-AF98-73FA493084E9}</x14:id>
        </ext>
      </extLst>
    </cfRule>
  </conditionalFormatting>
  <conditionalFormatting sqref="L4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{97B2DE17-40B4-4B83-8100-51FC4A43AAF8}</x14:id>
        </ext>
      </extLst>
    </cfRule>
  </conditionalFormatting>
  <conditionalFormatting sqref="L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{9B4CAF8A-1E59-44D8-ABCA-3288777F6A84}</x14:id>
        </ext>
      </extLst>
    </cfRule>
  </conditionalFormatting>
  <conditionalFormatting sqref="L4:M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{9446276B-01AB-44B4-A8A8-63C09E03C3EF}</x14:id>
        </ext>
      </extLst>
    </cfRule>
  </conditionalFormatting>
  <conditionalFormatting sqref="V4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{196BB1B9-00B0-4D24-9706-DA6BEAB4B8A3}</x14:id>
        </ext>
      </extLst>
    </cfRule>
  </conditionalFormatting>
  <conditionalFormatting sqref="U4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{0F90AFCC-A9E9-4C68-8CB6-BC926986C924}</x14:id>
        </ext>
      </extLst>
    </cfRule>
  </conditionalFormatting>
  <conditionalFormatting sqref="I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{26915F84-E446-46BF-9FA3-09BE4F285B2C}</x14:id>
        </ext>
      </extLst>
    </cfRule>
  </conditionalFormatting>
  <conditionalFormatting sqref="T4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{B6CD6A1E-2754-4B2C-9FC9-579A0DD63521}</x14:id>
        </ext>
      </extLst>
    </cfRule>
  </conditionalFormatting>
  <conditionalFormatting sqref="L4:M4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{692CFC9D-9EEC-4223-A2CE-2A68046C57F2}</x14:id>
        </ext>
      </extLst>
    </cfRule>
  </conditionalFormatting>
  <conditionalFormatting sqref="T4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{60CDB1A6-4EA4-48C8-88DF-19D012F6E276}</x14:id>
        </ext>
      </extLst>
    </cfRule>
  </conditionalFormatting>
  <conditionalFormatting sqref="I4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{637D7B83-9564-4D7F-85EB-651B26A3633E}</x14:id>
        </ext>
      </extLst>
    </cfRule>
  </conditionalFormatting>
  <conditionalFormatting sqref="T4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{03A818F1-048E-4541-89AF-9FB32114C34C}</x14:id>
        </ext>
      </extLst>
    </cfRule>
  </conditionalFormatting>
  <conditionalFormatting sqref="L4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{6ABDAE58-24E2-49F6-A719-0A41C2DB015B}</x14:id>
        </ext>
      </extLst>
    </cfRule>
  </conditionalFormatting>
  <conditionalFormatting sqref="M4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{F3D023A2-4874-413E-A904-14E692F0BED0}</x14:id>
        </ext>
      </extLst>
    </cfRule>
  </conditionalFormatting>
  <conditionalFormatting sqref="I4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{B86811E9-18B9-4363-AAC8-8C0D1E6392FF}</x14:id>
        </ext>
      </extLst>
    </cfRule>
  </conditionalFormatting>
  <conditionalFormatting sqref="E37">
    <cfRule type="containsText" dxfId="30" priority="159" operator="containsText" text="Buy">
      <formula>NOT(ISERROR(SEARCH("Buy",E37)))</formula>
    </cfRule>
    <cfRule type="containsText" dxfId="29" priority="160" operator="containsText" text="Sell">
      <formula>NOT(ISERROR(SEARCH("Sell",E37)))</formula>
    </cfRule>
  </conditionalFormatting>
  <conditionalFormatting sqref="E36">
    <cfRule type="containsText" dxfId="28" priority="157" operator="containsText" text="Buy">
      <formula>NOT(ISERROR(SEARCH("Buy",E36)))</formula>
    </cfRule>
    <cfRule type="containsText" dxfId="27" priority="158" operator="containsText" text="Sell">
      <formula>NOT(ISERROR(SEARCH("Sell",E36)))</formula>
    </cfRule>
  </conditionalFormatting>
  <conditionalFormatting sqref="L5:M5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{370FEC46-A964-4679-AC66-F17A9E6BD8B1}</x14:id>
        </ext>
      </extLst>
    </cfRule>
  </conditionalFormatting>
  <conditionalFormatting sqref="L5:M5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{B93EE5D4-43F2-4EC1-B43E-722170C3F694}</x14:id>
        </ext>
      </extLst>
    </cfRule>
  </conditionalFormatting>
  <conditionalFormatting sqref="L5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{50399266-DA9D-4710-AC87-51A2E008D1E5}</x14:id>
        </ext>
      </extLst>
    </cfRule>
  </conditionalFormatting>
  <conditionalFormatting sqref="M5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{87A87230-F1CD-4080-9407-DF6B9FF6315E}</x14:id>
        </ext>
      </extLst>
    </cfRule>
  </conditionalFormatting>
  <conditionalFormatting sqref="L5:M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{5280CE4A-AE38-4768-92D3-0C583DFF9888}</x14:id>
        </ext>
      </extLst>
    </cfRule>
  </conditionalFormatting>
  <conditionalFormatting sqref="L5:M5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{41A31EE3-17E2-4510-849C-3250FB7AEB1E}</x14:id>
        </ext>
      </extLst>
    </cfRule>
  </conditionalFormatting>
  <conditionalFormatting sqref="L5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{8AE6C73C-A4B2-42BB-89CA-F1D5079AD647}</x14:id>
        </ext>
      </extLst>
    </cfRule>
  </conditionalFormatting>
  <conditionalFormatting sqref="L5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{76F358DF-7E45-405F-8129-EEC3B409D4A5}</x14:id>
        </ext>
      </extLst>
    </cfRule>
  </conditionalFormatting>
  <conditionalFormatting sqref="L5:M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{1F44438D-BFE2-4A85-8BBF-7031EAE67F53}</x14:id>
        </ext>
      </extLst>
    </cfRule>
  </conditionalFormatting>
  <conditionalFormatting sqref="V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{D9B7F389-88D4-4430-B689-6C1A5E4183E2}</x14:id>
        </ext>
      </extLst>
    </cfRule>
  </conditionalFormatting>
  <conditionalFormatting sqref="U5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{B15F98C1-0D64-4B24-9E6F-14088E98DC27}</x14:id>
        </ext>
      </extLst>
    </cfRule>
  </conditionalFormatting>
  <conditionalFormatting sqref="I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{6F8E46D9-6892-42C8-BFA2-D4EAEB18B840}</x14:id>
        </ext>
      </extLst>
    </cfRule>
  </conditionalFormatting>
  <conditionalFormatting sqref="T5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{B5B9D7E7-E015-4227-BA90-5FE41D686CEB}</x14:id>
        </ext>
      </extLst>
    </cfRule>
  </conditionalFormatting>
  <conditionalFormatting sqref="L5:M5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{B2234D92-05A9-4408-A188-6E56FC14674A}</x14:id>
        </ext>
      </extLst>
    </cfRule>
  </conditionalFormatting>
  <conditionalFormatting sqref="T5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{5B76074E-E89D-4538-A829-1B80EC024E55}</x14:id>
        </ext>
      </extLst>
    </cfRule>
  </conditionalFormatting>
  <conditionalFormatting sqref="I5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{DE307DCD-C897-41BB-AE66-6C27D4C010FE}</x14:id>
        </ext>
      </extLst>
    </cfRule>
  </conditionalFormatting>
  <conditionalFormatting sqref="T5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{0AC5626B-E3CB-4F53-9A9F-8BD872FD022D}</x14:id>
        </ext>
      </extLst>
    </cfRule>
  </conditionalFormatting>
  <conditionalFormatting sqref="L5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{C46B2F18-5A83-41DC-9C76-791507EC0596}</x14:id>
        </ext>
      </extLst>
    </cfRule>
  </conditionalFormatting>
  <conditionalFormatting sqref="M5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{0A3CBA17-3632-425E-9E32-13C195C36DD5}</x14:id>
        </ext>
      </extLst>
    </cfRule>
  </conditionalFormatting>
  <conditionalFormatting sqref="I5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{66D7FD4B-1141-4DBC-91A1-94394F2CE9C5}</x14:id>
        </ext>
      </extLst>
    </cfRule>
  </conditionalFormatting>
  <conditionalFormatting sqref="E40">
    <cfRule type="containsText" dxfId="26" priority="134" operator="containsText" text="Buy">
      <formula>NOT(ISERROR(SEARCH("Buy",E40)))</formula>
    </cfRule>
    <cfRule type="containsText" dxfId="25" priority="135" operator="containsText" text="Sell">
      <formula>NOT(ISERROR(SEARCH("Sell",E40)))</formula>
    </cfRule>
  </conditionalFormatting>
  <conditionalFormatting sqref="E39">
    <cfRule type="containsText" dxfId="24" priority="132" operator="containsText" text="Buy">
      <formula>NOT(ISERROR(SEARCH("Buy",E39)))</formula>
    </cfRule>
    <cfRule type="containsText" dxfId="23" priority="133" operator="containsText" text="Sell">
      <formula>NOT(ISERROR(SEARCH("Sell",E39)))</formula>
    </cfRule>
  </conditionalFormatting>
  <conditionalFormatting sqref="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{E0EE15A4-23B3-4677-A5FA-659CEF7EAF40}</x14:id>
        </ext>
      </extLst>
    </cfRule>
  </conditionalFormatting>
  <conditionalFormatting sqref="M10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{37742CDB-D898-4A51-9BC0-AF2FAD2348A5}</x14:id>
        </ext>
      </extLst>
    </cfRule>
  </conditionalFormatting>
  <conditionalFormatting sqref="L10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{6666A7C8-A8FF-4A91-A1EF-DD429286AD90}</x14:id>
        </ext>
      </extLst>
    </cfRule>
  </conditionalFormatting>
  <conditionalFormatting sqref="L10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{392DAB9B-747C-4FD6-9545-BFBB2FF4910D}</x14:id>
        </ext>
      </extLst>
    </cfRule>
  </conditionalFormatting>
  <conditionalFormatting sqref="L10:M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{B41FECB1-02D6-4804-9D4E-E5414A0628E0}</x14:id>
        </ext>
      </extLst>
    </cfRule>
  </conditionalFormatting>
  <conditionalFormatting sqref="L10:M10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{3D5D0FF4-B286-4040-98CE-26CCC426107E}</x14:id>
        </ext>
      </extLst>
    </cfRule>
  </conditionalFormatting>
  <conditionalFormatting sqref="L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{97E7AB2A-CA57-4FD3-8A4C-DEEB88156649}</x14:id>
        </ext>
      </extLst>
    </cfRule>
  </conditionalFormatting>
  <conditionalFormatting sqref="L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{E0774055-8893-4678-A547-7281130C3BBA}</x14:id>
        </ext>
      </extLst>
    </cfRule>
  </conditionalFormatting>
  <conditionalFormatting sqref="U10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{6459A760-AA2B-49CB-9A9B-89319A2E6201}</x14:id>
        </ext>
      </extLst>
    </cfRule>
  </conditionalFormatting>
  <conditionalFormatting sqref="I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{D471522D-0BAA-4772-93FD-70D0D80902A4}</x14:id>
        </ext>
      </extLst>
    </cfRule>
  </conditionalFormatting>
  <conditionalFormatting sqref="L10:M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{A50D9921-8441-4002-91C8-34A42ACC2E58}</x14:id>
        </ext>
      </extLst>
    </cfRule>
  </conditionalFormatting>
  <conditionalFormatting sqref="T10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{B2D63CDA-91FD-4D9E-8301-780E4E279A4A}</x14:id>
        </ext>
      </extLst>
    </cfRule>
  </conditionalFormatting>
  <conditionalFormatting sqref="L10:M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{C296CD63-B6E5-43B5-82ED-F7953505B4AB}</x14:id>
        </ext>
      </extLst>
    </cfRule>
  </conditionalFormatting>
  <conditionalFormatting sqref="T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{D3663D25-B84C-4C0E-89AE-EECB351A2426}</x14:id>
        </ext>
      </extLst>
    </cfRule>
  </conditionalFormatting>
  <conditionalFormatting sqref="I10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{F8E0E179-A162-4B91-A357-F6FD3843D77D}</x14:id>
        </ext>
      </extLst>
    </cfRule>
  </conditionalFormatting>
  <conditionalFormatting sqref="T1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{5DE98343-F0FF-4C6F-9F70-F7D202789BAB}</x14:id>
        </ext>
      </extLst>
    </cfRule>
  </conditionalFormatting>
  <conditionalFormatting sqref="T10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{7823317B-0168-435A-83B7-970E87771597}</x14:id>
        </ext>
      </extLst>
    </cfRule>
  </conditionalFormatting>
  <conditionalFormatting sqref="L10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{45B8E417-DD31-4CA1-B4E5-088F10F82391}</x14:id>
        </ext>
      </extLst>
    </cfRule>
  </conditionalFormatting>
  <conditionalFormatting sqref="I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{8C426D82-9AC2-49BF-8BE3-00C127FF44AB}</x14:id>
        </ext>
      </extLst>
    </cfRule>
  </conditionalFormatting>
  <conditionalFormatting sqref="L10: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{109BFB76-8E3C-405E-9317-B498487D50FD}</x14:id>
        </ext>
      </extLst>
    </cfRule>
  </conditionalFormatting>
  <conditionalFormatting sqref="T10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{808CC17E-383B-4D8B-B54F-9C1E0AFB7433}</x14:id>
        </ext>
      </extLst>
    </cfRule>
  </conditionalFormatting>
  <conditionalFormatting sqref="L10:M10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{E812A99C-D8D7-42DD-AA58-C8343F369D5F}</x14:id>
        </ext>
      </extLst>
    </cfRule>
  </conditionalFormatting>
  <conditionalFormatting sqref="I10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{F7EE8C0A-B4BB-488A-AEFE-A2A2E05CDFDA}</x14:id>
        </ext>
      </extLst>
    </cfRule>
  </conditionalFormatting>
  <conditionalFormatting sqref="T10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{27C1BCC0-02FA-445F-91C2-4B2AD334FF22}</x14:id>
        </ext>
      </extLst>
    </cfRule>
  </conditionalFormatting>
  <conditionalFormatting sqref="I1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{49330CD0-1E17-4A2B-A0AD-1CA705B9A0E7}</x14:id>
        </ext>
      </extLst>
    </cfRule>
  </conditionalFormatting>
  <conditionalFormatting sqref="L10:M1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{FA5E240B-82C4-4C2B-9487-1012BB3DFD3E}</x14:id>
        </ext>
      </extLst>
    </cfRule>
  </conditionalFormatting>
  <conditionalFormatting sqref="T1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{424EA5F1-CF75-4D9F-B860-1BF927B2C2A6}</x14:id>
        </ext>
      </extLst>
    </cfRule>
  </conditionalFormatting>
  <conditionalFormatting sqref="I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{4001587A-5DC4-4ADB-A802-D4CDBDCA043F}</x14:id>
        </ext>
      </extLst>
    </cfRule>
  </conditionalFormatting>
  <conditionalFormatting sqref="L10:M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{38E10094-898E-4E1B-8F8C-7A44F4EAB3F7}</x14:id>
        </ext>
      </extLst>
    </cfRule>
  </conditionalFormatting>
  <conditionalFormatting sqref="T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{E0556311-20A5-470A-B79F-B39718DD2235}</x14:id>
        </ext>
      </extLst>
    </cfRule>
  </conditionalFormatting>
  <conditionalFormatting sqref="L8:M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{A9CFB4AF-2E45-4138-A801-D19F4B2069A0}</x14:id>
        </ext>
      </extLst>
    </cfRule>
  </conditionalFormatting>
  <conditionalFormatting sqref="L8:M9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{D4CE9662-7C28-450B-B1F5-E490B6605ED3}</x14:id>
        </ext>
      </extLst>
    </cfRule>
  </conditionalFormatting>
  <conditionalFormatting sqref="L8:L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{B17A77EA-D79B-4D40-9BB8-578C51422F19}</x14:id>
        </ext>
      </extLst>
    </cfRule>
  </conditionalFormatting>
  <conditionalFormatting sqref="V8:V9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{6BA74D30-709D-46E3-ACA0-92A5C4F580BE}</x14:id>
        </ext>
      </extLst>
    </cfRule>
  </conditionalFormatting>
  <conditionalFormatting sqref="U8:U9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{48162B94-11FF-4620-B398-6F7513D31447}</x14:id>
        </ext>
      </extLst>
    </cfRule>
  </conditionalFormatting>
  <conditionalFormatting sqref="I8:I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{B4CB96AF-6EED-40EA-8504-C2618335B40B}</x14:id>
        </ext>
      </extLst>
    </cfRule>
  </conditionalFormatting>
  <conditionalFormatting sqref="T8:T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{74A1AEA8-838F-4CA3-95C8-E36046510F75}</x14:id>
        </ext>
      </extLst>
    </cfRule>
  </conditionalFormatting>
  <conditionalFormatting sqref="L8:M9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{C5861A2F-5E71-4BF0-9850-91248C343E60}</x14:id>
        </ext>
      </extLst>
    </cfRule>
  </conditionalFormatting>
  <conditionalFormatting sqref="T12:T13 T8:T9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{209BE4D0-3B64-4F4E-857B-30F7FEBA0CC0}</x14:id>
        </ext>
      </extLst>
    </cfRule>
  </conditionalFormatting>
  <conditionalFormatting sqref="I12:I13 I8:I9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{A38DDCB8-0EC8-40BB-9A87-384A13883B9E}</x14:id>
        </ext>
      </extLst>
    </cfRule>
  </conditionalFormatting>
  <conditionalFormatting sqref="T12:T13 T3 T8:T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{5E54C9A0-81DA-4047-81D1-1543BCDE7FA6}</x14:id>
        </ext>
      </extLst>
    </cfRule>
  </conditionalFormatting>
  <conditionalFormatting sqref="L12:L13 L8:L9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{E6D0ABAE-AE44-4366-BCF5-CCBE35E7733C}</x14:id>
        </ext>
      </extLst>
    </cfRule>
  </conditionalFormatting>
  <conditionalFormatting sqref="M8:M9 M12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{25621848-4C77-4ADD-9941-ABAB6B5FEB15}</x14:id>
        </ext>
      </extLst>
    </cfRule>
  </conditionalFormatting>
  <conditionalFormatting sqref="E34">
    <cfRule type="containsText" dxfId="22" priority="99" operator="containsText" text="Buy">
      <formula>NOT(ISERROR(SEARCH("Buy",E34)))</formula>
    </cfRule>
    <cfRule type="containsText" dxfId="21" priority="100" operator="containsText" text="Sell">
      <formula>NOT(ISERROR(SEARCH("Sell",E34)))</formula>
    </cfRule>
  </conditionalFormatting>
  <conditionalFormatting sqref="E33">
    <cfRule type="containsText" dxfId="20" priority="97" operator="containsText" text="Buy">
      <formula>NOT(ISERROR(SEARCH("Buy",E33)))</formula>
    </cfRule>
    <cfRule type="containsText" dxfId="19" priority="98" operator="containsText" text="Sell">
      <formula>NOT(ISERROR(SEARCH("Sell",E33)))</formula>
    </cfRule>
  </conditionalFormatting>
  <conditionalFormatting sqref="E42:E44">
    <cfRule type="containsText" dxfId="18" priority="95" operator="containsText" text="Buy">
      <formula>NOT(ISERROR(SEARCH("Buy",E42)))</formula>
    </cfRule>
    <cfRule type="containsText" dxfId="17" priority="96" operator="containsText" text="Sell">
      <formula>NOT(ISERROR(SEARCH("Sell",E42)))</formula>
    </cfRule>
  </conditionalFormatting>
  <conditionalFormatting sqref="T11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{FDB5E55B-E7D1-4233-B5A4-2206156CAE59}</x14:id>
        </ext>
      </extLst>
    </cfRule>
  </conditionalFormatting>
  <conditionalFormatting sqref="T11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{F92532A0-7A46-4347-AAA6-8F4D493C4899}</x14:id>
        </ext>
      </extLst>
    </cfRule>
  </conditionalFormatting>
  <conditionalFormatting sqref="T1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{E8080123-40D6-46E8-9C59-4D553A940FC8}</x14:id>
        </ext>
      </extLst>
    </cfRule>
  </conditionalFormatting>
  <conditionalFormatting sqref="U11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{CA05026E-3344-4730-8FAA-EE744414BD69}</x14:id>
        </ext>
      </extLst>
    </cfRule>
  </conditionalFormatting>
  <conditionalFormatting sqref="L11:M11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{D7023358-8843-4129-904E-FBBE5D4D5596}</x14:id>
        </ext>
      </extLst>
    </cfRule>
  </conditionalFormatting>
  <conditionalFormatting sqref="L11:M11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{BEAF1422-DF65-4F14-964B-0349A59CE0D0}</x14:id>
        </ext>
      </extLst>
    </cfRule>
  </conditionalFormatting>
  <conditionalFormatting sqref="L11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{7F882AAB-8068-4EF6-92F0-41F2269A9770}</x14:id>
        </ext>
      </extLst>
    </cfRule>
  </conditionalFormatting>
  <conditionalFormatting sqref="M11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{4BBAA522-E79F-4848-AE12-9CBF3A12EC5D}</x14:id>
        </ext>
      </extLst>
    </cfRule>
  </conditionalFormatting>
  <conditionalFormatting sqref="M11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{F0F49A78-31B6-4BA6-8316-08D2071B0B17}</x14:id>
        </ext>
      </extLst>
    </cfRule>
  </conditionalFormatting>
  <conditionalFormatting sqref="L11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{3B2424FE-59F8-4F21-ADFB-F1FF4FCEF4C4}</x14:id>
        </ext>
      </extLst>
    </cfRule>
  </conditionalFormatting>
  <conditionalFormatting sqref="M11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{3B254335-0A0A-4253-9CF6-C8089FECBDC1}</x14:id>
        </ext>
      </extLst>
    </cfRule>
  </conditionalFormatting>
  <conditionalFormatting sqref="L11:M11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{EC8680FB-EAE7-42FF-92EF-C973D753CBA5}</x14:id>
        </ext>
      </extLst>
    </cfRule>
  </conditionalFormatting>
  <conditionalFormatting sqref="T11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{18F30EB8-BDD7-4828-A2CE-A66A89AE2EFD}</x14:id>
        </ext>
      </extLst>
    </cfRule>
  </conditionalFormatting>
  <conditionalFormatting sqref="L11:M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{648A8653-3BC4-42D1-89A5-ED27A3F81171}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{246C7A1B-FA04-4D64-A860-97BC57F8BCBD}</x14:id>
        </ext>
      </extLst>
    </cfRule>
  </conditionalFormatting>
  <conditionalFormatting sqref="I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{22C9293B-9263-486B-ACE7-E5C7E32D442D}</x14:id>
        </ext>
      </extLst>
    </cfRule>
  </conditionalFormatting>
  <conditionalFormatting sqref="T11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{80D14FED-33BD-4F6A-A046-0563AED48F98}</x14:id>
        </ext>
      </extLst>
    </cfRule>
  </conditionalFormatting>
  <conditionalFormatting sqref="T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{4F842244-5B6A-47B9-9B38-FF61FECAED70}</x14:id>
        </ext>
      </extLst>
    </cfRule>
  </conditionalFormatting>
  <conditionalFormatting sqref="T11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{3A530FC0-7693-45F4-BFB8-F63EA45A6B4C}</x14:id>
        </ext>
      </extLst>
    </cfRule>
  </conditionalFormatting>
  <conditionalFormatting sqref="L11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{4CC74428-81F2-4C19-85C1-2151FBAD355A}</x14:id>
        </ext>
      </extLst>
    </cfRule>
  </conditionalFormatting>
  <conditionalFormatting sqref="I11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{DDE1823E-1BCF-4DBD-AA4D-10BE4D457049}</x14:id>
        </ext>
      </extLst>
    </cfRule>
  </conditionalFormatting>
  <conditionalFormatting sqref="L11:M1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{E24EAA8E-8FE9-47EA-A33C-4E39B3AC0F95}</x14:id>
        </ext>
      </extLst>
    </cfRule>
  </conditionalFormatting>
  <conditionalFormatting sqref="T11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{09A27EE8-C252-460F-A13F-32C9E3BBC3F1}</x14:id>
        </ext>
      </extLst>
    </cfRule>
  </conditionalFormatting>
  <conditionalFormatting sqref="L11:M11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{373BE465-F6D4-496E-A90D-0B5D261466A5}</x14:id>
        </ext>
      </extLst>
    </cfRule>
  </conditionalFormatting>
  <conditionalFormatting sqref="I11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{BD6F8DF8-453A-444D-8BA1-9F588476C83E}</x14:id>
        </ext>
      </extLst>
    </cfRule>
  </conditionalFormatting>
  <conditionalFormatting sqref="T11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{25D61A46-6D15-4FA3-A2B8-0206E5E8C383}</x14:id>
        </ext>
      </extLst>
    </cfRule>
  </conditionalFormatting>
  <conditionalFormatting sqref="I11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{71DB6603-2E6B-47B4-9BE9-0DA7B977B3B2}</x14:id>
        </ext>
      </extLst>
    </cfRule>
  </conditionalFormatting>
  <conditionalFormatting sqref="L11:M11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{5584C68C-DA3B-474C-AC3C-C34F719FE92A}</x14:id>
        </ext>
      </extLst>
    </cfRule>
  </conditionalFormatting>
  <conditionalFormatting sqref="T11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{889F4F6B-FE45-465D-89B4-175BAB0D931D}</x14:id>
        </ext>
      </extLst>
    </cfRule>
  </conditionalFormatting>
  <conditionalFormatting sqref="I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{9AADF0A3-6B37-4D00-9000-307D879E9509}</x14:id>
        </ext>
      </extLst>
    </cfRule>
  </conditionalFormatting>
  <conditionalFormatting sqref="L11:M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{94E94C88-6F99-4192-B396-84776346DAC1}</x14:id>
        </ext>
      </extLst>
    </cfRule>
  </conditionalFormatting>
  <conditionalFormatting sqref="T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{C748C4FC-C393-447E-B6AE-724BC71B5515}</x14:id>
        </ext>
      </extLst>
    </cfRule>
  </conditionalFormatting>
  <conditionalFormatting sqref="H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{7C14E590-0075-4F2B-8C36-B5A69406AE14}</x14:id>
        </ext>
      </extLst>
    </cfRule>
    <cfRule type="cellIs" dxfId="16" priority="62" operator="equal">
      <formula>1</formula>
    </cfRule>
  </conditionalFormatting>
  <conditionalFormatting sqref="I4:I5 I8:I13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{DE122641-D20B-4838-9389-74BBA669D473}</x14:id>
        </ext>
      </extLst>
    </cfRule>
  </conditionalFormatting>
  <conditionalFormatting sqref="L4:M5 L8:M13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{36096266-A240-419D-9A2A-91B5A6CE74FD}</x14:id>
        </ext>
      </extLst>
    </cfRule>
  </conditionalFormatting>
  <conditionalFormatting sqref="T4:T5 T8:T13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{DD4E40FE-A497-47EF-A21E-59A22B0197E2}</x14:id>
        </ext>
      </extLst>
    </cfRule>
  </conditionalFormatting>
  <conditionalFormatting sqref="L6:M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{25534613-AB4E-43F1-9509-E202DBFEA2A4}</x14:id>
        </ext>
      </extLst>
    </cfRule>
  </conditionalFormatting>
  <conditionalFormatting sqref="L6:M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{503103F7-E4EF-4868-BB0B-BC8B45440C06}</x14:id>
        </ext>
      </extLst>
    </cfRule>
  </conditionalFormatting>
  <conditionalFormatting sqref="L6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{FD14B8C7-BCD0-4AB8-95F3-A2420078B31B}</x14:id>
        </ext>
      </extLst>
    </cfRule>
  </conditionalFormatting>
  <conditionalFormatting sqref="M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{0AA775F8-A932-4AE0-A592-FE183240CE2B}</x14:id>
        </ext>
      </extLst>
    </cfRule>
  </conditionalFormatting>
  <conditionalFormatting sqref="L6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{082152CF-2B2E-4764-B305-7034627B2116}</x14:id>
        </ext>
      </extLst>
    </cfRule>
  </conditionalFormatting>
  <conditionalFormatting sqref="L6:M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{50A7CF88-2BA2-469B-B6D1-1038B1C9DDE7}</x14:id>
        </ext>
      </extLst>
    </cfRule>
  </conditionalFormatting>
  <conditionalFormatting sqref="L6:M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{EB29A9A3-45AD-4CD0-A555-2D45C6BFFBE2}</x14:id>
        </ext>
      </extLst>
    </cfRule>
  </conditionalFormatting>
  <conditionalFormatting sqref="L6:M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{03A7FBF3-6FB8-4491-BC27-2A0828C81B3B}</x14:id>
        </ext>
      </extLst>
    </cfRule>
  </conditionalFormatting>
  <conditionalFormatting sqref="L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{0EB9EFA2-6FC5-467C-AB44-2B6AB05B937B}</x14:id>
        </ext>
      </extLst>
    </cfRule>
  </conditionalFormatting>
  <conditionalFormatting sqref="V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{8450D2F0-CE93-4A7F-831E-95F7A0DCB262}</x14:id>
        </ext>
      </extLst>
    </cfRule>
  </conditionalFormatting>
  <conditionalFormatting sqref="U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{9755EB1D-6FE7-4F70-A7D1-67963E9FD932}</x14:id>
        </ext>
      </extLst>
    </cfRule>
  </conditionalFormatting>
  <conditionalFormatting sqref="I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{F75F4740-24BC-4FD7-B067-B58B159EA063}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{F26853AC-B6C3-4E08-8F99-FF44B49AA249}</x14:id>
        </ext>
      </extLst>
    </cfRule>
  </conditionalFormatting>
  <conditionalFormatting sqref="L6:M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{79BA741C-C3C1-4B17-8597-36F77F441B86}</x14:id>
        </ext>
      </extLst>
    </cfRule>
  </conditionalFormatting>
  <conditionalFormatting sqref="T6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{9E210121-8639-469D-AFF2-5F281F0DB1C5}</x14:id>
        </ext>
      </extLst>
    </cfRule>
  </conditionalFormatting>
  <conditionalFormatting sqref="I6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{AEE7B997-1059-424F-B50C-B3523D5D1B25}</x14:id>
        </ext>
      </extLst>
    </cfRule>
  </conditionalFormatting>
  <conditionalFormatting sqref="T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{A7F1E2F1-9307-46F6-8A2F-C106A5E2B2A9}</x14:id>
        </ext>
      </extLst>
    </cfRule>
  </conditionalFormatting>
  <conditionalFormatting sqref="L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{998CA85C-0583-43FA-8243-97388FB70734}</x14:id>
        </ext>
      </extLst>
    </cfRule>
  </conditionalFormatting>
  <conditionalFormatting sqref="M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{09208FE5-AFF1-40D5-9A4A-3A32882A4FAD}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{0C23B1B0-5592-4F54-B170-9DDC62C6C9F4}</x14:id>
        </ext>
      </extLst>
    </cfRule>
  </conditionalFormatting>
  <conditionalFormatting sqref="L6:M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{9F1599E3-2F19-4CFE-9419-A34D84E8E560}</x14:id>
        </ext>
      </extLst>
    </cfRule>
  </conditionalFormatting>
  <conditionalFormatting sqref="T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{00CFDB62-65AC-4695-9248-E563D14105DE}</x14:id>
        </ext>
      </extLst>
    </cfRule>
  </conditionalFormatting>
  <conditionalFormatting sqref="E46">
    <cfRule type="containsText" dxfId="15" priority="34" operator="containsText" text="Buy">
      <formula>NOT(ISERROR(SEARCH("Buy",E46)))</formula>
    </cfRule>
    <cfRule type="containsText" dxfId="14" priority="35" operator="containsText" text="Sell">
      <formula>NOT(ISERROR(SEARCH("Sell",E46)))</formula>
    </cfRule>
  </conditionalFormatting>
  <conditionalFormatting sqref="E45">
    <cfRule type="containsText" dxfId="13" priority="32" operator="containsText" text="Buy">
      <formula>NOT(ISERROR(SEARCH("Buy",E45)))</formula>
    </cfRule>
    <cfRule type="containsText" dxfId="12" priority="33" operator="containsText" text="Sell">
      <formula>NOT(ISERROR(SEARCH("Sell",E45)))</formula>
    </cfRule>
  </conditionalFormatting>
  <conditionalFormatting sqref="E49">
    <cfRule type="containsText" dxfId="11" priority="30" operator="containsText" text="Buy">
      <formula>NOT(ISERROR(SEARCH("Buy",E49)))</formula>
    </cfRule>
    <cfRule type="containsText" dxfId="10" priority="31" operator="containsText" text="Sell">
      <formula>NOT(ISERROR(SEARCH("Sell",E49)))</formula>
    </cfRule>
  </conditionalFormatting>
  <conditionalFormatting sqref="E48">
    <cfRule type="containsText" dxfId="9" priority="28" operator="containsText" text="Buy">
      <formula>NOT(ISERROR(SEARCH("Buy",E48)))</formula>
    </cfRule>
    <cfRule type="containsText" dxfId="8" priority="29" operator="containsText" text="Sell">
      <formula>NOT(ISERROR(SEARCH("Sell",E48)))</formula>
    </cfRule>
  </conditionalFormatting>
  <conditionalFormatting sqref="L7:M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{5F8CB59B-A898-446A-B80A-DC0B9985DF0A}</x14:id>
        </ext>
      </extLst>
    </cfRule>
  </conditionalFormatting>
  <conditionalFormatting sqref="L7:M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{00CBFB01-6B8B-46CC-BA66-573B8D60D0CE}</x14:id>
        </ext>
      </extLst>
    </cfRule>
  </conditionalFormatting>
  <conditionalFormatting sqref="L7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{08399F53-BD35-4644-A659-FE34CD8FD57D}</x14:id>
        </ext>
      </extLst>
    </cfRule>
  </conditionalFormatting>
  <conditionalFormatting sqref="M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{97E0BFE4-3CBB-4DC6-87DA-210D202B9999}</x14:id>
        </ext>
      </extLst>
    </cfRule>
  </conditionalFormatting>
  <conditionalFormatting sqref="L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{903DBE0A-0BC7-4901-91D4-2069DD3E7ACC}</x14:id>
        </ext>
      </extLst>
    </cfRule>
  </conditionalFormatting>
  <conditionalFormatting sqref="L7:M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{695C1B37-B294-49E9-A870-C690DA46091D}</x14:id>
        </ext>
      </extLst>
    </cfRule>
  </conditionalFormatting>
  <conditionalFormatting sqref="L7:M7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{F279FB96-7A5D-4378-9F87-D55D30597C21}</x14:id>
        </ext>
      </extLst>
    </cfRule>
  </conditionalFormatting>
  <conditionalFormatting sqref="L7: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{CDD191F5-BE70-49A0-99E9-B4F60F02CA41}</x14:id>
        </ext>
      </extLst>
    </cfRule>
  </conditionalFormatting>
  <conditionalFormatting sqref="L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{00AE806F-4B29-4774-853B-28075F45FF3D}</x14:id>
        </ext>
      </extLst>
    </cfRule>
  </conditionalFormatting>
  <conditionalFormatting sqref="V7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{870C40A5-4F59-4414-8D9B-E8A66A3B1261}</x14:id>
        </ext>
      </extLst>
    </cfRule>
  </conditionalFormatting>
  <conditionalFormatting sqref="U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{58C5CF9A-7190-4860-843B-4941DA1FDCDF}</x14:id>
        </ext>
      </extLst>
    </cfRule>
  </conditionalFormatting>
  <conditionalFormatting sqref="I7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{2A0AC949-2BC9-42A1-8F3F-DC06F3048484}</x14:id>
        </ext>
      </extLst>
    </cfRule>
  </conditionalFormatting>
  <conditionalFormatting sqref="T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{A0915776-D814-4873-8E86-3770F0833ADA}</x14:id>
        </ext>
      </extLst>
    </cfRule>
  </conditionalFormatting>
  <conditionalFormatting sqref="L7:M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{E553189C-AE34-4180-972A-B628E2AEB739}</x14:id>
        </ext>
      </extLst>
    </cfRule>
  </conditionalFormatting>
  <conditionalFormatting sqref="T7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{7FA8E06B-92F6-424C-AA55-C45239919C6E}</x14:id>
        </ext>
      </extLst>
    </cfRule>
  </conditionalFormatting>
  <conditionalFormatting sqref="I7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{FA131D7D-9E3A-4BBE-BC04-DC5E45995CE0}</x14:id>
        </ext>
      </extLst>
    </cfRule>
  </conditionalFormatting>
  <conditionalFormatting sqref="T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{D91C5508-F97E-4C42-81B3-5BA3DFD0DB58}</x14:id>
        </ext>
      </extLst>
    </cfRule>
  </conditionalFormatting>
  <conditionalFormatting sqref="L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{5191FEDD-F338-4DFB-B4F8-C51B74D888D0}</x14:id>
        </ext>
      </extLst>
    </cfRule>
  </conditionalFormatting>
  <conditionalFormatting sqref="M7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{7EBD5AAB-C144-444B-BB53-1F900510204A}</x14:id>
        </ext>
      </extLst>
    </cfRule>
  </conditionalFormatting>
  <conditionalFormatting sqref="I7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{D0773141-DDF6-4675-8F01-AA58AC0AE27A}</x14:id>
        </ext>
      </extLst>
    </cfRule>
  </conditionalFormatting>
  <conditionalFormatting sqref="L7:M7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{22570ECD-BD41-4E61-9497-74691218436C}</x14:id>
        </ext>
      </extLst>
    </cfRule>
  </conditionalFormatting>
  <conditionalFormatting sqref="T7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{47F263B9-DC47-47D5-B904-F21CEA8FEA19}</x14:id>
        </ext>
      </extLst>
    </cfRule>
  </conditionalFormatting>
  <conditionalFormatting sqref="E32">
    <cfRule type="containsText" dxfId="7" priority="3" operator="containsText" text="Buy">
      <formula>NOT(ISERROR(SEARCH("Buy",E32)))</formula>
    </cfRule>
    <cfRule type="containsText" dxfId="6" priority="4" operator="containsText" text="Sell">
      <formula>NOT(ISERROR(SEARCH("Sell",E32)))</formula>
    </cfRule>
  </conditionalFormatting>
  <conditionalFormatting sqref="E31">
    <cfRule type="containsText" dxfId="5" priority="1" operator="containsText" text="Buy">
      <formula>NOT(ISERROR(SEARCH("Buy",E31)))</formula>
    </cfRule>
    <cfRule type="containsText" dxfId="4" priority="2" operator="containsText" text="Sell">
      <formula>NOT(ISERROR(SEARCH("Sell",E31)))</formula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DA3696-B5D7-40C4-9AE9-206E9019F6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617FA66-161A-4C46-A6A1-28DA5D3A72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3F80AF81-2818-40B0-A575-314522502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4D8421F-4CA1-41EE-8689-36214D72AE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49F1F16-6B99-45ED-81B7-6FB4FA57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9BD9A03-59C0-4799-BB66-33F03EA5FE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445777F-D8AA-43E0-91E0-14D88ADEE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1736887-0390-44A4-B5B7-7505F7F21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4B0B0B3-DE14-4BDA-9682-AD09F32A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6D654567-FC4E-4235-93F6-A6DEC5C78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AA5258-697B-4BAF-825A-87E5AC8786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634183-8CEB-424E-8DC2-B575727DFD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E1854167-ECF8-4B44-94B7-26D5090000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EE3DF7A-C322-4593-93C6-27E283614A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EE8426C-75AF-42DC-8C86-61ECC523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ED0E432-1A29-48F1-AAEB-E8856D89C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33C222A-F2FA-4DEC-93B4-AC02DBF3E5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3DFCDC0-FE24-42CD-95D6-1C79ACA8E6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A69BCA8-4D9B-4F66-AA03-BA11E0139B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C9B12D-5B9B-4793-AF98-73FA493084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7B2DE17-40B4-4B83-8100-51FC4A43A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9B4CAF8A-1E59-44D8-ABCA-3288777F6A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9446276B-01AB-44B4-A8A8-63C09E03C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96BB1B9-00B0-4D24-9706-DA6BEAB4B8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F90AFCC-A9E9-4C68-8CB6-BC926986C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6915F84-E446-46BF-9FA3-09BE4F285B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CD6A1E-2754-4B2C-9FC9-579A0DD635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92CFC9D-9EEC-4223-A2CE-2A68046C57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0CDB1A6-4EA4-48C8-88DF-19D012F6E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37D7B83-9564-4D7F-85EB-651B26A36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3A818F1-048E-4541-89AF-9FB32114C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ABDAE58-24E2-49F6-A719-0A41C2DB01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3D023A2-4874-413E-A904-14E692F0BE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86811E9-18B9-4363-AAC8-8C0D1E6392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0FEC46-A964-4679-AC66-F17A9E6BD8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93EE5D4-43F2-4EC1-B43E-722170C3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0399266-DA9D-4710-AC87-51A2E008D1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A87230-F1CD-4080-9407-DF6B9FF63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280CE4A-AE38-4768-92D3-0C583DFF9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A31EE3-17E2-4510-849C-3250FB7AEB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8AE6C73C-A4B2-42BB-89CA-F1D5079AD6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6F358DF-7E45-405F-8129-EEC3B409D4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4438D-BFE2-4A85-8BBF-7031EAE67F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B7F389-88D4-4430-B689-6C1A5E4183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15F98C1-0D64-4B24-9E6F-14088E98D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6F8E46D9-6892-42C8-BFA2-D4EAEB18B8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B9D7E7-E015-4227-BA90-5FE41D686C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2234D92-05A9-4408-A188-6E56FC1467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B76074E-E89D-4538-A829-1B80EC024E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E307DCD-C897-41BB-AE66-6C27D4C010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AC5626B-E3CB-4F53-9A9F-8BD872FD0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46B2F18-5A83-41DC-9C76-791507EC0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A3CBA17-3632-425E-9E32-13C195C36D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6D7FD4B-1141-4DBC-91A1-94394F2CE9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0EE15A4-23B3-4677-A5FA-659CEF7EA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7742CDB-D898-4A51-9BC0-AF2FAD234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666A7C8-A8FF-4A91-A1EF-DD429286A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92DAB9B-747C-4FD6-9545-BFBB2FF491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41FECB1-02D6-4804-9D4E-E5414A0628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D5D0FF4-B286-4040-98CE-26CCC4261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7E7AB2A-CA57-4FD3-8A4C-DEEB88156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0774055-8893-4678-A547-7281130C3B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459A760-AA2B-49CB-9A9B-89319A2E62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471522D-0BAA-4772-93FD-70D0D8090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0D9921-8441-4002-91C8-34A42ACC2E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2D63CDA-91FD-4D9E-8301-780E4E279A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296CD63-B6E5-43B5-82ED-F7953505B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663D25-B84C-4C0E-89AE-EECB351A2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F8E0E179-A162-4B91-A357-F6FD3843D7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DE98343-F0FF-4C6F-9F70-F7D202789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823317B-0168-435A-83B7-970E877715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5B8E417-DD31-4CA1-B4E5-088F10F823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C426D82-9AC2-49BF-8BE3-00C127FF4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9BFB76-8E3C-405E-9317-B498487D5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8CC17E-383B-4D8B-B54F-9C1E0AFB7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E812A99C-D8D7-42DD-AA58-C8343F36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F7EE8C0A-B4BB-488A-AEFE-A2A2E05CDF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7C1BCC0-02FA-445F-91C2-4B2AD334FF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9330CD0-1E17-4A2B-A0AD-1CA705B9A0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FA5E240B-82C4-4C2B-9487-1012BB3DF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24EA5F1-CF75-4D9F-B860-1BF927B2C2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001587A-5DC4-4ADB-A802-D4CDBDCA04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8E10094-898E-4E1B-8F8C-7A44F4EAB3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0556311-20A5-470A-B79F-B39718DD2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9CFB4AF-2E45-4138-A801-D19F4B206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4CE9662-7C28-450B-B1F5-E490B6605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B17A77EA-D79B-4D40-9BB8-578C51422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6BA74D30-709D-46E3-ACA0-92A5C4F580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48162B94-11FF-4620-B398-6F7513D31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B4CB96AF-6EED-40EA-8504-C2618335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74A1AEA8-838F-4CA3-95C8-E36046510F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C5861A2F-5E71-4BF0-9850-91248C343E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209BE4D0-3B64-4F4E-857B-30F7FEBA0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A38DDCB8-0EC8-40BB-9A87-384A13883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5E54C9A0-81DA-4047-81D1-1543BCDE7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E6D0ABAE-AE44-4366-BCF5-CCBE35E77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25621848-4C77-4ADD-9941-ABAB6B5FE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FDB5E55B-E7D1-4233-B5A4-2206156CAE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92532A0-7A46-4347-AAA6-8F4D493C48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8080123-40D6-46E8-9C59-4D553A940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A05026E-3344-4730-8FAA-EE744414B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D7023358-8843-4129-904E-FBBE5D4D5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EAF1422-DF65-4F14-964B-0349A59CE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F882AAB-8068-4EF6-92F0-41F2269A97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BAA522-E79F-4848-AE12-9CBF3A12EC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F49A78-31B6-4BA6-8316-08D2071B0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B2424FE-59F8-4F21-ADFB-F1FF4FCEF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B254335-0A0A-4253-9CF6-C8089FECB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C8680FB-EAE7-42FF-92EF-C973D753C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8F30EB8-BDD7-4828-A2CE-A66A89AE2E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48A8653-3BC4-42D1-89A5-ED27A3F811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46C7A1B-FA04-4D64-A860-97BC57F8B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2C9293B-9263-486B-ACE7-E5C7E32D4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0D14FED-33BD-4F6A-A046-0563AED48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F842244-5B6A-47B9-9B38-FF61FECAE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A530FC0-7693-45F4-BFB8-F63EA45A6B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CC74428-81F2-4C19-85C1-2151FBAD3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DE1823E-1BCF-4DBD-AA4D-10BE4D4570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24EAA8E-8FE9-47EA-A33C-4E39B3AC0F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9A27EE8-C252-460F-A13F-32C9E3BBC3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73BE465-F6D4-496E-A90D-0B5D261466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D6F8DF8-453A-444D-8BA1-9F588476C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5D61A46-6D15-4FA3-A2B8-0206E5E8C3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1DB6603-2E6B-47B4-9BE9-0DA7B977B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584C68C-DA3B-474C-AC3C-C34F719FE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89F4F6B-FE45-465D-89B4-175BAB0D93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AADF0A3-6B37-4D00-9000-307D879E9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4E94C88-6F99-4192-B396-84776346DA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748C4FC-C393-447E-B6AE-724BC71B5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C14E590-0075-4F2B-8C36-B5A69406A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E122641-D20B-4838-9389-74BBA669D4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36096266-A240-419D-9A2A-91B5A6CE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DD4E40FE-A497-47EF-A21E-59A22B0197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25534613-AB4E-43F1-9509-E202DBFE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03103F7-E4EF-4868-BB0B-BC8B45440C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D14B8C7-BCD0-4AB8-95F3-A2420078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AA775F8-A932-4AE0-A592-FE183240CE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82152CF-2B2E-4764-B305-7034627B2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0A7CF88-2BA2-469B-B6D1-1038B1C9DD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B29A9A3-45AD-4CD0-A555-2D45C6BFFB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3A7FBF3-6FB8-4491-BC27-2A0828C81B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EB9EFA2-6FC5-467C-AB44-2B6AB05B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450D2F0-CE93-4A7F-831E-95F7A0DCB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55EB1D-6FE7-4F70-A7D1-67963E9FD9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75F4740-24BC-4FD7-B067-B58B159EA0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26853AC-B6C3-4E08-8F99-FF44B49AA2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9BA741C-C3C1-4B17-8597-36F77F441B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E210121-8639-469D-AFF2-5F281F0DB1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EE7B997-1059-424F-B50C-B3523D5D1B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F1E2F1-9307-46F6-8A2F-C106A5E2B2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98CA85C-0583-43FA-8243-97388FB707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208FE5-AFF1-40D5-9A4A-3A32882A4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C23B1B0-5592-4F54-B170-9DDC62C6C9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9F1599E3-2F19-4CFE-9419-A34D84E8E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0CFDB62-65AC-4695-9248-E563D14105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F8CB59B-A898-446A-B80A-DC0B9985D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CBFB01-6B8B-46CC-BA66-573B8D60D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8399F53-BD35-4644-A659-FE34CD8F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7E0BFE4-3CBB-4DC6-87DA-210D202B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03DBE0A-0BC7-4901-91D4-2069DD3E7A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95C1B37-B294-49E9-A870-C690DA4609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279FB96-7A5D-4378-9F87-D55D30597C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DD191F5-BE70-49A0-99E9-B4F60F02C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AE806F-4B29-4774-853B-28075F45F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70C40A5-4F59-4414-8D9B-E8A66A3B1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58C5CF9A-7190-4860-843B-4941DA1FDC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A0AC949-2BC9-42A1-8F3F-DC06F30484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0915776-D814-4873-8E86-3770F0833A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553189C-AE34-4180-972A-B628E2AEB7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FA8E06B-92F6-424C-AA55-C45239919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FA131D7D-9E3A-4BBE-BC04-DC5E45995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91C5508-F97E-4C42-81B3-5BA3DFD0D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191FEDD-F338-4DFB-B4F8-C51B74D888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BD5AAB-C144-444B-BB53-1F90051020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73141-DDF6-4675-8F01-AA58AC0AE2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2570ECD-BD41-4E61-9497-746912184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47F263B9-DC47-47D5-B904-F21CEA8FEA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iconSet" priority="177" id="{BB78A42A-86A2-4A68-991A-ECF0B5406B0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52" id="{4C3786EE-0D72-4CB9-A181-5C18C7CE97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14" id="{9AFD3D66-FA47-4089-94B8-4465BF136A5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220" id="{45DB24A4-ACC6-4AA5-A629-DB171AE178C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containsText" priority="60" operator="containsText" text="Buy" id="{EF0877B5-AF98-4586-A756-FE5D870DCC10}">
            <xm:f>NOT(ISERROR(SEARCH("Buy",'\Users\rnazimanov\Desktop\[Copy of ADVISORY RUSTAM 2.xlsx]Палочкин_PYUMF'!#REF!)))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61" operator="containsText" text="Sell" id="{B615C191-CC4A-4576-B21A-3655BA3668FE}">
            <xm:f>NOT(ISERROR(SEARCH("Sell",'\Users\rnazimanov\Desktop\[Copy of ADVISORY RUSTAM 2.xlsx]Палочкин_PYUMF'!#REF!)))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iconSet" priority="55" id="{FE263F59-4D59-473F-B539-6856638239B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4" id="{1476B789-5E3C-4C48-BCCE-B072D17A8AD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74"/>
    <col min="2" max="2" width="20.85546875" style="74" customWidth="1"/>
    <col min="3" max="3" width="48.42578125" style="74" customWidth="1"/>
    <col min="4" max="4" width="21.7109375" style="74" customWidth="1"/>
    <col min="5" max="5" width="23.7109375" style="74" customWidth="1"/>
    <col min="6" max="6" width="26.42578125" style="74" customWidth="1"/>
    <col min="7" max="7" width="48.42578125" style="74" customWidth="1"/>
    <col min="8" max="8" width="21.7109375" style="74" customWidth="1"/>
    <col min="9" max="9" width="53.42578125" style="74" customWidth="1"/>
    <col min="10" max="10" width="26.7109375" style="74" customWidth="1"/>
    <col min="11" max="11" width="15.85546875" style="74" customWidth="1"/>
    <col min="12" max="12" width="14.28515625" style="74" customWidth="1"/>
    <col min="13" max="13" width="14" style="74" customWidth="1"/>
    <col min="14" max="15" width="14.85546875" style="74" customWidth="1"/>
    <col min="16" max="18" width="14" style="74" customWidth="1"/>
    <col min="19" max="19" width="14.7109375" style="74" customWidth="1"/>
    <col min="20" max="20" width="13.42578125" style="74" customWidth="1"/>
    <col min="21" max="21" width="15.7109375" style="74" customWidth="1"/>
    <col min="22" max="22" width="15.28515625" style="74" customWidth="1"/>
    <col min="23" max="23" width="14.42578125" style="74" customWidth="1"/>
    <col min="24" max="24" width="18.28515625" style="74" customWidth="1"/>
    <col min="25" max="25" width="14.5703125" style="74" customWidth="1"/>
    <col min="26" max="26" width="14.85546875" style="74" customWidth="1"/>
    <col min="27" max="27" width="14.28515625" style="74" customWidth="1"/>
    <col min="28" max="28" width="13.28515625" style="74" customWidth="1"/>
    <col min="29" max="29" width="15.140625" style="74" customWidth="1"/>
    <col min="30" max="31" width="14" style="74" customWidth="1"/>
    <col min="32" max="32" width="14.5703125" style="74" customWidth="1"/>
    <col min="33" max="33" width="13.42578125" style="74" customWidth="1"/>
    <col min="34" max="34" width="14.28515625" style="74" customWidth="1"/>
    <col min="35" max="35" width="14.7109375" style="74" customWidth="1"/>
    <col min="36" max="36" width="15.5703125" style="74" customWidth="1"/>
    <col min="37" max="37" width="16" style="74" customWidth="1"/>
    <col min="38" max="38" width="15" style="74" customWidth="1"/>
    <col min="39" max="39" width="15.28515625" style="74" customWidth="1"/>
    <col min="40" max="40" width="14.7109375" style="74" customWidth="1"/>
    <col min="41" max="41" width="14.85546875" style="74" customWidth="1"/>
    <col min="42" max="42" width="15" style="74" customWidth="1"/>
    <col min="43" max="43" width="16.140625" style="74" customWidth="1"/>
    <col min="44" max="44" width="14.28515625" style="74" customWidth="1"/>
    <col min="45" max="45" width="15.140625" style="74" customWidth="1"/>
    <col min="46" max="46" width="15.28515625" style="74" customWidth="1"/>
    <col min="47" max="47" width="14.28515625" style="74" customWidth="1"/>
    <col min="48" max="48" width="13.85546875" style="74" customWidth="1"/>
    <col min="49" max="49" width="14.140625" style="74" customWidth="1"/>
    <col min="50" max="50" width="15" style="74" customWidth="1"/>
    <col min="51" max="51" width="14.5703125" style="74" customWidth="1"/>
    <col min="52" max="52" width="14.42578125" style="74" customWidth="1"/>
    <col min="53" max="53" width="14.28515625" style="74" customWidth="1"/>
    <col min="54" max="54" width="14.5703125" style="74" customWidth="1"/>
    <col min="55" max="55" width="19.28515625" style="74" customWidth="1"/>
    <col min="56" max="56" width="18.5703125" style="74" bestFit="1" customWidth="1"/>
    <col min="57" max="57" width="18.7109375" style="74" customWidth="1"/>
    <col min="58" max="58" width="18.7109375" style="74" bestFit="1" customWidth="1"/>
    <col min="59" max="59" width="18.85546875" style="74" customWidth="1"/>
    <col min="60" max="60" width="18.7109375" style="74" customWidth="1"/>
    <col min="61" max="61" width="19.5703125" style="74" customWidth="1"/>
    <col min="62" max="62" width="15.7109375" style="74" customWidth="1"/>
    <col min="63" max="63" width="14" style="74" customWidth="1"/>
    <col min="64" max="64" width="14.140625" style="74" customWidth="1"/>
    <col min="65" max="65" width="15.28515625" style="74" customWidth="1"/>
    <col min="66" max="66" width="18.28515625" style="74" customWidth="1"/>
    <col min="67" max="67" width="14" style="74" customWidth="1"/>
    <col min="68" max="68" width="15.85546875" style="74" customWidth="1"/>
    <col min="69" max="70" width="14.7109375" style="74" customWidth="1"/>
    <col min="71" max="71" width="15" style="74" customWidth="1"/>
    <col min="72" max="72" width="14.85546875" style="74" customWidth="1"/>
    <col min="73" max="73" width="20" style="74" bestFit="1" customWidth="1"/>
    <col min="74" max="74" width="12.85546875" style="74" customWidth="1"/>
    <col min="75" max="75" width="14.28515625" style="74" customWidth="1"/>
    <col min="76" max="83" width="19.140625" style="74" customWidth="1"/>
    <col min="84" max="84" width="19.7109375" style="74" customWidth="1"/>
    <col min="85" max="85" width="19.140625" style="74" bestFit="1" customWidth="1"/>
    <col min="86" max="86" width="19.140625" style="74" customWidth="1"/>
    <col min="87" max="87" width="19.140625" style="74" bestFit="1" customWidth="1"/>
    <col min="88" max="100" width="19.140625" style="74" customWidth="1"/>
    <col min="101" max="101" width="19.7109375" style="74" customWidth="1"/>
    <col min="102" max="117" width="19.140625" style="74" customWidth="1"/>
    <col min="118" max="118" width="19.140625" style="74" bestFit="1" customWidth="1"/>
    <col min="119" max="119" width="19.7109375" style="74" customWidth="1"/>
    <col min="120" max="120" width="19.140625" style="74" customWidth="1"/>
    <col min="121" max="121" width="14.85546875" style="74" customWidth="1"/>
    <col min="122" max="122" width="15" style="74" customWidth="1"/>
    <col min="123" max="123" width="12.85546875" style="74" customWidth="1"/>
    <col min="124" max="124" width="6.140625" style="74" customWidth="1"/>
    <col min="125" max="125" width="9.28515625" style="74" customWidth="1"/>
    <col min="126" max="126" width="6.5703125" style="74" customWidth="1"/>
    <col min="127" max="127" width="18.42578125" style="74" bestFit="1" customWidth="1"/>
    <col min="128" max="128" width="15.5703125" style="74" customWidth="1"/>
    <col min="129" max="129" width="6.42578125" style="74" customWidth="1"/>
    <col min="130" max="130" width="6.5703125" style="74" customWidth="1"/>
    <col min="131" max="131" width="18.7109375" style="74" bestFit="1" customWidth="1"/>
    <col min="132" max="132" width="16.42578125" style="74" bestFit="1" customWidth="1"/>
    <col min="133" max="133" width="6.85546875" style="74" customWidth="1"/>
    <col min="134" max="134" width="8.42578125" style="74" customWidth="1"/>
    <col min="135" max="135" width="12.42578125" style="74" bestFit="1" customWidth="1"/>
    <col min="136" max="136" width="6.140625" style="74" customWidth="1"/>
    <col min="137" max="137" width="6" style="74" customWidth="1"/>
    <col min="138" max="138" width="9.28515625" style="74" bestFit="1" customWidth="1"/>
    <col min="139" max="139" width="19.5703125" style="74" bestFit="1" customWidth="1"/>
    <col min="140" max="140" width="16.85546875" style="74" bestFit="1" customWidth="1"/>
    <col min="141" max="141" width="20" style="74" bestFit="1" customWidth="1"/>
    <col min="142" max="142" width="15.28515625" style="74" bestFit="1" customWidth="1"/>
    <col min="143" max="143" width="18.42578125" style="74" bestFit="1" customWidth="1"/>
    <col min="144" max="144" width="16.140625" style="74" bestFit="1" customWidth="1"/>
    <col min="145" max="145" width="19.28515625" style="74" bestFit="1" customWidth="1"/>
    <col min="146" max="146" width="16.5703125" style="74" bestFit="1" customWidth="1"/>
    <col min="147" max="147" width="6.85546875" style="74" customWidth="1"/>
    <col min="148" max="148" width="5.85546875" style="74" customWidth="1"/>
    <col min="149" max="149" width="6.42578125" style="74" customWidth="1"/>
    <col min="150" max="150" width="19.7109375" style="74" bestFit="1" customWidth="1"/>
    <col min="151" max="151" width="17.42578125" style="74" bestFit="1" customWidth="1"/>
    <col min="152" max="152" width="6.85546875" style="74" customWidth="1"/>
    <col min="153" max="153" width="8.42578125" style="74" customWidth="1"/>
    <col min="154" max="154" width="12.42578125" style="74" bestFit="1" customWidth="1"/>
    <col min="155" max="155" width="6.140625" style="74" customWidth="1"/>
    <col min="156" max="156" width="6.42578125" style="74" customWidth="1"/>
    <col min="157" max="157" width="9.28515625" style="74" bestFit="1" customWidth="1"/>
    <col min="158" max="158" width="6.5703125" style="74" customWidth="1"/>
    <col min="159" max="159" width="7.28515625" style="74" customWidth="1"/>
    <col min="160" max="160" width="20.5703125" style="74" bestFit="1" customWidth="1"/>
    <col min="161" max="161" width="17.85546875" style="74" bestFit="1" customWidth="1"/>
    <col min="162" max="162" width="21" style="74" bestFit="1" customWidth="1"/>
    <col min="163" max="163" width="16.85546875" style="74" bestFit="1" customWidth="1"/>
    <col min="164" max="164" width="7.28515625" style="74" customWidth="1"/>
    <col min="165" max="165" width="6.42578125" style="74" customWidth="1"/>
    <col min="166" max="166" width="7.140625" style="74" customWidth="1"/>
    <col min="167" max="167" width="6.5703125" style="74" customWidth="1"/>
    <col min="168" max="168" width="20" style="74" bestFit="1" customWidth="1"/>
    <col min="169" max="169" width="17.140625" style="74" bestFit="1" customWidth="1"/>
    <col min="170" max="170" width="20.28515625" style="74" bestFit="1" customWidth="1"/>
    <col min="171" max="171" width="16.5703125" style="74" bestFit="1" customWidth="1"/>
    <col min="172" max="172" width="6.85546875" style="74" customWidth="1"/>
    <col min="173" max="173" width="8.42578125" style="74" customWidth="1"/>
    <col min="174" max="174" width="12.42578125" style="74" bestFit="1" customWidth="1"/>
    <col min="175" max="176" width="7" style="74" customWidth="1"/>
    <col min="177" max="177" width="7.28515625" style="74" customWidth="1"/>
    <col min="178" max="178" width="6.42578125" style="74" customWidth="1"/>
    <col min="179" max="179" width="9.28515625" style="74" bestFit="1" customWidth="1"/>
    <col min="180" max="180" width="6.7109375" style="74" customWidth="1"/>
    <col min="181" max="181" width="6.5703125" style="74" customWidth="1"/>
    <col min="182" max="182" width="19.7109375" style="74" bestFit="1" customWidth="1"/>
    <col min="183" max="183" width="16.7109375" style="74" bestFit="1" customWidth="1"/>
    <col min="184" max="184" width="12.42578125" style="74" bestFit="1" customWidth="1"/>
    <col min="185" max="185" width="7" style="74" customWidth="1"/>
    <col min="186" max="186" width="9.28515625" style="74" bestFit="1" customWidth="1"/>
    <col min="187" max="187" width="19.85546875" style="74" bestFit="1" customWidth="1"/>
    <col min="188" max="188" width="16.85546875" style="74" bestFit="1" customWidth="1"/>
    <col min="189" max="189" width="20" style="74" bestFit="1" customWidth="1"/>
    <col min="190" max="190" width="18" style="74" bestFit="1" customWidth="1"/>
    <col min="191" max="191" width="21.140625" style="74" bestFit="1" customWidth="1"/>
    <col min="192" max="192" width="16.140625" style="74" bestFit="1" customWidth="1"/>
    <col min="193" max="193" width="6.5703125" style="74" customWidth="1"/>
    <col min="194" max="194" width="19.28515625" style="74" bestFit="1" customWidth="1"/>
    <col min="195" max="195" width="17" style="74" bestFit="1" customWidth="1"/>
    <col min="196" max="196" width="20.140625" style="74" bestFit="1" customWidth="1"/>
    <col min="197" max="197" width="17.140625" style="74" bestFit="1" customWidth="1"/>
    <col min="198" max="198" width="9.28515625" style="74" bestFit="1" customWidth="1"/>
    <col min="199" max="199" width="20.28515625" style="74" bestFit="1" customWidth="1"/>
    <col min="200" max="200" width="16.140625" style="74" bestFit="1" customWidth="1"/>
    <col min="201" max="201" width="19.28515625" style="74" bestFit="1" customWidth="1"/>
    <col min="202" max="202" width="15.7109375" style="74" bestFit="1" customWidth="1"/>
    <col min="203" max="203" width="18.85546875" style="74" bestFit="1" customWidth="1"/>
    <col min="204" max="204" width="16" style="74" bestFit="1" customWidth="1"/>
    <col min="205" max="205" width="6.42578125" style="74" customWidth="1"/>
    <col min="206" max="206" width="6.5703125" style="74" customWidth="1"/>
    <col min="207" max="207" width="19.140625" style="74" bestFit="1" customWidth="1"/>
    <col min="208" max="208" width="16.85546875" style="74" bestFit="1" customWidth="1"/>
    <col min="209" max="209" width="20" style="74" bestFit="1" customWidth="1"/>
    <col min="210" max="210" width="16.28515625" style="74" bestFit="1" customWidth="1"/>
    <col min="211" max="211" width="7.28515625" style="74" customWidth="1"/>
    <col min="212" max="212" width="9.28515625" style="74" bestFit="1" customWidth="1"/>
    <col min="213" max="213" width="6.5703125" style="74" customWidth="1"/>
    <col min="214" max="214" width="19.42578125" style="74" bestFit="1" customWidth="1"/>
    <col min="215" max="215" width="16.28515625" style="74" bestFit="1" customWidth="1"/>
    <col min="216" max="216" width="6.140625" style="74" customWidth="1"/>
    <col min="217" max="217" width="6.7109375" style="74" customWidth="1"/>
    <col min="218" max="218" width="19.42578125" style="74" bestFit="1" customWidth="1"/>
    <col min="219" max="219" width="16.7109375" style="74" bestFit="1" customWidth="1"/>
    <col min="220" max="220" width="19.85546875" style="74" bestFit="1" customWidth="1"/>
    <col min="221" max="221" width="16.140625" style="74" bestFit="1" customWidth="1"/>
    <col min="222" max="222" width="19.28515625" style="74" bestFit="1" customWidth="1"/>
    <col min="223" max="223" width="16.42578125" style="74" bestFit="1" customWidth="1"/>
    <col min="224" max="224" width="8.42578125" style="74" customWidth="1"/>
    <col min="225" max="225" width="12.42578125" style="74" bestFit="1" customWidth="1"/>
    <col min="226" max="226" width="6.140625" style="74" customWidth="1"/>
    <col min="227" max="227" width="6.42578125" style="74" customWidth="1"/>
    <col min="228" max="228" width="9.28515625" style="74" bestFit="1" customWidth="1"/>
    <col min="229" max="229" width="7.28515625" style="74" customWidth="1"/>
    <col min="230" max="230" width="19.5703125" style="74" bestFit="1" customWidth="1"/>
    <col min="231" max="231" width="20.7109375" style="74" bestFit="1" customWidth="1"/>
    <col min="232" max="232" width="23.85546875" style="74" bestFit="1" customWidth="1"/>
    <col min="233" max="233" width="20.28515625" style="74" bestFit="1" customWidth="1"/>
    <col min="234" max="234" width="23.42578125" style="74" bestFit="1" customWidth="1"/>
    <col min="235" max="235" width="20.5703125" style="74" bestFit="1" customWidth="1"/>
    <col min="236" max="236" width="23.7109375" style="74" bestFit="1" customWidth="1"/>
    <col min="237" max="237" width="20.28515625" style="74" bestFit="1" customWidth="1"/>
    <col min="238" max="238" width="23.42578125" style="74" bestFit="1" customWidth="1"/>
    <col min="239" max="239" width="20.28515625" style="74" bestFit="1" customWidth="1"/>
    <col min="240" max="240" width="9" style="74" customWidth="1"/>
    <col min="241" max="241" width="23.42578125" style="74" bestFit="1" customWidth="1"/>
    <col min="242" max="242" width="20.42578125" style="74" bestFit="1" customWidth="1"/>
    <col min="243" max="243" width="23.5703125" style="74" bestFit="1" customWidth="1"/>
    <col min="244" max="244" width="21" style="74" bestFit="1" customWidth="1"/>
    <col min="245" max="245" width="24.140625" style="74" bestFit="1" customWidth="1"/>
    <col min="246" max="246" width="17.5703125" style="74" bestFit="1" customWidth="1"/>
    <col min="247" max="247" width="6.85546875" style="74" customWidth="1"/>
    <col min="248" max="248" width="8.42578125" style="74" customWidth="1"/>
    <col min="249" max="249" width="7" style="74" customWidth="1"/>
    <col min="250" max="250" width="6.42578125" style="74" customWidth="1"/>
    <col min="251" max="251" width="9.28515625" style="74" bestFit="1" customWidth="1"/>
    <col min="252" max="252" width="6.7109375" style="74" customWidth="1"/>
    <col min="253" max="253" width="7.140625" style="74" customWidth="1"/>
    <col min="254" max="254" width="6.5703125" style="74" customWidth="1"/>
    <col min="255" max="255" width="7.28515625" style="74" customWidth="1"/>
    <col min="256" max="256" width="20.7109375" style="74" bestFit="1" customWidth="1"/>
    <col min="257" max="257" width="15.140625" style="74" bestFit="1" customWidth="1"/>
    <col min="258" max="258" width="18.28515625" style="74" bestFit="1" customWidth="1"/>
    <col min="259" max="259" width="16" style="74" bestFit="1" customWidth="1"/>
    <col min="260" max="260" width="9.28515625" style="74" bestFit="1" customWidth="1"/>
    <col min="261" max="261" width="19.140625" style="74" bestFit="1" customWidth="1"/>
    <col min="262" max="262" width="17.140625" style="74" bestFit="1" customWidth="1"/>
    <col min="263" max="263" width="7" style="74" customWidth="1"/>
    <col min="264" max="264" width="20.28515625" style="74" bestFit="1" customWidth="1"/>
    <col min="265" max="265" width="20.140625" style="74" bestFit="1" customWidth="1"/>
    <col min="266" max="266" width="23.28515625" style="74" bestFit="1" customWidth="1"/>
    <col min="267" max="267" width="15.85546875" style="74" bestFit="1" customWidth="1"/>
    <col min="268" max="268" width="7" style="74" customWidth="1"/>
    <col min="269" max="269" width="6" style="74" customWidth="1"/>
    <col min="270" max="270" width="9.28515625" style="74" bestFit="1" customWidth="1"/>
    <col min="271" max="271" width="6.7109375" style="74" customWidth="1"/>
    <col min="272" max="272" width="19" style="74" bestFit="1" customWidth="1"/>
    <col min="273" max="273" width="17.7109375" style="74" bestFit="1" customWidth="1"/>
    <col min="274" max="274" width="7" style="74" customWidth="1"/>
    <col min="275" max="275" width="6" style="74" customWidth="1"/>
    <col min="276" max="276" width="9.28515625" style="74" bestFit="1" customWidth="1"/>
    <col min="277" max="277" width="20.85546875" style="74" bestFit="1" customWidth="1"/>
    <col min="278" max="278" width="16.5703125" style="74" bestFit="1" customWidth="1"/>
    <col min="279" max="279" width="19.7109375" style="74" bestFit="1" customWidth="1"/>
    <col min="280" max="280" width="16.5703125" style="74" bestFit="1" customWidth="1"/>
    <col min="281" max="281" width="19.7109375" style="74" bestFit="1" customWidth="1"/>
    <col min="282" max="282" width="16.85546875" style="74" bestFit="1" customWidth="1"/>
    <col min="283" max="283" width="6.140625" style="74" customWidth="1"/>
    <col min="284" max="284" width="9.28515625" style="74" bestFit="1" customWidth="1"/>
    <col min="285" max="285" width="6.7109375" style="74" customWidth="1"/>
    <col min="286" max="286" width="20" style="74" bestFit="1" customWidth="1"/>
    <col min="287" max="287" width="16.7109375" style="74" bestFit="1" customWidth="1"/>
    <col min="288" max="288" width="8.42578125" style="74" customWidth="1"/>
    <col min="289" max="289" width="12.42578125" style="74" bestFit="1" customWidth="1"/>
    <col min="290" max="290" width="6.42578125" style="74" customWidth="1"/>
    <col min="291" max="291" width="7" style="74" customWidth="1"/>
    <col min="292" max="292" width="7.28515625" style="74" customWidth="1"/>
    <col min="293" max="293" width="19.85546875" style="74" bestFit="1" customWidth="1"/>
    <col min="294" max="294" width="21.28515625" style="74" bestFit="1" customWidth="1"/>
    <col min="295" max="295" width="24.42578125" style="74" bestFit="1" customWidth="1"/>
    <col min="296" max="296" width="16.28515625" style="74" bestFit="1" customWidth="1"/>
    <col min="297" max="297" width="19.42578125" style="74" bestFit="1" customWidth="1"/>
    <col min="298" max="298" width="14.7109375" style="74" bestFit="1" customWidth="1"/>
    <col min="299" max="299" width="8.42578125" style="74" customWidth="1"/>
    <col min="300" max="300" width="7" style="74" customWidth="1"/>
    <col min="301" max="301" width="9.28515625" style="74" bestFit="1" customWidth="1"/>
    <col min="302" max="302" width="7.140625" style="74" customWidth="1"/>
    <col min="303" max="303" width="6.5703125" style="74" customWidth="1"/>
    <col min="304" max="304" width="18" style="74" bestFit="1" customWidth="1"/>
    <col min="305" max="305" width="16.140625" style="74" bestFit="1" customWidth="1"/>
    <col min="306" max="306" width="9.28515625" style="74" bestFit="1" customWidth="1"/>
    <col min="307" max="307" width="19.28515625" style="74" bestFit="1" customWidth="1"/>
    <col min="308" max="308" width="19.85546875" style="74" bestFit="1" customWidth="1"/>
    <col min="309" max="309" width="23" style="74" bestFit="1" customWidth="1"/>
    <col min="310" max="310" width="19.85546875" style="74" bestFit="1" customWidth="1"/>
    <col min="311" max="311" width="23" style="74" bestFit="1" customWidth="1"/>
    <col min="312" max="312" width="19.85546875" style="74" bestFit="1" customWidth="1"/>
    <col min="313" max="313" width="23" style="74" bestFit="1" customWidth="1"/>
    <col min="314" max="314" width="19.85546875" style="74" bestFit="1" customWidth="1"/>
    <col min="315" max="315" width="8" style="74" customWidth="1"/>
    <col min="316" max="316" width="7" style="74" customWidth="1"/>
    <col min="317" max="317" width="7.28515625" style="74" customWidth="1"/>
    <col min="318" max="318" width="7.42578125" style="74" customWidth="1"/>
    <col min="319" max="319" width="23" style="74" bestFit="1" customWidth="1"/>
    <col min="320" max="320" width="19.85546875" style="74" bestFit="1" customWidth="1"/>
    <col min="321" max="321" width="23" style="74" bestFit="1" customWidth="1"/>
    <col min="322" max="322" width="19.85546875" style="74" bestFit="1" customWidth="1"/>
    <col min="323" max="323" width="8" style="74" customWidth="1"/>
    <col min="324" max="324" width="7.28515625" style="74" customWidth="1"/>
    <col min="325" max="325" width="23" style="74" bestFit="1" customWidth="1"/>
    <col min="326" max="326" width="19.85546875" style="74" bestFit="1" customWidth="1"/>
    <col min="327" max="327" width="7.28515625" style="74" customWidth="1"/>
    <col min="328" max="328" width="23" style="74" bestFit="1" customWidth="1"/>
    <col min="329" max="329" width="19.85546875" style="74" bestFit="1" customWidth="1"/>
    <col min="330" max="330" width="8" style="74" customWidth="1"/>
    <col min="331" max="331" width="23" style="74" bestFit="1" customWidth="1"/>
    <col min="332" max="332" width="20.28515625" style="74" bestFit="1" customWidth="1"/>
    <col min="333" max="333" width="23.42578125" style="74" bestFit="1" customWidth="1"/>
    <col min="334" max="334" width="19.85546875" style="74" bestFit="1" customWidth="1"/>
    <col min="335" max="335" width="23" style="74" bestFit="1" customWidth="1"/>
    <col min="336" max="336" width="19.85546875" style="74" bestFit="1" customWidth="1"/>
    <col min="337" max="338" width="7" style="74" customWidth="1"/>
    <col min="339" max="339" width="7.42578125" style="74" customWidth="1"/>
    <col min="340" max="340" width="23" style="74" bestFit="1" customWidth="1"/>
    <col min="341" max="341" width="19.85546875" style="74" bestFit="1" customWidth="1"/>
    <col min="342" max="342" width="23" style="74" bestFit="1" customWidth="1"/>
    <col min="343" max="343" width="19.85546875" style="74" bestFit="1" customWidth="1"/>
    <col min="344" max="344" width="23" style="74" bestFit="1" customWidth="1"/>
    <col min="345" max="345" width="19.85546875" style="74" bestFit="1" customWidth="1"/>
    <col min="346" max="346" width="23" style="74" bestFit="1" customWidth="1"/>
    <col min="347" max="347" width="19.85546875" style="74" bestFit="1" customWidth="1"/>
    <col min="348" max="348" width="23" style="74" bestFit="1" customWidth="1"/>
    <col min="349" max="349" width="19.85546875" style="74" bestFit="1" customWidth="1"/>
    <col min="350" max="350" width="23" style="74" bestFit="1" customWidth="1"/>
    <col min="351" max="351" width="19.85546875" style="74" bestFit="1" customWidth="1"/>
    <col min="352" max="352" width="7.28515625" style="74" customWidth="1"/>
    <col min="353" max="353" width="23" style="74" bestFit="1" customWidth="1"/>
    <col min="354" max="354" width="19.85546875" style="74" bestFit="1" customWidth="1"/>
    <col min="355" max="355" width="23" style="74" bestFit="1" customWidth="1"/>
    <col min="356" max="356" width="19.85546875" style="74" bestFit="1" customWidth="1"/>
    <col min="357" max="357" width="23" style="74" bestFit="1" customWidth="1"/>
    <col min="358" max="358" width="19.85546875" style="74" bestFit="1" customWidth="1"/>
    <col min="359" max="359" width="8" style="74" customWidth="1"/>
    <col min="360" max="360" width="9.28515625" style="74" bestFit="1" customWidth="1"/>
    <col min="361" max="361" width="23" style="74" bestFit="1" customWidth="1"/>
    <col min="362" max="362" width="19.85546875" style="74" bestFit="1" customWidth="1"/>
    <col min="363" max="363" width="8" style="74" customWidth="1"/>
    <col min="364" max="364" width="9.28515625" style="74" bestFit="1" customWidth="1"/>
    <col min="365" max="365" width="23" style="74" bestFit="1" customWidth="1"/>
    <col min="366" max="366" width="19.85546875" style="74" bestFit="1" customWidth="1"/>
    <col min="367" max="367" width="23" style="74" bestFit="1" customWidth="1"/>
    <col min="368" max="368" width="19.85546875" style="74" bestFit="1" customWidth="1"/>
    <col min="369" max="369" width="8" style="74" customWidth="1"/>
    <col min="370" max="370" width="23" style="74" bestFit="1" customWidth="1"/>
    <col min="371" max="371" width="19.85546875" style="74" bestFit="1" customWidth="1"/>
    <col min="372" max="372" width="23" style="74" bestFit="1" customWidth="1"/>
    <col min="373" max="373" width="19.85546875" style="74" bestFit="1" customWidth="1"/>
    <col min="374" max="374" width="23" style="74" bestFit="1" customWidth="1"/>
    <col min="375" max="375" width="20.28515625" style="74" bestFit="1" customWidth="1"/>
    <col min="376" max="376" width="23.42578125" style="74" bestFit="1" customWidth="1"/>
    <col min="377" max="377" width="19.85546875" style="74" bestFit="1" customWidth="1"/>
    <col min="378" max="378" width="23" style="74" bestFit="1" customWidth="1"/>
    <col min="379" max="379" width="19.85546875" style="74" bestFit="1" customWidth="1"/>
    <col min="380" max="380" width="23" style="74" bestFit="1" customWidth="1"/>
    <col min="381" max="381" width="19.85546875" style="74" bestFit="1" customWidth="1"/>
    <col min="382" max="382" width="23" style="74" bestFit="1" customWidth="1"/>
    <col min="383" max="383" width="19.85546875" style="74" bestFit="1" customWidth="1"/>
    <col min="384" max="384" width="23" style="74" bestFit="1" customWidth="1"/>
    <col min="385" max="385" width="19.85546875" style="74" bestFit="1" customWidth="1"/>
    <col min="386" max="386" width="7" style="74" customWidth="1"/>
    <col min="387" max="387" width="7.28515625" style="74" customWidth="1"/>
    <col min="388" max="388" width="23" style="74" bestFit="1" customWidth="1"/>
    <col min="389" max="389" width="19.85546875" style="74" bestFit="1" customWidth="1"/>
    <col min="390" max="390" width="12.42578125" style="74" bestFit="1" customWidth="1"/>
    <col min="391" max="391" width="8" style="74" customWidth="1"/>
    <col min="392" max="392" width="7" style="74" customWidth="1"/>
    <col min="393" max="393" width="7.28515625" style="74" customWidth="1"/>
    <col min="394" max="394" width="23" style="74" bestFit="1" customWidth="1"/>
    <col min="395" max="395" width="19.85546875" style="74" bestFit="1" customWidth="1"/>
    <col min="396" max="397" width="8" style="74" customWidth="1"/>
    <col min="398" max="398" width="7.28515625" style="74" customWidth="1"/>
    <col min="399" max="399" width="23" style="74" bestFit="1" customWidth="1"/>
    <col min="400" max="400" width="19.85546875" style="74" bestFit="1" customWidth="1"/>
    <col min="401" max="401" width="23" style="74" bestFit="1" customWidth="1"/>
    <col min="402" max="402" width="19.85546875" style="74" bestFit="1" customWidth="1"/>
    <col min="403" max="403" width="7" style="74" customWidth="1"/>
    <col min="404" max="404" width="8" style="74" customWidth="1"/>
    <col min="405" max="405" width="9.28515625" style="74" bestFit="1" customWidth="1"/>
    <col min="406" max="406" width="23" style="74" bestFit="1" customWidth="1"/>
    <col min="407" max="407" width="19.85546875" style="74" bestFit="1" customWidth="1"/>
    <col min="408" max="408" width="23" style="74" bestFit="1" customWidth="1"/>
    <col min="409" max="409" width="19.85546875" style="74" bestFit="1" customWidth="1"/>
    <col min="410" max="410" width="23" style="74" bestFit="1" customWidth="1"/>
    <col min="411" max="411" width="19.85546875" style="74" bestFit="1" customWidth="1"/>
    <col min="412" max="412" width="23" style="74" bestFit="1" customWidth="1"/>
    <col min="413" max="413" width="19.85546875" style="74" bestFit="1" customWidth="1"/>
    <col min="414" max="414" width="23" style="74" bestFit="1" customWidth="1"/>
    <col min="415" max="415" width="19.85546875" style="74" bestFit="1" customWidth="1"/>
    <col min="416" max="416" width="8" style="74" customWidth="1"/>
    <col min="417" max="417" width="9.28515625" style="74" bestFit="1" customWidth="1"/>
    <col min="418" max="418" width="23" style="74" bestFit="1" customWidth="1"/>
    <col min="419" max="419" width="19.85546875" style="74" bestFit="1" customWidth="1"/>
    <col min="420" max="420" width="7" style="74" customWidth="1"/>
    <col min="421" max="421" width="7.28515625" style="74" customWidth="1"/>
    <col min="422" max="422" width="23" style="74" bestFit="1" customWidth="1"/>
    <col min="423" max="423" width="19.85546875" style="74" bestFit="1" customWidth="1"/>
    <col min="424" max="424" width="7" style="74" customWidth="1"/>
    <col min="425" max="426" width="8" style="74" customWidth="1"/>
    <col min="427" max="427" width="9.28515625" style="74" bestFit="1" customWidth="1"/>
    <col min="428" max="428" width="23" style="74" bestFit="1" customWidth="1"/>
    <col min="429" max="429" width="19.85546875" style="74" bestFit="1" customWidth="1"/>
    <col min="430" max="430" width="7" style="74" customWidth="1"/>
    <col min="431" max="431" width="23" style="74" bestFit="1" customWidth="1"/>
    <col min="432" max="432" width="20.28515625" style="74" bestFit="1" customWidth="1"/>
    <col min="433" max="433" width="23.42578125" style="74" bestFit="1" customWidth="1"/>
    <col min="434" max="434" width="19.85546875" style="74" bestFit="1" customWidth="1"/>
    <col min="435" max="435" width="7" style="74" customWidth="1"/>
    <col min="436" max="436" width="23" style="74" bestFit="1" customWidth="1"/>
    <col min="437" max="437" width="16.7109375" style="74" bestFit="1" customWidth="1"/>
    <col min="438" max="438" width="8.42578125" style="74" customWidth="1"/>
    <col min="439" max="439" width="12.42578125" style="74" bestFit="1" customWidth="1"/>
    <col min="440" max="440" width="6.42578125" style="74" customWidth="1"/>
    <col min="441" max="441" width="6.7109375" style="74" customWidth="1"/>
    <col min="442" max="442" width="7.28515625" style="74" customWidth="1"/>
    <col min="443" max="443" width="19.85546875" style="74" bestFit="1" customWidth="1"/>
    <col min="444" max="444" width="16.85546875" style="74" bestFit="1" customWidth="1"/>
    <col min="445" max="445" width="6.140625" style="74" customWidth="1"/>
    <col min="446" max="446" width="7.28515625" style="74" customWidth="1"/>
    <col min="447" max="447" width="6" style="74" customWidth="1"/>
    <col min="448" max="448" width="9.28515625" style="74" bestFit="1" customWidth="1"/>
    <col min="449" max="449" width="20" style="74" bestFit="1" customWidth="1"/>
    <col min="450" max="450" width="11.28515625" style="74" bestFit="1" customWidth="1"/>
    <col min="451" max="16384" width="9.140625" style="74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115" t="s">
        <v>87</v>
      </c>
      <c r="C3" s="74" t="s">
        <v>448</v>
      </c>
    </row>
    <row r="5" spans="2:10" x14ac:dyDescent="0.25">
      <c r="B5" s="115" t="s">
        <v>445</v>
      </c>
      <c r="C5" s="74" t="s">
        <v>449</v>
      </c>
      <c r="D5" s="121" t="s">
        <v>451</v>
      </c>
      <c r="E5" s="120" t="s">
        <v>446</v>
      </c>
      <c r="F5"/>
      <c r="G5"/>
      <c r="H5"/>
      <c r="I5"/>
      <c r="J5"/>
    </row>
    <row r="6" spans="2:10" x14ac:dyDescent="0.25">
      <c r="B6" s="116" t="s">
        <v>54</v>
      </c>
      <c r="C6" s="117">
        <v>1</v>
      </c>
      <c r="D6" s="121">
        <v>-336231.5274518439</v>
      </c>
      <c r="E6" s="120">
        <v>0.17316383172512406</v>
      </c>
      <c r="F6"/>
      <c r="G6"/>
      <c r="H6"/>
      <c r="I6"/>
      <c r="J6"/>
    </row>
    <row r="7" spans="2:10" x14ac:dyDescent="0.25">
      <c r="B7" s="119" t="s">
        <v>258</v>
      </c>
      <c r="C7" s="117">
        <v>0.83333333333333326</v>
      </c>
      <c r="D7" s="121">
        <v>-422971.68408876023</v>
      </c>
      <c r="E7" s="120">
        <v>0.10795556684010589</v>
      </c>
      <c r="F7"/>
      <c r="G7"/>
      <c r="H7"/>
      <c r="I7"/>
      <c r="J7"/>
    </row>
    <row r="8" spans="2:10" x14ac:dyDescent="0.25">
      <c r="B8" s="119" t="s">
        <v>250</v>
      </c>
      <c r="C8" s="117">
        <v>0.16666666666666666</v>
      </c>
      <c r="D8" s="121">
        <v>-36750.918538520586</v>
      </c>
      <c r="E8" s="120">
        <v>6.5208264885018158E-2</v>
      </c>
      <c r="F8"/>
      <c r="G8"/>
      <c r="H8"/>
      <c r="I8"/>
      <c r="J8"/>
    </row>
    <row r="9" spans="2:10" x14ac:dyDescent="0.25">
      <c r="B9" s="116" t="s">
        <v>447</v>
      </c>
      <c r="C9" s="117">
        <v>1</v>
      </c>
      <c r="D9" s="121">
        <v>-336231.5274518439</v>
      </c>
      <c r="E9" s="120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118"/>
      <c r="E22" s="118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118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74" bestFit="1" customWidth="1"/>
    <col min="2" max="2" width="14.28515625" style="74" bestFit="1" customWidth="1"/>
    <col min="3" max="3" width="16.28515625" style="74" bestFit="1" customWidth="1"/>
    <col min="4" max="4" width="14.5703125" style="74" bestFit="1" customWidth="1"/>
    <col min="5" max="5" width="15.28515625" style="74" bestFit="1" customWidth="1"/>
    <col min="6" max="6" width="15.140625" style="74" bestFit="1" customWidth="1"/>
    <col min="7" max="7" width="15.28515625" style="74" bestFit="1" customWidth="1"/>
    <col min="8" max="8" width="11.7109375" style="74" customWidth="1"/>
    <col min="9" max="9" width="25.5703125" style="74" bestFit="1" customWidth="1"/>
    <col min="10" max="10" width="25.140625" style="74" customWidth="1"/>
    <col min="11" max="11" width="26.28515625" style="74" customWidth="1"/>
    <col min="12" max="12" width="13.28515625" style="74" customWidth="1"/>
    <col min="13" max="13" width="12.85546875" style="74" customWidth="1"/>
    <col min="14" max="14" width="13.7109375" style="74" bestFit="1" customWidth="1"/>
    <col min="15" max="15" width="20" style="74" customWidth="1"/>
    <col min="16" max="16" width="14.7109375" style="74" bestFit="1" customWidth="1"/>
    <col min="17" max="17" width="23.42578125" style="74" hidden="1" customWidth="1"/>
    <col min="18" max="18" width="18.85546875" style="74" hidden="1" customWidth="1"/>
    <col min="19" max="19" width="16.7109375" style="74" hidden="1" customWidth="1"/>
    <col min="20" max="20" width="15.5703125" style="74" hidden="1" customWidth="1"/>
    <col min="21" max="16384" width="9.28515625" style="74"/>
  </cols>
  <sheetData>
    <row r="1" spans="1:20" ht="21.75" thickBot="1" x14ac:dyDescent="0.4">
      <c r="A1" s="114" t="s">
        <v>438</v>
      </c>
      <c r="D1" s="257" t="s">
        <v>437</v>
      </c>
      <c r="E1" s="258"/>
      <c r="F1" s="259" t="s">
        <v>436</v>
      </c>
      <c r="G1" s="260"/>
    </row>
    <row r="2" spans="1:20" ht="15.75" x14ac:dyDescent="0.25">
      <c r="A2" s="113" t="s">
        <v>435</v>
      </c>
      <c r="B2" s="111" t="s">
        <v>434</v>
      </c>
      <c r="C2" s="111" t="s">
        <v>433</v>
      </c>
      <c r="D2" s="111" t="s">
        <v>432</v>
      </c>
      <c r="E2" s="111" t="s">
        <v>430</v>
      </c>
      <c r="F2" s="111" t="s">
        <v>431</v>
      </c>
      <c r="G2" s="111" t="s">
        <v>430</v>
      </c>
      <c r="H2" s="111" t="s">
        <v>429</v>
      </c>
      <c r="I2" s="112" t="s">
        <v>428</v>
      </c>
      <c r="J2" s="111" t="s">
        <v>427</v>
      </c>
      <c r="K2" s="111" t="s">
        <v>426</v>
      </c>
      <c r="L2" s="111" t="s">
        <v>87</v>
      </c>
      <c r="M2" s="111" t="s">
        <v>425</v>
      </c>
      <c r="N2" s="111" t="s">
        <v>424</v>
      </c>
      <c r="O2" s="111" t="s">
        <v>423</v>
      </c>
      <c r="P2" s="111" t="s">
        <v>422</v>
      </c>
      <c r="Q2" s="110" t="s">
        <v>421</v>
      </c>
      <c r="R2" s="110" t="s">
        <v>420</v>
      </c>
      <c r="S2" s="110" t="s">
        <v>419</v>
      </c>
      <c r="T2" s="110" t="s">
        <v>418</v>
      </c>
    </row>
    <row r="3" spans="1:20" s="1" customFormat="1" ht="18.75" x14ac:dyDescent="0.3">
      <c r="A3" s="105" t="s">
        <v>417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2" t="e">
        <f>_xll.BDP(#REF!&amp;" Corp", "INTERVAL_PERCENT_CHANGE", "END_DATE_OVERRIDE"," ", "START_DATE_OVERRIDe",R3)</f>
        <v>#REF!</v>
      </c>
      <c r="R3" s="101">
        <v>20140716</v>
      </c>
      <c r="S3" s="100" t="e">
        <f>_xll.BDP(#REF!&amp; " Corp","PX_GROSS_MID")</f>
        <v>#REF!</v>
      </c>
      <c r="T3" s="99" t="e">
        <f>_xll.BDP(#REF!&amp; " Corp","MIN_PIECE")</f>
        <v>#REF!</v>
      </c>
    </row>
    <row r="4" spans="1:20" ht="15.75" x14ac:dyDescent="0.25">
      <c r="A4" s="100" t="str">
        <f>_xll.BDP(B4&amp; " Corp","name")</f>
        <v>BRUNSWICK RAIL FINANCE</v>
      </c>
      <c r="B4" s="100" t="s">
        <v>416</v>
      </c>
      <c r="C4" s="100">
        <f>_xll.BDP(B4 &amp; " Corp","MTY_YEARS_TDY")</f>
        <v>0.12867898699520877</v>
      </c>
      <c r="D4" s="100">
        <f>_xll.BDP(B4 &amp; " Corp","px_last")</f>
        <v>85.998999999999995</v>
      </c>
      <c r="E4" s="100">
        <f>_xll.BDP(B4 &amp; " Corp","px_ask")</f>
        <v>86.992999999999995</v>
      </c>
      <c r="F4" s="100">
        <f>_xll.BDP(B4 &amp; " Corp","YLD_YTM_BID")</f>
        <v>154.32424636584807</v>
      </c>
      <c r="G4" s="100">
        <f>_xll.BDP(B4 &amp; " Corp","YLD_YTM_ask")</f>
        <v>131.85339547397862</v>
      </c>
      <c r="H4" s="100">
        <f>_xll.BDP(B4 &amp; " Corp","CPN")</f>
        <v>6.5</v>
      </c>
      <c r="I4" s="100" t="str">
        <f>_xll.BDP(B4&amp; " Corp","MATURITY")</f>
        <v>01/11/2017</v>
      </c>
      <c r="J4" s="100" t="str">
        <f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NR//Cau</v>
      </c>
      <c r="K4" s="100" t="str">
        <f>_xll.BDP($B4&amp; " Corp","INDUSTRY_SUBGROUP")</f>
        <v>Transport-Rail</v>
      </c>
      <c r="L4" s="100" t="str">
        <f>_xll.BDP(B4 &amp; " Corp","CRNCY")</f>
        <v>USD</v>
      </c>
      <c r="M4" s="100" t="str">
        <f>_xll.BDP(B4 &amp; " Corp","CNTRY_OF_RISK")</f>
        <v>RU</v>
      </c>
      <c r="N4" s="100" t="str">
        <f>_xll.BDP($B4&amp; " Corp","PAYMENT_RANK")</f>
        <v>Sr Unsecured</v>
      </c>
      <c r="O4" s="100" t="str">
        <f>_xll.BDP($B4&amp; " Corp","MTY_TYP")</f>
        <v>AT MATURITY</v>
      </c>
      <c r="P4" s="100" t="str">
        <f>_xll.BDP($B4&amp; " Corp","RUSSIAN_CB_LOMBARD")</f>
        <v>N</v>
      </c>
      <c r="Q4" s="102">
        <f>_xll.BDP(B4&amp;" Corp", "INTERVAL_PERCENT_CHANGE", "END_DATE_OVERRIDE"," ", "START_DATE_OVERRIDe",R4)</f>
        <v>-50.881703593307378</v>
      </c>
      <c r="R4" s="101">
        <v>20140716</v>
      </c>
      <c r="S4" s="100">
        <f>_xll.BDP($B4&amp; " Corp","PX_GROSS_MID")</f>
        <v>88.490666666666655</v>
      </c>
      <c r="T4" s="99">
        <f>_xll.BDP($B4&amp; " Corp","MIN_PIECE")</f>
        <v>200000</v>
      </c>
    </row>
    <row r="5" spans="1:20" ht="15.75" x14ac:dyDescent="0.25">
      <c r="A5" s="100" t="str">
        <f>_xll.BDP(B5&amp; " Corp","name")</f>
        <v>RUSSIAN STAND BK (RSF)</v>
      </c>
      <c r="B5" s="100" t="s">
        <v>415</v>
      </c>
      <c r="C5" s="100">
        <f>_xll.BDP(B5 &amp; " Corp","MTY_YEARS_TDY")</f>
        <v>-1.7494866529774127</v>
      </c>
      <c r="D5" s="100" t="str">
        <f>_xll.BDP(B5 &amp; " Corp","px_last")</f>
        <v>#N/A Field Not Applicable</v>
      </c>
      <c r="E5" s="100" t="str">
        <f>_xll.BDP(B5 &amp; " Corp","px_ask")</f>
        <v>#N/A N/A</v>
      </c>
      <c r="F5" s="100" t="str">
        <f>_xll.BDP(B5 &amp; " Corp","YLD_YTM_BID")</f>
        <v>#N/A N/A</v>
      </c>
      <c r="G5" s="100" t="str">
        <f>_xll.BDP(B5 &amp; " Corp","YLD_YTM_ask")</f>
        <v>#N/A N/A</v>
      </c>
      <c r="H5" s="100">
        <f>_xll.BDP(B5 &amp; " Corp","CPN")</f>
        <v>7.73</v>
      </c>
      <c r="I5" s="100" t="str">
        <f>_xll.BDP(B5&amp; " Corp","MATURITY")</f>
        <v>16/12/2015</v>
      </c>
      <c r="J5" s="100" t="str">
        <f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NR//WR</v>
      </c>
      <c r="K5" s="100" t="str">
        <f>_xll.BDP($B5&amp; " Corp","INDUSTRY_SUBGROUP")</f>
        <v>Commer Banks Non-US</v>
      </c>
      <c r="L5" s="100" t="str">
        <f>_xll.BDP(B5 &amp; " Corp","CRNCY")</f>
        <v>USD</v>
      </c>
      <c r="M5" s="100" t="str">
        <f>_xll.BDP(B5 &amp; " Corp","CNTRY_OF_RISK")</f>
        <v>RU</v>
      </c>
      <c r="N5" s="100" t="str">
        <f>_xll.BDP($B5&amp; " Corp","PAYMENT_RANK")</f>
        <v>Subordinated</v>
      </c>
      <c r="O5" s="100" t="str">
        <f>_xll.BDP($B5&amp; " Corp","MTY_TYP")</f>
        <v>CALLABLE</v>
      </c>
      <c r="P5" s="100" t="str">
        <f>_xll.BDP($B5&amp; " Corp","RUSSIAN_CB_LOMBARD")</f>
        <v>N</v>
      </c>
      <c r="Q5" s="102">
        <f>_xll.BDP(B5&amp;" Corp", "INTERVAL_PERCENT_CHANGE", "END_DATE_OVERRIDE"," ", "START_DATE_OVERRIDe",R5)</f>
        <v>-0.55847940578453337</v>
      </c>
      <c r="R5" s="101">
        <v>20140716</v>
      </c>
      <c r="S5" s="100" t="str">
        <f>_xll.BDP($B5&amp; " Corp","PX_GROSS_MID")</f>
        <v>#N/A N/A</v>
      </c>
      <c r="T5" s="99">
        <f>_xll.BDP($B5&amp; " Corp","MIN_PIECE")</f>
        <v>100000</v>
      </c>
    </row>
    <row r="6" spans="1:20" ht="15.75" x14ac:dyDescent="0.25">
      <c r="A6" s="100" t="str">
        <f>_xll.BDP(B6&amp; " Corp","name")</f>
        <v>FAR EAST CPL LTD SA</v>
      </c>
      <c r="B6" s="100" t="s">
        <v>414</v>
      </c>
      <c r="C6" s="100">
        <f>_xll.BDP(B6 &amp; " Corp","MTY_YEARS_TDY")</f>
        <v>0.6269678302532512</v>
      </c>
      <c r="D6" s="100">
        <f>_xll.BDP(B6 &amp; " Corp","px_last")</f>
        <v>80.3</v>
      </c>
      <c r="E6" s="100">
        <f>_xll.BDP(B6 &amp; " Corp","px_ask")</f>
        <v>72.995000000000005</v>
      </c>
      <c r="F6" s="100">
        <f>_xll.BDP(B6 &amp; " Corp","YLD_YTM_BID")</f>
        <v>49.57368528081367</v>
      </c>
      <c r="G6" s="100">
        <f>_xll.BDP(B6 &amp; " Corp","YLD_YTM_ask")</f>
        <v>43.372179714674111</v>
      </c>
      <c r="H6" s="100">
        <f>_xll.BDP(B6 &amp; " Corp","CPN")</f>
        <v>8</v>
      </c>
      <c r="I6" s="100" t="str">
        <f>_xll.BDP(B6&amp; " Corp","MATURITY")</f>
        <v>02/05/2018</v>
      </c>
      <c r="J6" s="100" t="str">
        <f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NR/C/</v>
      </c>
      <c r="K6" s="100" t="str">
        <f>_xll.BDP($B6&amp; " Corp","INDUSTRY_SUBGROUP")</f>
        <v>Transport-Marine</v>
      </c>
      <c r="L6" s="100" t="str">
        <f>_xll.BDP(B6 &amp; " Corp","CRNCY")</f>
        <v>USD</v>
      </c>
      <c r="M6" s="100" t="str">
        <f>_xll.BDP(B6 &amp; " Corp","CNTRY_OF_RISK")</f>
        <v>RU</v>
      </c>
      <c r="N6" s="100" t="str">
        <f>_xll.BDP($B6&amp; " Corp","PAYMENT_RANK")</f>
        <v>Secured</v>
      </c>
      <c r="O6" s="100" t="str">
        <f>_xll.BDP($B6&amp; " Corp","MTY_TYP")</f>
        <v>CALLABLE</v>
      </c>
      <c r="P6" s="100" t="str">
        <f>_xll.BDP($B6&amp; " Corp","RUSSIAN_CB_LOMBARD")</f>
        <v>N</v>
      </c>
      <c r="Q6" s="102">
        <f>_xll.BDP(B6&amp;" Corp", "INTERVAL_PERCENT_CHANGE", "END_DATE_OVERRIDE"," ", "START_DATE_OVERRIDe",R6)</f>
        <v>-40.643715630169034</v>
      </c>
      <c r="R6" s="101">
        <v>20140716</v>
      </c>
      <c r="S6" s="100">
        <f>_xll.BDP($B6&amp; " Corp","PX_GROSS_MID")</f>
        <v>80.299499999999995</v>
      </c>
      <c r="T6" s="99">
        <f>_xll.BDP($B6&amp; " Corp","MIN_PIECE")</f>
        <v>200000</v>
      </c>
    </row>
    <row r="7" spans="1:20" ht="15.75" x14ac:dyDescent="0.25">
      <c r="A7" s="103" t="str">
        <f>_xll.BDP(B7&amp; " Corp","name")</f>
        <v>ALLIANCE OIL CO LTD</v>
      </c>
      <c r="B7" s="100" t="s">
        <v>413</v>
      </c>
      <c r="C7" s="100">
        <f>_xll.BDP(B7 &amp; " Corp","MTY_YEARS_TDY")</f>
        <v>1.5112936344969199</v>
      </c>
      <c r="D7" s="103">
        <f>_xll.BDP(B7 &amp; " Corp","px_last")</f>
        <v>77.941999999999993</v>
      </c>
      <c r="E7" s="100">
        <f>_xll.BDP(B7 &amp; " Corp","px_ask")</f>
        <v>76.956000000000003</v>
      </c>
      <c r="F7" s="100">
        <f>_xll.BDP(B7 &amp; " Corp","YLD_YTM_BID")</f>
        <v>32.360884667797642</v>
      </c>
      <c r="G7" s="100">
        <f>_xll.BDP(B7 &amp; " Corp","YLD_YTM_ask")</f>
        <v>29.046140289152913</v>
      </c>
      <c r="H7" s="103">
        <f>_xll.BDP(B7 &amp; " Corp","CPN")</f>
        <v>11</v>
      </c>
      <c r="I7" s="103" t="str">
        <f>_xll.BDP(B7&amp; " Corp","MATURITY")</f>
        <v>11/03/2019</v>
      </c>
      <c r="J7" s="103" t="str">
        <f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NR/WD/</v>
      </c>
      <c r="K7" s="103" t="str">
        <f>_xll.BDP($B7&amp; " Corp","INDUSTRY_SUBGROUP")</f>
        <v>Oil Comp-Integrated</v>
      </c>
      <c r="L7" s="103" t="str">
        <f>_xll.BDP(B7 &amp; " Corp","CRNCY")</f>
        <v>USD</v>
      </c>
      <c r="M7" s="103" t="str">
        <f>_xll.BDP(B7 &amp; " Corp","CNTRY_OF_RISK")</f>
        <v>RU</v>
      </c>
      <c r="N7" s="103" t="str">
        <f>_xll.BDP($B7&amp; " Corp","PAYMENT_RANK")</f>
        <v>Sr Unsecured</v>
      </c>
      <c r="O7" s="103" t="str">
        <f>_xll.BDP($B7&amp; " Corp","MTY_TYP")</f>
        <v>CALL/SINK</v>
      </c>
      <c r="P7" s="100" t="str">
        <f>_xll.BDP($B7&amp; " Corp","RUSSIAN_CB_LOMBARD")</f>
        <v>N</v>
      </c>
      <c r="Q7" s="102">
        <f>_xll.BDP(B7&amp;" Corp", "INTERVAL_PERCENT_CHANGE", "END_DATE_OVERRIDE"," ", "START_DATE_OVERRIDe",R7)</f>
        <v>-25.87668476394213</v>
      </c>
      <c r="R7" s="101">
        <v>20140716</v>
      </c>
      <c r="S7" s="100">
        <f>_xll.BDP($B7&amp; " Corp","PX_GROSS_MID")</f>
        <v>78.505944444444438</v>
      </c>
      <c r="T7" s="99">
        <f>_xll.BDP($B7&amp; " Corp","MIN_PIECE")</f>
        <v>100000</v>
      </c>
    </row>
    <row r="8" spans="1:20" ht="15.75" x14ac:dyDescent="0.25">
      <c r="A8" s="100" t="str">
        <f>_xll.BDP(B8&amp; " Corp","name")</f>
        <v>RUSSIAN STAND BK (RSF)</v>
      </c>
      <c r="B8" s="100" t="s">
        <v>412</v>
      </c>
      <c r="C8" s="100">
        <f>_xll.BDP(B8 &amp; " Corp","MTY_YEARS_TDY")</f>
        <v>-0.7885010266940452</v>
      </c>
      <c r="D8" s="100" t="str">
        <f>_xll.BDP(B8 &amp; " Corp","px_last")</f>
        <v>#N/A Field Not Applicable</v>
      </c>
      <c r="E8" s="100" t="str">
        <f>_xll.BDP(B8 &amp; " Corp","px_ask")</f>
        <v>#N/A N/A</v>
      </c>
      <c r="F8" s="100" t="str">
        <f>_xll.BDP(B8 &amp; " Corp","YLD_YTM_BID")</f>
        <v>#N/A N/A</v>
      </c>
      <c r="G8" s="100" t="str">
        <f>_xll.BDP(B8 &amp; " Corp","YLD_YTM_ask")</f>
        <v>#N/A N/A</v>
      </c>
      <c r="H8" s="100">
        <f>_xll.BDP(B8 &amp; " Corp","CPN")</f>
        <v>7.5609999999999999</v>
      </c>
      <c r="I8" s="100" t="str">
        <f>_xll.BDP(B8&amp; " Corp","MATURITY")</f>
        <v>01/12/2016</v>
      </c>
      <c r="J8" s="100" t="str">
        <f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NR//WR</v>
      </c>
      <c r="K8" s="100" t="str">
        <f>_xll.BDP($B8&amp; " Corp","INDUSTRY_SUBGROUP")</f>
        <v>Commer Banks Non-US</v>
      </c>
      <c r="L8" s="100" t="str">
        <f>_xll.BDP(B8 &amp; " Corp","CRNCY")</f>
        <v>USD</v>
      </c>
      <c r="M8" s="100" t="str">
        <f>_xll.BDP(B8 &amp; " Corp","CNTRY_OF_RISK")</f>
        <v>RU</v>
      </c>
      <c r="N8" s="100" t="str">
        <f>_xll.BDP($B8&amp; " Corp","PAYMENT_RANK")</f>
        <v>Subordinated</v>
      </c>
      <c r="O8" s="100" t="str">
        <f>_xll.BDP($B8&amp; " Corp","MTY_TYP")</f>
        <v>CALLABLE</v>
      </c>
      <c r="P8" s="100" t="str">
        <f>_xll.BDP($B8&amp; " Corp","RUSSIAN_CB_LOMBARD")</f>
        <v>N</v>
      </c>
      <c r="Q8" s="102">
        <f>_xll.BDP(B8&amp;" Corp", "INTERVAL_PERCENT_CHANGE", "END_DATE_OVERRIDE"," ", "START_DATE_OVERRIDe",R8)</f>
        <v>-6.6446985638745222</v>
      </c>
      <c r="R8" s="101">
        <v>20140716</v>
      </c>
      <c r="S8" s="100" t="str">
        <f>_xll.BDP($B8&amp; " Corp","PX_GROSS_MID")</f>
        <v>#N/A N/A</v>
      </c>
      <c r="T8" s="99">
        <f>_xll.BDP($B8&amp; " Corp","MIN_PIECE")</f>
        <v>100000</v>
      </c>
    </row>
    <row r="9" spans="1:20" ht="15.75" x14ac:dyDescent="0.25">
      <c r="A9" s="100" t="str">
        <f>_xll.BDP(B9&amp; " Corp","name")</f>
        <v>CB RENCAP(REN CONSUMER)</v>
      </c>
      <c r="B9" s="100" t="s">
        <v>411</v>
      </c>
      <c r="C9" s="100">
        <f>_xll.BDP(B9 &amp; " Corp","MTY_YEARS_TDY")</f>
        <v>1.6810403832991101</v>
      </c>
      <c r="D9" s="100">
        <f>_xll.BDP(B9 &amp; " Corp","px_last")</f>
        <v>100.6884</v>
      </c>
      <c r="E9" s="100">
        <f>_xll.BDP(B9 &amp; " Corp","px_ask")</f>
        <v>105</v>
      </c>
      <c r="F9" s="100">
        <f>_xll.BDP(B9 &amp; " Corp","YLD_YTM_BID")</f>
        <v>13.7711671</v>
      </c>
      <c r="G9" s="100">
        <f>_xll.BDP(B9 &amp; " Corp","YLD_YTM_ask")</f>
        <v>12.233157</v>
      </c>
      <c r="H9" s="100">
        <f>_xll.BDP(B9 &amp; " Corp","CPN")</f>
        <v>13.5</v>
      </c>
      <c r="I9" s="100" t="str">
        <f>_xll.BDP(B9&amp; " Corp","MATURITY")</f>
        <v>22/05/2019</v>
      </c>
      <c r="J9" s="100" t="str">
        <f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//NR</v>
      </c>
      <c r="K9" s="100" t="str">
        <f>_xll.BDP($B9&amp; " Corp","INDUSTRY_SUBGROUP")</f>
        <v>Investment Companies</v>
      </c>
      <c r="L9" s="100" t="str">
        <f>_xll.BDP(B9 &amp; " Corp","CRNCY")</f>
        <v>USD</v>
      </c>
      <c r="M9" s="100" t="str">
        <f>_xll.BDP(B9 &amp; " Corp","CNTRY_OF_RISK")</f>
        <v>RU</v>
      </c>
      <c r="N9" s="100" t="str">
        <f>_xll.BDP($B9&amp; " Corp","PAYMENT_RANK")</f>
        <v>Subordinated</v>
      </c>
      <c r="O9" s="100" t="str">
        <f>_xll.BDP($B9&amp; " Corp","MTY_TYP")</f>
        <v>AT MATURITY</v>
      </c>
      <c r="P9" s="100" t="str">
        <f>_xll.BDP($B9&amp; " Corp","RUSSIAN_CB_LOMBARD")</f>
        <v>N</v>
      </c>
      <c r="Q9" s="102">
        <f>_xll.BDP(B9&amp;" Corp", "INTERVAL_PERCENT_CHANGE", "END_DATE_OVERRIDE"," ", "START_DATE_OVERRIDe",R9)</f>
        <v>6.1111111111111107</v>
      </c>
      <c r="R9" s="101">
        <v>20140716</v>
      </c>
      <c r="S9" s="100">
        <f>_xll.BDP($B9&amp; " Corp","PX_GROSS_MID")</f>
        <v>105.07600000000001</v>
      </c>
      <c r="T9" s="99">
        <f>_xll.BDP($B9&amp; " Corp","MIN_PIECE")</f>
        <v>200000</v>
      </c>
    </row>
    <row r="10" spans="1:20" ht="15.75" x14ac:dyDescent="0.25">
      <c r="A10" s="100" t="str">
        <f>_xll.BDP(B10&amp; " Corp","name")</f>
        <v>CB RENCAP(REN CONSUMER)</v>
      </c>
      <c r="B10" s="100" t="s">
        <v>410</v>
      </c>
      <c r="C10" s="100">
        <f>_xll.BDP(B10 &amp; " Corp","MTY_YEARS_TDY")</f>
        <v>0.76386036960985626</v>
      </c>
      <c r="D10" s="100">
        <f>_xll.BDP(B10 &amp; " Corp","px_last")</f>
        <v>102.5676</v>
      </c>
      <c r="E10" s="100">
        <f>_xll.BDP(B10 &amp; " Corp","px_ask")</f>
        <v>103.50700000000001</v>
      </c>
      <c r="F10" s="100">
        <f>_xll.BDP(B10 &amp; " Corp","YLD_YTM_BID")</f>
        <v>11.1293843</v>
      </c>
      <c r="G10" s="100">
        <f>_xll.BDP(B10 &amp; " Corp","YLD_YTM_ask")</f>
        <v>8.5588121000000008</v>
      </c>
      <c r="H10" s="100">
        <f>_xll.BDP(B10 &amp; " Corp","CPN")</f>
        <v>13.5</v>
      </c>
      <c r="I10" s="100" t="str">
        <f>_xll.BDP(B10&amp; " Corp","MATURITY")</f>
        <v>21/06/2018</v>
      </c>
      <c r="J10" s="100" t="str">
        <f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/WD/Caa1</v>
      </c>
      <c r="K10" s="100" t="str">
        <f>_xll.BDP($B10&amp; " Corp","INDUSTRY_SUBGROUP")</f>
        <v>Investment Companies</v>
      </c>
      <c r="L10" s="100" t="str">
        <f>_xll.BDP(B10 &amp; " Corp","CRNCY")</f>
        <v>USD</v>
      </c>
      <c r="M10" s="100" t="str">
        <f>_xll.BDP(B10 &amp; " Corp","CNTRY_OF_RISK")</f>
        <v>RU</v>
      </c>
      <c r="N10" s="100" t="str">
        <f>_xll.BDP($B10&amp; " Corp","PAYMENT_RANK")</f>
        <v>Subordinated</v>
      </c>
      <c r="O10" s="100" t="str">
        <f>_xll.BDP($B10&amp; " Corp","MTY_TYP")</f>
        <v>AT MATURITY</v>
      </c>
      <c r="P10" s="100" t="str">
        <f>_xll.BDP($B10&amp; " Corp","RUSSIAN_CB_LOMBARD")</f>
        <v>N</v>
      </c>
      <c r="Q10" s="102">
        <f>_xll.BDP(B10&amp;" Corp", "INTERVAL_PERCENT_CHANGE", "END_DATE_OVERRIDE"," ", "START_DATE_OVERRIDe",R10)</f>
        <v>4.1994750656167978</v>
      </c>
      <c r="R10" s="101">
        <v>20140716</v>
      </c>
      <c r="S10" s="100">
        <f>_xll.BDP($B10&amp; " Corp","PX_GROSS_MID")</f>
        <v>105.86749999999999</v>
      </c>
      <c r="T10" s="99">
        <f>_xll.BDP($B10&amp; " Corp","MIN_PIECE")</f>
        <v>200000</v>
      </c>
    </row>
    <row r="11" spans="1:20" ht="15.75" x14ac:dyDescent="0.25">
      <c r="A11" s="100" t="str">
        <f>_xll.BDP(B11&amp; " Corp","name")</f>
        <v>ORIENT EXPR BNK (SCI FN)</v>
      </c>
      <c r="B11" s="100" t="s">
        <v>409</v>
      </c>
      <c r="C11" s="100" t="str">
        <f>_xll.BDP(B11 &amp; " Corp","MTY_YEARS_TDY")</f>
        <v>#N/A Field Not Applicable</v>
      </c>
      <c r="D11" s="100">
        <f>_xll.BDP(B11 &amp; " Corp","px_last")</f>
        <v>57.5625</v>
      </c>
      <c r="E11" s="100">
        <f>_xll.BDP(B11 &amp; " Corp","px_ask")</f>
        <v>60</v>
      </c>
      <c r="F11" s="100">
        <f>_xll.BDP(B11 &amp; " Corp","YLD_YTM_BID")</f>
        <v>18.123593400000001</v>
      </c>
      <c r="G11" s="100">
        <f>_xll.BDP(B11 &amp; " Corp","YLD_YTM_ask")</f>
        <v>16.653439800000001</v>
      </c>
      <c r="H11" s="100">
        <f>_xll.BDP(B11 &amp; " Corp","CPN")</f>
        <v>10</v>
      </c>
      <c r="I11" s="100" t="str">
        <f>_xll.BDP(B11&amp; " Corp","MATURITY")</f>
        <v>#N/A Field Not Applicable</v>
      </c>
      <c r="J11" s="100" t="str">
        <f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//NR</v>
      </c>
      <c r="K11" s="100" t="str">
        <f>_xll.BDP($B11&amp; " Corp","INDUSTRY_SUBGROUP")</f>
        <v>Commer Banks Non-US</v>
      </c>
      <c r="L11" s="100" t="str">
        <f>_xll.BDP(B11 &amp; " Corp","CRNCY")</f>
        <v>USD</v>
      </c>
      <c r="M11" s="100" t="str">
        <f>_xll.BDP(B11 &amp; " Corp","CNTRY_OF_RISK")</f>
        <v>RU</v>
      </c>
      <c r="N11" s="100" t="str">
        <f>_xll.BDP($B11&amp; " Corp","PAYMENT_RANK")</f>
        <v>Subordinated</v>
      </c>
      <c r="O11" s="100" t="str">
        <f>_xll.BDP($B11&amp; " Corp","MTY_TYP")</f>
        <v>PERPETUAL</v>
      </c>
      <c r="P11" s="100" t="str">
        <f>_xll.BDP($B11&amp; " Corp","RUSSIAN_CB_LOMBARD")</f>
        <v>N</v>
      </c>
      <c r="Q11" s="102">
        <f>_xll.BDP(B11&amp;" Corp", "INTERVAL_PERCENT_CHANGE", "END_DATE_OVERRIDE"," ", "START_DATE_OVERRIDe",R11)</f>
        <v>-47.388059701492537</v>
      </c>
      <c r="R11" s="101">
        <v>20140716</v>
      </c>
      <c r="S11" s="100">
        <f>_xll.BDP($B11&amp; " Corp","PX_GROSS_MID")</f>
        <v>60.618055555555557</v>
      </c>
      <c r="T11" s="99">
        <f>_xll.BDP($B11&amp; " Corp","MIN_PIECE")</f>
        <v>200000</v>
      </c>
    </row>
    <row r="12" spans="1:20" ht="15.75" x14ac:dyDescent="0.25">
      <c r="A12" s="100" t="str">
        <f>_xll.BDP(B12&amp; " Corp","name")</f>
        <v>RUSSIAN STAND BK (RSF)</v>
      </c>
      <c r="B12" s="100" t="s">
        <v>408</v>
      </c>
      <c r="C12" s="100">
        <f>_xll.BDP(B12 &amp; " Corp","MTY_YEARS_TDY")</f>
        <v>-0.1806981519507187</v>
      </c>
      <c r="D12" s="100" t="str">
        <f>_xll.BDP(B12 &amp; " Corp","px_last")</f>
        <v>#N/A Field Not Applicable</v>
      </c>
      <c r="E12" s="100" t="str">
        <f>_xll.BDP(B12 &amp; " Corp","px_ask")</f>
        <v>#N/A N/A</v>
      </c>
      <c r="F12" s="100" t="str">
        <f>_xll.BDP(B12 &amp; " Corp","YLD_YTM_BID")</f>
        <v>#N/A N/A</v>
      </c>
      <c r="G12" s="100" t="str">
        <f>_xll.BDP(B12 &amp; " Corp","YLD_YTM_ask")</f>
        <v>#N/A N/A</v>
      </c>
      <c r="H12" s="100">
        <f>_xll.BDP(B12 &amp; " Corp","CPN")</f>
        <v>9.25</v>
      </c>
      <c r="I12" s="100" t="str">
        <f>_xll.BDP(B12&amp; " Corp","MATURITY")</f>
        <v>11/07/2017</v>
      </c>
      <c r="J12" s="100" t="str">
        <f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NR/WD/WR</v>
      </c>
      <c r="K12" s="100" t="str">
        <f>_xll.BDP($B12&amp; " Corp","INDUSTRY_SUBGROUP")</f>
        <v>Commer Banks Non-US</v>
      </c>
      <c r="L12" s="100" t="str">
        <f>_xll.BDP(B12 &amp; " Corp","CRNCY")</f>
        <v>USD</v>
      </c>
      <c r="M12" s="100" t="str">
        <f>_xll.BDP(B12 &amp; " Corp","CNTRY_OF_RISK")</f>
        <v>RU</v>
      </c>
      <c r="N12" s="100" t="str">
        <f>_xll.BDP($B12&amp; " Corp","PAYMENT_RANK")</f>
        <v>Sr Unsecured</v>
      </c>
      <c r="O12" s="100" t="str">
        <f>_xll.BDP($B12&amp; " Corp","MTY_TYP")</f>
        <v>PUTABLE</v>
      </c>
      <c r="P12" s="100" t="str">
        <f>_xll.BDP($B12&amp; " Corp","RUSSIAN_CB_LOMBARD")</f>
        <v>Y</v>
      </c>
      <c r="Q12" s="102">
        <f>_xll.BDP(B12&amp;" Corp", "INTERVAL_PERCENT_CHANGE", "END_DATE_OVERRIDE"," ", "START_DATE_OVERRIDe",R12)</f>
        <v>-11.127953314302221</v>
      </c>
      <c r="R12" s="101">
        <v>20140716</v>
      </c>
      <c r="S12" s="100" t="str">
        <f>_xll.BDP($B12&amp; " Corp","PX_GROSS_MID")</f>
        <v>#N/A N/A</v>
      </c>
      <c r="T12" s="99">
        <f>_xll.BDP($B12&amp; " Corp","MIN_PIECE")</f>
        <v>200000</v>
      </c>
    </row>
    <row r="13" spans="1:20" ht="15.75" x14ac:dyDescent="0.25">
      <c r="A13" s="103" t="str">
        <f>_xll.BDP(B13&amp; " Corp","name")</f>
        <v>VNESHPROMBANK (VPT FNDG)</v>
      </c>
      <c r="B13" s="100" t="s">
        <v>407</v>
      </c>
      <c r="C13" s="100">
        <f>_xll.BDP(B13 &amp; " Corp","MTY_YEARS_TDY")</f>
        <v>-0.83504449007529091</v>
      </c>
      <c r="D13" s="103">
        <f>_xll.BDP(B13 &amp; " Corp","px_last")</f>
        <v>1.3110390000000001</v>
      </c>
      <c r="E13" s="100">
        <f>_xll.BDP(B13 &amp; " Corp","px_ask")</f>
        <v>2.1349999999999998</v>
      </c>
      <c r="F13" s="100">
        <f>_xll.BDP(B13 &amp; " Corp","YLD_YTM_BID")</f>
        <v>1714.2857142857142</v>
      </c>
      <c r="G13" s="100">
        <f>_xll.BDP(B13 &amp; " Corp","YLD_YTM_ask")</f>
        <v>429.18454935622316</v>
      </c>
      <c r="H13" s="103">
        <f>_xll.BDP(B13 &amp; " Corp","CPN")</f>
        <v>9</v>
      </c>
      <c r="I13" s="103" t="str">
        <f>_xll.BDP(B13&amp; " Corp","MATURITY")</f>
        <v>14/11/2016</v>
      </c>
      <c r="J13" s="103" t="str">
        <f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NR//WR</v>
      </c>
      <c r="K13" s="103" t="str">
        <f>_xll.BDP($B13&amp; " Corp","INDUSTRY_SUBGROUP")</f>
        <v>Commer Banks Non-US</v>
      </c>
      <c r="L13" s="103" t="str">
        <f>_xll.BDP(B13 &amp; " Corp","CRNCY")</f>
        <v>USD</v>
      </c>
      <c r="M13" s="103" t="str">
        <f>_xll.BDP(B13 &amp; " Corp","CNTRY_OF_RISK")</f>
        <v>RU</v>
      </c>
      <c r="N13" s="103" t="str">
        <f>_xll.BDP($B13&amp; " Corp","PAYMENT_RANK")</f>
        <v>Sr Unsecured</v>
      </c>
      <c r="O13" s="103" t="str">
        <f>_xll.BDP($B13&amp; " Corp","MTY_TYP")</f>
        <v>AT MATURITY</v>
      </c>
      <c r="P13" s="103" t="str">
        <f>_xll.BDP($B13&amp; " Corp","RUSSIAN_CB_LOMBARD")</f>
        <v>N</v>
      </c>
      <c r="Q13" s="102">
        <f>_xll.BDP(B13&amp;" Corp", "INTERVAL_PERCENT_CHANGE", "END_DATE_OVERRIDE"," ", "START_DATE_OVERRIDe",R13)</f>
        <v>-97.858043836087589</v>
      </c>
      <c r="R13" s="101">
        <v>20140716</v>
      </c>
      <c r="S13" s="100">
        <f>_xll.BDP($B13&amp; " Corp","PX_GROSS_MID")</f>
        <v>1.3109999999999999</v>
      </c>
      <c r="T13" s="99">
        <f>_xll.BDP($B13&amp; " Corp","MIN_PIECE")</f>
        <v>200000</v>
      </c>
    </row>
    <row r="14" spans="1:20" ht="15.75" x14ac:dyDescent="0.25">
      <c r="A14" s="100" t="str">
        <f>_xll.BDP(B14&amp; " Corp","name")</f>
        <v>BORETS FINANCE DAC</v>
      </c>
      <c r="B14" s="100" t="s">
        <v>406</v>
      </c>
      <c r="C14" s="100">
        <f>_xll.BDP(B14 &amp; " Corp","MTY_YEARS_TDY")</f>
        <v>1.0294318959616702</v>
      </c>
      <c r="D14" s="100">
        <f>_xll.BDP(B14 &amp; " Corp","px_last")</f>
        <v>104.226</v>
      </c>
      <c r="E14" s="100">
        <f>_xll.BDP(B14 &amp; " Corp","px_ask")</f>
        <v>104.636</v>
      </c>
      <c r="F14" s="100">
        <f>_xll.BDP(B14 &amp; " Corp","YLD_YTM_BID")</f>
        <v>3.5397935999999999</v>
      </c>
      <c r="G14" s="100">
        <f>_xll.BDP(B14 &amp; " Corp","YLD_YTM_ask")</f>
        <v>2.9917945000000001</v>
      </c>
      <c r="H14" s="100">
        <f>_xll.BDP(B14 &amp; " Corp","CPN")</f>
        <v>7.625</v>
      </c>
      <c r="I14" s="100" t="str">
        <f>_xll.BDP(B14&amp; " Corp","MATURITY")</f>
        <v>26/09/2018</v>
      </c>
      <c r="J14" s="100" t="str">
        <f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BB-/BB-/B1</v>
      </c>
      <c r="K14" s="100" t="str">
        <f>_xll.BDP($B14&amp; " Corp","INDUSTRY_SUBGROUP")</f>
        <v>Oil-Field Services</v>
      </c>
      <c r="L14" s="100" t="str">
        <f>_xll.BDP(B14 &amp; " Corp","CRNCY")</f>
        <v>USD</v>
      </c>
      <c r="M14" s="100" t="str">
        <f>_xll.BDP(B14 &amp; " Corp","CNTRY_OF_RISK")</f>
        <v>RU</v>
      </c>
      <c r="N14" s="100" t="str">
        <f>_xll.BDP($B14&amp; " Corp","PAYMENT_RANK")</f>
        <v>Sr Unsecured</v>
      </c>
      <c r="O14" s="100" t="str">
        <f>_xll.BDP($B14&amp; " Corp","MTY_TYP")</f>
        <v>AT MATURITY</v>
      </c>
      <c r="P14" s="100" t="str">
        <f>_xll.BDP($B14&amp; " Corp","RUSSIAN_CB_LOMBARD")</f>
        <v>N</v>
      </c>
      <c r="Q14" s="102">
        <f>_xll.BDP(B14&amp;" Corp", "INTERVAL_PERCENT_CHANGE", "END_DATE_OVERRIDE"," ", "START_DATE_OVERRIDe",R14)</f>
        <v>-5.3921375159166427</v>
      </c>
      <c r="R14" s="101">
        <v>20140716</v>
      </c>
      <c r="S14" s="100">
        <f>_xll.BDP($B14&amp; " Corp","PX_GROSS_MID")</f>
        <v>107.9997361111111</v>
      </c>
      <c r="T14" s="99">
        <f>_xll.BDP($B14&amp; " Corp","MIN_PIECE")</f>
        <v>200000</v>
      </c>
    </row>
    <row r="15" spans="1:20" ht="15.75" x14ac:dyDescent="0.25">
      <c r="A15" s="106" t="str">
        <f>_xll.BDP(B15&amp; " Corp","name")</f>
        <v>KOKS OAO (KOKS FINANCE L</v>
      </c>
      <c r="B15" s="100" t="s">
        <v>405</v>
      </c>
      <c r="C15" s="100">
        <f>_xll.BDP(B15 &amp; " Corp","MTY_YEARS_TDY")</f>
        <v>-1.2292950034223136</v>
      </c>
      <c r="D15" s="100" t="str">
        <f>_xll.BDP(B15 &amp; " Corp","px_last")</f>
        <v>#N/A Field Not Applicable</v>
      </c>
      <c r="E15" s="100" t="str">
        <f>_xll.BDP(B15 &amp; " Corp","px_ask")</f>
        <v>#N/A N/A</v>
      </c>
      <c r="F15" s="100" t="str">
        <f>_xll.BDP(B15 &amp; " Corp","YLD_YTM_BID")</f>
        <v>#N/A N/A</v>
      </c>
      <c r="G15" s="100" t="str">
        <f>_xll.BDP(B15 &amp; " Corp","YLD_YTM_ask")</f>
        <v>#N/A N/A</v>
      </c>
      <c r="H15" s="100">
        <f>_xll.BDP(B15 &amp; " Corp","CPN")</f>
        <v>7.75</v>
      </c>
      <c r="I15" s="100" t="str">
        <f>_xll.BDP(B15&amp; " Corp","MATURITY")</f>
        <v>23/06/2016</v>
      </c>
      <c r="J15" s="100" t="str">
        <f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NR/NR/WR</v>
      </c>
      <c r="K15" s="100" t="str">
        <f>_xll.BDP($B15&amp; " Corp","INDUSTRY_SUBGROUP")</f>
        <v>Metal-Iron</v>
      </c>
      <c r="L15" s="100" t="str">
        <f>_xll.BDP(B15 &amp; " Corp","CRNCY")</f>
        <v>USD</v>
      </c>
      <c r="M15" s="100" t="str">
        <f>_xll.BDP(B15 &amp; " Corp","CNTRY_OF_RISK")</f>
        <v>RU</v>
      </c>
      <c r="N15" s="100" t="str">
        <f>_xll.BDP($B15&amp; " Corp","PAYMENT_RANK")</f>
        <v>Sr Unsecured</v>
      </c>
      <c r="O15" s="100" t="str">
        <f>_xll.BDP($B15&amp; " Corp","MTY_TYP")</f>
        <v>AT MATURITY</v>
      </c>
      <c r="P15" s="100" t="str">
        <f>_xll.BDP($B15&amp; " Corp","RUSSIAN_CB_LOMBARD")</f>
        <v>N</v>
      </c>
      <c r="Q15" s="102">
        <f>_xll.BDP(B15&amp;" Corp", "INTERVAL_PERCENT_CHANGE", "END_DATE_OVERRIDE"," ", "START_DATE_OVERRIDe",R15)</f>
        <v>5.4480328415325667</v>
      </c>
      <c r="R15" s="101">
        <v>20140716</v>
      </c>
      <c r="S15" s="100" t="str">
        <f>_xll.BDP($B15&amp; " Corp","PX_GROSS_MID")</f>
        <v>#N/A N/A</v>
      </c>
      <c r="T15" s="99">
        <f>_xll.BDP($B15&amp; " Corp","MIN_PIECE")</f>
        <v>200000</v>
      </c>
    </row>
    <row r="16" spans="1:20" ht="15.75" x14ac:dyDescent="0.25">
      <c r="A16" s="100" t="str">
        <f>_xll.BDP(B16&amp; " Corp","name")</f>
        <v>BSPB FIN (BK ST PETERSB)</v>
      </c>
      <c r="B16" s="100" t="s">
        <v>404</v>
      </c>
      <c r="C16" s="100">
        <f>_xll.BDP(B16 &amp; " Corp","MTY_YEARS_TDY")</f>
        <v>1.5989048596851472</v>
      </c>
      <c r="D16" s="100">
        <f>_xll.BDP(B16 &amp; " Corp","px_last")</f>
        <v>109.554</v>
      </c>
      <c r="E16" s="100">
        <f>_xll.BDP(B16 &amp; " Corp","px_ask")</f>
        <v>110.125</v>
      </c>
      <c r="F16" s="100">
        <f>_xll.BDP(B16 &amp; " Corp","YLD_YTM_BID")</f>
        <v>4.6363846999999998</v>
      </c>
      <c r="G16" s="100">
        <f>_xll.BDP(B16 &amp; " Corp","YLD_YTM_ask")</f>
        <v>4.2825116999999997</v>
      </c>
      <c r="H16" s="100">
        <f>_xll.BDP(B16 &amp; " Corp","CPN")</f>
        <v>10.75</v>
      </c>
      <c r="I16" s="100" t="str">
        <f>_xll.BDP(B16&amp; " Corp","MATURITY")</f>
        <v>22/04/2019</v>
      </c>
      <c r="J16" s="100" t="str">
        <f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/B+/</v>
      </c>
      <c r="K16" s="100" t="str">
        <f>_xll.BDP($B16&amp; " Corp","INDUSTRY_SUBGROUP")</f>
        <v>Commer Banks Non-US</v>
      </c>
      <c r="L16" s="100" t="str">
        <f>_xll.BDP(B16 &amp; " Corp","CRNCY")</f>
        <v>USD</v>
      </c>
      <c r="M16" s="100" t="str">
        <f>_xll.BDP(B16 &amp; " Corp","CNTRY_OF_RISK")</f>
        <v>RU</v>
      </c>
      <c r="N16" s="100" t="str">
        <f>_xll.BDP($B16&amp; " Corp","PAYMENT_RANK")</f>
        <v>Subordinated</v>
      </c>
      <c r="O16" s="100" t="str">
        <f>_xll.BDP($B16&amp; " Corp","MTY_TYP")</f>
        <v>AT MATURITY</v>
      </c>
      <c r="P16" s="100" t="str">
        <f>_xll.BDP($B16&amp; " Corp","RUSSIAN_CB_LOMBARD")</f>
        <v>N</v>
      </c>
      <c r="Q16" s="102">
        <f>_xll.BDP(B16&amp;" Corp", "INTERVAL_PERCENT_CHANGE", "END_DATE_OVERRIDE"," ", "START_DATE_OVERRIDe",R16)</f>
        <v>2.0706838750562491</v>
      </c>
      <c r="R16" s="101">
        <v>20140716</v>
      </c>
      <c r="S16" s="100">
        <f>_xll.BDP($B16&amp; " Corp","PX_GROSS_MID")</f>
        <v>113.94408333333332</v>
      </c>
      <c r="T16" s="99">
        <f>_xll.BDP($B16&amp; " Corp","MIN_PIECE")</f>
        <v>200000</v>
      </c>
    </row>
    <row r="17" spans="1:20" ht="15.75" x14ac:dyDescent="0.25">
      <c r="A17" s="100" t="str">
        <f>_xll.BDP(B17&amp; " Corp","name")</f>
        <v>TINKOFF CREDI (TCS FINAN</v>
      </c>
      <c r="B17" s="100" t="s">
        <v>403</v>
      </c>
      <c r="C17" s="100">
        <f>_xll.BDP(B17 &amp; " Corp","MTY_YEARS_TDY")</f>
        <v>0.75017111567419581</v>
      </c>
      <c r="D17" s="100">
        <f>_xll.BDP(B17 &amp; " Corp","px_last")</f>
        <v>106.869</v>
      </c>
      <c r="E17" s="100">
        <f>_xll.BDP(B17 &amp; " Corp","px_ask")</f>
        <v>107.61799999999999</v>
      </c>
      <c r="F17" s="100">
        <f>_xll.BDP(B17 &amp; " Corp","YLD_YTM_BID")</f>
        <v>4.4584029999999997</v>
      </c>
      <c r="G17" s="100">
        <f>_xll.BDP(B17 &amp; " Corp","YLD_YTM_ask")</f>
        <v>3.7693215000000002</v>
      </c>
      <c r="H17" s="100">
        <f>_xll.BDP(B17 &amp; " Corp","CPN")</f>
        <v>14</v>
      </c>
      <c r="I17" s="100" t="str">
        <f>_xll.BDP(B17&amp; " Corp","MATURITY")</f>
        <v>06/06/2018</v>
      </c>
      <c r="J17" s="100" t="str">
        <f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/B+/B2</v>
      </c>
      <c r="K17" s="100" t="str">
        <f>_xll.BDP($B17&amp; " Corp","INDUSTRY_SUBGROUP")</f>
        <v>Commer Banks Non-US</v>
      </c>
      <c r="L17" s="100" t="str">
        <f>_xll.BDP(B17 &amp; " Corp","CRNCY")</f>
        <v>USD</v>
      </c>
      <c r="M17" s="100" t="str">
        <f>_xll.BDP(B17 &amp; " Corp","CNTRY_OF_RISK")</f>
        <v>RU</v>
      </c>
      <c r="N17" s="100" t="str">
        <f>_xll.BDP($B17&amp; " Corp","PAYMENT_RANK")</f>
        <v>Subordinated</v>
      </c>
      <c r="O17" s="100" t="str">
        <f>_xll.BDP($B17&amp; " Corp","MTY_TYP")</f>
        <v>AT MATURITY</v>
      </c>
      <c r="P17" s="100" t="str">
        <f>_xll.BDP($B17&amp; " Corp","RUSSIAN_CB_LOMBARD")</f>
        <v>N</v>
      </c>
      <c r="Q17" s="102">
        <f>_xll.BDP(B17&amp;" Corp", "INTERVAL_PERCENT_CHANGE", "END_DATE_OVERRIDE"," ", "START_DATE_OVERRIDe",R17)</f>
        <v>2.9991275280677407</v>
      </c>
      <c r="R17" s="101">
        <v>20140716</v>
      </c>
      <c r="S17" s="100">
        <f>_xll.BDP($B17&amp; " Corp","PX_GROSS_MID")</f>
        <v>110.87405555555556</v>
      </c>
      <c r="T17" s="99">
        <f>_xll.BDP($B17&amp; " Corp","MIN_PIECE")</f>
        <v>200000</v>
      </c>
    </row>
    <row r="18" spans="1:20" ht="15.75" x14ac:dyDescent="0.25">
      <c r="A18" s="100" t="str">
        <f>_xll.BDP(B18&amp; " Corp","name")</f>
        <v>BSPB FIN (BK ST PETERSB)</v>
      </c>
      <c r="B18" s="100" t="s">
        <v>402</v>
      </c>
      <c r="C18" s="100">
        <f>_xll.BDP(B18 &amp; " Corp","MTY_YEARS_TDY")</f>
        <v>1.106091718001369</v>
      </c>
      <c r="D18" s="100">
        <f>_xll.BDP(B18 &amp; " Corp","px_last")</f>
        <v>108.23869999999999</v>
      </c>
      <c r="E18" s="100">
        <f>_xll.BDP(B18 &amp; " Corp","px_ask")</f>
        <v>108.733</v>
      </c>
      <c r="F18" s="100">
        <f>_xll.BDP(B18 &amp; " Corp","YLD_YTM_BID")</f>
        <v>3.7240302000000001</v>
      </c>
      <c r="G18" s="100">
        <f>_xll.BDP(B18 &amp; " Corp","YLD_YTM_ask")</f>
        <v>2.8532418000000002</v>
      </c>
      <c r="H18" s="100">
        <f>_xll.BDP(B18 &amp; " Corp","CPN")</f>
        <v>11</v>
      </c>
      <c r="I18" s="100" t="str">
        <f>_xll.BDP(B18&amp; " Corp","MATURITY")</f>
        <v>24/10/2018</v>
      </c>
      <c r="J18" s="100" t="str">
        <f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/WD/B2</v>
      </c>
      <c r="K18" s="100" t="str">
        <f>_xll.BDP($B18&amp; " Corp","INDUSTRY_SUBGROUP")</f>
        <v>Commer Banks Non-US</v>
      </c>
      <c r="L18" s="100" t="str">
        <f>_xll.BDP(B18 &amp; " Corp","CRNCY")</f>
        <v>USD</v>
      </c>
      <c r="M18" s="100" t="str">
        <f>_xll.BDP(B18 &amp; " Corp","CNTRY_OF_RISK")</f>
        <v>RU</v>
      </c>
      <c r="N18" s="100" t="str">
        <f>_xll.BDP($B18&amp; " Corp","PAYMENT_RANK")</f>
        <v>Subordinated</v>
      </c>
      <c r="O18" s="100" t="str">
        <f>_xll.BDP($B18&amp; " Corp","MTY_TYP")</f>
        <v>AT MATURITY</v>
      </c>
      <c r="P18" s="100" t="str">
        <f>_xll.BDP($B18&amp; " Corp","RUSSIAN_CB_LOMBARD")</f>
        <v>N</v>
      </c>
      <c r="Q18" s="102">
        <f>_xll.BDP(B18&amp;" Corp", "INTERVAL_PERCENT_CHANGE", "END_DATE_OVERRIDE"," ", "START_DATE_OVERRIDe",R18)</f>
        <v>2.0759193357058123</v>
      </c>
      <c r="R18" s="101">
        <v>20140716</v>
      </c>
      <c r="S18" s="100">
        <f>_xll.BDP($B18&amp; " Corp","PX_GROSS_MID")</f>
        <v>112.66905555555556</v>
      </c>
      <c r="T18" s="99">
        <f>_xll.BDP($B18&amp; " Corp","MIN_PIECE")</f>
        <v>200000</v>
      </c>
    </row>
    <row r="19" spans="1:20" s="1" customFormat="1" ht="15.75" x14ac:dyDescent="0.25">
      <c r="A19" s="100" t="str">
        <f>_xll.BDP(B19&amp; " Corp","name")</f>
        <v>CREDIT BANK OF MOSCOW (C</v>
      </c>
      <c r="B19" s="100" t="s">
        <v>401</v>
      </c>
      <c r="C19" s="100">
        <f>_xll.BDP(B19 &amp; " Corp","MTY_YEARS_TDY")</f>
        <v>1.1882272416153319</v>
      </c>
      <c r="D19" s="100">
        <f>_xll.BDP(B19 &amp; " Corp","px_last")</f>
        <v>100.955</v>
      </c>
      <c r="E19" s="100">
        <f>_xll.BDP(B19 &amp; " Corp","px_ask")</f>
        <v>103.11799999999999</v>
      </c>
      <c r="F19" s="100">
        <f>_xll.BDP(B19 &amp; " Corp","YLD_YTM_BID")</f>
        <v>8.1869516000000004</v>
      </c>
      <c r="G19" s="100">
        <f>_xll.BDP(B19 &amp; " Corp","YLD_YTM_ask")</f>
        <v>7.4143262999999999</v>
      </c>
      <c r="H19" s="100">
        <f>_xll.BDP(B19 &amp; " Corp","CPN")</f>
        <v>8.6999999999999993</v>
      </c>
      <c r="I19" s="100" t="str">
        <f>_xll.BDP(B19&amp; " Corp","MATURITY")</f>
        <v>13/11/2018</v>
      </c>
      <c r="J19" s="100" t="str">
        <f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/B+/NR</v>
      </c>
      <c r="K19" s="100" t="str">
        <f>_xll.BDP($B19&amp; " Corp","INDUSTRY_SUBGROUP")</f>
        <v>Commer Banks Non-US</v>
      </c>
      <c r="L19" s="100" t="str">
        <f>_xll.BDP(B19 &amp; " Corp","CRNCY")</f>
        <v>USD</v>
      </c>
      <c r="M19" s="100" t="str">
        <f>_xll.BDP(B19 &amp; " Corp","CNTRY_OF_RISK")</f>
        <v>RU</v>
      </c>
      <c r="N19" s="100" t="str">
        <f>_xll.BDP($B19&amp; " Corp","PAYMENT_RANK")</f>
        <v>Subordinated</v>
      </c>
      <c r="O19" s="100" t="str">
        <f>_xll.BDP($B19&amp; " Corp","MTY_TYP")</f>
        <v>AT MATURITY</v>
      </c>
      <c r="P19" s="100" t="str">
        <f>_xll.BDP($B19&amp; " Corp","RUSSIAN_CB_LOMBARD")</f>
        <v>N</v>
      </c>
      <c r="Q19" s="102">
        <f>_xll.BDP(B19&amp;" Corp", "INTERVAL_PERCENT_CHANGE", "END_DATE_OVERRIDE"," ", "START_DATE_OVERRIDe",R19)</f>
        <v>5.957985386038299</v>
      </c>
      <c r="R19" s="101">
        <v>20140716</v>
      </c>
      <c r="S19" s="100">
        <f>_xll.BDP($B19&amp; " Corp","PX_GROSS_MID")</f>
        <v>104.00000000000001</v>
      </c>
      <c r="T19" s="99">
        <f>_xll.BDP($B19&amp; " Corp","MIN_PIECE")</f>
        <v>200000</v>
      </c>
    </row>
    <row r="20" spans="1:20" s="1" customFormat="1" ht="15.75" x14ac:dyDescent="0.25">
      <c r="A20" s="100" t="str">
        <f>_xll.BDP(B20&amp; " Corp","name")</f>
        <v>TATFONDBANK VIA TFB FINA</v>
      </c>
      <c r="B20" s="100" t="s">
        <v>400</v>
      </c>
      <c r="C20" s="100">
        <f>_xll.BDP(B20 &amp; " Corp","MTY_YEARS_TDY")</f>
        <v>-0.38329911019849416</v>
      </c>
      <c r="D20" s="100" t="str">
        <f>_xll.BDP(B20 &amp; " Corp","px_last")</f>
        <v>#N/A N/A</v>
      </c>
      <c r="E20" s="100" t="str">
        <f>_xll.BDP(B20 &amp; " Corp","px_ask")</f>
        <v>#N/A N/A</v>
      </c>
      <c r="F20" s="100" t="str">
        <f>_xll.BDP(B20 &amp; " Corp","YLD_YTM_BID")</f>
        <v>#N/A N/A</v>
      </c>
      <c r="G20" s="100" t="str">
        <f>_xll.BDP(B20 &amp; " Corp","YLD_YTM_ask")</f>
        <v>#N/A N/A</v>
      </c>
      <c r="H20" s="100">
        <f>_xll.BDP(B20 &amp; " Corp","CPN")</f>
        <v>11</v>
      </c>
      <c r="I20" s="100" t="str">
        <f>_xll.BDP(B20&amp; " Corp","MATURITY")</f>
        <v>28/04/2017</v>
      </c>
      <c r="J20" s="100" t="str">
        <f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NR//WR</v>
      </c>
      <c r="K20" s="100" t="str">
        <f>_xll.BDP($B20&amp; " Corp","INDUSTRY_SUBGROUP")</f>
        <v>Commer Banks Non-US</v>
      </c>
      <c r="L20" s="100" t="str">
        <f>_xll.BDP(B20 &amp; " Corp","CRNCY")</f>
        <v>USD</v>
      </c>
      <c r="M20" s="100" t="str">
        <f>_xll.BDP(B20 &amp; " Corp","CNTRY_OF_RISK")</f>
        <v>RU</v>
      </c>
      <c r="N20" s="100" t="str">
        <f>_xll.BDP($B20&amp; " Corp","PAYMENT_RANK")</f>
        <v>Sr Unsecured</v>
      </c>
      <c r="O20" s="100" t="str">
        <f>_xll.BDP($B20&amp; " Corp","MTY_TYP")</f>
        <v>PUTABLE</v>
      </c>
      <c r="P20" s="100" t="str">
        <f>_xll.BDP($B20&amp; " Corp","RUSSIAN_CB_LOMBARD")</f>
        <v>N</v>
      </c>
      <c r="Q20" s="102" t="str">
        <f>_xll.BDP(B20&amp;" Corp", "INTERVAL_PERCENT_CHANGE", "END_DATE_OVERRIDE"," ", "START_DATE_OVERRIDe",R20)</f>
        <v>#N/A N/A</v>
      </c>
      <c r="R20" s="101">
        <v>20140716</v>
      </c>
      <c r="S20" s="100" t="str">
        <f>_xll.BDP($B20&amp; " Corp","PX_GROSS_MID")</f>
        <v>#N/A N/A</v>
      </c>
      <c r="T20" s="99">
        <f>_xll.BDP($B20&amp; " Corp","MIN_PIECE")</f>
        <v>500000</v>
      </c>
    </row>
    <row r="21" spans="1:20" s="1" customFormat="1" ht="15.75" x14ac:dyDescent="0.25">
      <c r="A21" s="100" t="str">
        <f>_xll.BDP(B21&amp; " Corp","name")</f>
        <v>CB RENCAP(REN CONSUMER)</v>
      </c>
      <c r="B21" s="100" t="s">
        <v>399</v>
      </c>
      <c r="C21" s="100">
        <f>_xll.BDP(B21 &amp; " Corp","MTY_YEARS_TDY")</f>
        <v>-1.2922655715263518</v>
      </c>
      <c r="D21" s="100" t="str">
        <f>_xll.BDP(B21 &amp; " Corp","px_last")</f>
        <v>#N/A Field Not Applicable</v>
      </c>
      <c r="E21" s="100" t="str">
        <f>_xll.BDP(B21 &amp; " Corp","px_ask")</f>
        <v>#N/A N/A</v>
      </c>
      <c r="F21" s="100" t="str">
        <f>_xll.BDP(B21 &amp; " Corp","YLD_YTM_BID")</f>
        <v>#N/A N/A</v>
      </c>
      <c r="G21" s="100" t="str">
        <f>_xll.BDP(B21 &amp; " Corp","YLD_YTM_ask")</f>
        <v>#N/A N/A</v>
      </c>
      <c r="H21" s="100">
        <f>_xll.BDP(B21 &amp; " Corp","CPN")</f>
        <v>7.75</v>
      </c>
      <c r="I21" s="100" t="str">
        <f>_xll.BDP(B21&amp; " Corp","MATURITY")</f>
        <v>31/05/2016</v>
      </c>
      <c r="J21" s="100" t="str">
        <f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NR/WD/WR</v>
      </c>
      <c r="K21" s="100" t="str">
        <f>_xll.BDP($B21&amp; " Corp","INDUSTRY_SUBGROUP")</f>
        <v>Investment Companies</v>
      </c>
      <c r="L21" s="100" t="str">
        <f>_xll.BDP(B21 &amp; " Corp","CRNCY")</f>
        <v>USD</v>
      </c>
      <c r="M21" s="100" t="str">
        <f>_xll.BDP(B21 &amp; " Corp","CNTRY_OF_RISK")</f>
        <v>RU</v>
      </c>
      <c r="N21" s="100" t="str">
        <f>_xll.BDP($B21&amp; " Corp","PAYMENT_RANK")</f>
        <v>Sr Unsecured</v>
      </c>
      <c r="O21" s="100" t="str">
        <f>_xll.BDP($B21&amp; " Corp","MTY_TYP")</f>
        <v>AT MATURITY</v>
      </c>
      <c r="P21" s="100" t="str">
        <f>_xll.BDP($B21&amp; " Corp","RUSSIAN_CB_LOMBARD")</f>
        <v>N</v>
      </c>
      <c r="Q21" s="102">
        <f>_xll.BDP(B21&amp;" Corp", "INTERVAL_PERCENT_CHANGE", "END_DATE_OVERRIDE"," ", "START_DATE_OVERRIDe",R21)</f>
        <v>4.9539149533494733</v>
      </c>
      <c r="R21" s="101">
        <v>20140716</v>
      </c>
      <c r="S21" s="100" t="str">
        <f>_xll.BDP($B21&amp; " Corp","PX_GROSS_MID")</f>
        <v>#N/A N/A</v>
      </c>
      <c r="T21" s="99">
        <f>_xll.BDP($B21&amp; " Corp","MIN_PIECE")</f>
        <v>200000</v>
      </c>
    </row>
    <row r="22" spans="1:20" s="1" customFormat="1" ht="15.75" x14ac:dyDescent="0.25">
      <c r="A22" s="100" t="str">
        <f>_xll.BDP(B22&amp; " Corp","name")</f>
        <v>BSPB FIN (BK ST PETERSB)</v>
      </c>
      <c r="B22" s="100" t="s">
        <v>398</v>
      </c>
      <c r="C22" s="100">
        <f>_xll.BDP(B22 &amp; " Corp","MTY_YEARS_TDY")</f>
        <v>-0.14236824093086928</v>
      </c>
      <c r="D22" s="100" t="str">
        <f>_xll.BDP(B22 &amp; " Corp","px_last")</f>
        <v>#N/A Field Not Applicable</v>
      </c>
      <c r="E22" s="100" t="str">
        <f>_xll.BDP(B22 &amp; " Corp","px_ask")</f>
        <v>#N/A N/A</v>
      </c>
      <c r="F22" s="100" t="str">
        <f>_xll.BDP(B22 &amp; " Corp","YLD_YTM_BID")</f>
        <v>#N/A N/A</v>
      </c>
      <c r="G22" s="100" t="str">
        <f>_xll.BDP(B22 &amp; " Corp","YLD_YTM_ask")</f>
        <v>#N/A N/A</v>
      </c>
      <c r="H22" s="100">
        <f>_xll.BDP(B22 &amp; " Corp","CPN")</f>
        <v>7.63</v>
      </c>
      <c r="I22" s="100" t="str">
        <f>_xll.BDP(B22&amp; " Corp","MATURITY")</f>
        <v>25/07/2017</v>
      </c>
      <c r="J22" s="100" t="str">
        <f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/WD/WR</v>
      </c>
      <c r="K22" s="100" t="str">
        <f>_xll.BDP($B22&amp; " Corp","INDUSTRY_SUBGROUP")</f>
        <v>Commer Banks Non-US</v>
      </c>
      <c r="L22" s="100" t="str">
        <f>_xll.BDP(B22 &amp; " Corp","CRNCY")</f>
        <v>USD</v>
      </c>
      <c r="M22" s="100" t="str">
        <f>_xll.BDP(B22 &amp; " Corp","CNTRY_OF_RISK")</f>
        <v>RU</v>
      </c>
      <c r="N22" s="100" t="str">
        <f>_xll.BDP($B22&amp; " Corp","PAYMENT_RANK")</f>
        <v>Subordinated</v>
      </c>
      <c r="O22" s="100" t="str">
        <f>_xll.BDP($B22&amp; " Corp","MTY_TYP")</f>
        <v>CALLABLE</v>
      </c>
      <c r="P22" s="100" t="str">
        <f>_xll.BDP($B22&amp; " Corp","RUSSIAN_CB_LOMBARD")</f>
        <v>N</v>
      </c>
      <c r="Q22" s="102">
        <f>_xll.BDP(B22&amp;" Corp", "INTERVAL_PERCENT_CHANGE", "END_DATE_OVERRIDE"," ", "START_DATE_OVERRIDe",R22)</f>
        <v>6.3388706811504489</v>
      </c>
      <c r="R22" s="101">
        <v>20140716</v>
      </c>
      <c r="S22" s="103" t="str">
        <f>_xll.BDP($B22&amp; " Corp","PX_GROSS_MID")</f>
        <v>#N/A N/A</v>
      </c>
      <c r="T22" s="99">
        <f>_xll.BDP($B22&amp; " Corp","MIN_PIECE")</f>
        <v>100000</v>
      </c>
    </row>
    <row r="23" spans="1:20" s="1" customFormat="1" ht="15.75" x14ac:dyDescent="0.25">
      <c r="A23" s="100" t="str">
        <f>_xll.BDP(B23&amp; " Corp","name")</f>
        <v>PROMSVYAZBK(PSB FINANCE)</v>
      </c>
      <c r="B23" s="100" t="s">
        <v>397</v>
      </c>
      <c r="C23" s="100">
        <f>_xll.BDP(B23 &amp; " Corp","MTY_YEARS_TDY")</f>
        <v>2.1683778234086244</v>
      </c>
      <c r="D23" s="100">
        <f>_xll.BDP(B23 &amp; " Corp","px_last")</f>
        <v>96.424999999999997</v>
      </c>
      <c r="E23" s="100">
        <f>_xll.BDP(B23 &amp; " Corp","px_ask")</f>
        <v>103.2</v>
      </c>
      <c r="F23" s="100">
        <f>_xll.BDP(B23 &amp; " Corp","YLD_YTM_BID")</f>
        <v>12.523756199999999</v>
      </c>
      <c r="G23" s="100">
        <f>_xll.BDP(B23 &amp; " Corp","YLD_YTM_ask")</f>
        <v>11.7573618</v>
      </c>
      <c r="H23" s="100">
        <f>_xll.BDP(B23 &amp; " Corp","CPN")</f>
        <v>10.199999999999999</v>
      </c>
      <c r="I23" s="100" t="str">
        <f>_xll.BDP(B23&amp; " Corp","MATURITY")</f>
        <v>06/11/2019</v>
      </c>
      <c r="J23" s="100" t="str">
        <f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/WD/B2</v>
      </c>
      <c r="K23" s="100" t="str">
        <f>_xll.BDP($B23&amp; " Corp","INDUSTRY_SUBGROUP")</f>
        <v>Commer Banks Non-US</v>
      </c>
      <c r="L23" s="100" t="str">
        <f>_xll.BDP(B23 &amp; " Corp","CRNCY")</f>
        <v>USD</v>
      </c>
      <c r="M23" s="100" t="str">
        <f>_xll.BDP(B23 &amp; " Corp","CNTRY_OF_RISK")</f>
        <v>RU</v>
      </c>
      <c r="N23" s="100" t="str">
        <f>_xll.BDP($B23&amp; " Corp","PAYMENT_RANK")</f>
        <v>Subordinated</v>
      </c>
      <c r="O23" s="100" t="str">
        <f>_xll.BDP($B23&amp; " Corp","MTY_TYP")</f>
        <v>AT MATURITY</v>
      </c>
      <c r="P23" s="100" t="str">
        <f>_xll.BDP($B23&amp; " Corp","RUSSIAN_CB_LOMBARD")</f>
        <v>N</v>
      </c>
      <c r="Q23" s="102">
        <f>_xll.BDP(B23&amp;" Corp", "INTERVAL_PERCENT_CHANGE", "END_DATE_OVERRIDE"," ", "START_DATE_OVERRIDe",R23)</f>
        <v>4.9896551210652342</v>
      </c>
      <c r="R23" s="101">
        <v>20140716</v>
      </c>
      <c r="S23" s="100">
        <f>_xll.BDP($B23&amp; " Corp","PX_GROSS_MID")</f>
        <v>100.19283333333333</v>
      </c>
      <c r="T23" s="99">
        <f>_xll.BDP($B23&amp; " Corp","MIN_PIECE")</f>
        <v>200000</v>
      </c>
    </row>
    <row r="24" spans="1:20" s="1" customFormat="1" ht="15.75" x14ac:dyDescent="0.25">
      <c r="A24" s="100" t="str">
        <f>_xll.BDP(B24&amp; " Corp","name")</f>
        <v>RENAISSANCE SECURITIES T</v>
      </c>
      <c r="B24" s="100" t="s">
        <v>396</v>
      </c>
      <c r="C24" s="100">
        <f>_xll.BDP(B24 &amp; " Corp","MTY_YEARS_TDY")</f>
        <v>-1.4017796030116358</v>
      </c>
      <c r="D24" s="100" t="str">
        <f>_xll.BDP(B24 &amp; " Corp","px_last")</f>
        <v>#N/A Field Not Applicable</v>
      </c>
      <c r="E24" s="100" t="str">
        <f>_xll.BDP(B24 &amp; " Corp","px_ask")</f>
        <v>#N/A N/A</v>
      </c>
      <c r="F24" s="100" t="str">
        <f>_xll.BDP(B24 &amp; " Corp","YLD_YTM_BID")</f>
        <v>#N/A N/A</v>
      </c>
      <c r="G24" s="100" t="str">
        <f>_xll.BDP(B24 &amp; " Corp","YLD_YTM_ask")</f>
        <v>#N/A N/A</v>
      </c>
      <c r="H24" s="100">
        <f>_xll.BDP(B24 &amp; " Corp","CPN")</f>
        <v>11</v>
      </c>
      <c r="I24" s="100" t="str">
        <f>_xll.BDP(B24&amp; " Corp","MATURITY")</f>
        <v>21/04/2016</v>
      </c>
      <c r="J24" s="100" t="str">
        <f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NR/NR/WR</v>
      </c>
      <c r="K24" s="100" t="str">
        <f>_xll.BDP($B24&amp; " Corp","INDUSTRY_SUBGROUP")</f>
        <v>Diversified Finan Serv</v>
      </c>
      <c r="L24" s="100" t="str">
        <f>_xll.BDP(B24 &amp; " Corp","CRNCY")</f>
        <v>USD</v>
      </c>
      <c r="M24" s="100" t="str">
        <f>_xll.BDP(B24 &amp; " Corp","CNTRY_OF_RISK")</f>
        <v>RU</v>
      </c>
      <c r="N24" s="100" t="str">
        <f>_xll.BDP($B24&amp; " Corp","PAYMENT_RANK")</f>
        <v>Sr Unsecured</v>
      </c>
      <c r="O24" s="100" t="str">
        <f>_xll.BDP($B24&amp; " Corp","MTY_TYP")</f>
        <v>PUTABLE</v>
      </c>
      <c r="P24" s="100" t="str">
        <f>_xll.BDP($B24&amp; " Corp","RUSSIAN_CB_LOMBARD")</f>
        <v>N</v>
      </c>
      <c r="Q24" s="102">
        <f>_xll.BDP(B24&amp;" Corp", "INTERVAL_PERCENT_CHANGE", "END_DATE_OVERRIDE"," ", "START_DATE_OVERRIDe",R24)</f>
        <v>-0.76599083775639398</v>
      </c>
      <c r="R24" s="101">
        <v>20140716</v>
      </c>
      <c r="S24" s="100" t="str">
        <f>_xll.BDP($B24&amp; " Corp","PX_GROSS_MID")</f>
        <v>#N/A N/A</v>
      </c>
      <c r="T24" s="99">
        <f>_xll.BDP($B24&amp; " Corp","MIN_PIECE")</f>
        <v>200000</v>
      </c>
    </row>
    <row r="25" spans="1:20" s="1" customFormat="1" ht="15.75" x14ac:dyDescent="0.25">
      <c r="A25" s="100" t="str">
        <f>_xll.BDP(B25&amp; " Corp","name")</f>
        <v>OFCB CAPITAL PLC</v>
      </c>
      <c r="B25" s="100" t="s">
        <v>395</v>
      </c>
      <c r="C25" s="100">
        <f>_xll.BDP(B25 &amp; " Corp","MTY_YEARS_TDY")</f>
        <v>2.2532511978097194</v>
      </c>
      <c r="D25" s="100">
        <f>_xll.BDP(B25 &amp; " Corp","px_last")</f>
        <v>23.004000000000001</v>
      </c>
      <c r="E25" s="100">
        <f>_xll.BDP(B25 &amp; " Corp","px_ask")</f>
        <v>24.998999999999999</v>
      </c>
      <c r="F25" s="100">
        <f>_xll.BDP(B25 &amp; " Corp","YLD_YTM_BID")</f>
        <v>112.0652984</v>
      </c>
      <c r="G25" s="100">
        <f>_xll.BDP(B25 &amp; " Corp","YLD_YTM_ask")</f>
        <v>97.834466899999995</v>
      </c>
      <c r="H25" s="100">
        <f>_xll.BDP(B25 &amp; " Corp","CPN")</f>
        <v>10</v>
      </c>
      <c r="I25" s="100" t="str">
        <f>_xll.BDP(B25&amp; " Corp","MATURITY")</f>
        <v>17/12/2019</v>
      </c>
      <c r="J25" s="100" t="str">
        <f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/WD/C</v>
      </c>
      <c r="K25" s="100" t="str">
        <f>_xll.BDP($B25&amp; " Corp","INDUSTRY_SUBGROUP")</f>
        <v>Commer Banks Non-US</v>
      </c>
      <c r="L25" s="100" t="str">
        <f>_xll.BDP(B25 &amp; " Corp","CRNCY")</f>
        <v>USD</v>
      </c>
      <c r="M25" s="100" t="str">
        <f>_xll.BDP(B25 &amp; " Corp","CNTRY_OF_RISK")</f>
        <v>RU</v>
      </c>
      <c r="N25" s="100" t="str">
        <f>_xll.BDP($B25&amp; " Corp","PAYMENT_RANK")</f>
        <v>Subordinated</v>
      </c>
      <c r="O25" s="100" t="str">
        <f>_xll.BDP($B25&amp; " Corp","MTY_TYP")</f>
        <v>AT MATURITY</v>
      </c>
      <c r="P25" s="100" t="str">
        <f>_xll.BDP($B25&amp; " Corp","RUSSIAN_CB_LOMBARD")</f>
        <v>N</v>
      </c>
      <c r="Q25" s="102">
        <f>_xll.BDP(B25&amp;" Corp", "INTERVAL_PERCENT_CHANGE", "END_DATE_OVERRIDE"," ", "START_DATE_OVERRIDe",R25)</f>
        <v>0.28467563922107325</v>
      </c>
      <c r="R25" s="101">
        <v>20140716</v>
      </c>
      <c r="S25" s="100">
        <f>_xll.BDP($B25&amp; " Corp","PX_GROSS_MID")</f>
        <v>25.559055555555553</v>
      </c>
      <c r="T25" s="99">
        <f>_xll.BDP($B25&amp; " Corp","MIN_PIECE")</f>
        <v>200000</v>
      </c>
    </row>
    <row r="26" spans="1:20" s="1" customFormat="1" ht="15.75" x14ac:dyDescent="0.25">
      <c r="A26" s="106" t="str">
        <f>_xll.BDP(B26&amp; " Corp","name")</f>
        <v>URANIUM ONE INVESTMENTS</v>
      </c>
      <c r="B26" s="100" t="s">
        <v>394</v>
      </c>
      <c r="C26" s="100">
        <f>_xll.BDP(B26 &amp; " Corp","MTY_YEARS_TDY")</f>
        <v>1.2429842573579739</v>
      </c>
      <c r="D26" s="100" t="str">
        <f>_xll.BDP(B26 &amp; " Corp","px_last")</f>
        <v>#N/A N/A</v>
      </c>
      <c r="E26" s="100" t="str">
        <f>_xll.BDP(B26 &amp; " Corp","px_ask")</f>
        <v>#N/A N/A</v>
      </c>
      <c r="F26" s="100" t="str">
        <f>_xll.BDP(B26 &amp; " Corp","YLD_YTM_BID")</f>
        <v>#N/A N/A</v>
      </c>
      <c r="G26" s="100" t="str">
        <f>_xll.BDP(B26 &amp; " Corp","YLD_YTM_ask")</f>
        <v>#N/A N/A</v>
      </c>
      <c r="H26" s="100">
        <f>_xll.BDP(B26 &amp; " Corp","CPN")</f>
        <v>6.25</v>
      </c>
      <c r="I26" s="100" t="str">
        <f>_xll.BDP(B26&amp; " Corp","MATURITY")</f>
        <v>13/12/2018</v>
      </c>
      <c r="J26" s="100" t="str">
        <f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NR/WD/WR</v>
      </c>
      <c r="K26" s="100" t="str">
        <f>_xll.BDP($B26&amp; " Corp","INDUSTRY_SUBGROUP")</f>
        <v>Finance-Other Services</v>
      </c>
      <c r="L26" s="100" t="str">
        <f>_xll.BDP(B26 &amp; " Corp","CRNCY")</f>
        <v>USD</v>
      </c>
      <c r="M26" s="100" t="str">
        <f>_xll.BDP(B26 &amp; " Corp","CNTRY_OF_RISK")</f>
        <v>CA</v>
      </c>
      <c r="N26" s="100" t="str">
        <f>_xll.BDP($B26&amp; " Corp","PAYMENT_RANK")</f>
        <v>Secured</v>
      </c>
      <c r="O26" s="100" t="str">
        <f>_xll.BDP($B26&amp; " Corp","MTY_TYP")</f>
        <v>CALLABLE</v>
      </c>
      <c r="P26" s="100" t="str">
        <f>_xll.BDP($B26&amp; " Corp","RUSSIAN_CB_LOMBARD")</f>
        <v>N</v>
      </c>
      <c r="Q26" s="102">
        <f>_xll.BDP(B26&amp;" Corp", "INTERVAL_PERCENT_CHANGE", "END_DATE_OVERRIDE"," ", "START_DATE_OVERRIDe",R26)</f>
        <v>-0.50862888394273476</v>
      </c>
      <c r="R26" s="101">
        <v>20140716</v>
      </c>
      <c r="S26" s="100" t="str">
        <f>_xll.BDP($B26&amp; " Corp","PX_GROSS_MID")</f>
        <v>#N/A N/A</v>
      </c>
      <c r="T26" s="99">
        <f>_xll.BDP($B26&amp; " Corp","MIN_PIECE")</f>
        <v>200000</v>
      </c>
    </row>
    <row r="27" spans="1:20" s="1" customFormat="1" ht="15.75" x14ac:dyDescent="0.25">
      <c r="A27" s="100" t="str">
        <f>_xll.BDP(B27&amp; " Corp","name")</f>
        <v>OFCB CAPITAL PLC</v>
      </c>
      <c r="B27" s="100" t="s">
        <v>393</v>
      </c>
      <c r="C27" s="100">
        <f>_xll.BDP(B27 &amp; " Corp","MTY_YEARS_TDY")</f>
        <v>1.6098562628336757</v>
      </c>
      <c r="D27" s="100">
        <f>_xll.BDP(B27 &amp; " Corp","px_last")</f>
        <v>23.003</v>
      </c>
      <c r="E27" s="100">
        <f>_xll.BDP(B27 &amp; " Corp","px_ask")</f>
        <v>28.988</v>
      </c>
      <c r="F27" s="100">
        <f>_xll.BDP(B27 &amp; " Corp","YLD_YTM_BID")</f>
        <v>147.72157606425165</v>
      </c>
      <c r="G27" s="100">
        <f>_xll.BDP(B27 &amp; " Corp","YLD_YTM_ask")</f>
        <v>134.57293100000001</v>
      </c>
      <c r="H27" s="100">
        <f>_xll.BDP(B27 &amp; " Corp","CPN")</f>
        <v>10</v>
      </c>
      <c r="I27" s="100" t="str">
        <f>_xll.BDP(B27&amp; " Corp","MATURITY")</f>
        <v>26/04/2019</v>
      </c>
      <c r="J27" s="100" t="str">
        <f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/WD/C</v>
      </c>
      <c r="K27" s="100" t="str">
        <f>_xll.BDP($B27&amp; " Corp","INDUSTRY_SUBGROUP")</f>
        <v>Commer Banks Non-US</v>
      </c>
      <c r="L27" s="100" t="str">
        <f>_xll.BDP(B27 &amp; " Corp","CRNCY")</f>
        <v>USD</v>
      </c>
      <c r="M27" s="100" t="str">
        <f>_xll.BDP(B27 &amp; " Corp","CNTRY_OF_RISK")</f>
        <v>RU</v>
      </c>
      <c r="N27" s="100" t="str">
        <f>_xll.BDP($B27&amp; " Corp","PAYMENT_RANK")</f>
        <v>Subordinated</v>
      </c>
      <c r="O27" s="100" t="str">
        <f>_xll.BDP($B27&amp; " Corp","MTY_TYP")</f>
        <v>AT MATURITY</v>
      </c>
      <c r="P27" s="100" t="str">
        <f>_xll.BDP($B27&amp; " Corp","RUSSIAN_CB_LOMBARD")</f>
        <v>N</v>
      </c>
      <c r="Q27" s="102">
        <f>_xll.BDP(B27&amp;" Corp", "INTERVAL_PERCENT_CHANGE", "END_DATE_OVERRIDE"," ", "START_DATE_OVERRIDe",R27)</f>
        <v>2.1767537094390654</v>
      </c>
      <c r="R27" s="101">
        <v>20140716</v>
      </c>
      <c r="S27" s="100">
        <f>_xll.BDP($B27&amp; " Corp","PX_GROSS_MID")</f>
        <v>26.974222222222224</v>
      </c>
      <c r="T27" s="99">
        <f>_xll.BDP($B27&amp; " Corp","MIN_PIECE")</f>
        <v>200000</v>
      </c>
    </row>
    <row r="28" spans="1:20" s="1" customFormat="1" ht="15.75" x14ac:dyDescent="0.25">
      <c r="A28" s="100" t="str">
        <f>_xll.BDP(B28&amp; " Corp","name")</f>
        <v>CEB CPTL (CREDIT EUR BK)</v>
      </c>
      <c r="B28" s="100" t="s">
        <v>392</v>
      </c>
      <c r="C28" s="100">
        <f>_xll.BDP(B28 &amp; " Corp","MTY_YEARS_TDY")</f>
        <v>2.1656399726214923</v>
      </c>
      <c r="D28" s="100">
        <f>_xll.BDP(B28 &amp; " Corp","px_last")</f>
        <v>105.2298</v>
      </c>
      <c r="E28" s="100">
        <f>_xll.BDP(B28 &amp; " Corp","px_ask")</f>
        <v>105.998</v>
      </c>
      <c r="F28" s="100">
        <f>_xll.BDP(B28 &amp; " Corp","YLD_YTM_BID")</f>
        <v>6.2482895000000003</v>
      </c>
      <c r="G28" s="100">
        <f>_xll.BDP(B28 &amp; " Corp","YLD_YTM_ask")</f>
        <v>5.5048196000000003</v>
      </c>
      <c r="H28" s="100">
        <f>_xll.BDP(B28 &amp; " Corp","CPN")</f>
        <v>8.5</v>
      </c>
      <c r="I28" s="100" t="str">
        <f>_xll.BDP(B28&amp; " Corp","MATURITY")</f>
        <v>15/11/2019</v>
      </c>
      <c r="J28" s="100" t="str">
        <f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/B+/B2</v>
      </c>
      <c r="K28" s="100" t="str">
        <f>_xll.BDP($B28&amp; " Corp","INDUSTRY_SUBGROUP")</f>
        <v>Commer Banks Non-US</v>
      </c>
      <c r="L28" s="100" t="str">
        <f>_xll.BDP(B28 &amp; " Corp","CRNCY")</f>
        <v>USD</v>
      </c>
      <c r="M28" s="100" t="str">
        <f>_xll.BDP(B28 &amp; " Corp","CNTRY_OF_RISK")</f>
        <v>RU</v>
      </c>
      <c r="N28" s="100" t="str">
        <f>_xll.BDP($B28&amp; " Corp","PAYMENT_RANK")</f>
        <v>Subordinated</v>
      </c>
      <c r="O28" s="100" t="str">
        <f>_xll.BDP($B28&amp; " Corp","MTY_TYP")</f>
        <v>AT MATURITY</v>
      </c>
      <c r="P28" s="100" t="str">
        <f>_xll.BDP($B28&amp; " Corp","RUSSIAN_CB_LOMBARD")</f>
        <v>N</v>
      </c>
      <c r="Q28" s="102">
        <f>_xll.BDP(B28&amp;" Corp", "INTERVAL_PERCENT_CHANGE", "END_DATE_OVERRIDE"," ", "START_DATE_OVERRIDe",R28)</f>
        <v>-8.5247883917775091</v>
      </c>
      <c r="R28" s="101">
        <v>20140716</v>
      </c>
      <c r="S28" s="100">
        <f>_xll.BDP($B28&amp; " Corp","PX_GROSS_MID")</f>
        <v>108.15777777777778</v>
      </c>
      <c r="T28" s="99">
        <f>_xll.BDP($B28&amp; " Corp","MIN_PIECE")</f>
        <v>200000</v>
      </c>
    </row>
    <row r="29" spans="1:20" ht="15.75" x14ac:dyDescent="0.25">
      <c r="A29" s="106" t="str">
        <f>_xll.BDP(B29&amp; " Corp","name")</f>
        <v>HACIENDA (DME AIRPORT)</v>
      </c>
      <c r="B29" s="100" t="s">
        <v>391</v>
      </c>
      <c r="C29" s="100">
        <f>_xll.BDP(B29 &amp; " Corp","MTY_YEARS_TDY")</f>
        <v>1.2238193018480492</v>
      </c>
      <c r="D29" s="100">
        <f>_xll.BDP(B29 &amp; " Corp","px_last")</f>
        <v>103.371</v>
      </c>
      <c r="E29" s="100">
        <f>_xll.BDP(B29 &amp; " Corp","px_ask")</f>
        <v>103.943</v>
      </c>
      <c r="F29" s="100">
        <f>_xll.BDP(B29 &amp; " Corp","YLD_YTM_BID")</f>
        <v>3.2954824247873038</v>
      </c>
      <c r="G29" s="100">
        <f>_xll.BDP(B29 &amp; " Corp","YLD_YTM_ask")</f>
        <v>2.866185798603484</v>
      </c>
      <c r="H29" s="100">
        <f>_xll.BDP(B29 &amp; " Corp","CPN")</f>
        <v>6</v>
      </c>
      <c r="I29" s="100" t="str">
        <f>_xll.BDP(B29&amp; " Corp","MATURITY")</f>
        <v>26/11/2018</v>
      </c>
      <c r="J29" s="100" t="str">
        <f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BB+/BB+/</v>
      </c>
      <c r="K29" s="100" t="str">
        <f>_xll.BDP($B29&amp; " Corp","INDUSTRY_SUBGROUP")</f>
        <v>Airport Develop/Maint</v>
      </c>
      <c r="L29" s="100" t="str">
        <f>_xll.BDP(B29 &amp; " Corp","CRNCY")</f>
        <v>USD</v>
      </c>
      <c r="M29" s="100" t="str">
        <f>_xll.BDP(B29 &amp; " Corp","CNTRY_OF_RISK")</f>
        <v>RU</v>
      </c>
      <c r="N29" s="100" t="str">
        <f>_xll.BDP($B29&amp; " Corp","PAYMENT_RANK")</f>
        <v>Sr Unsecured</v>
      </c>
      <c r="O29" s="100" t="str">
        <f>_xll.BDP($B29&amp; " Corp","MTY_TYP")</f>
        <v>AT MATURITY</v>
      </c>
      <c r="P29" s="100" t="str">
        <f>_xll.BDP($B29&amp; " Corp","RUSSIAN_CB_LOMBARD")</f>
        <v>Y</v>
      </c>
      <c r="Q29" s="102">
        <f>_xll.BDP(B29&amp;" Corp", "INTERVAL_PERCENT_CHANGE", "END_DATE_OVERRIDE"," ", "START_DATE_OVERRIDe",R29)</f>
        <v>0.29436322387221497</v>
      </c>
      <c r="R29" s="101">
        <v>20140716</v>
      </c>
      <c r="S29" s="100">
        <f>_xll.BDP($B29&amp; " Corp","PX_GROSS_MID")</f>
        <v>105.26949999999999</v>
      </c>
      <c r="T29" s="99">
        <f>_xll.BDP($B29&amp; " Corp","MIN_PIECE")</f>
        <v>200000</v>
      </c>
    </row>
    <row r="30" spans="1:20" ht="15.75" x14ac:dyDescent="0.25">
      <c r="A30" s="100" t="str">
        <f>_xll.BDP(B30&amp; " Corp","name")</f>
        <v>ALFA BANK (ALFA BOND)</v>
      </c>
      <c r="B30" s="100" t="s">
        <v>390</v>
      </c>
      <c r="C30" s="100">
        <f>_xll.BDP(B30 &amp; " Corp","MTY_YEARS_TDY")</f>
        <v>2.0561259411362083</v>
      </c>
      <c r="D30" s="100">
        <f>_xll.BDP(B30 &amp; " Corp","px_last")</f>
        <v>106.97</v>
      </c>
      <c r="E30" s="100">
        <f>_xll.BDP(B30 &amp; " Corp","px_ask")</f>
        <v>107.339</v>
      </c>
      <c r="F30" s="100">
        <f>_xll.BDP(B30 &amp; " Corp","YLD_YTM_BID")</f>
        <v>4.0261338999999996</v>
      </c>
      <c r="G30" s="100">
        <f>_xll.BDP(B30 &amp; " Corp","YLD_YTM_ask")</f>
        <v>3.7301375999999999</v>
      </c>
      <c r="H30" s="100">
        <f>_xll.BDP(B30 &amp; " Corp","CPN")</f>
        <v>7.5</v>
      </c>
      <c r="I30" s="100" t="str">
        <f>_xll.BDP(B30&amp; " Corp","MATURITY")</f>
        <v>26/09/2019</v>
      </c>
      <c r="J30" s="100" t="str">
        <f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B/BB/Ba3</v>
      </c>
      <c r="K30" s="100" t="str">
        <f>_xll.BDP($B30&amp; " Corp","INDUSTRY_SUBGROUP")</f>
        <v>Commer Banks Non-US</v>
      </c>
      <c r="L30" s="100" t="str">
        <f>_xll.BDP(B30 &amp; " Corp","CRNCY")</f>
        <v>USD</v>
      </c>
      <c r="M30" s="100" t="str">
        <f>_xll.BDP(B30 &amp; " Corp","CNTRY_OF_RISK")</f>
        <v>RU</v>
      </c>
      <c r="N30" s="100" t="str">
        <f>_xll.BDP($B30&amp; " Corp","PAYMENT_RANK")</f>
        <v>Subordinated</v>
      </c>
      <c r="O30" s="100" t="str">
        <f>_xll.BDP($B30&amp; " Corp","MTY_TYP")</f>
        <v>AT MATURITY</v>
      </c>
      <c r="P30" s="100" t="str">
        <f>_xll.BDP($B30&amp; " Corp","RUSSIAN_CB_LOMBARD")</f>
        <v>N</v>
      </c>
      <c r="Q30" s="102">
        <f>_xll.BDP(B30&amp;" Corp", "INTERVAL_PERCENT_CHANGE", "END_DATE_OVERRIDE"," ", "START_DATE_OVERRIDe",R30)</f>
        <v>5.0884328316229359</v>
      </c>
      <c r="R30" s="101">
        <v>20140716</v>
      </c>
      <c r="S30" s="100">
        <f>_xll.BDP($B30&amp; " Corp","PX_GROSS_MID")</f>
        <v>110.57366666666667</v>
      </c>
      <c r="T30" s="99">
        <f>_xll.BDP($B30&amp; " Corp","MIN_PIECE")</f>
        <v>200000</v>
      </c>
    </row>
    <row r="31" spans="1:20" ht="15.75" x14ac:dyDescent="0.25">
      <c r="A31" s="100" t="str">
        <f>_xll.BDP(B31&amp; " Corp","name")</f>
        <v>OJSC RASPAD SEC LTD</v>
      </c>
      <c r="B31" s="100" t="s">
        <v>389</v>
      </c>
      <c r="C31" s="100">
        <f>_xll.BDP(B31 &amp; " Corp","MTY_YEARS_TDY")</f>
        <v>-0.38603696098562629</v>
      </c>
      <c r="D31" s="100" t="str">
        <f>_xll.BDP(B31 &amp; " Corp","px_last")</f>
        <v>#N/A Field Not Applicable</v>
      </c>
      <c r="E31" s="100" t="str">
        <f>_xll.BDP(B31 &amp; " Corp","px_ask")</f>
        <v>#N/A N/A</v>
      </c>
      <c r="F31" s="100" t="str">
        <f>_xll.BDP(B31 &amp; " Corp","YLD_YTM_BID")</f>
        <v>#N/A N/A</v>
      </c>
      <c r="G31" s="100" t="str">
        <f>_xll.BDP(B31 &amp; " Corp","YLD_YTM_ask")</f>
        <v>#N/A N/A</v>
      </c>
      <c r="H31" s="100">
        <f>_xll.BDP(B31 &amp; " Corp","CPN")</f>
        <v>7.75</v>
      </c>
      <c r="I31" s="100" t="str">
        <f>_xll.BDP(B31&amp; " Corp","MATURITY")</f>
        <v>27/04/2017</v>
      </c>
      <c r="J31" s="100" t="str">
        <f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/NR/WR</v>
      </c>
      <c r="K31" s="100" t="str">
        <f>_xll.BDP($B31&amp; " Corp","INDUSTRY_SUBGROUP")</f>
        <v>Coal</v>
      </c>
      <c r="L31" s="100" t="str">
        <f>_xll.BDP(B31 &amp; " Corp","CRNCY")</f>
        <v>USD</v>
      </c>
      <c r="M31" s="100" t="str">
        <f>_xll.BDP(B31 &amp; " Corp","CNTRY_OF_RISK")</f>
        <v>RU</v>
      </c>
      <c r="N31" s="100" t="str">
        <f>_xll.BDP($B31&amp; " Corp","PAYMENT_RANK")</f>
        <v>Sr Unsecured</v>
      </c>
      <c r="O31" s="100" t="str">
        <f>_xll.BDP($B31&amp; " Corp","MTY_TYP")</f>
        <v>AT MATURITY</v>
      </c>
      <c r="P31" s="100" t="str">
        <f>_xll.BDP($B31&amp; " Corp","RUSSIAN_CB_LOMBARD")</f>
        <v>Y</v>
      </c>
      <c r="Q31" s="102">
        <f>_xll.BDP(B31&amp;" Corp", "INTERVAL_PERCENT_CHANGE", "END_DATE_OVERRIDE"," ", "START_DATE_OVERRIDe",R31)</f>
        <v>3.8766431089586812</v>
      </c>
      <c r="R31" s="101">
        <v>20140716</v>
      </c>
      <c r="S31" s="100" t="str">
        <f>_xll.BDP($B31&amp; " Corp","PX_GROSS_MID")</f>
        <v>#N/A N/A</v>
      </c>
      <c r="T31" s="99">
        <f>_xll.BDP($B31&amp; " Corp","MIN_PIECE")</f>
        <v>200000</v>
      </c>
    </row>
    <row r="32" spans="1:20" ht="15.75" x14ac:dyDescent="0.25">
      <c r="A32" s="100" t="str">
        <f>_xll.BDP(B32&amp; " Corp","name")</f>
        <v>SISTEMA JSFC (SISTEMA IN</v>
      </c>
      <c r="B32" s="100" t="s">
        <v>388</v>
      </c>
      <c r="C32" s="100">
        <f>_xll.BDP(B32 &amp; " Corp","MTY_YEARS_TDY")</f>
        <v>1.6947296372347707</v>
      </c>
      <c r="D32" s="100">
        <f>_xll.BDP(B32 &amp; " Corp","px_last")</f>
        <v>98.72</v>
      </c>
      <c r="E32" s="100">
        <f>_xll.BDP(B32 &amp; " Corp","px_ask")</f>
        <v>99.998000000000005</v>
      </c>
      <c r="F32" s="100">
        <f>_xll.BDP(B32 &amp; " Corp","YLD_YTM_BID")</f>
        <v>7.8808940999999999</v>
      </c>
      <c r="G32" s="100">
        <f>_xll.BDP(B32 &amp; " Corp","YLD_YTM_ask")</f>
        <v>7.4272723000000003</v>
      </c>
      <c r="H32" s="100">
        <f>_xll.BDP(B32 &amp; " Corp","CPN")</f>
        <v>6.95</v>
      </c>
      <c r="I32" s="100" t="str">
        <f>_xll.BDP(B32&amp; " Corp","MATURITY")</f>
        <v>17/05/2019</v>
      </c>
      <c r="J32" s="100" t="str">
        <f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BB /*-/BB- /*-/</v>
      </c>
      <c r="K32" s="100" t="str">
        <f>_xll.BDP($B32&amp; " Corp","INDUSTRY_SUBGROUP")</f>
        <v>Special Purpose Entity</v>
      </c>
      <c r="L32" s="100" t="str">
        <f>_xll.BDP(B32 &amp; " Corp","CRNCY")</f>
        <v>USD</v>
      </c>
      <c r="M32" s="100" t="str">
        <f>_xll.BDP(B32 &amp; " Corp","CNTRY_OF_RISK")</f>
        <v>RU</v>
      </c>
      <c r="N32" s="100" t="str">
        <f>_xll.BDP($B32&amp; " Corp","PAYMENT_RANK")</f>
        <v>Sr Unsecured</v>
      </c>
      <c r="O32" s="100" t="str">
        <f>_xll.BDP($B32&amp; " Corp","MTY_TYP")</f>
        <v>AT MATURITY</v>
      </c>
      <c r="P32" s="100" t="str">
        <f>_xll.BDP($B32&amp; " Corp","RUSSIAN_CB_LOMBARD")</f>
        <v>Y</v>
      </c>
      <c r="Q32" s="102">
        <f>_xll.BDP(B32&amp;" Corp", "INTERVAL_PERCENT_CHANGE", "END_DATE_OVERRIDE"," ", "START_DATE_OVERRIDe",R32)</f>
        <v>0.4908630890286006</v>
      </c>
      <c r="R32" s="101">
        <v>20140716</v>
      </c>
      <c r="S32" s="100">
        <f>_xll.BDP($B32&amp; " Corp","PX_GROSS_MID")</f>
        <v>101.26277777777777</v>
      </c>
      <c r="T32" s="99">
        <f>_xll.BDP($B32&amp; " Corp","MIN_PIECE")</f>
        <v>200000</v>
      </c>
    </row>
    <row r="33" spans="1:20" ht="15.75" x14ac:dyDescent="0.25">
      <c r="A33" s="106" t="str">
        <f>_xll.BDP(B33&amp; " Corp","name")</f>
        <v>GAZPROMBK (GPB FINANCE)</v>
      </c>
      <c r="B33" s="100" t="s">
        <v>387</v>
      </c>
      <c r="C33" s="100">
        <f>_xll.BDP(B33 &amp; " Corp","MTY_YEARS_TDY")</f>
        <v>1.6563997262149213</v>
      </c>
      <c r="D33" s="100">
        <f>_xll.BDP(B33 &amp; " Corp","px_last")</f>
        <v>105.926</v>
      </c>
      <c r="E33" s="100">
        <f>_xll.BDP(B33 &amp; " Corp","px_ask")</f>
        <v>105.986</v>
      </c>
      <c r="F33" s="100">
        <f>_xll.BDP(B33 &amp; " Corp","YLD_YTM_BID")</f>
        <v>4.0244799999999996</v>
      </c>
      <c r="G33" s="100">
        <f>_xll.BDP(B33 &amp; " Corp","YLD_YTM_ask")</f>
        <v>3.6621939999999999</v>
      </c>
      <c r="H33" s="100">
        <f>_xll.BDP(B33 &amp; " Corp","CPN")</f>
        <v>7.25</v>
      </c>
      <c r="I33" s="100" t="str">
        <f>_xll.BDP(B33&amp; " Corp","MATURITY")</f>
        <v>03/05/2019</v>
      </c>
      <c r="J33" s="100" t="str">
        <f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B-/BB/B2</v>
      </c>
      <c r="K33" s="100" t="str">
        <f>_xll.BDP($B33&amp; " Corp","INDUSTRY_SUBGROUP")</f>
        <v>Commer Banks Non-US</v>
      </c>
      <c r="L33" s="100" t="str">
        <f>_xll.BDP(B33 &amp; " Corp","CRNCY")</f>
        <v>USD</v>
      </c>
      <c r="M33" s="100" t="str">
        <f>_xll.BDP(B33 &amp; " Corp","CNTRY_OF_RISK")</f>
        <v>RU</v>
      </c>
      <c r="N33" s="100" t="str">
        <f>_xll.BDP($B33&amp; " Corp","PAYMENT_RANK")</f>
        <v>Subordinated</v>
      </c>
      <c r="O33" s="100" t="str">
        <f>_xll.BDP($B33&amp; " Corp","MTY_TYP")</f>
        <v>AT MATURITY</v>
      </c>
      <c r="P33" s="100" t="str">
        <f>_xll.BDP($B33&amp; " Corp","RUSSIAN_CB_LOMBARD")</f>
        <v>N</v>
      </c>
      <c r="Q33" s="102">
        <f>_xll.BDP(B33&amp;" Corp", "INTERVAL_PERCENT_CHANGE", "END_DATE_OVERRIDE"," ", "START_DATE_OVERRIDe",R33)</f>
        <v>-0.34683150363810039</v>
      </c>
      <c r="R33" s="101">
        <v>20140716</v>
      </c>
      <c r="S33" s="100">
        <f>_xll.BDP($B33&amp; " Corp","PX_GROSS_MID")</f>
        <v>108.0413888888889</v>
      </c>
      <c r="T33" s="99">
        <f>_xll.BDP($B33&amp; " Corp","MIN_PIECE")</f>
        <v>200000</v>
      </c>
    </row>
    <row r="34" spans="1:20" ht="15.75" x14ac:dyDescent="0.25">
      <c r="A34" s="108" t="str">
        <f>_xll.BDP(B34&amp; " Corp","name")</f>
        <v>OAO TMK (TMK CAPITAL)</v>
      </c>
      <c r="B34" s="100" t="s">
        <v>386</v>
      </c>
      <c r="C34" s="100">
        <f>_xll.BDP(B34 &amp; " Corp","MTY_YEARS_TDY")</f>
        <v>0.3942505133470226</v>
      </c>
      <c r="D34" s="100">
        <f>_xll.BDP(B34 &amp; " Corp","px_last")</f>
        <v>101.554</v>
      </c>
      <c r="E34" s="100">
        <f>_xll.BDP(B34 &amp; " Corp","px_ask")</f>
        <v>102.759</v>
      </c>
      <c r="F34" s="100">
        <f>_xll.BDP(B34 &amp; " Corp","YLD_YTM_BID")</f>
        <v>3.9747647928560506</v>
      </c>
      <c r="G34" s="100">
        <f>_xll.BDP(B34 &amp; " Corp","YLD_YTM_ask")</f>
        <v>2.6140236713859402</v>
      </c>
      <c r="H34" s="100">
        <f>_xll.BDP(B34 &amp; " Corp","CPN")</f>
        <v>7.75</v>
      </c>
      <c r="I34" s="100" t="str">
        <f>_xll.BDP(B34&amp; " Corp","MATURITY")</f>
        <v>27/01/2018</v>
      </c>
      <c r="J34" s="100" t="str">
        <f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B+//B1</v>
      </c>
      <c r="K34" s="100" t="str">
        <f>_xll.BDP($B34&amp; " Corp","INDUSTRY_SUBGROUP")</f>
        <v>Steel Pipe&amp;Tube</v>
      </c>
      <c r="L34" s="100" t="str">
        <f>_xll.BDP(B34 &amp; " Corp","CRNCY")</f>
        <v>USD</v>
      </c>
      <c r="M34" s="100" t="str">
        <f>_xll.BDP(B34 &amp; " Corp","CNTRY_OF_RISK")</f>
        <v>RU</v>
      </c>
      <c r="N34" s="100" t="str">
        <f>_xll.BDP($B34&amp; " Corp","PAYMENT_RANK")</f>
        <v>Sr Unsecured</v>
      </c>
      <c r="O34" s="100" t="str">
        <f>_xll.BDP($B34&amp; " Corp","MTY_TYP")</f>
        <v>AT MATURITY</v>
      </c>
      <c r="P34" s="100" t="str">
        <f>_xll.BDP($B34&amp; " Corp","RUSSIAN_CB_LOMBARD")</f>
        <v>Y</v>
      </c>
      <c r="Q34" s="102">
        <f>_xll.BDP(B34&amp;" Corp", "INTERVAL_PERCENT_CHANGE", "END_DATE_OVERRIDE"," ", "START_DATE_OVERRIDe",R34)</f>
        <v>-0.1628466294111591</v>
      </c>
      <c r="R34" s="101">
        <v>20140716</v>
      </c>
      <c r="S34" s="100">
        <f>_xll.BDP($B34&amp; " Corp","PX_GROSS_MID")</f>
        <v>102.67294444444445</v>
      </c>
      <c r="T34" s="99">
        <f>_xll.BDP($B34&amp; " Corp","MIN_PIECE")</f>
        <v>200000</v>
      </c>
    </row>
    <row r="35" spans="1:20" ht="15.75" x14ac:dyDescent="0.25">
      <c r="A35" s="100" t="str">
        <f>_xll.BDP(B35&amp; " Corp","name")</f>
        <v>OFCB CAPITAL PLC</v>
      </c>
      <c r="B35" s="100" t="s">
        <v>385</v>
      </c>
      <c r="C35" s="100">
        <f>_xll.BDP(B35 &amp; " Corp","MTY_YEARS_TDY")</f>
        <v>0.6078028747433265</v>
      </c>
      <c r="D35" s="100">
        <f>_xll.BDP(B35 &amp; " Corp","px_last")</f>
        <v>99.049000000000007</v>
      </c>
      <c r="E35" s="100">
        <f>_xll.BDP(B35 &amp; " Corp","px_ask")</f>
        <v>99.004999999999995</v>
      </c>
      <c r="F35" s="100">
        <f>_xll.BDP(B35 &amp; " Corp","YLD_YTM_BID")</f>
        <v>9.3825397000000006</v>
      </c>
      <c r="G35" s="100">
        <f>_xll.BDP(B35 &amp; " Corp","YLD_YTM_ask")</f>
        <v>8.0777072000000008</v>
      </c>
      <c r="H35" s="100">
        <f>_xll.BDP(B35 &amp; " Corp","CPN")</f>
        <v>7.25</v>
      </c>
      <c r="I35" s="100" t="str">
        <f>_xll.BDP(B35&amp; " Corp","MATURITY")</f>
        <v>25/04/2018</v>
      </c>
      <c r="J35" s="100" t="str">
        <f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/WD/B2</v>
      </c>
      <c r="K35" s="100" t="str">
        <f>_xll.BDP($B35&amp; " Corp","INDUSTRY_SUBGROUP")</f>
        <v>Commer Banks Non-US</v>
      </c>
      <c r="L35" s="100" t="str">
        <f>_xll.BDP(B35 &amp; " Corp","CRNCY")</f>
        <v>USD</v>
      </c>
      <c r="M35" s="100" t="str">
        <f>_xll.BDP(B35 &amp; " Corp","CNTRY_OF_RISK")</f>
        <v>RU</v>
      </c>
      <c r="N35" s="100" t="str">
        <f>_xll.BDP($B35&amp; " Corp","PAYMENT_RANK")</f>
        <v>Sr Unsecured</v>
      </c>
      <c r="O35" s="100" t="str">
        <f>_xll.BDP($B35&amp; " Corp","MTY_TYP")</f>
        <v>AT MATURITY</v>
      </c>
      <c r="P35" s="100" t="str">
        <f>_xll.BDP($B35&amp; " Corp","RUSSIAN_CB_LOMBARD")</f>
        <v>Y</v>
      </c>
      <c r="Q35" s="102">
        <f>_xll.BDP(B35&amp;" Corp", "INTERVAL_PERCENT_CHANGE", "END_DATE_OVERRIDE"," ", "START_DATE_OVERRIDe",R35)</f>
        <v>4.2713155885331204</v>
      </c>
      <c r="R35" s="101">
        <v>20140716</v>
      </c>
      <c r="S35" s="100">
        <f>_xll.BDP($B35&amp; " Corp","PX_GROSS_MID")</f>
        <v>102.04150000000001</v>
      </c>
      <c r="T35" s="99">
        <f>_xll.BDP($B35&amp; " Corp","MIN_PIECE")</f>
        <v>200000</v>
      </c>
    </row>
    <row r="36" spans="1:20" ht="15.75" x14ac:dyDescent="0.25">
      <c r="A36" s="100" t="str">
        <f>_xll.BDP(B36&amp; " Corp","name")</f>
        <v>EVRAZ GROUP SA</v>
      </c>
      <c r="B36" s="100" t="s">
        <v>384</v>
      </c>
      <c r="C36" s="100">
        <f>_xll.BDP(B36 &amp; " Corp","MTY_YEARS_TDY")</f>
        <v>0.63244353182751545</v>
      </c>
      <c r="D36" s="100">
        <f>_xll.BDP(B36 &amp; " Corp","px_last")</f>
        <v>104.399</v>
      </c>
      <c r="E36" s="100">
        <f>_xll.BDP(B36 &amp; " Corp","px_ask")</f>
        <v>104.947</v>
      </c>
      <c r="F36" s="100">
        <f>_xll.BDP(B36 &amp; " Corp","YLD_YTM_BID")</f>
        <v>2.3620733936865128</v>
      </c>
      <c r="G36" s="100">
        <f>_xll.BDP(B36 &amp; " Corp","YLD_YTM_ask")</f>
        <v>1.7293043600684725</v>
      </c>
      <c r="H36" s="100">
        <f>_xll.BDP(B36 &amp; " Corp","CPN")</f>
        <v>9.5</v>
      </c>
      <c r="I36" s="100" t="str">
        <f>_xll.BDP(B36&amp; " Corp","MATURITY")</f>
        <v>24/04/2018</v>
      </c>
      <c r="J36" s="100" t="str">
        <f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B+/BB-/B1</v>
      </c>
      <c r="K36" s="100" t="str">
        <f>_xll.BDP($B36&amp; " Corp","INDUSTRY_SUBGROUP")</f>
        <v>Steel-Producers</v>
      </c>
      <c r="L36" s="100" t="str">
        <f>_xll.BDP(B36 &amp; " Corp","CRNCY")</f>
        <v>USD</v>
      </c>
      <c r="M36" s="100" t="str">
        <f>_xll.BDP(B36 &amp; " Corp","CNTRY_OF_RISK")</f>
        <v>RU</v>
      </c>
      <c r="N36" s="100" t="str">
        <f>_xll.BDP($B36&amp; " Corp","PAYMENT_RANK")</f>
        <v>Sr Unsecured</v>
      </c>
      <c r="O36" s="100" t="str">
        <f>_xll.BDP($B36&amp; " Corp","MTY_TYP")</f>
        <v>AT MATURITY</v>
      </c>
      <c r="P36" s="100" t="str">
        <f>_xll.BDP($B36&amp; " Corp","RUSSIAN_CB_LOMBARD")</f>
        <v>Y</v>
      </c>
      <c r="Q36" s="102">
        <f>_xll.BDP(B36&amp;" Corp", "INTERVAL_PERCENT_CHANGE", "END_DATE_OVERRIDE"," ", "START_DATE_OVERRIDe",R36)</f>
        <v>0.36294073144051481</v>
      </c>
      <c r="R36" s="101">
        <v>20140716</v>
      </c>
      <c r="S36" s="100">
        <f>_xll.BDP($B36&amp; " Corp","PX_GROSS_MID")</f>
        <v>108.22538888888889</v>
      </c>
      <c r="T36" s="99">
        <f>_xll.BDP($B36&amp; " Corp","MIN_PIECE")</f>
        <v>100000</v>
      </c>
    </row>
    <row r="37" spans="1:20" ht="15.75" x14ac:dyDescent="0.25">
      <c r="A37" s="106" t="str">
        <f>_xll.BDP(B37&amp; " Corp","name")</f>
        <v>EVRAZ GROUP SA</v>
      </c>
      <c r="B37" s="100" t="s">
        <v>383</v>
      </c>
      <c r="C37" s="100">
        <f>_xll.BDP(B37 &amp; " Corp","MTY_YEARS_TDY")</f>
        <v>0.64065708418891165</v>
      </c>
      <c r="D37" s="100">
        <f>_xll.BDP(B37 &amp; " Corp","px_last")</f>
        <v>102.586</v>
      </c>
      <c r="E37" s="100">
        <f>_xll.BDP(B37 &amp; " Corp","px_ask")</f>
        <v>102.98</v>
      </c>
      <c r="F37" s="100">
        <f>_xll.BDP(B37 &amp; " Corp","YLD_YTM_BID")</f>
        <v>2.96977</v>
      </c>
      <c r="G37" s="100">
        <f>_xll.BDP(B37 &amp; " Corp","YLD_YTM_ask")</f>
        <v>1.9563768000000001</v>
      </c>
      <c r="H37" s="100">
        <f>_xll.BDP(B37 &amp; " Corp","CPN")</f>
        <v>6.75</v>
      </c>
      <c r="I37" s="100" t="str">
        <f>_xll.BDP(B37&amp; " Corp","MATURITY")</f>
        <v>27/04/2018</v>
      </c>
      <c r="J37" s="100" t="str">
        <f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B+/BB-/B1</v>
      </c>
      <c r="K37" s="100" t="str">
        <f>_xll.BDP($B37&amp; " Corp","INDUSTRY_SUBGROUP")</f>
        <v>Steel-Producers</v>
      </c>
      <c r="L37" s="100" t="str">
        <f>_xll.BDP(B37 &amp; " Corp","CRNCY")</f>
        <v>USD</v>
      </c>
      <c r="M37" s="100" t="str">
        <f>_xll.BDP(B37 &amp; " Corp","CNTRY_OF_RISK")</f>
        <v>RU</v>
      </c>
      <c r="N37" s="100" t="str">
        <f>_xll.BDP($B37&amp; " Corp","PAYMENT_RANK")</f>
        <v>Sr Unsecured</v>
      </c>
      <c r="O37" s="100" t="str">
        <f>_xll.BDP($B37&amp; " Corp","MTY_TYP")</f>
        <v>AT MATURITY</v>
      </c>
      <c r="P37" s="100" t="str">
        <f>_xll.BDP($B37&amp; " Corp","RUSSIAN_CB_LOMBARD")</f>
        <v>Y</v>
      </c>
      <c r="Q37" s="102">
        <f>_xll.BDP(B37&amp;" Corp", "INTERVAL_PERCENT_CHANGE", "END_DATE_OVERRIDE"," ", "START_DATE_OVERRIDe",R37)</f>
        <v>4.8028696700221447</v>
      </c>
      <c r="R37" s="101">
        <v>20140716</v>
      </c>
      <c r="S37" s="100">
        <f>_xll.BDP($B37&amp; " Corp","PX_GROSS_MID")</f>
        <v>105.221</v>
      </c>
      <c r="T37" s="99">
        <f>_xll.BDP($B37&amp; " Corp","MIN_PIECE")</f>
        <v>200000</v>
      </c>
    </row>
    <row r="38" spans="1:20" ht="15.75" x14ac:dyDescent="0.25">
      <c r="A38" s="100" t="str">
        <f>_xll.BDP(B38&amp; " Corp","name")</f>
        <v>CREDIT BANK OF MOSCOW (C</v>
      </c>
      <c r="B38" s="100" t="s">
        <v>382</v>
      </c>
      <c r="C38" s="100">
        <f>_xll.BDP(B38 &amp; " Corp","MTY_YEARS_TDY")</f>
        <v>0.40793976728268311</v>
      </c>
      <c r="D38" s="100">
        <f>_xll.BDP(B38 &amp; " Corp","px_last")</f>
        <v>101.376</v>
      </c>
      <c r="E38" s="100">
        <f>_xll.BDP(B38 &amp; " Corp","px_ask")</f>
        <v>101.277</v>
      </c>
      <c r="F38" s="100">
        <f>_xll.BDP(B38 &amp; " Corp","YLD_YTM_BID")</f>
        <v>4.8032240037674869</v>
      </c>
      <c r="G38" s="100">
        <f>_xll.BDP(B38 &amp; " Corp","YLD_YTM_ask")</f>
        <v>2.9125543597187011</v>
      </c>
      <c r="H38" s="100">
        <f>_xll.BDP(B38 &amp; " Corp","CPN")</f>
        <v>7.7</v>
      </c>
      <c r="I38" s="100" t="str">
        <f>_xll.BDP(B38&amp; " Corp","MATURITY")</f>
        <v>01/02/2018</v>
      </c>
      <c r="J38" s="100" t="str">
        <f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BB-/BB-/B1</v>
      </c>
      <c r="K38" s="100" t="str">
        <f>_xll.BDP($B38&amp; " Corp","INDUSTRY_SUBGROUP")</f>
        <v>Commer Banks Non-US</v>
      </c>
      <c r="L38" s="100" t="str">
        <f>_xll.BDP(B38 &amp; " Corp","CRNCY")</f>
        <v>USD</v>
      </c>
      <c r="M38" s="100" t="str">
        <f>_xll.BDP(B38 &amp; " Corp","CNTRY_OF_RISK")</f>
        <v>RU</v>
      </c>
      <c r="N38" s="100" t="str">
        <f>_xll.BDP($B38&amp; " Corp","PAYMENT_RANK")</f>
        <v>Sr Unsecured</v>
      </c>
      <c r="O38" s="100" t="str">
        <f>_xll.BDP($B38&amp; " Corp","MTY_TYP")</f>
        <v>AT MATURITY</v>
      </c>
      <c r="P38" s="100" t="str">
        <f>_xll.BDP($B38&amp; " Corp","RUSSIAN_CB_LOMBARD")</f>
        <v>Y</v>
      </c>
      <c r="Q38" s="102">
        <f>_xll.BDP(B38&amp;" Corp", "INTERVAL_PERCENT_CHANGE", "END_DATE_OVERRIDE"," ", "START_DATE_OVERRIDe",R38)</f>
        <v>2.3444068603683945</v>
      </c>
      <c r="R38" s="101">
        <v>20140716</v>
      </c>
      <c r="S38" s="100">
        <f>_xll.BDP($B38&amp; " Corp","PX_GROSS_MID")</f>
        <v>102.40266666666668</v>
      </c>
      <c r="T38" s="99">
        <f>_xll.BDP($B38&amp; " Corp","MIN_PIECE")</f>
        <v>200000</v>
      </c>
    </row>
    <row r="39" spans="1:20" ht="15.75" x14ac:dyDescent="0.25">
      <c r="A39" s="100" t="str">
        <f>_xll.BDP(B39&amp; " Corp","name")</f>
        <v>VIMPELCOM HOLDINGS BV</v>
      </c>
      <c r="B39" s="100" t="s">
        <v>381</v>
      </c>
      <c r="C39" s="100">
        <f>_xll.BDP(B39 &amp; " Corp","MTY_YEARS_TDY")</f>
        <v>1.4401095140314852</v>
      </c>
      <c r="D39" s="100">
        <f>_xll.BDP(B39 &amp; " Corp","px_last")</f>
        <v>103.1</v>
      </c>
      <c r="E39" s="100">
        <f>_xll.BDP(B39 &amp; " Corp","px_ask")</f>
        <v>103.35</v>
      </c>
      <c r="F39" s="100">
        <f>_xll.BDP(B39 &amp; " Corp","YLD_YTM_BID")</f>
        <v>2.9217737000000001</v>
      </c>
      <c r="G39" s="100">
        <f>_xll.BDP(B39 &amp; " Corp","YLD_YTM_ask")</f>
        <v>2.7424724</v>
      </c>
      <c r="H39" s="100">
        <f>_xll.BDP(B39 &amp; " Corp","CPN")</f>
        <v>5.2</v>
      </c>
      <c r="I39" s="100" t="str">
        <f>_xll.BDP(B39&amp; " Corp","MATURITY")</f>
        <v>13/02/2019</v>
      </c>
      <c r="J39" s="100" t="str">
        <f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BB/BB+/Ba2</v>
      </c>
      <c r="K39" s="100" t="str">
        <f>_xll.BDP($B39&amp; " Corp","INDUSTRY_SUBGROUP")</f>
        <v>Cellular Telecom</v>
      </c>
      <c r="L39" s="100" t="str">
        <f>_xll.BDP(B39 &amp; " Corp","CRNCY")</f>
        <v>USD</v>
      </c>
      <c r="M39" s="100" t="str">
        <f>_xll.BDP(B39 &amp; " Corp","CNTRY_OF_RISK")</f>
        <v>NL</v>
      </c>
      <c r="N39" s="100" t="str">
        <f>_xll.BDP($B39&amp; " Corp","PAYMENT_RANK")</f>
        <v>Sr Unsecured</v>
      </c>
      <c r="O39" s="100" t="str">
        <f>_xll.BDP($B39&amp; " Corp","MTY_TYP")</f>
        <v>AT MATURITY</v>
      </c>
      <c r="P39" s="100" t="str">
        <f>_xll.BDP($B39&amp; " Corp","RUSSIAN_CB_LOMBARD")</f>
        <v>N</v>
      </c>
      <c r="Q39" s="102">
        <f>_xll.BDP(B39&amp;" Corp", "INTERVAL_PERCENT_CHANGE", "END_DATE_OVERRIDE"," ", "START_DATE_OVERRIDe",R39)</f>
        <v>2.7295285359801489</v>
      </c>
      <c r="R39" s="101">
        <v>20140716</v>
      </c>
      <c r="S39" s="100">
        <f>_xll.BDP($B39&amp; " Corp","PX_GROSS_MID")</f>
        <v>103.74499999999999</v>
      </c>
      <c r="T39" s="99">
        <f>_xll.BDP($B39&amp; " Corp","MIN_PIECE")</f>
        <v>200000</v>
      </c>
    </row>
    <row r="40" spans="1:20" ht="15.75" x14ac:dyDescent="0.25">
      <c r="A40" s="106" t="str">
        <f>_xll.BDP(B40&amp; " Corp","name")</f>
        <v>VTB BANK (KUZNETSKI)</v>
      </c>
      <c r="B40" s="103" t="s">
        <v>380</v>
      </c>
      <c r="C40" s="100">
        <f>_xll.BDP(B40 &amp; " Corp","MTY_YEARS_TDY")</f>
        <v>-0.35044490075290896</v>
      </c>
      <c r="D40" s="100" t="str">
        <f>_xll.BDP(B40 &amp; " Corp","px_last")</f>
        <v>#N/A Field Not Applicable</v>
      </c>
      <c r="E40" s="100" t="str">
        <f>_xll.BDP(B40 &amp; " Corp","px_ask")</f>
        <v>#N/A N/A</v>
      </c>
      <c r="F40" s="100" t="str">
        <f>_xll.BDP(B40 &amp; " Corp","YLD_YTM_BID")</f>
        <v>#N/A N/A</v>
      </c>
      <c r="G40" s="100" t="str">
        <f>_xll.BDP(B40 &amp; " Corp","YLD_YTM_ask")</f>
        <v>#N/A N/A</v>
      </c>
      <c r="H40" s="100">
        <f>_xll.BDP(B40 &amp; " Corp","CPN")</f>
        <v>6.02</v>
      </c>
      <c r="I40" s="100" t="str">
        <f>_xll.BDP(B40&amp; " Corp","MATURITY")</f>
        <v>10/05/2017</v>
      </c>
      <c r="J40" s="100" t="str">
        <f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/WD/WR</v>
      </c>
      <c r="K40" s="100" t="str">
        <f>_xll.BDP($B40&amp; " Corp","INDUSTRY_SUBGROUP")</f>
        <v>Commer Banks Non-US</v>
      </c>
      <c r="L40" s="100" t="str">
        <f>_xll.BDP(B40 &amp; " Corp","CRNCY")</f>
        <v>USD</v>
      </c>
      <c r="M40" s="100" t="str">
        <f>_xll.BDP(B40 &amp; " Corp","CNTRY_OF_RISK")</f>
        <v>RU</v>
      </c>
      <c r="N40" s="100" t="str">
        <f>_xll.BDP($B40&amp; " Corp","PAYMENT_RANK")</f>
        <v>Subordinated</v>
      </c>
      <c r="O40" s="100" t="str">
        <f>_xll.BDP($B40&amp; " Corp","MTY_TYP")</f>
        <v>CALLABLE</v>
      </c>
      <c r="P40" s="100" t="str">
        <f>_xll.BDP($B40&amp; " Corp","RUSSIAN_CB_LOMBARD")</f>
        <v>N</v>
      </c>
      <c r="Q40" s="102">
        <f>_xll.BDP(B40&amp;" Corp", "INTERVAL_PERCENT_CHANGE", "END_DATE_OVERRIDE"," ", "START_DATE_OVERRIDe",R40)</f>
        <v>-0.81720210847046559</v>
      </c>
      <c r="R40" s="101">
        <v>20140716</v>
      </c>
      <c r="S40" s="100" t="str">
        <f>_xll.BDP($B40&amp; " Corp","PX_GROSS_MID")</f>
        <v>#N/A N/A</v>
      </c>
      <c r="T40" s="99">
        <f>_xll.BDP($B40&amp; " Corp","MIN_PIECE")</f>
        <v>100000</v>
      </c>
    </row>
    <row r="41" spans="1:20" ht="15.75" x14ac:dyDescent="0.25">
      <c r="A41" s="106" t="str">
        <f>_xll.BDP(B41&amp; " Corp","name")</f>
        <v>GAZPROMBK (GPB FINANCE)</v>
      </c>
      <c r="B41" s="100" t="s">
        <v>379</v>
      </c>
      <c r="C41" s="100">
        <f>_xll.BDP(B41 &amp; " Corp","MTY_YEARS_TDY")</f>
        <v>1.998631074606434</v>
      </c>
      <c r="D41" s="100">
        <f>_xll.BDP(B41 &amp; " Corp","px_last")</f>
        <v>103.426</v>
      </c>
      <c r="E41" s="100">
        <f>_xll.BDP(B41 &amp; " Corp","px_ask")</f>
        <v>103.56699999999999</v>
      </c>
      <c r="F41" s="100">
        <f>_xll.BDP(B41 &amp; " Corp","YLD_YTM_BID")</f>
        <v>3.2578670999999999</v>
      </c>
      <c r="G41" s="100">
        <f>_xll.BDP(B41 &amp; " Corp","YLD_YTM_ask")</f>
        <v>3.0215217999999999</v>
      </c>
      <c r="H41" s="100">
        <f>_xll.BDP(B41 &amp; " Corp","CPN")</f>
        <v>4.96</v>
      </c>
      <c r="I41" s="100" t="str">
        <f>_xll.BDP(B41&amp; " Corp","MATURITY")</f>
        <v>05/09/2019</v>
      </c>
      <c r="J41" s="100" t="str">
        <f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BB+/BB+/</v>
      </c>
      <c r="K41" s="100" t="str">
        <f>_xll.BDP($B41&amp; " Corp","INDUSTRY_SUBGROUP")</f>
        <v>Commer Banks Non-US</v>
      </c>
      <c r="L41" s="100" t="str">
        <f>_xll.BDP(B41 &amp; " Corp","CRNCY")</f>
        <v>USD</v>
      </c>
      <c r="M41" s="100" t="str">
        <f>_xll.BDP(B41 &amp; " Corp","CNTRY_OF_RISK")</f>
        <v>RU</v>
      </c>
      <c r="N41" s="100" t="str">
        <f>_xll.BDP($B41&amp; " Corp","PAYMENT_RANK")</f>
        <v>Sr Unsecured</v>
      </c>
      <c r="O41" s="100" t="str">
        <f>_xll.BDP($B41&amp; " Corp","MTY_TYP")</f>
        <v>AT MATURITY</v>
      </c>
      <c r="P41" s="100" t="str">
        <f>_xll.BDP($B41&amp; " Corp","RUSSIAN_CB_LOMBARD")</f>
        <v>Y</v>
      </c>
      <c r="Q41" s="102">
        <f>_xll.BDP(B41&amp;" Corp", "INTERVAL_PERCENT_CHANGE", "END_DATE_OVERRIDE"," ", "START_DATE_OVERRIDe",R41)</f>
        <v>3.1782221767252308</v>
      </c>
      <c r="R41" s="101">
        <v>20140716</v>
      </c>
      <c r="S41" s="100">
        <f>_xll.BDP($B41&amp; " Corp","PX_GROSS_MID")</f>
        <v>103.62788888888889</v>
      </c>
      <c r="T41" s="99">
        <f>_xll.BDP($B41&amp; " Corp","MIN_PIECE")</f>
        <v>200000</v>
      </c>
    </row>
    <row r="42" spans="1:20" ht="15.75" x14ac:dyDescent="0.25">
      <c r="A42" s="100" t="str">
        <f>_xll.BDP(B42&amp; " Corp","name")</f>
        <v>PROMSVYAZBK(PSB FINANCE)</v>
      </c>
      <c r="B42" s="103" t="s">
        <v>378</v>
      </c>
      <c r="C42" s="100">
        <f>_xll.BDP(B42 &amp; " Corp","MTY_YEARS_TDY")</f>
        <v>-0.39151266255989048</v>
      </c>
      <c r="D42" s="100" t="str">
        <f>_xll.BDP(B42 &amp; " Corp","px_last")</f>
        <v>#N/A Field Not Applicable</v>
      </c>
      <c r="E42" s="100" t="str">
        <f>_xll.BDP(B42 &amp; " Corp","px_ask")</f>
        <v>#N/A N/A</v>
      </c>
      <c r="F42" s="100" t="str">
        <f>_xll.BDP(B42 &amp; " Corp","YLD_YTM_BID")</f>
        <v>#N/A N/A</v>
      </c>
      <c r="G42" s="100" t="str">
        <f>_xll.BDP(B42 &amp; " Corp","YLD_YTM_ask")</f>
        <v>#N/A N/A</v>
      </c>
      <c r="H42" s="100">
        <f>_xll.BDP(B42 &amp; " Corp","CPN")</f>
        <v>8.5</v>
      </c>
      <c r="I42" s="100" t="str">
        <f>_xll.BDP(B42&amp; " Corp","MATURITY")</f>
        <v>25/04/2017</v>
      </c>
      <c r="J42" s="100" t="str">
        <f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/WD/WR</v>
      </c>
      <c r="K42" s="100" t="str">
        <f>_xll.BDP($B42&amp; " Corp","INDUSTRY_SUBGROUP")</f>
        <v>Commer Banks Non-US</v>
      </c>
      <c r="L42" s="100" t="str">
        <f>_xll.BDP(B42 &amp; " Corp","CRNCY")</f>
        <v>USD</v>
      </c>
      <c r="M42" s="100" t="str">
        <f>_xll.BDP(B42 &amp; " Corp","CNTRY_OF_RISK")</f>
        <v>RU</v>
      </c>
      <c r="N42" s="100" t="str">
        <f>_xll.BDP($B42&amp; " Corp","PAYMENT_RANK")</f>
        <v>Sr Unsecured</v>
      </c>
      <c r="O42" s="100" t="str">
        <f>_xll.BDP($B42&amp; " Corp","MTY_TYP")</f>
        <v>AT MATURITY</v>
      </c>
      <c r="P42" s="100" t="str">
        <f>_xll.BDP($B42&amp; " Corp","RUSSIAN_CB_LOMBARD")</f>
        <v>Y</v>
      </c>
      <c r="Q42" s="102">
        <f>_xll.BDP(B42&amp;" Corp", "INTERVAL_PERCENT_CHANGE", "END_DATE_OVERRIDE"," ", "START_DATE_OVERRIDe",R42)</f>
        <v>-1.9361361646428414</v>
      </c>
      <c r="R42" s="101">
        <v>20140716</v>
      </c>
      <c r="S42" s="100" t="str">
        <f>_xll.BDP($B42&amp; " Corp","PX_GROSS_MID")</f>
        <v>#N/A N/A</v>
      </c>
      <c r="T42" s="99">
        <f>_xll.BDP($B42&amp; " Corp","MIN_PIECE")</f>
        <v>200000</v>
      </c>
    </row>
    <row r="43" spans="1:20" ht="15.75" x14ac:dyDescent="0.25">
      <c r="A43" s="106" t="str">
        <f>_xll.BDP(B43&amp; " Corp","name")</f>
        <v>SCF CAPITAL LTD</v>
      </c>
      <c r="B43" s="100" t="s">
        <v>377</v>
      </c>
      <c r="C43" s="100">
        <f>_xll.BDP(B43 &amp; " Corp","MTY_YEARS_TDY")</f>
        <v>0.11498973305954825</v>
      </c>
      <c r="D43" s="100">
        <f>_xll.BDP(B43 &amp; " Corp","px_last")</f>
        <v>101.875</v>
      </c>
      <c r="E43" s="100">
        <f>_xll.BDP(B43 &amp; " Corp","px_ask")</f>
        <v>101.875</v>
      </c>
      <c r="F43" s="100" t="str">
        <f>_xll.BDP(B43 &amp; " Corp","YLD_YTM_BID")</f>
        <v>#N/A N/A</v>
      </c>
      <c r="G43" s="100" t="str">
        <f>_xll.BDP(B43 &amp; " Corp","YLD_YTM_ask")</f>
        <v>#N/A N/A</v>
      </c>
      <c r="H43" s="100">
        <f>_xll.BDP(B43 &amp; " Corp","CPN")</f>
        <v>5.375</v>
      </c>
      <c r="I43" s="100" t="str">
        <f>_xll.BDP(B43&amp; " Corp","MATURITY")</f>
        <v>27/10/2017</v>
      </c>
      <c r="J43" s="100" t="str">
        <f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/WD/WR</v>
      </c>
      <c r="K43" s="100" t="str">
        <f>_xll.BDP($B43&amp; " Corp","INDUSTRY_SUBGROUP")</f>
        <v>Transport-Marine</v>
      </c>
      <c r="L43" s="100" t="str">
        <f>_xll.BDP(B43 &amp; " Corp","CRNCY")</f>
        <v>USD</v>
      </c>
      <c r="M43" s="100" t="str">
        <f>_xll.BDP(B43 &amp; " Corp","CNTRY_OF_RISK")</f>
        <v>RU</v>
      </c>
      <c r="N43" s="100" t="str">
        <f>_xll.BDP($B43&amp; " Corp","PAYMENT_RANK")</f>
        <v>Sr Unsecured</v>
      </c>
      <c r="O43" s="100" t="str">
        <f>_xll.BDP($B43&amp; " Corp","MTY_TYP")</f>
        <v>AT MATURITY</v>
      </c>
      <c r="P43" s="100" t="str">
        <f>_xll.BDP($B43&amp; " Corp","RUSSIAN_CB_LOMBARD")</f>
        <v>Y</v>
      </c>
      <c r="Q43" s="102">
        <f>_xll.BDP(B43&amp;" Corp", "INTERVAL_PERCENT_CHANGE", "END_DATE_OVERRIDE"," ", "START_DATE_OVERRIDe",R43)</f>
        <v>1.2047017509632729</v>
      </c>
      <c r="R43" s="101">
        <v>20140716</v>
      </c>
      <c r="S43" s="100">
        <f>_xll.BDP($B43&amp; " Corp","PX_GROSS_MID")</f>
        <v>102.14375</v>
      </c>
      <c r="T43" s="99">
        <f>_xll.BDP($B43&amp; " Corp","MIN_PIECE")</f>
        <v>200000</v>
      </c>
    </row>
    <row r="44" spans="1:20" ht="15.75" x14ac:dyDescent="0.25">
      <c r="A44" s="106" t="str">
        <f>_xll.BDP(B44&amp; " Corp","name")</f>
        <v>SIBUR SECURITIES DAC</v>
      </c>
      <c r="B44" s="100" t="s">
        <v>376</v>
      </c>
      <c r="C44" s="100">
        <f>_xll.BDP(B44 &amp; " Corp","MTY_YEARS_TDY")</f>
        <v>0.40520191649555098</v>
      </c>
      <c r="D44" s="100">
        <f>_xll.BDP(B44 &amp; " Corp","px_last")</f>
        <v>100.58499999999999</v>
      </c>
      <c r="E44" s="100">
        <f>_xll.BDP(B44 &amp; " Corp","px_ask")</f>
        <v>100.77800000000001</v>
      </c>
      <c r="F44" s="100">
        <f>_xll.BDP(B44 &amp; " Corp","YLD_YTM_BID")</f>
        <v>2.7420039239262883</v>
      </c>
      <c r="G44" s="100">
        <f>_xll.BDP(B44 &amp; " Corp","YLD_YTM_ask")</f>
        <v>1.7912304336444795</v>
      </c>
      <c r="H44" s="100">
        <f>_xll.BDP(B44 &amp; " Corp","CPN")</f>
        <v>3.9140000000000001</v>
      </c>
      <c r="I44" s="100" t="str">
        <f>_xll.BDP(B44&amp; " Corp","MATURITY")</f>
        <v>31/01/2018</v>
      </c>
      <c r="J44" s="100" t="str">
        <f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/BB+/Ba1</v>
      </c>
      <c r="K44" s="100" t="str">
        <f>_xll.BDP($B44&amp; " Corp","INDUSTRY_SUBGROUP")</f>
        <v>Oil Refining&amp;Marketing</v>
      </c>
      <c r="L44" s="100" t="str">
        <f>_xll.BDP(B44 &amp; " Corp","CRNCY")</f>
        <v>USD</v>
      </c>
      <c r="M44" s="100" t="str">
        <f>_xll.BDP(B44 &amp; " Corp","CNTRY_OF_RISK")</f>
        <v>RU</v>
      </c>
      <c r="N44" s="100" t="str">
        <f>_xll.BDP($B44&amp; " Corp","PAYMENT_RANK")</f>
        <v>Sr Unsecured</v>
      </c>
      <c r="O44" s="100" t="str">
        <f>_xll.BDP($B44&amp; " Corp","MTY_TYP")</f>
        <v>AT MATURITY</v>
      </c>
      <c r="P44" s="100" t="str">
        <f>_xll.BDP($B44&amp; " Corp","RUSSIAN_CB_LOMBARD")</f>
        <v>Y</v>
      </c>
      <c r="Q44" s="102">
        <f>_xll.BDP(B44&amp;" Corp", "INTERVAL_PERCENT_CHANGE", "END_DATE_OVERRIDE"," ", "START_DATE_OVERRIDe",R44)</f>
        <v>4.8638099521879727</v>
      </c>
      <c r="R44" s="101">
        <v>20140716</v>
      </c>
      <c r="S44" s="100">
        <f>_xll.BDP($B44&amp; " Corp","PX_GROSS_MID")</f>
        <v>101.12323888888888</v>
      </c>
      <c r="T44" s="99">
        <f>_xll.BDP($B44&amp; " Corp","MIN_PIECE")</f>
        <v>200000</v>
      </c>
    </row>
    <row r="45" spans="1:20" ht="15.75" x14ac:dyDescent="0.25">
      <c r="A45" s="100" t="str">
        <f>_xll.BDP(B45&amp; " Corp","name")</f>
        <v>OJSC RUSS AGRIC BK(RSHB)</v>
      </c>
      <c r="B45" s="100" t="s">
        <v>375</v>
      </c>
      <c r="C45" s="100">
        <f>_xll.BDP(B45 &amp; " Corp","MTY_YEARS_TDY")</f>
        <v>0.88432580424366869</v>
      </c>
      <c r="D45" s="100">
        <f>_xll.BDP(B45 &amp; " Corp","px_last")</f>
        <v>102.07</v>
      </c>
      <c r="E45" s="100">
        <f>_xll.BDP(B45 &amp; " Corp","px_ask")</f>
        <v>102.223</v>
      </c>
      <c r="F45" s="100">
        <f>_xll.BDP(B45 &amp; " Corp","YLD_YTM_BID")</f>
        <v>2.8353259</v>
      </c>
      <c r="G45" s="100">
        <f>_xll.BDP(B45 &amp; " Corp","YLD_YTM_ask")</f>
        <v>2.4013746</v>
      </c>
      <c r="H45" s="100">
        <f>_xll.BDP(B45 &amp; " Corp","CPN")</f>
        <v>5.0999999999999996</v>
      </c>
      <c r="I45" s="100" t="str">
        <f>_xll.BDP(B45&amp; " Corp","MATURITY")</f>
        <v>25/07/2018</v>
      </c>
      <c r="J45" s="100" t="str">
        <f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/BB+/Ba2</v>
      </c>
      <c r="K45" s="100" t="str">
        <f>_xll.BDP($B45&amp; " Corp","INDUSTRY_SUBGROUP")</f>
        <v>Commer Banks Non-US</v>
      </c>
      <c r="L45" s="100" t="str">
        <f>_xll.BDP(B45 &amp; " Corp","CRNCY")</f>
        <v>USD</v>
      </c>
      <c r="M45" s="100" t="str">
        <f>_xll.BDP(B45 &amp; " Corp","CNTRY_OF_RISK")</f>
        <v>RU</v>
      </c>
      <c r="N45" s="100" t="str">
        <f>_xll.BDP($B45&amp; " Corp","PAYMENT_RANK")</f>
        <v>Sr Unsecured</v>
      </c>
      <c r="O45" s="100" t="str">
        <f>_xll.BDP($B45&amp; " Corp","MTY_TYP")</f>
        <v>AT MATURITY</v>
      </c>
      <c r="P45" s="100" t="str">
        <f>_xll.BDP($B45&amp; " Corp","RUSSIAN_CB_LOMBARD")</f>
        <v>Y</v>
      </c>
      <c r="Q45" s="102">
        <f>_xll.BDP(B45&amp;" Corp", "INTERVAL_PERCENT_CHANGE", "END_DATE_OVERRIDE"," ", "START_DATE_OVERRIDe",R45)</f>
        <v>1.8537847104570564</v>
      </c>
      <c r="R45" s="101">
        <v>20140716</v>
      </c>
      <c r="S45" s="100">
        <f>_xll.BDP($B45&amp; " Corp","PX_GROSS_MID")</f>
        <v>102.83450000000001</v>
      </c>
      <c r="T45" s="99">
        <f>_xll.BDP($B45&amp; " Corp","MIN_PIECE")</f>
        <v>200000</v>
      </c>
    </row>
    <row r="46" spans="1:20" ht="15.75" x14ac:dyDescent="0.25">
      <c r="A46" s="100" t="str">
        <f>_xll.BDP(B46&amp; " Corp","name")</f>
        <v>GAZPROM (GAZ CAPITAL SA)</v>
      </c>
      <c r="B46" s="100" t="s">
        <v>374</v>
      </c>
      <c r="C46" s="100">
        <f>_xll.BDP(B46 &amp; " Corp","MTY_YEARS_TDY")</f>
        <v>1.6290212183436004</v>
      </c>
      <c r="D46" s="100">
        <f>_xll.BDP(B46 &amp; " Corp","px_last")</f>
        <v>109.952</v>
      </c>
      <c r="E46" s="100">
        <f>_xll.BDP(B46 &amp; " Corp","px_ask")</f>
        <v>110.34699999999999</v>
      </c>
      <c r="F46" s="100">
        <f>_xll.BDP(B46 &amp; " Corp","YLD_YTM_BID")</f>
        <v>2.9143513582399785</v>
      </c>
      <c r="G46" s="100">
        <f>_xll.BDP(B46 &amp; " Corp","YLD_YTM_ask")</f>
        <v>2.7261540010662291</v>
      </c>
      <c r="H46" s="100">
        <f>_xll.BDP(B46 &amp; " Corp","CPN")</f>
        <v>9.25</v>
      </c>
      <c r="I46" s="100" t="str">
        <f>_xll.BDP(B46&amp; " Corp","MATURITY")</f>
        <v>23/04/2019</v>
      </c>
      <c r="J46" s="100" t="str">
        <f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BB+/BBB-/Ba1</v>
      </c>
      <c r="K46" s="100" t="str">
        <f>_xll.BDP($B46&amp; " Corp","INDUSTRY_SUBGROUP")</f>
        <v>Oil Comp-Integrated</v>
      </c>
      <c r="L46" s="100" t="str">
        <f>_xll.BDP(B46 &amp; " Corp","CRNCY")</f>
        <v>USD</v>
      </c>
      <c r="M46" s="100" t="str">
        <f>_xll.BDP(B46 &amp; " Corp","CNTRY_OF_RISK")</f>
        <v>RU</v>
      </c>
      <c r="N46" s="100" t="str">
        <f>_xll.BDP($B46&amp; " Corp","PAYMENT_RANK")</f>
        <v>Sr Unsecured</v>
      </c>
      <c r="O46" s="100" t="str">
        <f>_xll.BDP($B46&amp; " Corp","MTY_TYP")</f>
        <v>PUTABLE</v>
      </c>
      <c r="P46" s="100" t="str">
        <f>_xll.BDP($B46&amp; " Corp","RUSSIAN_CB_LOMBARD")</f>
        <v>Y</v>
      </c>
      <c r="Q46" s="102">
        <f>_xll.BDP(B46&amp;" Corp", "INTERVAL_PERCENT_CHANGE", "END_DATE_OVERRIDE"," ", "START_DATE_OVERRIDe",R46)</f>
        <v>-4.5116389008818176</v>
      </c>
      <c r="R46" s="101">
        <v>20140716</v>
      </c>
      <c r="S46" s="100">
        <f>_xll.BDP($B46&amp; " Corp","PX_GROSS_MID")</f>
        <v>113.70288888888889</v>
      </c>
      <c r="T46" s="99">
        <f>_xll.BDP($B46&amp; " Corp","MIN_PIECE")</f>
        <v>100000</v>
      </c>
    </row>
    <row r="47" spans="1:20" ht="15.75" x14ac:dyDescent="0.25">
      <c r="A47" s="100" t="str">
        <f>_xll.BDP(B47&amp; " Corp","name")</f>
        <v>OJSC NOVO(STEEL FUNDING)</v>
      </c>
      <c r="B47" s="100" t="s">
        <v>373</v>
      </c>
      <c r="C47" s="100">
        <f>_xll.BDP(B47 &amp; " Corp","MTY_YEARS_TDY")</f>
        <v>2.0561259411362083</v>
      </c>
      <c r="D47" s="100">
        <f>_xll.BDP(B47 &amp; " Corp","px_last")</f>
        <v>105.25</v>
      </c>
      <c r="E47" s="100">
        <f>_xll.BDP(B47 &amp; " Corp","px_ask")</f>
        <v>105.60299999999999</v>
      </c>
      <c r="F47" s="100">
        <f>_xll.BDP(B47 &amp; " Corp","YLD_YTM_BID")</f>
        <v>2.4103997000000001</v>
      </c>
      <c r="G47" s="100">
        <f>_xll.BDP(B47 &amp; " Corp","YLD_YTM_ask")</f>
        <v>2.1406892000000002</v>
      </c>
      <c r="H47" s="100">
        <f>_xll.BDP(B47 &amp; " Corp","CPN")</f>
        <v>4.95</v>
      </c>
      <c r="I47" s="100" t="str">
        <f>_xll.BDP(B47&amp; " Corp","MATURITY")</f>
        <v>26/09/2019</v>
      </c>
      <c r="J47" s="100" t="str">
        <f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BBB-/BBB-/Ba1</v>
      </c>
      <c r="K47" s="100" t="str">
        <f>_xll.BDP($B47&amp; " Corp","INDUSTRY_SUBGROUP")</f>
        <v>Metal-Iron</v>
      </c>
      <c r="L47" s="100" t="str">
        <f>_xll.BDP(B47 &amp; " Corp","CRNCY")</f>
        <v>USD</v>
      </c>
      <c r="M47" s="100" t="str">
        <f>_xll.BDP(B47 &amp; " Corp","CNTRY_OF_RISK")</f>
        <v>RU</v>
      </c>
      <c r="N47" s="100" t="str">
        <f>_xll.BDP($B47&amp; " Corp","PAYMENT_RANK")</f>
        <v>Sr Unsecured</v>
      </c>
      <c r="O47" s="100" t="str">
        <f>_xll.BDP($B47&amp; " Corp","MTY_TYP")</f>
        <v>AT MATURITY</v>
      </c>
      <c r="P47" s="100" t="str">
        <f>_xll.BDP($B47&amp; " Corp","RUSSIAN_CB_LOMBARD")</f>
        <v>Y</v>
      </c>
      <c r="Q47" s="102">
        <f>_xll.BDP(B47&amp;" Corp", "INTERVAL_PERCENT_CHANGE", "END_DATE_OVERRIDE"," ", "START_DATE_OVERRIDe",R47)</f>
        <v>4.3804499072532765</v>
      </c>
      <c r="R47" s="101">
        <v>20140716</v>
      </c>
      <c r="S47" s="100">
        <f>_xll.BDP($B47&amp; " Corp","PX_GROSS_MID")</f>
        <v>107.62824999999999</v>
      </c>
      <c r="T47" s="99">
        <f>_xll.BDP($B47&amp; " Corp","MIN_PIECE")</f>
        <v>200000</v>
      </c>
    </row>
    <row r="48" spans="1:20" ht="15.75" x14ac:dyDescent="0.25">
      <c r="A48" s="100" t="str">
        <f>_xll.BDP(B48&amp; " Corp","name")</f>
        <v>VNESHECONOMBANK(VEB)</v>
      </c>
      <c r="B48" s="100" t="s">
        <v>372</v>
      </c>
      <c r="C48" s="100">
        <f>_xll.BDP(B48 &amp; " Corp","MTY_YEARS_TDY")</f>
        <v>1.2101300479123889</v>
      </c>
      <c r="D48" s="100">
        <f>_xll.BDP(B48 &amp; " Corp","px_last")</f>
        <v>101.554</v>
      </c>
      <c r="E48" s="100">
        <f>_xll.BDP(B48 &amp; " Corp","px_ask")</f>
        <v>101.723</v>
      </c>
      <c r="F48" s="100">
        <f>_xll.BDP(B48 &amp; " Corp","YLD_YTM_BID")</f>
        <v>3.0129966000000001</v>
      </c>
      <c r="G48" s="100">
        <f>_xll.BDP(B48 &amp; " Corp","YLD_YTM_ask")</f>
        <v>2.7135251</v>
      </c>
      <c r="H48" s="100">
        <f>_xll.BDP(B48 &amp; " Corp","CPN")</f>
        <v>4.2240000000000002</v>
      </c>
      <c r="I48" s="100" t="str">
        <f>_xll.BDP(B48&amp; " Corp","MATURITY")</f>
        <v>21/11/2018</v>
      </c>
      <c r="J48" s="100" t="str">
        <f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BB+/BBB-/</v>
      </c>
      <c r="K48" s="100" t="str">
        <f>_xll.BDP($B48&amp; " Corp","INDUSTRY_SUBGROUP")</f>
        <v>Special Purpose Banks</v>
      </c>
      <c r="L48" s="100" t="str">
        <f>_xll.BDP(B48 &amp; " Corp","CRNCY")</f>
        <v>USD</v>
      </c>
      <c r="M48" s="100" t="str">
        <f>_xll.BDP(B48 &amp; " Corp","CNTRY_OF_RISK")</f>
        <v>RU</v>
      </c>
      <c r="N48" s="100" t="str">
        <f>_xll.BDP($B48&amp; " Corp","PAYMENT_RANK")</f>
        <v>Sr Unsecured</v>
      </c>
      <c r="O48" s="100" t="str">
        <f>_xll.BDP($B48&amp; " Corp","MTY_TYP")</f>
        <v>AT MATURITY</v>
      </c>
      <c r="P48" s="100" t="str">
        <f>_xll.BDP($B48&amp; " Corp","RUSSIAN_CB_LOMBARD")</f>
        <v>Y</v>
      </c>
      <c r="Q48" s="102">
        <f>_xll.BDP(B48&amp;" Corp", "INTERVAL_PERCENT_CHANGE", "END_DATE_OVERRIDE"," ", "START_DATE_OVERRIDe",R48)</f>
        <v>2.5826003244586988</v>
      </c>
      <c r="R48" s="101">
        <v>20140716</v>
      </c>
      <c r="S48" s="100">
        <f>_xll.BDP($B48&amp; " Corp","PX_GROSS_MID")</f>
        <v>102.93903333333333</v>
      </c>
      <c r="T48" s="99">
        <f>_xll.BDP($B48&amp; " Corp","MIN_PIECE")</f>
        <v>200000</v>
      </c>
    </row>
    <row r="49" spans="1:20" ht="15.75" x14ac:dyDescent="0.25">
      <c r="A49" s="100" t="str">
        <f>_xll.BDP(B49&amp; " Corp","name")</f>
        <v>OJSC RUSS AGRIC BK(RSHB)</v>
      </c>
      <c r="B49" s="100" t="s">
        <v>371</v>
      </c>
      <c r="C49" s="100">
        <f>_xll.BDP(B49 &amp; " Corp","MTY_YEARS_TDY")</f>
        <v>0.72826830937713893</v>
      </c>
      <c r="D49" s="100">
        <f>_xll.BDP(B49 &amp; " Corp","px_last")</f>
        <v>103.744</v>
      </c>
      <c r="E49" s="100">
        <f>_xll.BDP(B49 &amp; " Corp","px_ask")</f>
        <v>104.096</v>
      </c>
      <c r="F49" s="100">
        <f>_xll.BDP(B49 &amp; " Corp","YLD_YTM_BID")</f>
        <v>2.5797847720846736</v>
      </c>
      <c r="G49" s="100">
        <f>_xll.BDP(B49 &amp; " Corp","YLD_YTM_ask")</f>
        <v>1.9779619034175484</v>
      </c>
      <c r="H49" s="100">
        <f>_xll.BDP(B49 &amp; " Corp","CPN")</f>
        <v>7.75</v>
      </c>
      <c r="I49" s="100" t="str">
        <f>_xll.BDP(B49&amp; " Corp","MATURITY")</f>
        <v>29/05/2018</v>
      </c>
      <c r="J49" s="100" t="str">
        <f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/BB+/Ba2</v>
      </c>
      <c r="K49" s="100" t="str">
        <f>_xll.BDP($B49&amp; " Corp","INDUSTRY_SUBGROUP")</f>
        <v>Commer Banks Non-US</v>
      </c>
      <c r="L49" s="100" t="str">
        <f>_xll.BDP(B49 &amp; " Corp","CRNCY")</f>
        <v>USD</v>
      </c>
      <c r="M49" s="100" t="str">
        <f>_xll.BDP(B49 &amp; " Corp","CNTRY_OF_RISK")</f>
        <v>RU</v>
      </c>
      <c r="N49" s="100" t="str">
        <f>_xll.BDP($B49&amp; " Corp","PAYMENT_RANK")</f>
        <v>Sr Unsecured</v>
      </c>
      <c r="O49" s="100" t="str">
        <f>_xll.BDP($B49&amp; " Corp","MTY_TYP")</f>
        <v>AT MATURITY</v>
      </c>
      <c r="P49" s="100" t="str">
        <f>_xll.BDP($B49&amp; " Corp","RUSSIAN_CB_LOMBARD")</f>
        <v>Y</v>
      </c>
      <c r="Q49" s="102">
        <f>_xll.BDP(B49&amp;" Corp", "INTERVAL_PERCENT_CHANGE", "END_DATE_OVERRIDE"," ", "START_DATE_OVERRIDe",R49)</f>
        <v>-1.7479777362201261</v>
      </c>
      <c r="R49" s="101">
        <v>20140716</v>
      </c>
      <c r="S49" s="100">
        <f>_xll.BDP($B49&amp; " Corp","PX_GROSS_MID")</f>
        <v>106.11155555555555</v>
      </c>
      <c r="T49" s="99">
        <f>_xll.BDP($B49&amp; " Corp","MIN_PIECE")</f>
        <v>100000</v>
      </c>
    </row>
    <row r="50" spans="1:20" ht="15.75" x14ac:dyDescent="0.25">
      <c r="A50" s="100" t="str">
        <f>_xll.BDP(B50&amp; " Corp","name")</f>
        <v>AK BARS BK(AK BARS LUX)</v>
      </c>
      <c r="B50" s="103" t="s">
        <v>370</v>
      </c>
      <c r="C50" s="100">
        <f>_xll.BDP(B50 &amp; " Corp","MTY_YEARS_TDY")</f>
        <v>-1.8234086242299794</v>
      </c>
      <c r="D50" s="100" t="str">
        <f>_xll.BDP(B50 &amp; " Corp","px_last")</f>
        <v>#N/A Field Not Applicable</v>
      </c>
      <c r="E50" s="100" t="str">
        <f>_xll.BDP(B50 &amp; " Corp","px_ask")</f>
        <v>#N/A N/A</v>
      </c>
      <c r="F50" s="100" t="str">
        <f>_xll.BDP(B50 &amp; " Corp","YLD_YTM_BID")</f>
        <v>#N/A N/A</v>
      </c>
      <c r="G50" s="100" t="str">
        <f>_xll.BDP(B50 &amp; " Corp","YLD_YTM_ask")</f>
        <v>#N/A N/A</v>
      </c>
      <c r="H50" s="100">
        <f>_xll.BDP(B50 &amp; " Corp","CPN")</f>
        <v>8.75</v>
      </c>
      <c r="I50" s="100" t="str">
        <f>_xll.BDP(B50&amp; " Corp","MATURITY")</f>
        <v>19/11/2015</v>
      </c>
      <c r="J50" s="100" t="str">
        <f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/NR/WR</v>
      </c>
      <c r="K50" s="100" t="str">
        <f>_xll.BDP($B50&amp; " Corp","INDUSTRY_SUBGROUP")</f>
        <v>Commer Banks Non-US</v>
      </c>
      <c r="L50" s="100" t="str">
        <f>_xll.BDP(B50 &amp; " Corp","CRNCY")</f>
        <v>USD</v>
      </c>
      <c r="M50" s="100" t="str">
        <f>_xll.BDP(B50 &amp; " Corp","CNTRY_OF_RISK")</f>
        <v>RU</v>
      </c>
      <c r="N50" s="100" t="str">
        <f>_xll.BDP($B50&amp; " Corp","PAYMENT_RANK")</f>
        <v>Sr Unsecured</v>
      </c>
      <c r="O50" s="100" t="str">
        <f>_xll.BDP($B50&amp; " Corp","MTY_TYP")</f>
        <v>AT MATURITY</v>
      </c>
      <c r="P50" s="100" t="str">
        <f>_xll.BDP($B50&amp; " Corp","RUSSIAN_CB_LOMBARD")</f>
        <v>Y</v>
      </c>
      <c r="Q50" s="102">
        <f>_xll.BDP(B50&amp;" Corp", "INTERVAL_PERCENT_CHANGE", "END_DATE_OVERRIDE"," ", "START_DATE_OVERRIDe",R50)</f>
        <v>-4.319321294445035</v>
      </c>
      <c r="R50" s="101">
        <v>20140716</v>
      </c>
      <c r="S50" s="100" t="str">
        <f>_xll.BDP($B50&amp; " Corp","PX_GROSS_MID")</f>
        <v>#N/A N/A</v>
      </c>
      <c r="T50" s="99">
        <f>_xll.BDP($B50&amp; " Corp","MIN_PIECE")</f>
        <v>200000</v>
      </c>
    </row>
    <row r="51" spans="1:20" ht="15.75" x14ac:dyDescent="0.25">
      <c r="A51" s="100" t="str">
        <f>_xll.BDP(B51&amp; " Corp","name")</f>
        <v>VIMPELCOM (VIP FIN)</v>
      </c>
      <c r="B51" s="100" t="s">
        <v>369</v>
      </c>
      <c r="C51" s="100">
        <f>_xll.BDP(B51 &amp; " Corp","MTY_YEARS_TDY")</f>
        <v>0.64887063655030797</v>
      </c>
      <c r="D51" s="100">
        <f>_xll.BDP(B51 &amp; " Corp","px_last")</f>
        <v>104.53700000000001</v>
      </c>
      <c r="E51" s="100">
        <f>_xll.BDP(B51 &amp; " Corp","px_ask")</f>
        <v>105.02800000000001</v>
      </c>
      <c r="F51" s="100">
        <f>_xll.BDP(B51 &amp; " Corp","YLD_YTM_BID")</f>
        <v>1.9317111203072204</v>
      </c>
      <c r="G51" s="100">
        <f>_xll.BDP(B51 &amp; " Corp","YLD_YTM_ask")</f>
        <v>1.3902550217249476</v>
      </c>
      <c r="H51" s="100">
        <f>_xll.BDP(B51 &amp; " Corp","CPN")</f>
        <v>9.125</v>
      </c>
      <c r="I51" s="100" t="str">
        <f>_xll.BDP(B51&amp; " Corp","MATURITY")</f>
        <v>30/04/2018</v>
      </c>
      <c r="J51" s="100" t="str">
        <f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BB/BB+/Ba2</v>
      </c>
      <c r="K51" s="100" t="str">
        <f>_xll.BDP($B51&amp; " Corp","INDUSTRY_SUBGROUP")</f>
        <v>Cellular Telecom</v>
      </c>
      <c r="L51" s="100" t="str">
        <f>_xll.BDP(B51 &amp; " Corp","CRNCY")</f>
        <v>USD</v>
      </c>
      <c r="M51" s="100" t="str">
        <f>_xll.BDP(B51 &amp; " Corp","CNTRY_OF_RISK")</f>
        <v>RU</v>
      </c>
      <c r="N51" s="100" t="str">
        <f>_xll.BDP($B51&amp; " Corp","PAYMENT_RANK")</f>
        <v>Sr Unsecured</v>
      </c>
      <c r="O51" s="100" t="str">
        <f>_xll.BDP($B51&amp; " Corp","MTY_TYP")</f>
        <v>AT MATURITY</v>
      </c>
      <c r="P51" s="100" t="str">
        <f>_xll.BDP($B51&amp; " Corp","RUSSIAN_CB_LOMBARD")</f>
        <v>Y</v>
      </c>
      <c r="Q51" s="102">
        <f>_xll.BDP(B51&amp;" Corp", "INTERVAL_PERCENT_CHANGE", "END_DATE_OVERRIDE"," ", "START_DATE_OVERRIDe",R51)</f>
        <v>-2.5896388959419032</v>
      </c>
      <c r="R51" s="101">
        <v>20140716</v>
      </c>
      <c r="S51" s="100">
        <f>_xll.BDP($B51&amp; " Corp","PX_GROSS_MID")</f>
        <v>108.0602638888889</v>
      </c>
      <c r="T51" s="99">
        <f>_xll.BDP($B51&amp; " Corp","MIN_PIECE")</f>
        <v>100000</v>
      </c>
    </row>
    <row r="52" spans="1:20" ht="15.75" x14ac:dyDescent="0.25">
      <c r="A52" s="100" t="str">
        <f>_xll.BDP(B52&amp; " Corp","name")</f>
        <v>NORD GOLD SE</v>
      </c>
      <c r="B52" s="100" t="s">
        <v>368</v>
      </c>
      <c r="C52" s="100">
        <f>_xll.BDP(B52 &amp; " Corp","MTY_YEARS_TDY")</f>
        <v>0.66803559206023266</v>
      </c>
      <c r="D52" s="100">
        <f>_xll.BDP(B52 &amp; " Corp","px_last")</f>
        <v>102.307</v>
      </c>
      <c r="E52" s="100">
        <f>_xll.BDP(B52 &amp; " Corp","px_ask")</f>
        <v>102.63200000000001</v>
      </c>
      <c r="F52" s="100">
        <f>_xll.BDP(B52 &amp; " Corp","YLD_YTM_BID")</f>
        <v>3.0835303999999999</v>
      </c>
      <c r="G52" s="100">
        <f>_xll.BDP(B52 &amp; " Corp","YLD_YTM_ask")</f>
        <v>2.2610776000000001</v>
      </c>
      <c r="H52" s="100">
        <f>_xll.BDP(B52 &amp; " Corp","CPN")</f>
        <v>6.375</v>
      </c>
      <c r="I52" s="100" t="str">
        <f>_xll.BDP(B52&amp; " Corp","MATURITY")</f>
        <v>07/05/2018</v>
      </c>
      <c r="J52" s="100" t="str">
        <f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/BB-/Ba3</v>
      </c>
      <c r="K52" s="100" t="str">
        <f>_xll.BDP($B52&amp; " Corp","INDUSTRY_SUBGROUP")</f>
        <v>Gold Mining</v>
      </c>
      <c r="L52" s="100" t="str">
        <f>_xll.BDP(B52 &amp; " Corp","CRNCY")</f>
        <v>USD</v>
      </c>
      <c r="M52" s="100" t="str">
        <f>_xll.BDP(B52 &amp; " Corp","CNTRY_OF_RISK")</f>
        <v>RU</v>
      </c>
      <c r="N52" s="100" t="str">
        <f>_xll.BDP($B52&amp; " Corp","PAYMENT_RANK")</f>
        <v>Sr Unsecured</v>
      </c>
      <c r="O52" s="100" t="str">
        <f>_xll.BDP($B52&amp; " Corp","MTY_TYP")</f>
        <v>AT MATURITY</v>
      </c>
      <c r="P52" s="100" t="str">
        <f>_xll.BDP($B52&amp; " Corp","RUSSIAN_CB_LOMBARD")</f>
        <v>Y</v>
      </c>
      <c r="Q52" s="102">
        <f>_xll.BDP(B52&amp;" Corp", "INTERVAL_PERCENT_CHANGE", "END_DATE_OVERRIDE"," ", "START_DATE_OVERRIDe",R52)</f>
        <v>5.020303475680767</v>
      </c>
      <c r="R52" s="101">
        <v>20140716</v>
      </c>
      <c r="S52" s="100">
        <f>_xll.BDP($B52&amp; " Corp","PX_GROSS_MID")</f>
        <v>104.64400000000001</v>
      </c>
      <c r="T52" s="99">
        <f>_xll.BDP($B52&amp; " Corp","MIN_PIECE")</f>
        <v>200000</v>
      </c>
    </row>
    <row r="53" spans="1:20" ht="15.75" x14ac:dyDescent="0.25">
      <c r="A53" s="100" t="str">
        <f>_xll.BDP(B53&amp; " Corp","name")</f>
        <v>LUKOIL INTL FINANCE BV</v>
      </c>
      <c r="B53" s="100" t="s">
        <v>367</v>
      </c>
      <c r="C53" s="100">
        <f>_xll.BDP(B53 &amp; " Corp","MTY_YEARS_TDY")</f>
        <v>2.1656399726214923</v>
      </c>
      <c r="D53" s="100">
        <f>_xll.BDP(B53 &amp; " Corp","px_last")</f>
        <v>109.907</v>
      </c>
      <c r="E53" s="100">
        <f>_xll.BDP(B53 &amp; " Corp","px_ask")</f>
        <v>110.164</v>
      </c>
      <c r="F53" s="100">
        <f>_xll.BDP(B53 &amp; " Corp","YLD_YTM_BID")</f>
        <v>2.5435137018756366</v>
      </c>
      <c r="G53" s="100">
        <f>_xll.BDP(B53 &amp; " Corp","YLD_YTM_ask")</f>
        <v>2.3403834905426257</v>
      </c>
      <c r="H53" s="100">
        <f>_xll.BDP(B53 &amp; " Corp","CPN")</f>
        <v>7.25</v>
      </c>
      <c r="I53" s="100" t="str">
        <f>_xll.BDP(B53&amp; " Corp","MATURITY")</f>
        <v>05/11/2019</v>
      </c>
      <c r="J53" s="100" t="str">
        <f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BBB-/BBB-/Ba1</v>
      </c>
      <c r="K53" s="100" t="str">
        <f>_xll.BDP($B53&amp; " Corp","INDUSTRY_SUBGROUP")</f>
        <v>Oil Comp-Integrated</v>
      </c>
      <c r="L53" s="100" t="str">
        <f>_xll.BDP(B53 &amp; " Corp","CRNCY")</f>
        <v>USD</v>
      </c>
      <c r="M53" s="100" t="str">
        <f>_xll.BDP(B53 &amp; " Corp","CNTRY_OF_RISK")</f>
        <v>RU</v>
      </c>
      <c r="N53" s="100" t="str">
        <f>_xll.BDP($B53&amp; " Corp","PAYMENT_RANK")</f>
        <v>Sr Unsecured</v>
      </c>
      <c r="O53" s="100" t="str">
        <f>_xll.BDP($B53&amp; " Corp","MTY_TYP")</f>
        <v>AT MATURITY</v>
      </c>
      <c r="P53" s="100" t="str">
        <f>_xll.BDP($B53&amp; " Corp","RUSSIAN_CB_LOMBARD")</f>
        <v>Y</v>
      </c>
      <c r="Q53" s="102">
        <f>_xll.BDP(B53&amp;" Corp", "INTERVAL_PERCENT_CHANGE", "END_DATE_OVERRIDE"," ", "START_DATE_OVERRIDe",R53)</f>
        <v>-1.3499696782189836</v>
      </c>
      <c r="R53" s="101">
        <v>20140716</v>
      </c>
      <c r="S53" s="100">
        <f>_xll.BDP($B53&amp; " Corp","PX_GROSS_MID")</f>
        <v>112.6051111111111</v>
      </c>
      <c r="T53" s="99">
        <f>_xll.BDP($B53&amp; " Corp","MIN_PIECE")</f>
        <v>100000</v>
      </c>
    </row>
    <row r="54" spans="1:20" ht="15.75" x14ac:dyDescent="0.25">
      <c r="A54" s="100" t="str">
        <f>_xll.BDP(B54&amp; " Corp","name")</f>
        <v>OJSC RUSS AGRIC BK(RSHB)</v>
      </c>
      <c r="B54" s="100" t="s">
        <v>366</v>
      </c>
      <c r="C54" s="100">
        <f>_xll.BDP(B54 &amp; " Corp","MTY_YEARS_TDY")</f>
        <v>0.30937713894592744</v>
      </c>
      <c r="D54" s="100">
        <f>_xll.BDP(B54 &amp; " Corp","px_last")</f>
        <v>100.846</v>
      </c>
      <c r="E54" s="100">
        <f>_xll.BDP(B54 &amp; " Corp","px_ask")</f>
        <v>101.178</v>
      </c>
      <c r="F54" s="100">
        <f>_xll.BDP(B54 &amp; " Corp","YLD_YTM_BID")</f>
        <v>2.5376286360000604</v>
      </c>
      <c r="G54" s="100">
        <f>_xll.BDP(B54 &amp; " Corp","YLD_YTM_ask")</f>
        <v>1.7519633744527776</v>
      </c>
      <c r="H54" s="100">
        <f>_xll.BDP(B54 &amp; " Corp","CPN")</f>
        <v>5.298</v>
      </c>
      <c r="I54" s="100" t="str">
        <f>_xll.BDP(B54&amp; " Corp","MATURITY")</f>
        <v>27/12/2017</v>
      </c>
      <c r="J54" s="100" t="str">
        <f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/BB+/Ba2</v>
      </c>
      <c r="K54" s="100" t="str">
        <f>_xll.BDP($B54&amp; " Corp","INDUSTRY_SUBGROUP")</f>
        <v>Commer Banks Non-US</v>
      </c>
      <c r="L54" s="100" t="str">
        <f>_xll.BDP(B54 &amp; " Corp","CRNCY")</f>
        <v>USD</v>
      </c>
      <c r="M54" s="100" t="str">
        <f>_xll.BDP(B54 &amp; " Corp","CNTRY_OF_RISK")</f>
        <v>RU</v>
      </c>
      <c r="N54" s="100" t="str">
        <f>_xll.BDP($B54&amp; " Corp","PAYMENT_RANK")</f>
        <v>Sr Unsecured</v>
      </c>
      <c r="O54" s="100" t="str">
        <f>_xll.BDP($B54&amp; " Corp","MTY_TYP")</f>
        <v>AT MATURITY</v>
      </c>
      <c r="P54" s="100" t="str">
        <f>_xll.BDP($B54&amp; " Corp","RUSSIAN_CB_LOMBARD")</f>
        <v>Y</v>
      </c>
      <c r="Q54" s="102">
        <f>_xll.BDP(B54&amp;" Corp", "INTERVAL_PERCENT_CHANGE", "END_DATE_OVERRIDE"," ", "START_DATE_OVERRIDe",R54)</f>
        <v>0.2955826615539951</v>
      </c>
      <c r="R54" s="101">
        <v>20140716</v>
      </c>
      <c r="S54" s="100">
        <f>_xll.BDP($B54&amp; " Corp","PX_GROSS_MID")</f>
        <v>102.05326666666666</v>
      </c>
      <c r="T54" s="99">
        <f>_xll.BDP($B54&amp; " Corp","MIN_PIECE")</f>
        <v>200000</v>
      </c>
    </row>
    <row r="55" spans="1:20" ht="15.75" x14ac:dyDescent="0.25">
      <c r="A55" s="100" t="str">
        <f>_xll.BDP(B55&amp; " Corp","name")</f>
        <v>SBERBANK (SB CAP SA)</v>
      </c>
      <c r="B55" s="103" t="s">
        <v>365</v>
      </c>
      <c r="C55" s="100">
        <f>_xll.BDP(B55 &amp; " Corp","MTY_YEARS_TDY")</f>
        <v>1.8097193702943191</v>
      </c>
      <c r="D55" s="100">
        <f>_xll.BDP(B55 &amp; " Corp","px_last")</f>
        <v>104.30200000000001</v>
      </c>
      <c r="E55" s="100">
        <f>_xll.BDP(B55 &amp; " Corp","px_ask")</f>
        <v>104.65600000000001</v>
      </c>
      <c r="F55" s="100">
        <f>_xll.BDP(B55 &amp; " Corp","YLD_YTM_BID")</f>
        <v>2.8106973000000002</v>
      </c>
      <c r="G55" s="100">
        <f>_xll.BDP(B55 &amp; " Corp","YLD_YTM_ask")</f>
        <v>2.5488239999999998</v>
      </c>
      <c r="H55" s="100">
        <f>_xll.BDP(B55 &amp; " Corp","CPN")</f>
        <v>5.18</v>
      </c>
      <c r="I55" s="100" t="str">
        <f>_xll.BDP(B55&amp; " Corp","MATURITY")</f>
        <v>28/06/2019</v>
      </c>
      <c r="J55" s="100" t="str">
        <f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/BBB-/Ba1</v>
      </c>
      <c r="K55" s="100" t="str">
        <f>_xll.BDP($B55&amp; " Corp","INDUSTRY_SUBGROUP")</f>
        <v>Commer Banks Non-US</v>
      </c>
      <c r="L55" s="100" t="str">
        <f>_xll.BDP(B55 &amp; " Corp","CRNCY")</f>
        <v>USD</v>
      </c>
      <c r="M55" s="100" t="str">
        <f>_xll.BDP(B55 &amp; " Corp","CNTRY_OF_RISK")</f>
        <v>RU</v>
      </c>
      <c r="N55" s="100" t="str">
        <f>_xll.BDP($B55&amp; " Corp","PAYMENT_RANK")</f>
        <v>Sr Unsecured</v>
      </c>
      <c r="O55" s="100" t="str">
        <f>_xll.BDP($B55&amp; " Corp","MTY_TYP")</f>
        <v>AT MATURITY</v>
      </c>
      <c r="P55" s="100" t="str">
        <f>_xll.BDP($B55&amp; " Corp","RUSSIAN_CB_LOMBARD")</f>
        <v>Y</v>
      </c>
      <c r="Q55" s="102">
        <f>_xll.BDP(B55&amp;" Corp", "INTERVAL_PERCENT_CHANGE", "END_DATE_OVERRIDE"," ", "START_DATE_OVERRIDe",R55)</f>
        <v>2.3922121667554084</v>
      </c>
      <c r="R55" s="101">
        <v>20140716</v>
      </c>
      <c r="S55" s="100">
        <f>_xll.BDP($B55&amp; " Corp","PX_GROSS_MID")</f>
        <v>105.46749999999999</v>
      </c>
      <c r="T55" s="99">
        <f>_xll.BDP($B55&amp; " Corp","MIN_PIECE")</f>
        <v>200000</v>
      </c>
    </row>
    <row r="56" spans="1:20" ht="15.75" x14ac:dyDescent="0.25">
      <c r="A56" s="103" t="str">
        <f>_xll.BDP(B56&amp; " Corp","name")</f>
        <v>URALKALI (URALKALI FINAN</v>
      </c>
      <c r="B56" s="100" t="s">
        <v>364</v>
      </c>
      <c r="C56" s="100">
        <f>_xll.BDP(B56 &amp; " Corp","MTY_YEARS_TDY")</f>
        <v>0.64887063655030797</v>
      </c>
      <c r="D56" s="100">
        <f>_xll.BDP(B56 &amp; " Corp","px_last")</f>
        <v>100.536</v>
      </c>
      <c r="E56" s="100">
        <f>_xll.BDP(B56 &amp; " Corp","px_ask")</f>
        <v>100.797</v>
      </c>
      <c r="F56" s="100">
        <f>_xll.BDP(B56 &amp; " Corp","YLD_YTM_BID")</f>
        <v>3.2476229999999999</v>
      </c>
      <c r="G56" s="100">
        <f>_xll.BDP(B56 &amp; " Corp","YLD_YTM_ask")</f>
        <v>2.4613985999999999</v>
      </c>
      <c r="H56" s="100">
        <f>_xll.BDP(B56 &amp; " Corp","CPN")</f>
        <v>3.7229999999999999</v>
      </c>
      <c r="I56" s="100" t="str">
        <f>_xll.BDP(B56&amp; " Corp","MATURITY")</f>
        <v>30/04/2018</v>
      </c>
      <c r="J56" s="100" t="str">
        <f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/BB-/Ba2</v>
      </c>
      <c r="K56" s="100" t="str">
        <f>_xll.BDP($B56&amp; " Corp","INDUSTRY_SUBGROUP")</f>
        <v>Agricultural Chemicals</v>
      </c>
      <c r="L56" s="100" t="str">
        <f>_xll.BDP(B56 &amp; " Corp","CRNCY")</f>
        <v>USD</v>
      </c>
      <c r="M56" s="100" t="str">
        <f>_xll.BDP(B56 &amp; " Corp","CNTRY_OF_RISK")</f>
        <v>RU</v>
      </c>
      <c r="N56" s="100" t="str">
        <f>_xll.BDP($B56&amp; " Corp","PAYMENT_RANK")</f>
        <v>Sr Unsecured</v>
      </c>
      <c r="O56" s="100" t="str">
        <f>_xll.BDP($B56&amp; " Corp","MTY_TYP")</f>
        <v>AT MATURITY</v>
      </c>
      <c r="P56" s="100" t="str">
        <f>_xll.BDP($B56&amp; " Corp","RUSSIAN_CB_LOMBARD")</f>
        <v>Y</v>
      </c>
      <c r="Q56" s="102">
        <f>_xll.BDP(B56&amp;" Corp", "INTERVAL_PERCENT_CHANGE", "END_DATE_OVERRIDE"," ", "START_DATE_OVERRIDe",R56)</f>
        <v>2.30411526986427</v>
      </c>
      <c r="R56" s="101">
        <v>20140716</v>
      </c>
      <c r="S56" s="100">
        <f>_xll.BDP($B56&amp; " Corp","PX_GROSS_MID")</f>
        <v>101.96049166666667</v>
      </c>
      <c r="T56" s="99">
        <f>_xll.BDP($B56&amp; " Corp","MIN_PIECE")</f>
        <v>200000</v>
      </c>
    </row>
    <row r="57" spans="1:20" ht="15.75" x14ac:dyDescent="0.25">
      <c r="A57" s="100" t="str">
        <f>_xll.BDP(B57&amp; " Corp","name")</f>
        <v>VTB BANK (VTB CAPITAL SA</v>
      </c>
      <c r="B57" s="100" t="s">
        <v>363</v>
      </c>
      <c r="C57" s="100">
        <f>_xll.BDP(B57 &amp; " Corp","MTY_YEARS_TDY")</f>
        <v>0.72826830937713893</v>
      </c>
      <c r="D57" s="100">
        <f>_xll.BDP(B57 &amp; " Corp","px_last")</f>
        <v>103.102</v>
      </c>
      <c r="E57" s="100">
        <f>_xll.BDP(B57 &amp; " Corp","px_ask")</f>
        <v>103.29600000000001</v>
      </c>
      <c r="F57" s="100">
        <f>_xll.BDP(B57 &amp; " Corp","YLD_YTM_BID")</f>
        <v>2.5771708660246677</v>
      </c>
      <c r="G57" s="100">
        <f>_xll.BDP(B57 &amp; " Corp","YLD_YTM_ask")</f>
        <v>2.1021598596594626</v>
      </c>
      <c r="H57" s="100">
        <f>_xll.BDP(B57 &amp; " Corp","CPN")</f>
        <v>6.875</v>
      </c>
      <c r="I57" s="100" t="str">
        <f>_xll.BDP(B57&amp; " Corp","MATURITY")</f>
        <v>29/05/2018</v>
      </c>
      <c r="J57" s="100" t="str">
        <f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BB+/WD/Ba1</v>
      </c>
      <c r="K57" s="100" t="str">
        <f>_xll.BDP($B57&amp; " Corp","INDUSTRY_SUBGROUP")</f>
        <v>Commer Banks Non-US</v>
      </c>
      <c r="L57" s="100" t="str">
        <f>_xll.BDP(B57 &amp; " Corp","CRNCY")</f>
        <v>USD</v>
      </c>
      <c r="M57" s="100" t="str">
        <f>_xll.BDP(B57 &amp; " Corp","CNTRY_OF_RISK")</f>
        <v>RU</v>
      </c>
      <c r="N57" s="100" t="str">
        <f>_xll.BDP($B57&amp; " Corp","PAYMENT_RANK")</f>
        <v>Sr Unsecured</v>
      </c>
      <c r="O57" s="100" t="str">
        <f>_xll.BDP($B57&amp; " Corp","MTY_TYP")</f>
        <v>PUTABLE</v>
      </c>
      <c r="P57" s="100" t="str">
        <f>_xll.BDP($B57&amp; " Corp","RUSSIAN_CB_LOMBARD")</f>
        <v>Y</v>
      </c>
      <c r="Q57" s="102">
        <f>_xll.BDP(B57&amp;" Corp", "INTERVAL_PERCENT_CHANGE", "END_DATE_OVERRIDE"," ", "START_DATE_OVERRIDe",R57)</f>
        <v>-0.34464062844397891</v>
      </c>
      <c r="R57" s="101">
        <v>20140716</v>
      </c>
      <c r="S57" s="100">
        <f>_xll.BDP($B57&amp; " Corp","PX_GROSS_MID")</f>
        <v>105.22129166666667</v>
      </c>
      <c r="T57" s="99">
        <f>_xll.BDP($B57&amp; " Corp","MIN_PIECE")</f>
        <v>100000</v>
      </c>
    </row>
    <row r="58" spans="1:20" ht="15.75" x14ac:dyDescent="0.25">
      <c r="A58" s="100" t="str">
        <f>_xll.BDP(B58&amp; " Corp","name")</f>
        <v>OJSC RUSS AGRIC BK(RSHB)</v>
      </c>
      <c r="B58" s="100" t="s">
        <v>362</v>
      </c>
      <c r="C58" s="100">
        <f>_xll.BDP(B58 &amp; " Corp","MTY_YEARS_TDY")</f>
        <v>-0.33675564681724846</v>
      </c>
      <c r="D58" s="100" t="str">
        <f>_xll.BDP(B58 &amp; " Corp","px_last")</f>
        <v>#N/A Field Not Applicable</v>
      </c>
      <c r="E58" s="100" t="str">
        <f>_xll.BDP(B58 &amp; " Corp","px_ask")</f>
        <v>#N/A N/A</v>
      </c>
      <c r="F58" s="100" t="str">
        <f>_xll.BDP(B58 &amp; " Corp","YLD_YTM_BID")</f>
        <v>#N/A N/A</v>
      </c>
      <c r="G58" s="100" t="str">
        <f>_xll.BDP(B58 &amp; " Corp","YLD_YTM_ask")</f>
        <v>#N/A N/A</v>
      </c>
      <c r="H58" s="100">
        <f>_xll.BDP(B58 &amp; " Corp","CPN")</f>
        <v>6.2990000000000004</v>
      </c>
      <c r="I58" s="100" t="str">
        <f>_xll.BDP(B58&amp; " Corp","MATURITY")</f>
        <v>15/05/2017</v>
      </c>
      <c r="J58" s="100" t="str">
        <f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/NR/WR</v>
      </c>
      <c r="K58" s="100" t="str">
        <f>_xll.BDP($B58&amp; " Corp","INDUSTRY_SUBGROUP")</f>
        <v>Commer Banks Non-US</v>
      </c>
      <c r="L58" s="100" t="str">
        <f>_xll.BDP(B58 &amp; " Corp","CRNCY")</f>
        <v>USD</v>
      </c>
      <c r="M58" s="100" t="str">
        <f>_xll.BDP(B58 &amp; " Corp","CNTRY_OF_RISK")</f>
        <v>RU</v>
      </c>
      <c r="N58" s="100" t="str">
        <f>_xll.BDP($B58&amp; " Corp","PAYMENT_RANK")</f>
        <v>Sr Unsecured</v>
      </c>
      <c r="O58" s="100" t="str">
        <f>_xll.BDP($B58&amp; " Corp","MTY_TYP")</f>
        <v>AT MATURITY</v>
      </c>
      <c r="P58" s="100" t="str">
        <f>_xll.BDP($B58&amp; " Corp","RUSSIAN_CB_LOMBARD")</f>
        <v>Y</v>
      </c>
      <c r="Q58" s="102">
        <f>_xll.BDP(B58&amp;" Corp", "INTERVAL_PERCENT_CHANGE", "END_DATE_OVERRIDE"," ", "START_DATE_OVERRIDe",R58)</f>
        <v>-2.6123895562724058</v>
      </c>
      <c r="R58" s="101">
        <v>20140716</v>
      </c>
      <c r="S58" s="100" t="str">
        <f>_xll.BDP($B58&amp; " Corp","PX_GROSS_MID")</f>
        <v>#N/A N/A</v>
      </c>
      <c r="T58" s="99">
        <f>_xll.BDP($B58&amp; " Corp","MIN_PIECE")</f>
        <v>100000</v>
      </c>
    </row>
    <row r="59" spans="1:20" ht="15.75" x14ac:dyDescent="0.25">
      <c r="A59" s="100" t="str">
        <f>_xll.BDP(B59&amp; " Corp","name")</f>
        <v>ROSNEFT FINANCE SA</v>
      </c>
      <c r="B59" s="100" t="s">
        <v>361</v>
      </c>
      <c r="C59" s="100">
        <f>_xll.BDP(B59 &amp; " Corp","MTY_YEARS_TDY")</f>
        <v>0.51745379876796715</v>
      </c>
      <c r="D59" s="100">
        <f>_xll.BDP(B59 &amp; " Corp","px_last")</f>
        <v>102.76900000000001</v>
      </c>
      <c r="E59" s="100">
        <f>_xll.BDP(B59 &amp; " Corp","px_ask")</f>
        <v>103.08</v>
      </c>
      <c r="F59" s="100">
        <f>_xll.BDP(B59 &amp; " Corp","YLD_YTM_BID")</f>
        <v>2.3723009078887696</v>
      </c>
      <c r="G59" s="100">
        <f>_xll.BDP(B59 &amp; " Corp","YLD_YTM_ask")</f>
        <v>1.7995805998351353</v>
      </c>
      <c r="H59" s="100">
        <f>_xll.BDP(B59 &amp; " Corp","CPN")</f>
        <v>7.875</v>
      </c>
      <c r="I59" s="100" t="str">
        <f>_xll.BDP(B59&amp; " Corp","MATURITY")</f>
        <v>13/03/2018</v>
      </c>
      <c r="J59" s="100" t="str">
        <f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BB+/WD/Ba1</v>
      </c>
      <c r="K59" s="100" t="str">
        <f>_xll.BDP($B59&amp; " Corp","INDUSTRY_SUBGROUP")</f>
        <v>Oil Comp-Integrated</v>
      </c>
      <c r="L59" s="100" t="str">
        <f>_xll.BDP(B59 &amp; " Corp","CRNCY")</f>
        <v>USD</v>
      </c>
      <c r="M59" s="100" t="str">
        <f>_xll.BDP(B59 &amp; " Corp","CNTRY_OF_RISK")</f>
        <v>RU</v>
      </c>
      <c r="N59" s="100" t="str">
        <f>_xll.BDP($B59&amp; " Corp","PAYMENT_RANK")</f>
        <v>Sr Unsecured</v>
      </c>
      <c r="O59" s="100" t="str">
        <f>_xll.BDP($B59&amp; " Corp","MTY_TYP")</f>
        <v>AT MATURITY</v>
      </c>
      <c r="P59" s="100" t="str">
        <f>_xll.BDP($B59&amp; " Corp","RUSSIAN_CB_LOMBARD")</f>
        <v>Y</v>
      </c>
      <c r="Q59" s="102">
        <f>_xll.BDP(B59&amp;" Corp", "INTERVAL_PERCENT_CHANGE", "END_DATE_OVERRIDE"," ", "START_DATE_OVERRIDe",R59)</f>
        <v>-5.2319087429539382</v>
      </c>
      <c r="R59" s="101">
        <v>20140716</v>
      </c>
      <c r="S59" s="100">
        <f>_xll.BDP($B59&amp; " Corp","PX_GROSS_MID")</f>
        <v>102.90025</v>
      </c>
      <c r="T59" s="99">
        <f>_xll.BDP($B59&amp; " Corp","MIN_PIECE")</f>
        <v>100000</v>
      </c>
    </row>
    <row r="60" spans="1:20" ht="15.75" x14ac:dyDescent="0.25">
      <c r="A60" s="100" t="str">
        <f>_xll.BDP(B60&amp; " Corp","name")</f>
        <v>EVRAZ GROUP SA</v>
      </c>
      <c r="B60" s="103" t="s">
        <v>360</v>
      </c>
      <c r="C60" s="100">
        <f>_xll.BDP(B60 &amp; " Corp","MTY_YEARS_TDY")</f>
        <v>-0.3942505133470226</v>
      </c>
      <c r="D60" s="100" t="str">
        <f>_xll.BDP(B60 &amp; " Corp","px_last")</f>
        <v>#N/A Field Not Applicable</v>
      </c>
      <c r="E60" s="100" t="str">
        <f>_xll.BDP(B60 &amp; " Corp","px_ask")</f>
        <v>#N/A N/A</v>
      </c>
      <c r="F60" s="100" t="str">
        <f>_xll.BDP(B60 &amp; " Corp","YLD_YTM_BID")</f>
        <v>#N/A N/A</v>
      </c>
      <c r="G60" s="100" t="str">
        <f>_xll.BDP(B60 &amp; " Corp","YLD_YTM_ask")</f>
        <v>#N/A N/A</v>
      </c>
      <c r="H60" s="100">
        <f>_xll.BDP(B60 &amp; " Corp","CPN")</f>
        <v>7.4</v>
      </c>
      <c r="I60" s="100" t="str">
        <f>_xll.BDP(B60&amp; " Corp","MATURITY")</f>
        <v>24/04/2017</v>
      </c>
      <c r="J60" s="100" t="str">
        <f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NR/WD/WR</v>
      </c>
      <c r="K60" s="100" t="str">
        <f>_xll.BDP($B60&amp; " Corp","INDUSTRY_SUBGROUP")</f>
        <v>Steel-Producers</v>
      </c>
      <c r="L60" s="100" t="str">
        <f>_xll.BDP(B60 &amp; " Corp","CRNCY")</f>
        <v>USD</v>
      </c>
      <c r="M60" s="100" t="str">
        <f>_xll.BDP(B60 &amp; " Corp","CNTRY_OF_RISK")</f>
        <v>RU</v>
      </c>
      <c r="N60" s="100" t="str">
        <f>_xll.BDP($B60&amp; " Corp","PAYMENT_RANK")</f>
        <v>Sr Unsecured</v>
      </c>
      <c r="O60" s="100" t="str">
        <f>_xll.BDP($B60&amp; " Corp","MTY_TYP")</f>
        <v>AT MATURITY</v>
      </c>
      <c r="P60" s="100" t="str">
        <f>_xll.BDP($B60&amp; " Corp","RUSSIAN_CB_LOMBARD")</f>
        <v>Y</v>
      </c>
      <c r="Q60" s="102">
        <f>_xll.BDP(B60&amp;" Corp", "INTERVAL_PERCENT_CHANGE", "END_DATE_OVERRIDE"," ", "START_DATE_OVERRIDe",R60)</f>
        <v>0.86065553324253563</v>
      </c>
      <c r="R60" s="101">
        <v>20140716</v>
      </c>
      <c r="S60" s="100" t="str">
        <f>_xll.BDP($B60&amp; " Corp","PX_GROSS_MID")</f>
        <v>#N/A N/A</v>
      </c>
      <c r="T60" s="99">
        <f>_xll.BDP($B60&amp; " Corp","MIN_PIECE")</f>
        <v>200000</v>
      </c>
    </row>
    <row r="61" spans="1:20" ht="15.75" x14ac:dyDescent="0.25">
      <c r="A61" s="107" t="str">
        <f>_xll.BDP(B61&amp; " Corp","name")</f>
        <v>VTB BANK (VTB CAPITAL SA</v>
      </c>
      <c r="B61" s="100" t="s">
        <v>359</v>
      </c>
      <c r="C61" s="100">
        <f>_xll.BDP(B61 &amp; " Corp","MTY_YEARS_TDY")</f>
        <v>0.4654346338124572</v>
      </c>
      <c r="D61" s="100">
        <f>_xll.BDP(B61 &amp; " Corp","px_last")</f>
        <v>101.791</v>
      </c>
      <c r="E61" s="100">
        <f>_xll.BDP(B61 &amp; " Corp","px_ask")</f>
        <v>102.038</v>
      </c>
      <c r="F61" s="100">
        <f>_xll.BDP(B61 &amp; " Corp","YLD_YTM_BID")</f>
        <v>2.4519016678246599</v>
      </c>
      <c r="G61" s="100">
        <f>_xll.BDP(B61 &amp; " Corp","YLD_YTM_ask")</f>
        <v>1.6581432599885937</v>
      </c>
      <c r="H61" s="100">
        <f>_xll.BDP(B61 &amp; " Corp","CPN")</f>
        <v>6.3150000000000004</v>
      </c>
      <c r="I61" s="100" t="str">
        <f>_xll.BDP(B61&amp; " Corp","MATURITY")</f>
        <v>22/02/2018</v>
      </c>
      <c r="J61" s="100" t="str">
        <f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BB+/WD/Ba1</v>
      </c>
      <c r="K61" s="100" t="str">
        <f>_xll.BDP($B61&amp; " Corp","INDUSTRY_SUBGROUP")</f>
        <v>Commer Banks Non-US</v>
      </c>
      <c r="L61" s="100" t="str">
        <f>_xll.BDP(B61 &amp; " Corp","CRNCY")</f>
        <v>USD</v>
      </c>
      <c r="M61" s="100" t="str">
        <f>_xll.BDP(B61 &amp; " Corp","CNTRY_OF_RISK")</f>
        <v>RU</v>
      </c>
      <c r="N61" s="100" t="str">
        <f>_xll.BDP($B61&amp; " Corp","PAYMENT_RANK")</f>
        <v>Sr Unsecured</v>
      </c>
      <c r="O61" s="100" t="str">
        <f>_xll.BDP($B61&amp; " Corp","MTY_TYP")</f>
        <v>AT MATURITY</v>
      </c>
      <c r="P61" s="100" t="str">
        <f>_xll.BDP($B61&amp; " Corp","RUSSIAN_CB_LOMBARD")</f>
        <v>Y</v>
      </c>
      <c r="Q61" s="102">
        <f>_xll.BDP(B61&amp;" Corp", "INTERVAL_PERCENT_CHANGE", "END_DATE_OVERRIDE"," ", "START_DATE_OVERRIDe",R61)</f>
        <v>-0.39678876064792068</v>
      </c>
      <c r="R61" s="101">
        <v>20140716</v>
      </c>
      <c r="S61" s="100">
        <f>_xll.BDP($B61&amp; " Corp","PX_GROSS_MID")</f>
        <v>102.264625</v>
      </c>
      <c r="T61" s="99">
        <f>_xll.BDP($B61&amp; " Corp","MIN_PIECE")</f>
        <v>200000</v>
      </c>
    </row>
    <row r="62" spans="1:20" ht="15.75" x14ac:dyDescent="0.25">
      <c r="A62" s="100" t="str">
        <f>_xll.BDP(B62&amp; " Corp","name")</f>
        <v>ALFA BANK (ALFA BOND)</v>
      </c>
      <c r="B62" s="103" t="s">
        <v>358</v>
      </c>
      <c r="C62" s="100">
        <f>_xll.BDP(B62 &amp; " Corp","MTY_YEARS_TDY")</f>
        <v>-0.5612594113620808</v>
      </c>
      <c r="D62" s="100" t="str">
        <f>_xll.BDP(B62 &amp; " Corp","px_last")</f>
        <v>#N/A Field Not Applicable</v>
      </c>
      <c r="E62" s="100" t="str">
        <f>_xll.BDP(B62 &amp; " Corp","px_ask")</f>
        <v>#N/A N/A</v>
      </c>
      <c r="F62" s="100" t="str">
        <f>_xll.BDP(B62 &amp; " Corp","YLD_YTM_BID")</f>
        <v>#N/A N/A</v>
      </c>
      <c r="G62" s="100" t="str">
        <f>_xll.BDP(B62 &amp; " Corp","YLD_YTM_ask")</f>
        <v>#N/A N/A</v>
      </c>
      <c r="H62" s="100">
        <f>_xll.BDP(B62 &amp; " Corp","CPN")</f>
        <v>6.3</v>
      </c>
      <c r="I62" s="100" t="str">
        <f>_xll.BDP(B62&amp; " Corp","MATURITY")</f>
        <v>22/02/2017</v>
      </c>
      <c r="J62" s="100" t="str">
        <f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NR/NR/WR</v>
      </c>
      <c r="K62" s="100" t="str">
        <f>_xll.BDP($B62&amp; " Corp","INDUSTRY_SUBGROUP")</f>
        <v>Commer Banks Non-US</v>
      </c>
      <c r="L62" s="100" t="str">
        <f>_xll.BDP(B62 &amp; " Corp","CRNCY")</f>
        <v>USD</v>
      </c>
      <c r="M62" s="100" t="str">
        <f>_xll.BDP(B62 &amp; " Corp","CNTRY_OF_RISK")</f>
        <v>RU</v>
      </c>
      <c r="N62" s="100" t="str">
        <f>_xll.BDP($B62&amp; " Corp","PAYMENT_RANK")</f>
        <v>Subordinated</v>
      </c>
      <c r="O62" s="100" t="str">
        <f>_xll.BDP($B62&amp; " Corp","MTY_TYP")</f>
        <v>CALLABLE</v>
      </c>
      <c r="P62" s="100" t="str">
        <f>_xll.BDP($B62&amp; " Corp","RUSSIAN_CB_LOMBARD")</f>
        <v>N</v>
      </c>
      <c r="Q62" s="102">
        <f>_xll.BDP(B62&amp;" Corp", "INTERVAL_PERCENT_CHANGE", "END_DATE_OVERRIDE"," ", "START_DATE_OVERRIDe",R62)</f>
        <v>-0.1299088022770592</v>
      </c>
      <c r="R62" s="101">
        <v>20140716</v>
      </c>
      <c r="S62" s="100" t="str">
        <f>_xll.BDP($B62&amp; " Corp","PX_GROSS_MID")</f>
        <v>#N/A N/A</v>
      </c>
      <c r="T62" s="99">
        <f>_xll.BDP($B62&amp; " Corp","MIN_PIECE")</f>
        <v>100000</v>
      </c>
    </row>
    <row r="63" spans="1:20" ht="15.75" x14ac:dyDescent="0.25">
      <c r="A63" s="100" t="str">
        <f>_xll.BDP(B63&amp; " Corp","name")</f>
        <v>VNESHECONOMBANK(VEB)</v>
      </c>
      <c r="B63" s="100" t="s">
        <v>357</v>
      </c>
      <c r="C63" s="100">
        <f>_xll.BDP(B63 &amp; " Corp","MTY_YEARS_TDY")</f>
        <v>0.2135523613963039</v>
      </c>
      <c r="D63" s="100">
        <f>_xll.BDP(B63 &amp; " Corp","px_last")</f>
        <v>100.65300000000001</v>
      </c>
      <c r="E63" s="100">
        <f>_xll.BDP(B63 &amp; " Corp","px_ask")</f>
        <v>100.852</v>
      </c>
      <c r="F63" s="100">
        <f>_xll.BDP(B63 &amp; " Corp","YLD_YTM_BID")</f>
        <v>2.0754452978148614</v>
      </c>
      <c r="G63" s="100">
        <f>_xll.BDP(B63 &amp; " Corp","YLD_YTM_ask")</f>
        <v>1.2864833184021509</v>
      </c>
      <c r="H63" s="100">
        <f>_xll.BDP(B63 &amp; " Corp","CPN")</f>
        <v>5.45</v>
      </c>
      <c r="I63" s="100" t="str">
        <f>_xll.BDP(B63&amp; " Corp","MATURITY")</f>
        <v>22/11/2017</v>
      </c>
      <c r="J63" s="100" t="str">
        <f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BB+/BBB-/</v>
      </c>
      <c r="K63" s="100" t="str">
        <f>_xll.BDP($B63&amp; " Corp","INDUSTRY_SUBGROUP")</f>
        <v>Special Purpose Banks</v>
      </c>
      <c r="L63" s="100" t="str">
        <f>_xll.BDP(B63 &amp; " Corp","CRNCY")</f>
        <v>USD</v>
      </c>
      <c r="M63" s="100" t="str">
        <f>_xll.BDP(B63 &amp; " Corp","CNTRY_OF_RISK")</f>
        <v>RU</v>
      </c>
      <c r="N63" s="100" t="str">
        <f>_xll.BDP($B63&amp; " Corp","PAYMENT_RANK")</f>
        <v>Sr Unsecured</v>
      </c>
      <c r="O63" s="100" t="str">
        <f>_xll.BDP($B63&amp; " Corp","MTY_TYP")</f>
        <v>AT MATURITY</v>
      </c>
      <c r="P63" s="100" t="str">
        <f>_xll.BDP($B63&amp; " Corp","RUSSIAN_CB_LOMBARD")</f>
        <v>Y</v>
      </c>
      <c r="Q63" s="102">
        <f>_xll.BDP(B63&amp;" Corp", "INTERVAL_PERCENT_CHANGE", "END_DATE_OVERRIDE"," ", "START_DATE_OVERRIDe",R63)</f>
        <v>-1.9785244689878165</v>
      </c>
      <c r="R63" s="101">
        <v>20140716</v>
      </c>
      <c r="S63" s="100">
        <f>_xll.BDP($B63&amp; " Corp","PX_GROSS_MID")</f>
        <v>102.42375</v>
      </c>
      <c r="T63" s="99">
        <f>_xll.BDP($B63&amp; " Corp","MIN_PIECE")</f>
        <v>100000</v>
      </c>
    </row>
    <row r="64" spans="1:20" ht="15.75" x14ac:dyDescent="0.25">
      <c r="A64" s="100" t="str">
        <f>_xll.BDP(B64&amp; " Corp","name")</f>
        <v>TRANSNEFT(TRANS CAP INV)</v>
      </c>
      <c r="B64" s="100" t="s">
        <v>356</v>
      </c>
      <c r="C64" s="100">
        <f>_xll.BDP(B64 &amp; " Corp","MTY_YEARS_TDY")</f>
        <v>0.91991786447638602</v>
      </c>
      <c r="D64" s="100">
        <f>_xll.BDP(B64 &amp; " Corp","px_last")</f>
        <v>105.504</v>
      </c>
      <c r="E64" s="100">
        <f>_xll.BDP(B64 &amp; " Corp","px_ask")</f>
        <v>105.746</v>
      </c>
      <c r="F64" s="100">
        <f>_xll.BDP(B64 &amp; " Corp","YLD_YTM_BID")</f>
        <v>2.5491959497962542</v>
      </c>
      <c r="G64" s="100">
        <f>_xll.BDP(B64 &amp; " Corp","YLD_YTM_ask")</f>
        <v>2.1761043352851188</v>
      </c>
      <c r="H64" s="100">
        <f>_xll.BDP(B64 &amp; " Corp","CPN")</f>
        <v>8.6999999999999993</v>
      </c>
      <c r="I64" s="100" t="str">
        <f>_xll.BDP(B64&amp; " Corp","MATURITY")</f>
        <v>07/08/2018</v>
      </c>
      <c r="J64" s="100" t="str">
        <f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BB+//Ba1</v>
      </c>
      <c r="K64" s="100" t="str">
        <f>_xll.BDP($B64&amp; " Corp","INDUSTRY_SUBGROUP")</f>
        <v>Pipelines</v>
      </c>
      <c r="L64" s="100" t="str">
        <f>_xll.BDP(B64 &amp; " Corp","CRNCY")</f>
        <v>USD</v>
      </c>
      <c r="M64" s="100" t="str">
        <f>_xll.BDP(B64 &amp; " Corp","CNTRY_OF_RISK")</f>
        <v>RU</v>
      </c>
      <c r="N64" s="100" t="str">
        <f>_xll.BDP($B64&amp; " Corp","PAYMENT_RANK")</f>
        <v>Sr Unsecured</v>
      </c>
      <c r="O64" s="100" t="str">
        <f>_xll.BDP($B64&amp; " Corp","MTY_TYP")</f>
        <v>AT MATURITY</v>
      </c>
      <c r="P64" s="100" t="str">
        <f>_xll.BDP($B64&amp; " Corp","RUSSIAN_CB_LOMBARD")</f>
        <v>Y</v>
      </c>
      <c r="Q64" s="102">
        <f>_xll.BDP(B64&amp;" Corp", "INTERVAL_PERCENT_CHANGE", "END_DATE_OVERRIDE"," ", "START_DATE_OVERRIDe",R64)</f>
        <v>-6.2841531269974782</v>
      </c>
      <c r="R64" s="101">
        <v>20140716</v>
      </c>
      <c r="S64" s="100">
        <f>_xll.BDP($B64&amp; " Corp","PX_GROSS_MID")</f>
        <v>106.5185</v>
      </c>
      <c r="T64" s="99">
        <f>_xll.BDP($B64&amp; " Corp","MIN_PIECE")</f>
        <v>100000</v>
      </c>
    </row>
    <row r="65" spans="1:20" ht="15.75" x14ac:dyDescent="0.25">
      <c r="A65" s="100" t="str">
        <f>_xll.BDP(B65&amp; " Corp","name")</f>
        <v>OJSC NOVO(STEEL FUNDING)</v>
      </c>
      <c r="B65" s="100" t="s">
        <v>355</v>
      </c>
      <c r="C65" s="100">
        <f>_xll.BDP(B65 &amp; " Corp","MTY_YEARS_TDY")</f>
        <v>0.45722108145106094</v>
      </c>
      <c r="D65" s="100">
        <f>_xll.BDP(B65 &amp; " Corp","px_last")</f>
        <v>101.358</v>
      </c>
      <c r="E65" s="100">
        <f>_xll.BDP(B65 &amp; " Corp","px_ask")</f>
        <v>101.89700000000001</v>
      </c>
      <c r="F65" s="100">
        <f>_xll.BDP(B65 &amp; " Corp","YLD_YTM_BID")</f>
        <v>1.9268158398592836</v>
      </c>
      <c r="G65" s="100">
        <f>_xll.BDP(B65 &amp; " Corp","YLD_YTM_ask")</f>
        <v>0.65721175460820902</v>
      </c>
      <c r="H65" s="100">
        <f>_xll.BDP(B65 &amp; " Corp","CPN")</f>
        <v>4.45</v>
      </c>
      <c r="I65" s="100" t="str">
        <f>_xll.BDP(B65&amp; " Corp","MATURITY")</f>
        <v>19/02/2018</v>
      </c>
      <c r="J65" s="100" t="str">
        <f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BBB-/BBB-/Ba1</v>
      </c>
      <c r="K65" s="100" t="str">
        <f>_xll.BDP($B65&amp; " Corp","INDUSTRY_SUBGROUP")</f>
        <v>Metal-Iron</v>
      </c>
      <c r="L65" s="100" t="str">
        <f>_xll.BDP(B65 &amp; " Corp","CRNCY")</f>
        <v>USD</v>
      </c>
      <c r="M65" s="100" t="str">
        <f>_xll.BDP(B65 &amp; " Corp","CNTRY_OF_RISK")</f>
        <v>RU</v>
      </c>
      <c r="N65" s="100" t="str">
        <f>_xll.BDP($B65&amp; " Corp","PAYMENT_RANK")</f>
        <v>Sr Unsecured</v>
      </c>
      <c r="O65" s="100" t="str">
        <f>_xll.BDP($B65&amp; " Corp","MTY_TYP")</f>
        <v>AT MATURITY</v>
      </c>
      <c r="P65" s="100" t="str">
        <f>_xll.BDP($B65&amp; " Corp","RUSSIAN_CB_LOMBARD")</f>
        <v>Y</v>
      </c>
      <c r="Q65" s="102">
        <f>_xll.BDP(B65&amp;" Corp", "INTERVAL_PERCENT_CHANGE", "END_DATE_OVERRIDE"," ", "START_DATE_OVERRIDe",R65)</f>
        <v>3.3199824123002002</v>
      </c>
      <c r="R65" s="101">
        <v>20140716</v>
      </c>
      <c r="S65" s="100">
        <f>_xll.BDP($B65&amp; " Corp","PX_GROSS_MID")</f>
        <v>101.67833333333334</v>
      </c>
      <c r="T65" s="99">
        <f>_xll.BDP($B65&amp; " Corp","MIN_PIECE")</f>
        <v>200000</v>
      </c>
    </row>
    <row r="66" spans="1:20" ht="15.75" x14ac:dyDescent="0.25">
      <c r="A66" s="100" t="str">
        <f>_xll.BDP(B66&amp; " Corp","name")</f>
        <v>LUKOIL INTL FINANCE BV</v>
      </c>
      <c r="B66" s="100" t="s">
        <v>354</v>
      </c>
      <c r="C66" s="100">
        <f>_xll.BDP(B66 &amp; " Corp","MTY_YEARS_TDY")</f>
        <v>0.63244353182751545</v>
      </c>
      <c r="D66" s="100">
        <f>_xll.BDP(B66 &amp; " Corp","px_last")</f>
        <v>100.88500000000001</v>
      </c>
      <c r="E66" s="100">
        <f>_xll.BDP(B66 &amp; " Corp","px_ask")</f>
        <v>101.04300000000001</v>
      </c>
      <c r="F66" s="100">
        <f>_xll.BDP(B66 &amp; " Corp","YLD_YTM_BID")</f>
        <v>2.1497215000000001</v>
      </c>
      <c r="G66" s="100">
        <f>_xll.BDP(B66 &amp; " Corp","YLD_YTM_ask")</f>
        <v>1.6853294000000001</v>
      </c>
      <c r="H66" s="100">
        <f>_xll.BDP(B66 &amp; " Corp","CPN")</f>
        <v>3.4159999999999999</v>
      </c>
      <c r="I66" s="100" t="str">
        <f>_xll.BDP(B66&amp; " Corp","MATURITY")</f>
        <v>24/04/2018</v>
      </c>
      <c r="J66" s="100" t="str">
        <f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BBB-/BBB-/Ba1</v>
      </c>
      <c r="K66" s="100" t="str">
        <f>_xll.BDP($B66&amp; " Corp","INDUSTRY_SUBGROUP")</f>
        <v>Oil Comp-Integrated</v>
      </c>
      <c r="L66" s="100" t="str">
        <f>_xll.BDP(B66 &amp; " Corp","CRNCY")</f>
        <v>USD</v>
      </c>
      <c r="M66" s="100" t="str">
        <f>_xll.BDP(B66 &amp; " Corp","CNTRY_OF_RISK")</f>
        <v>RU</v>
      </c>
      <c r="N66" s="100" t="str">
        <f>_xll.BDP($B66&amp; " Corp","PAYMENT_RANK")</f>
        <v>Sr Unsecured</v>
      </c>
      <c r="O66" s="100" t="str">
        <f>_xll.BDP($B66&amp; " Corp","MTY_TYP")</f>
        <v>AT MATURITY</v>
      </c>
      <c r="P66" s="100" t="str">
        <f>_xll.BDP($B66&amp; " Corp","RUSSIAN_CB_LOMBARD")</f>
        <v>N</v>
      </c>
      <c r="Q66" s="102">
        <f>_xll.BDP(B66&amp;" Corp", "INTERVAL_PERCENT_CHANGE", "END_DATE_OVERRIDE"," ", "START_DATE_OVERRIDe",R66)</f>
        <v>1.6251381410556172</v>
      </c>
      <c r="R66" s="101">
        <v>20140716</v>
      </c>
      <c r="S66" s="100">
        <f>_xll.BDP($B66&amp; " Corp","PX_GROSS_MID")</f>
        <v>102.2603888888889</v>
      </c>
      <c r="T66" s="99">
        <f>_xll.BDP($B66&amp; " Corp","MIN_PIECE")</f>
        <v>200000</v>
      </c>
    </row>
    <row r="67" spans="1:20" ht="15.75" x14ac:dyDescent="0.25">
      <c r="A67" s="100" t="str">
        <f>_xll.BDP(B67&amp; " Corp","name")</f>
        <v>EUROCHEM M &amp; C OJSC VIA</v>
      </c>
      <c r="B67" s="100" t="s">
        <v>353</v>
      </c>
      <c r="C67" s="100">
        <f>_xll.BDP(B67 &amp; " Corp","MTY_YEARS_TDY")</f>
        <v>0.26830937713894593</v>
      </c>
      <c r="D67" s="100">
        <f>_xll.BDP(B67 &amp; " Corp","px_last")</f>
        <v>100.89</v>
      </c>
      <c r="E67" s="100">
        <f>_xll.BDP(B67 &amp; " Corp","px_ask")</f>
        <v>101.313</v>
      </c>
      <c r="F67" s="100">
        <f>_xll.BDP(B67 &amp; " Corp","YLD_YTM_BID")</f>
        <v>2.2341905066891385</v>
      </c>
      <c r="G67" s="100">
        <f>_xll.BDP(B67 &amp; " Corp","YLD_YTM_ask")</f>
        <v>-7.3583543819830746E-2</v>
      </c>
      <c r="H67" s="100">
        <f>_xll.BDP(B67 &amp; " Corp","CPN")</f>
        <v>5.125</v>
      </c>
      <c r="I67" s="100" t="str">
        <f>_xll.BDP(B67&amp; " Corp","MATURITY")</f>
        <v>12/12/2017</v>
      </c>
      <c r="J67" s="100" t="str">
        <f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BB-/BB/</v>
      </c>
      <c r="K67" s="100" t="str">
        <f>_xll.BDP($B67&amp; " Corp","INDUSTRY_SUBGROUP")</f>
        <v>Agricultural Chemicals</v>
      </c>
      <c r="L67" s="100" t="str">
        <f>_xll.BDP(B67 &amp; " Corp","CRNCY")</f>
        <v>USD</v>
      </c>
      <c r="M67" s="100" t="str">
        <f>_xll.BDP(B67 &amp; " Corp","CNTRY_OF_RISK")</f>
        <v>RU</v>
      </c>
      <c r="N67" s="100" t="str">
        <f>_xll.BDP($B67&amp; " Corp","PAYMENT_RANK")</f>
        <v>Sr Unsecured</v>
      </c>
      <c r="O67" s="100" t="str">
        <f>_xll.BDP($B67&amp; " Corp","MTY_TYP")</f>
        <v>AT MATURITY</v>
      </c>
      <c r="P67" s="100" t="str">
        <f>_xll.BDP($B67&amp; " Corp","RUSSIAN_CB_LOMBARD")</f>
        <v>Y</v>
      </c>
      <c r="Q67" s="102">
        <f>_xll.BDP(B67&amp;" Corp", "INTERVAL_PERCENT_CHANGE", "END_DATE_OVERRIDE"," ", "START_DATE_OVERRIDe",R67)</f>
        <v>1.9649086735242232</v>
      </c>
      <c r="R67" s="101">
        <v>20140716</v>
      </c>
      <c r="S67" s="100">
        <f>_xll.BDP($B67&amp; " Corp","PX_GROSS_MID")</f>
        <v>102.30840277777779</v>
      </c>
      <c r="T67" s="99">
        <f>_xll.BDP($B67&amp; " Corp","MIN_PIECE")</f>
        <v>200000</v>
      </c>
    </row>
    <row r="68" spans="1:20" ht="15.75" x14ac:dyDescent="0.25">
      <c r="A68" s="100" t="str">
        <f>_xll.BDP(B68&amp; " Corp","name")</f>
        <v>PROMSVYAZBK(PSB FINANCE)</v>
      </c>
      <c r="B68" s="103" t="s">
        <v>352</v>
      </c>
      <c r="C68" s="100">
        <f>_xll.BDP(B68 &amp; " Corp","MTY_YEARS_TDY")</f>
        <v>-1.1882272416153319</v>
      </c>
      <c r="D68" s="100" t="str">
        <f>_xll.BDP(B68 &amp; " Corp","px_last")</f>
        <v>#N/A Field Not Applicable</v>
      </c>
      <c r="E68" s="100" t="str">
        <f>_xll.BDP(B68 &amp; " Corp","px_ask")</f>
        <v>#N/A N/A</v>
      </c>
      <c r="F68" s="100" t="str">
        <f>_xll.BDP(B68 &amp; " Corp","YLD_YTM_BID")</f>
        <v>#N/A N/A</v>
      </c>
      <c r="G68" s="100" t="str">
        <f>_xll.BDP(B68 &amp; " Corp","YLD_YTM_ask")</f>
        <v>#N/A N/A</v>
      </c>
      <c r="H68" s="100">
        <f>_xll.BDP(B68 &amp; " Corp","CPN")</f>
        <v>11.25</v>
      </c>
      <c r="I68" s="100" t="str">
        <f>_xll.BDP(B68&amp; " Corp","MATURITY")</f>
        <v>08/07/2016</v>
      </c>
      <c r="J68" s="100" t="str">
        <f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/WD/WR</v>
      </c>
      <c r="K68" s="100" t="str">
        <f>_xll.BDP($B68&amp; " Corp","INDUSTRY_SUBGROUP")</f>
        <v>Commer Banks Non-US</v>
      </c>
      <c r="L68" s="100" t="str">
        <f>_xll.BDP(B68 &amp; " Corp","CRNCY")</f>
        <v>USD</v>
      </c>
      <c r="M68" s="100" t="str">
        <f>_xll.BDP(B68 &amp; " Corp","CNTRY_OF_RISK")</f>
        <v>RU</v>
      </c>
      <c r="N68" s="100" t="str">
        <f>_xll.BDP($B68&amp; " Corp","PAYMENT_RANK")</f>
        <v>Subordinated</v>
      </c>
      <c r="O68" s="100" t="str">
        <f>_xll.BDP($B68&amp; " Corp","MTY_TYP")</f>
        <v>AT MATURITY</v>
      </c>
      <c r="P68" s="100" t="str">
        <f>_xll.BDP($B68&amp; " Corp","RUSSIAN_CB_LOMBARD")</f>
        <v>N</v>
      </c>
      <c r="Q68" s="102">
        <f>_xll.BDP(B68&amp;" Corp", "INTERVAL_PERCENT_CHANGE", "END_DATE_OVERRIDE"," ", "START_DATE_OVERRIDe",R68)</f>
        <v>-8.2958985481420466</v>
      </c>
      <c r="R68" s="101">
        <v>20140716</v>
      </c>
      <c r="S68" s="100" t="str">
        <f>_xll.BDP($B68&amp; " Corp","PX_GROSS_MID")</f>
        <v>#N/A N/A</v>
      </c>
      <c r="T68" s="99">
        <f>_xll.BDP($B68&amp; " Corp","MIN_PIECE")</f>
        <v>100000</v>
      </c>
    </row>
    <row r="69" spans="1:20" ht="15.75" x14ac:dyDescent="0.25">
      <c r="A69" s="100" t="str">
        <f>_xll.BDP(B69&amp; " Corp","name")</f>
        <v>GAZPROM (GAZ CAPITAL SA)</v>
      </c>
      <c r="B69" s="100" t="s">
        <v>351</v>
      </c>
      <c r="C69" s="100">
        <f>_xll.BDP(B69 &amp; " Corp","MTY_YEARS_TDY")</f>
        <v>0.59685147159479812</v>
      </c>
      <c r="D69" s="100">
        <f>_xll.BDP(B69 &amp; " Corp","px_last")</f>
        <v>103.361</v>
      </c>
      <c r="E69" s="100">
        <f>_xll.BDP(B69 &amp; " Corp","px_ask")</f>
        <v>103.617</v>
      </c>
      <c r="F69" s="100">
        <f>_xll.BDP(B69 &amp; " Corp","YLD_YTM_BID")</f>
        <v>2.2968536999999998</v>
      </c>
      <c r="G69" s="100">
        <f>_xll.BDP(B69 &amp; " Corp","YLD_YTM_ask")</f>
        <v>1.8767756</v>
      </c>
      <c r="H69" s="100">
        <f>_xll.BDP(B69 &amp; " Corp","CPN")</f>
        <v>8.1460000000000008</v>
      </c>
      <c r="I69" s="100" t="str">
        <f>_xll.BDP(B69&amp; " Corp","MATURITY")</f>
        <v>11/04/2018</v>
      </c>
      <c r="J69" s="100" t="str">
        <f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BB+/BBB-/Ba1</v>
      </c>
      <c r="K69" s="100" t="str">
        <f>_xll.BDP($B69&amp; " Corp","INDUSTRY_SUBGROUP")</f>
        <v>Oil Comp-Integrated</v>
      </c>
      <c r="L69" s="100" t="str">
        <f>_xll.BDP(B69 &amp; " Corp","CRNCY")</f>
        <v>USD</v>
      </c>
      <c r="M69" s="100" t="str">
        <f>_xll.BDP(B69 &amp; " Corp","CNTRY_OF_RISK")</f>
        <v>RU</v>
      </c>
      <c r="N69" s="100" t="str">
        <f>_xll.BDP($B69&amp; " Corp","PAYMENT_RANK")</f>
        <v>Sr Unsecured</v>
      </c>
      <c r="O69" s="100" t="str">
        <f>_xll.BDP($B69&amp; " Corp","MTY_TYP")</f>
        <v>AT MATURITY</v>
      </c>
      <c r="P69" s="100" t="str">
        <f>_xll.BDP($B69&amp; " Corp","RUSSIAN_CB_LOMBARD")</f>
        <v>Y</v>
      </c>
      <c r="Q69" s="102">
        <f>_xll.BDP(B69&amp;" Corp", "INTERVAL_PERCENT_CHANGE", "END_DATE_OVERRIDE"," ", "START_DATE_OVERRIDe",R69)</f>
        <v>-4.3362683295985178</v>
      </c>
      <c r="R69" s="101">
        <v>20140716</v>
      </c>
      <c r="S69" s="100">
        <f>_xll.BDP($B69&amp; " Corp","PX_GROSS_MID")</f>
        <v>106.93568888888889</v>
      </c>
      <c r="T69" s="99">
        <f>_xll.BDP($B69&amp; " Corp","MIN_PIECE")</f>
        <v>100000</v>
      </c>
    </row>
    <row r="70" spans="1:20" ht="15.75" x14ac:dyDescent="0.25">
      <c r="A70" s="100" t="str">
        <f>_xll.BDP(B70&amp; " Corp","name")</f>
        <v>ALFA BANK (ALFA BOND)</v>
      </c>
      <c r="B70" s="100" t="s">
        <v>350</v>
      </c>
      <c r="C70" s="100">
        <f>_xll.BDP(B70 &amp; " Corp","MTY_YEARS_TDY")</f>
        <v>5.4757015742642023E-2</v>
      </c>
      <c r="D70" s="100">
        <f>_xll.BDP(B70 &amp; " Corp","px_last")</f>
        <v>100.224</v>
      </c>
      <c r="E70" s="100">
        <f>_xll.BDP(B70 &amp; " Corp","px_ask")</f>
        <v>100.494</v>
      </c>
      <c r="F70" s="100">
        <f>_xll.BDP(B70 &amp; " Corp","YLD_YTM_BID")</f>
        <v>3.7112538598722544</v>
      </c>
      <c r="G70" s="100">
        <f>_xll.BDP(B70 &amp; " Corp","YLD_YTM_ask")</f>
        <v>-14.325306842313479</v>
      </c>
      <c r="H70" s="100">
        <f>_xll.BDP(B70 &amp; " Corp","CPN")</f>
        <v>7.875</v>
      </c>
      <c r="I70" s="100" t="str">
        <f>_xll.BDP(B70&amp; " Corp","MATURITY")</f>
        <v>25/09/2017</v>
      </c>
      <c r="J70" s="100" t="str">
        <f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BB/BB+/Ba2</v>
      </c>
      <c r="K70" s="100" t="str">
        <f>_xll.BDP($B70&amp; " Corp","INDUSTRY_SUBGROUP")</f>
        <v>Commer Banks Non-US</v>
      </c>
      <c r="L70" s="100" t="str">
        <f>_xll.BDP(B70 &amp; " Corp","CRNCY")</f>
        <v>USD</v>
      </c>
      <c r="M70" s="100" t="str">
        <f>_xll.BDP(B70 &amp; " Corp","CNTRY_OF_RISK")</f>
        <v>RU</v>
      </c>
      <c r="N70" s="100" t="str">
        <f>_xll.BDP($B70&amp; " Corp","PAYMENT_RANK")</f>
        <v>Sr Unsecured</v>
      </c>
      <c r="O70" s="100" t="str">
        <f>_xll.BDP($B70&amp; " Corp","MTY_TYP")</f>
        <v>AT MATURITY</v>
      </c>
      <c r="P70" s="100" t="str">
        <f>_xll.BDP($B70&amp; " Corp","RUSSIAN_CB_LOMBARD")</f>
        <v>Y</v>
      </c>
      <c r="Q70" s="102">
        <f>_xll.BDP(B70&amp;" Corp", "INTERVAL_PERCENT_CHANGE", "END_DATE_OVERRIDE"," ", "START_DATE_OVERRIDe",R70)</f>
        <v>-2.6772823721566978</v>
      </c>
      <c r="R70" s="101">
        <v>20140716</v>
      </c>
      <c r="S70" s="100">
        <f>_xll.BDP($B70&amp; " Corp","PX_GROSS_MID")</f>
        <v>104.02975000000001</v>
      </c>
      <c r="T70" s="99">
        <f>_xll.BDP($B70&amp; " Corp","MIN_PIECE")</f>
        <v>100000</v>
      </c>
    </row>
    <row r="71" spans="1:20" ht="15.75" x14ac:dyDescent="0.25">
      <c r="A71" s="100" t="str">
        <f>_xll.BDP(B71&amp; " Corp","name")</f>
        <v>SEVERSTAL (STEEL CAP)</v>
      </c>
      <c r="B71" s="100" t="s">
        <v>349</v>
      </c>
      <c r="C71" s="100">
        <f>_xll.BDP(B71 &amp; " Corp","MTY_YEARS_TDY")</f>
        <v>0.53388090349075978</v>
      </c>
      <c r="D71" s="100">
        <f>_xll.BDP(B71 &amp; " Corp","px_last")</f>
        <v>101.20699999999999</v>
      </c>
      <c r="E71" s="100">
        <f>_xll.BDP(B71 &amp; " Corp","px_ask")</f>
        <v>101.43300000000001</v>
      </c>
      <c r="F71" s="100">
        <f>_xll.BDP(B71 &amp; " Corp","YLD_YTM_BID")</f>
        <v>2.3996911000000001</v>
      </c>
      <c r="G71" s="100">
        <f>_xll.BDP(B71 &amp; " Corp","YLD_YTM_ask")</f>
        <v>1.6272188999999999</v>
      </c>
      <c r="H71" s="100">
        <f>_xll.BDP(B71 &amp; " Corp","CPN")</f>
        <v>4.45</v>
      </c>
      <c r="I71" s="100" t="str">
        <f>_xll.BDP(B71&amp; " Corp","MATURITY")</f>
        <v>19/03/2018</v>
      </c>
      <c r="J71" s="100" t="str">
        <f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BBB-/BBB-/NR</v>
      </c>
      <c r="K71" s="100" t="str">
        <f>_xll.BDP($B71&amp; " Corp","INDUSTRY_SUBGROUP")</f>
        <v>Steel-Producers</v>
      </c>
      <c r="L71" s="100" t="str">
        <f>_xll.BDP(B71 &amp; " Corp","CRNCY")</f>
        <v>USD</v>
      </c>
      <c r="M71" s="100" t="str">
        <f>_xll.BDP(B71 &amp; " Corp","CNTRY_OF_RISK")</f>
        <v>RU</v>
      </c>
      <c r="N71" s="100" t="str">
        <f>_xll.BDP($B71&amp; " Corp","PAYMENT_RANK")</f>
        <v>Sr Unsecured</v>
      </c>
      <c r="O71" s="100" t="str">
        <f>_xll.BDP($B71&amp; " Corp","MTY_TYP")</f>
        <v>AT MATURITY</v>
      </c>
      <c r="P71" s="100" t="str">
        <f>_xll.BDP($B71&amp; " Corp","RUSSIAN_CB_LOMBARD")</f>
        <v>Y</v>
      </c>
      <c r="Q71" s="102">
        <f>_xll.BDP(B71&amp;" Corp", "INTERVAL_PERCENT_CHANGE", "END_DATE_OVERRIDE"," ", "START_DATE_OVERRIDe",R71)</f>
        <v>3.400396250110481</v>
      </c>
      <c r="R71" s="101">
        <v>20140716</v>
      </c>
      <c r="S71" s="100">
        <f>_xll.BDP($B71&amp; " Corp","PX_GROSS_MID")</f>
        <v>101.20650000000001</v>
      </c>
      <c r="T71" s="99">
        <f>_xll.BDP($B71&amp; " Corp","MIN_PIECE")</f>
        <v>200000</v>
      </c>
    </row>
    <row r="72" spans="1:20" ht="15.75" x14ac:dyDescent="0.25">
      <c r="A72" s="100" t="str">
        <f>_xll.BDP(B72&amp; " Corp","name")</f>
        <v>GAZPROMBK (GPB FINANCE)</v>
      </c>
      <c r="B72" s="100" t="s">
        <v>348</v>
      </c>
      <c r="C72" s="100">
        <f>_xll.BDP(B72 &amp; " Corp","MTY_YEARS_TDY")</f>
        <v>-0.33127994524298426</v>
      </c>
      <c r="D72" s="100" t="str">
        <f>_xll.BDP(B72 &amp; " Corp","px_last")</f>
        <v>#N/A Field Not Applicable</v>
      </c>
      <c r="E72" s="100" t="str">
        <f>_xll.BDP(B72 &amp; " Corp","px_ask")</f>
        <v>#N/A N/A</v>
      </c>
      <c r="F72" s="100" t="str">
        <f>_xll.BDP(B72 &amp; " Corp","YLD_YTM_BID")</f>
        <v>#N/A N/A</v>
      </c>
      <c r="G72" s="100" t="str">
        <f>_xll.BDP(B72 &amp; " Corp","YLD_YTM_ask")</f>
        <v>#N/A N/A</v>
      </c>
      <c r="H72" s="100">
        <f>_xll.BDP(B72 &amp; " Corp","CPN")</f>
        <v>5.625</v>
      </c>
      <c r="I72" s="100" t="str">
        <f>_xll.BDP(B72&amp; " Corp","MATURITY")</f>
        <v>17/05/2017</v>
      </c>
      <c r="J72" s="100" t="str">
        <f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NR/NR/WR</v>
      </c>
      <c r="K72" s="100" t="str">
        <f>_xll.BDP($B72&amp; " Corp","INDUSTRY_SUBGROUP")</f>
        <v>Commer Banks Non-US</v>
      </c>
      <c r="L72" s="100" t="str">
        <f>_xll.BDP(B72 &amp; " Corp","CRNCY")</f>
        <v>USD</v>
      </c>
      <c r="M72" s="100" t="str">
        <f>_xll.BDP(B72 &amp; " Corp","CNTRY_OF_RISK")</f>
        <v>RU</v>
      </c>
      <c r="N72" s="100" t="str">
        <f>_xll.BDP($B72&amp; " Corp","PAYMENT_RANK")</f>
        <v>Sr Unsecured</v>
      </c>
      <c r="O72" s="100" t="str">
        <f>_xll.BDP($B72&amp; " Corp","MTY_TYP")</f>
        <v>AT MATURITY</v>
      </c>
      <c r="P72" s="100" t="str">
        <f>_xll.BDP($B72&amp; " Corp","RUSSIAN_CB_LOMBARD")</f>
        <v>Y</v>
      </c>
      <c r="Q72" s="102">
        <f>_xll.BDP(B72&amp;" Corp", "INTERVAL_PERCENT_CHANGE", "END_DATE_OVERRIDE"," ", "START_DATE_OVERRIDe",R72)</f>
        <v>-1.463466993520506</v>
      </c>
      <c r="R72" s="101">
        <v>20140716</v>
      </c>
      <c r="S72" s="100" t="str">
        <f>_xll.BDP($B72&amp; " Corp","PX_GROSS_MID")</f>
        <v>#N/A N/A</v>
      </c>
      <c r="T72" s="99">
        <f>_xll.BDP($B72&amp; " Corp","MIN_PIECE")</f>
        <v>200000</v>
      </c>
    </row>
    <row r="73" spans="1:20" ht="15.75" x14ac:dyDescent="0.25">
      <c r="A73" s="100" t="str">
        <f>_xll.BDP(B73&amp; " Corp","name")</f>
        <v>PHOSAGRO(PHOS BOND FUND)</v>
      </c>
      <c r="B73" s="100" t="s">
        <v>347</v>
      </c>
      <c r="C73" s="100">
        <f>_xll.BDP(B73 &amp; " Corp","MTY_YEARS_TDY")</f>
        <v>0.44079397672826831</v>
      </c>
      <c r="D73" s="100">
        <f>_xll.BDP(B73 &amp; " Corp","px_last")</f>
        <v>100.91</v>
      </c>
      <c r="E73" s="100">
        <f>_xll.BDP(B73 &amp; " Corp","px_ask")</f>
        <v>101.087</v>
      </c>
      <c r="F73" s="100">
        <f>_xll.BDP(B73 &amp; " Corp","YLD_YTM_BID")</f>
        <v>2.3319862710363126</v>
      </c>
      <c r="G73" s="100">
        <f>_xll.BDP(B73 &amp; " Corp","YLD_YTM_ask")</f>
        <v>1.4768123709390513</v>
      </c>
      <c r="H73" s="100">
        <f>_xll.BDP(B73 &amp; " Corp","CPN")</f>
        <v>4.2039999999999997</v>
      </c>
      <c r="I73" s="100" t="str">
        <f>_xll.BDP(B73&amp; " Corp","MATURITY")</f>
        <v>13/02/2018</v>
      </c>
      <c r="J73" s="100" t="str">
        <f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/BB+/Ba1</v>
      </c>
      <c r="K73" s="100" t="str">
        <f>_xll.BDP($B73&amp; " Corp","INDUSTRY_SUBGROUP")</f>
        <v>Agricultural Chemicals</v>
      </c>
      <c r="L73" s="100" t="str">
        <f>_xll.BDP(B73 &amp; " Corp","CRNCY")</f>
        <v>USD</v>
      </c>
      <c r="M73" s="100" t="str">
        <f>_xll.BDP(B73 &amp; " Corp","CNTRY_OF_RISK")</f>
        <v>RU</v>
      </c>
      <c r="N73" s="100" t="str">
        <f>_xll.BDP($B73&amp; " Corp","PAYMENT_RANK")</f>
        <v>Sr Unsecured</v>
      </c>
      <c r="O73" s="100" t="str">
        <f>_xll.BDP($B73&amp; " Corp","MTY_TYP")</f>
        <v>AT MATURITY</v>
      </c>
      <c r="P73" s="100" t="str">
        <f>_xll.BDP($B73&amp; " Corp","RUSSIAN_CB_LOMBARD")</f>
        <v>Y</v>
      </c>
      <c r="Q73" s="102">
        <f>_xll.BDP(B73&amp;" Corp", "INTERVAL_PERCENT_CHANGE", "END_DATE_OVERRIDE"," ", "START_DATE_OVERRIDe",R73)</f>
        <v>2.0826452648631548</v>
      </c>
      <c r="R73" s="101">
        <v>20140716</v>
      </c>
      <c r="S73" s="100">
        <f>_xll.BDP($B73&amp; " Corp","PX_GROSS_MID")</f>
        <v>101.3304</v>
      </c>
      <c r="T73" s="99">
        <f>_xll.BDP($B73&amp; " Corp","MIN_PIECE")</f>
        <v>200000</v>
      </c>
    </row>
    <row r="74" spans="1:20" ht="15.75" x14ac:dyDescent="0.25">
      <c r="A74" s="100" t="str">
        <f>_xll.BDP(B74&amp; " Corp","name")</f>
        <v>SBERBANK (SB CAP SA)</v>
      </c>
      <c r="B74" s="100" t="s">
        <v>346</v>
      </c>
      <c r="C74" s="100">
        <f>_xll.BDP(B74 &amp; " Corp","MTY_YEARS_TDY")</f>
        <v>1.4976043805612593</v>
      </c>
      <c r="D74" s="100">
        <f>_xll.BDP(B74 &amp; " Corp","px_last")</f>
        <v>100.5741</v>
      </c>
      <c r="E74" s="100">
        <f>_xll.BDP(B74 &amp; " Corp","px_ask")</f>
        <v>100</v>
      </c>
      <c r="F74" s="100">
        <f>_xll.BDP(B74 &amp; " Corp","YLD_YTM_BID")</f>
        <v>3.9977746999999999</v>
      </c>
      <c r="G74" s="100">
        <f>_xll.BDP(B74 &amp; " Corp","YLD_YTM_ask")</f>
        <v>3.4884427000000002</v>
      </c>
      <c r="H74" s="100">
        <f>_xll.BDP(B74 &amp; " Corp","CPN")</f>
        <v>4.1500000000000004</v>
      </c>
      <c r="I74" s="100" t="str">
        <f>_xll.BDP(B74&amp; " Corp","MATURITY")</f>
        <v>06/03/2019</v>
      </c>
      <c r="J74" s="100" t="str">
        <f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/BBB-/Ba1</v>
      </c>
      <c r="K74" s="100" t="str">
        <f>_xll.BDP($B74&amp; " Corp","INDUSTRY_SUBGROUP")</f>
        <v>Commer Banks Non-US</v>
      </c>
      <c r="L74" s="100" t="str">
        <f>_xll.BDP(B74 &amp; " Corp","CRNCY")</f>
        <v>USD</v>
      </c>
      <c r="M74" s="100" t="str">
        <f>_xll.BDP(B74 &amp; " Corp","CNTRY_OF_RISK")</f>
        <v>RU</v>
      </c>
      <c r="N74" s="100" t="str">
        <f>_xll.BDP($B74&amp; " Corp","PAYMENT_RANK")</f>
        <v>Sr Unsecured</v>
      </c>
      <c r="O74" s="100" t="str">
        <f>_xll.BDP($B74&amp; " Corp","MTY_TYP")</f>
        <v>AT MATURITY</v>
      </c>
      <c r="P74" s="100" t="str">
        <f>_xll.BDP($B74&amp; " Corp","RUSSIAN_CB_LOMBARD")</f>
        <v>Y</v>
      </c>
      <c r="Q74" s="102">
        <f>_xll.BDP(B74&amp;" Corp", "INTERVAL_PERCENT_CHANGE", "END_DATE_OVERRIDE"," ", "START_DATE_OVERRIDe",R74)</f>
        <v>5.8506525140314469</v>
      </c>
      <c r="R74" s="101">
        <v>20140716</v>
      </c>
      <c r="S74" s="100">
        <f>_xll.BDP($B74&amp; " Corp","PX_GROSS_MID")</f>
        <v>100.72386111111111</v>
      </c>
      <c r="T74" s="99">
        <f>_xll.BDP($B74&amp; " Corp","MIN_PIECE")</f>
        <v>200000</v>
      </c>
    </row>
    <row r="75" spans="1:20" ht="15.75" x14ac:dyDescent="0.25">
      <c r="A75" s="100" t="str">
        <f>_xll.BDP(B75&amp; " Corp","name")</f>
        <v>VEB-LEASING (VEB)</v>
      </c>
      <c r="B75" s="100" t="s">
        <v>345</v>
      </c>
      <c r="C75" s="100">
        <f>_xll.BDP(B75 &amp; " Corp","MTY_YEARS_TDY")</f>
        <v>-1.3032169746748803</v>
      </c>
      <c r="D75" s="100" t="str">
        <f>_xll.BDP(B75 &amp; " Corp","px_last")</f>
        <v>#N/A Field Not Applicable</v>
      </c>
      <c r="E75" s="100" t="str">
        <f>_xll.BDP(B75 &amp; " Corp","px_ask")</f>
        <v>#N/A N/A</v>
      </c>
      <c r="F75" s="100" t="str">
        <f>_xll.BDP(B75 &amp; " Corp","YLD_YTM_BID")</f>
        <v>#N/A N/A</v>
      </c>
      <c r="G75" s="100" t="str">
        <f>_xll.BDP(B75 &amp; " Corp","YLD_YTM_ask")</f>
        <v>#N/A N/A</v>
      </c>
      <c r="H75" s="100">
        <f>_xll.BDP(B75 &amp; " Corp","CPN")</f>
        <v>5.125</v>
      </c>
      <c r="I75" s="100" t="str">
        <f>_xll.BDP(B75&amp; " Corp","MATURITY")</f>
        <v>27/05/2016</v>
      </c>
      <c r="J75" s="100" t="str">
        <f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NR/NR/</v>
      </c>
      <c r="K75" s="100" t="str">
        <f>_xll.BDP($B75&amp; " Corp","INDUSTRY_SUBGROUP")</f>
        <v>Special Purpose Banks</v>
      </c>
      <c r="L75" s="100" t="str">
        <f>_xll.BDP(B75 &amp; " Corp","CRNCY")</f>
        <v>USD</v>
      </c>
      <c r="M75" s="100" t="str">
        <f>_xll.BDP(B75 &amp; " Corp","CNTRY_OF_RISK")</f>
        <v>RU</v>
      </c>
      <c r="N75" s="100" t="str">
        <f>_xll.BDP($B75&amp; " Corp","PAYMENT_RANK")</f>
        <v>Sr Unsecured</v>
      </c>
      <c r="O75" s="100" t="str">
        <f>_xll.BDP($B75&amp; " Corp","MTY_TYP")</f>
        <v>AT MATURITY</v>
      </c>
      <c r="P75" s="100" t="str">
        <f>_xll.BDP($B75&amp; " Corp","RUSSIAN_CB_LOMBARD")</f>
        <v>Y</v>
      </c>
      <c r="Q75" s="102">
        <f>_xll.BDP(B75&amp;" Corp", "INTERVAL_PERCENT_CHANGE", "END_DATE_OVERRIDE"," ", "START_DATE_OVERRIDe",R75)</f>
        <v>-3.5474268072040545</v>
      </c>
      <c r="R75" s="101">
        <v>20140716</v>
      </c>
      <c r="S75" s="100" t="str">
        <f>_xll.BDP($B75&amp; " Corp","PX_GROSS_MID")</f>
        <v>#N/A N/A</v>
      </c>
      <c r="T75" s="99">
        <f>_xll.BDP($B75&amp; " Corp","MIN_PIECE")</f>
        <v>200000</v>
      </c>
    </row>
    <row r="76" spans="1:20" ht="15.75" x14ac:dyDescent="0.25">
      <c r="A76" s="100" t="str">
        <f>_xll.BDP(B76&amp; " Corp","name")</f>
        <v>MMC NORILSK NICK VIA MMC</v>
      </c>
      <c r="B76" s="100" t="s">
        <v>344</v>
      </c>
      <c r="C76" s="100">
        <f>_xll.BDP(B76 &amp; " Corp","MTY_YEARS_TDY")</f>
        <v>0.64887063655030797</v>
      </c>
      <c r="D76" s="100">
        <f>_xll.BDP(B76 &amp; " Corp","px_last")</f>
        <v>101.357</v>
      </c>
      <c r="E76" s="100">
        <f>_xll.BDP(B76 &amp; " Corp","px_ask")</f>
        <v>101.629</v>
      </c>
      <c r="F76" s="100">
        <f>_xll.BDP(B76 &amp; " Corp","YLD_YTM_BID")</f>
        <v>2.4132625999999999</v>
      </c>
      <c r="G76" s="100">
        <f>_xll.BDP(B76 &amp; " Corp","YLD_YTM_ask")</f>
        <v>1.8572654</v>
      </c>
      <c r="H76" s="100">
        <f>_xll.BDP(B76 &amp; " Corp","CPN")</f>
        <v>4.375</v>
      </c>
      <c r="I76" s="100" t="str">
        <f>_xll.BDP(B76&amp; " Corp","MATURITY")</f>
        <v>30/04/2018</v>
      </c>
      <c r="J76" s="100" t="str">
        <f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BBB-/BBB-/Ba1</v>
      </c>
      <c r="K76" s="100" t="str">
        <f>_xll.BDP($B76&amp; " Corp","INDUSTRY_SUBGROUP")</f>
        <v>Metal-Diversified</v>
      </c>
      <c r="L76" s="100" t="str">
        <f>_xll.BDP(B76 &amp; " Corp","CRNCY")</f>
        <v>USD</v>
      </c>
      <c r="M76" s="100" t="str">
        <f>_xll.BDP(B76 &amp; " Corp","CNTRY_OF_RISK")</f>
        <v>RU</v>
      </c>
      <c r="N76" s="100" t="str">
        <f>_xll.BDP($B76&amp; " Corp","PAYMENT_RANK")</f>
        <v>Sr Unsecured</v>
      </c>
      <c r="O76" s="100" t="str">
        <f>_xll.BDP($B76&amp; " Corp","MTY_TYP")</f>
        <v>AT MATURITY</v>
      </c>
      <c r="P76" s="100" t="str">
        <f>_xll.BDP($B76&amp; " Corp","RUSSIAN_CB_LOMBARD")</f>
        <v>Y</v>
      </c>
      <c r="Q76" s="102">
        <f>_xll.BDP(B76&amp;" Corp", "INTERVAL_PERCENT_CHANGE", "END_DATE_OVERRIDE"," ", "START_DATE_OVERRIDe",R76)</f>
        <v>2.1568433916857916</v>
      </c>
      <c r="R76" s="101">
        <v>20140716</v>
      </c>
      <c r="S76" s="100">
        <f>_xll.BDP($B76&amp; " Corp","PX_GROSS_MID")</f>
        <v>103.04623611111111</v>
      </c>
      <c r="T76" s="99">
        <f>_xll.BDP($B76&amp; " Corp","MIN_PIECE")</f>
        <v>200000</v>
      </c>
    </row>
    <row r="77" spans="1:20" ht="15.75" x14ac:dyDescent="0.25">
      <c r="A77" s="100" t="str">
        <f>_xll.BDP(B77&amp; " Corp","name")</f>
        <v>VNESHECONOMBANK(VEB)</v>
      </c>
      <c r="B77" s="100" t="s">
        <v>343</v>
      </c>
      <c r="C77" s="100">
        <f>_xll.BDP(B77 &amp; " Corp","MTY_YEARS_TDY")</f>
        <v>-0.58590006844626963</v>
      </c>
      <c r="D77" s="100" t="str">
        <f>_xll.BDP(B77 &amp; " Corp","px_last")</f>
        <v>#N/A Field Not Applicable</v>
      </c>
      <c r="E77" s="100" t="str">
        <f>_xll.BDP(B77 &amp; " Corp","px_ask")</f>
        <v>#N/A N/A</v>
      </c>
      <c r="F77" s="100" t="str">
        <f>_xll.BDP(B77 &amp; " Corp","YLD_YTM_BID")</f>
        <v>#N/A N/A</v>
      </c>
      <c r="G77" s="100" t="str">
        <f>_xll.BDP(B77 &amp; " Corp","YLD_YTM_ask")</f>
        <v>#N/A N/A</v>
      </c>
      <c r="H77" s="100">
        <f>_xll.BDP(B77 &amp; " Corp","CPN")</f>
        <v>5.375</v>
      </c>
      <c r="I77" s="100" t="str">
        <f>_xll.BDP(B77&amp; " Corp","MATURITY")</f>
        <v>13/02/2017</v>
      </c>
      <c r="J77" s="100" t="str">
        <f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NR/NR/</v>
      </c>
      <c r="K77" s="100" t="str">
        <f>_xll.BDP($B77&amp; " Corp","INDUSTRY_SUBGROUP")</f>
        <v>Special Purpose Banks</v>
      </c>
      <c r="L77" s="100" t="str">
        <f>_xll.BDP(B77 &amp; " Corp","CRNCY")</f>
        <v>USD</v>
      </c>
      <c r="M77" s="100" t="str">
        <f>_xll.BDP(B77 &amp; " Corp","CNTRY_OF_RISK")</f>
        <v>RU</v>
      </c>
      <c r="N77" s="100" t="str">
        <f>_xll.BDP($B77&amp; " Corp","PAYMENT_RANK")</f>
        <v>Sr Unsecured</v>
      </c>
      <c r="O77" s="100" t="str">
        <f>_xll.BDP($B77&amp; " Corp","MTY_TYP")</f>
        <v>AT MATURITY</v>
      </c>
      <c r="P77" s="100" t="str">
        <f>_xll.BDP($B77&amp; " Corp","RUSSIAN_CB_LOMBARD")</f>
        <v>Y</v>
      </c>
      <c r="Q77" s="102">
        <f>_xll.BDP(B77&amp;" Corp", "INTERVAL_PERCENT_CHANGE", "END_DATE_OVERRIDE"," ", "START_DATE_OVERRIDe",R77)</f>
        <v>-2.7961219308102145</v>
      </c>
      <c r="R77" s="101">
        <v>20140716</v>
      </c>
      <c r="S77" s="100" t="str">
        <f>_xll.BDP($B77&amp; " Corp","PX_GROSS_MID")</f>
        <v>#N/A N/A</v>
      </c>
      <c r="T77" s="99">
        <f>_xll.BDP($B77&amp; " Corp","MIN_PIECE")</f>
        <v>200000</v>
      </c>
    </row>
    <row r="78" spans="1:20" ht="15.75" x14ac:dyDescent="0.25">
      <c r="A78" s="100" t="str">
        <f>_xll.BDP(B78&amp; " Corp","name")</f>
        <v>VTB BANK (VTB CAPITAL SA</v>
      </c>
      <c r="B78" s="100" t="s">
        <v>342</v>
      </c>
      <c r="C78" s="100">
        <f>_xll.BDP(B78 &amp; " Corp","MTY_YEARS_TDY")</f>
        <v>-0.4271047227926078</v>
      </c>
      <c r="D78" s="100" t="str">
        <f>_xll.BDP(B78 &amp; " Corp","px_last")</f>
        <v>#N/A Field Not Applicable</v>
      </c>
      <c r="E78" s="100" t="str">
        <f>_xll.BDP(B78 &amp; " Corp","px_ask")</f>
        <v>#N/A N/A</v>
      </c>
      <c r="F78" s="100" t="str">
        <f>_xll.BDP(B78 &amp; " Corp","YLD_YTM_BID")</f>
        <v>#N/A N/A</v>
      </c>
      <c r="G78" s="100" t="str">
        <f>_xll.BDP(B78 &amp; " Corp","YLD_YTM_ask")</f>
        <v>#N/A N/A</v>
      </c>
      <c r="H78" s="100">
        <f>_xll.BDP(B78 &amp; " Corp","CPN")</f>
        <v>6</v>
      </c>
      <c r="I78" s="100" t="str">
        <f>_xll.BDP(B78&amp; " Corp","MATURITY")</f>
        <v>12/04/2017</v>
      </c>
      <c r="J78" s="100" t="str">
        <f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/WD/WR</v>
      </c>
      <c r="K78" s="100" t="str">
        <f>_xll.BDP($B78&amp; " Corp","INDUSTRY_SUBGROUP")</f>
        <v>Commer Banks Non-US</v>
      </c>
      <c r="L78" s="100" t="str">
        <f>_xll.BDP(B78 &amp; " Corp","CRNCY")</f>
        <v>USD</v>
      </c>
      <c r="M78" s="100" t="str">
        <f>_xll.BDP(B78 &amp; " Corp","CNTRY_OF_RISK")</f>
        <v>RU</v>
      </c>
      <c r="N78" s="100" t="str">
        <f>_xll.BDP($B78&amp; " Corp","PAYMENT_RANK")</f>
        <v>Sr Unsecured</v>
      </c>
      <c r="O78" s="100" t="str">
        <f>_xll.BDP($B78&amp; " Corp","MTY_TYP")</f>
        <v>AT MATURITY</v>
      </c>
      <c r="P78" s="100" t="str">
        <f>_xll.BDP($B78&amp; " Corp","RUSSIAN_CB_LOMBARD")</f>
        <v>Y</v>
      </c>
      <c r="Q78" s="102">
        <f>_xll.BDP(B78&amp;" Corp", "INTERVAL_PERCENT_CHANGE", "END_DATE_OVERRIDE"," ", "START_DATE_OVERRIDe",R78)</f>
        <v>-2.1765984247448231</v>
      </c>
      <c r="R78" s="101">
        <v>20140716</v>
      </c>
      <c r="S78" s="100" t="str">
        <f>_xll.BDP($B78&amp; " Corp","PX_GROSS_MID")</f>
        <v>#N/A N/A</v>
      </c>
      <c r="T78" s="99">
        <f>_xll.BDP($B78&amp; " Corp","MIN_PIECE")</f>
        <v>200000</v>
      </c>
    </row>
    <row r="79" spans="1:20" ht="15.75" x14ac:dyDescent="0.25">
      <c r="A79" s="100" t="str">
        <f>_xll.BDP(B79&amp; " Corp","name")</f>
        <v>VIMPELCOM HOLDINGS BV</v>
      </c>
      <c r="B79" s="100" t="s">
        <v>341</v>
      </c>
      <c r="C79" s="100">
        <f>_xll.BDP(B79 &amp; " Corp","MTY_YEARS_TDY")</f>
        <v>-0.5420944558521561</v>
      </c>
      <c r="D79" s="100" t="str">
        <f>_xll.BDP(B79 &amp; " Corp","px_last")</f>
        <v>#N/A Field Not Applicable</v>
      </c>
      <c r="E79" s="100" t="str">
        <f>_xll.BDP(B79 &amp; " Corp","px_ask")</f>
        <v>#N/A N/A</v>
      </c>
      <c r="F79" s="100" t="str">
        <f>_xll.BDP(B79 &amp; " Corp","YLD_YTM_BID")</f>
        <v>#N/A N/A</v>
      </c>
      <c r="G79" s="100" t="str">
        <f>_xll.BDP(B79 &amp; " Corp","YLD_YTM_ask")</f>
        <v>#N/A N/A</v>
      </c>
      <c r="H79" s="100">
        <f>_xll.BDP(B79 &amp; " Corp","CPN")</f>
        <v>6.2545999999999999</v>
      </c>
      <c r="I79" s="100" t="str">
        <f>_xll.BDP(B79&amp; " Corp","MATURITY")</f>
        <v>01/03/2017</v>
      </c>
      <c r="J79" s="100" t="str">
        <f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NR/NR/WR</v>
      </c>
      <c r="K79" s="100" t="str">
        <f>_xll.BDP($B79&amp; " Corp","INDUSTRY_SUBGROUP")</f>
        <v>Cellular Telecom</v>
      </c>
      <c r="L79" s="100" t="str">
        <f>_xll.BDP(B79 &amp; " Corp","CRNCY")</f>
        <v>USD</v>
      </c>
      <c r="M79" s="100" t="str">
        <f>_xll.BDP(B79 &amp; " Corp","CNTRY_OF_RISK")</f>
        <v>NL</v>
      </c>
      <c r="N79" s="100" t="str">
        <f>_xll.BDP($B79&amp; " Corp","PAYMENT_RANK")</f>
        <v>Sr Unsecured</v>
      </c>
      <c r="O79" s="100" t="str">
        <f>_xll.BDP($B79&amp; " Corp","MTY_TYP")</f>
        <v>AT MATURITY</v>
      </c>
      <c r="P79" s="100" t="str">
        <f>_xll.BDP($B79&amp; " Corp","RUSSIAN_CB_LOMBARD")</f>
        <v>Y</v>
      </c>
      <c r="Q79" s="102">
        <f>_xll.BDP(B79&amp;" Corp", "INTERVAL_PERCENT_CHANGE", "END_DATE_OVERRIDE"," ", "START_DATE_OVERRIDe",R79)</f>
        <v>-2.6092815072399729</v>
      </c>
      <c r="R79" s="101">
        <v>20140716</v>
      </c>
      <c r="S79" s="100" t="str">
        <f>_xll.BDP($B79&amp; " Corp","PX_GROSS_MID")</f>
        <v>#N/A N/A</v>
      </c>
      <c r="T79" s="99">
        <f>_xll.BDP($B79&amp; " Corp","MIN_PIECE")</f>
        <v>200000</v>
      </c>
    </row>
    <row r="80" spans="1:20" ht="15.75" x14ac:dyDescent="0.25">
      <c r="A80" s="100" t="str">
        <f>_xll.BDP(B80&amp; " Corp","name")</f>
        <v>ROSNEFT(ROSNEFT INT FIN)</v>
      </c>
      <c r="B80" s="100" t="s">
        <v>340</v>
      </c>
      <c r="C80" s="100">
        <f>_xll.BDP(B80 &amp; " Corp","MTY_YEARS_TDY")</f>
        <v>-0.52840520191649554</v>
      </c>
      <c r="D80" s="100" t="str">
        <f>_xll.BDP(B80 &amp; " Corp","px_last")</f>
        <v>#N/A Field Not Applicable</v>
      </c>
      <c r="E80" s="100" t="str">
        <f>_xll.BDP(B80 &amp; " Corp","px_ask")</f>
        <v>#N/A N/A</v>
      </c>
      <c r="F80" s="100" t="str">
        <f>_xll.BDP(B80 &amp; " Corp","YLD_YTM_BID")</f>
        <v>#N/A N/A</v>
      </c>
      <c r="G80" s="100" t="str">
        <f>_xll.BDP(B80 &amp; " Corp","YLD_YTM_ask")</f>
        <v>#N/A N/A</v>
      </c>
      <c r="H80" s="100">
        <f>_xll.BDP(B80 &amp; " Corp","CPN")</f>
        <v>3.149</v>
      </c>
      <c r="I80" s="100" t="str">
        <f>_xll.BDP(B80&amp; " Corp","MATURITY")</f>
        <v>06/03/2017</v>
      </c>
      <c r="J80" s="100" t="str">
        <f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NR/WD/WR</v>
      </c>
      <c r="K80" s="100" t="str">
        <f>_xll.BDP($B80&amp; " Corp","INDUSTRY_SUBGROUP")</f>
        <v>Oil Comp-Integrated</v>
      </c>
      <c r="L80" s="100" t="str">
        <f>_xll.BDP(B80 &amp; " Corp","CRNCY")</f>
        <v>USD</v>
      </c>
      <c r="M80" s="100" t="str">
        <f>_xll.BDP(B80 &amp; " Corp","CNTRY_OF_RISK")</f>
        <v>RU</v>
      </c>
      <c r="N80" s="100" t="str">
        <f>_xll.BDP($B80&amp; " Corp","PAYMENT_RANK")</f>
        <v>Sr Unsecured</v>
      </c>
      <c r="O80" s="100" t="str">
        <f>_xll.BDP($B80&amp; " Corp","MTY_TYP")</f>
        <v>AT MATURITY</v>
      </c>
      <c r="P80" s="100" t="str">
        <f>_xll.BDP($B80&amp; " Corp","RUSSIAN_CB_LOMBARD")</f>
        <v>Y</v>
      </c>
      <c r="Q80" s="102">
        <f>_xll.BDP(B80&amp;" Corp", "INTERVAL_PERCENT_CHANGE", "END_DATE_OVERRIDE"," ", "START_DATE_OVERRIDe",R80)</f>
        <v>-0.36374162064949023</v>
      </c>
      <c r="R80" s="101">
        <v>20140716</v>
      </c>
      <c r="S80" s="100" t="str">
        <f>_xll.BDP($B80&amp; " Corp","PX_GROSS_MID")</f>
        <v>#N/A N/A</v>
      </c>
      <c r="T80" s="99">
        <f>_xll.BDP($B80&amp; " Corp","MIN_PIECE")</f>
        <v>200000</v>
      </c>
    </row>
    <row r="81" spans="1:20" ht="15.75" x14ac:dyDescent="0.25">
      <c r="A81" s="100" t="str">
        <f>_xll.BDP(B81&amp; " Corp","name")</f>
        <v>ROSNEFT FINANCE SA</v>
      </c>
      <c r="B81" s="100" t="s">
        <v>339</v>
      </c>
      <c r="C81" s="100">
        <f>_xll.BDP(B81 &amp; " Corp","MTY_YEARS_TDY")</f>
        <v>-0.49007529089664614</v>
      </c>
      <c r="D81" s="100" t="str">
        <f>_xll.BDP(B81 &amp; " Corp","px_last")</f>
        <v>#N/A Field Not Applicable</v>
      </c>
      <c r="E81" s="100" t="str">
        <f>_xll.BDP(B81 &amp; " Corp","px_ask")</f>
        <v>#N/A N/A</v>
      </c>
      <c r="F81" s="100" t="str">
        <f>_xll.BDP(B81 &amp; " Corp","YLD_YTM_BID")</f>
        <v>#N/A N/A</v>
      </c>
      <c r="G81" s="100" t="str">
        <f>_xll.BDP(B81 &amp; " Corp","YLD_YTM_ask")</f>
        <v>#N/A N/A</v>
      </c>
      <c r="H81" s="100">
        <f>_xll.BDP(B81 &amp; " Corp","CPN")</f>
        <v>6.625</v>
      </c>
      <c r="I81" s="100" t="str">
        <f>_xll.BDP(B81&amp; " Corp","MATURITY")</f>
        <v>20/03/2017</v>
      </c>
      <c r="J81" s="100" t="str">
        <f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NR/WD/WR</v>
      </c>
      <c r="K81" s="100" t="str">
        <f>_xll.BDP($B81&amp; " Corp","INDUSTRY_SUBGROUP")</f>
        <v>Oil Comp-Integrated</v>
      </c>
      <c r="L81" s="100" t="str">
        <f>_xll.BDP(B81 &amp; " Corp","CRNCY")</f>
        <v>USD</v>
      </c>
      <c r="M81" s="100" t="str">
        <f>_xll.BDP(B81 &amp; " Corp","CNTRY_OF_RISK")</f>
        <v>RU</v>
      </c>
      <c r="N81" s="100" t="str">
        <f>_xll.BDP($B81&amp; " Corp","PAYMENT_RANK")</f>
        <v>Sr Unsecured</v>
      </c>
      <c r="O81" s="100" t="str">
        <f>_xll.BDP($B81&amp; " Corp","MTY_TYP")</f>
        <v>AT MATURITY</v>
      </c>
      <c r="P81" s="100" t="str">
        <f>_xll.BDP($B81&amp; " Corp","RUSSIAN_CB_LOMBARD")</f>
        <v>Y</v>
      </c>
      <c r="Q81" s="102">
        <f>_xll.BDP(B81&amp;" Corp", "INTERVAL_PERCENT_CHANGE", "END_DATE_OVERRIDE"," ", "START_DATE_OVERRIDe",R81)</f>
        <v>-6.0858100080763817</v>
      </c>
      <c r="R81" s="101">
        <v>20140716</v>
      </c>
      <c r="S81" s="100" t="str">
        <f>_xll.BDP($B81&amp; " Corp","PX_GROSS_MID")</f>
        <v>#N/A N/A</v>
      </c>
      <c r="T81" s="99">
        <f>_xll.BDP($B81&amp; " Corp","MIN_PIECE")</f>
        <v>100000</v>
      </c>
    </row>
    <row r="82" spans="1:20" ht="15.75" x14ac:dyDescent="0.25">
      <c r="A82" s="100" t="str">
        <f>_xll.BDP(B82&amp; " Corp","name")</f>
        <v>SEVERSTAL (STEEL CAP)</v>
      </c>
      <c r="B82" s="100" t="s">
        <v>338</v>
      </c>
      <c r="C82" s="100">
        <f>_xll.BDP(B82 &amp; " Corp","MTY_YEARS_TDY")</f>
        <v>0.13689253935660506</v>
      </c>
      <c r="D82" s="100">
        <f>_xll.BDP(B82 &amp; " Corp","px_last")</f>
        <v>100.53400000000001</v>
      </c>
      <c r="E82" s="100">
        <f>_xll.BDP(B82 &amp; " Corp","px_ask")</f>
        <v>100.874</v>
      </c>
      <c r="F82" s="100">
        <f>_xll.BDP(B82 &amp; " Corp","YLD_YTM_BID")</f>
        <v>2.0943626738030297</v>
      </c>
      <c r="G82" s="100">
        <f>_xll.BDP(B82 &amp; " Corp","YLD_YTM_ask")</f>
        <v>0.55182829426958513</v>
      </c>
      <c r="H82" s="100">
        <f>_xll.BDP(B82 &amp; " Corp","CPN")</f>
        <v>6.7</v>
      </c>
      <c r="I82" s="100" t="str">
        <f>_xll.BDP(B82&amp; " Corp","MATURITY")</f>
        <v>25/10/2017</v>
      </c>
      <c r="J82" s="100" t="str">
        <f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BBB-/BBB-/Ba1</v>
      </c>
      <c r="K82" s="100" t="str">
        <f>_xll.BDP($B82&amp; " Corp","INDUSTRY_SUBGROUP")</f>
        <v>Steel-Producers</v>
      </c>
      <c r="L82" s="100" t="str">
        <f>_xll.BDP(B82 &amp; " Corp","CRNCY")</f>
        <v>USD</v>
      </c>
      <c r="M82" s="100" t="str">
        <f>_xll.BDP(B82 &amp; " Corp","CNTRY_OF_RISK")</f>
        <v>RU</v>
      </c>
      <c r="N82" s="100" t="str">
        <f>_xll.BDP($B82&amp; " Corp","PAYMENT_RANK")</f>
        <v>Sr Unsecured</v>
      </c>
      <c r="O82" s="100" t="str">
        <f>_xll.BDP($B82&amp; " Corp","MTY_TYP")</f>
        <v>AT MATURITY</v>
      </c>
      <c r="P82" s="100" t="str">
        <f>_xll.BDP($B82&amp; " Corp","RUSSIAN_CB_LOMBARD")</f>
        <v>Y</v>
      </c>
      <c r="Q82" s="102">
        <f>_xll.BDP(B82&amp;" Corp", "INTERVAL_PERCENT_CHANGE", "END_DATE_OVERRIDE"," ", "START_DATE_OVERRIDe",R82)</f>
        <v>-2.2479359221616662</v>
      </c>
      <c r="R82" s="101">
        <v>20140716</v>
      </c>
      <c r="S82" s="100">
        <f>_xll.BDP($B82&amp; " Corp","PX_GROSS_MID")</f>
        <v>103.21350000000001</v>
      </c>
      <c r="T82" s="99">
        <f>_xll.BDP($B82&amp; " Corp","MIN_PIECE")</f>
        <v>100000</v>
      </c>
    </row>
    <row r="83" spans="1:20" ht="15.75" x14ac:dyDescent="0.25">
      <c r="A83" s="100" t="str">
        <f>_xll.BDP(B83&amp; " Corp","name")</f>
        <v>METALLOINVEST FINANCE LT</v>
      </c>
      <c r="B83" s="100" t="s">
        <v>337</v>
      </c>
      <c r="C83" s="100">
        <f>_xll.BDP(B83 &amp; " Corp","MTY_YEARS_TDY")</f>
        <v>-1.1526351813826146</v>
      </c>
      <c r="D83" s="100" t="str">
        <f>_xll.BDP(B83 &amp; " Corp","px_last")</f>
        <v>#N/A Field Not Applicable</v>
      </c>
      <c r="E83" s="100" t="str">
        <f>_xll.BDP(B83 &amp; " Corp","px_ask")</f>
        <v>#N/A N/A</v>
      </c>
      <c r="F83" s="100" t="str">
        <f>_xll.BDP(B83 &amp; " Corp","YLD_YTM_BID")</f>
        <v>#N/A N/A</v>
      </c>
      <c r="G83" s="100" t="str">
        <f>_xll.BDP(B83 &amp; " Corp","YLD_YTM_ask")</f>
        <v>#N/A N/A</v>
      </c>
      <c r="H83" s="100">
        <f>_xll.BDP(B83 &amp; " Corp","CPN")</f>
        <v>6.5</v>
      </c>
      <c r="I83" s="100" t="str">
        <f>_xll.BDP(B83&amp; " Corp","MATURITY")</f>
        <v>21/07/2016</v>
      </c>
      <c r="J83" s="100" t="str">
        <f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/NR/WR</v>
      </c>
      <c r="K83" s="100" t="str">
        <f>_xll.BDP($B83&amp; " Corp","INDUSTRY_SUBGROUP")</f>
        <v>Metal-Iron</v>
      </c>
      <c r="L83" s="100" t="str">
        <f>_xll.BDP(B83 &amp; " Corp","CRNCY")</f>
        <v>USD</v>
      </c>
      <c r="M83" s="100" t="str">
        <f>_xll.BDP(B83 &amp; " Corp","CNTRY_OF_RISK")</f>
        <v>RU</v>
      </c>
      <c r="N83" s="100" t="str">
        <f>_xll.BDP($B83&amp; " Corp","PAYMENT_RANK")</f>
        <v>Sr Unsecured</v>
      </c>
      <c r="O83" s="100" t="str">
        <f>_xll.BDP($B83&amp; " Corp","MTY_TYP")</f>
        <v>AT MATURITY</v>
      </c>
      <c r="P83" s="100" t="str">
        <f>_xll.BDP($B83&amp; " Corp","RUSSIAN_CB_LOMBARD")</f>
        <v>Y</v>
      </c>
      <c r="Q83" s="102">
        <f>_xll.BDP(B83&amp;" Corp", "INTERVAL_PERCENT_CHANGE", "END_DATE_OVERRIDE"," ", "START_DATE_OVERRIDe",R83)</f>
        <v>-4.6463186616259646</v>
      </c>
      <c r="R83" s="101">
        <v>20140716</v>
      </c>
      <c r="S83" s="100" t="str">
        <f>_xll.BDP($B83&amp; " Corp","PX_GROSS_MID")</f>
        <v>#N/A N/A</v>
      </c>
      <c r="T83" s="99">
        <f>_xll.BDP($B83&amp; " Corp","MIN_PIECE")</f>
        <v>200000</v>
      </c>
    </row>
    <row r="84" spans="1:20" ht="15.75" x14ac:dyDescent="0.25">
      <c r="A84" s="100" t="str">
        <f>_xll.BDP(B84&amp; " Corp","name")</f>
        <v>RZD CAPITAL PLC (RZD)</v>
      </c>
      <c r="B84" s="100" t="s">
        <v>336</v>
      </c>
      <c r="C84" s="100">
        <f>_xll.BDP(B84 &amp; " Corp","MTY_YEARS_TDY")</f>
        <v>-0.45174537987679669</v>
      </c>
      <c r="D84" s="100" t="str">
        <f>_xll.BDP(B84 &amp; " Corp","px_last")</f>
        <v>#N/A Field Not Applicable</v>
      </c>
      <c r="E84" s="100" t="str">
        <f>_xll.BDP(B84 &amp; " Corp","px_ask")</f>
        <v>#N/A N/A</v>
      </c>
      <c r="F84" s="100" t="str">
        <f>_xll.BDP(B84 &amp; " Corp","YLD_YTM_BID")</f>
        <v>#N/A N/A</v>
      </c>
      <c r="G84" s="100" t="str">
        <f>_xll.BDP(B84 &amp; " Corp","YLD_YTM_ask")</f>
        <v>#N/A N/A</v>
      </c>
      <c r="H84" s="100">
        <f>_xll.BDP(B84 &amp; " Corp","CPN")</f>
        <v>5.7389999999999999</v>
      </c>
      <c r="I84" s="100" t="str">
        <f>_xll.BDP(B84&amp; " Corp","MATURITY")</f>
        <v>03/04/2017</v>
      </c>
      <c r="J84" s="100" t="str">
        <f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NR/NR/WR</v>
      </c>
      <c r="K84" s="100" t="str">
        <f>_xll.BDP($B84&amp; " Corp","INDUSTRY_SUBGROUP")</f>
        <v>Transport-Rail</v>
      </c>
      <c r="L84" s="100" t="str">
        <f>_xll.BDP(B84 &amp; " Corp","CRNCY")</f>
        <v>USD</v>
      </c>
      <c r="M84" s="100" t="str">
        <f>_xll.BDP(B84 &amp; " Corp","CNTRY_OF_RISK")</f>
        <v>RU</v>
      </c>
      <c r="N84" s="100" t="str">
        <f>_xll.BDP($B84&amp; " Corp","PAYMENT_RANK")</f>
        <v>Sr Unsecured</v>
      </c>
      <c r="O84" s="100" t="str">
        <f>_xll.BDP($B84&amp; " Corp","MTY_TYP")</f>
        <v>AT MATURITY</v>
      </c>
      <c r="P84" s="100" t="str">
        <f>_xll.BDP($B84&amp; " Corp","RUSSIAN_CB_LOMBARD")</f>
        <v>Y</v>
      </c>
      <c r="Q84" s="102">
        <f>_xll.BDP(B84&amp;" Corp", "INTERVAL_PERCENT_CHANGE", "END_DATE_OVERRIDE"," ", "START_DATE_OVERRIDe",R84)</f>
        <v>-4.4286032957847921</v>
      </c>
      <c r="R84" s="101">
        <v>20140716</v>
      </c>
      <c r="S84" s="100" t="str">
        <f>_xll.BDP($B84&amp; " Corp","PX_GROSS_MID")</f>
        <v>#N/A N/A</v>
      </c>
      <c r="T84" s="99">
        <f>_xll.BDP($B84&amp; " Corp","MIN_PIECE")</f>
        <v>100000</v>
      </c>
    </row>
    <row r="85" spans="1:20" ht="15.75" x14ac:dyDescent="0.25">
      <c r="A85" s="100" t="str">
        <f>_xll.BDP(B85&amp; " Corp","name")</f>
        <v>SBERBANK (SB CAP SA)</v>
      </c>
      <c r="B85" s="100" t="s">
        <v>335</v>
      </c>
      <c r="C85" s="100">
        <f>_xll.BDP(B85 &amp; " Corp","MTY_YEARS_TDY")</f>
        <v>-0.4791238877481177</v>
      </c>
      <c r="D85" s="100" t="str">
        <f>_xll.BDP(B85 &amp; " Corp","px_last")</f>
        <v>#N/A Field Not Applicable</v>
      </c>
      <c r="E85" s="100" t="str">
        <f>_xll.BDP(B85 &amp; " Corp","px_ask")</f>
        <v>#N/A N/A</v>
      </c>
      <c r="F85" s="100" t="str">
        <f>_xll.BDP(B85 &amp; " Corp","YLD_YTM_BID")</f>
        <v>#N/A N/A</v>
      </c>
      <c r="G85" s="100" t="str">
        <f>_xll.BDP(B85 &amp; " Corp","YLD_YTM_ask")</f>
        <v>#N/A N/A</v>
      </c>
      <c r="H85" s="100">
        <f>_xll.BDP(B85 &amp; " Corp","CPN")</f>
        <v>5.4</v>
      </c>
      <c r="I85" s="100" t="str">
        <f>_xll.BDP(B85&amp; " Corp","MATURITY")</f>
        <v>24/03/2017</v>
      </c>
      <c r="J85" s="100" t="str">
        <f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/NR/WR</v>
      </c>
      <c r="K85" s="100" t="str">
        <f>_xll.BDP($B85&amp; " Corp","INDUSTRY_SUBGROUP")</f>
        <v>Commer Banks Non-US</v>
      </c>
      <c r="L85" s="100" t="str">
        <f>_xll.BDP(B85 &amp; " Corp","CRNCY")</f>
        <v>USD</v>
      </c>
      <c r="M85" s="100" t="str">
        <f>_xll.BDP(B85 &amp; " Corp","CNTRY_OF_RISK")</f>
        <v>RU</v>
      </c>
      <c r="N85" s="100" t="str">
        <f>_xll.BDP($B85&amp; " Corp","PAYMENT_RANK")</f>
        <v>Sr Unsecured</v>
      </c>
      <c r="O85" s="100" t="str">
        <f>_xll.BDP($B85&amp; " Corp","MTY_TYP")</f>
        <v>AT MATURITY</v>
      </c>
      <c r="P85" s="100" t="str">
        <f>_xll.BDP($B85&amp; " Corp","RUSSIAN_CB_LOMBARD")</f>
        <v>Y</v>
      </c>
      <c r="Q85" s="102">
        <f>_xll.BDP(B85&amp;" Corp", "INTERVAL_PERCENT_CHANGE", "END_DATE_OVERRIDE"," ", "START_DATE_OVERRIDe",R85)</f>
        <v>-3.1808738229554523</v>
      </c>
      <c r="R85" s="101">
        <v>20140716</v>
      </c>
      <c r="S85" s="100" t="str">
        <f>_xll.BDP($B85&amp; " Corp","PX_GROSS_MID")</f>
        <v>#N/A N/A</v>
      </c>
      <c r="T85" s="99">
        <f>_xll.BDP($B85&amp; " Corp","MIN_PIECE")</f>
        <v>100000</v>
      </c>
    </row>
    <row r="86" spans="1:20" ht="15.75" x14ac:dyDescent="0.25">
      <c r="A86" s="100" t="str">
        <f>_xll.BDP(B86&amp; " Corp","name")</f>
        <v>SBERBANK (SB CAP SA)</v>
      </c>
      <c r="B86" s="100" t="s">
        <v>334</v>
      </c>
      <c r="C86" s="100">
        <f>_xll.BDP(B86 &amp; " Corp","MTY_YEARS_TDY")</f>
        <v>-0.60232717316906226</v>
      </c>
      <c r="D86" s="100" t="str">
        <f>_xll.BDP(B86 &amp; " Corp","px_last")</f>
        <v>#N/A Field Not Applicable</v>
      </c>
      <c r="E86" s="100" t="str">
        <f>_xll.BDP(B86 &amp; " Corp","px_ask")</f>
        <v>#N/A N/A</v>
      </c>
      <c r="F86" s="100" t="str">
        <f>_xll.BDP(B86 &amp; " Corp","YLD_YTM_BID")</f>
        <v>#N/A N/A</v>
      </c>
      <c r="G86" s="100" t="str">
        <f>_xll.BDP(B86 &amp; " Corp","YLD_YTM_ask")</f>
        <v>#N/A N/A</v>
      </c>
      <c r="H86" s="100">
        <f>_xll.BDP(B86 &amp; " Corp","CPN")</f>
        <v>4.95</v>
      </c>
      <c r="I86" s="100" t="str">
        <f>_xll.BDP(B86&amp; " Corp","MATURITY")</f>
        <v>07/02/2017</v>
      </c>
      <c r="J86" s="100" t="str">
        <f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/NR/WR</v>
      </c>
      <c r="K86" s="100" t="str">
        <f>_xll.BDP($B86&amp; " Corp","INDUSTRY_SUBGROUP")</f>
        <v>Commer Banks Non-US</v>
      </c>
      <c r="L86" s="100" t="str">
        <f>_xll.BDP(B86 &amp; " Corp","CRNCY")</f>
        <v>USD</v>
      </c>
      <c r="M86" s="100" t="str">
        <f>_xll.BDP(B86 &amp; " Corp","CNTRY_OF_RISK")</f>
        <v>RU</v>
      </c>
      <c r="N86" s="100" t="str">
        <f>_xll.BDP($B86&amp; " Corp","PAYMENT_RANK")</f>
        <v>Sr Unsecured</v>
      </c>
      <c r="O86" s="100" t="str">
        <f>_xll.BDP($B86&amp; " Corp","MTY_TYP")</f>
        <v>AT MATURITY</v>
      </c>
      <c r="P86" s="100" t="str">
        <f>_xll.BDP($B86&amp; " Corp","RUSSIAN_CB_LOMBARD")</f>
        <v>Y</v>
      </c>
      <c r="Q86" s="102">
        <f>_xll.BDP(B86&amp;" Corp", "INTERVAL_PERCENT_CHANGE", "END_DATE_OVERRIDE"," ", "START_DATE_OVERRIDe",R86)</f>
        <v>-2.8726215169857938</v>
      </c>
      <c r="R86" s="101">
        <v>20140716</v>
      </c>
      <c r="S86" s="100" t="str">
        <f>_xll.BDP($B86&amp; " Corp","PX_GROSS_MID")</f>
        <v>#N/A N/A</v>
      </c>
      <c r="T86" s="99">
        <f>_xll.BDP($B86&amp; " Corp","MIN_PIECE")</f>
        <v>200000</v>
      </c>
    </row>
    <row r="87" spans="1:20" ht="15.75" x14ac:dyDescent="0.25">
      <c r="A87" s="100" t="str">
        <f>_xll.BDP(B87&amp; " Corp","name")</f>
        <v>LUKOIL INTL FINANCE BV</v>
      </c>
      <c r="B87" s="100" t="s">
        <v>333</v>
      </c>
      <c r="C87" s="100">
        <f>_xll.BDP(B87 &amp; " Corp","MTY_YEARS_TDY")</f>
        <v>-0.27378507871321012</v>
      </c>
      <c r="D87" s="100" t="str">
        <f>_xll.BDP(B87 &amp; " Corp","px_last")</f>
        <v>#N/A Field Not Applicable</v>
      </c>
      <c r="E87" s="100" t="str">
        <f>_xll.BDP(B87 &amp; " Corp","px_ask")</f>
        <v>#N/A N/A</v>
      </c>
      <c r="F87" s="100" t="str">
        <f>_xll.BDP(B87 &amp; " Corp","YLD_YTM_BID")</f>
        <v>#N/A N/A</v>
      </c>
      <c r="G87" s="100" t="str">
        <f>_xll.BDP(B87 &amp; " Corp","YLD_YTM_ask")</f>
        <v>#N/A N/A</v>
      </c>
      <c r="H87" s="100">
        <f>_xll.BDP(B87 &amp; " Corp","CPN")</f>
        <v>6.3559999999999999</v>
      </c>
      <c r="I87" s="100" t="str">
        <f>_xll.BDP(B87&amp; " Corp","MATURITY")</f>
        <v>07/06/2017</v>
      </c>
      <c r="J87" s="100" t="str">
        <f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NR/NR/WR</v>
      </c>
      <c r="K87" s="100" t="str">
        <f>_xll.BDP($B87&amp; " Corp","INDUSTRY_SUBGROUP")</f>
        <v>Oil Comp-Integrated</v>
      </c>
      <c r="L87" s="100" t="str">
        <f>_xll.BDP(B87 &amp; " Corp","CRNCY")</f>
        <v>USD</v>
      </c>
      <c r="M87" s="100" t="str">
        <f>_xll.BDP(B87 &amp; " Corp","CNTRY_OF_RISK")</f>
        <v>RU</v>
      </c>
      <c r="N87" s="100" t="str">
        <f>_xll.BDP($B87&amp; " Corp","PAYMENT_RANK")</f>
        <v>Sr Unsecured</v>
      </c>
      <c r="O87" s="100" t="str">
        <f>_xll.BDP($B87&amp; " Corp","MTY_TYP")</f>
        <v>AT MATURITY</v>
      </c>
      <c r="P87" s="100" t="str">
        <f>_xll.BDP($B87&amp; " Corp","RUSSIAN_CB_LOMBARD")</f>
        <v>Y</v>
      </c>
      <c r="Q87" s="102">
        <f>_xll.BDP(B87&amp;" Corp", "INTERVAL_PERCENT_CHANGE", "END_DATE_OVERRIDE"," ", "START_DATE_OVERRIDe",R87)</f>
        <v>-5.6436052105242922</v>
      </c>
      <c r="R87" s="101">
        <v>20140716</v>
      </c>
      <c r="S87" s="100" t="str">
        <f>_xll.BDP($B87&amp; " Corp","PX_GROSS_MID")</f>
        <v>#N/A N/A</v>
      </c>
      <c r="T87" s="99">
        <f>_xll.BDP($B87&amp; " Corp","MIN_PIECE")</f>
        <v>100000</v>
      </c>
    </row>
    <row r="88" spans="1:20" ht="15.75" x14ac:dyDescent="0.25">
      <c r="A88" s="100" t="str">
        <f>_xll.BDP(B88&amp; " Corp","name")</f>
        <v>GAZPROMBK (GPB FINANCE)</v>
      </c>
      <c r="B88" s="100" t="s">
        <v>332</v>
      </c>
      <c r="C88" s="100">
        <f>_xll.BDP(B88 &amp; " Corp","MTY_YEARS_TDY")</f>
        <v>-1.3552361396303902</v>
      </c>
      <c r="D88" s="100" t="str">
        <f>_xll.BDP(B88 &amp; " Corp","px_last")</f>
        <v>#N/A Field Not Applicable</v>
      </c>
      <c r="E88" s="100" t="str">
        <f>_xll.BDP(B88 &amp; " Corp","px_ask")</f>
        <v>#N/A N/A</v>
      </c>
      <c r="F88" s="100" t="str">
        <f>_xll.BDP(B88 &amp; " Corp","YLD_YTM_BID")</f>
        <v>#N/A N/A</v>
      </c>
      <c r="G88" s="100" t="str">
        <f>_xll.BDP(B88 &amp; " Corp","YLD_YTM_ask")</f>
        <v>#N/A N/A</v>
      </c>
      <c r="H88" s="100">
        <f>_xll.BDP(B88 &amp; " Corp","CPN")</f>
        <v>7.35</v>
      </c>
      <c r="I88" s="100" t="str">
        <f>_xll.BDP(B88&amp; " Corp","MATURITY")</f>
        <v>08/05/2016</v>
      </c>
      <c r="J88" s="100" t="str">
        <f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/NR/WR</v>
      </c>
      <c r="K88" s="100" t="str">
        <f>_xll.BDP($B88&amp; " Corp","INDUSTRY_SUBGROUP")</f>
        <v>Commer Banks Non-US</v>
      </c>
      <c r="L88" s="100" t="str">
        <f>_xll.BDP(B88 &amp; " Corp","CRNCY")</f>
        <v>USD</v>
      </c>
      <c r="M88" s="100" t="str">
        <f>_xll.BDP(B88 &amp; " Corp","CNTRY_OF_RISK")</f>
        <v>RU</v>
      </c>
      <c r="N88" s="100" t="str">
        <f>_xll.BDP($B88&amp; " Corp","PAYMENT_RANK")</f>
        <v>Sr Unsecured</v>
      </c>
      <c r="O88" s="100" t="str">
        <f>_xll.BDP($B88&amp; " Corp","MTY_TYP")</f>
        <v>AT MATURITY</v>
      </c>
      <c r="P88" s="100" t="str">
        <f>_xll.BDP($B88&amp; " Corp","RUSSIAN_CB_LOMBARD")</f>
        <v>N</v>
      </c>
      <c r="Q88" s="102">
        <f>_xll.BDP(B88&amp;" Corp", "INTERVAL_PERCENT_CHANGE", "END_DATE_OVERRIDE"," ", "START_DATE_OVERRIDe",R88)</f>
        <v>-6.6869997630936648</v>
      </c>
      <c r="R88" s="101">
        <v>20140716</v>
      </c>
      <c r="S88" s="100" t="str">
        <f>_xll.BDP($B88&amp; " Corp","PX_GROSS_MID")</f>
        <v>#N/A N/A</v>
      </c>
      <c r="T88" s="99">
        <f>_xll.BDP($B88&amp; " Corp","MIN_PIECE")</f>
        <v>100000</v>
      </c>
    </row>
    <row r="89" spans="1:20" ht="15.75" x14ac:dyDescent="0.25">
      <c r="A89" s="100" t="str">
        <f>_xll.BDP(B89&amp; " Corp","name")</f>
        <v>ROSNEFT FINANCE SA</v>
      </c>
      <c r="B89" s="100" t="s">
        <v>331</v>
      </c>
      <c r="C89" s="100">
        <f>_xll.BDP(B89 &amp; " Corp","MTY_YEARS_TDY")</f>
        <v>-1.160848733744011</v>
      </c>
      <c r="D89" s="100" t="str">
        <f>_xll.BDP(B89 &amp; " Corp","px_last")</f>
        <v>#N/A Field Not Applicable</v>
      </c>
      <c r="E89" s="100" t="str">
        <f>_xll.BDP(B89 &amp; " Corp","px_ask")</f>
        <v>#N/A N/A</v>
      </c>
      <c r="F89" s="100" t="str">
        <f>_xll.BDP(B89 &amp; " Corp","YLD_YTM_BID")</f>
        <v>#N/A N/A</v>
      </c>
      <c r="G89" s="100" t="str">
        <f>_xll.BDP(B89 &amp; " Corp","YLD_YTM_ask")</f>
        <v>#N/A N/A</v>
      </c>
      <c r="H89" s="100">
        <f>_xll.BDP(B89 &amp; " Corp","CPN")</f>
        <v>7.5</v>
      </c>
      <c r="I89" s="100" t="str">
        <f>_xll.BDP(B89&amp; " Corp","MATURITY")</f>
        <v>18/07/2016</v>
      </c>
      <c r="J89" s="100" t="str">
        <f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NR/WD/WR</v>
      </c>
      <c r="K89" s="100" t="str">
        <f>_xll.BDP($B89&amp; " Corp","INDUSTRY_SUBGROUP")</f>
        <v>Oil Comp-Integrated</v>
      </c>
      <c r="L89" s="100" t="str">
        <f>_xll.BDP(B89 &amp; " Corp","CRNCY")</f>
        <v>USD</v>
      </c>
      <c r="M89" s="100" t="str">
        <f>_xll.BDP(B89 &amp; " Corp","CNTRY_OF_RISK")</f>
        <v>RU</v>
      </c>
      <c r="N89" s="100" t="str">
        <f>_xll.BDP($B89&amp; " Corp","PAYMENT_RANK")</f>
        <v>Sr Unsecured</v>
      </c>
      <c r="O89" s="100" t="str">
        <f>_xll.BDP($B89&amp; " Corp","MTY_TYP")</f>
        <v>AT MATURITY</v>
      </c>
      <c r="P89" s="100" t="str">
        <f>_xll.BDP($B89&amp; " Corp","RUSSIAN_CB_LOMBARD")</f>
        <v>Y</v>
      </c>
      <c r="Q89" s="102">
        <f>_xll.BDP(B89&amp;" Corp", "INTERVAL_PERCENT_CHANGE", "END_DATE_OVERRIDE"," ", "START_DATE_OVERRIDe",R89)</f>
        <v>-9.3490563098474038</v>
      </c>
      <c r="R89" s="101">
        <v>20140716</v>
      </c>
      <c r="S89" s="100" t="str">
        <f>_xll.BDP($B89&amp; " Corp","PX_GROSS_MID")</f>
        <v>#N/A N/A</v>
      </c>
      <c r="T89" s="99">
        <f>_xll.BDP($B89&amp; " Corp","MIN_PIECE")</f>
        <v>100000</v>
      </c>
    </row>
    <row r="90" spans="1:20" ht="15.75" x14ac:dyDescent="0.25">
      <c r="A90" s="100" t="str">
        <f>_xll.BDP(B90&amp; " Corp","name")</f>
        <v>GAZPROM (GAZ CAPITAL SA)</v>
      </c>
      <c r="B90" s="100" t="s">
        <v>330</v>
      </c>
      <c r="C90" s="100">
        <f>_xll.BDP(B90 &amp; " Corp","MTY_YEARS_TDY")</f>
        <v>-0.81314168377823404</v>
      </c>
      <c r="D90" s="100" t="str">
        <f>_xll.BDP(B90 &amp; " Corp","px_last")</f>
        <v>#N/A Field Not Applicable</v>
      </c>
      <c r="E90" s="100" t="str">
        <f>_xll.BDP(B90 &amp; " Corp","px_ask")</f>
        <v>#N/A N/A</v>
      </c>
      <c r="F90" s="100" t="str">
        <f>_xll.BDP(B90 &amp; " Corp","YLD_YTM_BID")</f>
        <v>#N/A N/A</v>
      </c>
      <c r="G90" s="100" t="str">
        <f>_xll.BDP(B90 &amp; " Corp","YLD_YTM_ask")</f>
        <v>#N/A N/A</v>
      </c>
      <c r="H90" s="100">
        <f>_xll.BDP(B90 &amp; " Corp","CPN")</f>
        <v>6.2119999999999997</v>
      </c>
      <c r="I90" s="100" t="str">
        <f>_xll.BDP(B90&amp; " Corp","MATURITY")</f>
        <v>22/11/2016</v>
      </c>
      <c r="J90" s="100" t="str">
        <f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NR/NR/WR</v>
      </c>
      <c r="K90" s="100" t="str">
        <f>_xll.BDP($B90&amp; " Corp","INDUSTRY_SUBGROUP")</f>
        <v>Oil Comp-Integrated</v>
      </c>
      <c r="L90" s="100" t="str">
        <f>_xll.BDP(B90 &amp; " Corp","CRNCY")</f>
        <v>USD</v>
      </c>
      <c r="M90" s="100" t="str">
        <f>_xll.BDP(B90 &amp; " Corp","CNTRY_OF_RISK")</f>
        <v>RU</v>
      </c>
      <c r="N90" s="100" t="str">
        <f>_xll.BDP($B90&amp; " Corp","PAYMENT_RANK")</f>
        <v>Sr Unsecured</v>
      </c>
      <c r="O90" s="100" t="str">
        <f>_xll.BDP($B90&amp; " Corp","MTY_TYP")</f>
        <v>AT MATURITY</v>
      </c>
      <c r="P90" s="100" t="str">
        <f>_xll.BDP($B90&amp; " Corp","RUSSIAN_CB_LOMBARD")</f>
        <v>Y</v>
      </c>
      <c r="Q90" s="102">
        <f>_xll.BDP(B90&amp;" Corp", "INTERVAL_PERCENT_CHANGE", "END_DATE_OVERRIDE"," ", "START_DATE_OVERRIDe",R90)</f>
        <v>-6.814665839421405</v>
      </c>
      <c r="R90" s="101">
        <v>20140716</v>
      </c>
      <c r="S90" s="100" t="str">
        <f>_xll.BDP($B90&amp; " Corp","PX_GROSS_MID")</f>
        <v>#N/A N/A</v>
      </c>
      <c r="T90" s="99">
        <f>_xll.BDP($B90&amp; " Corp","MIN_PIECE")</f>
        <v>100000</v>
      </c>
    </row>
    <row r="91" spans="1:20" ht="15.75" x14ac:dyDescent="0.25">
      <c r="A91" s="100" t="str">
        <f>_xll.BDP(B91&amp; " Corp","name")</f>
        <v>VIMPELCOM (UBS SA)</v>
      </c>
      <c r="B91" s="100" t="s">
        <v>329</v>
      </c>
      <c r="C91" s="100">
        <f>_xll.BDP(B91 &amp; " Corp","MTY_YEARS_TDY")</f>
        <v>-1.3141683778234086</v>
      </c>
      <c r="D91" s="100" t="str">
        <f>_xll.BDP(B91 &amp; " Corp","px_last")</f>
        <v>#N/A Field Not Applicable</v>
      </c>
      <c r="E91" s="100" t="str">
        <f>_xll.BDP(B91 &amp; " Corp","px_ask")</f>
        <v>#N/A N/A</v>
      </c>
      <c r="F91" s="100" t="str">
        <f>_xll.BDP(B91 &amp; " Corp","YLD_YTM_BID")</f>
        <v>#N/A N/A</v>
      </c>
      <c r="G91" s="100" t="str">
        <f>_xll.BDP(B91 &amp; " Corp","YLD_YTM_ask")</f>
        <v>#N/A N/A</v>
      </c>
      <c r="H91" s="100">
        <f>_xll.BDP(B91 &amp; " Corp","CPN")</f>
        <v>8.25</v>
      </c>
      <c r="I91" s="100" t="str">
        <f>_xll.BDP(B91&amp; " Corp","MATURITY")</f>
        <v>23/05/2016</v>
      </c>
      <c r="J91" s="100" t="str">
        <f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NR//WR</v>
      </c>
      <c r="K91" s="100" t="str">
        <f>_xll.BDP($B91&amp; " Corp","INDUSTRY_SUBGROUP")</f>
        <v>Cellular Telecom</v>
      </c>
      <c r="L91" s="100" t="str">
        <f>_xll.BDP(B91 &amp; " Corp","CRNCY")</f>
        <v>USD</v>
      </c>
      <c r="M91" s="100" t="str">
        <f>_xll.BDP(B91 &amp; " Corp","CNTRY_OF_RISK")</f>
        <v>RU</v>
      </c>
      <c r="N91" s="100" t="str">
        <f>_xll.BDP($B91&amp; " Corp","PAYMENT_RANK")</f>
        <v>Sr Unsecured</v>
      </c>
      <c r="O91" s="100" t="str">
        <f>_xll.BDP($B91&amp; " Corp","MTY_TYP")</f>
        <v>AT MATURITY</v>
      </c>
      <c r="P91" s="100" t="str">
        <f>_xll.BDP($B91&amp; " Corp","RUSSIAN_CB_LOMBARD")</f>
        <v>N</v>
      </c>
      <c r="Q91" s="102">
        <f>_xll.BDP(B91&amp;" Corp", "INTERVAL_PERCENT_CHANGE", "END_DATE_OVERRIDE"," ", "START_DATE_OVERRIDe",R91)</f>
        <v>-7.9772986468575651</v>
      </c>
      <c r="R91" s="101">
        <v>20140716</v>
      </c>
      <c r="S91" s="100" t="str">
        <f>_xll.BDP($B91&amp; " Corp","PX_GROSS_MID")</f>
        <v>#N/A N/A</v>
      </c>
      <c r="T91" s="99">
        <f>_xll.BDP($B91&amp; " Corp","MIN_PIECE")</f>
        <v>100000</v>
      </c>
    </row>
    <row r="92" spans="1:20" ht="15.75" x14ac:dyDescent="0.25">
      <c r="A92" s="100" t="str">
        <f>_xll.BDP(B92&amp; " Corp","name")</f>
        <v>JSC SEVERSTAL(STEEL CAP)</v>
      </c>
      <c r="B92" s="100" t="s">
        <v>328</v>
      </c>
      <c r="C92" s="100">
        <f>_xll.BDP(B92 &amp; " Corp","MTY_YEARS_TDY")</f>
        <v>-1.1389459274469542</v>
      </c>
      <c r="D92" s="100" t="str">
        <f>_xll.BDP(B92 &amp; " Corp","px_last")</f>
        <v>#N/A Field Not Applicable</v>
      </c>
      <c r="E92" s="100" t="str">
        <f>_xll.BDP(B92 &amp; " Corp","px_ask")</f>
        <v>#N/A N/A</v>
      </c>
      <c r="F92" s="100" t="str">
        <f>_xll.BDP(B92 &amp; " Corp","YLD_YTM_BID")</f>
        <v>#N/A N/A</v>
      </c>
      <c r="G92" s="100" t="str">
        <f>_xll.BDP(B92 &amp; " Corp","YLD_YTM_ask")</f>
        <v>#N/A N/A</v>
      </c>
      <c r="H92" s="100">
        <f>_xll.BDP(B92 &amp; " Corp","CPN")</f>
        <v>6.25</v>
      </c>
      <c r="I92" s="100" t="str">
        <f>_xll.BDP(B92&amp; " Corp","MATURITY")</f>
        <v>26/07/2016</v>
      </c>
      <c r="J92" s="100" t="str">
        <f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NR/NR/WR</v>
      </c>
      <c r="K92" s="100" t="str">
        <f>_xll.BDP($B92&amp; " Corp","INDUSTRY_SUBGROUP")</f>
        <v>Steel-Producers</v>
      </c>
      <c r="L92" s="100" t="str">
        <f>_xll.BDP(B92 &amp; " Corp","CRNCY")</f>
        <v>USD</v>
      </c>
      <c r="M92" s="100" t="str">
        <f>_xll.BDP(B92 &amp; " Corp","CNTRY_OF_RISK")</f>
        <v>RU</v>
      </c>
      <c r="N92" s="100" t="str">
        <f>_xll.BDP($B92&amp; " Corp","PAYMENT_RANK")</f>
        <v>Sr Unsecured</v>
      </c>
      <c r="O92" s="100" t="str">
        <f>_xll.BDP($B92&amp; " Corp","MTY_TYP")</f>
        <v>AT MATURITY</v>
      </c>
      <c r="P92" s="100" t="str">
        <f>_xll.BDP($B92&amp; " Corp","RUSSIAN_CB_LOMBARD")</f>
        <v>Y</v>
      </c>
      <c r="Q92" s="102">
        <f>_xll.BDP(B92&amp;" Corp", "INTERVAL_PERCENT_CHANGE", "END_DATE_OVERRIDE"," ", "START_DATE_OVERRIDe",R92)</f>
        <v>-5.9978963413128614</v>
      </c>
      <c r="R92" s="101">
        <v>20140716</v>
      </c>
      <c r="S92" s="100" t="str">
        <f>_xll.BDP($B92&amp; " Corp","PX_GROSS_MID")</f>
        <v>#N/A N/A</v>
      </c>
      <c r="T92" s="99">
        <f>_xll.BDP($B92&amp; " Corp","MIN_PIECE")</f>
        <v>200000</v>
      </c>
    </row>
    <row r="93" spans="1:20" ht="15.75" x14ac:dyDescent="0.25">
      <c r="A93" s="100" t="str">
        <f>_xll.BDP(B93&amp; " Corp","name")</f>
        <v>GAZPROM (GAZ CAPITAL SA)</v>
      </c>
      <c r="B93" s="100" t="s">
        <v>327</v>
      </c>
      <c r="C93" s="100">
        <f>_xll.BDP(B93 &amp; " Corp","MTY_YEARS_TDY")</f>
        <v>-1.3141683778234086</v>
      </c>
      <c r="D93" s="100" t="str">
        <f>_xll.BDP(B93 &amp; " Corp","px_last")</f>
        <v>#N/A Field Not Applicable</v>
      </c>
      <c r="E93" s="100" t="str">
        <f>_xll.BDP(B93 &amp; " Corp","px_ask")</f>
        <v>#N/A N/A</v>
      </c>
      <c r="F93" s="100" t="str">
        <f>_xll.BDP(B93 &amp; " Corp","YLD_YTM_BID")</f>
        <v>#N/A N/A</v>
      </c>
      <c r="G93" s="100" t="str">
        <f>_xll.BDP(B93 &amp; " Corp","YLD_YTM_ask")</f>
        <v>#N/A N/A</v>
      </c>
      <c r="H93" s="100">
        <f>_xll.BDP(B93 &amp; " Corp","CPN")</f>
        <v>4.95</v>
      </c>
      <c r="I93" s="100" t="str">
        <f>_xll.BDP(B93&amp; " Corp","MATURITY")</f>
        <v>23/05/2016</v>
      </c>
      <c r="J93" s="100" t="str">
        <f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NR/NR/WR</v>
      </c>
      <c r="K93" s="100" t="str">
        <f>_xll.BDP($B93&amp; " Corp","INDUSTRY_SUBGROUP")</f>
        <v>Oil Comp-Integrated</v>
      </c>
      <c r="L93" s="100" t="str">
        <f>_xll.BDP(B93 &amp; " Corp","CRNCY")</f>
        <v>USD</v>
      </c>
      <c r="M93" s="100" t="str">
        <f>_xll.BDP(B93 &amp; " Corp","CNTRY_OF_RISK")</f>
        <v>RU</v>
      </c>
      <c r="N93" s="100" t="str">
        <f>_xll.BDP($B93&amp; " Corp","PAYMENT_RANK")</f>
        <v>Sr Unsecured</v>
      </c>
      <c r="O93" s="100" t="str">
        <f>_xll.BDP($B93&amp; " Corp","MTY_TYP")</f>
        <v>AT MATURITY</v>
      </c>
      <c r="P93" s="100" t="str">
        <f>_xll.BDP($B93&amp; " Corp","RUSSIAN_CB_LOMBARD")</f>
        <v>Y</v>
      </c>
      <c r="Q93" s="102">
        <f>_xll.BDP(B93&amp;" Corp", "INTERVAL_PERCENT_CHANGE", "END_DATE_OVERRIDE"," ", "START_DATE_OVERRIDe",R93)</f>
        <v>-4.8173874790004367</v>
      </c>
      <c r="R93" s="101">
        <v>20140716</v>
      </c>
      <c r="S93" s="100" t="str">
        <f>_xll.BDP($B93&amp; " Corp","PX_GROSS_MID")</f>
        <v>#N/A N/A</v>
      </c>
      <c r="T93" s="99">
        <f>_xll.BDP($B93&amp; " Corp","MIN_PIECE")</f>
        <v>200000</v>
      </c>
    </row>
    <row r="94" spans="1:20" ht="15.75" x14ac:dyDescent="0.25">
      <c r="A94" s="100" t="str">
        <f>_xll.BDP(B94&amp; " Corp","name")</f>
        <v>NOVATEK(NOVATEK FIN LTD)</v>
      </c>
      <c r="B94" s="100" t="s">
        <v>326</v>
      </c>
      <c r="C94" s="100">
        <f>_xll.BDP(B94 &amp; " Corp","MTY_YEARS_TDY")</f>
        <v>-1.6153319644079398</v>
      </c>
      <c r="D94" s="100" t="str">
        <f>_xll.BDP(B94 &amp; " Corp","px_last")</f>
        <v>#N/A Field Not Applicable</v>
      </c>
      <c r="E94" s="100" t="str">
        <f>_xll.BDP(B94 &amp; " Corp","px_ask")</f>
        <v>#N/A N/A</v>
      </c>
      <c r="F94" s="100" t="str">
        <f>_xll.BDP(B94 &amp; " Corp","YLD_YTM_BID")</f>
        <v>#N/A N/A</v>
      </c>
      <c r="G94" s="100" t="str">
        <f>_xll.BDP(B94 &amp; " Corp","YLD_YTM_ask")</f>
        <v>#N/A N/A</v>
      </c>
      <c r="H94" s="100">
        <f>_xll.BDP(B94 &amp; " Corp","CPN")</f>
        <v>5.3259999999999996</v>
      </c>
      <c r="I94" s="100" t="str">
        <f>_xll.BDP(B94&amp; " Corp","MATURITY")</f>
        <v>03/02/2016</v>
      </c>
      <c r="J94" s="100" t="str">
        <f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NR/NR/WR</v>
      </c>
      <c r="K94" s="100" t="str">
        <f>_xll.BDP($B94&amp; " Corp","INDUSTRY_SUBGROUP")</f>
        <v>Oil Comp-Explor&amp;Prodtn</v>
      </c>
      <c r="L94" s="100" t="str">
        <f>_xll.BDP(B94 &amp; " Corp","CRNCY")</f>
        <v>USD</v>
      </c>
      <c r="M94" s="100" t="str">
        <f>_xll.BDP(B94 &amp; " Corp","CNTRY_OF_RISK")</f>
        <v>RU</v>
      </c>
      <c r="N94" s="100" t="str">
        <f>_xll.BDP($B94&amp; " Corp","PAYMENT_RANK")</f>
        <v>Sr Unsecured</v>
      </c>
      <c r="O94" s="100" t="str">
        <f>_xll.BDP($B94&amp; " Corp","MTY_TYP")</f>
        <v>AT MATURITY</v>
      </c>
      <c r="P94" s="100" t="str">
        <f>_xll.BDP($B94&amp; " Corp","RUSSIAN_CB_LOMBARD")</f>
        <v>Y</v>
      </c>
      <c r="Q94" s="102">
        <f>_xll.BDP(B94&amp;" Corp", "INTERVAL_PERCENT_CHANGE", "END_DATE_OVERRIDE"," ", "START_DATE_OVERRIDe",R94)</f>
        <v>-4.3251948760601486</v>
      </c>
      <c r="R94" s="101">
        <v>20140716</v>
      </c>
      <c r="S94" s="100" t="str">
        <f>_xll.BDP($B94&amp; " Corp","PX_GROSS_MID")</f>
        <v>#N/A N/A</v>
      </c>
      <c r="T94" s="99">
        <f>_xll.BDP($B94&amp; " Corp","MIN_PIECE")</f>
        <v>200000</v>
      </c>
    </row>
    <row r="95" spans="1:20" ht="15.75" x14ac:dyDescent="0.25">
      <c r="A95" s="100" t="str">
        <f>_xll.BDP(B95&amp; " Corp","name")</f>
        <v>VIMPELCOM (VIP FIN)</v>
      </c>
      <c r="B95" s="100" t="s">
        <v>325</v>
      </c>
      <c r="C95" s="100">
        <f>_xll.BDP(B95 &amp; " Corp","MTY_YEARS_TDY")</f>
        <v>-1.6180698151950719</v>
      </c>
      <c r="D95" s="100" t="str">
        <f>_xll.BDP(B95 &amp; " Corp","px_last")</f>
        <v>#N/A Field Not Applicable</v>
      </c>
      <c r="E95" s="100" t="str">
        <f>_xll.BDP(B95 &amp; " Corp","px_ask")</f>
        <v>#N/A N/A</v>
      </c>
      <c r="F95" s="100" t="str">
        <f>_xll.BDP(B95 &amp; " Corp","YLD_YTM_BID")</f>
        <v>#N/A N/A</v>
      </c>
      <c r="G95" s="100" t="str">
        <f>_xll.BDP(B95 &amp; " Corp","YLD_YTM_ask")</f>
        <v>#N/A N/A</v>
      </c>
      <c r="H95" s="100">
        <f>_xll.BDP(B95 &amp; " Corp","CPN")</f>
        <v>6.4930000000000003</v>
      </c>
      <c r="I95" s="100" t="str">
        <f>_xll.BDP(B95&amp; " Corp","MATURITY")</f>
        <v>02/02/2016</v>
      </c>
      <c r="J95" s="100" t="str">
        <f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NR//WR</v>
      </c>
      <c r="K95" s="100" t="str">
        <f>_xll.BDP($B95&amp; " Corp","INDUSTRY_SUBGROUP")</f>
        <v>Cellular Telecom</v>
      </c>
      <c r="L95" s="100" t="str">
        <f>_xll.BDP(B95 &amp; " Corp","CRNCY")</f>
        <v>USD</v>
      </c>
      <c r="M95" s="100" t="str">
        <f>_xll.BDP(B95 &amp; " Corp","CNTRY_OF_RISK")</f>
        <v>RU</v>
      </c>
      <c r="N95" s="100" t="str">
        <f>_xll.BDP($B95&amp; " Corp","PAYMENT_RANK")</f>
        <v>Sr Unsecured</v>
      </c>
      <c r="O95" s="100" t="str">
        <f>_xll.BDP($B95&amp; " Corp","MTY_TYP")</f>
        <v>AT MATURITY</v>
      </c>
      <c r="P95" s="100" t="str">
        <f>_xll.BDP($B95&amp; " Corp","RUSSIAN_CB_LOMBARD")</f>
        <v>Y</v>
      </c>
      <c r="Q95" s="102">
        <f>_xll.BDP(B95&amp;" Corp", "INTERVAL_PERCENT_CHANGE", "END_DATE_OVERRIDE"," ", "START_DATE_OVERRIDe",R95)</f>
        <v>-4.7303811247691572</v>
      </c>
      <c r="R95" s="101">
        <v>20140716</v>
      </c>
      <c r="S95" s="100" t="str">
        <f>_xll.BDP($B95&amp; " Corp","PX_GROSS_MID")</f>
        <v>#N/A N/A</v>
      </c>
      <c r="T95" s="99">
        <f>_xll.BDP($B95&amp; " Corp","MIN_PIECE")</f>
        <v>200000</v>
      </c>
    </row>
    <row r="96" spans="1:20" ht="15.75" x14ac:dyDescent="0.25">
      <c r="A96" s="100" t="str">
        <f>_xll.BDP(B96&amp; " Corp","name")</f>
        <v>GAZPROM (GAZ CAPITAL SA)</v>
      </c>
      <c r="B96" s="100" t="s">
        <v>324</v>
      </c>
      <c r="C96" s="100">
        <f>_xll.BDP(B96 &amp; " Corp","MTY_YEARS_TDY")</f>
        <v>-1.7960301163586585</v>
      </c>
      <c r="D96" s="100" t="str">
        <f>_xll.BDP(B96 &amp; " Corp","px_last")</f>
        <v>#N/A Field Not Applicable</v>
      </c>
      <c r="E96" s="100" t="str">
        <f>_xll.BDP(B96 &amp; " Corp","px_ask")</f>
        <v>#N/A N/A</v>
      </c>
      <c r="F96" s="100" t="str">
        <f>_xll.BDP(B96 &amp; " Corp","YLD_YTM_BID")</f>
        <v>#N/A N/A</v>
      </c>
      <c r="G96" s="100" t="str">
        <f>_xll.BDP(B96 &amp; " Corp","YLD_YTM_ask")</f>
        <v>#N/A N/A</v>
      </c>
      <c r="H96" s="100">
        <f>_xll.BDP(B96 &amp; " Corp","CPN")</f>
        <v>5.0919999999999996</v>
      </c>
      <c r="I96" s="100" t="str">
        <f>_xll.BDP(B96&amp; " Corp","MATURITY")</f>
        <v>29/11/2015</v>
      </c>
      <c r="J96" s="100" t="str">
        <f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NR/NR/WR</v>
      </c>
      <c r="K96" s="100" t="str">
        <f>_xll.BDP($B96&amp; " Corp","INDUSTRY_SUBGROUP")</f>
        <v>Oil Comp-Integrated</v>
      </c>
      <c r="L96" s="100" t="str">
        <f>_xll.BDP(B96 &amp; " Corp","CRNCY")</f>
        <v>USD</v>
      </c>
      <c r="M96" s="100" t="str">
        <f>_xll.BDP(B96 &amp; " Corp","CNTRY_OF_RISK")</f>
        <v>RU</v>
      </c>
      <c r="N96" s="100" t="str">
        <f>_xll.BDP($B96&amp; " Corp","PAYMENT_RANK")</f>
        <v>Sr Unsecured</v>
      </c>
      <c r="O96" s="100" t="str">
        <f>_xll.BDP($B96&amp; " Corp","MTY_TYP")</f>
        <v>AT MATURITY</v>
      </c>
      <c r="P96" s="100" t="str">
        <f>_xll.BDP($B96&amp; " Corp","RUSSIAN_CB_LOMBARD")</f>
        <v>Y</v>
      </c>
      <c r="Q96" s="102">
        <f>_xll.BDP(B96&amp;" Corp", "INTERVAL_PERCENT_CHANGE", "END_DATE_OVERRIDE"," ", "START_DATE_OVERRIDe",R96)</f>
        <v>-4.2619552793125735</v>
      </c>
      <c r="R96" s="101">
        <v>20140716</v>
      </c>
      <c r="S96" s="100" t="str">
        <f>_xll.BDP($B96&amp; " Corp","PX_GROSS_MID")</f>
        <v>#N/A N/A</v>
      </c>
      <c r="T96" s="99">
        <f>_xll.BDP($B96&amp; " Corp","MIN_PIECE")</f>
        <v>200000</v>
      </c>
    </row>
    <row r="97" spans="1:20" ht="15.75" x14ac:dyDescent="0.25">
      <c r="A97" s="100" t="str">
        <f>_xll.BDP(B97&amp; " Corp","name")</f>
        <v>BK OF MOSCOW (KUZNETSKI)</v>
      </c>
      <c r="B97" s="100" t="s">
        <v>323</v>
      </c>
      <c r="C97" s="100">
        <f>_xll.BDP(B97 &amp; " Corp","MTY_YEARS_TDY")</f>
        <v>-1.8069815195071868</v>
      </c>
      <c r="D97" s="100" t="str">
        <f>_xll.BDP(B97 &amp; " Corp","px_last")</f>
        <v>#N/A Field Not Applicable</v>
      </c>
      <c r="E97" s="100" t="str">
        <f>_xll.BDP(B97 &amp; " Corp","px_ask")</f>
        <v>#N/A N/A</v>
      </c>
      <c r="F97" s="100" t="str">
        <f>_xll.BDP(B97 &amp; " Corp","YLD_YTM_BID")</f>
        <v>#N/A N/A</v>
      </c>
      <c r="G97" s="100" t="str">
        <f>_xll.BDP(B97 &amp; " Corp","YLD_YTM_ask")</f>
        <v>#N/A N/A</v>
      </c>
      <c r="H97" s="100">
        <f>_xll.BDP(B97 &amp; " Corp","CPN")</f>
        <v>5.9670000000000005</v>
      </c>
      <c r="I97" s="100" t="str">
        <f>_xll.BDP(B97&amp; " Corp","MATURITY")</f>
        <v>25/11/2015</v>
      </c>
      <c r="J97" s="100" t="str">
        <f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/WD/WR</v>
      </c>
      <c r="K97" s="100" t="str">
        <f>_xll.BDP($B97&amp; " Corp","INDUSTRY_SUBGROUP")</f>
        <v>Commer Banks Non-US</v>
      </c>
      <c r="L97" s="100" t="str">
        <f>_xll.BDP(B97 &amp; " Corp","CRNCY")</f>
        <v>USD</v>
      </c>
      <c r="M97" s="100" t="str">
        <f>_xll.BDP(B97 &amp; " Corp","CNTRY_OF_RISK")</f>
        <v>RU</v>
      </c>
      <c r="N97" s="100" t="str">
        <f>_xll.BDP($B97&amp; " Corp","PAYMENT_RANK")</f>
        <v>Subordinated</v>
      </c>
      <c r="O97" s="100" t="str">
        <f>_xll.BDP($B97&amp; " Corp","MTY_TYP")</f>
        <v>CALLABLE</v>
      </c>
      <c r="P97" s="100" t="str">
        <f>_xll.BDP($B97&amp; " Corp","RUSSIAN_CB_LOMBARD")</f>
        <v>N</v>
      </c>
      <c r="Q97" s="102">
        <f>_xll.BDP(B97&amp;" Corp", "INTERVAL_PERCENT_CHANGE", "END_DATE_OVERRIDE"," ", "START_DATE_OVERRIDe",R97)</f>
        <v>-2.7700321347647527</v>
      </c>
      <c r="R97" s="101">
        <v>20140716</v>
      </c>
      <c r="S97" s="100" t="str">
        <f>_xll.BDP($B97&amp; " Corp","PX_GROSS_MID")</f>
        <v>#N/A N/A</v>
      </c>
      <c r="T97" s="99">
        <f>_xll.BDP($B97&amp; " Corp","MIN_PIECE")</f>
        <v>100000</v>
      </c>
    </row>
    <row r="98" spans="1:20" ht="18.75" x14ac:dyDescent="0.3">
      <c r="A98" s="105" t="s">
        <v>322</v>
      </c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2" t="e">
        <f>_xll.BDP(#REF!&amp;" Corp", "INTERVAL_PERCENT_CHANGE", "END_DATE_OVERRIDE"," ", "START_DATE_OVERRIDe",R98)</f>
        <v>#REF!</v>
      </c>
      <c r="R98" s="101">
        <v>20140716</v>
      </c>
      <c r="S98" s="100" t="e">
        <f>_xll.BDP(#REF!&amp; " Corp","PX_GROSS_MID")</f>
        <v>#REF!</v>
      </c>
      <c r="T98" s="99" t="e">
        <f>_xll.BDP(#REF!&amp; " Corp","MIN_PIECE")</f>
        <v>#REF!</v>
      </c>
    </row>
    <row r="99" spans="1:20" ht="15.75" x14ac:dyDescent="0.25">
      <c r="A99" s="100" t="str">
        <f>_xll.BDP(B99&amp; " Corp","name")</f>
        <v>RUSSIAN STAND BK (RSF)</v>
      </c>
      <c r="B99" s="100" t="s">
        <v>321</v>
      </c>
      <c r="C99" s="100">
        <f>_xll.BDP(B99 &amp; " Corp","MTY_YEARS_TDY")</f>
        <v>2.5681040383299112</v>
      </c>
      <c r="D99" s="100">
        <f>_xll.BDP(B99 &amp; " Corp","px_last")</f>
        <v>32</v>
      </c>
      <c r="E99" s="100">
        <f>_xll.BDP(B99 &amp; " Corp","px_ask")</f>
        <v>42</v>
      </c>
      <c r="F99" s="100">
        <f>_xll.BDP(B99 &amp; " Corp","YLD_YTM_BID")</f>
        <v>78.014168183920233</v>
      </c>
      <c r="G99" s="100">
        <f>_xll.BDP(B99 &amp; " Corp","YLD_YTM_ask")</f>
        <v>60.055719561284683</v>
      </c>
      <c r="H99" s="100">
        <f>_xll.BDP(B99 &amp; " Corp","CPN")</f>
        <v>13</v>
      </c>
      <c r="I99" s="100" t="str">
        <f>_xll.BDP(B99&amp; " Corp","MATURITY")</f>
        <v>10/04/2020</v>
      </c>
      <c r="J99" s="100" t="str">
        <f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NR/WD/WR</v>
      </c>
      <c r="K99" s="100" t="str">
        <f>_xll.BDP($B99&amp; " Corp","INDUSTRY_SUBGROUP")</f>
        <v>Commer Banks Non-US</v>
      </c>
      <c r="L99" s="100" t="str">
        <f>_xll.BDP(B99 &amp; " Corp","CRNCY")</f>
        <v>USD</v>
      </c>
      <c r="M99" s="100" t="str">
        <f>_xll.BDP(B99 &amp; " Corp","CNTRY_OF_RISK")</f>
        <v>RU</v>
      </c>
      <c r="N99" s="100" t="str">
        <f>_xll.BDP($B99&amp; " Corp","PAYMENT_RANK")</f>
        <v>Subordinated</v>
      </c>
      <c r="O99" s="100" t="str">
        <f>_xll.BDP($B99&amp; " Corp","MTY_TYP")</f>
        <v>AT MATURITY</v>
      </c>
      <c r="P99" s="100" t="str">
        <f>_xll.BDP($B99&amp; " Corp","RUSSIAN_CB_LOMBARD")</f>
        <v>N</v>
      </c>
      <c r="Q99" s="104"/>
      <c r="R99" s="104"/>
      <c r="S99" s="104"/>
      <c r="T99" s="104"/>
    </row>
    <row r="100" spans="1:20" ht="15.75" x14ac:dyDescent="0.25">
      <c r="A100" s="100" t="str">
        <f>_xll.BDP(B100&amp; " Corp","name")</f>
        <v>ALLIANCE OIL CO LTD</v>
      </c>
      <c r="B100" s="100" t="s">
        <v>320</v>
      </c>
      <c r="C100" s="100">
        <f>_xll.BDP(B100 &amp; " Corp","MTY_YEARS_TDY")</f>
        <v>2.6611909650924024</v>
      </c>
      <c r="D100" s="100">
        <f>_xll.BDP(B100 &amp; " Corp","px_last")</f>
        <v>69.040999999999997</v>
      </c>
      <c r="E100" s="100">
        <f>_xll.BDP(B100 &amp; " Corp","px_ask")</f>
        <v>69.933999999999997</v>
      </c>
      <c r="F100" s="100">
        <f>_xll.BDP(B100 &amp; " Corp","YLD_YTM_BID")</f>
        <v>24.169388399999999</v>
      </c>
      <c r="G100" s="100">
        <f>_xll.BDP(B100 &amp; " Corp","YLD_YTM_ask")</f>
        <v>22.702502500000001</v>
      </c>
      <c r="H100" s="100">
        <f>_xll.BDP(B100 &amp; " Corp","CPN")</f>
        <v>7</v>
      </c>
      <c r="I100" s="100" t="str">
        <f>_xll.BDP(B100&amp; " Corp","MATURITY")</f>
        <v>04/05/2020</v>
      </c>
      <c r="J100" s="100" t="str">
        <f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NR/WD/</v>
      </c>
      <c r="K100" s="100" t="str">
        <f>_xll.BDP($B100&amp; " Corp","INDUSTRY_SUBGROUP")</f>
        <v>Oil Comp-Integrated</v>
      </c>
      <c r="L100" s="100" t="str">
        <f>_xll.BDP(B100 &amp; " Corp","CRNCY")</f>
        <v>USD</v>
      </c>
      <c r="M100" s="100" t="str">
        <f>_xll.BDP(B100 &amp; " Corp","CNTRY_OF_RISK")</f>
        <v>RU</v>
      </c>
      <c r="N100" s="100" t="str">
        <f>_xll.BDP($B100&amp; " Corp","PAYMENT_RANK")</f>
        <v>Sr Unsecured</v>
      </c>
      <c r="O100" s="100" t="str">
        <f>_xll.BDP($B100&amp; " Corp","MTY_TYP")</f>
        <v>AT MATURITY</v>
      </c>
      <c r="P100" s="100" t="str">
        <f>_xll.BDP($B100&amp; " Corp","RUSSIAN_CB_LOMBARD")</f>
        <v>N</v>
      </c>
      <c r="Q100" s="104"/>
      <c r="R100" s="104"/>
      <c r="S100" s="104"/>
      <c r="T100" s="104"/>
    </row>
    <row r="101" spans="1:20" ht="15.75" x14ac:dyDescent="0.25">
      <c r="A101" s="100" t="str">
        <f>_xll.BDP(B101&amp; " Corp","name")</f>
        <v>FAR EAST CPL LTD SA</v>
      </c>
      <c r="B101" s="100" t="s">
        <v>319</v>
      </c>
      <c r="C101" s="100">
        <f>_xll.BDP(B101 &amp; " Corp","MTY_YEARS_TDY")</f>
        <v>2.6283367556468171</v>
      </c>
      <c r="D101" s="100">
        <f>_xll.BDP(B101 &amp; " Corp","px_last")</f>
        <v>80.025999999999996</v>
      </c>
      <c r="E101" s="100">
        <f>_xll.BDP(B101 &amp; " Corp","px_ask")</f>
        <v>72.989999999999995</v>
      </c>
      <c r="F101" s="100">
        <f>_xll.BDP(B101 &amp; " Corp","YLD_YTM_BID")</f>
        <v>18.656082362250423</v>
      </c>
      <c r="G101" s="100">
        <f>_xll.BDP(B101 &amp; " Corp","YLD_YTM_ask")</f>
        <v>17.706110321682171</v>
      </c>
      <c r="H101" s="100">
        <f>_xll.BDP(B101 &amp; " Corp","CPN")</f>
        <v>8.75</v>
      </c>
      <c r="I101" s="100" t="str">
        <f>_xll.BDP(B101&amp; " Corp","MATURITY")</f>
        <v>02/05/2020</v>
      </c>
      <c r="J101" s="100" t="str">
        <f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NR/C/</v>
      </c>
      <c r="K101" s="100" t="str">
        <f>_xll.BDP($B101&amp; " Corp","INDUSTRY_SUBGROUP")</f>
        <v>Transport-Marine</v>
      </c>
      <c r="L101" s="100" t="str">
        <f>_xll.BDP(B101 &amp; " Corp","CRNCY")</f>
        <v>USD</v>
      </c>
      <c r="M101" s="100" t="str">
        <f>_xll.BDP(B101 &amp; " Corp","CNTRY_OF_RISK")</f>
        <v>RU</v>
      </c>
      <c r="N101" s="100" t="str">
        <f>_xll.BDP($B101&amp; " Corp","PAYMENT_RANK")</f>
        <v>Secured</v>
      </c>
      <c r="O101" s="100" t="str">
        <f>_xll.BDP($B101&amp; " Corp","MTY_TYP")</f>
        <v>CALLABLE</v>
      </c>
      <c r="P101" s="100" t="str">
        <f>_xll.BDP($B101&amp; " Corp","RUSSIAN_CB_LOMBARD")</f>
        <v>N</v>
      </c>
      <c r="Q101" s="104"/>
      <c r="R101" s="104"/>
      <c r="S101" s="104"/>
      <c r="T101" s="104"/>
    </row>
    <row r="102" spans="1:20" ht="15.75" x14ac:dyDescent="0.25">
      <c r="A102" s="100" t="str">
        <f>_xll.BDP(B102&amp; " Corp","name")</f>
        <v>HCFB LLC(EURASIA CAP SA)</v>
      </c>
      <c r="B102" s="100" t="s">
        <v>318</v>
      </c>
      <c r="C102" s="100">
        <f>_xll.BDP(B102 &amp; " Corp","MTY_YEARS_TDY")</f>
        <v>2.6064339493497606</v>
      </c>
      <c r="D102" s="100">
        <f>_xll.BDP(B102 &amp; " Corp","px_last")</f>
        <v>102.491</v>
      </c>
      <c r="E102" s="100">
        <f>_xll.BDP(B102 &amp; " Corp","px_ask")</f>
        <v>102.751</v>
      </c>
      <c r="F102" s="100">
        <f>_xll.BDP(B102 &amp; " Corp","YLD_YTM_BID")</f>
        <v>8.9552475201411106</v>
      </c>
      <c r="G102" s="100">
        <f>_xll.BDP(B102 &amp; " Corp","YLD_YTM_ask")</f>
        <v>8.5256057174780242</v>
      </c>
      <c r="H102" s="100">
        <f>_xll.BDP(B102 &amp; " Corp","CPN")</f>
        <v>9.375</v>
      </c>
      <c r="I102" s="100" t="str">
        <f>_xll.BDP(B102&amp; " Corp","MATURITY")</f>
        <v>24/04/2020</v>
      </c>
      <c r="J102" s="100" t="str">
        <f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/B/WR</v>
      </c>
      <c r="K102" s="100" t="str">
        <f>_xll.BDP($B102&amp; " Corp","INDUSTRY_SUBGROUP")</f>
        <v>Commer Banks Non-US</v>
      </c>
      <c r="L102" s="100" t="str">
        <f>_xll.BDP(B102 &amp; " Corp","CRNCY")</f>
        <v>USD</v>
      </c>
      <c r="M102" s="100" t="str">
        <f>_xll.BDP(B102 &amp; " Corp","CNTRY_OF_RISK")</f>
        <v>RU</v>
      </c>
      <c r="N102" s="100" t="str">
        <f>_xll.BDP($B102&amp; " Corp","PAYMENT_RANK")</f>
        <v>Subordinated</v>
      </c>
      <c r="O102" s="100" t="str">
        <f>_xll.BDP($B102&amp; " Corp","MTY_TYP")</f>
        <v>CALLABLE</v>
      </c>
      <c r="P102" s="100" t="str">
        <f>_xll.BDP($B102&amp; " Corp","RUSSIAN_CB_LOMBARD")</f>
        <v>N</v>
      </c>
      <c r="Q102" s="102">
        <f>_xll.BDP(B99&amp;" Corp", "INTERVAL_PERCENT_CHANGE", "END_DATE_OVERRIDE"," ", "START_DATE_OVERRIDe",R102)</f>
        <v>-63</v>
      </c>
      <c r="R102" s="101">
        <v>20140716</v>
      </c>
      <c r="S102" s="100">
        <f>_xll.BDP($B99&amp; " Corp","PX_GROSS_MID")</f>
        <v>42.741666666666667</v>
      </c>
      <c r="T102" s="99">
        <f>_xll.BDP($B99&amp; " Corp","MIN_PIECE")</f>
        <v>200000</v>
      </c>
    </row>
    <row r="103" spans="1:20" ht="15.75" x14ac:dyDescent="0.25">
      <c r="A103" s="106" t="str">
        <f>_xll.BDP(B103&amp; " Corp","name")</f>
        <v>EDC FINANCE DAC</v>
      </c>
      <c r="B103" s="100" t="s">
        <v>317</v>
      </c>
      <c r="C103" s="100">
        <f>_xll.BDP(B103 &amp; " Corp","MTY_YEARS_TDY")</f>
        <v>2.6146475017111568</v>
      </c>
      <c r="D103" s="100">
        <f>_xll.BDP(B103 &amp; " Corp","px_last")</f>
        <v>102.80500000000001</v>
      </c>
      <c r="E103" s="100">
        <f>_xll.BDP(B103 &amp; " Corp","px_ask")</f>
        <v>103.02500000000001</v>
      </c>
      <c r="F103" s="100">
        <f>_xll.BDP(B103 &amp; " Corp","YLD_YTM_BID")</f>
        <v>3.8061102999999998</v>
      </c>
      <c r="G103" s="100">
        <f>_xll.BDP(B103 &amp; " Corp","YLD_YTM_ask")</f>
        <v>3.6001056999999999</v>
      </c>
      <c r="H103" s="100">
        <f>_xll.BDP(B103 &amp; " Corp","CPN")</f>
        <v>4.875</v>
      </c>
      <c r="I103" s="100" t="str">
        <f>_xll.BDP(B103&amp; " Corp","MATURITY")</f>
        <v>17/04/2020</v>
      </c>
      <c r="J103" s="100" t="str">
        <f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BB /*+/BB/</v>
      </c>
      <c r="K103" s="100" t="str">
        <f>_xll.BDP($B103&amp; " Corp","INDUSTRY_SUBGROUP")</f>
        <v>Oil-Field Services</v>
      </c>
      <c r="L103" s="100" t="str">
        <f>_xll.BDP(B103 &amp; " Corp","CRNCY")</f>
        <v>USD</v>
      </c>
      <c r="M103" s="100" t="str">
        <f>_xll.BDP(B103 &amp; " Corp","CNTRY_OF_RISK")</f>
        <v>RU</v>
      </c>
      <c r="N103" s="100" t="str">
        <f>_xll.BDP($B103&amp; " Corp","PAYMENT_RANK")</f>
        <v>Sr Unsecured</v>
      </c>
      <c r="O103" s="100" t="str">
        <f>_xll.BDP($B103&amp; " Corp","MTY_TYP")</f>
        <v>AT MATURITY</v>
      </c>
      <c r="P103" s="100" t="str">
        <f>_xll.BDP($B103&amp; " Corp","RUSSIAN_CB_LOMBARD")</f>
        <v>Y</v>
      </c>
      <c r="Q103" s="102">
        <f>_xll.BDP(B100&amp;" Corp", "INTERVAL_PERCENT_CHANGE", "END_DATE_OVERRIDE"," ", "START_DATE_OVERRIDe",R103)</f>
        <v>-25.578873314785316</v>
      </c>
      <c r="R103" s="101">
        <v>20140716</v>
      </c>
      <c r="S103" s="103">
        <f>_xll.BDP($B100&amp; " Corp","PX_GROSS_MID")</f>
        <v>71.665999999999997</v>
      </c>
      <c r="T103" s="99">
        <f>_xll.BDP($B100&amp; " Corp","MIN_PIECE")</f>
        <v>200000</v>
      </c>
    </row>
    <row r="104" spans="1:20" ht="15.75" x14ac:dyDescent="0.25">
      <c r="A104" s="106" t="str">
        <f>_xll.BDP(B104&amp; " Corp","name")</f>
        <v>OAO TMK (TMK CAPITAL)</v>
      </c>
      <c r="B104" s="100" t="s">
        <v>316</v>
      </c>
      <c r="C104" s="100">
        <f>_xll.BDP(B104 &amp; " Corp","MTY_YEARS_TDY")</f>
        <v>2.5763175906913074</v>
      </c>
      <c r="D104" s="100">
        <f>_xll.BDP(B104 &amp; " Corp","px_last")</f>
        <v>105.417</v>
      </c>
      <c r="E104" s="100">
        <f>_xll.BDP(B104 &amp; " Corp","px_ask")</f>
        <v>105.553</v>
      </c>
      <c r="F104" s="100">
        <f>_xll.BDP(B104 &amp; " Corp","YLD_YTM_BID")</f>
        <v>4.5959536999999999</v>
      </c>
      <c r="G104" s="100">
        <f>_xll.BDP(B104 &amp; " Corp","YLD_YTM_ask")</f>
        <v>4.3413836999999997</v>
      </c>
      <c r="H104" s="100">
        <f>_xll.BDP(B104 &amp; " Corp","CPN")</f>
        <v>6.75</v>
      </c>
      <c r="I104" s="100" t="str">
        <f>_xll.BDP(B104&amp; " Corp","MATURITY")</f>
        <v>03/04/2020</v>
      </c>
      <c r="J104" s="100" t="str">
        <f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B+//B1</v>
      </c>
      <c r="K104" s="100" t="str">
        <f>_xll.BDP($B104&amp; " Corp","INDUSTRY_SUBGROUP")</f>
        <v>Steel Pipe&amp;Tube</v>
      </c>
      <c r="L104" s="100" t="str">
        <f>_xll.BDP(B104 &amp; " Corp","CRNCY")</f>
        <v>USD</v>
      </c>
      <c r="M104" s="100" t="str">
        <f>_xll.BDP(B104 &amp; " Corp","CNTRY_OF_RISK")</f>
        <v>RU</v>
      </c>
      <c r="N104" s="100" t="str">
        <f>_xll.BDP($B104&amp; " Corp","PAYMENT_RANK")</f>
        <v>Sr Unsecured</v>
      </c>
      <c r="O104" s="100" t="str">
        <f>_xll.BDP($B104&amp; " Corp","MTY_TYP")</f>
        <v>AT MATURITY</v>
      </c>
      <c r="P104" s="100" t="str">
        <f>_xll.BDP($B104&amp; " Corp","RUSSIAN_CB_LOMBARD")</f>
        <v>Y</v>
      </c>
      <c r="Q104" s="102">
        <f>_xll.BDP(B101&amp;" Corp", "INTERVAL_PERCENT_CHANGE", "END_DATE_OVERRIDE"," ", "START_DATE_OVERRIDe",R104)</f>
        <v>-41.217150383710404</v>
      </c>
      <c r="R104" s="101">
        <v>20140716</v>
      </c>
      <c r="S104" s="100">
        <f>_xll.BDP($B101&amp; " Corp","PX_GROSS_MID")</f>
        <v>80.025999999999996</v>
      </c>
      <c r="T104" s="99">
        <f>_xll.BDP($B101&amp; " Corp","MIN_PIECE")</f>
        <v>200000</v>
      </c>
    </row>
    <row r="105" spans="1:20" ht="15.75" x14ac:dyDescent="0.25">
      <c r="A105" s="106" t="str">
        <f>_xll.BDP(B105&amp; " Corp","name")</f>
        <v>EVRAZ GROUP SA</v>
      </c>
      <c r="B105" s="100" t="s">
        <v>315</v>
      </c>
      <c r="C105" s="100">
        <f>_xll.BDP(B105 &amp; " Corp","MTY_YEARS_TDY")</f>
        <v>2.6283367556468171</v>
      </c>
      <c r="D105" s="100">
        <f>_xll.BDP(B105 &amp; " Corp","px_last")</f>
        <v>106.699</v>
      </c>
      <c r="E105" s="100">
        <f>_xll.BDP(B105 &amp; " Corp","px_ask")</f>
        <v>106.86799999999999</v>
      </c>
      <c r="F105" s="100">
        <f>_xll.BDP(B105 &amp; " Corp","YLD_YTM_BID")</f>
        <v>3.8490760000000002</v>
      </c>
      <c r="G105" s="100">
        <f>_xll.BDP(B105 &amp; " Corp","YLD_YTM_ask")</f>
        <v>3.6662857999999998</v>
      </c>
      <c r="H105" s="100">
        <f>_xll.BDP(B105 &amp; " Corp","CPN")</f>
        <v>6.5</v>
      </c>
      <c r="I105" s="100" t="str">
        <f>_xll.BDP(B105&amp; " Corp","MATURITY")</f>
        <v>22/04/2020</v>
      </c>
      <c r="J105" s="100" t="str">
        <f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B+/BB-/</v>
      </c>
      <c r="K105" s="100" t="str">
        <f>_xll.BDP($B105&amp; " Corp","INDUSTRY_SUBGROUP")</f>
        <v>Steel-Producers</v>
      </c>
      <c r="L105" s="100" t="str">
        <f>_xll.BDP(B105 &amp; " Corp","CRNCY")</f>
        <v>USD</v>
      </c>
      <c r="M105" s="100" t="str">
        <f>_xll.BDP(B105 &amp; " Corp","CNTRY_OF_RISK")</f>
        <v>RU</v>
      </c>
      <c r="N105" s="100" t="str">
        <f>_xll.BDP($B105&amp; " Corp","PAYMENT_RANK")</f>
        <v>Sr Unsecured</v>
      </c>
      <c r="O105" s="100" t="str">
        <f>_xll.BDP($B105&amp; " Corp","MTY_TYP")</f>
        <v>AT MATURITY</v>
      </c>
      <c r="P105" s="100" t="str">
        <f>_xll.BDP($B105&amp; " Corp","RUSSIAN_CB_LOMBARD")</f>
        <v>Y</v>
      </c>
      <c r="Q105" s="102">
        <f>_xll.BDP(B102&amp;" Corp", "INTERVAL_PERCENT_CHANGE", "END_DATE_OVERRIDE"," ", "START_DATE_OVERRIDe",R105)</f>
        <v>4.9782211235758513</v>
      </c>
      <c r="R105" s="101">
        <v>20140716</v>
      </c>
      <c r="S105" s="100">
        <f>_xll.BDP($B102&amp; " Corp","PX_GROSS_MID")</f>
        <v>106.26654166666667</v>
      </c>
      <c r="T105" s="99">
        <f>_xll.BDP($B102&amp; " Corp","MIN_PIECE")</f>
        <v>200000</v>
      </c>
    </row>
    <row r="106" spans="1:20" ht="15.75" x14ac:dyDescent="0.25">
      <c r="A106" s="106" t="str">
        <f>_xll.BDP(B106&amp; " Corp","name")</f>
        <v>METALLOINVEST FINANCE</v>
      </c>
      <c r="B106" s="100" t="s">
        <v>314</v>
      </c>
      <c r="C106" s="100">
        <f>_xll.BDP(B106 &amp; " Corp","MTY_YEARS_TDY")</f>
        <v>2.6146475017111568</v>
      </c>
      <c r="D106" s="100">
        <f>_xll.BDP(B106 &amp; " Corp","px_last")</f>
        <v>105.745</v>
      </c>
      <c r="E106" s="100">
        <f>_xll.BDP(B106 &amp; " Corp","px_ask")</f>
        <v>106.084</v>
      </c>
      <c r="F106" s="100">
        <f>_xll.BDP(B106 &amp; " Corp","YLD_YTM_BID")</f>
        <v>3.3743625000000002</v>
      </c>
      <c r="G106" s="100">
        <f>_xll.BDP(B106 &amp; " Corp","YLD_YTM_ask")</f>
        <v>3.1720095000000001</v>
      </c>
      <c r="H106" s="100">
        <f>_xll.BDP(B106 &amp; " Corp","CPN")</f>
        <v>5.625</v>
      </c>
      <c r="I106" s="100" t="str">
        <f>_xll.BDP(B106&amp; " Corp","MATURITY")</f>
        <v>17/04/2020</v>
      </c>
      <c r="J106" s="100" t="str">
        <f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BB/BB/Ba2</v>
      </c>
      <c r="K106" s="100" t="str">
        <f>_xll.BDP($B106&amp; " Corp","INDUSTRY_SUBGROUP")</f>
        <v>Metal-Iron</v>
      </c>
      <c r="L106" s="100" t="str">
        <f>_xll.BDP(B106 &amp; " Corp","CRNCY")</f>
        <v>USD</v>
      </c>
      <c r="M106" s="100" t="str">
        <f>_xll.BDP(B106 &amp; " Corp","CNTRY_OF_RISK")</f>
        <v>RU</v>
      </c>
      <c r="N106" s="100" t="str">
        <f>_xll.BDP($B106&amp; " Corp","PAYMENT_RANK")</f>
        <v>Sr Unsecured</v>
      </c>
      <c r="O106" s="100" t="str">
        <f>_xll.BDP($B106&amp; " Corp","MTY_TYP")</f>
        <v>AT MATURITY</v>
      </c>
      <c r="P106" s="100" t="str">
        <f>_xll.BDP($B106&amp; " Corp","RUSSIAN_CB_LOMBARD")</f>
        <v>Y</v>
      </c>
      <c r="Q106" s="102">
        <f>_xll.BDP(B103&amp;" Corp", "INTERVAL_PERCENT_CHANGE", "END_DATE_OVERRIDE"," ", "START_DATE_OVERRIDe",R106)</f>
        <v>3.6225854876441135</v>
      </c>
      <c r="R106" s="101">
        <v>20140716</v>
      </c>
      <c r="S106" s="100">
        <f>_xll.BDP($B103&amp; " Corp","PX_GROSS_MID")</f>
        <v>104.91183333333333</v>
      </c>
      <c r="T106" s="99">
        <f>_xll.BDP($B103&amp; " Corp","MIN_PIECE")</f>
        <v>200000</v>
      </c>
    </row>
    <row r="107" spans="1:20" ht="15.75" x14ac:dyDescent="0.25">
      <c r="A107" s="106" t="str">
        <f>_xll.BDP(B107&amp; " Corp","name")</f>
        <v>VNESHECONOMBANK(VEB)</v>
      </c>
      <c r="B107" s="100" t="s">
        <v>313</v>
      </c>
      <c r="C107" s="100">
        <f>_xll.BDP(B107 &amp; " Corp","MTY_YEARS_TDY")</f>
        <v>2.8418891170431211</v>
      </c>
      <c r="D107" s="100">
        <f>_xll.BDP(B107 &amp; " Corp","px_last")</f>
        <v>108.461</v>
      </c>
      <c r="E107" s="100">
        <f>_xll.BDP(B107 &amp; " Corp","px_ask")</f>
        <v>108.65600000000001</v>
      </c>
      <c r="F107" s="100">
        <f>_xll.BDP(B107 &amp; " Corp","YLD_YTM_BID")</f>
        <v>3.7732424</v>
      </c>
      <c r="G107" s="100">
        <f>_xll.BDP(B107 &amp; " Corp","YLD_YTM_ask")</f>
        <v>3.6232009999999999</v>
      </c>
      <c r="H107" s="100">
        <f>_xll.BDP(B107 &amp; " Corp","CPN")</f>
        <v>6.9020000000000001</v>
      </c>
      <c r="I107" s="100" t="str">
        <f>_xll.BDP(B107&amp; " Corp","MATURITY")</f>
        <v>09/07/2020</v>
      </c>
      <c r="J107" s="100" t="str">
        <f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BB+/BBB-/</v>
      </c>
      <c r="K107" s="100" t="str">
        <f>_xll.BDP($B107&amp; " Corp","INDUSTRY_SUBGROUP")</f>
        <v>Special Purpose Banks</v>
      </c>
      <c r="L107" s="100" t="str">
        <f>_xll.BDP(B107 &amp; " Corp","CRNCY")</f>
        <v>USD</v>
      </c>
      <c r="M107" s="100" t="str">
        <f>_xll.BDP(B107 &amp; " Corp","CNTRY_OF_RISK")</f>
        <v>RU</v>
      </c>
      <c r="N107" s="100" t="str">
        <f>_xll.BDP($B107&amp; " Corp","PAYMENT_RANK")</f>
        <v>Sr Unsecured</v>
      </c>
      <c r="O107" s="100" t="str">
        <f>_xll.BDP($B107&amp; " Corp","MTY_TYP")</f>
        <v>AT MATURITY</v>
      </c>
      <c r="P107" s="100" t="str">
        <f>_xll.BDP($B107&amp; " Corp","RUSSIAN_CB_LOMBARD")</f>
        <v>Y</v>
      </c>
      <c r="Q107" s="102">
        <f>_xll.BDP(B104&amp;" Corp", "INTERVAL_PERCENT_CHANGE", "END_DATE_OVERRIDE"," ", "START_DATE_OVERRIDe",R107)</f>
        <v>5.0485862921337876</v>
      </c>
      <c r="R107" s="101">
        <v>20140716</v>
      </c>
      <c r="S107" s="100">
        <f>_xll.BDP($B104&amp; " Corp","PX_GROSS_MID")</f>
        <v>108.529</v>
      </c>
      <c r="T107" s="99">
        <f>_xll.BDP($B104&amp; " Corp","MIN_PIECE")</f>
        <v>200000</v>
      </c>
    </row>
    <row r="108" spans="1:20" ht="15.75" x14ac:dyDescent="0.25">
      <c r="A108" s="106" t="str">
        <f>_xll.BDP(B108&amp; " Corp","name")</f>
        <v>POLYUS FINANCE PLC</v>
      </c>
      <c r="B108" s="100" t="s">
        <v>312</v>
      </c>
      <c r="C108" s="100">
        <f>_xll.BDP(B108 &amp; " Corp","MTY_YEARS_TDY")</f>
        <v>2.647501711156742</v>
      </c>
      <c r="D108" s="100">
        <f>_xll.BDP(B108 &amp; " Corp","px_last")</f>
        <v>105.75</v>
      </c>
      <c r="E108" s="100">
        <f>_xll.BDP(B108 &amp; " Corp","px_ask")</f>
        <v>105.9</v>
      </c>
      <c r="F108" s="100">
        <f>_xll.BDP(B108 &amp; " Corp","YLD_YTM_BID")</f>
        <v>3.3066855999999998</v>
      </c>
      <c r="G108" s="100">
        <f>_xll.BDP(B108 &amp; " Corp","YLD_YTM_ask")</f>
        <v>3.2095587999999999</v>
      </c>
      <c r="H108" s="100">
        <f>_xll.BDP(B108 &amp; " Corp","CPN")</f>
        <v>5.625</v>
      </c>
      <c r="I108" s="100" t="str">
        <f>_xll.BDP(B108&amp; " Corp","MATURITY")</f>
        <v>29/04/2020</v>
      </c>
      <c r="J108" s="100" t="str">
        <f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BB- /*+/BB-/</v>
      </c>
      <c r="K108" s="100" t="str">
        <f>_xll.BDP($B108&amp; " Corp","INDUSTRY_SUBGROUP")</f>
        <v>Gold Mining</v>
      </c>
      <c r="L108" s="100" t="str">
        <f>_xll.BDP(B108 &amp; " Corp","CRNCY")</f>
        <v>USD</v>
      </c>
      <c r="M108" s="100" t="str">
        <f>_xll.BDP(B108 &amp; " Corp","CNTRY_OF_RISK")</f>
        <v>GB</v>
      </c>
      <c r="N108" s="100" t="str">
        <f>_xll.BDP($B108&amp; " Corp","PAYMENT_RANK")</f>
        <v>Sr Unsecured</v>
      </c>
      <c r="O108" s="100" t="str">
        <f>_xll.BDP($B108&amp; " Corp","MTY_TYP")</f>
        <v>AT MATURITY</v>
      </c>
      <c r="P108" s="100" t="str">
        <f>_xll.BDP($B108&amp; " Corp","RUSSIAN_CB_LOMBARD")</f>
        <v>Y</v>
      </c>
      <c r="Q108" s="102">
        <f>_xll.BDP(B105&amp;" Corp", "INTERVAL_PERCENT_CHANGE", "END_DATE_OVERRIDE"," ", "START_DATE_OVERRIDe",R108)</f>
        <v>7.5975194023180492</v>
      </c>
      <c r="R108" s="101">
        <v>20140716</v>
      </c>
      <c r="S108" s="100">
        <f>_xll.BDP($B105&amp; " Corp","PX_GROSS_MID")</f>
        <v>109.36216666666667</v>
      </c>
      <c r="T108" s="99">
        <f>_xll.BDP($B105&amp; " Corp","MIN_PIECE")</f>
        <v>200000</v>
      </c>
    </row>
    <row r="109" spans="1:20" ht="15.75" x14ac:dyDescent="0.25">
      <c r="A109" s="106" t="str">
        <f>_xll.BDP(B109&amp; " Corp","name")</f>
        <v>ALROSA FINANCE SA</v>
      </c>
      <c r="B109" s="100" t="s">
        <v>311</v>
      </c>
      <c r="C109" s="100">
        <f>_xll.BDP(B109 &amp; " Corp","MTY_YEARS_TDY")</f>
        <v>3.162217659137577</v>
      </c>
      <c r="D109" s="100">
        <f>_xll.BDP(B109 &amp; " Corp","px_last")</f>
        <v>113.223</v>
      </c>
      <c r="E109" s="100">
        <f>_xll.BDP(B109 &amp; " Corp","px_ask")</f>
        <v>113.37</v>
      </c>
      <c r="F109" s="100">
        <f>_xll.BDP(B109 &amp; " Corp","YLD_YTM_BID")</f>
        <v>3.3245406000000002</v>
      </c>
      <c r="G109" s="100">
        <f>_xll.BDP(B109 &amp; " Corp","YLD_YTM_ask")</f>
        <v>3.1827470999999998</v>
      </c>
      <c r="H109" s="100">
        <f>_xll.BDP(B109 &amp; " Corp","CPN")</f>
        <v>7.75</v>
      </c>
      <c r="I109" s="100" t="str">
        <f>_xll.BDP(B109&amp; " Corp","MATURITY")</f>
        <v>03/11/2020</v>
      </c>
      <c r="J109" s="100" t="str">
        <f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BB+/BB+/Ba1</v>
      </c>
      <c r="K109" s="100" t="str">
        <f>_xll.BDP($B109&amp; " Corp","INDUSTRY_SUBGROUP")</f>
        <v>Diamonds/Precious Stones</v>
      </c>
      <c r="L109" s="100" t="str">
        <f>_xll.BDP(B109 &amp; " Corp","CRNCY")</f>
        <v>USD</v>
      </c>
      <c r="M109" s="100" t="str">
        <f>_xll.BDP(B109 &amp; " Corp","CNTRY_OF_RISK")</f>
        <v>RU</v>
      </c>
      <c r="N109" s="100" t="str">
        <f>_xll.BDP($B109&amp; " Corp","PAYMENT_RANK")</f>
        <v>Sr Unsecured</v>
      </c>
      <c r="O109" s="100" t="str">
        <f>_xll.BDP($B109&amp; " Corp","MTY_TYP")</f>
        <v>AT MATURITY</v>
      </c>
      <c r="P109" s="100" t="str">
        <f>_xll.BDP($B109&amp; " Corp","RUSSIAN_CB_LOMBARD")</f>
        <v>Y</v>
      </c>
      <c r="Q109" s="102">
        <f>_xll.BDP(B106&amp;" Corp", "INTERVAL_PERCENT_CHANGE", "END_DATE_OVERRIDE"," ", "START_DATE_OVERRIDe",R109)</f>
        <v>8.0332552260146866</v>
      </c>
      <c r="R109" s="101">
        <v>20140716</v>
      </c>
      <c r="S109" s="100">
        <f>_xll.BDP($B106&amp; " Corp","PX_GROSS_MID")</f>
        <v>108.14099999999999</v>
      </c>
      <c r="T109" s="99">
        <f>_xll.BDP($B106&amp; " Corp","MIN_PIECE")</f>
        <v>200000</v>
      </c>
    </row>
    <row r="110" spans="1:20" ht="15.75" x14ac:dyDescent="0.25">
      <c r="A110" s="106" t="str">
        <f>_xll.BDP(B110&amp; " Corp","name")</f>
        <v>MOBILE TELESYS (MTS INT)</v>
      </c>
      <c r="B110" s="100" t="s">
        <v>310</v>
      </c>
      <c r="C110" s="100">
        <f>_xll.BDP(B110 &amp; " Corp","MTY_YEARS_TDY")</f>
        <v>2.7953456536618755</v>
      </c>
      <c r="D110" s="100">
        <f>_xll.BDP(B110 &amp; " Corp","px_last")</f>
        <v>114.645</v>
      </c>
      <c r="E110" s="100">
        <f>_xll.BDP(B110 &amp; " Corp","px_ask")</f>
        <v>114.97799999999999</v>
      </c>
      <c r="F110" s="100">
        <f>_xll.BDP(B110 &amp; " Corp","YLD_YTM_BID")</f>
        <v>3.1412506000000002</v>
      </c>
      <c r="G110" s="100">
        <f>_xll.BDP(B110 &amp; " Corp","YLD_YTM_ask")</f>
        <v>2.9333838999999999</v>
      </c>
      <c r="H110" s="100">
        <f>_xll.BDP(B110 &amp; " Corp","CPN")</f>
        <v>8.625</v>
      </c>
      <c r="I110" s="100" t="str">
        <f>_xll.BDP(B110&amp; " Corp","MATURITY")</f>
        <v>22/06/2020</v>
      </c>
      <c r="J110" s="100" t="str">
        <f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BB+/BB+ /*-/Ba1u</v>
      </c>
      <c r="K110" s="100" t="str">
        <f>_xll.BDP($B110&amp; " Corp","INDUSTRY_SUBGROUP")</f>
        <v>Cellular Telecom</v>
      </c>
      <c r="L110" s="100" t="str">
        <f>_xll.BDP(B110 &amp; " Corp","CRNCY")</f>
        <v>USD</v>
      </c>
      <c r="M110" s="100" t="str">
        <f>_xll.BDP(B110 &amp; " Corp","CNTRY_OF_RISK")</f>
        <v>RU</v>
      </c>
      <c r="N110" s="100" t="str">
        <f>_xll.BDP($B110&amp; " Corp","PAYMENT_RANK")</f>
        <v>Sr Unsecured</v>
      </c>
      <c r="O110" s="100" t="str">
        <f>_xll.BDP($B110&amp; " Corp","MTY_TYP")</f>
        <v>AT MATURITY</v>
      </c>
      <c r="P110" s="100" t="str">
        <f>_xll.BDP($B110&amp; " Corp","RUSSIAN_CB_LOMBARD")</f>
        <v>Y</v>
      </c>
      <c r="Q110" s="102">
        <f>_xll.BDP(B107&amp;" Corp", "INTERVAL_PERCENT_CHANGE", "END_DATE_OVERRIDE"," ", "START_DATE_OVERRIDe",R110)</f>
        <v>0.526179454442808</v>
      </c>
      <c r="R110" s="101">
        <v>20140716</v>
      </c>
      <c r="S110" s="100">
        <f>_xll.BDP($B107&amp; " Corp","PX_GROSS_MID")</f>
        <v>109.79855555555557</v>
      </c>
      <c r="T110" s="99">
        <f>_xll.BDP($B107&amp; " Corp","MIN_PIECE")</f>
        <v>100000</v>
      </c>
    </row>
    <row r="111" spans="1:20" ht="15.75" x14ac:dyDescent="0.25">
      <c r="A111" s="106" t="str">
        <f>_xll.BDP(B111&amp; " Corp","name")</f>
        <v>VTB BANK (VTB CAPITAL SA</v>
      </c>
      <c r="B111" s="100" t="s">
        <v>309</v>
      </c>
      <c r="C111" s="100">
        <f>_xll.BDP(B111 &amp; " Corp","MTY_YEARS_TDY")</f>
        <v>3.1047227926078027</v>
      </c>
      <c r="D111" s="100">
        <f>_xll.BDP(B111 &amp; " Corp","px_last")</f>
        <v>109.73399999999999</v>
      </c>
      <c r="E111" s="100">
        <f>_xll.BDP(B111 &amp; " Corp","px_ask")</f>
        <v>109.959</v>
      </c>
      <c r="F111" s="100">
        <f>_xll.BDP(B111 &amp; " Corp","YLD_YTM_BID")</f>
        <v>3.2807759999999999</v>
      </c>
      <c r="G111" s="100">
        <f>_xll.BDP(B111 &amp; " Corp","YLD_YTM_ask")</f>
        <v>3.104816</v>
      </c>
      <c r="H111" s="100">
        <f>_xll.BDP(B111 &amp; " Corp","CPN")</f>
        <v>6.5510000000000002</v>
      </c>
      <c r="I111" s="100" t="str">
        <f>_xll.BDP(B111&amp; " Corp","MATURITY")</f>
        <v>13/10/2020</v>
      </c>
      <c r="J111" s="100" t="str">
        <f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BB+/WD/Ba1</v>
      </c>
      <c r="K111" s="100" t="str">
        <f>_xll.BDP($B111&amp; " Corp","INDUSTRY_SUBGROUP")</f>
        <v>Commer Banks Non-US</v>
      </c>
      <c r="L111" s="100" t="str">
        <f>_xll.BDP(B111 &amp; " Corp","CRNCY")</f>
        <v>USD</v>
      </c>
      <c r="M111" s="100" t="str">
        <f>_xll.BDP(B111 &amp; " Corp","CNTRY_OF_RISK")</f>
        <v>RU</v>
      </c>
      <c r="N111" s="100" t="str">
        <f>_xll.BDP($B111&amp; " Corp","PAYMENT_RANK")</f>
        <v>Sr Unsecured</v>
      </c>
      <c r="O111" s="100" t="str">
        <f>_xll.BDP($B111&amp; " Corp","MTY_TYP")</f>
        <v>AT MATURITY</v>
      </c>
      <c r="P111" s="100" t="str">
        <f>_xll.BDP($B111&amp; " Corp","RUSSIAN_CB_LOMBARD")</f>
        <v>Y</v>
      </c>
      <c r="Q111" s="102">
        <f>_xll.BDP(B108&amp;" Corp", "INTERVAL_PERCENT_CHANGE", "END_DATE_OVERRIDE"," ", "START_DATE_OVERRIDe",R111)</f>
        <v>4.86835568802781</v>
      </c>
      <c r="R111" s="101">
        <v>20140716</v>
      </c>
      <c r="S111" s="100">
        <f>_xll.BDP($B108&amp; " Corp","PX_GROSS_MID")</f>
        <v>108.0625</v>
      </c>
      <c r="T111" s="99">
        <f>_xll.BDP($B108&amp; " Corp","MIN_PIECE")</f>
        <v>200000</v>
      </c>
    </row>
    <row r="112" spans="1:20" ht="15.75" x14ac:dyDescent="0.25">
      <c r="A112" s="106" t="str">
        <f>_xll.BDP(B112&amp; " Corp","name")</f>
        <v>ROSNEFT FINANCE SA</v>
      </c>
      <c r="B112" s="100" t="s">
        <v>308</v>
      </c>
      <c r="C112" s="100">
        <f>_xll.BDP(B112 &amp; " Corp","MTY_YEARS_TDY")</f>
        <v>2.409308692676249</v>
      </c>
      <c r="D112" s="100">
        <f>_xll.BDP(B112 &amp; " Corp","px_last")</f>
        <v>109.536</v>
      </c>
      <c r="E112" s="100">
        <f>_xll.BDP(B112 &amp; " Corp","px_ask")</f>
        <v>109.788</v>
      </c>
      <c r="F112" s="100">
        <f>_xll.BDP(B112 &amp; " Corp","YLD_YTM_BID")</f>
        <v>3.1563783460577901</v>
      </c>
      <c r="G112" s="100">
        <f>_xll.BDP(B112 &amp; " Corp","YLD_YTM_ask")</f>
        <v>2.9355529730878076</v>
      </c>
      <c r="H112" s="100">
        <f>_xll.BDP(B112 &amp; " Corp","CPN")</f>
        <v>7.25</v>
      </c>
      <c r="I112" s="100" t="str">
        <f>_xll.BDP(B112&amp; " Corp","MATURITY")</f>
        <v>02/02/2020</v>
      </c>
      <c r="J112" s="100" t="str">
        <f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BB+/WD/Ba1</v>
      </c>
      <c r="K112" s="100" t="str">
        <f>_xll.BDP($B112&amp; " Corp","INDUSTRY_SUBGROUP")</f>
        <v>Oil Comp-Integrated</v>
      </c>
      <c r="L112" s="100" t="str">
        <f>_xll.BDP(B112 &amp; " Corp","CRNCY")</f>
        <v>USD</v>
      </c>
      <c r="M112" s="100" t="str">
        <f>_xll.BDP(B112 &amp; " Corp","CNTRY_OF_RISK")</f>
        <v>RU</v>
      </c>
      <c r="N112" s="100" t="str">
        <f>_xll.BDP($B112&amp; " Corp","PAYMENT_RANK")</f>
        <v>Sr Unsecured</v>
      </c>
      <c r="O112" s="100" t="str">
        <f>_xll.BDP($B112&amp; " Corp","MTY_TYP")</f>
        <v>AT MATURITY</v>
      </c>
      <c r="P112" s="100" t="str">
        <f>_xll.BDP($B112&amp; " Corp","RUSSIAN_CB_LOMBARD")</f>
        <v>N</v>
      </c>
      <c r="Q112" s="102">
        <f>_xll.BDP(B109&amp;" Corp", "INTERVAL_PERCENT_CHANGE", "END_DATE_OVERRIDE"," ", "START_DATE_OVERRIDe",R112)</f>
        <v>3.0003625319405973</v>
      </c>
      <c r="R112" s="101">
        <v>20140716</v>
      </c>
      <c r="S112" s="100">
        <f>_xll.BDP($B109&amp; " Corp","PX_GROSS_MID")</f>
        <v>116.16927777777778</v>
      </c>
      <c r="T112" s="99">
        <f>_xll.BDP($B109&amp; " Corp","MIN_PIECE")</f>
        <v>200000</v>
      </c>
    </row>
    <row r="113" spans="1:20" ht="15.75" x14ac:dyDescent="0.25">
      <c r="A113" s="100" t="str">
        <f>_xll.BDP(B113&amp; " Corp","name")</f>
        <v>MMC NORILSK NICK VIA MMC</v>
      </c>
      <c r="B113" s="100" t="s">
        <v>307</v>
      </c>
      <c r="C113" s="100">
        <f>_xll.BDP(B113 &amp; " Corp","MTY_YEARS_TDY")</f>
        <v>3.1457905544147846</v>
      </c>
      <c r="D113" s="100">
        <f>_xll.BDP(B113 &amp; " Corp","px_last")</f>
        <v>107.072</v>
      </c>
      <c r="E113" s="100">
        <f>_xll.BDP(B113 &amp; " Corp","px_ask")</f>
        <v>107.004</v>
      </c>
      <c r="F113" s="100">
        <f>_xll.BDP(B113 &amp; " Corp","YLD_YTM_BID")</f>
        <v>3.2156796000000001</v>
      </c>
      <c r="G113" s="100">
        <f>_xll.BDP(B113 &amp; " Corp","YLD_YTM_ask")</f>
        <v>3.0701439000000001</v>
      </c>
      <c r="H113" s="100">
        <f>_xll.BDP(B113 &amp; " Corp","CPN")</f>
        <v>5.55</v>
      </c>
      <c r="I113" s="100" t="str">
        <f>_xll.BDP(B113&amp; " Corp","MATURITY")</f>
        <v>28/10/2020</v>
      </c>
      <c r="J113" s="100" t="str">
        <f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BBB-/BBB-/Ba1</v>
      </c>
      <c r="K113" s="100" t="str">
        <f>_xll.BDP($B113&amp; " Corp","INDUSTRY_SUBGROUP")</f>
        <v>Metal-Diversified</v>
      </c>
      <c r="L113" s="100" t="str">
        <f>_xll.BDP(B113 &amp; " Corp","CRNCY")</f>
        <v>USD</v>
      </c>
      <c r="M113" s="100" t="str">
        <f>_xll.BDP(B113 &amp; " Corp","CNTRY_OF_RISK")</f>
        <v>RU</v>
      </c>
      <c r="N113" s="100" t="str">
        <f>_xll.BDP($B113&amp; " Corp","PAYMENT_RANK")</f>
        <v>Sr Unsecured</v>
      </c>
      <c r="O113" s="100" t="str">
        <f>_xll.BDP($B113&amp; " Corp","MTY_TYP")</f>
        <v>AT MATURITY</v>
      </c>
      <c r="P113" s="100" t="str">
        <f>_xll.BDP($B113&amp; " Corp","RUSSIAN_CB_LOMBARD")</f>
        <v>Y</v>
      </c>
      <c r="Q113" s="102">
        <f>_xll.BDP(B110&amp;" Corp", "INTERVAL_PERCENT_CHANGE", "END_DATE_OVERRIDE"," ", "START_DATE_OVERRIDe",R113)</f>
        <v>-1.5770513185243324</v>
      </c>
      <c r="R113" s="101">
        <v>20140716</v>
      </c>
      <c r="S113" s="100">
        <f>_xll.BDP($B110&amp; " Corp","PX_GROSS_MID")</f>
        <v>116.754875</v>
      </c>
      <c r="T113" s="99">
        <f>_xll.BDP($B110&amp; " Corp","MIN_PIECE")</f>
        <v>100000</v>
      </c>
    </row>
    <row r="114" spans="1:20" ht="15.75" x14ac:dyDescent="0.25">
      <c r="A114" s="100" t="str">
        <f>_xll.BDP(B114&amp; " Corp","name")</f>
        <v>LUKOIL INTL FINANCE BV</v>
      </c>
      <c r="B114" s="100" t="s">
        <v>306</v>
      </c>
      <c r="C114" s="100">
        <f>_xll.BDP(B114 &amp; " Corp","MTY_YEARS_TDY")</f>
        <v>3.1786447638603694</v>
      </c>
      <c r="D114" s="100">
        <f>_xll.BDP(B114 &amp; " Corp","px_last")</f>
        <v>109.48099999999999</v>
      </c>
      <c r="E114" s="100">
        <f>_xll.BDP(B114 &amp; " Corp","px_ask")</f>
        <v>109.432</v>
      </c>
      <c r="F114" s="100">
        <f>_xll.BDP(B114 &amp; " Corp","YLD_YTM_BID")</f>
        <v>3.0438029000000002</v>
      </c>
      <c r="G114" s="100">
        <f>_xll.BDP(B114 &amp; " Corp","YLD_YTM_ask")</f>
        <v>2.9082634000000001</v>
      </c>
      <c r="H114" s="100">
        <f>_xll.BDP(B114 &amp; " Corp","CPN")</f>
        <v>6.125</v>
      </c>
      <c r="I114" s="100" t="str">
        <f>_xll.BDP(B114&amp; " Corp","MATURITY")</f>
        <v>09/11/2020</v>
      </c>
      <c r="J114" s="100" t="str">
        <f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BBB-/BBB-/Ba1</v>
      </c>
      <c r="K114" s="100" t="str">
        <f>_xll.BDP($B114&amp; " Corp","INDUSTRY_SUBGROUP")</f>
        <v>Oil Comp-Integrated</v>
      </c>
      <c r="L114" s="100" t="str">
        <f>_xll.BDP(B114 &amp; " Corp","CRNCY")</f>
        <v>USD</v>
      </c>
      <c r="M114" s="100" t="str">
        <f>_xll.BDP(B114 &amp; " Corp","CNTRY_OF_RISK")</f>
        <v>RU</v>
      </c>
      <c r="N114" s="100" t="str">
        <f>_xll.BDP($B114&amp; " Corp","PAYMENT_RANK")</f>
        <v>Sr Unsecured</v>
      </c>
      <c r="O114" s="100" t="str">
        <f>_xll.BDP($B114&amp; " Corp","MTY_TYP")</f>
        <v>AT MATURITY</v>
      </c>
      <c r="P114" s="100" t="str">
        <f>_xll.BDP($B114&amp; " Corp","RUSSIAN_CB_LOMBARD")</f>
        <v>Y</v>
      </c>
      <c r="Q114" s="102">
        <f>_xll.BDP(B111&amp;" Corp", "INTERVAL_PERCENT_CHANGE", "END_DATE_OVERRIDE"," ", "START_DATE_OVERRIDe",R114)</f>
        <v>3.4728199987890647</v>
      </c>
      <c r="R114" s="101">
        <v>20140716</v>
      </c>
      <c r="S114" s="100">
        <f>_xll.BDP($B111&amp; " Corp","PX_GROSS_MID")</f>
        <v>112.57276666666668</v>
      </c>
      <c r="T114" s="99">
        <f>_xll.BDP($B111&amp; " Corp","MIN_PIECE")</f>
        <v>100000</v>
      </c>
    </row>
    <row r="115" spans="1:20" ht="15.75" x14ac:dyDescent="0.25">
      <c r="A115" s="100" t="str">
        <f>_xll.BDP(B115&amp; " Corp","name")</f>
        <v>GAZPROM (GAZ CAPITAL SA)</v>
      </c>
      <c r="B115" s="100" t="s">
        <v>305</v>
      </c>
      <c r="C115" s="100">
        <f>_xll.BDP(B115 &amp; " Corp","MTY_YEARS_TDY")</f>
        <v>2.4202600958247777</v>
      </c>
      <c r="D115" s="100">
        <f>_xll.BDP(B115 &amp; " Corp","px_last")</f>
        <v>101.96299999999999</v>
      </c>
      <c r="E115" s="100">
        <f>_xll.BDP(B115 &amp; " Corp","px_ask")</f>
        <v>102.10299999999999</v>
      </c>
      <c r="F115" s="100">
        <f>_xll.BDP(B115 &amp; " Corp","YLD_YTM_BID")</f>
        <v>3.1298533000000002</v>
      </c>
      <c r="G115" s="100">
        <f>_xll.BDP(B115 &amp; " Corp","YLD_YTM_ask")</f>
        <v>2.9408555999999999</v>
      </c>
      <c r="H115" s="100">
        <f>_xll.BDP(B115 &amp; " Corp","CPN")</f>
        <v>3.85</v>
      </c>
      <c r="I115" s="100" t="str">
        <f>_xll.BDP(B115&amp; " Corp","MATURITY")</f>
        <v>06/02/2020</v>
      </c>
      <c r="J115" s="100" t="str">
        <f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BB+/BBB-/Ba1</v>
      </c>
      <c r="K115" s="100" t="str">
        <f>_xll.BDP($B115&amp; " Corp","INDUSTRY_SUBGROUP")</f>
        <v>Oil Comp-Integrated</v>
      </c>
      <c r="L115" s="100" t="str">
        <f>_xll.BDP(B115 &amp; " Corp","CRNCY")</f>
        <v>USD</v>
      </c>
      <c r="M115" s="100" t="str">
        <f>_xll.BDP(B115 &amp; " Corp","CNTRY_OF_RISK")</f>
        <v>RU</v>
      </c>
      <c r="N115" s="100" t="str">
        <f>_xll.BDP($B115&amp; " Corp","PAYMENT_RANK")</f>
        <v>Sr Unsecured</v>
      </c>
      <c r="O115" s="100" t="str">
        <f>_xll.BDP($B115&amp; " Corp","MTY_TYP")</f>
        <v>AT MATURITY</v>
      </c>
      <c r="P115" s="100" t="str">
        <f>_xll.BDP($B115&amp; " Corp","RUSSIAN_CB_LOMBARD")</f>
        <v>Y</v>
      </c>
      <c r="Q115" s="102">
        <f>_xll.BDP(B112&amp;" Corp", "INTERVAL_PERCENT_CHANGE", "END_DATE_OVERRIDE"," ", "START_DATE_OVERRIDe",R115)</f>
        <v>-2.1633391431097087</v>
      </c>
      <c r="R115" s="101">
        <v>20140716</v>
      </c>
      <c r="S115" s="100">
        <f>_xll.BDP($B112&amp; " Corp","PX_GROSS_MID")</f>
        <v>110.48202777777777</v>
      </c>
      <c r="T115" s="99">
        <f>_xll.BDP($B112&amp; " Corp","MIN_PIECE")</f>
        <v>100000</v>
      </c>
    </row>
    <row r="116" spans="1:20" ht="15.75" x14ac:dyDescent="0.25">
      <c r="A116" s="100" t="str">
        <f>_xll.BDP(B116&amp; " Corp","name")</f>
        <v>EURASIAN DEVELOPMENT BAN</v>
      </c>
      <c r="B116" s="100" t="s">
        <v>304</v>
      </c>
      <c r="C116" s="100">
        <f>_xll.BDP(B116 &amp; " Corp","MTY_YEARS_TDY")</f>
        <v>3.030800821355236</v>
      </c>
      <c r="D116" s="100">
        <f>_xll.BDP(B116 &amp; " Corp","px_last")</f>
        <v>105.25</v>
      </c>
      <c r="E116" s="100">
        <f>_xll.BDP(B116 &amp; " Corp","px_ask")</f>
        <v>105.75</v>
      </c>
      <c r="F116" s="100">
        <f>_xll.BDP(B116 &amp; " Corp","YLD_YTM_BID")</f>
        <v>3.1629608</v>
      </c>
      <c r="G116" s="100">
        <f>_xll.BDP(B116 &amp; " Corp","YLD_YTM_ask")</f>
        <v>2.9938552</v>
      </c>
      <c r="H116" s="100">
        <f>_xll.BDP(B116 &amp; " Corp","CPN")</f>
        <v>5</v>
      </c>
      <c r="I116" s="100" t="str">
        <f>_xll.BDP(B116&amp; " Corp","MATURITY")</f>
        <v>26/09/2020</v>
      </c>
      <c r="J116" s="100" t="str">
        <f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BBB-//Baa1</v>
      </c>
      <c r="K116" s="100" t="str">
        <f>_xll.BDP($B116&amp; " Corp","INDUSTRY_SUBGROUP")</f>
        <v>Supranational Bank</v>
      </c>
      <c r="L116" s="100" t="str">
        <f>_xll.BDP(B116 &amp; " Corp","CRNCY")</f>
        <v>USD</v>
      </c>
      <c r="M116" s="100" t="str">
        <f>_xll.BDP(B116 &amp; " Corp","CNTRY_OF_RISK")</f>
        <v>SNAT</v>
      </c>
      <c r="N116" s="100" t="str">
        <f>_xll.BDP($B116&amp; " Corp","PAYMENT_RANK")</f>
        <v>Sr Unsecured</v>
      </c>
      <c r="O116" s="100" t="str">
        <f>_xll.BDP($B116&amp; " Corp","MTY_TYP")</f>
        <v>AT MATURITY</v>
      </c>
      <c r="P116" s="100" t="str">
        <f>_xll.BDP($B116&amp; " Corp","RUSSIAN_CB_LOMBARD")</f>
        <v>Y</v>
      </c>
      <c r="Q116" s="102">
        <f>_xll.BDP(B113&amp;" Corp", "INTERVAL_PERCENT_CHANGE", "END_DATE_OVERRIDE"," ", "START_DATE_OVERRIDe",R116)</f>
        <v>3.9522139796152795</v>
      </c>
      <c r="R116" s="101">
        <v>20140716</v>
      </c>
      <c r="S116" s="100">
        <f>_xll.BDP($B113&amp; " Corp","PX_GROSS_MID")</f>
        <v>109.24575</v>
      </c>
      <c r="T116" s="99">
        <f>_xll.BDP($B113&amp; " Corp","MIN_PIECE")</f>
        <v>200000</v>
      </c>
    </row>
    <row r="117" spans="1:20" ht="18.75" x14ac:dyDescent="0.3">
      <c r="A117" s="105" t="s">
        <v>303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2">
        <f>_xll.BDP(B114&amp;" Corp", "INTERVAL_PERCENT_CHANGE", "END_DATE_OVERRIDE"," ", "START_DATE_OVERRIDe",R117)</f>
        <v>1.4738008382154035</v>
      </c>
      <c r="R117" s="101">
        <v>20140716</v>
      </c>
      <c r="S117" s="100">
        <f>_xll.BDP($B114&amp; " Corp","PX_GROSS_MID")</f>
        <v>111.57780555555556</v>
      </c>
      <c r="T117" s="99">
        <f>_xll.BDP($B114&amp; " Corp","MIN_PIECE")</f>
        <v>200000</v>
      </c>
    </row>
    <row r="118" spans="1:20" ht="15.75" x14ac:dyDescent="0.25">
      <c r="A118" s="100" t="str">
        <f>_xll.BDP(B118&amp; " Corp","name")</f>
        <v>RUSSIAN STAND BK (RSF)</v>
      </c>
      <c r="B118" s="100" t="s">
        <v>302</v>
      </c>
      <c r="C118" s="100">
        <f>_xll.BDP(B118 &amp; " Corp","MTY_YEARS_TDY")</f>
        <v>6.3381245722108144</v>
      </c>
      <c r="D118" s="100" t="str">
        <f>_xll.BDP(B118 &amp; " Corp","px_last")</f>
        <v>#N/A N/A</v>
      </c>
      <c r="E118" s="100" t="str">
        <f>_xll.BDP(B118 &amp; " Corp","px_ask")</f>
        <v>#N/A N/A</v>
      </c>
      <c r="F118" s="100" t="str">
        <f>_xll.BDP(B118 &amp; " Corp","YLD_YTM_BID")</f>
        <v>#N/A N/A</v>
      </c>
      <c r="G118" s="100" t="str">
        <f>_xll.BDP(B118 &amp; " Corp","YLD_YTM_ask")</f>
        <v>#N/A N/A</v>
      </c>
      <c r="H118" s="100">
        <f>_xll.BDP(B118 &amp; " Corp","CPN")</f>
        <v>11.5</v>
      </c>
      <c r="I118" s="100" t="str">
        <f>_xll.BDP(B118&amp; " Corp","MATURITY")</f>
        <v>17/01/2024</v>
      </c>
      <c r="J118" s="100" t="str">
        <f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/WD/WR</v>
      </c>
      <c r="K118" s="100" t="str">
        <f>_xll.BDP($B118&amp; " Corp","INDUSTRY_SUBGROUP")</f>
        <v>Commer Banks Non-US</v>
      </c>
      <c r="L118" s="100" t="str">
        <f>_xll.BDP(B118 &amp; " Corp","CRNCY")</f>
        <v>USD</v>
      </c>
      <c r="M118" s="100" t="str">
        <f>_xll.BDP(B118 &amp; " Corp","CNTRY_OF_RISK")</f>
        <v>RU</v>
      </c>
      <c r="N118" s="100" t="str">
        <f>_xll.BDP($B118&amp; " Corp","PAYMENT_RANK")</f>
        <v>Subordinated</v>
      </c>
      <c r="O118" s="100" t="str">
        <f>_xll.BDP($B118&amp; " Corp","MTY_TYP")</f>
        <v>CALLABLE</v>
      </c>
      <c r="P118" s="100" t="str">
        <f>_xll.BDP($B118&amp; " Corp","RUSSIAN_CB_LOMBARD")</f>
        <v>N</v>
      </c>
      <c r="Q118" s="102">
        <f>_xll.BDP(B115&amp;" Corp", "INTERVAL_PERCENT_CHANGE", "END_DATE_OVERRIDE"," ", "START_DATE_OVERRIDe",R118)</f>
        <v>4.3085236389578911</v>
      </c>
      <c r="R118" s="101">
        <v>20140716</v>
      </c>
      <c r="S118" s="100">
        <f>_xll.BDP($B115&amp; " Corp","PX_GROSS_MID")</f>
        <v>102.3148611111111</v>
      </c>
      <c r="T118" s="99">
        <f>_xll.BDP($B115&amp; " Corp","MIN_PIECE")</f>
        <v>200000</v>
      </c>
    </row>
    <row r="119" spans="1:20" ht="15.75" x14ac:dyDescent="0.25">
      <c r="A119" s="100" t="str">
        <f>_xll.BDP(B119&amp; " Corp","name")</f>
        <v>HCFB LLC(EURASIA CAP SA)</v>
      </c>
      <c r="B119" s="100" t="s">
        <v>300</v>
      </c>
      <c r="C119" s="100">
        <f>_xll.BDP(B119 &amp; " Corp","MTY_YEARS_TDY")</f>
        <v>3.592060232717317</v>
      </c>
      <c r="D119" s="100">
        <f>_xll.BDP(B119 &amp; " Corp","px_last")</f>
        <v>106.709</v>
      </c>
      <c r="E119" s="100">
        <f>_xll.BDP(B119 &amp; " Corp","px_ask")</f>
        <v>107.414</v>
      </c>
      <c r="F119" s="100">
        <f>_xll.BDP(B119 &amp; " Corp","YLD_YTM_BID")</f>
        <v>8.6385244354620134</v>
      </c>
      <c r="G119" s="100">
        <f>_xll.BDP(B119 &amp; " Corp","YLD_YTM_ask")</f>
        <v>8.1627986482292769</v>
      </c>
      <c r="H119" s="100">
        <f>_xll.BDP(B119 &amp; " Corp","CPN")</f>
        <v>10.5</v>
      </c>
      <c r="I119" s="100" t="str">
        <f>_xll.BDP(B119&amp; " Corp","MATURITY")</f>
        <v>19/04/2021</v>
      </c>
      <c r="J119" s="100" t="str">
        <f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/B/NR</v>
      </c>
      <c r="K119" s="100" t="str">
        <f>_xll.BDP($B119&amp; " Corp","INDUSTRY_SUBGROUP")</f>
        <v>Commer Banks Non-US</v>
      </c>
      <c r="L119" s="100" t="str">
        <f>_xll.BDP(B119 &amp; " Corp","CRNCY")</f>
        <v>USD</v>
      </c>
      <c r="M119" s="100" t="str">
        <f>_xll.BDP(B119 &amp; " Corp","CNTRY_OF_RISK")</f>
        <v>RU</v>
      </c>
      <c r="N119" s="100" t="str">
        <f>_xll.BDP($B119&amp; " Corp","PAYMENT_RANK")</f>
        <v>Subordinated</v>
      </c>
      <c r="O119" s="100" t="str">
        <f>_xll.BDP($B119&amp; " Corp","MTY_TYP")</f>
        <v>CALLABLE</v>
      </c>
      <c r="P119" s="100" t="str">
        <f>_xll.BDP($B119&amp; " Corp","RUSSIAN_CB_LOMBARD")</f>
        <v>N</v>
      </c>
      <c r="Q119" s="102" t="str">
        <f>_xll.BDP(B117&amp;" Corp", "INTERVAL_PERCENT_CHANGE", "END_DATE_OVERRIDE"," ", "START_DATE_OVERRIDe",R119)</f>
        <v>#N/A Invalid Security</v>
      </c>
      <c r="R119" s="101">
        <v>20140716</v>
      </c>
      <c r="S119" s="100" t="str">
        <f>_xll.BDP($B117&amp; " Corp","PX_GROSS_MID")</f>
        <v>#N/A Invalid Security</v>
      </c>
      <c r="T119" s="99" t="str">
        <f>_xll.BDP($B117&amp; " Corp","MIN_PIECE")</f>
        <v>#N/A Invalid Security</v>
      </c>
    </row>
    <row r="120" spans="1:20" ht="15.75" x14ac:dyDescent="0.25">
      <c r="A120" s="100" t="str">
        <f>_xll.BDP(B120&amp; " Corp","name")</f>
        <v>PROMSVYAZBK(PSB FINANCE)</v>
      </c>
      <c r="B120" s="100" t="s">
        <v>301</v>
      </c>
      <c r="C120" s="100">
        <f>_xll.BDP(B120 &amp; " Corp","MTY_YEARS_TDY")</f>
        <v>3.5290896646132786</v>
      </c>
      <c r="D120" s="100">
        <f>_xll.BDP(B120 &amp; " Corp","px_last")</f>
        <v>107.81100000000001</v>
      </c>
      <c r="E120" s="100">
        <f>_xll.BDP(B120 &amp; " Corp","px_ask")</f>
        <v>97</v>
      </c>
      <c r="F120" s="100">
        <f>_xll.BDP(B120 &amp; " Corp","YLD_YTM_BID")</f>
        <v>8.2177798000000006</v>
      </c>
      <c r="G120" s="100">
        <f>_xll.BDP(B120 &amp; " Corp","YLD_YTM_ask")</f>
        <v>7.5825348999999997</v>
      </c>
      <c r="H120" s="100">
        <f>_xll.BDP(B120 &amp; " Corp","CPN")</f>
        <v>10.5</v>
      </c>
      <c r="I120" s="100" t="str">
        <f>_xll.BDP(B120&amp; " Corp","MATURITY")</f>
        <v>17/03/2021</v>
      </c>
      <c r="J120" s="100" t="str">
        <f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//</v>
      </c>
      <c r="K120" s="100" t="str">
        <f>_xll.BDP($B120&amp; " Corp","INDUSTRY_SUBGROUP")</f>
        <v>Commer Banks Non-US</v>
      </c>
      <c r="L120" s="100" t="str">
        <f>_xll.BDP(B120 &amp; " Corp","CRNCY")</f>
        <v>USD</v>
      </c>
      <c r="M120" s="100" t="str">
        <f>_xll.BDP(B120 &amp; " Corp","CNTRY_OF_RISK")</f>
        <v>RU</v>
      </c>
      <c r="N120" s="100" t="str">
        <f>_xll.BDP($B120&amp; " Corp","PAYMENT_RANK")</f>
        <v>Subordinated</v>
      </c>
      <c r="O120" s="100" t="str">
        <f>_xll.BDP($B120&amp; " Corp","MTY_TYP")</f>
        <v>AT MATURITY</v>
      </c>
      <c r="P120" s="100" t="str">
        <f>_xll.BDP($B120&amp; " Corp","RUSSIAN_CB_LOMBARD")</f>
        <v>N</v>
      </c>
      <c r="Q120" s="102" t="str">
        <f>_xll.BDP(B117&amp;" Corp", "INTERVAL_PERCENT_CHANGE", "END_DATE_OVERRIDE"," ", "START_DATE_OVERRIDe",R120)</f>
        <v>#N/A Invalid Security</v>
      </c>
      <c r="R120" s="101">
        <v>20140716</v>
      </c>
      <c r="S120" s="100" t="str">
        <f>_xll.BDP($B117&amp; " Corp","PX_GROSS_MID")</f>
        <v>#N/A Invalid Security</v>
      </c>
      <c r="T120" s="99" t="str">
        <f>_xll.BDP($B117&amp; " Corp","MIN_PIECE")</f>
        <v>#N/A Invalid Security</v>
      </c>
    </row>
    <row r="121" spans="1:20" ht="15.75" x14ac:dyDescent="0.25">
      <c r="A121" s="100" t="str">
        <f>_xll.BDP(B121&amp; " Corp","name")</f>
        <v>VTB BANK (VTB EURASIA)</v>
      </c>
      <c r="B121" s="100" t="s">
        <v>299</v>
      </c>
      <c r="C121" s="100" t="str">
        <f>_xll.BDP(B121 &amp; " Corp","MTY_YEARS_TDY")</f>
        <v>#N/A Field Not Applicable</v>
      </c>
      <c r="D121" s="100">
        <f>_xll.BDP(B121 &amp; " Corp","px_last")</f>
        <v>112.465</v>
      </c>
      <c r="E121" s="100">
        <f>_xll.BDP(B121 &amp; " Corp","px_ask")</f>
        <v>111.90900000000001</v>
      </c>
      <c r="F121" s="100">
        <f>_xll.BDP(B121 &amp; " Corp","YLD_YTM_BID")</f>
        <v>8.8876211647071326</v>
      </c>
      <c r="G121" s="100">
        <f>_xll.BDP(B121 &amp; " Corp","YLD_YTM_ask")</f>
        <v>8.8398173605758998</v>
      </c>
      <c r="H121" s="100">
        <f>_xll.BDP(B121 &amp; " Corp","CPN")</f>
        <v>9.5</v>
      </c>
      <c r="I121" s="100" t="str">
        <f>_xll.BDP(B121&amp; " Corp","MATURITY")</f>
        <v>#N/A Field Not Applicable</v>
      </c>
      <c r="J121" s="100" t="str">
        <f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//NR</v>
      </c>
      <c r="K121" s="100" t="str">
        <f>_xll.BDP($B121&amp; " Corp","INDUSTRY_SUBGROUP")</f>
        <v>Commer Banks Non-US</v>
      </c>
      <c r="L121" s="100" t="str">
        <f>_xll.BDP(B121 &amp; " Corp","CRNCY")</f>
        <v>USD</v>
      </c>
      <c r="M121" s="100" t="str">
        <f>_xll.BDP(B121 &amp; " Corp","CNTRY_OF_RISK")</f>
        <v>RU</v>
      </c>
      <c r="N121" s="100" t="str">
        <f>_xll.BDP($B121&amp; " Corp","PAYMENT_RANK")</f>
        <v>Subordinated</v>
      </c>
      <c r="O121" s="100" t="str">
        <f>_xll.BDP($B121&amp; " Corp","MTY_TYP")</f>
        <v>PERP/CALL</v>
      </c>
      <c r="P121" s="100" t="str">
        <f>_xll.BDP($B121&amp; " Corp","RUSSIAN_CB_LOMBARD")</f>
        <v>N</v>
      </c>
      <c r="Q121" s="102">
        <f>_xll.BDP(B119&amp;" Corp", "INTERVAL_PERCENT_CHANGE", "END_DATE_OVERRIDE"," ", "START_DATE_OVERRIDe",R121)</f>
        <v>2.9987806721579626</v>
      </c>
      <c r="R121" s="101">
        <v>20140716</v>
      </c>
      <c r="S121" s="100">
        <f>_xll.BDP($B119&amp; " Corp","PX_GROSS_MID")</f>
        <v>110.80333333333334</v>
      </c>
      <c r="T121" s="99">
        <f>_xll.BDP($B119&amp; " Corp","MIN_PIECE")</f>
        <v>200000</v>
      </c>
    </row>
    <row r="122" spans="1:20" ht="15.75" x14ac:dyDescent="0.25">
      <c r="A122" s="103" t="str">
        <f>_xll.BDP(B122&amp; " Corp","name")</f>
        <v>GAZPROMBK (GPB FINANCE)</v>
      </c>
      <c r="B122" s="100" t="s">
        <v>298</v>
      </c>
      <c r="C122" s="100" t="str">
        <f>_xll.BDP(B122 &amp; " Corp","MTY_YEARS_TDY")</f>
        <v>#N/A Field Not Applicable</v>
      </c>
      <c r="D122" s="100">
        <f>_xll.BDP(B122 &amp; " Corp","px_last")</f>
        <v>102.14400000000001</v>
      </c>
      <c r="E122" s="100">
        <f>_xll.BDP(B122 &amp; " Corp","px_ask")</f>
        <v>103.303</v>
      </c>
      <c r="F122" s="100">
        <f>_xll.BDP(B122 &amp; " Corp","YLD_YTM_BID")</f>
        <v>8.6944012875934877</v>
      </c>
      <c r="G122" s="100">
        <f>_xll.BDP(B122 &amp; " Corp","YLD_YTM_ask")</f>
        <v>8.6138628397283572</v>
      </c>
      <c r="H122" s="100">
        <f>_xll.BDP(B122 &amp; " Corp","CPN")</f>
        <v>7.875</v>
      </c>
      <c r="I122" s="100" t="str">
        <f>_xll.BDP(B122&amp; " Corp","MATURITY")</f>
        <v>#N/A Field Not Applicable</v>
      </c>
      <c r="J122" s="100" t="str">
        <f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//NR</v>
      </c>
      <c r="K122" s="100" t="str">
        <f>_xll.BDP($B122&amp; " Corp","INDUSTRY_SUBGROUP")</f>
        <v>Commer Banks Non-US</v>
      </c>
      <c r="L122" s="100" t="str">
        <f>_xll.BDP(B122 &amp; " Corp","CRNCY")</f>
        <v>USD</v>
      </c>
      <c r="M122" s="100" t="str">
        <f>_xll.BDP(B122 &amp; " Corp","CNTRY_OF_RISK")</f>
        <v>RU</v>
      </c>
      <c r="N122" s="100" t="str">
        <f>_xll.BDP($B122&amp; " Corp","PAYMENT_RANK")</f>
        <v>Subordinated</v>
      </c>
      <c r="O122" s="100" t="str">
        <f>_xll.BDP($B122&amp; " Corp","MTY_TYP")</f>
        <v>PERP/CALL</v>
      </c>
      <c r="P122" s="100" t="str">
        <f>_xll.BDP($B122&amp; " Corp","RUSSIAN_CB_LOMBARD")</f>
        <v>N</v>
      </c>
      <c r="Q122" s="102">
        <f>_xll.BDP(B120&amp;" Corp", "INTERVAL_PERCENT_CHANGE", "END_DATE_OVERRIDE"," ", "START_DATE_OVERRIDe",R122)</f>
        <v>4.9686831777829452</v>
      </c>
      <c r="R122" s="101">
        <v>20140716</v>
      </c>
      <c r="S122" s="100">
        <f>_xll.BDP($B120&amp; " Corp","PX_GROSS_MID")</f>
        <v>107.86883333333334</v>
      </c>
      <c r="T122" s="99">
        <f>_xll.BDP($B120&amp; " Corp","MIN_PIECE")</f>
        <v>200000</v>
      </c>
    </row>
    <row r="123" spans="1:20" ht="15.75" x14ac:dyDescent="0.25">
      <c r="A123" s="103" t="str">
        <f>_xll.BDP(B123&amp; " Corp","name")</f>
        <v>GAZPROMBK (GPB FINANCE)</v>
      </c>
      <c r="B123" s="100" t="s">
        <v>297</v>
      </c>
      <c r="C123" s="100">
        <f>_xll.BDP(B123 &amp; " Corp","MTY_YEARS_TDY")</f>
        <v>6.3107460643394937</v>
      </c>
      <c r="D123" s="100">
        <f>_xll.BDP(B123 &amp; " Corp","px_last")</f>
        <v>104.31399999999999</v>
      </c>
      <c r="E123" s="100">
        <f>_xll.BDP(B123 &amp; " Corp","px_ask")</f>
        <v>104.801</v>
      </c>
      <c r="F123" s="100">
        <f>_xll.BDP(B123 &amp; " Corp","YLD_YTM_BID")</f>
        <v>6.9295677373171412</v>
      </c>
      <c r="G123" s="100">
        <f>_xll.BDP(B123 &amp; " Corp","YLD_YTM_ask")</f>
        <v>6.8027904458500235</v>
      </c>
      <c r="H123" s="100">
        <f>_xll.BDP(B123 &amp; " Corp","CPN")</f>
        <v>7.4960000000000004</v>
      </c>
      <c r="I123" s="100" t="str">
        <f>_xll.BDP(B123&amp; " Corp","MATURITY")</f>
        <v>28/12/2023</v>
      </c>
      <c r="J123" s="100" t="str">
        <f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/B+/NR</v>
      </c>
      <c r="K123" s="100" t="str">
        <f>_xll.BDP($B123&amp; " Corp","INDUSTRY_SUBGROUP")</f>
        <v>Commer Banks Non-US</v>
      </c>
      <c r="L123" s="100" t="str">
        <f>_xll.BDP(B123 &amp; " Corp","CRNCY")</f>
        <v>USD</v>
      </c>
      <c r="M123" s="100" t="str">
        <f>_xll.BDP(B123 &amp; " Corp","CNTRY_OF_RISK")</f>
        <v>RU</v>
      </c>
      <c r="N123" s="100" t="str">
        <f>_xll.BDP($B123&amp; " Corp","PAYMENT_RANK")</f>
        <v>Subordinated</v>
      </c>
      <c r="O123" s="100" t="str">
        <f>_xll.BDP($B123&amp; " Corp","MTY_TYP")</f>
        <v>CALLABLE</v>
      </c>
      <c r="P123" s="100" t="str">
        <f>_xll.BDP($B123&amp; " Corp","RUSSIAN_CB_LOMBARD")</f>
        <v>N</v>
      </c>
      <c r="Q123" s="102">
        <f>_xll.BDP(B121&amp;" Corp", "INTERVAL_PERCENT_CHANGE", "END_DATE_OVERRIDE"," ", "START_DATE_OVERRIDe",R123)</f>
        <v>3.781242303536092</v>
      </c>
      <c r="R123" s="101">
        <v>20140716</v>
      </c>
      <c r="S123" s="100">
        <f>_xll.BDP($B121&amp; " Corp","PX_GROSS_MID")</f>
        <v>115.37755555555556</v>
      </c>
      <c r="T123" s="99">
        <f>_xll.BDP($B121&amp; " Corp","MIN_PIECE")</f>
        <v>200000</v>
      </c>
    </row>
    <row r="124" spans="1:20" ht="15.75" x14ac:dyDescent="0.25">
      <c r="A124" s="103" t="str">
        <f>_xll.BDP(B124&amp; " Corp","name")</f>
        <v>OJSC RUSS AGRIC BK(RSHB)</v>
      </c>
      <c r="B124" s="100" t="s">
        <v>296</v>
      </c>
      <c r="C124" s="100">
        <f>_xll.BDP(B124 &amp; " Corp","MTY_YEARS_TDY")</f>
        <v>6.1108829568788501</v>
      </c>
      <c r="D124" s="100">
        <f>_xll.BDP(B124 &amp; " Corp","px_last")</f>
        <v>113.70699999999999</v>
      </c>
      <c r="E124" s="100">
        <f>_xll.BDP(B124 &amp; " Corp","px_ask")</f>
        <v>114.44</v>
      </c>
      <c r="F124" s="100">
        <f>_xll.BDP(B124 &amp; " Corp","YLD_YTM_BID")</f>
        <v>5.8519731999999998</v>
      </c>
      <c r="G124" s="100">
        <f>_xll.BDP(B124 &amp; " Corp","YLD_YTM_ask")</f>
        <v>5.7152726000000005</v>
      </c>
      <c r="H124" s="100">
        <f>_xll.BDP(B124 &amp; " Corp","CPN")</f>
        <v>8.5</v>
      </c>
      <c r="I124" s="100" t="str">
        <f>_xll.BDP(B124&amp; " Corp","MATURITY")</f>
        <v>16/10/2023</v>
      </c>
      <c r="J124" s="100" t="str">
        <f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//NR</v>
      </c>
      <c r="K124" s="100" t="str">
        <f>_xll.BDP($B124&amp; " Corp","INDUSTRY_SUBGROUP")</f>
        <v>Commer Banks Non-US</v>
      </c>
      <c r="L124" s="100" t="str">
        <f>_xll.BDP(B124 &amp; " Corp","CRNCY")</f>
        <v>USD</v>
      </c>
      <c r="M124" s="100" t="str">
        <f>_xll.BDP(B124 &amp; " Corp","CNTRY_OF_RISK")</f>
        <v>RU</v>
      </c>
      <c r="N124" s="100" t="str">
        <f>_xll.BDP($B124&amp; " Corp","PAYMENT_RANK")</f>
        <v>Subordinated</v>
      </c>
      <c r="O124" s="100" t="str">
        <f>_xll.BDP($B124&amp; " Corp","MTY_TYP")</f>
        <v>AT MATURITY</v>
      </c>
      <c r="P124" s="100" t="str">
        <f>_xll.BDP($B124&amp; " Corp","RUSSIAN_CB_LOMBARD")</f>
        <v>N</v>
      </c>
      <c r="Q124" s="102">
        <f>_xll.BDP(B122&amp;" Corp", "INTERVAL_PERCENT_CHANGE", "END_DATE_OVERRIDE"," ", "START_DATE_OVERRIDe",R124)</f>
        <v>-2.2813589670742056</v>
      </c>
      <c r="R124" s="101">
        <v>20140716</v>
      </c>
      <c r="S124" s="103">
        <f>_xll.BDP($B122&amp; " Corp","PX_GROSS_MID")</f>
        <v>105.29400000000001</v>
      </c>
      <c r="T124" s="99">
        <f>_xll.BDP($B122&amp; " Corp","MIN_PIECE")</f>
        <v>200000</v>
      </c>
    </row>
    <row r="125" spans="1:20" ht="15.75" x14ac:dyDescent="0.25">
      <c r="A125" s="103" t="str">
        <f>_xll.BDP(B125&amp; " Corp","name")</f>
        <v>OJSC RUSS AGRIC BK(RSHB)</v>
      </c>
      <c r="B125" s="103" t="s">
        <v>295</v>
      </c>
      <c r="C125" s="100">
        <f>_xll.BDP(B125 &amp; " Corp","MTY_YEARS_TDY")</f>
        <v>3.7152635181382614</v>
      </c>
      <c r="D125" s="100" t="str">
        <f>_xll.BDP(B125 &amp; " Corp","px_last")</f>
        <v>#N/A N/A</v>
      </c>
      <c r="E125" s="100" t="str">
        <f>_xll.BDP(B125 &amp; " Corp","px_ask")</f>
        <v>#N/A N/A</v>
      </c>
      <c r="F125" s="100" t="str">
        <f>_xll.BDP(B125 &amp; " Corp","YLD_YTM_BID")</f>
        <v>#N/A N/A</v>
      </c>
      <c r="G125" s="100" t="str">
        <f>_xll.BDP(B125 &amp; " Corp","YLD_YTM_ask")</f>
        <v>#N/A N/A</v>
      </c>
      <c r="H125" s="100">
        <f>_xll.BDP(B125 &amp; " Corp","CPN")</f>
        <v>6</v>
      </c>
      <c r="I125" s="100" t="str">
        <f>_xll.BDP(B125&amp; " Corp","MATURITY")</f>
        <v>03/06/2021</v>
      </c>
      <c r="J125" s="100" t="str">
        <f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/WD/WR</v>
      </c>
      <c r="K125" s="100" t="str">
        <f>_xll.BDP($B125&amp; " Corp","INDUSTRY_SUBGROUP")</f>
        <v>Commer Banks Non-US</v>
      </c>
      <c r="L125" s="100" t="str">
        <f>_xll.BDP(B125 &amp; " Corp","CRNCY")</f>
        <v>USD</v>
      </c>
      <c r="M125" s="100" t="str">
        <f>_xll.BDP(B125 &amp; " Corp","CNTRY_OF_RISK")</f>
        <v>RU</v>
      </c>
      <c r="N125" s="100" t="str">
        <f>_xll.BDP($B125&amp; " Corp","PAYMENT_RANK")</f>
        <v>Subordinated</v>
      </c>
      <c r="O125" s="100" t="str">
        <f>_xll.BDP($B125&amp; " Corp","MTY_TYP")</f>
        <v>CALLABLE</v>
      </c>
      <c r="P125" s="100" t="str">
        <f>_xll.BDP($B125&amp; " Corp","RUSSIAN_CB_LOMBARD")</f>
        <v>N</v>
      </c>
      <c r="Q125" s="102">
        <f>_xll.BDP(B123&amp;" Corp", "INTERVAL_PERCENT_CHANGE", "END_DATE_OVERRIDE"," ", "START_DATE_OVERRIDe",R125)</f>
        <v>-7.1093957622830245E-2</v>
      </c>
      <c r="R125" s="101">
        <v>20140716</v>
      </c>
      <c r="S125" s="100">
        <f>_xll.BDP($B123&amp; " Corp","PX_GROSS_MID")</f>
        <v>106.0566</v>
      </c>
      <c r="T125" s="99">
        <f>_xll.BDP($B123&amp; " Corp","MIN_PIECE")</f>
        <v>200000</v>
      </c>
    </row>
    <row r="126" spans="1:20" ht="15.75" x14ac:dyDescent="0.25">
      <c r="A126" s="103" t="str">
        <f>_xll.BDP(B126&amp; " Corp","name")</f>
        <v>AK BARS BK(AK BARS LUX)</v>
      </c>
      <c r="B126" s="100" t="s">
        <v>294</v>
      </c>
      <c r="C126" s="100">
        <f>_xll.BDP(B126 &amp; " Corp","MTY_YEARS_TDY")</f>
        <v>4.8240930869267622</v>
      </c>
      <c r="D126" s="100">
        <f>_xll.BDP(B126 &amp; " Corp","px_last")</f>
        <v>100.8724</v>
      </c>
      <c r="E126" s="100">
        <f>_xll.BDP(B126 &amp; " Corp","px_ask")</f>
        <v>101.745</v>
      </c>
      <c r="F126" s="100">
        <f>_xll.BDP(B126 &amp; " Corp","YLD_YTM_BID")</f>
        <v>7.9953799999999999</v>
      </c>
      <c r="G126" s="100">
        <f>_xll.BDP(B126 &amp; " Corp","YLD_YTM_ask")</f>
        <v>7.5567386000000001</v>
      </c>
      <c r="H126" s="100">
        <f>_xll.BDP(B126 &amp; " Corp","CPN")</f>
        <v>8</v>
      </c>
      <c r="I126" s="100" t="str">
        <f>_xll.BDP(B126&amp; " Corp","MATURITY")</f>
        <v>13/07/2022</v>
      </c>
      <c r="J126" s="100" t="str">
        <f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/WD/</v>
      </c>
      <c r="K126" s="100" t="str">
        <f>_xll.BDP($B126&amp; " Corp","INDUSTRY_SUBGROUP")</f>
        <v>Commer Banks Non-US</v>
      </c>
      <c r="L126" s="100" t="str">
        <f>_xll.BDP(B126 &amp; " Corp","CRNCY")</f>
        <v>USD</v>
      </c>
      <c r="M126" s="100" t="str">
        <f>_xll.BDP(B126 &amp; " Corp","CNTRY_OF_RISK")</f>
        <v>RU</v>
      </c>
      <c r="N126" s="100" t="str">
        <f>_xll.BDP($B126&amp; " Corp","PAYMENT_RANK")</f>
        <v>Subordinated</v>
      </c>
      <c r="O126" s="100" t="str">
        <f>_xll.BDP($B126&amp; " Corp","MTY_TYP")</f>
        <v>AT MATURITY</v>
      </c>
      <c r="P126" s="100" t="str">
        <f>_xll.BDP($B126&amp; " Corp","RUSSIAN_CB_LOMBARD")</f>
        <v>N</v>
      </c>
      <c r="Q126" s="102">
        <f>_xll.BDP(B124&amp;" Corp", "INTERVAL_PERCENT_CHANGE", "END_DATE_OVERRIDE"," ", "START_DATE_OVERRIDe",R126)</f>
        <v>0.67789964211652465</v>
      </c>
      <c r="R126" s="101">
        <v>20140716</v>
      </c>
      <c r="S126" s="100">
        <f>_xll.BDP($B124&amp; " Corp","PX_GROSS_MID")</f>
        <v>117.355</v>
      </c>
      <c r="T126" s="99">
        <f>_xll.BDP($B124&amp; " Corp","MIN_PIECE")</f>
        <v>200000</v>
      </c>
    </row>
    <row r="127" spans="1:20" ht="15.75" x14ac:dyDescent="0.25">
      <c r="A127" s="103" t="str">
        <f>_xll.BDP(B127&amp; " Corp","name")</f>
        <v>VTB BANK (VTB CAPITAL SA</v>
      </c>
      <c r="B127" s="100" t="s">
        <v>293</v>
      </c>
      <c r="C127" s="100">
        <f>_xll.BDP(B127 &amp; " Corp","MTY_YEARS_TDY")</f>
        <v>5.1143052703627649</v>
      </c>
      <c r="D127" s="100">
        <f>_xll.BDP(B127 &amp; " Corp","px_last")</f>
        <v>108.935</v>
      </c>
      <c r="E127" s="100">
        <f>_xll.BDP(B127 &amp; " Corp","px_ask")</f>
        <v>109.148</v>
      </c>
      <c r="F127" s="100">
        <f>_xll.BDP(B127 &amp; " Corp","YLD_YTM_BID")</f>
        <v>4.9919415000000003</v>
      </c>
      <c r="G127" s="100">
        <f>_xll.BDP(B127 &amp; " Corp","YLD_YTM_ask")</f>
        <v>4.8624859999999996</v>
      </c>
      <c r="H127" s="100">
        <f>_xll.BDP(B127 &amp; " Corp","CPN")</f>
        <v>6.95</v>
      </c>
      <c r="I127" s="100" t="str">
        <f>_xll.BDP(B127&amp; " Corp","MATURITY")</f>
        <v>17/10/2022</v>
      </c>
      <c r="J127" s="100" t="str">
        <f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B-/WD/Ba3</v>
      </c>
      <c r="K127" s="100" t="str">
        <f>_xll.BDP($B127&amp; " Corp","INDUSTRY_SUBGROUP")</f>
        <v>Commer Banks Non-US</v>
      </c>
      <c r="L127" s="100" t="str">
        <f>_xll.BDP(B127 &amp; " Corp","CRNCY")</f>
        <v>USD</v>
      </c>
      <c r="M127" s="100" t="str">
        <f>_xll.BDP(B127 &amp; " Corp","CNTRY_OF_RISK")</f>
        <v>RU</v>
      </c>
      <c r="N127" s="100" t="str">
        <f>_xll.BDP($B127&amp; " Corp","PAYMENT_RANK")</f>
        <v>Subordinated</v>
      </c>
      <c r="O127" s="100" t="str">
        <f>_xll.BDP($B127&amp; " Corp","MTY_TYP")</f>
        <v>AT MATURITY</v>
      </c>
      <c r="P127" s="100" t="str">
        <f>_xll.BDP($B127&amp; " Corp","RUSSIAN_CB_LOMBARD")</f>
        <v>N</v>
      </c>
      <c r="Q127" s="102">
        <f>_xll.BDP(B125&amp;" Corp", "INTERVAL_PERCENT_CHANGE", "END_DATE_OVERRIDE"," ", "START_DATE_OVERRIDe",R127)</f>
        <v>-1.3147646605094927</v>
      </c>
      <c r="R127" s="101">
        <v>20140716</v>
      </c>
      <c r="S127" s="100" t="str">
        <f>_xll.BDP($B125&amp; " Corp","PX_GROSS_MID")</f>
        <v>#N/A N/A</v>
      </c>
      <c r="T127" s="99">
        <f>_xll.BDP($B125&amp; " Corp","MIN_PIECE")</f>
        <v>200000</v>
      </c>
    </row>
    <row r="128" spans="1:20" ht="15.75" x14ac:dyDescent="0.25">
      <c r="A128" s="103" t="str">
        <f>_xll.BDP(B128&amp; " Corp","name")</f>
        <v>GAZPROM (GAZ CAPITAL SA)</v>
      </c>
      <c r="B128" s="100" t="s">
        <v>291</v>
      </c>
      <c r="C128" s="100">
        <f>_xll.BDP(B128 &amp; " Corp","MTY_YEARS_TDY")</f>
        <v>16.643394934976044</v>
      </c>
      <c r="D128" s="100">
        <f>_xll.BDP(B128 &amp; " Corp","px_last")</f>
        <v>137.441</v>
      </c>
      <c r="E128" s="100">
        <f>_xll.BDP(B128 &amp; " Corp","px_ask")</f>
        <v>137.15899999999999</v>
      </c>
      <c r="F128" s="100">
        <f>_xll.BDP(B128 &amp; " Corp","YLD_YTM_BID")</f>
        <v>5.2553955721636951</v>
      </c>
      <c r="G128" s="100">
        <f>_xll.BDP(B128 &amp; " Corp","YLD_YTM_ask")</f>
        <v>5.1936878959887878</v>
      </c>
      <c r="H128" s="100">
        <f>_xll.BDP(B128 &amp; " Corp","CPN")</f>
        <v>8.625</v>
      </c>
      <c r="I128" s="100" t="str">
        <f>_xll.BDP(B128&amp; " Corp","MATURITY")</f>
        <v>28/04/2034</v>
      </c>
      <c r="J128" s="100" t="str">
        <f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BB+/BBB-/Ba1</v>
      </c>
      <c r="K128" s="100" t="str">
        <f>_xll.BDP($B128&amp; " Corp","INDUSTRY_SUBGROUP")</f>
        <v>Oil Comp-Integrated</v>
      </c>
      <c r="L128" s="100" t="str">
        <f>_xll.BDP(B128 &amp; " Corp","CRNCY")</f>
        <v>USD</v>
      </c>
      <c r="M128" s="100" t="str">
        <f>_xll.BDP(B128 &amp; " Corp","CNTRY_OF_RISK")</f>
        <v>RU</v>
      </c>
      <c r="N128" s="100" t="str">
        <f>_xll.BDP($B128&amp; " Corp","PAYMENT_RANK")</f>
        <v>Sr Unsecured</v>
      </c>
      <c r="O128" s="100" t="str">
        <f>_xll.BDP($B128&amp; " Corp","MTY_TYP")</f>
        <v>PUTABLE</v>
      </c>
      <c r="P128" s="100" t="str">
        <f>_xll.BDP($B128&amp; " Corp","RUSSIAN_CB_LOMBARD")</f>
        <v>Y</v>
      </c>
      <c r="Q128" s="102">
        <f>_xll.BDP(B126&amp;" Corp", "INTERVAL_PERCENT_CHANGE", "END_DATE_OVERRIDE"," ", "START_DATE_OVERRIDe",R128)</f>
        <v>3.6890645586297759</v>
      </c>
      <c r="R128" s="101">
        <v>20140716</v>
      </c>
      <c r="S128" s="100">
        <f>_xll.BDP($B126&amp; " Corp","PX_GROSS_MID")</f>
        <v>102.33916666666667</v>
      </c>
      <c r="T128" s="99">
        <f>_xll.BDP($B126&amp; " Corp","MIN_PIECE")</f>
        <v>200000</v>
      </c>
    </row>
    <row r="129" spans="1:20" ht="15.75" x14ac:dyDescent="0.25">
      <c r="A129" s="103" t="str">
        <f>_xll.BDP(B129&amp; " Corp","name")</f>
        <v>GAZPROM (GAZ CAPITAL SA)</v>
      </c>
      <c r="B129" s="100" t="s">
        <v>289</v>
      </c>
      <c r="C129" s="100">
        <f>_xll.BDP(B129 &amp; " Corp","MTY_YEARS_TDY")</f>
        <v>19.945242984257359</v>
      </c>
      <c r="D129" s="100">
        <f>_xll.BDP(B129 &amp; " Corp","px_last")</f>
        <v>122.57599999999999</v>
      </c>
      <c r="E129" s="100">
        <f>_xll.BDP(B129 &amp; " Corp","px_ask")</f>
        <v>121.864</v>
      </c>
      <c r="F129" s="100">
        <f>_xll.BDP(B129 &amp; " Corp","YLD_YTM_BID")</f>
        <v>5.4479242376239796</v>
      </c>
      <c r="G129" s="100">
        <f>_xll.BDP(B129 &amp; " Corp","YLD_YTM_ask")</f>
        <v>5.391731299591962</v>
      </c>
      <c r="H129" s="100">
        <f>_xll.BDP(B129 &amp; " Corp","CPN")</f>
        <v>7.2880000000000003</v>
      </c>
      <c r="I129" s="100" t="str">
        <f>_xll.BDP(B129&amp; " Corp","MATURITY")</f>
        <v>16/08/2037</v>
      </c>
      <c r="J129" s="100" t="str">
        <f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BB+/BBB-/Ba1</v>
      </c>
      <c r="K129" s="100" t="str">
        <f>_xll.BDP($B129&amp; " Corp","INDUSTRY_SUBGROUP")</f>
        <v>Oil Comp-Integrated</v>
      </c>
      <c r="L129" s="100" t="str">
        <f>_xll.BDP(B129 &amp; " Corp","CRNCY")</f>
        <v>USD</v>
      </c>
      <c r="M129" s="100" t="str">
        <f>_xll.BDP(B129 &amp; " Corp","CNTRY_OF_RISK")</f>
        <v>RU</v>
      </c>
      <c r="N129" s="100" t="str">
        <f>_xll.BDP($B129&amp; " Corp","PAYMENT_RANK")</f>
        <v>Sr Unsecured</v>
      </c>
      <c r="O129" s="100" t="str">
        <f>_xll.BDP($B129&amp; " Corp","MTY_TYP")</f>
        <v>AT MATURITY</v>
      </c>
      <c r="P129" s="100" t="str">
        <f>_xll.BDP($B129&amp; " Corp","RUSSIAN_CB_LOMBARD")</f>
        <v>Y</v>
      </c>
      <c r="Q129" s="102">
        <f>_xll.BDP(B127&amp;" Corp", "INTERVAL_PERCENT_CHANGE", "END_DATE_OVERRIDE"," ", "START_DATE_OVERRIDe",R129)</f>
        <v>1.5426575257400237</v>
      </c>
      <c r="R129" s="101">
        <v>20140716</v>
      </c>
      <c r="S129" s="100">
        <f>_xll.BDP($B127&amp; " Corp","PX_GROSS_MID")</f>
        <v>111.91944444444444</v>
      </c>
      <c r="T129" s="99">
        <f>_xll.BDP($B127&amp; " Corp","MIN_PIECE")</f>
        <v>200000</v>
      </c>
    </row>
    <row r="130" spans="1:20" ht="15.75" x14ac:dyDescent="0.25">
      <c r="A130" s="100" t="str">
        <f>_xll.BDP(B130&amp; " Corp","name")</f>
        <v>VIMPELCOM HOLDINGS BV</v>
      </c>
      <c r="B130" s="100" t="s">
        <v>288</v>
      </c>
      <c r="C130" s="100">
        <f>_xll.BDP(B130 &amp; " Corp","MTY_YEARS_TDY")</f>
        <v>5.4401095140314855</v>
      </c>
      <c r="D130" s="100">
        <f>_xll.BDP(B130 &amp; " Corp","px_last")</f>
        <v>109</v>
      </c>
      <c r="E130" s="100">
        <f>_xll.BDP(B130 &amp; " Corp","px_ask")</f>
        <v>108.45</v>
      </c>
      <c r="F130" s="100">
        <f>_xll.BDP(B130 &amp; " Corp","YLD_YTM_BID")</f>
        <v>4.0753671000000002</v>
      </c>
      <c r="G130" s="100">
        <f>_xll.BDP(B130 &amp; " Corp","YLD_YTM_ask")</f>
        <v>3.996432</v>
      </c>
      <c r="H130" s="100">
        <f>_xll.BDP(B130 &amp; " Corp","CPN")</f>
        <v>5.95</v>
      </c>
      <c r="I130" s="100" t="str">
        <f>_xll.BDP(B130&amp; " Corp","MATURITY")</f>
        <v>13/02/2023</v>
      </c>
      <c r="J130" s="100" t="str">
        <f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BB/BB+/Ba2</v>
      </c>
      <c r="K130" s="100" t="str">
        <f>_xll.BDP($B130&amp; " Corp","INDUSTRY_SUBGROUP")</f>
        <v>Cellular Telecom</v>
      </c>
      <c r="L130" s="100" t="str">
        <f>_xll.BDP(B130 &amp; " Corp","CRNCY")</f>
        <v>USD</v>
      </c>
      <c r="M130" s="100" t="str">
        <f>_xll.BDP(B130 &amp; " Corp","CNTRY_OF_RISK")</f>
        <v>NL</v>
      </c>
      <c r="N130" s="100" t="str">
        <f>_xll.BDP($B130&amp; " Corp","PAYMENT_RANK")</f>
        <v>Sr Unsecured</v>
      </c>
      <c r="O130" s="100" t="str">
        <f>_xll.BDP($B130&amp; " Corp","MTY_TYP")</f>
        <v>AT MATURITY</v>
      </c>
      <c r="P130" s="100" t="str">
        <f>_xll.BDP($B130&amp; " Corp","RUSSIAN_CB_LOMBARD")</f>
        <v>Y</v>
      </c>
      <c r="Q130" s="102">
        <f>_xll.BDP(B128&amp;" Corp", "INTERVAL_PERCENT_CHANGE", "END_DATE_OVERRIDE"," ", "START_DATE_OVERRIDe",R130)</f>
        <v>5.0567281595503077</v>
      </c>
      <c r="R130" s="101">
        <v>20140716</v>
      </c>
      <c r="S130" s="100">
        <f>_xll.BDP($B128&amp; " Corp","PX_GROSS_MID")</f>
        <v>140.81912500000001</v>
      </c>
      <c r="T130" s="99">
        <f>_xll.BDP($B128&amp; " Corp","MIN_PIECE")</f>
        <v>10000</v>
      </c>
    </row>
    <row r="131" spans="1:20" ht="15.75" x14ac:dyDescent="0.25">
      <c r="A131" s="103" t="str">
        <f>_xll.BDP(B131&amp; " Corp","name")</f>
        <v>SBERBANK (SB CAP SA)</v>
      </c>
      <c r="B131" s="100" t="s">
        <v>290</v>
      </c>
      <c r="C131" s="100">
        <f>_xll.BDP(B131 &amp; " Corp","MTY_YEARS_TDY")</f>
        <v>5.7111567419575637</v>
      </c>
      <c r="D131" s="100">
        <f>_xll.BDP(B131 &amp; " Corp","px_last")</f>
        <v>103.858</v>
      </c>
      <c r="E131" s="100">
        <f>_xll.BDP(B131 &amp; " Corp","px_ask")</f>
        <v>104.252</v>
      </c>
      <c r="F131" s="100">
        <f>_xll.BDP(B131 &amp; " Corp","YLD_YTM_BID")</f>
        <v>4.5093769000000004</v>
      </c>
      <c r="G131" s="100">
        <f>_xll.BDP(B131 &amp; " Corp","YLD_YTM_ask")</f>
        <v>4.3772979999999997</v>
      </c>
      <c r="H131" s="100">
        <f>_xll.BDP(B131 &amp; " Corp","CPN")</f>
        <v>5.25</v>
      </c>
      <c r="I131" s="100" t="str">
        <f>_xll.BDP(B131&amp; " Corp","MATURITY")</f>
        <v>23/05/2023</v>
      </c>
      <c r="J131" s="100" t="str">
        <f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/BB+/</v>
      </c>
      <c r="K131" s="100" t="str">
        <f>_xll.BDP($B131&amp; " Corp","INDUSTRY_SUBGROUP")</f>
        <v>Commer Banks Non-US</v>
      </c>
      <c r="L131" s="100" t="str">
        <f>_xll.BDP(B131 &amp; " Corp","CRNCY")</f>
        <v>USD</v>
      </c>
      <c r="M131" s="100" t="str">
        <f>_xll.BDP(B131 &amp; " Corp","CNTRY_OF_RISK")</f>
        <v>RU</v>
      </c>
      <c r="N131" s="100" t="str">
        <f>_xll.BDP($B131&amp; " Corp","PAYMENT_RANK")</f>
        <v>Subordinated</v>
      </c>
      <c r="O131" s="100" t="str">
        <f>_xll.BDP($B131&amp; " Corp","MTY_TYP")</f>
        <v>AT MATURITY</v>
      </c>
      <c r="P131" s="100" t="str">
        <f>_xll.BDP($B131&amp; " Corp","RUSSIAN_CB_LOMBARD")</f>
        <v>N</v>
      </c>
      <c r="Q131" s="102">
        <f>_xll.BDP(B129&amp;" Corp", "INTERVAL_PERCENT_CHANGE", "END_DATE_OVERRIDE"," ", "START_DATE_OVERRIDe",R131)</f>
        <v>5.9426903850168102</v>
      </c>
      <c r="R131" s="101">
        <v>20140716</v>
      </c>
      <c r="S131" s="100">
        <f>_xll.BDP($B129&amp; " Corp","PX_GROSS_MID")</f>
        <v>123.24406666666665</v>
      </c>
      <c r="T131" s="99">
        <f>_xll.BDP($B129&amp; " Corp","MIN_PIECE")</f>
        <v>100000</v>
      </c>
    </row>
    <row r="132" spans="1:20" ht="15.75" x14ac:dyDescent="0.25">
      <c r="A132" s="103" t="str">
        <f>_xll.BDP(B132&amp; " Corp","name")</f>
        <v>SBERBANK (SB CAP SA)</v>
      </c>
      <c r="B132" s="103" t="s">
        <v>292</v>
      </c>
      <c r="C132" s="100">
        <f>_xll.BDP(B132 &amp; " Corp","MTY_YEARS_TDY")</f>
        <v>6.4750171115674195</v>
      </c>
      <c r="D132" s="103">
        <f>_xll.BDP(B132 &amp; " Corp","px_last")</f>
        <v>102.803</v>
      </c>
      <c r="E132" s="100">
        <f>_xll.BDP(B132 &amp; " Corp","px_ask")</f>
        <v>103.09</v>
      </c>
      <c r="F132" s="100">
        <f>_xll.BDP(B132 &amp; " Corp","YLD_YTM_BID")</f>
        <v>5.1404425120066195</v>
      </c>
      <c r="G132" s="100">
        <f>_xll.BDP(B132 &amp; " Corp","YLD_YTM_ask")</f>
        <v>5.0802453929681111</v>
      </c>
      <c r="H132" s="103">
        <f>_xll.BDP(B132 &amp; " Corp","CPN")</f>
        <v>5.5</v>
      </c>
      <c r="I132" s="103" t="str">
        <f>_xll.BDP(B132&amp; " Corp","MATURITY")</f>
        <v>26/02/2024</v>
      </c>
      <c r="J132" s="103" t="str">
        <f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/BB+/</v>
      </c>
      <c r="K132" s="103" t="str">
        <f>_xll.BDP($B132&amp; " Corp","INDUSTRY_SUBGROUP")</f>
        <v>Commer Banks Non-US</v>
      </c>
      <c r="L132" s="103" t="str">
        <f>_xll.BDP(B132 &amp; " Corp","CRNCY")</f>
        <v>USD</v>
      </c>
      <c r="M132" s="103" t="str">
        <f>_xll.BDP(B132 &amp; " Corp","CNTRY_OF_RISK")</f>
        <v>RU</v>
      </c>
      <c r="N132" s="103" t="str">
        <f>_xll.BDP($B132&amp; " Corp","PAYMENT_RANK")</f>
        <v>Subordinated</v>
      </c>
      <c r="O132" s="103" t="str">
        <f>_xll.BDP($B132&amp; " Corp","MTY_TYP")</f>
        <v>CALLABLE</v>
      </c>
      <c r="P132" s="100" t="str">
        <f>_xll.BDP($B132&amp; " Corp","RUSSIAN_CB_LOMBARD")</f>
        <v>N</v>
      </c>
      <c r="Q132" s="102">
        <f>_xll.BDP(B130&amp;" Corp", "INTERVAL_PERCENT_CHANGE", "END_DATE_OVERRIDE"," ", "START_DATE_OVERRIDe",R132)</f>
        <v>4.2885973763874876</v>
      </c>
      <c r="R132" s="101">
        <v>20140716</v>
      </c>
      <c r="S132" s="100">
        <f>_xll.BDP($B130&amp; " Corp","PX_GROSS_MID")</f>
        <v>109.795</v>
      </c>
      <c r="T132" s="99">
        <f>_xll.BDP($B130&amp; " Corp","MIN_PIECE")</f>
        <v>200000</v>
      </c>
    </row>
    <row r="133" spans="1:20" ht="15.75" x14ac:dyDescent="0.25">
      <c r="A133" s="100" t="str">
        <f>_xll.BDP(B133&amp; " Corp","name")</f>
        <v>VIMPELCOM HOLDINGS BV</v>
      </c>
      <c r="B133" s="100" t="s">
        <v>287</v>
      </c>
      <c r="C133" s="100">
        <f>_xll.BDP(B133 &amp; " Corp","MTY_YEARS_TDY")</f>
        <v>4.4845995893223822</v>
      </c>
      <c r="D133" s="100">
        <f>_xll.BDP(B133 &amp; " Corp","px_last")</f>
        <v>115</v>
      </c>
      <c r="E133" s="100">
        <f>_xll.BDP(B133 &amp; " Corp","px_ask")</f>
        <v>115.25</v>
      </c>
      <c r="F133" s="100">
        <f>_xll.BDP(B133 &amp; " Corp","YLD_YTM_BID")</f>
        <v>3.6942513999999997</v>
      </c>
      <c r="G133" s="100">
        <f>_xll.BDP(B133 &amp; " Corp","YLD_YTM_ask")</f>
        <v>3.6379868000000002</v>
      </c>
      <c r="H133" s="100">
        <f>_xll.BDP(B133 &amp; " Corp","CPN")</f>
        <v>7.5042999999999997</v>
      </c>
      <c r="I133" s="100" t="str">
        <f>_xll.BDP(B133&amp; " Corp","MATURITY")</f>
        <v>01/03/2022</v>
      </c>
      <c r="J133" s="100" t="str">
        <f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BB/BB+/Ba2</v>
      </c>
      <c r="K133" s="100" t="str">
        <f>_xll.BDP($B133&amp; " Corp","INDUSTRY_SUBGROUP")</f>
        <v>Cellular Telecom</v>
      </c>
      <c r="L133" s="100" t="str">
        <f>_xll.BDP(B133 &amp; " Corp","CRNCY")</f>
        <v>USD</v>
      </c>
      <c r="M133" s="100" t="str">
        <f>_xll.BDP(B133 &amp; " Corp","CNTRY_OF_RISK")</f>
        <v>NL</v>
      </c>
      <c r="N133" s="100" t="str">
        <f>_xll.BDP($B133&amp; " Corp","PAYMENT_RANK")</f>
        <v>Sr Unsecured</v>
      </c>
      <c r="O133" s="100" t="str">
        <f>_xll.BDP($B133&amp; " Corp","MTY_TYP")</f>
        <v>AT MATURITY</v>
      </c>
      <c r="P133" s="100" t="str">
        <f>_xll.BDP($B133&amp; " Corp","RUSSIAN_CB_LOMBARD")</f>
        <v>Y</v>
      </c>
      <c r="Q133" s="102">
        <f>_xll.BDP(B131&amp;" Corp", "INTERVAL_PERCENT_CHANGE", "END_DATE_OVERRIDE"," ", "START_DATE_OVERRIDe",R133)</f>
        <v>5.1230397683408935</v>
      </c>
      <c r="R133" s="101">
        <v>20140716</v>
      </c>
      <c r="S133" s="100">
        <f>_xll.BDP($B131&amp; " Corp","PX_GROSS_MID")</f>
        <v>105.69466666666666</v>
      </c>
      <c r="T133" s="99">
        <f>_xll.BDP($B131&amp; " Corp","MIN_PIECE")</f>
        <v>200000</v>
      </c>
    </row>
    <row r="134" spans="1:20" ht="15.75" x14ac:dyDescent="0.25">
      <c r="A134" s="100" t="str">
        <f>_xll.BDP(B134&amp; " Corp","name")</f>
        <v>VIMPELCOM (VIP FIN)</v>
      </c>
      <c r="B134" s="100" t="s">
        <v>286</v>
      </c>
      <c r="C134" s="100">
        <f>_xll.BDP(B134 &amp; " Corp","MTY_YEARS_TDY")</f>
        <v>3.4113620807665983</v>
      </c>
      <c r="D134" s="100">
        <f>_xll.BDP(B134 &amp; " Corp","px_last")</f>
        <v>114.05800000000001</v>
      </c>
      <c r="E134" s="100">
        <f>_xll.BDP(B134 &amp; " Corp","px_ask")</f>
        <v>114.078</v>
      </c>
      <c r="F134" s="100">
        <f>_xll.BDP(B134 &amp; " Corp","YLD_YTM_BID")</f>
        <v>3.4056084000000002</v>
      </c>
      <c r="G134" s="100">
        <f>_xll.BDP(B134 &amp; " Corp","YLD_YTM_ask")</f>
        <v>3.2011973999999999</v>
      </c>
      <c r="H134" s="100">
        <f>_xll.BDP(B134 &amp; " Corp","CPN")</f>
        <v>7.7480000000000002</v>
      </c>
      <c r="I134" s="100" t="str">
        <f>_xll.BDP(B134&amp; " Corp","MATURITY")</f>
        <v>02/02/2021</v>
      </c>
      <c r="J134" s="100" t="str">
        <f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BB/BB+/Ba2</v>
      </c>
      <c r="K134" s="100" t="str">
        <f>_xll.BDP($B134&amp; " Corp","INDUSTRY_SUBGROUP")</f>
        <v>Cellular Telecom</v>
      </c>
      <c r="L134" s="100" t="str">
        <f>_xll.BDP(B134 &amp; " Corp","CRNCY")</f>
        <v>USD</v>
      </c>
      <c r="M134" s="100" t="str">
        <f>_xll.BDP(B134 &amp; " Corp","CNTRY_OF_RISK")</f>
        <v>RU</v>
      </c>
      <c r="N134" s="100" t="str">
        <f>_xll.BDP($B134&amp; " Corp","PAYMENT_RANK")</f>
        <v>Sr Unsecured</v>
      </c>
      <c r="O134" s="100" t="str">
        <f>_xll.BDP($B134&amp; " Corp","MTY_TYP")</f>
        <v>AT MATURITY</v>
      </c>
      <c r="P134" s="100" t="str">
        <f>_xll.BDP($B134&amp; " Corp","RUSSIAN_CB_LOMBARD")</f>
        <v>Y</v>
      </c>
      <c r="Q134" s="102">
        <f>_xll.BDP(B132&amp;" Corp", "INTERVAL_PERCENT_CHANGE", "END_DATE_OVERRIDE"," ", "START_DATE_OVERRIDe",R134)</f>
        <v>1.9178925552936081</v>
      </c>
      <c r="R134" s="101">
        <v>20140716</v>
      </c>
      <c r="S134" s="100">
        <f>_xll.BDP($B132&amp; " Corp","PX_GROSS_MID")</f>
        <v>103.14344444444444</v>
      </c>
      <c r="T134" s="99">
        <f>_xll.BDP($B132&amp; " Corp","MIN_PIECE")</f>
        <v>200000</v>
      </c>
    </row>
    <row r="135" spans="1:20" ht="15.75" x14ac:dyDescent="0.25">
      <c r="A135" s="103" t="str">
        <f>_xll.BDP(B135&amp; " Corp","name")</f>
        <v>VNESHECONOMBANK(VEB)</v>
      </c>
      <c r="B135" s="103" t="s">
        <v>285</v>
      </c>
      <c r="C135" s="100">
        <f>_xll.BDP(B135 &amp; " Corp","MTY_YEARS_TDY")</f>
        <v>8.2135523613963031</v>
      </c>
      <c r="D135" s="100">
        <f>_xll.BDP(B135 &amp; " Corp","px_last")</f>
        <v>113.405</v>
      </c>
      <c r="E135" s="100">
        <f>_xll.BDP(B135 &amp; " Corp","px_ask")</f>
        <v>112.93</v>
      </c>
      <c r="F135" s="100">
        <f>_xll.BDP(B135 &amp; " Corp","YLD_YTM_BID")</f>
        <v>4.8380391999999999</v>
      </c>
      <c r="G135" s="100">
        <f>_xll.BDP(B135 &amp; " Corp","YLD_YTM_ask")</f>
        <v>4.7560533999999999</v>
      </c>
      <c r="H135" s="100">
        <f>_xll.BDP(B135 &amp; " Corp","CPN")</f>
        <v>6.8</v>
      </c>
      <c r="I135" s="100" t="str">
        <f>_xll.BDP(B135&amp; " Corp","MATURITY")</f>
        <v>22/11/2025</v>
      </c>
      <c r="J135" s="100" t="str">
        <f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BB+/BBB-/</v>
      </c>
      <c r="K135" s="100" t="str">
        <f>_xll.BDP($B135&amp; " Corp","INDUSTRY_SUBGROUP")</f>
        <v>Special Purpose Banks</v>
      </c>
      <c r="L135" s="100" t="str">
        <f>_xll.BDP(B135 &amp; " Corp","CRNCY")</f>
        <v>USD</v>
      </c>
      <c r="M135" s="100" t="str">
        <f>_xll.BDP(B135 &amp; " Corp","CNTRY_OF_RISK")</f>
        <v>RU</v>
      </c>
      <c r="N135" s="100" t="str">
        <f>_xll.BDP($B135&amp; " Corp","PAYMENT_RANK")</f>
        <v>Sr Unsecured</v>
      </c>
      <c r="O135" s="100" t="str">
        <f>_xll.BDP($B135&amp; " Corp","MTY_TYP")</f>
        <v>AT MATURITY</v>
      </c>
      <c r="P135" s="100" t="str">
        <f>_xll.BDP($B135&amp; " Corp","RUSSIAN_CB_LOMBARD")</f>
        <v>Y</v>
      </c>
      <c r="Q135" s="102">
        <f>_xll.BDP(B133&amp;" Corp", "INTERVAL_PERCENT_CHANGE", "END_DATE_OVERRIDE"," ", "START_DATE_OVERRIDe",R135)</f>
        <v>2.9812803327940918</v>
      </c>
      <c r="R135" s="101">
        <v>20140716</v>
      </c>
      <c r="S135" s="100">
        <f>_xll.BDP($B133&amp; " Corp","PX_GROSS_MID")</f>
        <v>116.000215</v>
      </c>
      <c r="T135" s="99">
        <f>_xll.BDP($B133&amp; " Corp","MIN_PIECE")</f>
        <v>200000</v>
      </c>
    </row>
    <row r="136" spans="1:20" ht="15.75" x14ac:dyDescent="0.25">
      <c r="A136" s="100" t="str">
        <f>_xll.BDP(B136&amp; " Corp","name")</f>
        <v>GAZPROM NEFT (GPN CAPITA</v>
      </c>
      <c r="B136" s="100" t="s">
        <v>281</v>
      </c>
      <c r="C136" s="100">
        <f>_xll.BDP(B136 &amp; " Corp","MTY_YEARS_TDY")</f>
        <v>6.2258726899383987</v>
      </c>
      <c r="D136" s="100">
        <f>_xll.BDP(B136 &amp; " Corp","px_last")</f>
        <v>109.977</v>
      </c>
      <c r="E136" s="100">
        <f>_xll.BDP(B136 &amp; " Corp","px_ask")</f>
        <v>110.23</v>
      </c>
      <c r="F136" s="100">
        <f>_xll.BDP(B136 &amp; " Corp","YLD_YTM_BID")</f>
        <v>4.271596584567817</v>
      </c>
      <c r="G136" s="100">
        <f>_xll.BDP(B136 &amp; " Corp","YLD_YTM_ask")</f>
        <v>4.069394</v>
      </c>
      <c r="H136" s="100">
        <f>_xll.BDP(B136 &amp; " Corp","CPN")</f>
        <v>6</v>
      </c>
      <c r="I136" s="100" t="str">
        <f>_xll.BDP(B136&amp; " Corp","MATURITY")</f>
        <v>27/11/2023</v>
      </c>
      <c r="J136" s="100" t="str">
        <f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BB+/BBB-/Ba1</v>
      </c>
      <c r="K136" s="100" t="str">
        <f>_xll.BDP($B136&amp; " Corp","INDUSTRY_SUBGROUP")</f>
        <v>Oil Comp-Explor&amp;Prodtn</v>
      </c>
      <c r="L136" s="100" t="str">
        <f>_xll.BDP(B136 &amp; " Corp","CRNCY")</f>
        <v>USD</v>
      </c>
      <c r="M136" s="100" t="str">
        <f>_xll.BDP(B136 &amp; " Corp","CNTRY_OF_RISK")</f>
        <v>RU</v>
      </c>
      <c r="N136" s="100" t="str">
        <f>_xll.BDP($B136&amp; " Corp","PAYMENT_RANK")</f>
        <v>Sr Unsecured</v>
      </c>
      <c r="O136" s="100" t="str">
        <f>_xll.BDP($B136&amp; " Corp","MTY_TYP")</f>
        <v>AT MATURITY</v>
      </c>
      <c r="P136" s="100" t="str">
        <f>_xll.BDP($B136&amp; " Corp","RUSSIAN_CB_LOMBARD")</f>
        <v>Y</v>
      </c>
      <c r="Q136" s="102">
        <f>_xll.BDP(B134&amp;" Corp", "INTERVAL_PERCENT_CHANGE", "END_DATE_OVERRIDE"," ", "START_DATE_OVERRIDe",R136)</f>
        <v>2.0184198538406384</v>
      </c>
      <c r="R136" s="101">
        <v>20140716</v>
      </c>
      <c r="S136" s="100">
        <f>_xll.BDP($B134&amp; " Corp","PX_GROSS_MID")</f>
        <v>115.06904444444444</v>
      </c>
      <c r="T136" s="99">
        <f>_xll.BDP($B134&amp; " Corp","MIN_PIECE")</f>
        <v>200000</v>
      </c>
    </row>
    <row r="137" spans="1:20" ht="15.75" x14ac:dyDescent="0.25">
      <c r="A137" s="100" t="str">
        <f>_xll.BDP(B137&amp; " Corp","name")</f>
        <v>VTB BANK (VTB CAPITAL SA</v>
      </c>
      <c r="B137" s="100" t="s">
        <v>279</v>
      </c>
      <c r="C137" s="100">
        <f>_xll.BDP(B137 &amp; " Corp","MTY_YEARS_TDY")</f>
        <v>17.815195071868583</v>
      </c>
      <c r="D137" s="100">
        <f>_xll.BDP(B137 &amp; " Corp","px_last")</f>
        <v>103.036</v>
      </c>
      <c r="E137" s="100">
        <f>_xll.BDP(B137 &amp; " Corp","px_ask")</f>
        <v>103.97799999999999</v>
      </c>
      <c r="F137" s="100">
        <f>_xll.BDP(B137 &amp; " Corp","YLD_YTM_BID")</f>
        <v>6.0522588088425469</v>
      </c>
      <c r="G137" s="100">
        <f>_xll.BDP(B137 &amp; " Corp","YLD_YTM_ask")</f>
        <v>5.8877311973068842</v>
      </c>
      <c r="H137" s="100">
        <f>_xll.BDP(B137 &amp; " Corp","CPN")</f>
        <v>6.25</v>
      </c>
      <c r="I137" s="100" t="str">
        <f>_xll.BDP(B137&amp; " Corp","MATURITY")</f>
        <v>30/06/2035</v>
      </c>
      <c r="J137" s="100" t="str">
        <f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BB+/WD/Ba1</v>
      </c>
      <c r="K137" s="100" t="str">
        <f>_xll.BDP($B137&amp; " Corp","INDUSTRY_SUBGROUP")</f>
        <v>Commer Banks Non-US</v>
      </c>
      <c r="L137" s="100" t="str">
        <f>_xll.BDP(B137 &amp; " Corp","CRNCY")</f>
        <v>USD</v>
      </c>
      <c r="M137" s="100" t="str">
        <f>_xll.BDP(B137 &amp; " Corp","CNTRY_OF_RISK")</f>
        <v>RU</v>
      </c>
      <c r="N137" s="100" t="str">
        <f>_xll.BDP($B137&amp; " Corp","PAYMENT_RANK")</f>
        <v>Sr Unsecured</v>
      </c>
      <c r="O137" s="100" t="str">
        <f>_xll.BDP($B137&amp; " Corp","MTY_TYP")</f>
        <v>PUTABLE</v>
      </c>
      <c r="P137" s="100" t="str">
        <f>_xll.BDP($B137&amp; " Corp","RUSSIAN_CB_LOMBARD")</f>
        <v>Y</v>
      </c>
      <c r="Q137" s="102">
        <f>_xll.BDP(B135&amp;" Corp", "INTERVAL_PERCENT_CHANGE", "END_DATE_OVERRIDE"," ", "START_DATE_OVERRIDe",R137)</f>
        <v>3.4330899373162715</v>
      </c>
      <c r="R137" s="101">
        <v>20140716</v>
      </c>
      <c r="S137" s="100">
        <f>_xll.BDP($B135&amp; " Corp","PX_GROSS_MID")</f>
        <v>115.61549999999998</v>
      </c>
      <c r="T137" s="99">
        <f>_xll.BDP($B135&amp; " Corp","MIN_PIECE")</f>
        <v>100000</v>
      </c>
    </row>
    <row r="138" spans="1:20" ht="15.75" x14ac:dyDescent="0.25">
      <c r="A138" s="100" t="str">
        <f>_xll.BDP(B138&amp; " Corp","name")</f>
        <v>ALFA BANK (ALFA BOND)</v>
      </c>
      <c r="B138" s="100" t="s">
        <v>283</v>
      </c>
      <c r="C138" s="100">
        <f>_xll.BDP(B138 &amp; " Corp","MTY_YEARS_TDY")</f>
        <v>3.6440793976728267</v>
      </c>
      <c r="D138" s="100">
        <f>_xll.BDP(B138 &amp; " Corp","px_last")</f>
        <v>113.426</v>
      </c>
      <c r="E138" s="100">
        <f>_xll.BDP(B138 &amp; " Corp","px_ask")</f>
        <v>113.758</v>
      </c>
      <c r="F138" s="100">
        <f>_xll.BDP(B138 &amp; " Corp","YLD_YTM_BID")</f>
        <v>3.8255549000000002</v>
      </c>
      <c r="G138" s="100">
        <f>_xll.BDP(B138 &amp; " Corp","YLD_YTM_ask")</f>
        <v>3.6473507000000001</v>
      </c>
      <c r="H138" s="100">
        <f>_xll.BDP(B138 &amp; " Corp","CPN")</f>
        <v>7.75</v>
      </c>
      <c r="I138" s="100" t="str">
        <f>_xll.BDP(B138&amp; " Corp","MATURITY")</f>
        <v>28/04/2021</v>
      </c>
      <c r="J138" s="100" t="str">
        <f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BB/BB+/Ba2</v>
      </c>
      <c r="K138" s="100" t="str">
        <f>_xll.BDP($B138&amp; " Corp","INDUSTRY_SUBGROUP")</f>
        <v>Commer Banks Non-US</v>
      </c>
      <c r="L138" s="100" t="str">
        <f>_xll.BDP(B138 &amp; " Corp","CRNCY")</f>
        <v>USD</v>
      </c>
      <c r="M138" s="100" t="str">
        <f>_xll.BDP(B138 &amp; " Corp","CNTRY_OF_RISK")</f>
        <v>RU</v>
      </c>
      <c r="N138" s="100" t="str">
        <f>_xll.BDP($B138&amp; " Corp","PAYMENT_RANK")</f>
        <v>Sr Unsecured</v>
      </c>
      <c r="O138" s="100" t="str">
        <f>_xll.BDP($B138&amp; " Corp","MTY_TYP")</f>
        <v>AT MATURITY</v>
      </c>
      <c r="P138" s="100" t="str">
        <f>_xll.BDP($B138&amp; " Corp","RUSSIAN_CB_LOMBARD")</f>
        <v>Y</v>
      </c>
      <c r="Q138" s="102">
        <f>_xll.BDP(B136&amp;" Corp", "INTERVAL_PERCENT_CHANGE", "END_DATE_OVERRIDE"," ", "START_DATE_OVERRIDe",R138)</f>
        <v>4.964801361686912</v>
      </c>
      <c r="R138" s="101">
        <v>20140716</v>
      </c>
      <c r="S138" s="100">
        <f>_xll.BDP($B136&amp; " Corp","PX_GROSS_MID")</f>
        <v>111.7765</v>
      </c>
      <c r="T138" s="99">
        <f>_xll.BDP($B136&amp; " Corp","MIN_PIECE")</f>
        <v>200000</v>
      </c>
    </row>
    <row r="139" spans="1:20" ht="15.75" x14ac:dyDescent="0.25">
      <c r="A139" s="103" t="str">
        <f>_xll.BDP(B139&amp; " Corp","name")</f>
        <v>VNESHECONOMBANK(VEB)</v>
      </c>
      <c r="B139" s="100" t="s">
        <v>284</v>
      </c>
      <c r="C139" s="100">
        <f>_xll.BDP(B139 &amp; " Corp","MTY_YEARS_TDY")</f>
        <v>6.2094455852156054</v>
      </c>
      <c r="D139" s="100">
        <f>_xll.BDP(B139 &amp; " Corp","px_last")</f>
        <v>107.23</v>
      </c>
      <c r="E139" s="100">
        <f>_xll.BDP(B139 &amp; " Corp","px_ask")</f>
        <v>107.786</v>
      </c>
      <c r="F139" s="100">
        <f>_xll.BDP(B139 &amp; " Corp","YLD_YTM_BID")</f>
        <v>4.5154040999999996</v>
      </c>
      <c r="G139" s="100">
        <f>_xll.BDP(B139 &amp; " Corp","YLD_YTM_ask")</f>
        <v>4.4072304999999998</v>
      </c>
      <c r="H139" s="100">
        <f>_xll.BDP(B139 &amp; " Corp","CPN")</f>
        <v>5.9420000000000002</v>
      </c>
      <c r="I139" s="100" t="str">
        <f>_xll.BDP(B139&amp; " Corp","MATURITY")</f>
        <v>21/11/2023</v>
      </c>
      <c r="J139" s="100" t="str">
        <f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BB+/BBB-/</v>
      </c>
      <c r="K139" s="100" t="str">
        <f>_xll.BDP($B139&amp; " Corp","INDUSTRY_SUBGROUP")</f>
        <v>Special Purpose Banks</v>
      </c>
      <c r="L139" s="100" t="str">
        <f>_xll.BDP(B139 &amp; " Corp","CRNCY")</f>
        <v>USD</v>
      </c>
      <c r="M139" s="100" t="str">
        <f>_xll.BDP(B139 &amp; " Corp","CNTRY_OF_RISK")</f>
        <v>RU</v>
      </c>
      <c r="N139" s="100" t="str">
        <f>_xll.BDP($B139&amp; " Corp","PAYMENT_RANK")</f>
        <v>Sr Unsecured</v>
      </c>
      <c r="O139" s="100" t="str">
        <f>_xll.BDP($B139&amp; " Corp","MTY_TYP")</f>
        <v>AT MATURITY</v>
      </c>
      <c r="P139" s="100" t="str">
        <f>_xll.BDP($B139&amp; " Corp","RUSSIAN_CB_LOMBARD")</f>
        <v>Y</v>
      </c>
      <c r="Q139" s="102">
        <f>_xll.BDP(B137&amp;" Corp", "INTERVAL_PERCENT_CHANGE", "END_DATE_OVERRIDE"," ", "START_DATE_OVERRIDe",R139)</f>
        <v>-0.20075270906964887</v>
      </c>
      <c r="R139" s="101">
        <v>20140716</v>
      </c>
      <c r="S139" s="100">
        <f>_xll.BDP($B137&amp; " Corp","PX_GROSS_MID")</f>
        <v>104.40802777777776</v>
      </c>
      <c r="T139" s="99">
        <f>_xll.BDP($B137&amp; " Corp","MIN_PIECE")</f>
        <v>100000</v>
      </c>
    </row>
    <row r="140" spans="1:20" ht="15.75" x14ac:dyDescent="0.25">
      <c r="A140" s="100" t="str">
        <f>_xll.BDP(B140&amp; " Corp","name")</f>
        <v>GAZPROM (GAZ CAPITAL SA)</v>
      </c>
      <c r="B140" s="100" t="s">
        <v>280</v>
      </c>
      <c r="C140" s="100">
        <f>_xll.BDP(B140 &amp; " Corp","MTY_YEARS_TDY")</f>
        <v>10.420260095824778</v>
      </c>
      <c r="D140" s="100">
        <f>_xll.BDP(B140 &amp; " Corp","px_last")</f>
        <v>103.542</v>
      </c>
      <c r="E140" s="100">
        <f>_xll.BDP(B140 &amp; " Corp","px_ask")</f>
        <v>102.533</v>
      </c>
      <c r="F140" s="100">
        <f>_xll.BDP(B140 &amp; " Corp","YLD_YTM_BID")</f>
        <v>4.5515843</v>
      </c>
      <c r="G140" s="100">
        <f>_xll.BDP(B140 &amp; " Corp","YLD_YTM_ask")</f>
        <v>4.4849535999999999</v>
      </c>
      <c r="H140" s="100">
        <f>_xll.BDP(B140 &amp; " Corp","CPN")</f>
        <v>4.95</v>
      </c>
      <c r="I140" s="100" t="str">
        <f>_xll.BDP(B140&amp; " Corp","MATURITY")</f>
        <v>06/02/2028</v>
      </c>
      <c r="J140" s="100" t="str">
        <f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BB+/BBB-/Ba1</v>
      </c>
      <c r="K140" s="100" t="str">
        <f>_xll.BDP($B140&amp; " Corp","INDUSTRY_SUBGROUP")</f>
        <v>Oil Comp-Integrated</v>
      </c>
      <c r="L140" s="100" t="str">
        <f>_xll.BDP(B140 &amp; " Corp","CRNCY")</f>
        <v>USD</v>
      </c>
      <c r="M140" s="100" t="str">
        <f>_xll.BDP(B140 &amp; " Corp","CNTRY_OF_RISK")</f>
        <v>RU</v>
      </c>
      <c r="N140" s="100" t="str">
        <f>_xll.BDP($B140&amp; " Corp","PAYMENT_RANK")</f>
        <v>Sr Unsecured</v>
      </c>
      <c r="O140" s="100" t="str">
        <f>_xll.BDP($B140&amp; " Corp","MTY_TYP")</f>
        <v>AT MATURITY</v>
      </c>
      <c r="P140" s="100" t="str">
        <f>_xll.BDP($B140&amp; " Corp","RUSSIAN_CB_LOMBARD")</f>
        <v>Y</v>
      </c>
      <c r="Q140" s="102">
        <f>_xll.BDP(B138&amp;" Corp", "INTERVAL_PERCENT_CHANGE", "END_DATE_OVERRIDE"," ", "START_DATE_OVERRIDe",R140)</f>
        <v>5.5832442502768087</v>
      </c>
      <c r="R140" s="101">
        <v>20140716</v>
      </c>
      <c r="S140" s="100">
        <f>_xll.BDP($B138&amp; " Corp","PX_GROSS_MID")</f>
        <v>116.46141666666666</v>
      </c>
      <c r="T140" s="99">
        <f>_xll.BDP($B138&amp; " Corp","MIN_PIECE")</f>
        <v>200000</v>
      </c>
    </row>
    <row r="141" spans="1:20" ht="15.75" x14ac:dyDescent="0.25">
      <c r="A141" s="100" t="str">
        <f>_xll.BDP(B141&amp; " Corp","name")</f>
        <v>SEVERSTAL (STEEL CAP)</v>
      </c>
      <c r="B141" s="100" t="s">
        <v>278</v>
      </c>
      <c r="C141" s="100">
        <f>_xll.BDP(B141 &amp; " Corp","MTY_YEARS_TDY")</f>
        <v>5.1143052703627649</v>
      </c>
      <c r="D141" s="100">
        <f>_xll.BDP(B141 &amp; " Corp","px_last")</f>
        <v>111.46</v>
      </c>
      <c r="E141" s="100">
        <f>_xll.BDP(B141 &amp; " Corp","px_ask")</f>
        <v>110.67100000000001</v>
      </c>
      <c r="F141" s="100">
        <f>_xll.BDP(B141 &amp; " Corp","YLD_YTM_BID")</f>
        <v>3.4718175000000002</v>
      </c>
      <c r="G141" s="100">
        <f>_xll.BDP(B141 &amp; " Corp","YLD_YTM_ask")</f>
        <v>3.3712531999999999</v>
      </c>
      <c r="H141" s="100">
        <f>_xll.BDP(B141 &amp; " Corp","CPN")</f>
        <v>5.9</v>
      </c>
      <c r="I141" s="100" t="str">
        <f>_xll.BDP(B141&amp; " Corp","MATURITY")</f>
        <v>17/10/2022</v>
      </c>
      <c r="J141" s="100" t="str">
        <f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BBB-/BBB-/Ba1</v>
      </c>
      <c r="K141" s="100" t="str">
        <f>_xll.BDP($B141&amp; " Corp","INDUSTRY_SUBGROUP")</f>
        <v>Steel-Producers</v>
      </c>
      <c r="L141" s="100" t="str">
        <f>_xll.BDP(B141 &amp; " Corp","CRNCY")</f>
        <v>USD</v>
      </c>
      <c r="M141" s="100" t="str">
        <f>_xll.BDP(B141 &amp; " Corp","CNTRY_OF_RISK")</f>
        <v>RU</v>
      </c>
      <c r="N141" s="100" t="str">
        <f>_xll.BDP($B141&amp; " Corp","PAYMENT_RANK")</f>
        <v>Sr Unsecured</v>
      </c>
      <c r="O141" s="100" t="str">
        <f>_xll.BDP($B141&amp; " Corp","MTY_TYP")</f>
        <v>AT MATURITY</v>
      </c>
      <c r="P141" s="100" t="str">
        <f>_xll.BDP($B141&amp; " Corp","RUSSIAN_CB_LOMBARD")</f>
        <v>Y</v>
      </c>
      <c r="Q141" s="102">
        <f>_xll.BDP(B139&amp;" Corp", "INTERVAL_PERCENT_CHANGE", "END_DATE_OVERRIDE"," ", "START_DATE_OVERRIDe",R141)</f>
        <v>4.4243432390852577</v>
      </c>
      <c r="R141" s="101">
        <v>20140716</v>
      </c>
      <c r="S141" s="100">
        <f>_xll.BDP($B139&amp; " Corp","PX_GROSS_MID")</f>
        <v>109.85315555555555</v>
      </c>
      <c r="T141" s="99">
        <f>_xll.BDP($B139&amp; " Corp","MIN_PIECE")</f>
        <v>200000</v>
      </c>
    </row>
    <row r="142" spans="1:20" ht="15.75" x14ac:dyDescent="0.25">
      <c r="A142" s="103" t="str">
        <f>_xll.BDP(B142&amp; " Corp","name")</f>
        <v>VNESHECONOMBANK(VEB)</v>
      </c>
      <c r="B142" s="100" t="s">
        <v>282</v>
      </c>
      <c r="C142" s="100">
        <f>_xll.BDP(B142 &amp; " Corp","MTY_YEARS_TDY")</f>
        <v>4.8295687885010263</v>
      </c>
      <c r="D142" s="100">
        <f>_xll.BDP(B142 &amp; " Corp","px_last")</f>
        <v>107.74</v>
      </c>
      <c r="E142" s="100">
        <f>_xll.BDP(B142 &amp; " Corp","px_ask")</f>
        <v>107.642</v>
      </c>
      <c r="F142" s="100">
        <f>_xll.BDP(B142 &amp; " Corp","YLD_YTM_BID")</f>
        <v>4.2858118000000003</v>
      </c>
      <c r="G142" s="100">
        <f>_xll.BDP(B142 &amp; " Corp","YLD_YTM_ask")</f>
        <v>4.1603686</v>
      </c>
      <c r="H142" s="100">
        <f>_xll.BDP(B142 &amp; " Corp","CPN")</f>
        <v>6.0250000000000004</v>
      </c>
      <c r="I142" s="100" t="str">
        <f>_xll.BDP(B142&amp; " Corp","MATURITY")</f>
        <v>05/07/2022</v>
      </c>
      <c r="J142" s="100" t="str">
        <f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BB+/BBB-/</v>
      </c>
      <c r="K142" s="100" t="str">
        <f>_xll.BDP($B142&amp; " Corp","INDUSTRY_SUBGROUP")</f>
        <v>Special Purpose Banks</v>
      </c>
      <c r="L142" s="100" t="str">
        <f>_xll.BDP(B142 &amp; " Corp","CRNCY")</f>
        <v>USD</v>
      </c>
      <c r="M142" s="100" t="str">
        <f>_xll.BDP(B142 &amp; " Corp","CNTRY_OF_RISK")</f>
        <v>RU</v>
      </c>
      <c r="N142" s="100" t="str">
        <f>_xll.BDP($B142&amp; " Corp","PAYMENT_RANK")</f>
        <v>Sr Unsecured</v>
      </c>
      <c r="O142" s="100" t="str">
        <f>_xll.BDP($B142&amp; " Corp","MTY_TYP")</f>
        <v>AT MATURITY</v>
      </c>
      <c r="P142" s="100" t="str">
        <f>_xll.BDP($B142&amp; " Corp","RUSSIAN_CB_LOMBARD")</f>
        <v>Y</v>
      </c>
      <c r="Q142" s="102">
        <f>_xll.BDP(B140&amp;" Corp", "INTERVAL_PERCENT_CHANGE", "END_DATE_OVERRIDE"," ", "START_DATE_OVERRIDe",R142)</f>
        <v>7.5133561006042182</v>
      </c>
      <c r="R142" s="101">
        <v>20140716</v>
      </c>
      <c r="S142" s="100">
        <f>_xll.BDP($B140&amp; " Corp","PX_GROSS_MID")</f>
        <v>104.13275</v>
      </c>
      <c r="T142" s="99">
        <f>_xll.BDP($B140&amp; " Corp","MIN_PIECE")</f>
        <v>200000</v>
      </c>
    </row>
    <row r="143" spans="1:20" ht="15.75" x14ac:dyDescent="0.25">
      <c r="A143" s="100" t="str">
        <f>_xll.BDP(B143&amp; " Corp","name")</f>
        <v>GAZPROM N (GPN CAPITAL)</v>
      </c>
      <c r="B143" s="100" t="s">
        <v>275</v>
      </c>
      <c r="C143" s="100">
        <f>_xll.BDP(B143 &amp; " Corp","MTY_YEARS_TDY")</f>
        <v>5.0376454483230662</v>
      </c>
      <c r="D143" s="100">
        <f>_xll.BDP(B143 &amp; " Corp","px_last")</f>
        <v>102.098</v>
      </c>
      <c r="E143" s="100">
        <f>_xll.BDP(B143 &amp; " Corp","px_ask")</f>
        <v>102.248</v>
      </c>
      <c r="F143" s="100">
        <f>_xll.BDP(B143 &amp; " Corp","YLD_YTM_BID")</f>
        <v>3.9093150173594293</v>
      </c>
      <c r="G143" s="100">
        <f>_xll.BDP(B143 &amp; " Corp","YLD_YTM_ask")</f>
        <v>3.7999066732347337</v>
      </c>
      <c r="H143" s="100">
        <f>_xll.BDP(B143 &amp; " Corp","CPN")</f>
        <v>4.375</v>
      </c>
      <c r="I143" s="100" t="str">
        <f>_xll.BDP(B143&amp; " Corp","MATURITY")</f>
        <v>19/09/2022</v>
      </c>
      <c r="J143" s="100" t="str">
        <f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BB+/BBB-/Ba1</v>
      </c>
      <c r="K143" s="100" t="str">
        <f>_xll.BDP($B143&amp; " Corp","INDUSTRY_SUBGROUP")</f>
        <v>Oil Comp-Explor&amp;Prodtn</v>
      </c>
      <c r="L143" s="100" t="str">
        <f>_xll.BDP(B143 &amp; " Corp","CRNCY")</f>
        <v>USD</v>
      </c>
      <c r="M143" s="100" t="str">
        <f>_xll.BDP(B143 &amp; " Corp","CNTRY_OF_RISK")</f>
        <v>RU</v>
      </c>
      <c r="N143" s="100" t="str">
        <f>_xll.BDP($B143&amp; " Corp","PAYMENT_RANK")</f>
        <v>Sr Unsecured</v>
      </c>
      <c r="O143" s="100" t="str">
        <f>_xll.BDP($B143&amp; " Corp","MTY_TYP")</f>
        <v>AT MATURITY</v>
      </c>
      <c r="P143" s="100" t="str">
        <f>_xll.BDP($B143&amp; " Corp","RUSSIAN_CB_LOMBARD")</f>
        <v>Y</v>
      </c>
      <c r="Q143" s="102">
        <f>_xll.BDP(B141&amp;" Corp", "INTERVAL_PERCENT_CHANGE", "END_DATE_OVERRIDE"," ", "START_DATE_OVERRIDe",R143)</f>
        <v>8.9424174678713673</v>
      </c>
      <c r="R143" s="101">
        <v>20140716</v>
      </c>
      <c r="S143" s="100">
        <f>_xll.BDP($B141&amp; " Corp","PX_GROSS_MID")</f>
        <v>113.95111111111112</v>
      </c>
      <c r="T143" s="99">
        <f>_xll.BDP($B141&amp; " Corp","MIN_PIECE")</f>
        <v>200000</v>
      </c>
    </row>
    <row r="144" spans="1:20" ht="15.75" x14ac:dyDescent="0.25">
      <c r="A144" s="100" t="str">
        <f>_xll.BDP(B144&amp; " Corp","name")</f>
        <v>MOBILE TELESYS (MTS INT)</v>
      </c>
      <c r="B144" s="100" t="s">
        <v>274</v>
      </c>
      <c r="C144" s="100">
        <f>_xll.BDP(B144 &amp; " Corp","MTY_YEARS_TDY")</f>
        <v>5.7303216974674882</v>
      </c>
      <c r="D144" s="100">
        <f>_xll.BDP(B144 &amp; " Corp","px_last")</f>
        <v>104.274</v>
      </c>
      <c r="E144" s="100">
        <f>_xll.BDP(B144 &amp; " Corp","px_ask")</f>
        <v>104.57599999999999</v>
      </c>
      <c r="F144" s="100">
        <f>_xll.BDP(B144 &amp; " Corp","YLD_YTM_BID")</f>
        <v>4.2183156999999998</v>
      </c>
      <c r="G144" s="100">
        <f>_xll.BDP(B144 &amp; " Corp","YLD_YTM_ask")</f>
        <v>4.0796052999999999</v>
      </c>
      <c r="H144" s="100">
        <f>_xll.BDP(B144 &amp; " Corp","CPN")</f>
        <v>5</v>
      </c>
      <c r="I144" s="100" t="str">
        <f>_xll.BDP(B144&amp; " Corp","MATURITY")</f>
        <v>30/05/2023</v>
      </c>
      <c r="J144" s="100" t="str">
        <f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BB+/BB+ /*-/Ba1u</v>
      </c>
      <c r="K144" s="100" t="str">
        <f>_xll.BDP($B144&amp; " Corp","INDUSTRY_SUBGROUP")</f>
        <v>Cellular Telecom</v>
      </c>
      <c r="L144" s="100" t="str">
        <f>_xll.BDP(B144 &amp; " Corp","CRNCY")</f>
        <v>USD</v>
      </c>
      <c r="M144" s="100" t="str">
        <f>_xll.BDP(B144 &amp; " Corp","CNTRY_OF_RISK")</f>
        <v>RU</v>
      </c>
      <c r="N144" s="100" t="str">
        <f>_xll.BDP($B144&amp; " Corp","PAYMENT_RANK")</f>
        <v>Sr Unsecured</v>
      </c>
      <c r="O144" s="100" t="str">
        <f>_xll.BDP($B144&amp; " Corp","MTY_TYP")</f>
        <v>AT MATURITY</v>
      </c>
      <c r="P144" s="100" t="str">
        <f>_xll.BDP($B144&amp; " Corp","RUSSIAN_CB_LOMBARD")</f>
        <v>Y</v>
      </c>
      <c r="Q144" s="102">
        <f>_xll.BDP(B142&amp;" Corp", "INTERVAL_PERCENT_CHANGE", "END_DATE_OVERRIDE"," ", "START_DATE_OVERRIDe",R144)</f>
        <v>3.1225859743105673</v>
      </c>
      <c r="R144" s="101">
        <v>20140716</v>
      </c>
      <c r="S144" s="100">
        <f>_xll.BDP($B142&amp; " Corp","PX_GROSS_MID")</f>
        <v>108.97847222222224</v>
      </c>
      <c r="T144" s="99">
        <f>_xll.BDP($B142&amp; " Corp","MIN_PIECE")</f>
        <v>200000</v>
      </c>
    </row>
    <row r="145" spans="1:20" ht="15.75" x14ac:dyDescent="0.25">
      <c r="A145" s="100" t="str">
        <f>_xll.BDP(B145&amp; " Corp","name")</f>
        <v>ROSNEFT(ROSNEFT INT FIN)</v>
      </c>
      <c r="B145" s="100" t="s">
        <v>276</v>
      </c>
      <c r="C145" s="100">
        <f>_xll.BDP(B145 &amp; " Corp","MTY_YEARS_TDY")</f>
        <v>4.4982888432580426</v>
      </c>
      <c r="D145" s="100">
        <f>_xll.BDP(B145 &amp; " Corp","px_last")</f>
        <v>100.72199999999999</v>
      </c>
      <c r="E145" s="100">
        <f>_xll.BDP(B145 &amp; " Corp","px_ask")</f>
        <v>101.241</v>
      </c>
      <c r="F145" s="100">
        <f>_xll.BDP(B145 &amp; " Corp","YLD_YTM_BID")</f>
        <v>3.9687869590006977</v>
      </c>
      <c r="G145" s="100">
        <f>_xll.BDP(B145 &amp; " Corp","YLD_YTM_ask")</f>
        <v>3.8491775427755939</v>
      </c>
      <c r="H145" s="100">
        <f>_xll.BDP(B145 &amp; " Corp","CPN")</f>
        <v>4.1989999999999998</v>
      </c>
      <c r="I145" s="100" t="str">
        <f>_xll.BDP(B145&amp; " Corp","MATURITY")</f>
        <v>06/03/2022</v>
      </c>
      <c r="J145" s="100" t="str">
        <f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BB+/WD/Ba1</v>
      </c>
      <c r="K145" s="100" t="str">
        <f>_xll.BDP($B145&amp; " Corp","INDUSTRY_SUBGROUP")</f>
        <v>Oil Comp-Integrated</v>
      </c>
      <c r="L145" s="100" t="str">
        <f>_xll.BDP(B145 &amp; " Corp","CRNCY")</f>
        <v>USD</v>
      </c>
      <c r="M145" s="100" t="str">
        <f>_xll.BDP(B145 &amp; " Corp","CNTRY_OF_RISK")</f>
        <v>RU</v>
      </c>
      <c r="N145" s="100" t="str">
        <f>_xll.BDP($B145&amp; " Corp","PAYMENT_RANK")</f>
        <v>Sr Unsecured</v>
      </c>
      <c r="O145" s="100" t="str">
        <f>_xll.BDP($B145&amp; " Corp","MTY_TYP")</f>
        <v>AT MATURITY</v>
      </c>
      <c r="P145" s="100" t="str">
        <f>_xll.BDP($B145&amp; " Corp","RUSSIAN_CB_LOMBARD")</f>
        <v>Y</v>
      </c>
      <c r="Q145" s="102">
        <f>_xll.BDP(B143&amp;" Corp", "INTERVAL_PERCENT_CHANGE", "END_DATE_OVERRIDE"," ", "START_DATE_OVERRIDe",R145)</f>
        <v>6.1097045971367585</v>
      </c>
      <c r="R145" s="101">
        <v>20140716</v>
      </c>
      <c r="S145" s="100">
        <f>_xll.BDP($B143&amp; " Corp","PX_GROSS_MID")</f>
        <v>104.23687777777778</v>
      </c>
      <c r="T145" s="99">
        <f>_xll.BDP($B143&amp; " Corp","MIN_PIECE")</f>
        <v>200000</v>
      </c>
    </row>
    <row r="146" spans="1:20" ht="15.75" x14ac:dyDescent="0.25">
      <c r="A146" s="100" t="str">
        <f>_xll.BDP(B146&amp; " Corp","name")</f>
        <v>NOVATEK(NOVATEK FIN LTD)</v>
      </c>
      <c r="B146" s="100" t="s">
        <v>273</v>
      </c>
      <c r="C146" s="100">
        <f>_xll.BDP(B146 &amp; " Corp","MTY_YEARS_TDY")</f>
        <v>3.4140999315537304</v>
      </c>
      <c r="D146" s="100">
        <f>_xll.BDP(B146 &amp; " Corp","px_last")</f>
        <v>111.081</v>
      </c>
      <c r="E146" s="100">
        <f>_xll.BDP(B146 &amp; " Corp","px_ask")</f>
        <v>111.256</v>
      </c>
      <c r="F146" s="100">
        <f>_xll.BDP(B146 &amp; " Corp","YLD_YTM_BID")</f>
        <v>3.1691585999999998</v>
      </c>
      <c r="G146" s="100">
        <f>_xll.BDP(B146 &amp; " Corp","YLD_YTM_ask")</f>
        <v>3.0093122999999999</v>
      </c>
      <c r="H146" s="100">
        <f>_xll.BDP(B146 &amp; " Corp","CPN")</f>
        <v>6.6040000000000001</v>
      </c>
      <c r="I146" s="100" t="str">
        <f>_xll.BDP(B146&amp; " Corp","MATURITY")</f>
        <v>03/02/2021</v>
      </c>
      <c r="J146" s="100" t="str">
        <f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BBB-/BBB-/Ba1</v>
      </c>
      <c r="K146" s="100" t="str">
        <f>_xll.BDP($B146&amp; " Corp","INDUSTRY_SUBGROUP")</f>
        <v>Oil Comp-Explor&amp;Prodtn</v>
      </c>
      <c r="L146" s="100" t="str">
        <f>_xll.BDP(B146 &amp; " Corp","CRNCY")</f>
        <v>USD</v>
      </c>
      <c r="M146" s="100" t="str">
        <f>_xll.BDP(B146 &amp; " Corp","CNTRY_OF_RISK")</f>
        <v>RU</v>
      </c>
      <c r="N146" s="100" t="str">
        <f>_xll.BDP($B146&amp; " Corp","PAYMENT_RANK")</f>
        <v>Sr Unsecured</v>
      </c>
      <c r="O146" s="100" t="str">
        <f>_xll.BDP($B146&amp; " Corp","MTY_TYP")</f>
        <v>AT MATURITY</v>
      </c>
      <c r="P146" s="100" t="str">
        <f>_xll.BDP($B146&amp; " Corp","RUSSIAN_CB_LOMBARD")</f>
        <v>Y</v>
      </c>
      <c r="Q146" s="102">
        <f>_xll.BDP(B144&amp;" Corp", "INTERVAL_PERCENT_CHANGE", "END_DATE_OVERRIDE"," ", "START_DATE_OVERRIDe",R146)</f>
        <v>6.0795793727863865</v>
      </c>
      <c r="R146" s="101">
        <v>20140716</v>
      </c>
      <c r="S146" s="100">
        <f>_xll.BDP($B144&amp; " Corp","PX_GROSS_MID")</f>
        <v>105.78738888888888</v>
      </c>
      <c r="T146" s="99">
        <f>_xll.BDP($B144&amp; " Corp","MIN_PIECE")</f>
        <v>200000</v>
      </c>
    </row>
    <row r="147" spans="1:20" ht="15.75" x14ac:dyDescent="0.25">
      <c r="A147" s="100" t="str">
        <f>_xll.BDP(B147&amp; " Corp","name")</f>
        <v>NOVATEK(NOVATEK FIN LTD)</v>
      </c>
      <c r="B147" s="100" t="s">
        <v>272</v>
      </c>
      <c r="C147" s="100">
        <f>_xll.BDP(B147 &amp; " Corp","MTY_YEARS_TDY")</f>
        <v>5.2703627652292946</v>
      </c>
      <c r="D147" s="100">
        <f>_xll.BDP(B147 &amp; " Corp","px_last")</f>
        <v>102.872</v>
      </c>
      <c r="E147" s="100">
        <f>_xll.BDP(B147 &amp; " Corp","px_ask")</f>
        <v>103.63200000000001</v>
      </c>
      <c r="F147" s="100">
        <f>_xll.BDP(B147 &amp; " Corp","YLD_YTM_BID")</f>
        <v>3.7469429000000001</v>
      </c>
      <c r="G147" s="100">
        <f>_xll.BDP(B147 &amp; " Corp","YLD_YTM_ask")</f>
        <v>3.6232088999999998</v>
      </c>
      <c r="H147" s="100">
        <f>_xll.BDP(B147 &amp; " Corp","CPN")</f>
        <v>4.4219999999999997</v>
      </c>
      <c r="I147" s="100" t="str">
        <f>_xll.BDP(B147&amp; " Corp","MATURITY")</f>
        <v>13/12/2022</v>
      </c>
      <c r="J147" s="100" t="str">
        <f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BBB-/BBB-/Ba1</v>
      </c>
      <c r="K147" s="100" t="str">
        <f>_xll.BDP($B147&amp; " Corp","INDUSTRY_SUBGROUP")</f>
        <v>Oil Comp-Explor&amp;Prodtn</v>
      </c>
      <c r="L147" s="100" t="str">
        <f>_xll.BDP(B147 &amp; " Corp","CRNCY")</f>
        <v>USD</v>
      </c>
      <c r="M147" s="100" t="str">
        <f>_xll.BDP(B147 &amp; " Corp","CNTRY_OF_RISK")</f>
        <v>RU</v>
      </c>
      <c r="N147" s="100" t="str">
        <f>_xll.BDP($B147&amp; " Corp","PAYMENT_RANK")</f>
        <v>Sr Unsecured</v>
      </c>
      <c r="O147" s="100" t="str">
        <f>_xll.BDP($B147&amp; " Corp","MTY_TYP")</f>
        <v>AT MATURITY</v>
      </c>
      <c r="P147" s="100" t="str">
        <f>_xll.BDP($B147&amp; " Corp","RUSSIAN_CB_LOMBARD")</f>
        <v>Y</v>
      </c>
      <c r="Q147" s="102">
        <f>_xll.BDP(B145&amp;" Corp", "INTERVAL_PERCENT_CHANGE", "END_DATE_OVERRIDE"," ", "START_DATE_OVERRIDe",R147)</f>
        <v>6.7416816177668117</v>
      </c>
      <c r="R147" s="101">
        <v>20140716</v>
      </c>
      <c r="S147" s="100">
        <f>_xll.BDP($B145&amp; " Corp","PX_GROSS_MID")</f>
        <v>101.33216666666667</v>
      </c>
      <c r="T147" s="99">
        <f>_xll.BDP($B145&amp; " Corp","MIN_PIECE")</f>
        <v>200000</v>
      </c>
    </row>
    <row r="148" spans="1:20" ht="15.75" x14ac:dyDescent="0.25">
      <c r="A148" s="100" t="str">
        <f>_xll.BDP(B148&amp; " Corp","name")</f>
        <v>LUKOIL INTL FINANCE BV</v>
      </c>
      <c r="B148" s="100" t="s">
        <v>271</v>
      </c>
      <c r="C148" s="100">
        <f>_xll.BDP(B148 &amp; " Corp","MTY_YEARS_TDY")</f>
        <v>5.631759069130732</v>
      </c>
      <c r="D148" s="100">
        <f>_xll.BDP(B148 &amp; " Corp","px_last")</f>
        <v>104.5</v>
      </c>
      <c r="E148" s="100">
        <f>_xll.BDP(B148 &amp; " Corp","px_ask")</f>
        <v>104.301</v>
      </c>
      <c r="F148" s="100">
        <f>_xll.BDP(B148 &amp; " Corp","YLD_YTM_BID")</f>
        <v>3.7132018000000002</v>
      </c>
      <c r="G148" s="100">
        <f>_xll.BDP(B148 &amp; " Corp","YLD_YTM_ask")</f>
        <v>3.6184547</v>
      </c>
      <c r="H148" s="100">
        <f>_xll.BDP(B148 &amp; " Corp","CPN")</f>
        <v>4.5629999999999997</v>
      </c>
      <c r="I148" s="100" t="str">
        <f>_xll.BDP(B148&amp; " Corp","MATURITY")</f>
        <v>24/04/2023</v>
      </c>
      <c r="J148" s="100" t="str">
        <f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BBB-/BBB-/Ba1</v>
      </c>
      <c r="K148" s="100" t="str">
        <f>_xll.BDP($B148&amp; " Corp","INDUSTRY_SUBGROUP")</f>
        <v>Oil Comp-Integrated</v>
      </c>
      <c r="L148" s="100" t="str">
        <f>_xll.BDP(B148 &amp; " Corp","CRNCY")</f>
        <v>USD</v>
      </c>
      <c r="M148" s="100" t="str">
        <f>_xll.BDP(B148 &amp; " Corp","CNTRY_OF_RISK")</f>
        <v>RU</v>
      </c>
      <c r="N148" s="100" t="str">
        <f>_xll.BDP($B148&amp; " Corp","PAYMENT_RANK")</f>
        <v>Sr Unsecured</v>
      </c>
      <c r="O148" s="100" t="str">
        <f>_xll.BDP($B148&amp; " Corp","MTY_TYP")</f>
        <v>AT MATURITY</v>
      </c>
      <c r="P148" s="100" t="str">
        <f>_xll.BDP($B148&amp; " Corp","RUSSIAN_CB_LOMBARD")</f>
        <v>N</v>
      </c>
      <c r="Q148" s="102">
        <f>_xll.BDP(B146&amp;" Corp", "INTERVAL_PERCENT_CHANGE", "END_DATE_OVERRIDE"," ", "START_DATE_OVERRIDe",R148)</f>
        <v>2.0328526918902941</v>
      </c>
      <c r="R148" s="101">
        <v>20140716</v>
      </c>
      <c r="S148" s="100">
        <f>_xll.BDP($B146&amp; " Corp","PX_GROSS_MID")</f>
        <v>112.01384444444444</v>
      </c>
      <c r="T148" s="99">
        <f>_xll.BDP($B146&amp; " Corp","MIN_PIECE")</f>
        <v>200000</v>
      </c>
    </row>
    <row r="149" spans="1:20" ht="15.75" x14ac:dyDescent="0.25">
      <c r="A149" s="100" t="str">
        <f>_xll.BDP(B149&amp; " Corp","name")</f>
        <v>RZD CAPITAL PLC (RZD)</v>
      </c>
      <c r="B149" s="100" t="s">
        <v>268</v>
      </c>
      <c r="C149" s="100">
        <f>_xll.BDP(B149 &amp; " Corp","MTY_YEARS_TDY")</f>
        <v>4.5804243668720055</v>
      </c>
      <c r="D149" s="100">
        <f>_xll.BDP(B149 &amp; " Corp","px_last")</f>
        <v>108.584</v>
      </c>
      <c r="E149" s="100">
        <f>_xll.BDP(B149 &amp; " Corp","px_ask")</f>
        <v>108.236</v>
      </c>
      <c r="F149" s="100">
        <f>_xll.BDP(B149 &amp; " Corp","YLD_YTM_BID")</f>
        <v>3.6840201000000001</v>
      </c>
      <c r="G149" s="100">
        <f>_xll.BDP(B149 &amp; " Corp","YLD_YTM_ask")</f>
        <v>3.5829328</v>
      </c>
      <c r="H149" s="100">
        <f>_xll.BDP(B149 &amp; " Corp","CPN")</f>
        <v>5.7</v>
      </c>
      <c r="I149" s="100" t="str">
        <f>_xll.BDP(B149&amp; " Corp","MATURITY")</f>
        <v>05/04/2022</v>
      </c>
      <c r="J149" s="100" t="str">
        <f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BB+/BBB-/Ba1</v>
      </c>
      <c r="K149" s="100" t="str">
        <f>_xll.BDP($B149&amp; " Corp","INDUSTRY_SUBGROUP")</f>
        <v>Transport-Rail</v>
      </c>
      <c r="L149" s="100" t="str">
        <f>_xll.BDP(B149 &amp; " Corp","CRNCY")</f>
        <v>USD</v>
      </c>
      <c r="M149" s="100" t="str">
        <f>_xll.BDP(B149 &amp; " Corp","CNTRY_OF_RISK")</f>
        <v>RU</v>
      </c>
      <c r="N149" s="100" t="str">
        <f>_xll.BDP($B149&amp; " Corp","PAYMENT_RANK")</f>
        <v>Sr Unsecured</v>
      </c>
      <c r="O149" s="100" t="str">
        <f>_xll.BDP($B149&amp; " Corp","MTY_TYP")</f>
        <v>AT MATURITY</v>
      </c>
      <c r="P149" s="100" t="str">
        <f>_xll.BDP($B149&amp; " Corp","RUSSIAN_CB_LOMBARD")</f>
        <v>Y</v>
      </c>
      <c r="Q149" s="102">
        <f>_xll.BDP(B147&amp;" Corp", "INTERVAL_PERCENT_CHANGE", "END_DATE_OVERRIDE"," ", "START_DATE_OVERRIDe",R149)</f>
        <v>7.7126811707130791</v>
      </c>
      <c r="R149" s="101">
        <v>20140716</v>
      </c>
      <c r="S149" s="100">
        <f>_xll.BDP($B147&amp; " Corp","PX_GROSS_MID")</f>
        <v>104.6532</v>
      </c>
      <c r="T149" s="99">
        <f>_xll.BDP($B147&amp; " Corp","MIN_PIECE")</f>
        <v>200000</v>
      </c>
    </row>
    <row r="150" spans="1:20" ht="15.75" x14ac:dyDescent="0.25">
      <c r="A150" s="103" t="str">
        <f>_xll.BDP(B150&amp; " Corp","name")</f>
        <v>SBERBANK (SB CAP SA)</v>
      </c>
      <c r="B150" s="100" t="s">
        <v>277</v>
      </c>
      <c r="C150" s="100">
        <f>_xll.BDP(B150 &amp; " Corp","MTY_YEARS_TDY")</f>
        <v>5.1471594798083506</v>
      </c>
      <c r="D150" s="100">
        <f>_xll.BDP(B150 &amp; " Corp","px_last")</f>
        <v>104.806</v>
      </c>
      <c r="E150" s="100">
        <f>_xll.BDP(B150 &amp; " Corp","px_ask")</f>
        <v>104.761</v>
      </c>
      <c r="F150" s="100">
        <f>_xll.BDP(B150 &amp; " Corp","YLD_YTM_BID")</f>
        <v>4.1360039999999998</v>
      </c>
      <c r="G150" s="100">
        <f>_xll.BDP(B150 &amp; " Corp","YLD_YTM_ask")</f>
        <v>4.0103036999999997</v>
      </c>
      <c r="H150" s="100">
        <f>_xll.BDP(B150 &amp; " Corp","CPN")</f>
        <v>5.125</v>
      </c>
      <c r="I150" s="100" t="str">
        <f>_xll.BDP(B150&amp; " Corp","MATURITY")</f>
        <v>29/10/2022</v>
      </c>
      <c r="J150" s="100" t="str">
        <f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/BB+/Ba2</v>
      </c>
      <c r="K150" s="100" t="str">
        <f>_xll.BDP($B150&amp; " Corp","INDUSTRY_SUBGROUP")</f>
        <v>Commer Banks Non-US</v>
      </c>
      <c r="L150" s="100" t="str">
        <f>_xll.BDP(B150 &amp; " Corp","CRNCY")</f>
        <v>USD</v>
      </c>
      <c r="M150" s="100" t="str">
        <f>_xll.BDP(B150 &amp; " Corp","CNTRY_OF_RISK")</f>
        <v>RU</v>
      </c>
      <c r="N150" s="100" t="str">
        <f>_xll.BDP($B150&amp; " Corp","PAYMENT_RANK")</f>
        <v>Subordinated</v>
      </c>
      <c r="O150" s="100" t="str">
        <f>_xll.BDP($B150&amp; " Corp","MTY_TYP")</f>
        <v>AT MATURITY</v>
      </c>
      <c r="P150" s="100" t="str">
        <f>_xll.BDP($B150&amp; " Corp","RUSSIAN_CB_LOMBARD")</f>
        <v>N</v>
      </c>
      <c r="Q150" s="102">
        <f>_xll.BDP(B148&amp;" Corp", "INTERVAL_PERCENT_CHANGE", "END_DATE_OVERRIDE"," ", "START_DATE_OVERRIDe",R150)</f>
        <v>5.0653401870876786</v>
      </c>
      <c r="R150" s="101">
        <v>20140716</v>
      </c>
      <c r="S150" s="100">
        <f>_xll.BDP($B148&amp; " Corp","PX_GROSS_MID")</f>
        <v>106.337875</v>
      </c>
      <c r="T150" s="99">
        <f>_xll.BDP($B148&amp; " Corp","MIN_PIECE")</f>
        <v>200000</v>
      </c>
    </row>
    <row r="151" spans="1:20" ht="15.75" x14ac:dyDescent="0.25">
      <c r="A151" s="100" t="str">
        <f>_xll.BDP(B151&amp; " Corp","name")</f>
        <v>LUKOIL INTL FINANCE BV</v>
      </c>
      <c r="B151" s="100" t="s">
        <v>267</v>
      </c>
      <c r="C151" s="100">
        <f>_xll.BDP(B151 &amp; " Corp","MTY_YEARS_TDY")</f>
        <v>4.7529089664613275</v>
      </c>
      <c r="D151" s="100">
        <f>_xll.BDP(B151 &amp; " Corp","px_last")</f>
        <v>113.294</v>
      </c>
      <c r="E151" s="100">
        <f>_xll.BDP(B151 &amp; " Corp","px_ask")</f>
        <v>113.29900000000001</v>
      </c>
      <c r="F151" s="100">
        <f>_xll.BDP(B151 &amp; " Corp","YLD_YTM_BID")</f>
        <v>3.6179766131664732</v>
      </c>
      <c r="G151" s="100">
        <f>_xll.BDP(B151 &amp; " Corp","YLD_YTM_ask")</f>
        <v>3.516262799019001</v>
      </c>
      <c r="H151" s="100">
        <f>_xll.BDP(B151 &amp; " Corp","CPN")</f>
        <v>6.6559999999999997</v>
      </c>
      <c r="I151" s="100" t="str">
        <f>_xll.BDP(B151&amp; " Corp","MATURITY")</f>
        <v>07/06/2022</v>
      </c>
      <c r="J151" s="100" t="str">
        <f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BBB-/BBB-/Ba1</v>
      </c>
      <c r="K151" s="100" t="str">
        <f>_xll.BDP($B151&amp; " Corp","INDUSTRY_SUBGROUP")</f>
        <v>Oil Comp-Integrated</v>
      </c>
      <c r="L151" s="100" t="str">
        <f>_xll.BDP(B151 &amp; " Corp","CRNCY")</f>
        <v>USD</v>
      </c>
      <c r="M151" s="100" t="str">
        <f>_xll.BDP(B151 &amp; " Corp","CNTRY_OF_RISK")</f>
        <v>RU</v>
      </c>
      <c r="N151" s="100" t="str">
        <f>_xll.BDP($B151&amp; " Corp","PAYMENT_RANK")</f>
        <v>Sr Unsecured</v>
      </c>
      <c r="O151" s="100" t="str">
        <f>_xll.BDP($B151&amp; " Corp","MTY_TYP")</f>
        <v>AT MATURITY</v>
      </c>
      <c r="P151" s="100" t="str">
        <f>_xll.BDP($B151&amp; " Corp","RUSSIAN_CB_LOMBARD")</f>
        <v>Y</v>
      </c>
      <c r="Q151" s="102">
        <f>_xll.BDP(B149&amp;" Corp", "INTERVAL_PERCENT_CHANGE", "END_DATE_OVERRIDE"," ", "START_DATE_OVERRIDe",R151)</f>
        <v>4.1271642158768724</v>
      </c>
      <c r="R151" s="101">
        <v>20140716</v>
      </c>
      <c r="S151" s="100">
        <f>_xll.BDP($B149&amp; " Corp","PX_GROSS_MID")</f>
        <v>111.18016666666666</v>
      </c>
      <c r="T151" s="99">
        <f>_xll.BDP($B149&amp; " Corp","MIN_PIECE")</f>
        <v>200000</v>
      </c>
    </row>
    <row r="152" spans="1:20" ht="15.75" x14ac:dyDescent="0.25">
      <c r="A152" s="100" t="str">
        <f>_xll.BDP(B152&amp; " Corp","name")</f>
        <v>GAZPROM (GAZ CAPITAL SA)</v>
      </c>
      <c r="B152" s="100" t="s">
        <v>270</v>
      </c>
      <c r="C152" s="100">
        <f>_xll.BDP(B152 &amp; " Corp","MTY_YEARS_TDY")</f>
        <v>4.5010266940451746</v>
      </c>
      <c r="D152" s="100">
        <f>_xll.BDP(B152 &amp; " Corp","px_last")</f>
        <v>111.56399999999999</v>
      </c>
      <c r="E152" s="100">
        <f>_xll.BDP(B152 &amp; " Corp","px_ask")</f>
        <v>111.372</v>
      </c>
      <c r="F152" s="100">
        <f>_xll.BDP(B152 &amp; " Corp","YLD_YTM_BID")</f>
        <v>3.746203096706433</v>
      </c>
      <c r="G152" s="100">
        <f>_xll.BDP(B152 &amp; " Corp","YLD_YTM_ask")</f>
        <v>3.6351026462165419</v>
      </c>
      <c r="H152" s="100">
        <f>_xll.BDP(B152 &amp; " Corp","CPN")</f>
        <v>6.51</v>
      </c>
      <c r="I152" s="100" t="str">
        <f>_xll.BDP(B152&amp; " Corp","MATURITY")</f>
        <v>07/03/2022</v>
      </c>
      <c r="J152" s="100" t="str">
        <f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BB+/BBB-/Ba1</v>
      </c>
      <c r="K152" s="100" t="str">
        <f>_xll.BDP($B152&amp; " Corp","INDUSTRY_SUBGROUP")</f>
        <v>Oil Comp-Integrated</v>
      </c>
      <c r="L152" s="100" t="str">
        <f>_xll.BDP(B152 &amp; " Corp","CRNCY")</f>
        <v>USD</v>
      </c>
      <c r="M152" s="100" t="str">
        <f>_xll.BDP(B152 &amp; " Corp","CNTRY_OF_RISK")</f>
        <v>RU</v>
      </c>
      <c r="N152" s="100" t="str">
        <f>_xll.BDP($B152&amp; " Corp","PAYMENT_RANK")</f>
        <v>Sr Unsecured</v>
      </c>
      <c r="O152" s="100" t="str">
        <f>_xll.BDP($B152&amp; " Corp","MTY_TYP")</f>
        <v>AT MATURITY</v>
      </c>
      <c r="P152" s="100" t="str">
        <f>_xll.BDP($B152&amp; " Corp","RUSSIAN_CB_LOMBARD")</f>
        <v>Y</v>
      </c>
      <c r="Q152" s="102">
        <f>_xll.BDP(B150&amp;" Corp", "INTERVAL_PERCENT_CHANGE", "END_DATE_OVERRIDE"," ", "START_DATE_OVERRIDe",R152)</f>
        <v>7.4430900212974622</v>
      </c>
      <c r="R152" s="101">
        <v>20140716</v>
      </c>
      <c r="S152" s="100">
        <f>_xll.BDP($B150&amp; " Corp","PX_GROSS_MID")</f>
        <v>106.79855555555555</v>
      </c>
      <c r="T152" s="99">
        <f>_xll.BDP($B150&amp; " Corp","MIN_PIECE")</f>
        <v>200000</v>
      </c>
    </row>
    <row r="153" spans="1:20" ht="15.75" x14ac:dyDescent="0.25">
      <c r="A153" s="100" t="str">
        <f>_xll.BDP(B153&amp; " Corp","name")</f>
        <v>GAZPROM (GAZ CAPITAL SA)</v>
      </c>
      <c r="B153" s="100" t="s">
        <v>269</v>
      </c>
      <c r="C153" s="100">
        <f>_xll.BDP(B153 &amp; " Corp","MTY_YEARS_TDY")</f>
        <v>3.3839835728952772</v>
      </c>
      <c r="D153" s="100">
        <f>_xll.BDP(B153 &amp; " Corp","px_last")</f>
        <v>108.44</v>
      </c>
      <c r="E153" s="100">
        <f>_xll.BDP(B153 &amp; " Corp","px_ask")</f>
        <v>108.6</v>
      </c>
      <c r="F153" s="100">
        <f>_xll.BDP(B153 &amp; " Corp","YLD_YTM_BID")</f>
        <v>3.3861935000000001</v>
      </c>
      <c r="G153" s="100">
        <f>_xll.BDP(B153 &amp; " Corp","YLD_YTM_ask")</f>
        <v>3.2352935</v>
      </c>
      <c r="H153" s="100">
        <f>_xll.BDP(B153 &amp; " Corp","CPN")</f>
        <v>5.9989999999999997</v>
      </c>
      <c r="I153" s="100" t="str">
        <f>_xll.BDP(B153&amp; " Corp","MATURITY")</f>
        <v>23/01/2021</v>
      </c>
      <c r="J153" s="100" t="str">
        <f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BB+/BBB-/Ba1</v>
      </c>
      <c r="K153" s="100" t="str">
        <f>_xll.BDP($B153&amp; " Corp","INDUSTRY_SUBGROUP")</f>
        <v>Oil Comp-Integrated</v>
      </c>
      <c r="L153" s="100" t="str">
        <f>_xll.BDP(B153 &amp; " Corp","CRNCY")</f>
        <v>USD</v>
      </c>
      <c r="M153" s="100" t="str">
        <f>_xll.BDP(B153 &amp; " Corp","CNTRY_OF_RISK")</f>
        <v>RU</v>
      </c>
      <c r="N153" s="100" t="str">
        <f>_xll.BDP($B153&amp; " Corp","PAYMENT_RANK")</f>
        <v>Sr Unsecured</v>
      </c>
      <c r="O153" s="100" t="str">
        <f>_xll.BDP($B153&amp; " Corp","MTY_TYP")</f>
        <v>AT MATURITY</v>
      </c>
      <c r="P153" s="100" t="str">
        <f>_xll.BDP($B153&amp; " Corp","RUSSIAN_CB_LOMBARD")</f>
        <v>Y</v>
      </c>
      <c r="Q153" s="102">
        <f>_xll.BDP(B151&amp;" Corp", "INTERVAL_PERCENT_CHANGE", "END_DATE_OVERRIDE"," ", "START_DATE_OVERRIDe",R153)</f>
        <v>2.1843488582371431</v>
      </c>
      <c r="R153" s="101">
        <v>20140716</v>
      </c>
      <c r="S153" s="100">
        <f>_xll.BDP($B151&amp; " Corp","PX_GROSS_MID")</f>
        <v>115.17986666666668</v>
      </c>
      <c r="T153" s="99">
        <f>_xll.BDP($B151&amp; " Corp","MIN_PIECE")</f>
        <v>100000</v>
      </c>
    </row>
    <row r="154" spans="1:20" ht="15.75" x14ac:dyDescent="0.25">
      <c r="A154" s="100" t="str">
        <f>_xll.BDP(B154&amp; " Corp","name")</f>
        <v>GAZPROM (GAZ CAPITAL SA)</v>
      </c>
      <c r="B154" s="100" t="s">
        <v>266</v>
      </c>
      <c r="C154" s="100">
        <f>_xll.BDP(B154 &amp; " Corp","MTY_YEARS_TDY")</f>
        <v>4.8678986995208762</v>
      </c>
      <c r="D154" s="100">
        <f>_xll.BDP(B154 &amp; " Corp","px_last")</f>
        <v>105.242</v>
      </c>
      <c r="E154" s="100">
        <f>_xll.BDP(B154 &amp; " Corp","px_ask")</f>
        <v>105.26300000000001</v>
      </c>
      <c r="F154" s="100">
        <f>_xll.BDP(B154 &amp; " Corp","YLD_YTM_BID")</f>
        <v>3.8093553</v>
      </c>
      <c r="G154" s="100">
        <f>_xll.BDP(B154 &amp; " Corp","YLD_YTM_ask")</f>
        <v>3.6964717999999999</v>
      </c>
      <c r="H154" s="100">
        <f>_xll.BDP(B154 &amp; " Corp","CPN")</f>
        <v>4.95</v>
      </c>
      <c r="I154" s="100" t="str">
        <f>_xll.BDP(B154&amp; " Corp","MATURITY")</f>
        <v>19/07/2022</v>
      </c>
      <c r="J154" s="100" t="str">
        <f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BB+/BBB-/Ba1</v>
      </c>
      <c r="K154" s="100" t="str">
        <f>_xll.BDP($B154&amp; " Corp","INDUSTRY_SUBGROUP")</f>
        <v>Oil Comp-Integrated</v>
      </c>
      <c r="L154" s="100" t="str">
        <f>_xll.BDP(B154 &amp; " Corp","CRNCY")</f>
        <v>USD</v>
      </c>
      <c r="M154" s="100" t="str">
        <f>_xll.BDP(B154 &amp; " Corp","CNTRY_OF_RISK")</f>
        <v>RU</v>
      </c>
      <c r="N154" s="100" t="str">
        <f>_xll.BDP($B154&amp; " Corp","PAYMENT_RANK")</f>
        <v>Sr Unsecured</v>
      </c>
      <c r="O154" s="100" t="str">
        <f>_xll.BDP($B154&amp; " Corp","MTY_TYP")</f>
        <v>AT MATURITY</v>
      </c>
      <c r="P154" s="100" t="str">
        <f>_xll.BDP($B154&amp; " Corp","RUSSIAN_CB_LOMBARD")</f>
        <v>Y</v>
      </c>
      <c r="Q154" s="102">
        <f>_xll.BDP(B152&amp;" Corp", "INTERVAL_PERCENT_CHANGE", "END_DATE_OVERRIDE"," ", "START_DATE_OVERRIDe",R154)</f>
        <v>2.8310085660236419</v>
      </c>
      <c r="R154" s="101">
        <v>20140716</v>
      </c>
      <c r="S154" s="100">
        <f>_xll.BDP($B152&amp; " Corp","PX_GROSS_MID")</f>
        <v>111.73899999999999</v>
      </c>
      <c r="T154" s="99">
        <f>_xll.BDP($B152&amp; " Corp","MIN_PIECE")</f>
        <v>100000</v>
      </c>
    </row>
    <row r="155" spans="1:20" ht="15.75" x14ac:dyDescent="0.25">
      <c r="A155" s="103" t="str">
        <f>_xll.BDP(B155&amp; " Corp","name")</f>
        <v>SBERBANK (SB CAP SA)</v>
      </c>
      <c r="B155" s="100" t="s">
        <v>265</v>
      </c>
      <c r="C155" s="100">
        <f>_xll.BDP(B155 &amp; " Corp","MTY_YEARS_TDY")</f>
        <v>4.4243668720054758</v>
      </c>
      <c r="D155" s="100">
        <f>_xll.BDP(B155 &amp; " Corp","px_last")</f>
        <v>109.726</v>
      </c>
      <c r="E155" s="100">
        <f>_xll.BDP(B155 &amp; " Corp","px_ask")</f>
        <v>109.759</v>
      </c>
      <c r="F155" s="100">
        <f>_xll.BDP(B155 &amp; " Corp","YLD_YTM_BID")</f>
        <v>3.7577762999999997</v>
      </c>
      <c r="G155" s="100">
        <f>_xll.BDP(B155 &amp; " Corp","YLD_YTM_ask")</f>
        <v>3.6420113000000001</v>
      </c>
      <c r="H155" s="100">
        <f>_xll.BDP(B155 &amp; " Corp","CPN")</f>
        <v>6.125</v>
      </c>
      <c r="I155" s="100" t="str">
        <f>_xll.BDP(B155&amp; " Corp","MATURITY")</f>
        <v>07/02/2022</v>
      </c>
      <c r="J155" s="100" t="str">
        <f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/BBB-/Ba1</v>
      </c>
      <c r="K155" s="100" t="str">
        <f>_xll.BDP($B155&amp; " Corp","INDUSTRY_SUBGROUP")</f>
        <v>Commer Banks Non-US</v>
      </c>
      <c r="L155" s="100" t="str">
        <f>_xll.BDP(B155 &amp; " Corp","CRNCY")</f>
        <v>USD</v>
      </c>
      <c r="M155" s="100" t="str">
        <f>_xll.BDP(B155 &amp; " Corp","CNTRY_OF_RISK")</f>
        <v>RU</v>
      </c>
      <c r="N155" s="100" t="str">
        <f>_xll.BDP($B155&amp; " Corp","PAYMENT_RANK")</f>
        <v>Sr Unsecured</v>
      </c>
      <c r="O155" s="100" t="str">
        <f>_xll.BDP($B155&amp; " Corp","MTY_TYP")</f>
        <v>AT MATURITY</v>
      </c>
      <c r="P155" s="100" t="str">
        <f>_xll.BDP($B155&amp; " Corp","RUSSIAN_CB_LOMBARD")</f>
        <v>Y</v>
      </c>
      <c r="Q155" s="102">
        <f>_xll.BDP(B153&amp;" Corp", "INTERVAL_PERCENT_CHANGE", "END_DATE_OVERRIDE"," ", "START_DATE_OVERRIDe",R155)</f>
        <v>2.5019356461818067</v>
      </c>
      <c r="R155" s="101">
        <v>20140716</v>
      </c>
      <c r="S155" s="100">
        <f>_xll.BDP($B153&amp; " Corp","PX_GROSS_MID")</f>
        <v>109.37317777777777</v>
      </c>
      <c r="T155" s="99">
        <f>_xll.BDP($B153&amp; " Corp","MIN_PIECE")</f>
        <v>200000</v>
      </c>
    </row>
    <row r="156" spans="1:20" ht="15.75" x14ac:dyDescent="0.25">
      <c r="A156" s="103" t="str">
        <f>_xll.BDP(B156&amp; " Corp","name")</f>
        <v>SBERBANK (SB CAP SA)</v>
      </c>
      <c r="B156" s="100" t="s">
        <v>264</v>
      </c>
      <c r="C156" s="100">
        <f>_xll.BDP(B156 &amp; " Corp","MTY_YEARS_TDY")</f>
        <v>3.7782340862422998</v>
      </c>
      <c r="D156" s="100">
        <f>_xll.BDP(B156 &amp; " Corp","px_last")</f>
        <v>108.84399999999999</v>
      </c>
      <c r="E156" s="100">
        <f>_xll.BDP(B156 &amp; " Corp","px_ask")</f>
        <v>109.018</v>
      </c>
      <c r="F156" s="100">
        <f>_xll.BDP(B156 &amp; " Corp","YLD_YTM_BID")</f>
        <v>3.2625291999999999</v>
      </c>
      <c r="G156" s="100">
        <f>_xll.BDP(B156 &amp; " Corp","YLD_YTM_ask")</f>
        <v>3.1162266000000001</v>
      </c>
      <c r="H156" s="100">
        <f>_xll.BDP(B156 &amp; " Corp","CPN")</f>
        <v>5.7169999999999996</v>
      </c>
      <c r="I156" s="100" t="str">
        <f>_xll.BDP(B156&amp; " Corp","MATURITY")</f>
        <v>16/06/2021</v>
      </c>
      <c r="J156" s="100" t="str">
        <f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/BBB-/Ba1</v>
      </c>
      <c r="K156" s="100" t="str">
        <f>_xll.BDP($B156&amp; " Corp","INDUSTRY_SUBGROUP")</f>
        <v>Commer Banks Non-US</v>
      </c>
      <c r="L156" s="100" t="str">
        <f>_xll.BDP(B156 &amp; " Corp","CRNCY")</f>
        <v>USD</v>
      </c>
      <c r="M156" s="100" t="str">
        <f>_xll.BDP(B156 &amp; " Corp","CNTRY_OF_RISK")</f>
        <v>RU</v>
      </c>
      <c r="N156" s="100" t="str">
        <f>_xll.BDP($B156&amp; " Corp","PAYMENT_RANK")</f>
        <v>Sr Unsecured</v>
      </c>
      <c r="O156" s="100" t="str">
        <f>_xll.BDP($B156&amp; " Corp","MTY_TYP")</f>
        <v>AT MATURITY</v>
      </c>
      <c r="P156" s="100" t="str">
        <f>_xll.BDP($B156&amp; " Corp","RUSSIAN_CB_LOMBARD")</f>
        <v>Y</v>
      </c>
      <c r="Q156" s="102">
        <f>_xll.BDP(B154&amp;" Corp", "INTERVAL_PERCENT_CHANGE", "END_DATE_OVERRIDE"," ", "START_DATE_OVERRIDe",R156)</f>
        <v>5.0016554195589311</v>
      </c>
      <c r="R156" s="101">
        <v>20140716</v>
      </c>
      <c r="S156" s="100">
        <f>_xll.BDP($B154&amp; " Corp","PX_GROSS_MID")</f>
        <v>106.06699999999999</v>
      </c>
      <c r="T156" s="99">
        <f>_xll.BDP($B154&amp; " Corp","MIN_PIECE")</f>
        <v>200000</v>
      </c>
    </row>
    <row r="157" spans="1:20" ht="15.75" x14ac:dyDescent="0.25">
      <c r="A157" s="100" t="str">
        <f>_xll.BDP(B157&amp; " Corp","name")</f>
        <v>EURASIAN DEVELOPMENT BAN</v>
      </c>
      <c r="B157" s="100" t="s">
        <v>263</v>
      </c>
      <c r="C157" s="100">
        <f>_xll.BDP(B157 &amp; " Corp","MTY_YEARS_TDY")</f>
        <v>5.0130047912388775</v>
      </c>
      <c r="D157" s="100">
        <f>_xll.BDP(B157 &amp; " Corp","px_last")</f>
        <v>104.78400000000001</v>
      </c>
      <c r="E157" s="100">
        <f>_xll.BDP(B157 &amp; " Corp","px_ask")</f>
        <v>105.038</v>
      </c>
      <c r="F157" s="100">
        <f>_xll.BDP(B157 &amp; " Corp","YLD_YTM_BID")</f>
        <v>3.7650500999999998</v>
      </c>
      <c r="G157" s="100">
        <f>_xll.BDP(B157 &amp; " Corp","YLD_YTM_ask")</f>
        <v>3.6558847000000001</v>
      </c>
      <c r="H157" s="100">
        <f>_xll.BDP(B157 &amp; " Corp","CPN")</f>
        <v>4.7670000000000003</v>
      </c>
      <c r="I157" s="100" t="str">
        <f>_xll.BDP(B157&amp; " Corp","MATURITY")</f>
        <v>20/09/2022</v>
      </c>
      <c r="J157" s="100" t="str">
        <f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BBB-/WD/Baa1</v>
      </c>
      <c r="K157" s="100" t="str">
        <f>_xll.BDP($B157&amp; " Corp","INDUSTRY_SUBGROUP")</f>
        <v>Supranational Bank</v>
      </c>
      <c r="L157" s="100" t="str">
        <f>_xll.BDP(B157 &amp; " Corp","CRNCY")</f>
        <v>USD</v>
      </c>
      <c r="M157" s="100" t="str">
        <f>_xll.BDP(B157 &amp; " Corp","CNTRY_OF_RISK")</f>
        <v>SNAT</v>
      </c>
      <c r="N157" s="100" t="str">
        <f>_xll.BDP($B157&amp; " Corp","PAYMENT_RANK")</f>
        <v>Sr Unsecured</v>
      </c>
      <c r="O157" s="100" t="str">
        <f>_xll.BDP($B157&amp; " Corp","MTY_TYP")</f>
        <v>AT MATURITY</v>
      </c>
      <c r="P157" s="100" t="str">
        <f>_xll.BDP($B157&amp; " Corp","RUSSIAN_CB_LOMBARD")</f>
        <v>Y</v>
      </c>
      <c r="Q157" s="102">
        <f>_xll.BDP(B155&amp;" Corp", "INTERVAL_PERCENT_CHANGE", "END_DATE_OVERRIDE"," ", "START_DATE_OVERRIDe",R157)</f>
        <v>3.6871474991968265</v>
      </c>
      <c r="R157" s="101">
        <v>20140716</v>
      </c>
      <c r="S157" s="100">
        <f>_xll.BDP($B155&amp; " Corp","PX_GROSS_MID")</f>
        <v>110.44008333333335</v>
      </c>
      <c r="T157" s="99">
        <f>_xll.BDP($B155&amp; " Corp","MIN_PIECE")</f>
        <v>200000</v>
      </c>
    </row>
    <row r="158" spans="1:20" ht="15.75" x14ac:dyDescent="0.25">
      <c r="Q158" s="102">
        <f>_xll.BDP(B156&amp;" Corp", "INTERVAL_PERCENT_CHANGE", "END_DATE_OVERRIDE"," ", "START_DATE_OVERRIDe",R158)</f>
        <v>3.0628562119287563</v>
      </c>
      <c r="R158" s="101">
        <v>20140716</v>
      </c>
      <c r="S158" s="100">
        <f>_xll.BDP($B156&amp; " Corp","PX_GROSS_MID")</f>
        <v>110.32039166666667</v>
      </c>
      <c r="T158" s="99">
        <f>_xll.BDP($B156&amp; " Corp","MIN_PIECE")</f>
        <v>200000</v>
      </c>
    </row>
    <row r="159" spans="1:20" ht="15.75" x14ac:dyDescent="0.25">
      <c r="Q159" s="102">
        <f>_xll.BDP(B157&amp;" Corp", "INTERVAL_PERCENT_CHANGE", "END_DATE_OVERRIDE"," ", "START_DATE_OVERRIDe",R159)</f>
        <v>3.4799790093668586</v>
      </c>
      <c r="R159" s="101">
        <v>20140716</v>
      </c>
      <c r="S159" s="100">
        <f>_xll.BDP($B157&amp; " Corp","PX_GROSS_MID")</f>
        <v>107.15425833333333</v>
      </c>
      <c r="T159" s="99">
        <f>_xll.BDP($B157&amp; " Corp","MIN_PIECE")</f>
        <v>200000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74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29" t="s">
        <v>108</v>
      </c>
      <c r="G1" s="29">
        <f>_xll.BDP(F1,"PX last")</f>
        <v>57.5441</v>
      </c>
    </row>
    <row r="3" spans="1:7" ht="38.25" x14ac:dyDescent="0.25">
      <c r="A3" s="131" t="s">
        <v>95</v>
      </c>
      <c r="B3" s="130" t="s">
        <v>94</v>
      </c>
      <c r="C3" s="130" t="s">
        <v>434</v>
      </c>
      <c r="D3" s="130" t="s">
        <v>105</v>
      </c>
      <c r="E3" s="130" t="s">
        <v>104</v>
      </c>
      <c r="F3" s="130" t="s">
        <v>87</v>
      </c>
      <c r="G3" s="130" t="s">
        <v>463</v>
      </c>
    </row>
    <row r="4" spans="1:7" x14ac:dyDescent="0.25">
      <c r="A4" s="126" t="str">
        <f>_xll.BDP(B4,"SHORT_NAME")</f>
        <v>LSR</v>
      </c>
      <c r="B4" s="36" t="s">
        <v>135</v>
      </c>
      <c r="C4" s="132" t="str">
        <f>_xll.BDP(B4,"ID_ISIN")</f>
        <v>RU000A0JPFP0</v>
      </c>
      <c r="D4" s="125">
        <v>45912</v>
      </c>
      <c r="E4" s="126">
        <f>_xll.BDP(B4,"PX_LAST")</f>
        <v>809</v>
      </c>
      <c r="F4" s="127" t="str">
        <f>_xll.BDP(B4,"CRNCY")</f>
        <v>RUB</v>
      </c>
      <c r="G4" s="128">
        <f>D4*E4/$G$1</f>
        <v>645466.83326353179</v>
      </c>
    </row>
    <row r="5" spans="1:7" x14ac:dyDescent="0.25">
      <c r="A5" s="126" t="str">
        <f>_xll.BDP(B5,"SHORT_NAME")</f>
        <v>INTER RAO</v>
      </c>
      <c r="B5" s="36" t="s">
        <v>66</v>
      </c>
      <c r="C5" s="132" t="str">
        <f>_xll.BDP(B5,"ID_ISIN")</f>
        <v>RU000A0JPNM1</v>
      </c>
      <c r="D5" s="125">
        <v>38544200</v>
      </c>
      <c r="E5" s="126">
        <f>_xll.BDP(B5,"PX_LAST")</f>
        <v>3.8639999999999999</v>
      </c>
      <c r="F5" s="127" t="str">
        <f>_xll.BDP(B5,"CRNCY")</f>
        <v>RUB</v>
      </c>
      <c r="G5" s="128">
        <f>D5*E5/$G$1</f>
        <v>2588185.2144702929</v>
      </c>
    </row>
    <row r="6" spans="1:7" x14ac:dyDescent="0.25">
      <c r="A6" s="56" t="s">
        <v>464</v>
      </c>
      <c r="B6" s="123"/>
      <c r="C6" s="123"/>
      <c r="D6" s="123"/>
      <c r="E6" s="123"/>
      <c r="F6" s="123"/>
      <c r="G6" s="124">
        <f>SUM(G4:G5)</f>
        <v>3233652.0477338247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74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74">
        <f>SUM(G9:G10)</f>
        <v>3501640.0024799998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74" bestFit="1" customWidth="1"/>
    <col min="2" max="2" width="17.28515625" style="74" customWidth="1"/>
    <col min="3" max="3" width="10.7109375" style="74" customWidth="1"/>
    <col min="4" max="4" width="11.28515625" style="74" customWidth="1"/>
    <col min="5" max="5" width="11" style="74" customWidth="1"/>
    <col min="6" max="6" width="12.42578125" style="74" customWidth="1"/>
    <col min="7" max="7" width="11.5703125" style="74" customWidth="1"/>
    <col min="8" max="8" width="7" style="74" customWidth="1"/>
    <col min="9" max="9" width="10.7109375" style="74" customWidth="1"/>
    <col min="10" max="10" width="9.28515625" style="74" customWidth="1"/>
    <col min="11" max="11" width="8.28515625" style="74" customWidth="1"/>
    <col min="12" max="12" width="6.5703125" style="74" customWidth="1"/>
    <col min="13" max="13" width="9.85546875" style="74" customWidth="1"/>
    <col min="14" max="14" width="7.140625" style="74" customWidth="1"/>
    <col min="15" max="15" width="6.140625" style="74" customWidth="1"/>
    <col min="16" max="16" width="10.42578125" style="74" customWidth="1"/>
    <col min="17" max="17" width="10.5703125" style="74" customWidth="1"/>
    <col min="18" max="18" width="7.140625" style="74" customWidth="1"/>
    <col min="19" max="19" width="10" style="74" customWidth="1"/>
    <col min="20" max="20" width="11.140625" style="74" customWidth="1"/>
    <col min="21" max="21" width="9.5703125" style="74" customWidth="1"/>
    <col min="22" max="22" width="10.42578125" style="74" customWidth="1"/>
    <col min="23" max="23" width="10.85546875" style="74" customWidth="1"/>
    <col min="24" max="24" width="9.42578125" style="74" customWidth="1"/>
    <col min="25" max="25" width="8.7109375" style="74" customWidth="1"/>
    <col min="26" max="26" width="12.85546875" style="74" customWidth="1"/>
    <col min="27" max="27" width="7.28515625" style="74" customWidth="1"/>
    <col min="28" max="28" width="10.42578125" style="74" customWidth="1"/>
    <col min="29" max="29" width="8.85546875" style="74" bestFit="1" customWidth="1"/>
    <col min="30" max="30" width="8" style="74" customWidth="1"/>
    <col min="31" max="31" width="10.42578125" style="74" customWidth="1"/>
    <col min="32" max="33" width="9.140625" style="74"/>
    <col min="34" max="34" width="13.85546875" style="74" customWidth="1"/>
    <col min="35" max="16384" width="9.140625" style="74"/>
  </cols>
  <sheetData>
    <row r="1" spans="1:51" s="182" customFormat="1" ht="45.75" thickBot="1" x14ac:dyDescent="0.3">
      <c r="A1" s="180" t="s">
        <v>0</v>
      </c>
      <c r="B1" s="143" t="s">
        <v>9</v>
      </c>
      <c r="C1" s="143" t="s">
        <v>24</v>
      </c>
      <c r="D1" s="143" t="s">
        <v>30</v>
      </c>
      <c r="E1" s="143" t="s">
        <v>29</v>
      </c>
      <c r="F1" s="143" t="s">
        <v>198</v>
      </c>
      <c r="G1" s="143" t="s">
        <v>480</v>
      </c>
      <c r="H1" s="143" t="s">
        <v>498</v>
      </c>
      <c r="I1" s="145" t="s">
        <v>15</v>
      </c>
      <c r="J1" s="143" t="s">
        <v>482</v>
      </c>
      <c r="K1" s="143" t="s">
        <v>237</v>
      </c>
      <c r="L1" s="143" t="s">
        <v>238</v>
      </c>
      <c r="M1" s="143" t="s">
        <v>1</v>
      </c>
      <c r="N1" s="143" t="s">
        <v>481</v>
      </c>
      <c r="O1" s="144" t="s">
        <v>470</v>
      </c>
      <c r="P1" s="144" t="s">
        <v>495</v>
      </c>
      <c r="Q1" s="143" t="s">
        <v>164</v>
      </c>
      <c r="R1" s="143" t="s">
        <v>168</v>
      </c>
      <c r="S1" s="143" t="s">
        <v>169</v>
      </c>
      <c r="T1" s="143" t="s">
        <v>163</v>
      </c>
      <c r="U1" s="143" t="s">
        <v>170</v>
      </c>
      <c r="V1" s="143" t="s">
        <v>171</v>
      </c>
      <c r="W1" s="143" t="s">
        <v>172</v>
      </c>
      <c r="X1" s="143" t="s">
        <v>173</v>
      </c>
      <c r="Y1" s="143" t="s">
        <v>174</v>
      </c>
      <c r="Z1" s="143" t="s">
        <v>175</v>
      </c>
      <c r="AA1" s="143" t="s">
        <v>176</v>
      </c>
      <c r="AB1" s="143" t="s">
        <v>440</v>
      </c>
      <c r="AC1" s="143" t="s">
        <v>23</v>
      </c>
      <c r="AD1" s="143" t="s">
        <v>178</v>
      </c>
      <c r="AE1" s="181" t="s">
        <v>497</v>
      </c>
      <c r="AF1" s="181" t="s">
        <v>141</v>
      </c>
      <c r="AG1" s="181">
        <f>_xll.BDP($AF$1,"PX_LAST")</f>
        <v>1.3208</v>
      </c>
      <c r="AH1" s="181" t="s">
        <v>108</v>
      </c>
      <c r="AI1" s="181">
        <f>_xll.BDP($AH$1,"PX_LAST")</f>
        <v>57.5441</v>
      </c>
      <c r="AJ1" s="181" t="s">
        <v>202</v>
      </c>
      <c r="AK1" s="181">
        <f>_xll.BDP($AJ$1,"PX_LAST")</f>
        <v>7.8122999999999996</v>
      </c>
      <c r="AL1" s="181" t="s">
        <v>147</v>
      </c>
      <c r="AM1" s="181">
        <f>_xll.BDP($AL$1,"PX_LAST")</f>
        <v>1.1893</v>
      </c>
      <c r="AN1" s="181" t="s">
        <v>203</v>
      </c>
      <c r="AO1" s="181">
        <f>_xll.BDP($AN$1,"PX_LAST")</f>
        <v>6.5292000000000003</v>
      </c>
      <c r="AP1" s="181" t="s">
        <v>204</v>
      </c>
      <c r="AQ1" s="181">
        <f>_xll.BDP($AP$1,"PX_LAST")</f>
        <v>3.0882000000000001</v>
      </c>
      <c r="AR1" s="181" t="s">
        <v>205</v>
      </c>
      <c r="AS1" s="181">
        <f>_xll.BDP($AR$1,"PX_LAST")</f>
        <v>7.8491</v>
      </c>
      <c r="AT1" s="181" t="s">
        <v>206</v>
      </c>
      <c r="AU1" s="181">
        <f>_xll.BDP($AT$1,"PX_LAST")</f>
        <v>12.943099999999999</v>
      </c>
      <c r="AV1" s="181" t="s">
        <v>207</v>
      </c>
      <c r="AW1" s="181">
        <f>_xll.BDP($AV$1,"PX_LAST")</f>
        <v>63.9313</v>
      </c>
      <c r="AX1" s="181" t="s">
        <v>208</v>
      </c>
      <c r="AY1" s="181">
        <f>_xll.BDP($AX$1,"PX_LAST")</f>
        <v>2917.31</v>
      </c>
    </row>
    <row r="2" spans="1:51" s="1" customFormat="1" x14ac:dyDescent="0.25">
      <c r="A2" s="183" t="s">
        <v>465</v>
      </c>
      <c r="B2" s="184" t="str">
        <f>_xll.BDP($A2,"SHORT_NAME")</f>
        <v>POLYUS</v>
      </c>
      <c r="C2" s="184">
        <f>_xll.BDP($A2,"PX_LAST")</f>
        <v>4733</v>
      </c>
      <c r="D2" s="185">
        <f>_xll.BDP($A2,"CHG_PCT_WTD")</f>
        <v>-0.29492309999999999</v>
      </c>
      <c r="E2" s="185">
        <f>_xll.BDP($A2,"CHG_PCT_1M")</f>
        <v>10.06977</v>
      </c>
      <c r="F2" s="185">
        <f>_xll.BDP($A2,"CHG_PCT_1YR")</f>
        <v>5.0316270000000003</v>
      </c>
      <c r="G2" s="185">
        <f>_xll.BDP($A2,"CHG_PCT_YTD")</f>
        <v>6.8156169999999996</v>
      </c>
      <c r="H2" s="185">
        <f>_xll.BDP($A2,"BEST_TARGET_PRICE")</f>
        <v>5630</v>
      </c>
      <c r="I2" s="186">
        <f t="shared" ref="I2:I28" si="0">H2/C2-1</f>
        <v>0.18952038875977184</v>
      </c>
      <c r="J2" s="187">
        <f>_xll.BDP($A2,"CUR_MKT_CAP")/1000000/$AI$1</f>
        <v>10985.396873476166</v>
      </c>
      <c r="K2" s="187">
        <f>_xll.BDP($A2,"EQY_FREE_FLOAT_PCT")</f>
        <v>12.401590000000001</v>
      </c>
      <c r="L2" s="188">
        <f>_xll.BDP($A2,"AVG_DAILY_VALUE_TRADED_6M")/$AI$1/1000000</f>
        <v>0.81286526333716236</v>
      </c>
      <c r="M2" s="187" t="str">
        <f>_xll.BDP($A2,"INDUSTRY_GROUP")</f>
        <v>Mining</v>
      </c>
      <c r="N2" s="188">
        <f>_xll.BDP($A2,"EQY_BETA_6M")</f>
        <v>0.3230518</v>
      </c>
      <c r="O2" s="188">
        <f>_xll.BDP($A2,"EST_PE_NXT_YR")</f>
        <v>10.1398107006817</v>
      </c>
      <c r="P2" s="188">
        <f>_xll.BDP($A2,"EST_EV_THIS_YR_EBITDA")</f>
        <v>8.5868078459970008</v>
      </c>
      <c r="Q2" s="188">
        <f>_xll.BDP($A2,"CURRENT_EV_TO_12M_SALES")</f>
        <v>5.1478945875329725</v>
      </c>
      <c r="R2" s="188">
        <f>_xll.BDP($A2,"PX_TO_BOOK_RATIO")</f>
        <v>88.006109049825966</v>
      </c>
      <c r="S2" s="188">
        <f>_xll.BDP($A2,"PX_TO_FREE_CASH_FLOW")</f>
        <v>21.252109632277811</v>
      </c>
      <c r="T2" s="188">
        <f>_xll.BDP($A2,"NET_DEBT_TO_EBITDA")</f>
        <v>1.9063846700974854</v>
      </c>
      <c r="U2" s="188">
        <f>_xll.BDP($A2,"SALES_GROWTH")</f>
        <v>21.967489877937638</v>
      </c>
      <c r="V2" s="188">
        <f>_xll.BDP($A2,"EPS_GROWTH")</f>
        <v>113.99961400718054</v>
      </c>
      <c r="W2" s="188">
        <f>_xll.BDP($A2,"EBITDA_MARGIN")</f>
        <v>60.045220449692252</v>
      </c>
      <c r="X2" s="188">
        <f>_xll.BDP($A2,"EBIT_MARGIN")</f>
        <v>53.772767240296446</v>
      </c>
      <c r="Y2" s="188">
        <f>_xll.BDP($A2,"TRAIL_12M_PROF_MARGIN")</f>
        <v>59.140811455847256</v>
      </c>
      <c r="Z2" s="188" t="str">
        <f>_xll.BDP($A2,"NORMALIZED_ROE")</f>
        <v>#N/A N/A</v>
      </c>
      <c r="AA2" s="189" t="str">
        <f>_xll.BDP($A2,"BDVD_PROJ_12M_YLD")</f>
        <v>#N/A N/A</v>
      </c>
      <c r="AB2" s="189" t="str">
        <f>_xll.BDP($A2,"DVD_RECORD_DT")</f>
        <v>25/09/2017</v>
      </c>
      <c r="AC2" s="201">
        <f>_xll.BDP($A2,"EQY_REC_CONS")</f>
        <v>5</v>
      </c>
      <c r="AD2" s="188" t="str">
        <f>_xll.BDP($A2,"PCT_REVENUE_FROM_FOREIGN_SOURCES")</f>
        <v>#N/A N/A</v>
      </c>
      <c r="AE2" s="190" t="str">
        <f>_xll.BDP($A2,"BDVD_NEXT_EST_DECL_DT")</f>
        <v>#N/A N/A</v>
      </c>
    </row>
    <row r="3" spans="1:51" s="213" customFormat="1" x14ac:dyDescent="0.25">
      <c r="A3" s="191" t="s">
        <v>115</v>
      </c>
      <c r="B3" s="2" t="str">
        <f>_xll.BDP($A3,"SHORT_NAME")</f>
        <v>NORD GOLD SE</v>
      </c>
      <c r="C3" s="2" t="str">
        <f>_xll.BDP($A3,"PX_LAST")</f>
        <v>#N/A N/A</v>
      </c>
      <c r="D3" s="5" t="str">
        <f>_xll.BDP($A3,"CHG_PCT_WTD")</f>
        <v>#N/A N/A</v>
      </c>
      <c r="E3" s="5" t="str">
        <f>_xll.BDP($A3,"CHG_PCT_1M")</f>
        <v>#N/A N/A</v>
      </c>
      <c r="F3" s="5" t="str">
        <f>_xll.BDP($A3,"CHG_PCT_1YR")</f>
        <v>#N/A N/A</v>
      </c>
      <c r="G3" s="5" t="str">
        <f>_xll.BDP($A3,"CHG_PCT_YTD")</f>
        <v>#N/A N/A</v>
      </c>
      <c r="H3" s="5" t="str">
        <f>_xll.BDP($A3,"BEST_TARGET_PRICE")</f>
        <v>#N/A N/A</v>
      </c>
      <c r="I3" s="4" t="e">
        <f t="shared" si="0"/>
        <v>#VALUE!</v>
      </c>
      <c r="J3" s="3" t="e">
        <f>_xll.BDP($A3,"CUR_MKT_CAP")/1000000</f>
        <v>#VALUE!</v>
      </c>
      <c r="K3" s="3" t="str">
        <f>_xll.BDP($A3,"EQY_FREE_FLOAT_PCT")</f>
        <v>#N/A N/A</v>
      </c>
      <c r="L3" s="6" t="e">
        <f>_xll.BDP($A3,"AVG_DAILY_VALUE_TRADED_6M")/1000000</f>
        <v>#VALUE!</v>
      </c>
      <c r="M3" s="3" t="str">
        <f>_xll.BDP($A3,"INDUSTRY_GROUP")</f>
        <v>Mining</v>
      </c>
      <c r="N3" s="6" t="str">
        <f>_xll.BDP($A3,"EQY_BETA_6M")</f>
        <v>#N/A N/A</v>
      </c>
      <c r="O3" s="6" t="str">
        <f>_xll.BDP($A3,"EST_PE_NXT_YR")</f>
        <v>#N/A N/A</v>
      </c>
      <c r="P3" s="6" t="str">
        <f>_xll.BDP($A3,"EST_EV_THIS_YR_EBITDA")</f>
        <v>#N/A N/A</v>
      </c>
      <c r="Q3" s="6" t="str">
        <f>_xll.BDP($A3,"CURRENT_EV_TO_12M_SALES")</f>
        <v>#N/A N/A</v>
      </c>
      <c r="R3" s="6" t="str">
        <f>_xll.BDP($A3,"PX_TO_BOOK_RATIO")</f>
        <v>#N/A N/A</v>
      </c>
      <c r="S3" s="6" t="str">
        <f>_xll.BDP($A3,"PX_TO_FREE_CASH_FLOW")</f>
        <v>#N/A N/A</v>
      </c>
      <c r="T3" s="6">
        <f>_xll.BDP($A3,"NET_DEBT_TO_EBITDA")</f>
        <v>1.569090230898067</v>
      </c>
      <c r="U3" s="6">
        <f>_xll.BDP($A3,"SALES_GROWTH")</f>
        <v>-4.7569288860473051</v>
      </c>
      <c r="V3" s="6">
        <f>_xll.BDP($A3,"EPS_GROWTH")</f>
        <v>-10.638297872340424</v>
      </c>
      <c r="W3" s="6">
        <f>_xll.BDP($A3,"EBITDA_MARGIN")</f>
        <v>35.360370068327477</v>
      </c>
      <c r="X3" s="6">
        <f>_xll.BDP($A3,"EBIT_MARGIN")</f>
        <v>19.443931993220705</v>
      </c>
      <c r="Y3" s="6">
        <f>_xll.BDP($A3,"TRAIL_12M_PROF_MARGIN")</f>
        <v>10.931015636179939</v>
      </c>
      <c r="Z3" s="6">
        <f>_xll.BDP($A3,"NORMALIZED_ROE")</f>
        <v>19.27030861765196</v>
      </c>
      <c r="AA3" s="7" t="str">
        <f>_xll.BDP($A3,"BDVD_PROJ_12M_YLD")</f>
        <v>#N/A N/A</v>
      </c>
      <c r="AB3" s="7" t="str">
        <f>_xll.BDP($A3,"DVD_RECORD_DT")</f>
        <v>02/03/2017</v>
      </c>
      <c r="AC3" s="96" t="str">
        <f>_xll.BDP($A3,"EQY_REC_CONS")</f>
        <v>#N/A N/A</v>
      </c>
      <c r="AD3" s="6">
        <f>_xll.BDP($A3,"PCT_REVENUE_FROM_FOREIGN_SOURCES")</f>
        <v>68.926027855774777</v>
      </c>
      <c r="AE3" s="192" t="str">
        <f>_xll.BDP($A3,"BDVD_NEXT_EST_DECL_DT")</f>
        <v>#N/A N/A</v>
      </c>
    </row>
    <row r="4" spans="1:51" s="213" customFormat="1" x14ac:dyDescent="0.25">
      <c r="A4" s="206" t="s">
        <v>112</v>
      </c>
      <c r="B4" s="207" t="str">
        <f>_xll.BDP($A4,"SHORT_NAME")</f>
        <v>HIGHLAND GOLD MI</v>
      </c>
      <c r="C4" s="207">
        <f>_xll.BDP($A4,"PX_LAST")</f>
        <v>149</v>
      </c>
      <c r="D4" s="208">
        <f>_xll.BDP($A4,"CHG_PCT_WTD")</f>
        <v>-0.63694269999999997</v>
      </c>
      <c r="E4" s="208">
        <f>_xll.BDP($A4,"CHG_PCT_1M")</f>
        <v>6.9965869999999999</v>
      </c>
      <c r="F4" s="208">
        <f>_xll.BDP($A4,"CHG_PCT_1YR")</f>
        <v>33.974359999999997</v>
      </c>
      <c r="G4" s="208">
        <f>_xll.BDP($A4,"CHG_PCT_YTD")</f>
        <v>12.164580000000001</v>
      </c>
      <c r="H4" s="208">
        <f>_xll.BDP($A4,"BEST_TARGET_PRICE")</f>
        <v>215</v>
      </c>
      <c r="I4" s="209">
        <f t="shared" si="0"/>
        <v>0.44295302013422821</v>
      </c>
      <c r="J4" s="210">
        <f>_xll.BDP($A4,"CUR_MKT_CAP")/1000000*$AG$1</f>
        <v>673.32487148269195</v>
      </c>
      <c r="K4" s="210">
        <f>_xll.BDP($A4,"EQY_FREE_FLOAT_PCT")</f>
        <v>46.757939999999998</v>
      </c>
      <c r="L4" s="211">
        <f>_xll.BDP($A4,"AVG_DAILY_VALUE_TRADED_6M")*$AG$1/100000000</f>
        <v>5.3572004615999997</v>
      </c>
      <c r="M4" s="210" t="str">
        <f>_xll.BDP($A4,"INDUSTRY_GROUP")</f>
        <v>Mining</v>
      </c>
      <c r="N4" s="211">
        <f>_xll.BDP($A4,"EQY_BETA_6M")</f>
        <v>0.80091469999999998</v>
      </c>
      <c r="O4" s="211">
        <f>_xll.BDP($A4,"EST_PE_NXT_YR")</f>
        <v>9.1778862357048929</v>
      </c>
      <c r="P4" s="211">
        <f>_xll.BDP($A4,"EST_EV_THIS_YR_EBITDA")</f>
        <v>5.3945888847792931</v>
      </c>
      <c r="Q4" s="211">
        <f>_xll.BDP($A4,"CURRENT_EV_TO_12M_SALES")</f>
        <v>2.8665389904941532</v>
      </c>
      <c r="R4" s="211">
        <f>_xll.BDP($A4,"PX_TO_BOOK_RATIO")</f>
        <v>0.88725252176728897</v>
      </c>
      <c r="S4" s="211">
        <f>_xll.BDP($A4,"PX_TO_FREE_CASH_FLOW")</f>
        <v>17.580928548411883</v>
      </c>
      <c r="T4" s="211">
        <f>_xll.BDP($A4,"NET_DEBT_TO_EBITDA")</f>
        <v>1.6968145857127372</v>
      </c>
      <c r="U4" s="211">
        <f>_xll.BDP($A4,"SALES_GROWTH")</f>
        <v>10.763465194170362</v>
      </c>
      <c r="V4" s="211" t="str">
        <f>_xll.BDP($A4,"EPS_GROWTH")</f>
        <v>#N/A N/A</v>
      </c>
      <c r="W4" s="211">
        <f>_xll.BDP($A4,"EBITDA_MARGIN")</f>
        <v>39.202889077717494</v>
      </c>
      <c r="X4" s="211">
        <f>_xll.BDP($A4,"EBIT_MARGIN")</f>
        <v>20.379109745735015</v>
      </c>
      <c r="Y4" s="211">
        <f>_xll.BDP($A4,"TRAIL_12M_PROF_MARGIN")</f>
        <v>11.800444473494998</v>
      </c>
      <c r="Z4" s="211">
        <f>_xll.BDP($A4,"NORMALIZED_ROE")</f>
        <v>8.7890399030866782</v>
      </c>
      <c r="AA4" s="129" t="str">
        <f>_xll.BDP($A4,"BDVD_PROJ_12M_YLD")</f>
        <v>#N/A N/A</v>
      </c>
      <c r="AB4" s="129" t="str">
        <f>_xll.BDP($A4,"DVD_RECORD_DT")</f>
        <v>15/09/2017</v>
      </c>
      <c r="AC4" s="205">
        <f>_xll.BDP($A4,"EQY_REC_CONS")</f>
        <v>5</v>
      </c>
      <c r="AD4" s="211" t="str">
        <f>_xll.BDP($A4,"PCT_REVENUE_FROM_FOREIGN_SOURCES")</f>
        <v>#N/A N/A</v>
      </c>
      <c r="AE4" s="212" t="str">
        <f>_xll.BDP($A4,"BDVD_NEXT_EST_DECL_DT")</f>
        <v>#N/A N/A</v>
      </c>
    </row>
    <row r="5" spans="1:51" s="1" customFormat="1" x14ac:dyDescent="0.25">
      <c r="A5" s="206" t="s">
        <v>64</v>
      </c>
      <c r="B5" s="207" t="str">
        <f>_xll.BDP($A5,"SHORT_NAME")</f>
        <v>ALROSA</v>
      </c>
      <c r="C5" s="207">
        <f>_xll.BDP($A5,"PX_LAST")</f>
        <v>81.400000000000006</v>
      </c>
      <c r="D5" s="208">
        <f>_xll.BDP($A5,"CHG_PCT_WTD")</f>
        <v>1.58629</v>
      </c>
      <c r="E5" s="208">
        <f>_xll.BDP($A5,"CHG_PCT_1M")</f>
        <v>6.2347949999999999E-2</v>
      </c>
      <c r="F5" s="208">
        <f>_xll.BDP($A5,"CHG_PCT_1YR")</f>
        <v>-2.6564800000000002</v>
      </c>
      <c r="G5" s="208">
        <f>_xll.BDP($A5,"CHG_PCT_YTD")</f>
        <v>-17.63317</v>
      </c>
      <c r="H5" s="208">
        <f>_xll.BDP($A5,"BEST_TARGET_PRICE")</f>
        <v>101.01259613037109</v>
      </c>
      <c r="I5" s="209">
        <f t="shared" si="0"/>
        <v>0.24094098440259315</v>
      </c>
      <c r="J5" s="210">
        <f>_xll.BDP($A5,"CUR_MKT_CAP")/1000000/$AI$1</f>
        <v>10271.052841342553</v>
      </c>
      <c r="K5" s="210">
        <f>_xll.BDP($A5,"EQY_FREE_FLOAT_PCT")</f>
        <v>41.941299999999998</v>
      </c>
      <c r="L5" s="211">
        <f>_xll.BDP($A5,"AVG_DAILY_VALUE_TRADED_6M")/$AI$1/1000000</f>
        <v>24.960334769333432</v>
      </c>
      <c r="M5" s="210" t="str">
        <f>_xll.BDP($A5,"INDUSTRY_GROUP")</f>
        <v>Mining</v>
      </c>
      <c r="N5" s="211">
        <f>_xll.BDP($A5,"EQY_BETA_6M")</f>
        <v>0.968302</v>
      </c>
      <c r="O5" s="211">
        <f>_xll.BDP($A5,"EST_PE_NXT_YR")</f>
        <v>6.5865068942875897</v>
      </c>
      <c r="P5" s="211">
        <f>_xll.BDP($A5,"EST_EV_THIS_YR_EBITDA")</f>
        <v>4.4281555033908448</v>
      </c>
      <c r="Q5" s="211">
        <f>_xll.BDP($A5,"CURRENT_EV_TO_12M_SALES")</f>
        <v>2.1921107650285165</v>
      </c>
      <c r="R5" s="211">
        <f>_xll.BDP($A5,"PX_TO_BOOK_RATIO")</f>
        <v>2.4735958009369678</v>
      </c>
      <c r="S5" s="211">
        <f>_xll.BDP($A5,"PX_TO_FREE_CASH_FLOW")</f>
        <v>7.3874784601404535</v>
      </c>
      <c r="T5" s="211">
        <f>_xll.BDP($A5,"NET_DEBT_TO_EBITDA")</f>
        <v>0.26093210376828102</v>
      </c>
      <c r="U5" s="211">
        <f>_xll.BDP($A5,"SALES_GROWTH")</f>
        <v>41.227663857761307</v>
      </c>
      <c r="V5" s="211">
        <f>_xll.BDP($A5,"EPS_GROWTH")</f>
        <v>328.05755527308702</v>
      </c>
      <c r="W5" s="211">
        <f>_xll.BDP($A5,"EBITDA_MARGIN")</f>
        <v>47.892283537257015</v>
      </c>
      <c r="X5" s="211">
        <f>_xll.BDP($A5,"EBIT_MARGIN")</f>
        <v>38.691065240424791</v>
      </c>
      <c r="Y5" s="211">
        <f>_xll.BDP($A5,"TRAIL_12M_PROF_MARGIN")</f>
        <v>31.292814356600097</v>
      </c>
      <c r="Z5" s="211">
        <f>_xll.BDP($A5,"NORMALIZED_ROE")</f>
        <v>39.266353216475636</v>
      </c>
      <c r="AA5" s="129">
        <f>_xll.BDP($A5,"BDVD_PROJ_12M_YLD")</f>
        <v>7.9513677811550147</v>
      </c>
      <c r="AB5" s="129" t="str">
        <f>_xll.BDP($A5,"DVD_RECORD_DT")</f>
        <v>20/07/2017</v>
      </c>
      <c r="AC5" s="205">
        <f>_xll.BDP($A5,"EQY_REC_CONS")</f>
        <v>3.875</v>
      </c>
      <c r="AD5" s="211" t="str">
        <f>_xll.BDP($A5,"PCT_REVENUE_FROM_FOREIGN_SOURCES")</f>
        <v>#N/A N/A</v>
      </c>
      <c r="AE5" s="212" t="str">
        <f>_xll.BDP($A5,"BDVD_NEXT_EST_DECL_DT")</f>
        <v>24/04/2018</v>
      </c>
    </row>
    <row r="6" spans="1:51" s="213" customFormat="1" x14ac:dyDescent="0.25">
      <c r="A6" s="206" t="s">
        <v>63</v>
      </c>
      <c r="B6" s="207" t="str">
        <f>_xll.BDP($A6,"SHORT_NAME")</f>
        <v>POLYMETAL</v>
      </c>
      <c r="C6" s="207">
        <f>_xll.BDP($A6,"PX_LAST")</f>
        <v>823</v>
      </c>
      <c r="D6" s="208">
        <f>_xll.BDP($A6,"CHG_PCT_WTD")</f>
        <v>-2.7481770000000001</v>
      </c>
      <c r="E6" s="208">
        <f>_xll.BDP($A6,"CHG_PCT_1M")</f>
        <v>-7.5692959999999996</v>
      </c>
      <c r="F6" s="208">
        <f>_xll.BDP($A6,"CHG_PCT_1YR")</f>
        <v>-13.052960000000001</v>
      </c>
      <c r="G6" s="208">
        <f>_xll.BDP($A6,"CHG_PCT_YTD")</f>
        <v>1.4035089999999999</v>
      </c>
      <c r="H6" s="208">
        <f>_xll.BDP($A6,"BEST_TARGET_PRICE")</f>
        <v>969.2093505859375</v>
      </c>
      <c r="I6" s="209">
        <f t="shared" si="0"/>
        <v>0.17765413193917068</v>
      </c>
      <c r="J6" s="210">
        <f>_xll.BDP($A6,"CUR_MKT_CAP")/1000000*$AG$1</f>
        <v>4925.3645989650959</v>
      </c>
      <c r="K6" s="210">
        <f>_xll.BDP($A6,"EQY_FREE_FLOAT_PCT")</f>
        <v>73.278009999999995</v>
      </c>
      <c r="L6" s="211">
        <f>_xll.BDP($A6,"AVG_DAILY_VALUE_TRADED_6M")*$AG$1/100000000</f>
        <v>13.534448928</v>
      </c>
      <c r="M6" s="210" t="str">
        <f>_xll.BDP($A6,"INDUSTRY_GROUP")</f>
        <v>Mining</v>
      </c>
      <c r="N6" s="211">
        <f>_xll.BDP($A6,"EQY_BETA_6M")</f>
        <v>0.50224539999999995</v>
      </c>
      <c r="O6" s="211">
        <f>_xll.BDP($A6,"EST_PE_NXT_YR")</f>
        <v>10.266900219361474</v>
      </c>
      <c r="P6" s="211">
        <f>_xll.BDP($A6,"EST_EV_THIS_YR_EBITDA")</f>
        <v>8.6135869792421129</v>
      </c>
      <c r="Q6" s="211">
        <f>_xll.BDP($A6,"CURRENT_EV_TO_12M_SALES")</f>
        <v>3.883863622591035</v>
      </c>
      <c r="R6" s="211">
        <f>_xll.BDP($A6,"PX_TO_BOOK_RATIO")</f>
        <v>4.500845406599506</v>
      </c>
      <c r="S6" s="211">
        <f>_xll.BDP($A6,"PX_TO_FREE_CASH_FLOW")</f>
        <v>31.695828145223992</v>
      </c>
      <c r="T6" s="211">
        <f>_xll.BDP($A6,"NET_DEBT_TO_EBITDA")</f>
        <v>2.1808416780625524</v>
      </c>
      <c r="U6" s="211">
        <f>_xll.BDP($A6,"SALES_GROWTH")</f>
        <v>9.8471784957667499</v>
      </c>
      <c r="V6" s="211">
        <f>_xll.BDP($A6,"EPS_GROWTH")</f>
        <v>78.84615384615384</v>
      </c>
      <c r="W6" s="211">
        <f>_xll.BDP($A6,"EBITDA_MARGIN")</f>
        <v>43.364923101938729</v>
      </c>
      <c r="X6" s="211">
        <f>_xll.BDP($A6,"EBIT_MARGIN")</f>
        <v>32.010659977678131</v>
      </c>
      <c r="Y6" s="211">
        <f>_xll.BDP($A6,"TRAIL_12M_PROF_MARGIN")</f>
        <v>20.988056544749249</v>
      </c>
      <c r="Z6" s="211">
        <f>_xll.BDP($A6,"NORMALIZED_ROE")</f>
        <v>39.304547945205485</v>
      </c>
      <c r="AA6" s="129">
        <f>_xll.BDP($A6,"BDVD_PROJ_12M_YLD")</f>
        <v>4.7256249869983504</v>
      </c>
      <c r="AB6" s="129" t="str">
        <f>_xll.BDP($A6,"DVD_RECORD_DT")</f>
        <v>08/09/2017</v>
      </c>
      <c r="AC6" s="205">
        <f>_xll.BDP($A6,"EQY_REC_CONS")</f>
        <v>3.15</v>
      </c>
      <c r="AD6" s="211">
        <f>_xll.BDP($A6,"PCT_REVENUE_FROM_FOREIGN_SOURCES")</f>
        <v>43.209096651926714</v>
      </c>
      <c r="AE6" s="212" t="str">
        <f>_xll.BDP($A6,"BDVD_NEXT_EST_DECL_DT")</f>
        <v>07/12/2017</v>
      </c>
    </row>
    <row r="7" spans="1:51" s="1" customFormat="1" ht="15.75" thickBot="1" x14ac:dyDescent="0.3">
      <c r="A7" s="193" t="s">
        <v>212</v>
      </c>
      <c r="B7" s="194" t="str">
        <f>_xll.BDP($A7,"SHORT_NAME")</f>
        <v>PETROPAVLOVSK</v>
      </c>
      <c r="C7" s="194">
        <f>_xll.BDP($A7,"PX_LAST")</f>
        <v>7.25</v>
      </c>
      <c r="D7" s="195">
        <f>_xll.BDP($A7,"CHG_PCT_WTD")</f>
        <v>0.55478450000000001</v>
      </c>
      <c r="E7" s="195">
        <f>_xll.BDP($A7,"CHG_PCT_1M")</f>
        <v>8.2089580000000009</v>
      </c>
      <c r="F7" s="195">
        <f>_xll.BDP($A7,"CHG_PCT_1YR")</f>
        <v>5.0724619999999998</v>
      </c>
      <c r="G7" s="195">
        <f>_xll.BDP($A7,"CHG_PCT_YTD")</f>
        <v>4.3165500000000003</v>
      </c>
      <c r="H7" s="195">
        <f>_xll.BDP($A7,"BEST_TARGET_PRICE")</f>
        <v>8.5</v>
      </c>
      <c r="I7" s="196">
        <f t="shared" si="0"/>
        <v>0.17241379310344818</v>
      </c>
      <c r="J7" s="197">
        <f>_xll.BDP($A7,"CUR_MKT_CAP")/1000000*$AG$1</f>
        <v>314.21972416229198</v>
      </c>
      <c r="K7" s="197">
        <f>_xll.BDP($A7,"EQY_FREE_FLOAT_PCT")</f>
        <v>79.679450000000003</v>
      </c>
      <c r="L7" s="198">
        <f>_xll.BDP($A7,"AVG_DAILY_VALUE_TRADED_6M")*$AG$1/100000000</f>
        <v>0.46309334864000001</v>
      </c>
      <c r="M7" s="197" t="str">
        <f>_xll.BDP($A7,"INDUSTRY_GROUP")</f>
        <v>Mining</v>
      </c>
      <c r="N7" s="198">
        <f>_xll.BDP($A7,"EQY_BETA_6M")</f>
        <v>0.16983280000000001</v>
      </c>
      <c r="O7" s="198">
        <f>_xll.BDP($A7,"EST_PE_NXT_YR")</f>
        <v>3.8224900621314664</v>
      </c>
      <c r="P7" s="198">
        <f>_xll.BDP($A7,"EST_EV_THIS_YR_EBITDA")</f>
        <v>4.1085804761705056</v>
      </c>
      <c r="Q7" s="198">
        <f>_xll.BDP($A7,"CURRENT_EV_TO_12M_SALES")</f>
        <v>1.7153561066825911</v>
      </c>
      <c r="R7" s="198">
        <f>_xll.BDP($A7,"PX_TO_BOOK_RATIO")</f>
        <v>0.59208531746006077</v>
      </c>
      <c r="S7" s="198">
        <f>_xll.BDP($A7,"PX_TO_FREE_CASH_FLOW")</f>
        <v>38.50780078013571</v>
      </c>
      <c r="T7" s="198">
        <f>_xll.BDP($A7,"NET_DEBT_TO_EBITDA")</f>
        <v>3.1282364090454524</v>
      </c>
      <c r="U7" s="198">
        <f>_xll.BDP($A7,"SALES_GROWTH")</f>
        <v>-9.8730818083925396</v>
      </c>
      <c r="V7" s="198" t="str">
        <f>_xll.BDP($A7,"EPS_GROWTH")</f>
        <v>#N/A N/A</v>
      </c>
      <c r="W7" s="198">
        <f>_xll.BDP($A7,"EBITDA_MARGIN")</f>
        <v>35.323960021010429</v>
      </c>
      <c r="X7" s="198">
        <f>_xll.BDP($A7,"EBIT_MARGIN")</f>
        <v>15.857506417796719</v>
      </c>
      <c r="Y7" s="198">
        <f>_xll.BDP($A7,"TRAIL_12M_PROF_MARGIN")</f>
        <v>6.2363598700904772</v>
      </c>
      <c r="Z7" s="198">
        <f>_xll.BDP($A7,"NORMALIZED_ROE")</f>
        <v>6.2314158196342539</v>
      </c>
      <c r="AA7" s="199" t="str">
        <f>_xll.BDP($A7,"BDVD_PROJ_12M_YLD")</f>
        <v>#N/A N/A</v>
      </c>
      <c r="AB7" s="199" t="str">
        <f>_xll.BDP($A7,"DVD_RECORD_DT")</f>
        <v>#N/A Field Not Applicable</v>
      </c>
      <c r="AC7" s="202">
        <f>_xll.BDP($A7,"EQY_REC_CONS")</f>
        <v>2.75</v>
      </c>
      <c r="AD7" s="198" t="str">
        <f>_xll.BDP($A7,"PCT_REVENUE_FROM_FOREIGN_SOURCES")</f>
        <v>#N/A N/A</v>
      </c>
      <c r="AE7" s="200" t="str">
        <f>_xll.BDP($A7,"BDVD_NEXT_EST_DECL_DT")</f>
        <v>#N/A N/A</v>
      </c>
    </row>
    <row r="8" spans="1:51" s="8" customFormat="1" x14ac:dyDescent="0.25">
      <c r="A8" s="233" t="s">
        <v>42</v>
      </c>
      <c r="B8" s="234" t="str">
        <f>_xll.BDP($A8,"SHORT_NAME")</f>
        <v>BASHNEFT PAO-PRE</v>
      </c>
      <c r="C8" s="234">
        <f>_xll.BDP($A8,"PX_LAST")</f>
        <v>1253</v>
      </c>
      <c r="D8" s="235">
        <f>_xll.BDP($A8,"CHG_PCT_WTD")</f>
        <v>2.4360029999999999</v>
      </c>
      <c r="E8" s="235">
        <f>_xll.BDP($A8,"CHG_PCT_1M")</f>
        <v>2.3514849999999998</v>
      </c>
      <c r="F8" s="235">
        <f>_xll.BDP($A8,"CHG_PCT_1YR")</f>
        <v>-36.72533</v>
      </c>
      <c r="G8" s="235">
        <f>_xll.BDP($A8,"CHG_PCT_YTD")</f>
        <v>0.97680100000000003</v>
      </c>
      <c r="H8" s="235">
        <f>_xll.BDP($A8,"BEST_TARGET_PRICE")</f>
        <v>1852.0516357421875</v>
      </c>
      <c r="I8" s="236">
        <f t="shared" si="0"/>
        <v>0.47809388327389257</v>
      </c>
      <c r="J8" s="237">
        <f>_xll.BDP($A8,"CUR_MKT_CAP")/1000000/$AI$1</f>
        <v>5814.0975572300194</v>
      </c>
      <c r="K8" s="237">
        <f>_xll.BDP($A8,"EQY_FREE_FLOAT_PCT")</f>
        <v>100</v>
      </c>
      <c r="L8" s="238">
        <f>_xll.BDP($A8,"AVG_DAILY_VALUE_TRADED_6M")/$AI$1/1000000</f>
        <v>0.8162746484869865</v>
      </c>
      <c r="M8" s="237" t="str">
        <f>_xll.BDP($A8,"INDUSTRY_GROUP")</f>
        <v>Oil&amp;Gas</v>
      </c>
      <c r="N8" s="238">
        <f>_xll.BDP($A8,"EQY_BETA_6M")</f>
        <v>0.72773679999999996</v>
      </c>
      <c r="O8" s="238">
        <f>_xll.BDP($A8,"EST_PE_NXT_YR")</f>
        <v>3.8644859813084111</v>
      </c>
      <c r="P8" s="238">
        <f>_xll.BDP($A8,"EST_EV_THIS_YR_EBITDA")</f>
        <v>3.3251531408999999</v>
      </c>
      <c r="Q8" s="238" t="str">
        <f>_xll.BDP($A8,"CURRENT_EV_TO_12M_SALES")</f>
        <v>#N/A Field Not Applicable</v>
      </c>
      <c r="R8" s="238" t="str">
        <f>_xll.BDP($A8,"PX_TO_BOOK_RATIO")</f>
        <v>#N/A Field Not Applicable</v>
      </c>
      <c r="S8" s="238" t="str">
        <f>_xll.BDP($A8,"PX_TO_FREE_CASH_FLOW")</f>
        <v>#N/A Field Not Applicable</v>
      </c>
      <c r="T8" s="238">
        <f>_xll.BDP($A8,"NET_DEBT_TO_EBITDA")</f>
        <v>0.7676184803246342</v>
      </c>
      <c r="U8" s="238">
        <f>_xll.BDP($A8,"SALES_GROWTH")</f>
        <v>-2.8229063744791438</v>
      </c>
      <c r="V8" s="238">
        <f>_xll.BDP($A8,"EPS_GROWTH")</f>
        <v>-9.6640890089195999</v>
      </c>
      <c r="W8" s="238">
        <f>_xll.BDP($A8,"EBITDA_MARGIN")</f>
        <v>21.290373716957951</v>
      </c>
      <c r="X8" s="238">
        <f>_xll.BDP($A8,"EBIT_MARGIN")</f>
        <v>13.361233305591883</v>
      </c>
      <c r="Y8" s="238">
        <f>_xll.BDP($A8,"TRAIL_12M_PROF_MARGIN")</f>
        <v>7.2340189434470741</v>
      </c>
      <c r="Z8" s="238">
        <f>_xll.BDP($A8,"NORMALIZED_ROE")</f>
        <v>21.417248223088386</v>
      </c>
      <c r="AA8" s="239">
        <f>_xll.BDP($A8,"BDVD_PROJ_12M_YLD")</f>
        <v>10.479645304312777</v>
      </c>
      <c r="AB8" s="239" t="str">
        <f>_xll.BDP($A8,"DVD_RECORD_DT")</f>
        <v>12/07/2017</v>
      </c>
      <c r="AC8" s="240">
        <f>_xll.BDP($A8,"EQY_REC_CONS")</f>
        <v>3.5</v>
      </c>
      <c r="AD8" s="238">
        <f>_xll.BDP($A8,"PCT_REVENUE_FROM_FOREIGN_SOURCES")</f>
        <v>53.654695464745281</v>
      </c>
      <c r="AE8" s="241" t="str">
        <f>_xll.BDP($A8,"BDVD_NEXT_EST_DECL_DT")</f>
        <v>10/11/2017</v>
      </c>
    </row>
    <row r="9" spans="1:51" s="213" customFormat="1" x14ac:dyDescent="0.25">
      <c r="A9" s="206" t="s">
        <v>59</v>
      </c>
      <c r="B9" s="207" t="str">
        <f>_xll.BDP($A9,"SHORT_NAME")</f>
        <v>KMG EP-GDR</v>
      </c>
      <c r="C9" s="207">
        <f>_xll.BDP($A9,"PX_LAST")</f>
        <v>10</v>
      </c>
      <c r="D9" s="208">
        <f>_xll.BDP($A9,"CHG_PCT_WTD")</f>
        <v>0</v>
      </c>
      <c r="E9" s="208">
        <f>_xll.BDP($A9,"CHG_PCT_1M")</f>
        <v>4.1025640000000001</v>
      </c>
      <c r="F9" s="208">
        <f>_xll.BDP($A9,"CHG_PCT_1YR")</f>
        <v>37.16216</v>
      </c>
      <c r="G9" s="208">
        <f>_xll.BDP($A9,"CHG_PCT_YTD")</f>
        <v>31.989599999999999</v>
      </c>
      <c r="H9" s="208">
        <f>_xll.BDP($A9,"BEST_TARGET_PRICE")</f>
        <v>12.059999465942383</v>
      </c>
      <c r="I9" s="209">
        <f t="shared" si="0"/>
        <v>0.20599994659423837</v>
      </c>
      <c r="J9" s="210">
        <f>_xll.BDP($A9,"CUR_MKT_CAP")/1000000</f>
        <v>4167.1876299267151</v>
      </c>
      <c r="K9" s="210" t="str">
        <f>_xll.BDP($A9,"EQY_FREE_FLOAT_PCT")</f>
        <v>#N/A N/A</v>
      </c>
      <c r="L9" s="211">
        <f>_xll.BDP($A9,"AVG_DAILY_VALUE_TRADED_6M")/1000000</f>
        <v>1.400104</v>
      </c>
      <c r="M9" s="210" t="str">
        <f>_xll.BDP($A9,"INDUSTRY_GROUP")</f>
        <v>Oil&amp;Gas</v>
      </c>
      <c r="N9" s="211">
        <f>_xll.BDP($A9,"EQY_BETA_6M")</f>
        <v>0.81411409999999995</v>
      </c>
      <c r="O9" s="211">
        <f>_xll.BDP($A9,"EST_PE_NXT_YR")</f>
        <v>8.3476943073851473</v>
      </c>
      <c r="P9" s="211">
        <f>_xll.BDP($A9,"EST_EV_THIS_YR_EBITDA")</f>
        <v>0.60611922319320344</v>
      </c>
      <c r="Q9" s="211" t="str">
        <f>_xll.BDP($A9,"CURRENT_EV_TO_12M_SALES")</f>
        <v>#N/A Field Not Applicable</v>
      </c>
      <c r="R9" s="211" t="str">
        <f>_xll.BDP($A9,"PX_TO_BOOK_RATIO")</f>
        <v>#N/A Field Not Applicable</v>
      </c>
      <c r="S9" s="211" t="str">
        <f>_xll.BDP($A9,"PX_TO_FREE_CASH_FLOW")</f>
        <v>#N/A Field Not Applicable</v>
      </c>
      <c r="T9" s="211">
        <f>_xll.BDP($A9,"NET_DEBT_TO_EBITDA")</f>
        <v>-3.9873957214307802</v>
      </c>
      <c r="U9" s="211">
        <f>_xll.BDP($A9,"SALES_GROWTH")</f>
        <v>37.247551961827966</v>
      </c>
      <c r="V9" s="211">
        <f>_xll.BDP($A9,"EPS_GROWTH")</f>
        <v>-46.097911843023958</v>
      </c>
      <c r="W9" s="211">
        <f>_xll.BDP($A9,"EBITDA_MARGIN")</f>
        <v>35.634462296214174</v>
      </c>
      <c r="X9" s="211">
        <f>_xll.BDP($A9,"EBIT_MARGIN")</f>
        <v>31.734133330910012</v>
      </c>
      <c r="Y9" s="211">
        <f>_xll.BDP($A9,"TRAIL_12M_PROF_MARGIN")</f>
        <v>22.969298086185276</v>
      </c>
      <c r="Z9" s="211">
        <f>_xll.BDP($A9,"NORMALIZED_ROE")</f>
        <v>10.663318935506421</v>
      </c>
      <c r="AA9" s="129" t="str">
        <f>_xll.BDP($A9,"BDVD_PROJ_12M_YLD")</f>
        <v>#N/A N/A</v>
      </c>
      <c r="AB9" s="129" t="str">
        <f>_xll.BDP($A9,"DVD_RECORD_DT")</f>
        <v>02/06/2017</v>
      </c>
      <c r="AC9" s="205">
        <f>_xll.BDP($A9,"EQY_REC_CONS")</f>
        <v>4</v>
      </c>
      <c r="AD9" s="211">
        <f>_xll.BDP($A9,"PCT_REVENUE_FROM_FOREIGN_SOURCES")</f>
        <v>78.05691779182952</v>
      </c>
      <c r="AE9" s="212" t="str">
        <f>_xll.BDP($A9,"BDVD_NEXT_EST_DECL_DT")</f>
        <v>#N/A N/A</v>
      </c>
    </row>
    <row r="10" spans="1:51" s="1" customFormat="1" x14ac:dyDescent="0.25">
      <c r="A10" s="191" t="s">
        <v>162</v>
      </c>
      <c r="B10" s="2" t="str">
        <f>_xll.BDP($A10,"SHORT_NAME")</f>
        <v>SURGUTNEFTEGAS</v>
      </c>
      <c r="C10" s="2">
        <f>_xll.BDP($A10,"PX_LAST")</f>
        <v>28.05</v>
      </c>
      <c r="D10" s="5">
        <f>_xll.BDP($A10,"CHG_PCT_WTD")</f>
        <v>1.008281</v>
      </c>
      <c r="E10" s="5">
        <f>_xll.BDP($A10,"CHG_PCT_1M")</f>
        <v>6.5527030000000002</v>
      </c>
      <c r="F10" s="5">
        <f>_xll.BDP($A10,"CHG_PCT_1YR")</f>
        <v>-10.383380000000001</v>
      </c>
      <c r="G10" s="5">
        <f>_xll.BDP($A10,"CHG_PCT_YTD")</f>
        <v>-9.3699539999999999</v>
      </c>
      <c r="H10" s="5">
        <f>_xll.BDP($A10,"BEST_TARGET_PRICE")</f>
        <v>36.561862945556641</v>
      </c>
      <c r="I10" s="4">
        <f t="shared" si="0"/>
        <v>0.30345322444052192</v>
      </c>
      <c r="J10" s="3">
        <f>_xll.BDP($A10,"CUR_MKT_CAP")/1000000/$AI$1</f>
        <v>17414.715869659096</v>
      </c>
      <c r="K10" s="3">
        <f>_xll.BDP($A10,"EQY_FREE_FLOAT_PCT")</f>
        <v>99.590100000000007</v>
      </c>
      <c r="L10" s="6">
        <f>_xll.BDP($A10,"AVG_DAILY_VALUE_TRADED_6M")/$AI$1/1000000</f>
        <v>7.659487245434371</v>
      </c>
      <c r="M10" s="3" t="str">
        <f>_xll.BDP($A10,"INDUSTRY_GROUP")</f>
        <v>Oil&amp;Gas</v>
      </c>
      <c r="N10" s="6">
        <f>_xll.BDP($A10,"EQY_BETA_6M")</f>
        <v>1.290422</v>
      </c>
      <c r="O10" s="6">
        <f>_xll.BDP($A10,"EST_PE_NXT_YR")</f>
        <v>4.6112115732368899</v>
      </c>
      <c r="P10" s="6" t="str">
        <f>_xll.BDP($A10,"EST_EV_THIS_YR_EBITDA")</f>
        <v>#N/A N/A</v>
      </c>
      <c r="Q10" s="6" t="str">
        <f>_xll.BDP($A10,"CURRENT_EV_TO_12M_SALES")</f>
        <v>#N/A N/A</v>
      </c>
      <c r="R10" s="6">
        <f>_xll.BDP($A10,"PX_TO_BOOK_RATIO")</f>
        <v>0.28845268142678471</v>
      </c>
      <c r="S10" s="6">
        <f>_xll.BDP($A10,"PX_TO_FREE_CASH_FLOW")</f>
        <v>3.9247548042043134</v>
      </c>
      <c r="T10" s="6">
        <f>_xll.BDP($A10,"NET_DEBT_TO_EBITDA")</f>
        <v>-6.9949544799681203</v>
      </c>
      <c r="U10" s="6">
        <f>_xll.BDP($A10,"SALES_GROWTH")</f>
        <v>1.8180639434273718</v>
      </c>
      <c r="V10" s="6" t="str">
        <f>_xll.BDP($A10,"EPS_GROWTH")</f>
        <v>#N/A N/A</v>
      </c>
      <c r="W10" s="6">
        <f>_xll.BDP($A10,"EBITDA_MARGIN")</f>
        <v>30.032985374305287</v>
      </c>
      <c r="X10" s="6">
        <f>_xll.BDP($A10,"EBIT_MARGIN")</f>
        <v>23.32221546087003</v>
      </c>
      <c r="Y10" s="6">
        <f>_xll.BDP($A10,"TRAIL_12M_PROF_MARGIN")</f>
        <v>12.034736370172679</v>
      </c>
      <c r="Z10" s="6">
        <f>_xll.BDP($A10,"NORMALIZED_ROE")</f>
        <v>3.9610918079787472</v>
      </c>
      <c r="AA10" s="7">
        <f>_xll.BDP($A10,"BDVD_PROJ_12M_YLD")</f>
        <v>2.1390374331550799</v>
      </c>
      <c r="AB10" s="7" t="str">
        <f>_xll.BDP($A10,"DVD_RECORD_DT")</f>
        <v>19/07/2017</v>
      </c>
      <c r="AC10" s="96">
        <f>_xll.BDP($A10,"EQY_REC_CONS")</f>
        <v>2.9285709999999998</v>
      </c>
      <c r="AD10" s="6">
        <f>_xll.BDP($A10,"PCT_REVENUE_FROM_FOREIGN_SOURCES")</f>
        <v>75.031763275677804</v>
      </c>
      <c r="AE10" s="192" t="str">
        <f>_xll.BDP($A10,"BDVD_NEXT_EST_DECL_DT")</f>
        <v>18/05/2018</v>
      </c>
    </row>
    <row r="11" spans="1:51" s="1" customFormat="1" x14ac:dyDescent="0.25">
      <c r="A11" s="191" t="s">
        <v>40</v>
      </c>
      <c r="B11" s="2" t="str">
        <f>_xll.BDP($A11,"SHORT_NAME")</f>
        <v>SURGUTNEFTEG-PRF</v>
      </c>
      <c r="C11" s="2">
        <f>_xll.BDP($A11,"PX_LAST")</f>
        <v>29</v>
      </c>
      <c r="D11" s="5">
        <f>_xll.BDP($A11,"CHG_PCT_WTD")</f>
        <v>-0.68965520000000002</v>
      </c>
      <c r="E11" s="5">
        <f>_xll.BDP($A11,"CHG_PCT_1M")</f>
        <v>-1.030929</v>
      </c>
      <c r="F11" s="5">
        <f>_xll.BDP($A11,"CHG_PCT_1YR")</f>
        <v>-9.1195979999999999</v>
      </c>
      <c r="G11" s="5">
        <f>_xll.BDP($A11,"CHG_PCT_YTD")</f>
        <v>-10.196440000000001</v>
      </c>
      <c r="H11" s="5">
        <f>_xll.BDP($A11,"BEST_TARGET_PRICE")</f>
        <v>41.572048187255859</v>
      </c>
      <c r="I11" s="4">
        <f t="shared" si="0"/>
        <v>0.43351890300882268</v>
      </c>
      <c r="J11" s="3">
        <f>_xll.BDP($A11,"CUR_MKT_CAP")/1000000/$AI$1</f>
        <v>3854.7400892185296</v>
      </c>
      <c r="K11" s="3">
        <f>_xll.BDP($A11,"EQY_FREE_FLOAT_PCT")</f>
        <v>100</v>
      </c>
      <c r="L11" s="6">
        <f>_xll.BDP($A11,"AVG_DAILY_VALUE_TRADED_6M")/$AI$1/1000000</f>
        <v>10.541963468018443</v>
      </c>
      <c r="M11" s="3" t="str">
        <f>_xll.BDP($A11,"INDUSTRY_GROUP")</f>
        <v>Oil&amp;Gas</v>
      </c>
      <c r="N11" s="6">
        <f>_xll.BDP($A11,"EQY_BETA_6M")</f>
        <v>0.77680709999999997</v>
      </c>
      <c r="O11" s="6">
        <f>_xll.BDP($A11,"EST_PE_NXT_YR")</f>
        <v>3.3696033696033694</v>
      </c>
      <c r="P11" s="6" t="str">
        <f>_xll.BDP($A11,"EST_EV_THIS_YR_EBITDA")</f>
        <v>#N/A N/A</v>
      </c>
      <c r="Q11" s="6" t="str">
        <f>_xll.BDP($A11,"CURRENT_EV_TO_12M_SALES")</f>
        <v>#N/A N/A</v>
      </c>
      <c r="R11" s="6">
        <f>_xll.BDP($A11,"PX_TO_BOOK_RATIO")</f>
        <v>0.29616532017738595</v>
      </c>
      <c r="S11" s="6">
        <f>_xll.BDP($A11,"PX_TO_FREE_CASH_FLOW")</f>
        <v>4.0296947750854573</v>
      </c>
      <c r="T11" s="6">
        <f>_xll.BDP($A11,"NET_DEBT_TO_EBITDA")</f>
        <v>-6.9949544799681203</v>
      </c>
      <c r="U11" s="6">
        <f>_xll.BDP($A11,"SALES_GROWTH")</f>
        <v>1.8180639434273718</v>
      </c>
      <c r="V11" s="6" t="str">
        <f>_xll.BDP($A11,"EPS_GROWTH")</f>
        <v>#N/A N/A</v>
      </c>
      <c r="W11" s="6">
        <f>_xll.BDP($A11,"EBITDA_MARGIN")</f>
        <v>30.032985374305287</v>
      </c>
      <c r="X11" s="6">
        <f>_xll.BDP($A11,"EBIT_MARGIN")</f>
        <v>23.32221546087003</v>
      </c>
      <c r="Y11" s="6">
        <f>_xll.BDP($A11,"TRAIL_12M_PROF_MARGIN")</f>
        <v>12.034736370172679</v>
      </c>
      <c r="Z11" s="6">
        <f>_xll.BDP($A11,"NORMALIZED_ROE")</f>
        <v>3.9610918079787472</v>
      </c>
      <c r="AA11" s="7">
        <f>_xll.BDP($A11,"BDVD_PROJ_12M_YLD")</f>
        <v>2.083333333333333</v>
      </c>
      <c r="AB11" s="7" t="str">
        <f>_xll.BDP($A11,"DVD_RECORD_DT")</f>
        <v>19/07/2017</v>
      </c>
      <c r="AC11" s="96">
        <f>_xll.BDP($A11,"EQY_REC_CONS")</f>
        <v>3.625</v>
      </c>
      <c r="AD11" s="6">
        <f>_xll.BDP($A11,"PCT_REVENUE_FROM_FOREIGN_SOURCES")</f>
        <v>75.031763275677804</v>
      </c>
      <c r="AE11" s="192" t="str">
        <f>_xll.BDP($A11,"BDVD_NEXT_EST_DECL_DT")</f>
        <v>18/05/2018</v>
      </c>
    </row>
    <row r="12" spans="1:51" s="213" customFormat="1" x14ac:dyDescent="0.25">
      <c r="A12" s="206" t="s">
        <v>7</v>
      </c>
      <c r="B12" s="207" t="str">
        <f>_xll.BDP($A12,"SHORT_NAME")</f>
        <v>GAZPROM</v>
      </c>
      <c r="C12" s="207">
        <f>_xll.BDP($A12,"PX_LAST")</f>
        <v>123.55</v>
      </c>
      <c r="D12" s="208">
        <f>_xll.BDP($A12,"CHG_PCT_WTD")</f>
        <v>1.6622620000000001E-2</v>
      </c>
      <c r="E12" s="208">
        <f>_xll.BDP($A12,"CHG_PCT_1M")</f>
        <v>2.933379</v>
      </c>
      <c r="F12" s="208">
        <f>_xll.BDP($A12,"CHG_PCT_1YR")</f>
        <v>-13.12256</v>
      </c>
      <c r="G12" s="208">
        <f>_xll.BDP($A12,"CHG_PCT_YTD")</f>
        <v>-22.12229</v>
      </c>
      <c r="H12" s="208">
        <f>_xll.BDP($A12,"BEST_TARGET_PRICE")</f>
        <v>135.50164794921875</v>
      </c>
      <c r="I12" s="209">
        <f t="shared" si="0"/>
        <v>9.6735313227185316E-2</v>
      </c>
      <c r="J12" s="210">
        <f>_xll.BDP($A12,"CUR_MKT_CAP")/1000000/$AI$1</f>
        <v>49515.832424940185</v>
      </c>
      <c r="K12" s="210">
        <f>_xll.BDP($A12,"EQY_FREE_FLOAT_PCT")</f>
        <v>22.893429999999999</v>
      </c>
      <c r="L12" s="211">
        <f>_xll.BDP($A12,"AVG_DAILY_VALUE_TRADED_6M")/$AI$1/1000000</f>
        <v>66.005428879763528</v>
      </c>
      <c r="M12" s="210" t="str">
        <f>_xll.BDP($A12,"INDUSTRY_GROUP")</f>
        <v>Oil&amp;Gas</v>
      </c>
      <c r="N12" s="211">
        <f>_xll.BDP($A12,"EQY_BETA_6M")</f>
        <v>1.0313460000000001</v>
      </c>
      <c r="O12" s="211">
        <f>_xll.BDP($A12,"EST_PE_NXT_YR")</f>
        <v>3.828853189120407</v>
      </c>
      <c r="P12" s="211">
        <f>_xll.BDP($A12,"EST_EV_THIS_YR_EBITDA")</f>
        <v>3.7763652835834929</v>
      </c>
      <c r="Q12" s="211">
        <f>_xll.BDP($A12,"CURRENT_EV_TO_12M_SALES")</f>
        <v>0.837169249983018</v>
      </c>
      <c r="R12" s="211">
        <f>_xll.BDP($A12,"PX_TO_BOOK_RATIO")</f>
        <v>0.23652201603014469</v>
      </c>
      <c r="S12" s="211" t="str">
        <f>_xll.BDP($A12,"PX_TO_FREE_CASH_FLOW")</f>
        <v>#N/A N/A</v>
      </c>
      <c r="T12" s="211">
        <f>_xll.BDP($A12,"NET_DEBT_TO_EBITDA")</f>
        <v>1.4560002993960262</v>
      </c>
      <c r="U12" s="211">
        <f>_xll.BDP($A12,"SALES_GROWTH")</f>
        <v>0.62129136001111751</v>
      </c>
      <c r="V12" s="211">
        <f>_xll.BDP($A12,"EPS_GROWTH")</f>
        <v>23.050988560086022</v>
      </c>
      <c r="W12" s="211">
        <f>_xll.BDP($A12,"EBITDA_MARGIN")</f>
        <v>22.207926237406724</v>
      </c>
      <c r="X12" s="211">
        <f>_xll.BDP($A12,"EBIT_MARGIN")</f>
        <v>12.733918495518262</v>
      </c>
      <c r="Y12" s="211">
        <f>_xll.BDP($A12,"TRAIL_12M_PROF_MARGIN")</f>
        <v>11.600893326788791</v>
      </c>
      <c r="Z12" s="211">
        <f>_xll.BDP($A12,"NORMALIZED_ROE")</f>
        <v>6.7359752574749034</v>
      </c>
      <c r="AA12" s="129">
        <f>_xll.BDP($A12,"BDVD_PROJ_12M_YLD")</f>
        <v>6.8128946493851776</v>
      </c>
      <c r="AB12" s="129" t="str">
        <f>_xll.BDP($A12,"DVD_RECORD_DT")</f>
        <v>20/07/2017</v>
      </c>
      <c r="AC12" s="205">
        <f>_xll.BDP($A12,"EQY_REC_CONS")</f>
        <v>3.6153849999999998</v>
      </c>
      <c r="AD12" s="211">
        <f>_xll.BDP($A12,"PCT_REVENUE_FROM_FOREIGN_SOURCES")</f>
        <v>59.26608981735275</v>
      </c>
      <c r="AE12" s="212" t="str">
        <f>_xll.BDP($A12,"BDVD_NEXT_EST_DECL_DT")</f>
        <v>12/04/2018</v>
      </c>
    </row>
    <row r="13" spans="1:51" s="1" customFormat="1" x14ac:dyDescent="0.25">
      <c r="A13" s="191" t="s">
        <v>57</v>
      </c>
      <c r="B13" s="2" t="str">
        <f>_xll.BDP($A13,"SHORT_NAME")</f>
        <v>LUKOIL</v>
      </c>
      <c r="C13" s="2">
        <f>_xll.BDP($A13,"PX_LAST")</f>
        <v>2938</v>
      </c>
      <c r="D13" s="5">
        <f>_xll.BDP($A13,"CHG_PCT_WTD")</f>
        <v>-0.35897440000000003</v>
      </c>
      <c r="E13" s="5">
        <f>_xll.BDP($A13,"CHG_PCT_1M")</f>
        <v>1.905594</v>
      </c>
      <c r="F13" s="5">
        <f>_xll.BDP($A13,"CHG_PCT_1YR")</f>
        <v>-4.7704620000000002</v>
      </c>
      <c r="G13" s="5">
        <f>_xll.BDP($A13,"CHG_PCT_YTD")</f>
        <v>-15.497249999999999</v>
      </c>
      <c r="H13" s="5">
        <f>_xll.BDP($A13,"BEST_TARGET_PRICE")</f>
        <v>3250.107421875</v>
      </c>
      <c r="I13" s="4">
        <f t="shared" si="0"/>
        <v>0.10623125319094617</v>
      </c>
      <c r="J13" s="3">
        <f>_xll.BDP($A13,"CUR_MKT_CAP")/1000000/$AI$1</f>
        <v>43079.422680995973</v>
      </c>
      <c r="K13" s="3">
        <f>_xll.BDP($A13,"EQY_FREE_FLOAT_PCT")</f>
        <v>78.303700000000006</v>
      </c>
      <c r="L13" s="6">
        <f>_xll.BDP($A13,"AVG_DAILY_VALUE_TRADED_6M")/$AI$1/1000000</f>
        <v>31.641037048107453</v>
      </c>
      <c r="M13" s="3" t="str">
        <f>_xll.BDP($A13,"INDUSTRY_GROUP")</f>
        <v>Oil&amp;Gas</v>
      </c>
      <c r="N13" s="6">
        <f>_xll.BDP($A13,"EQY_BETA_6M")</f>
        <v>1.2570730000000001</v>
      </c>
      <c r="O13" s="6">
        <f>_xll.BDP($A13,"EST_PE_NXT_YR")</f>
        <v>5.4875121207271498</v>
      </c>
      <c r="P13" s="6">
        <f>_xll.BDP($A13,"EST_EV_THIS_YR_EBITDA")</f>
        <v>3.7242950233733865</v>
      </c>
      <c r="Q13" s="6">
        <f>_xll.BDP($A13,"CURRENT_EV_TO_12M_SALES")</f>
        <v>0.5612001298915622</v>
      </c>
      <c r="R13" s="6">
        <f>_xll.BDP($A13,"PX_TO_BOOK_RATIO")</f>
        <v>0.61947564335992933</v>
      </c>
      <c r="S13" s="6">
        <f>_xll.BDP($A13,"PX_TO_FREE_CASH_FLOW")</f>
        <v>26.933516456789039</v>
      </c>
      <c r="T13" s="6">
        <f>_xll.BDP($A13,"NET_DEBT_TO_EBITDA")</f>
        <v>0.45238680885008908</v>
      </c>
      <c r="U13" s="6">
        <f>_xll.BDP($A13,"SALES_GROWTH")</f>
        <v>-8.3078301689307192</v>
      </c>
      <c r="V13" s="6">
        <f>_xll.BDP($A13,"EPS_GROWTH")</f>
        <v>-28.969310537069337</v>
      </c>
      <c r="W13" s="6">
        <f>_xll.BDP($A13,"EBITDA_MARGIN")</f>
        <v>14.653070912741132</v>
      </c>
      <c r="X13" s="6">
        <f>_xll.BDP($A13,"EBIT_MARGIN")</f>
        <v>8.2696219051817828</v>
      </c>
      <c r="Y13" s="6">
        <f>_xll.BDP($A13,"TRAIL_12M_PROF_MARGIN")</f>
        <v>6.0207946773527432</v>
      </c>
      <c r="Z13" s="6">
        <f>_xll.BDP($A13,"NORMALIZED_ROE")</f>
        <v>7.6804014136194159</v>
      </c>
      <c r="AA13" s="7">
        <f>_xll.BDP($A13,"BDVD_PROJ_12M_YLD")</f>
        <v>7.0337965345685376</v>
      </c>
      <c r="AB13" s="7" t="str">
        <f>_xll.BDP($A13,"DVD_RECORD_DT")</f>
        <v>10/07/2017</v>
      </c>
      <c r="AC13" s="96">
        <f>_xll.BDP($A13,"EQY_REC_CONS")</f>
        <v>4.6923069999999996</v>
      </c>
      <c r="AD13" s="6">
        <f>_xll.BDP($A13,"PCT_REVENUE_FROM_FOREIGN_SOURCES")</f>
        <v>81.873869461617417</v>
      </c>
      <c r="AE13" s="192" t="str">
        <f>_xll.BDP($A13,"BDVD_NEXT_EST_DECL_DT")</f>
        <v>27/10/2017</v>
      </c>
    </row>
    <row r="14" spans="1:51" s="1" customFormat="1" x14ac:dyDescent="0.25">
      <c r="A14" s="191" t="s">
        <v>161</v>
      </c>
      <c r="B14" s="2" t="str">
        <f>_xll.BDP($A14,"SHORT_NAME")</f>
        <v>TATNEFT</v>
      </c>
      <c r="C14" s="2">
        <f>_xll.BDP($A14,"PX_LAST")</f>
        <v>389.35</v>
      </c>
      <c r="D14" s="5">
        <f>_xll.BDP($A14,"CHG_PCT_WTD")</f>
        <v>-1.6420380000000001</v>
      </c>
      <c r="E14" s="5">
        <f>_xll.BDP($A14,"CHG_PCT_1M")</f>
        <v>2.6090360000000001</v>
      </c>
      <c r="F14" s="5">
        <f>_xll.BDP($A14,"CHG_PCT_1YR")</f>
        <v>21.368459999999999</v>
      </c>
      <c r="G14" s="5">
        <f>_xll.BDP($A14,"CHG_PCT_YTD")</f>
        <v>-8.8173300000000001</v>
      </c>
      <c r="H14" s="5">
        <f>_xll.BDP($A14,"BEST_TARGET_PRICE")</f>
        <v>415.60235595703125</v>
      </c>
      <c r="I14" s="4">
        <f t="shared" si="0"/>
        <v>6.7426110073279144E-2</v>
      </c>
      <c r="J14" s="3">
        <f>_xll.BDP($A14,"CUR_MKT_CAP")/1000000/$AI$1</f>
        <v>15433.646019226993</v>
      </c>
      <c r="K14" s="3">
        <f>_xll.BDP($A14,"EQY_FREE_FLOAT_PCT")</f>
        <v>43.810679999999998</v>
      </c>
      <c r="L14" s="6">
        <f>_xll.BDP($A14,"AVG_DAILY_VALUE_TRADED_6M")/$AI$1/1000000</f>
        <v>9.5418018528398214</v>
      </c>
      <c r="M14" s="3" t="str">
        <f>_xll.BDP($A14,"INDUSTRY_GROUP")</f>
        <v>Oil&amp;Gas</v>
      </c>
      <c r="N14" s="6">
        <f>_xll.BDP($A14,"EQY_BETA_6M")</f>
        <v>0.94263819999999998</v>
      </c>
      <c r="O14" s="6">
        <f>_xll.BDP($A14,"EST_PE_NXT_YR")</f>
        <v>6.4657820881146524</v>
      </c>
      <c r="P14" s="6">
        <f>_xll.BDP($A14,"EST_EV_THIS_YR_EBITDA")</f>
        <v>5.6615965586733425</v>
      </c>
      <c r="Q14" s="6">
        <f>_xll.BDP($A14,"CURRENT_EV_TO_12M_SALES")</f>
        <v>1.5728084684574033</v>
      </c>
      <c r="R14" s="6">
        <f>_xll.BDP($A14,"PX_TO_BOOK_RATIO")</f>
        <v>1.1492914584211997</v>
      </c>
      <c r="S14" s="6">
        <f>_xll.BDP($A14,"PX_TO_FREE_CASH_FLOW")</f>
        <v>13.835248159043227</v>
      </c>
      <c r="T14" s="6">
        <f>_xll.BDP($A14,"NET_DEBT_TO_EBITDA")</f>
        <v>0.54703418609916232</v>
      </c>
      <c r="U14" s="6">
        <f>_xll.BDP($A14,"SALES_GROWTH")</f>
        <v>4.9600877129499628</v>
      </c>
      <c r="V14" s="6">
        <f>_xll.BDP($A14,"EPS_GROWTH")</f>
        <v>9.1441618392973627</v>
      </c>
      <c r="W14" s="6">
        <f>_xll.BDP($A14,"EBITDA_MARGIN")</f>
        <v>28.000532498240855</v>
      </c>
      <c r="X14" s="6">
        <f>_xll.BDP($A14,"EBIT_MARGIN")</f>
        <v>24.404901519521765</v>
      </c>
      <c r="Y14" s="6">
        <f>_xll.BDP($A14,"TRAIL_12M_PROF_MARGIN")</f>
        <v>19.115260512085808</v>
      </c>
      <c r="Z14" s="6">
        <f>_xll.BDP($A14,"NORMALIZED_ROE")</f>
        <v>17.175069097701108</v>
      </c>
      <c r="AA14" s="7">
        <f>_xll.BDP($A14,"BDVD_PROJ_12M_YLD")</f>
        <v>7.1914729677667903</v>
      </c>
      <c r="AB14" s="7" t="str">
        <f>_xll.BDP($A14,"DVD_RECORD_DT")</f>
        <v>07/07/2017</v>
      </c>
      <c r="AC14" s="96">
        <f>_xll.BDP($A14,"EQY_REC_CONS")</f>
        <v>4.1428570000000002</v>
      </c>
      <c r="AD14" s="6">
        <f>_xll.BDP($A14,"PCT_REVENUE_FROM_FOREIGN_SOURCES")</f>
        <v>56.198625361769274</v>
      </c>
      <c r="AE14" s="192" t="str">
        <f>_xll.BDP($A14,"BDVD_NEXT_EST_DECL_DT")</f>
        <v>30/04/2018</v>
      </c>
    </row>
    <row r="15" spans="1:51" s="1" customFormat="1" x14ac:dyDescent="0.25">
      <c r="A15" s="206" t="s">
        <v>25</v>
      </c>
      <c r="B15" s="207" t="str">
        <f>_xll.BDP($A15,"SHORT_NAME")</f>
        <v>GAZPROM NEFT</v>
      </c>
      <c r="C15" s="207">
        <f>_xll.BDP($A15,"PX_LAST")</f>
        <v>224.15</v>
      </c>
      <c r="D15" s="208">
        <f>_xll.BDP($A15,"CHG_PCT_WTD")</f>
        <v>3.75</v>
      </c>
      <c r="E15" s="208">
        <f>_xll.BDP($A15,"CHG_PCT_1M")</f>
        <v>8.7864079999999998</v>
      </c>
      <c r="F15" s="208">
        <f>_xll.BDP($A15,"CHG_PCT_1YR")</f>
        <v>28.645240000000001</v>
      </c>
      <c r="G15" s="208">
        <f>_xll.BDP($A15,"CHG_PCT_YTD")</f>
        <v>4.7196259999999999</v>
      </c>
      <c r="H15" s="208">
        <f>_xll.BDP($A15,"BEST_TARGET_PRICE")</f>
        <v>214.45938110351562</v>
      </c>
      <c r="I15" s="209">
        <f t="shared" si="0"/>
        <v>-4.323274100595309E-2</v>
      </c>
      <c r="J15" s="210">
        <f>_xll.BDP($A15,"CUR_MKT_CAP")/1000000/$AI$1</f>
        <v>18464.538486133242</v>
      </c>
      <c r="K15" s="210">
        <f>_xll.BDP($A15,"EQY_FREE_FLOAT_PCT")</f>
        <v>7.3273770000000003</v>
      </c>
      <c r="L15" s="211">
        <f>_xll.BDP($A15,"AVG_DAILY_VALUE_TRADED_6M")/$AI$1/1000000</f>
        <v>0.6571975232908327</v>
      </c>
      <c r="M15" s="210" t="str">
        <f>_xll.BDP($A15,"INDUSTRY_GROUP")</f>
        <v>Oil&amp;Gas</v>
      </c>
      <c r="N15" s="211">
        <f>_xll.BDP($A15,"EQY_BETA_6M")</f>
        <v>0.54713049999999996</v>
      </c>
      <c r="O15" s="211">
        <f>_xll.BDP($A15,"EST_PE_NXT_YR")</f>
        <v>4.4837038074468296</v>
      </c>
      <c r="P15" s="211">
        <f>_xll.BDP($A15,"EST_EV_THIS_YR_EBITDA")</f>
        <v>4.4863687155596192</v>
      </c>
      <c r="Q15" s="211">
        <f>_xll.BDP($A15,"CURRENT_EV_TO_12M_SALES")</f>
        <v>1.002114589667189</v>
      </c>
      <c r="R15" s="211">
        <f>_xll.BDP($A15,"PX_TO_BOOK_RATIO")</f>
        <v>0.73398136680982484</v>
      </c>
      <c r="S15" s="211" t="str">
        <f>_xll.BDP($A15,"PX_TO_FREE_CASH_FLOW")</f>
        <v>#N/A N/A</v>
      </c>
      <c r="T15" s="211">
        <f>_xll.BDP($A15,"NET_DEBT_TO_EBITDA")</f>
        <v>1.3832283261486311</v>
      </c>
      <c r="U15" s="211">
        <f>_xll.BDP($A15,"SALES_GROWTH")</f>
        <v>5.2907367656646072</v>
      </c>
      <c r="V15" s="211">
        <f>_xll.BDP($A15,"EPS_GROWTH")</f>
        <v>82.5487170447865</v>
      </c>
      <c r="W15" s="211">
        <f>_xll.BDP($A15,"EBITDA_MARGIN")</f>
        <v>23.720641616510029</v>
      </c>
      <c r="X15" s="211">
        <f>_xll.BDP($A15,"EBIT_MARGIN")</f>
        <v>15.514860542216057</v>
      </c>
      <c r="Y15" s="211">
        <f>_xll.BDP($A15,"TRAIL_12M_PROF_MARGIN")</f>
        <v>12.87969981762989</v>
      </c>
      <c r="Z15" s="211">
        <f>_xll.BDP($A15,"NORMALIZED_ROE")</f>
        <v>17.255513468654073</v>
      </c>
      <c r="AA15" s="129">
        <f>_xll.BDP($A15,"BDVD_PROJ_12M_YLD")</f>
        <v>4.9463806970509383</v>
      </c>
      <c r="AB15" s="129" t="str">
        <f>_xll.BDP($A15,"DVD_RECORD_DT")</f>
        <v>26/06/2017</v>
      </c>
      <c r="AC15" s="205">
        <f>_xll.BDP($A15,"EQY_REC_CONS")</f>
        <v>4.1666670000000003</v>
      </c>
      <c r="AD15" s="211" t="str">
        <f>_xll.BDP($A15,"PCT_REVENUE_FROM_FOREIGN_SOURCES")</f>
        <v>#N/A N/A</v>
      </c>
      <c r="AE15" s="212" t="str">
        <f>_xll.BDP($A15,"BDVD_NEXT_EST_DECL_DT")</f>
        <v>30/03/2018</v>
      </c>
    </row>
    <row r="16" spans="1:51" s="213" customFormat="1" x14ac:dyDescent="0.25">
      <c r="A16" s="191" t="s">
        <v>28</v>
      </c>
      <c r="B16" s="2" t="str">
        <f>_xll.BDP($A16,"SHORT_NAME")</f>
        <v>NOVATEK PJSC</v>
      </c>
      <c r="C16" s="2">
        <f>_xll.BDP($A16,"PX_LAST")</f>
        <v>606</v>
      </c>
      <c r="D16" s="5">
        <f>_xll.BDP($A16,"CHG_PCT_WTD")</f>
        <v>-1.022767</v>
      </c>
      <c r="E16" s="5">
        <f>_xll.BDP($A16,"CHG_PCT_1M")</f>
        <v>-2.2004890000000001</v>
      </c>
      <c r="F16" s="5">
        <f>_xll.BDP($A16,"CHG_PCT_1YR")</f>
        <v>-11.49137</v>
      </c>
      <c r="G16" s="5">
        <f>_xll.BDP($A16,"CHG_PCT_YTD")</f>
        <v>-24.232859999999999</v>
      </c>
      <c r="H16" s="5">
        <f>_xll.BDP($A16,"BEST_TARGET_PRICE")</f>
        <v>690.45574951171875</v>
      </c>
      <c r="I16" s="4">
        <f t="shared" si="0"/>
        <v>0.13936592328666464</v>
      </c>
      <c r="J16" s="3">
        <f>_xll.BDP($A16,"CUR_MKT_CAP")/1000000/$AI$1</f>
        <v>31658.912034422297</v>
      </c>
      <c r="K16" s="3">
        <f>_xll.BDP($A16,"EQY_FREE_FLOAT_PCT")</f>
        <v>11.817500000000001</v>
      </c>
      <c r="L16" s="6">
        <f>_xll.BDP($A16,"AVG_DAILY_VALUE_TRADED_6M")/$AI$1/1000000</f>
        <v>9.0973827030051737</v>
      </c>
      <c r="M16" s="3" t="str">
        <f>_xll.BDP($A16,"INDUSTRY_GROUP")</f>
        <v>Oil&amp;Gas</v>
      </c>
      <c r="N16" s="6">
        <f>_xll.BDP($A16,"EQY_BETA_6M")</f>
        <v>0.92021589999999998</v>
      </c>
      <c r="O16" s="6">
        <f>_xll.BDP($A16,"EST_PE_NXT_YR")</f>
        <v>9.2300592262133687</v>
      </c>
      <c r="P16" s="6">
        <f>_xll.BDP($A16,"EST_EV_THIS_YR_EBITDA")</f>
        <v>10.153360925401079</v>
      </c>
      <c r="Q16" s="6">
        <f>_xll.BDP($A16,"CURRENT_EV_TO_12M_SALES")</f>
        <v>3.5238998828923602</v>
      </c>
      <c r="R16" s="6">
        <f>_xll.BDP($A16,"PX_TO_BOOK_RATIO")</f>
        <v>2.5893400570059986</v>
      </c>
      <c r="S16" s="6">
        <f>_xll.BDP($A16,"PX_TO_FREE_CASH_FLOW")</f>
        <v>12.065697535289559</v>
      </c>
      <c r="T16" s="6">
        <f>_xll.BDP($A16,"NET_DEBT_TO_EBITDA")</f>
        <v>0.62018525747201625</v>
      </c>
      <c r="U16" s="6">
        <f>_xll.BDP($A16,"SALES_GROWTH")</f>
        <v>13.074633145742387</v>
      </c>
      <c r="V16" s="6">
        <f>_xll.BDP($A16,"EPS_GROWTH")</f>
        <v>246.77225567331695</v>
      </c>
      <c r="W16" s="6">
        <f>_xll.BDP($A16,"EBITDA_MARGIN")</f>
        <v>34.207340068676686</v>
      </c>
      <c r="X16" s="6">
        <f>_xll.BDP($A16,"EBIT_MARGIN")</f>
        <v>27.802508521430337</v>
      </c>
      <c r="Y16" s="6">
        <f>_xll.BDP($A16,"TRAIL_12M_PROF_MARGIN")</f>
        <v>30.712335638796013</v>
      </c>
      <c r="Z16" s="6">
        <f>_xll.BDP($A16,"NORMALIZED_ROE")</f>
        <v>26.767514167496888</v>
      </c>
      <c r="AA16" s="7">
        <f>_xll.BDP($A16,"BDVD_PROJ_12M_YLD")</f>
        <v>2.625</v>
      </c>
      <c r="AB16" s="7" t="str">
        <f>_xll.BDP($A16,"DVD_RECORD_DT")</f>
        <v>10/10/2017</v>
      </c>
      <c r="AC16" s="96">
        <f>_xll.BDP($A16,"EQY_REC_CONS")</f>
        <v>3.75</v>
      </c>
      <c r="AD16" s="6">
        <f>_xll.BDP($A16,"PCT_REVENUE_FROM_FOREIGN_SOURCES")</f>
        <v>43.931012211687978</v>
      </c>
      <c r="AE16" s="192" t="str">
        <f>_xll.BDP($A16,"BDVD_NEXT_EST_DECL_DT")</f>
        <v>09/03/2018</v>
      </c>
    </row>
    <row r="17" spans="1:31" s="1" customFormat="1" x14ac:dyDescent="0.25">
      <c r="A17" s="191" t="s">
        <v>27</v>
      </c>
      <c r="B17" s="2" t="str">
        <f>_xll.BDP($A17,"SHORT_NAME")</f>
        <v>ROSNEFT</v>
      </c>
      <c r="C17" s="2">
        <f>_xll.BDP($A17,"PX_LAST")</f>
        <v>314.89999999999998</v>
      </c>
      <c r="D17" s="5">
        <f>_xll.BDP($A17,"CHG_PCT_WTD")</f>
        <v>-1.587941E-2</v>
      </c>
      <c r="E17" s="5">
        <f>_xll.BDP($A17,"CHG_PCT_1M")</f>
        <v>3.6025619999999998</v>
      </c>
      <c r="F17" s="5">
        <f>_xll.BDP($A17,"CHG_PCT_1YR")</f>
        <v>-13.107060000000001</v>
      </c>
      <c r="G17" s="5">
        <f>_xll.BDP($A17,"CHG_PCT_YTD")</f>
        <v>-21.822240000000001</v>
      </c>
      <c r="H17" s="5">
        <f>_xll.BDP($A17,"BEST_TARGET_PRICE")</f>
        <v>386.10107421875</v>
      </c>
      <c r="I17" s="4">
        <f t="shared" si="0"/>
        <v>0.22610693622975564</v>
      </c>
      <c r="J17" s="3">
        <f>_xll.BDP($A17,"CUR_MKT_CAP")/1000000/$AI$1</f>
        <v>57996.670285455839</v>
      </c>
      <c r="K17" s="3">
        <f>_xll.BDP($A17,"EQY_FREE_FLOAT_PCT")</f>
        <v>10.59694</v>
      </c>
      <c r="L17" s="6">
        <f>_xll.BDP($A17,"AVG_DAILY_VALUE_TRADED_6M")/$AI$1/1000000</f>
        <v>24.692262108539364</v>
      </c>
      <c r="M17" s="3" t="str">
        <f>_xll.BDP($A17,"INDUSTRY_GROUP")</f>
        <v>Oil&amp;Gas</v>
      </c>
      <c r="N17" s="6">
        <f>_xll.BDP($A17,"EQY_BETA_6M")</f>
        <v>0.89274100000000001</v>
      </c>
      <c r="O17" s="6">
        <f>_xll.BDP($A17,"EST_PE_NXT_YR")</f>
        <v>6.8919480860563338</v>
      </c>
      <c r="P17" s="6">
        <f>_xll.BDP($A17,"EST_EV_THIS_YR_EBITDA")</f>
        <v>5.0937885714386155</v>
      </c>
      <c r="Q17" s="6">
        <f>_xll.BDP($A17,"CURRENT_EV_TO_12M_SALES")</f>
        <v>1.1412882006745262</v>
      </c>
      <c r="R17" s="6">
        <f>_xll.BDP($A17,"PX_TO_BOOK_RATIO")</f>
        <v>0.968740242471681</v>
      </c>
      <c r="S17" s="6" t="str">
        <f>_xll.BDP($A17,"PX_TO_FREE_CASH_FLOW")</f>
        <v>#N/A N/A</v>
      </c>
      <c r="T17" s="6">
        <f>_xll.BDP($A17,"NET_DEBT_TO_EBITDA")</f>
        <v>2.2767462422634837</v>
      </c>
      <c r="U17" s="6">
        <f>_xll.BDP($A17,"SALES_GROWTH")</f>
        <v>-0.99245732433505363</v>
      </c>
      <c r="V17" s="6">
        <f>_xll.BDP($A17,"EPS_GROWTH")</f>
        <v>-49.014925600877447</v>
      </c>
      <c r="W17" s="6">
        <f>_xll.BDP($A17,"EBITDA_MARGIN")</f>
        <v>20.500271886895053</v>
      </c>
      <c r="X17" s="6">
        <f>_xll.BDP($A17,"EBIT_MARGIN")</f>
        <v>10.748595251042232</v>
      </c>
      <c r="Y17" s="6">
        <f>_xll.BDP($A17,"TRAIL_12M_PROF_MARGIN")</f>
        <v>2.8820010875475801</v>
      </c>
      <c r="Z17" s="6">
        <f>_xll.BDP($A17,"NORMALIZED_ROE")</f>
        <v>4.915618287818349</v>
      </c>
      <c r="AA17" s="7">
        <f>_xll.BDP($A17,"BDVD_PROJ_12M_YLD")</f>
        <v>3.9155287392823119</v>
      </c>
      <c r="AB17" s="7" t="str">
        <f>_xll.BDP($A17,"DVD_RECORD_DT")</f>
        <v>10/10/2017</v>
      </c>
      <c r="AC17" s="96">
        <f>_xll.BDP($A17,"EQY_REC_CONS")</f>
        <v>4.3333329999999997</v>
      </c>
      <c r="AD17" s="6">
        <f>_xll.BDP($A17,"PCT_REVENUE_FROM_FOREIGN_SOURCES")</f>
        <v>75.964202002983171</v>
      </c>
      <c r="AE17" s="192" t="str">
        <f>_xll.BDP($A17,"BDVD_NEXT_EST_DECL_DT")</f>
        <v>27/04/2018</v>
      </c>
    </row>
    <row r="18" spans="1:31" s="1" customFormat="1" x14ac:dyDescent="0.25">
      <c r="A18" s="191" t="s">
        <v>58</v>
      </c>
      <c r="B18" s="2" t="str">
        <f>_xll.BDP($A18,"SHORT_NAME")</f>
        <v>BASHNEFT</v>
      </c>
      <c r="C18" s="2">
        <f>_xll.BDP($A18,"PX_LAST")</f>
        <v>1980</v>
      </c>
      <c r="D18" s="5">
        <f>_xll.BDP($A18,"CHG_PCT_WTD")</f>
        <v>-5.2401749999999998</v>
      </c>
      <c r="E18" s="5">
        <f>_xll.BDP($A18,"CHG_PCT_1M")</f>
        <v>-7.9207919999999996</v>
      </c>
      <c r="F18" s="5">
        <f>_xll.BDP($A18,"CHG_PCT_1YR")</f>
        <v>-36.4878</v>
      </c>
      <c r="G18" s="5">
        <f>_xll.BDP($A18,"CHG_PCT_YTD")</f>
        <v>-45.576149999999998</v>
      </c>
      <c r="H18" s="5">
        <f>_xll.BDP($A18,"BEST_TARGET_PRICE")</f>
        <v>2509.231201171875</v>
      </c>
      <c r="I18" s="4">
        <f t="shared" si="0"/>
        <v>0.26728848544034101</v>
      </c>
      <c r="J18" s="3">
        <f>_xll.BDP($A18,"CUR_MKT_CAP")/1000000/$AI$1</f>
        <v>5677.8003012819727</v>
      </c>
      <c r="K18" s="3">
        <f>_xll.BDP($A18,"EQY_FREE_FLOAT_PCT")</f>
        <v>4.9299949999999999</v>
      </c>
      <c r="L18" s="6">
        <f>_xll.BDP($A18,"AVG_DAILY_VALUE_TRADED_6M")/$AI$1/1000000</f>
        <v>0.24817018599647922</v>
      </c>
      <c r="M18" s="3" t="str">
        <f>_xll.BDP($A18,"INDUSTRY_GROUP")</f>
        <v>Oil&amp;Gas</v>
      </c>
      <c r="N18" s="6">
        <f>_xll.BDP($A18,"EQY_BETA_6M")</f>
        <v>0.65759440000000002</v>
      </c>
      <c r="O18" s="6">
        <f>_xll.BDP($A18,"EST_PE_NXT_YR")</f>
        <v>4.6247072557939077</v>
      </c>
      <c r="P18" s="6">
        <f>_xll.BDP($A18,"EST_EV_THIS_YR_EBITDA")</f>
        <v>3.0849979183342846</v>
      </c>
      <c r="Q18" s="6">
        <f>_xll.BDP($A18,"CURRENT_EV_TO_12M_SALES")</f>
        <v>0.68524536649149914</v>
      </c>
      <c r="R18" s="6">
        <f>_xll.BDP($A18,"PX_TO_BOOK_RATIO")</f>
        <v>1.1679000975942566</v>
      </c>
      <c r="S18" s="6" t="str">
        <f>_xll.BDP($A18,"PX_TO_FREE_CASH_FLOW")</f>
        <v>#N/A N/A</v>
      </c>
      <c r="T18" s="6">
        <f>_xll.BDP($A18,"NET_DEBT_TO_EBITDA")</f>
        <v>0.7676184803246342</v>
      </c>
      <c r="U18" s="6">
        <f>_xll.BDP($A18,"SALES_GROWTH")</f>
        <v>-2.8229063744791438</v>
      </c>
      <c r="V18" s="6">
        <f>_xll.BDP($A18,"EPS_GROWTH")</f>
        <v>-9.6640890089195999</v>
      </c>
      <c r="W18" s="6">
        <f>_xll.BDP($A18,"EBITDA_MARGIN")</f>
        <v>21.290373716957951</v>
      </c>
      <c r="X18" s="6">
        <f>_xll.BDP($A18,"EBIT_MARGIN")</f>
        <v>13.361233305591883</v>
      </c>
      <c r="Y18" s="6">
        <f>_xll.BDP($A18,"TRAIL_12M_PROF_MARGIN")</f>
        <v>7.2340189434470741</v>
      </c>
      <c r="Z18" s="6">
        <f>_xll.BDP($A18,"NORMALIZED_ROE")</f>
        <v>21.417248223088386</v>
      </c>
      <c r="AA18" s="7">
        <f>_xll.BDP($A18,"BDVD_PROJ_12M_YLD")</f>
        <v>6.6530194472876154</v>
      </c>
      <c r="AB18" s="7" t="str">
        <f>_xll.BDP($A18,"DVD_RECORD_DT")</f>
        <v>#N/A Field Not Applicable</v>
      </c>
      <c r="AC18" s="96">
        <f>_xll.BDP($A18,"EQY_REC_CONS")</f>
        <v>3.5</v>
      </c>
      <c r="AD18" s="6">
        <f>_xll.BDP($A18,"PCT_REVENUE_FROM_FOREIGN_SOURCES")</f>
        <v>53.654695464745281</v>
      </c>
      <c r="AE18" s="192" t="str">
        <f>_xll.BDP($A18,"BDVD_NEXT_EST_DECL_DT")</f>
        <v>10/11/2017</v>
      </c>
    </row>
    <row r="19" spans="1:31" s="1" customFormat="1" x14ac:dyDescent="0.25">
      <c r="A19" s="191" t="s">
        <v>43</v>
      </c>
      <c r="B19" s="2" t="str">
        <f>_xll.BDP($A19,"SHORT_NAME")</f>
        <v>TATNEFT-PREF 3 S</v>
      </c>
      <c r="C19" s="2">
        <f>_xll.BDP($A19,"PX_LAST")</f>
        <v>270.10000000000002</v>
      </c>
      <c r="D19" s="5">
        <f>_xll.BDP($A19,"CHG_PCT_WTD")</f>
        <v>3.703704E-2</v>
      </c>
      <c r="E19" s="5">
        <f>_xll.BDP($A19,"CHG_PCT_1M")</f>
        <v>-0.95343310000000003</v>
      </c>
      <c r="F19" s="5">
        <f>_xll.BDP($A19,"CHG_PCT_1YR")</f>
        <v>52.16901</v>
      </c>
      <c r="G19" s="5">
        <f>_xll.BDP($A19,"CHG_PCT_YTD")</f>
        <v>14.936170000000001</v>
      </c>
      <c r="H19" s="5">
        <f>_xll.BDP($A19,"BEST_TARGET_PRICE")</f>
        <v>302.54522705078125</v>
      </c>
      <c r="I19" s="4">
        <f t="shared" si="0"/>
        <v>0.12012301758897159</v>
      </c>
      <c r="J19" s="3">
        <f>_xll.BDP($A19,"CUR_MKT_CAP")/1000000/$AI$1</f>
        <v>15433.646019226993</v>
      </c>
      <c r="K19" s="3">
        <f>_xll.BDP($A19,"EQY_FREE_FLOAT_PCT")</f>
        <v>100</v>
      </c>
      <c r="L19" s="6">
        <f>_xll.BDP($A19,"AVG_DAILY_VALUE_TRADED_6M")/$AI$1/1000000</f>
        <v>0.661979942339875</v>
      </c>
      <c r="M19" s="3" t="str">
        <f>_xll.BDP($A19,"INDUSTRY_GROUP")</f>
        <v>Oil&amp;Gas</v>
      </c>
      <c r="N19" s="6">
        <f>_xll.BDP($A19,"EQY_BETA_6M")</f>
        <v>0.60864309999999999</v>
      </c>
      <c r="O19" s="6">
        <f>_xll.BDP($A19,"EST_PE_NXT_YR")</f>
        <v>4.4854443097464172</v>
      </c>
      <c r="P19" s="6">
        <f>_xll.BDP($A19,"EST_EV_THIS_YR_EBITDA")</f>
        <v>5.6615965586733425</v>
      </c>
      <c r="Q19" s="6" t="str">
        <f>_xll.BDP($A19,"CURRENT_EV_TO_12M_SALES")</f>
        <v>#N/A Field Not Applicable</v>
      </c>
      <c r="R19" s="6" t="str">
        <f>_xll.BDP($A19,"PX_TO_BOOK_RATIO")</f>
        <v>#N/A Field Not Applicable</v>
      </c>
      <c r="S19" s="6" t="str">
        <f>_xll.BDP($A19,"PX_TO_FREE_CASH_FLOW")</f>
        <v>#N/A Field Not Applicable</v>
      </c>
      <c r="T19" s="6">
        <f>_xll.BDP($A19,"NET_DEBT_TO_EBITDA")</f>
        <v>0.54703418609916232</v>
      </c>
      <c r="U19" s="6">
        <f>_xll.BDP($A19,"SALES_GROWTH")</f>
        <v>4.9600877129499628</v>
      </c>
      <c r="V19" s="6">
        <f>_xll.BDP($A19,"EPS_GROWTH")</f>
        <v>9.1441618392973627</v>
      </c>
      <c r="W19" s="6">
        <f>_xll.BDP($A19,"EBITDA_MARGIN")</f>
        <v>28.000532498240855</v>
      </c>
      <c r="X19" s="6">
        <f>_xll.BDP($A19,"EBIT_MARGIN")</f>
        <v>24.404901519521765</v>
      </c>
      <c r="Y19" s="6">
        <f>_xll.BDP($A19,"TRAIL_12M_PROF_MARGIN")</f>
        <v>19.115260512085808</v>
      </c>
      <c r="Z19" s="6">
        <f>_xll.BDP($A19,"NORMALIZED_ROE")</f>
        <v>17.175069097701108</v>
      </c>
      <c r="AA19" s="7">
        <f>_xll.BDP($A19,"BDVD_PROJ_12M_YLD")</f>
        <v>10.366530914476119</v>
      </c>
      <c r="AB19" s="7" t="str">
        <f>_xll.BDP($A19,"DVD_RECORD_DT")</f>
        <v>07/07/2017</v>
      </c>
      <c r="AC19" s="96">
        <f>_xll.BDP($A19,"EQY_REC_CONS")</f>
        <v>4.0909089999999999</v>
      </c>
      <c r="AD19" s="6">
        <f>_xll.BDP($A19,"PCT_REVENUE_FROM_FOREIGN_SOURCES")</f>
        <v>56.198625361769274</v>
      </c>
      <c r="AE19" s="192" t="str">
        <f>_xll.BDP($A19,"BDVD_NEXT_EST_DECL_DT")</f>
        <v>30/04/2018</v>
      </c>
    </row>
    <row r="20" spans="1:31" s="1" customFormat="1" ht="15.75" thickBot="1" x14ac:dyDescent="0.3">
      <c r="A20" s="193" t="s">
        <v>197</v>
      </c>
      <c r="B20" s="194" t="str">
        <f>_xll.BDP($A20,"SHORT_NAME")</f>
        <v>TRANSNEFT PJSC</v>
      </c>
      <c r="C20" s="194">
        <f>_xll.BDP($A20,"PX_LAST")</f>
        <v>172600</v>
      </c>
      <c r="D20" s="195">
        <f>_xll.BDP($A20,"CHG_PCT_WTD")</f>
        <v>0.29052879999999998</v>
      </c>
      <c r="E20" s="195">
        <f>_xll.BDP($A20,"CHG_PCT_1M")</f>
        <v>-1.9875069999999999</v>
      </c>
      <c r="F20" s="195">
        <f>_xll.BDP($A20,"CHG_PCT_1YR")</f>
        <v>16.779430000000001</v>
      </c>
      <c r="G20" s="195">
        <f>_xll.BDP($A20,"CHG_PCT_YTD")</f>
        <v>-12.80626</v>
      </c>
      <c r="H20" s="195">
        <f>_xll.BDP($A20,"BEST_TARGET_PRICE")</f>
        <v>181590.328125</v>
      </c>
      <c r="I20" s="196">
        <f t="shared" si="0"/>
        <v>5.2087648464658187E-2</v>
      </c>
      <c r="J20" s="197">
        <f>_xll.BDP($A20,"CUR_MKT_CAP")/1000000/$AI$1</f>
        <v>4663.7522352421884</v>
      </c>
      <c r="K20" s="197">
        <f>_xll.BDP($A20,"EQY_FREE_FLOAT_PCT")</f>
        <v>100</v>
      </c>
      <c r="L20" s="198">
        <f>_xll.BDP($A20,"AVG_DAILY_VALUE_TRADED_6M")/$AI$1/1000000</f>
        <v>17.695975782052376</v>
      </c>
      <c r="M20" s="197" t="str">
        <f>_xll.BDP($A20,"INDUSTRY_GROUP")</f>
        <v>Pipelines</v>
      </c>
      <c r="N20" s="198">
        <f>_xll.BDP($A20,"EQY_BETA_6M")</f>
        <v>0.5978137</v>
      </c>
      <c r="O20" s="198">
        <f>_xll.BDP($A20,"EST_PE_NXT_YR")</f>
        <v>5.4929765007537412</v>
      </c>
      <c r="P20" s="198">
        <f>_xll.BDP($A20,"EST_EV_THIS_YR_EBITDA")</f>
        <v>1.4419193158125325</v>
      </c>
      <c r="Q20" s="198">
        <f>_xll.BDP($A20,"CURRENT_EV_TO_12M_SALES")</f>
        <v>0.66734764861711116</v>
      </c>
      <c r="R20" s="198">
        <f>_xll.BDP($A20,"PX_TO_BOOK_RATIO")</f>
        <v>0.53486001124693094</v>
      </c>
      <c r="S20" s="198">
        <f>_xll.BDP($A20,"PX_TO_FREE_CASH_FLOW")</f>
        <v>15.055366040382294</v>
      </c>
      <c r="T20" s="198">
        <f>_xll.BDP($A20,"NET_DEBT_TO_EBITDA")</f>
        <v>0.74714673847475377</v>
      </c>
      <c r="U20" s="198">
        <f>_xll.BDP($A20,"SALES_GROWTH")</f>
        <v>3.9823356039095104</v>
      </c>
      <c r="V20" s="198">
        <f>_xll.BDP($A20,"EPS_GROWTH")</f>
        <v>62.407070268515639</v>
      </c>
      <c r="W20" s="198">
        <f>_xll.BDP($A20,"EBITDA_MARGIN")</f>
        <v>47.692576797111094</v>
      </c>
      <c r="X20" s="198">
        <f>_xll.BDP($A20,"EBIT_MARGIN")</f>
        <v>31.955354450860668</v>
      </c>
      <c r="Y20" s="198">
        <f>_xll.BDP($A20,"TRAIL_12M_PROF_MARGIN")</f>
        <v>24.412355663779749</v>
      </c>
      <c r="Z20" s="198">
        <f>_xll.BDP($A20,"NORMALIZED_ROE")</f>
        <v>12.49130313597551</v>
      </c>
      <c r="AA20" s="199">
        <f>_xll.BDP($A20,"BDVD_PROJ_12M_YLD")</f>
        <v>6.225660486674391</v>
      </c>
      <c r="AB20" s="199" t="str">
        <f>_xll.BDP($A20,"DVD_RECORD_DT")</f>
        <v>19/09/2017</v>
      </c>
      <c r="AC20" s="202">
        <f>_xll.BDP($A20,"EQY_REC_CONS")</f>
        <v>3</v>
      </c>
      <c r="AD20" s="198">
        <f>_xll.BDP($A20,"PCT_REVENUE_FROM_FOREIGN_SOURCES")</f>
        <v>17.940797091025711</v>
      </c>
      <c r="AE20" s="200" t="str">
        <f>_xll.BDP($A20,"BDVD_NEXT_EST_DECL_DT")</f>
        <v>23/05/2018</v>
      </c>
    </row>
    <row r="21" spans="1:31" s="1" customFormat="1" x14ac:dyDescent="0.25">
      <c r="A21" s="183" t="s">
        <v>31</v>
      </c>
      <c r="B21" s="184" t="str">
        <f>_xll.BDP($A21,"SHORT_NAME")</f>
        <v>TMK</v>
      </c>
      <c r="C21" s="184">
        <f>_xll.BDP($A21,"PX_LAST")</f>
        <v>67.88</v>
      </c>
      <c r="D21" s="185">
        <f>_xll.BDP($A21,"CHG_PCT_WTD")</f>
        <v>-1.2647060000000001</v>
      </c>
      <c r="E21" s="185">
        <f>_xll.BDP($A21,"CHG_PCT_1M")</f>
        <v>-12.65774</v>
      </c>
      <c r="F21" s="185">
        <f>_xll.BDP($A21,"CHG_PCT_1YR")</f>
        <v>23.19266</v>
      </c>
      <c r="G21" s="185">
        <f>_xll.BDP($A21,"CHG_PCT_YTD")</f>
        <v>-15.01266</v>
      </c>
      <c r="H21" s="185">
        <f>_xll.BDP($A21,"BEST_TARGET_PRICE")</f>
        <v>96.566650390625</v>
      </c>
      <c r="I21" s="186">
        <f t="shared" si="0"/>
        <v>0.4226082850710815</v>
      </c>
      <c r="J21" s="187">
        <f>_xll.BDP($A21,"CUR_MKT_CAP")/1000000/$AI$1</f>
        <v>1205.4182526660422</v>
      </c>
      <c r="K21" s="187">
        <f>_xll.BDP($A21,"EQY_FREE_FLOAT_PCT")</f>
        <v>29.63758</v>
      </c>
      <c r="L21" s="188">
        <f>_xll.BDP($A21,"AVG_DAILY_VALUE_TRADED_6M")/$AI$1/1000000</f>
        <v>0.76022042225006559</v>
      </c>
      <c r="M21" s="187" t="str">
        <f>_xll.BDP($A21,"INDUSTRY_GROUP")</f>
        <v>Metal Fabricate/Hardware</v>
      </c>
      <c r="N21" s="188">
        <f>_xll.BDP($A21,"EQY_BETA_6M")</f>
        <v>0.4292588</v>
      </c>
      <c r="O21" s="188">
        <f>_xll.BDP($A21,"EST_PE_NXT_YR")</f>
        <v>8.5082280106361683</v>
      </c>
      <c r="P21" s="188">
        <f>_xll.BDP($A21,"EST_EV_THIS_YR_EBITDA")</f>
        <v>6.2334831821966912</v>
      </c>
      <c r="Q21" s="188">
        <f>_xll.BDP($A21,"CURRENT_EV_TO_12M_SALES")</f>
        <v>1.0458861147583942</v>
      </c>
      <c r="R21" s="188">
        <f>_xll.BDP($A21,"PX_TO_BOOK_RATIO")</f>
        <v>1.4142786107374272</v>
      </c>
      <c r="S21" s="188" t="str">
        <f>_xll.BDP($A21,"PX_TO_FREE_CASH_FLOW")</f>
        <v>#N/A N/A</v>
      </c>
      <c r="T21" s="188">
        <f>_xll.BDP($A21,"NET_DEBT_TO_EBITDA")</f>
        <v>4.9169886434353902</v>
      </c>
      <c r="U21" s="188">
        <f>_xll.BDP($A21,"SALES_GROWTH")</f>
        <v>-19.111585062829828</v>
      </c>
      <c r="V21" s="188" t="str">
        <f>_xll.BDP($A21,"EPS_GROWTH")</f>
        <v>#N/A N/A</v>
      </c>
      <c r="W21" s="188">
        <f>_xll.BDP($A21,"EBITDA_MARGIN")</f>
        <v>14.447299424364898</v>
      </c>
      <c r="X21" s="188">
        <f>_xll.BDP($A21,"EBIT_MARGIN")</f>
        <v>7.5414407791820546</v>
      </c>
      <c r="Y21" s="188">
        <f>_xll.BDP($A21,"TRAIL_12M_PROF_MARGIN")</f>
        <v>3.1628634749680069</v>
      </c>
      <c r="Z21" s="188">
        <f>_xll.BDP($A21,"NORMALIZED_ROE")</f>
        <v>19.735232708243739</v>
      </c>
      <c r="AA21" s="189">
        <f>_xll.BDP($A21,"BDVD_PROJ_12M_YLD")</f>
        <v>2.2341376228775691</v>
      </c>
      <c r="AB21" s="189" t="str">
        <f>_xll.BDP($A21,"DVD_RECORD_DT")</f>
        <v>20/06/2017</v>
      </c>
      <c r="AC21" s="201">
        <f>_xll.BDP($A21,"EQY_REC_CONS")</f>
        <v>4.3333329999999997</v>
      </c>
      <c r="AD21" s="188">
        <f>_xll.BDP($A21,"PCT_REVENUE_FROM_FOREIGN_SOURCES")</f>
        <v>27.715391597937675</v>
      </c>
      <c r="AE21" s="190" t="str">
        <f>_xll.BDP($A21,"BDVD_NEXT_EST_DECL_DT")</f>
        <v>27/04/2018</v>
      </c>
    </row>
    <row r="22" spans="1:31" s="1" customFormat="1" x14ac:dyDescent="0.25">
      <c r="A22" s="191" t="s">
        <v>22</v>
      </c>
      <c r="B22" s="2" t="str">
        <f>_xll.BDP($A22,"SHORT_NAME")</f>
        <v>NOVOLIPETSK STEE</v>
      </c>
      <c r="C22" s="2">
        <f>_xll.BDP($A22,"PX_LAST")</f>
        <v>133.44</v>
      </c>
      <c r="D22" s="5">
        <f>_xll.BDP($A22,"CHG_PCT_WTD")</f>
        <v>-0.12176099999999999</v>
      </c>
      <c r="E22" s="5">
        <f>_xll.BDP($A22,"CHG_PCT_1M")</f>
        <v>-1.5453889999999999</v>
      </c>
      <c r="F22" s="5">
        <f>_xll.BDP($A22,"CHG_PCT_1YR")</f>
        <v>43.009700000000002</v>
      </c>
      <c r="G22" s="5">
        <f>_xll.BDP($A22,"CHG_PCT_YTD")</f>
        <v>14.141590000000001</v>
      </c>
      <c r="H22" s="5">
        <f>_xll.BDP($A22,"BEST_TARGET_PRICE")</f>
        <v>128.18124389648437</v>
      </c>
      <c r="I22" s="4">
        <f t="shared" si="0"/>
        <v>-3.9409143461597851E-2</v>
      </c>
      <c r="J22" s="3">
        <f>_xll.BDP($A22,"CUR_MKT_CAP")/1000000/$AI$1</f>
        <v>13668.667039324624</v>
      </c>
      <c r="K22" s="3">
        <f>_xll.BDP($A22,"EQY_FREE_FLOAT_PCT")</f>
        <v>15.96917</v>
      </c>
      <c r="L22" s="6">
        <f>_xll.BDP($A22,"AVG_DAILY_VALUE_TRADED_6M")/$AI$1/1000000</f>
        <v>10.474097257581576</v>
      </c>
      <c r="M22" s="3" t="str">
        <f>_xll.BDP($A22,"INDUSTRY_GROUP")</f>
        <v>Iron/Steel</v>
      </c>
      <c r="N22" s="6">
        <f>_xll.BDP($A22,"EQY_BETA_6M")</f>
        <v>1.0217799999999999</v>
      </c>
      <c r="O22" s="6">
        <f>_xll.BDP($A22,"EST_PE_NXT_YR")</f>
        <v>10.775154046270979</v>
      </c>
      <c r="P22" s="6">
        <f>_xll.BDP($A22,"EST_EV_THIS_YR_EBITDA")</f>
        <v>6.0797159585381886</v>
      </c>
      <c r="Q22" s="6">
        <f>_xll.BDP($A22,"CURRENT_EV_TO_12M_SALES")</f>
        <v>1.6658719955518955</v>
      </c>
      <c r="R22" s="6">
        <f>_xll.BDP($A22,"PX_TO_BOOK_RATIO")</f>
        <v>2.1058025937422067</v>
      </c>
      <c r="S22" s="6">
        <f>_xll.BDP($A22,"PX_TO_FREE_CASH_FLOW")</f>
        <v>11.603763909137792</v>
      </c>
      <c r="T22" s="6">
        <f>_xll.BDP($A22,"NET_DEBT_TO_EBITDA")</f>
        <v>0.43126684636118601</v>
      </c>
      <c r="U22" s="6">
        <f>_xll.BDP($A22,"SALES_GROWTH")</f>
        <v>-4.6439308144540963</v>
      </c>
      <c r="V22" s="6">
        <f>_xll.BDP($A22,"EPS_GROWTH")</f>
        <v>-3.3457260396675546</v>
      </c>
      <c r="W22" s="6">
        <f>_xll.BDP($A22,"EBITDA_MARGIN")</f>
        <v>27.126899074409433</v>
      </c>
      <c r="X22" s="6">
        <f>_xll.BDP($A22,"EBIT_MARGIN")</f>
        <v>21.017580585326705</v>
      </c>
      <c r="Y22" s="6">
        <f>_xll.BDP($A22,"TRAIL_12M_PROF_MARGIN")</f>
        <v>15.273856474305928</v>
      </c>
      <c r="Z22" s="6">
        <f>_xll.BDP($A22,"NORMALIZED_ROE")</f>
        <v>22.645826743913204</v>
      </c>
      <c r="AA22" s="7">
        <f>_xll.BDP($A22,"BDVD_PROJ_12M_YLD")</f>
        <v>7.444376714416336</v>
      </c>
      <c r="AB22" s="7" t="str">
        <f>_xll.BDP($A22,"DVD_RECORD_DT")</f>
        <v>12/10/2017</v>
      </c>
      <c r="AC22" s="96">
        <f>_xll.BDP($A22,"EQY_REC_CONS")</f>
        <v>2.5</v>
      </c>
      <c r="AD22" s="6" t="str">
        <f>_xll.BDP($A22,"PCT_REVENUE_FROM_FOREIGN_SOURCES")</f>
        <v>#N/A N/A</v>
      </c>
      <c r="AE22" s="192" t="str">
        <f>_xll.BDP($A22,"BDVD_NEXT_EST_DECL_DT")</f>
        <v>15/11/2017</v>
      </c>
    </row>
    <row r="23" spans="1:31" s="1" customFormat="1" x14ac:dyDescent="0.25">
      <c r="A23" s="191" t="s">
        <v>16</v>
      </c>
      <c r="B23" s="2" t="str">
        <f>_xll.BDP($A23,"SHORT_NAME")</f>
        <v>MMK</v>
      </c>
      <c r="C23" s="2">
        <f>_xll.BDP($A23,"PX_LAST")</f>
        <v>42.75</v>
      </c>
      <c r="D23" s="5">
        <f>_xll.BDP($A23,"CHG_PCT_WTD")</f>
        <v>1.453074</v>
      </c>
      <c r="E23" s="5">
        <f>_xll.BDP($A23,"CHG_PCT_1M")</f>
        <v>17.830960000000001</v>
      </c>
      <c r="F23" s="5">
        <f>_xll.BDP($A23,"CHG_PCT_1YR")</f>
        <v>35.013469999999998</v>
      </c>
      <c r="G23" s="5">
        <f>_xll.BDP($A23,"CHG_PCT_YTD")</f>
        <v>28.03247</v>
      </c>
      <c r="H23" s="5">
        <f>_xll.BDP($A23,"BEST_TARGET_PRICE")</f>
        <v>43.489051818847656</v>
      </c>
      <c r="I23" s="4">
        <f t="shared" si="0"/>
        <v>1.7287761844389626E-2</v>
      </c>
      <c r="J23" s="3">
        <f>_xll.BDP($A23,"CUR_MKT_CAP")/1000000/$AI$1</f>
        <v>8270.4345832153085</v>
      </c>
      <c r="K23" s="3">
        <f>_xll.BDP($A23,"EQY_FREE_FLOAT_PCT")</f>
        <v>12.7317</v>
      </c>
      <c r="L23" s="6">
        <f>_xll.BDP($A23,"AVG_DAILY_VALUE_TRADED_6M")/$AI$1/1000000</f>
        <v>7.9799527666607002</v>
      </c>
      <c r="M23" s="3" t="str">
        <f>_xll.BDP($A23,"INDUSTRY_GROUP")</f>
        <v>Iron/Steel</v>
      </c>
      <c r="N23" s="6">
        <f>_xll.BDP($A23,"EQY_BETA_6M")</f>
        <v>0.94971539999999999</v>
      </c>
      <c r="O23" s="6">
        <f>_xll.BDP($A23,"EST_PE_NXT_YR")</f>
        <v>10.344559766134038</v>
      </c>
      <c r="P23" s="6">
        <f>_xll.BDP($A23,"EST_EV_THIS_YR_EBITDA")</f>
        <v>4.7798089373984993</v>
      </c>
      <c r="Q23" s="6">
        <f>_xll.BDP($A23,"CURRENT_EV_TO_12M_SALES")</f>
        <v>1.296300818180198</v>
      </c>
      <c r="R23" s="6">
        <f>_xll.BDP($A23,"PX_TO_BOOK_RATIO")</f>
        <v>1.6376886460940518</v>
      </c>
      <c r="S23" s="6">
        <f>_xll.BDP($A23,"PX_TO_FREE_CASH_FLOW")</f>
        <v>13.273730325061244</v>
      </c>
      <c r="T23" s="6">
        <f>_xll.BDP($A23,"NET_DEBT_TO_EBITDA")</f>
        <v>0.11486146095717883</v>
      </c>
      <c r="U23" s="6">
        <f>_xll.BDP($A23,"SALES_GROWTH")</f>
        <v>-3.5793800308271964</v>
      </c>
      <c r="V23" s="6">
        <f>_xll.BDP($A23,"EPS_GROWTH")</f>
        <v>160.52632275504442</v>
      </c>
      <c r="W23" s="6">
        <f>_xll.BDP($A23,"EBITDA_MARGIN")</f>
        <v>30.012095554883579</v>
      </c>
      <c r="X23" s="6">
        <f>_xll.BDP($A23,"EBIT_MARGIN")</f>
        <v>22.013909888116117</v>
      </c>
      <c r="Y23" s="6">
        <f>_xll.BDP($A23,"TRAIL_12M_PROF_MARGIN")</f>
        <v>17.553674024795889</v>
      </c>
      <c r="Z23" s="6">
        <f>_xll.BDP($A23,"NORMALIZED_ROE")</f>
        <v>21.930989973093773</v>
      </c>
      <c r="AA23" s="7">
        <f>_xll.BDP($A23,"BDVD_PROJ_12M_YLD")</f>
        <v>5.092744775768959</v>
      </c>
      <c r="AB23" s="7" t="str">
        <f>_xll.BDP($A23,"DVD_RECORD_DT")</f>
        <v>10/10/2017</v>
      </c>
      <c r="AC23" s="96">
        <f>_xll.BDP($A23,"EQY_REC_CONS")</f>
        <v>3.5</v>
      </c>
      <c r="AD23" s="6">
        <f>_xll.BDP($A23,"PCT_REVENUE_FROM_FOREIGN_SOURCES")</f>
        <v>23.000000000000011</v>
      </c>
      <c r="AE23" s="192" t="str">
        <f>_xll.BDP($A23,"BDVD_NEXT_EST_DECL_DT")</f>
        <v>23/04/2018</v>
      </c>
    </row>
    <row r="24" spans="1:31" s="1" customFormat="1" x14ac:dyDescent="0.25">
      <c r="A24" s="191" t="s">
        <v>37</v>
      </c>
      <c r="B24" s="2" t="str">
        <f>_xll.BDP($A24,"SHORT_NAME")</f>
        <v>MECHEL</v>
      </c>
      <c r="C24" s="2">
        <f>_xll.BDP($A24,"PX_LAST")</f>
        <v>159.85</v>
      </c>
      <c r="D24" s="5">
        <f>_xll.BDP($A24,"CHG_PCT_WTD")</f>
        <v>-1.84219</v>
      </c>
      <c r="E24" s="5">
        <f>_xll.BDP($A24,"CHG_PCT_1M")</f>
        <v>8.8896440000000005</v>
      </c>
      <c r="F24" s="5">
        <f>_xll.BDP($A24,"CHG_PCT_1YR")</f>
        <v>82.269109999999998</v>
      </c>
      <c r="G24" s="5">
        <f>_xll.BDP($A24,"CHG_PCT_YTD")</f>
        <v>-11.806900000000001</v>
      </c>
      <c r="H24" s="5">
        <f>_xll.BDP($A24,"BEST_TARGET_PRICE")</f>
        <v>114.36499786376953</v>
      </c>
      <c r="I24" s="4">
        <f t="shared" si="0"/>
        <v>-0.28454802712687188</v>
      </c>
      <c r="J24" s="3">
        <f>_xll.BDP($A24,"CUR_MKT_CAP")/1000000/$AI$1</f>
        <v>1156.3458041441259</v>
      </c>
      <c r="K24" s="3">
        <f>_xll.BDP($A24,"EQY_FREE_FLOAT_PCT")</f>
        <v>44.95167</v>
      </c>
      <c r="L24" s="6">
        <f>_xll.BDP($A24,"AVG_DAILY_VALUE_TRADED_6M")/$AI$1/1000000</f>
        <v>2.7423593383161786</v>
      </c>
      <c r="M24" s="3" t="str">
        <f>_xll.BDP($A24,"INDUSTRY_GROUP")</f>
        <v>Iron/Steel</v>
      </c>
      <c r="N24" s="6">
        <f>_xll.BDP($A24,"EQY_BETA_6M")</f>
        <v>1.001347</v>
      </c>
      <c r="O24" s="6">
        <f>_xll.BDP($A24,"EST_PE_NXT_YR")</f>
        <v>7.5962927139197483</v>
      </c>
      <c r="P24" s="6">
        <f>_xll.BDP($A24,"EST_EV_THIS_YR_EBITDA")</f>
        <v>4.7848747006072081</v>
      </c>
      <c r="Q24" s="6">
        <f>_xll.BDP($A24,"CURRENT_EV_TO_12M_SALES")</f>
        <v>1.8259023809036039</v>
      </c>
      <c r="R24" s="6" t="str">
        <f>_xll.BDP($A24,"PX_TO_BOOK_RATIO")</f>
        <v>#N/A N/A</v>
      </c>
      <c r="S24" s="6" t="str">
        <f>_xll.BDP($A24,"PX_TO_FREE_CASH_FLOW")</f>
        <v>#N/A N/A</v>
      </c>
      <c r="T24" s="6">
        <f>_xll.BDP($A24,"NET_DEBT_TO_EBITDA")</f>
        <v>6.3388477786283346</v>
      </c>
      <c r="U24" s="6">
        <f>_xll.BDP($A24,"SALES_GROWTH")</f>
        <v>9.0337005858395116</v>
      </c>
      <c r="V24" s="6" t="str">
        <f>_xll.BDP($A24,"EPS_GROWTH")</f>
        <v>#N/A N/A</v>
      </c>
      <c r="W24" s="6">
        <f>_xll.BDP($A24,"EBITDA_MARGIN")</f>
        <v>23.896665266467025</v>
      </c>
      <c r="X24" s="6">
        <f>_xll.BDP($A24,"EBIT_MARGIN")</f>
        <v>19.027019336305369</v>
      </c>
      <c r="Y24" s="6">
        <f>_xll.BDP($A24,"TRAIL_12M_PROF_MARGIN")</f>
        <v>1.2940554750064366</v>
      </c>
      <c r="Z24" s="6" t="str">
        <f>_xll.BDP($A24,"NORMALIZED_ROE")</f>
        <v>#N/A N/A</v>
      </c>
      <c r="AA24" s="7" t="str">
        <f>_xll.BDP($A24,"BDVD_PROJ_12M_YLD")</f>
        <v>#N/A N/A</v>
      </c>
      <c r="AB24" s="7" t="str">
        <f>_xll.BDP($A24,"DVD_RECORD_DT")</f>
        <v>#N/A Field Not Applicable</v>
      </c>
      <c r="AC24" s="96">
        <f>_xll.BDP($A24,"EQY_REC_CONS")</f>
        <v>1</v>
      </c>
      <c r="AD24" s="6">
        <f>_xll.BDP($A24,"PCT_REVENUE_FROM_FOREIGN_SOURCES")</f>
        <v>40.432377205091136</v>
      </c>
      <c r="AE24" s="192" t="str">
        <f>_xll.BDP($A24,"BDVD_NEXT_EST_DECL_DT")</f>
        <v>25/05/2018</v>
      </c>
    </row>
    <row r="25" spans="1:31" s="1" customFormat="1" x14ac:dyDescent="0.25">
      <c r="A25" s="191" t="s">
        <v>21</v>
      </c>
      <c r="B25" s="2" t="str">
        <f>_xll.BDP($A25,"SHORT_NAME")</f>
        <v>SEVERSTAL</v>
      </c>
      <c r="C25" s="2">
        <f>_xll.BDP($A25,"PX_LAST")</f>
        <v>905</v>
      </c>
      <c r="D25" s="5">
        <f>_xll.BDP($A25,"CHG_PCT_WTD")</f>
        <v>0.74585460000000003</v>
      </c>
      <c r="E25" s="5">
        <f>_xll.BDP($A25,"CHG_PCT_1M")</f>
        <v>9.2995169999999998</v>
      </c>
      <c r="F25" s="5">
        <f>_xll.BDP($A25,"CHG_PCT_1YR")</f>
        <v>15.788130000000001</v>
      </c>
      <c r="G25" s="5">
        <f>_xll.BDP($A25,"CHG_PCT_YTD")</f>
        <v>-3.9482080000000002</v>
      </c>
      <c r="H25" s="5">
        <f>_xll.BDP($A25,"BEST_TARGET_PRICE")</f>
        <v>910.27764892578125</v>
      </c>
      <c r="I25" s="4">
        <f t="shared" si="0"/>
        <v>5.8316562715814424E-3</v>
      </c>
      <c r="J25" s="3">
        <f>_xll.BDP($A25,"CUR_MKT_CAP")/1000000/$AI$1</f>
        <v>13174.858713577933</v>
      </c>
      <c r="K25" s="3">
        <f>_xll.BDP($A25,"EQY_FREE_FLOAT_PCT")</f>
        <v>20.9847</v>
      </c>
      <c r="L25" s="6">
        <f>_xll.BDP($A25,"AVG_DAILY_VALUE_TRADED_6M")/$AI$1/1000000</f>
        <v>9.4831546587747493</v>
      </c>
      <c r="M25" s="3" t="str">
        <f>_xll.BDP($A25,"INDUSTRY_GROUP")</f>
        <v>Iron/Steel</v>
      </c>
      <c r="N25" s="6">
        <f>_xll.BDP($A25,"EQY_BETA_6M")</f>
        <v>0.99078759999999999</v>
      </c>
      <c r="O25" s="6">
        <f>_xll.BDP($A25,"EST_PE_NXT_YR")</f>
        <v>9.8362465177940575</v>
      </c>
      <c r="P25" s="6">
        <f>_xll.BDP($A25,"EST_EV_THIS_YR_EBITDA")</f>
        <v>6.0748831289380769</v>
      </c>
      <c r="Q25" s="6">
        <f>_xll.BDP($A25,"CURRENT_EV_TO_12M_SALES")</f>
        <v>2.0300088543087971</v>
      </c>
      <c r="R25" s="6">
        <f>_xll.BDP($A25,"PX_TO_BOOK_RATIO")</f>
        <v>4.2049387506352094</v>
      </c>
      <c r="S25" s="6">
        <f>_xll.BDP($A25,"PX_TO_FREE_CASH_FLOW")</f>
        <v>10.771601324935224</v>
      </c>
      <c r="T25" s="6">
        <f>_xll.BDP($A25,"NET_DEBT_TO_EBITDA")</f>
        <v>0.357773851590106</v>
      </c>
      <c r="U25" s="6">
        <f>_xll.BDP($A25,"SALES_GROWTH")</f>
        <v>-7.5046904315197001</v>
      </c>
      <c r="V25" s="6">
        <f>_xll.BDP($A25,"EPS_GROWTH")</f>
        <v>187.41127163361622</v>
      </c>
      <c r="W25" s="6">
        <f>_xll.BDP($A25,"EBITDA_MARGIN")</f>
        <v>32.636586420642928</v>
      </c>
      <c r="X25" s="6">
        <f>_xll.BDP($A25,"EBIT_MARGIN")</f>
        <v>27.144298688193739</v>
      </c>
      <c r="Y25" s="6">
        <f>_xll.BDP($A25,"TRAIL_12M_PROF_MARGIN")</f>
        <v>17.846331267118352</v>
      </c>
      <c r="Z25" s="6">
        <f>_xll.BDP($A25,"NORMALIZED_ROE")</f>
        <v>54.43126856235385</v>
      </c>
      <c r="AA25" s="7">
        <f>_xll.BDP($A25,"BDVD_PROJ_12M_YLD")</f>
        <v>10.903867403314917</v>
      </c>
      <c r="AB25" s="7" t="str">
        <f>_xll.BDP($A25,"DVD_RECORD_DT")</f>
        <v>26/09/2017</v>
      </c>
      <c r="AC25" s="96">
        <f>_xll.BDP($A25,"EQY_REC_CONS")</f>
        <v>3.4</v>
      </c>
      <c r="AD25" s="6">
        <f>_xll.BDP($A25,"PCT_REVENUE_FROM_FOREIGN_SOURCES")</f>
        <v>32.259213103079937</v>
      </c>
      <c r="AE25" s="192" t="str">
        <f>_xll.BDP($A25,"BDVD_NEXT_EST_DECL_DT")</f>
        <v>20/10/2017</v>
      </c>
    </row>
    <row r="26" spans="1:31" s="1" customFormat="1" x14ac:dyDescent="0.25">
      <c r="A26" s="191" t="s">
        <v>209</v>
      </c>
      <c r="B26" s="2" t="str">
        <f>_xll.BDP($A26,"SHORT_NAME")</f>
        <v>EVRAZ</v>
      </c>
      <c r="C26" s="2">
        <f>_xll.BDP($A26,"PX_LAST")</f>
        <v>307.5</v>
      </c>
      <c r="D26" s="5">
        <f>_xll.BDP($A26,"CHG_PCT_WTD")</f>
        <v>-0.67829649999999997</v>
      </c>
      <c r="E26" s="5">
        <f>_xll.BDP($A26,"CHG_PCT_1M")</f>
        <v>16.389089999999999</v>
      </c>
      <c r="F26" s="5">
        <f>_xll.BDP($A26,"CHG_PCT_1YR")</f>
        <v>120.4301</v>
      </c>
      <c r="G26" s="5">
        <f>_xll.BDP($A26,"CHG_PCT_YTD")</f>
        <v>38.63841</v>
      </c>
      <c r="H26" s="5">
        <f>_xll.BDP($A26,"BEST_TARGET_PRICE")</f>
        <v>307.6727294921875</v>
      </c>
      <c r="I26" s="4">
        <f t="shared" si="0"/>
        <v>5.6172192581294134E-4</v>
      </c>
      <c r="J26" s="3">
        <f>_xll.BDP($A26,"CUR_MKT_CAP")/1000000*$AG$1</f>
        <v>5816.2273704607805</v>
      </c>
      <c r="K26" s="3">
        <f>_xll.BDP($A26,"EQY_FREE_FLOAT_PCT")</f>
        <v>22.478169999999999</v>
      </c>
      <c r="L26" s="6">
        <f>_xll.BDP($A26,"AVG_DAILY_VALUE_TRADED_6M")*$AG$1/100000000</f>
        <v>8.8068909968</v>
      </c>
      <c r="M26" s="3" t="str">
        <f>_xll.BDP($A26,"INDUSTRY_GROUP")</f>
        <v>Iron/Steel</v>
      </c>
      <c r="N26" s="6">
        <f>_xll.BDP($A26,"EQY_BETA_6M")</f>
        <v>1.4647920000000001</v>
      </c>
      <c r="O26" s="6">
        <f>_xll.BDP($A26,"EST_PE_NXT_YR")</f>
        <v>9.6267220432099005</v>
      </c>
      <c r="P26" s="6">
        <f>_xll.BDP($A26,"EST_EV_THIS_YR_EBITDA")</f>
        <v>4.7611909138074262</v>
      </c>
      <c r="Q26" s="6">
        <f>_xll.BDP($A26,"CURRENT_EV_TO_12M_SALES")</f>
        <v>1.1007866959009864</v>
      </c>
      <c r="R26" s="6">
        <f>_xll.BDP($A26,"PX_TO_BOOK_RATIO")</f>
        <v>4.8845833147903202</v>
      </c>
      <c r="S26" s="6">
        <f>_xll.BDP($A26,"PX_TO_FREE_CASH_FLOW")</f>
        <v>4.6589497972796927</v>
      </c>
      <c r="T26" s="6">
        <f>_xll.BDP($A26,"NET_DEBT_TO_EBITDA")</f>
        <v>2.6218750000000002</v>
      </c>
      <c r="U26" s="6">
        <f>_xll.BDP($A26,"SALES_GROWTH")</f>
        <v>-12.022356564389186</v>
      </c>
      <c r="V26" s="6">
        <f>_xll.BDP($A26,"EPS_GROWTH")</f>
        <v>66.666666666666671</v>
      </c>
      <c r="W26" s="6">
        <f>_xll.BDP($A26,"EBITDA_MARGIN")</f>
        <v>17.248814144027598</v>
      </c>
      <c r="X26" s="6">
        <f>_xll.BDP($A26,"EBIT_MARGIN")</f>
        <v>11.394997843898231</v>
      </c>
      <c r="Y26" s="6">
        <f>_xll.BDP($A26,"TRAIL_12M_PROF_MARGIN")</f>
        <v>-1.7033203967227253</v>
      </c>
      <c r="Z26" s="6">
        <f>_xll.BDP($A26,"NORMALIZED_ROE")</f>
        <v>65.425652667423392</v>
      </c>
      <c r="AA26" s="7">
        <f>_xll.BDP($A26,"BDVD_PROJ_12M_YLD")</f>
        <v>2.4673994963731225</v>
      </c>
      <c r="AB26" s="7" t="str">
        <f>_xll.BDP($A26,"DVD_RECORD_DT")</f>
        <v>18/08/2017</v>
      </c>
      <c r="AC26" s="96">
        <f>_xll.BDP($A26,"EQY_REC_CONS")</f>
        <v>3.4615390000000001</v>
      </c>
      <c r="AD26" s="6">
        <f>_xll.BDP($A26,"PCT_REVENUE_FROM_FOREIGN_SOURCES")</f>
        <v>59.436322929013564</v>
      </c>
      <c r="AE26" s="192" t="str">
        <f>_xll.BDP($A26,"BDVD_NEXT_EST_DECL_DT")</f>
        <v>28/02/2018</v>
      </c>
    </row>
    <row r="27" spans="1:31" s="1" customFormat="1" x14ac:dyDescent="0.25">
      <c r="A27" s="191" t="s">
        <v>211</v>
      </c>
      <c r="B27" s="2" t="str">
        <f>_xll.BDP($A27,"SHORT_NAME")</f>
        <v>FERREXPO PLC</v>
      </c>
      <c r="C27" s="2">
        <f>_xll.BDP($A27,"PX_LAST")</f>
        <v>310.2</v>
      </c>
      <c r="D27" s="5">
        <f>_xll.BDP($A27,"CHG_PCT_WTD")</f>
        <v>2.4100380000000001</v>
      </c>
      <c r="E27" s="5">
        <f>_xll.BDP($A27,"CHG_PCT_1M")</f>
        <v>21.838170000000002</v>
      </c>
      <c r="F27" s="5">
        <f>_xll.BDP($A27,"CHG_PCT_1YR")</f>
        <v>367.0324</v>
      </c>
      <c r="G27" s="5">
        <f>_xll.BDP($A27,"CHG_PCT_YTD")</f>
        <v>134.3843</v>
      </c>
      <c r="H27" s="5">
        <f>_xll.BDP($A27,"BEST_TARGET_PRICE")</f>
        <v>211.81817626953125</v>
      </c>
      <c r="I27" s="4">
        <f t="shared" si="0"/>
        <v>-0.31715610486933832</v>
      </c>
      <c r="J27" s="3">
        <f>_xll.BDP($A27,"CUR_MKT_CAP")/1000000*$AG$1</f>
        <v>2411.6646864696672</v>
      </c>
      <c r="K27" s="3">
        <f>_xll.BDP($A27,"EQY_FREE_FLOAT_PCT")</f>
        <v>99.84178</v>
      </c>
      <c r="L27" s="6">
        <f>_xll.BDP($A27,"AVG_DAILY_VALUE_TRADED_6M")*$AG$1/100000000</f>
        <v>11.908945651199998</v>
      </c>
      <c r="M27" s="3" t="str">
        <f>_xll.BDP($A27,"INDUSTRY_GROUP")</f>
        <v>Iron/Steel</v>
      </c>
      <c r="N27" s="6">
        <f>_xll.BDP($A27,"EQY_BETA_6M")</f>
        <v>1.7637229999999999</v>
      </c>
      <c r="O27" s="6">
        <f>_xll.BDP($A27,"EST_PE_NXT_YR")</f>
        <v>10.221089950043595</v>
      </c>
      <c r="P27" s="6">
        <f>_xll.BDP($A27,"EST_EV_THIS_YR_EBITDA")</f>
        <v>5.7532942780698351</v>
      </c>
      <c r="Q27" s="6">
        <f>_xll.BDP($A27,"CURRENT_EV_TO_12M_SALES")</f>
        <v>2.5796207010226531</v>
      </c>
      <c r="R27" s="6">
        <f>_xll.BDP($A27,"PX_TO_BOOK_RATIO")</f>
        <v>4.5147092607685035</v>
      </c>
      <c r="S27" s="6">
        <f>_xll.BDP($A27,"PX_TO_FREE_CASH_FLOW")</f>
        <v>7.4660075208408347</v>
      </c>
      <c r="T27" s="6">
        <f>_xll.BDP($A27,"NET_DEBT_TO_EBITDA")</f>
        <v>1.0158094590800966</v>
      </c>
      <c r="U27" s="6">
        <f>_xll.BDP($A27,"SALES_GROWTH")</f>
        <v>2.6349553539375008</v>
      </c>
      <c r="V27" s="6">
        <f>_xll.BDP($A27,"EPS_GROWTH")</f>
        <v>466.37168141592923</v>
      </c>
      <c r="W27" s="6">
        <f>_xll.BDP($A27,"EBITDA_MARGIN")</f>
        <v>42.321294417898741</v>
      </c>
      <c r="X27" s="6">
        <f>_xll.BDP($A27,"EBIT_MARGIN")</f>
        <v>38.098160440858173</v>
      </c>
      <c r="Y27" s="6">
        <f>_xll.BDP($A27,"TRAIL_12M_PROF_MARGIN")</f>
        <v>29.057673703138949</v>
      </c>
      <c r="Z27" s="6">
        <f>_xll.BDP($A27,"NORMALIZED_ROE")</f>
        <v>81.754838647258865</v>
      </c>
      <c r="AA27" s="7">
        <f>_xll.BDP($A27,"BDVD_PROJ_12M_YLD")</f>
        <v>1.614186738399749</v>
      </c>
      <c r="AB27" s="7" t="str">
        <f>_xll.BDP($A27,"DVD_RECORD_DT")</f>
        <v>11/08/2017</v>
      </c>
      <c r="AC27" s="96">
        <f>_xll.BDP($A27,"EQY_REC_CONS")</f>
        <v>2.8571430000000002</v>
      </c>
      <c r="AD27" s="6" t="str">
        <f>_xll.BDP($A27,"PCT_REVENUE_FROM_FOREIGN_SOURCES")</f>
        <v>#N/A N/A</v>
      </c>
      <c r="AE27" s="192" t="str">
        <f>_xll.BDP($A27,"BDVD_NEXT_EST_DECL_DT")</f>
        <v>13/03/2018</v>
      </c>
    </row>
    <row r="28" spans="1:31" s="1" customFormat="1" ht="15.75" thickBot="1" x14ac:dyDescent="0.3">
      <c r="A28" s="193" t="s">
        <v>210</v>
      </c>
      <c r="B28" s="194" t="str">
        <f>_xll.BDP($A28,"SHORT_NAME")</f>
        <v>RASPADSKAYA</v>
      </c>
      <c r="C28" s="194">
        <f>_xll.BDP($A28,"PX_LAST")</f>
        <v>85.58</v>
      </c>
      <c r="D28" s="195">
        <f>_xll.BDP($A28,"CHG_PCT_WTD")</f>
        <v>0.56404410000000005</v>
      </c>
      <c r="E28" s="195">
        <f>_xll.BDP($A28,"CHG_PCT_1M")</f>
        <v>8.5076669999999996</v>
      </c>
      <c r="F28" s="195">
        <f>_xll.BDP($A28,"CHG_PCT_1YR")</f>
        <v>86.043480000000002</v>
      </c>
      <c r="G28" s="195">
        <f>_xll.BDP($A28,"CHG_PCT_YTD")</f>
        <v>7.3641959999999997</v>
      </c>
      <c r="H28" s="195" t="str">
        <f>_xll.BDP($A28,"BEST_TARGET_PRICE")</f>
        <v>#N/A N/A</v>
      </c>
      <c r="I28" s="196" t="e">
        <f t="shared" si="0"/>
        <v>#VALUE!</v>
      </c>
      <c r="J28" s="197">
        <f>_xll.BDP($A28,"CUR_MKT_CAP")/1000000/$AI$1</f>
        <v>1045.791378925177</v>
      </c>
      <c r="K28" s="197">
        <f>_xll.BDP($A28,"EQY_FREE_FLOAT_PCT")</f>
        <v>18.05</v>
      </c>
      <c r="L28" s="198">
        <f>_xll.BDP($A28,"AVG_DAILY_VALUE_TRADED_6M")/$AI$1/1000000</f>
        <v>4.3286661881930559</v>
      </c>
      <c r="M28" s="197" t="str">
        <f>_xll.BDP($A28,"INDUSTRY_GROUP")</f>
        <v>Coal</v>
      </c>
      <c r="N28" s="198">
        <f>_xll.BDP($A28,"EQY_BETA_6M")</f>
        <v>1.310325</v>
      </c>
      <c r="O28" s="198" t="str">
        <f>_xll.BDP($A28,"EST_PE_NXT_YR")</f>
        <v>#N/A N/A</v>
      </c>
      <c r="P28" s="198" t="str">
        <f>_xll.BDP($A28,"EST_EV_THIS_YR_EBITDA")</f>
        <v>#N/A N/A</v>
      </c>
      <c r="Q28" s="198">
        <f>_xll.BDP($A28,"CURRENT_EV_TO_12M_SALES")</f>
        <v>1.6342306937939663</v>
      </c>
      <c r="R28" s="198">
        <f>_xll.BDP($A28,"PX_TO_BOOK_RATIO")</f>
        <v>3.2887644309036195</v>
      </c>
      <c r="S28" s="198">
        <f>_xll.BDP($A28,"PX_TO_FREE_CASH_FLOW")</f>
        <v>7.9128164171394841</v>
      </c>
      <c r="T28" s="198">
        <f>_xll.BDP($A28,"NET_DEBT_TO_EBITDA")</f>
        <v>1.6906779661016949</v>
      </c>
      <c r="U28" s="198">
        <f>_xll.BDP($A28,"SALES_GROWTH")</f>
        <v>19.809069212410503</v>
      </c>
      <c r="V28" s="198" t="str">
        <f>_xll.BDP($A28,"EPS_GROWTH")</f>
        <v>#N/A N/A</v>
      </c>
      <c r="W28" s="198">
        <f>_xll.BDP($A28,"EBITDA_MARGIN")</f>
        <v>47.011952191235061</v>
      </c>
      <c r="X28" s="198">
        <f>_xll.BDP($A28,"EBIT_MARGIN")</f>
        <v>38.645418326693225</v>
      </c>
      <c r="Y28" s="198">
        <f>_xll.BDP($A28,"TRAIL_12M_PROF_MARGIN")</f>
        <v>36.852589641434264</v>
      </c>
      <c r="Z28" s="198">
        <f>_xll.BDP($A28,"NORMALIZED_ROE")</f>
        <v>75.523812430245542</v>
      </c>
      <c r="AA28" s="199" t="str">
        <f>_xll.BDP($A28,"BDVD_PROJ_12M_YLD")</f>
        <v>#N/A N/A</v>
      </c>
      <c r="AB28" s="199" t="str">
        <f>_xll.BDP($A28,"DVD_RECORD_DT")</f>
        <v>#N/A Field Not Applicable</v>
      </c>
      <c r="AC28" s="202">
        <f>_xll.BDP($A28,"EQY_REC_CONS")</f>
        <v>3</v>
      </c>
      <c r="AD28" s="198">
        <f>_xll.BDP($A28,"PCT_REVENUE_FROM_FOREIGN_SOURCES")</f>
        <v>37.848605577689241</v>
      </c>
      <c r="AE28" s="200" t="str">
        <f>_xll.BDP($A28,"BDVD_NEXT_EST_DECL_DT")</f>
        <v>#N/A N/A</v>
      </c>
    </row>
    <row r="29" spans="1:31" s="213" customFormat="1" x14ac:dyDescent="0.25">
      <c r="A29" s="214" t="s">
        <v>32</v>
      </c>
      <c r="B29" s="215" t="str">
        <f>_xll.BDP($A29,"SHORT_NAME")</f>
        <v>NORILSK NICKEL</v>
      </c>
      <c r="C29" s="215">
        <f>_xll.BDP($A29,"PX_LAST")</f>
        <v>9650</v>
      </c>
      <c r="D29" s="216">
        <f>_xll.BDP($A29,"CHG_PCT_WTD")</f>
        <v>-0.47545219999999999</v>
      </c>
      <c r="E29" s="216">
        <f>_xll.BDP($A29,"CHG_PCT_1M")</f>
        <v>6.9888890000000004</v>
      </c>
      <c r="F29" s="216">
        <f>_xll.BDP($A29,"CHG_PCT_1YR")</f>
        <v>-0.93621399999999999</v>
      </c>
      <c r="G29" s="216">
        <f>_xll.BDP($A29,"CHG_PCT_YTD")</f>
        <v>-4.8705790000000002</v>
      </c>
      <c r="H29" s="216">
        <f>_xll.BDP($A29,"BEST_TARGET_PRICE")</f>
        <v>11222.130859375</v>
      </c>
      <c r="I29" s="217">
        <f t="shared" ref="I29:I30" si="1">H29/C29-1</f>
        <v>0.16291511496113986</v>
      </c>
      <c r="J29" s="218">
        <f>_xll.BDP($A29,"CUR_MKT_CAP")/1000000/$AI$1</f>
        <v>26479.616301306301</v>
      </c>
      <c r="K29" s="218">
        <f>_xll.BDP($A29,"EQY_FREE_FLOAT_PCT")</f>
        <v>44.21481</v>
      </c>
      <c r="L29" s="219">
        <f>_xll.BDP($A29,"AVG_DAILY_VALUE_TRADED_6M")/$AI$1/1000000</f>
        <v>29.439647157571322</v>
      </c>
      <c r="M29" s="218" t="str">
        <f>_xll.BDP($A29,"INDUSTRY_GROUP")</f>
        <v>Mining</v>
      </c>
      <c r="N29" s="219">
        <f>_xll.BDP($A29,"EQY_BETA_6M")</f>
        <v>0.85521659999999999</v>
      </c>
      <c r="O29" s="219">
        <f>_xll.BDP($A29,"EST_PE_NXT_YR")</f>
        <v>10.037594308049972</v>
      </c>
      <c r="P29" s="219">
        <f>_xll.BDP($A29,"EST_EV_THIS_YR_EBITDA")</f>
        <v>7.8296820228366206</v>
      </c>
      <c r="Q29" s="219">
        <f>_xll.BDP($A29,"CURRENT_EV_TO_12M_SALES")</f>
        <v>3.7263461621709486</v>
      </c>
      <c r="R29" s="219">
        <f>_xll.BDP($A29,"PX_TO_BOOK_RATIO")</f>
        <v>7.4704413778741277</v>
      </c>
      <c r="S29" s="219">
        <f>_xll.BDP($A29,"PX_TO_FREE_CASH_FLOW")</f>
        <v>27.599951582802042</v>
      </c>
      <c r="T29" s="219">
        <f>_xll.BDP($A29,"NET_DEBT_TO_EBITDA")</f>
        <v>1.4741035856573705</v>
      </c>
      <c r="U29" s="219">
        <f>_xll.BDP($A29,"SALES_GROWTH")</f>
        <v>-3.3130414422851793</v>
      </c>
      <c r="V29" s="219">
        <f>_xll.BDP($A29,"EPS_GROWTH")</f>
        <v>46.908758557908847</v>
      </c>
      <c r="W29" s="219">
        <f>_xll.BDP($A29,"EBITDA_MARGIN")</f>
        <v>43.455678670360108</v>
      </c>
      <c r="X29" s="219">
        <f>_xll.BDP($A29,"EBIT_MARGIN")</f>
        <v>36.438134810710984</v>
      </c>
      <c r="Y29" s="219">
        <f>_xll.BDP($A29,"TRAIL_12M_PROF_MARGIN")</f>
        <v>24.757617728531855</v>
      </c>
      <c r="Z29" s="219">
        <f>_xll.BDP($A29,"NORMALIZED_ROE")</f>
        <v>67.248146532926299</v>
      </c>
      <c r="AA29" s="220">
        <f>_xll.BDP($A29,"BDVD_PROJ_12M_YLD")</f>
        <v>7.2094713885138644</v>
      </c>
      <c r="AB29" s="220" t="str">
        <f>_xll.BDP($A29,"DVD_RECORD_DT")</f>
        <v>19/10/2017</v>
      </c>
      <c r="AC29" s="221">
        <f>_xll.BDP($A29,"EQY_REC_CONS")</f>
        <v>5</v>
      </c>
      <c r="AD29" s="219">
        <f>_xll.BDP($A29,"PCT_REVENUE_FROM_FOREIGN_SOURCES")</f>
        <v>89.641642688987702</v>
      </c>
      <c r="AE29" s="222" t="str">
        <f>_xll.BDP($A29,"BDVD_NEXT_EST_DECL_DT")</f>
        <v>24/04/2018</v>
      </c>
    </row>
    <row r="30" spans="1:31" s="213" customFormat="1" ht="15.75" thickBot="1" x14ac:dyDescent="0.3">
      <c r="A30" s="223" t="s">
        <v>195</v>
      </c>
      <c r="B30" s="224" t="str">
        <f>_xll.BDP($A30,"SHORT_NAME")</f>
        <v>RUSAL</v>
      </c>
      <c r="C30" s="224">
        <f>_xll.BDP($A30,"PX_LAST")</f>
        <v>5.69</v>
      </c>
      <c r="D30" s="225">
        <f>_xll.BDP($A30,"CHG_PCT_WTD")</f>
        <v>0.1760594</v>
      </c>
      <c r="E30" s="225">
        <f>_xll.BDP($A30,"CHG_PCT_1M")</f>
        <v>11.568630000000001</v>
      </c>
      <c r="F30" s="225">
        <f>_xll.BDP($A30,"CHG_PCT_1YR")</f>
        <v>101.7731</v>
      </c>
      <c r="G30" s="225">
        <f>_xll.BDP($A30,"CHG_PCT_YTD")</f>
        <v>73.475610000000003</v>
      </c>
      <c r="H30" s="225">
        <f>_xll.BDP($A30,"BEST_TARGET_PRICE")</f>
        <v>6.3629999160766602</v>
      </c>
      <c r="I30" s="226">
        <f t="shared" si="1"/>
        <v>0.11827766539132867</v>
      </c>
      <c r="J30" s="227">
        <f>_xll.BDP($A30,"CUR_MKT_CAP")/1000000/$AK$1</f>
        <v>11065.659865184391</v>
      </c>
      <c r="K30" s="227">
        <f>_xll.BDP($A30,"EQY_FREE_FLOAT_PCT")</f>
        <v>13.37561</v>
      </c>
      <c r="L30" s="228">
        <f>_xll.BDP($A30,"AVG_DAILY_VALUE_TRADED_6M")/$AK$1/1000000</f>
        <v>5.2336469413616991</v>
      </c>
      <c r="M30" s="227" t="str">
        <f>_xll.BDP($A30,"INDUSTRY_GROUP")</f>
        <v>Mining</v>
      </c>
      <c r="N30" s="228">
        <f>_xll.BDP($A30,"EQY_BETA_6M")</f>
        <v>0.90258070000000001</v>
      </c>
      <c r="O30" s="228">
        <f>_xll.BDP($A30,"EST_PE_NXT_YR")</f>
        <v>6.8076875495490921</v>
      </c>
      <c r="P30" s="228">
        <f>_xll.BDP($A30,"EST_EV_THIS_YR_EBITDA")</f>
        <v>9.5164169483645615</v>
      </c>
      <c r="Q30" s="228">
        <f>_xll.BDP($A30,"CURRENT_EV_TO_12M_SALES")</f>
        <v>2.1920613275931111</v>
      </c>
      <c r="R30" s="228">
        <f>_xll.BDP($A30,"PX_TO_BOOK_RATIO")</f>
        <v>2.8730360648544284</v>
      </c>
      <c r="S30" s="228">
        <f>_xll.BDP($A30,"PX_TO_FREE_CASH_FLOW")</f>
        <v>21.241715422053996</v>
      </c>
      <c r="T30" s="228">
        <f>_xll.BDP($A30,"NET_DEBT_TO_EBITDA")</f>
        <v>4.5671232876712331</v>
      </c>
      <c r="U30" s="228">
        <f>_xll.BDP($A30,"SALES_GROWTH")</f>
        <v>-8.0299539170506904</v>
      </c>
      <c r="V30" s="228">
        <f>_xll.BDP($A30,"EPS_GROWTH")</f>
        <v>110.81081081081084</v>
      </c>
      <c r="W30" s="228">
        <f>_xll.BDP($A30,"EBITDA_MARGIN")</f>
        <v>20.619139080329909</v>
      </c>
      <c r="X30" s="228">
        <f>_xll.BDP($A30,"EBIT_MARGIN")</f>
        <v>15.365495424245848</v>
      </c>
      <c r="Y30" s="228">
        <f>_xll.BDP($A30,"TRAIL_12M_PROF_MARGIN")</f>
        <v>15.681843859450909</v>
      </c>
      <c r="Z30" s="228">
        <f>_xll.BDP($A30,"NORMALIZED_ROE")</f>
        <v>50.337165991902836</v>
      </c>
      <c r="AA30" s="229" t="str">
        <f>_xll.BDP($A30,"BDVD_PROJ_12M_YLD")</f>
        <v>#N/A N/A</v>
      </c>
      <c r="AB30" s="229" t="str">
        <f>_xll.BDP($A30,"DVD_RECORD_DT")</f>
        <v>07/09/2017</v>
      </c>
      <c r="AC30" s="230">
        <f>_xll.BDP($A30,"EQY_REC_CONS")</f>
        <v>4.4000000000000004</v>
      </c>
      <c r="AD30" s="228">
        <f>_xll.BDP($A30,"PCT_REVENUE_FROM_FOREIGN_SOURCES")</f>
        <v>79.130652636853313</v>
      </c>
      <c r="AE30" s="231" t="str">
        <f>_xll.BDP($A30,"BDVD_NEXT_EST_DECL_DT")</f>
        <v>#N/A N/A</v>
      </c>
    </row>
    <row r="31" spans="1:31" s="1" customFormat="1" x14ac:dyDescent="0.25">
      <c r="A31" s="183" t="s">
        <v>177</v>
      </c>
      <c r="B31" s="184" t="str">
        <f>_xll.BDP($A31,"SHORT_NAME")</f>
        <v>URALKALI</v>
      </c>
      <c r="C31" s="184">
        <f>_xll.BDP($A31,"PX_LAST")</f>
        <v>139.25</v>
      </c>
      <c r="D31" s="185">
        <f>_xll.BDP($A31,"CHG_PCT_WTD")</f>
        <v>2.6506919999999998</v>
      </c>
      <c r="E31" s="185">
        <f>_xll.BDP($A31,"CHG_PCT_1M")</f>
        <v>7.490494</v>
      </c>
      <c r="F31" s="185">
        <f>_xll.BDP($A31,"CHG_PCT_1YR")</f>
        <v>-25.605260000000001</v>
      </c>
      <c r="G31" s="185">
        <f>_xll.BDP($A31,"CHG_PCT_YTD")</f>
        <v>-14.43704</v>
      </c>
      <c r="H31" s="185">
        <f>_xll.BDP($A31,"BEST_TARGET_PRICE")</f>
        <v>137.6595458984375</v>
      </c>
      <c r="I31" s="186">
        <f t="shared" ref="I31:I39" si="2">H31/C31-1</f>
        <v>-1.1421573440305255E-2</v>
      </c>
      <c r="J31" s="187">
        <f>_xll.BDP($A31,"CUR_MKT_CAP")/1000000/$AI$1</f>
        <v>7211.9617161941878</v>
      </c>
      <c r="K31" s="187">
        <f>_xll.BDP($A31,"EQY_FREE_FLOAT_PCT")</f>
        <v>30.21932</v>
      </c>
      <c r="L31" s="188">
        <f>_xll.BDP($A31,"AVG_DAILY_VALUE_TRADED_6M")/$AI$1/1000000</f>
        <v>0.69403136029584267</v>
      </c>
      <c r="M31" s="187" t="str">
        <f>_xll.BDP($A31,"INDUSTRY_GROUP")</f>
        <v>Chemicals</v>
      </c>
      <c r="N31" s="188">
        <f>_xll.BDP($A31,"EQY_BETA_6M")</f>
        <v>0.49658550000000001</v>
      </c>
      <c r="O31" s="188">
        <f>_xll.BDP($A31,"EST_PE_NXT_YR")</f>
        <v>7.0626004529500106</v>
      </c>
      <c r="P31" s="188">
        <f>_xll.BDP($A31,"EST_EV_THIS_YR_EBITDA")</f>
        <v>9.4303580815772055</v>
      </c>
      <c r="Q31" s="188">
        <f>_xll.BDP($A31,"CURRENT_EV_TO_12M_SALES")</f>
        <v>4.8046277186054382</v>
      </c>
      <c r="R31" s="188">
        <f>_xll.BDP($A31,"PX_TO_BOOK_RATIO")</f>
        <v>4.6414803370970033</v>
      </c>
      <c r="S31" s="188">
        <f>_xll.BDP($A31,"PX_TO_FREE_CASH_FLOW")</f>
        <v>4.9452517193063388</v>
      </c>
      <c r="T31" s="188">
        <f>_xll.BDP($A31,"NET_DEBT_TO_EBITDA")</f>
        <v>4.1613250675144293</v>
      </c>
      <c r="U31" s="188">
        <f>_xll.BDP($A31,"SALES_GROWTH")</f>
        <v>-27.056396659278537</v>
      </c>
      <c r="V31" s="188">
        <f>_xll.BDP($A31,"EPS_GROWTH")</f>
        <v>1122.4514561680273</v>
      </c>
      <c r="W31" s="188">
        <f>_xll.BDP($A31,"EBITDA_MARGIN")</f>
        <v>48.042807566079574</v>
      </c>
      <c r="X31" s="188">
        <f>_xll.BDP($A31,"EBIT_MARGIN")</f>
        <v>39.419767566320786</v>
      </c>
      <c r="Y31" s="188">
        <f>_xll.BDP($A31,"TRAIL_12M_PROF_MARGIN")</f>
        <v>36.4072588790781</v>
      </c>
      <c r="Z31" s="188">
        <f>_xll.BDP($A31,"NORMALIZED_ROE")</f>
        <v>262.73464246427875</v>
      </c>
      <c r="AA31" s="189" t="str">
        <f>_xll.BDP($A31,"BDVD_PROJ_12M_YLD")</f>
        <v>#N/A N/A</v>
      </c>
      <c r="AB31" s="189" t="str">
        <f>_xll.BDP($A31,"DVD_RECORD_DT")</f>
        <v>#N/A Field Not Applicable</v>
      </c>
      <c r="AC31" s="201">
        <f>_xll.BDP($A31,"EQY_REC_CONS")</f>
        <v>1.8</v>
      </c>
      <c r="AD31" s="188">
        <f>_xll.BDP($A31,"PCT_REVENUE_FROM_FOREIGN_SOURCES")</f>
        <v>78.68122598751259</v>
      </c>
      <c r="AE31" s="190" t="str">
        <f>_xll.BDP($A31,"BDVD_NEXT_EST_DECL_DT")</f>
        <v>25/10/2017</v>
      </c>
    </row>
    <row r="32" spans="1:31" s="1" customFormat="1" x14ac:dyDescent="0.25">
      <c r="A32" s="191" t="s">
        <v>179</v>
      </c>
      <c r="B32" s="2" t="str">
        <f>_xll.BDP($A32,"SHORT_NAME")</f>
        <v>PHOSAGRO PJSC</v>
      </c>
      <c r="C32" s="2">
        <f>_xll.BDP($A32,"PX_LAST")</f>
        <v>2315</v>
      </c>
      <c r="D32" s="5">
        <f>_xll.BDP($A32,"CHG_PCT_WTD")</f>
        <v>0</v>
      </c>
      <c r="E32" s="5">
        <f>_xll.BDP($A32,"CHG_PCT_1M")</f>
        <v>-6.0643560000000001</v>
      </c>
      <c r="F32" s="5">
        <f>_xll.BDP($A32,"CHG_PCT_1YR")</f>
        <v>-11.91489</v>
      </c>
      <c r="G32" s="5">
        <f>_xll.BDP($A32,"CHG_PCT_YTD")</f>
        <v>-12.389379999999999</v>
      </c>
      <c r="H32" s="5">
        <f>_xll.BDP($A32,"BEST_TARGET_PRICE")</f>
        <v>1715.4749755859375</v>
      </c>
      <c r="I32" s="4">
        <f t="shared" si="2"/>
        <v>-0.25897409261946547</v>
      </c>
      <c r="J32" s="3">
        <f>_xll.BDP($A32,"CUR_MKT_CAP")/1000000/$AI$1</f>
        <v>5124.2699077750804</v>
      </c>
      <c r="K32" s="3">
        <f>_xll.BDP($A32,"EQY_FREE_FLOAT_PCT")</f>
        <v>27.751539999999999</v>
      </c>
      <c r="L32" s="6">
        <f>_xll.BDP($A32,"AVG_DAILY_VALUE_TRADED_6M")/$AI$1/1000000</f>
        <v>1.3645739528465992</v>
      </c>
      <c r="M32" s="3" t="str">
        <f>_xll.BDP($A32,"INDUSTRY_GROUP")</f>
        <v>Chemicals</v>
      </c>
      <c r="N32" s="6">
        <f>_xll.BDP($A32,"EQY_BETA_6M")</f>
        <v>0.57610170000000005</v>
      </c>
      <c r="O32" s="6">
        <f>_xll.BDP($A32,"EST_PE_NXT_YR")</f>
        <v>9.9736314180340084</v>
      </c>
      <c r="P32" s="6">
        <f>_xll.BDP($A32,"EST_EV_THIS_YR_EBITDA")</f>
        <v>6.7530999571282528</v>
      </c>
      <c r="Q32" s="6">
        <f>_xll.BDP($A32,"CURRENT_EV_TO_12M_SALES")</f>
        <v>2.2953567792053269</v>
      </c>
      <c r="R32" s="6">
        <f>_xll.BDP($A32,"PX_TO_BOOK_RATIO")</f>
        <v>3.1825359135699869</v>
      </c>
      <c r="S32" s="6">
        <f>_xll.BDP($A32,"PX_TO_FREE_CASH_FLOW")</f>
        <v>658.1957048152118</v>
      </c>
      <c r="T32" s="6">
        <f>_xll.BDP($A32,"NET_DEBT_TO_EBITDA")</f>
        <v>1.9078047291595597</v>
      </c>
      <c r="U32" s="6">
        <f>_xll.BDP($A32,"SALES_GROWTH")</f>
        <v>-1.0488478485442625</v>
      </c>
      <c r="V32" s="6">
        <f>_xll.BDP($A32,"EPS_GROWTH")</f>
        <v>64.3268823258677</v>
      </c>
      <c r="W32" s="6">
        <f>_xll.BDP($A32,"EBITDA_MARGIN")</f>
        <v>31.860720537256743</v>
      </c>
      <c r="X32" s="6">
        <f>_xll.BDP($A32,"EBIT_MARGIN")</f>
        <v>24.82981912203828</v>
      </c>
      <c r="Y32" s="6">
        <f>_xll.BDP($A32,"TRAIL_12M_PROF_MARGIN")</f>
        <v>21.456519500726486</v>
      </c>
      <c r="Z32" s="6">
        <f>_xll.BDP($A32,"NORMALIZED_ROE")</f>
        <v>44.810918497521556</v>
      </c>
      <c r="AA32" s="7">
        <f>_xll.BDP($A32,"BDVD_PROJ_12M_YLD")</f>
        <v>6.4558629776021084</v>
      </c>
      <c r="AB32" s="7" t="str">
        <f>_xll.BDP($A32,"DVD_RECORD_DT")</f>
        <v>13/10/2017</v>
      </c>
      <c r="AC32" s="96">
        <f>_xll.BDP($A32,"EQY_REC_CONS")</f>
        <v>2</v>
      </c>
      <c r="AD32" s="6">
        <f>_xll.BDP($A32,"PCT_REVENUE_FROM_FOREIGN_SOURCES")</f>
        <v>66.43265758327918</v>
      </c>
      <c r="AE32" s="192" t="str">
        <f>_xll.BDP($A32,"BDVD_NEXT_EST_DECL_DT")</f>
        <v>20/11/2017</v>
      </c>
    </row>
    <row r="33" spans="1:31" s="1" customFormat="1" ht="15.75" thickBot="1" x14ac:dyDescent="0.3">
      <c r="A33" s="193" t="s">
        <v>60</v>
      </c>
      <c r="B33" s="194" t="str">
        <f>_xll.BDP($A33,"SHORT_NAME")</f>
        <v>ACRON</v>
      </c>
      <c r="C33" s="194">
        <f>_xll.BDP($A33,"PX_LAST")</f>
        <v>3613</v>
      </c>
      <c r="D33" s="195">
        <f>_xll.BDP($A33,"CHG_PCT_WTD")</f>
        <v>5.5386320000000003E-2</v>
      </c>
      <c r="E33" s="195">
        <f>_xll.BDP($A33,"CHG_PCT_1M")</f>
        <v>10.45552</v>
      </c>
      <c r="F33" s="195">
        <f>_xll.BDP($A33,"CHG_PCT_1YR")</f>
        <v>-1.2841530000000001</v>
      </c>
      <c r="G33" s="195">
        <f>_xll.BDP($A33,"CHG_PCT_YTD")</f>
        <v>1.062937</v>
      </c>
      <c r="H33" s="195">
        <f>_xll.BDP($A33,"BEST_TARGET_PRICE")</f>
        <v>2272.08544921875</v>
      </c>
      <c r="I33" s="196">
        <f t="shared" si="2"/>
        <v>-0.37113605058988375</v>
      </c>
      <c r="J33" s="197">
        <f>_xll.BDP($A33,"CUR_MKT_CAP")/1000000/$AI$1</f>
        <v>2544.9931791443432</v>
      </c>
      <c r="K33" s="197">
        <f>_xll.BDP($A33,"EQY_FREE_FLOAT_PCT")</f>
        <v>14.3592</v>
      </c>
      <c r="L33" s="198">
        <f>_xll.BDP($A33,"AVG_DAILY_VALUE_TRADED_6M")/$AI$1/1000000</f>
        <v>0.37495625094492746</v>
      </c>
      <c r="M33" s="197" t="str">
        <f>_xll.BDP($A33,"INDUSTRY_GROUP")</f>
        <v>Chemicals</v>
      </c>
      <c r="N33" s="198">
        <f>_xll.BDP($A33,"EQY_BETA_6M")</f>
        <v>0.57644010000000001</v>
      </c>
      <c r="O33" s="198">
        <f>_xll.BDP($A33,"EST_PE_NXT_YR")</f>
        <v>7.9544703991545758</v>
      </c>
      <c r="P33" s="198">
        <f>_xll.BDP($A33,"EST_EV_THIS_YR_EBITDA")</f>
        <v>7.3032102950614641</v>
      </c>
      <c r="Q33" s="198">
        <f>_xll.BDP($A33,"CURRENT_EV_TO_12M_SALES")</f>
        <v>2.598564850850686</v>
      </c>
      <c r="R33" s="198">
        <f>_xll.BDP($A33,"PX_TO_BOOK_RATIO")</f>
        <v>2.1984439455585099</v>
      </c>
      <c r="S33" s="198">
        <f>_xll.BDP($A33,"PX_TO_FREE_CASH_FLOW")</f>
        <v>13.891971932424054</v>
      </c>
      <c r="T33" s="198">
        <f>_xll.BDP($A33,"NET_DEBT_TO_EBITDA")</f>
        <v>2.0862501447150077</v>
      </c>
      <c r="U33" s="198">
        <f>_xll.BDP($A33,"SALES_GROWTH")</f>
        <v>-2.8907073539160391</v>
      </c>
      <c r="V33" s="198">
        <f>_xll.BDP($A33,"EPS_GROWTH")</f>
        <v>75.887204003470131</v>
      </c>
      <c r="W33" s="198">
        <f>_xll.BDP($A33,"EBITDA_MARGIN")</f>
        <v>28.990971437521679</v>
      </c>
      <c r="X33" s="198">
        <f>_xll.BDP($A33,"EBIT_MARGIN")</f>
        <v>20.634796325923276</v>
      </c>
      <c r="Y33" s="198">
        <f>_xll.BDP($A33,"TRAIL_12M_PROF_MARGIN")</f>
        <v>15.961648188134209</v>
      </c>
      <c r="Z33" s="198">
        <f>_xll.BDP($A33,"NORMALIZED_ROE")</f>
        <v>21.974697769402578</v>
      </c>
      <c r="AA33" s="199">
        <f>_xll.BDP($A33,"BDVD_PROJ_12M_YLD")</f>
        <v>8.4417381677276495</v>
      </c>
      <c r="AB33" s="199" t="str">
        <f>_xll.BDP($A33,"DVD_RECORD_DT")</f>
        <v>26/09/2017</v>
      </c>
      <c r="AC33" s="202">
        <f>_xll.BDP($A33,"EQY_REC_CONS")</f>
        <v>2.3333330000000001</v>
      </c>
      <c r="AD33" s="198">
        <f>_xll.BDP($A33,"PCT_REVENUE_FROM_FOREIGN_SOURCES")</f>
        <v>77.194238968654531</v>
      </c>
      <c r="AE33" s="200" t="str">
        <f>_xll.BDP($A33,"BDVD_NEXT_EST_DECL_DT")</f>
        <v>22/05/2018</v>
      </c>
    </row>
    <row r="34" spans="1:31" s="8" customFormat="1" x14ac:dyDescent="0.25">
      <c r="A34" s="155" t="s">
        <v>18</v>
      </c>
      <c r="B34" s="156" t="str">
        <f>_xll.BDP($A34,"SHORT_NAME")</f>
        <v>DIXY</v>
      </c>
      <c r="C34" s="156">
        <f>_xll.BDP($A34,"PX_LAST")</f>
        <v>313.89999999999998</v>
      </c>
      <c r="D34" s="157">
        <f>_xll.BDP($A34,"CHG_PCT_WTD")</f>
        <v>-0.79846890000000004</v>
      </c>
      <c r="E34" s="157">
        <f>_xll.BDP($A34,"CHG_PCT_1M")</f>
        <v>24.688880000000001</v>
      </c>
      <c r="F34" s="157">
        <f>_xll.BDP($A34,"CHG_PCT_1YR")</f>
        <v>-14.693770000000001</v>
      </c>
      <c r="G34" s="157">
        <f>_xll.BDP($A34,"CHG_PCT_YTD")</f>
        <v>10.928570000000001</v>
      </c>
      <c r="H34" s="157">
        <f>_xll.BDP($A34,"BEST_TARGET_PRICE")</f>
        <v>261.94869995117187</v>
      </c>
      <c r="I34" s="158">
        <f t="shared" si="2"/>
        <v>-0.16550270802430112</v>
      </c>
      <c r="J34" s="159">
        <f>_xll.BDP($A34,"CUR_MKT_CAP")/1000000/$AI$1</f>
        <v>673.35052594444971</v>
      </c>
      <c r="K34" s="159">
        <f>_xll.BDP($A34,"EQY_FREE_FLOAT_PCT")</f>
        <v>47.834000000000003</v>
      </c>
      <c r="L34" s="160">
        <f>_xll.BDP($A34,"AVG_DAILY_VALUE_TRADED_6M")/$AI$1/1000000</f>
        <v>0.30871244836568823</v>
      </c>
      <c r="M34" s="159" t="str">
        <f>_xll.BDP($A34,"INDUSTRY_GROUP")</f>
        <v>Food</v>
      </c>
      <c r="N34" s="160">
        <f>_xll.BDP($A34,"EQY_BETA_6M")</f>
        <v>0.58714469999999996</v>
      </c>
      <c r="O34" s="160">
        <f>_xll.BDP($A34,"EST_PE_NXT_YR")</f>
        <v>26.246408653033633</v>
      </c>
      <c r="P34" s="160">
        <f>_xll.BDP($A34,"EST_EV_THIS_YR_EBITDA")</f>
        <v>5.3189167352478126</v>
      </c>
      <c r="Q34" s="160">
        <f>_xll.BDP($A34,"CURRENT_EV_TO_12M_SALES")</f>
        <v>0.22013170969347889</v>
      </c>
      <c r="R34" s="160">
        <f>_xll.BDP($A34,"PX_TO_BOOK_RATIO")</f>
        <v>1.3769944651308059</v>
      </c>
      <c r="S34" s="160">
        <f>_xll.BDP($A34,"PX_TO_FREE_CASH_FLOW")</f>
        <v>6.4825904182564118</v>
      </c>
      <c r="T34" s="160">
        <f>_xll.BDP($A34,"NET_DEBT_TO_EBITDA")</f>
        <v>3.2307825544907978</v>
      </c>
      <c r="U34" s="160">
        <f>_xll.BDP($A34,"SALES_GROWTH")</f>
        <v>14.280626200367687</v>
      </c>
      <c r="V34" s="160" t="str">
        <f>_xll.BDP($A34,"EPS_GROWTH")</f>
        <v>#N/A N/A</v>
      </c>
      <c r="W34" s="160">
        <f>_xll.BDP($A34,"EBITDA_MARGIN")</f>
        <v>2.7344995542353381</v>
      </c>
      <c r="X34" s="160">
        <f>_xll.BDP($A34,"EBIT_MARGIN")</f>
        <v>-0.21716309102346462</v>
      </c>
      <c r="Y34" s="160">
        <f>_xll.BDP($A34,"TRAIL_12M_PROF_MARGIN")</f>
        <v>-1.289890636199917</v>
      </c>
      <c r="Z34" s="160">
        <f>_xll.BDP($A34,"NORMALIZED_ROE")</f>
        <v>-13.475128443049805</v>
      </c>
      <c r="AA34" s="161" t="str">
        <f>_xll.BDP($A34,"BDVD_PROJ_12M_YLD")</f>
        <v>#N/A N/A</v>
      </c>
      <c r="AB34" s="161" t="str">
        <f>_xll.BDP($A34,"DVD_RECORD_DT")</f>
        <v>#N/A N/A</v>
      </c>
      <c r="AC34" s="203">
        <f>_xll.BDP($A34,"EQY_REC_CONS")</f>
        <v>3</v>
      </c>
      <c r="AD34" s="160" t="str">
        <f>_xll.BDP($A34,"PCT_REVENUE_FROM_FOREIGN_SOURCES")</f>
        <v>#N/A N/A</v>
      </c>
      <c r="AE34" s="162" t="str">
        <f>_xll.BDP($A34,"BDVD_NEXT_EST_DECL_DT")</f>
        <v>#N/A N/A</v>
      </c>
    </row>
    <row r="35" spans="1:31" x14ac:dyDescent="0.25">
      <c r="A35" s="163" t="s">
        <v>8</v>
      </c>
      <c r="B35" s="150" t="str">
        <f>_xll.BDP($A35,"SHORT_NAME")</f>
        <v>MAGNIT</v>
      </c>
      <c r="C35" s="150">
        <f>_xll.BDP($A35,"PX_LAST")</f>
        <v>10667</v>
      </c>
      <c r="D35" s="151">
        <f>_xll.BDP($A35,"CHG_PCT_WTD")</f>
        <v>1.329914</v>
      </c>
      <c r="E35" s="151">
        <f>_xll.BDP($A35,"CHG_PCT_1M")</f>
        <v>13.98803</v>
      </c>
      <c r="F35" s="151">
        <f>_xll.BDP($A35,"CHG_PCT_1YR")</f>
        <v>1.1665399999999999</v>
      </c>
      <c r="G35" s="151">
        <f>_xll.BDP($A35,"CHG_PCT_YTD")</f>
        <v>-3.0272730000000001</v>
      </c>
      <c r="H35" s="151">
        <f>_xll.BDP($A35,"BEST_TARGET_PRICE")</f>
        <v>10918.1669921875</v>
      </c>
      <c r="I35" s="152">
        <f t="shared" si="2"/>
        <v>2.3546169699774966E-2</v>
      </c>
      <c r="J35" s="153">
        <f>_xll.BDP($A35,"CUR_MKT_CAP")/1000000/$AI$1</f>
        <v>17528.920841319963</v>
      </c>
      <c r="K35" s="153">
        <f>_xll.BDP($A35,"EQY_FREE_FLOAT_PCT")</f>
        <v>63.817790000000002</v>
      </c>
      <c r="L35" s="154">
        <f>_xll.BDP($A35,"AVG_DAILY_VALUE_TRADED_6M")/$AI$1/1000000</f>
        <v>16.662921133530631</v>
      </c>
      <c r="M35" s="153" t="str">
        <f>_xll.BDP($A35,"INDUSTRY_GROUP")</f>
        <v>Food</v>
      </c>
      <c r="N35" s="154">
        <f>_xll.BDP($A35,"EQY_BETA_6M")</f>
        <v>0.70332419999999995</v>
      </c>
      <c r="O35" s="154">
        <f>_xll.BDP($A35,"EST_PE_NXT_YR")</f>
        <v>14.935696833497854</v>
      </c>
      <c r="P35" s="154">
        <f>_xll.BDP($A35,"EST_EV_THIS_YR_EBITDA")</f>
        <v>9.8428272924389706</v>
      </c>
      <c r="Q35" s="154">
        <f>_xll.BDP($A35,"CURRENT_EV_TO_12M_SALES")</f>
        <v>1.0415934390332631</v>
      </c>
      <c r="R35" s="154" t="str">
        <f>_xll.BDP($A35,"PX_TO_BOOK_RATIO")</f>
        <v>#N/A N/A</v>
      </c>
      <c r="S35" s="154" t="str">
        <f>_xll.BDP($A35,"PX_TO_FREE_CASH_FLOW")</f>
        <v>#N/A N/A</v>
      </c>
      <c r="T35" s="154" t="str">
        <f>_xll.BDP($A35,"NET_DEBT_TO_EBITDA")</f>
        <v>#N/A N/A</v>
      </c>
      <c r="U35" s="154">
        <f>_xll.BDP($A35,"SALES_GROWTH")</f>
        <v>12.554965620024179</v>
      </c>
      <c r="V35" s="154">
        <f>_xll.BDP($A35,"EPS_GROWTH")</f>
        <v>-8.3279047434123505</v>
      </c>
      <c r="W35" s="154" t="str">
        <f>_xll.BDP($A35,"EBITDA_MARGIN")</f>
        <v>#N/A N/A</v>
      </c>
      <c r="X35" s="154" t="str">
        <f>_xll.BDP($A35,"EBIT_MARGIN")</f>
        <v>#N/A N/A</v>
      </c>
      <c r="Y35" s="154" t="str">
        <f>_xll.BDP($A35,"TRAIL_12M_PROF_MARGIN")</f>
        <v>#N/A N/A</v>
      </c>
      <c r="Z35" s="154" t="str">
        <f>_xll.BDP($A35,"NORMALIZED_ROE")</f>
        <v>#N/A N/A</v>
      </c>
      <c r="AA35" s="141">
        <f>_xll.BDP($A35,"BDVD_PROJ_12M_YLD")</f>
        <v>3.192181494328302</v>
      </c>
      <c r="AB35" s="141" t="str">
        <f>_xll.BDP($A35,"DVD_RECORD_DT")</f>
        <v>15/09/2017</v>
      </c>
      <c r="AC35" s="139">
        <f>_xll.BDP($A35,"EQY_REC_CONS")</f>
        <v>3.7272729999999998</v>
      </c>
      <c r="AD35" s="154" t="str">
        <f>_xll.BDP($A35,"PCT_REVENUE_FROM_FOREIGN_SOURCES")</f>
        <v>#N/A N/A</v>
      </c>
      <c r="AE35" s="164" t="str">
        <f>_xll.BDP($A35,"BDVD_NEXT_EST_DECL_DT")</f>
        <v>30/10/2017</v>
      </c>
    </row>
    <row r="36" spans="1:31" s="8" customFormat="1" x14ac:dyDescent="0.25">
      <c r="A36" s="163" t="s">
        <v>19</v>
      </c>
      <c r="B36" s="150" t="str">
        <f>_xll.BDP($A36,"SHORT_NAME")</f>
        <v>X 5 RETAIL-GDR</v>
      </c>
      <c r="C36" s="150">
        <f>_xll.BDP($A36,"PX_LAST")</f>
        <v>42.45</v>
      </c>
      <c r="D36" s="151">
        <f>_xll.BDP($A36,"CHG_PCT_WTD")</f>
        <v>1.774157</v>
      </c>
      <c r="E36" s="151">
        <f>_xll.BDP($A36,"CHG_PCT_1M")</f>
        <v>8.8461540000000003</v>
      </c>
      <c r="F36" s="151">
        <f>_xll.BDP($A36,"CHG_PCT_1YR")</f>
        <v>56.931609999999999</v>
      </c>
      <c r="G36" s="151">
        <f>_xll.BDP($A36,"CHG_PCT_YTD")</f>
        <v>30.81664</v>
      </c>
      <c r="H36" s="151">
        <f>_xll.BDP($A36,"BEST_TARGET_PRICE")</f>
        <v>44.51031494140625</v>
      </c>
      <c r="I36" s="152">
        <f t="shared" si="2"/>
        <v>4.8535098737485294E-2</v>
      </c>
      <c r="J36" s="153">
        <f>_xll.BDP($A36,"CUR_MKT_CAP")/1000000</f>
        <v>11528.268416400002</v>
      </c>
      <c r="K36" s="153" t="str">
        <f>_xll.BDP($A36,"EQY_FREE_FLOAT_PCT")</f>
        <v>#N/A N/A</v>
      </c>
      <c r="L36" s="154">
        <f>_xll.BDP($A36,"AVG_DAILY_VALUE_TRADED_6M")/1000000</f>
        <v>15.87898</v>
      </c>
      <c r="M36" s="153" t="str">
        <f>_xll.BDP($A36,"INDUSTRY_GROUP")</f>
        <v>Food</v>
      </c>
      <c r="N36" s="154">
        <f>_xll.BDP($A36,"EQY_BETA_6M")</f>
        <v>0.6148827</v>
      </c>
      <c r="O36" s="154">
        <f>_xll.BDP($A36,"EST_PE_NXT_YR")</f>
        <v>13.736147715308793</v>
      </c>
      <c r="P36" s="154">
        <f>_xll.BDP($A36,"EST_EV_THIS_YR_EBITDA")</f>
        <v>8.2206733568174268</v>
      </c>
      <c r="Q36" s="154">
        <f>_xll.BDP($A36,"CURRENT_EV_TO_12M_SALES")</f>
        <v>0.70692243826841583</v>
      </c>
      <c r="R36" s="154">
        <f>_xll.BDP($A36,"PX_TO_BOOK_RATIO")</f>
        <v>4.5237536587893166</v>
      </c>
      <c r="S36" s="154" t="str">
        <f>_xll.BDP($A36,"PX_TO_FREE_CASH_FLOW")</f>
        <v>#N/A N/A</v>
      </c>
      <c r="T36" s="154">
        <f>_xll.BDP($A36,"NET_DEBT_TO_EBITDA")</f>
        <v>1.8253071773106528</v>
      </c>
      <c r="U36" s="154">
        <f>_xll.BDP($A36,"SALES_GROWTH")</f>
        <v>27.799702776149889</v>
      </c>
      <c r="V36" s="154">
        <f>_xll.BDP($A36,"EPS_GROWTH")</f>
        <v>57.247531451929355</v>
      </c>
      <c r="W36" s="154">
        <f>_xll.BDP($A36,"EBITDA_MARGIN")</f>
        <v>7.7101130119161514</v>
      </c>
      <c r="X36" s="154">
        <f>_xll.BDP($A36,"EBIT_MARGIN")</f>
        <v>4.4889556146085807</v>
      </c>
      <c r="Y36" s="154">
        <f>_xll.BDP($A36,"TRAIL_12M_PROF_MARGIN")</f>
        <v>2.4035860111895366</v>
      </c>
      <c r="Z36" s="154">
        <f>_xll.BDP($A36,"NORMALIZED_ROE")</f>
        <v>23.904889094344423</v>
      </c>
      <c r="AA36" s="141" t="str">
        <f>_xll.BDP($A36,"BDVD_PROJ_12M_YLD")</f>
        <v>#N/A N/A</v>
      </c>
      <c r="AB36" s="141" t="str">
        <f>_xll.BDP($A36,"DVD_RECORD_DT")</f>
        <v>#N/A Field Not Applicable</v>
      </c>
      <c r="AC36" s="139">
        <f>_xll.BDP($A36,"EQY_REC_CONS")</f>
        <v>4.9047619999999998</v>
      </c>
      <c r="AD36" s="154">
        <f>_xll.BDP($A36,"PCT_REVENUE_FROM_FOREIGN_SOURCES")</f>
        <v>0</v>
      </c>
      <c r="AE36" s="164" t="str">
        <f>_xll.BDP($A36,"BDVD_NEXT_EST_DECL_DT")</f>
        <v>#N/A N/A</v>
      </c>
    </row>
    <row r="37" spans="1:31" s="8" customFormat="1" x14ac:dyDescent="0.25">
      <c r="A37" s="163" t="s">
        <v>38</v>
      </c>
      <c r="B37" s="150" t="str">
        <f>_xll.BDP($A37,"SHORT_NAME")</f>
        <v>LENTA -REG S</v>
      </c>
      <c r="C37" s="150">
        <f>_xll.BDP($A37,"PX_LAST")</f>
        <v>6.45</v>
      </c>
      <c r="D37" s="151">
        <f>_xll.BDP($A37,"CHG_PCT_WTD")</f>
        <v>-0.76923079999999999</v>
      </c>
      <c r="E37" s="151">
        <f>_xll.BDP($A37,"CHG_PCT_1M")</f>
        <v>9.8807519999999993</v>
      </c>
      <c r="F37" s="151">
        <f>_xll.BDP($A37,"CHG_PCT_1YR")</f>
        <v>-16.774190000000001</v>
      </c>
      <c r="G37" s="151">
        <f>_xll.BDP($A37,"CHG_PCT_YTD")</f>
        <v>-21.341460000000001</v>
      </c>
      <c r="H37" s="151">
        <f>_xll.BDP($A37,"BEST_TARGET_PRICE")</f>
        <v>7.4573855400085449</v>
      </c>
      <c r="I37" s="152">
        <f t="shared" si="2"/>
        <v>0.15618380465248749</v>
      </c>
      <c r="J37" s="153">
        <f>_xll.BDP($A37,"CUR_MKT_CAP")/1000000/$AI$1</f>
        <v>54.596336666139528</v>
      </c>
      <c r="K37" s="153" t="str">
        <f>_xll.BDP($A37,"EQY_FREE_FLOAT_PCT")</f>
        <v>#N/A N/A</v>
      </c>
      <c r="L37" s="154">
        <f>_xll.BDP($A37,"AVG_DAILY_VALUE_TRADED_6M")/1000000</f>
        <v>3.2594409999999998</v>
      </c>
      <c r="M37" s="153" t="str">
        <f>_xll.BDP($A37,"INDUSTRY_GROUP")</f>
        <v>Retail</v>
      </c>
      <c r="N37" s="154">
        <f>_xll.BDP($A37,"EQY_BETA_6M")</f>
        <v>0.57381769999999999</v>
      </c>
      <c r="O37" s="154">
        <f>_xll.BDP($A37,"EST_PE_NXT_YR")</f>
        <v>11.396215489761982</v>
      </c>
      <c r="P37" s="154">
        <f>_xll.BDP($A37,"EST_EV_THIS_YR_EBITDA")</f>
        <v>7.5131531727139507</v>
      </c>
      <c r="Q37" s="154">
        <f>_xll.BDP($A37,"CURRENT_EV_TO_12M_SALES")</f>
        <v>0.84290613069356868</v>
      </c>
      <c r="R37" s="154">
        <f>_xll.BDP($A37,"PX_TO_BOOK_RATIO")</f>
        <v>2.8548668143663249</v>
      </c>
      <c r="S37" s="154" t="str">
        <f>_xll.BDP($A37,"PX_TO_FREE_CASH_FLOW")</f>
        <v>#N/A N/A</v>
      </c>
      <c r="T37" s="154">
        <f>_xll.BDP($A37,"NET_DEBT_TO_EBITDA")</f>
        <v>2.9501420616844785</v>
      </c>
      <c r="U37" s="154">
        <f>_xll.BDP($A37,"SALES_GROWTH")</f>
        <v>21.201283044392422</v>
      </c>
      <c r="V37" s="154">
        <f>_xll.BDP($A37,"EPS_GROWTH")</f>
        <v>8.8834254049154247</v>
      </c>
      <c r="W37" s="154">
        <f>_xll.BDP($A37,"EBITDA_MARGIN")</f>
        <v>10.107165794727125</v>
      </c>
      <c r="X37" s="154">
        <f>_xll.BDP($A37,"EBIT_MARGIN")</f>
        <v>7.4288056200208379</v>
      </c>
      <c r="Y37" s="154">
        <f>_xll.BDP($A37,"TRAIL_12M_PROF_MARGIN")</f>
        <v>3.4468925143582916</v>
      </c>
      <c r="Z37" s="154">
        <f>_xll.BDP($A37,"NORMALIZED_ROE")</f>
        <v>20.321580898613078</v>
      </c>
      <c r="AA37" s="141" t="str">
        <f>_xll.BDP($A37,"BDVD_PROJ_12M_YLD")</f>
        <v>#N/A N/A</v>
      </c>
      <c r="AB37" s="141" t="str">
        <f>_xll.BDP($A37,"DVD_RECORD_DT")</f>
        <v>#N/A Field Not Applicable</v>
      </c>
      <c r="AC37" s="139">
        <f>_xll.BDP($A37,"EQY_REC_CONS")</f>
        <v>3.8888889999999998</v>
      </c>
      <c r="AD37" s="154">
        <f>_xll.BDP($A37,"PCT_REVENUE_FROM_FOREIGN_SOURCES")</f>
        <v>0</v>
      </c>
      <c r="AE37" s="164" t="str">
        <f>_xll.BDP($A37,"BDVD_NEXT_EST_DECL_DT")</f>
        <v>#N/A N/A</v>
      </c>
    </row>
    <row r="38" spans="1:31" x14ac:dyDescent="0.25">
      <c r="A38" s="163" t="s">
        <v>20</v>
      </c>
      <c r="B38" s="150" t="str">
        <f>_xll.BDP($A38,"SHORT_NAME")</f>
        <v>M VIDEO</v>
      </c>
      <c r="C38" s="150">
        <f>_xll.BDP($A38,"PX_LAST")</f>
        <v>417.4</v>
      </c>
      <c r="D38" s="151">
        <f>_xll.BDP($A38,"CHG_PCT_WTD")</f>
        <v>-0.83333330000000005</v>
      </c>
      <c r="E38" s="151">
        <f>_xll.BDP($A38,"CHG_PCT_1M")</f>
        <v>2.8141180000000001</v>
      </c>
      <c r="F38" s="151">
        <f>_xll.BDP($A38,"CHG_PCT_1YR")</f>
        <v>13.025779999999999</v>
      </c>
      <c r="G38" s="151">
        <f>_xll.BDP($A38,"CHG_PCT_YTD")</f>
        <v>7.4838709999999997</v>
      </c>
      <c r="H38" s="151">
        <f>_xll.BDP($A38,"BEST_TARGET_PRICE")</f>
        <v>427</v>
      </c>
      <c r="I38" s="152">
        <f t="shared" si="2"/>
        <v>2.2999520843315802E-2</v>
      </c>
      <c r="J38" s="153">
        <f>_xll.BDP($A38,"CUR_MKT_CAP")/1000000/$AI$1</f>
        <v>1301.149319313361</v>
      </c>
      <c r="K38" s="153">
        <f>_xll.BDP($A38,"EQY_FREE_FLOAT_PCT")</f>
        <v>41.879989999999999</v>
      </c>
      <c r="L38" s="154">
        <f>_xll.BDP($A38,"AVG_DAILY_VALUE_TRADED_6M")/$AI$1/1000000</f>
        <v>4.8421697445958838</v>
      </c>
      <c r="M38" s="153" t="str">
        <f>_xll.BDP($A38,"INDUSTRY_GROUP")</f>
        <v>Retail</v>
      </c>
      <c r="N38" s="154">
        <f>_xll.BDP($A38,"EQY_BETA_6M")</f>
        <v>0.28116740000000001</v>
      </c>
      <c r="O38" s="154">
        <f>_xll.BDP($A38,"EST_PE_NXT_YR")</f>
        <v>11.664706211841146</v>
      </c>
      <c r="P38" s="154">
        <f>_xll.BDP($A38,"EST_EV_THIS_YR_EBITDA")</f>
        <v>6.3689182025768982</v>
      </c>
      <c r="Q38" s="154">
        <f>_xll.BDP($A38,"CURRENT_EV_TO_12M_SALES")</f>
        <v>0.37245342476393956</v>
      </c>
      <c r="R38" s="154">
        <f>_xll.BDP($A38,"PX_TO_BOOK_RATIO")</f>
        <v>4.0545905687948354</v>
      </c>
      <c r="S38" s="154">
        <f>_xll.BDP($A38,"PX_TO_FREE_CASH_FLOW")</f>
        <v>7.8223919789925995</v>
      </c>
      <c r="T38" s="154">
        <f>_xll.BDP($A38,"NET_DEBT_TO_EBITDA")</f>
        <v>-0.64446150892685738</v>
      </c>
      <c r="U38" s="154">
        <f>_xll.BDP($A38,"SALES_GROWTH")</f>
        <v>13.314284654062378</v>
      </c>
      <c r="V38" s="154">
        <f>_xll.BDP($A38,"EPS_GROWTH")</f>
        <v>21.773310178599033</v>
      </c>
      <c r="W38" s="154">
        <f>_xll.BDP($A38,"EBITDA_MARGIN")</f>
        <v>5.6927717426941484</v>
      </c>
      <c r="X38" s="154">
        <f>_xll.BDP($A38,"EBIT_MARGIN")</f>
        <v>3.8086599200017486</v>
      </c>
      <c r="Y38" s="154">
        <f>_xll.BDP($A38,"TRAIL_12M_PROF_MARGIN")</f>
        <v>3.1840834080129397</v>
      </c>
      <c r="Z38" s="154">
        <f>_xll.BDP($A38,"NORMALIZED_ROE")</f>
        <v>37.622437423527707</v>
      </c>
      <c r="AA38" s="141" t="str">
        <f>_xll.BDP($A38,"BDVD_PROJ_12M_YLD")</f>
        <v>#N/A N/A</v>
      </c>
      <c r="AB38" s="141" t="str">
        <f>_xll.BDP($A38,"DVD_RECORD_DT")</f>
        <v>#N/A Field Not Applicable</v>
      </c>
      <c r="AC38" s="139">
        <f>_xll.BDP($A38,"EQY_REC_CONS")</f>
        <v>3</v>
      </c>
      <c r="AD38" s="154">
        <f>_xll.BDP($A38,"PCT_REVENUE_FROM_FOREIGN_SOURCES")</f>
        <v>0</v>
      </c>
      <c r="AE38" s="164" t="str">
        <f>_xll.BDP($A38,"BDVD_NEXT_EST_DECL_DT")</f>
        <v>22/03/2018</v>
      </c>
    </row>
    <row r="39" spans="1:31" s="8" customFormat="1" ht="15.75" thickBot="1" x14ac:dyDescent="0.3">
      <c r="A39" s="165" t="s">
        <v>214</v>
      </c>
      <c r="B39" s="166" t="str">
        <f>_xll.BDP($A39,"SHORT_NAME")</f>
        <v>O'KEY</v>
      </c>
      <c r="C39" s="166">
        <f>_xll.BDP($A39,"PX_LAST")</f>
        <v>2.1</v>
      </c>
      <c r="D39" s="167">
        <f>_xll.BDP($A39,"CHG_PCT_WTD")</f>
        <v>0</v>
      </c>
      <c r="E39" s="167">
        <f>_xll.BDP($A39,"CHG_PCT_1M")</f>
        <v>-7.2847730000000004</v>
      </c>
      <c r="F39" s="167">
        <f>_xll.BDP($A39,"CHG_PCT_1YR")</f>
        <v>20.34384</v>
      </c>
      <c r="G39" s="167">
        <f>_xll.BDP($A39,"CHG_PCT_YTD")</f>
        <v>-19.23077</v>
      </c>
      <c r="H39" s="167">
        <f>_xll.BDP($A39,"BEST_TARGET_PRICE")</f>
        <v>2.3399999141693115</v>
      </c>
      <c r="I39" s="168">
        <f t="shared" si="2"/>
        <v>0.1142856734139579</v>
      </c>
      <c r="J39" s="169">
        <f>_xll.BDP($A39,"CUR_MKT_CAP")/1000000/$AI$1</f>
        <v>9.8195192904224768</v>
      </c>
      <c r="K39" s="169" t="str">
        <f>_xll.BDP($A39,"EQY_FREE_FLOAT_PCT")</f>
        <v>#N/A N/A</v>
      </c>
      <c r="L39" s="170">
        <f>_xll.BDP($A39,"AVG_DAILY_VALUE_TRADED_6M")/1000000</f>
        <v>0.20096810000000001</v>
      </c>
      <c r="M39" s="169" t="str">
        <f>_xll.BDP($A39,"INDUSTRY_GROUP")</f>
        <v>Food</v>
      </c>
      <c r="N39" s="170">
        <f>_xll.BDP($A39,"EQY_BETA_6M")</f>
        <v>0.35663600000000001</v>
      </c>
      <c r="O39" s="170">
        <f>_xll.BDP($A39,"EST_PE_NXT_YR")</f>
        <v>12.558381903049364</v>
      </c>
      <c r="P39" s="170">
        <f>_xll.BDP($A39,"EST_EV_THIS_YR_EBITDA")</f>
        <v>6.2919912316071578</v>
      </c>
      <c r="Q39" s="170">
        <f>_xll.BDP($A39,"CURRENT_EV_TO_12M_SALES")</f>
        <v>0.37723289115843589</v>
      </c>
      <c r="R39" s="170">
        <f>_xll.BDP($A39,"PX_TO_BOOK_RATIO")</f>
        <v>1.6419167103585448</v>
      </c>
      <c r="S39" s="170" t="str">
        <f>_xll.BDP($A39,"PX_TO_FREE_CASH_FLOW")</f>
        <v>#N/A N/A</v>
      </c>
      <c r="T39" s="170">
        <f>_xll.BDP($A39,"NET_DEBT_TO_EBITDA")</f>
        <v>4.4591867834179322</v>
      </c>
      <c r="U39" s="170">
        <f>_xll.BDP($A39,"SALES_GROWTH")</f>
        <v>7.9750462973469469</v>
      </c>
      <c r="V39" s="170" t="str">
        <f>_xll.BDP($A39,"EPS_GROWTH")</f>
        <v>#N/A N/A</v>
      </c>
      <c r="W39" s="170">
        <f>_xll.BDP($A39,"EBITDA_MARGIN")</f>
        <v>4.3835879039506125</v>
      </c>
      <c r="X39" s="170">
        <f>_xll.BDP($A39,"EBIT_MARGIN")</f>
        <v>1.8198676580470949</v>
      </c>
      <c r="Y39" s="170">
        <f>_xll.BDP($A39,"TRAIL_12M_PROF_MARGIN")</f>
        <v>-0.46670493855598805</v>
      </c>
      <c r="Z39" s="170">
        <f>_xll.BDP($A39,"NORMALIZED_ROE")</f>
        <v>0.87298949174351315</v>
      </c>
      <c r="AA39" s="171" t="str">
        <f>_xll.BDP($A39,"BDVD_PROJ_12M_YLD")</f>
        <v>#N/A N/A</v>
      </c>
      <c r="AB39" s="171" t="str">
        <f>_xll.BDP($A39,"DVD_RECORD_DT")</f>
        <v>20/01/2017</v>
      </c>
      <c r="AC39" s="204">
        <f>_xll.BDP($A39,"EQY_REC_CONS")</f>
        <v>2.6</v>
      </c>
      <c r="AD39" s="170">
        <f>_xll.BDP($A39,"PCT_REVENUE_FROM_FOREIGN_SOURCES")</f>
        <v>0</v>
      </c>
      <c r="AE39" s="172" t="str">
        <f>_xll.BDP($A39,"BDVD_NEXT_EST_DECL_DT")</f>
        <v>#N/A N/A</v>
      </c>
    </row>
    <row r="40" spans="1:31" s="213" customFormat="1" x14ac:dyDescent="0.25">
      <c r="A40" s="214" t="s">
        <v>12</v>
      </c>
      <c r="B40" s="215" t="str">
        <f>_xll.BDP($A40,"SHORT_NAME")</f>
        <v>QIWI PLC-SP ADR</v>
      </c>
      <c r="C40" s="215">
        <f>_xll.BDP($A40,"PX_LAST")</f>
        <v>18.079999999999998</v>
      </c>
      <c r="D40" s="216">
        <f>_xll.BDP($A40,"CHG_PCT_WTD")</f>
        <v>3.0716730000000001</v>
      </c>
      <c r="E40" s="216">
        <f>_xll.BDP($A40,"CHG_PCT_1M")</f>
        <v>1.7957369999999999</v>
      </c>
      <c r="F40" s="216">
        <f>_xll.BDP($A40,"CHG_PCT_1YR")</f>
        <v>20.052949999999999</v>
      </c>
      <c r="G40" s="216">
        <f>_xll.BDP($A40,"CHG_PCT_YTD")</f>
        <v>42.051679999999998</v>
      </c>
      <c r="H40" s="216">
        <f>_xll.BDP($A40,"BEST_TARGET_PRICE")</f>
        <v>21.108585357666016</v>
      </c>
      <c r="I40" s="217">
        <f t="shared" ref="I40:I70" si="3">H40/C40-1</f>
        <v>0.1675102520832974</v>
      </c>
      <c r="J40" s="218">
        <f>_xll.BDP($A40,"CUR_MKT_CAP")/1000000</f>
        <v>1099.2301967600001</v>
      </c>
      <c r="K40" s="218" t="str">
        <f>_xll.BDP($A40,"EQY_FREE_FLOAT_PCT")</f>
        <v>#N/A N/A</v>
      </c>
      <c r="L40" s="219">
        <f>_xll.BDP($A40,"AVG_DAILY_VALUE_TRADED_6M")/1000000</f>
        <v>11.330970000000001</v>
      </c>
      <c r="M40" s="218" t="str">
        <f>_xll.BDP($A40,"INDUSTRY_GROUP")</f>
        <v>Commercial Services</v>
      </c>
      <c r="N40" s="219">
        <f>_xll.BDP($A40,"EQY_BETA_6M")</f>
        <v>0.87771892547607422</v>
      </c>
      <c r="O40" s="219">
        <f>_xll.BDP($A40,"EST_PE_NXT_YR")</f>
        <v>12.696578299164013</v>
      </c>
      <c r="P40" s="219">
        <f>_xll.BDP($A40,"EST_EV_THIS_YR_EBITDA")</f>
        <v>7.8697640877810677</v>
      </c>
      <c r="Q40" s="219">
        <f>_xll.BDP($A40,"CURRENT_EV_TO_12M_SALES")</f>
        <v>2.3994312797155084</v>
      </c>
      <c r="R40" s="219">
        <f>_xll.BDP($A40,"PX_TO_BOOK_RATIO")</f>
        <v>3.0737831859512941</v>
      </c>
      <c r="S40" s="219">
        <f>_xll.BDP($A40,"PX_TO_FREE_CASH_FLOW")</f>
        <v>9.4577930603451836</v>
      </c>
      <c r="T40" s="219">
        <f>_xll.BDP($A40,"NET_DEBT_TO_EBITDA")</f>
        <v>-3.8964619057955288</v>
      </c>
      <c r="U40" s="219">
        <f>_xll.BDP($A40,"SALES_GROWTH")</f>
        <v>0.92020829524601722</v>
      </c>
      <c r="V40" s="219">
        <f>_xll.BDP($A40,"EPS_GROWTH")</f>
        <v>-54.402585822559075</v>
      </c>
      <c r="W40" s="219">
        <f>_xll.BDP($A40,"EBITDA_MARGIN")</f>
        <v>24.628461456217256</v>
      </c>
      <c r="X40" s="219">
        <f>_xll.BDP($A40,"EBIT_MARGIN")</f>
        <v>20.202074200791191</v>
      </c>
      <c r="Y40" s="219">
        <f>_xll.BDP($A40,"TRAIL_12M_PROF_MARGIN")</f>
        <v>14.535443173313375</v>
      </c>
      <c r="Z40" s="219">
        <f>_xll.BDP($A40,"NORMALIZED_ROE")</f>
        <v>16.669421085889272</v>
      </c>
      <c r="AA40" s="220" t="str">
        <f>_xll.BDP($A40,"BDVD_PROJ_12M_YLD")</f>
        <v>#N/A N/A</v>
      </c>
      <c r="AB40" s="220" t="str">
        <f>_xll.BDP($A40,"DVD_RECORD_DT")</f>
        <v>29/08/2017</v>
      </c>
      <c r="AC40" s="221">
        <f>_xll.BDP($A40,"EQY_REC_CONS")</f>
        <v>3.1818182468414307</v>
      </c>
      <c r="AD40" s="219" t="str">
        <f>_xll.BDP($A40,"PCT_REVENUE_FROM_FOREIGN_SOURCES")</f>
        <v>#N/A N/A</v>
      </c>
      <c r="AE40" s="222" t="str">
        <f>_xll.BDP($A40,"BDVD_NEXT_EST_DECL_DT")</f>
        <v>#N/A N/A</v>
      </c>
    </row>
    <row r="41" spans="1:31" s="213" customFormat="1" x14ac:dyDescent="0.25">
      <c r="A41" s="206" t="s">
        <v>14</v>
      </c>
      <c r="B41" s="207" t="str">
        <f>_xll.BDP($A41,"SHORT_NAME")</f>
        <v>LUXOFT HOLDING I</v>
      </c>
      <c r="C41" s="207">
        <f>_xll.BDP($A41,"PX_LAST")</f>
        <v>48.35</v>
      </c>
      <c r="D41" s="208">
        <f>_xll.BDP($A41,"CHG_PCT_WTD")</f>
        <v>0.73145570000000004</v>
      </c>
      <c r="E41" s="208">
        <f>_xll.BDP($A41,"CHG_PCT_1M")</f>
        <v>5.7986849999999999</v>
      </c>
      <c r="F41" s="208">
        <f>_xll.BDP($A41,"CHG_PCT_1YR")</f>
        <v>-9.1165430000000001</v>
      </c>
      <c r="G41" s="208">
        <f>_xll.BDP($A41,"CHG_PCT_YTD")</f>
        <v>-13.967969999999999</v>
      </c>
      <c r="H41" s="208">
        <f>_xll.BDP($A41,"BEST_TARGET_PRICE")</f>
        <v>58.099998474121094</v>
      </c>
      <c r="I41" s="209">
        <f t="shared" si="3"/>
        <v>0.20165457030240108</v>
      </c>
      <c r="J41" s="210">
        <f>_xll.BDP($A41,"CUR_MKT_CAP")/1000000</f>
        <v>1623.1947410499999</v>
      </c>
      <c r="K41" s="210">
        <f>_xll.BDP($A41,"EQY_FREE_FLOAT_PCT")</f>
        <v>96.480050000000006</v>
      </c>
      <c r="L41" s="211">
        <f>_xll.BDP($A41,"AVG_DAILY_VALUE_TRADED_6M")/1000000</f>
        <v>11.071002</v>
      </c>
      <c r="M41" s="210" t="str">
        <f>_xll.BDP($A41,"INDUSTRY_GROUP")</f>
        <v>Computers</v>
      </c>
      <c r="N41" s="211">
        <f>_xll.BDP($A41,"EQY_BETA_6M")</f>
        <v>0.9359738826751709</v>
      </c>
      <c r="O41" s="211">
        <f>_xll.BDP($A41,"EST_PE_NXT_YR")</f>
        <v>13.798515981735161</v>
      </c>
      <c r="P41" s="211">
        <f>_xll.BDP($A41,"EST_EV_THIS_YR_EBITDA")</f>
        <v>11.008867884826326</v>
      </c>
      <c r="Q41" s="211">
        <f>_xll.BDP($A41,"CURRENT_EV_TO_12M_SALES")</f>
        <v>1.8678889127570848</v>
      </c>
      <c r="R41" s="211">
        <f>_xll.BDP($A41,"PX_TO_BOOK_RATIO")</f>
        <v>4.0545731217659498</v>
      </c>
      <c r="S41" s="211">
        <f>_xll.BDP($A41,"PX_TO_FREE_CASH_FLOW")</f>
        <v>20.994663019016837</v>
      </c>
      <c r="T41" s="211">
        <f>_xll.BDP($A41,"NET_DEBT_TO_EBITDA")</f>
        <v>-1.030344288940958</v>
      </c>
      <c r="U41" s="211">
        <f>_xll.BDP($A41,"SALES_GROWTH")</f>
        <v>20.715879474822987</v>
      </c>
      <c r="V41" s="211">
        <f>_xll.BDP($A41,"EPS_GROWTH")</f>
        <v>-11.737089201877934</v>
      </c>
      <c r="W41" s="211">
        <f>_xll.BDP($A41,"EBITDA_MARGIN")</f>
        <v>11.600310497408032</v>
      </c>
      <c r="X41" s="211">
        <f>_xll.BDP($A41,"EBIT_MARGIN")</f>
        <v>6.9058737392164602</v>
      </c>
      <c r="Y41" s="211">
        <f>_xll.BDP($A41,"TRAIL_12M_PROF_MARGIN")</f>
        <v>6.7186692688373721</v>
      </c>
      <c r="Z41" s="211">
        <f>_xll.BDP($A41,"NORMALIZED_ROE")</f>
        <v>14.91387790593264</v>
      </c>
      <c r="AA41" s="129" t="str">
        <f>_xll.BDP($A41,"BDVD_PROJ_12M_YLD")</f>
        <v>#N/A N/A</v>
      </c>
      <c r="AB41" s="129" t="str">
        <f>_xll.BDP($A41,"DVD_RECORD_DT")</f>
        <v>#N/A N/A</v>
      </c>
      <c r="AC41" s="205">
        <f>_xll.BDP($A41,"EQY_REC_CONS")</f>
        <v>3.923076868057251</v>
      </c>
      <c r="AD41" s="211" t="str">
        <f>_xll.BDP($A41,"PCT_REVENUE_FROM_FOREIGN_SOURCES")</f>
        <v>#N/A N/A</v>
      </c>
      <c r="AE41" s="212" t="str">
        <f>_xll.BDP($A41,"BDVD_NEXT_EST_DECL_DT")</f>
        <v>#N/A N/A</v>
      </c>
    </row>
    <row r="42" spans="1:31" x14ac:dyDescent="0.25">
      <c r="A42" s="163" t="s">
        <v>218</v>
      </c>
      <c r="B42" s="150" t="str">
        <f>_xll.BDP($A42,"SHORT_NAME")</f>
        <v>EPAM SYSTEMS INC</v>
      </c>
      <c r="C42" s="150">
        <f>_xll.BDP($A42,"PX_LAST")</f>
        <v>84.97</v>
      </c>
      <c r="D42" s="151">
        <f>_xll.BDP($A42,"CHG_PCT_WTD")</f>
        <v>0.47906209999999999</v>
      </c>
      <c r="E42" s="151">
        <f>_xll.BDP($A42,"CHG_PCT_1M")</f>
        <v>6.5721769999999999</v>
      </c>
      <c r="F42" s="151">
        <f>_xll.BDP($A42,"CHG_PCT_1YR")</f>
        <v>24.79072</v>
      </c>
      <c r="G42" s="151">
        <f>_xll.BDP($A42,"CHG_PCT_YTD")</f>
        <v>32.12565</v>
      </c>
      <c r="H42" s="151">
        <f>_xll.BDP($A42,"BEST_TARGET_PRICE")</f>
        <v>92.411766052246094</v>
      </c>
      <c r="I42" s="152">
        <f t="shared" si="3"/>
        <v>8.7581099826363307E-2</v>
      </c>
      <c r="J42" s="153">
        <f>_xll.BDP($A42,"CUR_MKT_CAP")/1000000</f>
        <v>4462.9079448900002</v>
      </c>
      <c r="K42" s="153">
        <f>_xll.BDP($A42,"EQY_FREE_FLOAT_PCT")</f>
        <v>94.925079999999994</v>
      </c>
      <c r="L42" s="154">
        <f>_xll.BDP($A42,"AVG_DAILY_VALUE_TRADED_6M")/1000000</f>
        <v>24.071088</v>
      </c>
      <c r="M42" s="153" t="str">
        <f>_xll.BDP($A42,"INDUSTRY_GROUP")</f>
        <v>Computers</v>
      </c>
      <c r="N42" s="154">
        <f>_xll.BDP($A42,"EQY_BETA_6M")</f>
        <v>1.0723172426223755</v>
      </c>
      <c r="O42" s="154">
        <f>_xll.BDP($A42,"EST_PE_NXT_YR")</f>
        <v>21.237190702324416</v>
      </c>
      <c r="P42" s="154">
        <f>_xll.BDP($A42,"EST_EV_THIS_YR_EBITDA")</f>
        <v>15.60501842345233</v>
      </c>
      <c r="Q42" s="154">
        <f>_xll.BDP($A42,"CURRENT_EV_TO_12M_SALES")</f>
        <v>3.1463320473127618</v>
      </c>
      <c r="R42" s="154">
        <f>_xll.BDP($A42,"PX_TO_BOOK_RATIO")</f>
        <v>4.8464029982998325</v>
      </c>
      <c r="S42" s="154">
        <f>_xll.BDP($A42,"PX_TO_FREE_CASH_FLOW")</f>
        <v>29.452822772109183</v>
      </c>
      <c r="T42" s="154">
        <f>_xll.BDP($A42,"NET_DEBT_TO_EBITDA")</f>
        <v>-2.479266768175274</v>
      </c>
      <c r="U42" s="154">
        <f>_xll.BDP($A42,"SALES_GROWTH")</f>
        <v>26.911329704374005</v>
      </c>
      <c r="V42" s="154">
        <f>_xll.BDP($A42,"EPS_GROWTH")</f>
        <v>13.872832369942197</v>
      </c>
      <c r="W42" s="154">
        <f>_xll.BDP($A42,"EBITDA_MARGIN")</f>
        <v>13.130617700004512</v>
      </c>
      <c r="X42" s="154">
        <f>_xll.BDP($A42,"EBIT_MARGIN")</f>
        <v>11.119331344918418</v>
      </c>
      <c r="Y42" s="154">
        <f>_xll.BDP($A42,"TRAIL_12M_PROF_MARGIN")</f>
        <v>8.7080281863259934</v>
      </c>
      <c r="Z42" s="154">
        <f>_xll.BDP($A42,"NORMALIZED_ROE")</f>
        <v>13.849309131128102</v>
      </c>
      <c r="AA42" s="141" t="str">
        <f>_xll.BDP($A42,"BDVD_PROJ_12M_YLD")</f>
        <v>#N/A N/A</v>
      </c>
      <c r="AB42" s="141" t="str">
        <f>_xll.BDP($A42,"DVD_RECORD_DT")</f>
        <v>#N/A N/A</v>
      </c>
      <c r="AC42" s="139">
        <f>_xll.BDP($A42,"EQY_REC_CONS")</f>
        <v>4.6315789222717285</v>
      </c>
      <c r="AD42" s="154" t="str">
        <f>_xll.BDP($A42,"PCT_REVENUE_FROM_FOREIGN_SOURCES")</f>
        <v>#N/A N/A</v>
      </c>
      <c r="AE42" s="164" t="str">
        <f>_xll.BDP($A42,"BDVD_NEXT_EST_DECL_DT")</f>
        <v>#N/A N/A</v>
      </c>
    </row>
    <row r="43" spans="1:31" x14ac:dyDescent="0.25">
      <c r="A43" s="206" t="s">
        <v>10</v>
      </c>
      <c r="B43" s="207" t="str">
        <f>_xll.BDP($A43,"SHORT_NAME")</f>
        <v>YANDEX NV-A</v>
      </c>
      <c r="C43" s="207">
        <f>_xll.BDP($A43,"PX_LAST")</f>
        <v>32.74</v>
      </c>
      <c r="D43" s="208">
        <f>_xll.BDP($A43,"CHG_PCT_WTD")</f>
        <v>2.6043270000000001</v>
      </c>
      <c r="E43" s="208">
        <f>_xll.BDP($A43,"CHG_PCT_1M")</f>
        <v>11.944929999999999</v>
      </c>
      <c r="F43" s="208">
        <f>_xll.BDP($A43,"CHG_PCT_1YR")</f>
        <v>60.118169999999999</v>
      </c>
      <c r="G43" s="208">
        <f>_xll.BDP($A43,"CHG_PCT_YTD")</f>
        <v>61.549930000000003</v>
      </c>
      <c r="H43" s="208">
        <f>_xll.BDP($A43,"BEST_TARGET_PRICE")</f>
        <v>32.968090057373047</v>
      </c>
      <c r="I43" s="209">
        <f t="shared" si="3"/>
        <v>6.9667091439538087E-3</v>
      </c>
      <c r="J43" s="210">
        <f>_xll.BDP($A43,"CUR_MKT_CAP")/1000000</f>
        <v>10540.50324432</v>
      </c>
      <c r="K43" s="210">
        <f>_xll.BDP($A43,"EQY_FREE_FLOAT_PCT")</f>
        <v>96.28219</v>
      </c>
      <c r="L43" s="211">
        <f>_xll.BDP($A43,"AVG_DAILY_VALUE_TRADED_6M")/1000000</f>
        <v>73.141272000000001</v>
      </c>
      <c r="M43" s="210" t="str">
        <f>_xll.BDP($A43,"INDUSTRY_GROUP")</f>
        <v>Internet</v>
      </c>
      <c r="N43" s="211">
        <f>_xll.BDP($A43,"EQY_BETA_6M")</f>
        <v>1.8380770683288574</v>
      </c>
      <c r="O43" s="211">
        <f>_xll.BDP($A43,"EST_PE_NXT_YR")</f>
        <v>26.630049911328463</v>
      </c>
      <c r="P43" s="211">
        <f>_xll.BDP($A43,"EST_EV_THIS_YR_EBITDA")</f>
        <v>20.572540751363384</v>
      </c>
      <c r="Q43" s="211">
        <f>_xll.BDP($A43,"CURRENT_EV_TO_12M_SALES")</f>
        <v>7.2407530966466549</v>
      </c>
      <c r="R43" s="211">
        <f>_xll.BDP($A43,"PX_TO_BOOK_RATIO")</f>
        <v>7.489438936477022</v>
      </c>
      <c r="S43" s="211">
        <f>_xll.BDP($A43,"PX_TO_FREE_CASH_FLOW")</f>
        <v>54.394315403908216</v>
      </c>
      <c r="T43" s="211">
        <f>_xll.BDP($A43,"NET_DEBT_TO_EBITDA")</f>
        <v>9.208786521646406E-2</v>
      </c>
      <c r="U43" s="211">
        <f>_xll.BDP($A43,"SALES_GROWTH")</f>
        <v>26.98187048434573</v>
      </c>
      <c r="V43" s="211">
        <f>_xll.BDP($A43,"EPS_GROWTH")</f>
        <v>-30.273116156630465</v>
      </c>
      <c r="W43" s="211">
        <f>_xll.BDP($A43,"EBITDA_MARGIN")</f>
        <v>27.855004277159967</v>
      </c>
      <c r="X43" s="211">
        <f>_xll.BDP($A43,"EBIT_MARGIN")</f>
        <v>15.756582073947342</v>
      </c>
      <c r="Y43" s="211">
        <f>_xll.BDP($A43,"TRAIL_12M_PROF_MARGIN")</f>
        <v>9.5285619237715036</v>
      </c>
      <c r="Z43" s="211">
        <f>_xll.BDP($A43,"NORMALIZED_ROE")</f>
        <v>10.28722785709671</v>
      </c>
      <c r="AA43" s="129" t="str">
        <f>_xll.BDP($A43,"BDVD_PROJ_12M_YLD")</f>
        <v>#N/A N/A</v>
      </c>
      <c r="AB43" s="129" t="str">
        <f>_xll.BDP($A43,"DVD_RECORD_DT")</f>
        <v>#N/A Field Not Applicable</v>
      </c>
      <c r="AC43" s="205">
        <f>_xll.BDP($A43,"EQY_REC_CONS")</f>
        <v>4.1764707565307617</v>
      </c>
      <c r="AD43" s="211">
        <f>_xll.BDP($A43,"PCT_REVENUE_FROM_FOREIGN_SOURCES")</f>
        <v>8.3055647020085566</v>
      </c>
      <c r="AE43" s="212" t="str">
        <f>_xll.BDP($A43,"BDVD_NEXT_EST_DECL_DT")</f>
        <v>#N/A N/A</v>
      </c>
    </row>
    <row r="44" spans="1:31" s="213" customFormat="1" ht="15.75" thickBot="1" x14ac:dyDescent="0.3">
      <c r="A44" s="165" t="s">
        <v>11</v>
      </c>
      <c r="B44" s="166" t="str">
        <f>_xll.BDP($A44,"SHORT_NAME")</f>
        <v>MAIL.RU GROU-GDR</v>
      </c>
      <c r="C44" s="166">
        <f>_xll.BDP($A44,"PX_LAST")</f>
        <v>31.9</v>
      </c>
      <c r="D44" s="167">
        <f>_xll.BDP($A44,"CHG_PCT_WTD")</f>
        <v>1.791528</v>
      </c>
      <c r="E44" s="167">
        <f>_xll.BDP($A44,"CHG_PCT_1M")</f>
        <v>9.2657330000000009</v>
      </c>
      <c r="F44" s="167">
        <f>_xll.BDP($A44,"CHG_PCT_1YR")</f>
        <v>77.053830000000005</v>
      </c>
      <c r="G44" s="167">
        <f>_xll.BDP($A44,"CHG_PCT_YTD")</f>
        <v>70.299719999999994</v>
      </c>
      <c r="H44" s="167">
        <f>_xll.BDP($A44,"BEST_TARGET_PRICE")</f>
        <v>28.819433212280273</v>
      </c>
      <c r="I44" s="168">
        <f t="shared" si="3"/>
        <v>-9.6569491778047856E-2</v>
      </c>
      <c r="J44" s="169">
        <f>_xll.BDP($A44,"CUR_MKT_CAP")/1000000</f>
        <v>6877.5681875000009</v>
      </c>
      <c r="K44" s="169" t="str">
        <f>_xll.BDP($A44,"EQY_FREE_FLOAT_PCT")</f>
        <v>#N/A N/A</v>
      </c>
      <c r="L44" s="170">
        <f>_xll.BDP($A44,"AVG_DAILY_VALUE_TRADED_6M")/1000000</f>
        <v>11.6081</v>
      </c>
      <c r="M44" s="169" t="str">
        <f>_xll.BDP($A44,"INDUSTRY_GROUP")</f>
        <v>Internet</v>
      </c>
      <c r="N44" s="170">
        <f>_xll.BDP($A44,"EQY_BETA_6M")</f>
        <v>0.25894309999999998</v>
      </c>
      <c r="O44" s="170">
        <f>_xll.BDP($A44,"EST_PE_NXT_YR")</f>
        <v>25.08426811001711</v>
      </c>
      <c r="P44" s="170">
        <f>_xll.BDP($A44,"EST_EV_THIS_YR_EBITDA")</f>
        <v>20.69201138170251</v>
      </c>
      <c r="Q44" s="170">
        <f>_xll.BDP($A44,"CURRENT_EV_TO_12M_SALES")</f>
        <v>8.6234476443793202</v>
      </c>
      <c r="R44" s="170">
        <f>_xll.BDP($A44,"PX_TO_BOOK_RATIO")</f>
        <v>2.2854282375828996</v>
      </c>
      <c r="S44" s="170">
        <f>_xll.BDP($A44,"PX_TO_FREE_CASH_FLOW")</f>
        <v>27.288466525624013</v>
      </c>
      <c r="T44" s="170">
        <f>_xll.BDP($A44,"NET_DEBT_TO_EBITDA")</f>
        <v>-0.68375739872396035</v>
      </c>
      <c r="U44" s="170">
        <f>_xll.BDP($A44,"SALES_GROWTH")</f>
        <v>5.3045859000684459</v>
      </c>
      <c r="V44" s="170">
        <f>_xll.BDP($A44,"EPS_GROWTH")</f>
        <v>301.82621985815598</v>
      </c>
      <c r="W44" s="170">
        <f>_xll.BDP($A44,"EBITDA_MARGIN")</f>
        <v>29.179938091606477</v>
      </c>
      <c r="X44" s="170">
        <f>_xll.BDP($A44,"EBIT_MARGIN")</f>
        <v>10.459378224395497</v>
      </c>
      <c r="Y44" s="170">
        <f>_xll.BDP($A44,"TRAIL_12M_PROF_MARGIN")</f>
        <v>4.7440671122874702</v>
      </c>
      <c r="Z44" s="170">
        <f>_xll.BDP($A44,"NORMALIZED_ROE")</f>
        <v>3.227213471772771</v>
      </c>
      <c r="AA44" s="171" t="str">
        <f>_xll.BDP($A44,"BDVD_PROJ_12M_YLD")</f>
        <v>#N/A N/A</v>
      </c>
      <c r="AB44" s="171" t="str">
        <f>_xll.BDP($A44,"DVD_RECORD_DT")</f>
        <v>20/03/2013</v>
      </c>
      <c r="AC44" s="204">
        <f>_xll.BDP($A44,"EQY_REC_CONS")</f>
        <v>3.7058819999999999</v>
      </c>
      <c r="AD44" s="170">
        <f>_xll.BDP($A44,"PCT_REVENUE_FROM_FOREIGN_SOURCES")</f>
        <v>0</v>
      </c>
      <c r="AE44" s="172" t="str">
        <f>_xll.BDP($A44,"BDVD_NEXT_EST_DECL_DT")</f>
        <v>#N/A N/A</v>
      </c>
    </row>
    <row r="45" spans="1:31" s="8" customFormat="1" x14ac:dyDescent="0.25">
      <c r="A45" s="155" t="s">
        <v>194</v>
      </c>
      <c r="B45" s="156" t="str">
        <f>_xll.BDP($A45,"SHORT_NAME")</f>
        <v>FESCO</v>
      </c>
      <c r="C45" s="156">
        <f>_xll.BDP($A45,"PX_LAST")</f>
        <v>5.18</v>
      </c>
      <c r="D45" s="157">
        <f>_xll.BDP($A45,"CHG_PCT_WTD")</f>
        <v>-6.9182399999999999</v>
      </c>
      <c r="E45" s="157">
        <f>_xll.BDP($A45,"CHG_PCT_1M")</f>
        <v>36.31579</v>
      </c>
      <c r="F45" s="157">
        <f>_xll.BDP($A45,"CHG_PCT_1YR")</f>
        <v>193.48439999999999</v>
      </c>
      <c r="G45" s="157">
        <f>_xll.BDP($A45,"CHG_PCT_YTD")</f>
        <v>65.653980000000004</v>
      </c>
      <c r="H45" s="157" t="str">
        <f>_xll.BDP($A45,"BEST_TARGET_PRICE")</f>
        <v>#N/A N/A</v>
      </c>
      <c r="I45" s="158" t="e">
        <f t="shared" si="3"/>
        <v>#VALUE!</v>
      </c>
      <c r="J45" s="159">
        <f>_xll.BDP($A45,"CUR_MKT_CAP")/1000000/$AI$1</f>
        <v>265.66537664156704</v>
      </c>
      <c r="K45" s="159">
        <f>_xll.BDP($A45,"EQY_FREE_FLOAT_PCT")</f>
        <v>100</v>
      </c>
      <c r="L45" s="160">
        <f>_xll.BDP($A45,"AVG_DAILY_VALUE_TRADED_6M")/$AI$1/1000000</f>
        <v>3.6359470388797464E-2</v>
      </c>
      <c r="M45" s="159" t="str">
        <f>_xll.BDP($A45,"INDUSTRY_GROUP")</f>
        <v>Transportation</v>
      </c>
      <c r="N45" s="160">
        <f>_xll.BDP($A45,"EQY_BETA_6M")</f>
        <v>0.35325020000000001</v>
      </c>
      <c r="O45" s="160" t="str">
        <f>_xll.BDP($A45,"EST_PE_NXT_YR")</f>
        <v>#N/A N/A</v>
      </c>
      <c r="P45" s="160" t="str">
        <f>_xll.BDP($A45,"EST_EV_THIS_YR_EBITDA")</f>
        <v>#N/A N/A</v>
      </c>
      <c r="Q45" s="160">
        <f>_xll.BDP($A45,"CURRENT_EV_TO_12M_SALES")</f>
        <v>2.1154543364623284</v>
      </c>
      <c r="R45" s="160" t="str">
        <f>_xll.BDP($A45,"PX_TO_BOOK_RATIO")</f>
        <v>#N/A N/A</v>
      </c>
      <c r="S45" s="160">
        <f>_xll.BDP($A45,"PX_TO_FREE_CASH_FLOW")</f>
        <v>4.2435767652709959</v>
      </c>
      <c r="T45" s="160">
        <f>_xll.BDP($A45,"NET_DEBT_TO_EBITDA")</f>
        <v>11.358974358974359</v>
      </c>
      <c r="U45" s="160">
        <f>_xll.BDP($A45,"SALES_GROWTH")</f>
        <v>-38.46153846153846</v>
      </c>
      <c r="V45" s="160">
        <f>_xll.BDP($A45,"EPS_GROWTH")</f>
        <v>-35.714287614944055</v>
      </c>
      <c r="W45" s="160">
        <f>_xll.BDP($A45,"EBITDA_MARGIN")</f>
        <v>13.854351687388988</v>
      </c>
      <c r="X45" s="160">
        <f>_xll.BDP($A45,"EBIT_MARGIN")</f>
        <v>6.3943161634103021</v>
      </c>
      <c r="Y45" s="160">
        <f>_xll.BDP($A45,"TRAIL_12M_PROF_MARGIN")</f>
        <v>-20.781527531083483</v>
      </c>
      <c r="Z45" s="160" t="str">
        <f>_xll.BDP($A45,"NORMALIZED_ROE")</f>
        <v>#N/A N/A</v>
      </c>
      <c r="AA45" s="161" t="str">
        <f>_xll.BDP($A45,"BDVD_PROJ_12M_YLD")</f>
        <v>#N/A N/A</v>
      </c>
      <c r="AB45" s="161" t="str">
        <f>_xll.BDP($A45,"DVD_RECORD_DT")</f>
        <v>#N/A Field Not Applicable</v>
      </c>
      <c r="AC45" s="203" t="str">
        <f>_xll.BDP($A45,"EQY_REC_CONS")</f>
        <v>#N/A N/A</v>
      </c>
      <c r="AD45" s="160" t="str">
        <f>_xll.BDP($A45,"PCT_REVENUE_FROM_FOREIGN_SOURCES")</f>
        <v>#N/A N/A</v>
      </c>
      <c r="AE45" s="162" t="str">
        <f>_xll.BDP($A45,"BDVD_NEXT_EST_DECL_DT")</f>
        <v>#N/A N/A</v>
      </c>
    </row>
    <row r="46" spans="1:31" s="8" customFormat="1" x14ac:dyDescent="0.25">
      <c r="A46" s="163" t="s">
        <v>180</v>
      </c>
      <c r="B46" s="150" t="str">
        <f>_xll.BDP($A46,"SHORT_NAME")</f>
        <v>GLOBAL-GDR REG S</v>
      </c>
      <c r="C46" s="150">
        <f>_xll.BDP($A46,"PX_LAST")</f>
        <v>4.58</v>
      </c>
      <c r="D46" s="151">
        <f>_xll.BDP($A46,"CHG_PCT_WTD")</f>
        <v>0.65933640000000004</v>
      </c>
      <c r="E46" s="151">
        <f>_xll.BDP($A46,"CHG_PCT_1M")</f>
        <v>27.22223</v>
      </c>
      <c r="F46" s="151">
        <f>_xll.BDP($A46,"CHG_PCT_1YR")</f>
        <v>103.5556</v>
      </c>
      <c r="G46" s="151">
        <f>_xll.BDP($A46,"CHG_PCT_YTD")</f>
        <v>14.5</v>
      </c>
      <c r="H46" s="179">
        <f>_xll.BDP($A46,"BEST_TARGET_PRICE")</f>
        <v>5.3000001907348633</v>
      </c>
      <c r="I46" s="152">
        <f t="shared" si="3"/>
        <v>0.15720528181983906</v>
      </c>
      <c r="J46" s="153">
        <f>_xll.BDP($A46,"CUR_MKT_CAP")/1000000</f>
        <v>645.34248176000006</v>
      </c>
      <c r="K46" s="153" t="str">
        <f>_xll.BDP($A46,"EQY_FREE_FLOAT_PCT")</f>
        <v>#N/A N/A</v>
      </c>
      <c r="L46" s="154">
        <f>_xll.BDP($A46,"AVG_DAILY_VALUE_TRADED_6M")/1000000</f>
        <v>0.25485960000000002</v>
      </c>
      <c r="M46" s="153" t="str">
        <f>_xll.BDP($A46,"INDUSTRY_GROUP")</f>
        <v>Commercial Services</v>
      </c>
      <c r="N46" s="154">
        <f>_xll.BDP($A46,"EQY_BETA_6M")</f>
        <v>0.48131299999999999</v>
      </c>
      <c r="O46" s="154">
        <f>_xll.BDP($A46,"EST_PE_NXT_YR")</f>
        <v>8.5130111524163556</v>
      </c>
      <c r="P46" s="154">
        <f>_xll.BDP($A46,"EST_EV_THIS_YR_EBITDA")</f>
        <v>7.4843907013215851</v>
      </c>
      <c r="Q46" s="154">
        <f>_xll.BDP($A46,"CURRENT_EV_TO_12M_SALES")</f>
        <v>5.0107777576115939</v>
      </c>
      <c r="R46" s="154">
        <f>_xll.BDP($A46,"PX_TO_BOOK_RATIO")</f>
        <v>2.8261500128333741</v>
      </c>
      <c r="S46" s="154">
        <f>_xll.BDP($A46,"PX_TO_FREE_CASH_FLOW")</f>
        <v>8.0632594812435041</v>
      </c>
      <c r="T46" s="154">
        <f>_xll.BDP($A46,"NET_DEBT_TO_EBITDA")</f>
        <v>11.065745514082792</v>
      </c>
      <c r="U46" s="154">
        <f>_xll.BDP($A46,"SALES_GROWTH")</f>
        <v>-18.295652859804971</v>
      </c>
      <c r="V46" s="154" t="str">
        <f>_xll.BDP($A46,"EPS_GROWTH")</f>
        <v>#N/A N/A</v>
      </c>
      <c r="W46" s="154">
        <f>_xll.BDP($A46,"EBITDA_MARGIN")</f>
        <v>27.270807438425432</v>
      </c>
      <c r="X46" s="154">
        <f>_xll.BDP($A46,"EBIT_MARGIN")</f>
        <v>12.769256760833628</v>
      </c>
      <c r="Y46" s="154">
        <f>_xll.BDP($A46,"TRAIL_12M_PROF_MARGIN")</f>
        <v>-19.484286670239602</v>
      </c>
      <c r="Z46" s="154">
        <f>_xll.BDP($A46,"NORMALIZED_ROE")</f>
        <v>50.232061564216245</v>
      </c>
      <c r="AA46" s="141" t="str">
        <f>_xll.BDP($A46,"BDVD_PROJ_12M_YLD")</f>
        <v>#N/A N/A</v>
      </c>
      <c r="AB46" s="141" t="str">
        <f>_xll.BDP($A46,"DVD_RECORD_DT")</f>
        <v>24/10/2014</v>
      </c>
      <c r="AC46" s="139">
        <f>_xll.BDP($A46,"EQY_REC_CONS")</f>
        <v>3.375</v>
      </c>
      <c r="AD46" s="154" t="str">
        <f>_xll.BDP($A46,"PCT_REVENUE_FROM_FOREIGN_SOURCES")</f>
        <v>#N/A N/A</v>
      </c>
      <c r="AE46" s="164" t="str">
        <f>_xll.BDP($A46,"BDVD_NEXT_EST_DECL_DT")</f>
        <v>#N/A N/A</v>
      </c>
    </row>
    <row r="47" spans="1:31" s="8" customFormat="1" x14ac:dyDescent="0.25">
      <c r="A47" s="163" t="s">
        <v>5</v>
      </c>
      <c r="B47" s="150" t="str">
        <f>_xll.BDP($A47,"SHORT_NAME")</f>
        <v>AEROFLOT</v>
      </c>
      <c r="C47" s="150">
        <f>_xll.BDP($A47,"PX_LAST")</f>
        <v>196.5</v>
      </c>
      <c r="D47" s="151">
        <f>_xll.BDP($A47,"CHG_PCT_WTD")</f>
        <v>-0.17871129999999999</v>
      </c>
      <c r="E47" s="151">
        <f>_xll.BDP($A47,"CHG_PCT_1M")</f>
        <v>-3.6471140000000002</v>
      </c>
      <c r="F47" s="151">
        <f>_xll.BDP($A47,"CHG_PCT_1YR")</f>
        <v>88.342960000000005</v>
      </c>
      <c r="G47" s="151">
        <f>_xll.BDP($A47,"CHG_PCT_YTD")</f>
        <v>27.903169999999999</v>
      </c>
      <c r="H47" s="151">
        <f>_xll.BDP($A47,"BEST_TARGET_PRICE")</f>
        <v>212.80099487304687</v>
      </c>
      <c r="I47" s="152">
        <f t="shared" si="3"/>
        <v>8.2956716911180006E-2</v>
      </c>
      <c r="J47" s="153">
        <f>_xll.BDP($A47,"CUR_MKT_CAP")/1000000/$AI$1</f>
        <v>3773.2015350748384</v>
      </c>
      <c r="K47" s="153">
        <f>_xll.BDP($A47,"EQY_FREE_FLOAT_PCT")</f>
        <v>48.705460000000002</v>
      </c>
      <c r="L47" s="154">
        <f>_xll.BDP($A47,"AVG_DAILY_VALUE_TRADED_6M")/$AI$1/1000000</f>
        <v>12.331849833432099</v>
      </c>
      <c r="M47" s="153" t="str">
        <f>_xll.BDP($A47,"INDUSTRY_GROUP")</f>
        <v>Airlines</v>
      </c>
      <c r="N47" s="154">
        <f>_xll.BDP($A47,"EQY_BETA_6M")</f>
        <v>0.81368980000000002</v>
      </c>
      <c r="O47" s="154">
        <f>_xll.BDP($A47,"EST_PE_NXT_YR")</f>
        <v>5.594025409179352</v>
      </c>
      <c r="P47" s="154">
        <f>_xll.BDP($A47,"EST_EV_THIS_YR_EBITDA")</f>
        <v>3.2799897912402773</v>
      </c>
      <c r="Q47" s="154">
        <f>_xll.BDP($A47,"CURRENT_EV_TO_12M_SALES")</f>
        <v>0.50674961227205295</v>
      </c>
      <c r="R47" s="154">
        <f>_xll.BDP($A47,"PX_TO_BOOK_RATIO")</f>
        <v>4.8671231394175987</v>
      </c>
      <c r="S47" s="154">
        <f>_xll.BDP($A47,"PX_TO_FREE_CASH_FLOW")</f>
        <v>3.4669612741797491</v>
      </c>
      <c r="T47" s="154">
        <f>_xll.BDP($A47,"NET_DEBT_TO_EBITDA")</f>
        <v>1.3307936176597215</v>
      </c>
      <c r="U47" s="154">
        <f>_xll.BDP($A47,"SALES_GROWTH")</f>
        <v>19.439366240097502</v>
      </c>
      <c r="V47" s="154" t="str">
        <f>_xll.BDP($A47,"EPS_GROWTH")</f>
        <v>#N/A N/A</v>
      </c>
      <c r="W47" s="154">
        <f>_xll.BDP($A47,"EBITDA_MARGIN")</f>
        <v>15.45716705654594</v>
      </c>
      <c r="X47" s="154">
        <f>_xll.BDP($A47,"EBIT_MARGIN")</f>
        <v>12.755908687585707</v>
      </c>
      <c r="Y47" s="154">
        <f>_xll.BDP($A47,"TRAIL_12M_PROF_MARGIN")</f>
        <v>7.5508187464709202</v>
      </c>
      <c r="Z47" s="154" t="str">
        <f>_xll.BDP($A47,"NORMALIZED_ROE")</f>
        <v>#N/A N/A</v>
      </c>
      <c r="AA47" s="141">
        <f>_xll.BDP($A47,"BDVD_PROJ_12M_YLD")</f>
        <v>9.2071611253196934</v>
      </c>
      <c r="AB47" s="141" t="str">
        <f>_xll.BDP($A47,"DVD_RECORD_DT")</f>
        <v>14/07/2017</v>
      </c>
      <c r="AC47" s="139">
        <f>_xll.BDP($A47,"EQY_REC_CONS")</f>
        <v>4.1666670000000003</v>
      </c>
      <c r="AD47" s="154">
        <f>_xll.BDP($A47,"PCT_REVENUE_FROM_FOREIGN_SOURCES")</f>
        <v>66.478381866580619</v>
      </c>
      <c r="AE47" s="164" t="str">
        <f>_xll.BDP($A47,"BDVD_NEXT_EST_DECL_DT")</f>
        <v>24/05/2018</v>
      </c>
    </row>
    <row r="48" spans="1:31" s="8" customFormat="1" x14ac:dyDescent="0.25">
      <c r="A48" s="163" t="s">
        <v>13</v>
      </c>
      <c r="B48" s="150" t="str">
        <f>_xll.BDP($A48,"SHORT_NAME")</f>
        <v>GLOBALTRANS-GDR</v>
      </c>
      <c r="C48" s="150">
        <f>_xll.BDP($A48,"PX_LAST")</f>
        <v>10.050000000000001</v>
      </c>
      <c r="D48" s="151">
        <f>_xll.BDP($A48,"CHG_PCT_WTD")</f>
        <v>1.532176</v>
      </c>
      <c r="E48" s="151">
        <f>_xll.BDP($A48,"CHG_PCT_1M")</f>
        <v>29.030169999999998</v>
      </c>
      <c r="F48" s="151">
        <f>_xll.BDP($A48,"CHG_PCT_1YR")</f>
        <v>116.3943</v>
      </c>
      <c r="G48" s="151">
        <f>_xll.BDP($A48,"CHG_PCT_YTD")</f>
        <v>64.090500000000006</v>
      </c>
      <c r="H48" s="179">
        <f>_xll.BDP($A48,"BEST_TARGET_PRICE")</f>
        <v>9.8256244659423828</v>
      </c>
      <c r="I48" s="152">
        <f t="shared" si="3"/>
        <v>-2.2325923786827628E-2</v>
      </c>
      <c r="J48" s="153">
        <f>_xll.BDP($A48,"CUR_MKT_CAP")/1000000</f>
        <v>1776.6847050399999</v>
      </c>
      <c r="K48" s="153" t="str">
        <f>_xll.BDP($A48,"EQY_FREE_FLOAT_PCT")</f>
        <v>#N/A N/A</v>
      </c>
      <c r="L48" s="154">
        <f>_xll.BDP($A48,"AVG_DAILY_VALUE_TRADED_6M")/1000000</f>
        <v>3.9775469999999999</v>
      </c>
      <c r="M48" s="153" t="str">
        <f>_xll.BDP($A48,"INDUSTRY_GROUP")</f>
        <v>Transportation</v>
      </c>
      <c r="N48" s="154">
        <f>_xll.BDP($A48,"EQY_BETA_6M")</f>
        <v>0.56979849999999999</v>
      </c>
      <c r="O48" s="154">
        <f>_xll.BDP($A48,"EST_PE_NXT_YR")</f>
        <v>10.073264796068027</v>
      </c>
      <c r="P48" s="154">
        <f>_xll.BDP($A48,"EST_EV_THIS_YR_EBITDA")</f>
        <v>5.2302865062586239</v>
      </c>
      <c r="Q48" s="154">
        <f>_xll.BDP($A48,"CURRENT_EV_TO_12M_SALES")</f>
        <v>1.585489228481969</v>
      </c>
      <c r="R48" s="154">
        <f>_xll.BDP($A48,"PX_TO_BOOK_RATIO")</f>
        <v>2.1909313700648174</v>
      </c>
      <c r="S48" s="154">
        <f>_xll.BDP($A48,"PX_TO_FREE_CASH_FLOW")</f>
        <v>7.2790484213163884</v>
      </c>
      <c r="T48" s="154">
        <f>_xll.BDP($A48,"NET_DEBT_TO_EBITDA")</f>
        <v>0.54480381669084976</v>
      </c>
      <c r="U48" s="154">
        <f>_xll.BDP($A48,"SALES_GROWTH")</f>
        <v>1.8888023344221907</v>
      </c>
      <c r="V48" s="154">
        <f>_xll.BDP($A48,"EPS_GROWTH")</f>
        <v>112.57434154630417</v>
      </c>
      <c r="W48" s="154">
        <f>_xll.BDP($A48,"EBITDA_MARGIN")</f>
        <v>28.67570837993091</v>
      </c>
      <c r="X48" s="154">
        <f>_xll.BDP($A48,"EBIT_MARGIN")</f>
        <v>21.092915602458188</v>
      </c>
      <c r="Y48" s="154">
        <f>_xll.BDP($A48,"TRAIL_12M_PROF_MARGIN")</f>
        <v>11.655934780279384</v>
      </c>
      <c r="Z48" s="154">
        <f>_xll.BDP($A48,"NORMALIZED_ROE")</f>
        <v>19.118728598628021</v>
      </c>
      <c r="AA48" s="141" t="str">
        <f>_xll.BDP($A48,"BDVD_PROJ_12M_YLD")</f>
        <v>#N/A N/A</v>
      </c>
      <c r="AB48" s="141" t="str">
        <f>_xll.BDP($A48,"DVD_RECORD_DT")</f>
        <v>05/09/2017</v>
      </c>
      <c r="AC48" s="139">
        <f>_xll.BDP($A48,"EQY_REC_CONS")</f>
        <v>4</v>
      </c>
      <c r="AD48" s="154" t="str">
        <f>_xll.BDP($A48,"PCT_REVENUE_FROM_FOREIGN_SOURCES")</f>
        <v>#N/A N/A</v>
      </c>
      <c r="AE48" s="164" t="str">
        <f>_xll.BDP($A48,"BDVD_NEXT_EST_DECL_DT")</f>
        <v>#N/A N/A</v>
      </c>
    </row>
    <row r="49" spans="1:31" s="8" customFormat="1" x14ac:dyDescent="0.25">
      <c r="A49" s="163" t="s">
        <v>181</v>
      </c>
      <c r="B49" s="150" t="str">
        <f>_xll.BDP($A49,"SHORT_NAME")</f>
        <v>NCSP</v>
      </c>
      <c r="C49" s="150">
        <f>_xll.BDP($A49,"PX_LAST")</f>
        <v>8.2850000000000001</v>
      </c>
      <c r="D49" s="151">
        <f>_xll.BDP($A49,"CHG_PCT_WTD")</f>
        <v>2.25</v>
      </c>
      <c r="E49" s="151">
        <f>_xll.BDP($A49,"CHG_PCT_1M")</f>
        <v>12.054790000000001</v>
      </c>
      <c r="F49" s="151">
        <f>_xll.BDP($A49,"CHG_PCT_1YR")</f>
        <v>70.062370000000001</v>
      </c>
      <c r="G49" s="151">
        <f>_xll.BDP($A49,"CHG_PCT_YTD")</f>
        <v>24.221720000000001</v>
      </c>
      <c r="H49" s="179">
        <f>_xll.BDP("NCSP LI EQUITY","BEST_TARGET_PRICE")*$AI$1/75</f>
        <v>8.0561739999999986</v>
      </c>
      <c r="I49" s="152">
        <f t="shared" si="3"/>
        <v>-2.7619312009656172E-2</v>
      </c>
      <c r="J49" s="153">
        <f>_xll.BDP($A49,"CUR_MKT_CAP")/1000000/$AI$1</f>
        <v>2737.81829886991</v>
      </c>
      <c r="K49" s="153">
        <f>_xll.BDP($A49,"EQY_FREE_FLOAT_PCT")</f>
        <v>19.379909999999999</v>
      </c>
      <c r="L49" s="154">
        <f>_xll.BDP($A49,"AVG_DAILY_VALUE_TRADED_6M")/$AI$1/1000000</f>
        <v>0.39903656499971329</v>
      </c>
      <c r="M49" s="153" t="str">
        <f>_xll.BDP($A49,"INDUSTRY_GROUP")</f>
        <v>Transportation</v>
      </c>
      <c r="N49" s="154">
        <f>_xll.BDP($A49,"EQY_BETA_6M")</f>
        <v>0.59545519999999996</v>
      </c>
      <c r="O49" s="154">
        <f>_xll.BDP($A49,"EST_PE_NXT_YR")</f>
        <v>5.722030448332756</v>
      </c>
      <c r="P49" s="154">
        <f>_xll.BDP($A49,"EST_EV_THIS_YR_EBITDA")</f>
        <v>6.2979167051823186</v>
      </c>
      <c r="Q49" s="154" t="str">
        <f>_xll.BDP($A49,"CURRENT_EV_TO_12M_SALES")</f>
        <v>#N/A N/A</v>
      </c>
      <c r="R49" s="154">
        <f>_xll.BDP($A49,"PX_TO_BOOK_RATIO")</f>
        <v>4.6766810498831566</v>
      </c>
      <c r="S49" s="154" t="str">
        <f>_xll.BDP($A49,"PX_TO_FREE_CASH_FLOW")</f>
        <v>#N/A N/A</v>
      </c>
      <c r="T49" s="154" t="str">
        <f>_xll.BDP($A49,"NET_DEBT_TO_EBITDA")</f>
        <v>#N/A N/A</v>
      </c>
      <c r="U49" s="154">
        <f>_xll.BDP($A49,"SALES_GROWTH")</f>
        <v>8.0253545336589589</v>
      </c>
      <c r="V49" s="154" t="str">
        <f>_xll.BDP($A49,"EPS_GROWTH")</f>
        <v>#N/A N/A</v>
      </c>
      <c r="W49" s="154" t="str">
        <f>_xll.BDP($A49,"EBITDA_MARGIN")</f>
        <v>#N/A N/A</v>
      </c>
      <c r="X49" s="154" t="str">
        <f>_xll.BDP($A49,"EBIT_MARGIN")</f>
        <v>#N/A N/A</v>
      </c>
      <c r="Y49" s="154" t="str">
        <f>_xll.BDP($A49,"TRAIL_12M_PROF_MARGIN")</f>
        <v>#N/A N/A</v>
      </c>
      <c r="Z49" s="154" t="str">
        <f>_xll.BDP($A49,"NORMALIZED_ROE")</f>
        <v>#N/A N/A</v>
      </c>
      <c r="AA49" s="141" t="str">
        <f>_xll.BDP($A49,"BDVD_PROJ_12M_YLD")</f>
        <v>#N/A N/A</v>
      </c>
      <c r="AB49" s="141" t="str">
        <f>_xll.BDP($A49,"DVD_RECORD_DT")</f>
        <v>29/05/2017</v>
      </c>
      <c r="AC49" s="139" t="str">
        <f>_xll.BDP($A49,"EQY_REC_CONS")</f>
        <v>#N/A N/A</v>
      </c>
      <c r="AD49" s="154">
        <f>_xll.BDP($A49,"PCT_REVENUE_FROM_FOREIGN_SOURCES")</f>
        <v>0</v>
      </c>
      <c r="AE49" s="164" t="str">
        <f>_xll.BDP($A49,"BDVD_NEXT_EST_DECL_DT")</f>
        <v>#N/A N/A</v>
      </c>
    </row>
    <row r="50" spans="1:31" s="8" customFormat="1" ht="15.75" thickBot="1" x14ac:dyDescent="0.3">
      <c r="A50" s="165" t="s">
        <v>220</v>
      </c>
      <c r="B50" s="166" t="str">
        <f>_xll.BDP($A50,"SHORT_NAME")</f>
        <v>CENTER FOR CARGO</v>
      </c>
      <c r="C50" s="166">
        <f>_xll.BDP($A50,"PX_LAST")</f>
        <v>4230</v>
      </c>
      <c r="D50" s="167">
        <f>_xll.BDP($A50,"CHG_PCT_WTD")</f>
        <v>6.2814069999999997</v>
      </c>
      <c r="E50" s="167">
        <f>_xll.BDP($A50,"CHG_PCT_1M")</f>
        <v>37.560980000000001</v>
      </c>
      <c r="F50" s="167">
        <f>_xll.BDP($A50,"CHG_PCT_1YR")</f>
        <v>17.816970000000001</v>
      </c>
      <c r="G50" s="167">
        <f>_xll.BDP($A50,"CHG_PCT_YTD")</f>
        <v>16.850829999999998</v>
      </c>
      <c r="H50" s="167">
        <f>_xll.BDP($A50,"BEST_TARGET_PRICE")</f>
        <v>3469.008056640625</v>
      </c>
      <c r="I50" s="168">
        <f t="shared" si="3"/>
        <v>-0.17990353270907211</v>
      </c>
      <c r="J50" s="169">
        <f>_xll.BDP($A50,"CUR_MKT_CAP")/1000000/$AI$1</f>
        <v>1021.3890032166635</v>
      </c>
      <c r="K50" s="169">
        <f>_xll.BDP($A50,"EQY_FREE_FLOAT_PCT")</f>
        <v>24.91348</v>
      </c>
      <c r="L50" s="170">
        <f>_xll.BDP($A50,"AVG_DAILY_VALUE_TRADED_6M")/$AI$1/1000000</f>
        <v>1.6923072912774725E-2</v>
      </c>
      <c r="M50" s="169" t="str">
        <f>_xll.BDP($A50,"INDUSTRY_GROUP")</f>
        <v>Transportation</v>
      </c>
      <c r="N50" s="170">
        <f>_xll.BDP($A50,"EQY_BETA_6M")</f>
        <v>0.67577120000000002</v>
      </c>
      <c r="O50" s="170">
        <f>_xll.BDP($A50,"EST_PE_NXT_YR")</f>
        <v>13.497774303173413</v>
      </c>
      <c r="P50" s="170">
        <f>_xll.BDP($A50,"EST_EV_THIS_YR_EBITDA")</f>
        <v>7.5623034251363066</v>
      </c>
      <c r="Q50" s="170">
        <f>_xll.BDP($A50,"CURRENT_EV_TO_12M_SALES")</f>
        <v>1.0248223250814665</v>
      </c>
      <c r="R50" s="170">
        <f>_xll.BDP($A50,"PX_TO_BOOK_RATIO")</f>
        <v>1.6011908356572542</v>
      </c>
      <c r="S50" s="170">
        <f>_xll.BDP($A50,"PX_TO_FREE_CASH_FLOW")</f>
        <v>13.116380846432651</v>
      </c>
      <c r="T50" s="170">
        <f>_xll.BDP($A50,"NET_DEBT_TO_EBITDA")</f>
        <v>0.1611616602268478</v>
      </c>
      <c r="U50" s="170">
        <f>_xll.BDP($A50,"SALES_GROWTH")</f>
        <v>21.12222091518645</v>
      </c>
      <c r="V50" s="170">
        <f>_xll.BDP($A50,"EPS_GROWTH")</f>
        <v>13.528745844806139</v>
      </c>
      <c r="W50" s="170">
        <f>_xll.BDP($A50,"EBITDA_MARGIN")</f>
        <v>13.68808967293945</v>
      </c>
      <c r="X50" s="170">
        <f>_xll.BDP($A50,"EBIT_MARGIN")</f>
        <v>9.2232098681179941</v>
      </c>
      <c r="Y50" s="170">
        <f>_xll.BDP($A50,"TRAIL_12M_PROF_MARGIN")</f>
        <v>7.96410352652142</v>
      </c>
      <c r="Z50" s="170">
        <f>_xll.BDP($A50,"NORMALIZED_ROE")</f>
        <v>12.123920946625962</v>
      </c>
      <c r="AA50" s="171" t="str">
        <f>_xll.BDP($A50,"BDVD_PROJ_12M_YLD")</f>
        <v>#N/A N/A</v>
      </c>
      <c r="AB50" s="171" t="str">
        <f>_xll.BDP($A50,"DVD_RECORD_DT")</f>
        <v>11/07/2017</v>
      </c>
      <c r="AC50" s="204">
        <f>_xll.BDP($A50,"EQY_REC_CONS")</f>
        <v>4</v>
      </c>
      <c r="AD50" s="170">
        <f>_xll.BDP($A50,"PCT_REVENUE_FROM_FOREIGN_SOURCES")</f>
        <v>14.649495950119453</v>
      </c>
      <c r="AE50" s="172" t="str">
        <f>_xll.BDP($A50,"BDVD_NEXT_EST_DECL_DT")</f>
        <v>#N/A N/A</v>
      </c>
    </row>
    <row r="51" spans="1:31" s="8" customFormat="1" x14ac:dyDescent="0.25">
      <c r="A51" s="155" t="s">
        <v>33</v>
      </c>
      <c r="B51" s="156" t="str">
        <f>_xll.BDP($A51,"SHORT_NAME")</f>
        <v>INTER RAO</v>
      </c>
      <c r="C51" s="156">
        <f>_xll.BDP($A51,"PX_LAST")</f>
        <v>3.8639999999999999</v>
      </c>
      <c r="D51" s="157">
        <f>_xll.BDP($A51,"CHG_PCT_WTD")</f>
        <v>-0.66838310000000001</v>
      </c>
      <c r="E51" s="157">
        <f>_xll.BDP($A51,"CHG_PCT_1M")</f>
        <v>1.7913589999999999</v>
      </c>
      <c r="F51" s="157">
        <f>_xll.BDP($A51,"CHG_PCT_1YR")</f>
        <v>22.104600000000001</v>
      </c>
      <c r="G51" s="157">
        <f>_xll.BDP($A51,"CHG_PCT_YTD")</f>
        <v>0.52028870000000005</v>
      </c>
      <c r="H51" s="157">
        <f>_xll.BDP($A51,"BEST_TARGET_PRICE")</f>
        <v>5.6266665458679199</v>
      </c>
      <c r="I51" s="158">
        <f t="shared" si="3"/>
        <v>0.45617664230536237</v>
      </c>
      <c r="J51" s="159">
        <f>_xll.BDP($A51,"CUR_MKT_CAP")/1000000/$AI$1</f>
        <v>7010.3034020863997</v>
      </c>
      <c r="K51" s="159">
        <f>_xll.BDP($A51,"EQY_FREE_FLOAT_PCT")</f>
        <v>39.565089999999998</v>
      </c>
      <c r="L51" s="160">
        <f>_xll.BDP($A51,"AVG_DAILY_VALUE_TRADED_6M")/$AI$1/1000000</f>
        <v>6.6299516370922476</v>
      </c>
      <c r="M51" s="159" t="str">
        <f>_xll.BDP($A51,"INDUSTRY_GROUP")</f>
        <v>Electric</v>
      </c>
      <c r="N51" s="160">
        <f>_xll.BDP($A51,"EQY_BETA_6M")</f>
        <v>0.72298490000000004</v>
      </c>
      <c r="O51" s="160">
        <f>_xll.BDP($A51,"EST_PE_NXT_YR")</f>
        <v>5.9446153846153846</v>
      </c>
      <c r="P51" s="160">
        <f>_xll.BDP($A51,"EST_EV_THIS_YR_EBITDA")</f>
        <v>3.5460015332054948</v>
      </c>
      <c r="Q51" s="160">
        <f>_xll.BDP($A51,"CURRENT_EV_TO_12M_SALES")</f>
        <v>0.36252166450160789</v>
      </c>
      <c r="R51" s="160">
        <f>_xll.BDP($A51,"PX_TO_BOOK_RATIO")</f>
        <v>0.74355816155952037</v>
      </c>
      <c r="S51" s="160">
        <f>_xll.BDP($A51,"PX_TO_FREE_CASH_FLOW")</f>
        <v>7.3118071479791844</v>
      </c>
      <c r="T51" s="160">
        <f>_xll.BDP($A51,"NET_DEBT_TO_EBITDA")</f>
        <v>-1.317836954528022</v>
      </c>
      <c r="U51" s="160">
        <f>_xll.BDP($A51,"SALES_GROWTH")</f>
        <v>4.3504285523692081</v>
      </c>
      <c r="V51" s="160">
        <f>_xll.BDP($A51,"EPS_GROWTH")</f>
        <v>171.16734269805968</v>
      </c>
      <c r="W51" s="160">
        <f>_xll.BDP($A51,"EBITDA_MARGIN")</f>
        <v>6.6756163181979593</v>
      </c>
      <c r="X51" s="160">
        <f>_xll.BDP($A51,"EBIT_MARGIN")</f>
        <v>4.2362797055520121</v>
      </c>
      <c r="Y51" s="160">
        <f>_xll.BDP($A51,"TRAIL_12M_PROF_MARGIN")</f>
        <v>3.210631829814139</v>
      </c>
      <c r="Z51" s="160">
        <f>_xll.BDP($A51,"NORMALIZED_ROE")</f>
        <v>7.9129119881894612</v>
      </c>
      <c r="AA51" s="161" t="str">
        <f>_xll.BDP($A51,"BDVD_PROJ_12M_YLD")</f>
        <v>#N/A N/A</v>
      </c>
      <c r="AB51" s="161" t="str">
        <f>_xll.BDP($A51,"DVD_RECORD_DT")</f>
        <v>20/06/2017</v>
      </c>
      <c r="AC51" s="203">
        <f>_xll.BDP($A51,"EQY_REC_CONS")</f>
        <v>4.4285709999999998</v>
      </c>
      <c r="AD51" s="160">
        <f>_xll.BDP($A51,"PCT_REVENUE_FROM_FOREIGN_SOURCES")</f>
        <v>12.292752335655447</v>
      </c>
      <c r="AE51" s="162" t="str">
        <f>_xll.BDP($A51,"BDVD_NEXT_EST_DECL_DT")</f>
        <v>#N/A N/A</v>
      </c>
    </row>
    <row r="52" spans="1:31" s="8" customFormat="1" x14ac:dyDescent="0.25">
      <c r="A52" s="163" t="s">
        <v>473</v>
      </c>
      <c r="B52" s="150" t="str">
        <f>_xll.BDP($A52,"SHORT_NAME")</f>
        <v>UNIPRO PJSC</v>
      </c>
      <c r="C52" s="150">
        <f>_xll.BDP($A52,"PX_LAST")</f>
        <v>2.3620000000000001</v>
      </c>
      <c r="D52" s="151">
        <f>_xll.BDP($A52,"CHG_PCT_WTD")</f>
        <v>8.6844409999999997E-2</v>
      </c>
      <c r="E52" s="151">
        <f>_xll.BDP($A52,"CHG_PCT_1M")</f>
        <v>0.21739339999999999</v>
      </c>
      <c r="F52" s="151">
        <f>_xll.BDP($A52,"CHG_PCT_1YR")</f>
        <v>-16.969650000000001</v>
      </c>
      <c r="G52" s="151">
        <f>_xll.BDP($A52,"CHG_PCT_YTD")</f>
        <v>-19.909659999999999</v>
      </c>
      <c r="H52" s="151">
        <f>_xll.BDP($A52,"BEST_TARGET_PRICE")</f>
        <v>2.9679999351501465</v>
      </c>
      <c r="I52" s="152">
        <f t="shared" si="3"/>
        <v>0.25656220793824991</v>
      </c>
      <c r="J52" s="153">
        <f>_xll.BDP($A52,"CUR_MKT_CAP")/1000000/$AI$1</f>
        <v>2525.4937980474979</v>
      </c>
      <c r="K52" s="153">
        <f>_xll.BDP($A52,"EQY_FREE_FLOAT_PCT")</f>
        <v>16.27</v>
      </c>
      <c r="L52" s="154">
        <f>_xll.BDP($A52,"AVG_DAILY_VALUE_TRADED_6M")/$AI$1/1000000</f>
        <v>1.1764206929989347</v>
      </c>
      <c r="M52" s="153" t="str">
        <f>_xll.BDP($A52,"INDUSTRY_GROUP")</f>
        <v>Electric</v>
      </c>
      <c r="N52" s="154">
        <f>_xll.BDP($A52,"EQY_BETA_6M")</f>
        <v>0.436498</v>
      </c>
      <c r="O52" s="154">
        <f>_xll.BDP($A52,"EST_PE_NXT_YR")</f>
        <v>8.5370370370370363</v>
      </c>
      <c r="P52" s="154">
        <f>_xll.BDP($A52,"EST_EV_THIS_YR_EBITDA")</f>
        <v>3.9586615447912563</v>
      </c>
      <c r="Q52" s="154">
        <f>_xll.BDP($A52,"CURRENT_EV_TO_12M_SALES")</f>
        <v>1.5600848841152852</v>
      </c>
      <c r="R52" s="154">
        <f>_xll.BDP($A52,"PX_TO_BOOK_RATIO")</f>
        <v>1.3046396307295753</v>
      </c>
      <c r="S52" s="154">
        <f>_xll.BDP($A52,"PX_TO_FREE_CASH_FLOW")</f>
        <v>5.0876675361191248</v>
      </c>
      <c r="T52" s="154">
        <f>_xll.BDP($A52,"NET_DEBT_TO_EBITDA")</f>
        <v>-0.60405210363089656</v>
      </c>
      <c r="U52" s="154">
        <f>_xll.BDP($A52,"SALES_GROWTH")</f>
        <v>1.729187433561638</v>
      </c>
      <c r="V52" s="154">
        <f>_xll.BDP($A52,"EPS_GROWTH")</f>
        <v>-62.222988257336596</v>
      </c>
      <c r="W52" s="154">
        <f>_xll.BDP($A52,"EBITDA_MARGIN")</f>
        <v>57.617741399857046</v>
      </c>
      <c r="X52" s="154">
        <f>_xll.BDP($A52,"EBIT_MARGIN")</f>
        <v>49.553109289938782</v>
      </c>
      <c r="Y52" s="154">
        <f>_xll.BDP($A52,"TRAIL_12M_PROF_MARGIN")</f>
        <v>39.726054022892193</v>
      </c>
      <c r="Z52" s="154">
        <f>_xll.BDP($A52,"NORMALIZED_ROE")</f>
        <v>28.443255278364148</v>
      </c>
      <c r="AA52" s="141">
        <f>_xll.BDP($A52,"BDVD_PROJ_12M_YLD")</f>
        <v>8.64642082429501</v>
      </c>
      <c r="AB52" s="141" t="str">
        <f>_xll.BDP($A52,"DVD_RECORD_DT")</f>
        <v>04/07/2017</v>
      </c>
      <c r="AC52" s="139">
        <f>_xll.BDP($A52,"EQY_REC_CONS")</f>
        <v>3.8571430000000002</v>
      </c>
      <c r="AD52" s="154">
        <f>_xll.BDP($A52,"PCT_REVENUE_FROM_FOREIGN_SOURCES")</f>
        <v>0</v>
      </c>
      <c r="AE52" s="164" t="str">
        <f>_xll.BDP($A52,"BDVD_NEXT_EST_DECL_DT")</f>
        <v>08/12/2017</v>
      </c>
    </row>
    <row r="53" spans="1:31" s="8" customFormat="1" x14ac:dyDescent="0.25">
      <c r="A53" s="163" t="s">
        <v>217</v>
      </c>
      <c r="B53" s="150" t="str">
        <f>_xll.BDP($A53,"SHORT_NAME")</f>
        <v>ENEL RUSSIA</v>
      </c>
      <c r="C53" s="150">
        <f>_xll.BDP($A53,"PX_LAST")</f>
        <v>1.17</v>
      </c>
      <c r="D53" s="151">
        <f>_xll.BDP($A53,"CHG_PCT_WTD")</f>
        <v>0.8620719</v>
      </c>
      <c r="E53" s="151">
        <f>_xll.BDP($A53,"CHG_PCT_1M")</f>
        <v>-6.7729080000000002</v>
      </c>
      <c r="F53" s="151">
        <f>_xll.BDP($A53,"CHG_PCT_1YR")</f>
        <v>32.653060000000004</v>
      </c>
      <c r="G53" s="151">
        <f>_xll.BDP($A53,"CHG_PCT_YTD")</f>
        <v>17.706240000000001</v>
      </c>
      <c r="H53" s="151">
        <f>_xll.BDP($A53,"BEST_TARGET_PRICE")</f>
        <v>1.2966666221618652</v>
      </c>
      <c r="I53" s="152">
        <f t="shared" si="3"/>
        <v>0.1082620702238164</v>
      </c>
      <c r="J53" s="153">
        <f>_xll.BDP($A53,"CUR_MKT_CAP")/1000000/$AI$1</f>
        <v>719.18964920643475</v>
      </c>
      <c r="K53" s="153">
        <f>_xll.BDP($A53,"EQY_FREE_FLOAT_PCT")</f>
        <v>43.57</v>
      </c>
      <c r="L53" s="154">
        <f>_xll.BDP($A53,"AVG_DAILY_VALUE_TRADED_6M")/$AI$1/1000000</f>
        <v>0.22595174831129516</v>
      </c>
      <c r="M53" s="153" t="str">
        <f>_xll.BDP($A53,"INDUSTRY_GROUP")</f>
        <v>Electric</v>
      </c>
      <c r="N53" s="154">
        <f>_xll.BDP($A53,"EQY_BETA_6M")</f>
        <v>0.1703519</v>
      </c>
      <c r="O53" s="154">
        <f>_xll.BDP($A53,"EST_PE_NXT_YR")</f>
        <v>6.0309278350515463</v>
      </c>
      <c r="P53" s="154">
        <f>_xll.BDP($A53,"EST_EV_THIS_YR_EBITDA")</f>
        <v>4.007352417260714</v>
      </c>
      <c r="Q53" s="154">
        <f>_xll.BDP($A53,"CURRENT_EV_TO_12M_SALES")</f>
        <v>0.8470737224788828</v>
      </c>
      <c r="R53" s="154">
        <f>_xll.BDP($A53,"PX_TO_BOOK_RATIO")</f>
        <v>1.1126893423970048</v>
      </c>
      <c r="S53" s="154">
        <f>_xll.BDP($A53,"PX_TO_FREE_CASH_FLOW")</f>
        <v>13.04363712799659</v>
      </c>
      <c r="T53" s="154">
        <f>_xll.BDP($A53,"NET_DEBT_TO_EBITDA")</f>
        <v>1.3192836934156378</v>
      </c>
      <c r="U53" s="154">
        <f>_xll.BDP($A53,"SALES_GROWTH")</f>
        <v>1.7174658327567767</v>
      </c>
      <c r="V53" s="154" t="str">
        <f>_xll.BDP($A53,"EPS_GROWTH")</f>
        <v>#N/A N/A</v>
      </c>
      <c r="W53" s="154">
        <f>_xll.BDP($A53,"EBITDA_MARGIN")</f>
        <v>21.795407018627909</v>
      </c>
      <c r="X53" s="154">
        <f>_xll.BDP($A53,"EBIT_MARGIN")</f>
        <v>17.473111128715953</v>
      </c>
      <c r="Y53" s="154">
        <f>_xll.BDP($A53,"TRAIL_12M_PROF_MARGIN")</f>
        <v>10.70442189825785</v>
      </c>
      <c r="Z53" s="154">
        <f>_xll.BDP($A53,"NORMALIZED_ROE")</f>
        <v>21.846749177660975</v>
      </c>
      <c r="AA53" s="141" t="str">
        <f>_xll.BDP($A53,"BDVD_PROJ_12M_YLD")</f>
        <v>#N/A N/A</v>
      </c>
      <c r="AB53" s="141" t="str">
        <f>_xll.BDP($A53,"DVD_RECORD_DT")</f>
        <v>28/06/2017</v>
      </c>
      <c r="AC53" s="139">
        <f>_xll.BDP($A53,"EQY_REC_CONS")</f>
        <v>3.8571430000000002</v>
      </c>
      <c r="AD53" s="154">
        <f>_xll.BDP($A53,"PCT_REVENUE_FROM_FOREIGN_SOURCES")</f>
        <v>0</v>
      </c>
      <c r="AE53" s="164" t="str">
        <f>_xll.BDP($A53,"BDVD_NEXT_EST_DECL_DT")</f>
        <v>#N/A N/A</v>
      </c>
    </row>
    <row r="54" spans="1:31" s="8" customFormat="1" x14ac:dyDescent="0.25">
      <c r="A54" s="163" t="s">
        <v>215</v>
      </c>
      <c r="B54" s="150" t="str">
        <f>_xll.BDP($A54,"SHORT_NAME")</f>
        <v>ROSSETI PJSC</v>
      </c>
      <c r="C54" s="150">
        <f>_xll.BDP($A54,"PX_LAST")</f>
        <v>1.1149</v>
      </c>
      <c r="D54" s="151">
        <f>_xll.BDP($A54,"CHG_PCT_WTD")</f>
        <v>2.2844009999999999</v>
      </c>
      <c r="E54" s="151">
        <f>_xll.BDP($A54,"CHG_PCT_1M")</f>
        <v>25.269659999999998</v>
      </c>
      <c r="F54" s="151">
        <f>_xll.BDP($A54,"CHG_PCT_1YR")</f>
        <v>19.78295</v>
      </c>
      <c r="G54" s="151">
        <f>_xll.BDP($A54,"CHG_PCT_YTD")</f>
        <v>-2.5330569999999999</v>
      </c>
      <c r="H54" s="151">
        <f>_xll.BDP($A54,"BEST_TARGET_PRICE")</f>
        <v>0.87000000476837158</v>
      </c>
      <c r="I54" s="152">
        <f t="shared" si="3"/>
        <v>-0.21966095186261403</v>
      </c>
      <c r="J54" s="153">
        <f>_xll.BDP($A54,"CUR_MKT_CAP")/1000000/$AI$1</f>
        <v>3852.2313642180675</v>
      </c>
      <c r="K54" s="153">
        <f>_xll.BDP($A54,"EQY_FREE_FLOAT_PCT")</f>
        <v>11.10549</v>
      </c>
      <c r="L54" s="154">
        <f>_xll.BDP($A54,"AVG_DAILY_VALUE_TRADED_6M")/$AI$1/1000000</f>
        <v>4.3907855019020197</v>
      </c>
      <c r="M54" s="153" t="str">
        <f>_xll.BDP($A54,"INDUSTRY_GROUP")</f>
        <v>Electric</v>
      </c>
      <c r="N54" s="154">
        <f>_xll.BDP($A54,"EQY_BETA_6M")</f>
        <v>1.2630600000000001</v>
      </c>
      <c r="O54" s="154">
        <f>_xll.BDP($A54,"EST_PE_NXT_YR")</f>
        <v>2.4775555555555555</v>
      </c>
      <c r="P54" s="154">
        <f>_xll.BDP($A54,"EST_EV_THIS_YR_EBITDA")</f>
        <v>3.0533771267123893</v>
      </c>
      <c r="Q54" s="154">
        <f>_xll.BDP($A54,"CURRENT_EV_TO_12M_SALES")</f>
        <v>1.092700273776066</v>
      </c>
      <c r="R54" s="154">
        <f>_xll.BDP($A54,"PX_TO_BOOK_RATIO")</f>
        <v>0.22704913893645343</v>
      </c>
      <c r="S54" s="154" t="str">
        <f>_xll.BDP($A54,"PX_TO_FREE_CASH_FLOW")</f>
        <v>#N/A N/A</v>
      </c>
      <c r="T54" s="154">
        <f>_xll.BDP($A54,"NET_DEBT_TO_EBITDA")</f>
        <v>1.4927941902551483</v>
      </c>
      <c r="U54" s="154">
        <f>_xll.BDP($A54,"SALES_GROWTH")</f>
        <v>17.888217711772899</v>
      </c>
      <c r="V54" s="154">
        <f>_xll.BDP($A54,"EPS_GROWTH")</f>
        <v>-3.9069254901990411</v>
      </c>
      <c r="W54" s="154">
        <f>_xll.BDP($A54,"EBITDA_MARGIN")</f>
        <v>28.454469728899166</v>
      </c>
      <c r="X54" s="154">
        <f>_xll.BDP($A54,"EBIT_MARGIN")</f>
        <v>15.869470707902048</v>
      </c>
      <c r="Y54" s="154">
        <f>_xll.BDP($A54,"TRAIL_12M_PROF_MARGIN")</f>
        <v>8.254045162453636</v>
      </c>
      <c r="Z54" s="154">
        <f>_xll.BDP($A54,"NORMALIZED_ROE")</f>
        <v>10.551099702509594</v>
      </c>
      <c r="AA54" s="141" t="str">
        <f>_xll.BDP($A54,"BDVD_PROJ_12M_YLD")</f>
        <v>#N/A N/A</v>
      </c>
      <c r="AB54" s="141" t="str">
        <f>_xll.BDP($A54,"DVD_RECORD_DT")</f>
        <v>19/07/2017</v>
      </c>
      <c r="AC54" s="139">
        <f>_xll.BDP($A54,"EQY_REC_CONS")</f>
        <v>3.4</v>
      </c>
      <c r="AD54" s="154">
        <f>_xll.BDP($A54,"PCT_REVENUE_FROM_FOREIGN_SOURCES")</f>
        <v>9.3975593129248889</v>
      </c>
      <c r="AE54" s="164" t="str">
        <f>_xll.BDP($A54,"BDVD_NEXT_EST_DECL_DT")</f>
        <v>#N/A N/A</v>
      </c>
    </row>
    <row r="55" spans="1:31" s="8" customFormat="1" x14ac:dyDescent="0.25">
      <c r="A55" s="163" t="s">
        <v>36</v>
      </c>
      <c r="B55" s="150" t="str">
        <f>_xll.BDP($A55,"SHORT_NAME")</f>
        <v>MOSENERGO</v>
      </c>
      <c r="C55" s="150">
        <f>_xll.BDP($A55,"PX_LAST")</f>
        <v>3.0634999999999999</v>
      </c>
      <c r="D55" s="151">
        <f>_xll.BDP($A55,"CHG_PCT_WTD")</f>
        <v>1.4403980000000001</v>
      </c>
      <c r="E55" s="151">
        <f>_xll.BDP($A55,"CHG_PCT_1M")</f>
        <v>13.52604</v>
      </c>
      <c r="F55" s="151">
        <f>_xll.BDP($A55,"CHG_PCT_1YR")</f>
        <v>75.55874</v>
      </c>
      <c r="G55" s="151">
        <f>_xll.BDP($A55,"CHG_PCT_YTD")</f>
        <v>23.528220000000001</v>
      </c>
      <c r="H55" s="151">
        <f>_xll.BDP($A55,"BEST_TARGET_PRICE")</f>
        <v>2.5099999904632568</v>
      </c>
      <c r="I55" s="152">
        <f t="shared" si="3"/>
        <v>-0.18067570084437512</v>
      </c>
      <c r="J55" s="153">
        <f>_xll.BDP($A55,"CUR_MKT_CAP")/1000000/$AI$1</f>
        <v>2116.1537575694119</v>
      </c>
      <c r="K55" s="153">
        <f>_xll.BDP($A55,"EQY_FREE_FLOAT_PCT")</f>
        <v>20.055</v>
      </c>
      <c r="L55" s="154">
        <f>_xll.BDP($A55,"AVG_DAILY_VALUE_TRADED_6M")/$AI$1/1000000</f>
        <v>1.3542417033197149</v>
      </c>
      <c r="M55" s="153" t="str">
        <f>_xll.BDP($A55,"INDUSTRY_GROUP")</f>
        <v>Electric</v>
      </c>
      <c r="N55" s="154">
        <f>_xll.BDP($A55,"EQY_BETA_6M")</f>
        <v>0.88911099999999998</v>
      </c>
      <c r="O55" s="154">
        <f>_xll.BDP($A55,"EST_PE_NXT_YR")</f>
        <v>8.2797297297297288</v>
      </c>
      <c r="P55" s="154">
        <f>_xll.BDP($A55,"EST_EV_THIS_YR_EBITDA")</f>
        <v>2.9396500420317739</v>
      </c>
      <c r="Q55" s="154">
        <f>_xll.BDP($A55,"CURRENT_EV_TO_12M_SALES")</f>
        <v>0.63498557302741643</v>
      </c>
      <c r="R55" s="154">
        <f>_xll.BDP($A55,"PX_TO_BOOK_RATIO")</f>
        <v>0.47322908863578822</v>
      </c>
      <c r="S55" s="154" t="str">
        <f>_xll.BDP($A55,"PX_TO_FREE_CASH_FLOW")</f>
        <v>#N/A N/A</v>
      </c>
      <c r="T55" s="154">
        <f>_xll.BDP($A55,"NET_DEBT_TO_EBITDA")</f>
        <v>0.11916255776131347</v>
      </c>
      <c r="U55" s="154">
        <f>_xll.BDP($A55,"SALES_GROWTH")</f>
        <v>11.388559443337638</v>
      </c>
      <c r="V55" s="154" t="str">
        <f>_xll.BDP($A55,"EPS_GROWTH")</f>
        <v>#N/A N/A</v>
      </c>
      <c r="W55" s="154">
        <f>_xll.BDP($A55,"EBITDA_MARGIN")</f>
        <v>19.461819424138746</v>
      </c>
      <c r="X55" s="154">
        <f>_xll.BDP($A55,"EBIT_MARGIN")</f>
        <v>11.904080063906433</v>
      </c>
      <c r="Y55" s="154">
        <f>_xll.BDP($A55,"TRAIL_12M_PROF_MARGIN")</f>
        <v>9.0157304273993795</v>
      </c>
      <c r="Z55" s="154">
        <f>_xll.BDP($A55,"NORMALIZED_ROE")</f>
        <v>7.3701485096874855</v>
      </c>
      <c r="AA55" s="141" t="str">
        <f>_xll.BDP($A55,"BDVD_PROJ_12M_YLD")</f>
        <v>#N/A N/A</v>
      </c>
      <c r="AB55" s="141" t="str">
        <f>_xll.BDP($A55,"DVD_RECORD_DT")</f>
        <v>14/06/2017</v>
      </c>
      <c r="AC55" s="139">
        <f>_xll.BDP($A55,"EQY_REC_CONS")</f>
        <v>3.5</v>
      </c>
      <c r="AD55" s="154" t="str">
        <f>_xll.BDP($A55,"PCT_REVENUE_FROM_FOREIGN_SOURCES")</f>
        <v>#N/A N/A</v>
      </c>
      <c r="AE55" s="164" t="str">
        <f>_xll.BDP($A55,"BDVD_NEXT_EST_DECL_DT")</f>
        <v>#N/A N/A</v>
      </c>
    </row>
    <row r="56" spans="1:31" s="8" customFormat="1" x14ac:dyDescent="0.25">
      <c r="A56" s="163" t="s">
        <v>34</v>
      </c>
      <c r="B56" s="150" t="str">
        <f>_xll.BDP($A56,"SHORT_NAME")</f>
        <v>FEDERAL GRID CO</v>
      </c>
      <c r="C56" s="150">
        <f>_xll.BDP($A56,"PX_LAST")</f>
        <v>0.17344999999999999</v>
      </c>
      <c r="D56" s="151">
        <f>_xll.BDP($A56,"CHG_PCT_WTD")</f>
        <v>5.7683100000000001E-2</v>
      </c>
      <c r="E56" s="151">
        <f>_xll.BDP($A56,"CHG_PCT_1M")</f>
        <v>2.1495890000000002</v>
      </c>
      <c r="F56" s="151">
        <f>_xll.BDP($A56,"CHG_PCT_1YR")</f>
        <v>-3.5799690000000002</v>
      </c>
      <c r="G56" s="151">
        <f>_xll.BDP($A56,"CHG_PCT_YTD")</f>
        <v>-14.640750000000001</v>
      </c>
      <c r="H56" s="151">
        <f>_xll.BDP($A56,"BEST_TARGET_PRICE")</f>
        <v>0.16333334147930145</v>
      </c>
      <c r="I56" s="152">
        <f t="shared" si="3"/>
        <v>-5.8326079681167764E-2</v>
      </c>
      <c r="J56" s="153">
        <f>_xll.BDP($A56,"CUR_MKT_CAP")/1000000/$AI$1</f>
        <v>3842.1089266367417</v>
      </c>
      <c r="K56" s="153">
        <f>_xll.BDP($A56,"EQY_FREE_FLOAT_PCT")</f>
        <v>19.86927</v>
      </c>
      <c r="L56" s="154">
        <f>_xll.BDP($A56,"AVG_DAILY_VALUE_TRADED_6M")/$AI$1/1000000</f>
        <v>12.639375713583147</v>
      </c>
      <c r="M56" s="153" t="str">
        <f>_xll.BDP($A56,"INDUSTRY_GROUP")</f>
        <v>Electric</v>
      </c>
      <c r="N56" s="154">
        <f>_xll.BDP($A56,"EQY_BETA_6M")</f>
        <v>1.104616</v>
      </c>
      <c r="O56" s="154">
        <f>_xll.BDP($A56,"EST_PE_NXT_YR")</f>
        <v>3.4009803921568622</v>
      </c>
      <c r="P56" s="154">
        <f>_xll.BDP($A56,"EST_EV_THIS_YR_EBITDA")</f>
        <v>2.9363253757898953</v>
      </c>
      <c r="Q56" s="154">
        <f>_xll.BDP($A56,"CURRENT_EV_TO_12M_SALES")</f>
        <v>1.7530599761805954</v>
      </c>
      <c r="R56" s="154">
        <f>_xll.BDP($A56,"PX_TO_BOOK_RATIO")</f>
        <v>0.29900187995487831</v>
      </c>
      <c r="S56" s="154">
        <f>_xll.BDP($A56,"PX_TO_FREE_CASH_FLOW")</f>
        <v>23.095006736041462</v>
      </c>
      <c r="T56" s="154">
        <f>_xll.BDP($A56,"NET_DEBT_TO_EBITDA")</f>
        <v>2.1219841165990601</v>
      </c>
      <c r="U56" s="154">
        <f>_xll.BDP($A56,"SALES_GROWTH")</f>
        <v>36.656134216562144</v>
      </c>
      <c r="V56" s="154">
        <f>_xll.BDP($A56,"EPS_GROWTH")</f>
        <v>50.000010348029051</v>
      </c>
      <c r="W56" s="154">
        <f>_xll.BDP($A56,"EBITDA_MARGIN")</f>
        <v>40.281629608005318</v>
      </c>
      <c r="X56" s="154">
        <f>_xll.BDP($A56,"EBIT_MARGIN")</f>
        <v>22.753774793622991</v>
      </c>
      <c r="Y56" s="154">
        <f>_xll.BDP($A56,"TRAIL_12M_PROF_MARGIN")</f>
        <v>19.474042718824503</v>
      </c>
      <c r="Z56" s="154">
        <f>_xll.BDP($A56,"NORMALIZED_ROE")</f>
        <v>13.254566832389914</v>
      </c>
      <c r="AA56" s="141" t="str">
        <f>_xll.BDP($A56,"BDVD_PROJ_12M_YLD")</f>
        <v>#N/A N/A</v>
      </c>
      <c r="AB56" s="141" t="str">
        <f>_xll.BDP($A56,"DVD_RECORD_DT")</f>
        <v>19/07/2017</v>
      </c>
      <c r="AC56" s="139">
        <f>_xll.BDP($A56,"EQY_REC_CONS")</f>
        <v>3.8</v>
      </c>
      <c r="AD56" s="154">
        <f>_xll.BDP($A56,"PCT_REVENUE_FROM_FOREIGN_SOURCES")</f>
        <v>0</v>
      </c>
      <c r="AE56" s="164" t="str">
        <f>_xll.BDP($A56,"BDVD_NEXT_EST_DECL_DT")</f>
        <v>#N/A N/A</v>
      </c>
    </row>
    <row r="57" spans="1:31" s="8" customFormat="1" x14ac:dyDescent="0.25">
      <c r="A57" s="163" t="s">
        <v>216</v>
      </c>
      <c r="B57" s="150" t="str">
        <f>_xll.BDP($A57,"SHORT_NAME")</f>
        <v>OGK-2</v>
      </c>
      <c r="C57" s="150">
        <f>_xll.BDP($A57,"PX_LAST")</f>
        <v>0.54279999999999995</v>
      </c>
      <c r="D57" s="151">
        <f>_xll.BDP($A57,"CHG_PCT_WTD")</f>
        <v>2.5118019999999999</v>
      </c>
      <c r="E57" s="151">
        <f>_xll.BDP($A57,"CHG_PCT_1M")</f>
        <v>14.228590000000001</v>
      </c>
      <c r="F57" s="151">
        <f>_xll.BDP($A57,"CHG_PCT_1YR")</f>
        <v>49.892989999999998</v>
      </c>
      <c r="G57" s="151">
        <f>_xll.BDP($A57,"CHG_PCT_YTD")</f>
        <v>8.4786470000000005</v>
      </c>
      <c r="H57" s="151">
        <f>_xll.BDP($A57,"BEST_TARGET_PRICE")</f>
        <v>0.476666659116745</v>
      </c>
      <c r="I57" s="152">
        <f t="shared" si="3"/>
        <v>-0.12183740030076451</v>
      </c>
      <c r="J57" s="153">
        <f>_xll.BDP($A57,"CUR_MKT_CAP")/1000000/$AI$1</f>
        <v>1041.7655697149837</v>
      </c>
      <c r="K57" s="153">
        <f>_xll.BDP($A57,"EQY_FREE_FLOAT_PCT")</f>
        <v>26.332599999999999</v>
      </c>
      <c r="L57" s="154">
        <f>_xll.BDP($A57,"AVG_DAILY_VALUE_TRADED_6M")/$AI$1/1000000</f>
        <v>0.8808783176728805</v>
      </c>
      <c r="M57" s="153" t="str">
        <f>_xll.BDP($A57,"INDUSTRY_GROUP")</f>
        <v>Electric</v>
      </c>
      <c r="N57" s="154">
        <f>_xll.BDP($A57,"EQY_BETA_6M")</f>
        <v>1.22194</v>
      </c>
      <c r="O57" s="154">
        <f>_xll.BDP($A57,"EST_PE_NXT_YR")</f>
        <v>4.5233333333333334</v>
      </c>
      <c r="P57" s="154">
        <f>_xll.BDP($A57,"EST_EV_THIS_YR_EBITDA")</f>
        <v>3.8351015503642332</v>
      </c>
      <c r="Q57" s="154">
        <f>_xll.BDP($A57,"CURRENT_EV_TO_12M_SALES")</f>
        <v>0.78681274862106165</v>
      </c>
      <c r="R57" s="154">
        <f>_xll.BDP($A57,"PX_TO_BOOK_RATIO")</f>
        <v>0.47651063316777087</v>
      </c>
      <c r="S57" s="154">
        <f>_xll.BDP($A57,"PX_TO_FREE_CASH_FLOW")</f>
        <v>3.5482995780282716</v>
      </c>
      <c r="T57" s="154">
        <f>_xll.BDP($A57,"NET_DEBT_TO_EBITDA")</f>
        <v>1.9723678924813919</v>
      </c>
      <c r="U57" s="154">
        <f>_xll.BDP($A57,"SALES_GROWTH")</f>
        <v>19.74858191692088</v>
      </c>
      <c r="V57" s="154">
        <f>_xll.BDP($A57,"EPS_GROWTH")</f>
        <v>0</v>
      </c>
      <c r="W57" s="154">
        <f>_xll.BDP($A57,"EBITDA_MARGIN")</f>
        <v>18.897584245275912</v>
      </c>
      <c r="X57" s="154">
        <f>_xll.BDP($A57,"EBIT_MARGIN")</f>
        <v>11.203043780367057</v>
      </c>
      <c r="Y57" s="154">
        <f>_xll.BDP($A57,"TRAIL_12M_PROF_MARGIN")</f>
        <v>5.1531221284250872</v>
      </c>
      <c r="Z57" s="154">
        <f>_xll.BDP($A57,"NORMALIZED_ROE")</f>
        <v>7.1282793010854082</v>
      </c>
      <c r="AA57" s="141" t="str">
        <f>_xll.BDP($A57,"BDVD_PROJ_12M_YLD")</f>
        <v>#N/A N/A</v>
      </c>
      <c r="AB57" s="141" t="str">
        <f>_xll.BDP($A57,"DVD_RECORD_DT")</f>
        <v>20/06/2017</v>
      </c>
      <c r="AC57" s="139">
        <f>_xll.BDP($A57,"EQY_REC_CONS")</f>
        <v>3.5</v>
      </c>
      <c r="AD57" s="154">
        <f>_xll.BDP($A57,"PCT_REVENUE_FROM_FOREIGN_SOURCES")</f>
        <v>3.4438430801448071E-15</v>
      </c>
      <c r="AE57" s="164" t="str">
        <f>_xll.BDP($A57,"BDVD_NEXT_EST_DECL_DT")</f>
        <v>#N/A N/A</v>
      </c>
    </row>
    <row r="58" spans="1:31" s="8" customFormat="1" x14ac:dyDescent="0.25">
      <c r="A58" s="163" t="s">
        <v>35</v>
      </c>
      <c r="B58" s="150" t="str">
        <f>_xll.BDP($A58,"SHORT_NAME")</f>
        <v>RUSHYDRO</v>
      </c>
      <c r="C58" s="150">
        <f>_xll.BDP($A58,"PX_LAST")</f>
        <v>0.82540000000000002</v>
      </c>
      <c r="D58" s="151">
        <f>_xll.BDP($A58,"CHG_PCT_WTD")</f>
        <v>6.3646350000000004E-2</v>
      </c>
      <c r="E58" s="151">
        <f>_xll.BDP($A58,"CHG_PCT_1M")</f>
        <v>1.2760739999999999</v>
      </c>
      <c r="F58" s="151">
        <f>_xll.BDP($A58,"CHG_PCT_1YR")</f>
        <v>-9.5316310000000001E-2</v>
      </c>
      <c r="G58" s="151">
        <f>_xll.BDP($A58,"CHG_PCT_YTD")</f>
        <v>-10.851900000000001</v>
      </c>
      <c r="H58" s="151">
        <f>_xll.BDP($A58,"BEST_TARGET_PRICE")</f>
        <v>1.0659999847412109</v>
      </c>
      <c r="I58" s="152">
        <f t="shared" si="3"/>
        <v>0.29149501422487378</v>
      </c>
      <c r="J58" s="153">
        <f>_xll.BDP($A58,"CUR_MKT_CAP")/1000000/$AI$1</f>
        <v>6114.5936195890708</v>
      </c>
      <c r="K58" s="153">
        <f>_xll.BDP($A58,"EQY_FREE_FLOAT_PCT")</f>
        <v>39.42306</v>
      </c>
      <c r="L58" s="154">
        <f>_xll.BDP($A58,"AVG_DAILY_VALUE_TRADED_6M")/$AI$1/1000000</f>
        <v>8.8433757761438621</v>
      </c>
      <c r="M58" s="153" t="str">
        <f>_xll.BDP($A58,"INDUSTRY_GROUP")</f>
        <v>Electric</v>
      </c>
      <c r="N58" s="154">
        <f>_xll.BDP($A58,"EQY_BETA_6M")</f>
        <v>0.73336889999999999</v>
      </c>
      <c r="O58" s="154">
        <f>_xll.BDP($A58,"EST_PE_NXT_YR")</f>
        <v>5.3947712418300657</v>
      </c>
      <c r="P58" s="154">
        <f>_xll.BDP($A58,"EST_EV_THIS_YR_EBITDA")</f>
        <v>4.3565799365954785</v>
      </c>
      <c r="Q58" s="154">
        <f>_xll.BDP($A58,"CURRENT_EV_TO_12M_SALES")</f>
        <v>1.1724782176627668</v>
      </c>
      <c r="R58" s="154">
        <f>_xll.BDP($A58,"PX_TO_BOOK_RATIO")</f>
        <v>0.50242301332253003</v>
      </c>
      <c r="S58" s="154" t="str">
        <f>_xll.BDP($A58,"PX_TO_FREE_CASH_FLOW")</f>
        <v>#N/A N/A</v>
      </c>
      <c r="T58" s="154">
        <f>_xll.BDP($A58,"NET_DEBT_TO_EBITDA")</f>
        <v>0.99653760987720597</v>
      </c>
      <c r="U58" s="154">
        <f>_xll.BDP($A58,"SALES_GROWTH")</f>
        <v>7.6429015400907021</v>
      </c>
      <c r="V58" s="154">
        <f>_xll.BDP($A58,"EPS_GROWTH")</f>
        <v>26.550254825971592</v>
      </c>
      <c r="W58" s="154">
        <f>_xll.BDP($A58,"EBITDA_MARGIN")</f>
        <v>20.299555679053714</v>
      </c>
      <c r="X58" s="154">
        <f>_xll.BDP($A58,"EBIT_MARGIN")</f>
        <v>13.903894823156996</v>
      </c>
      <c r="Y58" s="154">
        <f>_xll.BDP($A58,"TRAIL_12M_PROF_MARGIN")</f>
        <v>9.6827096222318492</v>
      </c>
      <c r="Z58" s="154">
        <f>_xll.BDP($A58,"NORMALIZED_ROE")</f>
        <v>9.0842246481431008</v>
      </c>
      <c r="AA58" s="141">
        <f>_xll.BDP($A58,"BDVD_PROJ_12M_YLD")</f>
        <v>8.2384298521928763</v>
      </c>
      <c r="AB58" s="141" t="str">
        <f>_xll.BDP($A58,"DVD_RECORD_DT")</f>
        <v>10/07/2017</v>
      </c>
      <c r="AC58" s="139">
        <f>_xll.BDP($A58,"EQY_REC_CONS")</f>
        <v>3.8888889999999998</v>
      </c>
      <c r="AD58" s="154">
        <f>_xll.BDP($A58,"PCT_REVENUE_FROM_FOREIGN_SOURCES")</f>
        <v>0</v>
      </c>
      <c r="AE58" s="164" t="str">
        <f>_xll.BDP($A58,"BDVD_NEXT_EST_DECL_DT")</f>
        <v>20/04/2018</v>
      </c>
    </row>
    <row r="59" spans="1:31" s="8" customFormat="1" x14ac:dyDescent="0.25">
      <c r="A59" s="163" t="s">
        <v>62</v>
      </c>
      <c r="B59" s="150" t="str">
        <f>_xll.BDP($A59,"SHORT_NAME")</f>
        <v>MOESK</v>
      </c>
      <c r="C59" s="150">
        <f>_xll.BDP($A59,"PX_LAST")</f>
        <v>0.88600000000000001</v>
      </c>
      <c r="D59" s="151">
        <f>_xll.BDP($A59,"CHG_PCT_WTD")</f>
        <v>-0.44943660000000002</v>
      </c>
      <c r="E59" s="151">
        <f>_xll.BDP($A59,"CHG_PCT_1M")</f>
        <v>4.6044859999999996</v>
      </c>
      <c r="F59" s="151">
        <f>_xll.BDP($A59,"CHG_PCT_1YR")</f>
        <v>-7.7083310000000003</v>
      </c>
      <c r="G59" s="151">
        <f>_xll.BDP($A59,"CHG_PCT_YTD")</f>
        <v>-1.336303</v>
      </c>
      <c r="H59" s="151">
        <f>_xll.BDP($A59,"BEST_TARGET_PRICE")</f>
        <v>7.9999998211860657E-2</v>
      </c>
      <c r="I59" s="152">
        <f t="shared" si="3"/>
        <v>-0.90970654829361097</v>
      </c>
      <c r="J59" s="153">
        <f>_xll.BDP($A59,"CUR_MKT_CAP")/1000000/$AI$1</f>
        <v>749.9375806479552</v>
      </c>
      <c r="K59" s="153">
        <f>_xll.BDP($A59,"EQY_FREE_FLOAT_PCT")</f>
        <v>16.66</v>
      </c>
      <c r="L59" s="154">
        <f>_xll.BDP($A59,"AVG_DAILY_VALUE_TRADED_6M")/$AI$1/1000000</f>
        <v>9.2596008973986899E-2</v>
      </c>
      <c r="M59" s="153" t="str">
        <f>_xll.BDP($A59,"INDUSTRY_GROUP")</f>
        <v>Electric</v>
      </c>
      <c r="N59" s="154">
        <f>_xll.BDP($A59,"EQY_BETA_6M")</f>
        <v>0.78878870000000001</v>
      </c>
      <c r="O59" s="154">
        <f>_xll.BDP($A59,"EST_PE_NXT_YR")</f>
        <v>17.72</v>
      </c>
      <c r="P59" s="154">
        <f>_xll.BDP($A59,"EST_EV_THIS_YR_EBITDA")</f>
        <v>3.3092708808088105</v>
      </c>
      <c r="Q59" s="154">
        <f>_xll.BDP($A59,"CURRENT_EV_TO_12M_SALES")</f>
        <v>0.85930877339315148</v>
      </c>
      <c r="R59" s="154">
        <f>_xll.BDP($A59,"PX_TO_BOOK_RATIO")</f>
        <v>0.24820955143029622</v>
      </c>
      <c r="S59" s="154">
        <f>_xll.BDP($A59,"PX_TO_FREE_CASH_FLOW")</f>
        <v>29.867153447971276</v>
      </c>
      <c r="T59" s="154">
        <f>_xll.BDP($A59,"NET_DEBT_TO_EBITDA")</f>
        <v>2.1053392643565996</v>
      </c>
      <c r="U59" s="154">
        <f>_xll.BDP($A59,"SALES_GROWTH")</f>
        <v>8.309476762539191</v>
      </c>
      <c r="V59" s="154">
        <f>_xll.BDP($A59,"EPS_GROWTH")</f>
        <v>-24.970823629127871</v>
      </c>
      <c r="W59" s="154">
        <f>_xll.BDP($A59,"EBITDA_MARGIN")</f>
        <v>27.015428199331577</v>
      </c>
      <c r="X59" s="154">
        <f>_xll.BDP($A59,"EBIT_MARGIN")</f>
        <v>12.11966795603184</v>
      </c>
      <c r="Y59" s="154">
        <f>_xll.BDP($A59,"TRAIL_12M_PROF_MARGIN")</f>
        <v>6.9953973660762658</v>
      </c>
      <c r="Z59" s="154">
        <f>_xll.BDP($A59,"NORMALIZED_ROE")</f>
        <v>6.3442128946404512</v>
      </c>
      <c r="AA59" s="141" t="str">
        <f>_xll.BDP($A59,"BDVD_PROJ_12M_YLD")</f>
        <v>#N/A N/A</v>
      </c>
      <c r="AB59" s="141" t="str">
        <f>_xll.BDP($A59,"DVD_RECORD_DT")</f>
        <v>21/06/2017</v>
      </c>
      <c r="AC59" s="139">
        <f>_xll.BDP($A59,"EQY_REC_CONS")</f>
        <v>3</v>
      </c>
      <c r="AD59" s="154" t="str">
        <f>_xll.BDP($A59,"PCT_REVENUE_FROM_FOREIGN_SOURCES")</f>
        <v>#N/A N/A</v>
      </c>
      <c r="AE59" s="164" t="str">
        <f>_xll.BDP($A59,"BDVD_NEXT_EST_DECL_DT")</f>
        <v>#N/A N/A</v>
      </c>
    </row>
    <row r="60" spans="1:31" s="8" customFormat="1" ht="15.75" thickBot="1" x14ac:dyDescent="0.3">
      <c r="A60" s="165" t="s">
        <v>118</v>
      </c>
      <c r="B60" s="166" t="str">
        <f>_xll.BDP($A60,"SHORT_NAME")</f>
        <v>TGC-1</v>
      </c>
      <c r="C60" s="166">
        <f>_xll.BDP($A60,"PX_LAST")</f>
        <v>1.3105E-2</v>
      </c>
      <c r="D60" s="167">
        <f>_xll.BDP($A60,"CHG_PCT_WTD")</f>
        <v>-0.3002996</v>
      </c>
      <c r="E60" s="167">
        <f>_xll.BDP($A60,"CHG_PCT_1M")</f>
        <v>2.3112469999999998</v>
      </c>
      <c r="F60" s="167">
        <f>_xll.BDP($A60,"CHG_PCT_1YR")</f>
        <v>60.969700000000003</v>
      </c>
      <c r="G60" s="167">
        <f>_xll.BDP($A60,"CHG_PCT_YTD")</f>
        <v>-11.496169999999999</v>
      </c>
      <c r="H60" s="167">
        <f>_xll.BDP($A60,"BEST_TARGET_PRICE")</f>
        <v>1.3499999418854713E-2</v>
      </c>
      <c r="I60" s="168">
        <f t="shared" si="3"/>
        <v>3.0141123148013316E-2</v>
      </c>
      <c r="J60" s="169">
        <f>_xll.BDP($A60,"CUR_MKT_CAP")/1000000/$AI$1</f>
        <v>889.50307707931825</v>
      </c>
      <c r="K60" s="169">
        <f>_xll.BDP($A60,"EQY_FREE_FLOAT_PCT")</f>
        <v>18.763750000000002</v>
      </c>
      <c r="L60" s="170">
        <f>_xll.BDP($A60,"AVG_DAILY_VALUE_TRADED_6M")/$AI$1/1000000</f>
        <v>0.27205378136073027</v>
      </c>
      <c r="M60" s="169" t="str">
        <f>_xll.BDP($A60,"INDUSTRY_GROUP")</f>
        <v>Electric</v>
      </c>
      <c r="N60" s="170">
        <f>_xll.BDP($A60,"EQY_BETA_6M")</f>
        <v>0.87821700000000003</v>
      </c>
      <c r="O60" s="170">
        <f>_xll.BDP($A60,"EST_PE_NXT_YR")</f>
        <v>4.4266666666666667</v>
      </c>
      <c r="P60" s="170">
        <f>_xll.BDP($A60,"EST_EV_THIS_YR_EBITDA")</f>
        <v>3.3305436589989239</v>
      </c>
      <c r="Q60" s="170">
        <f>_xll.BDP($A60,"CURRENT_EV_TO_12M_SALES")</f>
        <v>0.92357748622059255</v>
      </c>
      <c r="R60" s="170">
        <f>_xll.BDP($A60,"PX_TO_BOOK_RATIO")</f>
        <v>0.48272164487376668</v>
      </c>
      <c r="S60" s="170" t="str">
        <f>_xll.BDP($A60,"PX_TO_FREE_CASH_FLOW")</f>
        <v>#N/A N/A</v>
      </c>
      <c r="T60" s="170">
        <f>_xll.BDP($A60,"NET_DEBT_TO_EBITDA")</f>
        <v>0.9560595666512447</v>
      </c>
      <c r="U60" s="170">
        <f>_xll.BDP($A60,"SALES_GROWTH")</f>
        <v>13.636807119846496</v>
      </c>
      <c r="V60" s="170">
        <f>_xll.BDP($A60,"EPS_GROWTH")</f>
        <v>-11.125234394074527</v>
      </c>
      <c r="W60" s="170">
        <f>_xll.BDP($A60,"EBITDA_MARGIN")</f>
        <v>20.826045521889256</v>
      </c>
      <c r="X60" s="170">
        <f>_xll.BDP($A60,"EBIT_MARGIN")</f>
        <v>10.843326000667734</v>
      </c>
      <c r="Y60" s="170">
        <f>_xll.BDP($A60,"TRAIL_12M_PROF_MARGIN")</f>
        <v>6.2944186668851305</v>
      </c>
      <c r="Z60" s="170">
        <f>_xll.BDP($A60,"NORMALIZED_ROE")</f>
        <v>5.0984682191848893</v>
      </c>
      <c r="AA60" s="171" t="str">
        <f>_xll.BDP($A60,"BDVD_PROJ_12M_YLD")</f>
        <v>#N/A N/A</v>
      </c>
      <c r="AB60" s="171" t="str">
        <f>_xll.BDP($A60,"DVD_RECORD_DT")</f>
        <v>07/07/2017</v>
      </c>
      <c r="AC60" s="204">
        <f>_xll.BDP($A60,"EQY_REC_CONS")</f>
        <v>3</v>
      </c>
      <c r="AD60" s="170">
        <f>_xll.BDP($A60,"PCT_REVENUE_FROM_FOREIGN_SOURCES")</f>
        <v>1.5827944702813359</v>
      </c>
      <c r="AE60" s="172" t="str">
        <f>_xll.BDP($A60,"BDVD_NEXT_EST_DECL_DT")</f>
        <v>#N/A N/A</v>
      </c>
    </row>
    <row r="61" spans="1:31" s="213" customFormat="1" x14ac:dyDescent="0.25">
      <c r="A61" s="214" t="s">
        <v>39</v>
      </c>
      <c r="B61" s="215" t="str">
        <f>_xll.BDP($A61,"SHORT_NAME")</f>
        <v>VIMPELCOM LT-ADR</v>
      </c>
      <c r="C61" s="215" t="str">
        <f>_xll.BDP($A61,"PX_LAST")</f>
        <v>#N/A N/A</v>
      </c>
      <c r="D61" s="216" t="str">
        <f>_xll.BDP($A61,"CHG_PCT_WTD")</f>
        <v>#N/A N/A</v>
      </c>
      <c r="E61" s="216" t="str">
        <f>_xll.BDP($A61,"CHG_PCT_1M")</f>
        <v>#N/A N/A</v>
      </c>
      <c r="F61" s="216" t="str">
        <f>_xll.BDP($A61,"CHG_PCT_1YR")</f>
        <v>#N/A N/A</v>
      </c>
      <c r="G61" s="216" t="str">
        <f>_xll.BDP($A61,"CHG_PCT_YTD")</f>
        <v>#N/A N/A</v>
      </c>
      <c r="H61" s="216" t="str">
        <f>_xll.BDP($A61,"BEST_TARGET_PRICE")</f>
        <v>#N/A N/A</v>
      </c>
      <c r="I61" s="217" t="e">
        <f t="shared" si="3"/>
        <v>#VALUE!</v>
      </c>
      <c r="J61" s="218" t="e">
        <f>_xll.BDP($A61,"CUR_MKT_CAP")/1000000</f>
        <v>#VALUE!</v>
      </c>
      <c r="K61" s="218" t="str">
        <f>_xll.BDP($A61,"EQY_FREE_FLOAT_PCT")</f>
        <v>#N/A N/A</v>
      </c>
      <c r="L61" s="219" t="e">
        <f>_xll.BDP($A61,"AVG_DAILY_VALUE_TRADED_6M")/1000000</f>
        <v>#VALUE!</v>
      </c>
      <c r="M61" s="218" t="str">
        <f>_xll.BDP($A61,"INDUSTRY_GROUP")</f>
        <v>Telecommunications</v>
      </c>
      <c r="N61" s="219" t="str">
        <f>_xll.BDP($A61,"EQY_BETA_6M")</f>
        <v>#N/A N/A</v>
      </c>
      <c r="O61" s="219">
        <f>_xll.BDP($A61,"EST_PE_NXT_YR")</f>
        <v>10.828877005347593</v>
      </c>
      <c r="P61" s="219" t="str">
        <f>_xll.BDP($A61,"EST_EV_THIS_YR_EBITDA")</f>
        <v>#N/A N/A</v>
      </c>
      <c r="Q61" s="219" t="str">
        <f>_xll.BDP($A61,"CURRENT_EV_TO_12M_SALES")</f>
        <v>#N/A Field Not Applicable</v>
      </c>
      <c r="R61" s="219" t="str">
        <f>_xll.BDP($A61,"PX_TO_BOOK_RATIO")</f>
        <v>#N/A Field Not Applicable</v>
      </c>
      <c r="S61" s="219" t="str">
        <f>_xll.BDP($A61,"PX_TO_FREE_CASH_FLOW")</f>
        <v>#N/A Field Not Applicable</v>
      </c>
      <c r="T61" s="219">
        <f>_xll.BDP($A61,"NET_DEBT_TO_EBITDA")</f>
        <v>2.8396572827417379</v>
      </c>
      <c r="U61" s="219">
        <f>_xll.BDP($A61,"SALES_GROWTH")</f>
        <v>-7.5057255881740579</v>
      </c>
      <c r="V61" s="219">
        <f>_xll.BDP($A61,"EPS_GROWTH")</f>
        <v>57.692307692307701</v>
      </c>
      <c r="W61" s="219">
        <f>_xll.BDP($A61,"EBITDA_MARGIN")</f>
        <v>34.677419354838712</v>
      </c>
      <c r="X61" s="219">
        <f>_xll.BDP($A61,"EBIT_MARGIN")</f>
        <v>13.062393887945669</v>
      </c>
      <c r="Y61" s="219">
        <f>_xll.BDP($A61,"TRAIL_12M_PROF_MARGIN")</f>
        <v>19.153225806451612</v>
      </c>
      <c r="Z61" s="219">
        <f>_xll.BDP($A61,"NORMALIZED_ROE")</f>
        <v>-3.8858024691358017</v>
      </c>
      <c r="AA61" s="220" t="str">
        <f>_xll.BDP($A61,"BDVD_PROJ_12M_YLD")</f>
        <v>#N/A N/A</v>
      </c>
      <c r="AB61" s="220" t="str">
        <f>_xll.BDP($A61,"DVD_RECORD_DT")</f>
        <v>#N/A N/A</v>
      </c>
      <c r="AC61" s="221">
        <f>_xll.BDP($A61,"EQY_REC_CONS")</f>
        <v>5</v>
      </c>
      <c r="AD61" s="219" t="str">
        <f>_xll.BDP($A61,"PCT_REVENUE_FROM_FOREIGN_SOURCES")</f>
        <v>#N/A N/A</v>
      </c>
      <c r="AE61" s="222" t="str">
        <f>_xll.BDP($A61,"BDVD_NEXT_EST_DECL_DT")</f>
        <v>#N/A N/A</v>
      </c>
    </row>
    <row r="62" spans="1:31" s="213" customFormat="1" x14ac:dyDescent="0.25">
      <c r="A62" s="206" t="s">
        <v>2</v>
      </c>
      <c r="B62" s="207" t="str">
        <f>_xll.BDP($A62,"SHORT_NAME")</f>
        <v>MEGAFON</v>
      </c>
      <c r="C62" s="207">
        <f>_xll.BDP($A62,"PX_LAST")</f>
        <v>591.9</v>
      </c>
      <c r="D62" s="208">
        <f>_xll.BDP($A62,"CHG_PCT_WTD")</f>
        <v>0.48467850000000001</v>
      </c>
      <c r="E62" s="208">
        <f>_xll.BDP($A62,"CHG_PCT_1M")</f>
        <v>0.39778409999999997</v>
      </c>
      <c r="F62" s="208">
        <f>_xll.BDP($A62,"CHG_PCT_1YR")</f>
        <v>-13.744429999999999</v>
      </c>
      <c r="G62" s="208">
        <f>_xll.BDP($A62,"CHG_PCT_YTD")</f>
        <v>0.1552837</v>
      </c>
      <c r="H62" s="208">
        <f>_xll.BDP($A62,"BEST_TARGET_PRICE")</f>
        <v>669.25</v>
      </c>
      <c r="I62" s="209">
        <f t="shared" si="3"/>
        <v>0.1306808582530834</v>
      </c>
      <c r="J62" s="210">
        <f>_xll.BDP($A62,"CUR_MKT_CAP")/1000000/$AI$1</f>
        <v>6254.5074125757465</v>
      </c>
      <c r="K62" s="210">
        <f>_xll.BDP($A62,"EQY_FREE_FLOAT_PCT")</f>
        <v>18.511240000000001</v>
      </c>
      <c r="L62" s="211">
        <f>_xll.BDP($A62,"AVG_DAILY_VALUE_TRADED_6M")/$AI$1/1000000</f>
        <v>2.1391332908152183</v>
      </c>
      <c r="M62" s="210" t="str">
        <f>_xll.BDP($A62,"INDUSTRY_GROUP")</f>
        <v>Telecommunications</v>
      </c>
      <c r="N62" s="211">
        <f>_xll.BDP($A62,"EQY_BETA_6M")</f>
        <v>0.77697349999999998</v>
      </c>
      <c r="O62" s="211">
        <f>_xll.BDP($A62,"EST_PE_NXT_YR")</f>
        <v>10.178496282788609</v>
      </c>
      <c r="P62" s="211">
        <f>_xll.BDP($A62,"EST_EV_THIS_YR_EBITDA")</f>
        <v>5.0459247145922417</v>
      </c>
      <c r="Q62" s="211">
        <f>_xll.BDP($A62,"CURRENT_EV_TO_12M_SALES")</f>
        <v>1.8518583103045707</v>
      </c>
      <c r="R62" s="211">
        <f>_xll.BDP($A62,"PX_TO_BOOK_RATIO")</f>
        <v>3.5333758121215602</v>
      </c>
      <c r="S62" s="211">
        <f>_xll.BDP($A62,"PX_TO_FREE_CASH_FLOW")</f>
        <v>9.6396460081916153</v>
      </c>
      <c r="T62" s="211">
        <f>_xll.BDP($A62,"NET_DEBT_TO_EBITDA")</f>
        <v>1.7084421728546821</v>
      </c>
      <c r="U62" s="211">
        <f>_xll.BDP($A62,"SALES_GROWTH")</f>
        <v>0.92283244464441272</v>
      </c>
      <c r="V62" s="211">
        <f>_xll.BDP($A62,"EPS_GROWTH")</f>
        <v>-34.694295327249023</v>
      </c>
      <c r="W62" s="211">
        <f>_xll.BDP($A62,"EBITDA_MARGIN")</f>
        <v>36.546424507529295</v>
      </c>
      <c r="X62" s="211">
        <f>_xll.BDP($A62,"EBIT_MARGIN")</f>
        <v>16.676173727999526</v>
      </c>
      <c r="Y62" s="211">
        <f>_xll.BDP($A62,"TRAIL_12M_PROF_MARGIN")</f>
        <v>0.89287561512657199</v>
      </c>
      <c r="Z62" s="211">
        <f>_xll.BDP($A62,"NORMALIZED_ROE")</f>
        <v>17.24272798182129</v>
      </c>
      <c r="AA62" s="129" t="str">
        <f>_xll.BDP($A62,"BDVD_PROJ_12M_YLD")</f>
        <v>#N/A N/A</v>
      </c>
      <c r="AB62" s="129" t="str">
        <f>_xll.BDP($A62,"DVD_RECORD_DT")</f>
        <v>11/07/2017</v>
      </c>
      <c r="AC62" s="205">
        <f>_xll.BDP($A62,"EQY_REC_CONS")</f>
        <v>4.2</v>
      </c>
      <c r="AD62" s="211" t="str">
        <f>_xll.BDP($A62,"PCT_REVENUE_FROM_FOREIGN_SOURCES")</f>
        <v>#N/A N/A</v>
      </c>
      <c r="AE62" s="212" t="str">
        <f>_xll.BDP($A62,"BDVD_NEXT_EST_DECL_DT")</f>
        <v>#N/A N/A</v>
      </c>
    </row>
    <row r="63" spans="1:31" s="8" customFormat="1" x14ac:dyDescent="0.25">
      <c r="A63" s="163" t="s">
        <v>41</v>
      </c>
      <c r="B63" s="150" t="str">
        <f>_xll.BDP($A63,"SHORT_NAME")</f>
        <v>ROSTELECOM-PREF</v>
      </c>
      <c r="C63" s="150">
        <f>_xll.BDP($A63,"PX_LAST")</f>
        <v>51.19</v>
      </c>
      <c r="D63" s="151">
        <f>_xll.BDP($A63,"CHG_PCT_WTD")</f>
        <v>0</v>
      </c>
      <c r="E63" s="151">
        <f>_xll.BDP($A63,"CHG_PCT_1M")</f>
        <v>1.8909199999999999</v>
      </c>
      <c r="F63" s="151">
        <f>_xll.BDP($A63,"CHG_PCT_1YR")</f>
        <v>-20.015630000000002</v>
      </c>
      <c r="G63" s="151">
        <f>_xll.BDP($A63,"CHG_PCT_YTD")</f>
        <v>-18.487259999999999</v>
      </c>
      <c r="H63" s="151">
        <f>_xll.BDP($A63,"BEST_TARGET_PRICE")</f>
        <v>70.897438049316406</v>
      </c>
      <c r="I63" s="152">
        <f t="shared" si="3"/>
        <v>0.38498609199680422</v>
      </c>
      <c r="J63" s="153">
        <f>_xll.BDP($A63,"CUR_MKT_CAP")/1000000/$AI$1</f>
        <v>186.42467038202003</v>
      </c>
      <c r="K63" s="153">
        <f>_xll.BDP($A63,"EQY_FREE_FLOAT_PCT")</f>
        <v>100</v>
      </c>
      <c r="L63" s="154">
        <f>_xll.BDP($A63,"AVG_DAILY_VALUE_TRADED_6M")/$AI$1/1000000</f>
        <v>0.34825603319888576</v>
      </c>
      <c r="M63" s="153" t="str">
        <f>_xll.BDP($A63,"INDUSTRY_GROUP")</f>
        <v>Telecommunications</v>
      </c>
      <c r="N63" s="154">
        <f>_xll.BDP($A63,"EQY_BETA_6M")</f>
        <v>0.57450840000000003</v>
      </c>
      <c r="O63" s="154">
        <f>_xll.BDP($A63,"EST_PE_NXT_YR")</f>
        <v>8.7384772960054615</v>
      </c>
      <c r="P63" s="154">
        <f>_xll.BDP($A63,"EST_EV_THIS_YR_EBITDA")</f>
        <v>2.0168005659452568</v>
      </c>
      <c r="Q63" s="154" t="str">
        <f>_xll.BDP($A63,"CURRENT_EV_TO_12M_SALES")</f>
        <v>#N/A Field Not Applicable</v>
      </c>
      <c r="R63" s="154" t="str">
        <f>_xll.BDP($A63,"PX_TO_BOOK_RATIO")</f>
        <v>#N/A Field Not Applicable</v>
      </c>
      <c r="S63" s="154" t="str">
        <f>_xll.BDP($A63,"PX_TO_FREE_CASH_FLOW")</f>
        <v>#N/A Field Not Applicable</v>
      </c>
      <c r="T63" s="154">
        <f>_xll.BDP($A63,"NET_DEBT_TO_EBITDA")</f>
        <v>1.9365863336396292</v>
      </c>
      <c r="U63" s="154">
        <f>_xll.BDP($A63,"SALES_GROWTH")</f>
        <v>3.0603151115669823E-2</v>
      </c>
      <c r="V63" s="154">
        <f>_xll.BDP($A63,"EPS_GROWTH")</f>
        <v>-15.437849581252362</v>
      </c>
      <c r="W63" s="154">
        <f>_xll.BDP($A63,"EBITDA_MARGIN")</f>
        <v>32.051942836105624</v>
      </c>
      <c r="X63" s="154">
        <f>_xll.BDP($A63,"EBIT_MARGIN")</f>
        <v>14.210314936912214</v>
      </c>
      <c r="Y63" s="154">
        <f>_xll.BDP($A63,"TRAIL_12M_PROF_MARGIN")</f>
        <v>4.4502828073228686</v>
      </c>
      <c r="Z63" s="154">
        <f>_xll.BDP($A63,"NORMALIZED_ROE")</f>
        <v>4.8351063605150575</v>
      </c>
      <c r="AA63" s="141">
        <f>_xll.BDP($A63,"BDVD_PROJ_12M_YLD")</f>
        <v>10.744285993358078</v>
      </c>
      <c r="AB63" s="141" t="str">
        <f>_xll.BDP($A63,"DVD_RECORD_DT")</f>
        <v>07/07/2017</v>
      </c>
      <c r="AC63" s="139">
        <f>_xll.BDP($A63,"EQY_REC_CONS")</f>
        <v>3.25</v>
      </c>
      <c r="AD63" s="154" t="str">
        <f>_xll.BDP($A63,"PCT_REVENUE_FROM_FOREIGN_SOURCES")</f>
        <v>#N/A N/A</v>
      </c>
      <c r="AE63" s="164" t="str">
        <f>_xll.BDP($A63,"BDVD_NEXT_EST_DECL_DT")</f>
        <v>21/05/2018</v>
      </c>
    </row>
    <row r="64" spans="1:31" s="8" customFormat="1" x14ac:dyDescent="0.25">
      <c r="A64" s="163" t="s">
        <v>213</v>
      </c>
      <c r="B64" s="150" t="str">
        <f>_xll.BDP($A64,"SHORT_NAME")</f>
        <v>SISTEMA PJSC FC</v>
      </c>
      <c r="C64" s="150">
        <f>_xll.BDP($A64,"PX_LAST")</f>
        <v>11.17</v>
      </c>
      <c r="D64" s="151">
        <f>_xll.BDP($A64,"CHG_PCT_WTD")</f>
        <v>1.7460899999999999</v>
      </c>
      <c r="E64" s="151">
        <f>_xll.BDP($A64,"CHG_PCT_1M")</f>
        <v>18.819030000000001</v>
      </c>
      <c r="F64" s="151">
        <f>_xll.BDP($A64,"CHG_PCT_1YR")</f>
        <v>-32.957819999999998</v>
      </c>
      <c r="G64" s="151">
        <f>_xll.BDP($A64,"CHG_PCT_YTD")</f>
        <v>-39.641779999999997</v>
      </c>
      <c r="H64" s="151" t="str">
        <f>_xll.BDP($A64,"BEST_TARGET_PRICE")</f>
        <v>#N/A N/A</v>
      </c>
      <c r="I64" s="152" t="e">
        <f t="shared" si="3"/>
        <v>#VALUE!</v>
      </c>
      <c r="J64" s="153">
        <f>_xll.BDP($A64,"CUR_MKT_CAP")/1000000/$AI$1</f>
        <v>2345.2491219777526</v>
      </c>
      <c r="K64" s="153">
        <f>_xll.BDP($A64,"EQY_FREE_FLOAT_PCT")</f>
        <v>34.827300000000001</v>
      </c>
      <c r="L64" s="154">
        <f>_xll.BDP($A64,"AVG_DAILY_VALUE_TRADED_6M")/$AI$1/1000000</f>
        <v>5.5502301712947117</v>
      </c>
      <c r="M64" s="153" t="str">
        <f>_xll.BDP($A64,"INDUSTRY_GROUP")</f>
        <v>Telecommunications</v>
      </c>
      <c r="N64" s="154">
        <f>_xll.BDP($A64,"EQY_BETA_6M")</f>
        <v>2.0314410000000001</v>
      </c>
      <c r="O64" s="154">
        <f>_xll.BDP($A64,"EST_PE_NXT_YR")</f>
        <v>9.6983356449375862</v>
      </c>
      <c r="P64" s="154">
        <f>_xll.BDP($A64,"EST_EV_THIS_YR_EBITDA")</f>
        <v>3.3252453008337359</v>
      </c>
      <c r="Q64" s="154">
        <f>_xll.BDP($A64,"CURRENT_EV_TO_12M_SALES")</f>
        <v>0.95627793756217239</v>
      </c>
      <c r="R64" s="154">
        <f>_xll.BDP($A64,"PX_TO_BOOK_RATIO")</f>
        <v>0.79963415630649337</v>
      </c>
      <c r="S64" s="154">
        <f>_xll.BDP($A64,"PX_TO_FREE_CASH_FLOW")</f>
        <v>3.5708033214983854</v>
      </c>
      <c r="T64" s="154">
        <f>_xll.BDP($A64,"NET_DEBT_TO_EBITDA")</f>
        <v>2.7193555737094526</v>
      </c>
      <c r="U64" s="154">
        <f>_xll.BDP($A64,"SALES_GROWTH")</f>
        <v>2.7818821161985268</v>
      </c>
      <c r="V64" s="154">
        <f>_xll.BDP($A64,"EPS_GROWTH")</f>
        <v>81.024941114558843</v>
      </c>
      <c r="W64" s="154">
        <f>_xll.BDP($A64,"EBITDA_MARGIN")</f>
        <v>25.607991085596211</v>
      </c>
      <c r="X64" s="154">
        <f>_xll.BDP($A64,"EBIT_MARGIN")</f>
        <v>11.470036986806283</v>
      </c>
      <c r="Y64" s="154">
        <f>_xll.BDP($A64,"TRAIL_12M_PROF_MARGIN")</f>
        <v>-2.0371917351067266</v>
      </c>
      <c r="Z64" s="154">
        <f>_xll.BDP($A64,"NORMALIZED_ROE")</f>
        <v>2.615770168092725</v>
      </c>
      <c r="AA64" s="141">
        <f>_xll.BDP($A64,"BDVD_PROJ_12M_YLD")</f>
        <v>9.8677154093671806</v>
      </c>
      <c r="AB64" s="141" t="str">
        <f>_xll.BDP($A64,"DVD_RECORD_DT")</f>
        <v>13/07/2017</v>
      </c>
      <c r="AC64" s="139">
        <f>_xll.BDP($A64,"EQY_REC_CONS")</f>
        <v>5</v>
      </c>
      <c r="AD64" s="154">
        <f>_xll.BDP($A64,"PCT_REVENUE_FROM_FOREIGN_SOURCES")</f>
        <v>13.320386123074938</v>
      </c>
      <c r="AE64" s="164" t="str">
        <f>_xll.BDP($A64,"BDVD_NEXT_EST_DECL_DT")</f>
        <v>07/08/2017</v>
      </c>
    </row>
    <row r="65" spans="1:31" s="8" customFormat="1" x14ac:dyDescent="0.25">
      <c r="A65" s="163" t="s">
        <v>261</v>
      </c>
      <c r="B65" s="150" t="str">
        <f>_xll.BDP($A65,"SHORT_NAME")</f>
        <v>KCELL JSC</v>
      </c>
      <c r="C65" s="150">
        <f>_xll.BDP($A65,"PX_LAST")</f>
        <v>4.8499999999999996</v>
      </c>
      <c r="D65" s="151">
        <f>_xll.BDP($A65,"CHG_PCT_WTD")</f>
        <v>5.4347849999999998</v>
      </c>
      <c r="E65" s="151">
        <f>_xll.BDP($A65,"CHG_PCT_1M")</f>
        <v>19.753080000000001</v>
      </c>
      <c r="F65" s="151">
        <f>_xll.BDP($A65,"CHG_PCT_1YR")</f>
        <v>42.228740000000002</v>
      </c>
      <c r="G65" s="151">
        <f>_xll.BDP($A65,"CHG_PCT_YTD")</f>
        <v>51.5625</v>
      </c>
      <c r="H65" s="151">
        <f>_xll.BDP($A65,"BEST_TARGET_PRICE")</f>
        <v>3.2000000476837158</v>
      </c>
      <c r="I65" s="152">
        <f t="shared" si="3"/>
        <v>-0.34020617573531631</v>
      </c>
      <c r="J65" s="153">
        <f>_xll.BDP($A65,"CUR_MKT_CAP")/1000000</f>
        <v>969.99999999999989</v>
      </c>
      <c r="K65" s="153" t="str">
        <f>_xll.BDP($A65,"EQY_FREE_FLOAT_PCT")</f>
        <v>#N/A N/A</v>
      </c>
      <c r="L65" s="154">
        <f>_xll.BDP($A65,"AVG_DAILY_VALUE_TRADED_6M")/1000000</f>
        <v>0.42063800000000001</v>
      </c>
      <c r="M65" s="153" t="str">
        <f>_xll.BDP($A65,"INDUSTRY_GROUP")</f>
        <v>Telecommunications</v>
      </c>
      <c r="N65" s="154">
        <f>_xll.BDP($A65,"EQY_BETA_6M")</f>
        <v>3.4179260000000003E-2</v>
      </c>
      <c r="O65" s="154">
        <f>_xll.BDP($A65,"EST_PE_NXT_YR")</f>
        <v>13.921740544762747</v>
      </c>
      <c r="P65" s="154">
        <f>_xll.BDP($A65,"EST_EV_THIS_YR_EBITDA")</f>
        <v>6.9212572668723622</v>
      </c>
      <c r="Q65" s="154" t="str">
        <f>_xll.BDP($A65,"CURRENT_EV_TO_12M_SALES")</f>
        <v>#N/A Field Not Applicable</v>
      </c>
      <c r="R65" s="154" t="str">
        <f>_xll.BDP($A65,"PX_TO_BOOK_RATIO")</f>
        <v>#N/A Field Not Applicable</v>
      </c>
      <c r="S65" s="154" t="str">
        <f>_xll.BDP($A65,"PX_TO_FREE_CASH_FLOW")</f>
        <v>#N/A Field Not Applicable</v>
      </c>
      <c r="T65" s="154">
        <f>_xll.BDP($A65,"NET_DEBT_TO_EBITDA")</f>
        <v>1.0257280254717331</v>
      </c>
      <c r="U65" s="154">
        <f>_xll.BDP($A65,"SALES_GROWTH")</f>
        <v>-12.698330498484768</v>
      </c>
      <c r="V65" s="154">
        <f>_xll.BDP($A65,"EPS_GROWTH")</f>
        <v>-64.222242832627373</v>
      </c>
      <c r="W65" s="154">
        <f>_xll.BDP($A65,"EBITDA_MARGIN")</f>
        <v>36.608171047111831</v>
      </c>
      <c r="X65" s="154">
        <f>_xll.BDP($A65,"EBIT_MARGIN")</f>
        <v>20.05526472337975</v>
      </c>
      <c r="Y65" s="154">
        <f>_xll.BDP($A65,"TRAIL_12M_PROF_MARGIN")</f>
        <v>9.4213144589384559</v>
      </c>
      <c r="Z65" s="154">
        <f>_xll.BDP($A65,"NORMALIZED_ROE")</f>
        <v>16.964593291748834</v>
      </c>
      <c r="AA65" s="141" t="str">
        <f>_xll.BDP($A65,"BDVD_PROJ_12M_YLD")</f>
        <v>#N/A N/A</v>
      </c>
      <c r="AB65" s="141" t="str">
        <f>_xll.BDP($A65,"DVD_RECORD_DT")</f>
        <v>25/05/2017</v>
      </c>
      <c r="AC65" s="139">
        <f>_xll.BDP($A65,"EQY_REC_CONS")</f>
        <v>2</v>
      </c>
      <c r="AD65" s="154" t="str">
        <f>_xll.BDP($A65,"PCT_REVENUE_FROM_FOREIGN_SOURCES")</f>
        <v>#N/A N/A</v>
      </c>
      <c r="AE65" s="164" t="str">
        <f>_xll.BDP($A65,"BDVD_NEXT_EST_DECL_DT")</f>
        <v>#N/A N/A</v>
      </c>
    </row>
    <row r="66" spans="1:31" s="8" customFormat="1" x14ac:dyDescent="0.25">
      <c r="A66" s="163" t="s">
        <v>196</v>
      </c>
      <c r="B66" s="150" t="str">
        <f>_xll.BDP($A66,"SHORT_NAME")</f>
        <v>ROSTELECOM</v>
      </c>
      <c r="C66" s="150">
        <f>_xll.BDP($A66,"PX_LAST")</f>
        <v>66.11</v>
      </c>
      <c r="D66" s="151">
        <f>_xll.BDP($A66,"CHG_PCT_WTD")</f>
        <v>0.1666667</v>
      </c>
      <c r="E66" s="151">
        <f>_xll.BDP($A66,"CHG_PCT_1M")</f>
        <v>3.4099789999999999</v>
      </c>
      <c r="F66" s="151">
        <f>_xll.BDP($A66,"CHG_PCT_1YR")</f>
        <v>-18.982839999999999</v>
      </c>
      <c r="G66" s="151">
        <f>_xll.BDP($A66,"CHG_PCT_YTD")</f>
        <v>-21.297619999999998</v>
      </c>
      <c r="H66" s="151">
        <f>_xll.BDP($A66,"BEST_TARGET_PRICE")</f>
        <v>79.435897827148438</v>
      </c>
      <c r="I66" s="152">
        <f t="shared" si="3"/>
        <v>0.20157159018527371</v>
      </c>
      <c r="J66" s="153">
        <f>_xll.BDP($A66,"CUR_MKT_CAP")/1000000/$AI$1</f>
        <v>2958.2116604298262</v>
      </c>
      <c r="K66" s="153">
        <f>_xll.BDP($A66,"EQY_FREE_FLOAT_PCT")</f>
        <v>31.623999999999999</v>
      </c>
      <c r="L66" s="154">
        <f>_xll.BDP($A66,"AVG_DAILY_VALUE_TRADED_6M")/$AI$1/1000000</f>
        <v>2.8479687752523715</v>
      </c>
      <c r="M66" s="153" t="str">
        <f>_xll.BDP($A66,"INDUSTRY_GROUP")</f>
        <v>Telecommunications</v>
      </c>
      <c r="N66" s="154">
        <f>_xll.BDP($A66,"EQY_BETA_6M")</f>
        <v>0.65964440000000002</v>
      </c>
      <c r="O66" s="154">
        <f>_xll.BDP($A66,"EST_PE_NXT_YR")</f>
        <v>11.285421645612836</v>
      </c>
      <c r="P66" s="154">
        <f>_xll.BDP($A66,"EST_EV_THIS_YR_EBITDA")</f>
        <v>3.6462057742520981</v>
      </c>
      <c r="Q66" s="154">
        <f>_xll.BDP($A66,"CURRENT_EV_TO_12M_SALES")</f>
        <v>1.2010195374977075</v>
      </c>
      <c r="R66" s="154">
        <f>_xll.BDP($A66,"PX_TO_BOOK_RATIO")</f>
        <v>0.72047011213310574</v>
      </c>
      <c r="S66" s="154">
        <f>_xll.BDP($A66,"PX_TO_FREE_CASH_FLOW")</f>
        <v>13.27097005930133</v>
      </c>
      <c r="T66" s="154">
        <f>_xll.BDP($A66,"NET_DEBT_TO_EBITDA")</f>
        <v>1.9365863336396292</v>
      </c>
      <c r="U66" s="154">
        <f>_xll.BDP($A66,"SALES_GROWTH")</f>
        <v>3.0603151115669823E-2</v>
      </c>
      <c r="V66" s="154">
        <f>_xll.BDP($A66,"EPS_GROWTH")</f>
        <v>-15.437849581252362</v>
      </c>
      <c r="W66" s="154">
        <f>_xll.BDP($A66,"EBITDA_MARGIN")</f>
        <v>32.051942836105624</v>
      </c>
      <c r="X66" s="154">
        <f>_xll.BDP($A66,"EBIT_MARGIN")</f>
        <v>14.210314936912214</v>
      </c>
      <c r="Y66" s="154">
        <f>_xll.BDP($A66,"TRAIL_12M_PROF_MARGIN")</f>
        <v>4.4502828073228686</v>
      </c>
      <c r="Z66" s="154">
        <f>_xll.BDP($A66,"NORMALIZED_ROE")</f>
        <v>4.8351063605150575</v>
      </c>
      <c r="AA66" s="141">
        <f>_xll.BDP($A66,"BDVD_PROJ_12M_YLD")</f>
        <v>8.3194675540765388</v>
      </c>
      <c r="AB66" s="141" t="str">
        <f>_xll.BDP($A66,"DVD_RECORD_DT")</f>
        <v>07/07/2017</v>
      </c>
      <c r="AC66" s="139">
        <f>_xll.BDP($A66,"EQY_REC_CONS")</f>
        <v>2.1764709999999998</v>
      </c>
      <c r="AD66" s="154">
        <f>_xll.BDP($A66,"PCT_REVENUE_FROM_FOREIGN_SOURCES")</f>
        <v>0</v>
      </c>
      <c r="AE66" s="164" t="str">
        <f>_xll.BDP($A66,"BDVD_NEXT_EST_DECL_DT")</f>
        <v>21/05/2018</v>
      </c>
    </row>
    <row r="67" spans="1:31" s="232" customFormat="1" ht="15.75" thickBot="1" x14ac:dyDescent="0.3">
      <c r="A67" s="165" t="s">
        <v>17</v>
      </c>
      <c r="B67" s="166" t="str">
        <f>_xll.BDP($A67,"SHORT_NAME")</f>
        <v>MOBILE TELESYSTE</v>
      </c>
      <c r="C67" s="166">
        <f>_xll.BDP($A67,"PX_LAST")</f>
        <v>285.89999999999998</v>
      </c>
      <c r="D67" s="167">
        <f>_xll.BDP($A67,"CHG_PCT_WTD")</f>
        <v>2.1257480000000002</v>
      </c>
      <c r="E67" s="167">
        <f>_xll.BDP($A67,"CHG_PCT_1M")</f>
        <v>17.467880000000001</v>
      </c>
      <c r="F67" s="167">
        <f>_xll.BDP($A67,"CHG_PCT_1YR")</f>
        <v>16.23949</v>
      </c>
      <c r="G67" s="167">
        <f>_xll.BDP($A67,"CHG_PCT_YTD")</f>
        <v>9.4401539999999997</v>
      </c>
      <c r="H67" s="167">
        <f>_xll.BDP($A67,"BEST_TARGET_PRICE")</f>
        <v>306.20001220703125</v>
      </c>
      <c r="I67" s="168">
        <f t="shared" si="3"/>
        <v>7.1003890195981967E-2</v>
      </c>
      <c r="J67" s="169">
        <f>_xll.BDP($A67,"CUR_MKT_CAP")/1000000/$AI$1</f>
        <v>9843.6026879167457</v>
      </c>
      <c r="K67" s="169">
        <f>_xll.BDP($A67,"EQY_FREE_FLOAT_PCT")</f>
        <v>51.018610000000002</v>
      </c>
      <c r="L67" s="170">
        <f>_xll.BDP($A67,"AVG_DAILY_VALUE_TRADED_6M")/$AI$1/1000000</f>
        <v>8.5732420873729893</v>
      </c>
      <c r="M67" s="169" t="str">
        <f>_xll.BDP($A67,"INDUSTRY_GROUP")</f>
        <v>Telecommunications</v>
      </c>
      <c r="N67" s="170">
        <f>_xll.BDP($A67,"EQY_BETA_6M")</f>
        <v>1.128512</v>
      </c>
      <c r="O67" s="170">
        <f>_xll.BDP($A67,"EST_PE_NXT_YR")</f>
        <v>7.0343715101129165</v>
      </c>
      <c r="P67" s="170">
        <f>_xll.BDP($A67,"EST_EV_THIS_YR_EBITDA")</f>
        <v>4.4687629926469548</v>
      </c>
      <c r="Q67" s="170">
        <f>_xll.BDP($A67,"CURRENT_EV_TO_12M_SALES")</f>
        <v>1.757958467956567</v>
      </c>
      <c r="R67" s="170">
        <f>_xll.BDP($A67,"PX_TO_BOOK_RATIO")</f>
        <v>4.4648785851932811</v>
      </c>
      <c r="S67" s="170">
        <f>_xll.BDP($A67,"PX_TO_FREE_CASH_FLOW")</f>
        <v>6.81956817781826</v>
      </c>
      <c r="T67" s="170">
        <f>_xll.BDP($A67,"NET_DEBT_TO_EBITDA")</f>
        <v>1.1443477444381196</v>
      </c>
      <c r="U67" s="170">
        <f>_xll.BDP($A67,"SALES_GROWTH")</f>
        <v>2.1219344691882362</v>
      </c>
      <c r="V67" s="170">
        <f>_xll.BDP($A67,"EPS_GROWTH")</f>
        <v>-1.1359997724799167</v>
      </c>
      <c r="W67" s="170">
        <f>_xll.BDP($A67,"EBITDA_MARGIN")</f>
        <v>39.146366117456786</v>
      </c>
      <c r="X67" s="170">
        <f>_xll.BDP($A67,"EBIT_MARGIN")</f>
        <v>20.21103075636584</v>
      </c>
      <c r="Y67" s="170">
        <f>_xll.BDP($A67,"TRAIL_12M_PROF_MARGIN")</f>
        <v>11.973801494169431</v>
      </c>
      <c r="Z67" s="170">
        <f>_xll.BDP($A67,"NORMALIZED_ROE")</f>
        <v>40.436339044846775</v>
      </c>
      <c r="AA67" s="171">
        <f>_xll.BDP($A67,"BDVD_PROJ_12M_YLD")</f>
        <v>8.8198976891868064</v>
      </c>
      <c r="AB67" s="171" t="str">
        <f>_xll.BDP($A67,"DVD_RECORD_DT")</f>
        <v>13/10/2017</v>
      </c>
      <c r="AC67" s="204">
        <f>_xll.BDP($A67,"EQY_REC_CONS")</f>
        <v>4</v>
      </c>
      <c r="AD67" s="170">
        <f>_xll.BDP($A67,"PCT_REVENUE_FROM_FOREIGN_SOURCES")</f>
        <v>13.879357052555536</v>
      </c>
      <c r="AE67" s="172" t="str">
        <f>_xll.BDP($A67,"BDVD_NEXT_EST_DECL_DT")</f>
        <v>18/04/2018</v>
      </c>
    </row>
    <row r="68" spans="1:31" s="213" customFormat="1" x14ac:dyDescent="0.25">
      <c r="A68" s="155" t="s">
        <v>219</v>
      </c>
      <c r="B68" s="156" t="str">
        <f>_xll.BDP($A68,"SHORT_NAME")</f>
        <v>PIK</v>
      </c>
      <c r="C68" s="156">
        <f>_xll.BDP($A68,"PX_LAST")</f>
        <v>315</v>
      </c>
      <c r="D68" s="157">
        <f>_xll.BDP($A68,"CHG_PCT_WTD")</f>
        <v>0.41440480000000002</v>
      </c>
      <c r="E68" s="157">
        <f>_xll.BDP($A68,"CHG_PCT_1M")</f>
        <v>7.3253830000000004</v>
      </c>
      <c r="F68" s="157">
        <f>_xll.BDP($A68,"CHG_PCT_1YR")</f>
        <v>11.82108</v>
      </c>
      <c r="G68" s="157">
        <f>_xll.BDP($A68,"CHG_PCT_YTD")</f>
        <v>8.6206899999999997</v>
      </c>
      <c r="H68" s="157">
        <f>_xll.BDP($A68,"BEST_TARGET_PRICE")</f>
        <v>332.5</v>
      </c>
      <c r="I68" s="158">
        <f t="shared" si="3"/>
        <v>5.555555555555558E-2</v>
      </c>
      <c r="J68" s="159">
        <f>_xll.BDP($A68,"CUR_MKT_CAP")/1000000/$AI$1</f>
        <v>3615.6037432160724</v>
      </c>
      <c r="K68" s="159">
        <f>_xll.BDP($A68,"EQY_FREE_FLOAT_PCT")</f>
        <v>92.773910000000001</v>
      </c>
      <c r="L68" s="160">
        <f>_xll.BDP($A68,"AVG_DAILY_VALUE_TRADED_6M")/$AI$1/1000000</f>
        <v>1.202379392500708</v>
      </c>
      <c r="M68" s="159" t="str">
        <f>_xll.BDP($A68,"INDUSTRY_GROUP")</f>
        <v>Real Estate</v>
      </c>
      <c r="N68" s="160">
        <f>_xll.BDP($A68,"EQY_BETA_6M")</f>
        <v>0.54574339999999999</v>
      </c>
      <c r="O68" s="160" t="str">
        <f>_xll.BDP($A68,"EST_PE_NXT_YR")</f>
        <v>#N/A N/A</v>
      </c>
      <c r="P68" s="160">
        <f>_xll.BDP($A68,"EST_EV_THIS_YR_EBITDA")</f>
        <v>11.245224305700059</v>
      </c>
      <c r="Q68" s="160">
        <f>_xll.BDP($A68,"CURRENT_EV_TO_12M_SALES")</f>
        <v>4.1345092920619075</v>
      </c>
      <c r="R68" s="160">
        <f>_xll.BDP($A68,"PX_TO_BOOK_RATIO")</f>
        <v>3.7675707209380747</v>
      </c>
      <c r="S68" s="160">
        <f>_xll.BDP($A68,"PX_TO_FREE_CASH_FLOW")</f>
        <v>10.422630951519579</v>
      </c>
      <c r="T68" s="160">
        <f>_xll.BDP($A68,"NET_DEBT_TO_EBITDA")</f>
        <v>1.5477653202273076</v>
      </c>
      <c r="U68" s="160">
        <f>_xll.BDP($A68,"SALES_GROWTH")</f>
        <v>17.51936165219432</v>
      </c>
      <c r="V68" s="160">
        <f>_xll.BDP($A68,"EPS_GROWTH")</f>
        <v>79.801166516838464</v>
      </c>
      <c r="W68" s="160">
        <f>_xll.BDP($A68,"EBITDA_MARGIN")</f>
        <v>43.341654185388585</v>
      </c>
      <c r="X68" s="160">
        <f>_xll.BDP($A68,"EBIT_MARGIN")</f>
        <v>41.793975703111997</v>
      </c>
      <c r="Y68" s="160">
        <f>_xll.BDP($A68,"TRAIL_12M_PROF_MARGIN")</f>
        <v>33.41987019470794</v>
      </c>
      <c r="Z68" s="160">
        <f>_xll.BDP($A68,"NORMALIZED_ROE")</f>
        <v>41.639243771655075</v>
      </c>
      <c r="AA68" s="161" t="str">
        <f>_xll.BDP($A68,"BDVD_PROJ_12M_YLD")</f>
        <v>#N/A N/A</v>
      </c>
      <c r="AB68" s="161" t="str">
        <f>_xll.BDP($A68,"DVD_RECORD_DT")</f>
        <v>#N/A Field Not Applicable</v>
      </c>
      <c r="AC68" s="203">
        <f>_xll.BDP($A68,"EQY_REC_CONS")</f>
        <v>3</v>
      </c>
      <c r="AD68" s="160">
        <f>_xll.BDP($A68,"PCT_REVENUE_FROM_FOREIGN_SOURCES")</f>
        <v>0</v>
      </c>
      <c r="AE68" s="162" t="str">
        <f>_xll.BDP($A68,"BDVD_NEXT_EST_DECL_DT")</f>
        <v>#N/A N/A</v>
      </c>
    </row>
    <row r="69" spans="1:31" s="213" customFormat="1" x14ac:dyDescent="0.25">
      <c r="A69" s="206" t="s">
        <v>3</v>
      </c>
      <c r="B69" s="207" t="str">
        <f>_xll.BDP($A69,"SHORT_NAME")</f>
        <v>LSR</v>
      </c>
      <c r="C69" s="207">
        <f>_xll.BDP($A69,"PX_LAST")</f>
        <v>809</v>
      </c>
      <c r="D69" s="208">
        <f>_xll.BDP($A69,"CHG_PCT_WTD")</f>
        <v>0.37359900000000001</v>
      </c>
      <c r="E69" s="208">
        <f>_xll.BDP($A69,"CHG_PCT_1M")</f>
        <v>3.6655950000000002</v>
      </c>
      <c r="F69" s="208">
        <f>_xll.BDP($A69,"CHG_PCT_1YR")</f>
        <v>-9.9944170000000003</v>
      </c>
      <c r="G69" s="208">
        <f>_xll.BDP($A69,"CHG_PCT_YTD")</f>
        <v>-15.336130000000001</v>
      </c>
      <c r="H69" s="208">
        <f>_xll.BDP("LSRG LI EQUITY","BEST_TARGET_PRICE")*5*$AI$1</f>
        <v>1064.5658637195825</v>
      </c>
      <c r="I69" s="209">
        <f t="shared" si="3"/>
        <v>0.31590341621703644</v>
      </c>
      <c r="J69" s="210">
        <f>_xll.BDP($A69,"CUR_MKT_CAP")/1000000/$AI$1</f>
        <v>1443.1080387042286</v>
      </c>
      <c r="K69" s="210">
        <f>_xll.BDP($A69,"EQY_FREE_FLOAT_PCT")</f>
        <v>42.021000000000001</v>
      </c>
      <c r="L69" s="211">
        <f>_xll.BDP($A69,"AVG_DAILY_VALUE_TRADED_6M")/$AI$1/1000000</f>
        <v>0.27107487996162943</v>
      </c>
      <c r="M69" s="210" t="str">
        <f>_xll.BDP($A69,"INDUSTRY_GROUP")</f>
        <v>Real Estate</v>
      </c>
      <c r="N69" s="211">
        <f>_xll.BDP($A69,"EQY_BETA_6M")</f>
        <v>0.29135080000000002</v>
      </c>
      <c r="O69" s="211">
        <f>_xll.BDP($A69,"EST_PE_NXT_YR")</f>
        <v>5.5305483888675413</v>
      </c>
      <c r="P69" s="211">
        <f>_xll.BDP($A69,"EST_EV_THIS_YR_EBITDA")</f>
        <v>4.8352629185024849</v>
      </c>
      <c r="Q69" s="211">
        <f>_xll.BDP($A69,"CURRENT_EV_TO_12M_SALES")</f>
        <v>1.2581124683735265</v>
      </c>
      <c r="R69" s="211">
        <f>_xll.BDP($A69,"PX_TO_BOOK_RATIO")</f>
        <v>1.163871122856031</v>
      </c>
      <c r="S69" s="211" t="str">
        <f>_xll.BDP($A69,"PX_TO_FREE_CASH_FLOW")</f>
        <v>#N/A N/A</v>
      </c>
      <c r="T69" s="211">
        <f>_xll.BDP($A69,"NET_DEBT_TO_EBITDA")</f>
        <v>1.6773586016126185</v>
      </c>
      <c r="U69" s="211">
        <f>_xll.BDP($A69,"SALES_GROWTH")</f>
        <v>12.437159015175483</v>
      </c>
      <c r="V69" s="211">
        <f>_xll.BDP($A69,"EPS_GROWTH")</f>
        <v>-98.583664085729197</v>
      </c>
      <c r="W69" s="211">
        <f>_xll.BDP($A69,"EBITDA_MARGIN")</f>
        <v>17.325026511134674</v>
      </c>
      <c r="X69" s="211">
        <f>_xll.BDP($A69,"EBIT_MARGIN")</f>
        <v>14.306835794110452</v>
      </c>
      <c r="Y69" s="211">
        <f>_xll.BDP($A69,"TRAIL_12M_PROF_MARGIN")</f>
        <v>9.3431356554368232</v>
      </c>
      <c r="Z69" s="211">
        <f>_xll.BDP($A69,"NORMALIZED_ROE")</f>
        <v>15.146303535016706</v>
      </c>
      <c r="AA69" s="129">
        <f>_xll.BDP($A69,"BDVD_PROJ_12M_YLD")</f>
        <v>3.9702233250620349</v>
      </c>
      <c r="AB69" s="129" t="str">
        <f>_xll.BDP($A69,"DVD_RECORD_DT")</f>
        <v>20/06/2017</v>
      </c>
      <c r="AC69" s="205">
        <f>_xll.BDP($A69,"EQY_REC_CONS")</f>
        <v>4.3333329999999997</v>
      </c>
      <c r="AD69" s="211">
        <f>_xll.BDP($A69,"PCT_REVENUE_FROM_FOREIGN_SOURCES")</f>
        <v>2.4295432458697763</v>
      </c>
      <c r="AE69" s="212" t="str">
        <f>_xll.BDP($A69,"BDVD_NEXT_EST_DECL_DT")</f>
        <v>15/09/2017</v>
      </c>
    </row>
    <row r="70" spans="1:31" s="8" customFormat="1" ht="15.75" thickBot="1" x14ac:dyDescent="0.3">
      <c r="A70" s="223" t="s">
        <v>4</v>
      </c>
      <c r="B70" s="224" t="str">
        <f>_xll.BDP($A70,"SHORT_NAME")</f>
        <v>ET-GDR REG S</v>
      </c>
      <c r="C70" s="224">
        <f>_xll.BDP($A70,"PX_LAST")</f>
        <v>4.22</v>
      </c>
      <c r="D70" s="225">
        <f>_xll.BDP($A70,"CHG_PCT_WTD")</f>
        <v>1.5</v>
      </c>
      <c r="E70" s="225">
        <f>_xll.BDP($A70,"CHG_PCT_1M")</f>
        <v>16.332380000000001</v>
      </c>
      <c r="F70" s="225">
        <f>_xll.BDP($A70,"CHG_PCT_1YR")</f>
        <v>40.727899999999998</v>
      </c>
      <c r="G70" s="225">
        <f>_xll.BDP($A70,"CHG_PCT_YTD")</f>
        <v>27.073560000000001</v>
      </c>
      <c r="H70" s="225">
        <f>_xll.BDP($A70,"BEST_TARGET_PRICE")</f>
        <v>5</v>
      </c>
      <c r="I70" s="226">
        <f t="shared" si="3"/>
        <v>0.18483412322274884</v>
      </c>
      <c r="J70" s="227">
        <f>_xll.BDP($A70,"CUR_MKT_CAP")/1000000</f>
        <v>1186.4536822599998</v>
      </c>
      <c r="K70" s="227" t="str">
        <f>_xll.BDP($A70,"EQY_FREE_FLOAT_PCT")</f>
        <v>#N/A N/A</v>
      </c>
      <c r="L70" s="228">
        <f>_xll.BDP($A70,"AVG_DAILY_VALUE_TRADED_6M")/1000000</f>
        <v>2.5782409999999998</v>
      </c>
      <c r="M70" s="227" t="str">
        <f>_xll.BDP($A70,"INDUSTRY_GROUP")</f>
        <v>Real Estate</v>
      </c>
      <c r="N70" s="228">
        <f>_xll.BDP($A70,"EQY_BETA_6M")</f>
        <v>0.58796689999999996</v>
      </c>
      <c r="O70" s="228">
        <f>_xll.BDP($A70,"EST_PE_NXT_YR")</f>
        <v>5.4032723668657994</v>
      </c>
      <c r="P70" s="228">
        <f>_xll.BDP($A70,"EST_EV_THIS_YR_EBITDA")</f>
        <v>6.5742803487587791</v>
      </c>
      <c r="Q70" s="228">
        <f>_xll.BDP($A70,"CURRENT_EV_TO_12M_SALES")</f>
        <v>1.5283735779556533</v>
      </c>
      <c r="R70" s="228">
        <f>_xll.BDP($A70,"PX_TO_BOOK_RATIO")</f>
        <v>1.1664589756552053</v>
      </c>
      <c r="S70" s="228">
        <f>_xll.BDP($A70,"PX_TO_FREE_CASH_FLOW")</f>
        <v>36.081388282614071</v>
      </c>
      <c r="T70" s="228">
        <f>_xll.BDP($A70,"NET_DEBT_TO_EBITDA")</f>
        <v>1.3020909757887014</v>
      </c>
      <c r="U70" s="228">
        <f>_xll.BDP($A70,"SALES_GROWTH")</f>
        <v>15.607018205829638</v>
      </c>
      <c r="V70" s="228">
        <f>_xll.BDP($A70,"EPS_GROWTH")</f>
        <v>-9.2532467532467582</v>
      </c>
      <c r="W70" s="228">
        <f>_xll.BDP($A70,"EBITDA_MARGIN")</f>
        <v>11.121537268981275</v>
      </c>
      <c r="X70" s="228">
        <f>_xll.BDP($A70,"EBIT_MARGIN")</f>
        <v>10.236220472440944</v>
      </c>
      <c r="Y70" s="228">
        <f>_xll.BDP($A70,"TRAIL_12M_PROF_MARGIN")</f>
        <v>9.9995920199094286</v>
      </c>
      <c r="Z70" s="228">
        <f>_xll.BDP($A70,"NORMALIZED_ROE")</f>
        <v>8.1795458171568374</v>
      </c>
      <c r="AA70" s="229" t="str">
        <f>_xll.BDP($A70,"BDVD_PROJ_12M_YLD")</f>
        <v>#N/A N/A</v>
      </c>
      <c r="AB70" s="229" t="str">
        <f>_xll.BDP($A70,"DVD_RECORD_DT")</f>
        <v>04/08/2017</v>
      </c>
      <c r="AC70" s="230">
        <f>_xll.BDP($A70,"EQY_REC_CONS")</f>
        <v>4.8</v>
      </c>
      <c r="AD70" s="228" t="str">
        <f>_xll.BDP($A70,"PCT_REVENUE_FROM_FOREIGN_SOURCES")</f>
        <v>#N/A N/A</v>
      </c>
      <c r="AE70" s="231" t="str">
        <f>_xll.BDP($A70,"BDVD_NEXT_EST_DECL_DT")</f>
        <v>#N/A N/A</v>
      </c>
    </row>
    <row r="71" spans="1:31" s="213" customFormat="1" x14ac:dyDescent="0.25">
      <c r="A71" s="214" t="s">
        <v>469</v>
      </c>
      <c r="B71" s="215" t="str">
        <f>_xll.BDP($A71,"SHORT_NAME")</f>
        <v>ROS AGRO-GDR REG</v>
      </c>
      <c r="C71" s="215">
        <f>_xll.BDP($A71,"PX_LAST")</f>
        <v>13.15</v>
      </c>
      <c r="D71" s="216">
        <f>_xll.BDP($A71,"CHG_PCT_WTD")</f>
        <v>3.5433089999999998</v>
      </c>
      <c r="E71" s="216">
        <f>_xll.BDP($A71,"CHG_PCT_1M")</f>
        <v>9.5833329999999997</v>
      </c>
      <c r="F71" s="216">
        <f>_xll.BDP($A71,"CHG_PCT_1YR")</f>
        <v>-2.2304819999999999</v>
      </c>
      <c r="G71" s="216">
        <f>_xll.BDP($A71,"CHG_PCT_YTD")</f>
        <v>-1.127821</v>
      </c>
      <c r="H71" s="216">
        <f>_xll.BDP($A71,"BEST_TARGET_PRICE")</f>
        <v>15.5</v>
      </c>
      <c r="I71" s="217">
        <f t="shared" ref="I71:I73" si="4">H71/C71-1</f>
        <v>0.17870722433460062</v>
      </c>
      <c r="J71" s="218">
        <f>_xll.BDP($A71,"CUR_MKT_CAP")/1000000</f>
        <v>1797.1666447499999</v>
      </c>
      <c r="K71" s="218" t="str">
        <f>_xll.BDP($A71,"EQY_FREE_FLOAT_PCT")</f>
        <v>#N/A N/A</v>
      </c>
      <c r="L71" s="219">
        <f>_xll.BDP($A71,"AVG_DAILY_VALUE_TRADED_6M")/1000000</f>
        <v>1.3610770000000001</v>
      </c>
      <c r="M71" s="218" t="str">
        <f>_xll.BDP($A71,"INDUSTRY_GROUP")</f>
        <v>Food</v>
      </c>
      <c r="N71" s="219">
        <f>_xll.BDP($A71,"EQY_BETA_6M")</f>
        <v>0.67355109999999996</v>
      </c>
      <c r="O71" s="219">
        <f>_xll.BDP($A71,"EST_PE_NXT_YR")</f>
        <v>7.9184505140517212</v>
      </c>
      <c r="P71" s="219">
        <f>_xll.BDP($A71,"EST_EV_THIS_YR_EBITDA")</f>
        <v>6.7192349787356394</v>
      </c>
      <c r="Q71" s="219">
        <f>_xll.BDP($A71,"CURRENT_EV_TO_12M_SALES")</f>
        <v>1.3747153489855333</v>
      </c>
      <c r="R71" s="219">
        <f>_xll.BDP($A71,"PX_TO_BOOK_RATIO")</f>
        <v>1.0854901029610575</v>
      </c>
      <c r="S71" s="219" t="str">
        <f>_xll.BDP($A71,"PX_TO_FREE_CASH_FLOW")</f>
        <v>#N/A N/A</v>
      </c>
      <c r="T71" s="219">
        <f>_xll.BDP($A71,"NET_DEBT_TO_EBITDA")</f>
        <v>1.0367079110912043</v>
      </c>
      <c r="U71" s="219">
        <f>_xll.BDP($A71,"SALES_GROWTH")</f>
        <v>13.301554427120045</v>
      </c>
      <c r="V71" s="219">
        <f>_xll.BDP($A71,"EPS_GROWTH")</f>
        <v>-47.843677698251071</v>
      </c>
      <c r="W71" s="219">
        <f>_xll.BDP($A71,"EBITDA_MARGIN")</f>
        <v>23.698677508074798</v>
      </c>
      <c r="X71" s="219">
        <f>_xll.BDP($A71,"EBIT_MARGIN")</f>
        <v>16.822734125301817</v>
      </c>
      <c r="Y71" s="219">
        <f>_xll.BDP($A71,"TRAIL_12M_PROF_MARGIN")</f>
        <v>16.167379329384474</v>
      </c>
      <c r="Z71" s="219">
        <f>_xll.BDP($A71,"NORMALIZED_ROE")</f>
        <v>16.750399853780856</v>
      </c>
      <c r="AA71" s="220" t="str">
        <f>_xll.BDP($A71,"BDVD_PROJ_12M_YLD")</f>
        <v>#N/A N/A</v>
      </c>
      <c r="AB71" s="220" t="str">
        <f>_xll.BDP($A71,"DVD_RECORD_DT")</f>
        <v>14/09/2017</v>
      </c>
      <c r="AC71" s="221">
        <f>_xll.BDP($A71,"EQY_REC_CONS")</f>
        <v>4</v>
      </c>
      <c r="AD71" s="219">
        <f>_xll.BDP($A71,"PCT_REVENUE_FROM_FOREIGN_SOURCES")</f>
        <v>15.284507436421737</v>
      </c>
      <c r="AE71" s="222" t="str">
        <f>_xll.BDP($A71,"BDVD_NEXT_EST_DECL_DT")</f>
        <v>#N/A N/A</v>
      </c>
    </row>
    <row r="72" spans="1:31" s="8" customFormat="1" x14ac:dyDescent="0.25">
      <c r="A72" s="163" t="s">
        <v>160</v>
      </c>
      <c r="B72" s="150" t="str">
        <f>_xll.BDP($A72,"SHORT_NAME")</f>
        <v>SOLLERS</v>
      </c>
      <c r="C72" s="150">
        <f>_xll.BDP($A72,"PX_LAST")</f>
        <v>519</v>
      </c>
      <c r="D72" s="151">
        <f>_xll.BDP($A72,"CHG_PCT_WTD")</f>
        <v>-1.7013229999999999</v>
      </c>
      <c r="E72" s="151">
        <f>_xll.BDP($A72,"CHG_PCT_1M")</f>
        <v>-1.140684</v>
      </c>
      <c r="F72" s="151">
        <f>_xll.BDP($A72,"CHG_PCT_1YR")</f>
        <v>10.8742</v>
      </c>
      <c r="G72" s="151">
        <f>_xll.BDP($A72,"CHG_PCT_YTD")</f>
        <v>-2.8037380000000001</v>
      </c>
      <c r="H72" s="151">
        <f>_xll.BDP($A72,"BEST_TARGET_PRICE")</f>
        <v>692.992431640625</v>
      </c>
      <c r="I72" s="152">
        <f t="shared" si="4"/>
        <v>0.33524553302625248</v>
      </c>
      <c r="J72" s="153">
        <f>_xll.BDP($A72,"CUR_MKT_CAP")/1000000/$AI$1</f>
        <v>309.68392380800117</v>
      </c>
      <c r="K72" s="153">
        <f>_xll.BDP($A72,"EQY_FREE_FLOAT_PCT")</f>
        <v>36.066490000000002</v>
      </c>
      <c r="L72" s="154">
        <f>_xll.BDP($A72,"AVG_DAILY_VALUE_TRADED_6M")/$AI$1/1000000</f>
        <v>3.0484689134072825E-2</v>
      </c>
      <c r="M72" s="153" t="str">
        <f>_xll.BDP($A72,"INDUSTRY_GROUP")</f>
        <v>Auto Manufacturers</v>
      </c>
      <c r="N72" s="154">
        <f>_xll.BDP($A72,"EQY_BETA_6M")</f>
        <v>0.50470510000000002</v>
      </c>
      <c r="O72" s="154">
        <f>_xll.BDP($A72,"EST_PE_NXT_YR")</f>
        <v>2.9390154298310067</v>
      </c>
      <c r="P72" s="154">
        <f>_xll.BDP($A72,"EST_EV_THIS_YR_EBITDA")</f>
        <v>3.2480792937292176</v>
      </c>
      <c r="Q72" s="154">
        <f>_xll.BDP($A72,"CURRENT_EV_TO_12M_SALES")</f>
        <v>0.62214993796948204</v>
      </c>
      <c r="R72" s="154">
        <f>_xll.BDP($A72,"PX_TO_BOOK_RATIO")</f>
        <v>1.0169139601710289</v>
      </c>
      <c r="S72" s="154">
        <f>_xll.BDP($A72,"PX_TO_FREE_CASH_FLOW")</f>
        <v>14.691178893914863</v>
      </c>
      <c r="T72" s="154">
        <f>_xll.BDP($A72,"NET_DEBT_TO_EBITDA")</f>
        <v>1.4122388059701492</v>
      </c>
      <c r="U72" s="154">
        <f>_xll.BDP($A72,"SALES_GROWTH")</f>
        <v>-7.1136144358392661</v>
      </c>
      <c r="V72" s="154">
        <f>_xll.BDP($A72,"EPS_GROWTH")</f>
        <v>-48.850576487792971</v>
      </c>
      <c r="W72" s="154">
        <f>_xll.BDP($A72,"EBITDA_MARGIN")</f>
        <v>9.4045647230566249</v>
      </c>
      <c r="X72" s="154">
        <f>_xll.BDP($A72,"EBIT_MARGIN")</f>
        <v>6.3698380169001441</v>
      </c>
      <c r="Y72" s="154">
        <f>_xll.BDP($A72,"TRAIL_12M_PROF_MARGIN")</f>
        <v>4.4973470705482725</v>
      </c>
      <c r="Z72" s="154">
        <f>_xll.BDP($A72,"NORMALIZED_ROE")</f>
        <v>9.0055612031334089</v>
      </c>
      <c r="AA72" s="141" t="str">
        <f>_xll.BDP($A72,"BDVD_PROJ_12M_YLD")</f>
        <v>#N/A N/A</v>
      </c>
      <c r="AB72" s="141" t="str">
        <f>_xll.BDP($A72,"DVD_RECORD_DT")</f>
        <v>#N/A Field Not Applicable</v>
      </c>
      <c r="AC72" s="139">
        <f>_xll.BDP($A72,"EQY_REC_CONS")</f>
        <v>3.6666669999999999</v>
      </c>
      <c r="AD72" s="154" t="str">
        <f>_xll.BDP($A72,"PCT_REVENUE_FROM_FOREIGN_SOURCES")</f>
        <v>#N/A N/A</v>
      </c>
      <c r="AE72" s="164" t="str">
        <f>_xll.BDP($A72,"BDVD_NEXT_EST_DECL_DT")</f>
        <v>#N/A N/A</v>
      </c>
    </row>
    <row r="73" spans="1:31" s="8" customFormat="1" ht="15.75" thickBot="1" x14ac:dyDescent="0.3">
      <c r="A73" s="165" t="s">
        <v>109</v>
      </c>
      <c r="B73" s="166" t="str">
        <f>_xll.BDP($A73,"SHORT_NAME")</f>
        <v>KAMAZ</v>
      </c>
      <c r="C73" s="166">
        <f>_xll.BDP($A73,"PX_LAST")</f>
        <v>52.8</v>
      </c>
      <c r="D73" s="167">
        <f>_xll.BDP($A73,"CHG_PCT_WTD")</f>
        <v>-0.47710209999999997</v>
      </c>
      <c r="E73" s="167">
        <f>_xll.BDP($A73,"CHG_PCT_1M")</f>
        <v>-1.2310589999999999</v>
      </c>
      <c r="F73" s="167">
        <f>_xll.BDP($A73,"CHG_PCT_1YR")</f>
        <v>39.252330000000001</v>
      </c>
      <c r="G73" s="167">
        <f>_xll.BDP($A73,"CHG_PCT_YTD")</f>
        <v>6.6462130000000004</v>
      </c>
      <c r="H73" s="167" t="str">
        <f>_xll.BDP($A73,"BEST_TARGET_PRICE")</f>
        <v>#N/A N/A</v>
      </c>
      <c r="I73" s="168" t="e">
        <f t="shared" si="4"/>
        <v>#VALUE!</v>
      </c>
      <c r="J73" s="169">
        <f>_xll.BDP($A73,"CUR_MKT_CAP")/1000000/$AI$1</f>
        <v>640.9348917065347</v>
      </c>
      <c r="K73" s="169">
        <f>_xll.BDP($A73,"EQY_FREE_FLOAT_PCT")</f>
        <v>11.55673</v>
      </c>
      <c r="L73" s="170">
        <f>_xll.BDP($A73,"AVG_DAILY_VALUE_TRADED_6M")/$AI$1/1000000</f>
        <v>3.1581204676065837E-2</v>
      </c>
      <c r="M73" s="169" t="str">
        <f>_xll.BDP($A73,"INDUSTRY_GROUP")</f>
        <v>Auto Manufacturers</v>
      </c>
      <c r="N73" s="170">
        <f>_xll.BDP($A73,"EQY_BETA_6M")</f>
        <v>0.70096559999999997</v>
      </c>
      <c r="O73" s="170" t="str">
        <f>_xll.BDP($A73,"EST_PE_NXT_YR")</f>
        <v>#N/A N/A</v>
      </c>
      <c r="P73" s="170" t="str">
        <f>_xll.BDP($A73,"EST_EV_THIS_YR_EBITDA")</f>
        <v>#N/A N/A</v>
      </c>
      <c r="Q73" s="170">
        <f>_xll.BDP($A73,"CURRENT_EV_TO_12M_SALES")</f>
        <v>0.41797230419237685</v>
      </c>
      <c r="R73" s="170">
        <f>_xll.BDP($A73,"PX_TO_BOOK_RATIO")</f>
        <v>1.010473870083342</v>
      </c>
      <c r="S73" s="170" t="str">
        <f>_xll.BDP($A73,"PX_TO_FREE_CASH_FLOW")</f>
        <v>#N/A N/A</v>
      </c>
      <c r="T73" s="170" t="str">
        <f>_xll.BDP($A73,"NET_DEBT_TO_EBITDA")</f>
        <v>#N/A N/A</v>
      </c>
      <c r="U73" s="170">
        <f>_xll.BDP($A73,"SALES_GROWTH")</f>
        <v>37.027345954543122</v>
      </c>
      <c r="V73" s="170" t="str">
        <f>_xll.BDP($A73,"EPS_GROWTH")</f>
        <v>#N/A N/A</v>
      </c>
      <c r="W73" s="170" t="str">
        <f>_xll.BDP($A73,"EBITDA_MARGIN")</f>
        <v>#N/A N/A</v>
      </c>
      <c r="X73" s="170">
        <f>_xll.BDP($A73,"EBIT_MARGIN")</f>
        <v>4.0375574502234421</v>
      </c>
      <c r="Y73" s="170">
        <f>_xll.BDP($A73,"TRAIL_12M_PROF_MARGIN")</f>
        <v>-9.8349825732617788E-2</v>
      </c>
      <c r="Z73" s="170">
        <f>_xll.BDP($A73,"NORMALIZED_ROE")</f>
        <v>-0.1571072535550265</v>
      </c>
      <c r="AA73" s="171" t="str">
        <f>_xll.BDP($A73,"BDVD_PROJ_12M_YLD")</f>
        <v>#N/A N/A</v>
      </c>
      <c r="AB73" s="171" t="str">
        <f>_xll.BDP($A73,"DVD_RECORD_DT")</f>
        <v>12/07/2017</v>
      </c>
      <c r="AC73" s="204">
        <f>_xll.BDP($A73,"EQY_REC_CONS")</f>
        <v>3</v>
      </c>
      <c r="AD73" s="170">
        <f>_xll.BDP($A73,"PCT_REVENUE_FROM_FOREIGN_SOURCES")</f>
        <v>17.077625570776252</v>
      </c>
      <c r="AE73" s="172" t="str">
        <f>_xll.BDP($A73,"BDVD_NEXT_EST_DECL_DT")</f>
        <v>#N/A N/A</v>
      </c>
    </row>
    <row r="74" spans="1:31" s="8" customFormat="1" x14ac:dyDescent="0.25">
      <c r="A74" s="155" t="s">
        <v>221</v>
      </c>
      <c r="B74" s="156" t="str">
        <f>_xll.BDP($A74,"SHORT_NAME")</f>
        <v>MOSCOW EXCHANGE</v>
      </c>
      <c r="C74" s="156">
        <f>_xll.BDP($A74,"PX_LAST")</f>
        <v>112.65</v>
      </c>
      <c r="D74" s="157">
        <f>_xll.BDP($A74,"CHG_PCT_WTD")</f>
        <v>4.4764579999999998E-2</v>
      </c>
      <c r="E74" s="157">
        <f>_xll.BDP($A74,"CHG_PCT_1M")</f>
        <v>-0.16082750000000001</v>
      </c>
      <c r="F74" s="157">
        <f>_xll.BDP($A74,"CHG_PCT_1YR")</f>
        <v>-11.70289</v>
      </c>
      <c r="G74" s="157">
        <f>_xll.BDP($A74,"CHG_PCT_YTD")</f>
        <v>-11.027950000000001</v>
      </c>
      <c r="H74" s="157">
        <f>_xll.BDP($A74,"BEST_TARGET_PRICE")</f>
        <v>126.85833740234375</v>
      </c>
      <c r="I74" s="158">
        <f>H74/C74-1</f>
        <v>0.12612816158316686</v>
      </c>
      <c r="J74" s="159">
        <f>_xll.BDP($A74,"CUR_MKT_CAP")/1000000/$AI$1</f>
        <v>4424.6906586047926</v>
      </c>
      <c r="K74" s="159">
        <f>_xll.BDP($A74,"EQY_FREE_FLOAT_PCT")</f>
        <v>63.780999999999999</v>
      </c>
      <c r="L74" s="160">
        <f>_xll.BDP($A74,"AVG_DAILY_VALUE_TRADED_6M")/$AI$1/1000000</f>
        <v>16.210773997681777</v>
      </c>
      <c r="M74" s="159" t="str">
        <f>_xll.BDP($A74,"INDUSTRY_GROUP")</f>
        <v>Diversified Finan Serv</v>
      </c>
      <c r="N74" s="160">
        <f>_xll.BDP($A74,"EQY_BETA_6M")</f>
        <v>0.93305249999999995</v>
      </c>
      <c r="O74" s="160">
        <f>_xll.BDP($A74,"EST_PE_NXT_YR")</f>
        <v>11.815586338162207</v>
      </c>
      <c r="P74" s="160" t="str">
        <f>_xll.BDP($A74,"EST_EV_THIS_YR_EBITDA")</f>
        <v>#N/A N/A</v>
      </c>
      <c r="Q74" s="160" t="str">
        <f>_xll.BDP($A74,"CURRENT_EV_TO_12M_SALES")</f>
        <v>#N/A N/A</v>
      </c>
      <c r="R74" s="160">
        <f>_xll.BDP($A74,"PX_TO_BOOK_RATIO")</f>
        <v>2.1669297509367174</v>
      </c>
      <c r="S74" s="160">
        <f>_xll.BDP($A74,"PX_TO_FREE_CASH_FLOW")</f>
        <v>4.3849407698563905</v>
      </c>
      <c r="T74" s="160" t="str">
        <f>_xll.BDP($A74,"NET_DEBT_TO_EBITDA")</f>
        <v>#N/A N/A</v>
      </c>
      <c r="U74" s="160">
        <f>_xll.BDP($A74,"SALES_GROWTH")</f>
        <v>-5.2636015106266871</v>
      </c>
      <c r="V74" s="160">
        <f>_xll.BDP($A74,"EPS_GROWTH")</f>
        <v>-10.311750105925695</v>
      </c>
      <c r="W74" s="160" t="str">
        <f>_xll.BDP($A74,"EBITDA_MARGIN")</f>
        <v>#N/A N/A</v>
      </c>
      <c r="X74" s="160" t="str">
        <f>_xll.BDP($A74,"EBIT_MARGIN")</f>
        <v>#N/A N/A</v>
      </c>
      <c r="Y74" s="160">
        <f>_xll.BDP($A74,"TRAIL_12M_PROF_MARGIN")</f>
        <v>54.796595601181828</v>
      </c>
      <c r="Z74" s="160">
        <f>_xll.BDP($A74,"NORMALIZED_ROE")</f>
        <v>19.349553615393873</v>
      </c>
      <c r="AA74" s="161">
        <f>_xll.BDP($A74,"BDVD_PROJ_12M_YLD")</f>
        <v>6.70306067657061</v>
      </c>
      <c r="AB74" s="161" t="str">
        <f>_xll.BDP($A74,"DVD_RECORD_DT")</f>
        <v>29/09/2017</v>
      </c>
      <c r="AC74" s="203">
        <f>_xll.BDP($A74,"EQY_REC_CONS")</f>
        <v>3.75</v>
      </c>
      <c r="AD74" s="160" t="str">
        <f>_xll.BDP($A74,"PCT_REVENUE_FROM_FOREIGN_SOURCES")</f>
        <v>#N/A N/A</v>
      </c>
      <c r="AE74" s="162" t="str">
        <f>_xll.BDP($A74,"BDVD_NEXT_EST_DECL_DT")</f>
        <v>07/03/2018</v>
      </c>
    </row>
    <row r="75" spans="1:31" s="8" customFormat="1" x14ac:dyDescent="0.25">
      <c r="A75" s="163" t="s">
        <v>6</v>
      </c>
      <c r="B75" s="150" t="str">
        <f>_xll.BDP($A75,"SHORT_NAME")</f>
        <v>SBERBANK</v>
      </c>
      <c r="C75" s="150">
        <f>_xll.BDP($A75,"PX_LAST")</f>
        <v>189.1</v>
      </c>
      <c r="D75" s="151">
        <f>_xll.BDP($A75,"CHG_PCT_WTD")</f>
        <v>2.0280809999999998</v>
      </c>
      <c r="E75" s="151">
        <f>_xll.BDP($A75,"CHG_PCT_1M")</f>
        <v>10.235390000000001</v>
      </c>
      <c r="F75" s="151">
        <f>_xll.BDP($A75,"CHG_PCT_1YR")</f>
        <v>25.105540000000001</v>
      </c>
      <c r="G75" s="151">
        <f>_xll.BDP($A75,"CHG_PCT_YTD")</f>
        <v>9.4718610000000005</v>
      </c>
      <c r="H75" s="151">
        <f>_xll.BDP($A75,"BEST_TARGET_PRICE")</f>
        <v>228.66026306152344</v>
      </c>
      <c r="I75" s="152">
        <f>H75/C75-1</f>
        <v>0.20920287182191144</v>
      </c>
      <c r="J75" s="153">
        <f>_xll.BDP($A75,"CUR_MKT_CAP")/1000000/$AI$1</f>
        <v>71148.572272048739</v>
      </c>
      <c r="K75" s="153">
        <f>_xll.BDP($A75,"EQY_FREE_FLOAT_PCT")</f>
        <v>47.671120000000002</v>
      </c>
      <c r="L75" s="154">
        <f>_xll.BDP($A75,"AVG_DAILY_VALUE_TRADED_6M")/$AI$1/1000000</f>
        <v>134.1223166232507</v>
      </c>
      <c r="M75" s="153" t="str">
        <f>_xll.BDP($A75,"INDUSTRY_GROUP")</f>
        <v>Banks</v>
      </c>
      <c r="N75" s="154">
        <f>_xll.BDP($A75,"EQY_BETA_6M")</f>
        <v>1.2198169999999999</v>
      </c>
      <c r="O75" s="154">
        <f>_xll.BDP($A75,"EST_PE_NXT_YR")</f>
        <v>5.718334489100612</v>
      </c>
      <c r="P75" s="154" t="str">
        <f>_xll.BDP($A75,"EST_EV_THIS_YR_EBITDA")</f>
        <v>#N/A N/A</v>
      </c>
      <c r="Q75" s="154" t="str">
        <f>_xll.BDP($A75,"CURRENT_EV_TO_12M_SALES")</f>
        <v>#N/A N/A</v>
      </c>
      <c r="R75" s="154">
        <f>_xll.BDP($A75,"PX_TO_BOOK_RATIO")</f>
        <v>1.3490808287379579</v>
      </c>
      <c r="S75" s="154" t="str">
        <f>_xll.BDP($A75,"PX_TO_FREE_CASH_FLOW")</f>
        <v>#N/A N/A</v>
      </c>
      <c r="T75" s="154" t="str">
        <f>_xll.BDP($A75,"NET_DEBT_TO_EBITDA")</f>
        <v>#N/A N/A</v>
      </c>
      <c r="U75" s="154">
        <f>_xll.BDP($A75,"SALES_GROWTH")</f>
        <v>1.5294200948806911</v>
      </c>
      <c r="V75" s="154">
        <f>_xll.BDP($A75,"EPS_GROWTH")</f>
        <v>141.80659797204279</v>
      </c>
      <c r="W75" s="154" t="str">
        <f>_xll.BDP($A75,"EBITDA_MARGIN")</f>
        <v>#N/A N/A</v>
      </c>
      <c r="X75" s="154" t="str">
        <f>_xll.BDP($A75,"EBIT_MARGIN")</f>
        <v>#N/A N/A</v>
      </c>
      <c r="Y75" s="154">
        <f>_xll.BDP($A75,"TRAIL_12M_PROF_MARGIN")</f>
        <v>32.494597097869715</v>
      </c>
      <c r="Z75" s="154">
        <f>_xll.BDP($A75,"NORMALIZED_ROE")</f>
        <v>22.459517045454547</v>
      </c>
      <c r="AA75" s="141">
        <f>_xll.BDP($A75,"BDVD_PROJ_12M_YLD")</f>
        <v>3.5168195718654434</v>
      </c>
      <c r="AB75" s="141" t="str">
        <f>_xll.BDP($A75,"DVD_RECORD_DT")</f>
        <v>14/06/2017</v>
      </c>
      <c r="AC75" s="139">
        <f>_xll.BDP($A75,"EQY_REC_CONS")</f>
        <v>4.8823530000000002</v>
      </c>
      <c r="AD75" s="154">
        <f>_xll.BDP($A75,"PCT_REVENUE_FROM_FOREIGN_SOURCES")</f>
        <v>13.618700304896276</v>
      </c>
      <c r="AE75" s="164" t="str">
        <f>_xll.BDP($A75,"BDVD_NEXT_EST_DECL_DT")</f>
        <v>19/04/2018</v>
      </c>
    </row>
    <row r="76" spans="1:31" s="8" customFormat="1" x14ac:dyDescent="0.25">
      <c r="A76" s="163" t="s">
        <v>61</v>
      </c>
      <c r="B76" s="150" t="str">
        <f>_xll.BDP($A76,"SHORT_NAME")</f>
        <v>SBERBANK-PRF</v>
      </c>
      <c r="C76" s="150">
        <f>_xll.BDP($A76,"PX_LAST")</f>
        <v>159.63</v>
      </c>
      <c r="D76" s="151">
        <f>_xll.BDP($A76,"CHG_PCT_WTD")</f>
        <v>0.70370370000000004</v>
      </c>
      <c r="E76" s="151">
        <f>_xll.BDP($A76,"CHG_PCT_1M")</f>
        <v>15.04936</v>
      </c>
      <c r="F76" s="151">
        <f>_xll.BDP($A76,"CHG_PCT_1YR")</f>
        <v>51.532600000000002</v>
      </c>
      <c r="G76" s="151">
        <f>_xll.BDP($A76,"CHG_PCT_YTD")</f>
        <v>25.734100000000002</v>
      </c>
      <c r="H76" s="151">
        <f>_xll.BDP($A76,"BEST_TARGET_PRICE")</f>
        <v>177.67813110351562</v>
      </c>
      <c r="I76" s="152">
        <f>H76/C76-1</f>
        <v>0.11306227591001461</v>
      </c>
      <c r="J76" s="153">
        <f>_xll.BDP($A76,"CUR_MKT_CAP")/1000000/$AI$1</f>
        <v>2835.0430365580487</v>
      </c>
      <c r="K76" s="153">
        <f>_xll.BDP($A76,"EQY_FREE_FLOAT_PCT")</f>
        <v>100</v>
      </c>
      <c r="L76" s="154">
        <f>_xll.BDP($A76,"AVG_DAILY_VALUE_TRADED_6M")/$AI$1/1000000</f>
        <v>9.7509127781996767</v>
      </c>
      <c r="M76" s="153" t="str">
        <f>_xll.BDP($A76,"INDUSTRY_GROUP")</f>
        <v>Banks</v>
      </c>
      <c r="N76" s="154">
        <f>_xll.BDP($A76,"EQY_BETA_6M")</f>
        <v>1.204788</v>
      </c>
      <c r="O76" s="154">
        <f>_xll.BDP($A76,"EST_PE_NXT_YR")</f>
        <v>5.0382952439777631</v>
      </c>
      <c r="P76" s="154" t="str">
        <f>_xll.BDP($A76,"EST_EV_THIS_YR_EBITDA")</f>
        <v>#N/A N/A</v>
      </c>
      <c r="Q76" s="154" t="str">
        <f>_xll.BDP($A76,"CURRENT_EV_TO_12M_SALES")</f>
        <v>#N/A Field Not Applicable</v>
      </c>
      <c r="R76" s="154" t="str">
        <f>_xll.BDP($A76,"PX_TO_BOOK_RATIO")</f>
        <v>#N/A Field Not Applicable</v>
      </c>
      <c r="S76" s="154" t="str">
        <f>_xll.BDP($A76,"PX_TO_FREE_CASH_FLOW")</f>
        <v>#N/A Field Not Applicable</v>
      </c>
      <c r="T76" s="154" t="str">
        <f>_xll.BDP($A76,"NET_DEBT_TO_EBITDA")</f>
        <v>#N/A N/A</v>
      </c>
      <c r="U76" s="154">
        <f>_xll.BDP($A76,"SALES_GROWTH")</f>
        <v>1.5294200948806911</v>
      </c>
      <c r="V76" s="154">
        <f>_xll.BDP($A76,"EPS_GROWTH")</f>
        <v>141.80659797204279</v>
      </c>
      <c r="W76" s="154" t="str">
        <f>_xll.BDP($A76,"EBITDA_MARGIN")</f>
        <v>#N/A N/A</v>
      </c>
      <c r="X76" s="154" t="str">
        <f>_xll.BDP($A76,"EBIT_MARGIN")</f>
        <v>#N/A N/A</v>
      </c>
      <c r="Y76" s="154">
        <f>_xll.BDP($A76,"TRAIL_12M_PROF_MARGIN")</f>
        <v>32.494597097869715</v>
      </c>
      <c r="Z76" s="154">
        <f>_xll.BDP($A76,"NORMALIZED_ROE")</f>
        <v>22.459517045454547</v>
      </c>
      <c r="AA76" s="141">
        <f>_xll.BDP($A76,"BDVD_PROJ_12M_YLD")</f>
        <v>4.0882623352742868</v>
      </c>
      <c r="AB76" s="141" t="str">
        <f>_xll.BDP($A76,"DVD_RECORD_DT")</f>
        <v>14/06/2017</v>
      </c>
      <c r="AC76" s="139">
        <f>_xll.BDP($A76,"EQY_REC_CONS")</f>
        <v>4.5999999999999996</v>
      </c>
      <c r="AD76" s="154">
        <f>_xll.BDP($A76,"PCT_REVENUE_FROM_FOREIGN_SOURCES")</f>
        <v>13.61870030489627</v>
      </c>
      <c r="AE76" s="164" t="str">
        <f>_xll.BDP($A76,"BDVD_NEXT_EST_DECL_DT")</f>
        <v>19/04/2018</v>
      </c>
    </row>
    <row r="77" spans="1:31" s="8" customFormat="1" ht="15.75" thickBot="1" x14ac:dyDescent="0.3">
      <c r="A77" s="165" t="s">
        <v>111</v>
      </c>
      <c r="B77" s="166" t="str">
        <f>_xll.BDP($A77,"SHORT_NAME")</f>
        <v>BANK ST PETERSBU</v>
      </c>
      <c r="C77" s="166">
        <f>_xll.BDP($A77,"PX_LAST")</f>
        <v>55.55</v>
      </c>
      <c r="D77" s="167">
        <f>_xll.BDP($A77,"CHG_PCT_WTD")</f>
        <v>-0.53763300000000003</v>
      </c>
      <c r="E77" s="167">
        <f>_xll.BDP($A77,"CHG_PCT_1M")</f>
        <v>-1.157616</v>
      </c>
      <c r="F77" s="167">
        <f>_xll.BDP($A77,"CHG_PCT_1YR")</f>
        <v>-3.9382820000000001</v>
      </c>
      <c r="G77" s="167">
        <f>_xll.BDP($A77,"CHG_PCT_YTD")</f>
        <v>-15.838469999999999</v>
      </c>
      <c r="H77" s="167">
        <f>_xll.BDP($A77,"BEST_TARGET_PRICE")</f>
        <v>71.861976623535156</v>
      </c>
      <c r="I77" s="168">
        <f>H77/C77-1</f>
        <v>0.29364494371800465</v>
      </c>
      <c r="J77" s="169">
        <f>_xll.BDP($A77,"CUR_MKT_CAP")/1000000/$AI$1</f>
        <v>481.80868238446686</v>
      </c>
      <c r="K77" s="169">
        <f>_xll.BDP($A77,"EQY_FREE_FLOAT_PCT")</f>
        <v>48.209420000000001</v>
      </c>
      <c r="L77" s="170">
        <f>_xll.BDP($A77,"AVG_DAILY_VALUE_TRADED_6M")/$AI$1/1000000</f>
        <v>0.18451483297158178</v>
      </c>
      <c r="M77" s="169" t="str">
        <f>_xll.BDP($A77,"INDUSTRY_GROUP")</f>
        <v>Banks</v>
      </c>
      <c r="N77" s="170">
        <f>_xll.BDP($A77,"EQY_BETA_6M")</f>
        <v>0.71057179999999998</v>
      </c>
      <c r="O77" s="170">
        <f>_xll.BDP($A77,"EST_PE_NXT_YR")</f>
        <v>3.4164358264081254</v>
      </c>
      <c r="P77" s="170" t="str">
        <f>_xll.BDP($A77,"EST_EV_THIS_YR_EBITDA")</f>
        <v>#N/A N/A</v>
      </c>
      <c r="Q77" s="170" t="str">
        <f>_xll.BDP($A77,"CURRENT_EV_TO_12M_SALES")</f>
        <v>#N/A N/A</v>
      </c>
      <c r="R77" s="170">
        <f>_xll.BDP($A77,"PX_TO_BOOK_RATIO")</f>
        <v>0.38488318243173164</v>
      </c>
      <c r="S77" s="170" t="str">
        <f>_xll.BDP($A77,"PX_TO_FREE_CASH_FLOW")</f>
        <v>#N/A N/A</v>
      </c>
      <c r="T77" s="170" t="str">
        <f>_xll.BDP($A77,"NET_DEBT_TO_EBITDA")</f>
        <v>#N/A N/A</v>
      </c>
      <c r="U77" s="170">
        <f>_xll.BDP($A77,"SALES_GROWTH")</f>
        <v>-0.22078906647557922</v>
      </c>
      <c r="V77" s="170">
        <f>_xll.BDP($A77,"EPS_GROWTH")</f>
        <v>17.166870567503771</v>
      </c>
      <c r="W77" s="170" t="str">
        <f>_xll.BDP($A77,"EBITDA_MARGIN")</f>
        <v>#N/A N/A</v>
      </c>
      <c r="X77" s="170" t="str">
        <f>_xll.BDP($A77,"EBIT_MARGIN")</f>
        <v>#N/A N/A</v>
      </c>
      <c r="Y77" s="170">
        <f>_xll.BDP($A77,"TRAIL_12M_PROF_MARGIN")</f>
        <v>16.593880702534094</v>
      </c>
      <c r="Z77" s="170">
        <f>_xll.BDP($A77,"NORMALIZED_ROE")</f>
        <v>9.1120500408244887</v>
      </c>
      <c r="AA77" s="171" t="str">
        <f>_xll.BDP($A77,"BDVD_PROJ_12M_YLD")</f>
        <v>#N/A N/A</v>
      </c>
      <c r="AB77" s="171" t="str">
        <f>_xll.BDP($A77,"DVD_RECORD_DT")</f>
        <v>31/05/2017</v>
      </c>
      <c r="AC77" s="204">
        <f>_xll.BDP($A77,"EQY_REC_CONS")</f>
        <v>4.1111110000000002</v>
      </c>
      <c r="AD77" s="170" t="str">
        <f>_xll.BDP($A77,"PCT_REVENUE_FROM_FOREIGN_SOURCES")</f>
        <v>#N/A N/A</v>
      </c>
      <c r="AE77" s="172" t="str">
        <f>_xll.BDP($A77,"BDVD_NEXT_EST_DECL_DT")</f>
        <v>#N/A N/A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Enter</vt:lpstr>
      <vt:lpstr>secs</vt:lpstr>
      <vt:lpstr>Arena</vt:lpstr>
      <vt:lpstr>Гарез_GRENF</vt:lpstr>
      <vt:lpstr>Гарез_999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Fedor Serov</cp:lastModifiedBy>
  <cp:lastPrinted>2017-08-30T11:25:30Z</cp:lastPrinted>
  <dcterms:created xsi:type="dcterms:W3CDTF">2014-04-29T04:58:58Z</dcterms:created>
  <dcterms:modified xsi:type="dcterms:W3CDTF">2017-09-15T14:05:34Z</dcterms:modified>
</cp:coreProperties>
</file>