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5195" yWindow="-30" windowWidth="13095" windowHeight="14835" tabRatio="867" activeTab="4"/>
  </bookViews>
  <sheets>
    <sheet name="Enter" sheetId="114" r:id="rId1"/>
    <sheet name="secs" sheetId="113" r:id="rId2"/>
    <sheet name="Arena" sheetId="112" r:id="rId3"/>
    <sheet name="Гарез_GRENF" sheetId="124" r:id="rId4"/>
    <sheet name="Гарез_9999" sheetId="125" r:id="rId5"/>
  </sheets>
  <functionGroups builtInGroupCount="17"/>
  <calcPr calcId="145621" calcMode="manual" calcCompleted="0" calcOnSave="0"/>
</workbook>
</file>

<file path=xl/calcChain.xml><?xml version="1.0" encoding="utf-8"?>
<calcChain xmlns="http://schemas.openxmlformats.org/spreadsheetml/2006/main">
  <c r="F101" i="125" l="1"/>
  <c r="P100" i="125"/>
  <c r="J100" i="125"/>
  <c r="I100" i="125"/>
  <c r="I101" i="125" s="1"/>
  <c r="H101" i="125" s="1"/>
  <c r="J98" i="125"/>
  <c r="I98" i="125"/>
  <c r="H98" i="125" s="1"/>
  <c r="F98" i="125"/>
  <c r="P97" i="125"/>
  <c r="J97" i="125"/>
  <c r="I97" i="125"/>
  <c r="F95" i="125"/>
  <c r="P94" i="125"/>
  <c r="J94" i="125"/>
  <c r="I94" i="125"/>
  <c r="I95" i="125" s="1"/>
  <c r="H95" i="125" s="1"/>
  <c r="F92" i="125"/>
  <c r="P91" i="125"/>
  <c r="I91" i="125"/>
  <c r="I92" i="125" s="1"/>
  <c r="H92" i="125" s="1"/>
  <c r="F89" i="125"/>
  <c r="P88" i="125"/>
  <c r="J88" i="125"/>
  <c r="I88" i="125"/>
  <c r="P87" i="125"/>
  <c r="I87" i="125"/>
  <c r="J87" i="125" s="1"/>
  <c r="I85" i="125"/>
  <c r="H85" i="125" s="1"/>
  <c r="F85" i="125"/>
  <c r="P84" i="125"/>
  <c r="I84" i="125"/>
  <c r="J84" i="125" s="1"/>
  <c r="F82" i="125"/>
  <c r="P81" i="125"/>
  <c r="I81" i="125"/>
  <c r="J81" i="125" s="1"/>
  <c r="F79" i="125"/>
  <c r="P78" i="125"/>
  <c r="I78" i="125"/>
  <c r="J78" i="125" s="1"/>
  <c r="P77" i="125"/>
  <c r="I77" i="125"/>
  <c r="J77" i="125" s="1"/>
  <c r="F75" i="125"/>
  <c r="P74" i="125"/>
  <c r="J74" i="125"/>
  <c r="J75" i="125" s="1"/>
  <c r="I74" i="125"/>
  <c r="I75" i="125" s="1"/>
  <c r="H75" i="125" s="1"/>
  <c r="F72" i="125"/>
  <c r="P71" i="125"/>
  <c r="I71" i="125"/>
  <c r="I72" i="125" s="1"/>
  <c r="H72" i="125" s="1"/>
  <c r="P70" i="125"/>
  <c r="I70" i="125"/>
  <c r="J70" i="125" s="1"/>
  <c r="P69" i="125"/>
  <c r="J69" i="125"/>
  <c r="I69" i="125"/>
  <c r="P68" i="125"/>
  <c r="I68" i="125"/>
  <c r="J68" i="125" s="1"/>
  <c r="F66" i="125"/>
  <c r="P65" i="125"/>
  <c r="I65" i="125"/>
  <c r="J65" i="125" s="1"/>
  <c r="F63" i="125"/>
  <c r="P62" i="125"/>
  <c r="I62" i="125"/>
  <c r="J62" i="125" s="1"/>
  <c r="I60" i="125"/>
  <c r="H60" i="125"/>
  <c r="F60" i="125"/>
  <c r="P59" i="125"/>
  <c r="I59" i="125"/>
  <c r="J59" i="125" s="1"/>
  <c r="F57" i="125"/>
  <c r="P56" i="125"/>
  <c r="I56" i="125"/>
  <c r="J56" i="125" s="1"/>
  <c r="I54" i="125"/>
  <c r="H54" i="125" s="1"/>
  <c r="F54" i="125"/>
  <c r="P53" i="125"/>
  <c r="I53" i="125"/>
  <c r="J53" i="125" s="1"/>
  <c r="F51" i="125"/>
  <c r="P50" i="125"/>
  <c r="I50" i="125"/>
  <c r="J50" i="125" s="1"/>
  <c r="F48" i="125"/>
  <c r="P47" i="125"/>
  <c r="J47" i="125"/>
  <c r="J48" i="125" s="1"/>
  <c r="I47" i="125"/>
  <c r="I48" i="125" s="1"/>
  <c r="H48" i="125" s="1"/>
  <c r="F7" i="125" s="1"/>
  <c r="O7" i="125" s="1"/>
  <c r="I45" i="125"/>
  <c r="F45" i="125"/>
  <c r="J44" i="125"/>
  <c r="I44" i="125"/>
  <c r="J43" i="125"/>
  <c r="J45" i="125" s="1"/>
  <c r="I43" i="125"/>
  <c r="F40" i="125"/>
  <c r="E5" i="125" s="1"/>
  <c r="P39" i="125"/>
  <c r="I39" i="125"/>
  <c r="J39" i="125" s="1"/>
  <c r="I37" i="125"/>
  <c r="H37" i="125" s="1"/>
  <c r="F6" i="125" s="1"/>
  <c r="F37" i="125"/>
  <c r="J36" i="125"/>
  <c r="J37" i="125" s="1"/>
  <c r="I36" i="125"/>
  <c r="F34" i="125"/>
  <c r="I32" i="125"/>
  <c r="I31" i="125"/>
  <c r="F29" i="125"/>
  <c r="E9" i="125" s="1"/>
  <c r="P28" i="125"/>
  <c r="F26" i="125"/>
  <c r="P25" i="125"/>
  <c r="J25" i="125"/>
  <c r="J26" i="125" s="1"/>
  <c r="I25" i="125"/>
  <c r="I26" i="125" s="1"/>
  <c r="H26" i="125" s="1"/>
  <c r="F4" i="125" s="1"/>
  <c r="M19" i="125"/>
  <c r="J19" i="125"/>
  <c r="I19" i="125"/>
  <c r="H19" i="125"/>
  <c r="O13" i="125"/>
  <c r="Q12" i="125"/>
  <c r="E10" i="125"/>
  <c r="E8" i="125"/>
  <c r="E7" i="125"/>
  <c r="E6" i="125"/>
  <c r="E4" i="125"/>
  <c r="M77" i="125"/>
  <c r="M71" i="125"/>
  <c r="L70" i="125"/>
  <c r="D47" i="125"/>
  <c r="M39" i="125"/>
  <c r="G33" i="125"/>
  <c r="D32" i="125"/>
  <c r="U9" i="125"/>
  <c r="U7" i="125"/>
  <c r="U5" i="125"/>
  <c r="K1" i="125"/>
  <c r="M31" i="125"/>
  <c r="H10" i="125"/>
  <c r="T9" i="125"/>
  <c r="H8" i="125"/>
  <c r="T7" i="125"/>
  <c r="H6" i="125"/>
  <c r="T5" i="125"/>
  <c r="H4" i="125"/>
  <c r="I1" i="125"/>
  <c r="D44" i="125"/>
  <c r="L33" i="125"/>
  <c r="V4" i="125"/>
  <c r="M74" i="125"/>
  <c r="M43" i="125"/>
  <c r="M25" i="125"/>
  <c r="M84" i="125"/>
  <c r="M78" i="125"/>
  <c r="L77" i="125"/>
  <c r="D74" i="125"/>
  <c r="L71" i="125"/>
  <c r="M65" i="125"/>
  <c r="M59" i="125"/>
  <c r="M53" i="125"/>
  <c r="D43" i="125"/>
  <c r="L39" i="125"/>
  <c r="G36" i="125"/>
  <c r="D33" i="125"/>
  <c r="G25" i="125"/>
  <c r="B11" i="125"/>
  <c r="V6" i="125"/>
  <c r="J5" i="125"/>
  <c r="M36" i="125"/>
  <c r="M97" i="125"/>
  <c r="M91" i="125"/>
  <c r="D87" i="125"/>
  <c r="L84" i="125"/>
  <c r="D81" i="125"/>
  <c r="L78" i="125"/>
  <c r="D68" i="125"/>
  <c r="L65" i="125"/>
  <c r="D62" i="125"/>
  <c r="L59" i="125"/>
  <c r="D56" i="125"/>
  <c r="L53" i="125"/>
  <c r="G50" i="125"/>
  <c r="M47" i="125"/>
  <c r="D36" i="125"/>
  <c r="M33" i="125"/>
  <c r="M32" i="125"/>
  <c r="L31" i="125"/>
  <c r="D25" i="125"/>
  <c r="G10" i="125"/>
  <c r="K9" i="125"/>
  <c r="B9" i="125"/>
  <c r="G8" i="125"/>
  <c r="K7" i="125"/>
  <c r="B7" i="125"/>
  <c r="G6" i="125"/>
  <c r="K5" i="125"/>
  <c r="B5" i="125"/>
  <c r="G4" i="125"/>
  <c r="G1" i="125"/>
  <c r="D100" i="125"/>
  <c r="L97" i="125"/>
  <c r="D94" i="125"/>
  <c r="L91" i="125"/>
  <c r="D88" i="125"/>
  <c r="D69" i="125"/>
  <c r="D50" i="125"/>
  <c r="L47" i="125"/>
  <c r="L32" i="125"/>
  <c r="H28" i="125"/>
  <c r="J9" i="125"/>
  <c r="J7" i="125"/>
  <c r="D70" i="125"/>
  <c r="L100" i="125"/>
  <c r="D97" i="125"/>
  <c r="L94" i="125"/>
  <c r="D91" i="125"/>
  <c r="L88" i="125"/>
  <c r="M70" i="125"/>
  <c r="L69" i="125"/>
  <c r="G47" i="125"/>
  <c r="L44" i="125"/>
  <c r="H33" i="125"/>
  <c r="G32" i="125"/>
  <c r="D31" i="125"/>
  <c r="L28" i="125"/>
  <c r="O19" i="125"/>
  <c r="G11" i="125"/>
  <c r="J10" i="125"/>
  <c r="V9" i="125"/>
  <c r="J8" i="125"/>
  <c r="V7" i="125"/>
  <c r="J6" i="125"/>
  <c r="V5" i="125"/>
  <c r="J4" i="125"/>
  <c r="P1" i="125"/>
  <c r="V8" i="125"/>
  <c r="G28" i="125"/>
  <c r="M88" i="125"/>
  <c r="L81" i="125"/>
  <c r="L50" i="125"/>
  <c r="M28" i="125"/>
  <c r="E19" i="125"/>
  <c r="K8" i="125"/>
  <c r="H7" i="125"/>
  <c r="K6" i="125"/>
  <c r="H5" i="125"/>
  <c r="D59" i="125"/>
  <c r="L36" i="125"/>
  <c r="D28" i="125"/>
  <c r="B19" i="125"/>
  <c r="H9" i="125"/>
  <c r="G7" i="125"/>
  <c r="G5" i="125"/>
  <c r="D71" i="125"/>
  <c r="D39" i="125"/>
  <c r="M62" i="125"/>
  <c r="K10" i="125"/>
  <c r="M100" i="125"/>
  <c r="D77" i="125"/>
  <c r="M69" i="125"/>
  <c r="L62" i="125"/>
  <c r="M44" i="125"/>
  <c r="R19" i="125"/>
  <c r="G9" i="125"/>
  <c r="U4" i="125"/>
  <c r="B4" i="125"/>
  <c r="K11" i="125"/>
  <c r="U8" i="125"/>
  <c r="B8" i="125"/>
  <c r="U6" i="125"/>
  <c r="B6" i="125"/>
  <c r="T4" i="125"/>
  <c r="M87" i="125"/>
  <c r="D84" i="125"/>
  <c r="M56" i="125"/>
  <c r="D53" i="125"/>
  <c r="U10" i="125"/>
  <c r="B10" i="125"/>
  <c r="T8" i="125"/>
  <c r="T6" i="125"/>
  <c r="M94" i="125"/>
  <c r="L87" i="125"/>
  <c r="L56" i="125"/>
  <c r="L43" i="125"/>
  <c r="G39" i="125"/>
  <c r="G31" i="125"/>
  <c r="L25" i="125"/>
  <c r="T10" i="125"/>
  <c r="L74" i="125"/>
  <c r="D65" i="125"/>
  <c r="M81" i="125"/>
  <c r="D78" i="125"/>
  <c r="L68" i="125"/>
  <c r="M50" i="125"/>
  <c r="T11" i="125"/>
  <c r="K4" i="125"/>
  <c r="M68" i="125"/>
  <c r="K74" i="125" l="1"/>
  <c r="K75" i="125" s="1"/>
  <c r="K25" i="125"/>
  <c r="K26" i="125" s="1"/>
  <c r="N4" i="125" s="1"/>
  <c r="N13" i="125" s="1"/>
  <c r="K43" i="125"/>
  <c r="K45" i="125" s="1"/>
  <c r="N11" i="125" s="1"/>
  <c r="P9" i="125"/>
  <c r="Q5" i="125"/>
  <c r="P5" i="125"/>
  <c r="M7" i="125"/>
  <c r="Q7" i="125"/>
  <c r="P7" i="125"/>
  <c r="I9" i="125"/>
  <c r="K36" i="125"/>
  <c r="K37" i="125" s="1"/>
  <c r="N6" i="125" s="1"/>
  <c r="I5" i="125"/>
  <c r="I7" i="125"/>
  <c r="P11" i="125"/>
  <c r="I33" i="125"/>
  <c r="I28" i="125"/>
  <c r="M4" i="125"/>
  <c r="M6" i="125"/>
  <c r="M8" i="125"/>
  <c r="I4" i="125"/>
  <c r="I6" i="125"/>
  <c r="I8" i="125"/>
  <c r="I10" i="125"/>
  <c r="P33" i="125"/>
  <c r="J32" i="125"/>
  <c r="K32" i="125" s="1"/>
  <c r="K78" i="125"/>
  <c r="J89" i="125"/>
  <c r="K87" i="125"/>
  <c r="K89" i="125" s="1"/>
  <c r="K94" i="125"/>
  <c r="K95" i="125" s="1"/>
  <c r="N19" i="125"/>
  <c r="J66" i="125"/>
  <c r="K65" i="125"/>
  <c r="K66" i="125" s="1"/>
  <c r="J31" i="125"/>
  <c r="K39" i="125"/>
  <c r="K40" i="125" s="1"/>
  <c r="N5" i="125" s="1"/>
  <c r="J40" i="125"/>
  <c r="J91" i="125"/>
  <c r="K44" i="125"/>
  <c r="J54" i="125"/>
  <c r="K53" i="125"/>
  <c r="K54" i="125" s="1"/>
  <c r="J63" i="125"/>
  <c r="K62" i="125"/>
  <c r="K63" i="125" s="1"/>
  <c r="K69" i="125"/>
  <c r="J85" i="125"/>
  <c r="K84" i="125"/>
  <c r="K85" i="125" s="1"/>
  <c r="K100" i="125"/>
  <c r="K101" i="125" s="1"/>
  <c r="P10" i="125"/>
  <c r="I79" i="125"/>
  <c r="H79" i="125" s="1"/>
  <c r="Q6" i="125"/>
  <c r="P6" i="125"/>
  <c r="O6" i="125"/>
  <c r="J79" i="125"/>
  <c r="K77" i="125"/>
  <c r="K79" i="125" s="1"/>
  <c r="J82" i="125"/>
  <c r="K81" i="125"/>
  <c r="K82" i="125" s="1"/>
  <c r="K88" i="125"/>
  <c r="K97" i="125"/>
  <c r="K98" i="125" s="1"/>
  <c r="K47" i="125"/>
  <c r="K48" i="125" s="1"/>
  <c r="N7" i="125" s="1"/>
  <c r="J57" i="125"/>
  <c r="K56" i="125"/>
  <c r="K57" i="125" s="1"/>
  <c r="Q8" i="125"/>
  <c r="P8" i="125"/>
  <c r="O8" i="125"/>
  <c r="E11" i="125"/>
  <c r="H45" i="125"/>
  <c r="F11" i="125" s="1"/>
  <c r="M11" i="125" s="1"/>
  <c r="J51" i="125"/>
  <c r="K50" i="125"/>
  <c r="K51" i="125" s="1"/>
  <c r="N8" i="125" s="1"/>
  <c r="I66" i="125"/>
  <c r="H66" i="125" s="1"/>
  <c r="Q4" i="125"/>
  <c r="P4" i="125"/>
  <c r="O4" i="125"/>
  <c r="K59" i="125"/>
  <c r="K60" i="125" s="1"/>
  <c r="J60" i="125"/>
  <c r="J72" i="125"/>
  <c r="K68" i="125"/>
  <c r="K72" i="125" s="1"/>
  <c r="K70" i="125"/>
  <c r="I40" i="125"/>
  <c r="H40" i="125" s="1"/>
  <c r="F5" i="125" s="1"/>
  <c r="O5" i="125" s="1"/>
  <c r="J71" i="125"/>
  <c r="K71" i="125" s="1"/>
  <c r="I89" i="125"/>
  <c r="H89" i="125" s="1"/>
  <c r="I51" i="125"/>
  <c r="H51" i="125" s="1"/>
  <c r="F8" i="125" s="1"/>
  <c r="I57" i="125"/>
  <c r="H57" i="125" s="1"/>
  <c r="I63" i="125"/>
  <c r="H63" i="125" s="1"/>
  <c r="I82" i="125"/>
  <c r="H82" i="125" s="1"/>
  <c r="J95" i="125"/>
  <c r="J101" i="125"/>
  <c r="F101" i="124"/>
  <c r="P100" i="124"/>
  <c r="J100" i="124"/>
  <c r="J101" i="124" s="1"/>
  <c r="I100" i="124"/>
  <c r="I101" i="124" s="1"/>
  <c r="H101" i="124" s="1"/>
  <c r="F98" i="124"/>
  <c r="P97" i="124"/>
  <c r="I97" i="124"/>
  <c r="J97" i="124" s="1"/>
  <c r="F95" i="124"/>
  <c r="P94" i="124"/>
  <c r="I94" i="124"/>
  <c r="J94" i="124" s="1"/>
  <c r="F92" i="124"/>
  <c r="P91" i="124"/>
  <c r="I91" i="124"/>
  <c r="I92" i="124" s="1"/>
  <c r="H92" i="124" s="1"/>
  <c r="F89" i="124"/>
  <c r="P88" i="124"/>
  <c r="I88" i="124"/>
  <c r="J88" i="124" s="1"/>
  <c r="P87" i="124"/>
  <c r="J87" i="124"/>
  <c r="I87" i="124"/>
  <c r="I89" i="124" s="1"/>
  <c r="H89" i="124" s="1"/>
  <c r="F85" i="124"/>
  <c r="P84" i="124"/>
  <c r="I84" i="124"/>
  <c r="J84" i="124" s="1"/>
  <c r="F82" i="124"/>
  <c r="P81" i="124"/>
  <c r="I81" i="124"/>
  <c r="J81" i="124" s="1"/>
  <c r="I79" i="124"/>
  <c r="H79" i="124"/>
  <c r="F79" i="124"/>
  <c r="P78" i="124"/>
  <c r="I78" i="124"/>
  <c r="J78" i="124" s="1"/>
  <c r="P77" i="124"/>
  <c r="I77" i="124"/>
  <c r="J77" i="124" s="1"/>
  <c r="F75" i="124"/>
  <c r="P74" i="124"/>
  <c r="J74" i="124"/>
  <c r="J75" i="124" s="1"/>
  <c r="I74" i="124"/>
  <c r="I75" i="124" s="1"/>
  <c r="H75" i="124" s="1"/>
  <c r="F72" i="124"/>
  <c r="P71" i="124"/>
  <c r="I71" i="124"/>
  <c r="J71" i="124" s="1"/>
  <c r="P70" i="124"/>
  <c r="I70" i="124"/>
  <c r="J70" i="124" s="1"/>
  <c r="P69" i="124"/>
  <c r="I69" i="124"/>
  <c r="J69" i="124" s="1"/>
  <c r="P68" i="124"/>
  <c r="J68" i="124"/>
  <c r="I68" i="124"/>
  <c r="F66" i="124"/>
  <c r="P65" i="124"/>
  <c r="I65" i="124"/>
  <c r="I66" i="124" s="1"/>
  <c r="H66" i="124" s="1"/>
  <c r="F63" i="124"/>
  <c r="P62" i="124"/>
  <c r="J62" i="124"/>
  <c r="J63" i="124" s="1"/>
  <c r="I62" i="124"/>
  <c r="I63" i="124" s="1"/>
  <c r="H63" i="124" s="1"/>
  <c r="F60" i="124"/>
  <c r="P59" i="124"/>
  <c r="I59" i="124"/>
  <c r="J59" i="124" s="1"/>
  <c r="F57" i="124"/>
  <c r="P56" i="124"/>
  <c r="J56" i="124"/>
  <c r="J57" i="124" s="1"/>
  <c r="I56" i="124"/>
  <c r="I57" i="124" s="1"/>
  <c r="H57" i="124" s="1"/>
  <c r="F54" i="124"/>
  <c r="P53" i="124"/>
  <c r="I53" i="124"/>
  <c r="I54" i="124" s="1"/>
  <c r="H54" i="124" s="1"/>
  <c r="F51" i="124"/>
  <c r="P50" i="124"/>
  <c r="J50" i="124"/>
  <c r="J51" i="124" s="1"/>
  <c r="I50" i="124"/>
  <c r="I51" i="124" s="1"/>
  <c r="H51" i="124" s="1"/>
  <c r="F8" i="124" s="1"/>
  <c r="F48" i="124"/>
  <c r="P47" i="124"/>
  <c r="I47" i="124"/>
  <c r="J47" i="124" s="1"/>
  <c r="I45" i="124"/>
  <c r="F45" i="124"/>
  <c r="E11" i="124" s="1"/>
  <c r="I44" i="124"/>
  <c r="J44" i="124" s="1"/>
  <c r="J43" i="124"/>
  <c r="I43" i="124"/>
  <c r="F40" i="124"/>
  <c r="E5" i="124" s="1"/>
  <c r="P39" i="124"/>
  <c r="I39" i="124"/>
  <c r="I40" i="124" s="1"/>
  <c r="H40" i="124" s="1"/>
  <c r="F5" i="124" s="1"/>
  <c r="F37" i="124"/>
  <c r="J36" i="124"/>
  <c r="J37" i="124" s="1"/>
  <c r="I36" i="124"/>
  <c r="I37" i="124" s="1"/>
  <c r="H37" i="124" s="1"/>
  <c r="F6" i="124" s="1"/>
  <c r="F34" i="124"/>
  <c r="I32" i="124"/>
  <c r="I31" i="124"/>
  <c r="F29" i="124"/>
  <c r="E9" i="124" s="1"/>
  <c r="P28" i="124"/>
  <c r="F26" i="124"/>
  <c r="P25" i="124"/>
  <c r="J25" i="124"/>
  <c r="J26" i="124" s="1"/>
  <c r="I25" i="124"/>
  <c r="I26" i="124" s="1"/>
  <c r="H26" i="124" s="1"/>
  <c r="M19" i="124"/>
  <c r="J19" i="124"/>
  <c r="I19" i="124"/>
  <c r="H19" i="124"/>
  <c r="O13" i="124"/>
  <c r="Q12" i="124"/>
  <c r="E10" i="124"/>
  <c r="E8" i="124"/>
  <c r="E7" i="124"/>
  <c r="E6" i="124"/>
  <c r="E4" i="124"/>
  <c r="D47" i="124"/>
  <c r="L43" i="124"/>
  <c r="L77" i="124"/>
  <c r="G36" i="124"/>
  <c r="G28" i="124"/>
  <c r="L56" i="124"/>
  <c r="L78" i="124"/>
  <c r="M47" i="124"/>
  <c r="D69" i="124"/>
  <c r="M81" i="124"/>
  <c r="M69" i="124"/>
  <c r="L88" i="124"/>
  <c r="L28" i="124"/>
  <c r="B19" i="124"/>
  <c r="J4" i="124"/>
  <c r="V4" i="124"/>
  <c r="T4" i="124"/>
  <c r="I1" i="124"/>
  <c r="K5" i="124"/>
  <c r="H5" i="124"/>
  <c r="K6" i="124"/>
  <c r="D33" i="124"/>
  <c r="D68" i="124"/>
  <c r="D50" i="124"/>
  <c r="D77" i="124"/>
  <c r="M70" i="124"/>
  <c r="G11" i="124"/>
  <c r="U10" i="124"/>
  <c r="H10" i="124"/>
  <c r="G4" i="124"/>
  <c r="K11" i="124"/>
  <c r="M56" i="124"/>
  <c r="V9" i="124"/>
  <c r="H8" i="124"/>
  <c r="B9" i="124"/>
  <c r="K4" i="124"/>
  <c r="M59" i="124"/>
  <c r="L59" i="124"/>
  <c r="G39" i="124"/>
  <c r="L44" i="124"/>
  <c r="B5" i="124"/>
  <c r="G8" i="124"/>
  <c r="B4" i="124"/>
  <c r="M77" i="124"/>
  <c r="L91" i="124"/>
  <c r="D25" i="124"/>
  <c r="H33" i="124"/>
  <c r="T10" i="124"/>
  <c r="B11" i="124"/>
  <c r="M84" i="124"/>
  <c r="L84" i="124"/>
  <c r="M100" i="124"/>
  <c r="J6" i="124"/>
  <c r="B7" i="124"/>
  <c r="U8" i="124"/>
  <c r="M39" i="124"/>
  <c r="L36" i="124"/>
  <c r="D74" i="124"/>
  <c r="D71" i="124"/>
  <c r="L50" i="124"/>
  <c r="D36" i="124"/>
  <c r="D53" i="124"/>
  <c r="L74" i="124"/>
  <c r="P1" i="124"/>
  <c r="G10" i="124"/>
  <c r="B6" i="124"/>
  <c r="M28" i="124"/>
  <c r="U9" i="124"/>
  <c r="J7" i="124"/>
  <c r="L97" i="124"/>
  <c r="L87" i="124"/>
  <c r="L31" i="124"/>
  <c r="D65" i="124"/>
  <c r="K1" i="124"/>
  <c r="G9" i="124"/>
  <c r="M53" i="124"/>
  <c r="D56" i="124"/>
  <c r="D97" i="124"/>
  <c r="G1" i="124"/>
  <c r="K7" i="124"/>
  <c r="M71" i="124"/>
  <c r="L32" i="124"/>
  <c r="M43" i="124"/>
  <c r="E19" i="124"/>
  <c r="G33" i="124"/>
  <c r="M94" i="124"/>
  <c r="L71" i="124"/>
  <c r="M31" i="124"/>
  <c r="M62" i="124"/>
  <c r="D39" i="124"/>
  <c r="L65" i="124"/>
  <c r="M33" i="124"/>
  <c r="D44" i="124"/>
  <c r="M68" i="124"/>
  <c r="M44" i="124"/>
  <c r="L69" i="124"/>
  <c r="L25" i="124"/>
  <c r="J10" i="124"/>
  <c r="U7" i="124"/>
  <c r="H7" i="124"/>
  <c r="T9" i="124"/>
  <c r="K9" i="124"/>
  <c r="J9" i="124"/>
  <c r="K10" i="124"/>
  <c r="G5" i="124"/>
  <c r="D32" i="124"/>
  <c r="L68" i="124"/>
  <c r="M65" i="124"/>
  <c r="G25" i="124"/>
  <c r="M50" i="124"/>
  <c r="M97" i="124"/>
  <c r="D62" i="124"/>
  <c r="M32" i="124"/>
  <c r="H28" i="124"/>
  <c r="G47" i="124"/>
  <c r="D84" i="124"/>
  <c r="U5" i="124"/>
  <c r="B10" i="124"/>
  <c r="L62" i="124"/>
  <c r="D100" i="124"/>
  <c r="M91" i="124"/>
  <c r="M74" i="124"/>
  <c r="J8" i="124"/>
  <c r="T7" i="124"/>
  <c r="J5" i="124"/>
  <c r="G31" i="124"/>
  <c r="D87" i="124"/>
  <c r="D28" i="124"/>
  <c r="V7" i="124"/>
  <c r="H6" i="124"/>
  <c r="K8" i="124"/>
  <c r="L33" i="124"/>
  <c r="D78" i="124"/>
  <c r="D94" i="124"/>
  <c r="G32" i="124"/>
  <c r="V8" i="124"/>
  <c r="T5" i="124"/>
  <c r="T11" i="124"/>
  <c r="L70" i="124"/>
  <c r="M87" i="124"/>
  <c r="M78" i="124"/>
  <c r="L39" i="124"/>
  <c r="M36" i="124"/>
  <c r="D59" i="124"/>
  <c r="D81" i="124"/>
  <c r="G50" i="124"/>
  <c r="D88" i="124"/>
  <c r="M25" i="124"/>
  <c r="M88" i="124"/>
  <c r="D91" i="124"/>
  <c r="D31" i="124"/>
  <c r="O19" i="124"/>
  <c r="V5" i="124"/>
  <c r="V6" i="124"/>
  <c r="T6" i="124"/>
  <c r="H4" i="124"/>
  <c r="G6" i="124"/>
  <c r="H9" i="124"/>
  <c r="G7" i="124"/>
  <c r="U4" i="124"/>
  <c r="L100" i="124"/>
  <c r="L47" i="124"/>
  <c r="L81" i="124"/>
  <c r="D70" i="124"/>
  <c r="R19" i="124"/>
  <c r="U6" i="124"/>
  <c r="D43" i="124"/>
  <c r="L53" i="124"/>
  <c r="L94" i="124"/>
  <c r="T8" i="124"/>
  <c r="B8" i="124"/>
  <c r="Q13" i="125" l="1"/>
  <c r="D7" i="125" s="1"/>
  <c r="S4" i="125"/>
  <c r="S13" i="125" s="1"/>
  <c r="S8" i="125"/>
  <c r="Q11" i="125"/>
  <c r="R11" i="125"/>
  <c r="L11" i="125"/>
  <c r="L5" i="125"/>
  <c r="R5" i="125"/>
  <c r="K91" i="125"/>
  <c r="K92" i="125" s="1"/>
  <c r="J92" i="125"/>
  <c r="S5" i="125"/>
  <c r="M5" i="125"/>
  <c r="Q9" i="125"/>
  <c r="R6" i="125"/>
  <c r="L6" i="125"/>
  <c r="K31" i="125"/>
  <c r="K34" i="125" s="1"/>
  <c r="N10" i="125" s="1"/>
  <c r="R10" i="125" s="1"/>
  <c r="J34" i="125"/>
  <c r="O11" i="125"/>
  <c r="S6" i="125"/>
  <c r="J28" i="125"/>
  <c r="I29" i="125"/>
  <c r="H29" i="125" s="1"/>
  <c r="F9" i="125" s="1"/>
  <c r="L7" i="125"/>
  <c r="R7" i="125"/>
  <c r="J33" i="125"/>
  <c r="K33" i="125" s="1"/>
  <c r="I34" i="125"/>
  <c r="H34" i="125" s="1"/>
  <c r="F10" i="125" s="1"/>
  <c r="S7" i="125"/>
  <c r="R4" i="125"/>
  <c r="R13" i="125" s="1"/>
  <c r="L4" i="125"/>
  <c r="P13" i="125"/>
  <c r="R8" i="125"/>
  <c r="L8" i="125"/>
  <c r="Q10" i="125"/>
  <c r="N20" i="125"/>
  <c r="P19" i="125"/>
  <c r="P20" i="125" s="1"/>
  <c r="P33" i="124"/>
  <c r="K25" i="124"/>
  <c r="K26" i="124" s="1"/>
  <c r="N4" i="124" s="1"/>
  <c r="N13" i="124" s="1"/>
  <c r="K74" i="124"/>
  <c r="K75" i="124" s="1"/>
  <c r="I33" i="124"/>
  <c r="K100" i="124"/>
  <c r="K101" i="124" s="1"/>
  <c r="I28" i="124"/>
  <c r="K50" i="124"/>
  <c r="K51" i="124" s="1"/>
  <c r="N8" i="124" s="1"/>
  <c r="K56" i="124"/>
  <c r="K57" i="124" s="1"/>
  <c r="K87" i="124"/>
  <c r="K89" i="124" s="1"/>
  <c r="K62" i="124"/>
  <c r="K63" i="124" s="1"/>
  <c r="K68" i="124"/>
  <c r="K72" i="124" s="1"/>
  <c r="K36" i="124"/>
  <c r="K37" i="124" s="1"/>
  <c r="N6" i="124" s="1"/>
  <c r="K43" i="124"/>
  <c r="K45" i="124" s="1"/>
  <c r="N11" i="124" s="1"/>
  <c r="O11" i="124"/>
  <c r="K88" i="124"/>
  <c r="K97" i="124"/>
  <c r="K98" i="124" s="1"/>
  <c r="J98" i="124"/>
  <c r="K78" i="124"/>
  <c r="O5" i="124"/>
  <c r="K69" i="124"/>
  <c r="J72" i="124"/>
  <c r="K59" i="124"/>
  <c r="K60" i="124" s="1"/>
  <c r="J60" i="124"/>
  <c r="K77" i="124"/>
  <c r="K79" i="124" s="1"/>
  <c r="J79" i="124"/>
  <c r="K71" i="124"/>
  <c r="K47" i="124"/>
  <c r="K48" i="124" s="1"/>
  <c r="N7" i="124" s="1"/>
  <c r="J48" i="124"/>
  <c r="K84" i="124"/>
  <c r="K85" i="124" s="1"/>
  <c r="J85" i="124"/>
  <c r="J31" i="124"/>
  <c r="J32" i="124"/>
  <c r="K32" i="124" s="1"/>
  <c r="J45" i="124"/>
  <c r="J89" i="124"/>
  <c r="K94" i="124"/>
  <c r="K95" i="124" s="1"/>
  <c r="J95" i="124"/>
  <c r="K44" i="124"/>
  <c r="K70" i="124"/>
  <c r="J82" i="124"/>
  <c r="K81" i="124"/>
  <c r="K82" i="124" s="1"/>
  <c r="I48" i="124"/>
  <c r="H48" i="124" s="1"/>
  <c r="F7" i="124" s="1"/>
  <c r="H45" i="124"/>
  <c r="F11" i="124" s="1"/>
  <c r="M11" i="124" s="1"/>
  <c r="I60" i="124"/>
  <c r="H60" i="124" s="1"/>
  <c r="I85" i="124"/>
  <c r="H85" i="124" s="1"/>
  <c r="J91" i="124"/>
  <c r="J53" i="124"/>
  <c r="J65" i="124"/>
  <c r="J39" i="124"/>
  <c r="I95" i="124"/>
  <c r="H95" i="124" s="1"/>
  <c r="I98" i="124"/>
  <c r="H98" i="124" s="1"/>
  <c r="I72" i="124"/>
  <c r="H72" i="124" s="1"/>
  <c r="O7" i="124"/>
  <c r="I82" i="124"/>
  <c r="H82" i="124" s="1"/>
  <c r="N19" i="124"/>
  <c r="F4" i="124"/>
  <c r="M4" i="124" s="1"/>
  <c r="P5" i="124"/>
  <c r="M5" i="124"/>
  <c r="Q5" i="124"/>
  <c r="M7" i="124"/>
  <c r="Q7" i="124"/>
  <c r="P7" i="124"/>
  <c r="P9" i="124"/>
  <c r="I5" i="124"/>
  <c r="I9" i="124"/>
  <c r="M6" i="124"/>
  <c r="M8" i="124"/>
  <c r="I4" i="124"/>
  <c r="I6" i="124"/>
  <c r="I8" i="124"/>
  <c r="I10" i="124"/>
  <c r="I7" i="124"/>
  <c r="P11" i="124"/>
  <c r="P10" i="124"/>
  <c r="Q8" i="124"/>
  <c r="Q6" i="124"/>
  <c r="Q4" i="124"/>
  <c r="O6" i="124"/>
  <c r="O8" i="124"/>
  <c r="P4" i="124"/>
  <c r="P6" i="124"/>
  <c r="P8" i="124"/>
  <c r="D6" i="125" l="1"/>
  <c r="D5" i="125"/>
  <c r="D8" i="125"/>
  <c r="D4" i="125"/>
  <c r="T13" i="125" s="1"/>
  <c r="L10" i="125"/>
  <c r="O10" i="125"/>
  <c r="S10" i="125" s="1"/>
  <c r="J35" i="125"/>
  <c r="D10" i="125"/>
  <c r="D11" i="125"/>
  <c r="S11" i="125"/>
  <c r="L9" i="125"/>
  <c r="N9" i="125"/>
  <c r="R9" i="125" s="1"/>
  <c r="K28" i="125"/>
  <c r="K29" i="125" s="1"/>
  <c r="J29" i="125"/>
  <c r="O9" i="125" s="1"/>
  <c r="S9" i="125" s="1"/>
  <c r="D9" i="125"/>
  <c r="Q14" i="125"/>
  <c r="D12" i="125"/>
  <c r="J40" i="124"/>
  <c r="K39" i="124"/>
  <c r="K40" i="124" s="1"/>
  <c r="N5" i="124" s="1"/>
  <c r="L5" i="124" s="1"/>
  <c r="K53" i="124"/>
  <c r="K54" i="124" s="1"/>
  <c r="J54" i="124"/>
  <c r="K91" i="124"/>
  <c r="K92" i="124" s="1"/>
  <c r="J92" i="124"/>
  <c r="J33" i="124"/>
  <c r="K33" i="124" s="1"/>
  <c r="I34" i="124"/>
  <c r="H34" i="124" s="1"/>
  <c r="F10" i="124" s="1"/>
  <c r="K65" i="124"/>
  <c r="K66" i="124" s="1"/>
  <c r="J66" i="124"/>
  <c r="J34" i="124"/>
  <c r="K31" i="124"/>
  <c r="K34" i="124" s="1"/>
  <c r="N10" i="124" s="1"/>
  <c r="R10" i="124" s="1"/>
  <c r="P19" i="124"/>
  <c r="P20" i="124" s="1"/>
  <c r="N20" i="124"/>
  <c r="J28" i="124"/>
  <c r="I29" i="124"/>
  <c r="H29" i="124" s="1"/>
  <c r="F9" i="124" s="1"/>
  <c r="L9" i="124" s="1"/>
  <c r="O4" i="124"/>
  <c r="Q9" i="124"/>
  <c r="R8" i="124"/>
  <c r="L8" i="124"/>
  <c r="S8" i="124"/>
  <c r="L7" i="124"/>
  <c r="R7" i="124"/>
  <c r="R6" i="124"/>
  <c r="L6" i="124"/>
  <c r="Q10" i="124"/>
  <c r="S7" i="124"/>
  <c r="R4" i="124"/>
  <c r="R13" i="124" s="1"/>
  <c r="P13" i="124"/>
  <c r="L4" i="124"/>
  <c r="R11" i="124"/>
  <c r="Q11" i="124"/>
  <c r="L11" i="124"/>
  <c r="S5" i="124"/>
  <c r="Q13" i="124"/>
  <c r="S4" i="124"/>
  <c r="S13" i="124" s="1"/>
  <c r="S6" i="124"/>
  <c r="M13" i="125" l="1"/>
  <c r="I13" i="125"/>
  <c r="D13" i="125"/>
  <c r="L13" i="125"/>
  <c r="M9" i="125"/>
  <c r="L10" i="124"/>
  <c r="M10" i="125"/>
  <c r="R5" i="124"/>
  <c r="K28" i="124"/>
  <c r="K29" i="124" s="1"/>
  <c r="J29" i="124"/>
  <c r="O9" i="124" s="1"/>
  <c r="M9" i="124" s="1"/>
  <c r="O10" i="124"/>
  <c r="M10" i="124" s="1"/>
  <c r="J35" i="124"/>
  <c r="N9" i="124"/>
  <c r="R9" i="124" s="1"/>
  <c r="D6" i="124"/>
  <c r="D4" i="124"/>
  <c r="M13" i="124" s="1"/>
  <c r="D5" i="124"/>
  <c r="D7" i="124"/>
  <c r="D8" i="124"/>
  <c r="D11" i="124"/>
  <c r="S11" i="124"/>
  <c r="D10" i="124"/>
  <c r="D9" i="124"/>
  <c r="Q14" i="124"/>
  <c r="D12" i="124"/>
  <c r="S9" i="124" l="1"/>
  <c r="S10" i="124"/>
  <c r="T13" i="124"/>
  <c r="D13" i="124"/>
  <c r="L13" i="124"/>
  <c r="I13" i="124"/>
</calcChain>
</file>

<file path=xl/sharedStrings.xml><?xml version="1.0" encoding="utf-8"?>
<sst xmlns="http://schemas.openxmlformats.org/spreadsheetml/2006/main" count="4345" uniqueCount="2801">
  <si>
    <t>LXFT US EQUITY</t>
  </si>
  <si>
    <t>ANR</t>
  </si>
  <si>
    <t>XS0553072611 Corp</t>
  </si>
  <si>
    <t>VIP US EQUITY</t>
  </si>
  <si>
    <t>BUY</t>
  </si>
  <si>
    <t>SELL</t>
  </si>
  <si>
    <t>SBER RX Equity</t>
  </si>
  <si>
    <t>LKOH RX Equity</t>
  </si>
  <si>
    <t>GAZP RX Equity</t>
  </si>
  <si>
    <t>GMKN RX Equity</t>
  </si>
  <si>
    <t>MAGN RX Equity</t>
  </si>
  <si>
    <t>CHMF RX Equity</t>
  </si>
  <si>
    <t>SIBN RX Equity</t>
  </si>
  <si>
    <t>WZR CN Equity</t>
  </si>
  <si>
    <t>XS0555493203 Corp</t>
  </si>
  <si>
    <t>XS0618905219 Corp</t>
  </si>
  <si>
    <t>OGZD LI EQUITY</t>
  </si>
  <si>
    <t>KMG LI EQUITY</t>
  </si>
  <si>
    <t>RUB</t>
  </si>
  <si>
    <t>IRAO RX Equity</t>
  </si>
  <si>
    <t>USD</t>
  </si>
  <si>
    <t>FIVE LI Equity</t>
  </si>
  <si>
    <t>MFON LI Equity</t>
  </si>
  <si>
    <t>MTSS RX Equity</t>
  </si>
  <si>
    <t>NVTK LI Equity</t>
  </si>
  <si>
    <t>Date</t>
  </si>
  <si>
    <t>RUB FX</t>
  </si>
  <si>
    <t>USD FX</t>
  </si>
  <si>
    <t>CUR</t>
  </si>
  <si>
    <t>Crncy</t>
  </si>
  <si>
    <t>Notional</t>
  </si>
  <si>
    <t>Direction</t>
  </si>
  <si>
    <t>Security name</t>
  </si>
  <si>
    <t>Ticker / ISIN</t>
  </si>
  <si>
    <t>Client</t>
  </si>
  <si>
    <t>Indicative</t>
  </si>
  <si>
    <t>Value</t>
  </si>
  <si>
    <t>Price,</t>
  </si>
  <si>
    <t>История ордеров</t>
  </si>
  <si>
    <t>Итого</t>
  </si>
  <si>
    <t>Валюта</t>
  </si>
  <si>
    <t>Изменение, %</t>
  </si>
  <si>
    <t>Цена продажи</t>
  </si>
  <si>
    <t>Цена покупки</t>
  </si>
  <si>
    <t>Стоимость позиции по цене продажи</t>
  </si>
  <si>
    <t>Стоимость позиции по цене покупки</t>
  </si>
  <si>
    <t>% исполнения ордера</t>
  </si>
  <si>
    <t>Bloomberg Тикер</t>
  </si>
  <si>
    <t>Эмитент</t>
  </si>
  <si>
    <t>Cash</t>
  </si>
  <si>
    <t>MOEX RX Equity</t>
  </si>
  <si>
    <t>FEES RX Equity</t>
  </si>
  <si>
    <t>Прибыль / убыток (RUB)</t>
  </si>
  <si>
    <t>Прибыль / убыток (USD)</t>
  </si>
  <si>
    <t>Стоимость позиции по текущей цене (USD)</t>
  </si>
  <si>
    <t>Стоимость позиции по текущей цене (CUR)</t>
  </si>
  <si>
    <t>Стоимость позиции на дату покупки (CUR)</t>
  </si>
  <si>
    <t>Текущая цена</t>
  </si>
  <si>
    <t>Текущая позиция (акций)</t>
  </si>
  <si>
    <t>Доля в портфеле</t>
  </si>
  <si>
    <t>Low 52week</t>
  </si>
  <si>
    <t>USDRUB Curncy</t>
  </si>
  <si>
    <t>Стоимость позиции на дату покупки (USD)</t>
  </si>
  <si>
    <t>HGM LN EQUITY</t>
  </si>
  <si>
    <t>LKOD LI Equity</t>
  </si>
  <si>
    <t>Изменение (USD), %</t>
  </si>
  <si>
    <t>NORD LI Equity</t>
  </si>
  <si>
    <t>HMSG LI Equity</t>
  </si>
  <si>
    <t>MVID RX Equity</t>
  </si>
  <si>
    <t>XS0841677387 Corp</t>
  </si>
  <si>
    <t>EONR</t>
  </si>
  <si>
    <t>SBERP RX Equity</t>
  </si>
  <si>
    <t>PHAU LN Equity</t>
  </si>
  <si>
    <t>XS0975320879 Corp</t>
  </si>
  <si>
    <t>XS0974469206 Corp</t>
  </si>
  <si>
    <t>ETLN LI Equity</t>
  </si>
  <si>
    <t>Исполнено бумаг</t>
  </si>
  <si>
    <t>Размер ордера, руб</t>
  </si>
  <si>
    <t>Направление ордера</t>
  </si>
  <si>
    <t>Размер ордера, кол-во бумаг</t>
  </si>
  <si>
    <t>XS0588433267 Corp</t>
  </si>
  <si>
    <t>SNGSP RX Equity</t>
  </si>
  <si>
    <t>MFON RX Equity</t>
  </si>
  <si>
    <t>LSRG RX Equity</t>
  </si>
  <si>
    <t>NLMK</t>
  </si>
  <si>
    <t>NLMK RX Equity</t>
  </si>
  <si>
    <t>BSPB</t>
  </si>
  <si>
    <t>EDCL LI Equity</t>
  </si>
  <si>
    <t>HGM LN Equity</t>
  </si>
  <si>
    <t>GBP Curncy</t>
  </si>
  <si>
    <t>POLY LN Equity</t>
  </si>
  <si>
    <t>MSTT RX Equity</t>
  </si>
  <si>
    <t>AFLT RX Equity</t>
  </si>
  <si>
    <t>BANE RX Equity</t>
  </si>
  <si>
    <t>EUR Curncy</t>
  </si>
  <si>
    <t>VIP US Equity</t>
  </si>
  <si>
    <t>BANEP RX Equity</t>
  </si>
  <si>
    <t>ALRS RX Equity</t>
  </si>
  <si>
    <t>GLTR LI Equity</t>
  </si>
  <si>
    <t>KMAZ RX Equity</t>
  </si>
  <si>
    <t>XS0513723873 Corp</t>
  </si>
  <si>
    <t>XS0918297382 Corp</t>
  </si>
  <si>
    <t>XS0922883318 Corp</t>
  </si>
  <si>
    <t>TRMK RX Equity</t>
  </si>
  <si>
    <t>XS1032750165 Corp</t>
  </si>
  <si>
    <t>YNDX US Equity</t>
  </si>
  <si>
    <t>XS0808632847 Corp</t>
  </si>
  <si>
    <t>XS0304273948 Corp</t>
  </si>
  <si>
    <t>XS0588436799 Corp</t>
  </si>
  <si>
    <t>NMTP RX Equity</t>
  </si>
  <si>
    <t>NMTP</t>
  </si>
  <si>
    <t>DIXY RX Equity</t>
  </si>
  <si>
    <t>XS0922142574 Corp</t>
  </si>
  <si>
    <t>XS0605637056 Corp</t>
  </si>
  <si>
    <t>XS0877983642 Corp</t>
  </si>
  <si>
    <t>XS0833264335 Corp</t>
  </si>
  <si>
    <t>XS0563898062 Corp</t>
  </si>
  <si>
    <t>Закрытые позиции</t>
  </si>
  <si>
    <t>Дата</t>
  </si>
  <si>
    <t>FX</t>
  </si>
  <si>
    <t>Прибыль / убыток, USD</t>
  </si>
  <si>
    <t>NVTK RX Equity</t>
  </si>
  <si>
    <t>URKA RX Equity</t>
  </si>
  <si>
    <t>XS0893205186 Corp</t>
  </si>
  <si>
    <t>HKD Curncy</t>
  </si>
  <si>
    <t>KMG LI Equity</t>
  </si>
  <si>
    <t>RUALR RX Equity</t>
  </si>
  <si>
    <t>POLY RX Equity</t>
  </si>
  <si>
    <t>POLY RX EQUITY</t>
  </si>
  <si>
    <t>KMG</t>
  </si>
  <si>
    <t>GAZ LI Equity</t>
  </si>
  <si>
    <t>XS0923110232 Corp</t>
  </si>
  <si>
    <t>RSEA</t>
  </si>
  <si>
    <t>OGZD LI Equity</t>
  </si>
  <si>
    <t>MNOD LI Equity</t>
  </si>
  <si>
    <t>GMKN</t>
  </si>
  <si>
    <t>QIWI US Equity</t>
  </si>
  <si>
    <t>Изменение (RUR), %</t>
  </si>
  <si>
    <t>ENRU RX Equity</t>
  </si>
  <si>
    <t>XS0524610812 Corp</t>
  </si>
  <si>
    <t>XS0779213460 Corp</t>
  </si>
  <si>
    <t>XS0861981180 Corp</t>
  </si>
  <si>
    <t>XS0993162683 Corp</t>
  </si>
  <si>
    <t>XS0935311240 Corp</t>
  </si>
  <si>
    <t>486 HK Equity</t>
  </si>
  <si>
    <t>XS0767473852 Corp</t>
  </si>
  <si>
    <t>XS0643183220 Corp</t>
  </si>
  <si>
    <t>XS0559915961 Corp</t>
  </si>
  <si>
    <t>XS0640334768 Corp</t>
  </si>
  <si>
    <t>RU000A0JRCJ6 Corp</t>
  </si>
  <si>
    <t>RU000A0JRJU8 Corp</t>
  </si>
  <si>
    <t>RU000A0JQZ18 Corp</t>
  </si>
  <si>
    <t>XS1040726587 Corp</t>
  </si>
  <si>
    <t>XS0484209159 Corp</t>
  </si>
  <si>
    <t>XS0800817073 Corp</t>
  </si>
  <si>
    <t>Прибыль / убыток, RUB</t>
  </si>
  <si>
    <t>XS0808638612 Corp</t>
  </si>
  <si>
    <t>KCEL LI Equity</t>
  </si>
  <si>
    <t>NLMK LI Equity</t>
  </si>
  <si>
    <t>XS0743596040</t>
  </si>
  <si>
    <t>XS0290580595</t>
  </si>
  <si>
    <t>XS0864383723</t>
  </si>
  <si>
    <t>XS0588433267</t>
  </si>
  <si>
    <t>XS0921331509</t>
  </si>
  <si>
    <t>XS0830192711</t>
  </si>
  <si>
    <t>XS0861981180</t>
  </si>
  <si>
    <t>XS0848530977</t>
  </si>
  <si>
    <t>XS0997544860</t>
  </si>
  <si>
    <t>XS0800817073</t>
  </si>
  <si>
    <t>XS0620695204</t>
  </si>
  <si>
    <t>XS0993162683</t>
  </si>
  <si>
    <t>XS0559915961</t>
  </si>
  <si>
    <t>XS0587031096</t>
  </si>
  <si>
    <t>XS0643183220</t>
  </si>
  <si>
    <t>XS0316524130</t>
  </si>
  <si>
    <t>XS0935311240</t>
  </si>
  <si>
    <t>XS0191754729</t>
  </si>
  <si>
    <t>XS1032750165</t>
  </si>
  <si>
    <t>XS0842078536</t>
  </si>
  <si>
    <t>XS0979891925</t>
  </si>
  <si>
    <t>XS0975320879</t>
  </si>
  <si>
    <t>XS0848137708</t>
  </si>
  <si>
    <t>XS0810596832</t>
  </si>
  <si>
    <t>XS0981028177</t>
  </si>
  <si>
    <t>XS0885733153</t>
  </si>
  <si>
    <t>XS0554659671</t>
  </si>
  <si>
    <t>XS0484209159</t>
  </si>
  <si>
    <t>XS0548633659</t>
  </si>
  <si>
    <t>XS0513723873</t>
  </si>
  <si>
    <t>XS0555493203</t>
  </si>
  <si>
    <t>XS0922301717</t>
  </si>
  <si>
    <t>XS0524610812</t>
  </si>
  <si>
    <t>XS0918297382</t>
  </si>
  <si>
    <t>XS0808638612</t>
  </si>
  <si>
    <t>XS0911599701</t>
  </si>
  <si>
    <t>XS0918604496</t>
  </si>
  <si>
    <t>XS0925043100</t>
  </si>
  <si>
    <t>XS0841677387</t>
  </si>
  <si>
    <t>XS0588436799</t>
  </si>
  <si>
    <t>XS0426517701</t>
  </si>
  <si>
    <t>XS0304273948</t>
  </si>
  <si>
    <t>XS0650962185</t>
  </si>
  <si>
    <t>XS0719009754</t>
  </si>
  <si>
    <t>XS0783291221</t>
  </si>
  <si>
    <t>XS0524658852</t>
  </si>
  <si>
    <t>XS0863583281</t>
  </si>
  <si>
    <t>XS0808632847</t>
  </si>
  <si>
    <t>XS0288690539</t>
  </si>
  <si>
    <t>XS0592794597</t>
  </si>
  <si>
    <t>XS0652913558</t>
  </si>
  <si>
    <t>XS0365923977</t>
  </si>
  <si>
    <t>XS0922883318</t>
  </si>
  <si>
    <t>XS0923472814</t>
  </si>
  <si>
    <t>XS0361041808</t>
  </si>
  <si>
    <t>XS0366630902</t>
  </si>
  <si>
    <t>XS0993162170</t>
  </si>
  <si>
    <t>XS0424860947</t>
  </si>
  <si>
    <t>XS0878855773</t>
  </si>
  <si>
    <t>XS0552679879</t>
  </si>
  <si>
    <t>XS0775984213</t>
  </si>
  <si>
    <t>XS1040726587</t>
  </si>
  <si>
    <t>XS0299183250</t>
  </si>
  <si>
    <t>XS0889401054</t>
  </si>
  <si>
    <t>XS0618905219</t>
  </si>
  <si>
    <t>XS0923110232</t>
  </si>
  <si>
    <t>XS0779213460</t>
  </si>
  <si>
    <t>XS0783242877</t>
  </si>
  <si>
    <t>XS0832412505</t>
  </si>
  <si>
    <t>XS0995845566</t>
  </si>
  <si>
    <t>XS0776121062</t>
  </si>
  <si>
    <t>XS0940730228</t>
  </si>
  <si>
    <t>XS0640334768</t>
  </si>
  <si>
    <t>XS0974469206</t>
  </si>
  <si>
    <t>XS0802648955</t>
  </si>
  <si>
    <t>XS0869792928</t>
  </si>
  <si>
    <t>XS0493579238</t>
  </si>
  <si>
    <t>XS0885733153 Corp</t>
  </si>
  <si>
    <t>XS0783242877 Corp</t>
  </si>
  <si>
    <t>XS1003273767 Corp</t>
  </si>
  <si>
    <t>AFKS RX Equity</t>
  </si>
  <si>
    <t>XS0882561821 Corp</t>
  </si>
  <si>
    <t>ROSN RX Equity</t>
  </si>
  <si>
    <t>IRAO</t>
  </si>
  <si>
    <t>XS0923472814 Corp</t>
  </si>
  <si>
    <t>XS0299183250 Corp</t>
  </si>
  <si>
    <t>VTBR RX Equity</t>
  </si>
  <si>
    <t>RU000A0JU9V1 Corp</t>
  </si>
  <si>
    <t>XS0925043100 Corp</t>
  </si>
  <si>
    <t>KDBSF</t>
  </si>
  <si>
    <t>MAIL LI Equity</t>
  </si>
  <si>
    <t>XS1255387976 Corp</t>
  </si>
  <si>
    <t>PHAG LN Equity</t>
  </si>
  <si>
    <t>PHPD LN Equity</t>
  </si>
  <si>
    <t>XS0979891925 Corp</t>
  </si>
  <si>
    <t>XS0592794597 Corp</t>
  </si>
  <si>
    <t>XS1117280625 Corp</t>
  </si>
  <si>
    <t>AGRO LI EQUITY</t>
  </si>
  <si>
    <t>UPRO RX Equity</t>
  </si>
  <si>
    <t>TATN RX Equity</t>
  </si>
  <si>
    <t>TATNP RX Equity</t>
  </si>
  <si>
    <t>MGNT RX Equity</t>
  </si>
  <si>
    <t>US496902AN77 Corp</t>
  </si>
  <si>
    <t>XS1223394914 Corp</t>
  </si>
  <si>
    <t>XS0583616239 Corp</t>
  </si>
  <si>
    <t>LXFT US Equity</t>
  </si>
  <si>
    <t>XS1319822752 Corp</t>
  </si>
  <si>
    <t>XS1449458915 Corp</t>
  </si>
  <si>
    <t>XS0587031096 Corp</t>
  </si>
  <si>
    <t>XS0288690539 Corp</t>
  </si>
  <si>
    <t>XS0365923977 Corp</t>
  </si>
  <si>
    <t>XS0366630902 Corp</t>
  </si>
  <si>
    <t>XS0810596832 Corp</t>
  </si>
  <si>
    <t>XS0191754729 Corp</t>
  </si>
  <si>
    <t>XS0993162170 Corp</t>
  </si>
  <si>
    <t>Next ex dvd  date; DD/MM/YY</t>
  </si>
  <si>
    <t>Next dvd  declaration date; DD/MM/YY</t>
  </si>
  <si>
    <t>USG9328DAD24 Corp</t>
  </si>
  <si>
    <t>PHOR RX Equity</t>
  </si>
  <si>
    <t>Целевая цена на 12М, данные Блумберга</t>
  </si>
  <si>
    <t>Потенциал роста (CUR) на 12М, %</t>
  </si>
  <si>
    <t>Текущая доходность портфеля</t>
  </si>
  <si>
    <t>Потенциал роста портфеля</t>
  </si>
  <si>
    <t>MTSS</t>
  </si>
  <si>
    <t>Ожидаемая див дох-ть акций, текущая дох-ть облигаций %</t>
  </si>
  <si>
    <t>GILDUS</t>
  </si>
  <si>
    <t>GILD US Equity</t>
  </si>
  <si>
    <t>CH0340808812 Corp</t>
  </si>
  <si>
    <t>XS1439838548 Corp</t>
  </si>
  <si>
    <t>AGN US Equity</t>
  </si>
  <si>
    <t>USP989MJBG51 Corp</t>
  </si>
  <si>
    <t>CH0347656545 Corp</t>
  </si>
  <si>
    <t>RU000A0JWG05</t>
  </si>
  <si>
    <t>SBER</t>
  </si>
  <si>
    <t>XS0889402029</t>
  </si>
  <si>
    <t>RU000A0JS5F6</t>
  </si>
  <si>
    <t>RU000A0JU9T5</t>
  </si>
  <si>
    <t>RU000A0JRTT9</t>
  </si>
  <si>
    <t>RU000A0JWWW7</t>
  </si>
  <si>
    <t>RU000A0JWB75</t>
  </si>
  <si>
    <t>RU000A0JWB67</t>
  </si>
  <si>
    <t>RU000A0JWC82</t>
  </si>
  <si>
    <t>RU000A0JWDN6</t>
  </si>
  <si>
    <t>XS0884734343</t>
  </si>
  <si>
    <t>RU000A0JS751</t>
  </si>
  <si>
    <t>RU000A0JTKZ1</t>
  </si>
  <si>
    <t>RU000A0JW0S4</t>
  </si>
  <si>
    <t>RU000A0JWBF6</t>
  </si>
  <si>
    <t>RU000A0JWU98</t>
  </si>
  <si>
    <t>RU000A0JXE06</t>
  </si>
  <si>
    <t>RU000A0JWBH2</t>
  </si>
  <si>
    <t>RU000A0JWDU1</t>
  </si>
  <si>
    <t>NL0009805522</t>
  </si>
  <si>
    <t>US92719A1060</t>
  </si>
  <si>
    <t>RU0007661302</t>
  </si>
  <si>
    <t>RU000A0JNGA5</t>
  </si>
  <si>
    <t>UPRO RM Equity</t>
  </si>
  <si>
    <t>RU000A0B6NK6</t>
  </si>
  <si>
    <t>RU000A0JNUD0</t>
  </si>
  <si>
    <t>RU0006914488</t>
  </si>
  <si>
    <t>RU0009062467</t>
  </si>
  <si>
    <t>RU000A0JR5Z5</t>
  </si>
  <si>
    <t>US74735M1080</t>
  </si>
  <si>
    <t>RU000A0JQU47</t>
  </si>
  <si>
    <t>JE00B6T5S470</t>
  </si>
  <si>
    <t>JE00B1VS3002</t>
  </si>
  <si>
    <t>JE00B1VS3770</t>
  </si>
  <si>
    <t>JE00B1VS3333</t>
  </si>
  <si>
    <t>US65557T2050</t>
  </si>
  <si>
    <t>RU0009084446</t>
  </si>
  <si>
    <t>RU0006765096</t>
  </si>
  <si>
    <t>RU0009100507</t>
  </si>
  <si>
    <t>RU000A0JPGA0</t>
  </si>
  <si>
    <t>RU0007775219</t>
  </si>
  <si>
    <t>RU000A0JPPN4</t>
  </si>
  <si>
    <t>US55302T2042</t>
  </si>
  <si>
    <t>MHPC LI Equity</t>
  </si>
  <si>
    <t>RU000A0JS942</t>
  </si>
  <si>
    <t>VGG572791041</t>
  </si>
  <si>
    <t>RU000A0JPFP0</t>
  </si>
  <si>
    <t>RU0009024277</t>
  </si>
  <si>
    <t>US48666V2043</t>
  </si>
  <si>
    <t>RU0008959580</t>
  </si>
  <si>
    <t>US48668G2057</t>
  </si>
  <si>
    <t>US40425X4079</t>
  </si>
  <si>
    <t>GB0032360173</t>
  </si>
  <si>
    <t>RU0007288411</t>
  </si>
  <si>
    <t>US37949E2046</t>
  </si>
  <si>
    <t>RU0007661625</t>
  </si>
  <si>
    <t>US29760G1031</t>
  </si>
  <si>
    <t>RU000A0JP7H1</t>
  </si>
  <si>
    <t>RU0009100945</t>
  </si>
  <si>
    <t>RU0007976965</t>
  </si>
  <si>
    <t>RU0007252813</t>
  </si>
  <si>
    <t>Price</t>
  </si>
  <si>
    <t>KORS US Equity</t>
  </si>
  <si>
    <t>Arena Deals Blotter</t>
  </si>
  <si>
    <t>Deal Code</t>
  </si>
  <si>
    <t>State</t>
  </si>
  <si>
    <t>Event</t>
  </si>
  <si>
    <t>Cpty</t>
  </si>
  <si>
    <t>Account</t>
  </si>
  <si>
    <t>Entering User</t>
  </si>
  <si>
    <t>Capture Date</t>
  </si>
  <si>
    <t>Trade Date</t>
  </si>
  <si>
    <t>Instrument Class</t>
  </si>
  <si>
    <t>Action</t>
  </si>
  <si>
    <t>Price Ccy</t>
  </si>
  <si>
    <t>Deal Qty</t>
  </si>
  <si>
    <t>Deal Amount</t>
  </si>
  <si>
    <t>Deal Ccy</t>
  </si>
  <si>
    <t>Value Date</t>
  </si>
  <si>
    <t>Legal Entity</t>
  </si>
  <si>
    <t>Calc Legal Entity</t>
  </si>
  <si>
    <t>Folder</t>
  </si>
  <si>
    <t>Open Date</t>
  </si>
  <si>
    <t>Maturity Date</t>
  </si>
  <si>
    <t>Repo Days</t>
  </si>
  <si>
    <t>Repo Ratio Current</t>
  </si>
  <si>
    <t>Underl</t>
  </si>
  <si>
    <t>Contract Type</t>
  </si>
  <si>
    <t>Strike</t>
  </si>
  <si>
    <t xml:space="preserve">Mat.Bucket </t>
  </si>
  <si>
    <t>Lifetime Left</t>
  </si>
  <si>
    <t>DownloadKey</t>
  </si>
  <si>
    <t>Comments</t>
  </si>
  <si>
    <t>Deal Type: Bonds Deal</t>
  </si>
  <si>
    <t>Valid</t>
  </si>
  <si>
    <t>QUIK</t>
  </si>
  <si>
    <t>We Sell</t>
  </si>
  <si>
    <t>%</t>
  </si>
  <si>
    <t>RUR</t>
  </si>
  <si>
    <t>24018</t>
  </si>
  <si>
    <t xml:space="preserve">        Venue: OTC</t>
  </si>
  <si>
    <t>*NAZIMANOV</t>
  </si>
  <si>
    <t>BON-USD</t>
  </si>
  <si>
    <t>We Buy</t>
  </si>
  <si>
    <t>*TDINV</t>
  </si>
  <si>
    <t>AFKSRU19</t>
  </si>
  <si>
    <t>1.5y - 2y</t>
  </si>
  <si>
    <t>*DUBOV</t>
  </si>
  <si>
    <t>EUR</t>
  </si>
  <si>
    <t>*BERSEKOV</t>
  </si>
  <si>
    <t>MRFGBZ23</t>
  </si>
  <si>
    <t>PETBRA21A</t>
  </si>
  <si>
    <t>4 year</t>
  </si>
  <si>
    <t>SBER24</t>
  </si>
  <si>
    <t>Deal Type: Equities Deal</t>
  </si>
  <si>
    <t>SBRDF</t>
  </si>
  <si>
    <t>*KOSHKIN</t>
  </si>
  <si>
    <t>EQU-FORG</t>
  </si>
  <si>
    <t>ALBUS</t>
  </si>
  <si>
    <t>BOOK1</t>
  </si>
  <si>
    <t>BACLI</t>
  </si>
  <si>
    <t>VFRQF</t>
  </si>
  <si>
    <t>VFRQF.MICEX_T2</t>
  </si>
  <si>
    <t>EQU-LOCAL</t>
  </si>
  <si>
    <t>22093/</t>
  </si>
  <si>
    <t>EQU:16720049</t>
  </si>
  <si>
    <t>170829S_2741591975</t>
  </si>
  <si>
    <t>EQU:16720050</t>
  </si>
  <si>
    <t>170829S_2741591976</t>
  </si>
  <si>
    <t>EQU:16720051</t>
  </si>
  <si>
    <t>170829S_2741591977</t>
  </si>
  <si>
    <t>EQU:16720052</t>
  </si>
  <si>
    <t>170829S_2741591978</t>
  </si>
  <si>
    <t>EQU:16720053</t>
  </si>
  <si>
    <t>170829S_2741591979</t>
  </si>
  <si>
    <t>EQU:16720054</t>
  </si>
  <si>
    <t>170829S_2741591980</t>
  </si>
  <si>
    <t>EQU:16720021</t>
  </si>
  <si>
    <t>170829S_2741591947</t>
  </si>
  <si>
    <t>EQU:16720020</t>
  </si>
  <si>
    <t>170829S_2741591946</t>
  </si>
  <si>
    <t>EQU:16720019</t>
  </si>
  <si>
    <t>170829S_2741591945</t>
  </si>
  <si>
    <t>EQU:16720024</t>
  </si>
  <si>
    <t>170829S_2741591950</t>
  </si>
  <si>
    <t>EQU:16720025</t>
  </si>
  <si>
    <t>170829S_2741591951</t>
  </si>
  <si>
    <t>EQU:16720042</t>
  </si>
  <si>
    <t>170829S_2741591968</t>
  </si>
  <si>
    <t>EQU:16720023</t>
  </si>
  <si>
    <t>170829S_2741591949</t>
  </si>
  <si>
    <t>EQU:16720038</t>
  </si>
  <si>
    <t>170829S_2741591964</t>
  </si>
  <si>
    <t xml:space="preserve">    Instrument: GSUS</t>
  </si>
  <si>
    <t>EQU:16720075</t>
  </si>
  <si>
    <t>GSUS</t>
  </si>
  <si>
    <t>OMSMID-L-4FoPYMa-00</t>
  </si>
  <si>
    <t xml:space="preserve">    Instrument: MOUS</t>
  </si>
  <si>
    <t>EQU:16720066</t>
  </si>
  <si>
    <t>SHKARUPA</t>
  </si>
  <si>
    <t>MOUS</t>
  </si>
  <si>
    <t>58.5201   64.0897</t>
  </si>
  <si>
    <t xml:space="preserve">    Instrument: RSTI</t>
  </si>
  <si>
    <t>EQU:16719979</t>
  </si>
  <si>
    <t>KPRLF</t>
  </si>
  <si>
    <t>RSTI</t>
  </si>
  <si>
    <t>58.5550   1.00767</t>
  </si>
  <si>
    <t xml:space="preserve">    Instrument: SCOUS</t>
  </si>
  <si>
    <t>EQU:16720108</t>
  </si>
  <si>
    <t>MBLNF</t>
  </si>
  <si>
    <t>SCOUS</t>
  </si>
  <si>
    <t xml:space="preserve">    Instrument: TBTUS</t>
  </si>
  <si>
    <t>EQU:16720067</t>
  </si>
  <si>
    <t>TBTUS</t>
  </si>
  <si>
    <t xml:space="preserve">34.51price   58.5201 rate </t>
  </si>
  <si>
    <t xml:space="preserve">    Instrument: TCSLI</t>
  </si>
  <si>
    <t>EQU:16720018</t>
  </si>
  <si>
    <t>EQU-ADR/GDR</t>
  </si>
  <si>
    <t>TCSLI</t>
  </si>
  <si>
    <t xml:space="preserve">    Instrument: TSLAUS</t>
  </si>
  <si>
    <t>EQU:16720097</t>
  </si>
  <si>
    <t>TSLAUS</t>
  </si>
  <si>
    <t>Deal Type: Funds Transfers</t>
  </si>
  <si>
    <t xml:space="preserve">    Instrument: RUR</t>
  </si>
  <si>
    <t>TRN:396994</t>
  </si>
  <si>
    <t>XKQQF.FORTS</t>
  </si>
  <si>
    <t>CURRENCY</t>
  </si>
  <si>
    <t>Withdrawal</t>
  </si>
  <si>
    <t>FT.CVM.XKQQF.FORTS.G8S</t>
  </si>
  <si>
    <t>(prom) clearing varmargin for: XKQQF.FORTS</t>
  </si>
  <si>
    <t>TRN:396993</t>
  </si>
  <si>
    <t>XIIQF1.FORTS</t>
  </si>
  <si>
    <t>FT.CVM.XIIQF1.FORTS.G8S</t>
  </si>
  <si>
    <t>(prom) clearing varmargin for: XIIQF1.FORTS</t>
  </si>
  <si>
    <t>TRN:396992</t>
  </si>
  <si>
    <t>XGZQF.FORTS</t>
  </si>
  <si>
    <t>FT.CVM.XGZQF.FORTS.G8S</t>
  </si>
  <si>
    <t>(prom) clearing varmargin for: XGZQF.FORTS</t>
  </si>
  <si>
    <t>TRN:396991</t>
  </si>
  <si>
    <t>TAECF1.FORTS</t>
  </si>
  <si>
    <t>FT.CVM.TAECF1.FORTS.G8S</t>
  </si>
  <si>
    <t>(prom) clearing varmargin for: TAECF1.FORTS</t>
  </si>
  <si>
    <t>TRN:396990</t>
  </si>
  <si>
    <t>SIFDO.FORTS</t>
  </si>
  <si>
    <t>Transfer</t>
  </si>
  <si>
    <t>FT.CVM.SIFDO.FORTS.G8S</t>
  </si>
  <si>
    <t>(prom) clearing varmargin for: SIFDO.FORTS</t>
  </si>
  <si>
    <t>TRN:396989</t>
  </si>
  <si>
    <t>PYVEF1.FORTS</t>
  </si>
  <si>
    <t>FT.CVM.PYVEF1.FORTS.G8S</t>
  </si>
  <si>
    <t>(prom) clearing varmargin for: PYVEF1.FORTS</t>
  </si>
  <si>
    <t>TRN:396988</t>
  </si>
  <si>
    <t>MBLUF1.FORTS</t>
  </si>
  <si>
    <t>FT.CVM.MBLUF1.FORTS.G8S</t>
  </si>
  <si>
    <t>(prom) clearing varmargin for: MBLUF1.FORTS</t>
  </si>
  <si>
    <t>TRN:396987</t>
  </si>
  <si>
    <t>KDEYF1.FORTS</t>
  </si>
  <si>
    <t>FT.CVM.KDEYF1.FORTS.G8S</t>
  </si>
  <si>
    <t>(prom) clearing varmargin for: KDEYF1.FORTS</t>
  </si>
  <si>
    <t>TRN:396986</t>
  </si>
  <si>
    <t>HPWQF.FORTS</t>
  </si>
  <si>
    <t>FT.CVM.HPWQF.FORTS.G8S</t>
  </si>
  <si>
    <t>(prom) clearing varmargin for: HPWQF.FORTS</t>
  </si>
  <si>
    <t>TRN:396985</t>
  </si>
  <si>
    <t>GBCJF.FORTS</t>
  </si>
  <si>
    <t>FT.CVM.GBCJF.FORTS.G8S</t>
  </si>
  <si>
    <t>(prom) clearing varmargin for: GBCJF.FORTS</t>
  </si>
  <si>
    <t>TRN:396984</t>
  </si>
  <si>
    <t>ENJQF1.FORTS</t>
  </si>
  <si>
    <t>FT.CVM.ENJQF1.FORTS.G8S</t>
  </si>
  <si>
    <t>(prom) clearing varmargin for: ENJQF1.FORTS</t>
  </si>
  <si>
    <t>TRN:396983</t>
  </si>
  <si>
    <t>ENIQF1.FORTS</t>
  </si>
  <si>
    <t>FT.CVM.ENIQF1.FORTS.G8S</t>
  </si>
  <si>
    <t>(prom) clearing varmargin for: ENIQF1.FORTS</t>
  </si>
  <si>
    <t>TRN:396982</t>
  </si>
  <si>
    <t>ELLQF.FORTS</t>
  </si>
  <si>
    <t>FT.CVM.ELLQF.FORTS.G8S</t>
  </si>
  <si>
    <t>(prom) clearing varmargin for: ELLQF.FORTS</t>
  </si>
  <si>
    <t>TRN:396981</t>
  </si>
  <si>
    <t>CABVF1.FORTS</t>
  </si>
  <si>
    <t>FT.CVM.CABVF1.FORTS.G8S</t>
  </si>
  <si>
    <t>(prom) clearing varmargin for: CABVF1.FORTS</t>
  </si>
  <si>
    <t>TRN:396980</t>
  </si>
  <si>
    <t>BBLNF.FORTS</t>
  </si>
  <si>
    <t>FT.CVM.BBLNF.FORTS.G8S</t>
  </si>
  <si>
    <t>(prom) clearing varmargin for: BBLNF.FORTS</t>
  </si>
  <si>
    <t>TRN:396979</t>
  </si>
  <si>
    <t>AAOKF.FORTS</t>
  </si>
  <si>
    <t>FT.CVM.AAOKF.FORTS.G8S</t>
  </si>
  <si>
    <t>(prom) clearing varmargin for: AAOKF.FORTS</t>
  </si>
  <si>
    <t>TRN:396977</t>
  </si>
  <si>
    <t>XIKQF1.FORTS</t>
  </si>
  <si>
    <t>FT.CM.XIKQF1.FORTS.G8S</t>
  </si>
  <si>
    <t>Intraday FORTS commission for: XIKQF1.FORTS</t>
  </si>
  <si>
    <t>TRN:396995</t>
  </si>
  <si>
    <t>XNPQF1.FORTS</t>
  </si>
  <si>
    <t>FT.CVM.XNPQF1.FORTS.G8S</t>
  </si>
  <si>
    <t>(prom) clearing varmargin for: XNPQF1.FORTS</t>
  </si>
  <si>
    <t>TRN:396976</t>
  </si>
  <si>
    <t>LADUF1.FORTS</t>
  </si>
  <si>
    <t>FT.CM.LADUF1.FORTS.G8S</t>
  </si>
  <si>
    <t>Intraday FORTS commission for: LADUF1.FORTS</t>
  </si>
  <si>
    <t>TRN:396975</t>
  </si>
  <si>
    <t>FT.CVM.XIKQF1.FORTS.G8S</t>
  </si>
  <si>
    <t>(prom) clearing varmargin for: XIKQF1.FORTS</t>
  </si>
  <si>
    <t>TRN:396974</t>
  </si>
  <si>
    <t>FT.CVM.LADUF1.FORTS.G8S</t>
  </si>
  <si>
    <t>(prom) clearing varmargin for: LADUF1.FORTS</t>
  </si>
  <si>
    <t>TRN:396973</t>
  </si>
  <si>
    <t>XKTQF.FORTS</t>
  </si>
  <si>
    <t>FT.CM.XKTQF.FORTS.G8S</t>
  </si>
  <si>
    <t>Intraday FORTS commission for: XKTQF.FORTS</t>
  </si>
  <si>
    <t>TRN:396972</t>
  </si>
  <si>
    <t>AANTF.FORTS</t>
  </si>
  <si>
    <t>FT.CM.AANTF.FORTS.G8S</t>
  </si>
  <si>
    <t>Intraday FORTS commission for: AANTF.FORTS</t>
  </si>
  <si>
    <t>TRN:396971</t>
  </si>
  <si>
    <t>FT.CVM.XKTQF.FORTS.G8S</t>
  </si>
  <si>
    <t>(prom) clearing varmargin for: XKTQF.FORTS</t>
  </si>
  <si>
    <t>TRN:396970</t>
  </si>
  <si>
    <t>FT.CVM.AANTF.FORTS.G8S</t>
  </si>
  <si>
    <t>(prom) clearing varmargin for: AANTF.FORTS</t>
  </si>
  <si>
    <t>TRN:396958</t>
  </si>
  <si>
    <t>FT.XNPQF1.FORTS.G8S</t>
  </si>
  <si>
    <t>Intraday GO change for: XNPQF1.FORTS</t>
  </si>
  <si>
    <t>TRN:396957</t>
  </si>
  <si>
    <t>FT.XKTQF.FORTS.G8S</t>
  </si>
  <si>
    <t>Intraday GO change for: XKTQF.FORTS</t>
  </si>
  <si>
    <t>TRN:396956</t>
  </si>
  <si>
    <t>FT.XKQQF.FORTS.G8S</t>
  </si>
  <si>
    <t>Intraday GO change for: XKQQF.FORTS</t>
  </si>
  <si>
    <t>TRN:396955</t>
  </si>
  <si>
    <t>FT.XIKQF1.FORTS.G8S</t>
  </si>
  <si>
    <t>Intraday GO change for: XIKQF1.FORTS</t>
  </si>
  <si>
    <t>TRN:396954</t>
  </si>
  <si>
    <t>FT.XIIQF1.FORTS.G8S</t>
  </si>
  <si>
    <t>Intraday GO change for: XIIQF1.FORTS</t>
  </si>
  <si>
    <t>TRN:396953</t>
  </si>
  <si>
    <t>FT.XGZQF.FORTS.G8S</t>
  </si>
  <si>
    <t>Intraday GO change for: XGZQF.FORTS</t>
  </si>
  <si>
    <t>TRN:396952</t>
  </si>
  <si>
    <t>FT.TAECF1.FORTS.G8S</t>
  </si>
  <si>
    <t>Intraday GO change for: TAECF1.FORTS</t>
  </si>
  <si>
    <t>TRN:396951</t>
  </si>
  <si>
    <t>FT.SIFDO.FORTS.G8S</t>
  </si>
  <si>
    <t>Intraday GO change for: SIFDO.FORTS</t>
  </si>
  <si>
    <t>TRN:396950</t>
  </si>
  <si>
    <t>FT.PYVEF1.FORTS.G8S</t>
  </si>
  <si>
    <t>Intraday GO change for: PYVEF1.FORTS</t>
  </si>
  <si>
    <t>TRN:396949</t>
  </si>
  <si>
    <t>FT.MBLUF1.FORTS.G8S</t>
  </si>
  <si>
    <t>Intraday GO change for: MBLUF1.FORTS</t>
  </si>
  <si>
    <t>TRN:396948</t>
  </si>
  <si>
    <t>FT.LADUF1.FORTS.G8S</t>
  </si>
  <si>
    <t>Intraday GO change for: LADUF1.FORTS</t>
  </si>
  <si>
    <t>TRN:396947</t>
  </si>
  <si>
    <t>FT.KDEYF1.FORTS.G8S</t>
  </si>
  <si>
    <t>Intraday GO change for: KDEYF1.FORTS</t>
  </si>
  <si>
    <t>TRN:396946</t>
  </si>
  <si>
    <t>FT.HPWQF.FORTS.G8S</t>
  </si>
  <si>
    <t>Intraday GO change for: HPWQF.FORTS</t>
  </si>
  <si>
    <t>TRN:396945</t>
  </si>
  <si>
    <t>FT.GBCJF.FORTS.G8S</t>
  </si>
  <si>
    <t>Intraday GO change for: GBCJF.FORTS</t>
  </si>
  <si>
    <t>TRN:396944</t>
  </si>
  <si>
    <t>FT.ENJQF1.FORTS.G8S</t>
  </si>
  <si>
    <t>Intraday GO change for: ENJQF1.FORTS</t>
  </si>
  <si>
    <t>TRN:396943</t>
  </si>
  <si>
    <t>FT.ENIQF1.FORTS.G8S</t>
  </si>
  <si>
    <t>Intraday GO change for: ENIQF1.FORTS</t>
  </si>
  <si>
    <t>TRN:396942</t>
  </si>
  <si>
    <t>FT.ELLQF.FORTS.G8S</t>
  </si>
  <si>
    <t>Intraday GO change for: ELLQF.FORTS</t>
  </si>
  <si>
    <t>TRN:396941</t>
  </si>
  <si>
    <t>FT.CABVF1.FORTS.G8S</t>
  </si>
  <si>
    <t>Intraday GO change for: CABVF1.FORTS</t>
  </si>
  <si>
    <t>TRN:396940</t>
  </si>
  <si>
    <t>FT.BBLNF.FORTS.G8S</t>
  </si>
  <si>
    <t>Intraday GO change for: BBLNF.FORTS</t>
  </si>
  <si>
    <t>TRN:396939</t>
  </si>
  <si>
    <t>FT.AAOKF.FORTS.G8S</t>
  </si>
  <si>
    <t>Intraday GO change for: AAOKF.FORTS</t>
  </si>
  <si>
    <t>TRN:396938</t>
  </si>
  <si>
    <t>FT.AANTF.FORTS.G8S</t>
  </si>
  <si>
    <t>Intraday GO change for: AANTF.FORTS</t>
  </si>
  <si>
    <t>Deal Type: Futures Deal</t>
  </si>
  <si>
    <t xml:space="preserve">    Instrument: GOLD-9.17</t>
  </si>
  <si>
    <t xml:space="preserve">        Venue: FORTS</t>
  </si>
  <si>
    <t>FUT:4877265</t>
  </si>
  <si>
    <t>LADUF1</t>
  </si>
  <si>
    <t>FUTURES</t>
  </si>
  <si>
    <t>GOLD_FORTS</t>
  </si>
  <si>
    <t>1 month</t>
  </si>
  <si>
    <t>22 days</t>
  </si>
  <si>
    <t>170829B_1859434350</t>
  </si>
  <si>
    <t>FUT:4877264</t>
  </si>
  <si>
    <t>170829B_1859434349</t>
  </si>
  <si>
    <t>FUT:4877263</t>
  </si>
  <si>
    <t>170829B_1859434348</t>
  </si>
  <si>
    <t>FUT:4877262</t>
  </si>
  <si>
    <t>170829B_1859434347</t>
  </si>
  <si>
    <t>FUT:4877261</t>
  </si>
  <si>
    <t>170829B_1859434346</t>
  </si>
  <si>
    <t>FUT:4877260</t>
  </si>
  <si>
    <t>170829B_1859434345</t>
  </si>
  <si>
    <t>FUT:4877259</t>
  </si>
  <si>
    <t>170829B_1859434344</t>
  </si>
  <si>
    <t>FUT:4877258</t>
  </si>
  <si>
    <t>170829B_1859434343</t>
  </si>
  <si>
    <t>FUT:4877257</t>
  </si>
  <si>
    <t>170829B_1859434342</t>
  </si>
  <si>
    <t>FUT:4877256</t>
  </si>
  <si>
    <t>170829B_1859434341</t>
  </si>
  <si>
    <t>FUT:4877280</t>
  </si>
  <si>
    <t>XIKQF1</t>
  </si>
  <si>
    <t>170829B_1859434814</t>
  </si>
  <si>
    <t>FUT:4877279</t>
  </si>
  <si>
    <t>170829B_1859434813</t>
  </si>
  <si>
    <t>FUT:4877278</t>
  </si>
  <si>
    <t>170829B_1859434812</t>
  </si>
  <si>
    <t>FUT:4877277</t>
  </si>
  <si>
    <t>170829B_1859434811</t>
  </si>
  <si>
    <t>FUT:4877276</t>
  </si>
  <si>
    <t>170829B_1859434810</t>
  </si>
  <si>
    <t>FUT:4877275</t>
  </si>
  <si>
    <t>170829B_1859434809</t>
  </si>
  <si>
    <t>FUT:4877274</t>
  </si>
  <si>
    <t>170829B_1859434808</t>
  </si>
  <si>
    <t>FUT:4877273</t>
  </si>
  <si>
    <t>170829B_1859434807</t>
  </si>
  <si>
    <t>FUT:4877272</t>
  </si>
  <si>
    <t>170829B_1859434806</t>
  </si>
  <si>
    <t>FUT:4877271</t>
  </si>
  <si>
    <t>170829B_1859434805</t>
  </si>
  <si>
    <t>FUT:4877270</t>
  </si>
  <si>
    <t>170829B_1859434804</t>
  </si>
  <si>
    <t>FUT:4877269</t>
  </si>
  <si>
    <t>170829B_1859434803</t>
  </si>
  <si>
    <t>FUT:4877268</t>
  </si>
  <si>
    <t>170829B_1859434802</t>
  </si>
  <si>
    <t>FUT:4877267</t>
  </si>
  <si>
    <t>170829B_1859434801</t>
  </si>
  <si>
    <t>FUT:4877266</t>
  </si>
  <si>
    <t>170829B_1859434800</t>
  </si>
  <si>
    <t>FUT:4877255</t>
  </si>
  <si>
    <t>XKTQF</t>
  </si>
  <si>
    <t>170829B_1859433957</t>
  </si>
  <si>
    <t>FUT:4877254</t>
  </si>
  <si>
    <t>170829B_1859433956</t>
  </si>
  <si>
    <t>FUT:4877252</t>
  </si>
  <si>
    <t>170829B_1859433954</t>
  </si>
  <si>
    <t>FUT:4877251</t>
  </si>
  <si>
    <t>AANTF</t>
  </si>
  <si>
    <t>170829B_1859433609</t>
  </si>
  <si>
    <t>FUT:4877250</t>
  </si>
  <si>
    <t>170829B_1859433608</t>
  </si>
  <si>
    <t>FUT:4877249</t>
  </si>
  <si>
    <t>170829B_1859433607</t>
  </si>
  <si>
    <t>FUT:4877248</t>
  </si>
  <si>
    <t>170829B_1859433606</t>
  </si>
  <si>
    <t>FUT:4877247</t>
  </si>
  <si>
    <t>170829B_1859433605</t>
  </si>
  <si>
    <t>FUT:4877246</t>
  </si>
  <si>
    <t>170829B_1859433604</t>
  </si>
  <si>
    <t>FUT:4877245</t>
  </si>
  <si>
    <t>170829B_1859433603</t>
  </si>
  <si>
    <t>FUT:4877244</t>
  </si>
  <si>
    <t>170829B_1859433602</t>
  </si>
  <si>
    <t>FUT:4877243</t>
  </si>
  <si>
    <t>170829B_1859433601</t>
  </si>
  <si>
    <t>FUT:4877242</t>
  </si>
  <si>
    <t>170829B_1859433600</t>
  </si>
  <si>
    <t>FUT:4877241</t>
  </si>
  <si>
    <t>170829B_1859433599</t>
  </si>
  <si>
    <t>FUT:4877240</t>
  </si>
  <si>
    <t>170829B_1859433598</t>
  </si>
  <si>
    <t>FUT:4877239</t>
  </si>
  <si>
    <t>170829B_1859433597</t>
  </si>
  <si>
    <t>FUT:4877238</t>
  </si>
  <si>
    <t>170829B_1859433596</t>
  </si>
  <si>
    <t>FUT:4877253</t>
  </si>
  <si>
    <t>170829B_1859433955</t>
  </si>
  <si>
    <t>Deal Type: Normal Repo</t>
  </si>
  <si>
    <t xml:space="preserve">    Instrument: MTSS</t>
  </si>
  <si>
    <t>RE-0828/28879</t>
  </si>
  <si>
    <t>Cxl</t>
  </si>
  <si>
    <t>XFLQF1</t>
  </si>
  <si>
    <t>NormalRepo</t>
  </si>
  <si>
    <t>matured</t>
  </si>
  <si>
    <t>-1 days</t>
  </si>
  <si>
    <t>past</t>
  </si>
  <si>
    <t xml:space="preserve">    Instrument: NLMK</t>
  </si>
  <si>
    <t>RE-0829/28878</t>
  </si>
  <si>
    <t>OPEN</t>
  </si>
  <si>
    <t>2 month</t>
  </si>
  <si>
    <t>44 days</t>
  </si>
  <si>
    <t>RU000A0JXQK2 Corp</t>
  </si>
  <si>
    <t>RU000A0JXQK2</t>
  </si>
  <si>
    <t>ROSNFT1P4</t>
  </si>
  <si>
    <t>GE US Equity</t>
  </si>
  <si>
    <t>US3696041033</t>
  </si>
  <si>
    <t>GEC</t>
  </si>
  <si>
    <t>RU000A0JXJS0 Corp</t>
  </si>
  <si>
    <t>RU000A0JXJS0</t>
  </si>
  <si>
    <t>MOESKBO27</t>
  </si>
  <si>
    <t>GAZBK19N</t>
  </si>
  <si>
    <t>CH0205819441 Corp</t>
  </si>
  <si>
    <t>CH0205819441</t>
  </si>
  <si>
    <t>RURAIL21CHF</t>
  </si>
  <si>
    <t>EJ878424 Corp</t>
  </si>
  <si>
    <t>HCFB21</t>
  </si>
  <si>
    <t>EJ359552 Corp</t>
  </si>
  <si>
    <t>RU000A0JV0U1</t>
  </si>
  <si>
    <t>ALFABO15</t>
  </si>
  <si>
    <t>XS0748114005 Corp</t>
  </si>
  <si>
    <t>XS0748114005</t>
  </si>
  <si>
    <t>RUSAG17R</t>
  </si>
  <si>
    <t>CH0370470269 Corp</t>
  </si>
  <si>
    <t>CH0370470269</t>
  </si>
  <si>
    <t>EFGIF_0119A</t>
  </si>
  <si>
    <t>KRFT US Equity</t>
  </si>
  <si>
    <t>US50076Q1067</t>
  </si>
  <si>
    <t>KRFTUS</t>
  </si>
  <si>
    <t>RU000A0JXC24 Corp</t>
  </si>
  <si>
    <t>RU000A0JXC24</t>
  </si>
  <si>
    <t>TRNFBO1P5</t>
  </si>
  <si>
    <t>TEVA US Equity</t>
  </si>
  <si>
    <t>US8816242098</t>
  </si>
  <si>
    <t>TEVAUS</t>
  </si>
  <si>
    <t>NOKRUB Curncy</t>
  </si>
  <si>
    <t>NOKRUB ISIN</t>
  </si>
  <si>
    <t>NOK</t>
  </si>
  <si>
    <t>RU000A0JPNN9</t>
  </si>
  <si>
    <t>FEES</t>
  </si>
  <si>
    <t>US6698881090</t>
  </si>
  <si>
    <t>NVTKL</t>
  </si>
  <si>
    <t>RU000A0JXMQ8 Corp</t>
  </si>
  <si>
    <t>RU000A0JXMQ8</t>
  </si>
  <si>
    <t>RSHBBO001</t>
  </si>
  <si>
    <t>NKNCP RX Equity</t>
  </si>
  <si>
    <t>NKNCP</t>
  </si>
  <si>
    <t>EWJ US Equity</t>
  </si>
  <si>
    <t>US4642868487</t>
  </si>
  <si>
    <t>EWJUS</t>
  </si>
  <si>
    <t>RU000A0JU7R3 Corp</t>
  </si>
  <si>
    <t>RU000A0JU7R3</t>
  </si>
  <si>
    <t>SMOL34001</t>
  </si>
  <si>
    <t>XS0940730228 Corp</t>
  </si>
  <si>
    <t>NOMOS19S</t>
  </si>
  <si>
    <t>NOVN VX Equity</t>
  </si>
  <si>
    <t>CH0012005267</t>
  </si>
  <si>
    <t>NOVNVX</t>
  </si>
  <si>
    <t>INTC US Equity</t>
  </si>
  <si>
    <t>US4581401001</t>
  </si>
  <si>
    <t>INTCUS</t>
  </si>
  <si>
    <t>HMSGLI</t>
  </si>
  <si>
    <t>URM7C 58000 Curncy</t>
  </si>
  <si>
    <t>SI-6.17/C F58000 ACR 15JUN17</t>
  </si>
  <si>
    <t>RU000A0JVUK8 Corp</t>
  </si>
  <si>
    <t>RU000A0JVUK8</t>
  </si>
  <si>
    <t>SISTEMB1P1</t>
  </si>
  <si>
    <t>RU000A0JTNB6 Corp</t>
  </si>
  <si>
    <t>RU000A0JTNB6</t>
  </si>
  <si>
    <t>GAZCAP04</t>
  </si>
  <si>
    <t>XS1439838548</t>
  </si>
  <si>
    <t>HALKBK21</t>
  </si>
  <si>
    <t>XS0995040051 Corp</t>
  </si>
  <si>
    <t>XS0995040051</t>
  </si>
  <si>
    <t>AALLN20E</t>
  </si>
  <si>
    <t>RU000A0DKVS5</t>
  </si>
  <si>
    <t>NVTK</t>
  </si>
  <si>
    <t>JK610487 Corp</t>
  </si>
  <si>
    <t>EVRKHIMB1R1</t>
  </si>
  <si>
    <t>RUB Curncy</t>
  </si>
  <si>
    <t>RUB RF</t>
  </si>
  <si>
    <t>XS0835886598 Corp</t>
  </si>
  <si>
    <t>XS0835886598</t>
  </si>
  <si>
    <t>PETBRA19A</t>
  </si>
  <si>
    <t>BDEV LN Equity</t>
  </si>
  <si>
    <t>GB0000811801</t>
  </si>
  <si>
    <t>BDEVLN</t>
  </si>
  <si>
    <t>ANTM US Equity</t>
  </si>
  <si>
    <t>US0367521038</t>
  </si>
  <si>
    <t>ANTMUS</t>
  </si>
  <si>
    <t>CA9600081009</t>
  </si>
  <si>
    <t>WZGRFUS</t>
  </si>
  <si>
    <t>SEKRUB Curncy</t>
  </si>
  <si>
    <t>SEKRUB ISIN</t>
  </si>
  <si>
    <t>SEK</t>
  </si>
  <si>
    <t>RU000A0JRCJ6</t>
  </si>
  <si>
    <t>26204</t>
  </si>
  <si>
    <t>SGGD LI Equity</t>
  </si>
  <si>
    <t>US8688612048</t>
  </si>
  <si>
    <t>SGTZY</t>
  </si>
  <si>
    <t>DBK GY Equity</t>
  </si>
  <si>
    <t>DE0005140008</t>
  </si>
  <si>
    <t>DBKGR</t>
  </si>
  <si>
    <t>US35906AAH14 Corp</t>
  </si>
  <si>
    <t>US35906AAH14</t>
  </si>
  <si>
    <t>FTR20</t>
  </si>
  <si>
    <t>XS0783291221 CBBT Corp</t>
  </si>
  <si>
    <t>GAZBK17</t>
  </si>
  <si>
    <t>ISVJ TH Equity</t>
  </si>
  <si>
    <t>US4642868222</t>
  </si>
  <si>
    <t>EWWUS</t>
  </si>
  <si>
    <t>PFE US Equity</t>
  </si>
  <si>
    <t>US7170811035</t>
  </si>
  <si>
    <t>PFEUS</t>
  </si>
  <si>
    <t>US496902AN77</t>
  </si>
  <si>
    <t>KCN24</t>
  </si>
  <si>
    <t>CH0340808259 Corp</t>
  </si>
  <si>
    <t>CH0340808259</t>
  </si>
  <si>
    <t>EFGIF_0417</t>
  </si>
  <si>
    <t>XS0626438112 Corp</t>
  </si>
  <si>
    <t>XS0626438112</t>
  </si>
  <si>
    <t>HECKKO18</t>
  </si>
  <si>
    <t>NOVT21</t>
  </si>
  <si>
    <t>USP84050AB29 Corp</t>
  </si>
  <si>
    <t>USP84050AB29</t>
  </si>
  <si>
    <t>SAMMIN23</t>
  </si>
  <si>
    <t>M US Equity</t>
  </si>
  <si>
    <t>US55616P1049</t>
  </si>
  <si>
    <t>MUS</t>
  </si>
  <si>
    <t>VEB20</t>
  </si>
  <si>
    <t>RU0009177331</t>
  </si>
  <si>
    <t>MSTT</t>
  </si>
  <si>
    <t>CH0347656545</t>
  </si>
  <si>
    <t>EFGIF_0318C</t>
  </si>
  <si>
    <t>XS0776121062 Corp</t>
  </si>
  <si>
    <t>NOMOS19</t>
  </si>
  <si>
    <t>RHHBY US Equity</t>
  </si>
  <si>
    <t>US7711951043</t>
  </si>
  <si>
    <t>RHHBYUS</t>
  </si>
  <si>
    <t>EJ548954 Corp</t>
  </si>
  <si>
    <t>VIP18R</t>
  </si>
  <si>
    <t>CTL US Equity</t>
  </si>
  <si>
    <t>US1567001060</t>
  </si>
  <si>
    <t>CTLUS</t>
  </si>
  <si>
    <t>RU000A0JVP05 Corp</t>
  </si>
  <si>
    <t>RU000A0JVP05</t>
  </si>
  <si>
    <t>LENTA-BO-3</t>
  </si>
  <si>
    <t>HTZ US Equity</t>
  </si>
  <si>
    <t>US42806J1060</t>
  </si>
  <si>
    <t>HTZUS</t>
  </si>
  <si>
    <t>ABBV US Equity</t>
  </si>
  <si>
    <t>US00287Y1091</t>
  </si>
  <si>
    <t>ABBVUS</t>
  </si>
  <si>
    <t>INGA NA Equity</t>
  </si>
  <si>
    <t>NL0011821202</t>
  </si>
  <si>
    <t>INGANA</t>
  </si>
  <si>
    <t>RU000A0JWZY6 Corp</t>
  </si>
  <si>
    <t>RU000A0JWZY6</t>
  </si>
  <si>
    <t>SISTEMB1P5</t>
  </si>
  <si>
    <t>RU000A0JWK74 Corp</t>
  </si>
  <si>
    <t>RU000A0JWK74</t>
  </si>
  <si>
    <t>ODK-01</t>
  </si>
  <si>
    <t>RU000A0JQK64 Corp</t>
  </si>
  <si>
    <t>RU000A0JQK64</t>
  </si>
  <si>
    <t>RSHB08</t>
  </si>
  <si>
    <t>US03512TAC53 Corp</t>
  </si>
  <si>
    <t>US03512TAC53</t>
  </si>
  <si>
    <t>ANGSJ22</t>
  </si>
  <si>
    <t>US25152RYE79 Corp</t>
  </si>
  <si>
    <t>US25152RYE79</t>
  </si>
  <si>
    <t>DB18</t>
  </si>
  <si>
    <t>RU000A0JU0N7 Corp</t>
  </si>
  <si>
    <t>RU000A0JU0N7</t>
  </si>
  <si>
    <t>BINBBO02</t>
  </si>
  <si>
    <t>US515110BF06 Corp</t>
  </si>
  <si>
    <t>US515110BF06</t>
  </si>
  <si>
    <t>RENTEN18</t>
  </si>
  <si>
    <t>GAMSCOU ID Equity</t>
  </si>
  <si>
    <t>IE00B560QG61</t>
  </si>
  <si>
    <t>GAMSCOUID</t>
  </si>
  <si>
    <t>ORCL US Equity</t>
  </si>
  <si>
    <t>US68389X1054</t>
  </si>
  <si>
    <t>ORCLUS</t>
  </si>
  <si>
    <t>XS1085735899 Corp</t>
  </si>
  <si>
    <t>XS1085735899</t>
  </si>
  <si>
    <t>PORTUG24</t>
  </si>
  <si>
    <t>RU000A0JRHZ1 Corp</t>
  </si>
  <si>
    <t>RU000A0JRHZ1</t>
  </si>
  <si>
    <t>25079</t>
  </si>
  <si>
    <t>C US Equity</t>
  </si>
  <si>
    <t>US1729674242</t>
  </si>
  <si>
    <t>CUS</t>
  </si>
  <si>
    <t>GMST RU Equity</t>
  </si>
  <si>
    <t>RU000A0HNHD1</t>
  </si>
  <si>
    <t>GMST</t>
  </si>
  <si>
    <t>MTS20</t>
  </si>
  <si>
    <t>LSRG LI Equity</t>
  </si>
  <si>
    <t>US50218G2066</t>
  </si>
  <si>
    <t>LSRGLI</t>
  </si>
  <si>
    <t>COMRLES RX Equity</t>
  </si>
  <si>
    <t>RU000A0ERGA7</t>
  </si>
  <si>
    <t>COMNED</t>
  </si>
  <si>
    <t>XS0605637056</t>
  </si>
  <si>
    <t>RUSAG16R</t>
  </si>
  <si>
    <t>BP/ LN Equity</t>
  </si>
  <si>
    <t>GB0007980591</t>
  </si>
  <si>
    <t>BPLN</t>
  </si>
  <si>
    <t>XLY US Equity</t>
  </si>
  <si>
    <t>US81369Y4070</t>
  </si>
  <si>
    <t>XLYUS</t>
  </si>
  <si>
    <t>TEF SM Equity</t>
  </si>
  <si>
    <t>ES0178430E18</t>
  </si>
  <si>
    <t>TEFSM</t>
  </si>
  <si>
    <t>TGKJ RX Equity</t>
  </si>
  <si>
    <t>RU000A0F61T7</t>
  </si>
  <si>
    <t>TGKJ</t>
  </si>
  <si>
    <t>RASP RX Equity</t>
  </si>
  <si>
    <t>RU000A0B90N8</t>
  </si>
  <si>
    <t>RASP</t>
  </si>
  <si>
    <t>UBRA TH Equity</t>
  </si>
  <si>
    <t>CH0024899483</t>
  </si>
  <si>
    <t>UBSUS</t>
  </si>
  <si>
    <t>US35906AAP30 Corp</t>
  </si>
  <si>
    <t>US35906AAP30</t>
  </si>
  <si>
    <t>FTR21A</t>
  </si>
  <si>
    <t>RU000A0JTQS3 Corp</t>
  </si>
  <si>
    <t>RU000A0JTQS3</t>
  </si>
  <si>
    <t>VEBL10</t>
  </si>
  <si>
    <t>XS0995845566 CBBT Corp</t>
  </si>
  <si>
    <t>DMEA18</t>
  </si>
  <si>
    <t>IRAO1 RX Equity</t>
  </si>
  <si>
    <t>RU000A0JPNM11</t>
  </si>
  <si>
    <t>IRAO_OLD</t>
  </si>
  <si>
    <t>XS1337079997 Corp</t>
  </si>
  <si>
    <t>XS1337079997</t>
  </si>
  <si>
    <t>SOCGEN22A</t>
  </si>
  <si>
    <t>DFF GR Equity</t>
  </si>
  <si>
    <t>US25459Y1405</t>
  </si>
  <si>
    <t>RUSLUS_OLD</t>
  </si>
  <si>
    <t>RU000A0JX5W4 Corp</t>
  </si>
  <si>
    <t>RU000A0JX5W4</t>
  </si>
  <si>
    <t>ALFABO-18</t>
  </si>
  <si>
    <t>RU000A0JXQ85 Corp</t>
  </si>
  <si>
    <t>RU000A0JXQ85</t>
  </si>
  <si>
    <t>TINKOFF1R</t>
  </si>
  <si>
    <t>LUKOIL17</t>
  </si>
  <si>
    <t>ALRS</t>
  </si>
  <si>
    <t>MGNT LI Equity</t>
  </si>
  <si>
    <t>US55953Q2021</t>
  </si>
  <si>
    <t>MGNTLI</t>
  </si>
  <si>
    <t>XS1506500039 Corp</t>
  </si>
  <si>
    <t>XS1506500039</t>
  </si>
  <si>
    <t>PROMBK19N</t>
  </si>
  <si>
    <t>RU000A0JX3X7 Corp</t>
  </si>
  <si>
    <t>RU000A0JX3X7</t>
  </si>
  <si>
    <t>HCFN19</t>
  </si>
  <si>
    <t>NTAP US Equity</t>
  </si>
  <si>
    <t>US64110D1046</t>
  </si>
  <si>
    <t>NTAPUS</t>
  </si>
  <si>
    <t>CH0367864680 Corp</t>
  </si>
  <si>
    <t>CH0367864680</t>
  </si>
  <si>
    <t>EFGIF_0620A</t>
  </si>
  <si>
    <t>RU000A0JWP46 Corp</t>
  </si>
  <si>
    <t>RU000A0JWP46</t>
  </si>
  <si>
    <t>PIKBO7</t>
  </si>
  <si>
    <t>RIO LN Equity</t>
  </si>
  <si>
    <t>GB0007188757</t>
  </si>
  <si>
    <t>RTPPF</t>
  </si>
  <si>
    <t>XS1071368861 Corp</t>
  </si>
  <si>
    <t>XS1071368861</t>
  </si>
  <si>
    <t>KAISAG19</t>
  </si>
  <si>
    <t>RU000A0JXD07 Corp</t>
  </si>
  <si>
    <t>RU000A0JXD07</t>
  </si>
  <si>
    <t>TRANSMBO01</t>
  </si>
  <si>
    <t>EJ536591 Corp</t>
  </si>
  <si>
    <t>RUSAG18R</t>
  </si>
  <si>
    <t>XS1513271418 Corp</t>
  </si>
  <si>
    <t>XS1513271418</t>
  </si>
  <si>
    <t>EURONAT19M</t>
  </si>
  <si>
    <t>B5M7 Comdty</t>
  </si>
  <si>
    <t>BR-6.17</t>
  </si>
  <si>
    <t>ENR US Equity</t>
  </si>
  <si>
    <t>US29266R1086</t>
  </si>
  <si>
    <t>ENRUS</t>
  </si>
  <si>
    <t>IE00BY9D5467</t>
  </si>
  <si>
    <t>AGNUS</t>
  </si>
  <si>
    <t>XS1631338495 Corp</t>
  </si>
  <si>
    <t>XS1631338495</t>
  </si>
  <si>
    <t>TINCREPERP</t>
  </si>
  <si>
    <t>RU0007976957</t>
  </si>
  <si>
    <t>BANE</t>
  </si>
  <si>
    <t>RU000A0JTF50 Corp</t>
  </si>
  <si>
    <t>RU000A0JTF50</t>
  </si>
  <si>
    <t>MKRB11</t>
  </si>
  <si>
    <t>SCGSAUA LX Equity</t>
  </si>
  <si>
    <t>LU0885727932</t>
  </si>
  <si>
    <t>SCGSAUALX</t>
  </si>
  <si>
    <t>VOW3 GY Equity</t>
  </si>
  <si>
    <t>DE0007664039</t>
  </si>
  <si>
    <t>VOW3GR</t>
  </si>
  <si>
    <t>RU000A0JXHE4 Corp</t>
  </si>
  <si>
    <t>RU000A0JXHE4</t>
  </si>
  <si>
    <t>CHEP22</t>
  </si>
  <si>
    <t>RU000A0F5UN3</t>
  </si>
  <si>
    <t>OGKE</t>
  </si>
  <si>
    <t>RU000A0JT7T2 Corp</t>
  </si>
  <si>
    <t>RU000A0JT7T2</t>
  </si>
  <si>
    <t>FEES21</t>
  </si>
  <si>
    <t>XS0864383723 CBBT Corp</t>
  </si>
  <si>
    <t>NOVT22</t>
  </si>
  <si>
    <t>EVRAZ20</t>
  </si>
  <si>
    <t>RU000A0JV4Q1 Corp</t>
  </si>
  <si>
    <t>RU000A0JV4Q1</t>
  </si>
  <si>
    <t>29010</t>
  </si>
  <si>
    <t>RU000A0JPB25 Corp</t>
  </si>
  <si>
    <t>RU000A0JPB25</t>
  </si>
  <si>
    <t>FKEC03</t>
  </si>
  <si>
    <t>CH0344437550 Corp</t>
  </si>
  <si>
    <t>CH0344437550</t>
  </si>
  <si>
    <t>EFGIF_1117A</t>
  </si>
  <si>
    <t>RU000A0JVKK9 Corp</t>
  </si>
  <si>
    <t>RU000A0JVKK9</t>
  </si>
  <si>
    <t>EVRKHOLDF-8</t>
  </si>
  <si>
    <t>KCELLI</t>
  </si>
  <si>
    <t>US03938LAW46 Corp</t>
  </si>
  <si>
    <t>US03938LAW46</t>
  </si>
  <si>
    <t>MTNA17</t>
  </si>
  <si>
    <t>XS0343690466 Corp</t>
  </si>
  <si>
    <t>XS0343690466</t>
  </si>
  <si>
    <t>PROMBK18</t>
  </si>
  <si>
    <t>XS1468264822 Corp</t>
  </si>
  <si>
    <t>XS1468264822</t>
  </si>
  <si>
    <t>EURONAT18</t>
  </si>
  <si>
    <t>EJ606056 Corp</t>
  </si>
  <si>
    <t>USL6366MAC75</t>
  </si>
  <si>
    <t>MHPSA20</t>
  </si>
  <si>
    <t>XS1599428726 Corp</t>
  </si>
  <si>
    <t>XS1599428726</t>
  </si>
  <si>
    <t>PHORRU2021</t>
  </si>
  <si>
    <t>CAT1 EB Equity</t>
  </si>
  <si>
    <t>US1491231015</t>
  </si>
  <si>
    <t>CAT</t>
  </si>
  <si>
    <t>MNST US Equity</t>
  </si>
  <si>
    <t>US6117401017</t>
  </si>
  <si>
    <t>MNSTUS</t>
  </si>
  <si>
    <t>RU000A0JXPG2 Corp</t>
  </si>
  <si>
    <t>RU000A0JXPG2</t>
  </si>
  <si>
    <t>GTLK-1P-04</t>
  </si>
  <si>
    <t>TBCB S1 Equity</t>
  </si>
  <si>
    <t>US87217U2087</t>
  </si>
  <si>
    <t>TBCBLI</t>
  </si>
  <si>
    <t>EI178316 Corp</t>
  </si>
  <si>
    <t>ALOC15</t>
  </si>
  <si>
    <t>XS0816374663 Corp</t>
  </si>
  <si>
    <t>XS0816374663</t>
  </si>
  <si>
    <t>KFW19</t>
  </si>
  <si>
    <t>DIXY</t>
  </si>
  <si>
    <t>UNA NA Equity</t>
  </si>
  <si>
    <t>NL0000009355</t>
  </si>
  <si>
    <t>UNANA</t>
  </si>
  <si>
    <t>EJ545131 Corp</t>
  </si>
  <si>
    <t>25081</t>
  </si>
  <si>
    <t>SAP GY Equity</t>
  </si>
  <si>
    <t>DE0007164600</t>
  </si>
  <si>
    <t>SAPAG</t>
  </si>
  <si>
    <t>RU000A0JTQU9 Corp</t>
  </si>
  <si>
    <t>RU000A0JTQU9</t>
  </si>
  <si>
    <t>VEBL11</t>
  </si>
  <si>
    <t>US3682872078</t>
  </si>
  <si>
    <t>OGZPY</t>
  </si>
  <si>
    <t>XS1188073081 Corp</t>
  </si>
  <si>
    <t>XS1188073081</t>
  </si>
  <si>
    <t>HALKBK21N</t>
  </si>
  <si>
    <t>XLK US Equity</t>
  </si>
  <si>
    <t>US81369Y8030</t>
  </si>
  <si>
    <t>XLKUS</t>
  </si>
  <si>
    <t>JK744712 Corp</t>
  </si>
  <si>
    <t>RUSALBRB01</t>
  </si>
  <si>
    <t>XS0088543193</t>
  </si>
  <si>
    <t>EU28REGS</t>
  </si>
  <si>
    <t>XS0361041808 TRDB Corp</t>
  </si>
  <si>
    <t>VIP18</t>
  </si>
  <si>
    <t>IBM LN Equity</t>
  </si>
  <si>
    <t>US4592001014</t>
  </si>
  <si>
    <t>IBMUS</t>
  </si>
  <si>
    <t>USG9328DAJ93 Corp</t>
  </si>
  <si>
    <t>USG9328DAJ93</t>
  </si>
  <si>
    <t>VEDLN23</t>
  </si>
  <si>
    <t>RU000A0JXFS8 Corp</t>
  </si>
  <si>
    <t>RU000A0JXFS8</t>
  </si>
  <si>
    <t>GAZCAP27</t>
  </si>
  <si>
    <t>VEU7C 110000.00 Index</t>
  </si>
  <si>
    <t>RTS-9.17/C I110000 ACU 21SEP17</t>
  </si>
  <si>
    <t>TCS LI Equity</t>
  </si>
  <si>
    <t>US87238U2033</t>
  </si>
  <si>
    <t>B5N7 Comdty</t>
  </si>
  <si>
    <t>BR-7.17</t>
  </si>
  <si>
    <t>CH0336352825 Corp</t>
  </si>
  <si>
    <t>CH0336352825</t>
  </si>
  <si>
    <t>YPFDAR19</t>
  </si>
  <si>
    <t>IHYG LN Equity</t>
  </si>
  <si>
    <t>IE00B66F4759</t>
  </si>
  <si>
    <t>IHYGLN</t>
  </si>
  <si>
    <t>USG6712EAA67 Corp</t>
  </si>
  <si>
    <t>USG6712EAA67</t>
  </si>
  <si>
    <t>OOGCOR49</t>
  </si>
  <si>
    <t>RU000A0JXEV5 Corp</t>
  </si>
  <si>
    <t>RU000A0JXEV5</t>
  </si>
  <si>
    <t>MTS-001P-1</t>
  </si>
  <si>
    <t>ACN US Equity</t>
  </si>
  <si>
    <t>IE00B4BNMY34</t>
  </si>
  <si>
    <t>ACNUS</t>
  </si>
  <si>
    <t>RU000A0JPNM1</t>
  </si>
  <si>
    <t>SD3EEX GY Equity</t>
  </si>
  <si>
    <t>DE0002635281</t>
  </si>
  <si>
    <t>SDEXGY</t>
  </si>
  <si>
    <t>MON US Equity</t>
  </si>
  <si>
    <t>US61166W1018</t>
  </si>
  <si>
    <t>MONUS</t>
  </si>
  <si>
    <t>V US Equity</t>
  </si>
  <si>
    <t>US92826C8394</t>
  </si>
  <si>
    <t>VUS</t>
  </si>
  <si>
    <t>SHY US Equity</t>
  </si>
  <si>
    <t>US4642874576</t>
  </si>
  <si>
    <t>SHYUS</t>
  </si>
  <si>
    <t>FOSL US Equity</t>
  </si>
  <si>
    <t>US34988V1061</t>
  </si>
  <si>
    <t>FOSLUS</t>
  </si>
  <si>
    <t>US98387E2054</t>
  </si>
  <si>
    <t>FIVELI</t>
  </si>
  <si>
    <t>XS1107291541 Corp</t>
  </si>
  <si>
    <t>XS1107291541</t>
  </si>
  <si>
    <t>SANTAN49A</t>
  </si>
  <si>
    <t>RU000A0JTM28 Corp</t>
  </si>
  <si>
    <t>RU000A0JTM28</t>
  </si>
  <si>
    <t>BANE06</t>
  </si>
  <si>
    <t>XS0833264335</t>
  </si>
  <si>
    <t>GAZBK15R</t>
  </si>
  <si>
    <t>XS0889401054 Corp</t>
  </si>
  <si>
    <t>VIP19</t>
  </si>
  <si>
    <t>JK549945 Corp</t>
  </si>
  <si>
    <t>EVRKHOL1P1R</t>
  </si>
  <si>
    <t>URM7 Curncy</t>
  </si>
  <si>
    <t>SI-6.17</t>
  </si>
  <si>
    <t>XS0426517701 Corp</t>
  </si>
  <si>
    <t>GPBRU16</t>
  </si>
  <si>
    <t>VIP22</t>
  </si>
  <si>
    <t>AABA US Equity</t>
  </si>
  <si>
    <t>US0213461017</t>
  </si>
  <si>
    <t>YAHOO</t>
  </si>
  <si>
    <t>SX7PEX GY Equity</t>
  </si>
  <si>
    <t>DE000A0F5UJ7</t>
  </si>
  <si>
    <t>SX7PEXGR</t>
  </si>
  <si>
    <t>RU000A0JV4N8 Corp</t>
  </si>
  <si>
    <t>RU000A0JV4N8</t>
  </si>
  <si>
    <t>29009</t>
  </si>
  <si>
    <t>XS1433454243 Corp</t>
  </si>
  <si>
    <t>XS1433454243</t>
  </si>
  <si>
    <t>SCFRU23</t>
  </si>
  <si>
    <t>TWW GR Equity</t>
  </si>
  <si>
    <t>GB0008782301</t>
  </si>
  <si>
    <t>TWLN</t>
  </si>
  <si>
    <t>URKA S1 Equity</t>
  </si>
  <si>
    <t>US91688E2063</t>
  </si>
  <si>
    <t>URKLI</t>
  </si>
  <si>
    <t>ZGLDHG SW Equity</t>
  </si>
  <si>
    <t>CH0104493306</t>
  </si>
  <si>
    <t>ZGLDHGSW</t>
  </si>
  <si>
    <t>PCLN US Equity</t>
  </si>
  <si>
    <t>US7415034039</t>
  </si>
  <si>
    <t>PCLNUS</t>
  </si>
  <si>
    <t>XS1601094755 Corp</t>
  </si>
  <si>
    <t>XS1601094755</t>
  </si>
  <si>
    <t>CRBKMOPERP</t>
  </si>
  <si>
    <t>KMI US Equity</t>
  </si>
  <si>
    <t>US49456B1017</t>
  </si>
  <si>
    <t>KMIUS</t>
  </si>
  <si>
    <t>XS0867620725 Corp</t>
  </si>
  <si>
    <t>XS0867620725</t>
  </si>
  <si>
    <t>SOCGEN49E</t>
  </si>
  <si>
    <t>RU0009046510</t>
  </si>
  <si>
    <t>CHMF</t>
  </si>
  <si>
    <t>ISVZ GR Equity</t>
  </si>
  <si>
    <t>US4642867158</t>
  </si>
  <si>
    <t>TURUS</t>
  </si>
  <si>
    <t>CSSMI SW Equity</t>
  </si>
  <si>
    <t>CH0008899764</t>
  </si>
  <si>
    <t>CSSMISW</t>
  </si>
  <si>
    <t>CSCO US Equity</t>
  </si>
  <si>
    <t>US17275R1023</t>
  </si>
  <si>
    <t>CSCO</t>
  </si>
  <si>
    <t>RUB CASH</t>
  </si>
  <si>
    <t>RUBCASH</t>
  </si>
  <si>
    <t>XLF US Equity</t>
  </si>
  <si>
    <t>US81369Y6059</t>
  </si>
  <si>
    <t>XLFUS</t>
  </si>
  <si>
    <t>XS1468260598 Corp</t>
  </si>
  <si>
    <t>XS1468260598</t>
  </si>
  <si>
    <t>EURONAT19L</t>
  </si>
  <si>
    <t>CH0359143119 Corp</t>
  </si>
  <si>
    <t>CH0359143119</t>
  </si>
  <si>
    <t>EFGIF_0419</t>
  </si>
  <si>
    <t>AMZN US Equity</t>
  </si>
  <si>
    <t>US0231351067</t>
  </si>
  <si>
    <t>AMZNUS</t>
  </si>
  <si>
    <t>CH0279928706 Corp</t>
  </si>
  <si>
    <t>CH0279928706</t>
  </si>
  <si>
    <t>EFGIF_1215</t>
  </si>
  <si>
    <t>VEB23</t>
  </si>
  <si>
    <t>RSTI RX Equity</t>
  </si>
  <si>
    <t>RU000A0JPVJ0</t>
  </si>
  <si>
    <t>RU000A0JWV63 Corp</t>
  </si>
  <si>
    <t>RU000A0JWV63</t>
  </si>
  <si>
    <t>RSHB-08T1</t>
  </si>
  <si>
    <t>UPRO</t>
  </si>
  <si>
    <t>US71647NAP42 Corp</t>
  </si>
  <si>
    <t>US71647NAP42</t>
  </si>
  <si>
    <t>USG9328DAD24</t>
  </si>
  <si>
    <t>VEDLN18</t>
  </si>
  <si>
    <t>URU7 Curncy</t>
  </si>
  <si>
    <t>SI-9.17</t>
  </si>
  <si>
    <t>JE00B5BCW814</t>
  </si>
  <si>
    <t>486HK</t>
  </si>
  <si>
    <t>US251525AP63 Corp</t>
  </si>
  <si>
    <t>US251525AP63</t>
  </si>
  <si>
    <t>DEUTBK25</t>
  </si>
  <si>
    <t>XS0974126186 CBBT Corp</t>
  </si>
  <si>
    <t>XS0974126186</t>
  </si>
  <si>
    <t>GAZPRU20G</t>
  </si>
  <si>
    <t>RU000A0JUVG6 Corp</t>
  </si>
  <si>
    <t>RU000A0JUVG6</t>
  </si>
  <si>
    <t>PROMSVBBO8</t>
  </si>
  <si>
    <t>EJ920101 Corp</t>
  </si>
  <si>
    <t>VEBL13</t>
  </si>
  <si>
    <t>RU000A0JX3A5 Corp</t>
  </si>
  <si>
    <t>RU000A0JX3A5</t>
  </si>
  <si>
    <t>LIDERINBP1</t>
  </si>
  <si>
    <t>RU000A0JX0H6 Corp</t>
  </si>
  <si>
    <t>RU000A0JX0H6</t>
  </si>
  <si>
    <t>29012</t>
  </si>
  <si>
    <t>XS0234987153 Corp</t>
  </si>
  <si>
    <t>XS0234987153</t>
  </si>
  <si>
    <t>EVRAZ15</t>
  </si>
  <si>
    <t>RU000A0JWMJ5 Corp</t>
  </si>
  <si>
    <t>RU000A0JWMJ5</t>
  </si>
  <si>
    <t>RNBANK21</t>
  </si>
  <si>
    <t>EMB US Equity</t>
  </si>
  <si>
    <t>US4642882819</t>
  </si>
  <si>
    <t>EMBUS</t>
  </si>
  <si>
    <t>SBRF=U7 RU Equity</t>
  </si>
  <si>
    <t>SBRF-9.17</t>
  </si>
  <si>
    <t>URM7C 59000 Curncy</t>
  </si>
  <si>
    <t>SI-6.17/C F59000 ACR 15JUN17</t>
  </si>
  <si>
    <t>RU000A0JXK40 Corp</t>
  </si>
  <si>
    <t>RU000A0JXK40</t>
  </si>
  <si>
    <t>PIKKRM22</t>
  </si>
  <si>
    <t>US456837AE31 Corp</t>
  </si>
  <si>
    <t>US456837AE31</t>
  </si>
  <si>
    <t>INTNEDPERPJ</t>
  </si>
  <si>
    <t>GLTRLI</t>
  </si>
  <si>
    <t>SPY US Equity</t>
  </si>
  <si>
    <t>US78462F1030</t>
  </si>
  <si>
    <t>SPYUS</t>
  </si>
  <si>
    <t>RUSL US Equity</t>
  </si>
  <si>
    <t>US25490K2731</t>
  </si>
  <si>
    <t>RUSLUS</t>
  </si>
  <si>
    <t>CELG US Equity</t>
  </si>
  <si>
    <t>US1510201049</t>
  </si>
  <si>
    <t>CELGUS</t>
  </si>
  <si>
    <t>QIWIUS</t>
  </si>
  <si>
    <t>H9B GR Equity</t>
  </si>
  <si>
    <t>US42805T1051</t>
  </si>
  <si>
    <t>HTZUS_OLD</t>
  </si>
  <si>
    <t>US836205AR58 Corp</t>
  </si>
  <si>
    <t>US836205AR58</t>
  </si>
  <si>
    <t>SOAF25</t>
  </si>
  <si>
    <t>RU000A0JXFC2 Corp</t>
  </si>
  <si>
    <t>RU000A0JXFC2</t>
  </si>
  <si>
    <t>SOLFIN20</t>
  </si>
  <si>
    <t>XS1319813769 Corp</t>
  </si>
  <si>
    <t>XS1319813769</t>
  </si>
  <si>
    <t>GLPRLI22</t>
  </si>
  <si>
    <t>EJ634925 Corp</t>
  </si>
  <si>
    <t>EDCLLI20</t>
  </si>
  <si>
    <t>XS1513741311 Corp</t>
  </si>
  <si>
    <t>XS1513741311</t>
  </si>
  <si>
    <t>ALFARUPERP</t>
  </si>
  <si>
    <t>RU000A0JU609 Corp</t>
  </si>
  <si>
    <t>RU000A0JU609</t>
  </si>
  <si>
    <t>GTLKBO02</t>
  </si>
  <si>
    <t>VTBU14 Index</t>
  </si>
  <si>
    <t>VTBR-9.14</t>
  </si>
  <si>
    <t>XS1513286283 Corp</t>
  </si>
  <si>
    <t>XS1513286283</t>
  </si>
  <si>
    <t>EURONAT190</t>
  </si>
  <si>
    <t>QZ580267 Corp</t>
  </si>
  <si>
    <t>LSR-BO-01</t>
  </si>
  <si>
    <t>PCG US Equity</t>
  </si>
  <si>
    <t>US69331C1080</t>
  </si>
  <si>
    <t>PCGUS</t>
  </si>
  <si>
    <t>PPGPMBP LX Equity</t>
  </si>
  <si>
    <t>LU0217139020</t>
  </si>
  <si>
    <t>PPGPMBPLX</t>
  </si>
  <si>
    <t>URU7C 62000.00 Curncy</t>
  </si>
  <si>
    <t>SI-9.17/C I62000 ACR 21SEP17</t>
  </si>
  <si>
    <t>ESRX US Equity</t>
  </si>
  <si>
    <t>US30219G1085</t>
  </si>
  <si>
    <t>ESRXUS</t>
  </si>
  <si>
    <t>ROSN22</t>
  </si>
  <si>
    <t>EJ142417 Corp</t>
  </si>
  <si>
    <t>25080</t>
  </si>
  <si>
    <t>XS1266615175 Corp</t>
  </si>
  <si>
    <t>XS1266615175</t>
  </si>
  <si>
    <t>SOCGEN21F</t>
  </si>
  <si>
    <t>RU000A0JS6N8 Corp</t>
  </si>
  <si>
    <t>RU000A0JS6N8</t>
  </si>
  <si>
    <t>RSHB16</t>
  </si>
  <si>
    <t>CH0340809679 Corp</t>
  </si>
  <si>
    <t>CH0340809679</t>
  </si>
  <si>
    <t>EFGIF_1117</t>
  </si>
  <si>
    <t>MSFT US Equity</t>
  </si>
  <si>
    <t>US5949181045</t>
  </si>
  <si>
    <t>MSFT</t>
  </si>
  <si>
    <t>US191216AY64 Corp</t>
  </si>
  <si>
    <t>US191216AY64</t>
  </si>
  <si>
    <t>KO18</t>
  </si>
  <si>
    <t>XS1503116912 Corp</t>
  </si>
  <si>
    <t>XS1503116912</t>
  </si>
  <si>
    <t>MTNSJ22</t>
  </si>
  <si>
    <t>RU000A0JTKM9 Corp</t>
  </si>
  <si>
    <t>RU000A0JTKM9</t>
  </si>
  <si>
    <t>GTLK02</t>
  </si>
  <si>
    <t>G1A GY Equity</t>
  </si>
  <si>
    <t>DE0006602006</t>
  </si>
  <si>
    <t>G1AGY</t>
  </si>
  <si>
    <t>RU000A0JW1P8 Corp</t>
  </si>
  <si>
    <t>RU000A0JW1P8</t>
  </si>
  <si>
    <t>GTLK-BO-07</t>
  </si>
  <si>
    <t>XS0552679879 CBBT Corp</t>
  </si>
  <si>
    <t>SCFRU17</t>
  </si>
  <si>
    <t>RU000A0JR3P1 SBER Corp</t>
  </si>
  <si>
    <t>RU000A0JR3P1</t>
  </si>
  <si>
    <t>EVRAZ02</t>
  </si>
  <si>
    <t>RU000A0JXU14 Corp</t>
  </si>
  <si>
    <t>RU000A0JXU14</t>
  </si>
  <si>
    <t>EU47REGS</t>
  </si>
  <si>
    <t>IEV US Equity</t>
  </si>
  <si>
    <t>US4642878619</t>
  </si>
  <si>
    <t>IEVUS</t>
  </si>
  <si>
    <t>T US Equity</t>
  </si>
  <si>
    <t>US00206R1023</t>
  </si>
  <si>
    <t>TUS</t>
  </si>
  <si>
    <t>RU0006944147</t>
  </si>
  <si>
    <t>TATNP</t>
  </si>
  <si>
    <t>US71647NAQ25 Corp</t>
  </si>
  <si>
    <t>US71647NAQ25</t>
  </si>
  <si>
    <t>PETBRA26</t>
  </si>
  <si>
    <t>GLD US Equity</t>
  </si>
  <si>
    <t>US78463V1070</t>
  </si>
  <si>
    <t>GLDUS</t>
  </si>
  <si>
    <t>US31562QAF46 Corp</t>
  </si>
  <si>
    <t>US31562QAF46</t>
  </si>
  <si>
    <t>FCAIM23</t>
  </si>
  <si>
    <t>MBT US Equity</t>
  </si>
  <si>
    <t>US6074091090</t>
  </si>
  <si>
    <t>MBT</t>
  </si>
  <si>
    <t>HKDRUB Curncy</t>
  </si>
  <si>
    <t>HKDRUB ISIN</t>
  </si>
  <si>
    <t>HKD</t>
  </si>
  <si>
    <t>HRI US Equity</t>
  </si>
  <si>
    <t>US42704L1044</t>
  </si>
  <si>
    <t>HRIUS</t>
  </si>
  <si>
    <t>MTLR RX Equity</t>
  </si>
  <si>
    <t>RU000A0DKXV5</t>
  </si>
  <si>
    <t>MTLR</t>
  </si>
  <si>
    <t>XS1314820355 Corp</t>
  </si>
  <si>
    <t>XS1314820355</t>
  </si>
  <si>
    <t>SOCGEN21H</t>
  </si>
  <si>
    <t>DE000DB7XHP3 Corp</t>
  </si>
  <si>
    <t>DE000DB7XHP3</t>
  </si>
  <si>
    <t>DEUTPERPB</t>
  </si>
  <si>
    <t>XS1132375897 Corp</t>
  </si>
  <si>
    <t>XS1132375897</t>
  </si>
  <si>
    <t>CHIOIL20</t>
  </si>
  <si>
    <t>XS0832412505 Corp</t>
  </si>
  <si>
    <t>ALFARU19</t>
  </si>
  <si>
    <t>US71647NAF69 Corp</t>
  </si>
  <si>
    <t>US71647NAF69</t>
  </si>
  <si>
    <t>PETBRA23</t>
  </si>
  <si>
    <t>USU77583AA79 Corp</t>
  </si>
  <si>
    <t>USU77583AA79</t>
  </si>
  <si>
    <t>RLTAIN19</t>
  </si>
  <si>
    <t>USQ3919KAD39 Corp</t>
  </si>
  <si>
    <t>USQ3919KAD39</t>
  </si>
  <si>
    <t>FMGAU19</t>
  </si>
  <si>
    <t>TRGP US Equity</t>
  </si>
  <si>
    <t>US87612G1013</t>
  </si>
  <si>
    <t>TRGPUS</t>
  </si>
  <si>
    <t>LWEAL B3 Equity</t>
  </si>
  <si>
    <t>JE00B2NFTX18</t>
  </si>
  <si>
    <t>LWEALN_OLD</t>
  </si>
  <si>
    <t>XS1603245389 Corp</t>
  </si>
  <si>
    <t>XS1603245389</t>
  </si>
  <si>
    <t>GS19</t>
  </si>
  <si>
    <t>RU000A0JU9V1</t>
  </si>
  <si>
    <t>26216</t>
  </si>
  <si>
    <t>VTB18</t>
  </si>
  <si>
    <t>GAZBK19</t>
  </si>
  <si>
    <t>XS0878855773 CBBT Corp</t>
  </si>
  <si>
    <t>SIBUR18</t>
  </si>
  <si>
    <t>VEH7C 11000 Index</t>
  </si>
  <si>
    <t>RTS-3.17/P O110000 ACU 16MAR17</t>
  </si>
  <si>
    <t>MHPCLI</t>
  </si>
  <si>
    <t>RU000A0JPLH5 Corp</t>
  </si>
  <si>
    <t>RU000A0JPLH5</t>
  </si>
  <si>
    <t>46022</t>
  </si>
  <si>
    <t>TNBP Equty</t>
  </si>
  <si>
    <t>TNBPISIN</t>
  </si>
  <si>
    <t>TNBP</t>
  </si>
  <si>
    <t>GB00BYNVD082</t>
  </si>
  <si>
    <t>MCSLN</t>
  </si>
  <si>
    <t>XS0925177130 Corp</t>
  </si>
  <si>
    <t>XS0925177130</t>
  </si>
  <si>
    <t>UCGIM23</t>
  </si>
  <si>
    <t>NKNC RX Equity</t>
  </si>
  <si>
    <t>NKNC</t>
  </si>
  <si>
    <t>HEDJ US Equity</t>
  </si>
  <si>
    <t>US97717X7012</t>
  </si>
  <si>
    <t>HEDJUS</t>
  </si>
  <si>
    <t>PND GR Equity</t>
  </si>
  <si>
    <t>NO0003054108</t>
  </si>
  <si>
    <t>MHGNO</t>
  </si>
  <si>
    <t>MO US Equity</t>
  </si>
  <si>
    <t>US02209S1033</t>
  </si>
  <si>
    <t>USP989MJBG51</t>
  </si>
  <si>
    <t>YPFSA21</t>
  </si>
  <si>
    <t>RU000A0JP4W7 Corp</t>
  </si>
  <si>
    <t>RU000A0JP4W7</t>
  </si>
  <si>
    <t>MAGF02</t>
  </si>
  <si>
    <t>TRMK</t>
  </si>
  <si>
    <t>GM US Equity</t>
  </si>
  <si>
    <t>US37045V1008</t>
  </si>
  <si>
    <t>GMUS</t>
  </si>
  <si>
    <t>B5J7 Comdty</t>
  </si>
  <si>
    <t>BR-4.17</t>
  </si>
  <si>
    <t>DWIGAA2 LX Equity</t>
  </si>
  <si>
    <t>LU0273164847</t>
  </si>
  <si>
    <t>DWIGAA2LX</t>
  </si>
  <si>
    <t>US620076BB42 Corp</t>
  </si>
  <si>
    <t>US620076BB42</t>
  </si>
  <si>
    <t>MSI22</t>
  </si>
  <si>
    <t>PHAULN</t>
  </si>
  <si>
    <t>IP US Equity</t>
  </si>
  <si>
    <t>US4601461035</t>
  </si>
  <si>
    <t>IPUS</t>
  </si>
  <si>
    <t>XS1218432000 Corp</t>
  </si>
  <si>
    <t>XS1218432000</t>
  </si>
  <si>
    <t>GLENLN2.87</t>
  </si>
  <si>
    <t>RU000A0JU1V8 Corp</t>
  </si>
  <si>
    <t>RU000A0JU1V8</t>
  </si>
  <si>
    <t>KAR34016</t>
  </si>
  <si>
    <t>XS0579851949 Corp</t>
  </si>
  <si>
    <t>XS0579851949</t>
  </si>
  <si>
    <t>ESKOM21</t>
  </si>
  <si>
    <t>XS0802648955 Corp</t>
  </si>
  <si>
    <t>RUSST17</t>
  </si>
  <si>
    <t>RU000A0JWM49 Corp</t>
  </si>
  <si>
    <t>RU000A0JWM49</t>
  </si>
  <si>
    <t>AVTOBAN-F1</t>
  </si>
  <si>
    <t>US55315J1025</t>
  </si>
  <si>
    <t>NILSY</t>
  </si>
  <si>
    <t>RU000A0JXLR8 Corp</t>
  </si>
  <si>
    <t>RU000A0JXLR8</t>
  </si>
  <si>
    <t>OTKRFKBOP3</t>
  </si>
  <si>
    <t>MINT US Equity</t>
  </si>
  <si>
    <t>US72201R8337</t>
  </si>
  <si>
    <t>MINTUS</t>
  </si>
  <si>
    <t>XS0767473852</t>
  </si>
  <si>
    <t>EU42REGS</t>
  </si>
  <si>
    <t>PM US Equity</t>
  </si>
  <si>
    <t>US7181721090</t>
  </si>
  <si>
    <t>PMUS</t>
  </si>
  <si>
    <t>RU000A0JXUH0 Corp</t>
  </si>
  <si>
    <t>RU000A0JXUH0</t>
  </si>
  <si>
    <t>ROSBNBO2R2</t>
  </si>
  <si>
    <t>US931142DF70 Corp</t>
  </si>
  <si>
    <t>US931142DF70</t>
  </si>
  <si>
    <t>WMT18</t>
  </si>
  <si>
    <t>MVID</t>
  </si>
  <si>
    <t>XS0982711714 Corp</t>
  </si>
  <si>
    <t>XS0982711714</t>
  </si>
  <si>
    <t>PETBRA25</t>
  </si>
  <si>
    <t>USA57902AA51 Corp</t>
  </si>
  <si>
    <t>USA57902AA51</t>
  </si>
  <si>
    <t>OASCBZ19</t>
  </si>
  <si>
    <t>EPD US Equity</t>
  </si>
  <si>
    <t>US2937921078</t>
  </si>
  <si>
    <t>EPDUS</t>
  </si>
  <si>
    <t>EJ644860 Corp</t>
  </si>
  <si>
    <t>PGILLN20</t>
  </si>
  <si>
    <t>US961214CF89 Corp</t>
  </si>
  <si>
    <t>US961214CF89</t>
  </si>
  <si>
    <t>WSTP19</t>
  </si>
  <si>
    <t>CTSH US Equity</t>
  </si>
  <si>
    <t>US1924461023</t>
  </si>
  <si>
    <t>CTSHUS</t>
  </si>
  <si>
    <t>USA29866AA70 Corp</t>
  </si>
  <si>
    <t>USA29866AA70</t>
  </si>
  <si>
    <t>JBSSBZ20N</t>
  </si>
  <si>
    <t>XS1084024584 Corp</t>
  </si>
  <si>
    <t>XS1084024584</t>
  </si>
  <si>
    <t>GPBRU19E</t>
  </si>
  <si>
    <t>NLMK18</t>
  </si>
  <si>
    <t>US364760AK48 Corp</t>
  </si>
  <si>
    <t>US364760AK48</t>
  </si>
  <si>
    <t>GPS21</t>
  </si>
  <si>
    <t>LSUGL S2 Equity</t>
  </si>
  <si>
    <t>JE00B2NFTW01</t>
  </si>
  <si>
    <t>LSUGLN</t>
  </si>
  <si>
    <t>GDX US Equity</t>
  </si>
  <si>
    <t>US92189F1066</t>
  </si>
  <si>
    <t>GDXUS</t>
  </si>
  <si>
    <t>YNDXUS</t>
  </si>
  <si>
    <t>BISVP RX Equity</t>
  </si>
  <si>
    <t>RU0009100176</t>
  </si>
  <si>
    <t>BISVP</t>
  </si>
  <si>
    <t>EVRAZ18N</t>
  </si>
  <si>
    <t>RSTIP RX Equity</t>
  </si>
  <si>
    <t>RU000A0JPVK8</t>
  </si>
  <si>
    <t>RSTIP</t>
  </si>
  <si>
    <t>RU0009033591</t>
  </si>
  <si>
    <t>TATN</t>
  </si>
  <si>
    <t>US71645WAP68 Corp</t>
  </si>
  <si>
    <t>US71645WAP68</t>
  </si>
  <si>
    <t>PETBRA20</t>
  </si>
  <si>
    <t>LKOH</t>
  </si>
  <si>
    <t>US71647NAM11 Corp</t>
  </si>
  <si>
    <t>US71647NAM11</t>
  </si>
  <si>
    <t>PETBRA24</t>
  </si>
  <si>
    <t>TGKA RX Equity</t>
  </si>
  <si>
    <t>TGKA</t>
  </si>
  <si>
    <t>VEON US Equity</t>
  </si>
  <si>
    <t>US91822M1062</t>
  </si>
  <si>
    <t>VEONUS</t>
  </si>
  <si>
    <t>XS0547082973 Corp</t>
  </si>
  <si>
    <t>XS0547082973</t>
  </si>
  <si>
    <t>GFISJ20</t>
  </si>
  <si>
    <t>RU000A0JW8E7 Corp</t>
  </si>
  <si>
    <t>RU000A0JW8E7</t>
  </si>
  <si>
    <t>TOYOTA-01</t>
  </si>
  <si>
    <t>RDW IX Equity</t>
  </si>
  <si>
    <t>GB0007282386</t>
  </si>
  <si>
    <t>RDWLN</t>
  </si>
  <si>
    <t>XS0849020556 Corp</t>
  </si>
  <si>
    <t>XS0849020556</t>
  </si>
  <si>
    <t>TUPRST18</t>
  </si>
  <si>
    <t>GAZPRU20N</t>
  </si>
  <si>
    <t>US71645WAU53 Corp</t>
  </si>
  <si>
    <t>US71645WAU53</t>
  </si>
  <si>
    <t>PETBRA17</t>
  </si>
  <si>
    <t>US3755581036</t>
  </si>
  <si>
    <t>BIIB US Equity</t>
  </si>
  <si>
    <t>US09062X1037</t>
  </si>
  <si>
    <t>BIIBUS</t>
  </si>
  <si>
    <t>XS1581931083 Corp</t>
  </si>
  <si>
    <t>XS1581931083</t>
  </si>
  <si>
    <t>EURONAT19P</t>
  </si>
  <si>
    <t>XS1634369067 Corp</t>
  </si>
  <si>
    <t>XS1634369067</t>
  </si>
  <si>
    <t>BELRUS23</t>
  </si>
  <si>
    <t>RU000A0JWVM0 Corp</t>
  </si>
  <si>
    <t>RU000A0JWVM0</t>
  </si>
  <si>
    <t>FOLKSVB1P1</t>
  </si>
  <si>
    <t>OGK6 RX Equity</t>
  </si>
  <si>
    <t>RU000A0JNG63</t>
  </si>
  <si>
    <t>OGKF</t>
  </si>
  <si>
    <t>SAP US Equity</t>
  </si>
  <si>
    <t>US8030542042</t>
  </si>
  <si>
    <t>SAPUS</t>
  </si>
  <si>
    <t>CH0340808812</t>
  </si>
  <si>
    <t>EFGIF_1017B</t>
  </si>
  <si>
    <t>B5U7 Comdty</t>
  </si>
  <si>
    <t>BR-9.17</t>
  </si>
  <si>
    <t>SVST LI Equity</t>
  </si>
  <si>
    <t>US8181503025</t>
  </si>
  <si>
    <t>SVSTLI</t>
  </si>
  <si>
    <t>XS0906949523 Corp</t>
  </si>
  <si>
    <t>XS0906949523</t>
  </si>
  <si>
    <t>GAZPRU25E</t>
  </si>
  <si>
    <t>VEB25</t>
  </si>
  <si>
    <t>SLHN BQ Equity</t>
  </si>
  <si>
    <t>CH0014852781</t>
  </si>
  <si>
    <t>SLHNVX</t>
  </si>
  <si>
    <t>ISF LN Equity</t>
  </si>
  <si>
    <t>IE0005042456</t>
  </si>
  <si>
    <t>ISFLN</t>
  </si>
  <si>
    <t>URKA</t>
  </si>
  <si>
    <t>XS1077629225 Corp</t>
  </si>
  <si>
    <t>XS1077629225</t>
  </si>
  <si>
    <t>VAKBN19</t>
  </si>
  <si>
    <t>RU000A0JU5S5 Corp</t>
  </si>
  <si>
    <t>RU000A0JU5S5</t>
  </si>
  <si>
    <t>GTLKBO01</t>
  </si>
  <si>
    <t>BIVV US Equity</t>
  </si>
  <si>
    <t>US09075E1001</t>
  </si>
  <si>
    <t>BIVVUS</t>
  </si>
  <si>
    <t>ALBUS Equity</t>
  </si>
  <si>
    <t>US0126531013</t>
  </si>
  <si>
    <t>BLNG RX Equity</t>
  </si>
  <si>
    <t>RU000A0J2QG8</t>
  </si>
  <si>
    <t>BLNG</t>
  </si>
  <si>
    <t>USG24422AA83 Corp</t>
  </si>
  <si>
    <t>USG24422AA83</t>
  </si>
  <si>
    <t>GGBRBZ24</t>
  </si>
  <si>
    <t>USP2253TJE03 Corp</t>
  </si>
  <si>
    <t>USP2253TJE03</t>
  </si>
  <si>
    <t>CEMEX25A</t>
  </si>
  <si>
    <t>ROG EB Equity</t>
  </si>
  <si>
    <t>CH0012032048</t>
  </si>
  <si>
    <t>ROGVX</t>
  </si>
  <si>
    <t>XS0716979249 Corp</t>
  </si>
  <si>
    <t>XS0716979249</t>
  </si>
  <si>
    <t>PETBRA18E</t>
  </si>
  <si>
    <t>US6778621044 Corp</t>
  </si>
  <si>
    <t>US6778621044</t>
  </si>
  <si>
    <t>LUKOY_OLD</t>
  </si>
  <si>
    <t>RU000A0JP2S9 Corp</t>
  </si>
  <si>
    <t>RU000A0JP2S9</t>
  </si>
  <si>
    <t>46021</t>
  </si>
  <si>
    <t>XS1542704421 Corp</t>
  </si>
  <si>
    <t>XS1542704421</t>
  </si>
  <si>
    <t>NOMUR21A</t>
  </si>
  <si>
    <t>EJ951547 Corp</t>
  </si>
  <si>
    <t>GZPN23</t>
  </si>
  <si>
    <t>GSZ FP Equity</t>
  </si>
  <si>
    <t>FR0010208488</t>
  </si>
  <si>
    <t>GSZFP</t>
  </si>
  <si>
    <t>RU0009029557</t>
  </si>
  <si>
    <t>SBERP</t>
  </si>
  <si>
    <t>XS1128996425 Corp</t>
  </si>
  <si>
    <t>XS1128996425</t>
  </si>
  <si>
    <t>MTNSJ24</t>
  </si>
  <si>
    <t>RU000A0JS3W6 Corp</t>
  </si>
  <si>
    <t>RU000A0JS3W6</t>
  </si>
  <si>
    <t>26207</t>
  </si>
  <si>
    <t>OMEAEHA ID Equity</t>
  </si>
  <si>
    <t>IE00BLP5S460</t>
  </si>
  <si>
    <t>OMEAEHAID</t>
  </si>
  <si>
    <t>XS0743596040 Corp</t>
  </si>
  <si>
    <t>SBER22</t>
  </si>
  <si>
    <t>FXI US Equity</t>
  </si>
  <si>
    <t>US4642871846</t>
  </si>
  <si>
    <t>FXIUS</t>
  </si>
  <si>
    <t>HENPA2U LX Equity</t>
  </si>
  <si>
    <t>LU0705775699</t>
  </si>
  <si>
    <t>HENPA2U</t>
  </si>
  <si>
    <t>RU000A0JS3M7 Corp</t>
  </si>
  <si>
    <t>RU000A0JS3M7</t>
  </si>
  <si>
    <t>SPTEL04</t>
  </si>
  <si>
    <t>USG9328DAG54 Corp</t>
  </si>
  <si>
    <t>USG9328DAG54</t>
  </si>
  <si>
    <t>VEDLN21</t>
  </si>
  <si>
    <t>VEQ7P 102500.00 Index</t>
  </si>
  <si>
    <t>RTS-9.17/P T102500 ACU 17AUG17</t>
  </si>
  <si>
    <t>RU000A0JTTV1 Corp</t>
  </si>
  <si>
    <t>RU000A0JTTV1</t>
  </si>
  <si>
    <t>RESO03</t>
  </si>
  <si>
    <t>MSNG RX Equity</t>
  </si>
  <si>
    <t>RU0008958863</t>
  </si>
  <si>
    <t>MSNG</t>
  </si>
  <si>
    <t>JK907252 Corp</t>
  </si>
  <si>
    <t>IKS5FINBO6</t>
  </si>
  <si>
    <t>PETM US Equity</t>
  </si>
  <si>
    <t>US7167681060</t>
  </si>
  <si>
    <t>PETMUS</t>
  </si>
  <si>
    <t>VIPUS</t>
  </si>
  <si>
    <t>HSB TQ Equity</t>
  </si>
  <si>
    <t>GB0005405286</t>
  </si>
  <si>
    <t>HSBALN</t>
  </si>
  <si>
    <t>HENPEA2 LX Equity</t>
  </si>
  <si>
    <t>LU0138821268</t>
  </si>
  <si>
    <t>HENPEA2LX</t>
  </si>
  <si>
    <t>XS0548633659 Corp</t>
  </si>
  <si>
    <t>VTB20</t>
  </si>
  <si>
    <t>EJ101924 Corp</t>
  </si>
  <si>
    <t>VIMP04</t>
  </si>
  <si>
    <t>PHAGLN</t>
  </si>
  <si>
    <t>VEB18</t>
  </si>
  <si>
    <t>PG US Equity</t>
  </si>
  <si>
    <t>US7427181091</t>
  </si>
  <si>
    <t>PGUS</t>
  </si>
  <si>
    <t>RU000A0JTWW3 Corp</t>
  </si>
  <si>
    <t>RU000A0JTWW3</t>
  </si>
  <si>
    <t>25082</t>
  </si>
  <si>
    <t>3CW GR Equity</t>
  </si>
  <si>
    <t>GB00B9NWP991</t>
  </si>
  <si>
    <t>CWDLN</t>
  </si>
  <si>
    <t>US67011E2046</t>
  </si>
  <si>
    <t>NLMKDR</t>
  </si>
  <si>
    <t>B5Q7 Comdty</t>
  </si>
  <si>
    <t>BR-8.17</t>
  </si>
  <si>
    <t>CH0326739403 Corp</t>
  </si>
  <si>
    <t>CH0326739403</t>
  </si>
  <si>
    <t>NOTFG_1216</t>
  </si>
  <si>
    <t>BORFIN18</t>
  </si>
  <si>
    <t>RU000A0JRDQ9 Corp</t>
  </si>
  <si>
    <t>RU000A0JRDQ9</t>
  </si>
  <si>
    <t>RTKM10</t>
  </si>
  <si>
    <t>HGMLN</t>
  </si>
  <si>
    <t>NSC US Equity</t>
  </si>
  <si>
    <t>US6558441084</t>
  </si>
  <si>
    <t>NSCUS</t>
  </si>
  <si>
    <t>US456837AF06 Corp</t>
  </si>
  <si>
    <t>US456837AF06</t>
  </si>
  <si>
    <t>INTNEDPERP</t>
  </si>
  <si>
    <t>XS1035504247 Corp</t>
  </si>
  <si>
    <t>XS1035504247</t>
  </si>
  <si>
    <t>EURONAT15E</t>
  </si>
  <si>
    <t>XS1198002690 Corp</t>
  </si>
  <si>
    <t>XS1198002690</t>
  </si>
  <si>
    <t>CEMEX23</t>
  </si>
  <si>
    <t>BKMOS17</t>
  </si>
  <si>
    <t>XS1220249970 Corp</t>
  </si>
  <si>
    <t>XS1220249970</t>
  </si>
  <si>
    <t>COMBAN18</t>
  </si>
  <si>
    <t>AMMO RU Equity</t>
  </si>
  <si>
    <t>RU0006571882</t>
  </si>
  <si>
    <t>AMMO</t>
  </si>
  <si>
    <t>EWZ US Equity</t>
  </si>
  <si>
    <t>US4642864007</t>
  </si>
  <si>
    <t>EWZ</t>
  </si>
  <si>
    <t>SBER23</t>
  </si>
  <si>
    <t>US58517T2096</t>
  </si>
  <si>
    <t>MFONLI</t>
  </si>
  <si>
    <t>XS0869792928 Corp</t>
  </si>
  <si>
    <t>RENOT18S</t>
  </si>
  <si>
    <t>XS1437965822 Corp</t>
  </si>
  <si>
    <t>XS1437965822</t>
  </si>
  <si>
    <t>SOCGEN19V</t>
  </si>
  <si>
    <t>SSA LI Equity</t>
  </si>
  <si>
    <t>US48122U2042</t>
  </si>
  <si>
    <t>SSAREGS</t>
  </si>
  <si>
    <t>BABA US Equity</t>
  </si>
  <si>
    <t>US01609W1027</t>
  </si>
  <si>
    <t>BABAUS</t>
  </si>
  <si>
    <t>SX7EEX GY Equity</t>
  </si>
  <si>
    <t>DE0006289309</t>
  </si>
  <si>
    <t>SX7EEXGR</t>
  </si>
  <si>
    <t>RU000A0JXM48 Corp</t>
  </si>
  <si>
    <t>RU000A0JXM48</t>
  </si>
  <si>
    <t>BINBANKBP1</t>
  </si>
  <si>
    <t>ALROSA20</t>
  </si>
  <si>
    <t>XS0775984213 Corp</t>
  </si>
  <si>
    <t>PROMBK17</t>
  </si>
  <si>
    <t>XS1568888777 Corp</t>
  </si>
  <si>
    <t>XS1568888777</t>
  </si>
  <si>
    <t>PETRMX28</t>
  </si>
  <si>
    <t>XS0213101073 Corp</t>
  </si>
  <si>
    <t>XS0213101073</t>
  </si>
  <si>
    <t>PEMEX25</t>
  </si>
  <si>
    <t>RU000A0JVW48 Corp</t>
  </si>
  <si>
    <t>RU000A0JVW48</t>
  </si>
  <si>
    <t>26218</t>
  </si>
  <si>
    <t>GAZBK23</t>
  </si>
  <si>
    <t>HENGLTI LX Equity</t>
  </si>
  <si>
    <t>LU0070992663</t>
  </si>
  <si>
    <t>HENGLTILX</t>
  </si>
  <si>
    <t>USD Curncy</t>
  </si>
  <si>
    <t>CH0361710632 Corp</t>
  </si>
  <si>
    <t>CH0361710632</t>
  </si>
  <si>
    <t>EFGIF_0419A</t>
  </si>
  <si>
    <t>F US Equity</t>
  </si>
  <si>
    <t>US3453708600</t>
  </si>
  <si>
    <t>FUS</t>
  </si>
  <si>
    <t>XS0716979595 Corp</t>
  </si>
  <si>
    <t>XS0716979595</t>
  </si>
  <si>
    <t>PETBRA22</t>
  </si>
  <si>
    <t>JK576342 Corp</t>
  </si>
  <si>
    <t>METALINB02</t>
  </si>
  <si>
    <t>ENDP US Equity</t>
  </si>
  <si>
    <t>IE00BJ3V9050</t>
  </si>
  <si>
    <t>ENDPUS</t>
  </si>
  <si>
    <t>US36829G1076</t>
  </si>
  <si>
    <t>SBKYY</t>
  </si>
  <si>
    <t>HEIA NA Equity</t>
  </si>
  <si>
    <t>NL0000009165</t>
  </si>
  <si>
    <t>HEIANA</t>
  </si>
  <si>
    <t>VIP21</t>
  </si>
  <si>
    <t>CH0355509487 Corp</t>
  </si>
  <si>
    <t>CH0355509487</t>
  </si>
  <si>
    <t>EFGIF_0122C</t>
  </si>
  <si>
    <t>XS0543783194 Corp</t>
  </si>
  <si>
    <t>XS0543783194</t>
  </si>
  <si>
    <t>UKRGB20</t>
  </si>
  <si>
    <t>RU000A0J2Q06</t>
  </si>
  <si>
    <t>ROSN</t>
  </si>
  <si>
    <t>JK551531 Corp</t>
  </si>
  <si>
    <t>GAZPRNEFB7</t>
  </si>
  <si>
    <t>XS1513280757 Corp</t>
  </si>
  <si>
    <t>XS1513280757</t>
  </si>
  <si>
    <t>EURONAT19N</t>
  </si>
  <si>
    <t>XS1071551474 Corp</t>
  </si>
  <si>
    <t>XS1071551474</t>
  </si>
  <si>
    <t>DEUTBPERP</t>
  </si>
  <si>
    <t>SNGS RX Equity</t>
  </si>
  <si>
    <t>RU0008926258</t>
  </si>
  <si>
    <t>SNGS</t>
  </si>
  <si>
    <t>RU000A0JRJU8</t>
  </si>
  <si>
    <t>26206</t>
  </si>
  <si>
    <t>AM562901 Corp</t>
  </si>
  <si>
    <t>RU000A0JXJE0</t>
  </si>
  <si>
    <t>GMSS27</t>
  </si>
  <si>
    <t>RU000A0JWBP5 Corp</t>
  </si>
  <si>
    <t>RU000A0JWBP5</t>
  </si>
  <si>
    <t>PKT-03</t>
  </si>
  <si>
    <t>O2C GY Equity</t>
  </si>
  <si>
    <t>AT0000A00Y78</t>
  </si>
  <si>
    <t>O2CGR</t>
  </si>
  <si>
    <t>RU0009029524</t>
  </si>
  <si>
    <t>SNGSP</t>
  </si>
  <si>
    <t>AAXJ US Equity</t>
  </si>
  <si>
    <t>US4642881829</t>
  </si>
  <si>
    <t>AAXJUS</t>
  </si>
  <si>
    <t>RU000A0JRKC4 Corp</t>
  </si>
  <si>
    <t>RU000A0JRKC4</t>
  </si>
  <si>
    <t>SPTEL01</t>
  </si>
  <si>
    <t>XS0921331509 Corp</t>
  </si>
  <si>
    <t>MTS23</t>
  </si>
  <si>
    <t>WPZ US Equity</t>
  </si>
  <si>
    <t>US96949L1052</t>
  </si>
  <si>
    <t>WPZUS</t>
  </si>
  <si>
    <t>XS0424860947 Corp</t>
  </si>
  <si>
    <t>GAZP19</t>
  </si>
  <si>
    <t>USD CASH</t>
  </si>
  <si>
    <t>USDCASH</t>
  </si>
  <si>
    <t>EEM US Equity</t>
  </si>
  <si>
    <t>US4642872349</t>
  </si>
  <si>
    <t>EEMUS</t>
  </si>
  <si>
    <t>US71645WAR25 Corp</t>
  </si>
  <si>
    <t>US71645WAR25</t>
  </si>
  <si>
    <t>PETBRA21</t>
  </si>
  <si>
    <t>XS0553072611</t>
  </si>
  <si>
    <t>HYDR15</t>
  </si>
  <si>
    <t>XS0524658852 Corp</t>
  </si>
  <si>
    <t>PROMBK16</t>
  </si>
  <si>
    <t>XS1218431705 Corp</t>
  </si>
  <si>
    <t>XS1218431705</t>
  </si>
  <si>
    <t>GLENCF18</t>
  </si>
  <si>
    <t>XS1514045886 Corp</t>
  </si>
  <si>
    <t>XS1514045886</t>
  </si>
  <si>
    <t>LUKOIL26</t>
  </si>
  <si>
    <t>ALOC20</t>
  </si>
  <si>
    <t>LXFTUS</t>
  </si>
  <si>
    <t>GAZP</t>
  </si>
  <si>
    <t>VTBH15 Index</t>
  </si>
  <si>
    <t>VTBR-3.15</t>
  </si>
  <si>
    <t>RU0009029540</t>
  </si>
  <si>
    <t>HEWG US Equity</t>
  </si>
  <si>
    <t>US46434V7047</t>
  </si>
  <si>
    <t>HEWGUS</t>
  </si>
  <si>
    <t>RU000A0JRVN8 Corp</t>
  </si>
  <si>
    <t>RU000A0JRVN8</t>
  </si>
  <si>
    <t>RSHB15</t>
  </si>
  <si>
    <t>LTAM LN Equity</t>
  </si>
  <si>
    <t>IE00B27YCK28</t>
  </si>
  <si>
    <t>LTAMLN</t>
  </si>
  <si>
    <t>RU000A0JP039 Corp</t>
  </si>
  <si>
    <t>RU000A0JP039</t>
  </si>
  <si>
    <t>FKEC01</t>
  </si>
  <si>
    <t>USN54468AF52 Corp</t>
  </si>
  <si>
    <t>USN54468AF52</t>
  </si>
  <si>
    <t>TUNG LN Equity</t>
  </si>
  <si>
    <t>GB00B7Z0Q502</t>
  </si>
  <si>
    <t>TUNGLN</t>
  </si>
  <si>
    <t>XS1533922933 Corp</t>
  </si>
  <si>
    <t>XS1533922933</t>
  </si>
  <si>
    <t>PGILLN23</t>
  </si>
  <si>
    <t>XS0441089926 Corp</t>
  </si>
  <si>
    <t>XS0441089926</t>
  </si>
  <si>
    <t>ALFAUA12NN</t>
  </si>
  <si>
    <t>RU000A0GN9A7 Corp</t>
  </si>
  <si>
    <t>RU000A0GN9A7</t>
  </si>
  <si>
    <t>46020</t>
  </si>
  <si>
    <t>VEU7P 95000.00 Index</t>
  </si>
  <si>
    <t>RTS-9.17/P U95000 ACU 21SEP17</t>
  </si>
  <si>
    <t>HON US Equity</t>
  </si>
  <si>
    <t>US4385161066</t>
  </si>
  <si>
    <t>HONUS</t>
  </si>
  <si>
    <t>SISIOAA LX Equity</t>
  </si>
  <si>
    <t>LU0959626531</t>
  </si>
  <si>
    <t>SISIOAALX</t>
  </si>
  <si>
    <t>TBT US Equity</t>
  </si>
  <si>
    <t>US74347B2016</t>
  </si>
  <si>
    <t>HMSGL PO Equity</t>
  </si>
  <si>
    <t>US40425X2099</t>
  </si>
  <si>
    <t>HMSGLI_OLD</t>
  </si>
  <si>
    <t>HHPA2AH LX Equity</t>
  </si>
  <si>
    <t>LU0974284688</t>
  </si>
  <si>
    <t>HHPA2AHLX</t>
  </si>
  <si>
    <t>HYDR RX Equity</t>
  </si>
  <si>
    <t>RU000A0JPKH7</t>
  </si>
  <si>
    <t>HYDR</t>
  </si>
  <si>
    <t>C3U7 Comdty</t>
  </si>
  <si>
    <t>GOLD-9.17</t>
  </si>
  <si>
    <t>DXJ US Equity</t>
  </si>
  <si>
    <t>US97717W8516</t>
  </si>
  <si>
    <t>DXJUS</t>
  </si>
  <si>
    <t>XS1449458915</t>
  </si>
  <si>
    <t>GTLKOA21</t>
  </si>
  <si>
    <t>XS0830192711 Corp</t>
  </si>
  <si>
    <t>GZPN22</t>
  </si>
  <si>
    <t>URM7C 60000 Curncy</t>
  </si>
  <si>
    <t>SI-6.17/C F60000 ACR 15JUN17</t>
  </si>
  <si>
    <t>SVAV RX Equity</t>
  </si>
  <si>
    <t>SVAV</t>
  </si>
  <si>
    <t>RU000A0JX0J2 Corp</t>
  </si>
  <si>
    <t>RU000A0JX0J2</t>
  </si>
  <si>
    <t>24019</t>
  </si>
  <si>
    <t>BLK US Equity</t>
  </si>
  <si>
    <t>US09247X1019</t>
  </si>
  <si>
    <t>BLKUS</t>
  </si>
  <si>
    <t>NORDLI18</t>
  </si>
  <si>
    <t>US71656MBN83 Corp</t>
  </si>
  <si>
    <t>US71656MBN83</t>
  </si>
  <si>
    <t>PEMEX22A</t>
  </si>
  <si>
    <t>RUAL RX Equity</t>
  </si>
  <si>
    <t>RUAL</t>
  </si>
  <si>
    <t>RU000A0JR5Z51</t>
  </si>
  <si>
    <t>RUALR</t>
  </si>
  <si>
    <t>XS1405766384 Corp</t>
  </si>
  <si>
    <t>XS1405766384</t>
  </si>
  <si>
    <t>PGILLN22</t>
  </si>
  <si>
    <t>RUR RF</t>
  </si>
  <si>
    <t>RU000A0JS1P4 Corp</t>
  </si>
  <si>
    <t>RU000A0JS1P4</t>
  </si>
  <si>
    <t>VTBRBO04</t>
  </si>
  <si>
    <t>USG03762CE22 Corp</t>
  </si>
  <si>
    <t>USG03762CE22</t>
  </si>
  <si>
    <t>AALLNUS20</t>
  </si>
  <si>
    <t>XS1314822054 Corp</t>
  </si>
  <si>
    <t>XS1314822054</t>
  </si>
  <si>
    <t>SOCGEN18G</t>
  </si>
  <si>
    <t>XS1255387976</t>
  </si>
  <si>
    <t>KOKS18</t>
  </si>
  <si>
    <t>RU000A0JUGY0 Corp</t>
  </si>
  <si>
    <t>RU000A0JUGY0</t>
  </si>
  <si>
    <t>ZENTBO11</t>
  </si>
  <si>
    <t>XS1577961516 Corp</t>
  </si>
  <si>
    <t>XS1577961516</t>
  </si>
  <si>
    <t>GTLKOA24</t>
  </si>
  <si>
    <t>XS1405775377 Corp</t>
  </si>
  <si>
    <t>XS1405775377</t>
  </si>
  <si>
    <t>EVRAZ22</t>
  </si>
  <si>
    <t>IXJ US Equity</t>
  </si>
  <si>
    <t>US4642873255</t>
  </si>
  <si>
    <t>IXJUS</t>
  </si>
  <si>
    <t>TMKS LI Equity</t>
  </si>
  <si>
    <t>US87260R2013</t>
  </si>
  <si>
    <t>TMKS</t>
  </si>
  <si>
    <t>SILV RX Equity</t>
  </si>
  <si>
    <t>RU0009018469</t>
  </si>
  <si>
    <t>SILV</t>
  </si>
  <si>
    <t>XS0290580595 Corp</t>
  </si>
  <si>
    <t>GAZPRU22</t>
  </si>
  <si>
    <t>RU000A0JXVY3 Corp</t>
  </si>
  <si>
    <t>RU000A0JXVY3</t>
  </si>
  <si>
    <t>OBUVRUS20</t>
  </si>
  <si>
    <t>RTKM RX Equity</t>
  </si>
  <si>
    <t>RU0008943394</t>
  </si>
  <si>
    <t>RTKM</t>
  </si>
  <si>
    <t>USG37767AA13 Corp</t>
  </si>
  <si>
    <t>USG37767AA13</t>
  </si>
  <si>
    <t>GCX19</t>
  </si>
  <si>
    <t>RU000A0JTYA5 Corp</t>
  </si>
  <si>
    <t>RU000A0JTYA5</t>
  </si>
  <si>
    <t>26214</t>
  </si>
  <si>
    <t>VEU7 Index</t>
  </si>
  <si>
    <t>RTS-9.17</t>
  </si>
  <si>
    <t>AUUSI SW Equity</t>
  </si>
  <si>
    <t>CH0106027193</t>
  </si>
  <si>
    <t>AUUSISE</t>
  </si>
  <si>
    <t>AGRO LI Equity</t>
  </si>
  <si>
    <t>US7496552057</t>
  </si>
  <si>
    <t>AGROLI</t>
  </si>
  <si>
    <t>GAZPR34</t>
  </si>
  <si>
    <t>XS0848137708 Corp</t>
  </si>
  <si>
    <t>GAZBKPERP</t>
  </si>
  <si>
    <t>XS0835890350 Corp</t>
  </si>
  <si>
    <t>XS0835890350</t>
  </si>
  <si>
    <t>PETBRA23A</t>
  </si>
  <si>
    <t>HYG US Equity</t>
  </si>
  <si>
    <t>US4642885135</t>
  </si>
  <si>
    <t>HYGUS</t>
  </si>
  <si>
    <t>AET US Equity</t>
  </si>
  <si>
    <t>US00817Y1082</t>
  </si>
  <si>
    <t>AETUS</t>
  </si>
  <si>
    <t>CH0273394384 Corp</t>
  </si>
  <si>
    <t>CH0273394384</t>
  </si>
  <si>
    <t>EFGIF_0316</t>
  </si>
  <si>
    <t>RU000A0JXTF6 Corp</t>
  </si>
  <si>
    <t>RU000A0JXTF6</t>
  </si>
  <si>
    <t>GPBBO-13</t>
  </si>
  <si>
    <t>PHOR LI Equity</t>
  </si>
  <si>
    <t>US71922G2093</t>
  </si>
  <si>
    <t>PHORLI</t>
  </si>
  <si>
    <t>XS0882561821</t>
  </si>
  <si>
    <t>SBER16R</t>
  </si>
  <si>
    <t>GBPRUB Curncy</t>
  </si>
  <si>
    <t>GBPRUB ISIN</t>
  </si>
  <si>
    <t>GBP</t>
  </si>
  <si>
    <t>RU000A0JT8N3 Corp</t>
  </si>
  <si>
    <t>RU000A0JT8N3</t>
  </si>
  <si>
    <t>RUPOST02</t>
  </si>
  <si>
    <t>RU000A0JU336 Corp</t>
  </si>
  <si>
    <t>RU000A0JU336</t>
  </si>
  <si>
    <t>SUEKF05</t>
  </si>
  <si>
    <t>8888000D US Equity</t>
  </si>
  <si>
    <t>US38259P5089</t>
  </si>
  <si>
    <t>GOOGLE</t>
  </si>
  <si>
    <t>US46626D1081 Corp</t>
  </si>
  <si>
    <t>US46626D1081</t>
  </si>
  <si>
    <t>NILSY_OLD2</t>
  </si>
  <si>
    <t>TNK20</t>
  </si>
  <si>
    <t>MRK US Equity</t>
  </si>
  <si>
    <t>US58933Y1055</t>
  </si>
  <si>
    <t>MERCK</t>
  </si>
  <si>
    <t>QZ914276 Corp</t>
  </si>
  <si>
    <t>SUEK-FIN01R</t>
  </si>
  <si>
    <t>XS1516324321 Corp</t>
  </si>
  <si>
    <t>XS1516324321</t>
  </si>
  <si>
    <t>DMEAIR21</t>
  </si>
  <si>
    <t>RU000A0JRKD2 Corp</t>
  </si>
  <si>
    <t>RU000A0JRKD2</t>
  </si>
  <si>
    <t>SPTEL02</t>
  </si>
  <si>
    <t>VTBPERP</t>
  </si>
  <si>
    <t>XS0650962185 Corp</t>
  </si>
  <si>
    <t>METINR16</t>
  </si>
  <si>
    <t>RU000A0JVPN2 Corp</t>
  </si>
  <si>
    <t>RU000A0JVPN2</t>
  </si>
  <si>
    <t>PIK-BO-4</t>
  </si>
  <si>
    <t>YUM US Equity</t>
  </si>
  <si>
    <t>US9884981013</t>
  </si>
  <si>
    <t>YUMUS</t>
  </si>
  <si>
    <t>EJ801440 Corp</t>
  </si>
  <si>
    <t>URANIUM02</t>
  </si>
  <si>
    <t>EUFN US Equity</t>
  </si>
  <si>
    <t>US4642891802</t>
  </si>
  <si>
    <t>EUFNUS</t>
  </si>
  <si>
    <t>RU000A0JWEB9 Corp</t>
  </si>
  <si>
    <t>RU000A0JWEB9</t>
  </si>
  <si>
    <t>TRANSNFBO5</t>
  </si>
  <si>
    <t>RU000A0JXFM1 Corp</t>
  </si>
  <si>
    <t>RU000A0JXFM1</t>
  </si>
  <si>
    <t>26221</t>
  </si>
  <si>
    <t>XS1041815116 Corp</t>
  </si>
  <si>
    <t>XS1041815116</t>
  </si>
  <si>
    <t>RRAIL23</t>
  </si>
  <si>
    <t>STX US Equity</t>
  </si>
  <si>
    <t>IE00B58JVZ52</t>
  </si>
  <si>
    <t>STXUS</t>
  </si>
  <si>
    <t>OKS US Equity</t>
  </si>
  <si>
    <t>US68268N1037</t>
  </si>
  <si>
    <t>OKSUS</t>
  </si>
  <si>
    <t>US35671DAZ87 Corp</t>
  </si>
  <si>
    <t>US35671DAZ87</t>
  </si>
  <si>
    <t>FCX23</t>
  </si>
  <si>
    <t>US29358QAC33 Corp</t>
  </si>
  <si>
    <t>US29358QAC33</t>
  </si>
  <si>
    <t>ESV24</t>
  </si>
  <si>
    <t>W US Equity</t>
  </si>
  <si>
    <t>US94419L1017</t>
  </si>
  <si>
    <t>WUS</t>
  </si>
  <si>
    <t>US71654QCB68 Corp</t>
  </si>
  <si>
    <t>US71654QCB68</t>
  </si>
  <si>
    <t>PEMEX26A</t>
  </si>
  <si>
    <t>XS0971721450 CBBT Corp</t>
  </si>
  <si>
    <t>XS0971721450</t>
  </si>
  <si>
    <t>EU23REGS</t>
  </si>
  <si>
    <t>RU000A0JVUL6 Corp</t>
  </si>
  <si>
    <t>RU000A0JVUL6</t>
  </si>
  <si>
    <t>PGK-05</t>
  </si>
  <si>
    <t>ETLNLI</t>
  </si>
  <si>
    <t>RU000A0JWN89 Corp</t>
  </si>
  <si>
    <t>RU000A0JWN89</t>
  </si>
  <si>
    <t>MOSTREST-8</t>
  </si>
  <si>
    <t>PRU US Equity</t>
  </si>
  <si>
    <t>US7443201022</t>
  </si>
  <si>
    <t>PRUUS</t>
  </si>
  <si>
    <t>APA US Equity</t>
  </si>
  <si>
    <t>US0374111054</t>
  </si>
  <si>
    <t>APAUS</t>
  </si>
  <si>
    <t>XS0495973470 Corp</t>
  </si>
  <si>
    <t>XS0495973470</t>
  </si>
  <si>
    <t>GLENCF17</t>
  </si>
  <si>
    <t>RU000A0JUD83 Corp</t>
  </si>
  <si>
    <t>RU000A0JUD83</t>
  </si>
  <si>
    <t>VEBRUBO04</t>
  </si>
  <si>
    <t>RU000A0JWNJ3 Corp</t>
  </si>
  <si>
    <t>RU000A0JWNJ3</t>
  </si>
  <si>
    <t>VEB-PBO1R4</t>
  </si>
  <si>
    <t>MDLZ US Equity</t>
  </si>
  <si>
    <t>US6092071058</t>
  </si>
  <si>
    <t>MDLZUS</t>
  </si>
  <si>
    <t>LNIK LN Equity</t>
  </si>
  <si>
    <t>JE00BDD9QB77</t>
  </si>
  <si>
    <t>LNIKLN</t>
  </si>
  <si>
    <t>RU000A0JXQF2 Corp</t>
  </si>
  <si>
    <t>RU000A0JXQF2</t>
  </si>
  <si>
    <t>26222</t>
  </si>
  <si>
    <t>RU000A0JPP11 Corp</t>
  </si>
  <si>
    <t>RU000A0JPP11</t>
  </si>
  <si>
    <t>FKEC05</t>
  </si>
  <si>
    <t>RU000A0JV4L2 Corp</t>
  </si>
  <si>
    <t>RU000A0JV4L2</t>
  </si>
  <si>
    <t>29006</t>
  </si>
  <si>
    <t>RU000A0JX0B9 Corp</t>
  </si>
  <si>
    <t>RU000A0JX0B9</t>
  </si>
  <si>
    <t>MOSOBL2016</t>
  </si>
  <si>
    <t>NOVT16</t>
  </si>
  <si>
    <t>USU0242AAB80 Corp</t>
  </si>
  <si>
    <t>USU0242AAB80</t>
  </si>
  <si>
    <t>AAL20</t>
  </si>
  <si>
    <t>CSX5 LN Equity</t>
  </si>
  <si>
    <t>IE00B53L3W79</t>
  </si>
  <si>
    <t>CSX5LN</t>
  </si>
  <si>
    <t>XS1533921299 Corp</t>
  </si>
  <si>
    <t>XS1533921299</t>
  </si>
  <si>
    <t>RUALRU22</t>
  </si>
  <si>
    <t>KPN NA Equity</t>
  </si>
  <si>
    <t>NL0000009082</t>
  </si>
  <si>
    <t>KPNNA</t>
  </si>
  <si>
    <t>AAL LN Equity</t>
  </si>
  <si>
    <t>GB00B1XZS820</t>
  </si>
  <si>
    <t>AALLN</t>
  </si>
  <si>
    <t>XS0934609016 Corp</t>
  </si>
  <si>
    <t>XS0934609016</t>
  </si>
  <si>
    <t>KAZNMH23</t>
  </si>
  <si>
    <t>RU000A0JW662 Corp</t>
  </si>
  <si>
    <t>RU000A0JW662</t>
  </si>
  <si>
    <t>MAGNIT1P02</t>
  </si>
  <si>
    <t>PLZL RX Equity</t>
  </si>
  <si>
    <t>RU000A0JNAA8</t>
  </si>
  <si>
    <t>PLZL</t>
  </si>
  <si>
    <t>UKUZ RX Equity</t>
  </si>
  <si>
    <t>RU0005294775</t>
  </si>
  <si>
    <t>UKUZ</t>
  </si>
  <si>
    <t>RU000A0JTX09 Corp</t>
  </si>
  <si>
    <t>RU000A0JTX09</t>
  </si>
  <si>
    <t>ORBR05</t>
  </si>
  <si>
    <t>KOKS16</t>
  </si>
  <si>
    <t>USG1315RAD38 Corp</t>
  </si>
  <si>
    <t>USG1315RAD38</t>
  </si>
  <si>
    <t>BRASKM2021</t>
  </si>
  <si>
    <t>XS1513271251 Corp</t>
  </si>
  <si>
    <t>XS1513271251</t>
  </si>
  <si>
    <t>EURONAT20L</t>
  </si>
  <si>
    <t>PHPDLN</t>
  </si>
  <si>
    <t>RU000A0JV7J9 Corp</t>
  </si>
  <si>
    <t>RU000A0JV7J9</t>
  </si>
  <si>
    <t>29011</t>
  </si>
  <si>
    <t>LCFE LN Equity</t>
  </si>
  <si>
    <t>JE00B2NFTD12</t>
  </si>
  <si>
    <t>LCFELN</t>
  </si>
  <si>
    <t>RU000A0JRVU3 Corp</t>
  </si>
  <si>
    <t>RU000A0JRVU3</t>
  </si>
  <si>
    <t>SPTEL07</t>
  </si>
  <si>
    <t>XS1319822752</t>
  </si>
  <si>
    <t>EVRAZ21</t>
  </si>
  <si>
    <t>QQQQ US Equity</t>
  </si>
  <si>
    <t>US73935A1043</t>
  </si>
  <si>
    <t>QQQQUS</t>
  </si>
  <si>
    <t>XS1400710726 Corp</t>
  </si>
  <si>
    <t>XS1400710726</t>
  </si>
  <si>
    <t>VIP23N</t>
  </si>
  <si>
    <t>RU000A0JWN63 Corp</t>
  </si>
  <si>
    <t>RU000A0JWN63</t>
  </si>
  <si>
    <t>MOSTREST-7</t>
  </si>
  <si>
    <t>JK533840 Corp</t>
  </si>
  <si>
    <t>GAZPRNEFB2</t>
  </si>
  <si>
    <t>BAC US Equity</t>
  </si>
  <si>
    <t>US0605051046</t>
  </si>
  <si>
    <t>US78008S7D27 Corp</t>
  </si>
  <si>
    <t>US78008S7D27</t>
  </si>
  <si>
    <t>RY18</t>
  </si>
  <si>
    <t>VEB22</t>
  </si>
  <si>
    <t>XS1223394914</t>
  </si>
  <si>
    <t>TCZIRA21</t>
  </si>
  <si>
    <t>PRTK RX Equity</t>
  </si>
  <si>
    <t>PRTK</t>
  </si>
  <si>
    <t>XS1581926083 Corp</t>
  </si>
  <si>
    <t>XS1581926083</t>
  </si>
  <si>
    <t>EURONAT20Y</t>
  </si>
  <si>
    <t>XS1592279522 Corp</t>
  </si>
  <si>
    <t>XS1592279522</t>
  </si>
  <si>
    <t>GAZPRU24G</t>
  </si>
  <si>
    <t>NESN SW Equity</t>
  </si>
  <si>
    <t>CH0038863350</t>
  </si>
  <si>
    <t>NESNVX</t>
  </si>
  <si>
    <t>XS0877983642</t>
  </si>
  <si>
    <t>GAZBK16R</t>
  </si>
  <si>
    <t>OGKB RX Equity</t>
  </si>
  <si>
    <t>RU000A0JNG55</t>
  </si>
  <si>
    <t>OGKB</t>
  </si>
  <si>
    <t>RU000A0JRFQ4 Corp</t>
  </si>
  <si>
    <t>RU000A0JRFQ4</t>
  </si>
  <si>
    <t>MGNTBO06</t>
  </si>
  <si>
    <t>XS12184320001 Corp</t>
  </si>
  <si>
    <t>XS12184320001</t>
  </si>
  <si>
    <t>GLENLN_2.875</t>
  </si>
  <si>
    <t>IWM US Equity</t>
  </si>
  <si>
    <t>US4642876555</t>
  </si>
  <si>
    <t>IWMUS</t>
  </si>
  <si>
    <t>RU0009084396</t>
  </si>
  <si>
    <t>MAGN</t>
  </si>
  <si>
    <t>VFC US Equity</t>
  </si>
  <si>
    <t>US9182041080</t>
  </si>
  <si>
    <t>VFCUS</t>
  </si>
  <si>
    <t>CH0340808473 Corp</t>
  </si>
  <si>
    <t>CH0340808473</t>
  </si>
  <si>
    <t>EFGIF_1017A</t>
  </si>
  <si>
    <t>XS1140509628 Corp</t>
  </si>
  <si>
    <t>XS1140509628</t>
  </si>
  <si>
    <t>CITIG17A</t>
  </si>
  <si>
    <t>US457153AF18 Corp</t>
  </si>
  <si>
    <t>US457153AF18</t>
  </si>
  <si>
    <t>IM22</t>
  </si>
  <si>
    <t>VGG607541015</t>
  </si>
  <si>
    <t>KORSUS</t>
  </si>
  <si>
    <t>US31562QAC15 Corp</t>
  </si>
  <si>
    <t>US31562QAC15</t>
  </si>
  <si>
    <t>FCAIM2020</t>
  </si>
  <si>
    <t>GSK LN Equity</t>
  </si>
  <si>
    <t>GB0009252882</t>
  </si>
  <si>
    <t>GSKLN</t>
  </si>
  <si>
    <t>RU000A0JR779 Corp</t>
  </si>
  <si>
    <t>RU000A0JR779</t>
  </si>
  <si>
    <t>25076</t>
  </si>
  <si>
    <t>XS0316524130 Corp</t>
  </si>
  <si>
    <t>GAZP37</t>
  </si>
  <si>
    <t>EJ394063 Corp</t>
  </si>
  <si>
    <t>VTB22</t>
  </si>
  <si>
    <t>AUSS NO Equity</t>
  </si>
  <si>
    <t>NO0010073489</t>
  </si>
  <si>
    <t>AUSSNO</t>
  </si>
  <si>
    <t>XS1577964965 Corp</t>
  </si>
  <si>
    <t>XS1577964965</t>
  </si>
  <si>
    <t>RUALRU23</t>
  </si>
  <si>
    <t>XS1069383856 Corp</t>
  </si>
  <si>
    <t>XS1069383856</t>
  </si>
  <si>
    <t>HALKBK19</t>
  </si>
  <si>
    <t>US71645WAM38 Corp</t>
  </si>
  <si>
    <t>US71645WAM38</t>
  </si>
  <si>
    <t>PETBRA18A</t>
  </si>
  <si>
    <t>CH0347657816 Corp</t>
  </si>
  <si>
    <t>CH0347657816</t>
  </si>
  <si>
    <t>EFGIF_1218</t>
  </si>
  <si>
    <t>RU000A0JU8W1 Corp</t>
  </si>
  <si>
    <t>RU000A0JU8W1</t>
  </si>
  <si>
    <t>MKRBBO07</t>
  </si>
  <si>
    <t>MA US Equity</t>
  </si>
  <si>
    <t>US57636Q1040</t>
  </si>
  <si>
    <t>MAUS</t>
  </si>
  <si>
    <t>UUP US Equity</t>
  </si>
  <si>
    <t>US73936D1072</t>
  </si>
  <si>
    <t>UUPUS</t>
  </si>
  <si>
    <t>US345397WY53 Corp</t>
  </si>
  <si>
    <t>US345397WY53</t>
  </si>
  <si>
    <t>FORD19</t>
  </si>
  <si>
    <t>POLYLN</t>
  </si>
  <si>
    <t>URKARM18</t>
  </si>
  <si>
    <t>NVS US Equity</t>
  </si>
  <si>
    <t>US66987V1098</t>
  </si>
  <si>
    <t>NVSUS</t>
  </si>
  <si>
    <t>XS1379311761 Corp</t>
  </si>
  <si>
    <t>XS1379311761</t>
  </si>
  <si>
    <t>AKBBIN19</t>
  </si>
  <si>
    <t>EURRUB Curncy</t>
  </si>
  <si>
    <t>EURRUB ISIN</t>
  </si>
  <si>
    <t>CH0283715164 Corp</t>
  </si>
  <si>
    <t>CH0283715164</t>
  </si>
  <si>
    <t>NOTFG_1116</t>
  </si>
  <si>
    <t>RU000A0JXQ44 Corp</t>
  </si>
  <si>
    <t>RU000A0JXQ44</t>
  </si>
  <si>
    <t>RZHD-B01P2R</t>
  </si>
  <si>
    <t>RU000A0JKQU8</t>
  </si>
  <si>
    <t>MGNT</t>
  </si>
  <si>
    <t>GAMCBEA ID Equity</t>
  </si>
  <si>
    <t>IE00B3Q8M574</t>
  </si>
  <si>
    <t>GAMCBEAID</t>
  </si>
  <si>
    <t>VEU14 Index</t>
  </si>
  <si>
    <t>RTS-9.14</t>
  </si>
  <si>
    <t>USG2440JAE58 Corp</t>
  </si>
  <si>
    <t>USG2440JAE58</t>
  </si>
  <si>
    <t>GGBRBZ17</t>
  </si>
  <si>
    <t>RU000A0JVYN4 Corp</t>
  </si>
  <si>
    <t>RU000A0JVYN4</t>
  </si>
  <si>
    <t>OGK2-B1P1R</t>
  </si>
  <si>
    <t>RU000A0JV7K7 Corp</t>
  </si>
  <si>
    <t>RU000A0JV7K7</t>
  </si>
  <si>
    <t>XS0848530977 Corp</t>
  </si>
  <si>
    <t>SBER22S</t>
  </si>
  <si>
    <t>CH0361717348 Corp</t>
  </si>
  <si>
    <t>CH0361717348</t>
  </si>
  <si>
    <t>EFGIF_0619</t>
  </si>
  <si>
    <t>CHMK RX Equity</t>
  </si>
  <si>
    <t>RU0007665170</t>
  </si>
  <si>
    <t>CHMK</t>
  </si>
  <si>
    <t>AAPL US Equity</t>
  </si>
  <si>
    <t>US0378331005</t>
  </si>
  <si>
    <t>AAPLUS</t>
  </si>
  <si>
    <t>RU000A0JTPD7 Corp</t>
  </si>
  <si>
    <t>RU000A0JTPD7</t>
  </si>
  <si>
    <t>MKRB12</t>
  </si>
  <si>
    <t>ESV US Equity</t>
  </si>
  <si>
    <t>GB00B4VLR192</t>
  </si>
  <si>
    <t>ESVUS</t>
  </si>
  <si>
    <t>EVR LN Equity</t>
  </si>
  <si>
    <t>GB00B71N6K86</t>
  </si>
  <si>
    <t>EVRLN</t>
  </si>
  <si>
    <t>XS0301347372 Corp</t>
  </si>
  <si>
    <t>XS0301347372</t>
  </si>
  <si>
    <t>RASPAD12</t>
  </si>
  <si>
    <t>SIBN</t>
  </si>
  <si>
    <t>XS0981632804 Corp</t>
  </si>
  <si>
    <t>XS0981632804</t>
  </si>
  <si>
    <t>RBIAV23E</t>
  </si>
  <si>
    <t>XS1603335610 Corp</t>
  </si>
  <si>
    <t>XS1603335610</t>
  </si>
  <si>
    <t>METINR24</t>
  </si>
  <si>
    <t>AMSEGLA FP Equity</t>
  </si>
  <si>
    <t>FR0010286013</t>
  </si>
  <si>
    <t>AMSEGLAFP</t>
  </si>
  <si>
    <t>XS0893205186</t>
  </si>
  <si>
    <t>VEB18E</t>
  </si>
  <si>
    <t>RERU7 Curncy</t>
  </si>
  <si>
    <t>EU-9.17</t>
  </si>
  <si>
    <t>XS1003273767</t>
  </si>
  <si>
    <t>URANIUM18</t>
  </si>
  <si>
    <t>RU000A0JXQ93 Corp</t>
  </si>
  <si>
    <t>RU000A0JXQ93</t>
  </si>
  <si>
    <t>PIK-BO-P02</t>
  </si>
  <si>
    <t>OMEAUSA ID Equity</t>
  </si>
  <si>
    <t>IE00BLP5S353</t>
  </si>
  <si>
    <t>OMEAUSAID</t>
  </si>
  <si>
    <t>US71656MAF68 Corp</t>
  </si>
  <si>
    <t>US71656MAF68</t>
  </si>
  <si>
    <t>PEMEXPERP</t>
  </si>
  <si>
    <t>RU0009046452</t>
  </si>
  <si>
    <t>XS1508914691 Corp</t>
  </si>
  <si>
    <t>XS1508914691</t>
  </si>
  <si>
    <t>VAKBN21</t>
  </si>
  <si>
    <t>NORDLI</t>
  </si>
  <si>
    <t>MFON</t>
  </si>
  <si>
    <t>EL US Equity</t>
  </si>
  <si>
    <t>US5184391044</t>
  </si>
  <si>
    <t>ELUS</t>
  </si>
  <si>
    <t>AD NA Equity</t>
  </si>
  <si>
    <t>NL0011794037</t>
  </si>
  <si>
    <t>ADNA</t>
  </si>
  <si>
    <t>RDSA NA Equity</t>
  </si>
  <si>
    <t>GB00B03MLX29</t>
  </si>
  <si>
    <t>RDSANA</t>
  </si>
  <si>
    <t>IESK RX Equity</t>
  </si>
  <si>
    <t>RU000A0JQQP5</t>
  </si>
  <si>
    <t>IESK</t>
  </si>
  <si>
    <t>HAL US Equity</t>
  </si>
  <si>
    <t>US4062161017</t>
  </si>
  <si>
    <t>HALUS</t>
  </si>
  <si>
    <t>UNH US Equity</t>
  </si>
  <si>
    <t>US91324P1021</t>
  </si>
  <si>
    <t>UNHUS</t>
  </si>
  <si>
    <t>LWEA LN Equity</t>
  </si>
  <si>
    <t>JE00BDD9QC84</t>
  </si>
  <si>
    <t>LWEALN</t>
  </si>
  <si>
    <t>RU000A0JWCM0 Corp</t>
  </si>
  <si>
    <t>RU000A0JWCM0</t>
  </si>
  <si>
    <t>TMK-BO-5</t>
  </si>
  <si>
    <t>AM281135 Corp</t>
  </si>
  <si>
    <t>GTLK-1P-03</t>
  </si>
  <si>
    <t>GOOGL US Equity</t>
  </si>
  <si>
    <t>US02079K3059</t>
  </si>
  <si>
    <t>GOOGLUS</t>
  </si>
  <si>
    <t>COMGEMK ID Equity</t>
  </si>
  <si>
    <t>IE0033535182</t>
  </si>
  <si>
    <t>COMGEMKID</t>
  </si>
  <si>
    <t>VIPS US Equity</t>
  </si>
  <si>
    <t>US92763W1036</t>
  </si>
  <si>
    <t>VIPSUS</t>
  </si>
  <si>
    <t>JPMN PO Equity</t>
  </si>
  <si>
    <t>US46625H1005</t>
  </si>
  <si>
    <t>JPMUS</t>
  </si>
  <si>
    <t>RU000A0JWHT4 Corp</t>
  </si>
  <si>
    <t>RU000A0JWHT4</t>
  </si>
  <si>
    <t>ROSBANKB14</t>
  </si>
  <si>
    <t>EBAY US Equity</t>
  </si>
  <si>
    <t>US2786421030</t>
  </si>
  <si>
    <t>EBAYUS</t>
  </si>
  <si>
    <t>XS1503160225 Corp</t>
  </si>
  <si>
    <t>XS1503160225</t>
  </si>
  <si>
    <t>ARGENT22E</t>
  </si>
  <si>
    <t>AQUA RX Equity</t>
  </si>
  <si>
    <t>RU000A0JQTS3</t>
  </si>
  <si>
    <t>RU000A0JU153 Corp</t>
  </si>
  <si>
    <t>RU000A0JU153</t>
  </si>
  <si>
    <t>LOKZBO05</t>
  </si>
  <si>
    <t>US5603172082</t>
  </si>
  <si>
    <t>MAILLI</t>
  </si>
  <si>
    <t>HD US Equity</t>
  </si>
  <si>
    <t>US4370761029</t>
  </si>
  <si>
    <t>HOME</t>
  </si>
  <si>
    <t>CH0283709266 Corp</t>
  </si>
  <si>
    <t>CH0283709266</t>
  </si>
  <si>
    <t>EFGIF_1216</t>
  </si>
  <si>
    <t>CH0279929233 Corp</t>
  </si>
  <si>
    <t>CH0279929233</t>
  </si>
  <si>
    <t>EFGIF_0616</t>
  </si>
  <si>
    <t>MRKV RX Equity</t>
  </si>
  <si>
    <t>MRKV</t>
  </si>
  <si>
    <t>IOM PZ Equity</t>
  </si>
  <si>
    <t>GB0004281639</t>
  </si>
  <si>
    <t>IOMLN</t>
  </si>
  <si>
    <t>US71647NAK54 Corp</t>
  </si>
  <si>
    <t>US71647NAK54</t>
  </si>
  <si>
    <t>PETBRA44</t>
  </si>
  <si>
    <t>RU000A0DQZE3</t>
  </si>
  <si>
    <t>AFKS</t>
  </si>
  <si>
    <t>IDTP LN Equity</t>
  </si>
  <si>
    <t>IE00B1FZSC47</t>
  </si>
  <si>
    <t>IDTPLN</t>
  </si>
  <si>
    <t>US71647NAL38 Corp</t>
  </si>
  <si>
    <t>US71647NAL38</t>
  </si>
  <si>
    <t>PETBRA20A</t>
  </si>
  <si>
    <t>ES0113790226</t>
  </si>
  <si>
    <t>RUSAG23</t>
  </si>
  <si>
    <t>US71647NAS80 Corp</t>
  </si>
  <si>
    <t>US71647NAS80</t>
  </si>
  <si>
    <t>PETBRA27</t>
  </si>
  <si>
    <t>LKOH=M7 RU Equity</t>
  </si>
  <si>
    <t>LKOH-6.17</t>
  </si>
  <si>
    <t>XS0591549232 GERM Corp</t>
  </si>
  <si>
    <t>XS0591549232</t>
  </si>
  <si>
    <t>METINV18</t>
  </si>
  <si>
    <t>RU000A0JWHA4 Corp</t>
  </si>
  <si>
    <t>RU000A0JWHA4</t>
  </si>
  <si>
    <t>EU26REGS</t>
  </si>
  <si>
    <t>BANEP</t>
  </si>
  <si>
    <t>IBB US Equity</t>
  </si>
  <si>
    <t>US4642875565</t>
  </si>
  <si>
    <t>IBBUS</t>
  </si>
  <si>
    <t>RU000A0JWM07 Corp</t>
  </si>
  <si>
    <t>RU000A0JWM07</t>
  </si>
  <si>
    <t>26219</t>
  </si>
  <si>
    <t>RU000A0JTFX6 Corp</t>
  </si>
  <si>
    <t>RU000A0JTFX6</t>
  </si>
  <si>
    <t>LSSMU02</t>
  </si>
  <si>
    <t>XS0903465127 Corp</t>
  </si>
  <si>
    <t>XS0903465127</t>
  </si>
  <si>
    <t>SOIAZ23</t>
  </si>
  <si>
    <t>XS0719009754 Corp</t>
  </si>
  <si>
    <t>VEB17N</t>
  </si>
  <si>
    <t>KMAZ</t>
  </si>
  <si>
    <t>XS0718502007 Corp</t>
  </si>
  <si>
    <t>XS0718502007</t>
  </si>
  <si>
    <t>PETBRA26G</t>
  </si>
  <si>
    <t>RU000A0JQZ18</t>
  </si>
  <si>
    <t>26203</t>
  </si>
  <si>
    <t>RUSST18</t>
  </si>
  <si>
    <t>US71647NAR08 Corp</t>
  </si>
  <si>
    <t>US71647NAR08</t>
  </si>
  <si>
    <t>PETBRA22A</t>
  </si>
  <si>
    <t>CH0374210356 Corp</t>
  </si>
  <si>
    <t>CH0374210356</t>
  </si>
  <si>
    <t>EFGIF_0219A</t>
  </si>
  <si>
    <t>RU000A0JR472 Corp</t>
  </si>
  <si>
    <t>RU000A0JR472</t>
  </si>
  <si>
    <t>RGST02</t>
  </si>
  <si>
    <t>METINR20</t>
  </si>
  <si>
    <t>XS1405775450 Corp</t>
  </si>
  <si>
    <t>XS1405775450</t>
  </si>
  <si>
    <t>GLPRLI23</t>
  </si>
  <si>
    <t>US71654QBB77 Corp</t>
  </si>
  <si>
    <t>US71654QBB77</t>
  </si>
  <si>
    <t>PEMEX22</t>
  </si>
  <si>
    <t>XS0652913558 Corp</t>
  </si>
  <si>
    <t>EVRAZ17</t>
  </si>
  <si>
    <t>URU7C 65000.00 Curncy</t>
  </si>
  <si>
    <t>SI-9.17/C I65000 ACR 21SEP17</t>
  </si>
  <si>
    <t>UCO US Equity</t>
  </si>
  <si>
    <t>US74347W3209</t>
  </si>
  <si>
    <t>UCOUS_OLD</t>
  </si>
  <si>
    <t>CH0246199050 Corp</t>
  </si>
  <si>
    <t>CH0246199050</t>
  </si>
  <si>
    <t>KTZKZ22</t>
  </si>
  <si>
    <t>JK628240 Corp</t>
  </si>
  <si>
    <t>RZHD-BO-07</t>
  </si>
  <si>
    <t>DIV US Equity</t>
  </si>
  <si>
    <t>US37950E2919</t>
  </si>
  <si>
    <t>DIVUS</t>
  </si>
  <si>
    <t>US69343P1057</t>
  </si>
  <si>
    <t>LUKOY</t>
  </si>
  <si>
    <t>ALFARU17</t>
  </si>
  <si>
    <t>AMAT US Equity</t>
  </si>
  <si>
    <t>US0382221051</t>
  </si>
  <si>
    <t>AMATUS</t>
  </si>
  <si>
    <t>SMSN LI Equity</t>
  </si>
  <si>
    <t>US7960508882</t>
  </si>
  <si>
    <t>SMSNLI</t>
  </si>
  <si>
    <t>WLP US Equity</t>
  </si>
  <si>
    <t>US94973V1070</t>
  </si>
  <si>
    <t>WLPUS</t>
  </si>
  <si>
    <t>KOGK RX Equity</t>
  </si>
  <si>
    <t>RU0002155359</t>
  </si>
  <si>
    <t>KOGK</t>
  </si>
  <si>
    <t>ETP US Equity</t>
  </si>
  <si>
    <t>US29273R1095</t>
  </si>
  <si>
    <t>ETPUS</t>
  </si>
  <si>
    <t>MIDD LN Equity</t>
  </si>
  <si>
    <t>IE00B00FV128</t>
  </si>
  <si>
    <t>MIDDLN</t>
  </si>
  <si>
    <t>US428236BV43 Corp</t>
  </si>
  <si>
    <t>US428236BV43</t>
  </si>
  <si>
    <t>HP21</t>
  </si>
  <si>
    <t>RU000A0JR4A1</t>
  </si>
  <si>
    <t>MOEX</t>
  </si>
  <si>
    <t>GLPR LI Equity</t>
  </si>
  <si>
    <t>US37951Q2021</t>
  </si>
  <si>
    <t>GLPRLI</t>
  </si>
  <si>
    <t>LNIKM B3 Equity</t>
  </si>
  <si>
    <t>JE00B2NFTR57</t>
  </si>
  <si>
    <t>LNIKLN_OLD</t>
  </si>
  <si>
    <t>RU000A0JQFU8 Corp</t>
  </si>
  <si>
    <t>RU000A0JQFU8</t>
  </si>
  <si>
    <t>SIBMET01</t>
  </si>
  <si>
    <t>USC10602AN70 Corp</t>
  </si>
  <si>
    <t>USC10602AN70</t>
  </si>
  <si>
    <t>BBDBCN18</t>
  </si>
  <si>
    <t>RU000A0JTG59 Corp</t>
  </si>
  <si>
    <t>RU000A0JTG59</t>
  </si>
  <si>
    <t>26210</t>
  </si>
  <si>
    <t>XS0922142574</t>
  </si>
  <si>
    <t>ALFARU16R</t>
  </si>
  <si>
    <t>XS0563898062</t>
  </si>
  <si>
    <t>LUKOIL15</t>
  </si>
  <si>
    <t>RU000A0JWTW3 Corp</t>
  </si>
  <si>
    <t>RU000A0JWTW3</t>
  </si>
  <si>
    <t>SILMASHBO-3</t>
  </si>
  <si>
    <t>URH15 Curncy</t>
  </si>
  <si>
    <t>SI-3.15</t>
  </si>
  <si>
    <t>LSRG</t>
  </si>
  <si>
    <t>SBNCD PO Equity</t>
  </si>
  <si>
    <t>US80585Y3080</t>
  </si>
  <si>
    <t>SBRCYUS</t>
  </si>
  <si>
    <t>US71656MBK45 Corp</t>
  </si>
  <si>
    <t>US71656MBK45</t>
  </si>
  <si>
    <t>PEMEX26</t>
  </si>
  <si>
    <t>RU000A0JP5V6</t>
  </si>
  <si>
    <t>VTBR</t>
  </si>
  <si>
    <t>XS0891039165 Corp</t>
  </si>
  <si>
    <t>XS0891039165</t>
  </si>
  <si>
    <t>RENOT18</t>
  </si>
  <si>
    <t>LQD US Equity</t>
  </si>
  <si>
    <t>US4642872422</t>
  </si>
  <si>
    <t>LQDUS</t>
  </si>
  <si>
    <t>RU000A0JWFE0 Corp</t>
  </si>
  <si>
    <t>RU000A0JWFE0</t>
  </si>
  <si>
    <t>SINERGBO-5</t>
  </si>
  <si>
    <t>XS1533915721 Corp</t>
  </si>
  <si>
    <t>XS1533915721</t>
  </si>
  <si>
    <t>EVRAZ23</t>
  </si>
  <si>
    <t>B5K7 Comdty</t>
  </si>
  <si>
    <t>BR-5.17</t>
  </si>
  <si>
    <t>VTB18N</t>
  </si>
  <si>
    <t>CHFRUB Curncy</t>
  </si>
  <si>
    <t>CHFRUB ISIN</t>
  </si>
  <si>
    <t>CHF</t>
  </si>
  <si>
    <t>XS1107316041 Corp</t>
  </si>
  <si>
    <t>XS1107316041</t>
  </si>
  <si>
    <t>WESCHI19</t>
  </si>
  <si>
    <t>RU000A0JVT76 Corp</t>
  </si>
  <si>
    <t>RU000A0JVT76</t>
  </si>
  <si>
    <t>PGK-01</t>
  </si>
  <si>
    <t>XS0776111188 Corp</t>
  </si>
  <si>
    <t>XS0776111188</t>
  </si>
  <si>
    <t>AGROK19E</t>
  </si>
  <si>
    <t>CMCSA US Equity</t>
  </si>
  <si>
    <t>US20030N1019</t>
  </si>
  <si>
    <t>CMCSAUS</t>
  </si>
  <si>
    <t>SDIV US Equity</t>
  </si>
  <si>
    <t>US37950E5490</t>
  </si>
  <si>
    <t>SDIVUS</t>
  </si>
  <si>
    <t>DAI GY Equity</t>
  </si>
  <si>
    <t>DE0007100000</t>
  </si>
  <si>
    <t>DAIGR</t>
  </si>
  <si>
    <t>USG9328DAM23 Corp</t>
  </si>
  <si>
    <t>USG9328DAM23</t>
  </si>
  <si>
    <t>VEDLN22</t>
  </si>
  <si>
    <t>CH0361710855 Corp</t>
  </si>
  <si>
    <t>CH0361710855</t>
  </si>
  <si>
    <t>EFGIF_0419B</t>
  </si>
  <si>
    <t>URH7 Curncy</t>
  </si>
  <si>
    <t>SI-3.17</t>
  </si>
  <si>
    <t>AMLP US Equity</t>
  </si>
  <si>
    <t>US00162Q8666</t>
  </si>
  <si>
    <t>AMLPUS</t>
  </si>
  <si>
    <t>USU05485AA20 Corp</t>
  </si>
  <si>
    <t>USU05485AA20</t>
  </si>
  <si>
    <t>AVP22</t>
  </si>
  <si>
    <t>RU000A0JRKT8</t>
  </si>
  <si>
    <t>PHOR</t>
  </si>
  <si>
    <t>BSPB RX Equity</t>
  </si>
  <si>
    <t>CH0355508588 Corp</t>
  </si>
  <si>
    <t>CH0355508588</t>
  </si>
  <si>
    <t>EFGIF_0219</t>
  </si>
  <si>
    <t>XS0554659671 BGN Corp</t>
  </si>
  <si>
    <t>LUKOIL20</t>
  </si>
  <si>
    <t>SNDK US Equity</t>
  </si>
  <si>
    <t>US80004C1018</t>
  </si>
  <si>
    <t>SNDKUS</t>
  </si>
  <si>
    <t>XS0494933806 Corp</t>
  </si>
  <si>
    <t>XS0494933806</t>
  </si>
  <si>
    <t>ALFARU15N</t>
  </si>
  <si>
    <t>US65504LAM90 Corp</t>
  </si>
  <si>
    <t>US65504LAM90</t>
  </si>
  <si>
    <t>NE18</t>
  </si>
  <si>
    <t>RUSAG18</t>
  </si>
  <si>
    <t>RU000A0JWK66 Corp</t>
  </si>
  <si>
    <t>RU000A0JWK66</t>
  </si>
  <si>
    <t>PIONERBO2</t>
  </si>
  <si>
    <t>ERX US Equity</t>
  </si>
  <si>
    <t>US25459W8881</t>
  </si>
  <si>
    <t>ERXUS</t>
  </si>
  <si>
    <t>41B GR Equity</t>
  </si>
  <si>
    <t>GB0000904986</t>
  </si>
  <si>
    <t>BWYLN</t>
  </si>
  <si>
    <t>RU0009062285</t>
  </si>
  <si>
    <t>AFLT</t>
  </si>
  <si>
    <t>XS0893212398 Corp</t>
  </si>
  <si>
    <t>XS0893212398</t>
  </si>
  <si>
    <t>VEB23E</t>
  </si>
  <si>
    <t>ZURN VX Equity</t>
  </si>
  <si>
    <t>CH0011075394</t>
  </si>
  <si>
    <t>ZURNVX</t>
  </si>
  <si>
    <t>JV410549 Corp</t>
  </si>
  <si>
    <t>PKT-01</t>
  </si>
  <si>
    <t>XS0620695204 CBBT Corp</t>
  </si>
  <si>
    <t>ALFARU21</t>
  </si>
  <si>
    <t>ROSM7 Index</t>
  </si>
  <si>
    <t>ROSN-6.17</t>
  </si>
  <si>
    <t>XS1117280625</t>
  </si>
  <si>
    <t>RUSST22</t>
  </si>
  <si>
    <t>XLI US Equity</t>
  </si>
  <si>
    <t>US81369Y7040</t>
  </si>
  <si>
    <t>XLIUS</t>
  </si>
  <si>
    <t>NOMOS18</t>
  </si>
  <si>
    <t>EI2227078 Corp</t>
  </si>
  <si>
    <t>XS0503839622</t>
  </si>
  <si>
    <t>NOMOS15</t>
  </si>
  <si>
    <t>TNBPP Equty</t>
  </si>
  <si>
    <t>TNBPPISIN</t>
  </si>
  <si>
    <t>TNBPP</t>
  </si>
  <si>
    <t>MCD US Equity</t>
  </si>
  <si>
    <t>US5801351017</t>
  </si>
  <si>
    <t>MCDUS</t>
  </si>
  <si>
    <t>42BA GR Equity</t>
  </si>
  <si>
    <t>GB00B02L3W35</t>
  </si>
  <si>
    <t>BKGLN</t>
  </si>
  <si>
    <t>DO US Equity</t>
  </si>
  <si>
    <t>US25271C1027</t>
  </si>
  <si>
    <t>DOUS</t>
  </si>
  <si>
    <t>XLE US Equity</t>
  </si>
  <si>
    <t>US81369Y5069</t>
  </si>
  <si>
    <t>XLEUS</t>
  </si>
  <si>
    <t>US29843U2024</t>
  </si>
  <si>
    <t>EDCLLI</t>
  </si>
  <si>
    <t>XS0863583281 BGN Corp</t>
  </si>
  <si>
    <t>EUCHEM17</t>
  </si>
  <si>
    <t>XS0911599701 Corp</t>
  </si>
  <si>
    <t>TMK20</t>
  </si>
  <si>
    <t>AOX GY Equity</t>
  </si>
  <si>
    <t>DE000A0LD2U1</t>
  </si>
  <si>
    <t>AOXGY</t>
  </si>
  <si>
    <t>XS0583616239</t>
  </si>
  <si>
    <t>BELRUS18</t>
  </si>
  <si>
    <t>bcode</t>
  </si>
  <si>
    <t>isin</t>
  </si>
  <si>
    <t>acode</t>
  </si>
  <si>
    <t>Клиент</t>
  </si>
  <si>
    <t>Количество новых покупок</t>
  </si>
  <si>
    <t>GRENF</t>
  </si>
  <si>
    <t>XS0088543193 Corp</t>
  </si>
  <si>
    <t>Доля акций 25%, доля бондов 75%</t>
  </si>
  <si>
    <t>Date: 2017.09.15 16:57:22</t>
  </si>
  <si>
    <t xml:space="preserve">    Instrument: EU28REGS</t>
  </si>
  <si>
    <t>BON:16711143</t>
  </si>
  <si>
    <t>BON-GOV</t>
  </si>
  <si>
    <t>FI_HARD</t>
  </si>
  <si>
    <t>11 year</t>
  </si>
  <si>
    <t>3935 days</t>
  </si>
  <si>
    <t>BON:16692484</t>
  </si>
  <si>
    <t>RAzgovorova</t>
  </si>
  <si>
    <t xml:space="preserve">    Instrument: EURONAT19N</t>
  </si>
  <si>
    <t>BON:16707266</t>
  </si>
  <si>
    <t>STR_NOTES</t>
  </si>
  <si>
    <t>577 days</t>
  </si>
  <si>
    <t xml:space="preserve">    Instrument: EVRAZ21</t>
  </si>
  <si>
    <t>BON:16711523</t>
  </si>
  <si>
    <t>1231 days</t>
  </si>
  <si>
    <t xml:space="preserve">    Instrument: GAZPRU22</t>
  </si>
  <si>
    <t>BON:16711519</t>
  </si>
  <si>
    <t>5 year</t>
  </si>
  <si>
    <t>1634 days</t>
  </si>
  <si>
    <t xml:space="preserve">    Instrument: KOKS18</t>
  </si>
  <si>
    <t>BON:16692309</t>
  </si>
  <si>
    <t>1y - 1.5y</t>
  </si>
  <si>
    <t>469 days</t>
  </si>
  <si>
    <t xml:space="preserve">    Instrument: NOMOS19</t>
  </si>
  <si>
    <t>BON:16718791</t>
  </si>
  <si>
    <t>588 days</t>
  </si>
  <si>
    <t xml:space="preserve">    Instrument: AGROLI</t>
  </si>
  <si>
    <t>EQU:16699779</t>
  </si>
  <si>
    <t>OMSMID-L-428hrOb-00</t>
  </si>
  <si>
    <t>Razgovorova</t>
  </si>
  <si>
    <t xml:space="preserve">    Instrument: HGMLN</t>
  </si>
  <si>
    <t>EQU:16692251</t>
  </si>
  <si>
    <t>EQU:16704571</t>
  </si>
  <si>
    <t>1.294</t>
  </si>
  <si>
    <t>EQU:16702884</t>
  </si>
  <si>
    <t>1.2822</t>
  </si>
  <si>
    <t>EQU:16713049</t>
  </si>
  <si>
    <t xml:space="preserve">    Instrument: KMG</t>
  </si>
  <si>
    <t>EQU:16692794</t>
  </si>
  <si>
    <t>EQU-ADR/GDR-KZ</t>
  </si>
  <si>
    <t>OMSMID-L-3xsnfrg-00</t>
  </si>
  <si>
    <t xml:space="preserve">    Instrument: LXFTUS</t>
  </si>
  <si>
    <t>EQU:16693323</t>
  </si>
  <si>
    <t>OMSMID-L-3y5imcL-00</t>
  </si>
  <si>
    <t>EQU:16718012</t>
  </si>
  <si>
    <t xml:space="preserve">    Instrument: MUS</t>
  </si>
  <si>
    <t>EQU:16721913</t>
  </si>
  <si>
    <t>OMSMID-L-4GlanNh-00</t>
  </si>
  <si>
    <t xml:space="preserve">    Instrument: NVTK</t>
  </si>
  <si>
    <t>EQU:16708607</t>
  </si>
  <si>
    <t>56.739</t>
  </si>
  <si>
    <t xml:space="preserve">    Instrument: OGZPY</t>
  </si>
  <si>
    <t>EQU:16697784</t>
  </si>
  <si>
    <t>OMSMID-L-40oR70A-00</t>
  </si>
  <si>
    <t>EQU:16708603</t>
  </si>
  <si>
    <t xml:space="preserve">    Instrument: POLYLN</t>
  </si>
  <si>
    <t>EQU:16692245</t>
  </si>
  <si>
    <t xml:space="preserve">    Instrument: QIWIUS</t>
  </si>
  <si>
    <t>EQU:16721523</t>
  </si>
  <si>
    <t>OMSMID-L-4GZllJh-00</t>
  </si>
  <si>
    <t xml:space="preserve">    Instrument: VIPUS</t>
  </si>
  <si>
    <t>EQU:16692242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</si>
</sst>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-* #,##0.00\ _₽_-;\-* #,##0.00\ _₽_-;_-* &quot;-&quot;??\ _₽_-;_-@_-"/>
    <numFmt numFmtId="165" formatCode="_-* #,##0.00_р_._-;\-* #,##0.00_р_._-;_-* &quot;-&quot;??_р_._-;_-@_-"/>
    <numFmt numFmtId="166" formatCode="_-* #,##0.00_р_-;\-* #,##0.00_р_-;_-* &quot;-&quot;??_р_-;_-@_-"/>
    <numFmt numFmtId="167" formatCode="0.0000"/>
    <numFmt numFmtId="168" formatCode="#,##0.0000_);\(#,##0.0000\);\–_);&quot;–&quot;_)"/>
    <numFmt numFmtId="169" formatCode="#,##0_);\(#,##0\);\–_);&quot;–&quot;_)"/>
    <numFmt numFmtId="170" formatCode="&quot;$&quot;#,##0_);\(&quot;$&quot;#,##0\);\–_);&quot;–&quot;_)"/>
    <numFmt numFmtId="171" formatCode="#,##0.00_);\(#,##0.00\);\–_);&quot;–&quot;_)"/>
    <numFmt numFmtId="172" formatCode="0.0%"/>
    <numFmt numFmtId="173" formatCode="#,##0.0000"/>
    <numFmt numFmtId="174" formatCode="0.000"/>
    <numFmt numFmtId="175" formatCode="#,##0.###############"/>
    <numFmt numFmtId="176" formatCode="dd\.mm\.yyyy"/>
  </numFmts>
  <fonts count="4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0"/>
      <color rgb="FF0000FF"/>
      <name val="Tahoma"/>
      <family val="2"/>
      <charset val="204"/>
    </font>
    <font>
      <sz val="10"/>
      <color theme="1"/>
      <name val="Tahoma"/>
      <family val="2"/>
      <charset val="204"/>
    </font>
    <font>
      <sz val="10"/>
      <color rgb="FF000000"/>
      <name val="Tahoma"/>
      <family val="2"/>
      <charset val="204"/>
    </font>
    <font>
      <b/>
      <u val="singleAccounting"/>
      <sz val="10"/>
      <color theme="1"/>
      <name val="Tahoma"/>
      <family val="2"/>
      <charset val="204"/>
    </font>
    <font>
      <b/>
      <sz val="10"/>
      <color theme="1"/>
      <name val="Tahoma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color rgb="FF0000FF"/>
      <name val="Tahoma"/>
      <family val="2"/>
      <charset val="204"/>
    </font>
    <font>
      <sz val="1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10"/>
      <name val="Tahoma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Verdana"/>
      <family val="2"/>
      <charset val="204"/>
    </font>
    <font>
      <b/>
      <sz val="7.5"/>
      <name val="Verdana"/>
      <family val="2"/>
      <charset val="204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charset val="204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7.5"/>
      <name val="Verdana"/>
      <family val="2"/>
      <charset val="204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auto="1"/>
      </bottom>
      <diagonal/>
    </border>
  </borders>
  <cellStyleXfs count="69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1" fillId="4" borderId="0"/>
    <xf numFmtId="0" fontId="1" fillId="0" borderId="0"/>
    <xf numFmtId="9" fontId="19" fillId="0" borderId="0" applyFont="0" applyFill="0" applyBorder="0" applyAlignment="0" applyProtection="0"/>
    <xf numFmtId="0" fontId="19" fillId="0" borderId="0"/>
    <xf numFmtId="166" fontId="19" fillId="0" borderId="0" applyFont="0" applyFill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7" borderId="6" applyNumberFormat="0" applyFont="0" applyAlignment="0" applyProtection="0"/>
    <xf numFmtId="0" fontId="23" fillId="0" borderId="0"/>
    <xf numFmtId="0" fontId="27" fillId="0" borderId="0" applyNumberFormat="0" applyFill="0" applyBorder="0" applyAlignment="0" applyProtection="0"/>
    <xf numFmtId="0" fontId="28" fillId="0" borderId="7" applyNumberFormat="0" applyFill="0" applyAlignment="0" applyProtection="0"/>
    <xf numFmtId="0" fontId="29" fillId="0" borderId="8" applyNumberFormat="0" applyFill="0" applyAlignment="0" applyProtection="0"/>
    <xf numFmtId="0" fontId="30" fillId="0" borderId="9" applyNumberFormat="0" applyFill="0" applyAlignment="0" applyProtection="0"/>
    <xf numFmtId="0" fontId="30" fillId="0" borderId="0" applyNumberFormat="0" applyFill="0" applyBorder="0" applyAlignment="0" applyProtection="0"/>
    <xf numFmtId="0" fontId="31" fillId="23" borderId="0" applyNumberFormat="0" applyBorder="0" applyAlignment="0" applyProtection="0"/>
    <xf numFmtId="0" fontId="32" fillId="24" borderId="0" applyNumberFormat="0" applyBorder="0" applyAlignment="0" applyProtection="0"/>
    <xf numFmtId="0" fontId="33" fillId="25" borderId="0" applyNumberFormat="0" applyBorder="0" applyAlignment="0" applyProtection="0"/>
    <xf numFmtId="0" fontId="34" fillId="26" borderId="10" applyNumberFormat="0" applyAlignment="0" applyProtection="0"/>
    <xf numFmtId="0" fontId="35" fillId="27" borderId="11" applyNumberFormat="0" applyAlignment="0" applyProtection="0"/>
    <xf numFmtId="0" fontId="36" fillId="27" borderId="10" applyNumberFormat="0" applyAlignment="0" applyProtection="0"/>
    <xf numFmtId="0" fontId="37" fillId="0" borderId="12" applyNumberFormat="0" applyFill="0" applyAlignment="0" applyProtection="0"/>
    <xf numFmtId="0" fontId="38" fillId="28" borderId="13" applyNumberFormat="0" applyAlignment="0" applyProtection="0"/>
    <xf numFmtId="0" fontId="39" fillId="0" borderId="0" applyNumberFormat="0" applyFill="0" applyBorder="0" applyAlignment="0" applyProtection="0"/>
    <xf numFmtId="0" fontId="1" fillId="7" borderId="6" applyNumberFormat="0" applyFont="0" applyAlignment="0" applyProtection="0"/>
    <xf numFmtId="0" fontId="40" fillId="0" borderId="0" applyNumberFormat="0" applyFill="0" applyBorder="0" applyAlignment="0" applyProtection="0"/>
    <xf numFmtId="0" fontId="20" fillId="0" borderId="14" applyNumberFormat="0" applyFill="0" applyAlignment="0" applyProtection="0"/>
    <xf numFmtId="0" fontId="41" fillId="29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41" fillId="30" borderId="0" applyNumberFormat="0" applyBorder="0" applyAlignment="0" applyProtection="0"/>
    <xf numFmtId="0" fontId="4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41" fillId="38" borderId="0" applyNumberFormat="0" applyBorder="0" applyAlignment="0" applyProtection="0"/>
    <xf numFmtId="0" fontId="41" fillId="39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1" fillId="40" borderId="0" applyNumberFormat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42" fillId="0" borderId="0">
      <alignment horizontal="right"/>
    </xf>
  </cellStyleXfs>
  <cellXfs count="142">
    <xf numFmtId="0" fontId="0" fillId="0" borderId="0" xfId="0"/>
    <xf numFmtId="0" fontId="2" fillId="0" borderId="0" xfId="2"/>
    <xf numFmtId="4" fontId="2" fillId="0" borderId="0" xfId="2" applyNumberFormat="1"/>
    <xf numFmtId="10" fontId="2" fillId="0" borderId="0" xfId="1" applyNumberFormat="1" applyFont="1"/>
    <xf numFmtId="14" fontId="3" fillId="0" borderId="0" xfId="0" applyNumberFormat="1" applyFont="1" applyFill="1" applyBorder="1"/>
    <xf numFmtId="169" fontId="4" fillId="0" borderId="1" xfId="0" applyNumberFormat="1" applyFont="1" applyBorder="1"/>
    <xf numFmtId="170" fontId="4" fillId="0" borderId="1" xfId="0" applyNumberFormat="1" applyFont="1" applyBorder="1"/>
    <xf numFmtId="0" fontId="5" fillId="0" borderId="1" xfId="0" applyFont="1" applyFill="1" applyBorder="1"/>
    <xf numFmtId="169" fontId="3" fillId="0" borderId="1" xfId="0" applyNumberFormat="1" applyFont="1" applyFill="1" applyBorder="1"/>
    <xf numFmtId="0" fontId="4" fillId="0" borderId="1" xfId="0" applyFont="1" applyBorder="1"/>
    <xf numFmtId="0" fontId="4" fillId="0" borderId="2" xfId="0" applyFont="1" applyFill="1" applyBorder="1"/>
    <xf numFmtId="171" fontId="3" fillId="0" borderId="1" xfId="0" applyNumberFormat="1" applyFont="1" applyBorder="1"/>
    <xf numFmtId="0" fontId="6" fillId="3" borderId="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wrapText="1"/>
    </xf>
    <xf numFmtId="0" fontId="6" fillId="3" borderId="3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center"/>
    </xf>
    <xf numFmtId="0" fontId="7" fillId="3" borderId="3" xfId="0" applyFont="1" applyFill="1" applyBorder="1" applyAlignment="1"/>
    <xf numFmtId="3" fontId="2" fillId="0" borderId="0" xfId="2" applyNumberFormat="1"/>
    <xf numFmtId="3" fontId="8" fillId="0" borderId="0" xfId="2" applyNumberFormat="1" applyFont="1"/>
    <xf numFmtId="4" fontId="2" fillId="0" borderId="0" xfId="2" applyNumberFormat="1" applyFill="1" applyBorder="1"/>
    <xf numFmtId="0" fontId="8" fillId="0" borderId="0" xfId="2" applyFont="1"/>
    <xf numFmtId="0" fontId="2" fillId="0" borderId="0" xfId="2" applyFont="1"/>
    <xf numFmtId="0" fontId="8" fillId="0" borderId="0" xfId="2" applyFont="1" applyFill="1" applyBorder="1" applyAlignment="1">
      <alignment horizontal="left" indent="1"/>
    </xf>
    <xf numFmtId="0" fontId="8" fillId="0" borderId="0" xfId="2" applyFont="1" applyBorder="1"/>
    <xf numFmtId="4" fontId="2" fillId="0" borderId="0" xfId="2" applyNumberFormat="1" applyFont="1" applyFill="1" applyBorder="1"/>
    <xf numFmtId="0" fontId="2" fillId="0" borderId="0" xfId="2" applyBorder="1"/>
    <xf numFmtId="3" fontId="8" fillId="0" borderId="0" xfId="2" applyNumberFormat="1" applyFont="1" applyBorder="1"/>
    <xf numFmtId="0" fontId="2" fillId="0" borderId="0" xfId="2" applyFont="1" applyBorder="1"/>
    <xf numFmtId="3" fontId="2" fillId="0" borderId="0" xfId="2" applyNumberFormat="1" applyFont="1" applyFill="1" applyBorder="1"/>
    <xf numFmtId="169" fontId="2" fillId="0" borderId="0" xfId="2" applyNumberFormat="1" applyFont="1" applyBorder="1"/>
    <xf numFmtId="0" fontId="8" fillId="0" borderId="0" xfId="2" applyFont="1" applyFill="1" applyBorder="1"/>
    <xf numFmtId="172" fontId="10" fillId="0" borderId="0" xfId="3" applyNumberFormat="1" applyFont="1" applyFill="1" applyBorder="1"/>
    <xf numFmtId="0" fontId="12" fillId="5" borderId="0" xfId="4" applyNumberFormat="1" applyFont="1" applyFill="1" applyBorder="1" applyAlignment="1" applyProtection="1">
      <alignment wrapText="1"/>
    </xf>
    <xf numFmtId="0" fontId="12" fillId="5" borderId="0" xfId="4" applyNumberFormat="1" applyFont="1" applyFill="1" applyBorder="1" applyAlignment="1" applyProtection="1"/>
    <xf numFmtId="3" fontId="9" fillId="0" borderId="0" xfId="2" applyNumberFormat="1" applyFont="1" applyBorder="1"/>
    <xf numFmtId="10" fontId="8" fillId="0" borderId="0" xfId="3" applyNumberFormat="1" applyFont="1" applyBorder="1"/>
    <xf numFmtId="3" fontId="9" fillId="0" borderId="4" xfId="2" applyNumberFormat="1" applyFont="1" applyBorder="1"/>
    <xf numFmtId="0" fontId="2" fillId="0" borderId="4" xfId="2" applyFont="1" applyBorder="1"/>
    <xf numFmtId="10" fontId="8" fillId="0" borderId="4" xfId="3" applyNumberFormat="1" applyFont="1" applyBorder="1"/>
    <xf numFmtId="0" fontId="2" fillId="6" borderId="0" xfId="2" applyFill="1" applyBorder="1" applyAlignment="1">
      <alignment horizontal="left" indent="1"/>
    </xf>
    <xf numFmtId="3" fontId="14" fillId="6" borderId="0" xfId="2" applyNumberFormat="1" applyFont="1" applyFill="1" applyBorder="1"/>
    <xf numFmtId="3" fontId="13" fillId="6" borderId="0" xfId="2" applyNumberFormat="1" applyFont="1" applyFill="1" applyBorder="1"/>
    <xf numFmtId="3" fontId="2" fillId="6" borderId="0" xfId="2" applyNumberFormat="1" applyFill="1" applyBorder="1"/>
    <xf numFmtId="3" fontId="2" fillId="6" borderId="0" xfId="2" applyNumberFormat="1" applyFont="1" applyFill="1" applyBorder="1"/>
    <xf numFmtId="10" fontId="2" fillId="6" borderId="0" xfId="3" applyNumberFormat="1" applyFont="1" applyFill="1" applyBorder="1"/>
    <xf numFmtId="171" fontId="8" fillId="6" borderId="0" xfId="2" applyNumberFormat="1" applyFont="1" applyFill="1" applyBorder="1"/>
    <xf numFmtId="4" fontId="8" fillId="6" borderId="0" xfId="2" applyNumberFormat="1" applyFont="1" applyFill="1" applyBorder="1"/>
    <xf numFmtId="0" fontId="8" fillId="6" borderId="0" xfId="2" applyFont="1" applyFill="1" applyBorder="1"/>
    <xf numFmtId="0" fontId="4" fillId="0" borderId="0" xfId="0" applyFont="1" applyFill="1" applyBorder="1"/>
    <xf numFmtId="0" fontId="4" fillId="0" borderId="0" xfId="0" applyFont="1" applyBorder="1"/>
    <xf numFmtId="0" fontId="5" fillId="0" borderId="0" xfId="0" applyFont="1" applyFill="1" applyBorder="1"/>
    <xf numFmtId="169" fontId="3" fillId="0" borderId="0" xfId="0" applyNumberFormat="1" applyFont="1" applyFill="1" applyBorder="1"/>
    <xf numFmtId="171" fontId="3" fillId="0" borderId="0" xfId="0" applyNumberFormat="1" applyFont="1" applyBorder="1"/>
    <xf numFmtId="169" fontId="15" fillId="0" borderId="0" xfId="0" applyNumberFormat="1" applyFont="1" applyFill="1" applyBorder="1"/>
    <xf numFmtId="171" fontId="15" fillId="0" borderId="0" xfId="0" applyNumberFormat="1" applyFont="1" applyBorder="1"/>
    <xf numFmtId="168" fontId="16" fillId="0" borderId="1" xfId="0" applyNumberFormat="1" applyFont="1" applyBorder="1"/>
    <xf numFmtId="168" fontId="16" fillId="0" borderId="0" xfId="0" applyNumberFormat="1" applyFont="1" applyBorder="1"/>
    <xf numFmtId="0" fontId="17" fillId="0" borderId="0" xfId="0" applyFont="1" applyFill="1" applyBorder="1"/>
    <xf numFmtId="171" fontId="15" fillId="0" borderId="0" xfId="0" applyNumberFormat="1" applyFont="1" applyFill="1" applyBorder="1"/>
    <xf numFmtId="2" fontId="15" fillId="0" borderId="0" xfId="1" applyNumberFormat="1" applyFont="1" applyBorder="1"/>
    <xf numFmtId="10" fontId="8" fillId="6" borderId="0" xfId="1" applyNumberFormat="1" applyFont="1" applyFill="1" applyBorder="1"/>
    <xf numFmtId="0" fontId="2" fillId="0" borderId="0" xfId="2" applyFont="1" applyFill="1" applyBorder="1"/>
    <xf numFmtId="169" fontId="2" fillId="0" borderId="0" xfId="2" applyNumberFormat="1" applyFont="1" applyFill="1" applyBorder="1"/>
    <xf numFmtId="4" fontId="8" fillId="0" borderId="0" xfId="2" applyNumberFormat="1" applyFont="1" applyFill="1" applyBorder="1"/>
    <xf numFmtId="0" fontId="2" fillId="0" borderId="0" xfId="2" applyFont="1" applyFill="1" applyBorder="1" applyAlignment="1">
      <alignment horizontal="left" indent="1"/>
    </xf>
    <xf numFmtId="169" fontId="2" fillId="0" borderId="0" xfId="2" applyNumberFormat="1"/>
    <xf numFmtId="0" fontId="8" fillId="2" borderId="0" xfId="2" applyFont="1" applyFill="1" applyBorder="1"/>
    <xf numFmtId="0" fontId="2" fillId="2" borderId="0" xfId="2" applyFont="1" applyFill="1" applyBorder="1"/>
    <xf numFmtId="10" fontId="2" fillId="2" borderId="0" xfId="3" applyNumberFormat="1" applyFont="1" applyFill="1" applyBorder="1"/>
    <xf numFmtId="3" fontId="2" fillId="2" borderId="0" xfId="2" applyNumberFormat="1" applyFont="1" applyFill="1" applyBorder="1"/>
    <xf numFmtId="0" fontId="2" fillId="2" borderId="0" xfId="2" applyFill="1" applyBorder="1" applyAlignment="1">
      <alignment horizontal="left" indent="1"/>
    </xf>
    <xf numFmtId="3" fontId="14" fillId="2" borderId="0" xfId="2" applyNumberFormat="1" applyFont="1" applyFill="1" applyBorder="1"/>
    <xf numFmtId="2" fontId="14" fillId="2" borderId="0" xfId="1" applyNumberFormat="1" applyFont="1" applyFill="1" applyBorder="1"/>
    <xf numFmtId="174" fontId="2" fillId="0" borderId="0" xfId="2" applyNumberFormat="1"/>
    <xf numFmtId="3" fontId="8" fillId="0" borderId="0" xfId="2" applyNumberFormat="1" applyFont="1" applyFill="1" applyBorder="1"/>
    <xf numFmtId="10" fontId="9" fillId="0" borderId="0" xfId="1" applyNumberFormat="1" applyFont="1" applyBorder="1"/>
    <xf numFmtId="3" fontId="14" fillId="0" borderId="4" xfId="2" applyNumberFormat="1" applyFont="1" applyBorder="1"/>
    <xf numFmtId="171" fontId="3" fillId="0" borderId="0" xfId="0" applyNumberFormat="1" applyFont="1" applyFill="1" applyBorder="1"/>
    <xf numFmtId="171" fontId="3" fillId="0" borderId="1" xfId="0" applyNumberFormat="1" applyFont="1" applyFill="1" applyBorder="1"/>
    <xf numFmtId="1" fontId="2" fillId="0" borderId="0" xfId="2" applyNumberFormat="1"/>
    <xf numFmtId="167" fontId="2" fillId="0" borderId="0" xfId="2" applyNumberFormat="1"/>
    <xf numFmtId="14" fontId="15" fillId="0" borderId="0" xfId="0" applyNumberFormat="1" applyFont="1" applyFill="1" applyBorder="1"/>
    <xf numFmtId="168" fontId="18" fillId="0" borderId="0" xfId="0" applyNumberFormat="1" applyFont="1" applyBorder="1"/>
    <xf numFmtId="0" fontId="7" fillId="0" borderId="0" xfId="0" applyFont="1" applyBorder="1"/>
    <xf numFmtId="0" fontId="7" fillId="0" borderId="0" xfId="0" applyFont="1" applyFill="1" applyBorder="1"/>
    <xf numFmtId="168" fontId="7" fillId="0" borderId="0" xfId="0" applyNumberFormat="1" applyFont="1" applyBorder="1"/>
    <xf numFmtId="4" fontId="2" fillId="2" borderId="0" xfId="2" applyNumberFormat="1" applyFont="1" applyFill="1" applyBorder="1"/>
    <xf numFmtId="3" fontId="2" fillId="2" borderId="0" xfId="2" applyNumberFormat="1" applyFill="1" applyBorder="1"/>
    <xf numFmtId="3" fontId="14" fillId="2" borderId="4" xfId="2" applyNumberFormat="1" applyFont="1" applyFill="1" applyBorder="1"/>
    <xf numFmtId="0" fontId="8" fillId="0" borderId="0" xfId="2" applyFont="1" applyAlignment="1">
      <alignment horizontal="left"/>
    </xf>
    <xf numFmtId="0" fontId="2" fillId="2" borderId="0" xfId="2" applyFill="1"/>
    <xf numFmtId="3" fontId="2" fillId="2" borderId="4" xfId="2" applyNumberFormat="1" applyFont="1" applyFill="1" applyBorder="1"/>
    <xf numFmtId="0" fontId="2" fillId="20" borderId="0" xfId="2" applyFont="1" applyFill="1" applyBorder="1"/>
    <xf numFmtId="0" fontId="8" fillId="20" borderId="0" xfId="2" applyFont="1" applyFill="1" applyBorder="1"/>
    <xf numFmtId="10" fontId="2" fillId="20" borderId="0" xfId="3" applyNumberFormat="1" applyFont="1" applyFill="1" applyBorder="1"/>
    <xf numFmtId="3" fontId="2" fillId="20" borderId="0" xfId="2" applyNumberFormat="1" applyFont="1" applyFill="1" applyBorder="1"/>
    <xf numFmtId="4" fontId="2" fillId="20" borderId="0" xfId="2" applyNumberFormat="1" applyFont="1" applyFill="1" applyBorder="1"/>
    <xf numFmtId="3" fontId="14" fillId="20" borderId="0" xfId="2" applyNumberFormat="1" applyFont="1" applyFill="1" applyBorder="1"/>
    <xf numFmtId="2" fontId="14" fillId="20" borderId="0" xfId="1" applyNumberFormat="1" applyFont="1" applyFill="1" applyBorder="1"/>
    <xf numFmtId="0" fontId="2" fillId="20" borderId="0" xfId="2" applyFill="1"/>
    <xf numFmtId="0" fontId="2" fillId="20" borderId="0" xfId="2" applyFill="1" applyBorder="1" applyAlignment="1">
      <alignment horizontal="left" indent="1"/>
    </xf>
    <xf numFmtId="3" fontId="2" fillId="20" borderId="0" xfId="2" applyNumberFormat="1" applyFill="1" applyBorder="1"/>
    <xf numFmtId="2" fontId="2" fillId="20" borderId="0" xfId="1" applyNumberFormat="1" applyFont="1" applyFill="1" applyBorder="1"/>
    <xf numFmtId="4" fontId="14" fillId="0" borderId="4" xfId="2" applyNumberFormat="1" applyFont="1" applyBorder="1"/>
    <xf numFmtId="10" fontId="2" fillId="0" borderId="4" xfId="1" applyNumberFormat="1" applyFont="1" applyBorder="1"/>
    <xf numFmtId="10" fontId="2" fillId="2" borderId="0" xfId="1" applyNumberFormat="1" applyFont="1" applyFill="1" applyBorder="1"/>
    <xf numFmtId="0" fontId="12" fillId="21" borderId="0" xfId="4" applyNumberFormat="1" applyFont="1" applyFill="1" applyBorder="1" applyAlignment="1" applyProtection="1">
      <alignment horizontal="center" vertical="center"/>
    </xf>
    <xf numFmtId="0" fontId="12" fillId="21" borderId="0" xfId="4" applyNumberFormat="1" applyFont="1" applyFill="1" applyBorder="1" applyAlignment="1" applyProtection="1">
      <alignment horizontal="center" vertical="center" wrapText="1"/>
    </xf>
    <xf numFmtId="0" fontId="2" fillId="21" borderId="0" xfId="2" applyFill="1" applyAlignment="1">
      <alignment horizontal="center" vertical="center"/>
    </xf>
    <xf numFmtId="0" fontId="0" fillId="0" borderId="0" xfId="0" applyAlignment="1">
      <alignment horizontal="right"/>
    </xf>
    <xf numFmtId="49" fontId="22" fillId="22" borderId="0" xfId="0" applyNumberFormat="1" applyFont="1" applyFill="1" applyAlignment="1">
      <alignment horizontal="left"/>
    </xf>
    <xf numFmtId="49" fontId="0" fillId="22" borderId="0" xfId="0" applyNumberFormat="1" applyFont="1" applyFill="1" applyAlignment="1">
      <alignment horizontal="left"/>
    </xf>
    <xf numFmtId="49" fontId="0" fillId="22" borderId="0" xfId="0" applyNumberFormat="1" applyFont="1" applyFill="1" applyAlignment="1">
      <alignment horizontal="right"/>
    </xf>
    <xf numFmtId="175" fontId="0" fillId="22" borderId="0" xfId="0" applyNumberFormat="1" applyFont="1" applyFill="1" applyAlignment="1">
      <alignment horizontal="right"/>
    </xf>
    <xf numFmtId="49" fontId="0" fillId="0" borderId="0" xfId="0" applyNumberFormat="1" applyFont="1" applyAlignment="1">
      <alignment horizontal="left"/>
    </xf>
    <xf numFmtId="176" fontId="0" fillId="0" borderId="0" xfId="0" applyNumberFormat="1" applyFont="1" applyAlignment="1">
      <alignment horizontal="left"/>
    </xf>
    <xf numFmtId="175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173" fontId="0" fillId="0" borderId="0" xfId="0" applyNumberFormat="1" applyFont="1" applyAlignment="1">
      <alignment horizontal="right"/>
    </xf>
    <xf numFmtId="0" fontId="23" fillId="0" borderId="0" xfId="22"/>
    <xf numFmtId="0" fontId="24" fillId="0" borderId="0" xfId="22" applyFont="1"/>
    <xf numFmtId="0" fontId="25" fillId="0" borderId="0" xfId="22" applyFont="1"/>
    <xf numFmtId="10" fontId="13" fillId="0" borderId="0" xfId="1" applyNumberFormat="1" applyFont="1" applyBorder="1"/>
    <xf numFmtId="170" fontId="2" fillId="0" borderId="0" xfId="2" applyNumberFormat="1"/>
    <xf numFmtId="0" fontId="42" fillId="0" borderId="0" xfId="68">
      <alignment horizontal="right"/>
    </xf>
    <xf numFmtId="0" fontId="21" fillId="0" borderId="0" xfId="68" applyFont="1" applyAlignment="1">
      <alignment horizontal="left"/>
    </xf>
    <xf numFmtId="0" fontId="42" fillId="0" borderId="0" xfId="68" applyFont="1" applyAlignment="1">
      <alignment horizontal="left"/>
    </xf>
    <xf numFmtId="49" fontId="22" fillId="22" borderId="0" xfId="68" applyNumberFormat="1" applyFont="1" applyFill="1" applyAlignment="1">
      <alignment horizontal="left" vertical="top" wrapText="1"/>
    </xf>
    <xf numFmtId="49" fontId="22" fillId="22" borderId="0" xfId="68" applyNumberFormat="1" applyFont="1" applyFill="1" applyAlignment="1">
      <alignment horizontal="right" vertical="top" wrapText="1"/>
    </xf>
    <xf numFmtId="49" fontId="22" fillId="22" borderId="15" xfId="68" applyNumberFormat="1" applyFont="1" applyFill="1" applyBorder="1" applyAlignment="1">
      <alignment horizontal="left" vertical="top" wrapText="1"/>
    </xf>
    <xf numFmtId="49" fontId="22" fillId="22" borderId="15" xfId="68" applyNumberFormat="1" applyFont="1" applyFill="1" applyBorder="1" applyAlignment="1">
      <alignment horizontal="right" vertical="top" wrapText="1"/>
    </xf>
    <xf numFmtId="49" fontId="22" fillId="22" borderId="0" xfId="68" applyNumberFormat="1" applyFont="1" applyFill="1" applyAlignment="1">
      <alignment horizontal="left"/>
    </xf>
    <xf numFmtId="49" fontId="42" fillId="22" borderId="0" xfId="68" applyNumberFormat="1" applyFont="1" applyFill="1" applyAlignment="1">
      <alignment horizontal="left"/>
    </xf>
    <xf numFmtId="49" fontId="42" fillId="22" borderId="0" xfId="68" applyNumberFormat="1" applyFont="1" applyFill="1" applyAlignment="1">
      <alignment horizontal="right"/>
    </xf>
    <xf numFmtId="175" fontId="42" fillId="22" borderId="0" xfId="68" applyNumberFormat="1" applyFont="1" applyFill="1" applyAlignment="1">
      <alignment horizontal="right"/>
    </xf>
    <xf numFmtId="49" fontId="42" fillId="0" borderId="0" xfId="68" applyNumberFormat="1" applyFont="1" applyAlignment="1">
      <alignment horizontal="left"/>
    </xf>
    <xf numFmtId="176" fontId="42" fillId="0" borderId="0" xfId="68" applyNumberFormat="1" applyFont="1" applyAlignment="1">
      <alignment horizontal="left"/>
    </xf>
    <xf numFmtId="175" fontId="42" fillId="0" borderId="0" xfId="68" applyNumberFormat="1" applyFont="1" applyAlignment="1">
      <alignment horizontal="right"/>
    </xf>
    <xf numFmtId="49" fontId="42" fillId="0" borderId="0" xfId="68" applyNumberFormat="1" applyFont="1" applyAlignment="1">
      <alignment horizontal="right"/>
    </xf>
    <xf numFmtId="0" fontId="2" fillId="2" borderId="5" xfId="2" applyFont="1" applyFill="1" applyBorder="1" applyAlignment="1">
      <alignment horizontal="center" wrapText="1"/>
    </xf>
    <xf numFmtId="0" fontId="2" fillId="2" borderId="0" xfId="2" applyFont="1" applyFill="1" applyBorder="1" applyAlignment="1">
      <alignment horizontal="center" wrapText="1"/>
    </xf>
  </cellXfs>
  <cellStyles count="69">
    <cellStyle name="20% - Accent1" xfId="41" builtinId="30" customBuiltin="1"/>
    <cellStyle name="20% - Accent1 2" xfId="9"/>
    <cellStyle name="20% - Accent2" xfId="45" builtinId="34" customBuiltin="1"/>
    <cellStyle name="20% - Accent2 2" xfId="10"/>
    <cellStyle name="20% - Accent3" xfId="49" builtinId="38" customBuiltin="1"/>
    <cellStyle name="20% - Accent3 2" xfId="11"/>
    <cellStyle name="20% - Accent4" xfId="53" builtinId="42" customBuiltin="1"/>
    <cellStyle name="20% - Accent4 2" xfId="12"/>
    <cellStyle name="20% - Accent5" xfId="57" builtinId="46" customBuiltin="1"/>
    <cellStyle name="20% - Accent5 2" xfId="13"/>
    <cellStyle name="20% - Accent6" xfId="61" builtinId="50" customBuiltin="1"/>
    <cellStyle name="20% - Accent6 2" xfId="14"/>
    <cellStyle name="40% - Accent1" xfId="42" builtinId="31" customBuiltin="1"/>
    <cellStyle name="40% - Accent1 2" xfId="15"/>
    <cellStyle name="40% - Accent2" xfId="46" builtinId="35" customBuiltin="1"/>
    <cellStyle name="40% - Accent2 2" xfId="16"/>
    <cellStyle name="40% - Accent3" xfId="50" builtinId="39" customBuiltin="1"/>
    <cellStyle name="40% - Accent3 2" xfId="17"/>
    <cellStyle name="40% - Accent4" xfId="54" builtinId="43" customBuiltin="1"/>
    <cellStyle name="40% - Accent4 2" xfId="18"/>
    <cellStyle name="40% - Accent5" xfId="58" builtinId="47" customBuiltin="1"/>
    <cellStyle name="40% - Accent5 2" xfId="19"/>
    <cellStyle name="40% - Accent6" xfId="62" builtinId="51" customBuiltin="1"/>
    <cellStyle name="40% - Accent6 2" xfId="20"/>
    <cellStyle name="60% - Accent1" xfId="43" builtinId="32" customBuiltin="1"/>
    <cellStyle name="60% - Accent2" xfId="47" builtinId="36" customBuiltin="1"/>
    <cellStyle name="60% - Accent3" xfId="51" builtinId="40" customBuiltin="1"/>
    <cellStyle name="60% - Accent4" xfId="55" builtinId="44" customBuiltin="1"/>
    <cellStyle name="60% - Accent5" xfId="59" builtinId="48" customBuiltin="1"/>
    <cellStyle name="60% - Accent6" xfId="63" builtinId="52" customBuiltin="1"/>
    <cellStyle name="Accent1" xfId="40" builtinId="29" customBuiltin="1"/>
    <cellStyle name="Accent2" xfId="44" builtinId="33" customBuiltin="1"/>
    <cellStyle name="Accent3" xfId="48" builtinId="37" customBuiltin="1"/>
    <cellStyle name="Accent4" xfId="52" builtinId="41" customBuiltin="1"/>
    <cellStyle name="Accent5" xfId="56" builtinId="45" customBuiltin="1"/>
    <cellStyle name="Accent6" xfId="60" builtinId="49" customBuiltin="1"/>
    <cellStyle name="Bad" xfId="29" builtinId="27" customBuiltin="1"/>
    <cellStyle name="blp_column_header" xfId="4"/>
    <cellStyle name="Calculation" xfId="33" builtinId="22" customBuiltin="1"/>
    <cellStyle name="Check Cell" xfId="35" builtinId="23" customBuiltin="1"/>
    <cellStyle name="Comma 2" xfId="8"/>
    <cellStyle name="Comma 2 2" xfId="64"/>
    <cellStyle name="Comma 3" xfId="65"/>
    <cellStyle name="Explanatory Text" xfId="38" builtinId="53" customBuiltin="1"/>
    <cellStyle name="Good" xfId="28" builtinId="26" customBuiltin="1"/>
    <cellStyle name="Heading 1" xfId="24" builtinId="16" customBuiltin="1"/>
    <cellStyle name="Heading 2" xfId="25" builtinId="17" customBuiltin="1"/>
    <cellStyle name="Heading 3" xfId="26" builtinId="18" customBuiltin="1"/>
    <cellStyle name="Heading 4" xfId="27" builtinId="19" customBuiltin="1"/>
    <cellStyle name="Input" xfId="31" builtinId="20" customBuiltin="1"/>
    <cellStyle name="Linked Cell" xfId="34" builtinId="24" customBuiltin="1"/>
    <cellStyle name="Neutral" xfId="30" builtinId="28" customBuiltin="1"/>
    <cellStyle name="Normal" xfId="0" builtinId="0"/>
    <cellStyle name="Normal 2" xfId="2"/>
    <cellStyle name="Normal 3" xfId="5"/>
    <cellStyle name="Normal 4" xfId="7"/>
    <cellStyle name="Normal 4 2" xfId="66"/>
    <cellStyle name="Normal 5" xfId="22"/>
    <cellStyle name="Normal 6" xfId="68"/>
    <cellStyle name="Note" xfId="37" builtinId="10" customBuiltin="1"/>
    <cellStyle name="Note 2" xfId="21"/>
    <cellStyle name="Output" xfId="32" builtinId="21" customBuiltin="1"/>
    <cellStyle name="Percent" xfId="1" builtinId="5"/>
    <cellStyle name="Percent 2" xfId="3"/>
    <cellStyle name="Percent 3" xfId="6"/>
    <cellStyle name="Percent 3 2" xfId="67"/>
    <cellStyle name="Title" xfId="23" builtinId="15" customBuiltin="1"/>
    <cellStyle name="Total" xfId="39" builtinId="25" customBuiltin="1"/>
    <cellStyle name="Warning Text" xfId="36" builtinId="11" customBuiltin="1"/>
  </cellStyles>
  <dxfs count="16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47625</xdr:rowOff>
        </xdr:from>
        <xdr:to>
          <xdr:col>4</xdr:col>
          <xdr:colOff>590550</xdr:colOff>
          <xdr:row>5</xdr:row>
          <xdr:rowOff>9525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9:C10"/>
  <sheetViews>
    <sheetView workbookViewId="0">
      <selection activeCell="F14" sqref="F14"/>
    </sheetView>
  </sheetViews>
  <sheetFormatPr defaultRowHeight="15" x14ac:dyDescent="0.25"/>
  <cols>
    <col min="3" max="3" width="25" customWidth="1"/>
  </cols>
  <sheetData>
    <row r="9" spans="2:3" x14ac:dyDescent="0.25">
      <c r="B9" t="s">
        <v>2733</v>
      </c>
      <c r="C9" t="s">
        <v>2734</v>
      </c>
    </row>
    <row r="10" spans="2:3" x14ac:dyDescent="0.25">
      <c r="B10" t="s">
        <v>2735</v>
      </c>
      <c r="C10">
        <v>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600075</xdr:colOff>
                    <xdr:row>3</xdr:row>
                    <xdr:rowOff>47625</xdr:rowOff>
                  </from>
                  <to>
                    <xdr:col>4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72"/>
  <sheetViews>
    <sheetView topLeftCell="A605" workbookViewId="0">
      <selection activeCell="F634" sqref="F634"/>
    </sheetView>
  </sheetViews>
  <sheetFormatPr defaultRowHeight="15" x14ac:dyDescent="0.25"/>
  <cols>
    <col min="1" max="1" width="31.7109375" style="120" bestFit="1" customWidth="1"/>
    <col min="2" max="2" width="21.7109375" style="120" bestFit="1" customWidth="1"/>
    <col min="3" max="3" width="23.7109375" style="120" bestFit="1" customWidth="1"/>
    <col min="4" max="16384" width="9.140625" style="120"/>
  </cols>
  <sheetData>
    <row r="1" spans="1:3" x14ac:dyDescent="0.25">
      <c r="A1" s="122" t="s">
        <v>2732</v>
      </c>
      <c r="B1" s="122" t="s">
        <v>2731</v>
      </c>
      <c r="C1" s="122" t="s">
        <v>2730</v>
      </c>
    </row>
    <row r="2" spans="1:3" x14ac:dyDescent="0.25">
      <c r="A2" s="121" t="s">
        <v>2729</v>
      </c>
      <c r="B2" s="121" t="s">
        <v>2728</v>
      </c>
      <c r="C2" s="121" t="s">
        <v>263</v>
      </c>
    </row>
    <row r="3" spans="1:3" x14ac:dyDescent="0.25">
      <c r="A3" s="121" t="s">
        <v>2727</v>
      </c>
      <c r="B3" s="121" t="s">
        <v>2726</v>
      </c>
      <c r="C3" s="121" t="s">
        <v>2725</v>
      </c>
    </row>
    <row r="4" spans="1:3" x14ac:dyDescent="0.25">
      <c r="A4" s="121" t="s">
        <v>2724</v>
      </c>
      <c r="B4" s="121" t="s">
        <v>194</v>
      </c>
      <c r="C4" s="121" t="s">
        <v>2723</v>
      </c>
    </row>
    <row r="5" spans="1:3" x14ac:dyDescent="0.25">
      <c r="A5" s="121" t="s">
        <v>2722</v>
      </c>
      <c r="B5" s="121" t="s">
        <v>205</v>
      </c>
      <c r="C5" s="121" t="s">
        <v>2721</v>
      </c>
    </row>
    <row r="6" spans="1:3" x14ac:dyDescent="0.25">
      <c r="A6" s="121" t="s">
        <v>2720</v>
      </c>
      <c r="B6" s="121" t="s">
        <v>2719</v>
      </c>
      <c r="C6" s="121" t="s">
        <v>87</v>
      </c>
    </row>
    <row r="7" spans="1:3" x14ac:dyDescent="0.25">
      <c r="A7" s="121" t="s">
        <v>2718</v>
      </c>
      <c r="B7" s="121" t="s">
        <v>2717</v>
      </c>
      <c r="C7" s="121" t="s">
        <v>2716</v>
      </c>
    </row>
    <row r="8" spans="1:3" x14ac:dyDescent="0.25">
      <c r="A8" s="121" t="s">
        <v>2715</v>
      </c>
      <c r="B8" s="121" t="s">
        <v>2714</v>
      </c>
      <c r="C8" s="121" t="s">
        <v>2713</v>
      </c>
    </row>
    <row r="9" spans="1:3" x14ac:dyDescent="0.25">
      <c r="A9" s="121" t="s">
        <v>2712</v>
      </c>
      <c r="B9" s="121" t="s">
        <v>2711</v>
      </c>
      <c r="C9" s="121" t="s">
        <v>2710</v>
      </c>
    </row>
    <row r="10" spans="1:3" x14ac:dyDescent="0.25">
      <c r="A10" s="121" t="s">
        <v>2709</v>
      </c>
      <c r="B10" s="121" t="s">
        <v>2708</v>
      </c>
      <c r="C10" s="121" t="s">
        <v>2707</v>
      </c>
    </row>
    <row r="11" spans="1:3" x14ac:dyDescent="0.25">
      <c r="A11" s="121" t="s">
        <v>2706</v>
      </c>
      <c r="B11" s="121" t="s">
        <v>2705</v>
      </c>
      <c r="C11" s="121" t="s">
        <v>2704</v>
      </c>
    </row>
    <row r="12" spans="1:3" x14ac:dyDescent="0.25">
      <c r="A12" s="121" t="s">
        <v>2703</v>
      </c>
      <c r="B12" s="121" t="s">
        <v>2702</v>
      </c>
      <c r="C12" s="121" t="s">
        <v>2701</v>
      </c>
    </row>
    <row r="13" spans="1:3" x14ac:dyDescent="0.25">
      <c r="A13" s="121" t="s">
        <v>2700</v>
      </c>
      <c r="B13" s="121" t="s">
        <v>224</v>
      </c>
      <c r="C13" s="121" t="s">
        <v>131</v>
      </c>
    </row>
    <row r="14" spans="1:3" x14ac:dyDescent="0.25">
      <c r="A14" s="121" t="s">
        <v>2699</v>
      </c>
      <c r="B14" s="121" t="s">
        <v>2698</v>
      </c>
      <c r="C14" s="121" t="s">
        <v>2697</v>
      </c>
    </row>
    <row r="15" spans="1:3" x14ac:dyDescent="0.25">
      <c r="A15" s="121" t="s">
        <v>2696</v>
      </c>
      <c r="B15" s="121" t="s">
        <v>2695</v>
      </c>
      <c r="C15" s="121" t="s">
        <v>255</v>
      </c>
    </row>
    <row r="16" spans="1:3" x14ac:dyDescent="0.25">
      <c r="A16" s="121" t="s">
        <v>2694</v>
      </c>
      <c r="B16" s="121" t="s">
        <v>2693</v>
      </c>
      <c r="C16" s="121" t="s">
        <v>2693</v>
      </c>
    </row>
    <row r="17" spans="1:3" x14ac:dyDescent="0.25">
      <c r="A17" s="121" t="s">
        <v>2692</v>
      </c>
      <c r="B17" s="121" t="s">
        <v>169</v>
      </c>
      <c r="C17" s="121" t="s">
        <v>2691</v>
      </c>
    </row>
    <row r="18" spans="1:3" x14ac:dyDescent="0.25">
      <c r="A18" s="121" t="s">
        <v>2690</v>
      </c>
      <c r="B18" s="121" t="s">
        <v>305</v>
      </c>
      <c r="C18" s="121" t="s">
        <v>2689</v>
      </c>
    </row>
    <row r="19" spans="1:3" x14ac:dyDescent="0.25">
      <c r="A19" s="121" t="s">
        <v>2688</v>
      </c>
      <c r="B19" s="121" t="s">
        <v>2687</v>
      </c>
      <c r="C19" s="121" t="s">
        <v>2686</v>
      </c>
    </row>
    <row r="20" spans="1:3" x14ac:dyDescent="0.25">
      <c r="A20" s="121" t="s">
        <v>2685</v>
      </c>
      <c r="B20" s="121" t="s">
        <v>2684</v>
      </c>
      <c r="C20" s="121" t="s">
        <v>2683</v>
      </c>
    </row>
    <row r="21" spans="1:3" x14ac:dyDescent="0.25">
      <c r="A21" s="121" t="s">
        <v>2682</v>
      </c>
      <c r="B21" s="121" t="s">
        <v>2681</v>
      </c>
      <c r="C21" s="121" t="s">
        <v>92</v>
      </c>
    </row>
    <row r="22" spans="1:3" x14ac:dyDescent="0.25">
      <c r="A22" s="121" t="s">
        <v>2680</v>
      </c>
      <c r="B22" s="121" t="s">
        <v>2679</v>
      </c>
      <c r="C22" s="121" t="s">
        <v>2678</v>
      </c>
    </row>
    <row r="23" spans="1:3" x14ac:dyDescent="0.25">
      <c r="A23" s="121" t="s">
        <v>2677</v>
      </c>
      <c r="B23" s="121" t="s">
        <v>2676</v>
      </c>
      <c r="C23" s="121" t="s">
        <v>2675</v>
      </c>
    </row>
    <row r="24" spans="1:3" x14ac:dyDescent="0.25">
      <c r="A24" s="121" t="s">
        <v>2674</v>
      </c>
      <c r="B24" s="121" t="s">
        <v>2673</v>
      </c>
      <c r="C24" s="121" t="s">
        <v>2672</v>
      </c>
    </row>
    <row r="25" spans="1:3" x14ac:dyDescent="0.25">
      <c r="A25" s="121" t="s">
        <v>2671</v>
      </c>
      <c r="B25" s="121" t="s">
        <v>214</v>
      </c>
      <c r="C25" s="121" t="s">
        <v>270</v>
      </c>
    </row>
    <row r="26" spans="1:3" x14ac:dyDescent="0.25">
      <c r="A26" s="121" t="s">
        <v>2670</v>
      </c>
      <c r="B26" s="121" t="s">
        <v>2669</v>
      </c>
      <c r="C26" s="121" t="s">
        <v>2668</v>
      </c>
    </row>
    <row r="27" spans="1:3" x14ac:dyDescent="0.25">
      <c r="A27" s="121" t="s">
        <v>2667</v>
      </c>
      <c r="B27" s="121" t="s">
        <v>2666</v>
      </c>
      <c r="C27" s="121" t="s">
        <v>2665</v>
      </c>
    </row>
    <row r="28" spans="1:3" x14ac:dyDescent="0.25">
      <c r="A28" s="121" t="s">
        <v>2664</v>
      </c>
      <c r="B28" s="121" t="s">
        <v>2663</v>
      </c>
      <c r="C28" s="121" t="s">
        <v>2662</v>
      </c>
    </row>
    <row r="29" spans="1:3" x14ac:dyDescent="0.25">
      <c r="A29" s="121" t="s">
        <v>2661</v>
      </c>
      <c r="B29" s="121" t="s">
        <v>185</v>
      </c>
      <c r="C29" s="121" t="s">
        <v>2660</v>
      </c>
    </row>
    <row r="30" spans="1:3" x14ac:dyDescent="0.25">
      <c r="A30" s="121" t="s">
        <v>2659</v>
      </c>
      <c r="B30" s="121" t="s">
        <v>2658</v>
      </c>
      <c r="C30" s="121" t="s">
        <v>2657</v>
      </c>
    </row>
    <row r="31" spans="1:3" x14ac:dyDescent="0.25">
      <c r="A31" s="121" t="s">
        <v>86</v>
      </c>
      <c r="B31" s="121" t="s">
        <v>350</v>
      </c>
      <c r="C31" s="121" t="s">
        <v>2656</v>
      </c>
    </row>
    <row r="32" spans="1:3" x14ac:dyDescent="0.25">
      <c r="A32" s="121" t="s">
        <v>2655</v>
      </c>
      <c r="B32" s="121" t="s">
        <v>2654</v>
      </c>
      <c r="C32" s="121" t="s">
        <v>277</v>
      </c>
    </row>
    <row r="33" spans="1:3" x14ac:dyDescent="0.25">
      <c r="A33" s="121" t="s">
        <v>2653</v>
      </c>
      <c r="B33" s="121" t="s">
        <v>2652</v>
      </c>
      <c r="C33" s="121" t="s">
        <v>2651</v>
      </c>
    </row>
    <row r="34" spans="1:3" x14ac:dyDescent="0.25">
      <c r="A34" s="121" t="s">
        <v>2650</v>
      </c>
      <c r="B34" s="121" t="s">
        <v>2649</v>
      </c>
      <c r="C34" s="121" t="s">
        <v>2648</v>
      </c>
    </row>
    <row r="35" spans="1:3" x14ac:dyDescent="0.25">
      <c r="A35" s="121" t="s">
        <v>2647</v>
      </c>
      <c r="B35" s="121" t="s">
        <v>2646</v>
      </c>
      <c r="C35" s="121" t="s">
        <v>2646</v>
      </c>
    </row>
    <row r="36" spans="1:3" x14ac:dyDescent="0.25">
      <c r="A36" s="121" t="s">
        <v>2645</v>
      </c>
      <c r="B36" s="121" t="s">
        <v>2644</v>
      </c>
      <c r="C36" s="121" t="s">
        <v>2643</v>
      </c>
    </row>
    <row r="37" spans="1:3" x14ac:dyDescent="0.25">
      <c r="A37" s="121" t="s">
        <v>2642</v>
      </c>
      <c r="B37" s="121" t="s">
        <v>2641</v>
      </c>
      <c r="C37" s="121" t="s">
        <v>2640</v>
      </c>
    </row>
    <row r="38" spans="1:3" x14ac:dyDescent="0.25">
      <c r="A38" s="121" t="s">
        <v>2639</v>
      </c>
      <c r="B38" s="121" t="s">
        <v>2638</v>
      </c>
      <c r="C38" s="121" t="s">
        <v>2637</v>
      </c>
    </row>
    <row r="39" spans="1:3" x14ac:dyDescent="0.25">
      <c r="A39" s="121" t="s">
        <v>2636</v>
      </c>
      <c r="B39" s="121" t="s">
        <v>2635</v>
      </c>
      <c r="C39" s="121" t="s">
        <v>2634</v>
      </c>
    </row>
    <row r="40" spans="1:3" x14ac:dyDescent="0.25">
      <c r="A40" s="121" t="s">
        <v>2633</v>
      </c>
      <c r="B40" s="121" t="s">
        <v>2632</v>
      </c>
      <c r="C40" s="121" t="s">
        <v>2631</v>
      </c>
    </row>
    <row r="41" spans="1:3" x14ac:dyDescent="0.25">
      <c r="A41" s="121" t="s">
        <v>2630</v>
      </c>
      <c r="B41" s="121" t="s">
        <v>2629</v>
      </c>
      <c r="C41" s="121" t="s">
        <v>2628</v>
      </c>
    </row>
    <row r="42" spans="1:3" x14ac:dyDescent="0.25">
      <c r="A42" s="121" t="s">
        <v>2627</v>
      </c>
      <c r="B42" s="121" t="s">
        <v>2626</v>
      </c>
      <c r="C42" s="121" t="s">
        <v>2625</v>
      </c>
    </row>
    <row r="43" spans="1:3" x14ac:dyDescent="0.25">
      <c r="A43" s="121" t="s">
        <v>2624</v>
      </c>
      <c r="B43" s="121" t="s">
        <v>2623</v>
      </c>
      <c r="C43" s="121" t="s">
        <v>2622</v>
      </c>
    </row>
    <row r="44" spans="1:3" x14ac:dyDescent="0.25">
      <c r="A44" s="121" t="s">
        <v>2621</v>
      </c>
      <c r="B44" s="121" t="s">
        <v>2620</v>
      </c>
      <c r="C44" s="121" t="s">
        <v>2619</v>
      </c>
    </row>
    <row r="45" spans="1:3" x14ac:dyDescent="0.25">
      <c r="A45" s="121" t="s">
        <v>2618</v>
      </c>
      <c r="B45" s="121" t="s">
        <v>208</v>
      </c>
      <c r="C45" s="121" t="s">
        <v>254</v>
      </c>
    </row>
    <row r="46" spans="1:3" x14ac:dyDescent="0.25">
      <c r="A46" s="121" t="s">
        <v>2617</v>
      </c>
      <c r="B46" s="121" t="s">
        <v>2616</v>
      </c>
      <c r="C46" s="121" t="s">
        <v>2616</v>
      </c>
    </row>
    <row r="47" spans="1:3" x14ac:dyDescent="0.25">
      <c r="A47" s="121" t="s">
        <v>2615</v>
      </c>
      <c r="B47" s="121" t="s">
        <v>2614</v>
      </c>
      <c r="C47" s="121" t="s">
        <v>2613</v>
      </c>
    </row>
    <row r="48" spans="1:3" x14ac:dyDescent="0.25">
      <c r="A48" s="121" t="s">
        <v>2612</v>
      </c>
      <c r="B48" s="121" t="s">
        <v>2611</v>
      </c>
      <c r="C48" s="121" t="s">
        <v>2610</v>
      </c>
    </row>
    <row r="49" spans="1:3" x14ac:dyDescent="0.25">
      <c r="A49" s="121" t="s">
        <v>2609</v>
      </c>
      <c r="B49" s="121" t="s">
        <v>2608</v>
      </c>
      <c r="C49" s="121" t="s">
        <v>2607</v>
      </c>
    </row>
    <row r="50" spans="1:3" x14ac:dyDescent="0.25">
      <c r="A50" s="121" t="s">
        <v>2606</v>
      </c>
      <c r="B50" s="121" t="s">
        <v>2605</v>
      </c>
      <c r="C50" s="121" t="s">
        <v>2604</v>
      </c>
    </row>
    <row r="51" spans="1:3" x14ac:dyDescent="0.25">
      <c r="A51" s="121" t="s">
        <v>2603</v>
      </c>
      <c r="B51" s="121" t="s">
        <v>2602</v>
      </c>
      <c r="C51" s="121" t="s">
        <v>245</v>
      </c>
    </row>
    <row r="52" spans="1:3" x14ac:dyDescent="0.25">
      <c r="A52" s="121" t="s">
        <v>2601</v>
      </c>
      <c r="B52" s="121" t="s">
        <v>2600</v>
      </c>
      <c r="C52" s="121" t="s">
        <v>2599</v>
      </c>
    </row>
    <row r="53" spans="1:3" x14ac:dyDescent="0.25">
      <c r="A53" s="121" t="s">
        <v>2598</v>
      </c>
      <c r="B53" s="121" t="s">
        <v>2597</v>
      </c>
      <c r="C53" s="121" t="s">
        <v>2596</v>
      </c>
    </row>
    <row r="54" spans="1:3" x14ac:dyDescent="0.25">
      <c r="A54" s="121" t="s">
        <v>2595</v>
      </c>
      <c r="B54" s="121" t="s">
        <v>338</v>
      </c>
      <c r="C54" s="121" t="s">
        <v>83</v>
      </c>
    </row>
    <row r="55" spans="1:3" x14ac:dyDescent="0.25">
      <c r="A55" s="121" t="s">
        <v>2594</v>
      </c>
      <c r="B55" s="121" t="s">
        <v>2593</v>
      </c>
      <c r="C55" s="121" t="s">
        <v>2593</v>
      </c>
    </row>
    <row r="56" spans="1:3" x14ac:dyDescent="0.25">
      <c r="A56" s="121" t="s">
        <v>2592</v>
      </c>
      <c r="B56" s="121" t="s">
        <v>2591</v>
      </c>
      <c r="C56" s="121" t="s">
        <v>2590</v>
      </c>
    </row>
    <row r="57" spans="1:3" x14ac:dyDescent="0.25">
      <c r="A57" s="121" t="s">
        <v>2589</v>
      </c>
      <c r="B57" s="121" t="s">
        <v>2588</v>
      </c>
      <c r="C57" s="121" t="s">
        <v>116</v>
      </c>
    </row>
    <row r="58" spans="1:3" x14ac:dyDescent="0.25">
      <c r="A58" s="121" t="s">
        <v>2587</v>
      </c>
      <c r="B58" s="121" t="s">
        <v>2586</v>
      </c>
      <c r="C58" s="121" t="s">
        <v>112</v>
      </c>
    </row>
    <row r="59" spans="1:3" x14ac:dyDescent="0.25">
      <c r="A59" s="121" t="s">
        <v>2585</v>
      </c>
      <c r="B59" s="121" t="s">
        <v>2584</v>
      </c>
      <c r="C59" s="121" t="s">
        <v>2583</v>
      </c>
    </row>
    <row r="60" spans="1:3" x14ac:dyDescent="0.25">
      <c r="A60" s="121" t="s">
        <v>2582</v>
      </c>
      <c r="B60" s="121" t="s">
        <v>2581</v>
      </c>
      <c r="C60" s="121" t="s">
        <v>2580</v>
      </c>
    </row>
    <row r="61" spans="1:3" x14ac:dyDescent="0.25">
      <c r="A61" s="121" t="s">
        <v>2579</v>
      </c>
      <c r="B61" s="121" t="s">
        <v>2578</v>
      </c>
      <c r="C61" s="121" t="s">
        <v>2577</v>
      </c>
    </row>
    <row r="62" spans="1:3" x14ac:dyDescent="0.25">
      <c r="A62" s="121" t="s">
        <v>2576</v>
      </c>
      <c r="B62" s="121" t="s">
        <v>2575</v>
      </c>
      <c r="C62" s="121" t="s">
        <v>2574</v>
      </c>
    </row>
    <row r="63" spans="1:3" x14ac:dyDescent="0.25">
      <c r="A63" s="121" t="s">
        <v>2573</v>
      </c>
      <c r="B63" s="121" t="s">
        <v>2572</v>
      </c>
      <c r="C63" s="121" t="s">
        <v>2571</v>
      </c>
    </row>
    <row r="64" spans="1:3" x14ac:dyDescent="0.25">
      <c r="A64" s="121" t="s">
        <v>2570</v>
      </c>
      <c r="B64" s="121" t="s">
        <v>2569</v>
      </c>
      <c r="C64" s="121" t="s">
        <v>50</v>
      </c>
    </row>
    <row r="65" spans="1:3" x14ac:dyDescent="0.25">
      <c r="A65" s="121" t="s">
        <v>2568</v>
      </c>
      <c r="B65" s="121" t="s">
        <v>2567</v>
      </c>
      <c r="C65" s="121" t="s">
        <v>2566</v>
      </c>
    </row>
    <row r="66" spans="1:3" x14ac:dyDescent="0.25">
      <c r="A66" s="121" t="s">
        <v>2565</v>
      </c>
      <c r="B66" s="121" t="s">
        <v>2564</v>
      </c>
      <c r="C66" s="121" t="s">
        <v>2563</v>
      </c>
    </row>
    <row r="67" spans="1:3" x14ac:dyDescent="0.25">
      <c r="A67" s="121" t="s">
        <v>2562</v>
      </c>
      <c r="B67" s="121" t="s">
        <v>2561</v>
      </c>
      <c r="C67" s="121" t="s">
        <v>2560</v>
      </c>
    </row>
    <row r="68" spans="1:3" x14ac:dyDescent="0.25">
      <c r="A68" s="121" t="s">
        <v>2559</v>
      </c>
      <c r="B68" s="121" t="s">
        <v>2558</v>
      </c>
      <c r="C68" s="121" t="s">
        <v>2557</v>
      </c>
    </row>
    <row r="69" spans="1:3" x14ac:dyDescent="0.25">
      <c r="A69" s="121" t="s">
        <v>2556</v>
      </c>
      <c r="B69" s="121" t="s">
        <v>2555</v>
      </c>
      <c r="C69" s="121" t="s">
        <v>2554</v>
      </c>
    </row>
    <row r="70" spans="1:3" x14ac:dyDescent="0.25">
      <c r="A70" s="121" t="s">
        <v>2553</v>
      </c>
      <c r="B70" s="121" t="s">
        <v>2552</v>
      </c>
      <c r="C70" s="121" t="s">
        <v>2551</v>
      </c>
    </row>
    <row r="71" spans="1:3" x14ac:dyDescent="0.25">
      <c r="A71" s="121" t="s">
        <v>2550</v>
      </c>
      <c r="B71" s="121" t="s">
        <v>2549</v>
      </c>
      <c r="C71" s="121" t="s">
        <v>2548</v>
      </c>
    </row>
    <row r="72" spans="1:3" x14ac:dyDescent="0.25">
      <c r="A72" s="121" t="s">
        <v>2547</v>
      </c>
      <c r="B72" s="121" t="s">
        <v>207</v>
      </c>
      <c r="C72" s="121" t="s">
        <v>268</v>
      </c>
    </row>
    <row r="73" spans="1:3" x14ac:dyDescent="0.25">
      <c r="A73" s="121" t="s">
        <v>2546</v>
      </c>
      <c r="B73" s="121" t="s">
        <v>2545</v>
      </c>
      <c r="C73" s="121" t="s">
        <v>64</v>
      </c>
    </row>
    <row r="74" spans="1:3" x14ac:dyDescent="0.25">
      <c r="A74" s="121" t="s">
        <v>2544</v>
      </c>
      <c r="B74" s="121" t="s">
        <v>2543</v>
      </c>
      <c r="C74" s="121" t="s">
        <v>2542</v>
      </c>
    </row>
    <row r="75" spans="1:3" x14ac:dyDescent="0.25">
      <c r="A75" s="121" t="s">
        <v>2541</v>
      </c>
      <c r="B75" s="121" t="s">
        <v>300</v>
      </c>
      <c r="C75" s="121" t="s">
        <v>2540</v>
      </c>
    </row>
    <row r="76" spans="1:3" x14ac:dyDescent="0.25">
      <c r="A76" s="121" t="s">
        <v>2539</v>
      </c>
      <c r="B76" s="121" t="s">
        <v>2538</v>
      </c>
      <c r="C76" s="121" t="s">
        <v>2537</v>
      </c>
    </row>
    <row r="77" spans="1:3" x14ac:dyDescent="0.25">
      <c r="A77" s="121" t="s">
        <v>2536</v>
      </c>
      <c r="B77" s="121" t="s">
        <v>2535</v>
      </c>
      <c r="C77" s="121" t="s">
        <v>2534</v>
      </c>
    </row>
    <row r="78" spans="1:3" x14ac:dyDescent="0.25">
      <c r="A78" s="121" t="s">
        <v>2533</v>
      </c>
      <c r="B78" s="121" t="s">
        <v>2532</v>
      </c>
      <c r="C78" s="121" t="s">
        <v>2532</v>
      </c>
    </row>
    <row r="79" spans="1:3" x14ac:dyDescent="0.25">
      <c r="A79" s="121" t="s">
        <v>2531</v>
      </c>
      <c r="B79" s="121" t="s">
        <v>209</v>
      </c>
      <c r="C79" s="121" t="s">
        <v>2530</v>
      </c>
    </row>
    <row r="80" spans="1:3" x14ac:dyDescent="0.25">
      <c r="A80" s="121" t="s">
        <v>2529</v>
      </c>
      <c r="B80" s="121" t="s">
        <v>2528</v>
      </c>
      <c r="C80" s="121" t="s">
        <v>2527</v>
      </c>
    </row>
    <row r="81" spans="1:3" x14ac:dyDescent="0.25">
      <c r="A81" s="121" t="s">
        <v>2526</v>
      </c>
      <c r="B81" s="121" t="s">
        <v>2525</v>
      </c>
      <c r="C81" s="121" t="s">
        <v>2524</v>
      </c>
    </row>
    <row r="82" spans="1:3" x14ac:dyDescent="0.25">
      <c r="A82" s="121" t="s">
        <v>2523</v>
      </c>
      <c r="B82" s="121" t="s">
        <v>192</v>
      </c>
      <c r="C82" s="121" t="s">
        <v>101</v>
      </c>
    </row>
    <row r="83" spans="1:3" x14ac:dyDescent="0.25">
      <c r="A83" s="121" t="s">
        <v>2522</v>
      </c>
      <c r="B83" s="121" t="s">
        <v>2521</v>
      </c>
      <c r="C83" s="121" t="s">
        <v>2520</v>
      </c>
    </row>
    <row r="84" spans="1:3" x14ac:dyDescent="0.25">
      <c r="A84" s="121" t="s">
        <v>2519</v>
      </c>
      <c r="B84" s="121" t="s">
        <v>2518</v>
      </c>
      <c r="C84" s="121" t="s">
        <v>2517</v>
      </c>
    </row>
    <row r="85" spans="1:3" x14ac:dyDescent="0.25">
      <c r="A85" s="121" t="s">
        <v>2516</v>
      </c>
      <c r="B85" s="121" t="s">
        <v>2515</v>
      </c>
      <c r="C85" s="121" t="s">
        <v>2514</v>
      </c>
    </row>
    <row r="86" spans="1:3" x14ac:dyDescent="0.25">
      <c r="A86" s="121" t="s">
        <v>2513</v>
      </c>
      <c r="B86" s="121" t="s">
        <v>197</v>
      </c>
      <c r="C86" s="121" t="s">
        <v>69</v>
      </c>
    </row>
    <row r="87" spans="1:3" x14ac:dyDescent="0.25">
      <c r="A87" s="121" t="s">
        <v>2512</v>
      </c>
      <c r="B87" s="121" t="s">
        <v>2511</v>
      </c>
      <c r="C87" s="121" t="s">
        <v>151</v>
      </c>
    </row>
    <row r="88" spans="1:3" x14ac:dyDescent="0.25">
      <c r="A88" s="121" t="s">
        <v>2510</v>
      </c>
      <c r="B88" s="121" t="s">
        <v>2509</v>
      </c>
      <c r="C88" s="121" t="s">
        <v>2508</v>
      </c>
    </row>
    <row r="89" spans="1:3" x14ac:dyDescent="0.25">
      <c r="A89" s="121" t="s">
        <v>2507</v>
      </c>
      <c r="B89" s="121" t="s">
        <v>341</v>
      </c>
      <c r="C89" s="121" t="s">
        <v>99</v>
      </c>
    </row>
    <row r="90" spans="1:3" x14ac:dyDescent="0.25">
      <c r="A90" s="121" t="s">
        <v>2506</v>
      </c>
      <c r="B90" s="121" t="s">
        <v>202</v>
      </c>
      <c r="C90" s="121" t="s">
        <v>2505</v>
      </c>
    </row>
    <row r="91" spans="1:3" x14ac:dyDescent="0.25">
      <c r="A91" s="121" t="s">
        <v>2504</v>
      </c>
      <c r="B91" s="121" t="s">
        <v>2503</v>
      </c>
      <c r="C91" s="121" t="s">
        <v>2502</v>
      </c>
    </row>
    <row r="92" spans="1:3" x14ac:dyDescent="0.25">
      <c r="A92" s="121" t="s">
        <v>2501</v>
      </c>
      <c r="B92" s="121" t="s">
        <v>2500</v>
      </c>
      <c r="C92" s="121" t="s">
        <v>2499</v>
      </c>
    </row>
    <row r="93" spans="1:3" x14ac:dyDescent="0.25">
      <c r="A93" s="121" t="s">
        <v>2498</v>
      </c>
      <c r="B93" s="121" t="s">
        <v>2497</v>
      </c>
      <c r="C93" s="121" t="s">
        <v>2496</v>
      </c>
    </row>
    <row r="94" spans="1:3" x14ac:dyDescent="0.25">
      <c r="A94" s="121" t="s">
        <v>2495</v>
      </c>
      <c r="B94" s="121" t="s">
        <v>2494</v>
      </c>
      <c r="C94" s="121" t="s">
        <v>2493</v>
      </c>
    </row>
    <row r="95" spans="1:3" x14ac:dyDescent="0.25">
      <c r="A95" s="121" t="s">
        <v>2492</v>
      </c>
      <c r="B95" s="121" t="s">
        <v>351</v>
      </c>
      <c r="C95" s="121" t="s">
        <v>96</v>
      </c>
    </row>
    <row r="96" spans="1:3" x14ac:dyDescent="0.25">
      <c r="A96" s="121" t="s">
        <v>2491</v>
      </c>
      <c r="B96" s="121" t="s">
        <v>2490</v>
      </c>
      <c r="C96" s="121" t="s">
        <v>2489</v>
      </c>
    </row>
    <row r="97" spans="1:3" x14ac:dyDescent="0.25">
      <c r="A97" s="121" t="s">
        <v>2488</v>
      </c>
      <c r="B97" s="121" t="s">
        <v>2487</v>
      </c>
      <c r="C97" s="121" t="s">
        <v>2486</v>
      </c>
    </row>
    <row r="98" spans="1:3" x14ac:dyDescent="0.25">
      <c r="A98" s="121" t="s">
        <v>2485</v>
      </c>
      <c r="B98" s="121" t="s">
        <v>2484</v>
      </c>
      <c r="C98" s="121" t="s">
        <v>2484</v>
      </c>
    </row>
    <row r="99" spans="1:3" x14ac:dyDescent="0.25">
      <c r="A99" s="121" t="s">
        <v>2483</v>
      </c>
      <c r="B99" s="121" t="s">
        <v>2482</v>
      </c>
      <c r="C99" s="121" t="s">
        <v>2481</v>
      </c>
    </row>
    <row r="100" spans="1:3" x14ac:dyDescent="0.25">
      <c r="A100" s="121" t="s">
        <v>2480</v>
      </c>
      <c r="B100" s="121" t="s">
        <v>179</v>
      </c>
      <c r="C100" s="121" t="s">
        <v>253</v>
      </c>
    </row>
    <row r="101" spans="1:3" x14ac:dyDescent="0.25">
      <c r="A101" s="121" t="s">
        <v>70</v>
      </c>
      <c r="B101" s="121" t="s">
        <v>2479</v>
      </c>
      <c r="C101" s="121" t="s">
        <v>315</v>
      </c>
    </row>
    <row r="102" spans="1:3" x14ac:dyDescent="0.25">
      <c r="A102" s="121" t="s">
        <v>2478</v>
      </c>
      <c r="B102" s="121" t="s">
        <v>2477</v>
      </c>
      <c r="C102" s="121" t="s">
        <v>2476</v>
      </c>
    </row>
    <row r="103" spans="1:3" x14ac:dyDescent="0.25">
      <c r="A103" s="121" t="s">
        <v>2475</v>
      </c>
      <c r="B103" s="121" t="s">
        <v>2474</v>
      </c>
      <c r="C103" s="121" t="s">
        <v>2473</v>
      </c>
    </row>
    <row r="104" spans="1:3" x14ac:dyDescent="0.25">
      <c r="A104" s="121" t="s">
        <v>2472</v>
      </c>
      <c r="B104" s="121" t="s">
        <v>2471</v>
      </c>
      <c r="C104" s="121" t="s">
        <v>239</v>
      </c>
    </row>
    <row r="105" spans="1:3" x14ac:dyDescent="0.25">
      <c r="A105" s="121" t="s">
        <v>2470</v>
      </c>
      <c r="B105" s="121" t="s">
        <v>2469</v>
      </c>
      <c r="C105" s="121" t="s">
        <v>2468</v>
      </c>
    </row>
    <row r="106" spans="1:3" x14ac:dyDescent="0.25">
      <c r="A106" s="121" t="s">
        <v>2467</v>
      </c>
      <c r="B106" s="121" t="s">
        <v>2466</v>
      </c>
      <c r="C106" s="121" t="s">
        <v>2465</v>
      </c>
    </row>
    <row r="107" spans="1:3" x14ac:dyDescent="0.25">
      <c r="A107" s="121" t="s">
        <v>2464</v>
      </c>
      <c r="B107" s="121" t="s">
        <v>333</v>
      </c>
      <c r="C107" s="121" t="s">
        <v>2463</v>
      </c>
    </row>
    <row r="108" spans="1:3" x14ac:dyDescent="0.25">
      <c r="A108" s="121" t="s">
        <v>2462</v>
      </c>
      <c r="B108" s="121" t="s">
        <v>2461</v>
      </c>
      <c r="C108" s="121" t="s">
        <v>2460</v>
      </c>
    </row>
    <row r="109" spans="1:3" x14ac:dyDescent="0.25">
      <c r="A109" s="121" t="s">
        <v>2459</v>
      </c>
      <c r="B109" s="121" t="s">
        <v>2458</v>
      </c>
      <c r="C109" s="121" t="s">
        <v>2457</v>
      </c>
    </row>
    <row r="110" spans="1:3" x14ac:dyDescent="0.25">
      <c r="A110" s="121" t="s">
        <v>2456</v>
      </c>
      <c r="B110" s="121" t="s">
        <v>2455</v>
      </c>
      <c r="C110" s="121" t="s">
        <v>2454</v>
      </c>
    </row>
    <row r="111" spans="1:3" x14ac:dyDescent="0.25">
      <c r="A111" s="121" t="s">
        <v>2453</v>
      </c>
      <c r="B111" s="121" t="s">
        <v>2452</v>
      </c>
      <c r="C111" s="121" t="s">
        <v>249</v>
      </c>
    </row>
    <row r="112" spans="1:3" x14ac:dyDescent="0.25">
      <c r="A112" s="121" t="s">
        <v>2451</v>
      </c>
      <c r="B112" s="121" t="s">
        <v>2450</v>
      </c>
      <c r="C112" s="121" t="s">
        <v>2449</v>
      </c>
    </row>
    <row r="113" spans="1:3" x14ac:dyDescent="0.25">
      <c r="A113" s="121" t="s">
        <v>132</v>
      </c>
      <c r="B113" s="121" t="s">
        <v>2448</v>
      </c>
      <c r="C113" s="121" t="s">
        <v>2447</v>
      </c>
    </row>
    <row r="114" spans="1:3" x14ac:dyDescent="0.25">
      <c r="A114" s="121" t="s">
        <v>2446</v>
      </c>
      <c r="B114" s="121" t="s">
        <v>2445</v>
      </c>
      <c r="C114" s="121" t="s">
        <v>2444</v>
      </c>
    </row>
    <row r="115" spans="1:3" x14ac:dyDescent="0.25">
      <c r="A115" s="121" t="s">
        <v>2443</v>
      </c>
      <c r="B115" s="121" t="s">
        <v>2442</v>
      </c>
      <c r="C115" s="121" t="s">
        <v>2441</v>
      </c>
    </row>
    <row r="116" spans="1:3" x14ac:dyDescent="0.25">
      <c r="A116" s="121" t="s">
        <v>2440</v>
      </c>
      <c r="B116" s="121" t="s">
        <v>2439</v>
      </c>
      <c r="C116" s="121" t="s">
        <v>2438</v>
      </c>
    </row>
    <row r="117" spans="1:3" x14ac:dyDescent="0.25">
      <c r="A117" s="121" t="s">
        <v>2437</v>
      </c>
      <c r="B117" s="121" t="s">
        <v>2436</v>
      </c>
      <c r="C117" s="121" t="s">
        <v>2435</v>
      </c>
    </row>
    <row r="118" spans="1:3" x14ac:dyDescent="0.25">
      <c r="A118" s="121" t="s">
        <v>2434</v>
      </c>
      <c r="B118" s="121" t="s">
        <v>2433</v>
      </c>
      <c r="C118" s="121" t="s">
        <v>2432</v>
      </c>
    </row>
    <row r="119" spans="1:3" x14ac:dyDescent="0.25">
      <c r="A119" s="121" t="s">
        <v>2431</v>
      </c>
      <c r="B119" s="121" t="s">
        <v>2430</v>
      </c>
      <c r="C119" s="121" t="s">
        <v>2429</v>
      </c>
    </row>
    <row r="120" spans="1:3" x14ac:dyDescent="0.25">
      <c r="A120" s="121" t="s">
        <v>2428</v>
      </c>
      <c r="B120" s="121" t="s">
        <v>2427</v>
      </c>
      <c r="C120" s="121" t="s">
        <v>2426</v>
      </c>
    </row>
    <row r="121" spans="1:3" x14ac:dyDescent="0.25">
      <c r="A121" s="121" t="s">
        <v>2425</v>
      </c>
      <c r="B121" s="121" t="s">
        <v>308</v>
      </c>
      <c r="C121" s="121" t="s">
        <v>2424</v>
      </c>
    </row>
    <row r="122" spans="1:3" x14ac:dyDescent="0.25">
      <c r="A122" s="121" t="s">
        <v>2423</v>
      </c>
      <c r="B122" s="121" t="s">
        <v>2422</v>
      </c>
      <c r="C122" s="121" t="s">
        <v>2421</v>
      </c>
    </row>
    <row r="123" spans="1:3" x14ac:dyDescent="0.25">
      <c r="A123" s="121" t="s">
        <v>2420</v>
      </c>
      <c r="B123" s="121" t="s">
        <v>2419</v>
      </c>
      <c r="C123" s="121" t="s">
        <v>2418</v>
      </c>
    </row>
    <row r="124" spans="1:3" x14ac:dyDescent="0.25">
      <c r="A124" s="121" t="s">
        <v>2417</v>
      </c>
      <c r="B124" s="121" t="s">
        <v>2416</v>
      </c>
      <c r="C124" s="121" t="s">
        <v>2415</v>
      </c>
    </row>
    <row r="125" spans="1:3" x14ac:dyDescent="0.25">
      <c r="A125" s="121" t="s">
        <v>2414</v>
      </c>
      <c r="B125" s="121" t="s">
        <v>2413</v>
      </c>
      <c r="C125" s="121" t="s">
        <v>2412</v>
      </c>
    </row>
    <row r="126" spans="1:3" x14ac:dyDescent="0.25">
      <c r="A126" s="121" t="s">
        <v>2411</v>
      </c>
      <c r="B126" s="121" t="s">
        <v>2410</v>
      </c>
      <c r="C126" s="121" t="s">
        <v>2409</v>
      </c>
    </row>
    <row r="127" spans="1:3" x14ac:dyDescent="0.25">
      <c r="A127" s="121" t="s">
        <v>2408</v>
      </c>
      <c r="B127" s="121" t="s">
        <v>2407</v>
      </c>
      <c r="C127" s="121" t="s">
        <v>2406</v>
      </c>
    </row>
    <row r="128" spans="1:3" x14ac:dyDescent="0.25">
      <c r="A128" s="121" t="s">
        <v>2405</v>
      </c>
      <c r="B128" s="121" t="s">
        <v>2404</v>
      </c>
      <c r="C128" s="121" t="s">
        <v>2403</v>
      </c>
    </row>
    <row r="129" spans="1:3" x14ac:dyDescent="0.25">
      <c r="A129" s="121" t="s">
        <v>2402</v>
      </c>
      <c r="B129" s="121" t="s">
        <v>2401</v>
      </c>
      <c r="C129" s="121" t="s">
        <v>2400</v>
      </c>
    </row>
    <row r="130" spans="1:3" x14ac:dyDescent="0.25">
      <c r="A130" s="121" t="s">
        <v>2399</v>
      </c>
      <c r="B130" s="121" t="s">
        <v>336</v>
      </c>
      <c r="C130" s="121" t="s">
        <v>82</v>
      </c>
    </row>
    <row r="131" spans="1:3" x14ac:dyDescent="0.25">
      <c r="A131" s="121" t="s">
        <v>2398</v>
      </c>
      <c r="B131" s="121" t="s">
        <v>327</v>
      </c>
      <c r="C131" s="121" t="s">
        <v>66</v>
      </c>
    </row>
    <row r="132" spans="1:3" x14ac:dyDescent="0.25">
      <c r="A132" s="121" t="s">
        <v>2397</v>
      </c>
      <c r="B132" s="121" t="s">
        <v>2396</v>
      </c>
      <c r="C132" s="121" t="s">
        <v>2395</v>
      </c>
    </row>
    <row r="133" spans="1:3" x14ac:dyDescent="0.25">
      <c r="A133" s="121" t="s">
        <v>84</v>
      </c>
      <c r="B133" s="121" t="s">
        <v>2394</v>
      </c>
      <c r="C133" s="121" t="s">
        <v>85</v>
      </c>
    </row>
    <row r="134" spans="1:3" x14ac:dyDescent="0.25">
      <c r="A134" s="121" t="s">
        <v>2393</v>
      </c>
      <c r="B134" s="121" t="s">
        <v>2392</v>
      </c>
      <c r="C134" s="121" t="s">
        <v>2391</v>
      </c>
    </row>
    <row r="135" spans="1:3" x14ac:dyDescent="0.25">
      <c r="A135" s="121" t="s">
        <v>2390</v>
      </c>
      <c r="B135" s="121" t="s">
        <v>2389</v>
      </c>
      <c r="C135" s="121" t="s">
        <v>2388</v>
      </c>
    </row>
    <row r="136" spans="1:3" x14ac:dyDescent="0.25">
      <c r="A136" s="121" t="s">
        <v>2387</v>
      </c>
      <c r="B136" s="121" t="s">
        <v>2386</v>
      </c>
      <c r="C136" s="121" t="s">
        <v>2385</v>
      </c>
    </row>
    <row r="137" spans="1:3" x14ac:dyDescent="0.25">
      <c r="A137" s="121" t="s">
        <v>2384</v>
      </c>
      <c r="B137" s="121" t="s">
        <v>2383</v>
      </c>
      <c r="C137" s="121" t="s">
        <v>238</v>
      </c>
    </row>
    <row r="138" spans="1:3" x14ac:dyDescent="0.25">
      <c r="A138" s="121" t="s">
        <v>2382</v>
      </c>
      <c r="B138" s="121" t="s">
        <v>2381</v>
      </c>
      <c r="C138" s="121" t="s">
        <v>2381</v>
      </c>
    </row>
    <row r="139" spans="1:3" x14ac:dyDescent="0.25">
      <c r="A139" s="121" t="s">
        <v>2380</v>
      </c>
      <c r="B139" s="121" t="s">
        <v>2379</v>
      </c>
      <c r="C139" s="121" t="s">
        <v>123</v>
      </c>
    </row>
    <row r="140" spans="1:3" x14ac:dyDescent="0.25">
      <c r="A140" s="121" t="s">
        <v>2378</v>
      </c>
      <c r="B140" s="121" t="s">
        <v>2377</v>
      </c>
      <c r="C140" s="121" t="s">
        <v>2376</v>
      </c>
    </row>
    <row r="141" spans="1:3" x14ac:dyDescent="0.25">
      <c r="A141" s="121" t="s">
        <v>2375</v>
      </c>
      <c r="B141" s="121" t="s">
        <v>2374</v>
      </c>
      <c r="C141" s="121" t="s">
        <v>2373</v>
      </c>
    </row>
    <row r="142" spans="1:3" x14ac:dyDescent="0.25">
      <c r="A142" s="121" t="s">
        <v>2372</v>
      </c>
      <c r="B142" s="121" t="s">
        <v>2371</v>
      </c>
      <c r="C142" s="121" t="s">
        <v>2370</v>
      </c>
    </row>
    <row r="143" spans="1:3" x14ac:dyDescent="0.25">
      <c r="A143" s="121" t="s">
        <v>2369</v>
      </c>
      <c r="B143" s="121" t="s">
        <v>319</v>
      </c>
      <c r="C143" s="121" t="s">
        <v>12</v>
      </c>
    </row>
    <row r="144" spans="1:3" x14ac:dyDescent="0.25">
      <c r="A144" s="121" t="s">
        <v>2368</v>
      </c>
      <c r="B144" s="121" t="s">
        <v>2367</v>
      </c>
      <c r="C144" s="121" t="s">
        <v>2366</v>
      </c>
    </row>
    <row r="145" spans="1:3" x14ac:dyDescent="0.25">
      <c r="A145" s="121" t="s">
        <v>2365</v>
      </c>
      <c r="B145" s="121" t="s">
        <v>2364</v>
      </c>
      <c r="C145" s="121" t="s">
        <v>2363</v>
      </c>
    </row>
    <row r="146" spans="1:3" x14ac:dyDescent="0.25">
      <c r="A146" s="121" t="s">
        <v>2362</v>
      </c>
      <c r="B146" s="121" t="s">
        <v>2361</v>
      </c>
      <c r="C146" s="121" t="s">
        <v>2360</v>
      </c>
    </row>
    <row r="147" spans="1:3" x14ac:dyDescent="0.25">
      <c r="A147" s="121" t="s">
        <v>2359</v>
      </c>
      <c r="B147" s="121" t="s">
        <v>2358</v>
      </c>
      <c r="C147" s="121" t="s">
        <v>2357</v>
      </c>
    </row>
    <row r="148" spans="1:3" x14ac:dyDescent="0.25">
      <c r="A148" s="121" t="s">
        <v>2356</v>
      </c>
      <c r="B148" s="121" t="s">
        <v>2355</v>
      </c>
      <c r="C148" s="121" t="s">
        <v>2354</v>
      </c>
    </row>
    <row r="149" spans="1:3" x14ac:dyDescent="0.25">
      <c r="A149" s="121" t="s">
        <v>2353</v>
      </c>
      <c r="B149" s="121" t="s">
        <v>2352</v>
      </c>
      <c r="C149" s="121" t="s">
        <v>2351</v>
      </c>
    </row>
    <row r="150" spans="1:3" x14ac:dyDescent="0.25">
      <c r="A150" s="121" t="s">
        <v>2350</v>
      </c>
      <c r="B150" s="121" t="s">
        <v>2349</v>
      </c>
      <c r="C150" s="121" t="s">
        <v>2348</v>
      </c>
    </row>
    <row r="151" spans="1:3" x14ac:dyDescent="0.25">
      <c r="A151" s="121" t="s">
        <v>2347</v>
      </c>
      <c r="B151" s="121" t="s">
        <v>166</v>
      </c>
      <c r="C151" s="121" t="s">
        <v>2346</v>
      </c>
    </row>
    <row r="152" spans="1:3" x14ac:dyDescent="0.25">
      <c r="A152" s="121" t="s">
        <v>391</v>
      </c>
      <c r="B152" s="121" t="s">
        <v>2345</v>
      </c>
      <c r="C152" s="121" t="s">
        <v>2344</v>
      </c>
    </row>
    <row r="153" spans="1:3" x14ac:dyDescent="0.25">
      <c r="A153" s="121" t="s">
        <v>2343</v>
      </c>
      <c r="B153" s="121" t="s">
        <v>2342</v>
      </c>
      <c r="C153" s="121" t="s">
        <v>2341</v>
      </c>
    </row>
    <row r="154" spans="1:3" x14ac:dyDescent="0.25">
      <c r="A154" s="121" t="s">
        <v>2340</v>
      </c>
      <c r="B154" s="121" t="s">
        <v>2339</v>
      </c>
      <c r="C154" s="121" t="s">
        <v>2338</v>
      </c>
    </row>
    <row r="155" spans="1:3" x14ac:dyDescent="0.25">
      <c r="A155" s="121" t="s">
        <v>2337</v>
      </c>
      <c r="B155" s="121" t="s">
        <v>2336</v>
      </c>
      <c r="C155" s="121" t="s">
        <v>2336</v>
      </c>
    </row>
    <row r="156" spans="1:3" x14ac:dyDescent="0.25">
      <c r="A156" s="121" t="s">
        <v>2335</v>
      </c>
      <c r="B156" s="121" t="s">
        <v>2334</v>
      </c>
      <c r="C156" s="121" t="s">
        <v>2333</v>
      </c>
    </row>
    <row r="157" spans="1:3" x14ac:dyDescent="0.25">
      <c r="A157" s="121" t="s">
        <v>2332</v>
      </c>
      <c r="B157" s="121" t="s">
        <v>2331</v>
      </c>
      <c r="C157" s="121" t="s">
        <v>260</v>
      </c>
    </row>
    <row r="158" spans="1:3" x14ac:dyDescent="0.25">
      <c r="A158" s="121" t="s">
        <v>2330</v>
      </c>
      <c r="B158" s="121" t="s">
        <v>2329</v>
      </c>
      <c r="C158" s="121" t="s">
        <v>2328</v>
      </c>
    </row>
    <row r="159" spans="1:3" x14ac:dyDescent="0.25">
      <c r="A159" s="121" t="s">
        <v>2327</v>
      </c>
      <c r="B159" s="121" t="s">
        <v>2326</v>
      </c>
      <c r="C159" s="121" t="s">
        <v>2325</v>
      </c>
    </row>
    <row r="160" spans="1:3" x14ac:dyDescent="0.25">
      <c r="A160" s="121" t="s">
        <v>400</v>
      </c>
      <c r="B160" s="121" t="s">
        <v>2324</v>
      </c>
      <c r="C160" s="121" t="s">
        <v>2323</v>
      </c>
    </row>
    <row r="161" spans="1:3" x14ac:dyDescent="0.25">
      <c r="A161" s="121" t="s">
        <v>2322</v>
      </c>
      <c r="B161" s="121" t="s">
        <v>2321</v>
      </c>
      <c r="C161" s="121" t="s">
        <v>2320</v>
      </c>
    </row>
    <row r="162" spans="1:3" x14ac:dyDescent="0.25">
      <c r="A162" s="121" t="s">
        <v>2319</v>
      </c>
      <c r="B162" s="121" t="s">
        <v>2318</v>
      </c>
      <c r="C162" s="121" t="s">
        <v>2317</v>
      </c>
    </row>
    <row r="163" spans="1:3" x14ac:dyDescent="0.25">
      <c r="A163" s="121" t="s">
        <v>2316</v>
      </c>
      <c r="B163" s="121" t="s">
        <v>211</v>
      </c>
      <c r="C163" s="121" t="s">
        <v>102</v>
      </c>
    </row>
    <row r="164" spans="1:3" x14ac:dyDescent="0.25">
      <c r="A164" s="121" t="s">
        <v>2315</v>
      </c>
      <c r="B164" s="121" t="s">
        <v>323</v>
      </c>
      <c r="C164" s="121" t="s">
        <v>90</v>
      </c>
    </row>
    <row r="165" spans="1:3" x14ac:dyDescent="0.25">
      <c r="A165" s="121" t="s">
        <v>2314</v>
      </c>
      <c r="B165" s="121" t="s">
        <v>2313</v>
      </c>
      <c r="C165" s="121" t="s">
        <v>2312</v>
      </c>
    </row>
    <row r="166" spans="1:3" x14ac:dyDescent="0.25">
      <c r="A166" s="121" t="s">
        <v>2311</v>
      </c>
      <c r="B166" s="121" t="s">
        <v>2310</v>
      </c>
      <c r="C166" s="121" t="s">
        <v>2309</v>
      </c>
    </row>
    <row r="167" spans="1:3" x14ac:dyDescent="0.25">
      <c r="A167" s="121" t="s">
        <v>2308</v>
      </c>
      <c r="B167" s="121" t="s">
        <v>2307</v>
      </c>
      <c r="C167" s="121" t="s">
        <v>2306</v>
      </c>
    </row>
    <row r="168" spans="1:3" x14ac:dyDescent="0.25">
      <c r="A168" s="121" t="s">
        <v>2305</v>
      </c>
      <c r="B168" s="121" t="s">
        <v>2304</v>
      </c>
      <c r="C168" s="121" t="s">
        <v>2303</v>
      </c>
    </row>
    <row r="169" spans="1:3" x14ac:dyDescent="0.25">
      <c r="A169" s="121" t="s">
        <v>2302</v>
      </c>
      <c r="B169" s="121" t="s">
        <v>2301</v>
      </c>
      <c r="C169" s="121" t="s">
        <v>2300</v>
      </c>
    </row>
    <row r="170" spans="1:3" x14ac:dyDescent="0.25">
      <c r="A170" s="121" t="s">
        <v>2299</v>
      </c>
      <c r="B170" s="121" t="s">
        <v>2298</v>
      </c>
      <c r="C170" s="121" t="s">
        <v>2297</v>
      </c>
    </row>
    <row r="171" spans="1:3" x14ac:dyDescent="0.25">
      <c r="A171" s="121" t="s">
        <v>2296</v>
      </c>
      <c r="B171" s="121" t="s">
        <v>2295</v>
      </c>
      <c r="C171" s="121" t="s">
        <v>2294</v>
      </c>
    </row>
    <row r="172" spans="1:3" x14ac:dyDescent="0.25">
      <c r="A172" s="121" t="s">
        <v>2293</v>
      </c>
      <c r="B172" s="121" t="s">
        <v>2292</v>
      </c>
      <c r="C172" s="121" t="s">
        <v>2291</v>
      </c>
    </row>
    <row r="173" spans="1:3" x14ac:dyDescent="0.25">
      <c r="A173" s="121" t="s">
        <v>2290</v>
      </c>
      <c r="B173" s="121" t="s">
        <v>2289</v>
      </c>
      <c r="C173" s="121" t="s">
        <v>2288</v>
      </c>
    </row>
    <row r="174" spans="1:3" x14ac:dyDescent="0.25">
      <c r="A174" s="121" t="s">
        <v>2287</v>
      </c>
      <c r="B174" s="121" t="s">
        <v>178</v>
      </c>
      <c r="C174" s="121" t="s">
        <v>2286</v>
      </c>
    </row>
    <row r="175" spans="1:3" x14ac:dyDescent="0.25">
      <c r="A175" s="121" t="s">
        <v>2285</v>
      </c>
      <c r="B175" s="121" t="s">
        <v>174</v>
      </c>
      <c r="C175" s="121" t="s">
        <v>2284</v>
      </c>
    </row>
    <row r="176" spans="1:3" x14ac:dyDescent="0.25">
      <c r="A176" s="121" t="s">
        <v>2283</v>
      </c>
      <c r="B176" s="121" t="s">
        <v>2282</v>
      </c>
      <c r="C176" s="121" t="s">
        <v>2281</v>
      </c>
    </row>
    <row r="177" spans="1:3" x14ac:dyDescent="0.25">
      <c r="A177" s="121" t="s">
        <v>2280</v>
      </c>
      <c r="B177" s="121" t="s">
        <v>2279</v>
      </c>
      <c r="C177" s="121" t="s">
        <v>2278</v>
      </c>
    </row>
    <row r="178" spans="1:3" x14ac:dyDescent="0.25">
      <c r="A178" s="121" t="s">
        <v>2277</v>
      </c>
      <c r="B178" s="121" t="s">
        <v>2276</v>
      </c>
      <c r="C178" s="121" t="s">
        <v>2275</v>
      </c>
    </row>
    <row r="179" spans="1:3" x14ac:dyDescent="0.25">
      <c r="A179" s="121" t="s">
        <v>2274</v>
      </c>
      <c r="B179" s="121" t="s">
        <v>2273</v>
      </c>
      <c r="C179" s="121" t="s">
        <v>354</v>
      </c>
    </row>
    <row r="180" spans="1:3" x14ac:dyDescent="0.25">
      <c r="A180" s="121" t="s">
        <v>2272</v>
      </c>
      <c r="B180" s="121" t="s">
        <v>2271</v>
      </c>
      <c r="C180" s="121" t="s">
        <v>2270</v>
      </c>
    </row>
    <row r="181" spans="1:3" x14ac:dyDescent="0.25">
      <c r="A181" s="121" t="s">
        <v>2269</v>
      </c>
      <c r="B181" s="121" t="s">
        <v>2268</v>
      </c>
      <c r="C181" s="121" t="s">
        <v>2267</v>
      </c>
    </row>
    <row r="182" spans="1:3" x14ac:dyDescent="0.25">
      <c r="A182" s="121" t="s">
        <v>2266</v>
      </c>
      <c r="B182" s="121" t="s">
        <v>2265</v>
      </c>
      <c r="C182" s="121" t="s">
        <v>2264</v>
      </c>
    </row>
    <row r="183" spans="1:3" x14ac:dyDescent="0.25">
      <c r="A183" s="121" t="s">
        <v>2263</v>
      </c>
      <c r="B183" s="121" t="s">
        <v>2262</v>
      </c>
      <c r="C183" s="121" t="s">
        <v>2261</v>
      </c>
    </row>
    <row r="184" spans="1:3" x14ac:dyDescent="0.25">
      <c r="A184" s="121" t="s">
        <v>2260</v>
      </c>
      <c r="B184" s="121" t="s">
        <v>2259</v>
      </c>
      <c r="C184" s="121" t="s">
        <v>10</v>
      </c>
    </row>
    <row r="185" spans="1:3" x14ac:dyDescent="0.25">
      <c r="A185" s="121" t="s">
        <v>2258</v>
      </c>
      <c r="B185" s="121" t="s">
        <v>2257</v>
      </c>
      <c r="C185" s="121" t="s">
        <v>2256</v>
      </c>
    </row>
    <row r="186" spans="1:3" x14ac:dyDescent="0.25">
      <c r="A186" s="121" t="s">
        <v>2255</v>
      </c>
      <c r="B186" s="121" t="s">
        <v>2254</v>
      </c>
      <c r="C186" s="121" t="s">
        <v>2253</v>
      </c>
    </row>
    <row r="187" spans="1:3" x14ac:dyDescent="0.25">
      <c r="A187" s="121" t="s">
        <v>2252</v>
      </c>
      <c r="B187" s="121" t="s">
        <v>2251</v>
      </c>
      <c r="C187" s="121" t="s">
        <v>2250</v>
      </c>
    </row>
    <row r="188" spans="1:3" x14ac:dyDescent="0.25">
      <c r="A188" s="121" t="s">
        <v>2249</v>
      </c>
      <c r="B188" s="121" t="s">
        <v>2248</v>
      </c>
      <c r="C188" s="121" t="s">
        <v>2247</v>
      </c>
    </row>
    <row r="189" spans="1:3" x14ac:dyDescent="0.25">
      <c r="A189" s="121" t="s">
        <v>2246</v>
      </c>
      <c r="B189" s="121" t="s">
        <v>2245</v>
      </c>
      <c r="C189" s="121" t="s">
        <v>114</v>
      </c>
    </row>
    <row r="190" spans="1:3" x14ac:dyDescent="0.25">
      <c r="A190" s="121" t="s">
        <v>2244</v>
      </c>
      <c r="B190" s="121" t="s">
        <v>2243</v>
      </c>
      <c r="C190" s="121" t="s">
        <v>2242</v>
      </c>
    </row>
    <row r="191" spans="1:3" x14ac:dyDescent="0.25">
      <c r="A191" s="121" t="s">
        <v>2241</v>
      </c>
      <c r="B191" s="121" t="s">
        <v>2240</v>
      </c>
      <c r="C191" s="121" t="s">
        <v>2239</v>
      </c>
    </row>
    <row r="192" spans="1:3" x14ac:dyDescent="0.25">
      <c r="A192" s="121" t="s">
        <v>2238</v>
      </c>
      <c r="B192" s="121" t="s">
        <v>2237</v>
      </c>
      <c r="C192" s="121" t="s">
        <v>2236</v>
      </c>
    </row>
    <row r="193" spans="1:3" x14ac:dyDescent="0.25">
      <c r="A193" s="121" t="s">
        <v>2235</v>
      </c>
      <c r="B193" s="121" t="s">
        <v>322</v>
      </c>
      <c r="C193" s="121" t="s">
        <v>2234</v>
      </c>
    </row>
    <row r="194" spans="1:3" x14ac:dyDescent="0.25">
      <c r="A194" s="121" t="s">
        <v>2233</v>
      </c>
      <c r="B194" s="121" t="s">
        <v>2232</v>
      </c>
      <c r="C194" s="121" t="s">
        <v>262</v>
      </c>
    </row>
    <row r="195" spans="1:3" x14ac:dyDescent="0.25">
      <c r="A195" s="121" t="s">
        <v>2231</v>
      </c>
      <c r="B195" s="121" t="s">
        <v>168</v>
      </c>
      <c r="C195" s="121" t="s">
        <v>154</v>
      </c>
    </row>
    <row r="196" spans="1:3" x14ac:dyDescent="0.25">
      <c r="A196" s="121" t="s">
        <v>2230</v>
      </c>
      <c r="B196" s="121" t="s">
        <v>2229</v>
      </c>
      <c r="C196" s="121" t="s">
        <v>2228</v>
      </c>
    </row>
    <row r="197" spans="1:3" x14ac:dyDescent="0.25">
      <c r="A197" s="121" t="s">
        <v>412</v>
      </c>
      <c r="B197" s="121" t="s">
        <v>2227</v>
      </c>
      <c r="C197" s="121" t="s">
        <v>2226</v>
      </c>
    </row>
    <row r="198" spans="1:3" x14ac:dyDescent="0.25">
      <c r="A198" s="121" t="s">
        <v>2225</v>
      </c>
      <c r="B198" s="121" t="s">
        <v>299</v>
      </c>
      <c r="C198" s="121" t="s">
        <v>2224</v>
      </c>
    </row>
    <row r="199" spans="1:3" x14ac:dyDescent="0.25">
      <c r="A199" s="121" t="s">
        <v>2223</v>
      </c>
      <c r="B199" s="121" t="s">
        <v>2222</v>
      </c>
      <c r="C199" s="121" t="s">
        <v>2221</v>
      </c>
    </row>
    <row r="200" spans="1:3" x14ac:dyDescent="0.25">
      <c r="A200" s="121" t="s">
        <v>2220</v>
      </c>
      <c r="B200" s="121" t="s">
        <v>2219</v>
      </c>
      <c r="C200" s="121" t="s">
        <v>2218</v>
      </c>
    </row>
    <row r="201" spans="1:3" x14ac:dyDescent="0.25">
      <c r="A201" s="121" t="s">
        <v>2217</v>
      </c>
      <c r="B201" s="121" t="s">
        <v>2216</v>
      </c>
      <c r="C201" s="121" t="s">
        <v>2215</v>
      </c>
    </row>
    <row r="202" spans="1:3" x14ac:dyDescent="0.25">
      <c r="A202" s="121" t="s">
        <v>2214</v>
      </c>
      <c r="B202" s="121" t="s">
        <v>2213</v>
      </c>
      <c r="C202" s="121" t="s">
        <v>265</v>
      </c>
    </row>
    <row r="203" spans="1:3" x14ac:dyDescent="0.25">
      <c r="A203" s="121" t="s">
        <v>2212</v>
      </c>
      <c r="B203" s="121" t="s">
        <v>2211</v>
      </c>
      <c r="C203" s="121" t="s">
        <v>2210</v>
      </c>
    </row>
    <row r="204" spans="1:3" x14ac:dyDescent="0.25">
      <c r="A204" s="121" t="s">
        <v>2209</v>
      </c>
      <c r="B204" s="121" t="s">
        <v>2208</v>
      </c>
      <c r="C204" s="121" t="s">
        <v>2207</v>
      </c>
    </row>
    <row r="205" spans="1:3" x14ac:dyDescent="0.25">
      <c r="A205" s="121" t="s">
        <v>2206</v>
      </c>
      <c r="B205" s="121" t="s">
        <v>2205</v>
      </c>
      <c r="C205" s="121" t="s">
        <v>2204</v>
      </c>
    </row>
    <row r="206" spans="1:3" x14ac:dyDescent="0.25">
      <c r="A206" s="121" t="s">
        <v>2203</v>
      </c>
      <c r="B206" s="121" t="s">
        <v>324</v>
      </c>
      <c r="C206" s="121" t="s">
        <v>252</v>
      </c>
    </row>
    <row r="207" spans="1:3" x14ac:dyDescent="0.25">
      <c r="A207" s="121" t="s">
        <v>2202</v>
      </c>
      <c r="B207" s="121" t="s">
        <v>2201</v>
      </c>
      <c r="C207" s="121" t="s">
        <v>2200</v>
      </c>
    </row>
    <row r="208" spans="1:3" x14ac:dyDescent="0.25">
      <c r="A208" s="121" t="s">
        <v>2199</v>
      </c>
      <c r="B208" s="121" t="s">
        <v>2198</v>
      </c>
      <c r="C208" s="121" t="s">
        <v>2197</v>
      </c>
    </row>
    <row r="209" spans="1:3" x14ac:dyDescent="0.25">
      <c r="A209" s="121" t="s">
        <v>2196</v>
      </c>
      <c r="B209" s="121" t="s">
        <v>231</v>
      </c>
      <c r="C209" s="121" t="s">
        <v>148</v>
      </c>
    </row>
    <row r="210" spans="1:3" x14ac:dyDescent="0.25">
      <c r="A210" s="121" t="s">
        <v>2195</v>
      </c>
      <c r="B210" s="121" t="s">
        <v>2194</v>
      </c>
      <c r="C210" s="121" t="s">
        <v>2193</v>
      </c>
    </row>
    <row r="211" spans="1:3" x14ac:dyDescent="0.25">
      <c r="A211" s="121" t="s">
        <v>2192</v>
      </c>
      <c r="B211" s="121" t="s">
        <v>2191</v>
      </c>
      <c r="C211" s="121" t="s">
        <v>2190</v>
      </c>
    </row>
    <row r="212" spans="1:3" x14ac:dyDescent="0.25">
      <c r="A212" s="121" t="s">
        <v>2189</v>
      </c>
      <c r="B212" s="121" t="s">
        <v>2188</v>
      </c>
      <c r="C212" s="121" t="s">
        <v>2187</v>
      </c>
    </row>
    <row r="213" spans="1:3" x14ac:dyDescent="0.25">
      <c r="A213" s="121" t="s">
        <v>2186</v>
      </c>
      <c r="B213" s="121" t="s">
        <v>2185</v>
      </c>
      <c r="C213" s="121" t="s">
        <v>2184</v>
      </c>
    </row>
    <row r="214" spans="1:3" x14ac:dyDescent="0.25">
      <c r="A214" s="121" t="s">
        <v>2183</v>
      </c>
      <c r="B214" s="121" t="s">
        <v>2182</v>
      </c>
      <c r="C214" s="121" t="s">
        <v>2181</v>
      </c>
    </row>
    <row r="215" spans="1:3" x14ac:dyDescent="0.25">
      <c r="A215" s="121" t="s">
        <v>2180</v>
      </c>
      <c r="B215" s="121" t="s">
        <v>2179</v>
      </c>
      <c r="C215" s="121" t="s">
        <v>2178</v>
      </c>
    </row>
    <row r="216" spans="1:3" x14ac:dyDescent="0.25">
      <c r="A216" s="121" t="s">
        <v>2177</v>
      </c>
      <c r="B216" s="121" t="s">
        <v>2176</v>
      </c>
      <c r="C216" s="121" t="s">
        <v>2175</v>
      </c>
    </row>
    <row r="217" spans="1:3" x14ac:dyDescent="0.25">
      <c r="A217" s="121" t="s">
        <v>2174</v>
      </c>
      <c r="B217" s="121" t="s">
        <v>2173</v>
      </c>
      <c r="C217" s="121" t="s">
        <v>2172</v>
      </c>
    </row>
    <row r="218" spans="1:3" x14ac:dyDescent="0.25">
      <c r="A218" s="121" t="s">
        <v>2171</v>
      </c>
      <c r="B218" s="121" t="s">
        <v>2170</v>
      </c>
      <c r="C218" s="121" t="s">
        <v>2169</v>
      </c>
    </row>
    <row r="219" spans="1:3" x14ac:dyDescent="0.25">
      <c r="A219" s="121" t="s">
        <v>2168</v>
      </c>
      <c r="B219" s="121" t="s">
        <v>2167</v>
      </c>
      <c r="C219" s="121" t="s">
        <v>2166</v>
      </c>
    </row>
    <row r="220" spans="1:3" x14ac:dyDescent="0.25">
      <c r="A220" s="121" t="s">
        <v>2165</v>
      </c>
      <c r="B220" s="121" t="s">
        <v>198</v>
      </c>
      <c r="C220" s="121" t="s">
        <v>108</v>
      </c>
    </row>
    <row r="221" spans="1:3" x14ac:dyDescent="0.25">
      <c r="A221" s="121" t="s">
        <v>2164</v>
      </c>
      <c r="B221" s="121" t="s">
        <v>2163</v>
      </c>
      <c r="C221" s="121" t="s">
        <v>2162</v>
      </c>
    </row>
    <row r="222" spans="1:3" x14ac:dyDescent="0.25">
      <c r="A222" s="121" t="s">
        <v>2161</v>
      </c>
      <c r="B222" s="121" t="s">
        <v>2160</v>
      </c>
      <c r="C222" s="121" t="s">
        <v>2159</v>
      </c>
    </row>
    <row r="223" spans="1:3" x14ac:dyDescent="0.25">
      <c r="A223" s="121" t="s">
        <v>2158</v>
      </c>
      <c r="B223" s="121" t="s">
        <v>2157</v>
      </c>
      <c r="C223" s="121" t="s">
        <v>2156</v>
      </c>
    </row>
    <row r="224" spans="1:3" x14ac:dyDescent="0.25">
      <c r="A224" s="121" t="s">
        <v>2155</v>
      </c>
      <c r="B224" s="121" t="s">
        <v>2154</v>
      </c>
      <c r="C224" s="121" t="s">
        <v>2153</v>
      </c>
    </row>
    <row r="225" spans="1:3" x14ac:dyDescent="0.25">
      <c r="A225" s="121" t="s">
        <v>2152</v>
      </c>
      <c r="B225" s="121" t="s">
        <v>2151</v>
      </c>
      <c r="C225" s="121" t="s">
        <v>2150</v>
      </c>
    </row>
    <row r="226" spans="1:3" x14ac:dyDescent="0.25">
      <c r="A226" s="121" t="s">
        <v>2149</v>
      </c>
      <c r="B226" s="121" t="s">
        <v>2148</v>
      </c>
      <c r="C226" s="121" t="s">
        <v>2147</v>
      </c>
    </row>
    <row r="227" spans="1:3" x14ac:dyDescent="0.25">
      <c r="A227" s="121" t="s">
        <v>2146</v>
      </c>
      <c r="B227" s="121" t="s">
        <v>2145</v>
      </c>
      <c r="C227" s="121" t="s">
        <v>2144</v>
      </c>
    </row>
    <row r="228" spans="1:3" x14ac:dyDescent="0.25">
      <c r="A228" s="121" t="s">
        <v>2143</v>
      </c>
      <c r="B228" s="121" t="s">
        <v>2142</v>
      </c>
      <c r="C228" s="121" t="s">
        <v>2141</v>
      </c>
    </row>
    <row r="229" spans="1:3" x14ac:dyDescent="0.25">
      <c r="A229" s="121" t="s">
        <v>2140</v>
      </c>
      <c r="B229" s="121" t="s">
        <v>2139</v>
      </c>
      <c r="C229" s="121" t="s">
        <v>2138</v>
      </c>
    </row>
    <row r="230" spans="1:3" x14ac:dyDescent="0.25">
      <c r="A230" s="121" t="s">
        <v>2137</v>
      </c>
      <c r="B230" s="121" t="s">
        <v>2136</v>
      </c>
      <c r="C230" s="121" t="s">
        <v>2135</v>
      </c>
    </row>
    <row r="231" spans="1:3" x14ac:dyDescent="0.25">
      <c r="A231" s="121" t="s">
        <v>2134</v>
      </c>
      <c r="B231" s="121" t="s">
        <v>2133</v>
      </c>
      <c r="C231" s="121" t="s">
        <v>2132</v>
      </c>
    </row>
    <row r="232" spans="1:3" x14ac:dyDescent="0.25">
      <c r="A232" s="121" t="s">
        <v>2131</v>
      </c>
      <c r="B232" s="121" t="s">
        <v>2130</v>
      </c>
      <c r="C232" s="121" t="s">
        <v>2129</v>
      </c>
    </row>
    <row r="233" spans="1:3" x14ac:dyDescent="0.25">
      <c r="A233" s="121" t="s">
        <v>2128</v>
      </c>
      <c r="B233" s="121" t="s">
        <v>348</v>
      </c>
      <c r="C233" s="121" t="s">
        <v>75</v>
      </c>
    </row>
    <row r="234" spans="1:3" x14ac:dyDescent="0.25">
      <c r="A234" s="121" t="s">
        <v>2127</v>
      </c>
      <c r="B234" s="121" t="s">
        <v>2126</v>
      </c>
      <c r="C234" s="121" t="s">
        <v>2125</v>
      </c>
    </row>
    <row r="235" spans="1:3" x14ac:dyDescent="0.25">
      <c r="A235" s="121" t="s">
        <v>2124</v>
      </c>
      <c r="B235" s="121" t="s">
        <v>2123</v>
      </c>
      <c r="C235" s="121" t="s">
        <v>2122</v>
      </c>
    </row>
    <row r="236" spans="1:3" x14ac:dyDescent="0.25">
      <c r="A236" s="121" t="s">
        <v>2121</v>
      </c>
      <c r="B236" s="121" t="s">
        <v>2120</v>
      </c>
      <c r="C236" s="121" t="s">
        <v>2119</v>
      </c>
    </row>
    <row r="237" spans="1:3" x14ac:dyDescent="0.25">
      <c r="A237" s="121" t="s">
        <v>2118</v>
      </c>
      <c r="B237" s="121" t="s">
        <v>2117</v>
      </c>
      <c r="C237" s="121" t="s">
        <v>2116</v>
      </c>
    </row>
    <row r="238" spans="1:3" x14ac:dyDescent="0.25">
      <c r="A238" s="121" t="s">
        <v>2115</v>
      </c>
      <c r="B238" s="121" t="s">
        <v>2114</v>
      </c>
      <c r="C238" s="121" t="s">
        <v>2113</v>
      </c>
    </row>
    <row r="239" spans="1:3" x14ac:dyDescent="0.25">
      <c r="A239" s="121" t="s">
        <v>2112</v>
      </c>
      <c r="B239" s="121" t="s">
        <v>2111</v>
      </c>
      <c r="C239" s="121" t="s">
        <v>2110</v>
      </c>
    </row>
    <row r="240" spans="1:3" x14ac:dyDescent="0.25">
      <c r="A240" s="121" t="s">
        <v>2109</v>
      </c>
      <c r="B240" s="121" t="s">
        <v>2108</v>
      </c>
      <c r="C240" s="121" t="s">
        <v>2107</v>
      </c>
    </row>
    <row r="241" spans="1:3" x14ac:dyDescent="0.25">
      <c r="A241" s="121" t="s">
        <v>2106</v>
      </c>
      <c r="B241" s="121" t="s">
        <v>2105</v>
      </c>
      <c r="C241" s="121" t="s">
        <v>2104</v>
      </c>
    </row>
    <row r="242" spans="1:3" x14ac:dyDescent="0.25">
      <c r="A242" s="121" t="s">
        <v>2103</v>
      </c>
      <c r="B242" s="121" t="s">
        <v>2102</v>
      </c>
      <c r="C242" s="121" t="s">
        <v>2101</v>
      </c>
    </row>
    <row r="243" spans="1:3" x14ac:dyDescent="0.25">
      <c r="A243" s="121" t="s">
        <v>2100</v>
      </c>
      <c r="B243" s="121" t="s">
        <v>2099</v>
      </c>
      <c r="C243" s="121" t="s">
        <v>2098</v>
      </c>
    </row>
    <row r="244" spans="1:3" x14ac:dyDescent="0.25">
      <c r="A244" s="121" t="s">
        <v>2097</v>
      </c>
      <c r="B244" s="121" t="s">
        <v>2096</v>
      </c>
      <c r="C244" s="121" t="s">
        <v>2095</v>
      </c>
    </row>
    <row r="245" spans="1:3" x14ac:dyDescent="0.25">
      <c r="A245" s="121" t="s">
        <v>2094</v>
      </c>
      <c r="B245" s="121" t="s">
        <v>2093</v>
      </c>
      <c r="C245" s="121" t="s">
        <v>2092</v>
      </c>
    </row>
    <row r="246" spans="1:3" x14ac:dyDescent="0.25">
      <c r="A246" s="121" t="s">
        <v>2091</v>
      </c>
      <c r="B246" s="121" t="s">
        <v>296</v>
      </c>
      <c r="C246" s="121" t="s">
        <v>2090</v>
      </c>
    </row>
    <row r="247" spans="1:3" x14ac:dyDescent="0.25">
      <c r="A247" s="121" t="s">
        <v>2089</v>
      </c>
      <c r="B247" s="121" t="s">
        <v>2088</v>
      </c>
      <c r="C247" s="121" t="s">
        <v>2087</v>
      </c>
    </row>
    <row r="248" spans="1:3" x14ac:dyDescent="0.25">
      <c r="A248" s="121" t="s">
        <v>2086</v>
      </c>
      <c r="B248" s="121" t="s">
        <v>2085</v>
      </c>
      <c r="C248" s="121" t="s">
        <v>2084</v>
      </c>
    </row>
    <row r="249" spans="1:3" x14ac:dyDescent="0.25">
      <c r="A249" s="121" t="s">
        <v>2083</v>
      </c>
      <c r="B249" s="121" t="s">
        <v>201</v>
      </c>
      <c r="C249" s="121" t="s">
        <v>2082</v>
      </c>
    </row>
    <row r="250" spans="1:3" x14ac:dyDescent="0.25">
      <c r="A250" s="121" t="s">
        <v>2081</v>
      </c>
      <c r="B250" s="121" t="s">
        <v>182</v>
      </c>
      <c r="C250" s="121" t="s">
        <v>271</v>
      </c>
    </row>
    <row r="251" spans="1:3" x14ac:dyDescent="0.25">
      <c r="A251" s="121" t="s">
        <v>2080</v>
      </c>
      <c r="B251" s="121" t="s">
        <v>2079</v>
      </c>
      <c r="C251" s="121" t="s">
        <v>2078</v>
      </c>
    </row>
    <row r="252" spans="1:3" x14ac:dyDescent="0.25">
      <c r="A252" s="121" t="s">
        <v>2077</v>
      </c>
      <c r="B252" s="121" t="s">
        <v>2076</v>
      </c>
      <c r="C252" s="121" t="s">
        <v>2075</v>
      </c>
    </row>
    <row r="253" spans="1:3" x14ac:dyDescent="0.25">
      <c r="A253" s="121" t="s">
        <v>2074</v>
      </c>
      <c r="B253" s="121" t="s">
        <v>297</v>
      </c>
      <c r="C253" s="121" t="s">
        <v>2073</v>
      </c>
    </row>
    <row r="254" spans="1:3" x14ac:dyDescent="0.25">
      <c r="A254" s="121" t="s">
        <v>2072</v>
      </c>
      <c r="B254" s="121" t="s">
        <v>2071</v>
      </c>
      <c r="C254" s="121" t="s">
        <v>2070</v>
      </c>
    </row>
    <row r="255" spans="1:3" x14ac:dyDescent="0.25">
      <c r="A255" s="121" t="s">
        <v>2069</v>
      </c>
      <c r="B255" s="121" t="s">
        <v>186</v>
      </c>
      <c r="C255" s="121" t="s">
        <v>153</v>
      </c>
    </row>
    <row r="256" spans="1:3" x14ac:dyDescent="0.25">
      <c r="A256" s="121" t="s">
        <v>2068</v>
      </c>
      <c r="B256" s="121" t="s">
        <v>2067</v>
      </c>
      <c r="C256" s="121" t="s">
        <v>2066</v>
      </c>
    </row>
    <row r="257" spans="1:3" x14ac:dyDescent="0.25">
      <c r="A257" s="121" t="s">
        <v>2065</v>
      </c>
      <c r="B257" s="121" t="s">
        <v>2064</v>
      </c>
      <c r="C257" s="121" t="s">
        <v>2063</v>
      </c>
    </row>
    <row r="258" spans="1:3" x14ac:dyDescent="0.25">
      <c r="A258" s="121" t="s">
        <v>2062</v>
      </c>
      <c r="B258" s="121" t="s">
        <v>2061</v>
      </c>
      <c r="C258" s="121" t="s">
        <v>2060</v>
      </c>
    </row>
    <row r="259" spans="1:3" x14ac:dyDescent="0.25">
      <c r="A259" s="121" t="s">
        <v>2059</v>
      </c>
      <c r="B259" s="121" t="s">
        <v>2058</v>
      </c>
      <c r="C259" s="121" t="s">
        <v>2057</v>
      </c>
    </row>
    <row r="260" spans="1:3" x14ac:dyDescent="0.25">
      <c r="A260" s="121" t="s">
        <v>2056</v>
      </c>
      <c r="B260" s="121" t="s">
        <v>2055</v>
      </c>
      <c r="C260" s="121" t="s">
        <v>2054</v>
      </c>
    </row>
    <row r="261" spans="1:3" x14ac:dyDescent="0.25">
      <c r="A261" s="121" t="s">
        <v>2053</v>
      </c>
      <c r="B261" s="121" t="s">
        <v>2052</v>
      </c>
      <c r="C261" s="121" t="s">
        <v>240</v>
      </c>
    </row>
    <row r="262" spans="1:3" x14ac:dyDescent="0.25">
      <c r="A262" s="121" t="s">
        <v>2051</v>
      </c>
      <c r="B262" s="121" t="s">
        <v>2050</v>
      </c>
      <c r="C262" s="121" t="s">
        <v>2049</v>
      </c>
    </row>
    <row r="263" spans="1:3" x14ac:dyDescent="0.25">
      <c r="A263" s="121" t="s">
        <v>2048</v>
      </c>
      <c r="B263" s="121" t="s">
        <v>2047</v>
      </c>
      <c r="C263" s="121" t="s">
        <v>2046</v>
      </c>
    </row>
    <row r="264" spans="1:3" x14ac:dyDescent="0.25">
      <c r="A264" s="121" t="s">
        <v>2045</v>
      </c>
      <c r="B264" s="121" t="s">
        <v>2044</v>
      </c>
      <c r="C264" s="121" t="s">
        <v>2043</v>
      </c>
    </row>
    <row r="265" spans="1:3" x14ac:dyDescent="0.25">
      <c r="A265" s="121" t="s">
        <v>2042</v>
      </c>
      <c r="B265" s="121" t="s">
        <v>2041</v>
      </c>
      <c r="C265" s="121" t="s">
        <v>2040</v>
      </c>
    </row>
    <row r="266" spans="1:3" x14ac:dyDescent="0.25">
      <c r="A266" s="121" t="s">
        <v>2039</v>
      </c>
      <c r="B266" s="121" t="s">
        <v>2038</v>
      </c>
      <c r="C266" s="121" t="s">
        <v>2037</v>
      </c>
    </row>
    <row r="267" spans="1:3" x14ac:dyDescent="0.25">
      <c r="A267" s="121" t="s">
        <v>2036</v>
      </c>
      <c r="B267" s="121" t="s">
        <v>2035</v>
      </c>
      <c r="C267" s="121" t="s">
        <v>2034</v>
      </c>
    </row>
    <row r="268" spans="1:3" x14ac:dyDescent="0.25">
      <c r="A268" s="121" t="s">
        <v>129</v>
      </c>
      <c r="B268" s="121" t="s">
        <v>340</v>
      </c>
      <c r="C268" s="121" t="s">
        <v>125</v>
      </c>
    </row>
    <row r="269" spans="1:3" x14ac:dyDescent="0.25">
      <c r="A269" s="121" t="s">
        <v>2033</v>
      </c>
      <c r="B269" s="121" t="s">
        <v>181</v>
      </c>
      <c r="C269" s="121" t="s">
        <v>2032</v>
      </c>
    </row>
    <row r="270" spans="1:3" x14ac:dyDescent="0.25">
      <c r="A270" s="121" t="s">
        <v>2031</v>
      </c>
      <c r="B270" s="121" t="s">
        <v>176</v>
      </c>
      <c r="C270" s="121" t="s">
        <v>272</v>
      </c>
    </row>
    <row r="271" spans="1:3" x14ac:dyDescent="0.25">
      <c r="A271" s="121" t="s">
        <v>2030</v>
      </c>
      <c r="B271" s="121" t="s">
        <v>2029</v>
      </c>
      <c r="C271" s="121" t="s">
        <v>2028</v>
      </c>
    </row>
    <row r="272" spans="1:3" x14ac:dyDescent="0.25">
      <c r="A272" s="121" t="s">
        <v>2027</v>
      </c>
      <c r="B272" s="121" t="s">
        <v>2026</v>
      </c>
      <c r="C272" s="121" t="s">
        <v>2025</v>
      </c>
    </row>
    <row r="273" spans="1:3" x14ac:dyDescent="0.25">
      <c r="A273" s="121" t="s">
        <v>2024</v>
      </c>
      <c r="B273" s="121" t="s">
        <v>2023</v>
      </c>
      <c r="C273" s="121" t="s">
        <v>2023</v>
      </c>
    </row>
    <row r="274" spans="1:3" x14ac:dyDescent="0.25">
      <c r="A274" s="121" t="s">
        <v>2022</v>
      </c>
      <c r="B274" s="121" t="s">
        <v>2021</v>
      </c>
      <c r="C274" s="121" t="s">
        <v>2020</v>
      </c>
    </row>
    <row r="275" spans="1:3" x14ac:dyDescent="0.25">
      <c r="A275" s="121" t="s">
        <v>2019</v>
      </c>
      <c r="B275" s="121" t="s">
        <v>2018</v>
      </c>
      <c r="C275" s="121" t="s">
        <v>2017</v>
      </c>
    </row>
    <row r="276" spans="1:3" x14ac:dyDescent="0.25">
      <c r="A276" s="121" t="s">
        <v>2016</v>
      </c>
      <c r="B276" s="121" t="s">
        <v>2015</v>
      </c>
      <c r="C276" s="121" t="s">
        <v>2014</v>
      </c>
    </row>
    <row r="277" spans="1:3" x14ac:dyDescent="0.25">
      <c r="A277" s="121" t="s">
        <v>2013</v>
      </c>
      <c r="B277" s="121" t="s">
        <v>2012</v>
      </c>
      <c r="C277" s="121" t="s">
        <v>2011</v>
      </c>
    </row>
    <row r="278" spans="1:3" x14ac:dyDescent="0.25">
      <c r="A278" s="121" t="s">
        <v>2010</v>
      </c>
      <c r="B278" s="121" t="s">
        <v>160</v>
      </c>
      <c r="C278" s="121" t="s">
        <v>2009</v>
      </c>
    </row>
    <row r="279" spans="1:3" x14ac:dyDescent="0.25">
      <c r="A279" s="121" t="s">
        <v>2008</v>
      </c>
      <c r="B279" s="121" t="s">
        <v>2007</v>
      </c>
      <c r="C279" s="121" t="s">
        <v>2006</v>
      </c>
    </row>
    <row r="280" spans="1:3" x14ac:dyDescent="0.25">
      <c r="A280" s="121" t="s">
        <v>2005</v>
      </c>
      <c r="B280" s="121" t="s">
        <v>2004</v>
      </c>
      <c r="C280" s="121" t="s">
        <v>2003</v>
      </c>
    </row>
    <row r="281" spans="1:3" x14ac:dyDescent="0.25">
      <c r="A281" s="121" t="s">
        <v>2002</v>
      </c>
      <c r="B281" s="121" t="s">
        <v>2001</v>
      </c>
      <c r="C281" s="121" t="s">
        <v>2000</v>
      </c>
    </row>
    <row r="282" spans="1:3" x14ac:dyDescent="0.25">
      <c r="A282" s="121" t="s">
        <v>1999</v>
      </c>
      <c r="B282" s="121" t="s">
        <v>1998</v>
      </c>
      <c r="C282" s="121" t="s">
        <v>1997</v>
      </c>
    </row>
    <row r="283" spans="1:3" x14ac:dyDescent="0.25">
      <c r="A283" s="121" t="s">
        <v>1996</v>
      </c>
      <c r="B283" s="121" t="s">
        <v>1995</v>
      </c>
      <c r="C283" s="121" t="s">
        <v>1994</v>
      </c>
    </row>
    <row r="284" spans="1:3" x14ac:dyDescent="0.25">
      <c r="A284" s="121" t="s">
        <v>1993</v>
      </c>
      <c r="B284" s="121" t="s">
        <v>1992</v>
      </c>
      <c r="C284" s="121" t="s">
        <v>1991</v>
      </c>
    </row>
    <row r="285" spans="1:3" x14ac:dyDescent="0.25">
      <c r="A285" s="121" t="s">
        <v>1990</v>
      </c>
      <c r="B285" s="121" t="s">
        <v>1989</v>
      </c>
      <c r="C285" s="121" t="s">
        <v>250</v>
      </c>
    </row>
    <row r="286" spans="1:3" x14ac:dyDescent="0.25">
      <c r="A286" s="121" t="s">
        <v>1988</v>
      </c>
      <c r="B286" s="121" t="s">
        <v>1987</v>
      </c>
      <c r="C286" s="121" t="s">
        <v>1986</v>
      </c>
    </row>
    <row r="287" spans="1:3" x14ac:dyDescent="0.25">
      <c r="A287" s="121" t="s">
        <v>1985</v>
      </c>
      <c r="B287" s="121" t="s">
        <v>1984</v>
      </c>
      <c r="C287" s="121" t="s">
        <v>1983</v>
      </c>
    </row>
    <row r="288" spans="1:3" x14ac:dyDescent="0.25">
      <c r="A288" s="121" t="s">
        <v>1982</v>
      </c>
      <c r="B288" s="121" t="s">
        <v>1981</v>
      </c>
      <c r="C288" s="121" t="s">
        <v>1980</v>
      </c>
    </row>
    <row r="289" spans="1:3" x14ac:dyDescent="0.25">
      <c r="A289" s="121" t="s">
        <v>390</v>
      </c>
      <c r="B289" s="121" t="s">
        <v>1979</v>
      </c>
      <c r="C289" s="121" t="s">
        <v>390</v>
      </c>
    </row>
    <row r="290" spans="1:3" x14ac:dyDescent="0.25">
      <c r="A290" s="121" t="s">
        <v>1978</v>
      </c>
      <c r="B290" s="121" t="s">
        <v>1977</v>
      </c>
      <c r="C290" s="121" t="s">
        <v>1976</v>
      </c>
    </row>
    <row r="291" spans="1:3" x14ac:dyDescent="0.25">
      <c r="A291" s="121" t="s">
        <v>1975</v>
      </c>
      <c r="B291" s="121" t="s">
        <v>1974</v>
      </c>
      <c r="C291" s="121" t="s">
        <v>126</v>
      </c>
    </row>
    <row r="292" spans="1:3" x14ac:dyDescent="0.25">
      <c r="A292" s="121" t="s">
        <v>1973</v>
      </c>
      <c r="B292" s="121" t="s">
        <v>320</v>
      </c>
      <c r="C292" s="121" t="s">
        <v>1972</v>
      </c>
    </row>
    <row r="293" spans="1:3" x14ac:dyDescent="0.25">
      <c r="A293" s="121" t="s">
        <v>1971</v>
      </c>
      <c r="B293" s="121" t="s">
        <v>1970</v>
      </c>
      <c r="C293" s="121" t="s">
        <v>1969</v>
      </c>
    </row>
    <row r="294" spans="1:3" x14ac:dyDescent="0.25">
      <c r="A294" s="121" t="s">
        <v>1968</v>
      </c>
      <c r="B294" s="121" t="s">
        <v>212</v>
      </c>
      <c r="C294" s="121" t="s">
        <v>243</v>
      </c>
    </row>
    <row r="295" spans="1:3" x14ac:dyDescent="0.25">
      <c r="A295" s="121" t="s">
        <v>1967</v>
      </c>
      <c r="B295" s="121" t="s">
        <v>1966</v>
      </c>
      <c r="C295" s="121" t="s">
        <v>1965</v>
      </c>
    </row>
    <row r="296" spans="1:3" x14ac:dyDescent="0.25">
      <c r="A296" s="121" t="s">
        <v>1964</v>
      </c>
      <c r="B296" s="121" t="s">
        <v>1963</v>
      </c>
      <c r="C296" s="121" t="s">
        <v>1962</v>
      </c>
    </row>
    <row r="297" spans="1:3" x14ac:dyDescent="0.25">
      <c r="A297" s="121" t="s">
        <v>1961</v>
      </c>
      <c r="B297" s="121" t="s">
        <v>318</v>
      </c>
      <c r="C297" s="121" t="s">
        <v>1960</v>
      </c>
    </row>
    <row r="298" spans="1:3" x14ac:dyDescent="0.25">
      <c r="A298" s="121" t="s">
        <v>1959</v>
      </c>
      <c r="B298" s="121" t="s">
        <v>1958</v>
      </c>
      <c r="C298" s="121" t="s">
        <v>1958</v>
      </c>
    </row>
    <row r="299" spans="1:3" x14ac:dyDescent="0.25">
      <c r="A299" s="121" t="s">
        <v>1957</v>
      </c>
      <c r="B299" s="121" t="s">
        <v>164</v>
      </c>
      <c r="C299" s="121" t="s">
        <v>1956</v>
      </c>
    </row>
    <row r="300" spans="1:3" x14ac:dyDescent="0.25">
      <c r="A300" s="121" t="s">
        <v>1955</v>
      </c>
      <c r="B300" s="121" t="s">
        <v>1954</v>
      </c>
      <c r="C300" s="121" t="s">
        <v>266</v>
      </c>
    </row>
    <row r="301" spans="1:3" x14ac:dyDescent="0.25">
      <c r="A301" s="121" t="s">
        <v>1953</v>
      </c>
      <c r="B301" s="121" t="s">
        <v>1952</v>
      </c>
      <c r="C301" s="121" t="s">
        <v>1951</v>
      </c>
    </row>
    <row r="302" spans="1:3" x14ac:dyDescent="0.25">
      <c r="A302" s="121" t="s">
        <v>1950</v>
      </c>
      <c r="B302" s="121" t="s">
        <v>1949</v>
      </c>
      <c r="C302" s="121" t="s">
        <v>1949</v>
      </c>
    </row>
    <row r="303" spans="1:3" x14ac:dyDescent="0.25">
      <c r="A303" s="121" t="s">
        <v>1948</v>
      </c>
      <c r="B303" s="121" t="s">
        <v>1947</v>
      </c>
      <c r="C303" s="121" t="s">
        <v>1946</v>
      </c>
    </row>
    <row r="304" spans="1:3" x14ac:dyDescent="0.25">
      <c r="A304" s="121" t="s">
        <v>1945</v>
      </c>
      <c r="B304" s="121" t="s">
        <v>1944</v>
      </c>
      <c r="C304" s="121" t="s">
        <v>1943</v>
      </c>
    </row>
    <row r="305" spans="1:3" x14ac:dyDescent="0.25">
      <c r="A305" s="121" t="s">
        <v>1942</v>
      </c>
      <c r="B305" s="121" t="s">
        <v>1941</v>
      </c>
      <c r="C305" s="121" t="s">
        <v>1940</v>
      </c>
    </row>
    <row r="306" spans="1:3" x14ac:dyDescent="0.25">
      <c r="A306" s="121" t="s">
        <v>465</v>
      </c>
      <c r="B306" s="121" t="s">
        <v>1939</v>
      </c>
      <c r="C306" s="121" t="s">
        <v>1938</v>
      </c>
    </row>
    <row r="307" spans="1:3" x14ac:dyDescent="0.25">
      <c r="A307" s="121" t="s">
        <v>1937</v>
      </c>
      <c r="B307" s="121" t="s">
        <v>1936</v>
      </c>
      <c r="C307" s="121" t="s">
        <v>1935</v>
      </c>
    </row>
    <row r="308" spans="1:3" x14ac:dyDescent="0.25">
      <c r="A308" s="121" t="s">
        <v>1934</v>
      </c>
      <c r="B308" s="121" t="s">
        <v>1933</v>
      </c>
      <c r="C308" s="121" t="s">
        <v>1932</v>
      </c>
    </row>
    <row r="309" spans="1:3" x14ac:dyDescent="0.25">
      <c r="A309" s="121" t="s">
        <v>1931</v>
      </c>
      <c r="B309" s="121" t="s">
        <v>1930</v>
      </c>
      <c r="C309" s="121" t="s">
        <v>1930</v>
      </c>
    </row>
    <row r="310" spans="1:3" x14ac:dyDescent="0.25">
      <c r="A310" s="121" t="s">
        <v>1929</v>
      </c>
      <c r="B310" s="121" t="s">
        <v>1928</v>
      </c>
      <c r="C310" s="121" t="s">
        <v>1927</v>
      </c>
    </row>
    <row r="311" spans="1:3" x14ac:dyDescent="0.25">
      <c r="A311" s="121" t="s">
        <v>1926</v>
      </c>
      <c r="B311" s="121" t="s">
        <v>1925</v>
      </c>
      <c r="C311" s="121" t="s">
        <v>1924</v>
      </c>
    </row>
    <row r="312" spans="1:3" x14ac:dyDescent="0.25">
      <c r="A312" s="121" t="s">
        <v>1923</v>
      </c>
      <c r="B312" s="121" t="s">
        <v>1922</v>
      </c>
      <c r="C312" s="121" t="s">
        <v>1921</v>
      </c>
    </row>
    <row r="313" spans="1:3" x14ac:dyDescent="0.25">
      <c r="A313" s="121" t="s">
        <v>1920</v>
      </c>
      <c r="B313" s="121" t="s">
        <v>1919</v>
      </c>
      <c r="C313" s="121" t="s">
        <v>1918</v>
      </c>
    </row>
    <row r="314" spans="1:3" x14ac:dyDescent="0.25">
      <c r="A314" s="121" t="s">
        <v>402</v>
      </c>
      <c r="B314" s="121" t="s">
        <v>1917</v>
      </c>
      <c r="C314" s="121" t="s">
        <v>1916</v>
      </c>
    </row>
    <row r="315" spans="1:3" x14ac:dyDescent="0.25">
      <c r="A315" s="121" t="s">
        <v>1915</v>
      </c>
      <c r="B315" s="121" t="s">
        <v>1914</v>
      </c>
      <c r="C315" s="121" t="s">
        <v>1913</v>
      </c>
    </row>
    <row r="316" spans="1:3" x14ac:dyDescent="0.25">
      <c r="A316" s="121" t="s">
        <v>1912</v>
      </c>
      <c r="B316" s="121" t="s">
        <v>1911</v>
      </c>
      <c r="C316" s="121" t="s">
        <v>1910</v>
      </c>
    </row>
    <row r="317" spans="1:3" x14ac:dyDescent="0.25">
      <c r="A317" s="121" t="s">
        <v>1909</v>
      </c>
      <c r="B317" s="121" t="s">
        <v>1908</v>
      </c>
      <c r="C317" s="121" t="s">
        <v>1907</v>
      </c>
    </row>
    <row r="318" spans="1:3" x14ac:dyDescent="0.25">
      <c r="A318" s="121" t="s">
        <v>1906</v>
      </c>
      <c r="B318" s="121" t="s">
        <v>1905</v>
      </c>
      <c r="C318" s="121" t="s">
        <v>1904</v>
      </c>
    </row>
    <row r="319" spans="1:3" x14ac:dyDescent="0.25">
      <c r="A319" s="121" t="s">
        <v>292</v>
      </c>
      <c r="B319" s="121" t="s">
        <v>1903</v>
      </c>
      <c r="C319" s="121" t="s">
        <v>6</v>
      </c>
    </row>
    <row r="320" spans="1:3" x14ac:dyDescent="0.25">
      <c r="A320" s="121" t="s">
        <v>1902</v>
      </c>
      <c r="B320" s="121" t="s">
        <v>1901</v>
      </c>
      <c r="C320" s="121" t="s">
        <v>1901</v>
      </c>
    </row>
    <row r="321" spans="1:3" x14ac:dyDescent="0.25">
      <c r="A321" s="121" t="s">
        <v>1900</v>
      </c>
      <c r="B321" s="121" t="s">
        <v>347</v>
      </c>
      <c r="C321" s="121" t="s">
        <v>8</v>
      </c>
    </row>
    <row r="322" spans="1:3" x14ac:dyDescent="0.25">
      <c r="A322" s="121" t="s">
        <v>1899</v>
      </c>
      <c r="B322" s="121" t="s">
        <v>337</v>
      </c>
      <c r="C322" s="121" t="s">
        <v>264</v>
      </c>
    </row>
    <row r="323" spans="1:3" x14ac:dyDescent="0.25">
      <c r="A323" s="121" t="s">
        <v>1898</v>
      </c>
      <c r="B323" s="121" t="s">
        <v>196</v>
      </c>
      <c r="C323" s="121" t="s">
        <v>247</v>
      </c>
    </row>
    <row r="324" spans="1:3" x14ac:dyDescent="0.25">
      <c r="A324" s="121" t="s">
        <v>1897</v>
      </c>
      <c r="B324" s="121" t="s">
        <v>1896</v>
      </c>
      <c r="C324" s="121" t="s">
        <v>1895</v>
      </c>
    </row>
    <row r="325" spans="1:3" x14ac:dyDescent="0.25">
      <c r="A325" s="121" t="s">
        <v>1894</v>
      </c>
      <c r="B325" s="121" t="s">
        <v>1893</v>
      </c>
      <c r="C325" s="121" t="s">
        <v>1892</v>
      </c>
    </row>
    <row r="326" spans="1:3" x14ac:dyDescent="0.25">
      <c r="A326" s="121" t="s">
        <v>1891</v>
      </c>
      <c r="B326" s="121" t="s">
        <v>204</v>
      </c>
      <c r="C326" s="121" t="s">
        <v>1890</v>
      </c>
    </row>
    <row r="327" spans="1:3" x14ac:dyDescent="0.25">
      <c r="A327" s="121" t="s">
        <v>1889</v>
      </c>
      <c r="B327" s="121" t="s">
        <v>1888</v>
      </c>
      <c r="C327" s="121" t="s">
        <v>2</v>
      </c>
    </row>
    <row r="328" spans="1:3" x14ac:dyDescent="0.25">
      <c r="A328" s="121" t="s">
        <v>1887</v>
      </c>
      <c r="B328" s="121" t="s">
        <v>1886</v>
      </c>
      <c r="C328" s="121" t="s">
        <v>1885</v>
      </c>
    </row>
    <row r="329" spans="1:3" x14ac:dyDescent="0.25">
      <c r="A329" s="121" t="s">
        <v>1884</v>
      </c>
      <c r="B329" s="121" t="s">
        <v>1883</v>
      </c>
      <c r="C329" s="121" t="s">
        <v>1882</v>
      </c>
    </row>
    <row r="330" spans="1:3" x14ac:dyDescent="0.25">
      <c r="A330" s="121" t="s">
        <v>1881</v>
      </c>
      <c r="B330" s="121" t="s">
        <v>1880</v>
      </c>
      <c r="C330" s="121" t="s">
        <v>1880</v>
      </c>
    </row>
    <row r="331" spans="1:3" x14ac:dyDescent="0.25">
      <c r="A331" s="121" t="s">
        <v>1879</v>
      </c>
      <c r="B331" s="121" t="s">
        <v>216</v>
      </c>
      <c r="C331" s="121" t="s">
        <v>1878</v>
      </c>
    </row>
    <row r="332" spans="1:3" x14ac:dyDescent="0.25">
      <c r="A332" s="121" t="s">
        <v>1877</v>
      </c>
      <c r="B332" s="121" t="s">
        <v>1876</v>
      </c>
      <c r="C332" s="121" t="s">
        <v>1875</v>
      </c>
    </row>
    <row r="333" spans="1:3" x14ac:dyDescent="0.25">
      <c r="A333" s="121" t="s">
        <v>1874</v>
      </c>
      <c r="B333" s="121" t="s">
        <v>163</v>
      </c>
      <c r="C333" s="121" t="s">
        <v>1873</v>
      </c>
    </row>
    <row r="334" spans="1:3" x14ac:dyDescent="0.25">
      <c r="A334" s="121" t="s">
        <v>1872</v>
      </c>
      <c r="B334" s="121" t="s">
        <v>1871</v>
      </c>
      <c r="C334" s="121" t="s">
        <v>1870</v>
      </c>
    </row>
    <row r="335" spans="1:3" x14ac:dyDescent="0.25">
      <c r="A335" s="121" t="s">
        <v>1869</v>
      </c>
      <c r="B335" s="121" t="s">
        <v>1868</v>
      </c>
      <c r="C335" s="121" t="s">
        <v>1867</v>
      </c>
    </row>
    <row r="336" spans="1:3" x14ac:dyDescent="0.25">
      <c r="A336" s="121" t="s">
        <v>1866</v>
      </c>
      <c r="B336" s="121" t="s">
        <v>1865</v>
      </c>
      <c r="C336" s="121" t="s">
        <v>81</v>
      </c>
    </row>
    <row r="337" spans="1:3" x14ac:dyDescent="0.25">
      <c r="A337" s="121" t="s">
        <v>1864</v>
      </c>
      <c r="B337" s="121" t="s">
        <v>1863</v>
      </c>
      <c r="C337" s="121" t="s">
        <v>1862</v>
      </c>
    </row>
    <row r="338" spans="1:3" x14ac:dyDescent="0.25">
      <c r="A338" s="121" t="s">
        <v>1861</v>
      </c>
      <c r="B338" s="121" t="s">
        <v>1860</v>
      </c>
      <c r="C338" s="121" t="s">
        <v>1859</v>
      </c>
    </row>
    <row r="339" spans="1:3" x14ac:dyDescent="0.25">
      <c r="A339" s="121" t="s">
        <v>1858</v>
      </c>
      <c r="B339" s="121" t="s">
        <v>1857</v>
      </c>
      <c r="C339" s="121" t="s">
        <v>1856</v>
      </c>
    </row>
    <row r="340" spans="1:3" x14ac:dyDescent="0.25">
      <c r="A340" s="121" t="s">
        <v>1855</v>
      </c>
      <c r="B340" s="121" t="s">
        <v>1854</v>
      </c>
      <c r="C340" s="121" t="s">
        <v>150</v>
      </c>
    </row>
    <row r="341" spans="1:3" x14ac:dyDescent="0.25">
      <c r="A341" s="121" t="s">
        <v>1853</v>
      </c>
      <c r="B341" s="121" t="s">
        <v>1852</v>
      </c>
      <c r="C341" s="121" t="s">
        <v>1851</v>
      </c>
    </row>
    <row r="342" spans="1:3" x14ac:dyDescent="0.25">
      <c r="A342" s="121" t="s">
        <v>1850</v>
      </c>
      <c r="B342" s="121" t="s">
        <v>1849</v>
      </c>
      <c r="C342" s="121" t="s">
        <v>1848</v>
      </c>
    </row>
    <row r="343" spans="1:3" x14ac:dyDescent="0.25">
      <c r="A343" s="121" t="s">
        <v>1847</v>
      </c>
      <c r="B343" s="121" t="s">
        <v>1846</v>
      </c>
      <c r="C343" s="121" t="s">
        <v>1845</v>
      </c>
    </row>
    <row r="344" spans="1:3" x14ac:dyDescent="0.25">
      <c r="A344" s="121" t="s">
        <v>1844</v>
      </c>
      <c r="B344" s="121" t="s">
        <v>298</v>
      </c>
      <c r="C344" s="121" t="s">
        <v>1843</v>
      </c>
    </row>
    <row r="345" spans="1:3" x14ac:dyDescent="0.25">
      <c r="A345" s="121" t="s">
        <v>1842</v>
      </c>
      <c r="B345" s="121" t="s">
        <v>1841</v>
      </c>
      <c r="C345" s="121" t="s">
        <v>241</v>
      </c>
    </row>
    <row r="346" spans="1:3" x14ac:dyDescent="0.25">
      <c r="A346" s="121" t="s">
        <v>1840</v>
      </c>
      <c r="B346" s="121" t="s">
        <v>1839</v>
      </c>
      <c r="C346" s="121" t="s">
        <v>1838</v>
      </c>
    </row>
    <row r="347" spans="1:3" x14ac:dyDescent="0.25">
      <c r="A347" s="121" t="s">
        <v>1837</v>
      </c>
      <c r="B347" s="121" t="s">
        <v>1836</v>
      </c>
      <c r="C347" s="121" t="s">
        <v>1835</v>
      </c>
    </row>
    <row r="348" spans="1:3" x14ac:dyDescent="0.25">
      <c r="A348" s="121" t="s">
        <v>1834</v>
      </c>
      <c r="B348" s="121" t="s">
        <v>172</v>
      </c>
      <c r="C348" s="121" t="s">
        <v>267</v>
      </c>
    </row>
    <row r="349" spans="1:3" x14ac:dyDescent="0.25">
      <c r="A349" s="121" t="s">
        <v>1833</v>
      </c>
      <c r="B349" s="121" t="s">
        <v>1832</v>
      </c>
      <c r="C349" s="121" t="s">
        <v>1831</v>
      </c>
    </row>
    <row r="350" spans="1:3" x14ac:dyDescent="0.25">
      <c r="A350" s="121" t="s">
        <v>1830</v>
      </c>
      <c r="B350" s="121" t="s">
        <v>1829</v>
      </c>
      <c r="C350" s="121" t="s">
        <v>130</v>
      </c>
    </row>
    <row r="351" spans="1:3" x14ac:dyDescent="0.25">
      <c r="A351" s="121" t="s">
        <v>1828</v>
      </c>
      <c r="B351" s="121" t="s">
        <v>1827</v>
      </c>
      <c r="C351" s="121" t="s">
        <v>1826</v>
      </c>
    </row>
    <row r="352" spans="1:3" x14ac:dyDescent="0.25">
      <c r="A352" s="121" t="s">
        <v>1825</v>
      </c>
      <c r="B352" s="121" t="s">
        <v>306</v>
      </c>
      <c r="C352" s="121" t="s">
        <v>1824</v>
      </c>
    </row>
    <row r="353" spans="1:3" x14ac:dyDescent="0.25">
      <c r="A353" s="121" t="s">
        <v>1823</v>
      </c>
      <c r="B353" s="121" t="s">
        <v>1822</v>
      </c>
      <c r="C353" s="121" t="s">
        <v>1821</v>
      </c>
    </row>
    <row r="354" spans="1:3" x14ac:dyDescent="0.25">
      <c r="A354" s="121" t="s">
        <v>1820</v>
      </c>
      <c r="B354" s="121" t="s">
        <v>1819</v>
      </c>
      <c r="C354" s="121" t="s">
        <v>1818</v>
      </c>
    </row>
    <row r="355" spans="1:3" x14ac:dyDescent="0.25">
      <c r="A355" s="121" t="s">
        <v>1817</v>
      </c>
      <c r="B355" s="121" t="s">
        <v>1816</v>
      </c>
      <c r="C355" s="121" t="s">
        <v>1815</v>
      </c>
    </row>
    <row r="356" spans="1:3" x14ac:dyDescent="0.25">
      <c r="A356" s="121" t="s">
        <v>20</v>
      </c>
      <c r="B356" s="121" t="s">
        <v>826</v>
      </c>
      <c r="C356" s="121" t="s">
        <v>1814</v>
      </c>
    </row>
    <row r="357" spans="1:3" x14ac:dyDescent="0.25">
      <c r="A357" s="121" t="s">
        <v>1813</v>
      </c>
      <c r="B357" s="121" t="s">
        <v>1812</v>
      </c>
      <c r="C357" s="121" t="s">
        <v>1811</v>
      </c>
    </row>
    <row r="358" spans="1:3" x14ac:dyDescent="0.25">
      <c r="A358" s="121" t="s">
        <v>1810</v>
      </c>
      <c r="B358" s="121" t="s">
        <v>180</v>
      </c>
      <c r="C358" s="121" t="s">
        <v>73</v>
      </c>
    </row>
    <row r="359" spans="1:3" x14ac:dyDescent="0.25">
      <c r="A359" s="121" t="s">
        <v>1809</v>
      </c>
      <c r="B359" s="121" t="s">
        <v>1808</v>
      </c>
      <c r="C359" s="121" t="s">
        <v>1807</v>
      </c>
    </row>
    <row r="360" spans="1:3" x14ac:dyDescent="0.25">
      <c r="A360" s="121" t="s">
        <v>1806</v>
      </c>
      <c r="B360" s="121" t="s">
        <v>1805</v>
      </c>
      <c r="C360" s="121" t="s">
        <v>1804</v>
      </c>
    </row>
    <row r="361" spans="1:3" x14ac:dyDescent="0.25">
      <c r="A361" s="121" t="s">
        <v>1803</v>
      </c>
      <c r="B361" s="121" t="s">
        <v>1802</v>
      </c>
      <c r="C361" s="121" t="s">
        <v>1801</v>
      </c>
    </row>
    <row r="362" spans="1:3" x14ac:dyDescent="0.25">
      <c r="A362" s="121" t="s">
        <v>1800</v>
      </c>
      <c r="B362" s="121" t="s">
        <v>219</v>
      </c>
      <c r="C362" s="121" t="s">
        <v>1799</v>
      </c>
    </row>
    <row r="363" spans="1:3" x14ac:dyDescent="0.25">
      <c r="A363" s="121" t="s">
        <v>1798</v>
      </c>
      <c r="B363" s="121" t="s">
        <v>189</v>
      </c>
      <c r="C363" s="121" t="s">
        <v>14</v>
      </c>
    </row>
    <row r="364" spans="1:3" x14ac:dyDescent="0.25">
      <c r="A364" s="121" t="s">
        <v>1797</v>
      </c>
      <c r="B364" s="121" t="s">
        <v>1796</v>
      </c>
      <c r="C364" s="121" t="s">
        <v>1795</v>
      </c>
    </row>
    <row r="365" spans="1:3" x14ac:dyDescent="0.25">
      <c r="A365" s="121" t="s">
        <v>397</v>
      </c>
      <c r="B365" s="121" t="s">
        <v>226</v>
      </c>
      <c r="C365" s="121" t="s">
        <v>237</v>
      </c>
    </row>
    <row r="366" spans="1:3" x14ac:dyDescent="0.25">
      <c r="A366" s="121" t="s">
        <v>1794</v>
      </c>
      <c r="B366" s="121" t="s">
        <v>1793</v>
      </c>
      <c r="C366" s="121" t="s">
        <v>1792</v>
      </c>
    </row>
    <row r="367" spans="1:3" x14ac:dyDescent="0.25">
      <c r="A367" s="121" t="s">
        <v>1791</v>
      </c>
      <c r="B367" s="121" t="s">
        <v>1790</v>
      </c>
      <c r="C367" s="121" t="s">
        <v>1789</v>
      </c>
    </row>
    <row r="368" spans="1:3" x14ac:dyDescent="0.25">
      <c r="A368" s="121" t="s">
        <v>1788</v>
      </c>
      <c r="B368" s="121" t="s">
        <v>1787</v>
      </c>
      <c r="C368" s="121" t="s">
        <v>1786</v>
      </c>
    </row>
    <row r="369" spans="1:3" x14ac:dyDescent="0.25">
      <c r="A369" s="121" t="s">
        <v>1785</v>
      </c>
      <c r="B369" s="121" t="s">
        <v>1784</v>
      </c>
      <c r="C369" s="121" t="s">
        <v>1783</v>
      </c>
    </row>
    <row r="370" spans="1:3" x14ac:dyDescent="0.25">
      <c r="A370" s="121" t="s">
        <v>1782</v>
      </c>
      <c r="B370" s="121" t="s">
        <v>234</v>
      </c>
      <c r="C370" s="121" t="s">
        <v>1781</v>
      </c>
    </row>
    <row r="371" spans="1:3" x14ac:dyDescent="0.25">
      <c r="A371" s="121" t="s">
        <v>1780</v>
      </c>
      <c r="B371" s="121" t="s">
        <v>1779</v>
      </c>
      <c r="C371" s="121" t="s">
        <v>22</v>
      </c>
    </row>
    <row r="372" spans="1:3" x14ac:dyDescent="0.25">
      <c r="A372" s="121" t="s">
        <v>1778</v>
      </c>
      <c r="B372" s="121" t="s">
        <v>175</v>
      </c>
      <c r="C372" s="121" t="s">
        <v>143</v>
      </c>
    </row>
    <row r="373" spans="1:3" x14ac:dyDescent="0.25">
      <c r="A373" s="121" t="s">
        <v>1777</v>
      </c>
      <c r="B373" s="121" t="s">
        <v>1776</v>
      </c>
      <c r="C373" s="121" t="s">
        <v>1775</v>
      </c>
    </row>
    <row r="374" spans="1:3" x14ac:dyDescent="0.25">
      <c r="A374" s="121" t="s">
        <v>1774</v>
      </c>
      <c r="B374" s="121" t="s">
        <v>1773</v>
      </c>
      <c r="C374" s="121" t="s">
        <v>1772</v>
      </c>
    </row>
    <row r="375" spans="1:3" x14ac:dyDescent="0.25">
      <c r="A375" s="121" t="s">
        <v>1771</v>
      </c>
      <c r="B375" s="121" t="s">
        <v>1770</v>
      </c>
      <c r="C375" s="121" t="s">
        <v>1769</v>
      </c>
    </row>
    <row r="376" spans="1:3" x14ac:dyDescent="0.25">
      <c r="A376" s="121" t="s">
        <v>1768</v>
      </c>
      <c r="B376" s="121" t="s">
        <v>221</v>
      </c>
      <c r="C376" s="121" t="s">
        <v>244</v>
      </c>
    </row>
    <row r="377" spans="1:3" x14ac:dyDescent="0.25">
      <c r="A377" s="121" t="s">
        <v>1767</v>
      </c>
      <c r="B377" s="121" t="s">
        <v>1766</v>
      </c>
      <c r="C377" s="121" t="s">
        <v>1765</v>
      </c>
    </row>
    <row r="378" spans="1:3" x14ac:dyDescent="0.25">
      <c r="A378" s="121" t="s">
        <v>1764</v>
      </c>
      <c r="B378" s="121" t="s">
        <v>1763</v>
      </c>
      <c r="C378" s="121" t="s">
        <v>1762</v>
      </c>
    </row>
    <row r="379" spans="1:3" x14ac:dyDescent="0.25">
      <c r="A379" s="121" t="s">
        <v>1761</v>
      </c>
      <c r="B379" s="121" t="s">
        <v>1760</v>
      </c>
      <c r="C379" s="121" t="s">
        <v>1759</v>
      </c>
    </row>
    <row r="380" spans="1:3" x14ac:dyDescent="0.25">
      <c r="A380" s="121" t="s">
        <v>1758</v>
      </c>
      <c r="B380" s="121" t="s">
        <v>1757</v>
      </c>
      <c r="C380" s="121" t="s">
        <v>1756</v>
      </c>
    </row>
    <row r="381" spans="1:3" x14ac:dyDescent="0.25">
      <c r="A381" s="121" t="s">
        <v>1755</v>
      </c>
      <c r="B381" s="121" t="s">
        <v>344</v>
      </c>
      <c r="C381" s="121" t="s">
        <v>88</v>
      </c>
    </row>
    <row r="382" spans="1:3" x14ac:dyDescent="0.25">
      <c r="A382" s="121" t="s">
        <v>1754</v>
      </c>
      <c r="B382" s="121" t="s">
        <v>1753</v>
      </c>
      <c r="C382" s="121" t="s">
        <v>1752</v>
      </c>
    </row>
    <row r="383" spans="1:3" x14ac:dyDescent="0.25">
      <c r="A383" s="121" t="s">
        <v>1751</v>
      </c>
      <c r="B383" s="121" t="s">
        <v>232</v>
      </c>
      <c r="C383" s="121" t="s">
        <v>74</v>
      </c>
    </row>
    <row r="384" spans="1:3" x14ac:dyDescent="0.25">
      <c r="A384" s="121" t="s">
        <v>1750</v>
      </c>
      <c r="B384" s="121" t="s">
        <v>1749</v>
      </c>
      <c r="C384" s="121" t="s">
        <v>1748</v>
      </c>
    </row>
    <row r="385" spans="1:3" x14ac:dyDescent="0.25">
      <c r="A385" s="121" t="s">
        <v>1747</v>
      </c>
      <c r="B385" s="121" t="s">
        <v>1746</v>
      </c>
      <c r="C385" s="121" t="s">
        <v>1746</v>
      </c>
    </row>
    <row r="386" spans="1:3" x14ac:dyDescent="0.25">
      <c r="A386" s="121" t="s">
        <v>1745</v>
      </c>
      <c r="B386" s="121" t="s">
        <v>1744</v>
      </c>
      <c r="C386" s="121" t="s">
        <v>158</v>
      </c>
    </row>
    <row r="387" spans="1:3" x14ac:dyDescent="0.25">
      <c r="A387" s="121" t="s">
        <v>1743</v>
      </c>
      <c r="B387" s="121" t="s">
        <v>1742</v>
      </c>
      <c r="C387" s="121" t="s">
        <v>1741</v>
      </c>
    </row>
    <row r="388" spans="1:3" x14ac:dyDescent="0.25">
      <c r="A388" s="121" t="s">
        <v>1740</v>
      </c>
      <c r="B388" s="121" t="s">
        <v>1739</v>
      </c>
      <c r="C388" s="121" t="s">
        <v>1738</v>
      </c>
    </row>
    <row r="389" spans="1:3" x14ac:dyDescent="0.25">
      <c r="A389" s="121" t="s">
        <v>1737</v>
      </c>
      <c r="B389" s="121" t="s">
        <v>1736</v>
      </c>
      <c r="C389" s="121" t="s">
        <v>1735</v>
      </c>
    </row>
    <row r="390" spans="1:3" x14ac:dyDescent="0.25">
      <c r="A390" s="121" t="s">
        <v>1734</v>
      </c>
      <c r="B390" s="121" t="s">
        <v>215</v>
      </c>
      <c r="C390" s="121" t="s">
        <v>273</v>
      </c>
    </row>
    <row r="391" spans="1:3" x14ac:dyDescent="0.25">
      <c r="A391" s="121" t="s">
        <v>1733</v>
      </c>
      <c r="B391" s="121" t="s">
        <v>326</v>
      </c>
      <c r="C391" s="121" t="s">
        <v>251</v>
      </c>
    </row>
    <row r="392" spans="1:3" x14ac:dyDescent="0.25">
      <c r="A392" s="121" t="s">
        <v>1732</v>
      </c>
      <c r="B392" s="121" t="s">
        <v>294</v>
      </c>
      <c r="C392" s="121" t="s">
        <v>1731</v>
      </c>
    </row>
    <row r="393" spans="1:3" x14ac:dyDescent="0.25">
      <c r="A393" s="121" t="s">
        <v>1730</v>
      </c>
      <c r="B393" s="121" t="s">
        <v>187</v>
      </c>
      <c r="C393" s="121" t="s">
        <v>1729</v>
      </c>
    </row>
    <row r="394" spans="1:3" x14ac:dyDescent="0.25">
      <c r="A394" s="121" t="s">
        <v>1728</v>
      </c>
      <c r="B394" s="121" t="s">
        <v>1727</v>
      </c>
      <c r="C394" s="121" t="s">
        <v>1726</v>
      </c>
    </row>
    <row r="395" spans="1:3" x14ac:dyDescent="0.25">
      <c r="A395" s="121" t="s">
        <v>1725</v>
      </c>
      <c r="B395" s="121" t="s">
        <v>1724</v>
      </c>
      <c r="C395" s="121" t="s">
        <v>1723</v>
      </c>
    </row>
    <row r="396" spans="1:3" x14ac:dyDescent="0.25">
      <c r="A396" s="121" t="s">
        <v>1722</v>
      </c>
      <c r="B396" s="121" t="s">
        <v>312</v>
      </c>
      <c r="C396" s="121" t="s">
        <v>95</v>
      </c>
    </row>
    <row r="397" spans="1:3" x14ac:dyDescent="0.25">
      <c r="A397" s="121" t="s">
        <v>1721</v>
      </c>
      <c r="B397" s="121" t="s">
        <v>1720</v>
      </c>
      <c r="C397" s="121" t="s">
        <v>1719</v>
      </c>
    </row>
    <row r="398" spans="1:3" x14ac:dyDescent="0.25">
      <c r="A398" s="121" t="s">
        <v>1718</v>
      </c>
      <c r="B398" s="121" t="s">
        <v>291</v>
      </c>
      <c r="C398" s="121" t="s">
        <v>1717</v>
      </c>
    </row>
    <row r="399" spans="1:3" x14ac:dyDescent="0.25">
      <c r="A399" s="121" t="s">
        <v>1716</v>
      </c>
      <c r="B399" s="121" t="s">
        <v>1715</v>
      </c>
      <c r="C399" s="121" t="s">
        <v>1714</v>
      </c>
    </row>
    <row r="400" spans="1:3" x14ac:dyDescent="0.25">
      <c r="A400" s="121" t="s">
        <v>1713</v>
      </c>
      <c r="B400" s="121" t="s">
        <v>1712</v>
      </c>
      <c r="C400" s="121" t="s">
        <v>1711</v>
      </c>
    </row>
    <row r="401" spans="1:3" x14ac:dyDescent="0.25">
      <c r="A401" s="121" t="s">
        <v>1710</v>
      </c>
      <c r="B401" s="121" t="s">
        <v>1709</v>
      </c>
      <c r="C401" s="121" t="s">
        <v>1709</v>
      </c>
    </row>
    <row r="402" spans="1:3" x14ac:dyDescent="0.25">
      <c r="A402" s="121" t="s">
        <v>1708</v>
      </c>
      <c r="B402" s="121" t="s">
        <v>1707</v>
      </c>
      <c r="C402" s="121" t="s">
        <v>1706</v>
      </c>
    </row>
    <row r="403" spans="1:3" x14ac:dyDescent="0.25">
      <c r="A403" s="121" t="s">
        <v>1705</v>
      </c>
      <c r="B403" s="121" t="s">
        <v>1704</v>
      </c>
      <c r="C403" s="121" t="s">
        <v>1703</v>
      </c>
    </row>
    <row r="404" spans="1:3" x14ac:dyDescent="0.25">
      <c r="A404" s="121" t="s">
        <v>1702</v>
      </c>
      <c r="B404" s="121" t="s">
        <v>1701</v>
      </c>
      <c r="C404" s="121" t="s">
        <v>1700</v>
      </c>
    </row>
    <row r="405" spans="1:3" x14ac:dyDescent="0.25">
      <c r="A405" s="121" t="s">
        <v>1699</v>
      </c>
      <c r="B405" s="121" t="s">
        <v>1698</v>
      </c>
      <c r="C405" s="121" t="s">
        <v>1697</v>
      </c>
    </row>
    <row r="406" spans="1:3" x14ac:dyDescent="0.25">
      <c r="A406" s="121" t="s">
        <v>1696</v>
      </c>
      <c r="B406" s="121" t="s">
        <v>159</v>
      </c>
      <c r="C406" s="121" t="s">
        <v>1695</v>
      </c>
    </row>
    <row r="407" spans="1:3" x14ac:dyDescent="0.25">
      <c r="A407" s="121" t="s">
        <v>1694</v>
      </c>
      <c r="B407" s="121" t="s">
        <v>1693</v>
      </c>
      <c r="C407" s="121" t="s">
        <v>1692</v>
      </c>
    </row>
    <row r="408" spans="1:3" x14ac:dyDescent="0.25">
      <c r="A408" s="121" t="s">
        <v>405</v>
      </c>
      <c r="B408" s="121" t="s">
        <v>177</v>
      </c>
      <c r="C408" s="121" t="s">
        <v>104</v>
      </c>
    </row>
    <row r="409" spans="1:3" x14ac:dyDescent="0.25">
      <c r="A409" s="121" t="s">
        <v>1691</v>
      </c>
      <c r="B409" s="121" t="s">
        <v>1690</v>
      </c>
      <c r="C409" s="121" t="s">
        <v>1689</v>
      </c>
    </row>
    <row r="410" spans="1:3" x14ac:dyDescent="0.25">
      <c r="A410" s="121" t="s">
        <v>1688</v>
      </c>
      <c r="B410" s="121" t="s">
        <v>1687</v>
      </c>
      <c r="C410" s="121" t="s">
        <v>1686</v>
      </c>
    </row>
    <row r="411" spans="1:3" x14ac:dyDescent="0.25">
      <c r="A411" s="121" t="s">
        <v>1685</v>
      </c>
      <c r="B411" s="121" t="s">
        <v>1684</v>
      </c>
      <c r="C411" s="121" t="s">
        <v>71</v>
      </c>
    </row>
    <row r="412" spans="1:3" x14ac:dyDescent="0.25">
      <c r="A412" s="121" t="s">
        <v>1683</v>
      </c>
      <c r="B412" s="121" t="s">
        <v>1682</v>
      </c>
      <c r="C412" s="121" t="s">
        <v>1681</v>
      </c>
    </row>
    <row r="413" spans="1:3" x14ac:dyDescent="0.25">
      <c r="A413" s="121" t="s">
        <v>1680</v>
      </c>
      <c r="B413" s="121" t="s">
        <v>167</v>
      </c>
      <c r="C413" s="121" t="s">
        <v>1679</v>
      </c>
    </row>
    <row r="414" spans="1:3" x14ac:dyDescent="0.25">
      <c r="A414" s="121" t="s">
        <v>1678</v>
      </c>
      <c r="B414" s="121" t="s">
        <v>1677</v>
      </c>
      <c r="C414" s="121" t="s">
        <v>1676</v>
      </c>
    </row>
    <row r="415" spans="1:3" x14ac:dyDescent="0.25">
      <c r="A415" s="121" t="s">
        <v>1675</v>
      </c>
      <c r="B415" s="121" t="s">
        <v>1674</v>
      </c>
      <c r="C415" s="121" t="s">
        <v>1673</v>
      </c>
    </row>
    <row r="416" spans="1:3" x14ac:dyDescent="0.25">
      <c r="A416" s="121" t="s">
        <v>1672</v>
      </c>
      <c r="B416" s="121" t="s">
        <v>1671</v>
      </c>
      <c r="C416" s="121" t="s">
        <v>1670</v>
      </c>
    </row>
    <row r="417" spans="1:3" x14ac:dyDescent="0.25">
      <c r="A417" s="121" t="s">
        <v>1669</v>
      </c>
      <c r="B417" s="121" t="s">
        <v>1668</v>
      </c>
      <c r="C417" s="121" t="s">
        <v>1667</v>
      </c>
    </row>
    <row r="418" spans="1:3" x14ac:dyDescent="0.25">
      <c r="A418" s="121" t="s">
        <v>1666</v>
      </c>
      <c r="B418" s="121" t="s">
        <v>1665</v>
      </c>
      <c r="C418" s="121" t="s">
        <v>1664</v>
      </c>
    </row>
    <row r="419" spans="1:3" x14ac:dyDescent="0.25">
      <c r="A419" s="121" t="s">
        <v>1663</v>
      </c>
      <c r="B419" s="121" t="s">
        <v>1662</v>
      </c>
      <c r="C419" s="121" t="s">
        <v>1661</v>
      </c>
    </row>
    <row r="420" spans="1:3" x14ac:dyDescent="0.25">
      <c r="A420" s="121" t="s">
        <v>1660</v>
      </c>
      <c r="B420" s="121" t="s">
        <v>1659</v>
      </c>
      <c r="C420" s="121" t="s">
        <v>1658</v>
      </c>
    </row>
    <row r="421" spans="1:3" x14ac:dyDescent="0.25">
      <c r="A421" s="121" t="s">
        <v>1657</v>
      </c>
      <c r="B421" s="121" t="s">
        <v>1656</v>
      </c>
      <c r="C421" s="121" t="s">
        <v>1655</v>
      </c>
    </row>
    <row r="422" spans="1:3" x14ac:dyDescent="0.25">
      <c r="A422" s="121" t="s">
        <v>410</v>
      </c>
      <c r="B422" s="121" t="s">
        <v>1654</v>
      </c>
      <c r="C422" s="121" t="s">
        <v>1653</v>
      </c>
    </row>
    <row r="423" spans="1:3" x14ac:dyDescent="0.25">
      <c r="A423" s="121" t="s">
        <v>1652</v>
      </c>
      <c r="B423" s="121" t="s">
        <v>1651</v>
      </c>
      <c r="C423" s="121" t="s">
        <v>1650</v>
      </c>
    </row>
    <row r="424" spans="1:3" x14ac:dyDescent="0.25">
      <c r="A424" s="121" t="s">
        <v>1649</v>
      </c>
      <c r="B424" s="121" t="s">
        <v>1648</v>
      </c>
      <c r="C424" s="121" t="s">
        <v>1647</v>
      </c>
    </row>
    <row r="425" spans="1:3" x14ac:dyDescent="0.25">
      <c r="A425" s="121" t="s">
        <v>1646</v>
      </c>
      <c r="B425" s="121" t="s">
        <v>1645</v>
      </c>
      <c r="C425" s="121" t="s">
        <v>1644</v>
      </c>
    </row>
    <row r="426" spans="1:3" x14ac:dyDescent="0.25">
      <c r="A426" s="121" t="s">
        <v>1643</v>
      </c>
      <c r="B426" s="121" t="s">
        <v>313</v>
      </c>
      <c r="C426" s="121" t="s">
        <v>122</v>
      </c>
    </row>
    <row r="427" spans="1:3" x14ac:dyDescent="0.25">
      <c r="A427" s="121" t="s">
        <v>1642</v>
      </c>
      <c r="B427" s="121" t="s">
        <v>1641</v>
      </c>
      <c r="C427" s="121" t="s">
        <v>1640</v>
      </c>
    </row>
    <row r="428" spans="1:3" x14ac:dyDescent="0.25">
      <c r="A428" s="121" t="s">
        <v>1639</v>
      </c>
      <c r="B428" s="121" t="s">
        <v>1638</v>
      </c>
      <c r="C428" s="121" t="s">
        <v>1637</v>
      </c>
    </row>
    <row r="429" spans="1:3" x14ac:dyDescent="0.25">
      <c r="A429" s="121" t="s">
        <v>1636</v>
      </c>
      <c r="B429" s="121" t="s">
        <v>171</v>
      </c>
      <c r="C429" s="121" t="s">
        <v>147</v>
      </c>
    </row>
    <row r="430" spans="1:3" x14ac:dyDescent="0.25">
      <c r="A430" s="121" t="s">
        <v>1635</v>
      </c>
      <c r="B430" s="121" t="s">
        <v>1634</v>
      </c>
      <c r="C430" s="121" t="s">
        <v>1633</v>
      </c>
    </row>
    <row r="431" spans="1:3" x14ac:dyDescent="0.25">
      <c r="A431" s="121" t="s">
        <v>1632</v>
      </c>
      <c r="B431" s="121" t="s">
        <v>1631</v>
      </c>
      <c r="C431" s="121" t="s">
        <v>1630</v>
      </c>
    </row>
    <row r="432" spans="1:3" x14ac:dyDescent="0.25">
      <c r="A432" s="121" t="s">
        <v>1629</v>
      </c>
      <c r="B432" s="121" t="s">
        <v>1628</v>
      </c>
      <c r="C432" s="121" t="s">
        <v>1628</v>
      </c>
    </row>
    <row r="433" spans="1:3" x14ac:dyDescent="0.25">
      <c r="A433" s="121" t="s">
        <v>1627</v>
      </c>
      <c r="B433" s="121" t="s">
        <v>1626</v>
      </c>
      <c r="C433" s="121" t="s">
        <v>286</v>
      </c>
    </row>
    <row r="434" spans="1:3" x14ac:dyDescent="0.25">
      <c r="A434" s="121" t="s">
        <v>1625</v>
      </c>
      <c r="B434" s="121" t="s">
        <v>1624</v>
      </c>
      <c r="C434" s="121" t="s">
        <v>1623</v>
      </c>
    </row>
    <row r="435" spans="1:3" x14ac:dyDescent="0.25">
      <c r="A435" s="121" t="s">
        <v>1622</v>
      </c>
      <c r="B435" s="121" t="s">
        <v>1621</v>
      </c>
      <c r="C435" s="121" t="s">
        <v>1620</v>
      </c>
    </row>
    <row r="436" spans="1:3" x14ac:dyDescent="0.25">
      <c r="A436" s="121" t="s">
        <v>1619</v>
      </c>
      <c r="B436" s="121" t="s">
        <v>1618</v>
      </c>
      <c r="C436" s="121" t="s">
        <v>1617</v>
      </c>
    </row>
    <row r="437" spans="1:3" x14ac:dyDescent="0.25">
      <c r="A437" s="121" t="s">
        <v>1616</v>
      </c>
      <c r="B437" s="121" t="s">
        <v>1615</v>
      </c>
      <c r="C437" s="121" t="s">
        <v>1614</v>
      </c>
    </row>
    <row r="438" spans="1:3" x14ac:dyDescent="0.25">
      <c r="A438" s="121" t="s">
        <v>1613</v>
      </c>
      <c r="B438" s="121" t="s">
        <v>1612</v>
      </c>
      <c r="C438" s="121" t="s">
        <v>1611</v>
      </c>
    </row>
    <row r="439" spans="1:3" x14ac:dyDescent="0.25">
      <c r="A439" s="121" t="s">
        <v>1610</v>
      </c>
      <c r="B439" s="121" t="s">
        <v>1609</v>
      </c>
      <c r="C439" s="121" t="s">
        <v>1608</v>
      </c>
    </row>
    <row r="440" spans="1:3" x14ac:dyDescent="0.25">
      <c r="A440" s="121" t="s">
        <v>284</v>
      </c>
      <c r="B440" s="121" t="s">
        <v>1607</v>
      </c>
      <c r="C440" s="121" t="s">
        <v>285</v>
      </c>
    </row>
    <row r="441" spans="1:3" x14ac:dyDescent="0.25">
      <c r="A441" s="121" t="s">
        <v>1606</v>
      </c>
      <c r="B441" s="121" t="s">
        <v>1605</v>
      </c>
      <c r="C441" s="121" t="s">
        <v>1604</v>
      </c>
    </row>
    <row r="442" spans="1:3" x14ac:dyDescent="0.25">
      <c r="A442" s="121" t="s">
        <v>1603</v>
      </c>
      <c r="B442" s="121" t="s">
        <v>184</v>
      </c>
      <c r="C442" s="121" t="s">
        <v>236</v>
      </c>
    </row>
    <row r="443" spans="1:3" x14ac:dyDescent="0.25">
      <c r="A443" s="121" t="s">
        <v>1602</v>
      </c>
      <c r="B443" s="121" t="s">
        <v>1601</v>
      </c>
      <c r="C443" s="121" t="s">
        <v>1600</v>
      </c>
    </row>
    <row r="444" spans="1:3" x14ac:dyDescent="0.25">
      <c r="A444" s="121" t="s">
        <v>1599</v>
      </c>
      <c r="B444" s="121" t="s">
        <v>1598</v>
      </c>
      <c r="C444" s="121" t="s">
        <v>1597</v>
      </c>
    </row>
    <row r="445" spans="1:3" x14ac:dyDescent="0.25">
      <c r="A445" s="121" t="s">
        <v>1596</v>
      </c>
      <c r="B445" s="121" t="s">
        <v>1595</v>
      </c>
      <c r="C445" s="121" t="s">
        <v>1594</v>
      </c>
    </row>
    <row r="446" spans="1:3" x14ac:dyDescent="0.25">
      <c r="A446" s="121" t="s">
        <v>1593</v>
      </c>
      <c r="B446" s="121" t="s">
        <v>1592</v>
      </c>
      <c r="C446" s="121" t="s">
        <v>1591</v>
      </c>
    </row>
    <row r="447" spans="1:3" x14ac:dyDescent="0.25">
      <c r="A447" s="121" t="s">
        <v>1590</v>
      </c>
      <c r="B447" s="121" t="s">
        <v>1589</v>
      </c>
      <c r="C447" s="121" t="s">
        <v>1588</v>
      </c>
    </row>
    <row r="448" spans="1:3" x14ac:dyDescent="0.25">
      <c r="A448" s="121" t="s">
        <v>1587</v>
      </c>
      <c r="B448" s="121" t="s">
        <v>317</v>
      </c>
      <c r="C448" s="121" t="s">
        <v>1586</v>
      </c>
    </row>
    <row r="449" spans="1:3" x14ac:dyDescent="0.25">
      <c r="A449" s="121" t="s">
        <v>1585</v>
      </c>
      <c r="B449" s="121" t="s">
        <v>1584</v>
      </c>
      <c r="C449" s="121" t="s">
        <v>1583</v>
      </c>
    </row>
    <row r="450" spans="1:3" x14ac:dyDescent="0.25">
      <c r="A450" s="121" t="s">
        <v>1582</v>
      </c>
      <c r="B450" s="121" t="s">
        <v>339</v>
      </c>
      <c r="C450" s="121" t="s">
        <v>7</v>
      </c>
    </row>
    <row r="451" spans="1:3" x14ac:dyDescent="0.25">
      <c r="A451" s="121" t="s">
        <v>1581</v>
      </c>
      <c r="B451" s="121" t="s">
        <v>1580</v>
      </c>
      <c r="C451" s="121" t="s">
        <v>1579</v>
      </c>
    </row>
    <row r="452" spans="1:3" x14ac:dyDescent="0.25">
      <c r="A452" s="121" t="s">
        <v>1578</v>
      </c>
      <c r="B452" s="121" t="s">
        <v>1577</v>
      </c>
      <c r="C452" s="121" t="s">
        <v>258</v>
      </c>
    </row>
    <row r="453" spans="1:3" x14ac:dyDescent="0.25">
      <c r="A453" s="121" t="s">
        <v>1576</v>
      </c>
      <c r="B453" s="121" t="s">
        <v>1575</v>
      </c>
      <c r="C453" s="121" t="s">
        <v>1574</v>
      </c>
    </row>
    <row r="454" spans="1:3" x14ac:dyDescent="0.25">
      <c r="A454" s="121" t="s">
        <v>1573</v>
      </c>
      <c r="B454" s="121" t="s">
        <v>223</v>
      </c>
      <c r="C454" s="121" t="s">
        <v>15</v>
      </c>
    </row>
    <row r="455" spans="1:3" x14ac:dyDescent="0.25">
      <c r="A455" s="121" t="s">
        <v>1572</v>
      </c>
      <c r="B455" s="121" t="s">
        <v>1571</v>
      </c>
      <c r="C455" s="121" t="s">
        <v>1570</v>
      </c>
    </row>
    <row r="456" spans="1:3" x14ac:dyDescent="0.25">
      <c r="A456" s="121" t="s">
        <v>1569</v>
      </c>
      <c r="B456" s="121" t="s">
        <v>311</v>
      </c>
      <c r="C456" s="121" t="s">
        <v>105</v>
      </c>
    </row>
    <row r="457" spans="1:3" x14ac:dyDescent="0.25">
      <c r="A457" s="121" t="s">
        <v>1568</v>
      </c>
      <c r="B457" s="121" t="s">
        <v>1567</v>
      </c>
      <c r="C457" s="121" t="s">
        <v>1566</v>
      </c>
    </row>
    <row r="458" spans="1:3" x14ac:dyDescent="0.25">
      <c r="A458" s="121" t="s">
        <v>1565</v>
      </c>
      <c r="B458" s="121" t="s">
        <v>1564</v>
      </c>
      <c r="C458" s="121" t="s">
        <v>1563</v>
      </c>
    </row>
    <row r="459" spans="1:3" x14ac:dyDescent="0.25">
      <c r="A459" s="121" t="s">
        <v>1562</v>
      </c>
      <c r="B459" s="121" t="s">
        <v>1561</v>
      </c>
      <c r="C459" s="121" t="s">
        <v>1560</v>
      </c>
    </row>
    <row r="460" spans="1:3" x14ac:dyDescent="0.25">
      <c r="A460" s="121" t="s">
        <v>1559</v>
      </c>
      <c r="B460" s="121" t="s">
        <v>206</v>
      </c>
      <c r="C460" s="121" t="s">
        <v>106</v>
      </c>
    </row>
    <row r="461" spans="1:3" x14ac:dyDescent="0.25">
      <c r="A461" s="121" t="s">
        <v>1558</v>
      </c>
      <c r="B461" s="121" t="s">
        <v>1557</v>
      </c>
      <c r="C461" s="121" t="s">
        <v>1556</v>
      </c>
    </row>
    <row r="462" spans="1:3" x14ac:dyDescent="0.25">
      <c r="A462" s="121" t="s">
        <v>1555</v>
      </c>
      <c r="B462" s="121" t="s">
        <v>1554</v>
      </c>
      <c r="C462" s="121" t="s">
        <v>1553</v>
      </c>
    </row>
    <row r="463" spans="1:3" x14ac:dyDescent="0.25">
      <c r="A463" s="121" t="s">
        <v>1552</v>
      </c>
      <c r="B463" s="121" t="s">
        <v>1551</v>
      </c>
      <c r="C463" s="121" t="s">
        <v>1550</v>
      </c>
    </row>
    <row r="464" spans="1:3" x14ac:dyDescent="0.25">
      <c r="A464" s="121" t="s">
        <v>1549</v>
      </c>
      <c r="B464" s="121" t="s">
        <v>1548</v>
      </c>
      <c r="C464" s="121" t="s">
        <v>1547</v>
      </c>
    </row>
    <row r="465" spans="1:3" x14ac:dyDescent="0.25">
      <c r="A465" s="121" t="s">
        <v>1546</v>
      </c>
      <c r="B465" s="121" t="s">
        <v>190</v>
      </c>
      <c r="C465" s="121" t="s">
        <v>1545</v>
      </c>
    </row>
    <row r="466" spans="1:3" x14ac:dyDescent="0.25">
      <c r="A466" s="121" t="s">
        <v>1544</v>
      </c>
      <c r="B466" s="121" t="s">
        <v>1543</v>
      </c>
      <c r="C466" s="121" t="s">
        <v>1542</v>
      </c>
    </row>
    <row r="467" spans="1:3" x14ac:dyDescent="0.25">
      <c r="A467" s="121" t="s">
        <v>1541</v>
      </c>
      <c r="B467" s="121" t="s">
        <v>1540</v>
      </c>
      <c r="C467" s="121" t="s">
        <v>1539</v>
      </c>
    </row>
    <row r="468" spans="1:3" x14ac:dyDescent="0.25">
      <c r="A468" s="121" t="s">
        <v>1538</v>
      </c>
      <c r="B468" s="121" t="s">
        <v>1537</v>
      </c>
      <c r="C468" s="121" t="s">
        <v>1536</v>
      </c>
    </row>
    <row r="469" spans="1:3" x14ac:dyDescent="0.25">
      <c r="A469" s="121" t="s">
        <v>1535</v>
      </c>
      <c r="B469" s="121" t="s">
        <v>331</v>
      </c>
      <c r="C469" s="121" t="s">
        <v>68</v>
      </c>
    </row>
    <row r="470" spans="1:3" x14ac:dyDescent="0.25">
      <c r="A470" s="121" t="s">
        <v>1534</v>
      </c>
      <c r="B470" s="121" t="s">
        <v>1533</v>
      </c>
      <c r="C470" s="121" t="s">
        <v>1532</v>
      </c>
    </row>
    <row r="471" spans="1:3" x14ac:dyDescent="0.25">
      <c r="A471" s="121" t="s">
        <v>1531</v>
      </c>
      <c r="B471" s="121" t="s">
        <v>1530</v>
      </c>
      <c r="C471" s="121" t="s">
        <v>1529</v>
      </c>
    </row>
    <row r="472" spans="1:3" x14ac:dyDescent="0.25">
      <c r="A472" s="121" t="s">
        <v>1528</v>
      </c>
      <c r="B472" s="121" t="s">
        <v>1527</v>
      </c>
      <c r="C472" s="121" t="s">
        <v>1526</v>
      </c>
    </row>
    <row r="473" spans="1:3" x14ac:dyDescent="0.25">
      <c r="A473" s="121" t="s">
        <v>1525</v>
      </c>
      <c r="B473" s="121" t="s">
        <v>1524</v>
      </c>
      <c r="C473" s="121" t="s">
        <v>145</v>
      </c>
    </row>
    <row r="474" spans="1:3" x14ac:dyDescent="0.25">
      <c r="A474" s="121" t="s">
        <v>1523</v>
      </c>
      <c r="B474" s="121" t="s">
        <v>1522</v>
      </c>
      <c r="C474" s="121" t="s">
        <v>1521</v>
      </c>
    </row>
    <row r="475" spans="1:3" x14ac:dyDescent="0.25">
      <c r="A475" s="121" t="s">
        <v>1520</v>
      </c>
      <c r="B475" s="121" t="s">
        <v>1519</v>
      </c>
      <c r="C475" s="121" t="s">
        <v>1518</v>
      </c>
    </row>
    <row r="476" spans="1:3" x14ac:dyDescent="0.25">
      <c r="A476" s="121" t="s">
        <v>1517</v>
      </c>
      <c r="B476" s="121" t="s">
        <v>1516</v>
      </c>
      <c r="C476" s="121" t="s">
        <v>134</v>
      </c>
    </row>
    <row r="477" spans="1:3" x14ac:dyDescent="0.25">
      <c r="A477" s="121" t="s">
        <v>1515</v>
      </c>
      <c r="B477" s="121" t="s">
        <v>1514</v>
      </c>
      <c r="C477" s="121" t="s">
        <v>1513</v>
      </c>
    </row>
    <row r="478" spans="1:3" x14ac:dyDescent="0.25">
      <c r="A478" s="121" t="s">
        <v>1512</v>
      </c>
      <c r="B478" s="121" t="s">
        <v>233</v>
      </c>
      <c r="C478" s="121" t="s">
        <v>1511</v>
      </c>
    </row>
    <row r="479" spans="1:3" x14ac:dyDescent="0.25">
      <c r="A479" s="121" t="s">
        <v>1510</v>
      </c>
      <c r="B479" s="121" t="s">
        <v>1509</v>
      </c>
      <c r="C479" s="121" t="s">
        <v>1508</v>
      </c>
    </row>
    <row r="480" spans="1:3" x14ac:dyDescent="0.25">
      <c r="A480" s="121" t="s">
        <v>1507</v>
      </c>
      <c r="B480" s="121" t="s">
        <v>1506</v>
      </c>
      <c r="C480" s="121" t="s">
        <v>1505</v>
      </c>
    </row>
    <row r="481" spans="1:3" x14ac:dyDescent="0.25">
      <c r="A481" s="121" t="s">
        <v>1504</v>
      </c>
      <c r="B481" s="121" t="s">
        <v>1503</v>
      </c>
      <c r="C481" s="121" t="s">
        <v>1502</v>
      </c>
    </row>
    <row r="482" spans="1:3" x14ac:dyDescent="0.25">
      <c r="A482" s="121" t="s">
        <v>1501</v>
      </c>
      <c r="B482" s="121" t="s">
        <v>1500</v>
      </c>
      <c r="C482" s="121" t="s">
        <v>1499</v>
      </c>
    </row>
    <row r="483" spans="1:3" x14ac:dyDescent="0.25">
      <c r="A483" s="121" t="s">
        <v>1498</v>
      </c>
      <c r="B483" s="121" t="s">
        <v>325</v>
      </c>
      <c r="C483" s="121" t="s">
        <v>72</v>
      </c>
    </row>
    <row r="484" spans="1:3" x14ac:dyDescent="0.25">
      <c r="A484" s="121" t="s">
        <v>1497</v>
      </c>
      <c r="B484" s="121" t="s">
        <v>1496</v>
      </c>
      <c r="C484" s="121" t="s">
        <v>1495</v>
      </c>
    </row>
    <row r="485" spans="1:3" x14ac:dyDescent="0.25">
      <c r="A485" s="121" t="s">
        <v>1494</v>
      </c>
      <c r="B485" s="121" t="s">
        <v>1493</v>
      </c>
      <c r="C485" s="121" t="s">
        <v>1492</v>
      </c>
    </row>
    <row r="486" spans="1:3" x14ac:dyDescent="0.25">
      <c r="A486" s="121" t="s">
        <v>1491</v>
      </c>
      <c r="B486" s="121" t="s">
        <v>1490</v>
      </c>
      <c r="C486" s="121" t="s">
        <v>1490</v>
      </c>
    </row>
    <row r="487" spans="1:3" x14ac:dyDescent="0.25">
      <c r="A487" s="121" t="s">
        <v>1489</v>
      </c>
      <c r="B487" s="121" t="s">
        <v>1488</v>
      </c>
      <c r="C487" s="121" t="s">
        <v>1487</v>
      </c>
    </row>
    <row r="488" spans="1:3" x14ac:dyDescent="0.25">
      <c r="A488" s="121" t="s">
        <v>1486</v>
      </c>
      <c r="B488" s="121" t="s">
        <v>316</v>
      </c>
      <c r="C488" s="121" t="s">
        <v>103</v>
      </c>
    </row>
    <row r="489" spans="1:3" x14ac:dyDescent="0.25">
      <c r="A489" s="121" t="s">
        <v>1485</v>
      </c>
      <c r="B489" s="121" t="s">
        <v>1484</v>
      </c>
      <c r="C489" s="121" t="s">
        <v>1483</v>
      </c>
    </row>
    <row r="490" spans="1:3" x14ac:dyDescent="0.25">
      <c r="A490" s="121" t="s">
        <v>1482</v>
      </c>
      <c r="B490" s="121" t="s">
        <v>1481</v>
      </c>
      <c r="C490" s="121" t="s">
        <v>289</v>
      </c>
    </row>
    <row r="491" spans="1:3" x14ac:dyDescent="0.25">
      <c r="A491" s="121" t="s">
        <v>452</v>
      </c>
      <c r="B491" s="121" t="s">
        <v>1480</v>
      </c>
      <c r="C491" s="121" t="s">
        <v>1479</v>
      </c>
    </row>
    <row r="492" spans="1:3" x14ac:dyDescent="0.25">
      <c r="A492" s="121" t="s">
        <v>1478</v>
      </c>
      <c r="B492" s="121" t="s">
        <v>1477</v>
      </c>
      <c r="C492" s="121" t="s">
        <v>1476</v>
      </c>
    </row>
    <row r="493" spans="1:3" x14ac:dyDescent="0.25">
      <c r="A493" s="121" t="s">
        <v>1475</v>
      </c>
      <c r="B493" s="121" t="s">
        <v>1474</v>
      </c>
      <c r="C493" s="121" t="s">
        <v>1473</v>
      </c>
    </row>
    <row r="494" spans="1:3" x14ac:dyDescent="0.25">
      <c r="A494" s="121" t="s">
        <v>1472</v>
      </c>
      <c r="B494" s="121" t="s">
        <v>330</v>
      </c>
      <c r="C494" s="121" t="s">
        <v>1471</v>
      </c>
    </row>
    <row r="495" spans="1:3" x14ac:dyDescent="0.25">
      <c r="A495" s="121" t="s">
        <v>1470</v>
      </c>
      <c r="B495" s="121" t="s">
        <v>1469</v>
      </c>
      <c r="C495" s="121" t="s">
        <v>1468</v>
      </c>
    </row>
    <row r="496" spans="1:3" x14ac:dyDescent="0.25">
      <c r="A496" s="121" t="s">
        <v>1467</v>
      </c>
      <c r="B496" s="121" t="s">
        <v>1466</v>
      </c>
      <c r="C496" s="121" t="s">
        <v>1466</v>
      </c>
    </row>
    <row r="497" spans="1:3" x14ac:dyDescent="0.25">
      <c r="A497" s="121" t="s">
        <v>1465</v>
      </c>
      <c r="B497" s="121" t="s">
        <v>1464</v>
      </c>
      <c r="C497" s="121" t="s">
        <v>1463</v>
      </c>
    </row>
    <row r="498" spans="1:3" x14ac:dyDescent="0.25">
      <c r="A498" s="121" t="s">
        <v>1462</v>
      </c>
      <c r="B498" s="121" t="s">
        <v>1461</v>
      </c>
      <c r="C498" s="121" t="s">
        <v>1460</v>
      </c>
    </row>
    <row r="499" spans="1:3" x14ac:dyDescent="0.25">
      <c r="A499" s="121" t="s">
        <v>1459</v>
      </c>
      <c r="B499" s="121" t="s">
        <v>334</v>
      </c>
      <c r="C499" s="121" t="s">
        <v>335</v>
      </c>
    </row>
    <row r="500" spans="1:3" x14ac:dyDescent="0.25">
      <c r="A500" s="121" t="s">
        <v>1458</v>
      </c>
      <c r="B500" s="121" t="s">
        <v>1457</v>
      </c>
      <c r="C500" s="121" t="s">
        <v>1457</v>
      </c>
    </row>
    <row r="501" spans="1:3" x14ac:dyDescent="0.25">
      <c r="A501" s="121" t="s">
        <v>1456</v>
      </c>
      <c r="B501" s="121" t="s">
        <v>217</v>
      </c>
      <c r="C501" s="121" t="s">
        <v>1455</v>
      </c>
    </row>
    <row r="502" spans="1:3" x14ac:dyDescent="0.25">
      <c r="A502" s="121" t="s">
        <v>135</v>
      </c>
      <c r="B502" s="121" t="s">
        <v>345</v>
      </c>
      <c r="C502" s="121" t="s">
        <v>9</v>
      </c>
    </row>
    <row r="503" spans="1:3" x14ac:dyDescent="0.25">
      <c r="A503" s="121" t="s">
        <v>1454</v>
      </c>
      <c r="B503" s="121" t="s">
        <v>225</v>
      </c>
      <c r="C503" s="121" t="s">
        <v>140</v>
      </c>
    </row>
    <row r="504" spans="1:3" x14ac:dyDescent="0.25">
      <c r="A504" s="121" t="s">
        <v>1453</v>
      </c>
      <c r="B504" s="121" t="s">
        <v>210</v>
      </c>
      <c r="C504" s="121" t="s">
        <v>269</v>
      </c>
    </row>
    <row r="505" spans="1:3" x14ac:dyDescent="0.25">
      <c r="A505" s="121" t="s">
        <v>1452</v>
      </c>
      <c r="B505" s="121" t="s">
        <v>1451</v>
      </c>
      <c r="C505" s="121" t="s">
        <v>246</v>
      </c>
    </row>
    <row r="506" spans="1:3" x14ac:dyDescent="0.25">
      <c r="A506" s="121" t="s">
        <v>1450</v>
      </c>
      <c r="B506" s="121" t="s">
        <v>1449</v>
      </c>
      <c r="C506" s="121" t="s">
        <v>1448</v>
      </c>
    </row>
    <row r="507" spans="1:3" x14ac:dyDescent="0.25">
      <c r="A507" s="121" t="s">
        <v>1447</v>
      </c>
      <c r="B507" s="121" t="s">
        <v>1446</v>
      </c>
      <c r="C507" s="121" t="s">
        <v>1445</v>
      </c>
    </row>
    <row r="508" spans="1:3" x14ac:dyDescent="0.25">
      <c r="A508" s="121" t="s">
        <v>1444</v>
      </c>
      <c r="B508" s="121" t="s">
        <v>1443</v>
      </c>
      <c r="C508" s="121" t="s">
        <v>1442</v>
      </c>
    </row>
    <row r="509" spans="1:3" x14ac:dyDescent="0.25">
      <c r="A509" s="121" t="s">
        <v>1441</v>
      </c>
      <c r="B509" s="121" t="s">
        <v>1440</v>
      </c>
      <c r="C509" s="121" t="s">
        <v>1439</v>
      </c>
    </row>
    <row r="510" spans="1:3" x14ac:dyDescent="0.25">
      <c r="A510" s="121" t="s">
        <v>1438</v>
      </c>
      <c r="B510" s="121" t="s">
        <v>1437</v>
      </c>
      <c r="C510" s="121" t="s">
        <v>1436</v>
      </c>
    </row>
    <row r="511" spans="1:3" x14ac:dyDescent="0.25">
      <c r="A511" s="121" t="s">
        <v>1435</v>
      </c>
      <c r="B511" s="121" t="s">
        <v>1434</v>
      </c>
      <c r="C511" s="121" t="s">
        <v>1433</v>
      </c>
    </row>
    <row r="512" spans="1:3" x14ac:dyDescent="0.25">
      <c r="A512" s="121" t="s">
        <v>1432</v>
      </c>
      <c r="B512" s="121" t="s">
        <v>227</v>
      </c>
      <c r="C512" s="121" t="s">
        <v>1431</v>
      </c>
    </row>
    <row r="513" spans="1:3" x14ac:dyDescent="0.25">
      <c r="A513" s="121" t="s">
        <v>1430</v>
      </c>
      <c r="B513" s="121" t="s">
        <v>1429</v>
      </c>
      <c r="C513" s="121" t="s">
        <v>1428</v>
      </c>
    </row>
    <row r="514" spans="1:3" x14ac:dyDescent="0.25">
      <c r="A514" s="121" t="s">
        <v>1427</v>
      </c>
      <c r="B514" s="121" t="s">
        <v>1426</v>
      </c>
      <c r="C514" s="121" t="s">
        <v>1425</v>
      </c>
    </row>
    <row r="515" spans="1:3" x14ac:dyDescent="0.25">
      <c r="A515" s="121" t="s">
        <v>1424</v>
      </c>
      <c r="B515" s="121" t="s">
        <v>1423</v>
      </c>
      <c r="C515" s="121" t="s">
        <v>1422</v>
      </c>
    </row>
    <row r="516" spans="1:3" x14ac:dyDescent="0.25">
      <c r="A516" s="121" t="s">
        <v>1421</v>
      </c>
      <c r="B516" s="121" t="s">
        <v>1420</v>
      </c>
      <c r="C516" s="121" t="s">
        <v>1419</v>
      </c>
    </row>
    <row r="517" spans="1:3" x14ac:dyDescent="0.25">
      <c r="A517" s="121" t="s">
        <v>1418</v>
      </c>
      <c r="B517" s="121" t="s">
        <v>1417</v>
      </c>
      <c r="C517" s="121" t="s">
        <v>1416</v>
      </c>
    </row>
    <row r="518" spans="1:3" x14ac:dyDescent="0.25">
      <c r="A518" s="121" t="s">
        <v>1415</v>
      </c>
      <c r="B518" s="121" t="s">
        <v>1414</v>
      </c>
      <c r="C518" s="121" t="s">
        <v>1413</v>
      </c>
    </row>
    <row r="519" spans="1:3" x14ac:dyDescent="0.25">
      <c r="A519" s="121" t="s">
        <v>1412</v>
      </c>
      <c r="B519" s="121" t="s">
        <v>1411</v>
      </c>
      <c r="C519" s="121" t="s">
        <v>1410</v>
      </c>
    </row>
    <row r="520" spans="1:3" x14ac:dyDescent="0.25">
      <c r="A520" s="121" t="s">
        <v>1409</v>
      </c>
      <c r="B520" s="121" t="s">
        <v>1408</v>
      </c>
      <c r="C520" s="121" t="s">
        <v>1407</v>
      </c>
    </row>
    <row r="521" spans="1:3" x14ac:dyDescent="0.25">
      <c r="A521" s="121" t="s">
        <v>1406</v>
      </c>
      <c r="B521" s="121" t="s">
        <v>1405</v>
      </c>
      <c r="C521" s="121" t="s">
        <v>1404</v>
      </c>
    </row>
    <row r="522" spans="1:3" x14ac:dyDescent="0.25">
      <c r="A522" s="121" t="s">
        <v>1403</v>
      </c>
      <c r="B522" s="121" t="s">
        <v>1402</v>
      </c>
      <c r="C522" s="121" t="s">
        <v>1401</v>
      </c>
    </row>
    <row r="523" spans="1:3" x14ac:dyDescent="0.25">
      <c r="A523" s="121" t="s">
        <v>1400</v>
      </c>
      <c r="B523" s="121" t="s">
        <v>1399</v>
      </c>
      <c r="C523" s="121" t="s">
        <v>259</v>
      </c>
    </row>
    <row r="524" spans="1:3" x14ac:dyDescent="0.25">
      <c r="A524" s="121" t="s">
        <v>1398</v>
      </c>
      <c r="B524" s="121" t="s">
        <v>1397</v>
      </c>
      <c r="C524" s="121" t="s">
        <v>1396</v>
      </c>
    </row>
    <row r="525" spans="1:3" x14ac:dyDescent="0.25">
      <c r="A525" s="121" t="s">
        <v>1395</v>
      </c>
      <c r="B525" s="121" t="s">
        <v>1394</v>
      </c>
      <c r="C525" s="121" t="s">
        <v>1393</v>
      </c>
    </row>
    <row r="526" spans="1:3" x14ac:dyDescent="0.25">
      <c r="A526" s="121" t="s">
        <v>1392</v>
      </c>
      <c r="B526" s="121" t="s">
        <v>1391</v>
      </c>
      <c r="C526" s="121" t="s">
        <v>1390</v>
      </c>
    </row>
    <row r="527" spans="1:3" x14ac:dyDescent="0.25">
      <c r="A527" s="121" t="s">
        <v>1389</v>
      </c>
      <c r="B527" s="121" t="s">
        <v>1388</v>
      </c>
      <c r="C527" s="121" t="s">
        <v>1387</v>
      </c>
    </row>
    <row r="528" spans="1:3" x14ac:dyDescent="0.25">
      <c r="A528" s="121" t="s">
        <v>1386</v>
      </c>
      <c r="B528" s="121" t="s">
        <v>218</v>
      </c>
      <c r="C528" s="121" t="s">
        <v>1385</v>
      </c>
    </row>
    <row r="529" spans="1:3" x14ac:dyDescent="0.25">
      <c r="A529" s="121" t="s">
        <v>1384</v>
      </c>
      <c r="B529" s="121" t="s">
        <v>1383</v>
      </c>
      <c r="C529" s="121" t="s">
        <v>1382</v>
      </c>
    </row>
    <row r="530" spans="1:3" x14ac:dyDescent="0.25">
      <c r="A530" s="121" t="s">
        <v>1381</v>
      </c>
      <c r="B530" s="121" t="s">
        <v>1380</v>
      </c>
      <c r="C530" s="121" t="s">
        <v>1379</v>
      </c>
    </row>
    <row r="531" spans="1:3" x14ac:dyDescent="0.25">
      <c r="A531" s="121" t="s">
        <v>1378</v>
      </c>
      <c r="B531" s="121" t="s">
        <v>1377</v>
      </c>
      <c r="C531" s="121" t="s">
        <v>1376</v>
      </c>
    </row>
    <row r="532" spans="1:3" x14ac:dyDescent="0.25">
      <c r="A532" s="121" t="s">
        <v>1375</v>
      </c>
      <c r="B532" s="121" t="s">
        <v>1374</v>
      </c>
      <c r="C532" s="121" t="s">
        <v>1373</v>
      </c>
    </row>
    <row r="533" spans="1:3" x14ac:dyDescent="0.25">
      <c r="A533" s="121" t="s">
        <v>1372</v>
      </c>
      <c r="B533" s="121" t="s">
        <v>1371</v>
      </c>
      <c r="C533" s="121" t="s">
        <v>1370</v>
      </c>
    </row>
    <row r="534" spans="1:3" x14ac:dyDescent="0.25">
      <c r="A534" s="121" t="s">
        <v>1369</v>
      </c>
      <c r="B534" s="121" t="s">
        <v>1368</v>
      </c>
      <c r="C534" s="121" t="s">
        <v>1367</v>
      </c>
    </row>
    <row r="535" spans="1:3" x14ac:dyDescent="0.25">
      <c r="A535" s="121" t="s">
        <v>1366</v>
      </c>
      <c r="B535" s="121" t="s">
        <v>1365</v>
      </c>
      <c r="C535" s="121" t="s">
        <v>1364</v>
      </c>
    </row>
    <row r="536" spans="1:3" x14ac:dyDescent="0.25">
      <c r="A536" s="121" t="s">
        <v>1363</v>
      </c>
      <c r="B536" s="121" t="s">
        <v>1362</v>
      </c>
      <c r="C536" s="121" t="s">
        <v>1361</v>
      </c>
    </row>
    <row r="537" spans="1:3" x14ac:dyDescent="0.25">
      <c r="A537" s="121" t="s">
        <v>1360</v>
      </c>
      <c r="B537" s="121" t="s">
        <v>1359</v>
      </c>
      <c r="C537" s="121" t="s">
        <v>1358</v>
      </c>
    </row>
    <row r="538" spans="1:3" x14ac:dyDescent="0.25">
      <c r="A538" s="121" t="s">
        <v>1357</v>
      </c>
      <c r="B538" s="121" t="s">
        <v>303</v>
      </c>
      <c r="C538" s="121" t="s">
        <v>1356</v>
      </c>
    </row>
    <row r="539" spans="1:3" x14ac:dyDescent="0.25">
      <c r="A539" s="121" t="s">
        <v>1355</v>
      </c>
      <c r="B539" s="121" t="s">
        <v>165</v>
      </c>
      <c r="C539" s="121" t="s">
        <v>141</v>
      </c>
    </row>
    <row r="540" spans="1:3" x14ac:dyDescent="0.25">
      <c r="A540" s="121" t="s">
        <v>1354</v>
      </c>
      <c r="B540" s="121" t="s">
        <v>1353</v>
      </c>
      <c r="C540" s="121" t="s">
        <v>1352</v>
      </c>
    </row>
    <row r="541" spans="1:3" x14ac:dyDescent="0.25">
      <c r="A541" s="121" t="s">
        <v>1351</v>
      </c>
      <c r="B541" s="121" t="s">
        <v>1350</v>
      </c>
      <c r="C541" s="121" t="s">
        <v>1350</v>
      </c>
    </row>
    <row r="542" spans="1:3" x14ac:dyDescent="0.25">
      <c r="A542" s="121" t="s">
        <v>1349</v>
      </c>
      <c r="B542" s="121" t="s">
        <v>1348</v>
      </c>
      <c r="C542" s="121" t="s">
        <v>1347</v>
      </c>
    </row>
    <row r="543" spans="1:3" x14ac:dyDescent="0.25">
      <c r="A543" s="121" t="s">
        <v>1346</v>
      </c>
      <c r="B543" s="121" t="s">
        <v>1345</v>
      </c>
      <c r="C543" s="121" t="s">
        <v>1344</v>
      </c>
    </row>
    <row r="544" spans="1:3" x14ac:dyDescent="0.25">
      <c r="A544" s="121" t="s">
        <v>1343</v>
      </c>
      <c r="B544" s="121" t="s">
        <v>307</v>
      </c>
      <c r="C544" s="121" t="s">
        <v>1342</v>
      </c>
    </row>
    <row r="545" spans="1:3" x14ac:dyDescent="0.25">
      <c r="A545" s="121" t="s">
        <v>1341</v>
      </c>
      <c r="B545" s="121" t="s">
        <v>1340</v>
      </c>
      <c r="C545" s="121" t="s">
        <v>1339</v>
      </c>
    </row>
    <row r="546" spans="1:3" x14ac:dyDescent="0.25">
      <c r="A546" s="121" t="s">
        <v>1338</v>
      </c>
      <c r="B546" s="121" t="s">
        <v>1337</v>
      </c>
      <c r="C546" s="121" t="s">
        <v>1337</v>
      </c>
    </row>
    <row r="547" spans="1:3" x14ac:dyDescent="0.25">
      <c r="A547" s="121" t="s">
        <v>1336</v>
      </c>
      <c r="B547" s="121" t="s">
        <v>1335</v>
      </c>
      <c r="C547" s="121" t="s">
        <v>1334</v>
      </c>
    </row>
    <row r="548" spans="1:3" x14ac:dyDescent="0.25">
      <c r="A548" s="121" t="s">
        <v>1333</v>
      </c>
      <c r="B548" s="121" t="s">
        <v>1332</v>
      </c>
      <c r="C548" s="121" t="s">
        <v>1331</v>
      </c>
    </row>
    <row r="549" spans="1:3" x14ac:dyDescent="0.25">
      <c r="A549" s="121" t="s">
        <v>1330</v>
      </c>
      <c r="B549" s="121" t="s">
        <v>195</v>
      </c>
      <c r="C549" s="121" t="s">
        <v>1329</v>
      </c>
    </row>
    <row r="550" spans="1:3" x14ac:dyDescent="0.25">
      <c r="A550" s="121" t="s">
        <v>1328</v>
      </c>
      <c r="B550" s="121" t="s">
        <v>1327</v>
      </c>
      <c r="C550" s="121" t="s">
        <v>1326</v>
      </c>
    </row>
    <row r="551" spans="1:3" x14ac:dyDescent="0.25">
      <c r="A551" s="121" t="s">
        <v>1325</v>
      </c>
      <c r="B551" s="121" t="s">
        <v>1324</v>
      </c>
      <c r="C551" s="121" t="s">
        <v>1323</v>
      </c>
    </row>
    <row r="552" spans="1:3" x14ac:dyDescent="0.25">
      <c r="A552" s="121" t="s">
        <v>1322</v>
      </c>
      <c r="B552" s="121" t="s">
        <v>1321</v>
      </c>
      <c r="C552" s="121" t="s">
        <v>1320</v>
      </c>
    </row>
    <row r="553" spans="1:3" x14ac:dyDescent="0.25">
      <c r="A553" s="121" t="s">
        <v>1319</v>
      </c>
      <c r="B553" s="121" t="s">
        <v>1318</v>
      </c>
      <c r="C553" s="121" t="s">
        <v>1317</v>
      </c>
    </row>
    <row r="554" spans="1:3" x14ac:dyDescent="0.25">
      <c r="A554" s="121" t="s">
        <v>1316</v>
      </c>
      <c r="B554" s="121" t="s">
        <v>321</v>
      </c>
      <c r="C554" s="121" t="s">
        <v>136</v>
      </c>
    </row>
    <row r="555" spans="1:3" x14ac:dyDescent="0.25">
      <c r="A555" s="121" t="s">
        <v>1315</v>
      </c>
      <c r="B555" s="121" t="s">
        <v>1314</v>
      </c>
      <c r="C555" s="121" t="s">
        <v>1313</v>
      </c>
    </row>
    <row r="556" spans="1:3" x14ac:dyDescent="0.25">
      <c r="A556" s="121" t="s">
        <v>1312</v>
      </c>
      <c r="B556" s="121" t="s">
        <v>1311</v>
      </c>
      <c r="C556" s="121" t="s">
        <v>1310</v>
      </c>
    </row>
    <row r="557" spans="1:3" x14ac:dyDescent="0.25">
      <c r="A557" s="121" t="s">
        <v>1309</v>
      </c>
      <c r="B557" s="121" t="s">
        <v>1308</v>
      </c>
      <c r="C557" s="121" t="s">
        <v>1307</v>
      </c>
    </row>
    <row r="558" spans="1:3" x14ac:dyDescent="0.25">
      <c r="A558" s="121" t="s">
        <v>1306</v>
      </c>
      <c r="B558" s="121" t="s">
        <v>346</v>
      </c>
      <c r="C558" s="121" t="s">
        <v>98</v>
      </c>
    </row>
    <row r="559" spans="1:3" x14ac:dyDescent="0.25">
      <c r="A559" s="121" t="s">
        <v>1305</v>
      </c>
      <c r="B559" s="121" t="s">
        <v>1304</v>
      </c>
      <c r="C559" s="121" t="s">
        <v>1303</v>
      </c>
    </row>
    <row r="560" spans="1:3" x14ac:dyDescent="0.25">
      <c r="A560" s="121" t="s">
        <v>1302</v>
      </c>
      <c r="B560" s="121" t="s">
        <v>1301</v>
      </c>
      <c r="C560" s="121" t="s">
        <v>1300</v>
      </c>
    </row>
    <row r="561" spans="1:3" x14ac:dyDescent="0.25">
      <c r="A561" s="121" t="s">
        <v>1299</v>
      </c>
      <c r="B561" s="121" t="s">
        <v>1298</v>
      </c>
      <c r="C561" s="121" t="s">
        <v>1298</v>
      </c>
    </row>
    <row r="562" spans="1:3" x14ac:dyDescent="0.25">
      <c r="A562" s="121" t="s">
        <v>1297</v>
      </c>
      <c r="B562" s="121" t="s">
        <v>1296</v>
      </c>
      <c r="C562" s="121" t="s">
        <v>1296</v>
      </c>
    </row>
    <row r="563" spans="1:3" x14ac:dyDescent="0.25">
      <c r="A563" s="121" t="s">
        <v>1295</v>
      </c>
      <c r="B563" s="121" t="s">
        <v>1294</v>
      </c>
      <c r="C563" s="121" t="s">
        <v>1293</v>
      </c>
    </row>
    <row r="564" spans="1:3" x14ac:dyDescent="0.25">
      <c r="A564" s="121" t="s">
        <v>1292</v>
      </c>
      <c r="B564" s="121" t="s">
        <v>1291</v>
      </c>
      <c r="C564" s="121" t="s">
        <v>1290</v>
      </c>
    </row>
    <row r="565" spans="1:3" x14ac:dyDescent="0.25">
      <c r="A565" s="121" t="s">
        <v>1289</v>
      </c>
      <c r="B565" s="121" t="s">
        <v>1288</v>
      </c>
      <c r="C565" s="121" t="s">
        <v>1287</v>
      </c>
    </row>
    <row r="566" spans="1:3" x14ac:dyDescent="0.25">
      <c r="A566" s="121" t="s">
        <v>1286</v>
      </c>
      <c r="B566" s="121" t="s">
        <v>1285</v>
      </c>
      <c r="C566" s="121" t="s">
        <v>1284</v>
      </c>
    </row>
    <row r="567" spans="1:3" x14ac:dyDescent="0.25">
      <c r="A567" s="121" t="s">
        <v>1283</v>
      </c>
      <c r="B567" s="121" t="s">
        <v>1282</v>
      </c>
      <c r="C567" s="121" t="s">
        <v>1281</v>
      </c>
    </row>
    <row r="568" spans="1:3" x14ac:dyDescent="0.25">
      <c r="A568" s="121" t="s">
        <v>1280</v>
      </c>
      <c r="B568" s="121" t="s">
        <v>295</v>
      </c>
      <c r="C568" s="121" t="s">
        <v>1279</v>
      </c>
    </row>
    <row r="569" spans="1:3" x14ac:dyDescent="0.25">
      <c r="A569" s="121" t="s">
        <v>1278</v>
      </c>
      <c r="B569" s="121" t="s">
        <v>1277</v>
      </c>
      <c r="C569" s="121" t="s">
        <v>1276</v>
      </c>
    </row>
    <row r="570" spans="1:3" x14ac:dyDescent="0.25">
      <c r="A570" s="121" t="s">
        <v>1275</v>
      </c>
      <c r="B570" s="121" t="s">
        <v>1274</v>
      </c>
      <c r="C570" s="121" t="s">
        <v>1273</v>
      </c>
    </row>
    <row r="571" spans="1:3" x14ac:dyDescent="0.25">
      <c r="A571" s="121" t="s">
        <v>1272</v>
      </c>
      <c r="B571" s="121" t="s">
        <v>1271</v>
      </c>
      <c r="C571" s="121" t="s">
        <v>1270</v>
      </c>
    </row>
    <row r="572" spans="1:3" x14ac:dyDescent="0.25">
      <c r="A572" s="121" t="s">
        <v>1269</v>
      </c>
      <c r="B572" s="121" t="s">
        <v>1268</v>
      </c>
      <c r="C572" s="121" t="s">
        <v>144</v>
      </c>
    </row>
    <row r="573" spans="1:3" x14ac:dyDescent="0.25">
      <c r="A573" s="121" t="s">
        <v>1267</v>
      </c>
      <c r="B573" s="121" t="s">
        <v>1266</v>
      </c>
      <c r="C573" s="121" t="s">
        <v>1266</v>
      </c>
    </row>
    <row r="574" spans="1:3" x14ac:dyDescent="0.25">
      <c r="A574" s="121" t="s">
        <v>1265</v>
      </c>
      <c r="B574" s="121" t="s">
        <v>1264</v>
      </c>
      <c r="C574" s="121" t="s">
        <v>276</v>
      </c>
    </row>
    <row r="575" spans="1:3" x14ac:dyDescent="0.25">
      <c r="A575" s="121" t="s">
        <v>403</v>
      </c>
      <c r="B575" s="121" t="s">
        <v>1263</v>
      </c>
      <c r="C575" s="121" t="s">
        <v>1262</v>
      </c>
    </row>
    <row r="576" spans="1:3" x14ac:dyDescent="0.25">
      <c r="A576" s="121" t="s">
        <v>1261</v>
      </c>
      <c r="B576" s="121" t="s">
        <v>314</v>
      </c>
      <c r="C576" s="121" t="s">
        <v>257</v>
      </c>
    </row>
    <row r="577" spans="1:3" x14ac:dyDescent="0.25">
      <c r="A577" s="121" t="s">
        <v>1260</v>
      </c>
      <c r="B577" s="121" t="s">
        <v>1259</v>
      </c>
      <c r="C577" s="121" t="s">
        <v>1258</v>
      </c>
    </row>
    <row r="578" spans="1:3" x14ac:dyDescent="0.25">
      <c r="A578" s="121" t="s">
        <v>457</v>
      </c>
      <c r="B578" s="121" t="s">
        <v>1257</v>
      </c>
      <c r="C578" s="121" t="s">
        <v>1256</v>
      </c>
    </row>
    <row r="579" spans="1:3" x14ac:dyDescent="0.25">
      <c r="A579" s="121" t="s">
        <v>1255</v>
      </c>
      <c r="B579" s="121" t="s">
        <v>170</v>
      </c>
      <c r="C579" s="121" t="s">
        <v>142</v>
      </c>
    </row>
    <row r="580" spans="1:3" x14ac:dyDescent="0.25">
      <c r="A580" s="121" t="s">
        <v>1254</v>
      </c>
      <c r="B580" s="121" t="s">
        <v>1253</v>
      </c>
      <c r="C580" s="121" t="s">
        <v>1252</v>
      </c>
    </row>
    <row r="581" spans="1:3" x14ac:dyDescent="0.25">
      <c r="A581" s="121" t="s">
        <v>1251</v>
      </c>
      <c r="B581" s="121" t="s">
        <v>1250</v>
      </c>
      <c r="C581" s="121" t="s">
        <v>1249</v>
      </c>
    </row>
    <row r="582" spans="1:3" x14ac:dyDescent="0.25">
      <c r="A582" s="121" t="s">
        <v>1248</v>
      </c>
      <c r="B582" s="121" t="s">
        <v>1247</v>
      </c>
      <c r="C582" s="121" t="s">
        <v>1246</v>
      </c>
    </row>
    <row r="583" spans="1:3" x14ac:dyDescent="0.25">
      <c r="A583" s="121" t="s">
        <v>1245</v>
      </c>
      <c r="B583" s="121" t="s">
        <v>1244</v>
      </c>
      <c r="C583" s="121" t="s">
        <v>1243</v>
      </c>
    </row>
    <row r="584" spans="1:3" x14ac:dyDescent="0.25">
      <c r="A584" s="121" t="s">
        <v>1242</v>
      </c>
      <c r="B584" s="121" t="s">
        <v>1241</v>
      </c>
      <c r="C584" s="121" t="s">
        <v>1240</v>
      </c>
    </row>
    <row r="585" spans="1:3" x14ac:dyDescent="0.25">
      <c r="A585" s="121" t="s">
        <v>1239</v>
      </c>
      <c r="B585" s="121" t="s">
        <v>1238</v>
      </c>
      <c r="C585" s="121" t="s">
        <v>1238</v>
      </c>
    </row>
    <row r="586" spans="1:3" x14ac:dyDescent="0.25">
      <c r="A586" s="121" t="s">
        <v>1237</v>
      </c>
      <c r="B586" s="121" t="s">
        <v>1236</v>
      </c>
      <c r="C586" s="121" t="s">
        <v>1235</v>
      </c>
    </row>
    <row r="587" spans="1:3" x14ac:dyDescent="0.25">
      <c r="A587" s="121" t="s">
        <v>1234</v>
      </c>
      <c r="B587" s="121" t="s">
        <v>1233</v>
      </c>
      <c r="C587" s="121" t="s">
        <v>1232</v>
      </c>
    </row>
    <row r="588" spans="1:3" x14ac:dyDescent="0.25">
      <c r="A588" s="121" t="s">
        <v>1231</v>
      </c>
      <c r="B588" s="121" t="s">
        <v>1230</v>
      </c>
      <c r="C588" s="121" t="s">
        <v>1229</v>
      </c>
    </row>
    <row r="589" spans="1:3" x14ac:dyDescent="0.25">
      <c r="A589" s="121" t="s">
        <v>1228</v>
      </c>
      <c r="B589" s="121" t="s">
        <v>1227</v>
      </c>
      <c r="C589" s="121" t="s">
        <v>11</v>
      </c>
    </row>
    <row r="590" spans="1:3" x14ac:dyDescent="0.25">
      <c r="A590" s="121" t="s">
        <v>1226</v>
      </c>
      <c r="B590" s="121" t="s">
        <v>1225</v>
      </c>
      <c r="C590" s="121" t="s">
        <v>1224</v>
      </c>
    </row>
    <row r="591" spans="1:3" x14ac:dyDescent="0.25">
      <c r="A591" s="121" t="s">
        <v>1223</v>
      </c>
      <c r="B591" s="121" t="s">
        <v>1222</v>
      </c>
      <c r="C591" s="121" t="s">
        <v>1221</v>
      </c>
    </row>
    <row r="592" spans="1:3" x14ac:dyDescent="0.25">
      <c r="A592" s="121" t="s">
        <v>1220</v>
      </c>
      <c r="B592" s="121" t="s">
        <v>1219</v>
      </c>
      <c r="C592" s="121" t="s">
        <v>1218</v>
      </c>
    </row>
    <row r="593" spans="1:3" x14ac:dyDescent="0.25">
      <c r="A593" s="121" t="s">
        <v>1217</v>
      </c>
      <c r="B593" s="121" t="s">
        <v>1216</v>
      </c>
      <c r="C593" s="121" t="s">
        <v>1215</v>
      </c>
    </row>
    <row r="594" spans="1:3" x14ac:dyDescent="0.25">
      <c r="A594" s="121" t="s">
        <v>1214</v>
      </c>
      <c r="B594" s="121" t="s">
        <v>1213</v>
      </c>
      <c r="C594" s="121" t="s">
        <v>1212</v>
      </c>
    </row>
    <row r="595" spans="1:3" x14ac:dyDescent="0.25">
      <c r="A595" s="121" t="s">
        <v>1211</v>
      </c>
      <c r="B595" s="121" t="s">
        <v>1210</v>
      </c>
      <c r="C595" s="121" t="s">
        <v>1209</v>
      </c>
    </row>
    <row r="596" spans="1:3" x14ac:dyDescent="0.25">
      <c r="A596" s="121" t="s">
        <v>1208</v>
      </c>
      <c r="B596" s="121" t="s">
        <v>1207</v>
      </c>
      <c r="C596" s="121" t="s">
        <v>1206</v>
      </c>
    </row>
    <row r="597" spans="1:3" x14ac:dyDescent="0.25">
      <c r="A597" s="121" t="s">
        <v>1205</v>
      </c>
      <c r="B597" s="121" t="s">
        <v>1204</v>
      </c>
      <c r="C597" s="121" t="s">
        <v>1203</v>
      </c>
    </row>
    <row r="598" spans="1:3" x14ac:dyDescent="0.25">
      <c r="A598" s="121" t="s">
        <v>1202</v>
      </c>
      <c r="B598" s="121" t="s">
        <v>1201</v>
      </c>
      <c r="C598" s="121" t="s">
        <v>1200</v>
      </c>
    </row>
    <row r="599" spans="1:3" x14ac:dyDescent="0.25">
      <c r="A599" s="121" t="s">
        <v>1199</v>
      </c>
      <c r="B599" s="121" t="s">
        <v>1198</v>
      </c>
      <c r="C599" s="121" t="s">
        <v>1197</v>
      </c>
    </row>
    <row r="600" spans="1:3" x14ac:dyDescent="0.25">
      <c r="A600" s="121" t="s">
        <v>1196</v>
      </c>
      <c r="B600" s="121" t="s">
        <v>1195</v>
      </c>
      <c r="C600" s="121" t="s">
        <v>1194</v>
      </c>
    </row>
    <row r="601" spans="1:3" x14ac:dyDescent="0.25">
      <c r="A601" s="121" t="s">
        <v>1193</v>
      </c>
      <c r="B601" s="121" t="s">
        <v>173</v>
      </c>
      <c r="C601" s="121" t="s">
        <v>146</v>
      </c>
    </row>
    <row r="602" spans="1:3" x14ac:dyDescent="0.25">
      <c r="A602" s="121" t="s">
        <v>1192</v>
      </c>
      <c r="B602" s="121" t="s">
        <v>199</v>
      </c>
      <c r="C602" s="121" t="s">
        <v>1191</v>
      </c>
    </row>
    <row r="603" spans="1:3" x14ac:dyDescent="0.25">
      <c r="A603" s="121" t="s">
        <v>1190</v>
      </c>
      <c r="B603" s="121" t="s">
        <v>1189</v>
      </c>
      <c r="C603" s="121" t="s">
        <v>1189</v>
      </c>
    </row>
    <row r="604" spans="1:3" x14ac:dyDescent="0.25">
      <c r="A604" s="121" t="s">
        <v>1188</v>
      </c>
      <c r="B604" s="121" t="s">
        <v>309</v>
      </c>
      <c r="C604" s="121" t="s">
        <v>1187</v>
      </c>
    </row>
    <row r="605" spans="1:3" x14ac:dyDescent="0.25">
      <c r="A605" s="121" t="s">
        <v>1186</v>
      </c>
      <c r="B605" s="121" t="s">
        <v>222</v>
      </c>
      <c r="C605" s="121" t="s">
        <v>1185</v>
      </c>
    </row>
    <row r="606" spans="1:3" x14ac:dyDescent="0.25">
      <c r="A606" s="121" t="s">
        <v>1184</v>
      </c>
      <c r="B606" s="121" t="s">
        <v>1183</v>
      </c>
      <c r="C606" s="121" t="s">
        <v>115</v>
      </c>
    </row>
    <row r="607" spans="1:3" x14ac:dyDescent="0.25">
      <c r="A607" s="121" t="s">
        <v>1182</v>
      </c>
      <c r="B607" s="121" t="s">
        <v>1181</v>
      </c>
      <c r="C607" s="121" t="s">
        <v>1180</v>
      </c>
    </row>
    <row r="608" spans="1:3" x14ac:dyDescent="0.25">
      <c r="A608" s="121" t="s">
        <v>1179</v>
      </c>
      <c r="B608" s="121" t="s">
        <v>1178</v>
      </c>
      <c r="C608" s="121" t="s">
        <v>1177</v>
      </c>
    </row>
    <row r="609" spans="1:3" x14ac:dyDescent="0.25">
      <c r="A609" s="121" t="s">
        <v>1176</v>
      </c>
      <c r="B609" s="121" t="s">
        <v>1175</v>
      </c>
      <c r="C609" s="121" t="s">
        <v>21</v>
      </c>
    </row>
    <row r="610" spans="1:3" x14ac:dyDescent="0.25">
      <c r="A610" s="121" t="s">
        <v>1174</v>
      </c>
      <c r="B610" s="121" t="s">
        <v>1173</v>
      </c>
      <c r="C610" s="121" t="s">
        <v>1172</v>
      </c>
    </row>
    <row r="611" spans="1:3" x14ac:dyDescent="0.25">
      <c r="A611" s="121" t="s">
        <v>1171</v>
      </c>
      <c r="B611" s="121" t="s">
        <v>1170</v>
      </c>
      <c r="C611" s="121" t="s">
        <v>1169</v>
      </c>
    </row>
    <row r="612" spans="1:3" x14ac:dyDescent="0.25">
      <c r="A612" s="121" t="s">
        <v>1168</v>
      </c>
      <c r="B612" s="121" t="s">
        <v>1167</v>
      </c>
      <c r="C612" s="121" t="s">
        <v>1166</v>
      </c>
    </row>
    <row r="613" spans="1:3" x14ac:dyDescent="0.25">
      <c r="A613" s="121" t="s">
        <v>1165</v>
      </c>
      <c r="B613" s="121" t="s">
        <v>1164</v>
      </c>
      <c r="C613" s="121" t="s">
        <v>1163</v>
      </c>
    </row>
    <row r="614" spans="1:3" x14ac:dyDescent="0.25">
      <c r="A614" s="121" t="s">
        <v>1162</v>
      </c>
      <c r="B614" s="121" t="s">
        <v>1161</v>
      </c>
      <c r="C614" s="121" t="s">
        <v>1160</v>
      </c>
    </row>
    <row r="615" spans="1:3" x14ac:dyDescent="0.25">
      <c r="A615" s="121" t="s">
        <v>242</v>
      </c>
      <c r="B615" s="121" t="s">
        <v>1159</v>
      </c>
      <c r="C615" s="121" t="s">
        <v>19</v>
      </c>
    </row>
    <row r="616" spans="1:3" x14ac:dyDescent="0.25">
      <c r="A616" s="121" t="s">
        <v>1158</v>
      </c>
      <c r="B616" s="121" t="s">
        <v>1157</v>
      </c>
      <c r="C616" s="121" t="s">
        <v>1156</v>
      </c>
    </row>
    <row r="617" spans="1:3" x14ac:dyDescent="0.25">
      <c r="A617" s="121" t="s">
        <v>1155</v>
      </c>
      <c r="B617" s="121" t="s">
        <v>1154</v>
      </c>
      <c r="C617" s="121" t="s">
        <v>1153</v>
      </c>
    </row>
    <row r="618" spans="1:3" x14ac:dyDescent="0.25">
      <c r="A618" s="121" t="s">
        <v>1152</v>
      </c>
      <c r="B618" s="121" t="s">
        <v>1151</v>
      </c>
      <c r="C618" s="121" t="s">
        <v>1150</v>
      </c>
    </row>
    <row r="619" spans="1:3" x14ac:dyDescent="0.25">
      <c r="A619" s="121" t="s">
        <v>1149</v>
      </c>
      <c r="B619" s="121" t="s">
        <v>1148</v>
      </c>
      <c r="C619" s="121" t="s">
        <v>1147</v>
      </c>
    </row>
    <row r="620" spans="1:3" x14ac:dyDescent="0.25">
      <c r="A620" s="121" t="s">
        <v>1146</v>
      </c>
      <c r="B620" s="121" t="s">
        <v>1145</v>
      </c>
      <c r="C620" s="121" t="s">
        <v>1144</v>
      </c>
    </row>
    <row r="621" spans="1:3" x14ac:dyDescent="0.25">
      <c r="A621" s="121" t="s">
        <v>1143</v>
      </c>
      <c r="B621" s="121" t="s">
        <v>1142</v>
      </c>
      <c r="C621" s="121" t="s">
        <v>1142</v>
      </c>
    </row>
    <row r="622" spans="1:3" x14ac:dyDescent="0.25">
      <c r="A622" s="121" t="s">
        <v>470</v>
      </c>
      <c r="B622" s="121" t="s">
        <v>1141</v>
      </c>
      <c r="C622" s="121" t="s">
        <v>1140</v>
      </c>
    </row>
    <row r="623" spans="1:3" x14ac:dyDescent="0.25">
      <c r="A623" s="121" t="s">
        <v>1139</v>
      </c>
      <c r="B623" s="121" t="s">
        <v>1138</v>
      </c>
      <c r="C623" s="121" t="s">
        <v>1138</v>
      </c>
    </row>
    <row r="624" spans="1:3" x14ac:dyDescent="0.25">
      <c r="A624" s="121" t="s">
        <v>1137</v>
      </c>
      <c r="B624" s="121" t="s">
        <v>1136</v>
      </c>
      <c r="C624" s="121" t="s">
        <v>1135</v>
      </c>
    </row>
    <row r="625" spans="1:3" x14ac:dyDescent="0.25">
      <c r="A625" s="121" t="s">
        <v>1134</v>
      </c>
      <c r="B625" s="121" t="s">
        <v>1133</v>
      </c>
      <c r="C625" s="121" t="s">
        <v>1132</v>
      </c>
    </row>
    <row r="626" spans="1:3" x14ac:dyDescent="0.25">
      <c r="A626" s="121" t="s">
        <v>1131</v>
      </c>
      <c r="B626" s="121" t="s">
        <v>1130</v>
      </c>
      <c r="C626" s="121" t="s">
        <v>1129</v>
      </c>
    </row>
    <row r="627" spans="1:3" x14ac:dyDescent="0.25">
      <c r="A627" s="121" t="s">
        <v>1128</v>
      </c>
      <c r="B627" s="121" t="s">
        <v>213</v>
      </c>
      <c r="C627" s="121" t="s">
        <v>1127</v>
      </c>
    </row>
    <row r="628" spans="1:3" x14ac:dyDescent="0.25">
      <c r="A628" s="121" t="s">
        <v>1126</v>
      </c>
      <c r="B628" s="121" t="s">
        <v>1125</v>
      </c>
      <c r="C628" s="121" t="s">
        <v>2736</v>
      </c>
    </row>
    <row r="629" spans="1:3" x14ac:dyDescent="0.25">
      <c r="A629" s="121" t="s">
        <v>1124</v>
      </c>
      <c r="B629" s="121" t="s">
        <v>301</v>
      </c>
      <c r="C629" s="121" t="s">
        <v>1123</v>
      </c>
    </row>
    <row r="630" spans="1:3" x14ac:dyDescent="0.25">
      <c r="A630" s="121" t="s">
        <v>1122</v>
      </c>
      <c r="B630" s="121" t="s">
        <v>1121</v>
      </c>
      <c r="C630" s="121" t="s">
        <v>1120</v>
      </c>
    </row>
    <row r="631" spans="1:3" x14ac:dyDescent="0.25">
      <c r="A631" s="121" t="s">
        <v>1119</v>
      </c>
      <c r="B631" s="121" t="s">
        <v>1118</v>
      </c>
      <c r="C631" s="121" t="s">
        <v>1117</v>
      </c>
    </row>
    <row r="632" spans="1:3" x14ac:dyDescent="0.25">
      <c r="A632" s="121" t="s">
        <v>1116</v>
      </c>
      <c r="B632" s="121" t="s">
        <v>1115</v>
      </c>
      <c r="C632" s="121" t="s">
        <v>133</v>
      </c>
    </row>
    <row r="633" spans="1:3" x14ac:dyDescent="0.25">
      <c r="A633" s="121" t="s">
        <v>1114</v>
      </c>
      <c r="B633" s="121" t="s">
        <v>1113</v>
      </c>
      <c r="C633" s="121" t="s">
        <v>1112</v>
      </c>
    </row>
    <row r="634" spans="1:3" x14ac:dyDescent="0.25">
      <c r="A634" s="121" t="s">
        <v>1111</v>
      </c>
      <c r="B634" s="121" t="s">
        <v>1110</v>
      </c>
      <c r="C634" s="121" t="s">
        <v>1109</v>
      </c>
    </row>
    <row r="635" spans="1:3" x14ac:dyDescent="0.25">
      <c r="A635" s="121" t="s">
        <v>1108</v>
      </c>
      <c r="B635" s="121" t="s">
        <v>304</v>
      </c>
      <c r="C635" s="121" t="s">
        <v>1107</v>
      </c>
    </row>
    <row r="636" spans="1:3" x14ac:dyDescent="0.25">
      <c r="A636" s="121" t="s">
        <v>1106</v>
      </c>
      <c r="B636" s="121" t="s">
        <v>1105</v>
      </c>
      <c r="C636" s="121" t="s">
        <v>1104</v>
      </c>
    </row>
    <row r="637" spans="1:3" x14ac:dyDescent="0.25">
      <c r="A637" s="121" t="s">
        <v>1103</v>
      </c>
      <c r="B637" s="121" t="s">
        <v>349</v>
      </c>
      <c r="C637" s="121" t="s">
        <v>111</v>
      </c>
    </row>
    <row r="638" spans="1:3" x14ac:dyDescent="0.25">
      <c r="A638" s="121" t="s">
        <v>1102</v>
      </c>
      <c r="B638" s="121" t="s">
        <v>1101</v>
      </c>
      <c r="C638" s="121" t="s">
        <v>1100</v>
      </c>
    </row>
    <row r="639" spans="1:3" x14ac:dyDescent="0.25">
      <c r="A639" s="121" t="s">
        <v>1099</v>
      </c>
      <c r="B639" s="121" t="s">
        <v>235</v>
      </c>
      <c r="C639" s="121" t="s">
        <v>1098</v>
      </c>
    </row>
    <row r="640" spans="1:3" x14ac:dyDescent="0.25">
      <c r="A640" s="121" t="s">
        <v>1097</v>
      </c>
      <c r="B640" s="121" t="s">
        <v>1096</v>
      </c>
      <c r="C640" s="121" t="s">
        <v>1095</v>
      </c>
    </row>
    <row r="641" spans="1:3" x14ac:dyDescent="0.25">
      <c r="A641" s="121" t="s">
        <v>1094</v>
      </c>
      <c r="B641" s="121" t="s">
        <v>1093</v>
      </c>
      <c r="C641" s="121" t="s">
        <v>1092</v>
      </c>
    </row>
    <row r="642" spans="1:3" x14ac:dyDescent="0.25">
      <c r="A642" s="121" t="s">
        <v>1091</v>
      </c>
      <c r="B642" s="121" t="s">
        <v>1090</v>
      </c>
      <c r="C642" s="121" t="s">
        <v>1089</v>
      </c>
    </row>
    <row r="643" spans="1:3" x14ac:dyDescent="0.25">
      <c r="A643" s="121" t="s">
        <v>1088</v>
      </c>
      <c r="B643" s="121" t="s">
        <v>1087</v>
      </c>
      <c r="C643" s="121" t="s">
        <v>1086</v>
      </c>
    </row>
    <row r="644" spans="1:3" x14ac:dyDescent="0.25">
      <c r="A644" s="121" t="s">
        <v>110</v>
      </c>
      <c r="B644" s="121" t="s">
        <v>328</v>
      </c>
      <c r="C644" s="121" t="s">
        <v>109</v>
      </c>
    </row>
    <row r="645" spans="1:3" x14ac:dyDescent="0.25">
      <c r="A645" s="121" t="s">
        <v>1085</v>
      </c>
      <c r="B645" s="121" t="s">
        <v>1084</v>
      </c>
      <c r="C645" s="121" t="s">
        <v>1083</v>
      </c>
    </row>
    <row r="646" spans="1:3" x14ac:dyDescent="0.25">
      <c r="A646" s="121" t="s">
        <v>1082</v>
      </c>
      <c r="B646" s="121" t="s">
        <v>1081</v>
      </c>
      <c r="C646" s="121" t="s">
        <v>1080</v>
      </c>
    </row>
    <row r="647" spans="1:3" x14ac:dyDescent="0.25">
      <c r="A647" s="121" t="s">
        <v>1079</v>
      </c>
      <c r="B647" s="121" t="s">
        <v>1078</v>
      </c>
      <c r="C647" s="121" t="s">
        <v>1077</v>
      </c>
    </row>
    <row r="648" spans="1:3" x14ac:dyDescent="0.25">
      <c r="A648" s="121" t="s">
        <v>1076</v>
      </c>
      <c r="B648" s="121" t="s">
        <v>1075</v>
      </c>
      <c r="C648" s="121" t="s">
        <v>1074</v>
      </c>
    </row>
    <row r="649" spans="1:3" x14ac:dyDescent="0.25">
      <c r="A649" s="121" t="s">
        <v>1073</v>
      </c>
      <c r="B649" s="121" t="s">
        <v>1072</v>
      </c>
      <c r="C649" s="121" t="s">
        <v>1071</v>
      </c>
    </row>
    <row r="650" spans="1:3" x14ac:dyDescent="0.25">
      <c r="A650" s="121" t="s">
        <v>1070</v>
      </c>
      <c r="B650" s="121" t="s">
        <v>342</v>
      </c>
      <c r="C650" s="121" t="s">
        <v>157</v>
      </c>
    </row>
    <row r="651" spans="1:3" x14ac:dyDescent="0.25">
      <c r="A651" s="121" t="s">
        <v>1069</v>
      </c>
      <c r="B651" s="121" t="s">
        <v>1068</v>
      </c>
      <c r="C651" s="121" t="s">
        <v>1067</v>
      </c>
    </row>
    <row r="652" spans="1:3" x14ac:dyDescent="0.25">
      <c r="A652" s="121" t="s">
        <v>1066</v>
      </c>
      <c r="B652" s="121" t="s">
        <v>1065</v>
      </c>
      <c r="C652" s="121" t="s">
        <v>1064</v>
      </c>
    </row>
    <row r="653" spans="1:3" x14ac:dyDescent="0.25">
      <c r="A653" s="121" t="s">
        <v>1063</v>
      </c>
      <c r="B653" s="121" t="s">
        <v>1062</v>
      </c>
      <c r="C653" s="121" t="s">
        <v>1061</v>
      </c>
    </row>
    <row r="654" spans="1:3" x14ac:dyDescent="0.25">
      <c r="A654" s="121" t="s">
        <v>1060</v>
      </c>
      <c r="B654" s="121" t="s">
        <v>1059</v>
      </c>
      <c r="C654" s="121" t="s">
        <v>1058</v>
      </c>
    </row>
    <row r="655" spans="1:3" x14ac:dyDescent="0.25">
      <c r="A655" s="121" t="s">
        <v>1057</v>
      </c>
      <c r="B655" s="121" t="s">
        <v>193</v>
      </c>
      <c r="C655" s="121" t="s">
        <v>156</v>
      </c>
    </row>
    <row r="656" spans="1:3" x14ac:dyDescent="0.25">
      <c r="A656" s="121" t="s">
        <v>1056</v>
      </c>
      <c r="B656" s="121" t="s">
        <v>161</v>
      </c>
      <c r="C656" s="121" t="s">
        <v>1055</v>
      </c>
    </row>
    <row r="657" spans="1:3" x14ac:dyDescent="0.25">
      <c r="A657" s="121" t="s">
        <v>1054</v>
      </c>
      <c r="B657" s="121" t="s">
        <v>1053</v>
      </c>
      <c r="C657" s="121" t="s">
        <v>1052</v>
      </c>
    </row>
    <row r="658" spans="1:3" x14ac:dyDescent="0.25">
      <c r="A658" s="121" t="s">
        <v>1051</v>
      </c>
      <c r="B658" s="121" t="s">
        <v>1050</v>
      </c>
      <c r="C658" s="121" t="s">
        <v>138</v>
      </c>
    </row>
    <row r="659" spans="1:3" x14ac:dyDescent="0.25">
      <c r="A659" s="121" t="s">
        <v>1049</v>
      </c>
      <c r="B659" s="121" t="s">
        <v>1048</v>
      </c>
      <c r="C659" s="121" t="s">
        <v>1047</v>
      </c>
    </row>
    <row r="660" spans="1:3" x14ac:dyDescent="0.25">
      <c r="A660" s="121" t="s">
        <v>1046</v>
      </c>
      <c r="B660" s="121" t="s">
        <v>1045</v>
      </c>
      <c r="C660" s="121" t="s">
        <v>1044</v>
      </c>
    </row>
    <row r="661" spans="1:3" x14ac:dyDescent="0.25">
      <c r="A661" s="121" t="s">
        <v>1043</v>
      </c>
      <c r="B661" s="121" t="s">
        <v>1042</v>
      </c>
      <c r="C661" s="121" t="s">
        <v>1041</v>
      </c>
    </row>
    <row r="662" spans="1:3" x14ac:dyDescent="0.25">
      <c r="A662" s="121" t="s">
        <v>1040</v>
      </c>
      <c r="B662" s="121" t="s">
        <v>1039</v>
      </c>
      <c r="C662" s="121" t="s">
        <v>1038</v>
      </c>
    </row>
    <row r="663" spans="1:3" x14ac:dyDescent="0.25">
      <c r="A663" s="121" t="s">
        <v>1037</v>
      </c>
      <c r="B663" s="121" t="s">
        <v>1036</v>
      </c>
      <c r="C663" s="121" t="s">
        <v>93</v>
      </c>
    </row>
    <row r="664" spans="1:3" x14ac:dyDescent="0.25">
      <c r="A664" s="121" t="s">
        <v>1035</v>
      </c>
      <c r="B664" s="121" t="s">
        <v>1034</v>
      </c>
      <c r="C664" s="121" t="s">
        <v>1033</v>
      </c>
    </row>
    <row r="665" spans="1:3" x14ac:dyDescent="0.25">
      <c r="A665" s="121" t="s">
        <v>1032</v>
      </c>
      <c r="B665" s="121" t="s">
        <v>1031</v>
      </c>
      <c r="C665" s="121" t="s">
        <v>288</v>
      </c>
    </row>
    <row r="666" spans="1:3" x14ac:dyDescent="0.25">
      <c r="A666" s="121" t="s">
        <v>1030</v>
      </c>
      <c r="B666" s="121" t="s">
        <v>1029</v>
      </c>
      <c r="C666" s="121" t="s">
        <v>1028</v>
      </c>
    </row>
    <row r="667" spans="1:3" x14ac:dyDescent="0.25">
      <c r="A667" s="121" t="s">
        <v>1027</v>
      </c>
      <c r="B667" s="121" t="s">
        <v>1026</v>
      </c>
      <c r="C667" s="121" t="s">
        <v>1026</v>
      </c>
    </row>
    <row r="668" spans="1:3" x14ac:dyDescent="0.25">
      <c r="A668" s="121" t="s">
        <v>1025</v>
      </c>
      <c r="B668" s="121" t="s">
        <v>1024</v>
      </c>
      <c r="C668" s="121" t="s">
        <v>1023</v>
      </c>
    </row>
    <row r="669" spans="1:3" x14ac:dyDescent="0.25">
      <c r="A669" s="121" t="s">
        <v>1022</v>
      </c>
      <c r="B669" s="121" t="s">
        <v>302</v>
      </c>
      <c r="C669" s="121" t="s">
        <v>1021</v>
      </c>
    </row>
    <row r="670" spans="1:3" x14ac:dyDescent="0.25">
      <c r="A670" s="121" t="s">
        <v>1020</v>
      </c>
      <c r="B670" s="121" t="s">
        <v>1019</v>
      </c>
      <c r="C670" s="121" t="s">
        <v>1018</v>
      </c>
    </row>
    <row r="671" spans="1:3" x14ac:dyDescent="0.25">
      <c r="A671" s="121" t="s">
        <v>1017</v>
      </c>
      <c r="B671" s="121" t="s">
        <v>1016</v>
      </c>
      <c r="C671" s="121" t="s">
        <v>1015</v>
      </c>
    </row>
    <row r="672" spans="1:3" x14ac:dyDescent="0.25">
      <c r="A672" s="121" t="s">
        <v>1014</v>
      </c>
      <c r="B672" s="121" t="s">
        <v>1013</v>
      </c>
      <c r="C672" s="121" t="s">
        <v>1012</v>
      </c>
    </row>
    <row r="673" spans="1:3" x14ac:dyDescent="0.25">
      <c r="A673" s="121" t="s">
        <v>1011</v>
      </c>
      <c r="B673" s="121" t="s">
        <v>1010</v>
      </c>
      <c r="C673" s="121" t="s">
        <v>1009</v>
      </c>
    </row>
    <row r="674" spans="1:3" x14ac:dyDescent="0.25">
      <c r="A674" s="121" t="s">
        <v>1008</v>
      </c>
      <c r="B674" s="121" t="s">
        <v>1007</v>
      </c>
      <c r="C674" s="121" t="s">
        <v>1006</v>
      </c>
    </row>
    <row r="675" spans="1:3" x14ac:dyDescent="0.25">
      <c r="A675" s="121" t="s">
        <v>1005</v>
      </c>
      <c r="B675" s="121" t="s">
        <v>1004</v>
      </c>
      <c r="C675" s="121" t="s">
        <v>1003</v>
      </c>
    </row>
    <row r="676" spans="1:3" x14ac:dyDescent="0.25">
      <c r="A676" s="121" t="s">
        <v>1002</v>
      </c>
      <c r="B676" s="121" t="s">
        <v>1001</v>
      </c>
      <c r="C676" s="121" t="s">
        <v>1000</v>
      </c>
    </row>
    <row r="677" spans="1:3" x14ac:dyDescent="0.25">
      <c r="A677" s="121" t="s">
        <v>999</v>
      </c>
      <c r="B677" s="121" t="s">
        <v>998</v>
      </c>
      <c r="C677" s="121" t="s">
        <v>997</v>
      </c>
    </row>
    <row r="678" spans="1:3" x14ac:dyDescent="0.25">
      <c r="A678" s="121" t="s">
        <v>996</v>
      </c>
      <c r="B678" s="121" t="s">
        <v>995</v>
      </c>
      <c r="C678" s="121" t="s">
        <v>994</v>
      </c>
    </row>
    <row r="679" spans="1:3" x14ac:dyDescent="0.25">
      <c r="A679" s="121" t="s">
        <v>993</v>
      </c>
      <c r="B679" s="121" t="s">
        <v>352</v>
      </c>
      <c r="C679" s="121" t="s">
        <v>97</v>
      </c>
    </row>
    <row r="680" spans="1:3" x14ac:dyDescent="0.25">
      <c r="A680" s="121" t="s">
        <v>992</v>
      </c>
      <c r="B680" s="121" t="s">
        <v>200</v>
      </c>
      <c r="C680" s="121" t="s">
        <v>107</v>
      </c>
    </row>
    <row r="681" spans="1:3" x14ac:dyDescent="0.25">
      <c r="A681" s="121" t="s">
        <v>991</v>
      </c>
      <c r="B681" s="121" t="s">
        <v>990</v>
      </c>
      <c r="C681" s="121" t="s">
        <v>989</v>
      </c>
    </row>
    <row r="682" spans="1:3" x14ac:dyDescent="0.25">
      <c r="A682" s="121" t="s">
        <v>988</v>
      </c>
      <c r="B682" s="121" t="s">
        <v>987</v>
      </c>
      <c r="C682" s="121" t="s">
        <v>986</v>
      </c>
    </row>
    <row r="683" spans="1:3" x14ac:dyDescent="0.25">
      <c r="A683" s="121" t="s">
        <v>985</v>
      </c>
      <c r="B683" s="121" t="s">
        <v>984</v>
      </c>
      <c r="C683" s="121" t="s">
        <v>983</v>
      </c>
    </row>
    <row r="684" spans="1:3" x14ac:dyDescent="0.25">
      <c r="A684" s="121" t="s">
        <v>982</v>
      </c>
      <c r="B684" s="121" t="s">
        <v>981</v>
      </c>
      <c r="C684" s="121" t="s">
        <v>980</v>
      </c>
    </row>
    <row r="685" spans="1:3" x14ac:dyDescent="0.25">
      <c r="A685" s="121" t="s">
        <v>979</v>
      </c>
      <c r="B685" s="121" t="s">
        <v>978</v>
      </c>
      <c r="C685" s="121" t="s">
        <v>977</v>
      </c>
    </row>
    <row r="686" spans="1:3" x14ac:dyDescent="0.25">
      <c r="A686" s="121" t="s">
        <v>976</v>
      </c>
      <c r="B686" s="121" t="s">
        <v>228</v>
      </c>
      <c r="C686" s="121" t="s">
        <v>975</v>
      </c>
    </row>
    <row r="687" spans="1:3" x14ac:dyDescent="0.25">
      <c r="A687" s="121" t="s">
        <v>974</v>
      </c>
      <c r="B687" s="121" t="s">
        <v>973</v>
      </c>
      <c r="C687" s="121" t="s">
        <v>972</v>
      </c>
    </row>
    <row r="688" spans="1:3" x14ac:dyDescent="0.25">
      <c r="A688" s="121" t="s">
        <v>971</v>
      </c>
      <c r="B688" s="121" t="s">
        <v>970</v>
      </c>
      <c r="C688" s="121" t="s">
        <v>969</v>
      </c>
    </row>
    <row r="689" spans="1:3" x14ac:dyDescent="0.25">
      <c r="A689" s="121" t="s">
        <v>968</v>
      </c>
      <c r="B689" s="121" t="s">
        <v>967</v>
      </c>
      <c r="C689" s="121" t="s">
        <v>966</v>
      </c>
    </row>
    <row r="690" spans="1:3" x14ac:dyDescent="0.25">
      <c r="A690" s="121" t="s">
        <v>965</v>
      </c>
      <c r="B690" s="121" t="s">
        <v>964</v>
      </c>
      <c r="C690" s="121" t="s">
        <v>963</v>
      </c>
    </row>
    <row r="691" spans="1:3" x14ac:dyDescent="0.25">
      <c r="A691" s="121" t="s">
        <v>962</v>
      </c>
      <c r="B691" s="121" t="s">
        <v>961</v>
      </c>
      <c r="C691" s="121" t="s">
        <v>960</v>
      </c>
    </row>
    <row r="692" spans="1:3" x14ac:dyDescent="0.25">
      <c r="A692" s="121" t="s">
        <v>959</v>
      </c>
      <c r="B692" s="121" t="s">
        <v>958</v>
      </c>
      <c r="C692" s="121" t="s">
        <v>957</v>
      </c>
    </row>
    <row r="693" spans="1:3" x14ac:dyDescent="0.25">
      <c r="A693" s="121" t="s">
        <v>956</v>
      </c>
      <c r="B693" s="121" t="s">
        <v>955</v>
      </c>
      <c r="C693" s="121" t="s">
        <v>954</v>
      </c>
    </row>
    <row r="694" spans="1:3" x14ac:dyDescent="0.25">
      <c r="A694" s="121" t="s">
        <v>953</v>
      </c>
      <c r="B694" s="121" t="s">
        <v>952</v>
      </c>
      <c r="C694" s="121" t="s">
        <v>951</v>
      </c>
    </row>
    <row r="695" spans="1:3" x14ac:dyDescent="0.25">
      <c r="A695" s="121" t="s">
        <v>950</v>
      </c>
      <c r="B695" s="121" t="s">
        <v>949</v>
      </c>
      <c r="C695" s="121" t="s">
        <v>113</v>
      </c>
    </row>
    <row r="696" spans="1:3" x14ac:dyDescent="0.25">
      <c r="A696" s="121" t="s">
        <v>948</v>
      </c>
      <c r="B696" s="121" t="s">
        <v>947</v>
      </c>
      <c r="C696" s="121" t="s">
        <v>946</v>
      </c>
    </row>
    <row r="697" spans="1:3" x14ac:dyDescent="0.25">
      <c r="A697" s="121" t="s">
        <v>945</v>
      </c>
      <c r="B697" s="121" t="s">
        <v>944</v>
      </c>
      <c r="C697" s="121" t="s">
        <v>943</v>
      </c>
    </row>
    <row r="698" spans="1:3" x14ac:dyDescent="0.25">
      <c r="A698" s="121" t="s">
        <v>942</v>
      </c>
      <c r="B698" s="121" t="s">
        <v>188</v>
      </c>
      <c r="C698" s="121" t="s">
        <v>100</v>
      </c>
    </row>
    <row r="699" spans="1:3" x14ac:dyDescent="0.25">
      <c r="A699" s="121" t="s">
        <v>941</v>
      </c>
      <c r="B699" s="121" t="s">
        <v>940</v>
      </c>
      <c r="C699" s="121" t="s">
        <v>939</v>
      </c>
    </row>
    <row r="700" spans="1:3" x14ac:dyDescent="0.25">
      <c r="A700" s="121" t="s">
        <v>938</v>
      </c>
      <c r="B700" s="121" t="s">
        <v>937</v>
      </c>
      <c r="C700" s="121" t="s">
        <v>936</v>
      </c>
    </row>
    <row r="701" spans="1:3" x14ac:dyDescent="0.25">
      <c r="A701" s="121" t="s">
        <v>935</v>
      </c>
      <c r="B701" s="121" t="s">
        <v>934</v>
      </c>
      <c r="C701" s="121" t="s">
        <v>933</v>
      </c>
    </row>
    <row r="702" spans="1:3" x14ac:dyDescent="0.25">
      <c r="A702" s="121" t="s">
        <v>932</v>
      </c>
      <c r="B702" s="121" t="s">
        <v>931</v>
      </c>
      <c r="C702" s="121" t="s">
        <v>930</v>
      </c>
    </row>
    <row r="703" spans="1:3" x14ac:dyDescent="0.25">
      <c r="A703" s="121" t="s">
        <v>929</v>
      </c>
      <c r="B703" s="121" t="s">
        <v>928</v>
      </c>
      <c r="C703" s="121" t="s">
        <v>927</v>
      </c>
    </row>
    <row r="704" spans="1:3" x14ac:dyDescent="0.25">
      <c r="A704" s="121" t="s">
        <v>926</v>
      </c>
      <c r="B704" s="121" t="s">
        <v>925</v>
      </c>
      <c r="C704" s="121" t="s">
        <v>924</v>
      </c>
    </row>
    <row r="705" spans="1:3" x14ac:dyDescent="0.25">
      <c r="A705" s="121" t="s">
        <v>923</v>
      </c>
      <c r="B705" s="121" t="s">
        <v>922</v>
      </c>
      <c r="C705" s="121" t="s">
        <v>921</v>
      </c>
    </row>
    <row r="706" spans="1:3" x14ac:dyDescent="0.25">
      <c r="A706" s="121" t="s">
        <v>920</v>
      </c>
      <c r="B706" s="121" t="s">
        <v>919</v>
      </c>
      <c r="C706" s="121" t="s">
        <v>918</v>
      </c>
    </row>
    <row r="707" spans="1:3" x14ac:dyDescent="0.25">
      <c r="A707" s="121" t="s">
        <v>917</v>
      </c>
      <c r="B707" s="121" t="s">
        <v>916</v>
      </c>
      <c r="C707" s="121" t="s">
        <v>915</v>
      </c>
    </row>
    <row r="708" spans="1:3" x14ac:dyDescent="0.25">
      <c r="A708" s="121" t="s">
        <v>914</v>
      </c>
      <c r="B708" s="121" t="s">
        <v>913</v>
      </c>
      <c r="C708" s="121" t="s">
        <v>912</v>
      </c>
    </row>
    <row r="709" spans="1:3" x14ac:dyDescent="0.25">
      <c r="A709" s="121" t="s">
        <v>911</v>
      </c>
      <c r="B709" s="121" t="s">
        <v>910</v>
      </c>
      <c r="C709" s="121" t="s">
        <v>909</v>
      </c>
    </row>
    <row r="710" spans="1:3" x14ac:dyDescent="0.25">
      <c r="A710" s="121" t="s">
        <v>908</v>
      </c>
      <c r="B710" s="121" t="s">
        <v>907</v>
      </c>
      <c r="C710" s="121" t="s">
        <v>906</v>
      </c>
    </row>
    <row r="711" spans="1:3" x14ac:dyDescent="0.25">
      <c r="A711" s="121" t="s">
        <v>905</v>
      </c>
      <c r="B711" s="121" t="s">
        <v>904</v>
      </c>
      <c r="C711" s="121" t="s">
        <v>903</v>
      </c>
    </row>
    <row r="712" spans="1:3" x14ac:dyDescent="0.25">
      <c r="A712" s="121" t="s">
        <v>902</v>
      </c>
      <c r="B712" s="121" t="s">
        <v>901</v>
      </c>
      <c r="C712" s="121" t="s">
        <v>900</v>
      </c>
    </row>
    <row r="713" spans="1:3" x14ac:dyDescent="0.25">
      <c r="A713" s="121" t="s">
        <v>899</v>
      </c>
      <c r="B713" s="121" t="s">
        <v>898</v>
      </c>
      <c r="C713" s="121" t="s">
        <v>897</v>
      </c>
    </row>
    <row r="714" spans="1:3" x14ac:dyDescent="0.25">
      <c r="A714" s="121" t="s">
        <v>896</v>
      </c>
      <c r="B714" s="121" t="s">
        <v>895</v>
      </c>
      <c r="C714" s="121" t="s">
        <v>894</v>
      </c>
    </row>
    <row r="715" spans="1:3" x14ac:dyDescent="0.25">
      <c r="A715" s="121" t="s">
        <v>893</v>
      </c>
      <c r="B715" s="121" t="s">
        <v>892</v>
      </c>
      <c r="C715" s="121" t="s">
        <v>891</v>
      </c>
    </row>
    <row r="716" spans="1:3" x14ac:dyDescent="0.25">
      <c r="A716" s="121" t="s">
        <v>890</v>
      </c>
      <c r="B716" s="121" t="s">
        <v>889</v>
      </c>
      <c r="C716" s="121" t="s">
        <v>888</v>
      </c>
    </row>
    <row r="717" spans="1:3" x14ac:dyDescent="0.25">
      <c r="A717" s="121" t="s">
        <v>887</v>
      </c>
      <c r="B717" s="121" t="s">
        <v>293</v>
      </c>
      <c r="C717" s="121" t="s">
        <v>886</v>
      </c>
    </row>
    <row r="718" spans="1:3" x14ac:dyDescent="0.25">
      <c r="A718" s="121" t="s">
        <v>885</v>
      </c>
      <c r="B718" s="121" t="s">
        <v>884</v>
      </c>
      <c r="C718" s="121" t="s">
        <v>883</v>
      </c>
    </row>
    <row r="719" spans="1:3" x14ac:dyDescent="0.25">
      <c r="A719" s="121" t="s">
        <v>882</v>
      </c>
      <c r="B719" s="121" t="s">
        <v>229</v>
      </c>
      <c r="C719" s="121" t="s">
        <v>881</v>
      </c>
    </row>
    <row r="720" spans="1:3" x14ac:dyDescent="0.25">
      <c r="A720" s="121" t="s">
        <v>880</v>
      </c>
      <c r="B720" s="121" t="s">
        <v>879</v>
      </c>
      <c r="C720" s="121" t="s">
        <v>290</v>
      </c>
    </row>
    <row r="721" spans="1:3" x14ac:dyDescent="0.25">
      <c r="A721" s="121" t="s">
        <v>878</v>
      </c>
      <c r="B721" s="121" t="s">
        <v>877</v>
      </c>
      <c r="C721" s="121" t="s">
        <v>91</v>
      </c>
    </row>
    <row r="722" spans="1:3" x14ac:dyDescent="0.25">
      <c r="A722" s="121" t="s">
        <v>876</v>
      </c>
      <c r="B722" s="121" t="s">
        <v>191</v>
      </c>
      <c r="C722" s="121" t="s">
        <v>139</v>
      </c>
    </row>
    <row r="723" spans="1:3" x14ac:dyDescent="0.25">
      <c r="A723" s="121" t="s">
        <v>875</v>
      </c>
      <c r="B723" s="121" t="s">
        <v>874</v>
      </c>
      <c r="C723" s="121" t="s">
        <v>873</v>
      </c>
    </row>
    <row r="724" spans="1:3" x14ac:dyDescent="0.25">
      <c r="A724" s="121" t="s">
        <v>872</v>
      </c>
      <c r="B724" s="121" t="s">
        <v>871</v>
      </c>
      <c r="C724" s="121" t="s">
        <v>870</v>
      </c>
    </row>
    <row r="725" spans="1:3" x14ac:dyDescent="0.25">
      <c r="A725" s="121" t="s">
        <v>869</v>
      </c>
      <c r="B725" s="121" t="s">
        <v>162</v>
      </c>
      <c r="C725" s="121" t="s">
        <v>80</v>
      </c>
    </row>
    <row r="726" spans="1:3" x14ac:dyDescent="0.25">
      <c r="A726" s="121" t="s">
        <v>868</v>
      </c>
      <c r="B726" s="121" t="s">
        <v>867</v>
      </c>
      <c r="C726" s="121" t="s">
        <v>866</v>
      </c>
    </row>
    <row r="727" spans="1:3" x14ac:dyDescent="0.25">
      <c r="A727" s="121" t="s">
        <v>865</v>
      </c>
      <c r="B727" s="121" t="s">
        <v>864</v>
      </c>
      <c r="C727" s="121" t="s">
        <v>863</v>
      </c>
    </row>
    <row r="728" spans="1:3" x14ac:dyDescent="0.25">
      <c r="A728" s="121" t="s">
        <v>862</v>
      </c>
      <c r="B728" s="121" t="s">
        <v>861</v>
      </c>
      <c r="C728" s="121" t="s">
        <v>261</v>
      </c>
    </row>
    <row r="729" spans="1:3" x14ac:dyDescent="0.25">
      <c r="A729" s="121" t="s">
        <v>860</v>
      </c>
      <c r="B729" s="121" t="s">
        <v>859</v>
      </c>
      <c r="C729" s="121" t="s">
        <v>858</v>
      </c>
    </row>
    <row r="730" spans="1:3" x14ac:dyDescent="0.25">
      <c r="A730" s="121" t="s">
        <v>857</v>
      </c>
      <c r="B730" s="121" t="s">
        <v>856</v>
      </c>
      <c r="C730" s="121" t="s">
        <v>855</v>
      </c>
    </row>
    <row r="731" spans="1:3" x14ac:dyDescent="0.25">
      <c r="A731" s="121" t="s">
        <v>854</v>
      </c>
      <c r="B731" s="121" t="s">
        <v>203</v>
      </c>
      <c r="C731" s="121" t="s">
        <v>853</v>
      </c>
    </row>
    <row r="732" spans="1:3" x14ac:dyDescent="0.25">
      <c r="A732" s="121" t="s">
        <v>852</v>
      </c>
      <c r="B732" s="121" t="s">
        <v>851</v>
      </c>
      <c r="C732" s="121" t="s">
        <v>850</v>
      </c>
    </row>
    <row r="733" spans="1:3" x14ac:dyDescent="0.25">
      <c r="A733" s="121" t="s">
        <v>849</v>
      </c>
      <c r="B733" s="121" t="s">
        <v>848</v>
      </c>
      <c r="C733" s="121" t="s">
        <v>847</v>
      </c>
    </row>
    <row r="734" spans="1:3" x14ac:dyDescent="0.25">
      <c r="A734" s="121" t="s">
        <v>846</v>
      </c>
      <c r="B734" s="121" t="s">
        <v>845</v>
      </c>
      <c r="C734" s="121" t="s">
        <v>844</v>
      </c>
    </row>
    <row r="735" spans="1:3" x14ac:dyDescent="0.25">
      <c r="A735" s="121" t="s">
        <v>843</v>
      </c>
      <c r="B735" s="121" t="s">
        <v>842</v>
      </c>
      <c r="C735" s="121" t="s">
        <v>149</v>
      </c>
    </row>
    <row r="736" spans="1:3" x14ac:dyDescent="0.25">
      <c r="A736" s="121" t="s">
        <v>841</v>
      </c>
      <c r="B736" s="121" t="s">
        <v>840</v>
      </c>
      <c r="C736" s="121" t="s">
        <v>839</v>
      </c>
    </row>
    <row r="737" spans="1:3" x14ac:dyDescent="0.25">
      <c r="A737" s="121" t="s">
        <v>838</v>
      </c>
      <c r="B737" s="121" t="s">
        <v>837</v>
      </c>
      <c r="C737" s="121" t="s">
        <v>13</v>
      </c>
    </row>
    <row r="738" spans="1:3" x14ac:dyDescent="0.25">
      <c r="A738" s="121" t="s">
        <v>836</v>
      </c>
      <c r="B738" s="121" t="s">
        <v>835</v>
      </c>
      <c r="C738" s="121" t="s">
        <v>834</v>
      </c>
    </row>
    <row r="739" spans="1:3" x14ac:dyDescent="0.25">
      <c r="A739" s="121" t="s">
        <v>833</v>
      </c>
      <c r="B739" s="121" t="s">
        <v>832</v>
      </c>
      <c r="C739" s="121" t="s">
        <v>831</v>
      </c>
    </row>
    <row r="740" spans="1:3" x14ac:dyDescent="0.25">
      <c r="A740" s="121" t="s">
        <v>830</v>
      </c>
      <c r="B740" s="121" t="s">
        <v>829</v>
      </c>
      <c r="C740" s="121" t="s">
        <v>828</v>
      </c>
    </row>
    <row r="741" spans="1:3" x14ac:dyDescent="0.25">
      <c r="A741" s="121" t="s">
        <v>18</v>
      </c>
      <c r="B741" s="121" t="s">
        <v>827</v>
      </c>
      <c r="C741" s="121" t="s">
        <v>826</v>
      </c>
    </row>
    <row r="742" spans="1:3" x14ac:dyDescent="0.25">
      <c r="A742" s="121" t="s">
        <v>825</v>
      </c>
      <c r="B742" s="121" t="s">
        <v>310</v>
      </c>
      <c r="C742" s="121" t="s">
        <v>824</v>
      </c>
    </row>
    <row r="743" spans="1:3" x14ac:dyDescent="0.25">
      <c r="A743" s="121" t="s">
        <v>823</v>
      </c>
      <c r="B743" s="121" t="s">
        <v>822</v>
      </c>
      <c r="C743" s="121" t="s">
        <v>121</v>
      </c>
    </row>
    <row r="744" spans="1:3" x14ac:dyDescent="0.25">
      <c r="A744" s="121" t="s">
        <v>821</v>
      </c>
      <c r="B744" s="121" t="s">
        <v>820</v>
      </c>
      <c r="C744" s="121" t="s">
        <v>819</v>
      </c>
    </row>
    <row r="745" spans="1:3" x14ac:dyDescent="0.25">
      <c r="A745" s="121" t="s">
        <v>818</v>
      </c>
      <c r="B745" s="121" t="s">
        <v>817</v>
      </c>
      <c r="C745" s="121" t="s">
        <v>287</v>
      </c>
    </row>
    <row r="746" spans="1:3" x14ac:dyDescent="0.25">
      <c r="A746" s="121" t="s">
        <v>816</v>
      </c>
      <c r="B746" s="121" t="s">
        <v>815</v>
      </c>
      <c r="C746" s="121" t="s">
        <v>814</v>
      </c>
    </row>
    <row r="747" spans="1:3" x14ac:dyDescent="0.25">
      <c r="A747" s="121" t="s">
        <v>813</v>
      </c>
      <c r="B747" s="121" t="s">
        <v>812</v>
      </c>
      <c r="C747" s="121" t="s">
        <v>811</v>
      </c>
    </row>
    <row r="748" spans="1:3" x14ac:dyDescent="0.25">
      <c r="A748" s="121" t="s">
        <v>810</v>
      </c>
      <c r="B748" s="121" t="s">
        <v>809</v>
      </c>
      <c r="C748" s="121" t="s">
        <v>809</v>
      </c>
    </row>
    <row r="749" spans="1:3" x14ac:dyDescent="0.25">
      <c r="A749" s="121" t="s">
        <v>808</v>
      </c>
      <c r="B749" s="121" t="s">
        <v>343</v>
      </c>
      <c r="C749" s="121" t="s">
        <v>67</v>
      </c>
    </row>
    <row r="750" spans="1:3" x14ac:dyDescent="0.25">
      <c r="A750" s="121" t="s">
        <v>807</v>
      </c>
      <c r="B750" s="121" t="s">
        <v>806</v>
      </c>
      <c r="C750" s="121" t="s">
        <v>805</v>
      </c>
    </row>
    <row r="751" spans="1:3" x14ac:dyDescent="0.25">
      <c r="A751" s="121" t="s">
        <v>804</v>
      </c>
      <c r="B751" s="121" t="s">
        <v>803</v>
      </c>
      <c r="C751" s="121" t="s">
        <v>802</v>
      </c>
    </row>
    <row r="752" spans="1:3" x14ac:dyDescent="0.25">
      <c r="A752" s="121" t="s">
        <v>801</v>
      </c>
      <c r="B752" s="121" t="s">
        <v>230</v>
      </c>
      <c r="C752" s="121" t="s">
        <v>800</v>
      </c>
    </row>
    <row r="753" spans="1:3" x14ac:dyDescent="0.25">
      <c r="A753" s="121" t="s">
        <v>799</v>
      </c>
      <c r="B753" s="121" t="s">
        <v>798</v>
      </c>
      <c r="C753" s="121" t="s">
        <v>797</v>
      </c>
    </row>
    <row r="754" spans="1:3" x14ac:dyDescent="0.25">
      <c r="A754" s="121" t="s">
        <v>796</v>
      </c>
      <c r="B754" s="121" t="s">
        <v>795</v>
      </c>
      <c r="C754" s="121" t="s">
        <v>794</v>
      </c>
    </row>
    <row r="755" spans="1:3" x14ac:dyDescent="0.25">
      <c r="A755" s="121" t="s">
        <v>793</v>
      </c>
      <c r="B755" s="121" t="s">
        <v>329</v>
      </c>
      <c r="C755" s="121" t="s">
        <v>792</v>
      </c>
    </row>
    <row r="756" spans="1:3" x14ac:dyDescent="0.25">
      <c r="A756" s="121" t="s">
        <v>791</v>
      </c>
      <c r="B756" s="121" t="s">
        <v>790</v>
      </c>
      <c r="C756" s="121" t="s">
        <v>789</v>
      </c>
    </row>
    <row r="757" spans="1:3" x14ac:dyDescent="0.25">
      <c r="A757" s="121" t="s">
        <v>788</v>
      </c>
      <c r="B757" s="121" t="s">
        <v>787</v>
      </c>
      <c r="C757" s="121" t="s">
        <v>24</v>
      </c>
    </row>
    <row r="758" spans="1:3" x14ac:dyDescent="0.25">
      <c r="A758" s="121" t="s">
        <v>786</v>
      </c>
      <c r="B758" s="121" t="s">
        <v>785</v>
      </c>
      <c r="C758" s="121" t="s">
        <v>51</v>
      </c>
    </row>
    <row r="759" spans="1:3" x14ac:dyDescent="0.25">
      <c r="A759" s="121" t="s">
        <v>784</v>
      </c>
      <c r="B759" s="121" t="s">
        <v>783</v>
      </c>
      <c r="C759" s="121" t="s">
        <v>782</v>
      </c>
    </row>
    <row r="760" spans="1:3" x14ac:dyDescent="0.25">
      <c r="A760" s="121" t="s">
        <v>781</v>
      </c>
      <c r="B760" s="121" t="s">
        <v>780</v>
      </c>
      <c r="C760" s="121" t="s">
        <v>779</v>
      </c>
    </row>
    <row r="761" spans="1:3" x14ac:dyDescent="0.25">
      <c r="A761" s="121" t="s">
        <v>778</v>
      </c>
      <c r="B761" s="121" t="s">
        <v>777</v>
      </c>
      <c r="C761" s="121" t="s">
        <v>776</v>
      </c>
    </row>
    <row r="762" spans="1:3" x14ac:dyDescent="0.25">
      <c r="A762" s="121" t="s">
        <v>775</v>
      </c>
      <c r="B762" s="121" t="s">
        <v>774</v>
      </c>
      <c r="C762" s="121" t="s">
        <v>773</v>
      </c>
    </row>
    <row r="763" spans="1:3" x14ac:dyDescent="0.25">
      <c r="A763" s="121" t="s">
        <v>772</v>
      </c>
      <c r="B763" s="121" t="s">
        <v>771</v>
      </c>
      <c r="C763" s="121" t="s">
        <v>770</v>
      </c>
    </row>
    <row r="764" spans="1:3" x14ac:dyDescent="0.25">
      <c r="A764" s="121" t="s">
        <v>282</v>
      </c>
      <c r="B764" s="121" t="s">
        <v>332</v>
      </c>
      <c r="C764" s="121" t="s">
        <v>23</v>
      </c>
    </row>
    <row r="765" spans="1:3" x14ac:dyDescent="0.25">
      <c r="A765" s="121" t="s">
        <v>769</v>
      </c>
      <c r="B765" s="121" t="s">
        <v>768</v>
      </c>
      <c r="C765" s="121" t="s">
        <v>767</v>
      </c>
    </row>
    <row r="766" spans="1:3" x14ac:dyDescent="0.25">
      <c r="A766" s="121" t="s">
        <v>766</v>
      </c>
      <c r="B766" s="121" t="s">
        <v>765</v>
      </c>
      <c r="C766" s="121" t="s">
        <v>764</v>
      </c>
    </row>
    <row r="767" spans="1:3" x14ac:dyDescent="0.25">
      <c r="A767" s="121" t="s">
        <v>763</v>
      </c>
      <c r="B767" s="121" t="s">
        <v>183</v>
      </c>
      <c r="C767" s="121" t="s">
        <v>762</v>
      </c>
    </row>
    <row r="768" spans="1:3" x14ac:dyDescent="0.25">
      <c r="A768" s="121" t="s">
        <v>761</v>
      </c>
      <c r="B768" s="121" t="s">
        <v>760</v>
      </c>
      <c r="C768" s="121" t="s">
        <v>759</v>
      </c>
    </row>
    <row r="769" spans="1:3" x14ac:dyDescent="0.25">
      <c r="A769" s="121" t="s">
        <v>758</v>
      </c>
      <c r="B769" s="121" t="s">
        <v>220</v>
      </c>
      <c r="C769" s="121" t="s">
        <v>152</v>
      </c>
    </row>
    <row r="770" spans="1:3" x14ac:dyDescent="0.25">
      <c r="A770" s="121" t="s">
        <v>757</v>
      </c>
      <c r="B770" s="121" t="s">
        <v>756</v>
      </c>
      <c r="C770" s="121" t="s">
        <v>755</v>
      </c>
    </row>
    <row r="771" spans="1:3" x14ac:dyDescent="0.25">
      <c r="A771" s="121" t="s">
        <v>754</v>
      </c>
      <c r="B771" s="121" t="s">
        <v>753</v>
      </c>
      <c r="C771" s="121" t="s">
        <v>752</v>
      </c>
    </row>
    <row r="772" spans="1:3" x14ac:dyDescent="0.25">
      <c r="A772" s="121" t="s">
        <v>751</v>
      </c>
      <c r="B772" s="121" t="s">
        <v>750</v>
      </c>
      <c r="C772" s="121" t="s">
        <v>749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98"/>
  <sheetViews>
    <sheetView workbookViewId="0">
      <selection activeCell="F42" sqref="F42"/>
    </sheetView>
  </sheetViews>
  <sheetFormatPr defaultRowHeight="15" x14ac:dyDescent="0.25"/>
  <cols>
    <col min="1" max="1" width="23.28515625" style="110" bestFit="1" customWidth="1"/>
    <col min="2" max="2" width="5.28515625" style="110" bestFit="1" customWidth="1"/>
    <col min="3" max="3" width="5.42578125" style="110" bestFit="1" customWidth="1"/>
    <col min="4" max="4" width="7.140625" style="110" bestFit="1" customWidth="1"/>
    <col min="5" max="5" width="15.28515625" style="110" bestFit="1" customWidth="1"/>
    <col min="6" max="6" width="11.42578125" style="110" bestFit="1" customWidth="1"/>
    <col min="7" max="8" width="10.140625" style="110" bestFit="1" customWidth="1"/>
    <col min="9" max="9" width="12.5703125" style="110" bestFit="1" customWidth="1"/>
    <col min="10" max="10" width="10.85546875" style="110" bestFit="1" customWidth="1"/>
    <col min="11" max="11" width="9.5703125" style="110" bestFit="1" customWidth="1"/>
    <col min="12" max="12" width="4.85546875" style="110" bestFit="1" customWidth="1"/>
    <col min="13" max="13" width="11.7109375" style="110" bestFit="1" customWidth="1"/>
    <col min="14" max="14" width="17.42578125" style="110" bestFit="1" customWidth="1"/>
    <col min="15" max="15" width="4.7109375" style="110" bestFit="1" customWidth="1"/>
    <col min="16" max="16" width="10.140625" style="110" bestFit="1" customWidth="1"/>
    <col min="17" max="18" width="7" style="110" bestFit="1" customWidth="1"/>
    <col min="19" max="19" width="8.7109375" style="110" bestFit="1" customWidth="1"/>
    <col min="20" max="21" width="10.140625" style="110" bestFit="1" customWidth="1"/>
    <col min="22" max="22" width="5.42578125" style="110" bestFit="1" customWidth="1"/>
    <col min="23" max="23" width="8.5703125" style="110" bestFit="1" customWidth="1"/>
    <col min="24" max="24" width="13.140625" style="110" bestFit="1" customWidth="1"/>
    <col min="25" max="25" width="7.7109375" style="110" bestFit="1" customWidth="1"/>
    <col min="26" max="26" width="5.7109375" style="110" bestFit="1" customWidth="1"/>
    <col min="27" max="27" width="9.85546875" style="110" bestFit="1" customWidth="1"/>
    <col min="28" max="28" width="9.42578125" style="110" bestFit="1" customWidth="1"/>
    <col min="29" max="29" width="23.28515625" style="110" bestFit="1" customWidth="1"/>
    <col min="30" max="30" width="39.28515625" style="110" bestFit="1" customWidth="1"/>
    <col min="31" max="16384" width="9.140625" style="110"/>
  </cols>
  <sheetData>
    <row r="1" spans="1:30" ht="15.75" x14ac:dyDescent="0.25">
      <c r="A1" s="126" t="s">
        <v>355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</row>
    <row r="2" spans="1:30" x14ac:dyDescent="0.25">
      <c r="A2" s="127" t="s">
        <v>2738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</row>
    <row r="3" spans="1:30" x14ac:dyDescent="0.25">
      <c r="A3" s="127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</row>
    <row r="4" spans="1:30" ht="9.75" hidden="1" customHeight="1" x14ac:dyDescent="0.25">
      <c r="A4" s="128"/>
      <c r="B4" s="128"/>
      <c r="C4" s="128"/>
      <c r="D4" s="128"/>
      <c r="E4" s="128"/>
      <c r="F4" s="128"/>
      <c r="G4" s="128"/>
      <c r="H4" s="128"/>
      <c r="I4" s="128"/>
      <c r="J4" s="128"/>
      <c r="K4" s="129"/>
      <c r="L4" s="128"/>
      <c r="M4" s="129"/>
      <c r="N4" s="129"/>
      <c r="O4" s="128"/>
      <c r="P4" s="128"/>
      <c r="Q4" s="128"/>
      <c r="R4" s="128"/>
      <c r="S4" s="128"/>
      <c r="T4" s="128"/>
      <c r="U4" s="128"/>
      <c r="V4" s="129"/>
      <c r="W4" s="129"/>
      <c r="X4" s="128"/>
      <c r="Y4" s="128"/>
      <c r="Z4" s="129"/>
      <c r="AA4" s="128"/>
      <c r="AB4" s="129"/>
      <c r="AC4" s="128"/>
      <c r="AD4" s="128"/>
    </row>
    <row r="5" spans="1:30" ht="33.950000000000003" customHeight="1" thickBot="1" x14ac:dyDescent="0.3">
      <c r="A5" s="130" t="s">
        <v>356</v>
      </c>
      <c r="B5" s="130" t="s">
        <v>357</v>
      </c>
      <c r="C5" s="130" t="s">
        <v>358</v>
      </c>
      <c r="D5" s="130" t="s">
        <v>359</v>
      </c>
      <c r="E5" s="130" t="s">
        <v>360</v>
      </c>
      <c r="F5" s="130" t="s">
        <v>361</v>
      </c>
      <c r="G5" s="130" t="s">
        <v>362</v>
      </c>
      <c r="H5" s="130" t="s">
        <v>363</v>
      </c>
      <c r="I5" s="130" t="s">
        <v>364</v>
      </c>
      <c r="J5" s="130" t="s">
        <v>365</v>
      </c>
      <c r="K5" s="131" t="s">
        <v>353</v>
      </c>
      <c r="L5" s="130" t="s">
        <v>366</v>
      </c>
      <c r="M5" s="131" t="s">
        <v>367</v>
      </c>
      <c r="N5" s="131" t="s">
        <v>368</v>
      </c>
      <c r="O5" s="130" t="s">
        <v>369</v>
      </c>
      <c r="P5" s="130" t="s">
        <v>370</v>
      </c>
      <c r="Q5" s="130" t="s">
        <v>371</v>
      </c>
      <c r="R5" s="130" t="s">
        <v>372</v>
      </c>
      <c r="S5" s="130" t="s">
        <v>373</v>
      </c>
      <c r="T5" s="130" t="s">
        <v>374</v>
      </c>
      <c r="U5" s="130" t="s">
        <v>375</v>
      </c>
      <c r="V5" s="131" t="s">
        <v>376</v>
      </c>
      <c r="W5" s="131" t="s">
        <v>377</v>
      </c>
      <c r="X5" s="130" t="s">
        <v>378</v>
      </c>
      <c r="Y5" s="130" t="s">
        <v>379</v>
      </c>
      <c r="Z5" s="131" t="s">
        <v>380</v>
      </c>
      <c r="AA5" s="130" t="s">
        <v>381</v>
      </c>
      <c r="AB5" s="131" t="s">
        <v>382</v>
      </c>
      <c r="AC5" s="130" t="s">
        <v>383</v>
      </c>
      <c r="AD5" s="130" t="s">
        <v>384</v>
      </c>
    </row>
    <row r="6" spans="1:30" x14ac:dyDescent="0.25">
      <c r="A6" s="132" t="s">
        <v>385</v>
      </c>
      <c r="B6" s="133"/>
      <c r="C6" s="133"/>
      <c r="D6" s="133"/>
      <c r="E6" s="133"/>
      <c r="F6" s="133"/>
      <c r="G6" s="133"/>
      <c r="H6" s="133"/>
      <c r="I6" s="133"/>
      <c r="J6" s="133"/>
      <c r="K6" s="134"/>
      <c r="L6" s="133"/>
      <c r="M6" s="134"/>
      <c r="N6" s="134"/>
      <c r="O6" s="133"/>
      <c r="P6" s="133"/>
      <c r="Q6" s="133"/>
      <c r="R6" s="133"/>
      <c r="S6" s="133"/>
      <c r="T6" s="133"/>
      <c r="U6" s="133"/>
      <c r="V6" s="134"/>
      <c r="W6" s="134"/>
      <c r="X6" s="133"/>
      <c r="Y6" s="133"/>
      <c r="Z6" s="134"/>
      <c r="AA6" s="133"/>
      <c r="AB6" s="134"/>
      <c r="AC6" s="133"/>
      <c r="AD6" s="133"/>
    </row>
    <row r="7" spans="1:30" x14ac:dyDescent="0.25">
      <c r="A7" s="132" t="s">
        <v>2739</v>
      </c>
      <c r="B7" s="133"/>
      <c r="C7" s="133"/>
      <c r="D7" s="133"/>
      <c r="E7" s="133"/>
      <c r="F7" s="133"/>
      <c r="G7" s="133"/>
      <c r="H7" s="133"/>
      <c r="I7" s="133"/>
      <c r="J7" s="133"/>
      <c r="K7" s="134"/>
      <c r="L7" s="133"/>
      <c r="M7" s="135">
        <v>442000</v>
      </c>
      <c r="N7" s="134"/>
      <c r="O7" s="133"/>
      <c r="P7" s="133"/>
      <c r="Q7" s="133"/>
      <c r="R7" s="133"/>
      <c r="S7" s="133"/>
      <c r="T7" s="133"/>
      <c r="U7" s="133"/>
      <c r="V7" s="134"/>
      <c r="W7" s="134"/>
      <c r="X7" s="133"/>
      <c r="Y7" s="133"/>
      <c r="Z7" s="134"/>
      <c r="AA7" s="133"/>
      <c r="AB7" s="134"/>
      <c r="AC7" s="133"/>
      <c r="AD7" s="133"/>
    </row>
    <row r="8" spans="1:30" x14ac:dyDescent="0.25">
      <c r="A8" s="132" t="s">
        <v>392</v>
      </c>
      <c r="B8" s="133"/>
      <c r="C8" s="133"/>
      <c r="D8" s="133"/>
      <c r="E8" s="133"/>
      <c r="F8" s="133"/>
      <c r="G8" s="133"/>
      <c r="H8" s="133"/>
      <c r="I8" s="133"/>
      <c r="J8" s="133"/>
      <c r="K8" s="134"/>
      <c r="L8" s="133"/>
      <c r="M8" s="135">
        <v>442000</v>
      </c>
      <c r="N8" s="134"/>
      <c r="O8" s="133"/>
      <c r="P8" s="133"/>
      <c r="Q8" s="133"/>
      <c r="R8" s="133"/>
      <c r="S8" s="133"/>
      <c r="T8" s="133"/>
      <c r="U8" s="133"/>
      <c r="V8" s="134"/>
      <c r="W8" s="134"/>
      <c r="X8" s="133"/>
      <c r="Y8" s="133"/>
      <c r="Z8" s="134"/>
      <c r="AA8" s="133"/>
      <c r="AB8" s="134"/>
      <c r="AC8" s="133"/>
      <c r="AD8" s="133"/>
    </row>
    <row r="9" spans="1:30" x14ac:dyDescent="0.25">
      <c r="A9" s="136" t="s">
        <v>2740</v>
      </c>
      <c r="B9" s="136" t="s">
        <v>386</v>
      </c>
      <c r="C9" s="136"/>
      <c r="D9" s="136" t="s">
        <v>2735</v>
      </c>
      <c r="E9" s="136" t="s">
        <v>2735</v>
      </c>
      <c r="F9" s="136" t="s">
        <v>393</v>
      </c>
      <c r="G9" s="137">
        <v>42907.799710648149</v>
      </c>
      <c r="H9" s="137">
        <v>42907</v>
      </c>
      <c r="I9" s="136" t="s">
        <v>2741</v>
      </c>
      <c r="J9" s="136" t="s">
        <v>388</v>
      </c>
      <c r="K9" s="138">
        <v>175.01</v>
      </c>
      <c r="L9" s="136" t="s">
        <v>389</v>
      </c>
      <c r="M9" s="138">
        <v>336000</v>
      </c>
      <c r="N9" s="138">
        <v>609334.6</v>
      </c>
      <c r="O9" s="136" t="s">
        <v>20</v>
      </c>
      <c r="P9" s="137">
        <v>42907</v>
      </c>
      <c r="Q9" s="136" t="s">
        <v>396</v>
      </c>
      <c r="R9" s="136" t="s">
        <v>396</v>
      </c>
      <c r="S9" s="136" t="s">
        <v>2742</v>
      </c>
      <c r="T9" s="136"/>
      <c r="U9" s="137">
        <v>46928</v>
      </c>
      <c r="V9" s="139"/>
      <c r="W9" s="139"/>
      <c r="X9" s="136" t="s">
        <v>1126</v>
      </c>
      <c r="Y9" s="136"/>
      <c r="Z9" s="139"/>
      <c r="AA9" s="136" t="s">
        <v>2743</v>
      </c>
      <c r="AB9" s="139" t="s">
        <v>2744</v>
      </c>
      <c r="AC9" s="136"/>
      <c r="AD9" s="136"/>
    </row>
    <row r="10" spans="1:30" x14ac:dyDescent="0.25">
      <c r="A10" s="136" t="s">
        <v>2745</v>
      </c>
      <c r="B10" s="136" t="s">
        <v>386</v>
      </c>
      <c r="C10" s="136"/>
      <c r="D10" s="136" t="s">
        <v>2735</v>
      </c>
      <c r="E10" s="136" t="s">
        <v>2735</v>
      </c>
      <c r="F10" s="136" t="s">
        <v>401</v>
      </c>
      <c r="G10" s="137">
        <v>42783.495150462964</v>
      </c>
      <c r="H10" s="137">
        <v>42783</v>
      </c>
      <c r="I10" s="136" t="s">
        <v>2741</v>
      </c>
      <c r="J10" s="136" t="s">
        <v>388</v>
      </c>
      <c r="K10" s="138">
        <v>175.28</v>
      </c>
      <c r="L10" s="136" t="s">
        <v>389</v>
      </c>
      <c r="M10" s="138">
        <v>106000</v>
      </c>
      <c r="N10" s="138">
        <v>187974.22</v>
      </c>
      <c r="O10" s="136" t="s">
        <v>20</v>
      </c>
      <c r="P10" s="137">
        <v>42783</v>
      </c>
      <c r="Q10" s="136" t="s">
        <v>396</v>
      </c>
      <c r="R10" s="136" t="s">
        <v>396</v>
      </c>
      <c r="S10" s="136" t="s">
        <v>2742</v>
      </c>
      <c r="T10" s="136"/>
      <c r="U10" s="137">
        <v>46928</v>
      </c>
      <c r="V10" s="139"/>
      <c r="W10" s="139"/>
      <c r="X10" s="136" t="s">
        <v>1126</v>
      </c>
      <c r="Y10" s="136"/>
      <c r="Z10" s="139"/>
      <c r="AA10" s="136" t="s">
        <v>2743</v>
      </c>
      <c r="AB10" s="139" t="s">
        <v>2744</v>
      </c>
      <c r="AC10" s="136"/>
      <c r="AD10" s="136" t="s">
        <v>2746</v>
      </c>
    </row>
    <row r="11" spans="1:30" x14ac:dyDescent="0.25">
      <c r="A11" s="132" t="s">
        <v>2747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4"/>
      <c r="L11" s="133"/>
      <c r="M11" s="135">
        <v>65000</v>
      </c>
      <c r="N11" s="134"/>
      <c r="O11" s="133"/>
      <c r="P11" s="133"/>
      <c r="Q11" s="133"/>
      <c r="R11" s="133"/>
      <c r="S11" s="133"/>
      <c r="T11" s="133"/>
      <c r="U11" s="133"/>
      <c r="V11" s="134"/>
      <c r="W11" s="134"/>
      <c r="X11" s="133"/>
      <c r="Y11" s="133"/>
      <c r="Z11" s="134"/>
      <c r="AA11" s="133"/>
      <c r="AB11" s="134"/>
      <c r="AC11" s="133"/>
      <c r="AD11" s="133"/>
    </row>
    <row r="12" spans="1:30" x14ac:dyDescent="0.25">
      <c r="A12" s="132" t="s">
        <v>392</v>
      </c>
      <c r="B12" s="133"/>
      <c r="C12" s="133"/>
      <c r="D12" s="133"/>
      <c r="E12" s="133"/>
      <c r="F12" s="133"/>
      <c r="G12" s="133"/>
      <c r="H12" s="133"/>
      <c r="I12" s="133"/>
      <c r="J12" s="133"/>
      <c r="K12" s="134"/>
      <c r="L12" s="133"/>
      <c r="M12" s="135">
        <v>65000</v>
      </c>
      <c r="N12" s="134"/>
      <c r="O12" s="133"/>
      <c r="P12" s="133"/>
      <c r="Q12" s="133"/>
      <c r="R12" s="133"/>
      <c r="S12" s="133"/>
      <c r="T12" s="133"/>
      <c r="U12" s="133"/>
      <c r="V12" s="134"/>
      <c r="W12" s="134"/>
      <c r="X12" s="133"/>
      <c r="Y12" s="133"/>
      <c r="Z12" s="134"/>
      <c r="AA12" s="133"/>
      <c r="AB12" s="134"/>
      <c r="AC12" s="133"/>
      <c r="AD12" s="133"/>
    </row>
    <row r="13" spans="1:30" x14ac:dyDescent="0.25">
      <c r="A13" s="136" t="s">
        <v>2748</v>
      </c>
      <c r="B13" s="136" t="s">
        <v>386</v>
      </c>
      <c r="C13" s="136"/>
      <c r="D13" s="136" t="s">
        <v>2735</v>
      </c>
      <c r="E13" s="136" t="s">
        <v>2735</v>
      </c>
      <c r="F13" s="136" t="s">
        <v>393</v>
      </c>
      <c r="G13" s="137">
        <v>42881.785810185182</v>
      </c>
      <c r="H13" s="137">
        <v>42881</v>
      </c>
      <c r="I13" s="136" t="s">
        <v>2749</v>
      </c>
      <c r="J13" s="136" t="s">
        <v>388</v>
      </c>
      <c r="K13" s="138">
        <v>95.2</v>
      </c>
      <c r="L13" s="136" t="s">
        <v>389</v>
      </c>
      <c r="M13" s="138">
        <v>65000</v>
      </c>
      <c r="N13" s="138">
        <v>61880</v>
      </c>
      <c r="O13" s="136" t="s">
        <v>20</v>
      </c>
      <c r="P13" s="137">
        <v>42885</v>
      </c>
      <c r="Q13" s="136" t="s">
        <v>396</v>
      </c>
      <c r="R13" s="136" t="s">
        <v>396</v>
      </c>
      <c r="S13" s="136"/>
      <c r="T13" s="136"/>
      <c r="U13" s="137">
        <v>43570</v>
      </c>
      <c r="V13" s="139"/>
      <c r="W13" s="139"/>
      <c r="X13" s="136" t="s">
        <v>1847</v>
      </c>
      <c r="Y13" s="136"/>
      <c r="Z13" s="139"/>
      <c r="AA13" s="136" t="s">
        <v>398</v>
      </c>
      <c r="AB13" s="139" t="s">
        <v>2750</v>
      </c>
      <c r="AC13" s="136"/>
      <c r="AD13" s="136"/>
    </row>
    <row r="14" spans="1:30" x14ac:dyDescent="0.25">
      <c r="A14" s="132" t="s">
        <v>2751</v>
      </c>
      <c r="B14" s="133"/>
      <c r="C14" s="133"/>
      <c r="D14" s="133"/>
      <c r="E14" s="133"/>
      <c r="F14" s="133"/>
      <c r="G14" s="133"/>
      <c r="H14" s="133"/>
      <c r="I14" s="133"/>
      <c r="J14" s="133"/>
      <c r="K14" s="134"/>
      <c r="L14" s="133"/>
      <c r="M14" s="135">
        <v>200000</v>
      </c>
      <c r="N14" s="134"/>
      <c r="O14" s="133"/>
      <c r="P14" s="133"/>
      <c r="Q14" s="133"/>
      <c r="R14" s="133"/>
      <c r="S14" s="133"/>
      <c r="T14" s="133"/>
      <c r="U14" s="133"/>
      <c r="V14" s="134"/>
      <c r="W14" s="134"/>
      <c r="X14" s="133"/>
      <c r="Y14" s="133"/>
      <c r="Z14" s="134"/>
      <c r="AA14" s="133"/>
      <c r="AB14" s="134"/>
      <c r="AC14" s="133"/>
      <c r="AD14" s="133"/>
    </row>
    <row r="15" spans="1:30" x14ac:dyDescent="0.25">
      <c r="A15" s="132" t="s">
        <v>392</v>
      </c>
      <c r="B15" s="133"/>
      <c r="C15" s="133"/>
      <c r="D15" s="133"/>
      <c r="E15" s="133"/>
      <c r="F15" s="133"/>
      <c r="G15" s="133"/>
      <c r="H15" s="133"/>
      <c r="I15" s="133"/>
      <c r="J15" s="133"/>
      <c r="K15" s="134"/>
      <c r="L15" s="133"/>
      <c r="M15" s="135">
        <v>200000</v>
      </c>
      <c r="N15" s="134"/>
      <c r="O15" s="133"/>
      <c r="P15" s="133"/>
      <c r="Q15" s="133"/>
      <c r="R15" s="133"/>
      <c r="S15" s="133"/>
      <c r="T15" s="133"/>
      <c r="U15" s="133"/>
      <c r="V15" s="134"/>
      <c r="W15" s="134"/>
      <c r="X15" s="133"/>
      <c r="Y15" s="133"/>
      <c r="Z15" s="134"/>
      <c r="AA15" s="133"/>
      <c r="AB15" s="134"/>
      <c r="AC15" s="133"/>
      <c r="AD15" s="133"/>
    </row>
    <row r="16" spans="1:30" x14ac:dyDescent="0.25">
      <c r="A16" s="136" t="s">
        <v>2752</v>
      </c>
      <c r="B16" s="136" t="s">
        <v>386</v>
      </c>
      <c r="C16" s="136"/>
      <c r="D16" s="136" t="s">
        <v>2735</v>
      </c>
      <c r="E16" s="136" t="s">
        <v>2735</v>
      </c>
      <c r="F16" s="136" t="s">
        <v>393</v>
      </c>
      <c r="G16" s="137">
        <v>42909.665023148147</v>
      </c>
      <c r="H16" s="137">
        <v>42909</v>
      </c>
      <c r="I16" s="136" t="s">
        <v>394</v>
      </c>
      <c r="J16" s="136" t="s">
        <v>388</v>
      </c>
      <c r="K16" s="138">
        <v>111.53</v>
      </c>
      <c r="L16" s="136" t="s">
        <v>389</v>
      </c>
      <c r="M16" s="138">
        <v>200000</v>
      </c>
      <c r="N16" s="138">
        <v>229935</v>
      </c>
      <c r="O16" s="136" t="s">
        <v>20</v>
      </c>
      <c r="P16" s="137">
        <v>42909</v>
      </c>
      <c r="Q16" s="136" t="s">
        <v>396</v>
      </c>
      <c r="R16" s="136" t="s">
        <v>396</v>
      </c>
      <c r="S16" s="136"/>
      <c r="T16" s="136"/>
      <c r="U16" s="137">
        <v>44224</v>
      </c>
      <c r="V16" s="139"/>
      <c r="W16" s="139"/>
      <c r="X16" s="136" t="s">
        <v>2214</v>
      </c>
      <c r="Y16" s="136"/>
      <c r="Z16" s="139"/>
      <c r="AA16" s="136" t="s">
        <v>404</v>
      </c>
      <c r="AB16" s="139" t="s">
        <v>2753</v>
      </c>
      <c r="AC16" s="136"/>
      <c r="AD16" s="136"/>
    </row>
    <row r="17" spans="1:30" x14ac:dyDescent="0.25">
      <c r="A17" s="132" t="s">
        <v>2754</v>
      </c>
      <c r="B17" s="133"/>
      <c r="C17" s="133"/>
      <c r="D17" s="133"/>
      <c r="E17" s="133"/>
      <c r="F17" s="133"/>
      <c r="G17" s="133"/>
      <c r="H17" s="133"/>
      <c r="I17" s="133"/>
      <c r="J17" s="133"/>
      <c r="K17" s="134"/>
      <c r="L17" s="133"/>
      <c r="M17" s="135">
        <v>200000</v>
      </c>
      <c r="N17" s="134"/>
      <c r="O17" s="133"/>
      <c r="P17" s="133"/>
      <c r="Q17" s="133"/>
      <c r="R17" s="133"/>
      <c r="S17" s="133"/>
      <c r="T17" s="133"/>
      <c r="U17" s="133"/>
      <c r="V17" s="134"/>
      <c r="W17" s="134"/>
      <c r="X17" s="133"/>
      <c r="Y17" s="133"/>
      <c r="Z17" s="134"/>
      <c r="AA17" s="133"/>
      <c r="AB17" s="134"/>
      <c r="AC17" s="133"/>
      <c r="AD17" s="133"/>
    </row>
    <row r="18" spans="1:30" x14ac:dyDescent="0.25">
      <c r="A18" s="132" t="s">
        <v>392</v>
      </c>
      <c r="B18" s="133"/>
      <c r="C18" s="133"/>
      <c r="D18" s="133"/>
      <c r="E18" s="133"/>
      <c r="F18" s="133"/>
      <c r="G18" s="133"/>
      <c r="H18" s="133"/>
      <c r="I18" s="133"/>
      <c r="J18" s="133"/>
      <c r="K18" s="134"/>
      <c r="L18" s="133"/>
      <c r="M18" s="135">
        <v>200000</v>
      </c>
      <c r="N18" s="134"/>
      <c r="O18" s="133"/>
      <c r="P18" s="133"/>
      <c r="Q18" s="133"/>
      <c r="R18" s="133"/>
      <c r="S18" s="133"/>
      <c r="T18" s="133"/>
      <c r="U18" s="133"/>
      <c r="V18" s="134"/>
      <c r="W18" s="134"/>
      <c r="X18" s="133"/>
      <c r="Y18" s="133"/>
      <c r="Z18" s="134"/>
      <c r="AA18" s="133"/>
      <c r="AB18" s="134"/>
      <c r="AC18" s="133"/>
      <c r="AD18" s="133"/>
    </row>
    <row r="19" spans="1:30" x14ac:dyDescent="0.25">
      <c r="A19" s="136" t="s">
        <v>2755</v>
      </c>
      <c r="B19" s="136" t="s">
        <v>386</v>
      </c>
      <c r="C19" s="136"/>
      <c r="D19" s="136" t="s">
        <v>2735</v>
      </c>
      <c r="E19" s="136" t="s">
        <v>2735</v>
      </c>
      <c r="F19" s="136" t="s">
        <v>393</v>
      </c>
      <c r="G19" s="137">
        <v>42909.654918981483</v>
      </c>
      <c r="H19" s="137">
        <v>42909</v>
      </c>
      <c r="I19" s="136" t="s">
        <v>394</v>
      </c>
      <c r="J19" s="136" t="s">
        <v>388</v>
      </c>
      <c r="K19" s="138">
        <v>110.61</v>
      </c>
      <c r="L19" s="136" t="s">
        <v>389</v>
      </c>
      <c r="M19" s="138">
        <v>200000</v>
      </c>
      <c r="N19" s="138">
        <v>225234.5</v>
      </c>
      <c r="O19" s="136" t="s">
        <v>20</v>
      </c>
      <c r="P19" s="137">
        <v>42909</v>
      </c>
      <c r="Q19" s="136" t="s">
        <v>396</v>
      </c>
      <c r="R19" s="136" t="s">
        <v>396</v>
      </c>
      <c r="S19" s="136" t="s">
        <v>2742</v>
      </c>
      <c r="T19" s="136"/>
      <c r="U19" s="137">
        <v>44627</v>
      </c>
      <c r="V19" s="139"/>
      <c r="W19" s="139"/>
      <c r="X19" s="136" t="s">
        <v>2010</v>
      </c>
      <c r="Y19" s="136"/>
      <c r="Z19" s="139"/>
      <c r="AA19" s="136" t="s">
        <v>2756</v>
      </c>
      <c r="AB19" s="139" t="s">
        <v>2757</v>
      </c>
      <c r="AC19" s="136"/>
      <c r="AD19" s="136"/>
    </row>
    <row r="20" spans="1:30" x14ac:dyDescent="0.25">
      <c r="A20" s="132" t="s">
        <v>2758</v>
      </c>
      <c r="B20" s="133"/>
      <c r="C20" s="133"/>
      <c r="D20" s="133"/>
      <c r="E20" s="133"/>
      <c r="F20" s="133"/>
      <c r="G20" s="133"/>
      <c r="H20" s="133"/>
      <c r="I20" s="133"/>
      <c r="J20" s="133"/>
      <c r="K20" s="134"/>
      <c r="L20" s="133"/>
      <c r="M20" s="135">
        <v>200000</v>
      </c>
      <c r="N20" s="134"/>
      <c r="O20" s="133"/>
      <c r="P20" s="133"/>
      <c r="Q20" s="133"/>
      <c r="R20" s="133"/>
      <c r="S20" s="133"/>
      <c r="T20" s="133"/>
      <c r="U20" s="133"/>
      <c r="V20" s="134"/>
      <c r="W20" s="134"/>
      <c r="X20" s="133"/>
      <c r="Y20" s="133"/>
      <c r="Z20" s="134"/>
      <c r="AA20" s="133"/>
      <c r="AB20" s="134"/>
      <c r="AC20" s="133"/>
      <c r="AD20" s="133"/>
    </row>
    <row r="21" spans="1:30" x14ac:dyDescent="0.25">
      <c r="A21" s="132" t="s">
        <v>392</v>
      </c>
      <c r="B21" s="133"/>
      <c r="C21" s="133"/>
      <c r="D21" s="133"/>
      <c r="E21" s="133"/>
      <c r="F21" s="133"/>
      <c r="G21" s="133"/>
      <c r="H21" s="133"/>
      <c r="I21" s="133"/>
      <c r="J21" s="133"/>
      <c r="K21" s="134"/>
      <c r="L21" s="133"/>
      <c r="M21" s="135">
        <v>200000</v>
      </c>
      <c r="N21" s="134"/>
      <c r="O21" s="133"/>
      <c r="P21" s="133"/>
      <c r="Q21" s="133"/>
      <c r="R21" s="133"/>
      <c r="S21" s="133"/>
      <c r="T21" s="133"/>
      <c r="U21" s="133"/>
      <c r="V21" s="134"/>
      <c r="W21" s="134"/>
      <c r="X21" s="133"/>
      <c r="Y21" s="133"/>
      <c r="Z21" s="134"/>
      <c r="AA21" s="133"/>
      <c r="AB21" s="134"/>
      <c r="AC21" s="133"/>
      <c r="AD21" s="133"/>
    </row>
    <row r="22" spans="1:30" x14ac:dyDescent="0.25">
      <c r="A22" s="136" t="s">
        <v>2759</v>
      </c>
      <c r="B22" s="136" t="s">
        <v>386</v>
      </c>
      <c r="C22" s="136"/>
      <c r="D22" s="136" t="s">
        <v>2735</v>
      </c>
      <c r="E22" s="136" t="s">
        <v>2735</v>
      </c>
      <c r="F22" s="136" t="s">
        <v>393</v>
      </c>
      <c r="G22" s="137">
        <v>42782.518703703703</v>
      </c>
      <c r="H22" s="137">
        <v>42782</v>
      </c>
      <c r="I22" s="136" t="s">
        <v>394</v>
      </c>
      <c r="J22" s="136" t="s">
        <v>388</v>
      </c>
      <c r="K22" s="138">
        <v>100.75</v>
      </c>
      <c r="L22" s="136" t="s">
        <v>389</v>
      </c>
      <c r="M22" s="138">
        <v>200000</v>
      </c>
      <c r="N22" s="138">
        <v>204426.39</v>
      </c>
      <c r="O22" s="136" t="s">
        <v>20</v>
      </c>
      <c r="P22" s="137">
        <v>42782</v>
      </c>
      <c r="Q22" s="136" t="s">
        <v>396</v>
      </c>
      <c r="R22" s="136" t="s">
        <v>396</v>
      </c>
      <c r="S22" s="136"/>
      <c r="T22" s="136"/>
      <c r="U22" s="137">
        <v>43462</v>
      </c>
      <c r="V22" s="139"/>
      <c r="W22" s="139"/>
      <c r="X22" s="136" t="s">
        <v>1990</v>
      </c>
      <c r="Y22" s="136"/>
      <c r="Z22" s="139"/>
      <c r="AA22" s="136" t="s">
        <v>2760</v>
      </c>
      <c r="AB22" s="139" t="s">
        <v>2761</v>
      </c>
      <c r="AC22" s="136"/>
      <c r="AD22" s="136"/>
    </row>
    <row r="23" spans="1:30" x14ac:dyDescent="0.25">
      <c r="A23" s="132" t="s">
        <v>2762</v>
      </c>
      <c r="B23" s="133"/>
      <c r="C23" s="133"/>
      <c r="D23" s="133"/>
      <c r="E23" s="133"/>
      <c r="F23" s="133"/>
      <c r="G23" s="133"/>
      <c r="H23" s="133"/>
      <c r="I23" s="133"/>
      <c r="J23" s="133"/>
      <c r="K23" s="134"/>
      <c r="L23" s="133"/>
      <c r="M23" s="135">
        <v>200000</v>
      </c>
      <c r="N23" s="134"/>
      <c r="O23" s="133"/>
      <c r="P23" s="133"/>
      <c r="Q23" s="133"/>
      <c r="R23" s="133"/>
      <c r="S23" s="133"/>
      <c r="T23" s="133"/>
      <c r="U23" s="133"/>
      <c r="V23" s="134"/>
      <c r="W23" s="134"/>
      <c r="X23" s="133"/>
      <c r="Y23" s="133"/>
      <c r="Z23" s="134"/>
      <c r="AA23" s="133"/>
      <c r="AB23" s="134"/>
      <c r="AC23" s="133"/>
      <c r="AD23" s="133"/>
    </row>
    <row r="24" spans="1:30" x14ac:dyDescent="0.25">
      <c r="A24" s="132" t="s">
        <v>392</v>
      </c>
      <c r="B24" s="133"/>
      <c r="C24" s="133"/>
      <c r="D24" s="133"/>
      <c r="E24" s="133"/>
      <c r="F24" s="133"/>
      <c r="G24" s="133"/>
      <c r="H24" s="133"/>
      <c r="I24" s="133"/>
      <c r="J24" s="133"/>
      <c r="K24" s="134"/>
      <c r="L24" s="133"/>
      <c r="M24" s="135">
        <v>200000</v>
      </c>
      <c r="N24" s="134"/>
      <c r="O24" s="133"/>
      <c r="P24" s="133"/>
      <c r="Q24" s="133"/>
      <c r="R24" s="133"/>
      <c r="S24" s="133"/>
      <c r="T24" s="133"/>
      <c r="U24" s="133"/>
      <c r="V24" s="134"/>
      <c r="W24" s="134"/>
      <c r="X24" s="133"/>
      <c r="Y24" s="133"/>
      <c r="Z24" s="134"/>
      <c r="AA24" s="133"/>
      <c r="AB24" s="134"/>
      <c r="AC24" s="133"/>
      <c r="AD24" s="133"/>
    </row>
    <row r="25" spans="1:30" x14ac:dyDescent="0.25">
      <c r="A25" s="136" t="s">
        <v>2763</v>
      </c>
      <c r="B25" s="136" t="s">
        <v>386</v>
      </c>
      <c r="C25" s="136"/>
      <c r="D25" s="136" t="s">
        <v>2735</v>
      </c>
      <c r="E25" s="136" t="s">
        <v>2735</v>
      </c>
      <c r="F25" s="136" t="s">
        <v>408</v>
      </c>
      <c r="G25" s="137">
        <v>42965.64340277778</v>
      </c>
      <c r="H25" s="137">
        <v>42965</v>
      </c>
      <c r="I25" s="136" t="s">
        <v>394</v>
      </c>
      <c r="J25" s="136" t="s">
        <v>388</v>
      </c>
      <c r="K25" s="138">
        <v>95.515000000000001</v>
      </c>
      <c r="L25" s="136" t="s">
        <v>389</v>
      </c>
      <c r="M25" s="138">
        <v>200000</v>
      </c>
      <c r="N25" s="138">
        <v>197530</v>
      </c>
      <c r="O25" s="136" t="s">
        <v>20</v>
      </c>
      <c r="P25" s="137">
        <v>42965</v>
      </c>
      <c r="Q25" s="136" t="s">
        <v>396</v>
      </c>
      <c r="R25" s="136" t="s">
        <v>396</v>
      </c>
      <c r="S25" s="136"/>
      <c r="T25" s="136"/>
      <c r="U25" s="137">
        <v>43581</v>
      </c>
      <c r="V25" s="139"/>
      <c r="W25" s="139"/>
      <c r="X25" s="136" t="s">
        <v>882</v>
      </c>
      <c r="Y25" s="136"/>
      <c r="Z25" s="139"/>
      <c r="AA25" s="136" t="s">
        <v>398</v>
      </c>
      <c r="AB25" s="139" t="s">
        <v>2764</v>
      </c>
      <c r="AC25" s="136"/>
      <c r="AD25" s="136"/>
    </row>
    <row r="26" spans="1:30" x14ac:dyDescent="0.25">
      <c r="A26" s="132" t="s">
        <v>406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4"/>
      <c r="L26" s="133"/>
      <c r="M26" s="134"/>
      <c r="N26" s="134"/>
      <c r="O26" s="133"/>
      <c r="P26" s="133"/>
      <c r="Q26" s="133"/>
      <c r="R26" s="133"/>
      <c r="S26" s="133"/>
      <c r="T26" s="133"/>
      <c r="U26" s="133"/>
      <c r="V26" s="134"/>
      <c r="W26" s="134"/>
      <c r="X26" s="133"/>
      <c r="Y26" s="133"/>
      <c r="Z26" s="134"/>
      <c r="AA26" s="133"/>
      <c r="AB26" s="134"/>
      <c r="AC26" s="133"/>
      <c r="AD26" s="133"/>
    </row>
    <row r="27" spans="1:30" x14ac:dyDescent="0.25">
      <c r="A27" s="132" t="s">
        <v>2765</v>
      </c>
      <c r="B27" s="133"/>
      <c r="C27" s="133"/>
      <c r="D27" s="133"/>
      <c r="E27" s="133"/>
      <c r="F27" s="133"/>
      <c r="G27" s="133"/>
      <c r="H27" s="133"/>
      <c r="I27" s="133"/>
      <c r="J27" s="133"/>
      <c r="K27" s="134"/>
      <c r="L27" s="133"/>
      <c r="M27" s="135">
        <v>3950</v>
      </c>
      <c r="N27" s="134"/>
      <c r="O27" s="133"/>
      <c r="P27" s="133"/>
      <c r="Q27" s="133"/>
      <c r="R27" s="133"/>
      <c r="S27" s="133"/>
      <c r="T27" s="133"/>
      <c r="U27" s="133"/>
      <c r="V27" s="134"/>
      <c r="W27" s="134"/>
      <c r="X27" s="133"/>
      <c r="Y27" s="133"/>
      <c r="Z27" s="134"/>
      <c r="AA27" s="133"/>
      <c r="AB27" s="134"/>
      <c r="AC27" s="133"/>
      <c r="AD27" s="133"/>
    </row>
    <row r="28" spans="1:30" x14ac:dyDescent="0.25">
      <c r="A28" s="132" t="s">
        <v>392</v>
      </c>
      <c r="B28" s="133"/>
      <c r="C28" s="133"/>
      <c r="D28" s="133"/>
      <c r="E28" s="133"/>
      <c r="F28" s="133"/>
      <c r="G28" s="133"/>
      <c r="H28" s="133"/>
      <c r="I28" s="133"/>
      <c r="J28" s="133"/>
      <c r="K28" s="134"/>
      <c r="L28" s="133"/>
      <c r="M28" s="135">
        <v>3950</v>
      </c>
      <c r="N28" s="134"/>
      <c r="O28" s="133"/>
      <c r="P28" s="133"/>
      <c r="Q28" s="133"/>
      <c r="R28" s="133"/>
      <c r="S28" s="133"/>
      <c r="T28" s="133"/>
      <c r="U28" s="133"/>
      <c r="V28" s="134"/>
      <c r="W28" s="134"/>
      <c r="X28" s="133"/>
      <c r="Y28" s="133"/>
      <c r="Z28" s="134"/>
      <c r="AA28" s="133"/>
      <c r="AB28" s="134"/>
      <c r="AC28" s="133"/>
      <c r="AD28" s="133"/>
    </row>
    <row r="29" spans="1:30" x14ac:dyDescent="0.25">
      <c r="A29" s="136" t="s">
        <v>2766</v>
      </c>
      <c r="B29" s="136" t="s">
        <v>386</v>
      </c>
      <c r="C29" s="136"/>
      <c r="D29" s="136" t="s">
        <v>2735</v>
      </c>
      <c r="E29" s="136" t="s">
        <v>2735</v>
      </c>
      <c r="F29" s="136" t="s">
        <v>408</v>
      </c>
      <c r="G29" s="137">
        <v>42831.711643518516</v>
      </c>
      <c r="H29" s="137">
        <v>42831</v>
      </c>
      <c r="I29" s="136" t="s">
        <v>469</v>
      </c>
      <c r="J29" s="136" t="s">
        <v>388</v>
      </c>
      <c r="K29" s="138">
        <v>12.6</v>
      </c>
      <c r="L29" s="136" t="s">
        <v>20</v>
      </c>
      <c r="M29" s="138">
        <v>3950</v>
      </c>
      <c r="N29" s="138">
        <v>49770</v>
      </c>
      <c r="O29" s="136" t="s">
        <v>20</v>
      </c>
      <c r="P29" s="137">
        <v>42831</v>
      </c>
      <c r="Q29" s="136" t="s">
        <v>396</v>
      </c>
      <c r="R29" s="136" t="s">
        <v>396</v>
      </c>
      <c r="S29" s="136" t="s">
        <v>411</v>
      </c>
      <c r="T29" s="136"/>
      <c r="U29" s="136"/>
      <c r="V29" s="139"/>
      <c r="W29" s="139"/>
      <c r="X29" s="136" t="s">
        <v>2030</v>
      </c>
      <c r="Y29" s="136"/>
      <c r="Z29" s="139"/>
      <c r="AA29" s="136"/>
      <c r="AB29" s="139"/>
      <c r="AC29" s="136" t="s">
        <v>2767</v>
      </c>
      <c r="AD29" s="136" t="s">
        <v>2768</v>
      </c>
    </row>
    <row r="30" spans="1:30" x14ac:dyDescent="0.25">
      <c r="A30" s="132" t="s">
        <v>2769</v>
      </c>
      <c r="B30" s="133"/>
      <c r="C30" s="133"/>
      <c r="D30" s="133"/>
      <c r="E30" s="133"/>
      <c r="F30" s="133"/>
      <c r="G30" s="133"/>
      <c r="H30" s="133"/>
      <c r="I30" s="133"/>
      <c r="J30" s="133"/>
      <c r="K30" s="134"/>
      <c r="L30" s="133"/>
      <c r="M30" s="135">
        <v>90438</v>
      </c>
      <c r="N30" s="134"/>
      <c r="O30" s="133"/>
      <c r="P30" s="133"/>
      <c r="Q30" s="133"/>
      <c r="R30" s="133"/>
      <c r="S30" s="133"/>
      <c r="T30" s="133"/>
      <c r="U30" s="133"/>
      <c r="V30" s="134"/>
      <c r="W30" s="134"/>
      <c r="X30" s="133"/>
      <c r="Y30" s="133"/>
      <c r="Z30" s="134"/>
      <c r="AA30" s="133"/>
      <c r="AB30" s="134"/>
      <c r="AC30" s="133"/>
      <c r="AD30" s="133"/>
    </row>
    <row r="31" spans="1:30" x14ac:dyDescent="0.25">
      <c r="A31" s="132" t="s">
        <v>392</v>
      </c>
      <c r="B31" s="133"/>
      <c r="C31" s="133"/>
      <c r="D31" s="133"/>
      <c r="E31" s="133"/>
      <c r="F31" s="133"/>
      <c r="G31" s="133"/>
      <c r="H31" s="133"/>
      <c r="I31" s="133"/>
      <c r="J31" s="133"/>
      <c r="K31" s="134"/>
      <c r="L31" s="133"/>
      <c r="M31" s="135">
        <v>90438</v>
      </c>
      <c r="N31" s="134"/>
      <c r="O31" s="133"/>
      <c r="P31" s="133"/>
      <c r="Q31" s="133"/>
      <c r="R31" s="133"/>
      <c r="S31" s="133"/>
      <c r="T31" s="133"/>
      <c r="U31" s="133"/>
      <c r="V31" s="134"/>
      <c r="W31" s="134"/>
      <c r="X31" s="133"/>
      <c r="Y31" s="133"/>
      <c r="Z31" s="134"/>
      <c r="AA31" s="133"/>
      <c r="AB31" s="134"/>
      <c r="AC31" s="133"/>
      <c r="AD31" s="133"/>
    </row>
    <row r="32" spans="1:30" x14ac:dyDescent="0.25">
      <c r="A32" s="136" t="s">
        <v>2770</v>
      </c>
      <c r="B32" s="136" t="s">
        <v>386</v>
      </c>
      <c r="C32" s="136"/>
      <c r="D32" s="136" t="s">
        <v>2735</v>
      </c>
      <c r="E32" s="136" t="s">
        <v>2735</v>
      </c>
      <c r="F32" s="136" t="s">
        <v>408</v>
      </c>
      <c r="G32" s="137">
        <v>42781.786747685182</v>
      </c>
      <c r="H32" s="137">
        <v>42781</v>
      </c>
      <c r="I32" s="136" t="s">
        <v>409</v>
      </c>
      <c r="J32" s="136" t="s">
        <v>388</v>
      </c>
      <c r="K32" s="138">
        <v>2.3521429999999999</v>
      </c>
      <c r="L32" s="136" t="s">
        <v>20</v>
      </c>
      <c r="M32" s="138">
        <v>26800</v>
      </c>
      <c r="N32" s="138">
        <v>63037.43</v>
      </c>
      <c r="O32" s="136" t="s">
        <v>20</v>
      </c>
      <c r="P32" s="137">
        <v>42781</v>
      </c>
      <c r="Q32" s="136" t="s">
        <v>396</v>
      </c>
      <c r="R32" s="136" t="s">
        <v>396</v>
      </c>
      <c r="S32" s="136" t="s">
        <v>411</v>
      </c>
      <c r="T32" s="136"/>
      <c r="U32" s="136"/>
      <c r="V32" s="139"/>
      <c r="W32" s="139"/>
      <c r="X32" s="136" t="s">
        <v>1755</v>
      </c>
      <c r="Y32" s="136"/>
      <c r="Z32" s="139"/>
      <c r="AA32" s="136"/>
      <c r="AB32" s="139"/>
      <c r="AC32" s="136"/>
      <c r="AD32" s="136"/>
    </row>
    <row r="33" spans="1:30" x14ac:dyDescent="0.25">
      <c r="A33" s="136" t="s">
        <v>2771</v>
      </c>
      <c r="B33" s="136" t="s">
        <v>386</v>
      </c>
      <c r="C33" s="136"/>
      <c r="D33" s="136" t="s">
        <v>2735</v>
      </c>
      <c r="E33" s="136" t="s">
        <v>2735</v>
      </c>
      <c r="F33" s="136" t="s">
        <v>408</v>
      </c>
      <c r="G33" s="137">
        <v>42860.646886574075</v>
      </c>
      <c r="H33" s="137">
        <v>42860</v>
      </c>
      <c r="I33" s="136" t="s">
        <v>409</v>
      </c>
      <c r="J33" s="136" t="s">
        <v>388</v>
      </c>
      <c r="K33" s="138">
        <v>1.7598400000000001</v>
      </c>
      <c r="L33" s="136" t="s">
        <v>20</v>
      </c>
      <c r="M33" s="138">
        <v>35500</v>
      </c>
      <c r="N33" s="138">
        <v>62474.32</v>
      </c>
      <c r="O33" s="136" t="s">
        <v>20</v>
      </c>
      <c r="P33" s="137">
        <v>42860</v>
      </c>
      <c r="Q33" s="136" t="s">
        <v>396</v>
      </c>
      <c r="R33" s="136" t="s">
        <v>396</v>
      </c>
      <c r="S33" s="136" t="s">
        <v>411</v>
      </c>
      <c r="T33" s="136"/>
      <c r="U33" s="136"/>
      <c r="V33" s="139"/>
      <c r="W33" s="139"/>
      <c r="X33" s="136" t="s">
        <v>1755</v>
      </c>
      <c r="Y33" s="136"/>
      <c r="Z33" s="139"/>
      <c r="AA33" s="136"/>
      <c r="AB33" s="139"/>
      <c r="AC33" s="136"/>
      <c r="AD33" s="136" t="s">
        <v>2772</v>
      </c>
    </row>
    <row r="34" spans="1:30" x14ac:dyDescent="0.25">
      <c r="A34" s="136" t="s">
        <v>2773</v>
      </c>
      <c r="B34" s="136" t="s">
        <v>386</v>
      </c>
      <c r="C34" s="136"/>
      <c r="D34" s="136" t="s">
        <v>2735</v>
      </c>
      <c r="E34" s="136" t="s">
        <v>2735</v>
      </c>
      <c r="F34" s="136" t="s">
        <v>408</v>
      </c>
      <c r="G34" s="137">
        <v>42851.585104166668</v>
      </c>
      <c r="H34" s="137">
        <v>42851</v>
      </c>
      <c r="I34" s="136" t="s">
        <v>409</v>
      </c>
      <c r="J34" s="136" t="s">
        <v>388</v>
      </c>
      <c r="K34" s="138">
        <v>1.8424990000000001</v>
      </c>
      <c r="L34" s="136" t="s">
        <v>20</v>
      </c>
      <c r="M34" s="138">
        <v>27070</v>
      </c>
      <c r="N34" s="138">
        <v>49876.45</v>
      </c>
      <c r="O34" s="136" t="s">
        <v>20</v>
      </c>
      <c r="P34" s="137">
        <v>42851</v>
      </c>
      <c r="Q34" s="136" t="s">
        <v>396</v>
      </c>
      <c r="R34" s="136" t="s">
        <v>396</v>
      </c>
      <c r="S34" s="136" t="s">
        <v>411</v>
      </c>
      <c r="T34" s="136"/>
      <c r="U34" s="136"/>
      <c r="V34" s="139"/>
      <c r="W34" s="139"/>
      <c r="X34" s="136" t="s">
        <v>1755</v>
      </c>
      <c r="Y34" s="136"/>
      <c r="Z34" s="139"/>
      <c r="AA34" s="136"/>
      <c r="AB34" s="139"/>
      <c r="AC34" s="136"/>
      <c r="AD34" s="136" t="s">
        <v>2774</v>
      </c>
    </row>
    <row r="35" spans="1:30" x14ac:dyDescent="0.25">
      <c r="A35" s="136" t="s">
        <v>2775</v>
      </c>
      <c r="B35" s="136" t="s">
        <v>386</v>
      </c>
      <c r="C35" s="136"/>
      <c r="D35" s="136" t="s">
        <v>2735</v>
      </c>
      <c r="E35" s="136" t="s">
        <v>2735</v>
      </c>
      <c r="F35" s="136" t="s">
        <v>393</v>
      </c>
      <c r="G35" s="137">
        <v>42921.602708333332</v>
      </c>
      <c r="H35" s="137">
        <v>42921</v>
      </c>
      <c r="I35" s="136" t="s">
        <v>409</v>
      </c>
      <c r="J35" s="136" t="s">
        <v>388</v>
      </c>
      <c r="K35" s="138">
        <v>1.355</v>
      </c>
      <c r="L35" s="136" t="s">
        <v>2056</v>
      </c>
      <c r="M35" s="138">
        <v>1068</v>
      </c>
      <c r="N35" s="138">
        <v>1447.14</v>
      </c>
      <c r="O35" s="136" t="s">
        <v>2056</v>
      </c>
      <c r="P35" s="137">
        <v>42921</v>
      </c>
      <c r="Q35" s="136" t="s">
        <v>396</v>
      </c>
      <c r="R35" s="136" t="s">
        <v>396</v>
      </c>
      <c r="S35" s="136" t="s">
        <v>411</v>
      </c>
      <c r="T35" s="136"/>
      <c r="U35" s="136"/>
      <c r="V35" s="139"/>
      <c r="W35" s="139"/>
      <c r="X35" s="136" t="s">
        <v>1755</v>
      </c>
      <c r="Y35" s="136"/>
      <c r="Z35" s="139"/>
      <c r="AA35" s="136"/>
      <c r="AB35" s="139"/>
      <c r="AC35" s="136"/>
      <c r="AD35" s="136"/>
    </row>
    <row r="36" spans="1:30" x14ac:dyDescent="0.25">
      <c r="A36" s="132" t="s">
        <v>2776</v>
      </c>
      <c r="B36" s="133"/>
      <c r="C36" s="133"/>
      <c r="D36" s="133"/>
      <c r="E36" s="133"/>
      <c r="F36" s="133"/>
      <c r="G36" s="133"/>
      <c r="H36" s="133"/>
      <c r="I36" s="133"/>
      <c r="J36" s="133"/>
      <c r="K36" s="134"/>
      <c r="L36" s="133"/>
      <c r="M36" s="135">
        <v>6250</v>
      </c>
      <c r="N36" s="134"/>
      <c r="O36" s="133"/>
      <c r="P36" s="133"/>
      <c r="Q36" s="133"/>
      <c r="R36" s="133"/>
      <c r="S36" s="133"/>
      <c r="T36" s="133"/>
      <c r="U36" s="133"/>
      <c r="V36" s="134"/>
      <c r="W36" s="134"/>
      <c r="X36" s="133"/>
      <c r="Y36" s="133"/>
      <c r="Z36" s="134"/>
      <c r="AA36" s="133"/>
      <c r="AB36" s="134"/>
      <c r="AC36" s="133"/>
      <c r="AD36" s="133"/>
    </row>
    <row r="37" spans="1:30" x14ac:dyDescent="0.25">
      <c r="A37" s="132" t="s">
        <v>392</v>
      </c>
      <c r="B37" s="133"/>
      <c r="C37" s="133"/>
      <c r="D37" s="133"/>
      <c r="E37" s="133"/>
      <c r="F37" s="133"/>
      <c r="G37" s="133"/>
      <c r="H37" s="133"/>
      <c r="I37" s="133"/>
      <c r="J37" s="133"/>
      <c r="K37" s="134"/>
      <c r="L37" s="133"/>
      <c r="M37" s="135">
        <v>6250</v>
      </c>
      <c r="N37" s="134"/>
      <c r="O37" s="133"/>
      <c r="P37" s="133"/>
      <c r="Q37" s="133"/>
      <c r="R37" s="133"/>
      <c r="S37" s="133"/>
      <c r="T37" s="133"/>
      <c r="U37" s="133"/>
      <c r="V37" s="134"/>
      <c r="W37" s="134"/>
      <c r="X37" s="133"/>
      <c r="Y37" s="133"/>
      <c r="Z37" s="134"/>
      <c r="AA37" s="133"/>
      <c r="AB37" s="134"/>
      <c r="AC37" s="133"/>
      <c r="AD37" s="133"/>
    </row>
    <row r="38" spans="1:30" x14ac:dyDescent="0.25">
      <c r="A38" s="136" t="s">
        <v>2777</v>
      </c>
      <c r="B38" s="136" t="s">
        <v>386</v>
      </c>
      <c r="C38" s="136"/>
      <c r="D38" s="136" t="s">
        <v>2735</v>
      </c>
      <c r="E38" s="136" t="s">
        <v>2735</v>
      </c>
      <c r="F38" s="136" t="s">
        <v>393</v>
      </c>
      <c r="G38" s="137">
        <v>42786.577685185184</v>
      </c>
      <c r="H38" s="137">
        <v>42786</v>
      </c>
      <c r="I38" s="136" t="s">
        <v>2778</v>
      </c>
      <c r="J38" s="136" t="s">
        <v>388</v>
      </c>
      <c r="K38" s="138">
        <v>9.9023000000000003</v>
      </c>
      <c r="L38" s="136" t="s">
        <v>20</v>
      </c>
      <c r="M38" s="138">
        <v>6250</v>
      </c>
      <c r="N38" s="138">
        <v>61889.38</v>
      </c>
      <c r="O38" s="136" t="s">
        <v>20</v>
      </c>
      <c r="P38" s="137">
        <v>42786</v>
      </c>
      <c r="Q38" s="136" t="s">
        <v>396</v>
      </c>
      <c r="R38" s="136" t="s">
        <v>396</v>
      </c>
      <c r="S38" s="136" t="s">
        <v>411</v>
      </c>
      <c r="T38" s="136"/>
      <c r="U38" s="136"/>
      <c r="V38" s="139"/>
      <c r="W38" s="139"/>
      <c r="X38" s="136" t="s">
        <v>129</v>
      </c>
      <c r="Y38" s="136"/>
      <c r="Z38" s="139"/>
      <c r="AA38" s="136"/>
      <c r="AB38" s="139"/>
      <c r="AC38" s="136" t="s">
        <v>2779</v>
      </c>
      <c r="AD38" s="136"/>
    </row>
    <row r="39" spans="1:30" x14ac:dyDescent="0.25">
      <c r="A39" s="132" t="s">
        <v>2780</v>
      </c>
      <c r="B39" s="133"/>
      <c r="C39" s="133"/>
      <c r="D39" s="133"/>
      <c r="E39" s="133"/>
      <c r="F39" s="133"/>
      <c r="G39" s="133"/>
      <c r="H39" s="133"/>
      <c r="I39" s="133"/>
      <c r="J39" s="133"/>
      <c r="K39" s="134"/>
      <c r="L39" s="133"/>
      <c r="M39" s="135">
        <v>2271</v>
      </c>
      <c r="N39" s="134"/>
      <c r="O39" s="133"/>
      <c r="P39" s="133"/>
      <c r="Q39" s="133"/>
      <c r="R39" s="133"/>
      <c r="S39" s="133"/>
      <c r="T39" s="133"/>
      <c r="U39" s="133"/>
      <c r="V39" s="134"/>
      <c r="W39" s="134"/>
      <c r="X39" s="133"/>
      <c r="Y39" s="133"/>
      <c r="Z39" s="134"/>
      <c r="AA39" s="133"/>
      <c r="AB39" s="134"/>
      <c r="AC39" s="133"/>
      <c r="AD39" s="133"/>
    </row>
    <row r="40" spans="1:30" x14ac:dyDescent="0.25">
      <c r="A40" s="132" t="s">
        <v>392</v>
      </c>
      <c r="B40" s="133"/>
      <c r="C40" s="133"/>
      <c r="D40" s="133"/>
      <c r="E40" s="133"/>
      <c r="F40" s="133"/>
      <c r="G40" s="133"/>
      <c r="H40" s="133"/>
      <c r="I40" s="133"/>
      <c r="J40" s="133"/>
      <c r="K40" s="134"/>
      <c r="L40" s="133"/>
      <c r="M40" s="135">
        <v>2271</v>
      </c>
      <c r="N40" s="134"/>
      <c r="O40" s="133"/>
      <c r="P40" s="133"/>
      <c r="Q40" s="133"/>
      <c r="R40" s="133"/>
      <c r="S40" s="133"/>
      <c r="T40" s="133"/>
      <c r="U40" s="133"/>
      <c r="V40" s="134"/>
      <c r="W40" s="134"/>
      <c r="X40" s="133"/>
      <c r="Y40" s="133"/>
      <c r="Z40" s="134"/>
      <c r="AA40" s="133"/>
      <c r="AB40" s="134"/>
      <c r="AC40" s="133"/>
      <c r="AD40" s="133"/>
    </row>
    <row r="41" spans="1:30" x14ac:dyDescent="0.25">
      <c r="A41" s="136" t="s">
        <v>2781</v>
      </c>
      <c r="B41" s="136" t="s">
        <v>386</v>
      </c>
      <c r="C41" s="136"/>
      <c r="D41" s="136" t="s">
        <v>2735</v>
      </c>
      <c r="E41" s="136" t="s">
        <v>2735</v>
      </c>
      <c r="F41" s="136" t="s">
        <v>393</v>
      </c>
      <c r="G41" s="137">
        <v>42788.787569444445</v>
      </c>
      <c r="H41" s="137">
        <v>42788</v>
      </c>
      <c r="I41" s="136" t="s">
        <v>409</v>
      </c>
      <c r="J41" s="136" t="s">
        <v>388</v>
      </c>
      <c r="K41" s="138">
        <v>55</v>
      </c>
      <c r="L41" s="136" t="s">
        <v>20</v>
      </c>
      <c r="M41" s="138">
        <v>1136</v>
      </c>
      <c r="N41" s="138">
        <v>62480</v>
      </c>
      <c r="O41" s="136" t="s">
        <v>20</v>
      </c>
      <c r="P41" s="137">
        <v>42788</v>
      </c>
      <c r="Q41" s="136" t="s">
        <v>396</v>
      </c>
      <c r="R41" s="136" t="s">
        <v>396</v>
      </c>
      <c r="S41" s="136" t="s">
        <v>411</v>
      </c>
      <c r="T41" s="136"/>
      <c r="U41" s="136"/>
      <c r="V41" s="139"/>
      <c r="W41" s="139"/>
      <c r="X41" s="136" t="s">
        <v>1899</v>
      </c>
      <c r="Y41" s="136"/>
      <c r="Z41" s="139"/>
      <c r="AA41" s="136"/>
      <c r="AB41" s="139"/>
      <c r="AC41" s="136" t="s">
        <v>2782</v>
      </c>
      <c r="AD41" s="136"/>
    </row>
    <row r="42" spans="1:30" x14ac:dyDescent="0.25">
      <c r="A42" s="136" t="s">
        <v>2783</v>
      </c>
      <c r="B42" s="136" t="s">
        <v>386</v>
      </c>
      <c r="C42" s="136"/>
      <c r="D42" s="136" t="s">
        <v>2735</v>
      </c>
      <c r="E42" s="136" t="s">
        <v>2735</v>
      </c>
      <c r="F42" s="136" t="s">
        <v>408</v>
      </c>
      <c r="G42" s="137">
        <v>42958.80259259259</v>
      </c>
      <c r="H42" s="137">
        <v>42958</v>
      </c>
      <c r="I42" s="136" t="s">
        <v>409</v>
      </c>
      <c r="J42" s="136" t="s">
        <v>388</v>
      </c>
      <c r="K42" s="138">
        <v>42.862738</v>
      </c>
      <c r="L42" s="136" t="s">
        <v>20</v>
      </c>
      <c r="M42" s="138">
        <v>1135</v>
      </c>
      <c r="N42" s="138">
        <v>48649.21</v>
      </c>
      <c r="O42" s="136" t="s">
        <v>20</v>
      </c>
      <c r="P42" s="137">
        <v>42958</v>
      </c>
      <c r="Q42" s="136" t="s">
        <v>396</v>
      </c>
      <c r="R42" s="136" t="s">
        <v>396</v>
      </c>
      <c r="S42" s="136"/>
      <c r="T42" s="136"/>
      <c r="U42" s="136"/>
      <c r="V42" s="139"/>
      <c r="W42" s="139"/>
      <c r="X42" s="136" t="s">
        <v>1899</v>
      </c>
      <c r="Y42" s="136"/>
      <c r="Z42" s="139"/>
      <c r="AA42" s="136"/>
      <c r="AB42" s="139"/>
      <c r="AC42" s="136"/>
      <c r="AD42" s="136"/>
    </row>
    <row r="43" spans="1:30" x14ac:dyDescent="0.25">
      <c r="A43" s="132" t="s">
        <v>2784</v>
      </c>
      <c r="B43" s="133"/>
      <c r="C43" s="133"/>
      <c r="D43" s="133"/>
      <c r="E43" s="133"/>
      <c r="F43" s="133"/>
      <c r="G43" s="133"/>
      <c r="H43" s="133"/>
      <c r="I43" s="133"/>
      <c r="J43" s="133"/>
      <c r="K43" s="134"/>
      <c r="L43" s="133"/>
      <c r="M43" s="135">
        <v>2850</v>
      </c>
      <c r="N43" s="134"/>
      <c r="O43" s="133"/>
      <c r="P43" s="133"/>
      <c r="Q43" s="133"/>
      <c r="R43" s="133"/>
      <c r="S43" s="133"/>
      <c r="T43" s="133"/>
      <c r="U43" s="133"/>
      <c r="V43" s="134"/>
      <c r="W43" s="134"/>
      <c r="X43" s="133"/>
      <c r="Y43" s="133"/>
      <c r="Z43" s="134"/>
      <c r="AA43" s="133"/>
      <c r="AB43" s="134"/>
      <c r="AC43" s="133"/>
      <c r="AD43" s="133"/>
    </row>
    <row r="44" spans="1:30" x14ac:dyDescent="0.25">
      <c r="A44" s="132" t="s">
        <v>392</v>
      </c>
      <c r="B44" s="133"/>
      <c r="C44" s="133"/>
      <c r="D44" s="133"/>
      <c r="E44" s="133"/>
      <c r="F44" s="133"/>
      <c r="G44" s="133"/>
      <c r="H44" s="133"/>
      <c r="I44" s="133"/>
      <c r="J44" s="133"/>
      <c r="K44" s="134"/>
      <c r="L44" s="133"/>
      <c r="M44" s="135">
        <v>2850</v>
      </c>
      <c r="N44" s="134"/>
      <c r="O44" s="133"/>
      <c r="P44" s="133"/>
      <c r="Q44" s="133"/>
      <c r="R44" s="133"/>
      <c r="S44" s="133"/>
      <c r="T44" s="133"/>
      <c r="U44" s="133"/>
      <c r="V44" s="134"/>
      <c r="W44" s="134"/>
      <c r="X44" s="133"/>
      <c r="Y44" s="133"/>
      <c r="Z44" s="134"/>
      <c r="AA44" s="133"/>
      <c r="AB44" s="134"/>
      <c r="AC44" s="133"/>
      <c r="AD44" s="133"/>
    </row>
    <row r="45" spans="1:30" x14ac:dyDescent="0.25">
      <c r="A45" s="136" t="s">
        <v>2785</v>
      </c>
      <c r="B45" s="136" t="s">
        <v>386</v>
      </c>
      <c r="C45" s="136"/>
      <c r="D45" s="136" t="s">
        <v>2735</v>
      </c>
      <c r="E45" s="136" t="s">
        <v>2735</v>
      </c>
      <c r="F45" s="136" t="s">
        <v>393</v>
      </c>
      <c r="G45" s="137">
        <v>42986.809444444443</v>
      </c>
      <c r="H45" s="137">
        <v>42986</v>
      </c>
      <c r="I45" s="136" t="s">
        <v>409</v>
      </c>
      <c r="J45" s="136" t="s">
        <v>388</v>
      </c>
      <c r="K45" s="138">
        <v>21.85</v>
      </c>
      <c r="L45" s="136" t="s">
        <v>20</v>
      </c>
      <c r="M45" s="138">
        <v>2850</v>
      </c>
      <c r="N45" s="138">
        <v>62272.5</v>
      </c>
      <c r="O45" s="136" t="s">
        <v>20</v>
      </c>
      <c r="P45" s="137">
        <v>42984</v>
      </c>
      <c r="Q45" s="136" t="s">
        <v>396</v>
      </c>
      <c r="R45" s="136" t="s">
        <v>396</v>
      </c>
      <c r="S45" s="136" t="s">
        <v>411</v>
      </c>
      <c r="T45" s="136"/>
      <c r="U45" s="136"/>
      <c r="V45" s="139"/>
      <c r="W45" s="139"/>
      <c r="X45" s="136" t="s">
        <v>875</v>
      </c>
      <c r="Y45" s="136"/>
      <c r="Z45" s="139"/>
      <c r="AA45" s="136"/>
      <c r="AB45" s="139"/>
      <c r="AC45" s="136" t="s">
        <v>2786</v>
      </c>
      <c r="AD45" s="136"/>
    </row>
    <row r="46" spans="1:30" x14ac:dyDescent="0.25">
      <c r="A46" s="132" t="s">
        <v>2787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4"/>
      <c r="L46" s="133"/>
      <c r="M46" s="135">
        <v>5750</v>
      </c>
      <c r="N46" s="134"/>
      <c r="O46" s="133"/>
      <c r="P46" s="133"/>
      <c r="Q46" s="133"/>
      <c r="R46" s="133"/>
      <c r="S46" s="133"/>
      <c r="T46" s="133"/>
      <c r="U46" s="133"/>
      <c r="V46" s="134"/>
      <c r="W46" s="134"/>
      <c r="X46" s="133"/>
      <c r="Y46" s="133"/>
      <c r="Z46" s="134"/>
      <c r="AA46" s="133"/>
      <c r="AB46" s="134"/>
      <c r="AC46" s="133"/>
      <c r="AD46" s="133"/>
    </row>
    <row r="47" spans="1:30" x14ac:dyDescent="0.25">
      <c r="A47" s="132" t="s">
        <v>392</v>
      </c>
      <c r="B47" s="133"/>
      <c r="C47" s="133"/>
      <c r="D47" s="133"/>
      <c r="E47" s="133"/>
      <c r="F47" s="133"/>
      <c r="G47" s="133"/>
      <c r="H47" s="133"/>
      <c r="I47" s="133"/>
      <c r="J47" s="133"/>
      <c r="K47" s="134"/>
      <c r="L47" s="133"/>
      <c r="M47" s="135">
        <v>5750</v>
      </c>
      <c r="N47" s="134"/>
      <c r="O47" s="133"/>
      <c r="P47" s="133"/>
      <c r="Q47" s="133"/>
      <c r="R47" s="133"/>
      <c r="S47" s="133"/>
      <c r="T47" s="133"/>
      <c r="U47" s="133"/>
      <c r="V47" s="134"/>
      <c r="W47" s="134"/>
      <c r="X47" s="133"/>
      <c r="Y47" s="133"/>
      <c r="Z47" s="134"/>
      <c r="AA47" s="133"/>
      <c r="AB47" s="134"/>
      <c r="AC47" s="133"/>
      <c r="AD47" s="133"/>
    </row>
    <row r="48" spans="1:30" x14ac:dyDescent="0.25">
      <c r="A48" s="136" t="s">
        <v>2788</v>
      </c>
      <c r="B48" s="136" t="s">
        <v>386</v>
      </c>
      <c r="C48" s="136"/>
      <c r="D48" s="136" t="s">
        <v>2735</v>
      </c>
      <c r="E48" s="136" t="s">
        <v>2735</v>
      </c>
      <c r="F48" s="136" t="s">
        <v>408</v>
      </c>
      <c r="G48" s="137">
        <v>42892.602511574078</v>
      </c>
      <c r="H48" s="137">
        <v>42892</v>
      </c>
      <c r="I48" s="136" t="s">
        <v>415</v>
      </c>
      <c r="J48" s="136" t="s">
        <v>388</v>
      </c>
      <c r="K48" s="138">
        <v>10.900309999999999</v>
      </c>
      <c r="L48" s="136" t="s">
        <v>20</v>
      </c>
      <c r="M48" s="138">
        <v>5750</v>
      </c>
      <c r="N48" s="138">
        <v>62676.78</v>
      </c>
      <c r="O48" s="136" t="s">
        <v>20</v>
      </c>
      <c r="P48" s="137">
        <v>42892</v>
      </c>
      <c r="Q48" s="136" t="s">
        <v>396</v>
      </c>
      <c r="R48" s="136" t="s">
        <v>396</v>
      </c>
      <c r="S48" s="136" t="s">
        <v>411</v>
      </c>
      <c r="T48" s="136"/>
      <c r="U48" s="136"/>
      <c r="V48" s="139"/>
      <c r="W48" s="139"/>
      <c r="X48" s="136" t="s">
        <v>823</v>
      </c>
      <c r="Y48" s="136"/>
      <c r="Z48" s="139"/>
      <c r="AA48" s="136"/>
      <c r="AB48" s="139"/>
      <c r="AC48" s="136"/>
      <c r="AD48" s="136" t="s">
        <v>2789</v>
      </c>
    </row>
    <row r="49" spans="1:30" x14ac:dyDescent="0.25">
      <c r="A49" s="132" t="s">
        <v>2790</v>
      </c>
      <c r="B49" s="133"/>
      <c r="C49" s="133"/>
      <c r="D49" s="133"/>
      <c r="E49" s="133"/>
      <c r="F49" s="133"/>
      <c r="G49" s="133"/>
      <c r="H49" s="133"/>
      <c r="I49" s="133"/>
      <c r="J49" s="133"/>
      <c r="K49" s="134"/>
      <c r="L49" s="133"/>
      <c r="M49" s="135">
        <v>28900</v>
      </c>
      <c r="N49" s="134"/>
      <c r="O49" s="133"/>
      <c r="P49" s="133"/>
      <c r="Q49" s="133"/>
      <c r="R49" s="133"/>
      <c r="S49" s="133"/>
      <c r="T49" s="133"/>
      <c r="U49" s="133"/>
      <c r="V49" s="134"/>
      <c r="W49" s="134"/>
      <c r="X49" s="133"/>
      <c r="Y49" s="133"/>
      <c r="Z49" s="134"/>
      <c r="AA49" s="133"/>
      <c r="AB49" s="134"/>
      <c r="AC49" s="133"/>
      <c r="AD49" s="133"/>
    </row>
    <row r="50" spans="1:30" x14ac:dyDescent="0.25">
      <c r="A50" s="132" t="s">
        <v>392</v>
      </c>
      <c r="B50" s="133"/>
      <c r="C50" s="133"/>
      <c r="D50" s="133"/>
      <c r="E50" s="133"/>
      <c r="F50" s="133"/>
      <c r="G50" s="133"/>
      <c r="H50" s="133"/>
      <c r="I50" s="133"/>
      <c r="J50" s="133"/>
      <c r="K50" s="134"/>
      <c r="L50" s="133"/>
      <c r="M50" s="135">
        <v>28900</v>
      </c>
      <c r="N50" s="134"/>
      <c r="O50" s="133"/>
      <c r="P50" s="133"/>
      <c r="Q50" s="133"/>
      <c r="R50" s="133"/>
      <c r="S50" s="133"/>
      <c r="T50" s="133"/>
      <c r="U50" s="133"/>
      <c r="V50" s="134"/>
      <c r="W50" s="134"/>
      <c r="X50" s="133"/>
      <c r="Y50" s="133"/>
      <c r="Z50" s="134"/>
      <c r="AA50" s="133"/>
      <c r="AB50" s="134"/>
      <c r="AC50" s="133"/>
      <c r="AD50" s="133"/>
    </row>
    <row r="51" spans="1:30" x14ac:dyDescent="0.25">
      <c r="A51" s="136" t="s">
        <v>2791</v>
      </c>
      <c r="B51" s="136" t="s">
        <v>386</v>
      </c>
      <c r="C51" s="136"/>
      <c r="D51" s="136" t="s">
        <v>2735</v>
      </c>
      <c r="E51" s="136" t="s">
        <v>2735</v>
      </c>
      <c r="F51" s="136" t="s">
        <v>408</v>
      </c>
      <c r="G51" s="137">
        <v>42817.641574074078</v>
      </c>
      <c r="H51" s="137">
        <v>42817</v>
      </c>
      <c r="I51" s="136" t="s">
        <v>469</v>
      </c>
      <c r="J51" s="136" t="s">
        <v>388</v>
      </c>
      <c r="K51" s="138">
        <v>4.4821</v>
      </c>
      <c r="L51" s="136" t="s">
        <v>20</v>
      </c>
      <c r="M51" s="138">
        <v>13900</v>
      </c>
      <c r="N51" s="138">
        <v>62301.19</v>
      </c>
      <c r="O51" s="136" t="s">
        <v>20</v>
      </c>
      <c r="P51" s="137">
        <v>42817</v>
      </c>
      <c r="Q51" s="136" t="s">
        <v>396</v>
      </c>
      <c r="R51" s="136" t="s">
        <v>396</v>
      </c>
      <c r="S51" s="136" t="s">
        <v>411</v>
      </c>
      <c r="T51" s="136"/>
      <c r="U51" s="136"/>
      <c r="V51" s="139"/>
      <c r="W51" s="139"/>
      <c r="X51" s="136" t="s">
        <v>1116</v>
      </c>
      <c r="Y51" s="136"/>
      <c r="Z51" s="139"/>
      <c r="AA51" s="136"/>
      <c r="AB51" s="139"/>
      <c r="AC51" s="136" t="s">
        <v>2792</v>
      </c>
      <c r="AD51" s="136"/>
    </row>
    <row r="52" spans="1:30" x14ac:dyDescent="0.25">
      <c r="A52" s="136" t="s">
        <v>2793</v>
      </c>
      <c r="B52" s="136" t="s">
        <v>386</v>
      </c>
      <c r="C52" s="136"/>
      <c r="D52" s="136" t="s">
        <v>2735</v>
      </c>
      <c r="E52" s="136" t="s">
        <v>2735</v>
      </c>
      <c r="F52" s="136" t="s">
        <v>408</v>
      </c>
      <c r="G52" s="137">
        <v>42892.592523148145</v>
      </c>
      <c r="H52" s="137">
        <v>42892</v>
      </c>
      <c r="I52" s="136" t="s">
        <v>469</v>
      </c>
      <c r="J52" s="136" t="s">
        <v>388</v>
      </c>
      <c r="K52" s="138">
        <v>4.1764999999999999</v>
      </c>
      <c r="L52" s="136" t="s">
        <v>20</v>
      </c>
      <c r="M52" s="138">
        <v>15000</v>
      </c>
      <c r="N52" s="138">
        <v>62647.5</v>
      </c>
      <c r="O52" s="136" t="s">
        <v>20</v>
      </c>
      <c r="P52" s="137">
        <v>42892</v>
      </c>
      <c r="Q52" s="136" t="s">
        <v>396</v>
      </c>
      <c r="R52" s="136" t="s">
        <v>396</v>
      </c>
      <c r="S52" s="136" t="s">
        <v>411</v>
      </c>
      <c r="T52" s="136"/>
      <c r="U52" s="136"/>
      <c r="V52" s="139"/>
      <c r="W52" s="139"/>
      <c r="X52" s="136" t="s">
        <v>1116</v>
      </c>
      <c r="Y52" s="136"/>
      <c r="Z52" s="139"/>
      <c r="AA52" s="136"/>
      <c r="AB52" s="139"/>
      <c r="AC52" s="136"/>
      <c r="AD52" s="136"/>
    </row>
    <row r="53" spans="1:30" x14ac:dyDescent="0.25">
      <c r="A53" s="132" t="s">
        <v>2794</v>
      </c>
      <c r="B53" s="133"/>
      <c r="C53" s="133"/>
      <c r="D53" s="133"/>
      <c r="E53" s="133"/>
      <c r="F53" s="133"/>
      <c r="G53" s="133"/>
      <c r="H53" s="133"/>
      <c r="I53" s="133"/>
      <c r="J53" s="133"/>
      <c r="K53" s="134"/>
      <c r="L53" s="133"/>
      <c r="M53" s="135">
        <v>5150</v>
      </c>
      <c r="N53" s="134"/>
      <c r="O53" s="133"/>
      <c r="P53" s="133"/>
      <c r="Q53" s="133"/>
      <c r="R53" s="133"/>
      <c r="S53" s="133"/>
      <c r="T53" s="133"/>
      <c r="U53" s="133"/>
      <c r="V53" s="134"/>
      <c r="W53" s="134"/>
      <c r="X53" s="133"/>
      <c r="Y53" s="133"/>
      <c r="Z53" s="134"/>
      <c r="AA53" s="133"/>
      <c r="AB53" s="134"/>
      <c r="AC53" s="133"/>
      <c r="AD53" s="133"/>
    </row>
    <row r="54" spans="1:30" x14ac:dyDescent="0.25">
      <c r="A54" s="132" t="s">
        <v>392</v>
      </c>
      <c r="B54" s="133"/>
      <c r="C54" s="133"/>
      <c r="D54" s="133"/>
      <c r="E54" s="133"/>
      <c r="F54" s="133"/>
      <c r="G54" s="133"/>
      <c r="H54" s="133"/>
      <c r="I54" s="133"/>
      <c r="J54" s="133"/>
      <c r="K54" s="134"/>
      <c r="L54" s="133"/>
      <c r="M54" s="135">
        <v>5150</v>
      </c>
      <c r="N54" s="134"/>
      <c r="O54" s="133"/>
      <c r="P54" s="133"/>
      <c r="Q54" s="133"/>
      <c r="R54" s="133"/>
      <c r="S54" s="133"/>
      <c r="T54" s="133"/>
      <c r="U54" s="133"/>
      <c r="V54" s="134"/>
      <c r="W54" s="134"/>
      <c r="X54" s="133"/>
      <c r="Y54" s="133"/>
      <c r="Z54" s="134"/>
      <c r="AA54" s="133"/>
      <c r="AB54" s="134"/>
      <c r="AC54" s="133"/>
      <c r="AD54" s="133"/>
    </row>
    <row r="55" spans="1:30" x14ac:dyDescent="0.25">
      <c r="A55" s="136" t="s">
        <v>2795</v>
      </c>
      <c r="B55" s="136" t="s">
        <v>386</v>
      </c>
      <c r="C55" s="136"/>
      <c r="D55" s="136" t="s">
        <v>2735</v>
      </c>
      <c r="E55" s="136" t="s">
        <v>2735</v>
      </c>
      <c r="F55" s="136" t="s">
        <v>408</v>
      </c>
      <c r="G55" s="137">
        <v>42781.780335648145</v>
      </c>
      <c r="H55" s="137">
        <v>42781</v>
      </c>
      <c r="I55" s="136" t="s">
        <v>409</v>
      </c>
      <c r="J55" s="136" t="s">
        <v>388</v>
      </c>
      <c r="K55" s="138">
        <v>12.150689</v>
      </c>
      <c r="L55" s="136" t="s">
        <v>20</v>
      </c>
      <c r="M55" s="138">
        <v>5150</v>
      </c>
      <c r="N55" s="138">
        <v>62576.05</v>
      </c>
      <c r="O55" s="136" t="s">
        <v>20</v>
      </c>
      <c r="P55" s="137">
        <v>42781</v>
      </c>
      <c r="Q55" s="136" t="s">
        <v>396</v>
      </c>
      <c r="R55" s="136" t="s">
        <v>396</v>
      </c>
      <c r="S55" s="136"/>
      <c r="T55" s="136"/>
      <c r="U55" s="136"/>
      <c r="V55" s="139"/>
      <c r="W55" s="139"/>
      <c r="X55" s="136" t="s">
        <v>2315</v>
      </c>
      <c r="Y55" s="136"/>
      <c r="Z55" s="139"/>
      <c r="AA55" s="136"/>
      <c r="AB55" s="139"/>
      <c r="AC55" s="136"/>
      <c r="AD55" s="136"/>
    </row>
    <row r="56" spans="1:30" x14ac:dyDescent="0.25">
      <c r="A56" s="132" t="s">
        <v>2796</v>
      </c>
      <c r="B56" s="133"/>
      <c r="C56" s="133"/>
      <c r="D56" s="133"/>
      <c r="E56" s="133"/>
      <c r="F56" s="133"/>
      <c r="G56" s="133"/>
      <c r="H56" s="133"/>
      <c r="I56" s="133"/>
      <c r="J56" s="133"/>
      <c r="K56" s="134"/>
      <c r="L56" s="133"/>
      <c r="M56" s="135">
        <v>3850</v>
      </c>
      <c r="N56" s="134"/>
      <c r="O56" s="133"/>
      <c r="P56" s="133"/>
      <c r="Q56" s="133"/>
      <c r="R56" s="133"/>
      <c r="S56" s="133"/>
      <c r="T56" s="133"/>
      <c r="U56" s="133"/>
      <c r="V56" s="134"/>
      <c r="W56" s="134"/>
      <c r="X56" s="133"/>
      <c r="Y56" s="133"/>
      <c r="Z56" s="134"/>
      <c r="AA56" s="133"/>
      <c r="AB56" s="134"/>
      <c r="AC56" s="133"/>
      <c r="AD56" s="133"/>
    </row>
    <row r="57" spans="1:30" x14ac:dyDescent="0.25">
      <c r="A57" s="132" t="s">
        <v>392</v>
      </c>
      <c r="B57" s="133"/>
      <c r="C57" s="133"/>
      <c r="D57" s="133"/>
      <c r="E57" s="133"/>
      <c r="F57" s="133"/>
      <c r="G57" s="133"/>
      <c r="H57" s="133"/>
      <c r="I57" s="133"/>
      <c r="J57" s="133"/>
      <c r="K57" s="134"/>
      <c r="L57" s="133"/>
      <c r="M57" s="135">
        <v>3850</v>
      </c>
      <c r="N57" s="134"/>
      <c r="O57" s="133"/>
      <c r="P57" s="133"/>
      <c r="Q57" s="133"/>
      <c r="R57" s="133"/>
      <c r="S57" s="133"/>
      <c r="T57" s="133"/>
      <c r="U57" s="133"/>
      <c r="V57" s="134"/>
      <c r="W57" s="134"/>
      <c r="X57" s="133"/>
      <c r="Y57" s="133"/>
      <c r="Z57" s="134"/>
      <c r="AA57" s="133"/>
      <c r="AB57" s="134"/>
      <c r="AC57" s="133"/>
      <c r="AD57" s="133"/>
    </row>
    <row r="58" spans="1:30" x14ac:dyDescent="0.25">
      <c r="A58" s="136" t="s">
        <v>2797</v>
      </c>
      <c r="B58" s="136" t="s">
        <v>386</v>
      </c>
      <c r="C58" s="136"/>
      <c r="D58" s="136" t="s">
        <v>2735</v>
      </c>
      <c r="E58" s="136" t="s">
        <v>2735</v>
      </c>
      <c r="F58" s="136" t="s">
        <v>393</v>
      </c>
      <c r="G58" s="137">
        <v>42984.787407407406</v>
      </c>
      <c r="H58" s="137">
        <v>42984</v>
      </c>
      <c r="I58" s="136" t="s">
        <v>469</v>
      </c>
      <c r="J58" s="136" t="s">
        <v>388</v>
      </c>
      <c r="K58" s="138">
        <v>16.230599999999999</v>
      </c>
      <c r="L58" s="136" t="s">
        <v>20</v>
      </c>
      <c r="M58" s="138">
        <v>3850</v>
      </c>
      <c r="N58" s="138">
        <v>62487.81</v>
      </c>
      <c r="O58" s="136" t="s">
        <v>20</v>
      </c>
      <c r="P58" s="137">
        <v>42984</v>
      </c>
      <c r="Q58" s="136" t="s">
        <v>396</v>
      </c>
      <c r="R58" s="136" t="s">
        <v>396</v>
      </c>
      <c r="S58" s="136" t="s">
        <v>411</v>
      </c>
      <c r="T58" s="136"/>
      <c r="U58" s="136"/>
      <c r="V58" s="139"/>
      <c r="W58" s="139"/>
      <c r="X58" s="136" t="s">
        <v>1316</v>
      </c>
      <c r="Y58" s="136"/>
      <c r="Z58" s="139"/>
      <c r="AA58" s="136"/>
      <c r="AB58" s="139"/>
      <c r="AC58" s="136" t="s">
        <v>2798</v>
      </c>
      <c r="AD58" s="136"/>
    </row>
    <row r="59" spans="1:30" x14ac:dyDescent="0.25">
      <c r="A59" s="132" t="s">
        <v>2799</v>
      </c>
      <c r="B59" s="133"/>
      <c r="C59" s="133"/>
      <c r="D59" s="133"/>
      <c r="E59" s="133"/>
      <c r="F59" s="133"/>
      <c r="G59" s="133"/>
      <c r="H59" s="133"/>
      <c r="I59" s="133"/>
      <c r="J59" s="133"/>
      <c r="K59" s="134"/>
      <c r="L59" s="133"/>
      <c r="M59" s="135">
        <v>14205</v>
      </c>
      <c r="N59" s="134"/>
      <c r="O59" s="133"/>
      <c r="P59" s="133"/>
      <c r="Q59" s="133"/>
      <c r="R59" s="133"/>
      <c r="S59" s="133"/>
      <c r="T59" s="133"/>
      <c r="U59" s="133"/>
      <c r="V59" s="134"/>
      <c r="W59" s="134"/>
      <c r="X59" s="133"/>
      <c r="Y59" s="133"/>
      <c r="Z59" s="134"/>
      <c r="AA59" s="133"/>
      <c r="AB59" s="134"/>
      <c r="AC59" s="133"/>
      <c r="AD59" s="133"/>
    </row>
    <row r="60" spans="1:30" x14ac:dyDescent="0.25">
      <c r="A60" s="132" t="s">
        <v>392</v>
      </c>
      <c r="B60" s="133"/>
      <c r="C60" s="133"/>
      <c r="D60" s="133"/>
      <c r="E60" s="133"/>
      <c r="F60" s="133"/>
      <c r="G60" s="133"/>
      <c r="H60" s="133"/>
      <c r="I60" s="133"/>
      <c r="J60" s="133"/>
      <c r="K60" s="134"/>
      <c r="L60" s="133"/>
      <c r="M60" s="135">
        <v>14205</v>
      </c>
      <c r="N60" s="134"/>
      <c r="O60" s="133"/>
      <c r="P60" s="133"/>
      <c r="Q60" s="133"/>
      <c r="R60" s="133"/>
      <c r="S60" s="133"/>
      <c r="T60" s="133"/>
      <c r="U60" s="133"/>
      <c r="V60" s="134"/>
      <c r="W60" s="134"/>
      <c r="X60" s="133"/>
      <c r="Y60" s="133"/>
      <c r="Z60" s="134"/>
      <c r="AA60" s="133"/>
      <c r="AB60" s="134"/>
      <c r="AC60" s="133"/>
      <c r="AD60" s="133"/>
    </row>
    <row r="61" spans="1:30" x14ac:dyDescent="0.25">
      <c r="A61" s="136" t="s">
        <v>2800</v>
      </c>
      <c r="B61" s="136" t="s">
        <v>386</v>
      </c>
      <c r="C61" s="136"/>
      <c r="D61" s="136" t="s">
        <v>2735</v>
      </c>
      <c r="E61" s="136" t="s">
        <v>2735</v>
      </c>
      <c r="F61" s="136" t="s">
        <v>408</v>
      </c>
      <c r="G61" s="137">
        <v>42781.778634259259</v>
      </c>
      <c r="H61" s="137">
        <v>42781</v>
      </c>
      <c r="I61" s="136" t="s">
        <v>469</v>
      </c>
      <c r="J61" s="136" t="s">
        <v>388</v>
      </c>
      <c r="K61" s="138">
        <v>4.3792609999999996</v>
      </c>
      <c r="L61" s="136" t="s">
        <v>20</v>
      </c>
      <c r="M61" s="138">
        <v>14205</v>
      </c>
      <c r="N61" s="138">
        <v>62207.4</v>
      </c>
      <c r="O61" s="136" t="s">
        <v>20</v>
      </c>
      <c r="P61" s="137">
        <v>42781</v>
      </c>
      <c r="Q61" s="136" t="s">
        <v>396</v>
      </c>
      <c r="R61" s="136" t="s">
        <v>396</v>
      </c>
      <c r="S61" s="136" t="s">
        <v>411</v>
      </c>
      <c r="T61" s="136"/>
      <c r="U61" s="136"/>
      <c r="V61" s="139"/>
      <c r="W61" s="139"/>
      <c r="X61" s="136" t="s">
        <v>1722</v>
      </c>
      <c r="Y61" s="136"/>
      <c r="Z61" s="139"/>
      <c r="AA61" s="136"/>
      <c r="AB61" s="139"/>
      <c r="AC61" s="136"/>
      <c r="AD61" s="136"/>
    </row>
    <row r="62" spans="1:30" x14ac:dyDescent="0.25">
      <c r="A62" s="115" t="s">
        <v>417</v>
      </c>
      <c r="B62" s="115" t="s">
        <v>386</v>
      </c>
      <c r="C62" s="115"/>
      <c r="D62" s="115" t="s">
        <v>413</v>
      </c>
      <c r="E62" s="115" t="s">
        <v>414</v>
      </c>
      <c r="F62" s="115" t="s">
        <v>387</v>
      </c>
      <c r="G62" s="116">
        <v>42976.558865740742</v>
      </c>
      <c r="H62" s="116">
        <v>42976</v>
      </c>
      <c r="I62" s="115" t="s">
        <v>415</v>
      </c>
      <c r="J62" s="115" t="s">
        <v>395</v>
      </c>
      <c r="K62" s="117">
        <v>9391</v>
      </c>
      <c r="L62" s="115" t="s">
        <v>390</v>
      </c>
      <c r="M62" s="117">
        <v>-66</v>
      </c>
      <c r="N62" s="117">
        <v>617923.64229999995</v>
      </c>
      <c r="O62" s="115" t="s">
        <v>390</v>
      </c>
      <c r="P62" s="116">
        <v>42976</v>
      </c>
      <c r="Q62" s="115"/>
      <c r="R62" s="115"/>
      <c r="S62" s="115" t="s">
        <v>411</v>
      </c>
      <c r="T62" s="115"/>
      <c r="U62" s="115"/>
      <c r="V62" s="118"/>
      <c r="W62" s="118"/>
      <c r="X62" s="115" t="s">
        <v>135</v>
      </c>
      <c r="Y62" s="115"/>
      <c r="Z62" s="118"/>
      <c r="AA62" s="115"/>
      <c r="AB62" s="118"/>
      <c r="AC62" s="115" t="s">
        <v>418</v>
      </c>
      <c r="AD62" s="115" t="s">
        <v>416</v>
      </c>
    </row>
    <row r="63" spans="1:30" x14ac:dyDescent="0.25">
      <c r="A63" s="115" t="s">
        <v>419</v>
      </c>
      <c r="B63" s="115" t="s">
        <v>386</v>
      </c>
      <c r="C63" s="115"/>
      <c r="D63" s="115" t="s">
        <v>413</v>
      </c>
      <c r="E63" s="115" t="s">
        <v>414</v>
      </c>
      <c r="F63" s="115" t="s">
        <v>387</v>
      </c>
      <c r="G63" s="116">
        <v>42976.558865740742</v>
      </c>
      <c r="H63" s="116">
        <v>42976</v>
      </c>
      <c r="I63" s="115" t="s">
        <v>415</v>
      </c>
      <c r="J63" s="115" t="s">
        <v>395</v>
      </c>
      <c r="K63" s="117">
        <v>9391</v>
      </c>
      <c r="L63" s="115" t="s">
        <v>390</v>
      </c>
      <c r="M63" s="117">
        <v>-147</v>
      </c>
      <c r="N63" s="117">
        <v>1376284.49285</v>
      </c>
      <c r="O63" s="115" t="s">
        <v>390</v>
      </c>
      <c r="P63" s="116">
        <v>42976</v>
      </c>
      <c r="Q63" s="115"/>
      <c r="R63" s="115"/>
      <c r="S63" s="115" t="s">
        <v>411</v>
      </c>
      <c r="T63" s="115"/>
      <c r="U63" s="115"/>
      <c r="V63" s="118"/>
      <c r="W63" s="118"/>
      <c r="X63" s="115" t="s">
        <v>135</v>
      </c>
      <c r="Y63" s="115"/>
      <c r="Z63" s="118"/>
      <c r="AA63" s="115"/>
      <c r="AB63" s="118"/>
      <c r="AC63" s="115" t="s">
        <v>420</v>
      </c>
      <c r="AD63" s="115" t="s">
        <v>416</v>
      </c>
    </row>
    <row r="64" spans="1:30" x14ac:dyDescent="0.25">
      <c r="A64" s="115" t="s">
        <v>421</v>
      </c>
      <c r="B64" s="115" t="s">
        <v>386</v>
      </c>
      <c r="C64" s="115"/>
      <c r="D64" s="115" t="s">
        <v>413</v>
      </c>
      <c r="E64" s="115" t="s">
        <v>414</v>
      </c>
      <c r="F64" s="115" t="s">
        <v>387</v>
      </c>
      <c r="G64" s="116">
        <v>42976.558865740742</v>
      </c>
      <c r="H64" s="116">
        <v>42976</v>
      </c>
      <c r="I64" s="115" t="s">
        <v>415</v>
      </c>
      <c r="J64" s="115" t="s">
        <v>395</v>
      </c>
      <c r="K64" s="117">
        <v>9390</v>
      </c>
      <c r="L64" s="115" t="s">
        <v>390</v>
      </c>
      <c r="M64" s="117">
        <v>-50</v>
      </c>
      <c r="N64" s="117">
        <v>468074.125</v>
      </c>
      <c r="O64" s="115" t="s">
        <v>390</v>
      </c>
      <c r="P64" s="116">
        <v>42976</v>
      </c>
      <c r="Q64" s="115"/>
      <c r="R64" s="115"/>
      <c r="S64" s="115" t="s">
        <v>411</v>
      </c>
      <c r="T64" s="115"/>
      <c r="U64" s="115"/>
      <c r="V64" s="118"/>
      <c r="W64" s="118"/>
      <c r="X64" s="115" t="s">
        <v>135</v>
      </c>
      <c r="Y64" s="115"/>
      <c r="Z64" s="118"/>
      <c r="AA64" s="115"/>
      <c r="AB64" s="118"/>
      <c r="AC64" s="115" t="s">
        <v>422</v>
      </c>
      <c r="AD64" s="115" t="s">
        <v>416</v>
      </c>
    </row>
    <row r="65" spans="1:30" x14ac:dyDescent="0.25">
      <c r="A65" s="115" t="s">
        <v>423</v>
      </c>
      <c r="B65" s="115" t="s">
        <v>386</v>
      </c>
      <c r="C65" s="115"/>
      <c r="D65" s="115" t="s">
        <v>413</v>
      </c>
      <c r="E65" s="115" t="s">
        <v>414</v>
      </c>
      <c r="F65" s="115" t="s">
        <v>387</v>
      </c>
      <c r="G65" s="116">
        <v>42976.558865740742</v>
      </c>
      <c r="H65" s="116">
        <v>42976</v>
      </c>
      <c r="I65" s="115" t="s">
        <v>415</v>
      </c>
      <c r="J65" s="115" t="s">
        <v>395</v>
      </c>
      <c r="K65" s="117">
        <v>9389</v>
      </c>
      <c r="L65" s="115" t="s">
        <v>390</v>
      </c>
      <c r="M65" s="117">
        <v>-71</v>
      </c>
      <c r="N65" s="117">
        <v>664594.47395000001</v>
      </c>
      <c r="O65" s="115" t="s">
        <v>390</v>
      </c>
      <c r="P65" s="116">
        <v>42976</v>
      </c>
      <c r="Q65" s="115"/>
      <c r="R65" s="115"/>
      <c r="S65" s="115" t="s">
        <v>411</v>
      </c>
      <c r="T65" s="115"/>
      <c r="U65" s="115"/>
      <c r="V65" s="118"/>
      <c r="W65" s="118"/>
      <c r="X65" s="115" t="s">
        <v>135</v>
      </c>
      <c r="Y65" s="115"/>
      <c r="Z65" s="118"/>
      <c r="AA65" s="115"/>
      <c r="AB65" s="118"/>
      <c r="AC65" s="115" t="s">
        <v>424</v>
      </c>
      <c r="AD65" s="115" t="s">
        <v>416</v>
      </c>
    </row>
    <row r="66" spans="1:30" x14ac:dyDescent="0.25">
      <c r="A66" s="115" t="s">
        <v>425</v>
      </c>
      <c r="B66" s="115" t="s">
        <v>386</v>
      </c>
      <c r="C66" s="115"/>
      <c r="D66" s="115" t="s">
        <v>413</v>
      </c>
      <c r="E66" s="115" t="s">
        <v>414</v>
      </c>
      <c r="F66" s="115" t="s">
        <v>387</v>
      </c>
      <c r="G66" s="116">
        <v>42976.558865740742</v>
      </c>
      <c r="H66" s="116">
        <v>42976</v>
      </c>
      <c r="I66" s="115" t="s">
        <v>415</v>
      </c>
      <c r="J66" s="115" t="s">
        <v>395</v>
      </c>
      <c r="K66" s="117">
        <v>9389</v>
      </c>
      <c r="L66" s="115" t="s">
        <v>390</v>
      </c>
      <c r="M66" s="117">
        <v>-2</v>
      </c>
      <c r="N66" s="117">
        <v>18720.974900000001</v>
      </c>
      <c r="O66" s="115" t="s">
        <v>390</v>
      </c>
      <c r="P66" s="116">
        <v>42976</v>
      </c>
      <c r="Q66" s="115"/>
      <c r="R66" s="115"/>
      <c r="S66" s="115" t="s">
        <v>411</v>
      </c>
      <c r="T66" s="115"/>
      <c r="U66" s="115"/>
      <c r="V66" s="118"/>
      <c r="W66" s="118"/>
      <c r="X66" s="115" t="s">
        <v>135</v>
      </c>
      <c r="Y66" s="115"/>
      <c r="Z66" s="118"/>
      <c r="AA66" s="115"/>
      <c r="AB66" s="118"/>
      <c r="AC66" s="115" t="s">
        <v>426</v>
      </c>
      <c r="AD66" s="115" t="s">
        <v>416</v>
      </c>
    </row>
    <row r="67" spans="1:30" x14ac:dyDescent="0.25">
      <c r="A67" s="115" t="s">
        <v>427</v>
      </c>
      <c r="B67" s="115" t="s">
        <v>386</v>
      </c>
      <c r="C67" s="115"/>
      <c r="D67" s="115" t="s">
        <v>413</v>
      </c>
      <c r="E67" s="115" t="s">
        <v>414</v>
      </c>
      <c r="F67" s="115" t="s">
        <v>387</v>
      </c>
      <c r="G67" s="116">
        <v>42976.558865740742</v>
      </c>
      <c r="H67" s="116">
        <v>42976</v>
      </c>
      <c r="I67" s="115" t="s">
        <v>415</v>
      </c>
      <c r="J67" s="115" t="s">
        <v>395</v>
      </c>
      <c r="K67" s="117">
        <v>9389</v>
      </c>
      <c r="L67" s="115" t="s">
        <v>390</v>
      </c>
      <c r="M67" s="117">
        <v>-132</v>
      </c>
      <c r="N67" s="117">
        <v>1235584.1133999999</v>
      </c>
      <c r="O67" s="115" t="s">
        <v>390</v>
      </c>
      <c r="P67" s="116">
        <v>42976</v>
      </c>
      <c r="Q67" s="115"/>
      <c r="R67" s="115"/>
      <c r="S67" s="115" t="s">
        <v>411</v>
      </c>
      <c r="T67" s="115"/>
      <c r="U67" s="115"/>
      <c r="V67" s="118"/>
      <c r="W67" s="118"/>
      <c r="X67" s="115" t="s">
        <v>135</v>
      </c>
      <c r="Y67" s="115"/>
      <c r="Z67" s="118"/>
      <c r="AA67" s="115"/>
      <c r="AB67" s="118"/>
      <c r="AC67" s="115" t="s">
        <v>428</v>
      </c>
      <c r="AD67" s="115" t="s">
        <v>416</v>
      </c>
    </row>
    <row r="68" spans="1:30" x14ac:dyDescent="0.25">
      <c r="A68" s="115" t="s">
        <v>429</v>
      </c>
      <c r="B68" s="115" t="s">
        <v>386</v>
      </c>
      <c r="C68" s="115"/>
      <c r="D68" s="115" t="s">
        <v>413</v>
      </c>
      <c r="E68" s="115" t="s">
        <v>414</v>
      </c>
      <c r="F68" s="115" t="s">
        <v>387</v>
      </c>
      <c r="G68" s="116">
        <v>42976.558854166666</v>
      </c>
      <c r="H68" s="116">
        <v>42976</v>
      </c>
      <c r="I68" s="115" t="s">
        <v>415</v>
      </c>
      <c r="J68" s="115" t="s">
        <v>395</v>
      </c>
      <c r="K68" s="117">
        <v>9401</v>
      </c>
      <c r="L68" s="115" t="s">
        <v>390</v>
      </c>
      <c r="M68" s="117">
        <v>-4</v>
      </c>
      <c r="N68" s="117">
        <v>37489.798199999997</v>
      </c>
      <c r="O68" s="115" t="s">
        <v>390</v>
      </c>
      <c r="P68" s="116">
        <v>42976</v>
      </c>
      <c r="Q68" s="115"/>
      <c r="R68" s="115"/>
      <c r="S68" s="115" t="s">
        <v>411</v>
      </c>
      <c r="T68" s="115"/>
      <c r="U68" s="115"/>
      <c r="V68" s="118"/>
      <c r="W68" s="118"/>
      <c r="X68" s="115" t="s">
        <v>135</v>
      </c>
      <c r="Y68" s="115"/>
      <c r="Z68" s="118"/>
      <c r="AA68" s="115"/>
      <c r="AB68" s="118"/>
      <c r="AC68" s="115" t="s">
        <v>430</v>
      </c>
      <c r="AD68" s="115" t="s">
        <v>416</v>
      </c>
    </row>
    <row r="69" spans="1:30" x14ac:dyDescent="0.25">
      <c r="A69" s="115" t="s">
        <v>431</v>
      </c>
      <c r="B69" s="115" t="s">
        <v>386</v>
      </c>
      <c r="C69" s="115"/>
      <c r="D69" s="115" t="s">
        <v>413</v>
      </c>
      <c r="E69" s="115" t="s">
        <v>414</v>
      </c>
      <c r="F69" s="115" t="s">
        <v>387</v>
      </c>
      <c r="G69" s="116">
        <v>42976.558842592596</v>
      </c>
      <c r="H69" s="116">
        <v>42976</v>
      </c>
      <c r="I69" s="115" t="s">
        <v>415</v>
      </c>
      <c r="J69" s="115" t="s">
        <v>395</v>
      </c>
      <c r="K69" s="117">
        <v>9401</v>
      </c>
      <c r="L69" s="115" t="s">
        <v>390</v>
      </c>
      <c r="M69" s="117">
        <v>-1</v>
      </c>
      <c r="N69" s="117">
        <v>9372.4470500000007</v>
      </c>
      <c r="O69" s="115" t="s">
        <v>390</v>
      </c>
      <c r="P69" s="116">
        <v>42976</v>
      </c>
      <c r="Q69" s="115"/>
      <c r="R69" s="115"/>
      <c r="S69" s="115" t="s">
        <v>411</v>
      </c>
      <c r="T69" s="115"/>
      <c r="U69" s="115"/>
      <c r="V69" s="118"/>
      <c r="W69" s="118"/>
      <c r="X69" s="115" t="s">
        <v>135</v>
      </c>
      <c r="Y69" s="115"/>
      <c r="Z69" s="118"/>
      <c r="AA69" s="115"/>
      <c r="AB69" s="118"/>
      <c r="AC69" s="115" t="s">
        <v>432</v>
      </c>
      <c r="AD69" s="115" t="s">
        <v>416</v>
      </c>
    </row>
    <row r="70" spans="1:30" x14ac:dyDescent="0.25">
      <c r="A70" s="115" t="s">
        <v>433</v>
      </c>
      <c r="B70" s="115" t="s">
        <v>386</v>
      </c>
      <c r="C70" s="115"/>
      <c r="D70" s="115" t="s">
        <v>413</v>
      </c>
      <c r="E70" s="115" t="s">
        <v>414</v>
      </c>
      <c r="F70" s="115" t="s">
        <v>387</v>
      </c>
      <c r="G70" s="116">
        <v>42976.558842592596</v>
      </c>
      <c r="H70" s="116">
        <v>42976</v>
      </c>
      <c r="I70" s="115" t="s">
        <v>415</v>
      </c>
      <c r="J70" s="115" t="s">
        <v>395</v>
      </c>
      <c r="K70" s="117">
        <v>9401</v>
      </c>
      <c r="L70" s="115" t="s">
        <v>390</v>
      </c>
      <c r="M70" s="117">
        <v>-23</v>
      </c>
      <c r="N70" s="117">
        <v>215566.34215000001</v>
      </c>
      <c r="O70" s="115" t="s">
        <v>390</v>
      </c>
      <c r="P70" s="116">
        <v>42976</v>
      </c>
      <c r="Q70" s="115"/>
      <c r="R70" s="115"/>
      <c r="S70" s="115" t="s">
        <v>411</v>
      </c>
      <c r="T70" s="115"/>
      <c r="U70" s="115"/>
      <c r="V70" s="118"/>
      <c r="W70" s="118"/>
      <c r="X70" s="115" t="s">
        <v>135</v>
      </c>
      <c r="Y70" s="115"/>
      <c r="Z70" s="118"/>
      <c r="AA70" s="115"/>
      <c r="AB70" s="118"/>
      <c r="AC70" s="115" t="s">
        <v>434</v>
      </c>
      <c r="AD70" s="115" t="s">
        <v>416</v>
      </c>
    </row>
    <row r="71" spans="1:30" x14ac:dyDescent="0.25">
      <c r="A71" s="115" t="s">
        <v>435</v>
      </c>
      <c r="B71" s="115" t="s">
        <v>386</v>
      </c>
      <c r="C71" s="115"/>
      <c r="D71" s="115" t="s">
        <v>413</v>
      </c>
      <c r="E71" s="115" t="s">
        <v>414</v>
      </c>
      <c r="F71" s="115" t="s">
        <v>387</v>
      </c>
      <c r="G71" s="116">
        <v>42976.558854166666</v>
      </c>
      <c r="H71" s="116">
        <v>42976</v>
      </c>
      <c r="I71" s="115" t="s">
        <v>415</v>
      </c>
      <c r="J71" s="115" t="s">
        <v>395</v>
      </c>
      <c r="K71" s="117">
        <v>9400</v>
      </c>
      <c r="L71" s="115" t="s">
        <v>390</v>
      </c>
      <c r="M71" s="117">
        <v>-2</v>
      </c>
      <c r="N71" s="117">
        <v>18742.89</v>
      </c>
      <c r="O71" s="115" t="s">
        <v>390</v>
      </c>
      <c r="P71" s="116">
        <v>42976</v>
      </c>
      <c r="Q71" s="115"/>
      <c r="R71" s="115"/>
      <c r="S71" s="115" t="s">
        <v>411</v>
      </c>
      <c r="T71" s="115"/>
      <c r="U71" s="115"/>
      <c r="V71" s="118"/>
      <c r="W71" s="118"/>
      <c r="X71" s="115" t="s">
        <v>135</v>
      </c>
      <c r="Y71" s="115"/>
      <c r="Z71" s="118"/>
      <c r="AA71" s="115"/>
      <c r="AB71" s="118"/>
      <c r="AC71" s="115" t="s">
        <v>436</v>
      </c>
      <c r="AD71" s="115" t="s">
        <v>416</v>
      </c>
    </row>
    <row r="72" spans="1:30" x14ac:dyDescent="0.25">
      <c r="A72" s="115" t="s">
        <v>437</v>
      </c>
      <c r="B72" s="115" t="s">
        <v>386</v>
      </c>
      <c r="C72" s="115"/>
      <c r="D72" s="115" t="s">
        <v>413</v>
      </c>
      <c r="E72" s="115" t="s">
        <v>414</v>
      </c>
      <c r="F72" s="115" t="s">
        <v>387</v>
      </c>
      <c r="G72" s="116">
        <v>42976.558854166666</v>
      </c>
      <c r="H72" s="116">
        <v>42976</v>
      </c>
      <c r="I72" s="115" t="s">
        <v>415</v>
      </c>
      <c r="J72" s="115" t="s">
        <v>395</v>
      </c>
      <c r="K72" s="117">
        <v>9400</v>
      </c>
      <c r="L72" s="115" t="s">
        <v>390</v>
      </c>
      <c r="M72" s="117">
        <v>-1</v>
      </c>
      <c r="N72" s="117">
        <v>9371.4500000000007</v>
      </c>
      <c r="O72" s="115" t="s">
        <v>390</v>
      </c>
      <c r="P72" s="116">
        <v>42976</v>
      </c>
      <c r="Q72" s="115"/>
      <c r="R72" s="115"/>
      <c r="S72" s="115" t="s">
        <v>411</v>
      </c>
      <c r="T72" s="115"/>
      <c r="U72" s="115"/>
      <c r="V72" s="118"/>
      <c r="W72" s="118"/>
      <c r="X72" s="115" t="s">
        <v>135</v>
      </c>
      <c r="Y72" s="115"/>
      <c r="Z72" s="118"/>
      <c r="AA72" s="115"/>
      <c r="AB72" s="118"/>
      <c r="AC72" s="115" t="s">
        <v>438</v>
      </c>
      <c r="AD72" s="115" t="s">
        <v>416</v>
      </c>
    </row>
    <row r="73" spans="1:30" x14ac:dyDescent="0.25">
      <c r="A73" s="115" t="s">
        <v>439</v>
      </c>
      <c r="B73" s="115" t="s">
        <v>386</v>
      </c>
      <c r="C73" s="115"/>
      <c r="D73" s="115" t="s">
        <v>413</v>
      </c>
      <c r="E73" s="115" t="s">
        <v>414</v>
      </c>
      <c r="F73" s="115" t="s">
        <v>387</v>
      </c>
      <c r="G73" s="116">
        <v>42976.558865740742</v>
      </c>
      <c r="H73" s="116">
        <v>42976</v>
      </c>
      <c r="I73" s="115" t="s">
        <v>415</v>
      </c>
      <c r="J73" s="115" t="s">
        <v>395</v>
      </c>
      <c r="K73" s="117">
        <v>9395</v>
      </c>
      <c r="L73" s="115" t="s">
        <v>390</v>
      </c>
      <c r="M73" s="117">
        <v>-1</v>
      </c>
      <c r="N73" s="117">
        <v>9366.4647499999992</v>
      </c>
      <c r="O73" s="115" t="s">
        <v>390</v>
      </c>
      <c r="P73" s="116">
        <v>42976</v>
      </c>
      <c r="Q73" s="115"/>
      <c r="R73" s="115"/>
      <c r="S73" s="115" t="s">
        <v>411</v>
      </c>
      <c r="T73" s="115"/>
      <c r="U73" s="115"/>
      <c r="V73" s="118"/>
      <c r="W73" s="118"/>
      <c r="X73" s="115" t="s">
        <v>135</v>
      </c>
      <c r="Y73" s="115"/>
      <c r="Z73" s="118"/>
      <c r="AA73" s="115"/>
      <c r="AB73" s="118"/>
      <c r="AC73" s="115" t="s">
        <v>440</v>
      </c>
      <c r="AD73" s="115" t="s">
        <v>416</v>
      </c>
    </row>
    <row r="74" spans="1:30" x14ac:dyDescent="0.25">
      <c r="A74" s="115" t="s">
        <v>441</v>
      </c>
      <c r="B74" s="115" t="s">
        <v>386</v>
      </c>
      <c r="C74" s="115"/>
      <c r="D74" s="115" t="s">
        <v>413</v>
      </c>
      <c r="E74" s="115" t="s">
        <v>414</v>
      </c>
      <c r="F74" s="115" t="s">
        <v>387</v>
      </c>
      <c r="G74" s="116">
        <v>42976.558854166666</v>
      </c>
      <c r="H74" s="116">
        <v>42976</v>
      </c>
      <c r="I74" s="115" t="s">
        <v>415</v>
      </c>
      <c r="J74" s="115" t="s">
        <v>395</v>
      </c>
      <c r="K74" s="117">
        <v>9401</v>
      </c>
      <c r="L74" s="115" t="s">
        <v>390</v>
      </c>
      <c r="M74" s="117">
        <v>-6</v>
      </c>
      <c r="N74" s="117">
        <v>56234.6823</v>
      </c>
      <c r="O74" s="115" t="s">
        <v>390</v>
      </c>
      <c r="P74" s="116">
        <v>42976</v>
      </c>
      <c r="Q74" s="115"/>
      <c r="R74" s="115"/>
      <c r="S74" s="115" t="s">
        <v>411</v>
      </c>
      <c r="T74" s="115"/>
      <c r="U74" s="115"/>
      <c r="V74" s="118"/>
      <c r="W74" s="118"/>
      <c r="X74" s="115" t="s">
        <v>135</v>
      </c>
      <c r="Y74" s="115"/>
      <c r="Z74" s="118"/>
      <c r="AA74" s="115"/>
      <c r="AB74" s="118"/>
      <c r="AC74" s="115" t="s">
        <v>442</v>
      </c>
      <c r="AD74" s="115" t="s">
        <v>416</v>
      </c>
    </row>
    <row r="75" spans="1:30" x14ac:dyDescent="0.25">
      <c r="A75" s="115" t="s">
        <v>443</v>
      </c>
      <c r="B75" s="115" t="s">
        <v>386</v>
      </c>
      <c r="C75" s="115"/>
      <c r="D75" s="115" t="s">
        <v>413</v>
      </c>
      <c r="E75" s="115" t="s">
        <v>414</v>
      </c>
      <c r="F75" s="115" t="s">
        <v>387</v>
      </c>
      <c r="G75" s="116">
        <v>42976.558865740742</v>
      </c>
      <c r="H75" s="116">
        <v>42976</v>
      </c>
      <c r="I75" s="115" t="s">
        <v>415</v>
      </c>
      <c r="J75" s="115" t="s">
        <v>395</v>
      </c>
      <c r="K75" s="117">
        <v>9396</v>
      </c>
      <c r="L75" s="115" t="s">
        <v>390</v>
      </c>
      <c r="M75" s="117">
        <v>-25</v>
      </c>
      <c r="N75" s="117">
        <v>234186.595</v>
      </c>
      <c r="O75" s="115" t="s">
        <v>390</v>
      </c>
      <c r="P75" s="116">
        <v>42976</v>
      </c>
      <c r="Q75" s="115"/>
      <c r="R75" s="115"/>
      <c r="S75" s="115" t="s">
        <v>411</v>
      </c>
      <c r="T75" s="115"/>
      <c r="U75" s="115"/>
      <c r="V75" s="118"/>
      <c r="W75" s="118"/>
      <c r="X75" s="115" t="s">
        <v>135</v>
      </c>
      <c r="Y75" s="115"/>
      <c r="Z75" s="118"/>
      <c r="AA75" s="115"/>
      <c r="AB75" s="118"/>
      <c r="AC75" s="115" t="s">
        <v>444</v>
      </c>
      <c r="AD75" s="115" t="s">
        <v>416</v>
      </c>
    </row>
    <row r="76" spans="1:30" x14ac:dyDescent="0.25">
      <c r="A76" s="111" t="s">
        <v>445</v>
      </c>
      <c r="B76" s="112"/>
      <c r="C76" s="112"/>
      <c r="D76" s="112"/>
      <c r="E76" s="112"/>
      <c r="F76" s="112"/>
      <c r="G76" s="112"/>
      <c r="H76" s="112"/>
      <c r="I76" s="112"/>
      <c r="J76" s="112"/>
      <c r="K76" s="113"/>
      <c r="L76" s="112"/>
      <c r="M76" s="114">
        <v>1000</v>
      </c>
      <c r="N76" s="113"/>
      <c r="O76" s="112"/>
      <c r="P76" s="112"/>
      <c r="Q76" s="112"/>
      <c r="R76" s="112"/>
      <c r="S76" s="112"/>
      <c r="T76" s="112"/>
      <c r="U76" s="112"/>
      <c r="V76" s="113"/>
      <c r="W76" s="113"/>
      <c r="X76" s="112"/>
      <c r="Y76" s="112"/>
      <c r="Z76" s="113"/>
      <c r="AA76" s="112"/>
      <c r="AB76" s="113"/>
      <c r="AC76" s="112"/>
      <c r="AD76" s="112"/>
    </row>
    <row r="77" spans="1:30" x14ac:dyDescent="0.25">
      <c r="A77" s="111" t="s">
        <v>392</v>
      </c>
      <c r="B77" s="112"/>
      <c r="C77" s="112"/>
      <c r="D77" s="112"/>
      <c r="E77" s="112"/>
      <c r="F77" s="112"/>
      <c r="G77" s="112"/>
      <c r="H77" s="112"/>
      <c r="I77" s="112"/>
      <c r="J77" s="112"/>
      <c r="K77" s="113"/>
      <c r="L77" s="112"/>
      <c r="M77" s="114">
        <v>1000</v>
      </c>
      <c r="N77" s="113"/>
      <c r="O77" s="112"/>
      <c r="P77" s="112"/>
      <c r="Q77" s="112"/>
      <c r="R77" s="112"/>
      <c r="S77" s="112"/>
      <c r="T77" s="112"/>
      <c r="U77" s="112"/>
      <c r="V77" s="113"/>
      <c r="W77" s="113"/>
      <c r="X77" s="112"/>
      <c r="Y77" s="112"/>
      <c r="Z77" s="113"/>
      <c r="AA77" s="112"/>
      <c r="AB77" s="113"/>
      <c r="AC77" s="112"/>
      <c r="AD77" s="112"/>
    </row>
    <row r="78" spans="1:30" x14ac:dyDescent="0.25">
      <c r="A78" s="115" t="s">
        <v>446</v>
      </c>
      <c r="B78" s="115" t="s">
        <v>386</v>
      </c>
      <c r="C78" s="115"/>
      <c r="D78" s="115" t="s">
        <v>407</v>
      </c>
      <c r="E78" s="115" t="s">
        <v>407</v>
      </c>
      <c r="F78" s="115" t="s">
        <v>399</v>
      </c>
      <c r="G78" s="116">
        <v>42976.688078703701</v>
      </c>
      <c r="H78" s="116">
        <v>42976</v>
      </c>
      <c r="I78" s="115" t="s">
        <v>409</v>
      </c>
      <c r="J78" s="115" t="s">
        <v>388</v>
      </c>
      <c r="K78" s="117">
        <v>217</v>
      </c>
      <c r="L78" s="115" t="s">
        <v>20</v>
      </c>
      <c r="M78" s="117">
        <v>1000</v>
      </c>
      <c r="N78" s="117">
        <v>217000</v>
      </c>
      <c r="O78" s="115" t="s">
        <v>20</v>
      </c>
      <c r="P78" s="116">
        <v>42976</v>
      </c>
      <c r="Q78" s="115" t="s">
        <v>396</v>
      </c>
      <c r="R78" s="115" t="s">
        <v>396</v>
      </c>
      <c r="S78" s="115" t="s">
        <v>411</v>
      </c>
      <c r="T78" s="115"/>
      <c r="U78" s="115"/>
      <c r="V78" s="118"/>
      <c r="W78" s="118"/>
      <c r="X78" s="115" t="s">
        <v>447</v>
      </c>
      <c r="Y78" s="115"/>
      <c r="Z78" s="118"/>
      <c r="AA78" s="115"/>
      <c r="AB78" s="118"/>
      <c r="AC78" s="115" t="s">
        <v>448</v>
      </c>
      <c r="AD78" s="115"/>
    </row>
    <row r="79" spans="1:30" x14ac:dyDescent="0.25">
      <c r="A79" s="111" t="s">
        <v>449</v>
      </c>
      <c r="B79" s="112"/>
      <c r="C79" s="112"/>
      <c r="D79" s="112"/>
      <c r="E79" s="112"/>
      <c r="F79" s="112"/>
      <c r="G79" s="112"/>
      <c r="H79" s="112"/>
      <c r="I79" s="112"/>
      <c r="J79" s="112"/>
      <c r="K79" s="113"/>
      <c r="L79" s="112"/>
      <c r="M79" s="114">
        <v>780</v>
      </c>
      <c r="N79" s="113"/>
      <c r="O79" s="112"/>
      <c r="P79" s="112"/>
      <c r="Q79" s="112"/>
      <c r="R79" s="112"/>
      <c r="S79" s="112"/>
      <c r="T79" s="112"/>
      <c r="U79" s="112"/>
      <c r="V79" s="113"/>
      <c r="W79" s="113"/>
      <c r="X79" s="112"/>
      <c r="Y79" s="112"/>
      <c r="Z79" s="113"/>
      <c r="AA79" s="112"/>
      <c r="AB79" s="113"/>
      <c r="AC79" s="112"/>
      <c r="AD79" s="112"/>
    </row>
    <row r="80" spans="1:30" x14ac:dyDescent="0.25">
      <c r="A80" s="111" t="s">
        <v>392</v>
      </c>
      <c r="B80" s="112"/>
      <c r="C80" s="112"/>
      <c r="D80" s="112"/>
      <c r="E80" s="112"/>
      <c r="F80" s="112"/>
      <c r="G80" s="112"/>
      <c r="H80" s="112"/>
      <c r="I80" s="112"/>
      <c r="J80" s="112"/>
      <c r="K80" s="113"/>
      <c r="L80" s="112"/>
      <c r="M80" s="114">
        <v>780</v>
      </c>
      <c r="N80" s="113"/>
      <c r="O80" s="112"/>
      <c r="P80" s="112"/>
      <c r="Q80" s="112"/>
      <c r="R80" s="112"/>
      <c r="S80" s="112"/>
      <c r="T80" s="112"/>
      <c r="U80" s="112"/>
      <c r="V80" s="113"/>
      <c r="W80" s="113"/>
      <c r="X80" s="112"/>
      <c r="Y80" s="112"/>
      <c r="Z80" s="113"/>
      <c r="AA80" s="112"/>
      <c r="AB80" s="113"/>
      <c r="AC80" s="112"/>
      <c r="AD80" s="112"/>
    </row>
    <row r="81" spans="1:30" x14ac:dyDescent="0.25">
      <c r="A81" s="115" t="s">
        <v>450</v>
      </c>
      <c r="B81" s="115" t="s">
        <v>386</v>
      </c>
      <c r="C81" s="115"/>
      <c r="D81" s="115" t="s">
        <v>248</v>
      </c>
      <c r="E81" s="115" t="s">
        <v>248</v>
      </c>
      <c r="F81" s="115" t="s">
        <v>451</v>
      </c>
      <c r="G81" s="116">
        <v>42976.63622685185</v>
      </c>
      <c r="H81" s="116">
        <v>42976</v>
      </c>
      <c r="I81" s="115" t="s">
        <v>409</v>
      </c>
      <c r="J81" s="115" t="s">
        <v>388</v>
      </c>
      <c r="K81" s="117">
        <v>3750.54</v>
      </c>
      <c r="L81" s="115" t="s">
        <v>390</v>
      </c>
      <c r="M81" s="117">
        <v>780</v>
      </c>
      <c r="N81" s="117">
        <v>2934197.46</v>
      </c>
      <c r="O81" s="115" t="s">
        <v>390</v>
      </c>
      <c r="P81" s="116">
        <v>42976</v>
      </c>
      <c r="Q81" s="115" t="s">
        <v>396</v>
      </c>
      <c r="R81" s="115" t="s">
        <v>396</v>
      </c>
      <c r="S81" s="115" t="s">
        <v>411</v>
      </c>
      <c r="T81" s="115"/>
      <c r="U81" s="115"/>
      <c r="V81" s="118"/>
      <c r="W81" s="118"/>
      <c r="X81" s="115" t="s">
        <v>452</v>
      </c>
      <c r="Y81" s="115"/>
      <c r="Z81" s="118"/>
      <c r="AA81" s="115"/>
      <c r="AB81" s="118"/>
      <c r="AC81" s="115"/>
      <c r="AD81" s="115" t="s">
        <v>453</v>
      </c>
    </row>
    <row r="82" spans="1:30" x14ac:dyDescent="0.25">
      <c r="A82" s="111" t="s">
        <v>454</v>
      </c>
      <c r="B82" s="112"/>
      <c r="C82" s="112"/>
      <c r="D82" s="112"/>
      <c r="E82" s="112"/>
      <c r="F82" s="112"/>
      <c r="G82" s="112"/>
      <c r="H82" s="112"/>
      <c r="I82" s="112"/>
      <c r="J82" s="112"/>
      <c r="K82" s="113"/>
      <c r="L82" s="112"/>
      <c r="M82" s="114">
        <v>-3500000</v>
      </c>
      <c r="N82" s="113"/>
      <c r="O82" s="112"/>
      <c r="P82" s="112"/>
      <c r="Q82" s="112"/>
      <c r="R82" s="112"/>
      <c r="S82" s="112"/>
      <c r="T82" s="112"/>
      <c r="U82" s="112"/>
      <c r="V82" s="113"/>
      <c r="W82" s="113"/>
      <c r="X82" s="112"/>
      <c r="Y82" s="112"/>
      <c r="Z82" s="113"/>
      <c r="AA82" s="112"/>
      <c r="AB82" s="113"/>
      <c r="AC82" s="112"/>
      <c r="AD82" s="112"/>
    </row>
    <row r="83" spans="1:30" x14ac:dyDescent="0.25">
      <c r="A83" s="111" t="s">
        <v>392</v>
      </c>
      <c r="B83" s="112"/>
      <c r="C83" s="112"/>
      <c r="D83" s="112"/>
      <c r="E83" s="112"/>
      <c r="F83" s="112"/>
      <c r="G83" s="112"/>
      <c r="H83" s="112"/>
      <c r="I83" s="112"/>
      <c r="J83" s="112"/>
      <c r="K83" s="113"/>
      <c r="L83" s="112"/>
      <c r="M83" s="114">
        <v>-3500000</v>
      </c>
      <c r="N83" s="113"/>
      <c r="O83" s="112"/>
      <c r="P83" s="112"/>
      <c r="Q83" s="112"/>
      <c r="R83" s="112"/>
      <c r="S83" s="112"/>
      <c r="T83" s="112"/>
      <c r="U83" s="112"/>
      <c r="V83" s="113"/>
      <c r="W83" s="113"/>
      <c r="X83" s="112"/>
      <c r="Y83" s="112"/>
      <c r="Z83" s="113"/>
      <c r="AA83" s="112"/>
      <c r="AB83" s="113"/>
      <c r="AC83" s="112"/>
      <c r="AD83" s="112"/>
    </row>
    <row r="84" spans="1:30" x14ac:dyDescent="0.25">
      <c r="A84" s="115" t="s">
        <v>455</v>
      </c>
      <c r="B84" s="115" t="s">
        <v>386</v>
      </c>
      <c r="C84" s="115"/>
      <c r="D84" s="115" t="s">
        <v>456</v>
      </c>
      <c r="E84" s="115" t="s">
        <v>456</v>
      </c>
      <c r="F84" s="115" t="s">
        <v>399</v>
      </c>
      <c r="G84" s="116">
        <v>42976.434004629627</v>
      </c>
      <c r="H84" s="116">
        <v>42976</v>
      </c>
      <c r="I84" s="115" t="s">
        <v>415</v>
      </c>
      <c r="J84" s="115" t="s">
        <v>395</v>
      </c>
      <c r="K84" s="117">
        <v>1.72E-2</v>
      </c>
      <c r="L84" s="115" t="s">
        <v>20</v>
      </c>
      <c r="M84" s="117">
        <v>-3500000</v>
      </c>
      <c r="N84" s="117">
        <v>60200</v>
      </c>
      <c r="O84" s="115" t="s">
        <v>20</v>
      </c>
      <c r="P84" s="116">
        <v>42978</v>
      </c>
      <c r="Q84" s="115" t="s">
        <v>396</v>
      </c>
      <c r="R84" s="115" t="s">
        <v>396</v>
      </c>
      <c r="S84" s="115"/>
      <c r="T84" s="115"/>
      <c r="U84" s="115"/>
      <c r="V84" s="118"/>
      <c r="W84" s="118"/>
      <c r="X84" s="115" t="s">
        <v>457</v>
      </c>
      <c r="Y84" s="115"/>
      <c r="Z84" s="118"/>
      <c r="AA84" s="115"/>
      <c r="AB84" s="118"/>
      <c r="AC84" s="115"/>
      <c r="AD84" s="115" t="s">
        <v>458</v>
      </c>
    </row>
    <row r="85" spans="1:30" x14ac:dyDescent="0.25">
      <c r="A85" s="111" t="s">
        <v>459</v>
      </c>
      <c r="B85" s="112"/>
      <c r="C85" s="112"/>
      <c r="D85" s="112"/>
      <c r="E85" s="112"/>
      <c r="F85" s="112"/>
      <c r="G85" s="112"/>
      <c r="H85" s="112"/>
      <c r="I85" s="112"/>
      <c r="J85" s="112"/>
      <c r="K85" s="113"/>
      <c r="L85" s="112"/>
      <c r="M85" s="114">
        <v>-4762</v>
      </c>
      <c r="N85" s="113"/>
      <c r="O85" s="112"/>
      <c r="P85" s="112"/>
      <c r="Q85" s="112"/>
      <c r="R85" s="112"/>
      <c r="S85" s="112"/>
      <c r="T85" s="112"/>
      <c r="U85" s="112"/>
      <c r="V85" s="113"/>
      <c r="W85" s="113"/>
      <c r="X85" s="112"/>
      <c r="Y85" s="112"/>
      <c r="Z85" s="113"/>
      <c r="AA85" s="112"/>
      <c r="AB85" s="113"/>
      <c r="AC85" s="112"/>
      <c r="AD85" s="112"/>
    </row>
    <row r="86" spans="1:30" x14ac:dyDescent="0.25">
      <c r="A86" s="111" t="s">
        <v>392</v>
      </c>
      <c r="B86" s="112"/>
      <c r="C86" s="112"/>
      <c r="D86" s="112"/>
      <c r="E86" s="112"/>
      <c r="F86" s="112"/>
      <c r="G86" s="112"/>
      <c r="H86" s="112"/>
      <c r="I86" s="112"/>
      <c r="J86" s="112"/>
      <c r="K86" s="113"/>
      <c r="L86" s="112"/>
      <c r="M86" s="114">
        <v>-4762</v>
      </c>
      <c r="N86" s="113"/>
      <c r="O86" s="112"/>
      <c r="P86" s="112"/>
      <c r="Q86" s="112"/>
      <c r="R86" s="112"/>
      <c r="S86" s="112"/>
      <c r="T86" s="112"/>
      <c r="U86" s="112"/>
      <c r="V86" s="113"/>
      <c r="W86" s="113"/>
      <c r="X86" s="112"/>
      <c r="Y86" s="112"/>
      <c r="Z86" s="113"/>
      <c r="AA86" s="112"/>
      <c r="AB86" s="113"/>
      <c r="AC86" s="112"/>
      <c r="AD86" s="112"/>
    </row>
    <row r="87" spans="1:30" x14ac:dyDescent="0.25">
      <c r="A87" s="115" t="s">
        <v>460</v>
      </c>
      <c r="B87" s="115" t="s">
        <v>386</v>
      </c>
      <c r="C87" s="115"/>
      <c r="D87" s="115" t="s">
        <v>461</v>
      </c>
      <c r="E87" s="115" t="s">
        <v>461</v>
      </c>
      <c r="F87" s="115" t="s">
        <v>408</v>
      </c>
      <c r="G87" s="116">
        <v>42976.732025462959</v>
      </c>
      <c r="H87" s="116">
        <v>42976</v>
      </c>
      <c r="I87" s="115" t="s">
        <v>409</v>
      </c>
      <c r="J87" s="115" t="s">
        <v>395</v>
      </c>
      <c r="K87" s="117">
        <v>42</v>
      </c>
      <c r="L87" s="115" t="s">
        <v>20</v>
      </c>
      <c r="M87" s="117">
        <v>-4762</v>
      </c>
      <c r="N87" s="117">
        <v>200004</v>
      </c>
      <c r="O87" s="115" t="s">
        <v>20</v>
      </c>
      <c r="P87" s="116">
        <v>42979</v>
      </c>
      <c r="Q87" s="115" t="s">
        <v>396</v>
      </c>
      <c r="R87" s="115" t="s">
        <v>396</v>
      </c>
      <c r="S87" s="115"/>
      <c r="T87" s="115"/>
      <c r="U87" s="115"/>
      <c r="V87" s="118"/>
      <c r="W87" s="118"/>
      <c r="X87" s="115" t="s">
        <v>462</v>
      </c>
      <c r="Y87" s="115"/>
      <c r="Z87" s="118"/>
      <c r="AA87" s="115"/>
      <c r="AB87" s="118"/>
      <c r="AC87" s="115"/>
      <c r="AD87" s="115"/>
    </row>
    <row r="88" spans="1:30" x14ac:dyDescent="0.25">
      <c r="A88" s="111" t="s">
        <v>463</v>
      </c>
      <c r="B88" s="112"/>
      <c r="C88" s="112"/>
      <c r="D88" s="112"/>
      <c r="E88" s="112"/>
      <c r="F88" s="112"/>
      <c r="G88" s="112"/>
      <c r="H88" s="112"/>
      <c r="I88" s="112"/>
      <c r="J88" s="112"/>
      <c r="K88" s="113"/>
      <c r="L88" s="112"/>
      <c r="M88" s="114">
        <v>1450</v>
      </c>
      <c r="N88" s="113"/>
      <c r="O88" s="112"/>
      <c r="P88" s="112"/>
      <c r="Q88" s="112"/>
      <c r="R88" s="112"/>
      <c r="S88" s="112"/>
      <c r="T88" s="112"/>
      <c r="U88" s="112"/>
      <c r="V88" s="113"/>
      <c r="W88" s="113"/>
      <c r="X88" s="112"/>
      <c r="Y88" s="112"/>
      <c r="Z88" s="113"/>
      <c r="AA88" s="112"/>
      <c r="AB88" s="113"/>
      <c r="AC88" s="112"/>
      <c r="AD88" s="112"/>
    </row>
    <row r="89" spans="1:30" x14ac:dyDescent="0.25">
      <c r="A89" s="111" t="s">
        <v>392</v>
      </c>
      <c r="B89" s="112"/>
      <c r="C89" s="112"/>
      <c r="D89" s="112"/>
      <c r="E89" s="112"/>
      <c r="F89" s="112"/>
      <c r="G89" s="112"/>
      <c r="H89" s="112"/>
      <c r="I89" s="112"/>
      <c r="J89" s="112"/>
      <c r="K89" s="113"/>
      <c r="L89" s="112"/>
      <c r="M89" s="114">
        <v>1450</v>
      </c>
      <c r="N89" s="113"/>
      <c r="O89" s="112"/>
      <c r="P89" s="112"/>
      <c r="Q89" s="112"/>
      <c r="R89" s="112"/>
      <c r="S89" s="112"/>
      <c r="T89" s="112"/>
      <c r="U89" s="112"/>
      <c r="V89" s="113"/>
      <c r="W89" s="113"/>
      <c r="X89" s="112"/>
      <c r="Y89" s="112"/>
      <c r="Z89" s="113"/>
      <c r="AA89" s="112"/>
      <c r="AB89" s="113"/>
      <c r="AC89" s="112"/>
      <c r="AD89" s="112"/>
    </row>
    <row r="90" spans="1:30" x14ac:dyDescent="0.25">
      <c r="A90" s="115" t="s">
        <v>464</v>
      </c>
      <c r="B90" s="115" t="s">
        <v>386</v>
      </c>
      <c r="C90" s="115"/>
      <c r="D90" s="115" t="s">
        <v>248</v>
      </c>
      <c r="E90" s="115" t="s">
        <v>248</v>
      </c>
      <c r="F90" s="115" t="s">
        <v>451</v>
      </c>
      <c r="G90" s="116">
        <v>42976.636412037034</v>
      </c>
      <c r="H90" s="116">
        <v>42976</v>
      </c>
      <c r="I90" s="115" t="s">
        <v>409</v>
      </c>
      <c r="J90" s="115" t="s">
        <v>388</v>
      </c>
      <c r="K90" s="117">
        <v>2019.53</v>
      </c>
      <c r="L90" s="115" t="s">
        <v>390</v>
      </c>
      <c r="M90" s="117">
        <v>1450</v>
      </c>
      <c r="N90" s="117">
        <v>2937103.46</v>
      </c>
      <c r="O90" s="115" t="s">
        <v>390</v>
      </c>
      <c r="P90" s="116">
        <v>42976</v>
      </c>
      <c r="Q90" s="115" t="s">
        <v>396</v>
      </c>
      <c r="R90" s="115" t="s">
        <v>396</v>
      </c>
      <c r="S90" s="115" t="s">
        <v>411</v>
      </c>
      <c r="T90" s="115"/>
      <c r="U90" s="115"/>
      <c r="V90" s="118"/>
      <c r="W90" s="118"/>
      <c r="X90" s="115" t="s">
        <v>465</v>
      </c>
      <c r="Y90" s="115"/>
      <c r="Z90" s="118"/>
      <c r="AA90" s="115"/>
      <c r="AB90" s="118"/>
      <c r="AC90" s="115"/>
      <c r="AD90" s="115" t="s">
        <v>466</v>
      </c>
    </row>
    <row r="91" spans="1:30" x14ac:dyDescent="0.25">
      <c r="A91" s="111" t="s">
        <v>467</v>
      </c>
      <c r="B91" s="112"/>
      <c r="C91" s="112"/>
      <c r="D91" s="112"/>
      <c r="E91" s="112"/>
      <c r="F91" s="112"/>
      <c r="G91" s="112"/>
      <c r="H91" s="112"/>
      <c r="I91" s="112"/>
      <c r="J91" s="112"/>
      <c r="K91" s="113"/>
      <c r="L91" s="112"/>
      <c r="M91" s="114">
        <v>-8715</v>
      </c>
      <c r="N91" s="113"/>
      <c r="O91" s="112"/>
      <c r="P91" s="112"/>
      <c r="Q91" s="112"/>
      <c r="R91" s="112"/>
      <c r="S91" s="112"/>
      <c r="T91" s="112"/>
      <c r="U91" s="112"/>
      <c r="V91" s="113"/>
      <c r="W91" s="113"/>
      <c r="X91" s="112"/>
      <c r="Y91" s="112"/>
      <c r="Z91" s="113"/>
      <c r="AA91" s="112"/>
      <c r="AB91" s="113"/>
      <c r="AC91" s="112"/>
      <c r="AD91" s="112"/>
    </row>
    <row r="92" spans="1:30" x14ac:dyDescent="0.25">
      <c r="A92" s="111" t="s">
        <v>392</v>
      </c>
      <c r="B92" s="112"/>
      <c r="C92" s="112"/>
      <c r="D92" s="112"/>
      <c r="E92" s="112"/>
      <c r="F92" s="112"/>
      <c r="G92" s="112"/>
      <c r="H92" s="112"/>
      <c r="I92" s="112"/>
      <c r="J92" s="112"/>
      <c r="K92" s="113"/>
      <c r="L92" s="112"/>
      <c r="M92" s="114">
        <v>-8715</v>
      </c>
      <c r="N92" s="113"/>
      <c r="O92" s="112"/>
      <c r="P92" s="112"/>
      <c r="Q92" s="112"/>
      <c r="R92" s="112"/>
      <c r="S92" s="112"/>
      <c r="T92" s="112"/>
      <c r="U92" s="112"/>
      <c r="V92" s="113"/>
      <c r="W92" s="113"/>
      <c r="X92" s="112"/>
      <c r="Y92" s="112"/>
      <c r="Z92" s="113"/>
      <c r="AA92" s="112"/>
      <c r="AB92" s="113"/>
      <c r="AC92" s="112"/>
      <c r="AD92" s="112"/>
    </row>
    <row r="93" spans="1:30" x14ac:dyDescent="0.25">
      <c r="A93" s="115" t="s">
        <v>468</v>
      </c>
      <c r="B93" s="115" t="s">
        <v>386</v>
      </c>
      <c r="C93" s="115"/>
      <c r="D93" s="115" t="s">
        <v>413</v>
      </c>
      <c r="E93" s="115" t="s">
        <v>413</v>
      </c>
      <c r="F93" s="115" t="s">
        <v>399</v>
      </c>
      <c r="G93" s="116">
        <v>42976.556944444441</v>
      </c>
      <c r="H93" s="116">
        <v>42976</v>
      </c>
      <c r="I93" s="115" t="s">
        <v>469</v>
      </c>
      <c r="J93" s="115" t="s">
        <v>395</v>
      </c>
      <c r="K93" s="117">
        <v>14.173379000000001</v>
      </c>
      <c r="L93" s="115" t="s">
        <v>20</v>
      </c>
      <c r="M93" s="117">
        <v>-8715</v>
      </c>
      <c r="N93" s="117">
        <v>123521</v>
      </c>
      <c r="O93" s="115" t="s">
        <v>20</v>
      </c>
      <c r="P93" s="116">
        <v>42979</v>
      </c>
      <c r="Q93" s="115" t="s">
        <v>396</v>
      </c>
      <c r="R93" s="115" t="s">
        <v>396</v>
      </c>
      <c r="S93" s="115"/>
      <c r="T93" s="115"/>
      <c r="U93" s="115"/>
      <c r="V93" s="118"/>
      <c r="W93" s="118"/>
      <c r="X93" s="115" t="s">
        <v>470</v>
      </c>
      <c r="Y93" s="115"/>
      <c r="Z93" s="118"/>
      <c r="AA93" s="115"/>
      <c r="AB93" s="118"/>
      <c r="AC93" s="115"/>
      <c r="AD93" s="115"/>
    </row>
    <row r="94" spans="1:30" x14ac:dyDescent="0.25">
      <c r="A94" s="111" t="s">
        <v>471</v>
      </c>
      <c r="B94" s="112"/>
      <c r="C94" s="112"/>
      <c r="D94" s="112"/>
      <c r="E94" s="112"/>
      <c r="F94" s="112"/>
      <c r="G94" s="112"/>
      <c r="H94" s="112"/>
      <c r="I94" s="112"/>
      <c r="J94" s="112"/>
      <c r="K94" s="113"/>
      <c r="L94" s="112"/>
      <c r="M94" s="114">
        <v>-1000</v>
      </c>
      <c r="N94" s="113"/>
      <c r="O94" s="112"/>
      <c r="P94" s="112"/>
      <c r="Q94" s="112"/>
      <c r="R94" s="112"/>
      <c r="S94" s="112"/>
      <c r="T94" s="112"/>
      <c r="U94" s="112"/>
      <c r="V94" s="113"/>
      <c r="W94" s="113"/>
      <c r="X94" s="112"/>
      <c r="Y94" s="112"/>
      <c r="Z94" s="113"/>
      <c r="AA94" s="112"/>
      <c r="AB94" s="113"/>
      <c r="AC94" s="112"/>
      <c r="AD94" s="112"/>
    </row>
    <row r="95" spans="1:30" x14ac:dyDescent="0.25">
      <c r="A95" s="111" t="s">
        <v>392</v>
      </c>
      <c r="B95" s="112"/>
      <c r="C95" s="112"/>
      <c r="D95" s="112"/>
      <c r="E95" s="112"/>
      <c r="F95" s="112"/>
      <c r="G95" s="112"/>
      <c r="H95" s="112"/>
      <c r="I95" s="112"/>
      <c r="J95" s="112"/>
      <c r="K95" s="113"/>
      <c r="L95" s="112"/>
      <c r="M95" s="114">
        <v>-1000</v>
      </c>
      <c r="N95" s="113"/>
      <c r="O95" s="112"/>
      <c r="P95" s="112"/>
      <c r="Q95" s="112"/>
      <c r="R95" s="112"/>
      <c r="S95" s="112"/>
      <c r="T95" s="112"/>
      <c r="U95" s="112"/>
      <c r="V95" s="113"/>
      <c r="W95" s="113"/>
      <c r="X95" s="112"/>
      <c r="Y95" s="112"/>
      <c r="Z95" s="113"/>
      <c r="AA95" s="112"/>
      <c r="AB95" s="113"/>
      <c r="AC95" s="112"/>
      <c r="AD95" s="112"/>
    </row>
    <row r="96" spans="1:30" x14ac:dyDescent="0.25">
      <c r="A96" s="115" t="s">
        <v>472</v>
      </c>
      <c r="B96" s="115" t="s">
        <v>386</v>
      </c>
      <c r="C96" s="115"/>
      <c r="D96" s="115" t="s">
        <v>407</v>
      </c>
      <c r="E96" s="115" t="s">
        <v>407</v>
      </c>
      <c r="F96" s="115" t="s">
        <v>408</v>
      </c>
      <c r="G96" s="116">
        <v>42976.710914351854</v>
      </c>
      <c r="H96" s="116">
        <v>42976</v>
      </c>
      <c r="I96" s="115" t="s">
        <v>409</v>
      </c>
      <c r="J96" s="115" t="s">
        <v>395</v>
      </c>
      <c r="K96" s="117">
        <v>342</v>
      </c>
      <c r="L96" s="115" t="s">
        <v>20</v>
      </c>
      <c r="M96" s="117">
        <v>-1000</v>
      </c>
      <c r="N96" s="117">
        <v>342000</v>
      </c>
      <c r="O96" s="115" t="s">
        <v>20</v>
      </c>
      <c r="P96" s="116">
        <v>42976</v>
      </c>
      <c r="Q96" s="115" t="s">
        <v>396</v>
      </c>
      <c r="R96" s="115" t="s">
        <v>396</v>
      </c>
      <c r="S96" s="115"/>
      <c r="T96" s="115"/>
      <c r="U96" s="115"/>
      <c r="V96" s="118"/>
      <c r="W96" s="118"/>
      <c r="X96" s="115" t="s">
        <v>473</v>
      </c>
      <c r="Y96" s="115"/>
      <c r="Z96" s="118"/>
      <c r="AA96" s="115"/>
      <c r="AB96" s="118"/>
      <c r="AC96" s="115"/>
      <c r="AD96" s="115"/>
    </row>
    <row r="97" spans="1:30" x14ac:dyDescent="0.25">
      <c r="A97" s="111" t="s">
        <v>474</v>
      </c>
      <c r="B97" s="112"/>
      <c r="C97" s="112"/>
      <c r="D97" s="112"/>
      <c r="E97" s="112"/>
      <c r="F97" s="112"/>
      <c r="G97" s="112"/>
      <c r="H97" s="112"/>
      <c r="I97" s="112"/>
      <c r="J97" s="112"/>
      <c r="K97" s="113"/>
      <c r="L97" s="112"/>
      <c r="M97" s="113"/>
      <c r="N97" s="113"/>
      <c r="O97" s="112"/>
      <c r="P97" s="112"/>
      <c r="Q97" s="112"/>
      <c r="R97" s="112"/>
      <c r="S97" s="112"/>
      <c r="T97" s="112"/>
      <c r="U97" s="112"/>
      <c r="V97" s="113"/>
      <c r="W97" s="113"/>
      <c r="X97" s="112"/>
      <c r="Y97" s="112"/>
      <c r="Z97" s="113"/>
      <c r="AA97" s="112"/>
      <c r="AB97" s="113"/>
      <c r="AC97" s="112"/>
      <c r="AD97" s="112"/>
    </row>
    <row r="98" spans="1:30" x14ac:dyDescent="0.25">
      <c r="A98" s="111" t="s">
        <v>475</v>
      </c>
      <c r="B98" s="112"/>
      <c r="C98" s="112"/>
      <c r="D98" s="112"/>
      <c r="E98" s="112"/>
      <c r="F98" s="112"/>
      <c r="G98" s="112"/>
      <c r="H98" s="112"/>
      <c r="I98" s="112"/>
      <c r="J98" s="112"/>
      <c r="K98" s="113"/>
      <c r="L98" s="112"/>
      <c r="M98" s="114">
        <v>3486072.1100000003</v>
      </c>
      <c r="N98" s="113"/>
      <c r="O98" s="112"/>
      <c r="P98" s="112"/>
      <c r="Q98" s="112"/>
      <c r="R98" s="112"/>
      <c r="S98" s="112"/>
      <c r="T98" s="112"/>
      <c r="U98" s="112"/>
      <c r="V98" s="113"/>
      <c r="W98" s="113"/>
      <c r="X98" s="112"/>
      <c r="Y98" s="112"/>
      <c r="Z98" s="113"/>
      <c r="AA98" s="112"/>
      <c r="AB98" s="113"/>
      <c r="AC98" s="112"/>
      <c r="AD98" s="112"/>
    </row>
    <row r="99" spans="1:30" x14ac:dyDescent="0.25">
      <c r="A99" s="111" t="s">
        <v>392</v>
      </c>
      <c r="B99" s="112"/>
      <c r="C99" s="112"/>
      <c r="D99" s="112"/>
      <c r="E99" s="112"/>
      <c r="F99" s="112"/>
      <c r="G99" s="112"/>
      <c r="H99" s="112"/>
      <c r="I99" s="112"/>
      <c r="J99" s="112"/>
      <c r="K99" s="113"/>
      <c r="L99" s="112"/>
      <c r="M99" s="114">
        <v>3486072.1100000003</v>
      </c>
      <c r="N99" s="113"/>
      <c r="O99" s="112"/>
      <c r="P99" s="112"/>
      <c r="Q99" s="112"/>
      <c r="R99" s="112"/>
      <c r="S99" s="112"/>
      <c r="T99" s="112"/>
      <c r="U99" s="112"/>
      <c r="V99" s="113"/>
      <c r="W99" s="113"/>
      <c r="X99" s="112"/>
      <c r="Y99" s="112"/>
      <c r="Z99" s="113"/>
      <c r="AA99" s="112"/>
      <c r="AB99" s="113"/>
      <c r="AC99" s="112"/>
      <c r="AD99" s="112"/>
    </row>
    <row r="100" spans="1:30" x14ac:dyDescent="0.25">
      <c r="A100" s="115" t="s">
        <v>476</v>
      </c>
      <c r="B100" s="115" t="s">
        <v>386</v>
      </c>
      <c r="C100" s="115"/>
      <c r="D100" s="115"/>
      <c r="E100" s="115" t="s">
        <v>477</v>
      </c>
      <c r="F100" s="115"/>
      <c r="G100" s="116">
        <v>42976.586134259262</v>
      </c>
      <c r="H100" s="116">
        <v>42976</v>
      </c>
      <c r="I100" s="115" t="s">
        <v>478</v>
      </c>
      <c r="J100" s="115" t="s">
        <v>479</v>
      </c>
      <c r="K100" s="118"/>
      <c r="L100" s="115"/>
      <c r="M100" s="117">
        <v>-1066.8</v>
      </c>
      <c r="N100" s="117">
        <v>-1066.8</v>
      </c>
      <c r="O100" s="115"/>
      <c r="P100" s="115"/>
      <c r="Q100" s="115"/>
      <c r="R100" s="115"/>
      <c r="S100" s="115"/>
      <c r="T100" s="115"/>
      <c r="U100" s="115"/>
      <c r="V100" s="118"/>
      <c r="W100" s="118"/>
      <c r="X100" s="115" t="s">
        <v>390</v>
      </c>
      <c r="Y100" s="115"/>
      <c r="Z100" s="118"/>
      <c r="AA100" s="115"/>
      <c r="AB100" s="118"/>
      <c r="AC100" s="115" t="s">
        <v>480</v>
      </c>
      <c r="AD100" s="115" t="s">
        <v>481</v>
      </c>
    </row>
    <row r="101" spans="1:30" x14ac:dyDescent="0.25">
      <c r="A101" s="115" t="s">
        <v>482</v>
      </c>
      <c r="B101" s="115" t="s">
        <v>386</v>
      </c>
      <c r="C101" s="115"/>
      <c r="D101" s="115"/>
      <c r="E101" s="115" t="s">
        <v>483</v>
      </c>
      <c r="F101" s="115"/>
      <c r="G101" s="116">
        <v>42976.586134259262</v>
      </c>
      <c r="H101" s="116">
        <v>42976</v>
      </c>
      <c r="I101" s="115" t="s">
        <v>478</v>
      </c>
      <c r="J101" s="115" t="s">
        <v>479</v>
      </c>
      <c r="K101" s="118"/>
      <c r="L101" s="115"/>
      <c r="M101" s="117">
        <v>-10548.56</v>
      </c>
      <c r="N101" s="117">
        <v>-10548.56</v>
      </c>
      <c r="O101" s="115"/>
      <c r="P101" s="115"/>
      <c r="Q101" s="115"/>
      <c r="R101" s="115"/>
      <c r="S101" s="115"/>
      <c r="T101" s="115"/>
      <c r="U101" s="115"/>
      <c r="V101" s="118"/>
      <c r="W101" s="118"/>
      <c r="X101" s="115" t="s">
        <v>390</v>
      </c>
      <c r="Y101" s="115"/>
      <c r="Z101" s="118"/>
      <c r="AA101" s="115"/>
      <c r="AB101" s="118"/>
      <c r="AC101" s="115" t="s">
        <v>484</v>
      </c>
      <c r="AD101" s="115" t="s">
        <v>485</v>
      </c>
    </row>
    <row r="102" spans="1:30" x14ac:dyDescent="0.25">
      <c r="A102" s="115" t="s">
        <v>486</v>
      </c>
      <c r="B102" s="115" t="s">
        <v>386</v>
      </c>
      <c r="C102" s="115"/>
      <c r="D102" s="115"/>
      <c r="E102" s="115" t="s">
        <v>487</v>
      </c>
      <c r="F102" s="115"/>
      <c r="G102" s="116">
        <v>42976.586134259262</v>
      </c>
      <c r="H102" s="116">
        <v>42976</v>
      </c>
      <c r="I102" s="115" t="s">
        <v>478</v>
      </c>
      <c r="J102" s="115" t="s">
        <v>479</v>
      </c>
      <c r="K102" s="118"/>
      <c r="L102" s="115"/>
      <c r="M102" s="117">
        <v>-548.33000000000004</v>
      </c>
      <c r="N102" s="117">
        <v>-548.33000000000004</v>
      </c>
      <c r="O102" s="115"/>
      <c r="P102" s="115"/>
      <c r="Q102" s="115"/>
      <c r="R102" s="115"/>
      <c r="S102" s="115"/>
      <c r="T102" s="115"/>
      <c r="U102" s="115"/>
      <c r="V102" s="118"/>
      <c r="W102" s="118"/>
      <c r="X102" s="115" t="s">
        <v>390</v>
      </c>
      <c r="Y102" s="115"/>
      <c r="Z102" s="118"/>
      <c r="AA102" s="115"/>
      <c r="AB102" s="118"/>
      <c r="AC102" s="115" t="s">
        <v>488</v>
      </c>
      <c r="AD102" s="115" t="s">
        <v>489</v>
      </c>
    </row>
    <row r="103" spans="1:30" x14ac:dyDescent="0.25">
      <c r="A103" s="115" t="s">
        <v>490</v>
      </c>
      <c r="B103" s="115" t="s">
        <v>386</v>
      </c>
      <c r="C103" s="115"/>
      <c r="D103" s="115"/>
      <c r="E103" s="115" t="s">
        <v>491</v>
      </c>
      <c r="F103" s="115"/>
      <c r="G103" s="116">
        <v>42976.586134259262</v>
      </c>
      <c r="H103" s="116">
        <v>42976</v>
      </c>
      <c r="I103" s="115" t="s">
        <v>478</v>
      </c>
      <c r="J103" s="115" t="s">
        <v>479</v>
      </c>
      <c r="K103" s="118"/>
      <c r="L103" s="115"/>
      <c r="M103" s="117">
        <v>-6341.08</v>
      </c>
      <c r="N103" s="117">
        <v>-6341.08</v>
      </c>
      <c r="O103" s="115"/>
      <c r="P103" s="115"/>
      <c r="Q103" s="115"/>
      <c r="R103" s="115"/>
      <c r="S103" s="115"/>
      <c r="T103" s="115"/>
      <c r="U103" s="115"/>
      <c r="V103" s="118"/>
      <c r="W103" s="118"/>
      <c r="X103" s="115" t="s">
        <v>390</v>
      </c>
      <c r="Y103" s="115"/>
      <c r="Z103" s="118"/>
      <c r="AA103" s="115"/>
      <c r="AB103" s="118"/>
      <c r="AC103" s="115" t="s">
        <v>492</v>
      </c>
      <c r="AD103" s="115" t="s">
        <v>493</v>
      </c>
    </row>
    <row r="104" spans="1:30" x14ac:dyDescent="0.25">
      <c r="A104" s="115" t="s">
        <v>494</v>
      </c>
      <c r="B104" s="115" t="s">
        <v>386</v>
      </c>
      <c r="C104" s="115"/>
      <c r="D104" s="115"/>
      <c r="E104" s="115" t="s">
        <v>495</v>
      </c>
      <c r="F104" s="115"/>
      <c r="G104" s="116">
        <v>42976.586134259262</v>
      </c>
      <c r="H104" s="116">
        <v>42976</v>
      </c>
      <c r="I104" s="115" t="s">
        <v>478</v>
      </c>
      <c r="J104" s="115" t="s">
        <v>496</v>
      </c>
      <c r="K104" s="118"/>
      <c r="L104" s="115"/>
      <c r="M104" s="117">
        <v>182286</v>
      </c>
      <c r="N104" s="117">
        <v>182286</v>
      </c>
      <c r="O104" s="115"/>
      <c r="P104" s="115"/>
      <c r="Q104" s="115"/>
      <c r="R104" s="115"/>
      <c r="S104" s="115"/>
      <c r="T104" s="115"/>
      <c r="U104" s="115"/>
      <c r="V104" s="118"/>
      <c r="W104" s="118"/>
      <c r="X104" s="115" t="s">
        <v>390</v>
      </c>
      <c r="Y104" s="115"/>
      <c r="Z104" s="118"/>
      <c r="AA104" s="115"/>
      <c r="AB104" s="118"/>
      <c r="AC104" s="115" t="s">
        <v>497</v>
      </c>
      <c r="AD104" s="115" t="s">
        <v>498</v>
      </c>
    </row>
    <row r="105" spans="1:30" x14ac:dyDescent="0.25">
      <c r="A105" s="115" t="s">
        <v>499</v>
      </c>
      <c r="B105" s="115" t="s">
        <v>386</v>
      </c>
      <c r="C105" s="115"/>
      <c r="D105" s="115"/>
      <c r="E105" s="115" t="s">
        <v>500</v>
      </c>
      <c r="F105" s="115"/>
      <c r="G105" s="116">
        <v>42976.586134259262</v>
      </c>
      <c r="H105" s="116">
        <v>42976</v>
      </c>
      <c r="I105" s="115" t="s">
        <v>478</v>
      </c>
      <c r="J105" s="115" t="s">
        <v>479</v>
      </c>
      <c r="K105" s="118"/>
      <c r="L105" s="115"/>
      <c r="M105" s="117">
        <v>-10548.56</v>
      </c>
      <c r="N105" s="117">
        <v>-10548.56</v>
      </c>
      <c r="O105" s="115"/>
      <c r="P105" s="115"/>
      <c r="Q105" s="115"/>
      <c r="R105" s="115"/>
      <c r="S105" s="115"/>
      <c r="T105" s="115"/>
      <c r="U105" s="115"/>
      <c r="V105" s="118"/>
      <c r="W105" s="118"/>
      <c r="X105" s="115" t="s">
        <v>390</v>
      </c>
      <c r="Y105" s="115"/>
      <c r="Z105" s="118"/>
      <c r="AA105" s="115"/>
      <c r="AB105" s="118"/>
      <c r="AC105" s="115" t="s">
        <v>501</v>
      </c>
      <c r="AD105" s="115" t="s">
        <v>502</v>
      </c>
    </row>
    <row r="106" spans="1:30" x14ac:dyDescent="0.25">
      <c r="A106" s="115" t="s">
        <v>503</v>
      </c>
      <c r="B106" s="115" t="s">
        <v>386</v>
      </c>
      <c r="C106" s="115"/>
      <c r="D106" s="115"/>
      <c r="E106" s="115" t="s">
        <v>504</v>
      </c>
      <c r="F106" s="115"/>
      <c r="G106" s="116">
        <v>42976.586134259262</v>
      </c>
      <c r="H106" s="116">
        <v>42976</v>
      </c>
      <c r="I106" s="115" t="s">
        <v>478</v>
      </c>
      <c r="J106" s="115" t="s">
        <v>479</v>
      </c>
      <c r="K106" s="118"/>
      <c r="L106" s="115"/>
      <c r="M106" s="117">
        <v>-3401.26</v>
      </c>
      <c r="N106" s="117">
        <v>-3401.26</v>
      </c>
      <c r="O106" s="115"/>
      <c r="P106" s="115"/>
      <c r="Q106" s="115"/>
      <c r="R106" s="115"/>
      <c r="S106" s="115"/>
      <c r="T106" s="115"/>
      <c r="U106" s="115"/>
      <c r="V106" s="118"/>
      <c r="W106" s="118"/>
      <c r="X106" s="115" t="s">
        <v>390</v>
      </c>
      <c r="Y106" s="115"/>
      <c r="Z106" s="118"/>
      <c r="AA106" s="115"/>
      <c r="AB106" s="118"/>
      <c r="AC106" s="115" t="s">
        <v>505</v>
      </c>
      <c r="AD106" s="115" t="s">
        <v>506</v>
      </c>
    </row>
    <row r="107" spans="1:30" x14ac:dyDescent="0.25">
      <c r="A107" s="115" t="s">
        <v>507</v>
      </c>
      <c r="B107" s="115" t="s">
        <v>386</v>
      </c>
      <c r="C107" s="115"/>
      <c r="D107" s="115"/>
      <c r="E107" s="115" t="s">
        <v>508</v>
      </c>
      <c r="F107" s="115"/>
      <c r="G107" s="116">
        <v>42976.586134259262</v>
      </c>
      <c r="H107" s="116">
        <v>42976</v>
      </c>
      <c r="I107" s="115" t="s">
        <v>478</v>
      </c>
      <c r="J107" s="115" t="s">
        <v>479</v>
      </c>
      <c r="K107" s="118"/>
      <c r="L107" s="115"/>
      <c r="M107" s="117">
        <v>-4136.91</v>
      </c>
      <c r="N107" s="117">
        <v>-4136.91</v>
      </c>
      <c r="O107" s="115"/>
      <c r="P107" s="115"/>
      <c r="Q107" s="115"/>
      <c r="R107" s="115"/>
      <c r="S107" s="115"/>
      <c r="T107" s="115"/>
      <c r="U107" s="115"/>
      <c r="V107" s="118"/>
      <c r="W107" s="118"/>
      <c r="X107" s="115" t="s">
        <v>390</v>
      </c>
      <c r="Y107" s="115"/>
      <c r="Z107" s="118"/>
      <c r="AA107" s="115"/>
      <c r="AB107" s="118"/>
      <c r="AC107" s="115" t="s">
        <v>509</v>
      </c>
      <c r="AD107" s="115" t="s">
        <v>510</v>
      </c>
    </row>
    <row r="108" spans="1:30" x14ac:dyDescent="0.25">
      <c r="A108" s="115" t="s">
        <v>511</v>
      </c>
      <c r="B108" s="115" t="s">
        <v>386</v>
      </c>
      <c r="C108" s="115"/>
      <c r="D108" s="115"/>
      <c r="E108" s="115" t="s">
        <v>512</v>
      </c>
      <c r="F108" s="115"/>
      <c r="G108" s="116">
        <v>42976.586134259262</v>
      </c>
      <c r="H108" s="116">
        <v>42976</v>
      </c>
      <c r="I108" s="115" t="s">
        <v>478</v>
      </c>
      <c r="J108" s="115" t="s">
        <v>479</v>
      </c>
      <c r="K108" s="118"/>
      <c r="L108" s="115"/>
      <c r="M108" s="117">
        <v>-27436.73</v>
      </c>
      <c r="N108" s="117">
        <v>-27436.73</v>
      </c>
      <c r="O108" s="115"/>
      <c r="P108" s="115"/>
      <c r="Q108" s="115"/>
      <c r="R108" s="115"/>
      <c r="S108" s="115"/>
      <c r="T108" s="115"/>
      <c r="U108" s="115"/>
      <c r="V108" s="118"/>
      <c r="W108" s="118"/>
      <c r="X108" s="115" t="s">
        <v>390</v>
      </c>
      <c r="Y108" s="115"/>
      <c r="Z108" s="118"/>
      <c r="AA108" s="115"/>
      <c r="AB108" s="118"/>
      <c r="AC108" s="115" t="s">
        <v>513</v>
      </c>
      <c r="AD108" s="115" t="s">
        <v>514</v>
      </c>
    </row>
    <row r="109" spans="1:30" x14ac:dyDescent="0.25">
      <c r="A109" s="115" t="s">
        <v>515</v>
      </c>
      <c r="B109" s="115" t="s">
        <v>386</v>
      </c>
      <c r="C109" s="115"/>
      <c r="D109" s="115"/>
      <c r="E109" s="115" t="s">
        <v>516</v>
      </c>
      <c r="F109" s="115"/>
      <c r="G109" s="116">
        <v>42976.586134259262</v>
      </c>
      <c r="H109" s="116">
        <v>42976</v>
      </c>
      <c r="I109" s="115" t="s">
        <v>478</v>
      </c>
      <c r="J109" s="115" t="s">
        <v>479</v>
      </c>
      <c r="K109" s="118"/>
      <c r="L109" s="115"/>
      <c r="M109" s="117">
        <v>-2532.63</v>
      </c>
      <c r="N109" s="117">
        <v>-2532.63</v>
      </c>
      <c r="O109" s="115"/>
      <c r="P109" s="115"/>
      <c r="Q109" s="115"/>
      <c r="R109" s="115"/>
      <c r="S109" s="115"/>
      <c r="T109" s="115"/>
      <c r="U109" s="115"/>
      <c r="V109" s="118"/>
      <c r="W109" s="118"/>
      <c r="X109" s="115" t="s">
        <v>390</v>
      </c>
      <c r="Y109" s="115"/>
      <c r="Z109" s="118"/>
      <c r="AA109" s="115"/>
      <c r="AB109" s="118"/>
      <c r="AC109" s="115" t="s">
        <v>517</v>
      </c>
      <c r="AD109" s="115" t="s">
        <v>518</v>
      </c>
    </row>
    <row r="110" spans="1:30" x14ac:dyDescent="0.25">
      <c r="A110" s="115" t="s">
        <v>519</v>
      </c>
      <c r="B110" s="115" t="s">
        <v>386</v>
      </c>
      <c r="C110" s="115"/>
      <c r="D110" s="115"/>
      <c r="E110" s="115" t="s">
        <v>520</v>
      </c>
      <c r="F110" s="115"/>
      <c r="G110" s="116">
        <v>42976.586134259262</v>
      </c>
      <c r="H110" s="116">
        <v>42976</v>
      </c>
      <c r="I110" s="115" t="s">
        <v>478</v>
      </c>
      <c r="J110" s="115" t="s">
        <v>479</v>
      </c>
      <c r="K110" s="118"/>
      <c r="L110" s="115"/>
      <c r="M110" s="117">
        <v>-3949.59</v>
      </c>
      <c r="N110" s="117">
        <v>-3949.59</v>
      </c>
      <c r="O110" s="115"/>
      <c r="P110" s="115"/>
      <c r="Q110" s="115"/>
      <c r="R110" s="115"/>
      <c r="S110" s="115"/>
      <c r="T110" s="115"/>
      <c r="U110" s="115"/>
      <c r="V110" s="118"/>
      <c r="W110" s="118"/>
      <c r="X110" s="115" t="s">
        <v>390</v>
      </c>
      <c r="Y110" s="115"/>
      <c r="Z110" s="118"/>
      <c r="AA110" s="115"/>
      <c r="AB110" s="118"/>
      <c r="AC110" s="115" t="s">
        <v>521</v>
      </c>
      <c r="AD110" s="115" t="s">
        <v>522</v>
      </c>
    </row>
    <row r="111" spans="1:30" x14ac:dyDescent="0.25">
      <c r="A111" s="115" t="s">
        <v>523</v>
      </c>
      <c r="B111" s="115" t="s">
        <v>386</v>
      </c>
      <c r="C111" s="115"/>
      <c r="D111" s="115"/>
      <c r="E111" s="115" t="s">
        <v>524</v>
      </c>
      <c r="F111" s="115"/>
      <c r="G111" s="116">
        <v>42976.586134259262</v>
      </c>
      <c r="H111" s="116">
        <v>42976</v>
      </c>
      <c r="I111" s="115" t="s">
        <v>478</v>
      </c>
      <c r="J111" s="115" t="s">
        <v>479</v>
      </c>
      <c r="K111" s="118"/>
      <c r="L111" s="115"/>
      <c r="M111" s="117">
        <v>-11848.77</v>
      </c>
      <c r="N111" s="117">
        <v>-11848.77</v>
      </c>
      <c r="O111" s="115"/>
      <c r="P111" s="115"/>
      <c r="Q111" s="115"/>
      <c r="R111" s="115"/>
      <c r="S111" s="115"/>
      <c r="T111" s="115"/>
      <c r="U111" s="115"/>
      <c r="V111" s="118"/>
      <c r="W111" s="118"/>
      <c r="X111" s="115" t="s">
        <v>390</v>
      </c>
      <c r="Y111" s="115"/>
      <c r="Z111" s="118"/>
      <c r="AA111" s="115"/>
      <c r="AB111" s="118"/>
      <c r="AC111" s="115" t="s">
        <v>525</v>
      </c>
      <c r="AD111" s="115" t="s">
        <v>526</v>
      </c>
    </row>
    <row r="112" spans="1:30" x14ac:dyDescent="0.25">
      <c r="A112" s="115" t="s">
        <v>527</v>
      </c>
      <c r="B112" s="115" t="s">
        <v>386</v>
      </c>
      <c r="C112" s="115"/>
      <c r="D112" s="115"/>
      <c r="E112" s="115" t="s">
        <v>528</v>
      </c>
      <c r="F112" s="115"/>
      <c r="G112" s="116">
        <v>42976.586134259262</v>
      </c>
      <c r="H112" s="116">
        <v>42976</v>
      </c>
      <c r="I112" s="115" t="s">
        <v>478</v>
      </c>
      <c r="J112" s="115" t="s">
        <v>496</v>
      </c>
      <c r="K112" s="118"/>
      <c r="L112" s="115"/>
      <c r="M112" s="117">
        <v>266760</v>
      </c>
      <c r="N112" s="117">
        <v>266760</v>
      </c>
      <c r="O112" s="115"/>
      <c r="P112" s="115"/>
      <c r="Q112" s="115"/>
      <c r="R112" s="115"/>
      <c r="S112" s="115"/>
      <c r="T112" s="115"/>
      <c r="U112" s="115"/>
      <c r="V112" s="118"/>
      <c r="W112" s="118"/>
      <c r="X112" s="115" t="s">
        <v>390</v>
      </c>
      <c r="Y112" s="115"/>
      <c r="Z112" s="118"/>
      <c r="AA112" s="115"/>
      <c r="AB112" s="118"/>
      <c r="AC112" s="115" t="s">
        <v>529</v>
      </c>
      <c r="AD112" s="115" t="s">
        <v>530</v>
      </c>
    </row>
    <row r="113" spans="1:30" x14ac:dyDescent="0.25">
      <c r="A113" s="115" t="s">
        <v>531</v>
      </c>
      <c r="B113" s="115" t="s">
        <v>386</v>
      </c>
      <c r="C113" s="115"/>
      <c r="D113" s="115"/>
      <c r="E113" s="115" t="s">
        <v>532</v>
      </c>
      <c r="F113" s="115"/>
      <c r="G113" s="116">
        <v>42976.586134259262</v>
      </c>
      <c r="H113" s="116">
        <v>42976</v>
      </c>
      <c r="I113" s="115" t="s">
        <v>478</v>
      </c>
      <c r="J113" s="115" t="s">
        <v>479</v>
      </c>
      <c r="K113" s="118"/>
      <c r="L113" s="115"/>
      <c r="M113" s="117">
        <v>-3241.11</v>
      </c>
      <c r="N113" s="117">
        <v>-3241.11</v>
      </c>
      <c r="O113" s="115"/>
      <c r="P113" s="115"/>
      <c r="Q113" s="115"/>
      <c r="R113" s="115"/>
      <c r="S113" s="115"/>
      <c r="T113" s="115"/>
      <c r="U113" s="115"/>
      <c r="V113" s="118"/>
      <c r="W113" s="118"/>
      <c r="X113" s="115" t="s">
        <v>390</v>
      </c>
      <c r="Y113" s="115"/>
      <c r="Z113" s="118"/>
      <c r="AA113" s="115"/>
      <c r="AB113" s="118"/>
      <c r="AC113" s="115" t="s">
        <v>533</v>
      </c>
      <c r="AD113" s="115" t="s">
        <v>534</v>
      </c>
    </row>
    <row r="114" spans="1:30" x14ac:dyDescent="0.25">
      <c r="A114" s="115" t="s">
        <v>535</v>
      </c>
      <c r="B114" s="115" t="s">
        <v>386</v>
      </c>
      <c r="C114" s="115"/>
      <c r="D114" s="115"/>
      <c r="E114" s="115" t="s">
        <v>536</v>
      </c>
      <c r="F114" s="115"/>
      <c r="G114" s="116">
        <v>42976.586134259262</v>
      </c>
      <c r="H114" s="116">
        <v>42976</v>
      </c>
      <c r="I114" s="115" t="s">
        <v>478</v>
      </c>
      <c r="J114" s="115" t="s">
        <v>496</v>
      </c>
      <c r="K114" s="118"/>
      <c r="L114" s="115"/>
      <c r="M114" s="117">
        <v>42750</v>
      </c>
      <c r="N114" s="117">
        <v>42750</v>
      </c>
      <c r="O114" s="115"/>
      <c r="P114" s="115"/>
      <c r="Q114" s="115"/>
      <c r="R114" s="115"/>
      <c r="S114" s="115"/>
      <c r="T114" s="115"/>
      <c r="U114" s="115"/>
      <c r="V114" s="118"/>
      <c r="W114" s="118"/>
      <c r="X114" s="115" t="s">
        <v>390</v>
      </c>
      <c r="Y114" s="115"/>
      <c r="Z114" s="118"/>
      <c r="AA114" s="115"/>
      <c r="AB114" s="118"/>
      <c r="AC114" s="115" t="s">
        <v>537</v>
      </c>
      <c r="AD114" s="115" t="s">
        <v>538</v>
      </c>
    </row>
    <row r="115" spans="1:30" x14ac:dyDescent="0.25">
      <c r="A115" s="115" t="s">
        <v>539</v>
      </c>
      <c r="B115" s="115" t="s">
        <v>386</v>
      </c>
      <c r="C115" s="115"/>
      <c r="D115" s="115"/>
      <c r="E115" s="115" t="s">
        <v>540</v>
      </c>
      <c r="F115" s="115"/>
      <c r="G115" s="116">
        <v>42976.586134259262</v>
      </c>
      <c r="H115" s="116">
        <v>42976</v>
      </c>
      <c r="I115" s="115" t="s">
        <v>478</v>
      </c>
      <c r="J115" s="115" t="s">
        <v>496</v>
      </c>
      <c r="K115" s="118"/>
      <c r="L115" s="115"/>
      <c r="M115" s="117">
        <v>288806</v>
      </c>
      <c r="N115" s="117">
        <v>288806</v>
      </c>
      <c r="O115" s="115"/>
      <c r="P115" s="115"/>
      <c r="Q115" s="115"/>
      <c r="R115" s="115"/>
      <c r="S115" s="115"/>
      <c r="T115" s="115"/>
      <c r="U115" s="115"/>
      <c r="V115" s="118"/>
      <c r="W115" s="118"/>
      <c r="X115" s="115" t="s">
        <v>390</v>
      </c>
      <c r="Y115" s="115"/>
      <c r="Z115" s="118"/>
      <c r="AA115" s="115"/>
      <c r="AB115" s="118"/>
      <c r="AC115" s="115" t="s">
        <v>541</v>
      </c>
      <c r="AD115" s="115" t="s">
        <v>542</v>
      </c>
    </row>
    <row r="116" spans="1:30" x14ac:dyDescent="0.25">
      <c r="A116" s="115" t="s">
        <v>543</v>
      </c>
      <c r="B116" s="115" t="s">
        <v>386</v>
      </c>
      <c r="C116" s="115"/>
      <c r="D116" s="115"/>
      <c r="E116" s="115" t="s">
        <v>544</v>
      </c>
      <c r="F116" s="115"/>
      <c r="G116" s="116">
        <v>42976.548807870371</v>
      </c>
      <c r="H116" s="116">
        <v>42976</v>
      </c>
      <c r="I116" s="115" t="s">
        <v>478</v>
      </c>
      <c r="J116" s="115" t="s">
        <v>479</v>
      </c>
      <c r="K116" s="118"/>
      <c r="L116" s="115"/>
      <c r="M116" s="117">
        <v>-421.95</v>
      </c>
      <c r="N116" s="117">
        <v>-421.95</v>
      </c>
      <c r="O116" s="115"/>
      <c r="P116" s="115"/>
      <c r="Q116" s="115"/>
      <c r="R116" s="115"/>
      <c r="S116" s="115"/>
      <c r="T116" s="115"/>
      <c r="U116" s="115"/>
      <c r="V116" s="118"/>
      <c r="W116" s="118"/>
      <c r="X116" s="115" t="s">
        <v>390</v>
      </c>
      <c r="Y116" s="115"/>
      <c r="Z116" s="118"/>
      <c r="AA116" s="115"/>
      <c r="AB116" s="118"/>
      <c r="AC116" s="115" t="s">
        <v>545</v>
      </c>
      <c r="AD116" s="115" t="s">
        <v>546</v>
      </c>
    </row>
    <row r="117" spans="1:30" x14ac:dyDescent="0.25">
      <c r="A117" s="115" t="s">
        <v>547</v>
      </c>
      <c r="B117" s="115" t="s">
        <v>386</v>
      </c>
      <c r="C117" s="115"/>
      <c r="D117" s="115"/>
      <c r="E117" s="115" t="s">
        <v>548</v>
      </c>
      <c r="F117" s="115"/>
      <c r="G117" s="116">
        <v>42976.586157407408</v>
      </c>
      <c r="H117" s="116">
        <v>42976</v>
      </c>
      <c r="I117" s="115" t="s">
        <v>478</v>
      </c>
      <c r="J117" s="115" t="s">
        <v>496</v>
      </c>
      <c r="K117" s="118"/>
      <c r="L117" s="115"/>
      <c r="M117" s="117">
        <v>102524.81</v>
      </c>
      <c r="N117" s="117">
        <v>102524.81</v>
      </c>
      <c r="O117" s="115"/>
      <c r="P117" s="115"/>
      <c r="Q117" s="115"/>
      <c r="R117" s="115"/>
      <c r="S117" s="115"/>
      <c r="T117" s="115"/>
      <c r="U117" s="115"/>
      <c r="V117" s="118"/>
      <c r="W117" s="118"/>
      <c r="X117" s="115" t="s">
        <v>390</v>
      </c>
      <c r="Y117" s="115"/>
      <c r="Z117" s="118"/>
      <c r="AA117" s="115"/>
      <c r="AB117" s="118"/>
      <c r="AC117" s="115" t="s">
        <v>549</v>
      </c>
      <c r="AD117" s="115" t="s">
        <v>550</v>
      </c>
    </row>
    <row r="118" spans="1:30" x14ac:dyDescent="0.25">
      <c r="A118" s="115" t="s">
        <v>551</v>
      </c>
      <c r="B118" s="115" t="s">
        <v>386</v>
      </c>
      <c r="C118" s="115"/>
      <c r="D118" s="115"/>
      <c r="E118" s="115" t="s">
        <v>552</v>
      </c>
      <c r="F118" s="115"/>
      <c r="G118" s="116">
        <v>42976.548807870371</v>
      </c>
      <c r="H118" s="116">
        <v>42976</v>
      </c>
      <c r="I118" s="115" t="s">
        <v>478</v>
      </c>
      <c r="J118" s="115" t="s">
        <v>479</v>
      </c>
      <c r="K118" s="118"/>
      <c r="L118" s="115"/>
      <c r="M118" s="117">
        <v>-480.15</v>
      </c>
      <c r="N118" s="117">
        <v>-480.15</v>
      </c>
      <c r="O118" s="115"/>
      <c r="P118" s="115"/>
      <c r="Q118" s="115"/>
      <c r="R118" s="115"/>
      <c r="S118" s="115"/>
      <c r="T118" s="115"/>
      <c r="U118" s="115"/>
      <c r="V118" s="118"/>
      <c r="W118" s="118"/>
      <c r="X118" s="115" t="s">
        <v>390</v>
      </c>
      <c r="Y118" s="115"/>
      <c r="Z118" s="118"/>
      <c r="AA118" s="115"/>
      <c r="AB118" s="118"/>
      <c r="AC118" s="115" t="s">
        <v>553</v>
      </c>
      <c r="AD118" s="115" t="s">
        <v>554</v>
      </c>
    </row>
    <row r="119" spans="1:30" x14ac:dyDescent="0.25">
      <c r="A119" s="115" t="s">
        <v>555</v>
      </c>
      <c r="B119" s="115" t="s">
        <v>386</v>
      </c>
      <c r="C119" s="115"/>
      <c r="D119" s="115"/>
      <c r="E119" s="115" t="s">
        <v>544</v>
      </c>
      <c r="F119" s="115"/>
      <c r="G119" s="116">
        <v>42976.548807870371</v>
      </c>
      <c r="H119" s="116">
        <v>42976</v>
      </c>
      <c r="I119" s="115" t="s">
        <v>478</v>
      </c>
      <c r="J119" s="115" t="s">
        <v>479</v>
      </c>
      <c r="K119" s="118"/>
      <c r="L119" s="115"/>
      <c r="M119" s="117">
        <v>-158886.26</v>
      </c>
      <c r="N119" s="117">
        <v>-158886.26</v>
      </c>
      <c r="O119" s="115"/>
      <c r="P119" s="115"/>
      <c r="Q119" s="115"/>
      <c r="R119" s="115"/>
      <c r="S119" s="115"/>
      <c r="T119" s="115"/>
      <c r="U119" s="115"/>
      <c r="V119" s="118"/>
      <c r="W119" s="118"/>
      <c r="X119" s="115" t="s">
        <v>390</v>
      </c>
      <c r="Y119" s="115"/>
      <c r="Z119" s="118"/>
      <c r="AA119" s="115"/>
      <c r="AB119" s="118"/>
      <c r="AC119" s="115" t="s">
        <v>556</v>
      </c>
      <c r="AD119" s="115" t="s">
        <v>557</v>
      </c>
    </row>
    <row r="120" spans="1:30" x14ac:dyDescent="0.25">
      <c r="A120" s="115" t="s">
        <v>558</v>
      </c>
      <c r="B120" s="115" t="s">
        <v>386</v>
      </c>
      <c r="C120" s="115"/>
      <c r="D120" s="115"/>
      <c r="E120" s="115" t="s">
        <v>552</v>
      </c>
      <c r="F120" s="115"/>
      <c r="G120" s="116">
        <v>42976.548807870371</v>
      </c>
      <c r="H120" s="116">
        <v>42976</v>
      </c>
      <c r="I120" s="115" t="s">
        <v>478</v>
      </c>
      <c r="J120" s="115" t="s">
        <v>479</v>
      </c>
      <c r="K120" s="118"/>
      <c r="L120" s="115"/>
      <c r="M120" s="117">
        <v>-84635.85</v>
      </c>
      <c r="N120" s="117">
        <v>-84635.85</v>
      </c>
      <c r="O120" s="115"/>
      <c r="P120" s="115"/>
      <c r="Q120" s="115"/>
      <c r="R120" s="115"/>
      <c r="S120" s="115"/>
      <c r="T120" s="115"/>
      <c r="U120" s="115"/>
      <c r="V120" s="118"/>
      <c r="W120" s="118"/>
      <c r="X120" s="115" t="s">
        <v>390</v>
      </c>
      <c r="Y120" s="115"/>
      <c r="Z120" s="118"/>
      <c r="AA120" s="115"/>
      <c r="AB120" s="118"/>
      <c r="AC120" s="115" t="s">
        <v>559</v>
      </c>
      <c r="AD120" s="115" t="s">
        <v>560</v>
      </c>
    </row>
    <row r="121" spans="1:30" x14ac:dyDescent="0.25">
      <c r="A121" s="115" t="s">
        <v>561</v>
      </c>
      <c r="B121" s="115" t="s">
        <v>386</v>
      </c>
      <c r="C121" s="115"/>
      <c r="D121" s="115"/>
      <c r="E121" s="115" t="s">
        <v>562</v>
      </c>
      <c r="F121" s="115"/>
      <c r="G121" s="116">
        <v>42976.548113425924</v>
      </c>
      <c r="H121" s="116">
        <v>42976</v>
      </c>
      <c r="I121" s="115" t="s">
        <v>478</v>
      </c>
      <c r="J121" s="115" t="s">
        <v>479</v>
      </c>
      <c r="K121" s="118"/>
      <c r="L121" s="115"/>
      <c r="M121" s="117">
        <v>-421.95</v>
      </c>
      <c r="N121" s="117">
        <v>-421.95</v>
      </c>
      <c r="O121" s="115"/>
      <c r="P121" s="115"/>
      <c r="Q121" s="115"/>
      <c r="R121" s="115"/>
      <c r="S121" s="115"/>
      <c r="T121" s="115"/>
      <c r="U121" s="115"/>
      <c r="V121" s="118"/>
      <c r="W121" s="118"/>
      <c r="X121" s="115" t="s">
        <v>390</v>
      </c>
      <c r="Y121" s="115"/>
      <c r="Z121" s="118"/>
      <c r="AA121" s="115"/>
      <c r="AB121" s="118"/>
      <c r="AC121" s="115" t="s">
        <v>563</v>
      </c>
      <c r="AD121" s="115" t="s">
        <v>564</v>
      </c>
    </row>
    <row r="122" spans="1:30" x14ac:dyDescent="0.25">
      <c r="A122" s="115" t="s">
        <v>565</v>
      </c>
      <c r="B122" s="115" t="s">
        <v>386</v>
      </c>
      <c r="C122" s="115"/>
      <c r="D122" s="115"/>
      <c r="E122" s="115" t="s">
        <v>566</v>
      </c>
      <c r="F122" s="115"/>
      <c r="G122" s="116">
        <v>42976.548113425924</v>
      </c>
      <c r="H122" s="116">
        <v>42976</v>
      </c>
      <c r="I122" s="115" t="s">
        <v>478</v>
      </c>
      <c r="J122" s="115" t="s">
        <v>479</v>
      </c>
      <c r="K122" s="118"/>
      <c r="L122" s="115"/>
      <c r="M122" s="117">
        <v>-712.95</v>
      </c>
      <c r="N122" s="117">
        <v>-712.95</v>
      </c>
      <c r="O122" s="115"/>
      <c r="P122" s="115"/>
      <c r="Q122" s="115"/>
      <c r="R122" s="115"/>
      <c r="S122" s="115"/>
      <c r="T122" s="115"/>
      <c r="U122" s="115"/>
      <c r="V122" s="118"/>
      <c r="W122" s="118"/>
      <c r="X122" s="115" t="s">
        <v>390</v>
      </c>
      <c r="Y122" s="115"/>
      <c r="Z122" s="118"/>
      <c r="AA122" s="115"/>
      <c r="AB122" s="118"/>
      <c r="AC122" s="115" t="s">
        <v>567</v>
      </c>
      <c r="AD122" s="115" t="s">
        <v>568</v>
      </c>
    </row>
    <row r="123" spans="1:30" x14ac:dyDescent="0.25">
      <c r="A123" s="115" t="s">
        <v>569</v>
      </c>
      <c r="B123" s="115" t="s">
        <v>386</v>
      </c>
      <c r="C123" s="115"/>
      <c r="D123" s="115"/>
      <c r="E123" s="115" t="s">
        <v>562</v>
      </c>
      <c r="F123" s="115"/>
      <c r="G123" s="116">
        <v>42976.548113425924</v>
      </c>
      <c r="H123" s="116">
        <v>42976</v>
      </c>
      <c r="I123" s="115" t="s">
        <v>478</v>
      </c>
      <c r="J123" s="115" t="s">
        <v>479</v>
      </c>
      <c r="K123" s="118"/>
      <c r="L123" s="115"/>
      <c r="M123" s="117">
        <v>-138143.54</v>
      </c>
      <c r="N123" s="117">
        <v>-138143.54</v>
      </c>
      <c r="O123" s="115"/>
      <c r="P123" s="115"/>
      <c r="Q123" s="115"/>
      <c r="R123" s="115"/>
      <c r="S123" s="115"/>
      <c r="T123" s="115"/>
      <c r="U123" s="115"/>
      <c r="V123" s="118"/>
      <c r="W123" s="118"/>
      <c r="X123" s="115" t="s">
        <v>390</v>
      </c>
      <c r="Y123" s="115"/>
      <c r="Z123" s="118"/>
      <c r="AA123" s="115"/>
      <c r="AB123" s="118"/>
      <c r="AC123" s="115" t="s">
        <v>570</v>
      </c>
      <c r="AD123" s="115" t="s">
        <v>571</v>
      </c>
    </row>
    <row r="124" spans="1:30" x14ac:dyDescent="0.25">
      <c r="A124" s="115" t="s">
        <v>572</v>
      </c>
      <c r="B124" s="115" t="s">
        <v>386</v>
      </c>
      <c r="C124" s="115"/>
      <c r="D124" s="115"/>
      <c r="E124" s="115" t="s">
        <v>566</v>
      </c>
      <c r="F124" s="115"/>
      <c r="G124" s="116">
        <v>42976.548113425924</v>
      </c>
      <c r="H124" s="116">
        <v>42976</v>
      </c>
      <c r="I124" s="115" t="s">
        <v>478</v>
      </c>
      <c r="J124" s="115" t="s">
        <v>479</v>
      </c>
      <c r="K124" s="118"/>
      <c r="L124" s="115"/>
      <c r="M124" s="117">
        <v>-254054.21</v>
      </c>
      <c r="N124" s="117">
        <v>-254054.21</v>
      </c>
      <c r="O124" s="115"/>
      <c r="P124" s="115"/>
      <c r="Q124" s="115"/>
      <c r="R124" s="115"/>
      <c r="S124" s="115"/>
      <c r="T124" s="115"/>
      <c r="U124" s="115"/>
      <c r="V124" s="118"/>
      <c r="W124" s="118"/>
      <c r="X124" s="115" t="s">
        <v>390</v>
      </c>
      <c r="Y124" s="115"/>
      <c r="Z124" s="118"/>
      <c r="AA124" s="115"/>
      <c r="AB124" s="118"/>
      <c r="AC124" s="115" t="s">
        <v>573</v>
      </c>
      <c r="AD124" s="115" t="s">
        <v>574</v>
      </c>
    </row>
    <row r="125" spans="1:30" x14ac:dyDescent="0.25">
      <c r="A125" s="115" t="s">
        <v>575</v>
      </c>
      <c r="B125" s="115" t="s">
        <v>386</v>
      </c>
      <c r="C125" s="115"/>
      <c r="D125" s="115"/>
      <c r="E125" s="115" t="s">
        <v>548</v>
      </c>
      <c r="F125" s="115"/>
      <c r="G125" s="116">
        <v>42976.421064814815</v>
      </c>
      <c r="H125" s="116">
        <v>42976.801759259259</v>
      </c>
      <c r="I125" s="115" t="s">
        <v>478</v>
      </c>
      <c r="J125" s="115" t="s">
        <v>479</v>
      </c>
      <c r="K125" s="118"/>
      <c r="L125" s="115"/>
      <c r="M125" s="117">
        <v>-8372.92</v>
      </c>
      <c r="N125" s="117">
        <v>-8372.92</v>
      </c>
      <c r="O125" s="115"/>
      <c r="P125" s="115"/>
      <c r="Q125" s="115"/>
      <c r="R125" s="115"/>
      <c r="S125" s="115"/>
      <c r="T125" s="115"/>
      <c r="U125" s="115"/>
      <c r="V125" s="118"/>
      <c r="W125" s="118"/>
      <c r="X125" s="115" t="s">
        <v>390</v>
      </c>
      <c r="Y125" s="115"/>
      <c r="Z125" s="118"/>
      <c r="AA125" s="115"/>
      <c r="AB125" s="118"/>
      <c r="AC125" s="115" t="s">
        <v>576</v>
      </c>
      <c r="AD125" s="115" t="s">
        <v>577</v>
      </c>
    </row>
    <row r="126" spans="1:30" x14ac:dyDescent="0.25">
      <c r="A126" s="115" t="s">
        <v>578</v>
      </c>
      <c r="B126" s="115" t="s">
        <v>386</v>
      </c>
      <c r="C126" s="115"/>
      <c r="D126" s="115"/>
      <c r="E126" s="115" t="s">
        <v>562</v>
      </c>
      <c r="F126" s="115"/>
      <c r="G126" s="116">
        <v>42976.421064814815</v>
      </c>
      <c r="H126" s="116">
        <v>42976.801064814812</v>
      </c>
      <c r="I126" s="115" t="s">
        <v>478</v>
      </c>
      <c r="J126" s="115" t="s">
        <v>496</v>
      </c>
      <c r="K126" s="118"/>
      <c r="L126" s="115"/>
      <c r="M126" s="117">
        <v>715919.82</v>
      </c>
      <c r="N126" s="117">
        <v>715919.82</v>
      </c>
      <c r="O126" s="115"/>
      <c r="P126" s="115"/>
      <c r="Q126" s="115"/>
      <c r="R126" s="115"/>
      <c r="S126" s="115"/>
      <c r="T126" s="115"/>
      <c r="U126" s="115"/>
      <c r="V126" s="118"/>
      <c r="W126" s="118"/>
      <c r="X126" s="115" t="s">
        <v>390</v>
      </c>
      <c r="Y126" s="115"/>
      <c r="Z126" s="118"/>
      <c r="AA126" s="115"/>
      <c r="AB126" s="118"/>
      <c r="AC126" s="115" t="s">
        <v>579</v>
      </c>
      <c r="AD126" s="115" t="s">
        <v>580</v>
      </c>
    </row>
    <row r="127" spans="1:30" x14ac:dyDescent="0.25">
      <c r="A127" s="115" t="s">
        <v>581</v>
      </c>
      <c r="B127" s="115" t="s">
        <v>386</v>
      </c>
      <c r="C127" s="115"/>
      <c r="D127" s="115"/>
      <c r="E127" s="115" t="s">
        <v>477</v>
      </c>
      <c r="F127" s="115"/>
      <c r="G127" s="116">
        <v>42976.421064814815</v>
      </c>
      <c r="H127" s="116">
        <v>42976.801064814812</v>
      </c>
      <c r="I127" s="115" t="s">
        <v>478</v>
      </c>
      <c r="J127" s="115" t="s">
        <v>479</v>
      </c>
      <c r="K127" s="118"/>
      <c r="L127" s="115"/>
      <c r="M127" s="117">
        <v>-1768.99</v>
      </c>
      <c r="N127" s="117">
        <v>-1768.99</v>
      </c>
      <c r="O127" s="115"/>
      <c r="P127" s="115"/>
      <c r="Q127" s="115"/>
      <c r="R127" s="115"/>
      <c r="S127" s="115"/>
      <c r="T127" s="115"/>
      <c r="U127" s="115"/>
      <c r="V127" s="118"/>
      <c r="W127" s="118"/>
      <c r="X127" s="115" t="s">
        <v>390</v>
      </c>
      <c r="Y127" s="115"/>
      <c r="Z127" s="118"/>
      <c r="AA127" s="115"/>
      <c r="AB127" s="118"/>
      <c r="AC127" s="115" t="s">
        <v>582</v>
      </c>
      <c r="AD127" s="115" t="s">
        <v>583</v>
      </c>
    </row>
    <row r="128" spans="1:30" x14ac:dyDescent="0.25">
      <c r="A128" s="115" t="s">
        <v>584</v>
      </c>
      <c r="B128" s="115" t="s">
        <v>386</v>
      </c>
      <c r="C128" s="115"/>
      <c r="D128" s="115"/>
      <c r="E128" s="115" t="s">
        <v>544</v>
      </c>
      <c r="F128" s="115"/>
      <c r="G128" s="116">
        <v>42976.421064814815</v>
      </c>
      <c r="H128" s="116">
        <v>42976.801759259259</v>
      </c>
      <c r="I128" s="115" t="s">
        <v>478</v>
      </c>
      <c r="J128" s="115" t="s">
        <v>496</v>
      </c>
      <c r="K128" s="118"/>
      <c r="L128" s="115"/>
      <c r="M128" s="117">
        <v>729210.14</v>
      </c>
      <c r="N128" s="117">
        <v>729210.14</v>
      </c>
      <c r="O128" s="115"/>
      <c r="P128" s="115"/>
      <c r="Q128" s="115"/>
      <c r="R128" s="115"/>
      <c r="S128" s="115"/>
      <c r="T128" s="115"/>
      <c r="U128" s="115"/>
      <c r="V128" s="118"/>
      <c r="W128" s="118"/>
      <c r="X128" s="115" t="s">
        <v>390</v>
      </c>
      <c r="Y128" s="115"/>
      <c r="Z128" s="118"/>
      <c r="AA128" s="115"/>
      <c r="AB128" s="118"/>
      <c r="AC128" s="115" t="s">
        <v>585</v>
      </c>
      <c r="AD128" s="115" t="s">
        <v>586</v>
      </c>
    </row>
    <row r="129" spans="1:30" x14ac:dyDescent="0.25">
      <c r="A129" s="115" t="s">
        <v>587</v>
      </c>
      <c r="B129" s="115" t="s">
        <v>386</v>
      </c>
      <c r="C129" s="115"/>
      <c r="D129" s="115"/>
      <c r="E129" s="115" t="s">
        <v>483</v>
      </c>
      <c r="F129" s="115"/>
      <c r="G129" s="116">
        <v>42976.421064814815</v>
      </c>
      <c r="H129" s="116">
        <v>42976.801064814812</v>
      </c>
      <c r="I129" s="115" t="s">
        <v>478</v>
      </c>
      <c r="J129" s="115" t="s">
        <v>479</v>
      </c>
      <c r="K129" s="118"/>
      <c r="L129" s="115"/>
      <c r="M129" s="117">
        <v>-17455.36</v>
      </c>
      <c r="N129" s="117">
        <v>-17455.36</v>
      </c>
      <c r="O129" s="115"/>
      <c r="P129" s="115"/>
      <c r="Q129" s="115"/>
      <c r="R129" s="115"/>
      <c r="S129" s="115"/>
      <c r="T129" s="115"/>
      <c r="U129" s="115"/>
      <c r="V129" s="118"/>
      <c r="W129" s="118"/>
      <c r="X129" s="115" t="s">
        <v>390</v>
      </c>
      <c r="Y129" s="115"/>
      <c r="Z129" s="118"/>
      <c r="AA129" s="115"/>
      <c r="AB129" s="118"/>
      <c r="AC129" s="115" t="s">
        <v>588</v>
      </c>
      <c r="AD129" s="115" t="s">
        <v>589</v>
      </c>
    </row>
    <row r="130" spans="1:30" x14ac:dyDescent="0.25">
      <c r="A130" s="115" t="s">
        <v>590</v>
      </c>
      <c r="B130" s="115" t="s">
        <v>386</v>
      </c>
      <c r="C130" s="115"/>
      <c r="D130" s="115"/>
      <c r="E130" s="115" t="s">
        <v>487</v>
      </c>
      <c r="F130" s="115"/>
      <c r="G130" s="116">
        <v>42976.421064814815</v>
      </c>
      <c r="H130" s="116">
        <v>42976.801759259259</v>
      </c>
      <c r="I130" s="115" t="s">
        <v>478</v>
      </c>
      <c r="J130" s="115" t="s">
        <v>479</v>
      </c>
      <c r="K130" s="118"/>
      <c r="L130" s="115"/>
      <c r="M130" s="117">
        <v>-913.81</v>
      </c>
      <c r="N130" s="117">
        <v>-913.81</v>
      </c>
      <c r="O130" s="115"/>
      <c r="P130" s="115"/>
      <c r="Q130" s="115"/>
      <c r="R130" s="115"/>
      <c r="S130" s="115"/>
      <c r="T130" s="115"/>
      <c r="U130" s="115"/>
      <c r="V130" s="118"/>
      <c r="W130" s="118"/>
      <c r="X130" s="115" t="s">
        <v>390</v>
      </c>
      <c r="Y130" s="115"/>
      <c r="Z130" s="118"/>
      <c r="AA130" s="115"/>
      <c r="AB130" s="118"/>
      <c r="AC130" s="115" t="s">
        <v>591</v>
      </c>
      <c r="AD130" s="115" t="s">
        <v>592</v>
      </c>
    </row>
    <row r="131" spans="1:30" x14ac:dyDescent="0.25">
      <c r="A131" s="115" t="s">
        <v>593</v>
      </c>
      <c r="B131" s="115" t="s">
        <v>386</v>
      </c>
      <c r="C131" s="115"/>
      <c r="D131" s="115"/>
      <c r="E131" s="115" t="s">
        <v>491</v>
      </c>
      <c r="F131" s="115"/>
      <c r="G131" s="116">
        <v>42976.421064814815</v>
      </c>
      <c r="H131" s="116">
        <v>42976.801759259259</v>
      </c>
      <c r="I131" s="115" t="s">
        <v>478</v>
      </c>
      <c r="J131" s="115" t="s">
        <v>479</v>
      </c>
      <c r="K131" s="118"/>
      <c r="L131" s="115"/>
      <c r="M131" s="117">
        <v>-10496.67</v>
      </c>
      <c r="N131" s="117">
        <v>-10496.67</v>
      </c>
      <c r="O131" s="115"/>
      <c r="P131" s="115"/>
      <c r="Q131" s="115"/>
      <c r="R131" s="115"/>
      <c r="S131" s="115"/>
      <c r="T131" s="115"/>
      <c r="U131" s="115"/>
      <c r="V131" s="118"/>
      <c r="W131" s="118"/>
      <c r="X131" s="115" t="s">
        <v>390</v>
      </c>
      <c r="Y131" s="115"/>
      <c r="Z131" s="118"/>
      <c r="AA131" s="115"/>
      <c r="AB131" s="118"/>
      <c r="AC131" s="115" t="s">
        <v>594</v>
      </c>
      <c r="AD131" s="115" t="s">
        <v>595</v>
      </c>
    </row>
    <row r="132" spans="1:30" x14ac:dyDescent="0.25">
      <c r="A132" s="115" t="s">
        <v>596</v>
      </c>
      <c r="B132" s="115" t="s">
        <v>386</v>
      </c>
      <c r="C132" s="115"/>
      <c r="D132" s="115"/>
      <c r="E132" s="115" t="s">
        <v>495</v>
      </c>
      <c r="F132" s="115"/>
      <c r="G132" s="116">
        <v>42976.421064814815</v>
      </c>
      <c r="H132" s="116">
        <v>42976.801759259259</v>
      </c>
      <c r="I132" s="115" t="s">
        <v>478</v>
      </c>
      <c r="J132" s="115" t="s">
        <v>479</v>
      </c>
      <c r="K132" s="118"/>
      <c r="L132" s="115"/>
      <c r="M132" s="117">
        <v>-10660</v>
      </c>
      <c r="N132" s="117">
        <v>-10660</v>
      </c>
      <c r="O132" s="115"/>
      <c r="P132" s="115"/>
      <c r="Q132" s="115"/>
      <c r="R132" s="115"/>
      <c r="S132" s="115"/>
      <c r="T132" s="115"/>
      <c r="U132" s="115"/>
      <c r="V132" s="118"/>
      <c r="W132" s="118"/>
      <c r="X132" s="115" t="s">
        <v>390</v>
      </c>
      <c r="Y132" s="115"/>
      <c r="Z132" s="118"/>
      <c r="AA132" s="115"/>
      <c r="AB132" s="118"/>
      <c r="AC132" s="115" t="s">
        <v>597</v>
      </c>
      <c r="AD132" s="115" t="s">
        <v>598</v>
      </c>
    </row>
    <row r="133" spans="1:30" x14ac:dyDescent="0.25">
      <c r="A133" s="115" t="s">
        <v>599</v>
      </c>
      <c r="B133" s="115" t="s">
        <v>386</v>
      </c>
      <c r="C133" s="115"/>
      <c r="D133" s="115"/>
      <c r="E133" s="115" t="s">
        <v>500</v>
      </c>
      <c r="F133" s="115"/>
      <c r="G133" s="116">
        <v>42976.421064814815</v>
      </c>
      <c r="H133" s="116">
        <v>42976.801759259259</v>
      </c>
      <c r="I133" s="115" t="s">
        <v>478</v>
      </c>
      <c r="J133" s="115" t="s">
        <v>479</v>
      </c>
      <c r="K133" s="118"/>
      <c r="L133" s="115"/>
      <c r="M133" s="117">
        <v>-17455.36</v>
      </c>
      <c r="N133" s="117">
        <v>-17455.36</v>
      </c>
      <c r="O133" s="115"/>
      <c r="P133" s="115"/>
      <c r="Q133" s="115"/>
      <c r="R133" s="115"/>
      <c r="S133" s="115"/>
      <c r="T133" s="115"/>
      <c r="U133" s="115"/>
      <c r="V133" s="118"/>
      <c r="W133" s="118"/>
      <c r="X133" s="115" t="s">
        <v>390</v>
      </c>
      <c r="Y133" s="115"/>
      <c r="Z133" s="118"/>
      <c r="AA133" s="115"/>
      <c r="AB133" s="118"/>
      <c r="AC133" s="115" t="s">
        <v>600</v>
      </c>
      <c r="AD133" s="115" t="s">
        <v>601</v>
      </c>
    </row>
    <row r="134" spans="1:30" x14ac:dyDescent="0.25">
      <c r="A134" s="115" t="s">
        <v>602</v>
      </c>
      <c r="B134" s="115" t="s">
        <v>386</v>
      </c>
      <c r="C134" s="115"/>
      <c r="D134" s="115"/>
      <c r="E134" s="115" t="s">
        <v>504</v>
      </c>
      <c r="F134" s="115"/>
      <c r="G134" s="116">
        <v>42976.421064814815</v>
      </c>
      <c r="H134" s="116">
        <v>42976.801759259259</v>
      </c>
      <c r="I134" s="115" t="s">
        <v>478</v>
      </c>
      <c r="J134" s="115" t="s">
        <v>479</v>
      </c>
      <c r="K134" s="118"/>
      <c r="L134" s="115"/>
      <c r="M134" s="117">
        <v>-5375.6</v>
      </c>
      <c r="N134" s="117">
        <v>-5375.6</v>
      </c>
      <c r="O134" s="115"/>
      <c r="P134" s="115"/>
      <c r="Q134" s="115"/>
      <c r="R134" s="115"/>
      <c r="S134" s="115"/>
      <c r="T134" s="115"/>
      <c r="U134" s="115"/>
      <c r="V134" s="118"/>
      <c r="W134" s="118"/>
      <c r="X134" s="115" t="s">
        <v>390</v>
      </c>
      <c r="Y134" s="115"/>
      <c r="Z134" s="118"/>
      <c r="AA134" s="115"/>
      <c r="AB134" s="118"/>
      <c r="AC134" s="115" t="s">
        <v>603</v>
      </c>
      <c r="AD134" s="115" t="s">
        <v>604</v>
      </c>
    </row>
    <row r="135" spans="1:30" x14ac:dyDescent="0.25">
      <c r="A135" s="115" t="s">
        <v>605</v>
      </c>
      <c r="B135" s="115" t="s">
        <v>386</v>
      </c>
      <c r="C135" s="115"/>
      <c r="D135" s="115"/>
      <c r="E135" s="115" t="s">
        <v>552</v>
      </c>
      <c r="F135" s="115"/>
      <c r="G135" s="116">
        <v>42976.421064814815</v>
      </c>
      <c r="H135" s="116">
        <v>42976.801759259259</v>
      </c>
      <c r="I135" s="115" t="s">
        <v>478</v>
      </c>
      <c r="J135" s="115" t="s">
        <v>496</v>
      </c>
      <c r="K135" s="118"/>
      <c r="L135" s="115"/>
      <c r="M135" s="117">
        <v>797040.18</v>
      </c>
      <c r="N135" s="117">
        <v>797040.18</v>
      </c>
      <c r="O135" s="115"/>
      <c r="P135" s="115"/>
      <c r="Q135" s="115"/>
      <c r="R135" s="115"/>
      <c r="S135" s="115"/>
      <c r="T135" s="115"/>
      <c r="U135" s="115"/>
      <c r="V135" s="118"/>
      <c r="W135" s="118"/>
      <c r="X135" s="115" t="s">
        <v>390</v>
      </c>
      <c r="Y135" s="115"/>
      <c r="Z135" s="118"/>
      <c r="AA135" s="115"/>
      <c r="AB135" s="118"/>
      <c r="AC135" s="115" t="s">
        <v>606</v>
      </c>
      <c r="AD135" s="115" t="s">
        <v>607</v>
      </c>
    </row>
    <row r="136" spans="1:30" x14ac:dyDescent="0.25">
      <c r="A136" s="115" t="s">
        <v>608</v>
      </c>
      <c r="B136" s="115" t="s">
        <v>386</v>
      </c>
      <c r="C136" s="115"/>
      <c r="D136" s="115"/>
      <c r="E136" s="115" t="s">
        <v>508</v>
      </c>
      <c r="F136" s="115"/>
      <c r="G136" s="116">
        <v>42976.421064814815</v>
      </c>
      <c r="H136" s="116">
        <v>42976.801759259259</v>
      </c>
      <c r="I136" s="115" t="s">
        <v>478</v>
      </c>
      <c r="J136" s="115" t="s">
        <v>479</v>
      </c>
      <c r="K136" s="118"/>
      <c r="L136" s="115"/>
      <c r="M136" s="117">
        <v>-6983.01</v>
      </c>
      <c r="N136" s="117">
        <v>-6983.01</v>
      </c>
      <c r="O136" s="115"/>
      <c r="P136" s="115"/>
      <c r="Q136" s="115"/>
      <c r="R136" s="115"/>
      <c r="S136" s="115"/>
      <c r="T136" s="115"/>
      <c r="U136" s="115"/>
      <c r="V136" s="118"/>
      <c r="W136" s="118"/>
      <c r="X136" s="115" t="s">
        <v>390</v>
      </c>
      <c r="Y136" s="115"/>
      <c r="Z136" s="118"/>
      <c r="AA136" s="115"/>
      <c r="AB136" s="118"/>
      <c r="AC136" s="115" t="s">
        <v>609</v>
      </c>
      <c r="AD136" s="115" t="s">
        <v>610</v>
      </c>
    </row>
    <row r="137" spans="1:30" x14ac:dyDescent="0.25">
      <c r="A137" s="115" t="s">
        <v>611</v>
      </c>
      <c r="B137" s="115" t="s">
        <v>386</v>
      </c>
      <c r="C137" s="115"/>
      <c r="D137" s="115"/>
      <c r="E137" s="115" t="s">
        <v>512</v>
      </c>
      <c r="F137" s="115"/>
      <c r="G137" s="116">
        <v>42976.421064814815</v>
      </c>
      <c r="H137" s="116">
        <v>42976.801759259259</v>
      </c>
      <c r="I137" s="115" t="s">
        <v>478</v>
      </c>
      <c r="J137" s="115" t="s">
        <v>479</v>
      </c>
      <c r="K137" s="118"/>
      <c r="L137" s="115"/>
      <c r="M137" s="117">
        <v>-3756.19</v>
      </c>
      <c r="N137" s="117">
        <v>-3756.19</v>
      </c>
      <c r="O137" s="115"/>
      <c r="P137" s="115"/>
      <c r="Q137" s="115"/>
      <c r="R137" s="115"/>
      <c r="S137" s="115"/>
      <c r="T137" s="115"/>
      <c r="U137" s="115"/>
      <c r="V137" s="118"/>
      <c r="W137" s="118"/>
      <c r="X137" s="115" t="s">
        <v>390</v>
      </c>
      <c r="Y137" s="115"/>
      <c r="Z137" s="118"/>
      <c r="AA137" s="115"/>
      <c r="AB137" s="118"/>
      <c r="AC137" s="115" t="s">
        <v>612</v>
      </c>
      <c r="AD137" s="115" t="s">
        <v>613</v>
      </c>
    </row>
    <row r="138" spans="1:30" x14ac:dyDescent="0.25">
      <c r="A138" s="115" t="s">
        <v>614</v>
      </c>
      <c r="B138" s="115" t="s">
        <v>386</v>
      </c>
      <c r="C138" s="115"/>
      <c r="D138" s="115"/>
      <c r="E138" s="115" t="s">
        <v>516</v>
      </c>
      <c r="F138" s="115"/>
      <c r="G138" s="116">
        <v>42976.421064814815</v>
      </c>
      <c r="H138" s="116">
        <v>42976.801759259259</v>
      </c>
      <c r="I138" s="115" t="s">
        <v>478</v>
      </c>
      <c r="J138" s="115" t="s">
        <v>479</v>
      </c>
      <c r="K138" s="118"/>
      <c r="L138" s="115"/>
      <c r="M138" s="117">
        <v>-4158.63</v>
      </c>
      <c r="N138" s="117">
        <v>-4158.63</v>
      </c>
      <c r="O138" s="115"/>
      <c r="P138" s="115"/>
      <c r="Q138" s="115"/>
      <c r="R138" s="115"/>
      <c r="S138" s="115"/>
      <c r="T138" s="115"/>
      <c r="U138" s="115"/>
      <c r="V138" s="118"/>
      <c r="W138" s="118"/>
      <c r="X138" s="115" t="s">
        <v>390</v>
      </c>
      <c r="Y138" s="115"/>
      <c r="Z138" s="118"/>
      <c r="AA138" s="115"/>
      <c r="AB138" s="118"/>
      <c r="AC138" s="115" t="s">
        <v>615</v>
      </c>
      <c r="AD138" s="115" t="s">
        <v>616</v>
      </c>
    </row>
    <row r="139" spans="1:30" x14ac:dyDescent="0.25">
      <c r="A139" s="115" t="s">
        <v>617</v>
      </c>
      <c r="B139" s="115" t="s">
        <v>386</v>
      </c>
      <c r="C139" s="115"/>
      <c r="D139" s="115"/>
      <c r="E139" s="115" t="s">
        <v>520</v>
      </c>
      <c r="F139" s="115"/>
      <c r="G139" s="116">
        <v>42976.421064814815</v>
      </c>
      <c r="H139" s="116">
        <v>42976.801759259259</v>
      </c>
      <c r="I139" s="115" t="s">
        <v>478</v>
      </c>
      <c r="J139" s="115" t="s">
        <v>479</v>
      </c>
      <c r="K139" s="118"/>
      <c r="L139" s="115"/>
      <c r="M139" s="117">
        <v>-6289.41</v>
      </c>
      <c r="N139" s="117">
        <v>-6289.41</v>
      </c>
      <c r="O139" s="115"/>
      <c r="P139" s="115"/>
      <c r="Q139" s="115"/>
      <c r="R139" s="115"/>
      <c r="S139" s="115"/>
      <c r="T139" s="115"/>
      <c r="U139" s="115"/>
      <c r="V139" s="118"/>
      <c r="W139" s="118"/>
      <c r="X139" s="115" t="s">
        <v>390</v>
      </c>
      <c r="Y139" s="115"/>
      <c r="Z139" s="118"/>
      <c r="AA139" s="115"/>
      <c r="AB139" s="118"/>
      <c r="AC139" s="115" t="s">
        <v>618</v>
      </c>
      <c r="AD139" s="115" t="s">
        <v>619</v>
      </c>
    </row>
    <row r="140" spans="1:30" x14ac:dyDescent="0.25">
      <c r="A140" s="115" t="s">
        <v>620</v>
      </c>
      <c r="B140" s="115" t="s">
        <v>386</v>
      </c>
      <c r="C140" s="115"/>
      <c r="D140" s="115"/>
      <c r="E140" s="115" t="s">
        <v>524</v>
      </c>
      <c r="F140" s="115"/>
      <c r="G140" s="116">
        <v>42976.421064814815</v>
      </c>
      <c r="H140" s="116">
        <v>42976.801759259259</v>
      </c>
      <c r="I140" s="115" t="s">
        <v>478</v>
      </c>
      <c r="J140" s="115" t="s">
        <v>479</v>
      </c>
      <c r="K140" s="118"/>
      <c r="L140" s="115"/>
      <c r="M140" s="117">
        <v>-18868.23</v>
      </c>
      <c r="N140" s="117">
        <v>-18868.23</v>
      </c>
      <c r="O140" s="115"/>
      <c r="P140" s="115"/>
      <c r="Q140" s="115"/>
      <c r="R140" s="115"/>
      <c r="S140" s="115"/>
      <c r="T140" s="115"/>
      <c r="U140" s="115"/>
      <c r="V140" s="118"/>
      <c r="W140" s="118"/>
      <c r="X140" s="115" t="s">
        <v>390</v>
      </c>
      <c r="Y140" s="115"/>
      <c r="Z140" s="118"/>
      <c r="AA140" s="115"/>
      <c r="AB140" s="118"/>
      <c r="AC140" s="115" t="s">
        <v>621</v>
      </c>
      <c r="AD140" s="115" t="s">
        <v>622</v>
      </c>
    </row>
    <row r="141" spans="1:30" x14ac:dyDescent="0.25">
      <c r="A141" s="115" t="s">
        <v>623</v>
      </c>
      <c r="B141" s="115" t="s">
        <v>386</v>
      </c>
      <c r="C141" s="115"/>
      <c r="D141" s="115"/>
      <c r="E141" s="115" t="s">
        <v>528</v>
      </c>
      <c r="F141" s="115"/>
      <c r="G141" s="116">
        <v>42976.421064814815</v>
      </c>
      <c r="H141" s="116">
        <v>42976.801759259259</v>
      </c>
      <c r="I141" s="115" t="s">
        <v>478</v>
      </c>
      <c r="J141" s="115" t="s">
        <v>479</v>
      </c>
      <c r="K141" s="118"/>
      <c r="L141" s="115"/>
      <c r="M141" s="117">
        <v>-15600</v>
      </c>
      <c r="N141" s="117">
        <v>-15600</v>
      </c>
      <c r="O141" s="115"/>
      <c r="P141" s="115"/>
      <c r="Q141" s="115"/>
      <c r="R141" s="115"/>
      <c r="S141" s="115"/>
      <c r="T141" s="115"/>
      <c r="U141" s="115"/>
      <c r="V141" s="118"/>
      <c r="W141" s="118"/>
      <c r="X141" s="115" t="s">
        <v>390</v>
      </c>
      <c r="Y141" s="115"/>
      <c r="Z141" s="118"/>
      <c r="AA141" s="115"/>
      <c r="AB141" s="118"/>
      <c r="AC141" s="115" t="s">
        <v>624</v>
      </c>
      <c r="AD141" s="115" t="s">
        <v>625</v>
      </c>
    </row>
    <row r="142" spans="1:30" x14ac:dyDescent="0.25">
      <c r="A142" s="115" t="s">
        <v>626</v>
      </c>
      <c r="B142" s="115" t="s">
        <v>386</v>
      </c>
      <c r="C142" s="115"/>
      <c r="D142" s="115"/>
      <c r="E142" s="115" t="s">
        <v>532</v>
      </c>
      <c r="F142" s="115"/>
      <c r="G142" s="116">
        <v>42976.421064814815</v>
      </c>
      <c r="H142" s="116">
        <v>42976.801759259259</v>
      </c>
      <c r="I142" s="115" t="s">
        <v>478</v>
      </c>
      <c r="J142" s="115" t="s">
        <v>479</v>
      </c>
      <c r="K142" s="118"/>
      <c r="L142" s="115"/>
      <c r="M142" s="117">
        <v>-5224.0200000000004</v>
      </c>
      <c r="N142" s="117">
        <v>-5224.0200000000004</v>
      </c>
      <c r="O142" s="115"/>
      <c r="P142" s="115"/>
      <c r="Q142" s="115"/>
      <c r="R142" s="115"/>
      <c r="S142" s="115"/>
      <c r="T142" s="115"/>
      <c r="U142" s="115"/>
      <c r="V142" s="118"/>
      <c r="W142" s="118"/>
      <c r="X142" s="115" t="s">
        <v>390</v>
      </c>
      <c r="Y142" s="115"/>
      <c r="Z142" s="118"/>
      <c r="AA142" s="115"/>
      <c r="AB142" s="118"/>
      <c r="AC142" s="115" t="s">
        <v>627</v>
      </c>
      <c r="AD142" s="115" t="s">
        <v>628</v>
      </c>
    </row>
    <row r="143" spans="1:30" x14ac:dyDescent="0.25">
      <c r="A143" s="115" t="s">
        <v>629</v>
      </c>
      <c r="B143" s="115" t="s">
        <v>386</v>
      </c>
      <c r="C143" s="115"/>
      <c r="D143" s="115"/>
      <c r="E143" s="115" t="s">
        <v>536</v>
      </c>
      <c r="F143" s="115"/>
      <c r="G143" s="116">
        <v>42976.421064814815</v>
      </c>
      <c r="H143" s="116">
        <v>42976.801759259259</v>
      </c>
      <c r="I143" s="115" t="s">
        <v>478</v>
      </c>
      <c r="J143" s="115" t="s">
        <v>479</v>
      </c>
      <c r="K143" s="118"/>
      <c r="L143" s="115"/>
      <c r="M143" s="117">
        <v>-2500</v>
      </c>
      <c r="N143" s="117">
        <v>-2500</v>
      </c>
      <c r="O143" s="115"/>
      <c r="P143" s="115"/>
      <c r="Q143" s="115"/>
      <c r="R143" s="115"/>
      <c r="S143" s="115"/>
      <c r="T143" s="115"/>
      <c r="U143" s="115"/>
      <c r="V143" s="118"/>
      <c r="W143" s="118"/>
      <c r="X143" s="115" t="s">
        <v>390</v>
      </c>
      <c r="Y143" s="115"/>
      <c r="Z143" s="118"/>
      <c r="AA143" s="115"/>
      <c r="AB143" s="118"/>
      <c r="AC143" s="115" t="s">
        <v>630</v>
      </c>
      <c r="AD143" s="115" t="s">
        <v>631</v>
      </c>
    </row>
    <row r="144" spans="1:30" x14ac:dyDescent="0.25">
      <c r="A144" s="115" t="s">
        <v>632</v>
      </c>
      <c r="B144" s="115" t="s">
        <v>386</v>
      </c>
      <c r="C144" s="115"/>
      <c r="D144" s="115"/>
      <c r="E144" s="115" t="s">
        <v>540</v>
      </c>
      <c r="F144" s="115"/>
      <c r="G144" s="116">
        <v>42976.421064814815</v>
      </c>
      <c r="H144" s="116">
        <v>42976.801759259259</v>
      </c>
      <c r="I144" s="115" t="s">
        <v>478</v>
      </c>
      <c r="J144" s="115" t="s">
        <v>479</v>
      </c>
      <c r="K144" s="118"/>
      <c r="L144" s="115"/>
      <c r="M144" s="117">
        <v>-16304</v>
      </c>
      <c r="N144" s="117">
        <v>-16304</v>
      </c>
      <c r="O144" s="115"/>
      <c r="P144" s="115"/>
      <c r="Q144" s="115"/>
      <c r="R144" s="115"/>
      <c r="S144" s="115"/>
      <c r="T144" s="115"/>
      <c r="U144" s="115"/>
      <c r="V144" s="118"/>
      <c r="W144" s="118"/>
      <c r="X144" s="115" t="s">
        <v>390</v>
      </c>
      <c r="Y144" s="115"/>
      <c r="Z144" s="118"/>
      <c r="AA144" s="115"/>
      <c r="AB144" s="118"/>
      <c r="AC144" s="115" t="s">
        <v>633</v>
      </c>
      <c r="AD144" s="115" t="s">
        <v>634</v>
      </c>
    </row>
    <row r="145" spans="1:30" x14ac:dyDescent="0.25">
      <c r="A145" s="115" t="s">
        <v>635</v>
      </c>
      <c r="B145" s="115" t="s">
        <v>386</v>
      </c>
      <c r="C145" s="115"/>
      <c r="D145" s="115"/>
      <c r="E145" s="115" t="s">
        <v>566</v>
      </c>
      <c r="F145" s="115"/>
      <c r="G145" s="116">
        <v>42976.421064814815</v>
      </c>
      <c r="H145" s="116">
        <v>42976.801759259259</v>
      </c>
      <c r="I145" s="115" t="s">
        <v>478</v>
      </c>
      <c r="J145" s="115" t="s">
        <v>496</v>
      </c>
      <c r="K145" s="118"/>
      <c r="L145" s="115"/>
      <c r="M145" s="117">
        <v>1236314.55</v>
      </c>
      <c r="N145" s="117">
        <v>1236314.55</v>
      </c>
      <c r="O145" s="115"/>
      <c r="P145" s="115"/>
      <c r="Q145" s="115"/>
      <c r="R145" s="115"/>
      <c r="S145" s="115"/>
      <c r="T145" s="115"/>
      <c r="U145" s="115"/>
      <c r="V145" s="118"/>
      <c r="W145" s="118"/>
      <c r="X145" s="115" t="s">
        <v>390</v>
      </c>
      <c r="Y145" s="115"/>
      <c r="Z145" s="118"/>
      <c r="AA145" s="115"/>
      <c r="AB145" s="118"/>
      <c r="AC145" s="115" t="s">
        <v>636</v>
      </c>
      <c r="AD145" s="115" t="s">
        <v>637</v>
      </c>
    </row>
    <row r="146" spans="1:30" x14ac:dyDescent="0.25">
      <c r="A146" s="111" t="s">
        <v>638</v>
      </c>
      <c r="B146" s="112"/>
      <c r="C146" s="112"/>
      <c r="D146" s="112"/>
      <c r="E146" s="112"/>
      <c r="F146" s="112"/>
      <c r="G146" s="112"/>
      <c r="H146" s="112"/>
      <c r="I146" s="112"/>
      <c r="J146" s="112"/>
      <c r="K146" s="113"/>
      <c r="L146" s="112"/>
      <c r="M146" s="113"/>
      <c r="N146" s="113"/>
      <c r="O146" s="112"/>
      <c r="P146" s="112"/>
      <c r="Q146" s="112"/>
      <c r="R146" s="112"/>
      <c r="S146" s="112"/>
      <c r="T146" s="112"/>
      <c r="U146" s="112"/>
      <c r="V146" s="113"/>
      <c r="W146" s="113"/>
      <c r="X146" s="112"/>
      <c r="Y146" s="112"/>
      <c r="Z146" s="113"/>
      <c r="AA146" s="112"/>
      <c r="AB146" s="113"/>
      <c r="AC146" s="112"/>
      <c r="AD146" s="112"/>
    </row>
    <row r="147" spans="1:30" x14ac:dyDescent="0.25">
      <c r="A147" s="111" t="s">
        <v>639</v>
      </c>
      <c r="B147" s="112"/>
      <c r="C147" s="112"/>
      <c r="D147" s="112"/>
      <c r="E147" s="112"/>
      <c r="F147" s="112"/>
      <c r="G147" s="112"/>
      <c r="H147" s="112"/>
      <c r="I147" s="112"/>
      <c r="J147" s="112"/>
      <c r="K147" s="113"/>
      <c r="L147" s="112"/>
      <c r="M147" s="114">
        <v>700</v>
      </c>
      <c r="N147" s="113"/>
      <c r="O147" s="112"/>
      <c r="P147" s="112"/>
      <c r="Q147" s="112"/>
      <c r="R147" s="112"/>
      <c r="S147" s="112"/>
      <c r="T147" s="112"/>
      <c r="U147" s="112"/>
      <c r="V147" s="113"/>
      <c r="W147" s="113"/>
      <c r="X147" s="112"/>
      <c r="Y147" s="112"/>
      <c r="Z147" s="113"/>
      <c r="AA147" s="112"/>
      <c r="AB147" s="113"/>
      <c r="AC147" s="112"/>
      <c r="AD147" s="112"/>
    </row>
    <row r="148" spans="1:30" x14ac:dyDescent="0.25">
      <c r="A148" s="111" t="s">
        <v>640</v>
      </c>
      <c r="B148" s="112"/>
      <c r="C148" s="112"/>
      <c r="D148" s="112"/>
      <c r="E148" s="112"/>
      <c r="F148" s="112"/>
      <c r="G148" s="112"/>
      <c r="H148" s="112"/>
      <c r="I148" s="112"/>
      <c r="J148" s="112"/>
      <c r="K148" s="113"/>
      <c r="L148" s="112"/>
      <c r="M148" s="114">
        <v>700</v>
      </c>
      <c r="N148" s="113"/>
      <c r="O148" s="112"/>
      <c r="P148" s="112"/>
      <c r="Q148" s="112"/>
      <c r="R148" s="112"/>
      <c r="S148" s="112"/>
      <c r="T148" s="112"/>
      <c r="U148" s="112"/>
      <c r="V148" s="113"/>
      <c r="W148" s="113"/>
      <c r="X148" s="112"/>
      <c r="Y148" s="112"/>
      <c r="Z148" s="113"/>
      <c r="AA148" s="112"/>
      <c r="AB148" s="113"/>
      <c r="AC148" s="112"/>
      <c r="AD148" s="112"/>
    </row>
    <row r="149" spans="1:30" x14ac:dyDescent="0.25">
      <c r="A149" s="115" t="s">
        <v>641</v>
      </c>
      <c r="B149" s="115" t="s">
        <v>386</v>
      </c>
      <c r="C149" s="115"/>
      <c r="D149" s="115" t="s">
        <v>642</v>
      </c>
      <c r="E149" s="115" t="s">
        <v>552</v>
      </c>
      <c r="F149" s="115" t="s">
        <v>387</v>
      </c>
      <c r="G149" s="116">
        <v>42976.547719907408</v>
      </c>
      <c r="H149" s="116">
        <v>42976</v>
      </c>
      <c r="I149" s="115" t="s">
        <v>643</v>
      </c>
      <c r="J149" s="115" t="s">
        <v>388</v>
      </c>
      <c r="K149" s="117">
        <v>1323.6</v>
      </c>
      <c r="L149" s="115" t="s">
        <v>390</v>
      </c>
      <c r="M149" s="117">
        <v>42</v>
      </c>
      <c r="N149" s="117">
        <v>55597.65862923571</v>
      </c>
      <c r="O149" s="115" t="s">
        <v>390</v>
      </c>
      <c r="P149" s="116">
        <v>42976</v>
      </c>
      <c r="Q149" s="115"/>
      <c r="R149" s="115"/>
      <c r="S149" s="115"/>
      <c r="T149" s="115"/>
      <c r="U149" s="116">
        <v>42999</v>
      </c>
      <c r="V149" s="118"/>
      <c r="W149" s="118"/>
      <c r="X149" s="115" t="s">
        <v>644</v>
      </c>
      <c r="Y149" s="115"/>
      <c r="Z149" s="118"/>
      <c r="AA149" s="115" t="s">
        <v>645</v>
      </c>
      <c r="AB149" s="118" t="s">
        <v>646</v>
      </c>
      <c r="AC149" s="115" t="s">
        <v>647</v>
      </c>
      <c r="AD149" s="115"/>
    </row>
    <row r="150" spans="1:30" x14ac:dyDescent="0.25">
      <c r="A150" s="115" t="s">
        <v>648</v>
      </c>
      <c r="B150" s="115" t="s">
        <v>386</v>
      </c>
      <c r="C150" s="115"/>
      <c r="D150" s="115" t="s">
        <v>642</v>
      </c>
      <c r="E150" s="115" t="s">
        <v>552</v>
      </c>
      <c r="F150" s="115" t="s">
        <v>387</v>
      </c>
      <c r="G150" s="116">
        <v>42976.547719907408</v>
      </c>
      <c r="H150" s="116">
        <v>42976</v>
      </c>
      <c r="I150" s="115" t="s">
        <v>643</v>
      </c>
      <c r="J150" s="115" t="s">
        <v>388</v>
      </c>
      <c r="K150" s="117">
        <v>1323.6</v>
      </c>
      <c r="L150" s="115" t="s">
        <v>390</v>
      </c>
      <c r="M150" s="117">
        <v>3</v>
      </c>
      <c r="N150" s="117">
        <v>3971.26133065969</v>
      </c>
      <c r="O150" s="115" t="s">
        <v>390</v>
      </c>
      <c r="P150" s="116">
        <v>42976</v>
      </c>
      <c r="Q150" s="115"/>
      <c r="R150" s="115"/>
      <c r="S150" s="115"/>
      <c r="T150" s="115"/>
      <c r="U150" s="116">
        <v>42999</v>
      </c>
      <c r="V150" s="118"/>
      <c r="W150" s="118"/>
      <c r="X150" s="115" t="s">
        <v>644</v>
      </c>
      <c r="Y150" s="115"/>
      <c r="Z150" s="118"/>
      <c r="AA150" s="115" t="s">
        <v>645</v>
      </c>
      <c r="AB150" s="118" t="s">
        <v>646</v>
      </c>
      <c r="AC150" s="115" t="s">
        <v>649</v>
      </c>
      <c r="AD150" s="115"/>
    </row>
    <row r="151" spans="1:30" x14ac:dyDescent="0.25">
      <c r="A151" s="115" t="s">
        <v>650</v>
      </c>
      <c r="B151" s="115" t="s">
        <v>386</v>
      </c>
      <c r="C151" s="115"/>
      <c r="D151" s="115" t="s">
        <v>642</v>
      </c>
      <c r="E151" s="115" t="s">
        <v>552</v>
      </c>
      <c r="F151" s="115" t="s">
        <v>387</v>
      </c>
      <c r="G151" s="116">
        <v>42976.547719907408</v>
      </c>
      <c r="H151" s="116">
        <v>42976</v>
      </c>
      <c r="I151" s="115" t="s">
        <v>643</v>
      </c>
      <c r="J151" s="115" t="s">
        <v>388</v>
      </c>
      <c r="K151" s="117">
        <v>1323.6</v>
      </c>
      <c r="L151" s="115" t="s">
        <v>390</v>
      </c>
      <c r="M151" s="117">
        <v>2</v>
      </c>
      <c r="N151" s="117">
        <v>2647.50755377313</v>
      </c>
      <c r="O151" s="115" t="s">
        <v>390</v>
      </c>
      <c r="P151" s="116">
        <v>42976</v>
      </c>
      <c r="Q151" s="115"/>
      <c r="R151" s="115"/>
      <c r="S151" s="115"/>
      <c r="T151" s="115"/>
      <c r="U151" s="116">
        <v>42999</v>
      </c>
      <c r="V151" s="118"/>
      <c r="W151" s="118"/>
      <c r="X151" s="115" t="s">
        <v>644</v>
      </c>
      <c r="Y151" s="115"/>
      <c r="Z151" s="118"/>
      <c r="AA151" s="115" t="s">
        <v>645</v>
      </c>
      <c r="AB151" s="118" t="s">
        <v>646</v>
      </c>
      <c r="AC151" s="115" t="s">
        <v>651</v>
      </c>
      <c r="AD151" s="115"/>
    </row>
    <row r="152" spans="1:30" x14ac:dyDescent="0.25">
      <c r="A152" s="115" t="s">
        <v>652</v>
      </c>
      <c r="B152" s="115" t="s">
        <v>386</v>
      </c>
      <c r="C152" s="115"/>
      <c r="D152" s="115" t="s">
        <v>642</v>
      </c>
      <c r="E152" s="115" t="s">
        <v>552</v>
      </c>
      <c r="F152" s="115" t="s">
        <v>387</v>
      </c>
      <c r="G152" s="116">
        <v>42976.547719907408</v>
      </c>
      <c r="H152" s="116">
        <v>42976</v>
      </c>
      <c r="I152" s="115" t="s">
        <v>643</v>
      </c>
      <c r="J152" s="115" t="s">
        <v>388</v>
      </c>
      <c r="K152" s="117">
        <v>1323.5</v>
      </c>
      <c r="L152" s="115" t="s">
        <v>390</v>
      </c>
      <c r="M152" s="117">
        <v>6</v>
      </c>
      <c r="N152" s="117">
        <v>7941.9221171402796</v>
      </c>
      <c r="O152" s="115" t="s">
        <v>390</v>
      </c>
      <c r="P152" s="116">
        <v>42976</v>
      </c>
      <c r="Q152" s="115"/>
      <c r="R152" s="115"/>
      <c r="S152" s="115"/>
      <c r="T152" s="115"/>
      <c r="U152" s="116">
        <v>42999</v>
      </c>
      <c r="V152" s="118"/>
      <c r="W152" s="118"/>
      <c r="X152" s="115" t="s">
        <v>644</v>
      </c>
      <c r="Y152" s="115"/>
      <c r="Z152" s="118"/>
      <c r="AA152" s="115" t="s">
        <v>645</v>
      </c>
      <c r="AB152" s="118" t="s">
        <v>646</v>
      </c>
      <c r="AC152" s="115" t="s">
        <v>653</v>
      </c>
      <c r="AD152" s="115"/>
    </row>
    <row r="153" spans="1:30" x14ac:dyDescent="0.25">
      <c r="A153" s="115" t="s">
        <v>654</v>
      </c>
      <c r="B153" s="115" t="s">
        <v>386</v>
      </c>
      <c r="C153" s="115"/>
      <c r="D153" s="115" t="s">
        <v>642</v>
      </c>
      <c r="E153" s="115" t="s">
        <v>552</v>
      </c>
      <c r="F153" s="115" t="s">
        <v>387</v>
      </c>
      <c r="G153" s="116">
        <v>42976.547719907408</v>
      </c>
      <c r="H153" s="116">
        <v>42976</v>
      </c>
      <c r="I153" s="115" t="s">
        <v>643</v>
      </c>
      <c r="J153" s="115" t="s">
        <v>388</v>
      </c>
      <c r="K153" s="117">
        <v>1323.5</v>
      </c>
      <c r="L153" s="115" t="s">
        <v>390</v>
      </c>
      <c r="M153" s="117">
        <v>67</v>
      </c>
      <c r="N153" s="117">
        <v>88684.796974733079</v>
      </c>
      <c r="O153" s="115" t="s">
        <v>390</v>
      </c>
      <c r="P153" s="116">
        <v>42976</v>
      </c>
      <c r="Q153" s="115"/>
      <c r="R153" s="115"/>
      <c r="S153" s="115"/>
      <c r="T153" s="115"/>
      <c r="U153" s="116">
        <v>42999</v>
      </c>
      <c r="V153" s="118"/>
      <c r="W153" s="118"/>
      <c r="X153" s="115" t="s">
        <v>644</v>
      </c>
      <c r="Y153" s="115"/>
      <c r="Z153" s="118"/>
      <c r="AA153" s="115" t="s">
        <v>645</v>
      </c>
      <c r="AB153" s="118" t="s">
        <v>646</v>
      </c>
      <c r="AC153" s="115" t="s">
        <v>655</v>
      </c>
      <c r="AD153" s="115"/>
    </row>
    <row r="154" spans="1:30" x14ac:dyDescent="0.25">
      <c r="A154" s="115" t="s">
        <v>656</v>
      </c>
      <c r="B154" s="115" t="s">
        <v>386</v>
      </c>
      <c r="C154" s="115"/>
      <c r="D154" s="115" t="s">
        <v>642</v>
      </c>
      <c r="E154" s="115" t="s">
        <v>552</v>
      </c>
      <c r="F154" s="115" t="s">
        <v>387</v>
      </c>
      <c r="G154" s="116">
        <v>42976.547719907408</v>
      </c>
      <c r="H154" s="116">
        <v>42976</v>
      </c>
      <c r="I154" s="115" t="s">
        <v>643</v>
      </c>
      <c r="J154" s="115" t="s">
        <v>388</v>
      </c>
      <c r="K154" s="117">
        <v>1323.5</v>
      </c>
      <c r="L154" s="115" t="s">
        <v>390</v>
      </c>
      <c r="M154" s="117">
        <v>2</v>
      </c>
      <c r="N154" s="117">
        <v>2647.3073723800899</v>
      </c>
      <c r="O154" s="115" t="s">
        <v>390</v>
      </c>
      <c r="P154" s="116">
        <v>42976</v>
      </c>
      <c r="Q154" s="115"/>
      <c r="R154" s="115"/>
      <c r="S154" s="115"/>
      <c r="T154" s="115"/>
      <c r="U154" s="116">
        <v>42999</v>
      </c>
      <c r="V154" s="118"/>
      <c r="W154" s="118"/>
      <c r="X154" s="115" t="s">
        <v>644</v>
      </c>
      <c r="Y154" s="115"/>
      <c r="Z154" s="118"/>
      <c r="AA154" s="115" t="s">
        <v>645</v>
      </c>
      <c r="AB154" s="118" t="s">
        <v>646</v>
      </c>
      <c r="AC154" s="115" t="s">
        <v>657</v>
      </c>
      <c r="AD154" s="115"/>
    </row>
    <row r="155" spans="1:30" x14ac:dyDescent="0.25">
      <c r="A155" s="115" t="s">
        <v>658</v>
      </c>
      <c r="B155" s="115" t="s">
        <v>386</v>
      </c>
      <c r="C155" s="115"/>
      <c r="D155" s="115" t="s">
        <v>642</v>
      </c>
      <c r="E155" s="115" t="s">
        <v>552</v>
      </c>
      <c r="F155" s="115" t="s">
        <v>387</v>
      </c>
      <c r="G155" s="116">
        <v>42976.547719907408</v>
      </c>
      <c r="H155" s="116">
        <v>42976</v>
      </c>
      <c r="I155" s="115" t="s">
        <v>643</v>
      </c>
      <c r="J155" s="115" t="s">
        <v>388</v>
      </c>
      <c r="K155" s="117">
        <v>1323.5</v>
      </c>
      <c r="L155" s="115" t="s">
        <v>390</v>
      </c>
      <c r="M155" s="117">
        <v>25</v>
      </c>
      <c r="N155" s="117">
        <v>33091.342154751153</v>
      </c>
      <c r="O155" s="115" t="s">
        <v>390</v>
      </c>
      <c r="P155" s="116">
        <v>42976</v>
      </c>
      <c r="Q155" s="115"/>
      <c r="R155" s="115"/>
      <c r="S155" s="115"/>
      <c r="T155" s="115"/>
      <c r="U155" s="116">
        <v>42999</v>
      </c>
      <c r="V155" s="118"/>
      <c r="W155" s="118"/>
      <c r="X155" s="115" t="s">
        <v>644</v>
      </c>
      <c r="Y155" s="115"/>
      <c r="Z155" s="118"/>
      <c r="AA155" s="115" t="s">
        <v>645</v>
      </c>
      <c r="AB155" s="118" t="s">
        <v>646</v>
      </c>
      <c r="AC155" s="115" t="s">
        <v>659</v>
      </c>
      <c r="AD155" s="115"/>
    </row>
    <row r="156" spans="1:30" x14ac:dyDescent="0.25">
      <c r="A156" s="115" t="s">
        <v>660</v>
      </c>
      <c r="B156" s="115" t="s">
        <v>386</v>
      </c>
      <c r="C156" s="115"/>
      <c r="D156" s="115" t="s">
        <v>642</v>
      </c>
      <c r="E156" s="115" t="s">
        <v>552</v>
      </c>
      <c r="F156" s="115" t="s">
        <v>387</v>
      </c>
      <c r="G156" s="116">
        <v>42976.547719907408</v>
      </c>
      <c r="H156" s="116">
        <v>42976</v>
      </c>
      <c r="I156" s="115" t="s">
        <v>643</v>
      </c>
      <c r="J156" s="115" t="s">
        <v>388</v>
      </c>
      <c r="K156" s="117">
        <v>1323.5</v>
      </c>
      <c r="L156" s="115" t="s">
        <v>390</v>
      </c>
      <c r="M156" s="117">
        <v>2</v>
      </c>
      <c r="N156" s="117">
        <v>2647.3073723800899</v>
      </c>
      <c r="O156" s="115" t="s">
        <v>390</v>
      </c>
      <c r="P156" s="116">
        <v>42976</v>
      </c>
      <c r="Q156" s="115"/>
      <c r="R156" s="115"/>
      <c r="S156" s="115"/>
      <c r="T156" s="115"/>
      <c r="U156" s="116">
        <v>42999</v>
      </c>
      <c r="V156" s="118"/>
      <c r="W156" s="118"/>
      <c r="X156" s="115" t="s">
        <v>644</v>
      </c>
      <c r="Y156" s="115"/>
      <c r="Z156" s="118"/>
      <c r="AA156" s="115" t="s">
        <v>645</v>
      </c>
      <c r="AB156" s="118" t="s">
        <v>646</v>
      </c>
      <c r="AC156" s="115" t="s">
        <v>661</v>
      </c>
      <c r="AD156" s="115"/>
    </row>
    <row r="157" spans="1:30" x14ac:dyDescent="0.25">
      <c r="A157" s="115" t="s">
        <v>662</v>
      </c>
      <c r="B157" s="115" t="s">
        <v>386</v>
      </c>
      <c r="C157" s="115"/>
      <c r="D157" s="115" t="s">
        <v>642</v>
      </c>
      <c r="E157" s="115" t="s">
        <v>552</v>
      </c>
      <c r="F157" s="115" t="s">
        <v>387</v>
      </c>
      <c r="G157" s="116">
        <v>42976.547719907408</v>
      </c>
      <c r="H157" s="116">
        <v>42976</v>
      </c>
      <c r="I157" s="115" t="s">
        <v>643</v>
      </c>
      <c r="J157" s="115" t="s">
        <v>388</v>
      </c>
      <c r="K157" s="117">
        <v>1323.5</v>
      </c>
      <c r="L157" s="115" t="s">
        <v>390</v>
      </c>
      <c r="M157" s="117">
        <v>3</v>
      </c>
      <c r="N157" s="117">
        <v>3970.9610585701398</v>
      </c>
      <c r="O157" s="115" t="s">
        <v>390</v>
      </c>
      <c r="P157" s="116">
        <v>42976</v>
      </c>
      <c r="Q157" s="115"/>
      <c r="R157" s="115"/>
      <c r="S157" s="115"/>
      <c r="T157" s="115"/>
      <c r="U157" s="116">
        <v>42999</v>
      </c>
      <c r="V157" s="118"/>
      <c r="W157" s="118"/>
      <c r="X157" s="115" t="s">
        <v>644</v>
      </c>
      <c r="Y157" s="115"/>
      <c r="Z157" s="118"/>
      <c r="AA157" s="115" t="s">
        <v>645</v>
      </c>
      <c r="AB157" s="118" t="s">
        <v>646</v>
      </c>
      <c r="AC157" s="115" t="s">
        <v>663</v>
      </c>
      <c r="AD157" s="115"/>
    </row>
    <row r="158" spans="1:30" x14ac:dyDescent="0.25">
      <c r="A158" s="115" t="s">
        <v>664</v>
      </c>
      <c r="B158" s="115" t="s">
        <v>386</v>
      </c>
      <c r="C158" s="115"/>
      <c r="D158" s="115" t="s">
        <v>642</v>
      </c>
      <c r="E158" s="115" t="s">
        <v>552</v>
      </c>
      <c r="F158" s="115" t="s">
        <v>387</v>
      </c>
      <c r="G158" s="116">
        <v>42976.547719907408</v>
      </c>
      <c r="H158" s="116">
        <v>42976</v>
      </c>
      <c r="I158" s="115" t="s">
        <v>643</v>
      </c>
      <c r="J158" s="115" t="s">
        <v>388</v>
      </c>
      <c r="K158" s="117">
        <v>1323.5</v>
      </c>
      <c r="L158" s="115" t="s">
        <v>390</v>
      </c>
      <c r="M158" s="117">
        <v>13</v>
      </c>
      <c r="N158" s="117">
        <v>17207.4979204706</v>
      </c>
      <c r="O158" s="115" t="s">
        <v>390</v>
      </c>
      <c r="P158" s="116">
        <v>42976</v>
      </c>
      <c r="Q158" s="115"/>
      <c r="R158" s="115"/>
      <c r="S158" s="115"/>
      <c r="T158" s="115"/>
      <c r="U158" s="116">
        <v>42999</v>
      </c>
      <c r="V158" s="118"/>
      <c r="W158" s="118"/>
      <c r="X158" s="115" t="s">
        <v>644</v>
      </c>
      <c r="Y158" s="115"/>
      <c r="Z158" s="118"/>
      <c r="AA158" s="115" t="s">
        <v>645</v>
      </c>
      <c r="AB158" s="118" t="s">
        <v>646</v>
      </c>
      <c r="AC158" s="115" t="s">
        <v>665</v>
      </c>
      <c r="AD158" s="115"/>
    </row>
    <row r="159" spans="1:30" x14ac:dyDescent="0.25">
      <c r="A159" s="115" t="s">
        <v>666</v>
      </c>
      <c r="B159" s="115" t="s">
        <v>386</v>
      </c>
      <c r="C159" s="115"/>
      <c r="D159" s="115" t="s">
        <v>667</v>
      </c>
      <c r="E159" s="115" t="s">
        <v>544</v>
      </c>
      <c r="F159" s="115" t="s">
        <v>387</v>
      </c>
      <c r="G159" s="116">
        <v>42976.548078703701</v>
      </c>
      <c r="H159" s="116">
        <v>42976</v>
      </c>
      <c r="I159" s="115" t="s">
        <v>643</v>
      </c>
      <c r="J159" s="115" t="s">
        <v>388</v>
      </c>
      <c r="K159" s="117">
        <v>1323.8</v>
      </c>
      <c r="L159" s="115" t="s">
        <v>390</v>
      </c>
      <c r="M159" s="117">
        <v>68</v>
      </c>
      <c r="N159" s="117">
        <v>90028.857548392814</v>
      </c>
      <c r="O159" s="115" t="s">
        <v>390</v>
      </c>
      <c r="P159" s="116">
        <v>42976</v>
      </c>
      <c r="Q159" s="115"/>
      <c r="R159" s="115"/>
      <c r="S159" s="115"/>
      <c r="T159" s="115"/>
      <c r="U159" s="116">
        <v>42999</v>
      </c>
      <c r="V159" s="118"/>
      <c r="W159" s="118"/>
      <c r="X159" s="115" t="s">
        <v>644</v>
      </c>
      <c r="Y159" s="115"/>
      <c r="Z159" s="118"/>
      <c r="AA159" s="115" t="s">
        <v>645</v>
      </c>
      <c r="AB159" s="118" t="s">
        <v>646</v>
      </c>
      <c r="AC159" s="115" t="s">
        <v>668</v>
      </c>
      <c r="AD159" s="115"/>
    </row>
    <row r="160" spans="1:30" x14ac:dyDescent="0.25">
      <c r="A160" s="115" t="s">
        <v>669</v>
      </c>
      <c r="B160" s="115" t="s">
        <v>386</v>
      </c>
      <c r="C160" s="115"/>
      <c r="D160" s="115" t="s">
        <v>667</v>
      </c>
      <c r="E160" s="115" t="s">
        <v>544</v>
      </c>
      <c r="F160" s="115" t="s">
        <v>387</v>
      </c>
      <c r="G160" s="116">
        <v>42976.548078703701</v>
      </c>
      <c r="H160" s="116">
        <v>42976</v>
      </c>
      <c r="I160" s="115" t="s">
        <v>643</v>
      </c>
      <c r="J160" s="115" t="s">
        <v>388</v>
      </c>
      <c r="K160" s="117">
        <v>1323.8</v>
      </c>
      <c r="L160" s="115" t="s">
        <v>390</v>
      </c>
      <c r="M160" s="117">
        <v>2</v>
      </c>
      <c r="N160" s="117">
        <v>2647.9075749527301</v>
      </c>
      <c r="O160" s="115" t="s">
        <v>390</v>
      </c>
      <c r="P160" s="116">
        <v>42976</v>
      </c>
      <c r="Q160" s="115"/>
      <c r="R160" s="115"/>
      <c r="S160" s="115"/>
      <c r="T160" s="115"/>
      <c r="U160" s="116">
        <v>42999</v>
      </c>
      <c r="V160" s="118"/>
      <c r="W160" s="118"/>
      <c r="X160" s="115" t="s">
        <v>644</v>
      </c>
      <c r="Y160" s="115"/>
      <c r="Z160" s="118"/>
      <c r="AA160" s="115" t="s">
        <v>645</v>
      </c>
      <c r="AB160" s="118" t="s">
        <v>646</v>
      </c>
      <c r="AC160" s="115" t="s">
        <v>670</v>
      </c>
      <c r="AD160" s="115"/>
    </row>
    <row r="161" spans="1:30" x14ac:dyDescent="0.25">
      <c r="A161" s="115" t="s">
        <v>671</v>
      </c>
      <c r="B161" s="115" t="s">
        <v>386</v>
      </c>
      <c r="C161" s="115"/>
      <c r="D161" s="115" t="s">
        <v>667</v>
      </c>
      <c r="E161" s="115" t="s">
        <v>544</v>
      </c>
      <c r="F161" s="115" t="s">
        <v>387</v>
      </c>
      <c r="G161" s="116">
        <v>42976.548078703701</v>
      </c>
      <c r="H161" s="116">
        <v>42976</v>
      </c>
      <c r="I161" s="115" t="s">
        <v>643</v>
      </c>
      <c r="J161" s="115" t="s">
        <v>388</v>
      </c>
      <c r="K161" s="117">
        <v>1323.8</v>
      </c>
      <c r="L161" s="115" t="s">
        <v>390</v>
      </c>
      <c r="M161" s="117">
        <v>1</v>
      </c>
      <c r="N161" s="117">
        <v>1323.9537874763701</v>
      </c>
      <c r="O161" s="115" t="s">
        <v>390</v>
      </c>
      <c r="P161" s="116">
        <v>42976</v>
      </c>
      <c r="Q161" s="115"/>
      <c r="R161" s="115"/>
      <c r="S161" s="115"/>
      <c r="T161" s="115"/>
      <c r="U161" s="116">
        <v>42999</v>
      </c>
      <c r="V161" s="118"/>
      <c r="W161" s="118"/>
      <c r="X161" s="115" t="s">
        <v>644</v>
      </c>
      <c r="Y161" s="115"/>
      <c r="Z161" s="118"/>
      <c r="AA161" s="115" t="s">
        <v>645</v>
      </c>
      <c r="AB161" s="118" t="s">
        <v>646</v>
      </c>
      <c r="AC161" s="115" t="s">
        <v>672</v>
      </c>
      <c r="AD161" s="115"/>
    </row>
    <row r="162" spans="1:30" x14ac:dyDescent="0.25">
      <c r="A162" s="115" t="s">
        <v>673</v>
      </c>
      <c r="B162" s="115" t="s">
        <v>386</v>
      </c>
      <c r="C162" s="115"/>
      <c r="D162" s="115" t="s">
        <v>667</v>
      </c>
      <c r="E162" s="115" t="s">
        <v>544</v>
      </c>
      <c r="F162" s="115" t="s">
        <v>387</v>
      </c>
      <c r="G162" s="116">
        <v>42976.548078703701</v>
      </c>
      <c r="H162" s="116">
        <v>42976</v>
      </c>
      <c r="I162" s="115" t="s">
        <v>643</v>
      </c>
      <c r="J162" s="115" t="s">
        <v>388</v>
      </c>
      <c r="K162" s="117">
        <v>1323.8</v>
      </c>
      <c r="L162" s="115" t="s">
        <v>390</v>
      </c>
      <c r="M162" s="117">
        <v>20</v>
      </c>
      <c r="N162" s="117">
        <v>26479.075749527299</v>
      </c>
      <c r="O162" s="115" t="s">
        <v>390</v>
      </c>
      <c r="P162" s="116">
        <v>42976</v>
      </c>
      <c r="Q162" s="115"/>
      <c r="R162" s="115"/>
      <c r="S162" s="115"/>
      <c r="T162" s="115"/>
      <c r="U162" s="116">
        <v>42999</v>
      </c>
      <c r="V162" s="118"/>
      <c r="W162" s="118"/>
      <c r="X162" s="115" t="s">
        <v>644</v>
      </c>
      <c r="Y162" s="115"/>
      <c r="Z162" s="118"/>
      <c r="AA162" s="115" t="s">
        <v>645</v>
      </c>
      <c r="AB162" s="118" t="s">
        <v>646</v>
      </c>
      <c r="AC162" s="115" t="s">
        <v>674</v>
      </c>
      <c r="AD162" s="115"/>
    </row>
    <row r="163" spans="1:30" x14ac:dyDescent="0.25">
      <c r="A163" s="115" t="s">
        <v>675</v>
      </c>
      <c r="B163" s="115" t="s">
        <v>386</v>
      </c>
      <c r="C163" s="115"/>
      <c r="D163" s="115" t="s">
        <v>667</v>
      </c>
      <c r="E163" s="115" t="s">
        <v>544</v>
      </c>
      <c r="F163" s="115" t="s">
        <v>387</v>
      </c>
      <c r="G163" s="116">
        <v>42976.548078703701</v>
      </c>
      <c r="H163" s="116">
        <v>42976</v>
      </c>
      <c r="I163" s="115" t="s">
        <v>643</v>
      </c>
      <c r="J163" s="115" t="s">
        <v>388</v>
      </c>
      <c r="K163" s="117">
        <v>1323.8</v>
      </c>
      <c r="L163" s="115" t="s">
        <v>390</v>
      </c>
      <c r="M163" s="117">
        <v>14</v>
      </c>
      <c r="N163" s="117">
        <v>18535.353024669112</v>
      </c>
      <c r="O163" s="115" t="s">
        <v>390</v>
      </c>
      <c r="P163" s="116">
        <v>42976</v>
      </c>
      <c r="Q163" s="115"/>
      <c r="R163" s="115"/>
      <c r="S163" s="115"/>
      <c r="T163" s="115"/>
      <c r="U163" s="116">
        <v>42999</v>
      </c>
      <c r="V163" s="118"/>
      <c r="W163" s="118"/>
      <c r="X163" s="115" t="s">
        <v>644</v>
      </c>
      <c r="Y163" s="115"/>
      <c r="Z163" s="118"/>
      <c r="AA163" s="115" t="s">
        <v>645</v>
      </c>
      <c r="AB163" s="118" t="s">
        <v>646</v>
      </c>
      <c r="AC163" s="115" t="s">
        <v>676</v>
      </c>
      <c r="AD163" s="115"/>
    </row>
    <row r="164" spans="1:30" x14ac:dyDescent="0.25">
      <c r="A164" s="115" t="s">
        <v>677</v>
      </c>
      <c r="B164" s="115" t="s">
        <v>386</v>
      </c>
      <c r="C164" s="115"/>
      <c r="D164" s="115" t="s">
        <v>667</v>
      </c>
      <c r="E164" s="115" t="s">
        <v>544</v>
      </c>
      <c r="F164" s="115" t="s">
        <v>387</v>
      </c>
      <c r="G164" s="116">
        <v>42976.548078703701</v>
      </c>
      <c r="H164" s="116">
        <v>42976</v>
      </c>
      <c r="I164" s="115" t="s">
        <v>643</v>
      </c>
      <c r="J164" s="115" t="s">
        <v>388</v>
      </c>
      <c r="K164" s="117">
        <v>1323.8</v>
      </c>
      <c r="L164" s="115" t="s">
        <v>390</v>
      </c>
      <c r="M164" s="117">
        <v>2</v>
      </c>
      <c r="N164" s="117">
        <v>2647.9075749527301</v>
      </c>
      <c r="O164" s="115" t="s">
        <v>390</v>
      </c>
      <c r="P164" s="116">
        <v>42976</v>
      </c>
      <c r="Q164" s="115"/>
      <c r="R164" s="115"/>
      <c r="S164" s="115"/>
      <c r="T164" s="115"/>
      <c r="U164" s="116">
        <v>42999</v>
      </c>
      <c r="V164" s="118"/>
      <c r="W164" s="118"/>
      <c r="X164" s="115" t="s">
        <v>644</v>
      </c>
      <c r="Y164" s="115"/>
      <c r="Z164" s="118"/>
      <c r="AA164" s="115" t="s">
        <v>645</v>
      </c>
      <c r="AB164" s="118" t="s">
        <v>646</v>
      </c>
      <c r="AC164" s="115" t="s">
        <v>678</v>
      </c>
      <c r="AD164" s="115"/>
    </row>
    <row r="165" spans="1:30" x14ac:dyDescent="0.25">
      <c r="A165" s="115" t="s">
        <v>679</v>
      </c>
      <c r="B165" s="115" t="s">
        <v>386</v>
      </c>
      <c r="C165" s="115"/>
      <c r="D165" s="115" t="s">
        <v>667</v>
      </c>
      <c r="E165" s="115" t="s">
        <v>544</v>
      </c>
      <c r="F165" s="115" t="s">
        <v>387</v>
      </c>
      <c r="G165" s="116">
        <v>42976.548078703701</v>
      </c>
      <c r="H165" s="116">
        <v>42976</v>
      </c>
      <c r="I165" s="115" t="s">
        <v>643</v>
      </c>
      <c r="J165" s="115" t="s">
        <v>388</v>
      </c>
      <c r="K165" s="117">
        <v>1323.8</v>
      </c>
      <c r="L165" s="115" t="s">
        <v>390</v>
      </c>
      <c r="M165" s="117">
        <v>2</v>
      </c>
      <c r="N165" s="117">
        <v>2647.9075749527301</v>
      </c>
      <c r="O165" s="115" t="s">
        <v>390</v>
      </c>
      <c r="P165" s="116">
        <v>42976</v>
      </c>
      <c r="Q165" s="115"/>
      <c r="R165" s="115"/>
      <c r="S165" s="115"/>
      <c r="T165" s="115"/>
      <c r="U165" s="116">
        <v>42999</v>
      </c>
      <c r="V165" s="118"/>
      <c r="W165" s="118"/>
      <c r="X165" s="115" t="s">
        <v>644</v>
      </c>
      <c r="Y165" s="115"/>
      <c r="Z165" s="118"/>
      <c r="AA165" s="115" t="s">
        <v>645</v>
      </c>
      <c r="AB165" s="118" t="s">
        <v>646</v>
      </c>
      <c r="AC165" s="115" t="s">
        <v>680</v>
      </c>
      <c r="AD165" s="115"/>
    </row>
    <row r="166" spans="1:30" x14ac:dyDescent="0.25">
      <c r="A166" s="115" t="s">
        <v>681</v>
      </c>
      <c r="B166" s="115" t="s">
        <v>386</v>
      </c>
      <c r="C166" s="115"/>
      <c r="D166" s="115" t="s">
        <v>667</v>
      </c>
      <c r="E166" s="115" t="s">
        <v>544</v>
      </c>
      <c r="F166" s="115" t="s">
        <v>387</v>
      </c>
      <c r="G166" s="116">
        <v>42976.548078703701</v>
      </c>
      <c r="H166" s="116">
        <v>42976</v>
      </c>
      <c r="I166" s="115" t="s">
        <v>643</v>
      </c>
      <c r="J166" s="115" t="s">
        <v>388</v>
      </c>
      <c r="K166" s="117">
        <v>1323.8</v>
      </c>
      <c r="L166" s="115" t="s">
        <v>390</v>
      </c>
      <c r="M166" s="117">
        <v>2</v>
      </c>
      <c r="N166" s="117">
        <v>2647.9075749527301</v>
      </c>
      <c r="O166" s="115" t="s">
        <v>390</v>
      </c>
      <c r="P166" s="116">
        <v>42976</v>
      </c>
      <c r="Q166" s="115"/>
      <c r="R166" s="115"/>
      <c r="S166" s="115"/>
      <c r="T166" s="115"/>
      <c r="U166" s="116">
        <v>42999</v>
      </c>
      <c r="V166" s="118"/>
      <c r="W166" s="118"/>
      <c r="X166" s="115" t="s">
        <v>644</v>
      </c>
      <c r="Y166" s="115"/>
      <c r="Z166" s="118"/>
      <c r="AA166" s="115" t="s">
        <v>645</v>
      </c>
      <c r="AB166" s="118" t="s">
        <v>646</v>
      </c>
      <c r="AC166" s="115" t="s">
        <v>682</v>
      </c>
      <c r="AD166" s="115"/>
    </row>
    <row r="167" spans="1:30" x14ac:dyDescent="0.25">
      <c r="A167" s="115" t="s">
        <v>683</v>
      </c>
      <c r="B167" s="115" t="s">
        <v>386</v>
      </c>
      <c r="C167" s="115"/>
      <c r="D167" s="115" t="s">
        <v>667</v>
      </c>
      <c r="E167" s="115" t="s">
        <v>544</v>
      </c>
      <c r="F167" s="115" t="s">
        <v>387</v>
      </c>
      <c r="G167" s="116">
        <v>42976.548078703701</v>
      </c>
      <c r="H167" s="116">
        <v>42976</v>
      </c>
      <c r="I167" s="115" t="s">
        <v>643</v>
      </c>
      <c r="J167" s="115" t="s">
        <v>388</v>
      </c>
      <c r="K167" s="117">
        <v>1323.8</v>
      </c>
      <c r="L167" s="115" t="s">
        <v>390</v>
      </c>
      <c r="M167" s="117">
        <v>1</v>
      </c>
      <c r="N167" s="117">
        <v>1323.9537874763701</v>
      </c>
      <c r="O167" s="115" t="s">
        <v>390</v>
      </c>
      <c r="P167" s="116">
        <v>42976</v>
      </c>
      <c r="Q167" s="115"/>
      <c r="R167" s="115"/>
      <c r="S167" s="115"/>
      <c r="T167" s="115"/>
      <c r="U167" s="116">
        <v>42999</v>
      </c>
      <c r="V167" s="118"/>
      <c r="W167" s="118"/>
      <c r="X167" s="115" t="s">
        <v>644</v>
      </c>
      <c r="Y167" s="115"/>
      <c r="Z167" s="118"/>
      <c r="AA167" s="115" t="s">
        <v>645</v>
      </c>
      <c r="AB167" s="118" t="s">
        <v>646</v>
      </c>
      <c r="AC167" s="115" t="s">
        <v>684</v>
      </c>
      <c r="AD167" s="115"/>
    </row>
    <row r="168" spans="1:30" x14ac:dyDescent="0.25">
      <c r="A168" s="115" t="s">
        <v>685</v>
      </c>
      <c r="B168" s="115" t="s">
        <v>386</v>
      </c>
      <c r="C168" s="115"/>
      <c r="D168" s="115" t="s">
        <v>667</v>
      </c>
      <c r="E168" s="115" t="s">
        <v>544</v>
      </c>
      <c r="F168" s="115" t="s">
        <v>387</v>
      </c>
      <c r="G168" s="116">
        <v>42976.548078703701</v>
      </c>
      <c r="H168" s="116">
        <v>42976</v>
      </c>
      <c r="I168" s="115" t="s">
        <v>643</v>
      </c>
      <c r="J168" s="115" t="s">
        <v>388</v>
      </c>
      <c r="K168" s="117">
        <v>1323.7</v>
      </c>
      <c r="L168" s="115" t="s">
        <v>390</v>
      </c>
      <c r="M168" s="117">
        <v>25</v>
      </c>
      <c r="N168" s="117">
        <v>33096.342419496163</v>
      </c>
      <c r="O168" s="115" t="s">
        <v>390</v>
      </c>
      <c r="P168" s="116">
        <v>42976</v>
      </c>
      <c r="Q168" s="115"/>
      <c r="R168" s="115"/>
      <c r="S168" s="115"/>
      <c r="T168" s="115"/>
      <c r="U168" s="116">
        <v>42999</v>
      </c>
      <c r="V168" s="118"/>
      <c r="W168" s="118"/>
      <c r="X168" s="115" t="s">
        <v>644</v>
      </c>
      <c r="Y168" s="115"/>
      <c r="Z168" s="118"/>
      <c r="AA168" s="115" t="s">
        <v>645</v>
      </c>
      <c r="AB168" s="118" t="s">
        <v>646</v>
      </c>
      <c r="AC168" s="115" t="s">
        <v>686</v>
      </c>
      <c r="AD168" s="115"/>
    </row>
    <row r="169" spans="1:30" x14ac:dyDescent="0.25">
      <c r="A169" s="115" t="s">
        <v>687</v>
      </c>
      <c r="B169" s="115" t="s">
        <v>386</v>
      </c>
      <c r="C169" s="115"/>
      <c r="D169" s="115" t="s">
        <v>667</v>
      </c>
      <c r="E169" s="115" t="s">
        <v>544</v>
      </c>
      <c r="F169" s="115" t="s">
        <v>387</v>
      </c>
      <c r="G169" s="116">
        <v>42976.548078703701</v>
      </c>
      <c r="H169" s="116">
        <v>42976</v>
      </c>
      <c r="I169" s="115" t="s">
        <v>643</v>
      </c>
      <c r="J169" s="115" t="s">
        <v>388</v>
      </c>
      <c r="K169" s="117">
        <v>1323.7</v>
      </c>
      <c r="L169" s="115" t="s">
        <v>390</v>
      </c>
      <c r="M169" s="117">
        <v>1</v>
      </c>
      <c r="N169" s="117">
        <v>1323.85369677985</v>
      </c>
      <c r="O169" s="115" t="s">
        <v>390</v>
      </c>
      <c r="P169" s="116">
        <v>42976</v>
      </c>
      <c r="Q169" s="115"/>
      <c r="R169" s="115"/>
      <c r="S169" s="115"/>
      <c r="T169" s="115"/>
      <c r="U169" s="116">
        <v>42999</v>
      </c>
      <c r="V169" s="118"/>
      <c r="W169" s="118"/>
      <c r="X169" s="115" t="s">
        <v>644</v>
      </c>
      <c r="Y169" s="115"/>
      <c r="Z169" s="118"/>
      <c r="AA169" s="115" t="s">
        <v>645</v>
      </c>
      <c r="AB169" s="118" t="s">
        <v>646</v>
      </c>
      <c r="AC169" s="115" t="s">
        <v>688</v>
      </c>
      <c r="AD169" s="115"/>
    </row>
    <row r="170" spans="1:30" x14ac:dyDescent="0.25">
      <c r="A170" s="115" t="s">
        <v>689</v>
      </c>
      <c r="B170" s="115" t="s">
        <v>386</v>
      </c>
      <c r="C170" s="115"/>
      <c r="D170" s="115" t="s">
        <v>667</v>
      </c>
      <c r="E170" s="115" t="s">
        <v>544</v>
      </c>
      <c r="F170" s="115" t="s">
        <v>387</v>
      </c>
      <c r="G170" s="116">
        <v>42976.548067129632</v>
      </c>
      <c r="H170" s="116">
        <v>42976</v>
      </c>
      <c r="I170" s="115" t="s">
        <v>643</v>
      </c>
      <c r="J170" s="115" t="s">
        <v>388</v>
      </c>
      <c r="K170" s="117">
        <v>1323.7</v>
      </c>
      <c r="L170" s="115" t="s">
        <v>390</v>
      </c>
      <c r="M170" s="117">
        <v>1</v>
      </c>
      <c r="N170" s="117">
        <v>1323.85369677985</v>
      </c>
      <c r="O170" s="115" t="s">
        <v>390</v>
      </c>
      <c r="P170" s="116">
        <v>42976</v>
      </c>
      <c r="Q170" s="115"/>
      <c r="R170" s="115"/>
      <c r="S170" s="115"/>
      <c r="T170" s="115"/>
      <c r="U170" s="116">
        <v>42999</v>
      </c>
      <c r="V170" s="118"/>
      <c r="W170" s="118"/>
      <c r="X170" s="115" t="s">
        <v>644</v>
      </c>
      <c r="Y170" s="115"/>
      <c r="Z170" s="118"/>
      <c r="AA170" s="115" t="s">
        <v>645</v>
      </c>
      <c r="AB170" s="118" t="s">
        <v>646</v>
      </c>
      <c r="AC170" s="115" t="s">
        <v>690</v>
      </c>
      <c r="AD170" s="115"/>
    </row>
    <row r="171" spans="1:30" x14ac:dyDescent="0.25">
      <c r="A171" s="115" t="s">
        <v>691</v>
      </c>
      <c r="B171" s="115" t="s">
        <v>386</v>
      </c>
      <c r="C171" s="115"/>
      <c r="D171" s="115" t="s">
        <v>667</v>
      </c>
      <c r="E171" s="115" t="s">
        <v>544</v>
      </c>
      <c r="F171" s="115" t="s">
        <v>387</v>
      </c>
      <c r="G171" s="116">
        <v>42976.548067129632</v>
      </c>
      <c r="H171" s="116">
        <v>42976</v>
      </c>
      <c r="I171" s="115" t="s">
        <v>643</v>
      </c>
      <c r="J171" s="115" t="s">
        <v>388</v>
      </c>
      <c r="K171" s="117">
        <v>1323.7</v>
      </c>
      <c r="L171" s="115" t="s">
        <v>390</v>
      </c>
      <c r="M171" s="117">
        <v>1</v>
      </c>
      <c r="N171" s="117">
        <v>1323.85369677985</v>
      </c>
      <c r="O171" s="115" t="s">
        <v>390</v>
      </c>
      <c r="P171" s="116">
        <v>42976</v>
      </c>
      <c r="Q171" s="115"/>
      <c r="R171" s="115"/>
      <c r="S171" s="115"/>
      <c r="T171" s="115"/>
      <c r="U171" s="116">
        <v>42999</v>
      </c>
      <c r="V171" s="118"/>
      <c r="W171" s="118"/>
      <c r="X171" s="115" t="s">
        <v>644</v>
      </c>
      <c r="Y171" s="115"/>
      <c r="Z171" s="118"/>
      <c r="AA171" s="115" t="s">
        <v>645</v>
      </c>
      <c r="AB171" s="118" t="s">
        <v>646</v>
      </c>
      <c r="AC171" s="115" t="s">
        <v>692</v>
      </c>
      <c r="AD171" s="115"/>
    </row>
    <row r="172" spans="1:30" x14ac:dyDescent="0.25">
      <c r="A172" s="115" t="s">
        <v>693</v>
      </c>
      <c r="B172" s="115" t="s">
        <v>386</v>
      </c>
      <c r="C172" s="115"/>
      <c r="D172" s="115" t="s">
        <v>667</v>
      </c>
      <c r="E172" s="115" t="s">
        <v>544</v>
      </c>
      <c r="F172" s="115" t="s">
        <v>387</v>
      </c>
      <c r="G172" s="116">
        <v>42976.548067129632</v>
      </c>
      <c r="H172" s="116">
        <v>42976</v>
      </c>
      <c r="I172" s="115" t="s">
        <v>643</v>
      </c>
      <c r="J172" s="115" t="s">
        <v>388</v>
      </c>
      <c r="K172" s="117">
        <v>1323.7</v>
      </c>
      <c r="L172" s="115" t="s">
        <v>390</v>
      </c>
      <c r="M172" s="117">
        <v>2</v>
      </c>
      <c r="N172" s="117">
        <v>2647.70739355969</v>
      </c>
      <c r="O172" s="115" t="s">
        <v>390</v>
      </c>
      <c r="P172" s="116">
        <v>42976</v>
      </c>
      <c r="Q172" s="115"/>
      <c r="R172" s="115"/>
      <c r="S172" s="115"/>
      <c r="T172" s="115"/>
      <c r="U172" s="116">
        <v>42999</v>
      </c>
      <c r="V172" s="118"/>
      <c r="W172" s="118"/>
      <c r="X172" s="115" t="s">
        <v>644</v>
      </c>
      <c r="Y172" s="115"/>
      <c r="Z172" s="118"/>
      <c r="AA172" s="115" t="s">
        <v>645</v>
      </c>
      <c r="AB172" s="118" t="s">
        <v>646</v>
      </c>
      <c r="AC172" s="115" t="s">
        <v>694</v>
      </c>
      <c r="AD172" s="115"/>
    </row>
    <row r="173" spans="1:30" x14ac:dyDescent="0.25">
      <c r="A173" s="115" t="s">
        <v>695</v>
      </c>
      <c r="B173" s="115" t="s">
        <v>386</v>
      </c>
      <c r="C173" s="115"/>
      <c r="D173" s="115" t="s">
        <v>667</v>
      </c>
      <c r="E173" s="115" t="s">
        <v>544</v>
      </c>
      <c r="F173" s="115" t="s">
        <v>387</v>
      </c>
      <c r="G173" s="116">
        <v>42976.548067129632</v>
      </c>
      <c r="H173" s="116">
        <v>42976</v>
      </c>
      <c r="I173" s="115" t="s">
        <v>643</v>
      </c>
      <c r="J173" s="115" t="s">
        <v>388</v>
      </c>
      <c r="K173" s="117">
        <v>1323.7</v>
      </c>
      <c r="L173" s="115" t="s">
        <v>390</v>
      </c>
      <c r="M173" s="117">
        <v>3</v>
      </c>
      <c r="N173" s="117">
        <v>3971.56109033954</v>
      </c>
      <c r="O173" s="115" t="s">
        <v>390</v>
      </c>
      <c r="P173" s="116">
        <v>42976</v>
      </c>
      <c r="Q173" s="115"/>
      <c r="R173" s="115"/>
      <c r="S173" s="115"/>
      <c r="T173" s="115"/>
      <c r="U173" s="116">
        <v>42999</v>
      </c>
      <c r="V173" s="118"/>
      <c r="W173" s="118"/>
      <c r="X173" s="115" t="s">
        <v>644</v>
      </c>
      <c r="Y173" s="115"/>
      <c r="Z173" s="118"/>
      <c r="AA173" s="115" t="s">
        <v>645</v>
      </c>
      <c r="AB173" s="118" t="s">
        <v>646</v>
      </c>
      <c r="AC173" s="115" t="s">
        <v>696</v>
      </c>
      <c r="AD173" s="115"/>
    </row>
    <row r="174" spans="1:30" x14ac:dyDescent="0.25">
      <c r="A174" s="115" t="s">
        <v>697</v>
      </c>
      <c r="B174" s="115" t="s">
        <v>386</v>
      </c>
      <c r="C174" s="115"/>
      <c r="D174" s="115" t="s">
        <v>698</v>
      </c>
      <c r="E174" s="115" t="s">
        <v>562</v>
      </c>
      <c r="F174" s="115" t="s">
        <v>387</v>
      </c>
      <c r="G174" s="116">
        <v>42976.547442129631</v>
      </c>
      <c r="H174" s="116">
        <v>42976</v>
      </c>
      <c r="I174" s="115" t="s">
        <v>643</v>
      </c>
      <c r="J174" s="115" t="s">
        <v>388</v>
      </c>
      <c r="K174" s="117">
        <v>1323.7</v>
      </c>
      <c r="L174" s="115" t="s">
        <v>390</v>
      </c>
      <c r="M174" s="117">
        <v>46</v>
      </c>
      <c r="N174" s="117">
        <v>60897.27005187294</v>
      </c>
      <c r="O174" s="115" t="s">
        <v>390</v>
      </c>
      <c r="P174" s="116">
        <v>42976</v>
      </c>
      <c r="Q174" s="115"/>
      <c r="R174" s="115"/>
      <c r="S174" s="115"/>
      <c r="T174" s="115"/>
      <c r="U174" s="116">
        <v>42999</v>
      </c>
      <c r="V174" s="118"/>
      <c r="W174" s="118"/>
      <c r="X174" s="115" t="s">
        <v>644</v>
      </c>
      <c r="Y174" s="115"/>
      <c r="Z174" s="118"/>
      <c r="AA174" s="115" t="s">
        <v>645</v>
      </c>
      <c r="AB174" s="118" t="s">
        <v>646</v>
      </c>
      <c r="AC174" s="115" t="s">
        <v>699</v>
      </c>
      <c r="AD174" s="115"/>
    </row>
    <row r="175" spans="1:30" x14ac:dyDescent="0.25">
      <c r="A175" s="115" t="s">
        <v>700</v>
      </c>
      <c r="B175" s="115" t="s">
        <v>386</v>
      </c>
      <c r="C175" s="115"/>
      <c r="D175" s="115" t="s">
        <v>698</v>
      </c>
      <c r="E175" s="115" t="s">
        <v>562</v>
      </c>
      <c r="F175" s="115" t="s">
        <v>387</v>
      </c>
      <c r="G175" s="116">
        <v>42976.547442129631</v>
      </c>
      <c r="H175" s="116">
        <v>42976</v>
      </c>
      <c r="I175" s="115" t="s">
        <v>643</v>
      </c>
      <c r="J175" s="115" t="s">
        <v>388</v>
      </c>
      <c r="K175" s="117">
        <v>1323.6</v>
      </c>
      <c r="L175" s="115" t="s">
        <v>390</v>
      </c>
      <c r="M175" s="117">
        <v>1</v>
      </c>
      <c r="N175" s="117">
        <v>1323.75377688656</v>
      </c>
      <c r="O175" s="115" t="s">
        <v>390</v>
      </c>
      <c r="P175" s="116">
        <v>42976</v>
      </c>
      <c r="Q175" s="115"/>
      <c r="R175" s="115"/>
      <c r="S175" s="115"/>
      <c r="T175" s="115"/>
      <c r="U175" s="116">
        <v>42999</v>
      </c>
      <c r="V175" s="118"/>
      <c r="W175" s="118"/>
      <c r="X175" s="115" t="s">
        <v>644</v>
      </c>
      <c r="Y175" s="115"/>
      <c r="Z175" s="118"/>
      <c r="AA175" s="115" t="s">
        <v>645</v>
      </c>
      <c r="AB175" s="118" t="s">
        <v>646</v>
      </c>
      <c r="AC175" s="115" t="s">
        <v>701</v>
      </c>
      <c r="AD175" s="115"/>
    </row>
    <row r="176" spans="1:30" x14ac:dyDescent="0.25">
      <c r="A176" s="115" t="s">
        <v>702</v>
      </c>
      <c r="B176" s="115" t="s">
        <v>386</v>
      </c>
      <c r="C176" s="115"/>
      <c r="D176" s="115" t="s">
        <v>698</v>
      </c>
      <c r="E176" s="115" t="s">
        <v>562</v>
      </c>
      <c r="F176" s="115" t="s">
        <v>387</v>
      </c>
      <c r="G176" s="116">
        <v>42976.547442129631</v>
      </c>
      <c r="H176" s="116">
        <v>42976</v>
      </c>
      <c r="I176" s="115" t="s">
        <v>643</v>
      </c>
      <c r="J176" s="115" t="s">
        <v>388</v>
      </c>
      <c r="K176" s="117">
        <v>1323.6</v>
      </c>
      <c r="L176" s="115" t="s">
        <v>390</v>
      </c>
      <c r="M176" s="117">
        <v>10</v>
      </c>
      <c r="N176" s="117">
        <v>13237.537768865641</v>
      </c>
      <c r="O176" s="115" t="s">
        <v>390</v>
      </c>
      <c r="P176" s="116">
        <v>42976</v>
      </c>
      <c r="Q176" s="115"/>
      <c r="R176" s="115"/>
      <c r="S176" s="115"/>
      <c r="T176" s="115"/>
      <c r="U176" s="116">
        <v>42999</v>
      </c>
      <c r="V176" s="118"/>
      <c r="W176" s="118"/>
      <c r="X176" s="115" t="s">
        <v>644</v>
      </c>
      <c r="Y176" s="115"/>
      <c r="Z176" s="118"/>
      <c r="AA176" s="115" t="s">
        <v>645</v>
      </c>
      <c r="AB176" s="118" t="s">
        <v>646</v>
      </c>
      <c r="AC176" s="115" t="s">
        <v>703</v>
      </c>
      <c r="AD176" s="115"/>
    </row>
    <row r="177" spans="1:30" x14ac:dyDescent="0.25">
      <c r="A177" s="115" t="s">
        <v>704</v>
      </c>
      <c r="B177" s="115" t="s">
        <v>386</v>
      </c>
      <c r="C177" s="115"/>
      <c r="D177" s="115" t="s">
        <v>705</v>
      </c>
      <c r="E177" s="115" t="s">
        <v>566</v>
      </c>
      <c r="F177" s="115" t="s">
        <v>387</v>
      </c>
      <c r="G177" s="116">
        <v>42976.54724537037</v>
      </c>
      <c r="H177" s="116">
        <v>42976</v>
      </c>
      <c r="I177" s="115" t="s">
        <v>643</v>
      </c>
      <c r="J177" s="115" t="s">
        <v>388</v>
      </c>
      <c r="K177" s="117">
        <v>1323.7</v>
      </c>
      <c r="L177" s="115" t="s">
        <v>390</v>
      </c>
      <c r="M177" s="117">
        <v>13</v>
      </c>
      <c r="N177" s="117">
        <v>17210.09805813801</v>
      </c>
      <c r="O177" s="115" t="s">
        <v>390</v>
      </c>
      <c r="P177" s="116">
        <v>42976</v>
      </c>
      <c r="Q177" s="115"/>
      <c r="R177" s="115"/>
      <c r="S177" s="115"/>
      <c r="T177" s="115"/>
      <c r="U177" s="116">
        <v>42999</v>
      </c>
      <c r="V177" s="118"/>
      <c r="W177" s="118"/>
      <c r="X177" s="115" t="s">
        <v>644</v>
      </c>
      <c r="Y177" s="115"/>
      <c r="Z177" s="118"/>
      <c r="AA177" s="115" t="s">
        <v>645</v>
      </c>
      <c r="AB177" s="118" t="s">
        <v>646</v>
      </c>
      <c r="AC177" s="115" t="s">
        <v>706</v>
      </c>
      <c r="AD177" s="115"/>
    </row>
    <row r="178" spans="1:30" x14ac:dyDescent="0.25">
      <c r="A178" s="115" t="s">
        <v>707</v>
      </c>
      <c r="B178" s="115" t="s">
        <v>386</v>
      </c>
      <c r="C178" s="115"/>
      <c r="D178" s="115" t="s">
        <v>705</v>
      </c>
      <c r="E178" s="115" t="s">
        <v>566</v>
      </c>
      <c r="F178" s="115" t="s">
        <v>387</v>
      </c>
      <c r="G178" s="116">
        <v>42976.54724537037</v>
      </c>
      <c r="H178" s="116">
        <v>42976</v>
      </c>
      <c r="I178" s="115" t="s">
        <v>643</v>
      </c>
      <c r="J178" s="115" t="s">
        <v>388</v>
      </c>
      <c r="K178" s="117">
        <v>1323.7</v>
      </c>
      <c r="L178" s="115" t="s">
        <v>390</v>
      </c>
      <c r="M178" s="117">
        <v>2</v>
      </c>
      <c r="N178" s="117">
        <v>2647.70739355969</v>
      </c>
      <c r="O178" s="115" t="s">
        <v>390</v>
      </c>
      <c r="P178" s="116">
        <v>42976</v>
      </c>
      <c r="Q178" s="115"/>
      <c r="R178" s="115"/>
      <c r="S178" s="115"/>
      <c r="T178" s="115"/>
      <c r="U178" s="116">
        <v>42999</v>
      </c>
      <c r="V178" s="118"/>
      <c r="W178" s="118"/>
      <c r="X178" s="115" t="s">
        <v>644</v>
      </c>
      <c r="Y178" s="115"/>
      <c r="Z178" s="118"/>
      <c r="AA178" s="115" t="s">
        <v>645</v>
      </c>
      <c r="AB178" s="118" t="s">
        <v>646</v>
      </c>
      <c r="AC178" s="115" t="s">
        <v>708</v>
      </c>
      <c r="AD178" s="115"/>
    </row>
    <row r="179" spans="1:30" x14ac:dyDescent="0.25">
      <c r="A179" s="115" t="s">
        <v>709</v>
      </c>
      <c r="B179" s="115" t="s">
        <v>386</v>
      </c>
      <c r="C179" s="115"/>
      <c r="D179" s="115" t="s">
        <v>705</v>
      </c>
      <c r="E179" s="115" t="s">
        <v>566</v>
      </c>
      <c r="F179" s="115" t="s">
        <v>387</v>
      </c>
      <c r="G179" s="116">
        <v>42976.54724537037</v>
      </c>
      <c r="H179" s="116">
        <v>42976</v>
      </c>
      <c r="I179" s="115" t="s">
        <v>643</v>
      </c>
      <c r="J179" s="115" t="s">
        <v>388</v>
      </c>
      <c r="K179" s="117">
        <v>1323.7</v>
      </c>
      <c r="L179" s="115" t="s">
        <v>390</v>
      </c>
      <c r="M179" s="117">
        <v>2</v>
      </c>
      <c r="N179" s="117">
        <v>2647.70739355969</v>
      </c>
      <c r="O179" s="115" t="s">
        <v>390</v>
      </c>
      <c r="P179" s="116">
        <v>42976</v>
      </c>
      <c r="Q179" s="115"/>
      <c r="R179" s="115"/>
      <c r="S179" s="115"/>
      <c r="T179" s="115"/>
      <c r="U179" s="116">
        <v>42999</v>
      </c>
      <c r="V179" s="118"/>
      <c r="W179" s="118"/>
      <c r="X179" s="115" t="s">
        <v>644</v>
      </c>
      <c r="Y179" s="115"/>
      <c r="Z179" s="118"/>
      <c r="AA179" s="115" t="s">
        <v>645</v>
      </c>
      <c r="AB179" s="118" t="s">
        <v>646</v>
      </c>
      <c r="AC179" s="115" t="s">
        <v>710</v>
      </c>
      <c r="AD179" s="115"/>
    </row>
    <row r="180" spans="1:30" x14ac:dyDescent="0.25">
      <c r="A180" s="115" t="s">
        <v>711</v>
      </c>
      <c r="B180" s="115" t="s">
        <v>386</v>
      </c>
      <c r="C180" s="115"/>
      <c r="D180" s="115" t="s">
        <v>705</v>
      </c>
      <c r="E180" s="115" t="s">
        <v>566</v>
      </c>
      <c r="F180" s="115" t="s">
        <v>387</v>
      </c>
      <c r="G180" s="116">
        <v>42976.54724537037</v>
      </c>
      <c r="H180" s="116">
        <v>42976</v>
      </c>
      <c r="I180" s="115" t="s">
        <v>643</v>
      </c>
      <c r="J180" s="115" t="s">
        <v>388</v>
      </c>
      <c r="K180" s="117">
        <v>1323.7</v>
      </c>
      <c r="L180" s="115" t="s">
        <v>390</v>
      </c>
      <c r="M180" s="117">
        <v>20</v>
      </c>
      <c r="N180" s="117">
        <v>26477.073935596931</v>
      </c>
      <c r="O180" s="115" t="s">
        <v>390</v>
      </c>
      <c r="P180" s="116">
        <v>42976</v>
      </c>
      <c r="Q180" s="115"/>
      <c r="R180" s="115"/>
      <c r="S180" s="115"/>
      <c r="T180" s="115"/>
      <c r="U180" s="116">
        <v>42999</v>
      </c>
      <c r="V180" s="118"/>
      <c r="W180" s="118"/>
      <c r="X180" s="115" t="s">
        <v>644</v>
      </c>
      <c r="Y180" s="115"/>
      <c r="Z180" s="118"/>
      <c r="AA180" s="115" t="s">
        <v>645</v>
      </c>
      <c r="AB180" s="118" t="s">
        <v>646</v>
      </c>
      <c r="AC180" s="115" t="s">
        <v>712</v>
      </c>
      <c r="AD180" s="115"/>
    </row>
    <row r="181" spans="1:30" x14ac:dyDescent="0.25">
      <c r="A181" s="115" t="s">
        <v>713</v>
      </c>
      <c r="B181" s="115" t="s">
        <v>386</v>
      </c>
      <c r="C181" s="115"/>
      <c r="D181" s="115" t="s">
        <v>705</v>
      </c>
      <c r="E181" s="115" t="s">
        <v>566</v>
      </c>
      <c r="F181" s="115" t="s">
        <v>387</v>
      </c>
      <c r="G181" s="116">
        <v>42976.54724537037</v>
      </c>
      <c r="H181" s="116">
        <v>42976</v>
      </c>
      <c r="I181" s="115" t="s">
        <v>643</v>
      </c>
      <c r="J181" s="115" t="s">
        <v>388</v>
      </c>
      <c r="K181" s="117">
        <v>1323.7</v>
      </c>
      <c r="L181" s="115" t="s">
        <v>390</v>
      </c>
      <c r="M181" s="117">
        <v>14</v>
      </c>
      <c r="N181" s="117">
        <v>18533.951754917849</v>
      </c>
      <c r="O181" s="115" t="s">
        <v>390</v>
      </c>
      <c r="P181" s="116">
        <v>42976</v>
      </c>
      <c r="Q181" s="115"/>
      <c r="R181" s="115"/>
      <c r="S181" s="115"/>
      <c r="T181" s="115"/>
      <c r="U181" s="116">
        <v>42999</v>
      </c>
      <c r="V181" s="118"/>
      <c r="W181" s="118"/>
      <c r="X181" s="115" t="s">
        <v>644</v>
      </c>
      <c r="Y181" s="115"/>
      <c r="Z181" s="118"/>
      <c r="AA181" s="115" t="s">
        <v>645</v>
      </c>
      <c r="AB181" s="118" t="s">
        <v>646</v>
      </c>
      <c r="AC181" s="115" t="s">
        <v>714</v>
      </c>
      <c r="AD181" s="115"/>
    </row>
    <row r="182" spans="1:30" x14ac:dyDescent="0.25">
      <c r="A182" s="115" t="s">
        <v>715</v>
      </c>
      <c r="B182" s="115" t="s">
        <v>386</v>
      </c>
      <c r="C182" s="115"/>
      <c r="D182" s="115" t="s">
        <v>705</v>
      </c>
      <c r="E182" s="115" t="s">
        <v>566</v>
      </c>
      <c r="F182" s="115" t="s">
        <v>387</v>
      </c>
      <c r="G182" s="116">
        <v>42976.54724537037</v>
      </c>
      <c r="H182" s="116">
        <v>42976</v>
      </c>
      <c r="I182" s="115" t="s">
        <v>643</v>
      </c>
      <c r="J182" s="115" t="s">
        <v>388</v>
      </c>
      <c r="K182" s="117">
        <v>1323.7</v>
      </c>
      <c r="L182" s="115" t="s">
        <v>390</v>
      </c>
      <c r="M182" s="117">
        <v>1</v>
      </c>
      <c r="N182" s="117">
        <v>1323.85369677985</v>
      </c>
      <c r="O182" s="115" t="s">
        <v>390</v>
      </c>
      <c r="P182" s="116">
        <v>42976</v>
      </c>
      <c r="Q182" s="115"/>
      <c r="R182" s="115"/>
      <c r="S182" s="115"/>
      <c r="T182" s="115"/>
      <c r="U182" s="116">
        <v>42999</v>
      </c>
      <c r="V182" s="118"/>
      <c r="W182" s="118"/>
      <c r="X182" s="115" t="s">
        <v>644</v>
      </c>
      <c r="Y182" s="115"/>
      <c r="Z182" s="118"/>
      <c r="AA182" s="115" t="s">
        <v>645</v>
      </c>
      <c r="AB182" s="118" t="s">
        <v>646</v>
      </c>
      <c r="AC182" s="115" t="s">
        <v>716</v>
      </c>
      <c r="AD182" s="115"/>
    </row>
    <row r="183" spans="1:30" x14ac:dyDescent="0.25">
      <c r="A183" s="115" t="s">
        <v>717</v>
      </c>
      <c r="B183" s="115" t="s">
        <v>386</v>
      </c>
      <c r="C183" s="115"/>
      <c r="D183" s="115" t="s">
        <v>705</v>
      </c>
      <c r="E183" s="115" t="s">
        <v>566</v>
      </c>
      <c r="F183" s="115" t="s">
        <v>387</v>
      </c>
      <c r="G183" s="116">
        <v>42976.54724537037</v>
      </c>
      <c r="H183" s="116">
        <v>42976</v>
      </c>
      <c r="I183" s="115" t="s">
        <v>643</v>
      </c>
      <c r="J183" s="115" t="s">
        <v>388</v>
      </c>
      <c r="K183" s="117">
        <v>1323.7</v>
      </c>
      <c r="L183" s="115" t="s">
        <v>390</v>
      </c>
      <c r="M183" s="117">
        <v>2</v>
      </c>
      <c r="N183" s="117">
        <v>2647.70739355969</v>
      </c>
      <c r="O183" s="115" t="s">
        <v>390</v>
      </c>
      <c r="P183" s="116">
        <v>42976</v>
      </c>
      <c r="Q183" s="115"/>
      <c r="R183" s="115"/>
      <c r="S183" s="115"/>
      <c r="T183" s="115"/>
      <c r="U183" s="116">
        <v>42999</v>
      </c>
      <c r="V183" s="118"/>
      <c r="W183" s="118"/>
      <c r="X183" s="115" t="s">
        <v>644</v>
      </c>
      <c r="Y183" s="115"/>
      <c r="Z183" s="118"/>
      <c r="AA183" s="115" t="s">
        <v>645</v>
      </c>
      <c r="AB183" s="118" t="s">
        <v>646</v>
      </c>
      <c r="AC183" s="115" t="s">
        <v>718</v>
      </c>
      <c r="AD183" s="115"/>
    </row>
    <row r="184" spans="1:30" x14ac:dyDescent="0.25">
      <c r="A184" s="115" t="s">
        <v>719</v>
      </c>
      <c r="B184" s="115" t="s">
        <v>386</v>
      </c>
      <c r="C184" s="115"/>
      <c r="D184" s="115" t="s">
        <v>705</v>
      </c>
      <c r="E184" s="115" t="s">
        <v>566</v>
      </c>
      <c r="F184" s="115" t="s">
        <v>387</v>
      </c>
      <c r="G184" s="116">
        <v>42976.54724537037</v>
      </c>
      <c r="H184" s="116">
        <v>42976</v>
      </c>
      <c r="I184" s="115" t="s">
        <v>643</v>
      </c>
      <c r="J184" s="115" t="s">
        <v>388</v>
      </c>
      <c r="K184" s="117">
        <v>1323.7</v>
      </c>
      <c r="L184" s="115" t="s">
        <v>390</v>
      </c>
      <c r="M184" s="117">
        <v>2</v>
      </c>
      <c r="N184" s="117">
        <v>2647.70739355969</v>
      </c>
      <c r="O184" s="115" t="s">
        <v>390</v>
      </c>
      <c r="P184" s="116">
        <v>42976</v>
      </c>
      <c r="Q184" s="115"/>
      <c r="R184" s="115"/>
      <c r="S184" s="115"/>
      <c r="T184" s="115"/>
      <c r="U184" s="116">
        <v>42999</v>
      </c>
      <c r="V184" s="118"/>
      <c r="W184" s="118"/>
      <c r="X184" s="115" t="s">
        <v>644</v>
      </c>
      <c r="Y184" s="115"/>
      <c r="Z184" s="118"/>
      <c r="AA184" s="115" t="s">
        <v>645</v>
      </c>
      <c r="AB184" s="118" t="s">
        <v>646</v>
      </c>
      <c r="AC184" s="115" t="s">
        <v>720</v>
      </c>
      <c r="AD184" s="115"/>
    </row>
    <row r="185" spans="1:30" x14ac:dyDescent="0.25">
      <c r="A185" s="115" t="s">
        <v>721</v>
      </c>
      <c r="B185" s="115" t="s">
        <v>386</v>
      </c>
      <c r="C185" s="115"/>
      <c r="D185" s="115" t="s">
        <v>705</v>
      </c>
      <c r="E185" s="115" t="s">
        <v>566</v>
      </c>
      <c r="F185" s="115" t="s">
        <v>387</v>
      </c>
      <c r="G185" s="116">
        <v>42976.54724537037</v>
      </c>
      <c r="H185" s="116">
        <v>42976</v>
      </c>
      <c r="I185" s="115" t="s">
        <v>643</v>
      </c>
      <c r="J185" s="115" t="s">
        <v>388</v>
      </c>
      <c r="K185" s="117">
        <v>1323.6</v>
      </c>
      <c r="L185" s="115" t="s">
        <v>390</v>
      </c>
      <c r="M185" s="117">
        <v>14</v>
      </c>
      <c r="N185" s="117">
        <v>18532.552876411901</v>
      </c>
      <c r="O185" s="115" t="s">
        <v>390</v>
      </c>
      <c r="P185" s="116">
        <v>42976</v>
      </c>
      <c r="Q185" s="115"/>
      <c r="R185" s="115"/>
      <c r="S185" s="115"/>
      <c r="T185" s="115"/>
      <c r="U185" s="116">
        <v>42999</v>
      </c>
      <c r="V185" s="118"/>
      <c r="W185" s="118"/>
      <c r="X185" s="115" t="s">
        <v>644</v>
      </c>
      <c r="Y185" s="115"/>
      <c r="Z185" s="118"/>
      <c r="AA185" s="115" t="s">
        <v>645</v>
      </c>
      <c r="AB185" s="118" t="s">
        <v>646</v>
      </c>
      <c r="AC185" s="115" t="s">
        <v>722</v>
      </c>
      <c r="AD185" s="115"/>
    </row>
    <row r="186" spans="1:30" x14ac:dyDescent="0.25">
      <c r="A186" s="115" t="s">
        <v>723</v>
      </c>
      <c r="B186" s="115" t="s">
        <v>386</v>
      </c>
      <c r="C186" s="115"/>
      <c r="D186" s="115" t="s">
        <v>705</v>
      </c>
      <c r="E186" s="115" t="s">
        <v>566</v>
      </c>
      <c r="F186" s="115" t="s">
        <v>387</v>
      </c>
      <c r="G186" s="116">
        <v>42976.54724537037</v>
      </c>
      <c r="H186" s="116">
        <v>42976</v>
      </c>
      <c r="I186" s="115" t="s">
        <v>643</v>
      </c>
      <c r="J186" s="115" t="s">
        <v>388</v>
      </c>
      <c r="K186" s="117">
        <v>1323.6</v>
      </c>
      <c r="L186" s="115" t="s">
        <v>390</v>
      </c>
      <c r="M186" s="117">
        <v>20</v>
      </c>
      <c r="N186" s="117">
        <v>26475.075537731289</v>
      </c>
      <c r="O186" s="115" t="s">
        <v>390</v>
      </c>
      <c r="P186" s="116">
        <v>42976</v>
      </c>
      <c r="Q186" s="115"/>
      <c r="R186" s="115"/>
      <c r="S186" s="115"/>
      <c r="T186" s="115"/>
      <c r="U186" s="116">
        <v>42999</v>
      </c>
      <c r="V186" s="118"/>
      <c r="W186" s="118"/>
      <c r="X186" s="115" t="s">
        <v>644</v>
      </c>
      <c r="Y186" s="115"/>
      <c r="Z186" s="118"/>
      <c r="AA186" s="115" t="s">
        <v>645</v>
      </c>
      <c r="AB186" s="118" t="s">
        <v>646</v>
      </c>
      <c r="AC186" s="115" t="s">
        <v>724</v>
      </c>
      <c r="AD186" s="115"/>
    </row>
    <row r="187" spans="1:30" x14ac:dyDescent="0.25">
      <c r="A187" s="115" t="s">
        <v>725</v>
      </c>
      <c r="B187" s="115" t="s">
        <v>386</v>
      </c>
      <c r="C187" s="115"/>
      <c r="D187" s="115" t="s">
        <v>705</v>
      </c>
      <c r="E187" s="115" t="s">
        <v>566</v>
      </c>
      <c r="F187" s="115" t="s">
        <v>387</v>
      </c>
      <c r="G187" s="116">
        <v>42976.547233796293</v>
      </c>
      <c r="H187" s="116">
        <v>42976</v>
      </c>
      <c r="I187" s="115" t="s">
        <v>643</v>
      </c>
      <c r="J187" s="115" t="s">
        <v>388</v>
      </c>
      <c r="K187" s="117">
        <v>1323.6</v>
      </c>
      <c r="L187" s="115" t="s">
        <v>390</v>
      </c>
      <c r="M187" s="117">
        <v>5</v>
      </c>
      <c r="N187" s="117">
        <v>6618.7688844328204</v>
      </c>
      <c r="O187" s="115" t="s">
        <v>390</v>
      </c>
      <c r="P187" s="116">
        <v>42976</v>
      </c>
      <c r="Q187" s="115"/>
      <c r="R187" s="115"/>
      <c r="S187" s="115"/>
      <c r="T187" s="115"/>
      <c r="U187" s="116">
        <v>42999</v>
      </c>
      <c r="V187" s="118"/>
      <c r="W187" s="118"/>
      <c r="X187" s="115" t="s">
        <v>644</v>
      </c>
      <c r="Y187" s="115"/>
      <c r="Z187" s="118"/>
      <c r="AA187" s="115" t="s">
        <v>645</v>
      </c>
      <c r="AB187" s="118" t="s">
        <v>646</v>
      </c>
      <c r="AC187" s="115" t="s">
        <v>726</v>
      </c>
      <c r="AD187" s="115"/>
    </row>
    <row r="188" spans="1:30" x14ac:dyDescent="0.25">
      <c r="A188" s="115" t="s">
        <v>727</v>
      </c>
      <c r="B188" s="115" t="s">
        <v>386</v>
      </c>
      <c r="C188" s="115"/>
      <c r="D188" s="115" t="s">
        <v>705</v>
      </c>
      <c r="E188" s="115" t="s">
        <v>566</v>
      </c>
      <c r="F188" s="115" t="s">
        <v>387</v>
      </c>
      <c r="G188" s="116">
        <v>42976.547233796293</v>
      </c>
      <c r="H188" s="116">
        <v>42976</v>
      </c>
      <c r="I188" s="115" t="s">
        <v>643</v>
      </c>
      <c r="J188" s="115" t="s">
        <v>388</v>
      </c>
      <c r="K188" s="117">
        <v>1323.6</v>
      </c>
      <c r="L188" s="115" t="s">
        <v>390</v>
      </c>
      <c r="M188" s="117">
        <v>50</v>
      </c>
      <c r="N188" s="117">
        <v>66187.688844328222</v>
      </c>
      <c r="O188" s="115" t="s">
        <v>390</v>
      </c>
      <c r="P188" s="116">
        <v>42976</v>
      </c>
      <c r="Q188" s="115"/>
      <c r="R188" s="115"/>
      <c r="S188" s="115"/>
      <c r="T188" s="115"/>
      <c r="U188" s="116">
        <v>42999</v>
      </c>
      <c r="V188" s="118"/>
      <c r="W188" s="118"/>
      <c r="X188" s="115" t="s">
        <v>644</v>
      </c>
      <c r="Y188" s="115"/>
      <c r="Z188" s="118"/>
      <c r="AA188" s="115" t="s">
        <v>645</v>
      </c>
      <c r="AB188" s="118" t="s">
        <v>646</v>
      </c>
      <c r="AC188" s="115" t="s">
        <v>728</v>
      </c>
      <c r="AD188" s="115"/>
    </row>
    <row r="189" spans="1:30" x14ac:dyDescent="0.25">
      <c r="A189" s="115" t="s">
        <v>729</v>
      </c>
      <c r="B189" s="115" t="s">
        <v>386</v>
      </c>
      <c r="C189" s="115"/>
      <c r="D189" s="115" t="s">
        <v>705</v>
      </c>
      <c r="E189" s="115" t="s">
        <v>566</v>
      </c>
      <c r="F189" s="115" t="s">
        <v>387</v>
      </c>
      <c r="G189" s="116">
        <v>42976.547233796293</v>
      </c>
      <c r="H189" s="116">
        <v>42976</v>
      </c>
      <c r="I189" s="115" t="s">
        <v>643</v>
      </c>
      <c r="J189" s="115" t="s">
        <v>388</v>
      </c>
      <c r="K189" s="117">
        <v>1323.6</v>
      </c>
      <c r="L189" s="115" t="s">
        <v>390</v>
      </c>
      <c r="M189" s="117">
        <v>18</v>
      </c>
      <c r="N189" s="117">
        <v>23827.567983958161</v>
      </c>
      <c r="O189" s="115" t="s">
        <v>390</v>
      </c>
      <c r="P189" s="116">
        <v>42976</v>
      </c>
      <c r="Q189" s="115"/>
      <c r="R189" s="115"/>
      <c r="S189" s="115"/>
      <c r="T189" s="115"/>
      <c r="U189" s="116">
        <v>42999</v>
      </c>
      <c r="V189" s="118"/>
      <c r="W189" s="118"/>
      <c r="X189" s="115" t="s">
        <v>644</v>
      </c>
      <c r="Y189" s="115"/>
      <c r="Z189" s="118"/>
      <c r="AA189" s="115" t="s">
        <v>645</v>
      </c>
      <c r="AB189" s="118" t="s">
        <v>646</v>
      </c>
      <c r="AC189" s="115" t="s">
        <v>730</v>
      </c>
      <c r="AD189" s="115"/>
    </row>
    <row r="190" spans="1:30" x14ac:dyDescent="0.25">
      <c r="A190" s="115" t="s">
        <v>731</v>
      </c>
      <c r="B190" s="115" t="s">
        <v>386</v>
      </c>
      <c r="C190" s="115"/>
      <c r="D190" s="115" t="s">
        <v>705</v>
      </c>
      <c r="E190" s="115" t="s">
        <v>566</v>
      </c>
      <c r="F190" s="115" t="s">
        <v>387</v>
      </c>
      <c r="G190" s="116">
        <v>42976.547233796293</v>
      </c>
      <c r="H190" s="116">
        <v>42976</v>
      </c>
      <c r="I190" s="115" t="s">
        <v>643</v>
      </c>
      <c r="J190" s="115" t="s">
        <v>388</v>
      </c>
      <c r="K190" s="117">
        <v>1323.6</v>
      </c>
      <c r="L190" s="115" t="s">
        <v>390</v>
      </c>
      <c r="M190" s="117">
        <v>82</v>
      </c>
      <c r="N190" s="117">
        <v>108547.80970469827</v>
      </c>
      <c r="O190" s="115" t="s">
        <v>390</v>
      </c>
      <c r="P190" s="116">
        <v>42976</v>
      </c>
      <c r="Q190" s="115"/>
      <c r="R190" s="115"/>
      <c r="S190" s="115"/>
      <c r="T190" s="115"/>
      <c r="U190" s="116">
        <v>42999</v>
      </c>
      <c r="V190" s="118"/>
      <c r="W190" s="118"/>
      <c r="X190" s="115" t="s">
        <v>644</v>
      </c>
      <c r="Y190" s="115"/>
      <c r="Z190" s="118"/>
      <c r="AA190" s="115" t="s">
        <v>645</v>
      </c>
      <c r="AB190" s="118" t="s">
        <v>646</v>
      </c>
      <c r="AC190" s="115" t="s">
        <v>732</v>
      </c>
      <c r="AD190" s="115"/>
    </row>
    <row r="191" spans="1:30" x14ac:dyDescent="0.25">
      <c r="A191" s="115" t="s">
        <v>733</v>
      </c>
      <c r="B191" s="115" t="s">
        <v>386</v>
      </c>
      <c r="C191" s="115"/>
      <c r="D191" s="115" t="s">
        <v>698</v>
      </c>
      <c r="E191" s="115" t="s">
        <v>562</v>
      </c>
      <c r="F191" s="115" t="s">
        <v>387</v>
      </c>
      <c r="G191" s="116">
        <v>42976.547442129631</v>
      </c>
      <c r="H191" s="116">
        <v>42976</v>
      </c>
      <c r="I191" s="115" t="s">
        <v>643</v>
      </c>
      <c r="J191" s="115" t="s">
        <v>388</v>
      </c>
      <c r="K191" s="117">
        <v>1323.6</v>
      </c>
      <c r="L191" s="115" t="s">
        <v>390</v>
      </c>
      <c r="M191" s="117">
        <v>88</v>
      </c>
      <c r="N191" s="117">
        <v>116490.33236601768</v>
      </c>
      <c r="O191" s="115" t="s">
        <v>390</v>
      </c>
      <c r="P191" s="116">
        <v>42976</v>
      </c>
      <c r="Q191" s="115"/>
      <c r="R191" s="115"/>
      <c r="S191" s="115"/>
      <c r="T191" s="115"/>
      <c r="U191" s="116">
        <v>42999</v>
      </c>
      <c r="V191" s="118"/>
      <c r="W191" s="118"/>
      <c r="X191" s="115" t="s">
        <v>644</v>
      </c>
      <c r="Y191" s="115"/>
      <c r="Z191" s="118"/>
      <c r="AA191" s="115" t="s">
        <v>645</v>
      </c>
      <c r="AB191" s="118" t="s">
        <v>646</v>
      </c>
      <c r="AC191" s="115" t="s">
        <v>734</v>
      </c>
      <c r="AD191" s="115"/>
    </row>
    <row r="192" spans="1:30" x14ac:dyDescent="0.25">
      <c r="A192" s="111" t="s">
        <v>735</v>
      </c>
      <c r="B192" s="112"/>
      <c r="C192" s="112"/>
      <c r="D192" s="112"/>
      <c r="E192" s="112"/>
      <c r="F192" s="112"/>
      <c r="G192" s="112"/>
      <c r="H192" s="112"/>
      <c r="I192" s="112"/>
      <c r="J192" s="112"/>
      <c r="K192" s="113"/>
      <c r="L192" s="112"/>
      <c r="M192" s="113"/>
      <c r="N192" s="113"/>
      <c r="O192" s="112"/>
      <c r="P192" s="112"/>
      <c r="Q192" s="112"/>
      <c r="R192" s="112"/>
      <c r="S192" s="112"/>
      <c r="T192" s="112"/>
      <c r="U192" s="112"/>
      <c r="V192" s="113"/>
      <c r="W192" s="113"/>
      <c r="X192" s="112"/>
      <c r="Y192" s="112"/>
      <c r="Z192" s="113"/>
      <c r="AA192" s="112"/>
      <c r="AB192" s="113"/>
      <c r="AC192" s="112"/>
      <c r="AD192" s="112"/>
    </row>
    <row r="193" spans="1:30" x14ac:dyDescent="0.25">
      <c r="A193" s="111" t="s">
        <v>736</v>
      </c>
      <c r="B193" s="112"/>
      <c r="C193" s="112"/>
      <c r="D193" s="112"/>
      <c r="E193" s="112"/>
      <c r="F193" s="112"/>
      <c r="G193" s="112"/>
      <c r="H193" s="112"/>
      <c r="I193" s="112"/>
      <c r="J193" s="112"/>
      <c r="K193" s="113"/>
      <c r="L193" s="112"/>
      <c r="M193" s="114">
        <v>11400</v>
      </c>
      <c r="N193" s="113"/>
      <c r="O193" s="112"/>
      <c r="P193" s="112"/>
      <c r="Q193" s="112"/>
      <c r="R193" s="112"/>
      <c r="S193" s="112"/>
      <c r="T193" s="112"/>
      <c r="U193" s="112"/>
      <c r="V193" s="113"/>
      <c r="W193" s="113"/>
      <c r="X193" s="112"/>
      <c r="Y193" s="112"/>
      <c r="Z193" s="113"/>
      <c r="AA193" s="112"/>
      <c r="AB193" s="113"/>
      <c r="AC193" s="112"/>
      <c r="AD193" s="112"/>
    </row>
    <row r="194" spans="1:30" x14ac:dyDescent="0.25">
      <c r="A194" s="111" t="s">
        <v>392</v>
      </c>
      <c r="B194" s="112"/>
      <c r="C194" s="112"/>
      <c r="D194" s="112"/>
      <c r="E194" s="112"/>
      <c r="F194" s="112"/>
      <c r="G194" s="112"/>
      <c r="H194" s="112"/>
      <c r="I194" s="112"/>
      <c r="J194" s="112"/>
      <c r="K194" s="113"/>
      <c r="L194" s="112"/>
      <c r="M194" s="114">
        <v>11400</v>
      </c>
      <c r="N194" s="113"/>
      <c r="O194" s="112"/>
      <c r="P194" s="112"/>
      <c r="Q194" s="112"/>
      <c r="R194" s="112"/>
      <c r="S194" s="112"/>
      <c r="T194" s="112"/>
      <c r="U194" s="112"/>
      <c r="V194" s="113"/>
      <c r="W194" s="113"/>
      <c r="X194" s="112"/>
      <c r="Y194" s="112"/>
      <c r="Z194" s="113"/>
      <c r="AA194" s="112"/>
      <c r="AB194" s="113"/>
      <c r="AC194" s="112"/>
      <c r="AD194" s="112"/>
    </row>
    <row r="195" spans="1:30" x14ac:dyDescent="0.25">
      <c r="A195" s="115" t="s">
        <v>737</v>
      </c>
      <c r="B195" s="115" t="s">
        <v>738</v>
      </c>
      <c r="C195" s="115"/>
      <c r="D195" s="115" t="s">
        <v>739</v>
      </c>
      <c r="E195" s="115" t="s">
        <v>739</v>
      </c>
      <c r="F195" s="115" t="s">
        <v>401</v>
      </c>
      <c r="G195" s="116">
        <v>42976.677615740744</v>
      </c>
      <c r="H195" s="116">
        <v>42975</v>
      </c>
      <c r="I195" s="115" t="s">
        <v>415</v>
      </c>
      <c r="J195" s="115" t="s">
        <v>740</v>
      </c>
      <c r="K195" s="117">
        <v>250.45</v>
      </c>
      <c r="L195" s="115" t="s">
        <v>20</v>
      </c>
      <c r="M195" s="117">
        <v>11400</v>
      </c>
      <c r="N195" s="117">
        <v>48849.48</v>
      </c>
      <c r="O195" s="115" t="s">
        <v>390</v>
      </c>
      <c r="P195" s="116">
        <v>42975</v>
      </c>
      <c r="Q195" s="115"/>
      <c r="R195" s="115"/>
      <c r="S195" s="115"/>
      <c r="T195" s="116">
        <v>42975</v>
      </c>
      <c r="U195" s="116">
        <v>42976</v>
      </c>
      <c r="V195" s="117">
        <v>1</v>
      </c>
      <c r="W195" s="119">
        <v>224.54</v>
      </c>
      <c r="X195" s="115" t="s">
        <v>282</v>
      </c>
      <c r="Y195" s="115"/>
      <c r="Z195" s="118"/>
      <c r="AA195" s="115" t="s">
        <v>741</v>
      </c>
      <c r="AB195" s="118" t="s">
        <v>742</v>
      </c>
      <c r="AC195" s="115"/>
      <c r="AD195" s="115" t="s">
        <v>743</v>
      </c>
    </row>
    <row r="196" spans="1:30" x14ac:dyDescent="0.25">
      <c r="A196" s="111" t="s">
        <v>744</v>
      </c>
      <c r="B196" s="112"/>
      <c r="C196" s="112"/>
      <c r="D196" s="112"/>
      <c r="E196" s="112"/>
      <c r="F196" s="112"/>
      <c r="G196" s="112"/>
      <c r="H196" s="112"/>
      <c r="I196" s="112"/>
      <c r="J196" s="112"/>
      <c r="K196" s="113"/>
      <c r="L196" s="112"/>
      <c r="M196" s="114">
        <v>149310</v>
      </c>
      <c r="N196" s="113"/>
      <c r="O196" s="112"/>
      <c r="P196" s="112"/>
      <c r="Q196" s="112"/>
      <c r="R196" s="112"/>
      <c r="S196" s="112"/>
      <c r="T196" s="112"/>
      <c r="U196" s="112"/>
      <c r="V196" s="113"/>
      <c r="W196" s="113"/>
      <c r="X196" s="112"/>
      <c r="Y196" s="112"/>
      <c r="Z196" s="113"/>
      <c r="AA196" s="112"/>
      <c r="AB196" s="113"/>
      <c r="AC196" s="112"/>
      <c r="AD196" s="112"/>
    </row>
    <row r="197" spans="1:30" x14ac:dyDescent="0.25">
      <c r="A197" s="111" t="s">
        <v>392</v>
      </c>
      <c r="B197" s="112"/>
      <c r="C197" s="112"/>
      <c r="D197" s="112"/>
      <c r="E197" s="112"/>
      <c r="F197" s="112"/>
      <c r="G197" s="112"/>
      <c r="H197" s="112"/>
      <c r="I197" s="112"/>
      <c r="J197" s="112"/>
      <c r="K197" s="113"/>
      <c r="L197" s="112"/>
      <c r="M197" s="114">
        <v>149310</v>
      </c>
      <c r="N197" s="113"/>
      <c r="O197" s="112"/>
      <c r="P197" s="112"/>
      <c r="Q197" s="112"/>
      <c r="R197" s="112"/>
      <c r="S197" s="112"/>
      <c r="T197" s="112"/>
      <c r="U197" s="112"/>
      <c r="V197" s="113"/>
      <c r="W197" s="113"/>
      <c r="X197" s="112"/>
      <c r="Y197" s="112"/>
      <c r="Z197" s="113"/>
      <c r="AA197" s="112"/>
      <c r="AB197" s="113"/>
      <c r="AC197" s="112"/>
      <c r="AD197" s="112"/>
    </row>
    <row r="198" spans="1:30" x14ac:dyDescent="0.25">
      <c r="A198" s="115" t="s">
        <v>745</v>
      </c>
      <c r="B198" s="115" t="s">
        <v>386</v>
      </c>
      <c r="C198" s="115" t="s">
        <v>746</v>
      </c>
      <c r="D198" s="115" t="s">
        <v>739</v>
      </c>
      <c r="E198" s="115" t="s">
        <v>739</v>
      </c>
      <c r="F198" s="115" t="s">
        <v>401</v>
      </c>
      <c r="G198" s="116">
        <v>42976.416307870371</v>
      </c>
      <c r="H198" s="116">
        <v>42976</v>
      </c>
      <c r="I198" s="115" t="s">
        <v>415</v>
      </c>
      <c r="J198" s="115" t="s">
        <v>740</v>
      </c>
      <c r="K198" s="117">
        <v>127.9</v>
      </c>
      <c r="L198" s="115" t="s">
        <v>20</v>
      </c>
      <c r="M198" s="117">
        <v>149310</v>
      </c>
      <c r="N198" s="117">
        <v>326116.82</v>
      </c>
      <c r="O198" s="115" t="s">
        <v>390</v>
      </c>
      <c r="P198" s="116">
        <v>42976</v>
      </c>
      <c r="Q198" s="115"/>
      <c r="R198" s="115"/>
      <c r="S198" s="115"/>
      <c r="T198" s="116">
        <v>42976</v>
      </c>
      <c r="U198" s="116">
        <v>43021</v>
      </c>
      <c r="V198" s="117">
        <v>45</v>
      </c>
      <c r="W198" s="119">
        <v>226.17</v>
      </c>
      <c r="X198" s="115" t="s">
        <v>84</v>
      </c>
      <c r="Y198" s="115"/>
      <c r="Z198" s="118"/>
      <c r="AA198" s="115" t="s">
        <v>747</v>
      </c>
      <c r="AB198" s="118" t="s">
        <v>748</v>
      </c>
      <c r="AC198" s="115"/>
      <c r="AD198" s="1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1"/>
  <sheetViews>
    <sheetView workbookViewId="0">
      <selection activeCell="O15" sqref="O15"/>
    </sheetView>
  </sheetViews>
  <sheetFormatPr defaultRowHeight="15" x14ac:dyDescent="0.25"/>
  <sheetData>
    <row r="1" spans="1:22" s="1" customFormat="1" ht="12.75" x14ac:dyDescent="0.2">
      <c r="F1" s="1" t="s">
        <v>94</v>
      </c>
      <c r="G1" s="1" t="e">
        <f ca="1">_xll.BDP($F$1,"PX last")</f>
        <v>#NAME?</v>
      </c>
      <c r="H1" s="1" t="s">
        <v>61</v>
      </c>
      <c r="I1" s="1" t="e">
        <f ca="1">_xll.BDP($H$1,"PX last")</f>
        <v>#NAME?</v>
      </c>
      <c r="J1" s="1" t="s">
        <v>89</v>
      </c>
      <c r="K1" s="1" t="e">
        <f ca="1">_xll.BDP($J$1,"PX last")</f>
        <v>#NAME?</v>
      </c>
      <c r="M1" s="1" t="s">
        <v>60</v>
      </c>
      <c r="O1" s="1" t="s">
        <v>124</v>
      </c>
      <c r="P1" s="1" t="e">
        <f ca="1">_xll.BDP($O$1,"PX last")</f>
        <v>#NAME?</v>
      </c>
    </row>
    <row r="2" spans="1:22" s="1" customFormat="1" ht="12.75" x14ac:dyDescent="0.2"/>
    <row r="3" spans="1:22" s="109" customFormat="1" ht="102" x14ac:dyDescent="0.25">
      <c r="A3" s="107"/>
      <c r="B3" s="107" t="s">
        <v>48</v>
      </c>
      <c r="C3" s="108" t="s">
        <v>47</v>
      </c>
      <c r="D3" s="108" t="s">
        <v>59</v>
      </c>
      <c r="E3" s="108" t="s">
        <v>58</v>
      </c>
      <c r="F3" s="108" t="s">
        <v>43</v>
      </c>
      <c r="G3" s="108" t="s">
        <v>57</v>
      </c>
      <c r="H3" s="108" t="s">
        <v>278</v>
      </c>
      <c r="I3" s="108" t="s">
        <v>279</v>
      </c>
      <c r="J3" s="107" t="s">
        <v>1</v>
      </c>
      <c r="K3" s="108" t="s">
        <v>40</v>
      </c>
      <c r="L3" s="108" t="s">
        <v>137</v>
      </c>
      <c r="M3" s="108" t="s">
        <v>65</v>
      </c>
      <c r="N3" s="108" t="s">
        <v>56</v>
      </c>
      <c r="O3" s="108" t="s">
        <v>62</v>
      </c>
      <c r="P3" s="108" t="s">
        <v>55</v>
      </c>
      <c r="Q3" s="108" t="s">
        <v>54</v>
      </c>
      <c r="R3" s="108" t="s">
        <v>52</v>
      </c>
      <c r="S3" s="108" t="s">
        <v>53</v>
      </c>
      <c r="T3" s="108" t="s">
        <v>283</v>
      </c>
      <c r="U3" s="108" t="s">
        <v>274</v>
      </c>
      <c r="V3" s="108" t="s">
        <v>275</v>
      </c>
    </row>
    <row r="4" spans="1:22" s="91" customFormat="1" ht="12.75" x14ac:dyDescent="0.2">
      <c r="A4" s="10" t="s">
        <v>2735</v>
      </c>
      <c r="B4" s="67" t="e">
        <f ca="1">_xll.BDP(C4,"SECURITY_NAME")</f>
        <v>#NAME?</v>
      </c>
      <c r="C4" s="68" t="s">
        <v>1588</v>
      </c>
      <c r="D4" s="69" t="e">
        <f t="shared" ref="D4:D12" ca="1" si="0">$Q4/$Q$13</f>
        <v>#NAME?</v>
      </c>
      <c r="E4" s="70">
        <f>$F$26</f>
        <v>14205</v>
      </c>
      <c r="F4" s="87">
        <f>$H$26</f>
        <v>4.3792609999999996</v>
      </c>
      <c r="G4" s="87" t="e">
        <f ca="1">_xll.BDP($C4,"PX_LAST")</f>
        <v>#NAME?</v>
      </c>
      <c r="H4" s="87" t="e">
        <f ca="1">_xll.BDP($C4,"BEST_TARGET_PRICE")</f>
        <v>#NAME?</v>
      </c>
      <c r="I4" s="106" t="e">
        <f t="shared" ref="I4:I10" ca="1" si="1">H4/G4-1</f>
        <v>#NAME?</v>
      </c>
      <c r="J4" s="87" t="e">
        <f ca="1">_xll.BDP($C4,"EQY_REC_CONS")</f>
        <v>#NAME?</v>
      </c>
      <c r="K4" s="71" t="e">
        <f ca="1">_xll.BDP($C4,"CRNCY")</f>
        <v>#NAME?</v>
      </c>
      <c r="L4" s="69" t="e">
        <f ca="1">$P4/$N4-1</f>
        <v>#NAME?</v>
      </c>
      <c r="M4" s="69" t="e">
        <f ca="1">G4/F4-1</f>
        <v>#NAME?</v>
      </c>
      <c r="N4" s="70" t="e">
        <f ca="1">$K$26</f>
        <v>#NAME?</v>
      </c>
      <c r="O4" s="70">
        <f>$E4*$F4</f>
        <v>62207.402504999998</v>
      </c>
      <c r="P4" s="70" t="e">
        <f ca="1">E4*G4*$I$1</f>
        <v>#NAME?</v>
      </c>
      <c r="Q4" s="88" t="e">
        <f ca="1">E4*G4</f>
        <v>#NAME?</v>
      </c>
      <c r="R4" s="72" t="e">
        <f t="shared" ref="R4:S11" ca="1" si="2">P4-N4</f>
        <v>#NAME?</v>
      </c>
      <c r="S4" s="72" t="e">
        <f t="shared" ca="1" si="2"/>
        <v>#NAME?</v>
      </c>
      <c r="T4" s="72" t="e">
        <f ca="1">_xll.BDP($C4,"EQY_DVD_YLD_EST")</f>
        <v>#NAME?</v>
      </c>
      <c r="U4" s="73" t="e">
        <f ca="1">_xll.BDP($C4,"DVD_EX_DT")</f>
        <v>#NAME?</v>
      </c>
      <c r="V4" s="73" t="e">
        <f ca="1">_xll.BDP($C4,"BDVD_NEXT_EST_DECL_DT")</f>
        <v>#NAME?</v>
      </c>
    </row>
    <row r="5" spans="1:22" s="91" customFormat="1" ht="12.75" x14ac:dyDescent="0.2">
      <c r="A5" s="10" t="s">
        <v>2735</v>
      </c>
      <c r="B5" s="67" t="e">
        <f ca="1">_xll.BDP(C5,"SECURITY_NAME")</f>
        <v>#NAME?</v>
      </c>
      <c r="C5" s="68" t="s">
        <v>125</v>
      </c>
      <c r="D5" s="69" t="e">
        <f t="shared" ca="1" si="0"/>
        <v>#NAME?</v>
      </c>
      <c r="E5" s="70">
        <f>$F$40</f>
        <v>6250</v>
      </c>
      <c r="F5" s="87">
        <f>$H$40</f>
        <v>9.9023000000000003</v>
      </c>
      <c r="G5" s="87" t="e">
        <f ca="1">_xll.BDP($C5,"PX_LAST")</f>
        <v>#NAME?</v>
      </c>
      <c r="H5" s="87" t="e">
        <f ca="1">_xll.BDP($C5,"BEST_TARGET_PRICE")</f>
        <v>#NAME?</v>
      </c>
      <c r="I5" s="106" t="e">
        <f t="shared" ca="1" si="1"/>
        <v>#NAME?</v>
      </c>
      <c r="J5" s="87" t="e">
        <f ca="1">_xll.BDP($C5,"EQY_REC_CONS")</f>
        <v>#NAME?</v>
      </c>
      <c r="K5" s="71" t="e">
        <f ca="1">_xll.BDP($C5,"CRNCY")</f>
        <v>#NAME?</v>
      </c>
      <c r="L5" s="69" t="e">
        <f ca="1">$P5/$N5-1</f>
        <v>#NAME?</v>
      </c>
      <c r="M5" s="69" t="e">
        <f ca="1">G5/F5-1</f>
        <v>#NAME?</v>
      </c>
      <c r="N5" s="70" t="e">
        <f ca="1">$K$40</f>
        <v>#NAME?</v>
      </c>
      <c r="O5" s="70">
        <f>$E5*$F5</f>
        <v>61889.375</v>
      </c>
      <c r="P5" s="70" t="e">
        <f ca="1">E5*G5*$I$1</f>
        <v>#NAME?</v>
      </c>
      <c r="Q5" s="88" t="e">
        <f ca="1">E5*G5</f>
        <v>#NAME?</v>
      </c>
      <c r="R5" s="72" t="e">
        <f t="shared" ca="1" si="2"/>
        <v>#NAME?</v>
      </c>
      <c r="S5" s="72" t="e">
        <f t="shared" ca="1" si="2"/>
        <v>#NAME?</v>
      </c>
      <c r="T5" s="72" t="e">
        <f ca="1">_xll.BDP($C5,"EQY_DVD_YLD_EST")</f>
        <v>#NAME?</v>
      </c>
      <c r="U5" s="73" t="e">
        <f ca="1">_xll.BDP($C5,"DVD_EX_DT")</f>
        <v>#NAME?</v>
      </c>
      <c r="V5" s="73" t="e">
        <f ca="1">_xll.BDP($C5,"BDVD_NEXT_EST_DECL_DT")</f>
        <v>#NAME?</v>
      </c>
    </row>
    <row r="6" spans="1:22" s="91" customFormat="1" ht="12.75" x14ac:dyDescent="0.2">
      <c r="A6" s="10" t="s">
        <v>2735</v>
      </c>
      <c r="B6" s="67" t="e">
        <f ca="1">_xll.BDP(C6,"SECURITY_NAME")</f>
        <v>#NAME?</v>
      </c>
      <c r="C6" s="68" t="s">
        <v>264</v>
      </c>
      <c r="D6" s="69" t="e">
        <f t="shared" ca="1" si="0"/>
        <v>#NAME?</v>
      </c>
      <c r="E6" s="70">
        <f>$F$37</f>
        <v>1136</v>
      </c>
      <c r="F6" s="87">
        <f>$H$37</f>
        <v>55</v>
      </c>
      <c r="G6" s="87" t="e">
        <f ca="1">_xll.BDP($C6,"PX_LAST")</f>
        <v>#NAME?</v>
      </c>
      <c r="H6" s="87" t="e">
        <f ca="1">_xll.BDP($C6,"BEST_TARGET_PRICE")</f>
        <v>#NAME?</v>
      </c>
      <c r="I6" s="106" t="e">
        <f t="shared" ca="1" si="1"/>
        <v>#NAME?</v>
      </c>
      <c r="J6" s="87" t="e">
        <f ca="1">_xll.BDP($C6,"EQY_REC_CONS")</f>
        <v>#NAME?</v>
      </c>
      <c r="K6" s="71" t="e">
        <f ca="1">_xll.BDP($C6,"CRNCY")</f>
        <v>#NAME?</v>
      </c>
      <c r="L6" s="69" t="e">
        <f ca="1">$P6/$N6-1</f>
        <v>#NAME?</v>
      </c>
      <c r="M6" s="69" t="e">
        <f ca="1">G6/F6-1</f>
        <v>#NAME?</v>
      </c>
      <c r="N6" s="70" t="e">
        <f ca="1">$K$37</f>
        <v>#NAME?</v>
      </c>
      <c r="O6" s="70">
        <f>$E6*$F6</f>
        <v>62480</v>
      </c>
      <c r="P6" s="70" t="e">
        <f ca="1">E6*G6*$I$1</f>
        <v>#NAME?</v>
      </c>
      <c r="Q6" s="88" t="e">
        <f ca="1">E6*G6</f>
        <v>#NAME?</v>
      </c>
      <c r="R6" s="72" t="e">
        <f ca="1">P6-N6</f>
        <v>#NAME?</v>
      </c>
      <c r="S6" s="72" t="e">
        <f ca="1">Q6-O6</f>
        <v>#NAME?</v>
      </c>
      <c r="T6" s="72" t="e">
        <f ca="1">_xll.BDP($C6,"EQY_DVD_YLD_EST")</f>
        <v>#NAME?</v>
      </c>
      <c r="U6" s="73" t="e">
        <f ca="1">_xll.BDP($C6,"DVD_EX_DT")</f>
        <v>#NAME?</v>
      </c>
      <c r="V6" s="73" t="e">
        <f ca="1">_xll.BDP($C6,"BDVD_NEXT_EST_DECL_DT")</f>
        <v>#NAME?</v>
      </c>
    </row>
    <row r="7" spans="1:22" s="91" customFormat="1" ht="12.75" x14ac:dyDescent="0.2">
      <c r="A7" s="10" t="s">
        <v>2735</v>
      </c>
      <c r="B7" s="67" t="e">
        <f ca="1">_xll.BDP(C7,"SECURITY_NAME")</f>
        <v>#NAME?</v>
      </c>
      <c r="C7" s="68" t="s">
        <v>133</v>
      </c>
      <c r="D7" s="69" t="e">
        <f t="shared" ca="1" si="0"/>
        <v>#NAME?</v>
      </c>
      <c r="E7" s="70">
        <f>$F$48</f>
        <v>13900</v>
      </c>
      <c r="F7" s="87">
        <f>$H$48</f>
        <v>4.4821</v>
      </c>
      <c r="G7" s="87" t="e">
        <f ca="1">_xll.BDP($C7,"PX_LAST")</f>
        <v>#NAME?</v>
      </c>
      <c r="H7" s="87" t="e">
        <f ca="1">_xll.BDP($C7,"BEST_TARGET_PRICE")</f>
        <v>#NAME?</v>
      </c>
      <c r="I7" s="106" t="e">
        <f t="shared" ca="1" si="1"/>
        <v>#NAME?</v>
      </c>
      <c r="J7" s="87" t="e">
        <f ca="1">_xll.BDP($C7,"EQY_REC_CONS")</f>
        <v>#NAME?</v>
      </c>
      <c r="K7" s="71" t="e">
        <f ca="1">_xll.BDP($C7,"CRNCY")</f>
        <v>#NAME?</v>
      </c>
      <c r="L7" s="69" t="e">
        <f ca="1">$P7/$N7-1</f>
        <v>#NAME?</v>
      </c>
      <c r="M7" s="69" t="e">
        <f ca="1">G7/F7-1</f>
        <v>#NAME?</v>
      </c>
      <c r="N7" s="70" t="e">
        <f ca="1">$K$48</f>
        <v>#NAME?</v>
      </c>
      <c r="O7" s="70">
        <f>$E7*$F7</f>
        <v>62301.19</v>
      </c>
      <c r="P7" s="70" t="e">
        <f ca="1">E7*G7*$I$1</f>
        <v>#NAME?</v>
      </c>
      <c r="Q7" s="88" t="e">
        <f ca="1">E7*G7</f>
        <v>#NAME?</v>
      </c>
      <c r="R7" s="72" t="e">
        <f ca="1">P7-N7</f>
        <v>#NAME?</v>
      </c>
      <c r="S7" s="72" t="e">
        <f ca="1">Q7-O7</f>
        <v>#NAME?</v>
      </c>
      <c r="T7" s="72" t="e">
        <f ca="1">_xll.BDP($C7,"EQY_DVD_YLD_EST")</f>
        <v>#NAME?</v>
      </c>
      <c r="U7" s="73" t="e">
        <f ca="1">_xll.BDP($C7,"DVD_EX_DT")</f>
        <v>#NAME?</v>
      </c>
      <c r="V7" s="73" t="e">
        <f ca="1">_xll.BDP($C7,"BDVD_NEXT_EST_DECL_DT")</f>
        <v>#NAME?</v>
      </c>
    </row>
    <row r="8" spans="1:22" s="91" customFormat="1" ht="12.75" x14ac:dyDescent="0.2">
      <c r="A8" s="10" t="s">
        <v>2735</v>
      </c>
      <c r="B8" s="67" t="e">
        <f ca="1">_xll.BDP(C8,"SECURITY_NAME")</f>
        <v>#NAME?</v>
      </c>
      <c r="C8" s="68" t="s">
        <v>2028</v>
      </c>
      <c r="D8" s="69" t="e">
        <f t="shared" ca="1" si="0"/>
        <v>#NAME?</v>
      </c>
      <c r="E8" s="70">
        <f>$F$51</f>
        <v>3950</v>
      </c>
      <c r="F8" s="87">
        <f>$H$51</f>
        <v>12.6</v>
      </c>
      <c r="G8" s="87" t="e">
        <f ca="1">_xll.BDP($C8,"PX_LAST")</f>
        <v>#NAME?</v>
      </c>
      <c r="H8" s="87" t="e">
        <f ca="1">_xll.BDP($C8,"BEST_TARGET_PRICE")</f>
        <v>#NAME?</v>
      </c>
      <c r="I8" s="106" t="e">
        <f t="shared" ca="1" si="1"/>
        <v>#NAME?</v>
      </c>
      <c r="J8" s="87" t="e">
        <f ca="1">_xll.BDP($C8,"EQY_REC_CONS")</f>
        <v>#NAME?</v>
      </c>
      <c r="K8" s="71" t="e">
        <f ca="1">_xll.BDP($C8,"CRNCY")</f>
        <v>#NAME?</v>
      </c>
      <c r="L8" s="69" t="e">
        <f ca="1">$P8/$N8-1</f>
        <v>#NAME?</v>
      </c>
      <c r="M8" s="69" t="e">
        <f ca="1">G8/F8-1</f>
        <v>#NAME?</v>
      </c>
      <c r="N8" s="70" t="e">
        <f ca="1">$K$51</f>
        <v>#NAME?</v>
      </c>
      <c r="O8" s="70">
        <f>$E8*$F8</f>
        <v>49770</v>
      </c>
      <c r="P8" s="70" t="e">
        <f ca="1">E8*G8*$I$1</f>
        <v>#NAME?</v>
      </c>
      <c r="Q8" s="88" t="e">
        <f ca="1">E8*G8</f>
        <v>#NAME?</v>
      </c>
      <c r="R8" s="72" t="e">
        <f t="shared" ca="1" si="2"/>
        <v>#NAME?</v>
      </c>
      <c r="S8" s="72" t="e">
        <f t="shared" ca="1" si="2"/>
        <v>#NAME?</v>
      </c>
      <c r="T8" s="72" t="e">
        <f ca="1">_xll.BDP($C8,"EQY_DVD_YLD_EST")</f>
        <v>#NAME?</v>
      </c>
      <c r="U8" s="73" t="e">
        <f ca="1">_xll.BDP($C8,"DVD_EX_DT")</f>
        <v>#NAME?</v>
      </c>
      <c r="V8" s="73" t="e">
        <f ca="1">_xll.BDP($C8,"BDVD_NEXT_EST_DECL_DT")</f>
        <v>#NAME?</v>
      </c>
    </row>
    <row r="9" spans="1:22" s="91" customFormat="1" ht="12.75" x14ac:dyDescent="0.2">
      <c r="A9" s="10" t="s">
        <v>2735</v>
      </c>
      <c r="B9" s="67" t="e">
        <f ca="1">_xll.BDP(C9,"SECURITY_NAME")</f>
        <v>#NAME?</v>
      </c>
      <c r="C9" s="68" t="s">
        <v>127</v>
      </c>
      <c r="D9" s="69" t="e">
        <f t="shared" ca="1" si="0"/>
        <v>#NAME?</v>
      </c>
      <c r="E9" s="70">
        <f>$F$29</f>
        <v>5150</v>
      </c>
      <c r="F9" s="87" t="e">
        <f ca="1">$H$29</f>
        <v>#NAME?</v>
      </c>
      <c r="G9" s="87" t="e">
        <f ca="1">_xll.BDP($C9,"PX_LAST")</f>
        <v>#NAME?</v>
      </c>
      <c r="H9" s="87" t="e">
        <f ca="1">_xll.BDP($C9,"BEST_TARGET_PRICE")</f>
        <v>#NAME?</v>
      </c>
      <c r="I9" s="106" t="e">
        <f t="shared" ca="1" si="1"/>
        <v>#NAME?</v>
      </c>
      <c r="J9" s="87" t="e">
        <f ca="1">_xll.BDP($C9,"EQY_REC_CONS")</f>
        <v>#NAME?</v>
      </c>
      <c r="K9" s="71" t="e">
        <f ca="1">_xll.BDP($C9,"CRNCY")</f>
        <v>#NAME?</v>
      </c>
      <c r="L9" s="69" t="e">
        <f ca="1">G9/F9-1</f>
        <v>#NAME?</v>
      </c>
      <c r="M9" s="69" t="e">
        <f ca="1">Q9/O9-1</f>
        <v>#NAME?</v>
      </c>
      <c r="N9" s="70" t="e">
        <f ca="1">E9*F9</f>
        <v>#NAME?</v>
      </c>
      <c r="O9" s="70" t="e">
        <f ca="1">$J$29</f>
        <v>#NAME?</v>
      </c>
      <c r="P9" s="70" t="e">
        <f ca="1">E9*G9</f>
        <v>#NAME?</v>
      </c>
      <c r="Q9" s="88" t="e">
        <f ca="1">P9/$I$1</f>
        <v>#NAME?</v>
      </c>
      <c r="R9" s="72" t="e">
        <f t="shared" ca="1" si="2"/>
        <v>#NAME?</v>
      </c>
      <c r="S9" s="72" t="e">
        <f t="shared" ca="1" si="2"/>
        <v>#NAME?</v>
      </c>
      <c r="T9" s="72" t="e">
        <f ca="1">_xll.BDP($C9,"EQY_DVD_YLD_EST")</f>
        <v>#NAME?</v>
      </c>
      <c r="U9" s="73" t="e">
        <f ca="1">_xll.BDP($C9,"DVD_EX_DT")</f>
        <v>#NAME?</v>
      </c>
      <c r="V9" s="73" t="e">
        <f ca="1">_xll.BDP($C9,"BDVD_NEXT_EST_DECL_DT")</f>
        <v>#NAME?</v>
      </c>
    </row>
    <row r="10" spans="1:22" s="91" customFormat="1" ht="12.75" x14ac:dyDescent="0.2">
      <c r="A10" s="10" t="s">
        <v>2735</v>
      </c>
      <c r="B10" s="67" t="e">
        <f ca="1">_xll.BDP(C10,"SECURITY_NAME")</f>
        <v>#NAME?</v>
      </c>
      <c r="C10" s="68" t="s">
        <v>88</v>
      </c>
      <c r="D10" s="69" t="e">
        <f t="shared" ca="1" si="0"/>
        <v>#NAME?</v>
      </c>
      <c r="E10" s="70">
        <f>$F$34</f>
        <v>89370</v>
      </c>
      <c r="F10" s="87" t="e">
        <f ca="1">$H$34</f>
        <v>#NAME?</v>
      </c>
      <c r="G10" s="87" t="e">
        <f ca="1">_xll.BDP($C10,"PX_LAST")</f>
        <v>#NAME?</v>
      </c>
      <c r="H10" s="87" t="e">
        <f ca="1">_xll.BDP($C10,"BEST_TARGET_PRICE")</f>
        <v>#NAME?</v>
      </c>
      <c r="I10" s="106" t="e">
        <f t="shared" ca="1" si="1"/>
        <v>#NAME?</v>
      </c>
      <c r="J10" s="87" t="e">
        <f ca="1">_xll.BDP($C10,"EQY_REC_CONS")</f>
        <v>#NAME?</v>
      </c>
      <c r="K10" s="71" t="e">
        <f ca="1">_xll.BDP($C10,"CRNCY")</f>
        <v>#NAME?</v>
      </c>
      <c r="L10" s="69" t="e">
        <f ca="1">P10/N10-1</f>
        <v>#NAME?</v>
      </c>
      <c r="M10" s="69" t="e">
        <f ca="1">Q10/O10-1</f>
        <v>#NAME?</v>
      </c>
      <c r="N10" s="70" t="e">
        <f ca="1">$K$34</f>
        <v>#NAME?</v>
      </c>
      <c r="O10" s="70" t="e">
        <f ca="1">$J$34</f>
        <v>#NAME?</v>
      </c>
      <c r="P10" s="70" t="e">
        <f ca="1">E10*G10*$K$1/100*$I$1</f>
        <v>#NAME?</v>
      </c>
      <c r="Q10" s="88" t="e">
        <f ca="1">P10/$I$1</f>
        <v>#NAME?</v>
      </c>
      <c r="R10" s="72" t="e">
        <f t="shared" ca="1" si="2"/>
        <v>#NAME?</v>
      </c>
      <c r="S10" s="72" t="e">
        <f t="shared" ca="1" si="2"/>
        <v>#NAME?</v>
      </c>
      <c r="T10" s="72" t="e">
        <f ca="1">_xll.BDP($C10,"EQY_DVD_YLD_EST")</f>
        <v>#NAME?</v>
      </c>
      <c r="U10" s="73" t="e">
        <f ca="1">_xll.BDP($C10,"BDVD_NEXT_EST_DECL_DT")</f>
        <v>#NAME?</v>
      </c>
    </row>
    <row r="11" spans="1:22" s="100" customFormat="1" ht="12.75" x14ac:dyDescent="0.2">
      <c r="A11" s="10" t="s">
        <v>2735</v>
      </c>
      <c r="B11" s="94" t="e">
        <f ca="1">_xll.BDP(C11,"SECURITY_NAME")</f>
        <v>#NAME?</v>
      </c>
      <c r="C11" s="93" t="s">
        <v>2736</v>
      </c>
      <c r="D11" s="95" t="e">
        <f t="shared" ca="1" si="0"/>
        <v>#NAME?</v>
      </c>
      <c r="E11" s="96">
        <f>$F$45</f>
        <v>442000</v>
      </c>
      <c r="F11" s="103">
        <f>$H$45</f>
        <v>175.07475113122172</v>
      </c>
      <c r="G11" s="97" t="e">
        <f ca="1">_xll.BDP(C11,"PX_ASK")</f>
        <v>#NAME?</v>
      </c>
      <c r="H11" s="97"/>
      <c r="I11" s="97"/>
      <c r="K11" s="101" t="e">
        <f ca="1">_xll.BDP($C11,"CRNCY")</f>
        <v>#NAME?</v>
      </c>
      <c r="L11" s="95" t="e">
        <f ca="1">P11/N11-1</f>
        <v>#NAME?</v>
      </c>
      <c r="M11" s="95" t="e">
        <f ca="1">G11/F11-1</f>
        <v>#NAME?</v>
      </c>
      <c r="N11" s="96" t="e">
        <f ca="1">$K$45</f>
        <v>#NAME?</v>
      </c>
      <c r="O11" s="96">
        <f>E11*F11/100</f>
        <v>773830.4</v>
      </c>
      <c r="P11" s="96" t="e">
        <f ca="1">G11*E11/100*$I$1</f>
        <v>#NAME?</v>
      </c>
      <c r="Q11" s="102" t="e">
        <f ca="1">P11/$I$1</f>
        <v>#NAME?</v>
      </c>
      <c r="R11" s="98" t="e">
        <f t="shared" ca="1" si="2"/>
        <v>#NAME?</v>
      </c>
      <c r="S11" s="98" t="e">
        <f t="shared" ca="1" si="2"/>
        <v>#NAME?</v>
      </c>
      <c r="T11" s="99" t="e">
        <f ca="1">_xll.BDP(C11,"YLD_CNV_BID")</f>
        <v>#NAME?</v>
      </c>
      <c r="U11" s="99"/>
    </row>
    <row r="12" spans="1:22" s="1" customFormat="1" ht="12.75" x14ac:dyDescent="0.2">
      <c r="A12" s="10" t="s">
        <v>2735</v>
      </c>
      <c r="B12" s="48" t="s">
        <v>49</v>
      </c>
      <c r="C12" s="48" t="s">
        <v>49</v>
      </c>
      <c r="D12" s="61" t="e">
        <f t="shared" ca="1" si="0"/>
        <v>#NAME?</v>
      </c>
      <c r="E12" s="44"/>
      <c r="F12" s="47"/>
      <c r="G12" s="46"/>
      <c r="H12" s="46"/>
      <c r="I12" s="46"/>
      <c r="J12" s="40"/>
      <c r="K12" s="40"/>
      <c r="L12" s="45"/>
      <c r="M12" s="45"/>
      <c r="N12" s="44"/>
      <c r="O12" s="44"/>
      <c r="P12" s="44"/>
      <c r="Q12" s="43">
        <f>571000+226000+3445000</f>
        <v>4242000</v>
      </c>
      <c r="R12" s="42"/>
      <c r="S12" s="41"/>
      <c r="T12" s="41"/>
      <c r="U12" s="40"/>
      <c r="V12" s="40"/>
    </row>
    <row r="13" spans="1:22" s="1" customFormat="1" ht="13.5" customHeight="1" thickBot="1" x14ac:dyDescent="0.25">
      <c r="B13" s="38"/>
      <c r="C13" s="38"/>
      <c r="D13" s="39" t="e">
        <f ca="1">SUM(D4:D12)</f>
        <v>#NAME?</v>
      </c>
      <c r="E13" s="38"/>
      <c r="F13" s="38"/>
      <c r="G13" s="38"/>
      <c r="H13" s="38"/>
      <c r="I13" s="105" t="e">
        <f ca="1">SUMPRODUCT(D4:D11,I4:I11)</f>
        <v>#NAME?</v>
      </c>
      <c r="J13" s="37"/>
      <c r="K13" s="37"/>
      <c r="L13" s="105" t="e">
        <f ca="1">SUMPRODUCT($D$4:$D$11,L4:L11)</f>
        <v>#NAME?</v>
      </c>
      <c r="M13" s="105" t="e">
        <f ca="1">SUMPRODUCT($D$4:$D$11,M4:M11)</f>
        <v>#NAME?</v>
      </c>
      <c r="N13" s="92" t="e">
        <f ca="1">SUM(N4:N12)</f>
        <v>#NAME?</v>
      </c>
      <c r="O13" s="92">
        <f>5000000-54000</f>
        <v>4946000</v>
      </c>
      <c r="P13" s="92" t="e">
        <f ca="1">SUM(P4:P12)</f>
        <v>#NAME?</v>
      </c>
      <c r="Q13" s="92" t="e">
        <f ca="1">SUM(Q4:Q12)</f>
        <v>#NAME?</v>
      </c>
      <c r="R13" s="89" t="e">
        <f ca="1">SUM(R4:R11)</f>
        <v>#NAME?</v>
      </c>
      <c r="S13" s="77" t="e">
        <f ca="1">SUM(S4:S11)</f>
        <v>#NAME?</v>
      </c>
      <c r="T13" s="104" t="e">
        <f ca="1">SUMPRODUCT(D4:D11,T4:T11)</f>
        <v>#NAME?</v>
      </c>
      <c r="U13" s="37"/>
      <c r="V13" s="37"/>
    </row>
    <row r="14" spans="1:22" s="1" customFormat="1" ht="13.5" customHeight="1" x14ac:dyDescent="0.2">
      <c r="B14" s="28"/>
      <c r="C14" s="28"/>
      <c r="D14" s="36"/>
      <c r="E14" s="28"/>
      <c r="F14" s="28"/>
      <c r="G14" s="28"/>
      <c r="I14" s="3" t="s">
        <v>281</v>
      </c>
      <c r="K14" s="28"/>
      <c r="L14" s="27"/>
      <c r="M14" s="27"/>
      <c r="N14" s="27"/>
      <c r="O14" s="27"/>
      <c r="P14" s="35"/>
      <c r="Q14" s="123" t="e">
        <f ca="1">Q13/O13-1</f>
        <v>#NAME?</v>
      </c>
      <c r="S14" s="76"/>
      <c r="T14" s="140" t="s">
        <v>280</v>
      </c>
    </row>
    <row r="15" spans="1:22" s="1" customFormat="1" ht="12.75" x14ac:dyDescent="0.2">
      <c r="E15" s="2"/>
      <c r="K15" s="18"/>
      <c r="L15" s="18" t="s">
        <v>2737</v>
      </c>
      <c r="M15" s="18"/>
      <c r="N15" s="26"/>
      <c r="O15" s="23"/>
      <c r="P15" s="23"/>
      <c r="Q15" s="19"/>
      <c r="T15" s="141"/>
    </row>
    <row r="16" spans="1:22" s="1" customFormat="1" ht="12.75" x14ac:dyDescent="0.2">
      <c r="B16" s="21" t="s">
        <v>117</v>
      </c>
      <c r="E16" s="2"/>
      <c r="M16" s="26"/>
      <c r="N16" s="23"/>
      <c r="O16" s="23"/>
      <c r="P16" s="19"/>
    </row>
    <row r="17" spans="1:22" s="1" customFormat="1" ht="12.75" x14ac:dyDescent="0.2">
      <c r="B17" s="90">
        <v>2017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8"/>
      <c r="N17" s="23"/>
      <c r="O17" s="23"/>
      <c r="P17" s="19"/>
    </row>
    <row r="18" spans="1:22" s="1" customFormat="1" ht="76.5" x14ac:dyDescent="0.2">
      <c r="B18" s="34" t="s">
        <v>48</v>
      </c>
      <c r="C18" s="33" t="s">
        <v>47</v>
      </c>
      <c r="D18" s="33" t="s">
        <v>78</v>
      </c>
      <c r="E18" s="33" t="s">
        <v>77</v>
      </c>
      <c r="F18" s="33" t="s">
        <v>79</v>
      </c>
      <c r="G18" s="33" t="s">
        <v>76</v>
      </c>
      <c r="H18" s="33" t="s">
        <v>46</v>
      </c>
      <c r="I18" s="33" t="s">
        <v>45</v>
      </c>
      <c r="J18" s="33" t="s">
        <v>44</v>
      </c>
      <c r="K18" s="33" t="s">
        <v>43</v>
      </c>
      <c r="L18" s="33" t="s">
        <v>42</v>
      </c>
      <c r="M18" s="33" t="s">
        <v>41</v>
      </c>
      <c r="N18" s="33" t="s">
        <v>155</v>
      </c>
      <c r="O18" s="33" t="s">
        <v>40</v>
      </c>
      <c r="P18" s="33" t="s">
        <v>120</v>
      </c>
      <c r="Q18" s="33" t="s">
        <v>118</v>
      </c>
      <c r="R18" s="33" t="s">
        <v>119</v>
      </c>
    </row>
    <row r="19" spans="1:22" x14ac:dyDescent="0.25">
      <c r="B19" s="62" t="e">
        <f ca="1">_xll.BDP(C19,"SECURITY_NAME")</f>
        <v>#NAME?</v>
      </c>
      <c r="C19" s="62" t="s">
        <v>250</v>
      </c>
      <c r="D19" t="s">
        <v>5</v>
      </c>
      <c r="E19" s="29" t="e">
        <f ca="1">F19*_xll.BDP(C19,"PX_LAST")/100</f>
        <v>#NAME?</v>
      </c>
      <c r="F19" s="29">
        <v>200000</v>
      </c>
      <c r="G19" s="29">
        <v>200000</v>
      </c>
      <c r="H19" s="32">
        <f>G19/F19</f>
        <v>1</v>
      </c>
      <c r="I19" s="29">
        <f>G19*K19/100</f>
        <v>201500</v>
      </c>
      <c r="J19" s="30">
        <f>G19*L19/100</f>
        <v>215000</v>
      </c>
      <c r="K19" s="25">
        <v>100.75</v>
      </c>
      <c r="L19" s="25">
        <v>107.5</v>
      </c>
      <c r="M19" s="69">
        <f>L19/K19-1</f>
        <v>6.6997518610421913E-2</v>
      </c>
      <c r="N19" s="70" t="e">
        <f ca="1">(J19-I19)*R19</f>
        <v>#NAME?</v>
      </c>
      <c r="O19" s="65" t="e">
        <f ca="1">_xll.BDP($C19,"CRNCY")</f>
        <v>#NAME?</v>
      </c>
      <c r="P19" s="29" t="e">
        <f ca="1">N19/R19</f>
        <v>#NAME?</v>
      </c>
      <c r="Q19" s="4">
        <v>42866</v>
      </c>
      <c r="R19" s="11" t="e">
        <f ca="1">_xll.BDH("RUB curncy","PX_LAST",$Q19)</f>
        <v>#NAME?</v>
      </c>
      <c r="S19" s="1"/>
    </row>
    <row r="20" spans="1:22" s="1" customFormat="1" ht="12.75" x14ac:dyDescent="0.2">
      <c r="B20" s="31"/>
      <c r="C20" s="28"/>
      <c r="D20" s="51"/>
      <c r="E20" s="29"/>
      <c r="F20" s="29"/>
      <c r="G20" s="63"/>
      <c r="H20" s="32"/>
      <c r="I20" s="29"/>
      <c r="J20" s="30"/>
      <c r="K20" s="64"/>
      <c r="L20" s="64"/>
      <c r="M20" s="24" t="s">
        <v>39</v>
      </c>
      <c r="N20" s="75" t="e">
        <f ca="1">SUM(N19)</f>
        <v>#NAME?</v>
      </c>
      <c r="O20" s="23" t="s">
        <v>20</v>
      </c>
      <c r="P20" s="75" t="e">
        <f ca="1">SUM(P19)</f>
        <v>#NAME?</v>
      </c>
      <c r="Q20" s="4"/>
      <c r="R20" s="53"/>
    </row>
    <row r="21" spans="1:22" s="1" customFormat="1" ht="12.75" x14ac:dyDescent="0.2">
      <c r="B21" s="21" t="s">
        <v>38</v>
      </c>
      <c r="C21" s="2"/>
      <c r="D21" s="20"/>
      <c r="H21" s="20"/>
      <c r="I21" s="2"/>
      <c r="J21" s="2"/>
      <c r="K21" s="18"/>
    </row>
    <row r="22" spans="1:22" s="109" customFormat="1" ht="13.5" thickBot="1" x14ac:dyDescent="0.25">
      <c r="A22" s="1"/>
      <c r="B22" s="1"/>
      <c r="C22" s="18"/>
      <c r="D22" s="18"/>
      <c r="E22" s="1"/>
      <c r="F22" s="1"/>
      <c r="G22" s="18"/>
      <c r="H22" s="2"/>
      <c r="I22" s="19"/>
      <c r="J22" s="2"/>
      <c r="K22" s="18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s="91" customFormat="1" x14ac:dyDescent="0.35">
      <c r="A23" s="1"/>
      <c r="B23" s="15"/>
      <c r="C23" s="15"/>
      <c r="D23" s="15"/>
      <c r="E23" s="15"/>
      <c r="F23" s="15"/>
      <c r="G23" s="15"/>
      <c r="H23" s="17" t="s">
        <v>37</v>
      </c>
      <c r="I23" s="16" t="s">
        <v>36</v>
      </c>
      <c r="J23" s="16" t="s">
        <v>35</v>
      </c>
      <c r="K23" s="16"/>
      <c r="L23" s="15"/>
      <c r="M23" s="15"/>
      <c r="N23" s="15"/>
      <c r="O23" s="1"/>
      <c r="P23" s="1"/>
      <c r="Q23" s="74"/>
      <c r="R23" s="1"/>
      <c r="S23" s="1"/>
      <c r="T23" s="1"/>
      <c r="U23" s="1"/>
      <c r="V23" s="1"/>
    </row>
    <row r="24" spans="1:22" s="91" customFormat="1" x14ac:dyDescent="0.35">
      <c r="A24" s="1"/>
      <c r="B24" s="12" t="s">
        <v>34</v>
      </c>
      <c r="C24" s="12" t="s">
        <v>33</v>
      </c>
      <c r="D24" s="12" t="s">
        <v>32</v>
      </c>
      <c r="E24" s="12" t="s">
        <v>31</v>
      </c>
      <c r="F24" s="12" t="s">
        <v>30</v>
      </c>
      <c r="G24" s="12" t="s">
        <v>29</v>
      </c>
      <c r="H24" s="14" t="s">
        <v>28</v>
      </c>
      <c r="I24" s="13" t="s">
        <v>28</v>
      </c>
      <c r="J24" s="13" t="s">
        <v>20</v>
      </c>
      <c r="K24" s="13" t="s">
        <v>18</v>
      </c>
      <c r="L24" s="12" t="s">
        <v>27</v>
      </c>
      <c r="M24" s="12" t="s">
        <v>26</v>
      </c>
      <c r="N24" s="12" t="s">
        <v>25</v>
      </c>
      <c r="O24" s="1"/>
      <c r="P24" s="1"/>
      <c r="Q24" s="1"/>
      <c r="R24" s="1"/>
      <c r="S24" s="1"/>
      <c r="T24" s="1"/>
      <c r="U24" s="1"/>
      <c r="V24" s="1"/>
    </row>
    <row r="25" spans="1:22" s="91" customFormat="1" ht="12.75" x14ac:dyDescent="0.2">
      <c r="A25" s="1"/>
      <c r="B25" s="10" t="s">
        <v>2735</v>
      </c>
      <c r="C25" s="9" t="s">
        <v>3</v>
      </c>
      <c r="D25" s="7" t="e">
        <f ca="1">_xll.BDP(C25,"SECURITY_NAME")</f>
        <v>#NAME?</v>
      </c>
      <c r="E25" s="7" t="s">
        <v>4</v>
      </c>
      <c r="F25" s="8">
        <v>14205</v>
      </c>
      <c r="G25" s="7" t="e">
        <f ca="1">_xll.BDP(C25,"CRNCY")</f>
        <v>#NAME?</v>
      </c>
      <c r="H25" s="79">
        <v>4.3792609999999996</v>
      </c>
      <c r="I25" s="5">
        <f>F25*H25</f>
        <v>62207.402504999998</v>
      </c>
      <c r="J25" s="6">
        <f>I25</f>
        <v>62207.402504999998</v>
      </c>
      <c r="K25" s="5" t="e">
        <f ca="1">J25*L25</f>
        <v>#NAME?</v>
      </c>
      <c r="L25" s="11" t="e">
        <f ca="1">_xll.BDH("RUB curncy","PX_LAST",$N25)</f>
        <v>#NAME?</v>
      </c>
      <c r="M25" s="56" t="e">
        <f ca="1">1/_xll.BDH("RUB curncy","PX_LAST",$N25)</f>
        <v>#NAME?</v>
      </c>
      <c r="N25" s="4">
        <v>42781</v>
      </c>
      <c r="O25" s="1"/>
      <c r="P25" s="80">
        <f>F25*0.14586</f>
        <v>2071.9413</v>
      </c>
      <c r="Q25" s="1"/>
      <c r="R25" s="1"/>
      <c r="S25" s="1"/>
      <c r="T25" s="1"/>
      <c r="U25" s="1"/>
      <c r="V25" s="1"/>
    </row>
    <row r="26" spans="1:22" s="91" customFormat="1" ht="12.75" x14ac:dyDescent="0.2">
      <c r="A26" s="21"/>
      <c r="B26" s="85"/>
      <c r="C26" s="84"/>
      <c r="D26" s="58"/>
      <c r="E26" s="58"/>
      <c r="F26" s="54">
        <f>SUM(F25:F25)</f>
        <v>14205</v>
      </c>
      <c r="G26" s="58"/>
      <c r="H26" s="59">
        <f>I26/F26</f>
        <v>4.3792609999999996</v>
      </c>
      <c r="I26" s="54">
        <f>SUM(I25:I25)</f>
        <v>62207.402504999998</v>
      </c>
      <c r="J26" s="54">
        <f>SUM(J25:J25)</f>
        <v>62207.402504999998</v>
      </c>
      <c r="K26" s="54" t="e">
        <f ca="1">SUM(K25:K25)</f>
        <v>#NAME?</v>
      </c>
      <c r="L26" s="55"/>
      <c r="M26" s="83"/>
      <c r="N26" s="82"/>
      <c r="O26" s="21"/>
      <c r="P26" s="21"/>
      <c r="Q26" s="21"/>
      <c r="R26" s="21"/>
      <c r="S26" s="21"/>
      <c r="T26" s="21"/>
      <c r="U26" s="21"/>
      <c r="V26" s="21"/>
    </row>
    <row r="27" spans="1:22" s="91" customFormat="1" ht="12.75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s="91" customFormat="1" ht="12.75" x14ac:dyDescent="0.2">
      <c r="A28" s="1"/>
      <c r="B28" s="10" t="s">
        <v>2735</v>
      </c>
      <c r="C28" s="9" t="s">
        <v>128</v>
      </c>
      <c r="D28" s="7" t="e">
        <f ca="1">_xll.BDP(C28,"SECURITY_NAME")</f>
        <v>#NAME?</v>
      </c>
      <c r="E28" s="7" t="s">
        <v>4</v>
      </c>
      <c r="F28" s="8">
        <v>5150</v>
      </c>
      <c r="G28" s="7" t="e">
        <f ca="1">_xll.BDP(C28,"CRNCY")</f>
        <v>#NAME?</v>
      </c>
      <c r="H28" s="79" t="e">
        <f ca="1">_xll.BDH(C28,"PX_LAST",N28)</f>
        <v>#NAME?</v>
      </c>
      <c r="I28" s="5" t="e">
        <f ca="1">F28*H28</f>
        <v>#NAME?</v>
      </c>
      <c r="J28" s="6" t="e">
        <f ca="1">I28/L28</f>
        <v>#NAME?</v>
      </c>
      <c r="K28" s="5" t="e">
        <f ca="1">J28*L28</f>
        <v>#NAME?</v>
      </c>
      <c r="L28" s="11" t="e">
        <f ca="1">_xll.BDH("RUB curncy","PX_LAST",$N28)</f>
        <v>#NAME?</v>
      </c>
      <c r="M28" s="56" t="e">
        <f ca="1">1/_xll.BDH("RUB curncy","PX_LAST",$N28)</f>
        <v>#NAME?</v>
      </c>
      <c r="N28" s="4">
        <v>42781</v>
      </c>
      <c r="O28" s="1"/>
      <c r="P28" s="80">
        <f>F28*0.18</f>
        <v>927</v>
      </c>
      <c r="Q28" s="1"/>
      <c r="R28" s="1"/>
      <c r="S28" s="1"/>
      <c r="T28" s="1"/>
      <c r="U28" s="1"/>
      <c r="V28" s="1"/>
    </row>
    <row r="29" spans="1:22" s="91" customFormat="1" ht="12.75" x14ac:dyDescent="0.2">
      <c r="A29" s="21"/>
      <c r="B29" s="85"/>
      <c r="C29" s="84"/>
      <c r="D29" s="58"/>
      <c r="E29" s="58"/>
      <c r="F29" s="54">
        <f>SUM(F28:F28)</f>
        <v>5150</v>
      </c>
      <c r="G29" s="58"/>
      <c r="H29" s="59" t="e">
        <f ca="1">I29/F29</f>
        <v>#NAME?</v>
      </c>
      <c r="I29" s="54" t="e">
        <f ca="1">SUM(I28:I28)</f>
        <v>#NAME?</v>
      </c>
      <c r="J29" s="54" t="e">
        <f ca="1">SUM(J28:J28)</f>
        <v>#NAME?</v>
      </c>
      <c r="K29" s="54" t="e">
        <f ca="1">SUM(K28:K28)</f>
        <v>#NAME?</v>
      </c>
      <c r="L29" s="55"/>
      <c r="M29" s="86"/>
      <c r="N29" s="82"/>
      <c r="O29" s="21"/>
      <c r="P29" s="21"/>
      <c r="Q29" s="21"/>
      <c r="R29" s="21"/>
      <c r="S29" s="21"/>
      <c r="T29" s="21"/>
      <c r="U29" s="21"/>
      <c r="V29" s="21"/>
    </row>
    <row r="30" spans="1:22" s="100" customFormat="1" ht="12.75" x14ac:dyDescent="0.2">
      <c r="A30" s="22"/>
      <c r="B30" s="49"/>
      <c r="C30" s="50"/>
      <c r="D30" s="51"/>
      <c r="E30" s="51"/>
      <c r="F30" s="52"/>
      <c r="G30" s="51"/>
      <c r="H30" s="78"/>
      <c r="I30" s="52"/>
      <c r="J30" s="52"/>
      <c r="K30" s="52"/>
      <c r="L30" s="53"/>
      <c r="M30" s="57"/>
      <c r="N30" s="4"/>
      <c r="O30" s="22"/>
      <c r="P30" s="22"/>
      <c r="Q30" s="22"/>
      <c r="R30" s="22"/>
      <c r="S30" s="22"/>
      <c r="T30" s="22"/>
      <c r="U30" s="22"/>
      <c r="V30" s="22"/>
    </row>
    <row r="31" spans="1:22" s="1" customFormat="1" ht="12.75" x14ac:dyDescent="0.2">
      <c r="B31" s="10" t="s">
        <v>2735</v>
      </c>
      <c r="C31" s="9" t="s">
        <v>63</v>
      </c>
      <c r="D31" s="7" t="e">
        <f ca="1">_xll.BDP(C31,"SECURITY_NAME")</f>
        <v>#NAME?</v>
      </c>
      <c r="E31" s="7" t="s">
        <v>4</v>
      </c>
      <c r="F31" s="8">
        <v>35500</v>
      </c>
      <c r="G31" s="7" t="e">
        <f ca="1">_xll.BDP(C31,"CRNCY")</f>
        <v>#NAME?</v>
      </c>
      <c r="H31" s="79">
        <v>136</v>
      </c>
      <c r="I31" s="5">
        <f>F31*H31/100</f>
        <v>48280</v>
      </c>
      <c r="J31" s="6" t="e">
        <f ca="1">I31*L31</f>
        <v>#NAME?</v>
      </c>
      <c r="K31" s="5" t="e">
        <f ca="1">J31/M31</f>
        <v>#NAME?</v>
      </c>
      <c r="L31" s="11" t="e">
        <f ca="1">_xll.BDH("GBP curncy","PX_LAST",$N31)</f>
        <v>#NAME?</v>
      </c>
      <c r="M31" s="56" t="e">
        <f ca="1">1/_xll.BDH("RUB curncy","PX_LAST",$N31)</f>
        <v>#NAME?</v>
      </c>
      <c r="N31" s="4">
        <v>42860</v>
      </c>
    </row>
    <row r="32" spans="1:22" s="1" customFormat="1" ht="13.5" customHeight="1" x14ac:dyDescent="0.2">
      <c r="B32" s="10" t="s">
        <v>2735</v>
      </c>
      <c r="C32" s="9" t="s">
        <v>63</v>
      </c>
      <c r="D32" s="7" t="e">
        <f ca="1">_xll.BDP(C32,"SECURITY_NAME")</f>
        <v>#NAME?</v>
      </c>
      <c r="E32" s="7" t="s">
        <v>4</v>
      </c>
      <c r="F32" s="8">
        <v>27070</v>
      </c>
      <c r="G32" s="7" t="e">
        <f ca="1">_xll.BDP(C32,"CRNCY")</f>
        <v>#NAME?</v>
      </c>
      <c r="H32" s="79">
        <v>143.69825299999999</v>
      </c>
      <c r="I32" s="5">
        <f>F32*H32/100</f>
        <v>38899.117087099999</v>
      </c>
      <c r="J32" s="6" t="e">
        <f ca="1">I32*L32</f>
        <v>#NAME?</v>
      </c>
      <c r="K32" s="5" t="e">
        <f ca="1">J32/M32</f>
        <v>#NAME?</v>
      </c>
      <c r="L32" s="11" t="e">
        <f ca="1">_xll.BDH("GBP curncy","PX_LAST",$N32)</f>
        <v>#NAME?</v>
      </c>
      <c r="M32" s="56" t="e">
        <f ca="1">1/_xll.BDH("RUB curncy","PX_LAST",$N32)</f>
        <v>#NAME?</v>
      </c>
      <c r="N32" s="4">
        <v>42851</v>
      </c>
    </row>
    <row r="33" spans="1:22" s="1" customFormat="1" ht="13.5" customHeight="1" x14ac:dyDescent="0.2">
      <c r="B33" s="10" t="s">
        <v>2735</v>
      </c>
      <c r="C33" s="9" t="s">
        <v>63</v>
      </c>
      <c r="D33" s="7" t="e">
        <f ca="1">_xll.BDP(C33,"SECURITY_NAME")</f>
        <v>#NAME?</v>
      </c>
      <c r="E33" s="7" t="s">
        <v>4</v>
      </c>
      <c r="F33" s="8">
        <v>26800</v>
      </c>
      <c r="G33" s="7" t="e">
        <f ca="1">_xll.BDP(C33,"CRNCY")</f>
        <v>#NAME?</v>
      </c>
      <c r="H33" s="79" t="e">
        <f ca="1">_xll.BDH(C33,"PX_LAST",N33)</f>
        <v>#NAME?</v>
      </c>
      <c r="I33" s="5" t="e">
        <f ca="1">F33*H33/100</f>
        <v>#NAME?</v>
      </c>
      <c r="J33" s="6" t="e">
        <f ca="1">I33*L33</f>
        <v>#NAME?</v>
      </c>
      <c r="K33" s="5" t="e">
        <f ca="1">J33/M33</f>
        <v>#NAME?</v>
      </c>
      <c r="L33" s="11" t="e">
        <f ca="1">_xll.BDH("GBP curncy","PX_LAST",$N33)</f>
        <v>#NAME?</v>
      </c>
      <c r="M33" s="56" t="e">
        <f ca="1">1/_xll.BDH("RUB curncy","PX_LAST",$N33)</f>
        <v>#NAME?</v>
      </c>
      <c r="N33" s="4">
        <v>42781</v>
      </c>
      <c r="P33" s="80" t="e">
        <f ca="1">F33*0.054*K1</f>
        <v>#NAME?</v>
      </c>
    </row>
    <row r="34" spans="1:22" s="1" customFormat="1" ht="12.75" x14ac:dyDescent="0.2">
      <c r="A34" s="21"/>
      <c r="B34" s="85"/>
      <c r="C34" s="84"/>
      <c r="D34" s="58"/>
      <c r="E34" s="58"/>
      <c r="F34" s="54">
        <f>SUM(F31:F33)</f>
        <v>89370</v>
      </c>
      <c r="G34" s="58"/>
      <c r="H34" s="59" t="e">
        <f ca="1">I34/F34*100</f>
        <v>#NAME?</v>
      </c>
      <c r="I34" s="54" t="e">
        <f ca="1">SUM(I31:I33)</f>
        <v>#NAME?</v>
      </c>
      <c r="J34" s="54" t="e">
        <f ca="1">SUM(J31:J33)</f>
        <v>#NAME?</v>
      </c>
      <c r="K34" s="54" t="e">
        <f ca="1">SUM(K31:K33)</f>
        <v>#NAME?</v>
      </c>
      <c r="L34" s="55"/>
      <c r="M34" s="86"/>
      <c r="N34" s="82"/>
      <c r="O34" s="21"/>
      <c r="P34" s="21"/>
      <c r="Q34" s="21"/>
      <c r="R34" s="21"/>
      <c r="S34" s="21"/>
      <c r="T34" s="21"/>
      <c r="U34" s="21"/>
      <c r="V34" s="21"/>
    </row>
    <row r="35" spans="1:22" s="1" customFormat="1" ht="12.75" x14ac:dyDescent="0.2">
      <c r="J35" s="81" t="e">
        <f ca="1">J34/F34</f>
        <v>#NAME?</v>
      </c>
    </row>
    <row r="36" spans="1:22" s="1" customFormat="1" ht="12.75" x14ac:dyDescent="0.2">
      <c r="B36" s="10" t="s">
        <v>2735</v>
      </c>
      <c r="C36" s="9" t="s">
        <v>0</v>
      </c>
      <c r="D36" s="7" t="e">
        <f ca="1">_xll.BDP(C36,"SECURITY_NAME")</f>
        <v>#NAME?</v>
      </c>
      <c r="E36" s="7" t="s">
        <v>4</v>
      </c>
      <c r="F36" s="8">
        <v>1136</v>
      </c>
      <c r="G36" s="7" t="e">
        <f ca="1">_xll.BDP(C36,"CRNCY")</f>
        <v>#NAME?</v>
      </c>
      <c r="H36" s="79">
        <v>55</v>
      </c>
      <c r="I36" s="5">
        <f>F36*H36</f>
        <v>62480</v>
      </c>
      <c r="J36" s="6">
        <f>I36</f>
        <v>62480</v>
      </c>
      <c r="K36" s="5" t="e">
        <f ca="1">J36*L36</f>
        <v>#NAME?</v>
      </c>
      <c r="L36" s="11" t="e">
        <f ca="1">_xll.BDH("RUB curncy","PX_LAST",$N36)</f>
        <v>#NAME?</v>
      </c>
      <c r="M36" s="56" t="e">
        <f ca="1">1/_xll.BDH("RUB curncy","PX_LAST",$N36)</f>
        <v>#NAME?</v>
      </c>
      <c r="N36" s="4">
        <v>42788</v>
      </c>
    </row>
    <row r="37" spans="1:22" s="1" customFormat="1" ht="12.75" x14ac:dyDescent="0.2">
      <c r="B37" s="85"/>
      <c r="C37" s="84"/>
      <c r="D37" s="58"/>
      <c r="E37" s="58"/>
      <c r="F37" s="54">
        <f>SUM(F36:F36)</f>
        <v>1136</v>
      </c>
      <c r="G37" s="58"/>
      <c r="H37" s="59">
        <f>I37/F37</f>
        <v>55</v>
      </c>
      <c r="I37" s="54">
        <f>SUM(I36:I36)</f>
        <v>62480</v>
      </c>
      <c r="J37" s="54">
        <f>SUM(J36:J36)</f>
        <v>62480</v>
      </c>
      <c r="K37" s="54" t="e">
        <f ca="1">SUM(K36:K36)</f>
        <v>#NAME?</v>
      </c>
      <c r="L37" s="55"/>
      <c r="M37" s="83"/>
      <c r="N37" s="82"/>
    </row>
    <row r="38" spans="1:2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</row>
    <row r="39" spans="1:22" x14ac:dyDescent="0.25">
      <c r="A39" s="1"/>
      <c r="B39" s="10" t="s">
        <v>2735</v>
      </c>
      <c r="C39" s="9" t="s">
        <v>17</v>
      </c>
      <c r="D39" s="7" t="e">
        <f ca="1">_xll.BDP(C39,"SECURITY_NAME")</f>
        <v>#NAME?</v>
      </c>
      <c r="E39" s="7" t="s">
        <v>4</v>
      </c>
      <c r="F39" s="8">
        <v>6250</v>
      </c>
      <c r="G39" s="7" t="e">
        <f ca="1">_xll.BDP(C39,"CRNCY")</f>
        <v>#NAME?</v>
      </c>
      <c r="H39" s="79">
        <v>9.9023000000000003</v>
      </c>
      <c r="I39" s="5">
        <f>F39*H39</f>
        <v>61889.375</v>
      </c>
      <c r="J39" s="6">
        <f>I39</f>
        <v>61889.375</v>
      </c>
      <c r="K39" s="5" t="e">
        <f ca="1">J39*L39</f>
        <v>#NAME?</v>
      </c>
      <c r="L39" s="11" t="e">
        <f ca="1">_xll.BDH("RUB curncy","PX_LAST",$N39)</f>
        <v>#NAME?</v>
      </c>
      <c r="M39" s="56" t="e">
        <f ca="1">1/_xll.BDH("RUB curncy","PX_LAST",$N39)</f>
        <v>#NAME?</v>
      </c>
      <c r="N39" s="4">
        <v>42786</v>
      </c>
      <c r="O39" s="1"/>
      <c r="P39" s="80">
        <f>F39*0.114678</f>
        <v>716.73750000000007</v>
      </c>
      <c r="Q39" s="1"/>
      <c r="R39" s="1"/>
      <c r="S39" s="1"/>
      <c r="T39" s="1"/>
      <c r="U39" s="1"/>
      <c r="V39" s="1"/>
    </row>
    <row r="40" spans="1:22" x14ac:dyDescent="0.25">
      <c r="A40" s="1"/>
      <c r="B40" s="85"/>
      <c r="C40" s="84"/>
      <c r="D40" s="58"/>
      <c r="E40" s="58"/>
      <c r="F40" s="54">
        <f>SUM(F39:F39)</f>
        <v>6250</v>
      </c>
      <c r="G40" s="58"/>
      <c r="H40" s="59">
        <f>I40/F40</f>
        <v>9.9023000000000003</v>
      </c>
      <c r="I40" s="54">
        <f>SUM(I39:I39)</f>
        <v>61889.375</v>
      </c>
      <c r="J40" s="54">
        <f>SUM(J39:J39)</f>
        <v>61889.375</v>
      </c>
      <c r="K40" s="54" t="e">
        <f ca="1">SUM(K39:K39)</f>
        <v>#NAME?</v>
      </c>
      <c r="L40" s="55"/>
      <c r="M40" s="83"/>
      <c r="N40" s="82"/>
      <c r="O40" s="1"/>
      <c r="P40" s="1"/>
      <c r="Q40" s="1"/>
      <c r="R40" s="1"/>
      <c r="S40" s="1"/>
      <c r="T40" s="1"/>
      <c r="U40" s="1"/>
      <c r="V40" s="1"/>
    </row>
    <row r="41" spans="1:2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</row>
    <row r="42" spans="1:22" x14ac:dyDescent="0.25">
      <c r="A42" s="1"/>
      <c r="B42" s="10"/>
      <c r="C42" s="68"/>
      <c r="D42" s="7"/>
      <c r="E42" s="7"/>
      <c r="F42" s="8"/>
      <c r="G42" s="7"/>
      <c r="H42" s="11"/>
      <c r="I42" s="5"/>
      <c r="J42" s="6"/>
      <c r="K42" s="5"/>
      <c r="L42" s="11"/>
      <c r="M42" s="56"/>
      <c r="N42" s="4"/>
      <c r="O42" s="1"/>
      <c r="P42" s="1"/>
      <c r="Q42" s="1"/>
      <c r="R42" s="1"/>
      <c r="S42" s="1"/>
      <c r="T42" s="1"/>
      <c r="U42" s="1"/>
      <c r="V42" s="1"/>
    </row>
    <row r="43" spans="1:22" x14ac:dyDescent="0.25">
      <c r="A43" s="1"/>
      <c r="B43" s="10" t="s">
        <v>2735</v>
      </c>
      <c r="C43" s="68" t="s">
        <v>2736</v>
      </c>
      <c r="D43" s="7" t="e">
        <f ca="1">_xll.BDP(C43,"SECURITY_NAME")</f>
        <v>#NAME?</v>
      </c>
      <c r="E43" s="7" t="s">
        <v>4</v>
      </c>
      <c r="F43" s="8">
        <v>106000</v>
      </c>
      <c r="G43" s="7" t="s">
        <v>20</v>
      </c>
      <c r="H43" s="11">
        <v>175.28</v>
      </c>
      <c r="I43" s="5">
        <f t="shared" ref="I43:I44" si="3">F43*H43/100</f>
        <v>185796.8</v>
      </c>
      <c r="J43" s="6">
        <f t="shared" ref="J43:J44" si="4">I43</f>
        <v>185796.8</v>
      </c>
      <c r="K43" s="5" t="e">
        <f t="shared" ref="K43:K44" ca="1" si="5">J43*L43</f>
        <v>#NAME?</v>
      </c>
      <c r="L43" s="11" t="e">
        <f ca="1">_xll.BDH("RUB curncy","PX_LAST",$N43)</f>
        <v>#NAME?</v>
      </c>
      <c r="M43" s="56" t="e">
        <f ca="1">1/_xll.BDH("RUB curncy","PX_LAST",$N43)</f>
        <v>#NAME?</v>
      </c>
      <c r="N43" s="4">
        <v>42783</v>
      </c>
      <c r="O43" s="1"/>
      <c r="P43" s="1"/>
      <c r="Q43" s="1"/>
      <c r="R43" s="1"/>
      <c r="S43" s="1"/>
      <c r="T43" s="1"/>
      <c r="U43" s="1"/>
      <c r="V43" s="1"/>
    </row>
    <row r="44" spans="1:22" x14ac:dyDescent="0.25">
      <c r="A44" s="1"/>
      <c r="B44" s="10" t="s">
        <v>2735</v>
      </c>
      <c r="C44" s="68" t="s">
        <v>2736</v>
      </c>
      <c r="D44" s="7" t="e">
        <f ca="1">_xll.BDP(C44,"SECURITY_NAME")</f>
        <v>#NAME?</v>
      </c>
      <c r="E44" s="7" t="s">
        <v>4</v>
      </c>
      <c r="F44" s="8">
        <v>336000</v>
      </c>
      <c r="G44" s="7" t="s">
        <v>20</v>
      </c>
      <c r="H44" s="11">
        <v>175.01</v>
      </c>
      <c r="I44" s="5">
        <f t="shared" si="3"/>
        <v>588033.6</v>
      </c>
      <c r="J44" s="6">
        <f t="shared" si="4"/>
        <v>588033.6</v>
      </c>
      <c r="K44" s="5" t="e">
        <f t="shared" ca="1" si="5"/>
        <v>#NAME?</v>
      </c>
      <c r="L44" s="11" t="e">
        <f ca="1">_xll.BDH("RUB curncy","PX_LAST",$N44)</f>
        <v>#NAME?</v>
      </c>
      <c r="M44" s="56" t="e">
        <f ca="1">1/_xll.BDH("RUB curncy","PX_LAST",$N44)</f>
        <v>#NAME?</v>
      </c>
      <c r="N44" s="4">
        <v>42907</v>
      </c>
      <c r="O44" s="1"/>
      <c r="P44" s="1"/>
      <c r="Q44" s="1"/>
      <c r="R44" s="1"/>
      <c r="S44" s="1"/>
      <c r="T44" s="1"/>
      <c r="U44" s="1"/>
      <c r="V44" s="1"/>
    </row>
    <row r="45" spans="1:22" x14ac:dyDescent="0.25">
      <c r="A45" s="1"/>
      <c r="B45" s="49"/>
      <c r="C45" s="50"/>
      <c r="D45" s="51"/>
      <c r="E45" s="51"/>
      <c r="F45" s="54">
        <f>SUM(F43:F44)</f>
        <v>442000</v>
      </c>
      <c r="G45" s="58"/>
      <c r="H45" s="60">
        <f>I45/F45*100</f>
        <v>175.07475113122172</v>
      </c>
      <c r="I45" s="54">
        <f>SUM(I43:I44)</f>
        <v>773830.39999999991</v>
      </c>
      <c r="J45" s="54">
        <f>SUM(J43:J44)</f>
        <v>773830.39999999991</v>
      </c>
      <c r="K45" s="54" t="e">
        <f ca="1">SUM(K43:K44)</f>
        <v>#NAME?</v>
      </c>
      <c r="L45" s="53"/>
      <c r="M45" s="57"/>
      <c r="N45" s="4"/>
      <c r="O45" s="1"/>
      <c r="P45" s="1"/>
      <c r="Q45" s="1"/>
      <c r="R45" s="1"/>
      <c r="S45" s="1"/>
      <c r="T45" s="1"/>
      <c r="U45" s="1"/>
      <c r="V45" s="1"/>
    </row>
    <row r="46" spans="1:22" x14ac:dyDescent="0.25">
      <c r="A46" s="1"/>
      <c r="B46" s="49"/>
      <c r="C46" s="50"/>
      <c r="D46" s="51"/>
      <c r="E46" s="51"/>
      <c r="F46" s="54"/>
      <c r="G46" s="58"/>
      <c r="H46" s="60"/>
      <c r="I46" s="54"/>
      <c r="J46" s="54"/>
      <c r="K46" s="54"/>
      <c r="L46" s="53"/>
      <c r="M46" s="57"/>
      <c r="N46" s="4"/>
      <c r="O46" s="1"/>
      <c r="P46" s="1"/>
      <c r="Q46" s="1"/>
      <c r="R46" s="1"/>
      <c r="S46" s="1"/>
      <c r="T46" s="1"/>
      <c r="U46" s="1"/>
      <c r="V46" s="1"/>
    </row>
    <row r="47" spans="1:22" x14ac:dyDescent="0.25">
      <c r="A47" s="1"/>
      <c r="B47" s="10" t="s">
        <v>2735</v>
      </c>
      <c r="C47" s="9" t="s">
        <v>16</v>
      </c>
      <c r="D47" s="7" t="e">
        <f ca="1">_xll.BDP(C47,"SECURITY_NAME")</f>
        <v>#NAME?</v>
      </c>
      <c r="E47" s="7" t="s">
        <v>4</v>
      </c>
      <c r="F47" s="8">
        <v>13900</v>
      </c>
      <c r="G47" s="7" t="e">
        <f ca="1">_xll.BDP(C47,"CRNCY")</f>
        <v>#NAME?</v>
      </c>
      <c r="H47" s="79">
        <v>4.4821</v>
      </c>
      <c r="I47" s="5">
        <f>F47*H47</f>
        <v>62301.19</v>
      </c>
      <c r="J47" s="6">
        <f>I47</f>
        <v>62301.19</v>
      </c>
      <c r="K47" s="5" t="e">
        <f ca="1">J47*L47</f>
        <v>#NAME?</v>
      </c>
      <c r="L47" s="11" t="e">
        <f ca="1">_xll.BDH("RUB curncy","PX_LAST",$N47)</f>
        <v>#NAME?</v>
      </c>
      <c r="M47" s="56" t="e">
        <f ca="1">1/_xll.BDH("RUB curncy","PX_LAST",$N47)</f>
        <v>#NAME?</v>
      </c>
      <c r="N47" s="4">
        <v>42817</v>
      </c>
      <c r="O47" s="1"/>
      <c r="P47" s="80">
        <f>F47*0.278374</f>
        <v>3869.3986</v>
      </c>
      <c r="Q47" s="1"/>
      <c r="R47" s="1"/>
      <c r="S47" s="1"/>
      <c r="T47" s="1"/>
      <c r="U47" s="1"/>
      <c r="V47" s="1"/>
    </row>
    <row r="48" spans="1:22" x14ac:dyDescent="0.25">
      <c r="A48" s="1"/>
      <c r="B48" s="85"/>
      <c r="C48" s="84"/>
      <c r="D48" s="58"/>
      <c r="E48" s="58"/>
      <c r="F48" s="54">
        <f>SUM(F47:F47)</f>
        <v>13900</v>
      </c>
      <c r="G48" s="58"/>
      <c r="H48" s="59">
        <f>I48/F48</f>
        <v>4.4821</v>
      </c>
      <c r="I48" s="54">
        <f>SUM(I47:I47)</f>
        <v>62301.19</v>
      </c>
      <c r="J48" s="54">
        <f>SUM(J47:J47)</f>
        <v>62301.19</v>
      </c>
      <c r="K48" s="54" t="e">
        <f ca="1">SUM(K47:K47)</f>
        <v>#NAME?</v>
      </c>
      <c r="L48" s="55"/>
      <c r="M48" s="83"/>
      <c r="N48" s="82"/>
      <c r="O48" s="1"/>
      <c r="P48" s="1"/>
      <c r="Q48" s="1"/>
      <c r="R48" s="1"/>
      <c r="S48" s="1"/>
      <c r="T48" s="1"/>
      <c r="U48" s="1"/>
      <c r="V48" s="1"/>
    </row>
    <row r="49" spans="1:2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</row>
    <row r="50" spans="1:22" x14ac:dyDescent="0.25">
      <c r="A50" s="1"/>
      <c r="B50" s="10" t="s">
        <v>2735</v>
      </c>
      <c r="C50" s="9" t="s">
        <v>256</v>
      </c>
      <c r="D50" s="7" t="e">
        <f ca="1">_xll.BDP(C50,"SECURITY_NAME")</f>
        <v>#NAME?</v>
      </c>
      <c r="E50" s="7" t="s">
        <v>4</v>
      </c>
      <c r="F50" s="8">
        <v>3950</v>
      </c>
      <c r="G50" s="7" t="e">
        <f ca="1">_xll.BDP(C50,"CRNCY")</f>
        <v>#NAME?</v>
      </c>
      <c r="H50" s="79">
        <v>12.6</v>
      </c>
      <c r="I50" s="5">
        <f>F50*H50</f>
        <v>49770</v>
      </c>
      <c r="J50" s="6">
        <f>I50</f>
        <v>49770</v>
      </c>
      <c r="K50" s="5" t="e">
        <f ca="1">J50*L50</f>
        <v>#NAME?</v>
      </c>
      <c r="L50" s="11" t="e">
        <f ca="1">_xll.BDH("RUB curncy","PX_LAST",$N50)</f>
        <v>#NAME?</v>
      </c>
      <c r="M50" s="56" t="e">
        <f ca="1">1/_xll.BDH("RUB curncy","PX_LAST",$N50)</f>
        <v>#NAME?</v>
      </c>
      <c r="N50" s="4">
        <v>42831</v>
      </c>
      <c r="O50" s="1"/>
      <c r="P50" s="80">
        <f>F50*0.55</f>
        <v>2172.5</v>
      </c>
      <c r="Q50" s="1"/>
      <c r="R50" s="1"/>
      <c r="S50" s="1"/>
      <c r="T50" s="1"/>
      <c r="U50" s="1"/>
      <c r="V50" s="1"/>
    </row>
    <row r="51" spans="1:22" x14ac:dyDescent="0.25">
      <c r="A51" s="1"/>
      <c r="B51" s="85"/>
      <c r="C51" s="84"/>
      <c r="D51" s="58"/>
      <c r="E51" s="58"/>
      <c r="F51" s="54">
        <f>SUM(F50:F50)</f>
        <v>3950</v>
      </c>
      <c r="G51" s="58"/>
      <c r="H51" s="59">
        <f>I51/F51</f>
        <v>12.6</v>
      </c>
      <c r="I51" s="54">
        <f>SUM(I50:I50)</f>
        <v>49770</v>
      </c>
      <c r="J51" s="54">
        <f>SUM(J50:J50)</f>
        <v>49770</v>
      </c>
      <c r="K51" s="54" t="e">
        <f ca="1">SUM(K50:K50)</f>
        <v>#NAME?</v>
      </c>
      <c r="L51" s="55"/>
      <c r="M51" s="83"/>
      <c r="N51" s="82"/>
      <c r="O51" s="1"/>
      <c r="P51" s="1"/>
      <c r="Q51" s="1"/>
      <c r="R51" s="1"/>
      <c r="S51" s="1"/>
      <c r="T51" s="1"/>
      <c r="U51" s="1"/>
      <c r="V51" s="1"/>
    </row>
    <row r="52" spans="1:2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</row>
    <row r="53" spans="1:22" x14ac:dyDescent="0.25">
      <c r="A53" s="1"/>
      <c r="B53" s="10" t="s">
        <v>2735</v>
      </c>
      <c r="C53" s="9" t="s">
        <v>265</v>
      </c>
      <c r="D53" s="7" t="e">
        <f ca="1">_xll.BDP(C53,"SECURITY_NAME")</f>
        <v>#NAME?</v>
      </c>
      <c r="E53" s="7" t="s">
        <v>4</v>
      </c>
      <c r="F53" s="8">
        <v>200000</v>
      </c>
      <c r="G53" s="7" t="s">
        <v>20</v>
      </c>
      <c r="H53" s="79">
        <v>111.53</v>
      </c>
      <c r="I53" s="5">
        <f>F53*H53</f>
        <v>22306000</v>
      </c>
      <c r="J53" s="6">
        <f>I53</f>
        <v>22306000</v>
      </c>
      <c r="K53" s="5" t="e">
        <f ca="1">J53*L53</f>
        <v>#NAME?</v>
      </c>
      <c r="L53" s="11" t="e">
        <f ca="1">_xll.BDH("RUB curncy","PX_LAST",$N53)</f>
        <v>#NAME?</v>
      </c>
      <c r="M53" s="56" t="e">
        <f ca="1">1/_xll.BDH("RUB curncy","PX_LAST",$N53)</f>
        <v>#NAME?</v>
      </c>
      <c r="N53" s="4">
        <v>42909</v>
      </c>
      <c r="O53" s="1"/>
      <c r="P53" s="80">
        <f>F53*0.14586</f>
        <v>29171.999999999996</v>
      </c>
      <c r="Q53" s="1"/>
      <c r="R53" s="1"/>
      <c r="S53" s="1"/>
      <c r="T53" s="1"/>
      <c r="U53" s="1"/>
      <c r="V53" s="1"/>
    </row>
    <row r="54" spans="1:22" x14ac:dyDescent="0.25">
      <c r="A54" s="1"/>
      <c r="B54" s="1"/>
      <c r="C54" s="1"/>
      <c r="D54" s="1"/>
      <c r="E54" s="1"/>
      <c r="F54" s="66">
        <f>SUM(F53:F53)</f>
        <v>200000</v>
      </c>
      <c r="G54" s="1"/>
      <c r="H54" s="1">
        <f>I54/F54</f>
        <v>111.53</v>
      </c>
      <c r="I54" s="66">
        <f>SUM(I53:I53)</f>
        <v>22306000</v>
      </c>
      <c r="J54" s="124">
        <f>SUM(J53:J53)</f>
        <v>22306000</v>
      </c>
      <c r="K54" s="66" t="e">
        <f ca="1">SUM(K53:K53)</f>
        <v>#NAME?</v>
      </c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</row>
    <row r="55" spans="1:2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</row>
    <row r="56" spans="1:22" x14ac:dyDescent="0.25">
      <c r="A56" s="1"/>
      <c r="B56" s="10" t="s">
        <v>2735</v>
      </c>
      <c r="C56" s="9" t="s">
        <v>2009</v>
      </c>
      <c r="D56" s="7" t="e">
        <f ca="1">_xll.BDP(C56,"SECURITY_NAME")</f>
        <v>#NAME?</v>
      </c>
      <c r="E56" s="7" t="s">
        <v>4</v>
      </c>
      <c r="F56" s="8">
        <v>200000</v>
      </c>
      <c r="G56" s="7" t="s">
        <v>20</v>
      </c>
      <c r="H56" s="79">
        <v>110.61</v>
      </c>
      <c r="I56" s="5">
        <f>F56*H56</f>
        <v>22122000</v>
      </c>
      <c r="J56" s="6">
        <f>I56</f>
        <v>22122000</v>
      </c>
      <c r="K56" s="5" t="e">
        <f ca="1">J56*L56</f>
        <v>#NAME?</v>
      </c>
      <c r="L56" s="11" t="e">
        <f ca="1">_xll.BDH("RUB curncy","PX_LAST",$N56)</f>
        <v>#NAME?</v>
      </c>
      <c r="M56" s="56" t="e">
        <f ca="1">1/_xll.BDH("RUB curncy","PX_LAST",$N56)</f>
        <v>#NAME?</v>
      </c>
      <c r="N56" s="4">
        <v>42909</v>
      </c>
      <c r="O56" s="1"/>
      <c r="P56" s="80">
        <f>F56*0.14586</f>
        <v>29171.999999999996</v>
      </c>
      <c r="Q56" s="1"/>
      <c r="R56" s="1"/>
      <c r="S56" s="1"/>
      <c r="T56" s="1"/>
      <c r="U56" s="1"/>
      <c r="V56" s="1"/>
    </row>
    <row r="57" spans="1:22" x14ac:dyDescent="0.25">
      <c r="A57" s="1"/>
      <c r="B57" s="1"/>
      <c r="C57" s="1"/>
      <c r="D57" s="1"/>
      <c r="E57" s="1"/>
      <c r="F57" s="66">
        <f>SUM(F56:F56)</f>
        <v>200000</v>
      </c>
      <c r="G57" s="1"/>
      <c r="H57" s="1">
        <f>I57/F57</f>
        <v>110.61</v>
      </c>
      <c r="I57" s="66">
        <f>SUM(I56:I56)</f>
        <v>22122000</v>
      </c>
      <c r="J57" s="124">
        <f>SUM(J56:J56)</f>
        <v>22122000</v>
      </c>
      <c r="K57" s="66" t="e">
        <f ca="1">SUM(K56:K56)</f>
        <v>#NAME?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</row>
    <row r="58" spans="1:2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</row>
    <row r="59" spans="1:22" x14ac:dyDescent="0.25">
      <c r="A59" s="1"/>
      <c r="B59" s="10" t="s">
        <v>2735</v>
      </c>
      <c r="C59" s="9" t="s">
        <v>250</v>
      </c>
      <c r="D59" s="7" t="e">
        <f ca="1">_xll.BDP(C59,"SECURITY_NAME")</f>
        <v>#NAME?</v>
      </c>
      <c r="E59" s="7" t="s">
        <v>4</v>
      </c>
      <c r="F59" s="8">
        <v>200000</v>
      </c>
      <c r="G59" s="7" t="s">
        <v>20</v>
      </c>
      <c r="H59" s="79">
        <v>100.75</v>
      </c>
      <c r="I59" s="5">
        <f>F59*H59</f>
        <v>20150000</v>
      </c>
      <c r="J59" s="6">
        <f>I59</f>
        <v>20150000</v>
      </c>
      <c r="K59" s="5" t="e">
        <f ca="1">J59*L59</f>
        <v>#NAME?</v>
      </c>
      <c r="L59" s="11" t="e">
        <f ca="1">_xll.BDH("RUB curncy","PX_LAST",$N59)</f>
        <v>#NAME?</v>
      </c>
      <c r="M59" s="56" t="e">
        <f ca="1">1/_xll.BDH("RUB curncy","PX_LAST",$N59)</f>
        <v>#NAME?</v>
      </c>
      <c r="N59" s="4">
        <v>42782</v>
      </c>
      <c r="O59" s="1"/>
      <c r="P59" s="80">
        <f>F59*0.14586</f>
        <v>29171.999999999996</v>
      </c>
      <c r="Q59" s="1"/>
      <c r="R59" s="1"/>
      <c r="S59" s="1"/>
      <c r="T59" s="1"/>
      <c r="U59" s="1"/>
      <c r="V59" s="1"/>
    </row>
    <row r="60" spans="1:22" x14ac:dyDescent="0.25">
      <c r="A60" s="1"/>
      <c r="B60" s="1"/>
      <c r="C60" s="1"/>
      <c r="D60" s="1"/>
      <c r="E60" s="1"/>
      <c r="F60" s="66">
        <f>SUM(F59:F59)</f>
        <v>200000</v>
      </c>
      <c r="G60" s="1"/>
      <c r="H60" s="1">
        <f>I60/F60</f>
        <v>100.75</v>
      </c>
      <c r="I60" s="66">
        <f>SUM(I59:I59)</f>
        <v>20150000</v>
      </c>
      <c r="J60" s="124">
        <f>SUM(J59:J59)</f>
        <v>20150000</v>
      </c>
      <c r="K60" s="66" t="e">
        <f ca="1">SUM(K59:K59)</f>
        <v>#NAME?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</row>
    <row r="61" spans="1:2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</row>
    <row r="62" spans="1:22" x14ac:dyDescent="0.25">
      <c r="A62" s="1"/>
      <c r="B62" s="10" t="s">
        <v>2735</v>
      </c>
      <c r="C62" s="9" t="s">
        <v>881</v>
      </c>
      <c r="D62" s="7" t="e">
        <f ca="1">_xll.BDP(C62,"SECURITY_NAME")</f>
        <v>#NAME?</v>
      </c>
      <c r="E62" s="7" t="s">
        <v>4</v>
      </c>
      <c r="F62" s="8">
        <v>200000</v>
      </c>
      <c r="G62" s="7" t="s">
        <v>20</v>
      </c>
      <c r="H62" s="79">
        <v>95.515000000000001</v>
      </c>
      <c r="I62" s="5">
        <f>F62*H62</f>
        <v>19103000</v>
      </c>
      <c r="J62" s="6">
        <f>I62</f>
        <v>19103000</v>
      </c>
      <c r="K62" s="5" t="e">
        <f ca="1">J62*L62</f>
        <v>#NAME?</v>
      </c>
      <c r="L62" s="11" t="e">
        <f ca="1">_xll.BDH("RUB curncy","PX_LAST",$N62)</f>
        <v>#NAME?</v>
      </c>
      <c r="M62" s="56" t="e">
        <f ca="1">1/_xll.BDH("RUB curncy","PX_LAST",$N62)</f>
        <v>#NAME?</v>
      </c>
      <c r="N62" s="4">
        <v>42965</v>
      </c>
      <c r="O62" s="1"/>
      <c r="P62" s="80">
        <f>F62*0.14586</f>
        <v>29171.999999999996</v>
      </c>
      <c r="Q62" s="1"/>
      <c r="R62" s="1"/>
      <c r="S62" s="1"/>
      <c r="T62" s="1"/>
      <c r="U62" s="1"/>
      <c r="V62" s="1"/>
    </row>
    <row r="63" spans="1:22" x14ac:dyDescent="0.25">
      <c r="A63" s="1"/>
      <c r="B63" s="1"/>
      <c r="C63" s="1"/>
      <c r="D63" s="1"/>
      <c r="E63" s="1"/>
      <c r="F63" s="66">
        <f>SUM(F62:F62)</f>
        <v>200000</v>
      </c>
      <c r="G63" s="1"/>
      <c r="H63" s="1">
        <f>I63/F63</f>
        <v>95.515000000000001</v>
      </c>
      <c r="I63" s="66">
        <f>SUM(I62:I62)</f>
        <v>19103000</v>
      </c>
      <c r="J63" s="124">
        <f>SUM(J62:J62)</f>
        <v>19103000</v>
      </c>
      <c r="K63" s="66" t="e">
        <f ca="1">SUM(K62:K62)</f>
        <v>#NAME?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1:2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2" x14ac:dyDescent="0.25">
      <c r="A65" s="1"/>
      <c r="B65" s="10" t="s">
        <v>2735</v>
      </c>
      <c r="C65" s="9" t="s">
        <v>2028</v>
      </c>
      <c r="D65" s="7" t="e">
        <f ca="1">_xll.BDP(C65,"SECURITY_NAME")</f>
        <v>#NAME?</v>
      </c>
      <c r="E65" s="7" t="s">
        <v>4</v>
      </c>
      <c r="F65" s="8">
        <v>3950</v>
      </c>
      <c r="G65" s="7" t="s">
        <v>20</v>
      </c>
      <c r="H65" s="79">
        <v>12.6</v>
      </c>
      <c r="I65" s="5">
        <f>F65*H65</f>
        <v>49770</v>
      </c>
      <c r="J65" s="6">
        <f>I65</f>
        <v>49770</v>
      </c>
      <c r="K65" s="5" t="e">
        <f ca="1">J65*L65</f>
        <v>#NAME?</v>
      </c>
      <c r="L65" s="11" t="e">
        <f ca="1">_xll.BDH("RUB curncy","PX_LAST",$N65)</f>
        <v>#NAME?</v>
      </c>
      <c r="M65" s="56" t="e">
        <f ca="1">1/_xll.BDH("RUB curncy","PX_LAST",$N65)</f>
        <v>#NAME?</v>
      </c>
      <c r="N65" s="4">
        <v>42831</v>
      </c>
      <c r="O65" s="1"/>
      <c r="P65" s="80">
        <f>F65*0.14586</f>
        <v>576.14699999999993</v>
      </c>
      <c r="Q65" s="1"/>
      <c r="R65" s="1"/>
      <c r="S65" s="1"/>
      <c r="T65" s="1"/>
      <c r="U65" s="1"/>
      <c r="V65" s="1"/>
    </row>
    <row r="66" spans="1:22" x14ac:dyDescent="0.25">
      <c r="A66" s="1"/>
      <c r="B66" s="1"/>
      <c r="C66" s="1"/>
      <c r="D66" s="1"/>
      <c r="E66" s="1"/>
      <c r="F66" s="66">
        <f>SUM(F65:F65)</f>
        <v>3950</v>
      </c>
      <c r="G66" s="1"/>
      <c r="H66" s="1">
        <f>I66/F66</f>
        <v>12.6</v>
      </c>
      <c r="I66" s="66">
        <f>SUM(I65:I65)</f>
        <v>49770</v>
      </c>
      <c r="J66" s="124">
        <f>SUM(J65:J65)</f>
        <v>49770</v>
      </c>
      <c r="K66" s="66" t="e">
        <f ca="1">SUM(K65:K65)</f>
        <v>#NAME?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</row>
    <row r="67" spans="1:2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</row>
    <row r="68" spans="1:22" x14ac:dyDescent="0.25">
      <c r="A68" s="1"/>
      <c r="B68" s="10" t="s">
        <v>2735</v>
      </c>
      <c r="C68" s="9" t="s">
        <v>88</v>
      </c>
      <c r="D68" s="7" t="e">
        <f ca="1">_xll.BDP(C68,"SECURITY_NAME")</f>
        <v>#NAME?</v>
      </c>
      <c r="E68" s="7" t="s">
        <v>4</v>
      </c>
      <c r="F68" s="8">
        <v>1068</v>
      </c>
      <c r="G68" s="7" t="s">
        <v>2056</v>
      </c>
      <c r="H68" s="79">
        <v>1.355</v>
      </c>
      <c r="I68" s="5">
        <f>F68*H68</f>
        <v>1447.1399999999999</v>
      </c>
      <c r="J68" s="6">
        <f>I68</f>
        <v>1447.1399999999999</v>
      </c>
      <c r="K68" s="5" t="e">
        <f ca="1">J68*L68</f>
        <v>#NAME?</v>
      </c>
      <c r="L68" s="11" t="e">
        <f ca="1">_xll.BDH("RUB curncy","PX_LAST",$N68)</f>
        <v>#NAME?</v>
      </c>
      <c r="M68" s="56" t="e">
        <f ca="1">1/_xll.BDH("RUB curncy","PX_LAST",$N68)</f>
        <v>#NAME?</v>
      </c>
      <c r="N68" s="4">
        <v>42921</v>
      </c>
      <c r="O68" s="1"/>
      <c r="P68" s="80">
        <f>F68*0.14586</f>
        <v>155.77848</v>
      </c>
      <c r="Q68" s="1"/>
      <c r="R68" s="1"/>
      <c r="S68" s="1"/>
      <c r="T68" s="1"/>
      <c r="U68" s="1"/>
      <c r="V68" s="1"/>
    </row>
    <row r="69" spans="1:22" x14ac:dyDescent="0.25">
      <c r="A69" s="1"/>
      <c r="B69" s="10" t="s">
        <v>2735</v>
      </c>
      <c r="C69" s="9" t="s">
        <v>88</v>
      </c>
      <c r="D69" s="7" t="e">
        <f ca="1">_xll.BDP(C69,"SECURITY_NAME")</f>
        <v>#NAME?</v>
      </c>
      <c r="E69" s="7" t="s">
        <v>4</v>
      </c>
      <c r="F69" s="8">
        <v>27070</v>
      </c>
      <c r="G69" s="7" t="s">
        <v>20</v>
      </c>
      <c r="H69" s="79">
        <v>1.8424990000000001</v>
      </c>
      <c r="I69" s="5">
        <f>F69*H69</f>
        <v>49876.447930000002</v>
      </c>
      <c r="J69" s="6">
        <f>I69</f>
        <v>49876.447930000002</v>
      </c>
      <c r="K69" s="5" t="e">
        <f ca="1">J69*L69</f>
        <v>#NAME?</v>
      </c>
      <c r="L69" s="11" t="e">
        <f ca="1">_xll.BDH("RUB curncy","PX_LAST",$N69)</f>
        <v>#NAME?</v>
      </c>
      <c r="M69" s="56" t="e">
        <f ca="1">1/_xll.BDH("RUB curncy","PX_LAST",$N69)</f>
        <v>#NAME?</v>
      </c>
      <c r="N69" s="4">
        <v>42851</v>
      </c>
      <c r="O69" s="1"/>
      <c r="P69" s="80">
        <f>F69*0.14586</f>
        <v>3948.4301999999998</v>
      </c>
      <c r="Q69" s="1"/>
      <c r="R69" s="1"/>
      <c r="S69" s="1"/>
      <c r="T69" s="1"/>
      <c r="U69" s="1"/>
      <c r="V69" s="1"/>
    </row>
    <row r="70" spans="1:22" x14ac:dyDescent="0.25">
      <c r="A70" s="1"/>
      <c r="B70" s="10" t="s">
        <v>2735</v>
      </c>
      <c r="C70" s="9" t="s">
        <v>88</v>
      </c>
      <c r="D70" s="7" t="e">
        <f ca="1">_xll.BDP(C70,"SECURITY_NAME")</f>
        <v>#NAME?</v>
      </c>
      <c r="E70" s="7" t="s">
        <v>4</v>
      </c>
      <c r="F70" s="8">
        <v>35500</v>
      </c>
      <c r="G70" s="7" t="s">
        <v>20</v>
      </c>
      <c r="H70" s="79">
        <v>1.7598400000000001</v>
      </c>
      <c r="I70" s="5">
        <f>F70*H70</f>
        <v>62474.32</v>
      </c>
      <c r="J70" s="6">
        <f>I70</f>
        <v>62474.32</v>
      </c>
      <c r="K70" s="5" t="e">
        <f ca="1">J70*L70</f>
        <v>#NAME?</v>
      </c>
      <c r="L70" s="11" t="e">
        <f ca="1">_xll.BDH("RUB curncy","PX_LAST",$N70)</f>
        <v>#NAME?</v>
      </c>
      <c r="M70" s="56" t="e">
        <f ca="1">1/_xll.BDH("RUB curncy","PX_LAST",$N70)</f>
        <v>#NAME?</v>
      </c>
      <c r="N70" s="4">
        <v>42860</v>
      </c>
      <c r="O70" s="1"/>
      <c r="P70" s="80">
        <f>F70*0.14586</f>
        <v>5178.03</v>
      </c>
      <c r="Q70" s="1"/>
      <c r="R70" s="1"/>
      <c r="S70" s="1"/>
      <c r="T70" s="1"/>
      <c r="U70" s="1"/>
      <c r="V70" s="1"/>
    </row>
    <row r="71" spans="1:22" x14ac:dyDescent="0.25">
      <c r="A71" s="1"/>
      <c r="B71" s="10" t="s">
        <v>2735</v>
      </c>
      <c r="C71" s="9" t="s">
        <v>88</v>
      </c>
      <c r="D71" s="7" t="e">
        <f ca="1">_xll.BDP(C71,"SECURITY_NAME")</f>
        <v>#NAME?</v>
      </c>
      <c r="E71" s="7" t="s">
        <v>4</v>
      </c>
      <c r="F71" s="8">
        <v>26800</v>
      </c>
      <c r="G71" s="7" t="s">
        <v>20</v>
      </c>
      <c r="H71" s="79">
        <v>2.3521429999999999</v>
      </c>
      <c r="I71" s="5">
        <f>F71*H71</f>
        <v>63037.432399999998</v>
      </c>
      <c r="J71" s="6">
        <f>I71</f>
        <v>63037.432399999998</v>
      </c>
      <c r="K71" s="5" t="e">
        <f ca="1">J71*L71</f>
        <v>#NAME?</v>
      </c>
      <c r="L71" s="11" t="e">
        <f ca="1">_xll.BDH("RUB curncy","PX_LAST",$N71)</f>
        <v>#NAME?</v>
      </c>
      <c r="M71" s="56" t="e">
        <f ca="1">1/_xll.BDH("RUB curncy","PX_LAST",$N71)</f>
        <v>#NAME?</v>
      </c>
      <c r="N71" s="4">
        <v>42781</v>
      </c>
      <c r="O71" s="1"/>
      <c r="P71" s="80">
        <f>F71*0.14586</f>
        <v>3909.0479999999998</v>
      </c>
      <c r="Q71" s="1"/>
      <c r="R71" s="1"/>
      <c r="S71" s="1"/>
      <c r="T71" s="1"/>
      <c r="U71" s="1"/>
      <c r="V71" s="1"/>
    </row>
    <row r="72" spans="1:22" x14ac:dyDescent="0.25">
      <c r="A72" s="1"/>
      <c r="B72" s="1"/>
      <c r="C72" s="1"/>
      <c r="D72" s="1"/>
      <c r="E72" s="1"/>
      <c r="F72" s="66">
        <f>SUM(F68:F71)</f>
        <v>90438</v>
      </c>
      <c r="G72" s="1"/>
      <c r="H72" s="1">
        <f>I72/F72</f>
        <v>1.9553212181826225</v>
      </c>
      <c r="I72" s="66">
        <f>SUM(I68:I71)</f>
        <v>176835.34033000001</v>
      </c>
      <c r="J72" s="124">
        <f>SUM(J68:J71)</f>
        <v>176835.34033000001</v>
      </c>
      <c r="K72" s="66" t="e">
        <f ca="1">SUM(K68:K71)</f>
        <v>#NAME?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</row>
    <row r="73" spans="1:2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</row>
    <row r="74" spans="1:22" x14ac:dyDescent="0.25">
      <c r="A74" s="1"/>
      <c r="B74" s="10" t="s">
        <v>2735</v>
      </c>
      <c r="C74" s="9" t="s">
        <v>125</v>
      </c>
      <c r="D74" s="7" t="e">
        <f ca="1">_xll.BDP(C74,"SECURITY_NAME")</f>
        <v>#NAME?</v>
      </c>
      <c r="E74" s="7" t="s">
        <v>4</v>
      </c>
      <c r="F74" s="8">
        <v>6250</v>
      </c>
      <c r="G74" s="7" t="s">
        <v>20</v>
      </c>
      <c r="H74" s="79">
        <v>9.9023000000000003</v>
      </c>
      <c r="I74" s="5">
        <f>F74*H74</f>
        <v>61889.375</v>
      </c>
      <c r="J74" s="6">
        <f>I74</f>
        <v>61889.375</v>
      </c>
      <c r="K74" s="5" t="e">
        <f ca="1">J74*L74</f>
        <v>#NAME?</v>
      </c>
      <c r="L74" s="11" t="e">
        <f ca="1">_xll.BDH("RUB curncy","PX_LAST",$N74)</f>
        <v>#NAME?</v>
      </c>
      <c r="M74" s="56" t="e">
        <f ca="1">1/_xll.BDH("RUB curncy","PX_LAST",$N74)</f>
        <v>#NAME?</v>
      </c>
      <c r="N74" s="4">
        <v>42786</v>
      </c>
      <c r="O74" s="1"/>
      <c r="P74" s="80">
        <f>F74*0.14586</f>
        <v>911.62499999999989</v>
      </c>
      <c r="Q74" s="1"/>
      <c r="R74" s="1"/>
      <c r="S74" s="1"/>
      <c r="T74" s="1"/>
      <c r="U74" s="1"/>
      <c r="V74" s="1"/>
    </row>
    <row r="75" spans="1:22" x14ac:dyDescent="0.25">
      <c r="A75" s="1"/>
      <c r="B75" s="1"/>
      <c r="C75" s="1"/>
      <c r="D75" s="1"/>
      <c r="E75" s="1"/>
      <c r="F75" s="66">
        <f>SUM(F74:F74)</f>
        <v>6250</v>
      </c>
      <c r="G75" s="1"/>
      <c r="H75" s="1">
        <f>I75/F75</f>
        <v>9.9023000000000003</v>
      </c>
      <c r="I75" s="66">
        <f>SUM(I74:I74)</f>
        <v>61889.375</v>
      </c>
      <c r="J75" s="124">
        <f>SUM(J74:J74)</f>
        <v>61889.375</v>
      </c>
      <c r="K75" s="66" t="e">
        <f ca="1">SUM(K74:K74)</f>
        <v>#NAME?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</row>
    <row r="76" spans="1:2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</row>
    <row r="77" spans="1:22" x14ac:dyDescent="0.25">
      <c r="A77" s="1"/>
      <c r="B77" s="10" t="s">
        <v>2735</v>
      </c>
      <c r="C77" s="9" t="s">
        <v>264</v>
      </c>
      <c r="D77" s="7" t="e">
        <f ca="1">_xll.BDP(C77,"SECURITY_NAME")</f>
        <v>#NAME?</v>
      </c>
      <c r="E77" s="7" t="s">
        <v>4</v>
      </c>
      <c r="F77" s="8">
        <v>1135</v>
      </c>
      <c r="G77" s="7" t="s">
        <v>20</v>
      </c>
      <c r="H77" s="79">
        <v>42.862738</v>
      </c>
      <c r="I77" s="5">
        <f>F77*H77</f>
        <v>48649.207629999997</v>
      </c>
      <c r="J77" s="6">
        <f>I77</f>
        <v>48649.207629999997</v>
      </c>
      <c r="K77" s="5" t="e">
        <f ca="1">J77*L77</f>
        <v>#NAME?</v>
      </c>
      <c r="L77" s="11" t="e">
        <f ca="1">_xll.BDH("RUB curncy","PX_LAST",$N77)</f>
        <v>#NAME?</v>
      </c>
      <c r="M77" s="56" t="e">
        <f ca="1">1/_xll.BDH("RUB curncy","PX_LAST",$N77)</f>
        <v>#NAME?</v>
      </c>
      <c r="N77" s="4">
        <v>42958</v>
      </c>
      <c r="O77" s="1"/>
      <c r="P77" s="80">
        <f>F77*0.14586</f>
        <v>165.55109999999999</v>
      </c>
      <c r="Q77" s="1"/>
      <c r="R77" s="1"/>
      <c r="S77" s="1"/>
      <c r="T77" s="1"/>
      <c r="U77" s="1"/>
      <c r="V77" s="1"/>
    </row>
    <row r="78" spans="1:22" x14ac:dyDescent="0.25">
      <c r="A78" s="1"/>
      <c r="B78" s="10" t="s">
        <v>2735</v>
      </c>
      <c r="C78" s="9" t="s">
        <v>264</v>
      </c>
      <c r="D78" s="7" t="e">
        <f ca="1">_xll.BDP(C78,"SECURITY_NAME")</f>
        <v>#NAME?</v>
      </c>
      <c r="E78" s="7" t="s">
        <v>4</v>
      </c>
      <c r="F78" s="8">
        <v>1136</v>
      </c>
      <c r="G78" s="7" t="s">
        <v>20</v>
      </c>
      <c r="H78" s="79">
        <v>55</v>
      </c>
      <c r="I78" s="5">
        <f>F78*H78</f>
        <v>62480</v>
      </c>
      <c r="J78" s="6">
        <f>I78</f>
        <v>62480</v>
      </c>
      <c r="K78" s="5" t="e">
        <f ca="1">J78*L78</f>
        <v>#NAME?</v>
      </c>
      <c r="L78" s="11" t="e">
        <f ca="1">_xll.BDH("RUB curncy","PX_LAST",$N78)</f>
        <v>#NAME?</v>
      </c>
      <c r="M78" s="56" t="e">
        <f ca="1">1/_xll.BDH("RUB curncy","PX_LAST",$N78)</f>
        <v>#NAME?</v>
      </c>
      <c r="N78" s="4">
        <v>42788</v>
      </c>
      <c r="O78" s="1"/>
      <c r="P78" s="80">
        <f>F78*0.14586</f>
        <v>165.69695999999999</v>
      </c>
      <c r="Q78" s="1"/>
      <c r="R78" s="1"/>
      <c r="S78" s="1"/>
      <c r="T78" s="1"/>
      <c r="U78" s="1"/>
      <c r="V78" s="1"/>
    </row>
    <row r="79" spans="1:22" x14ac:dyDescent="0.25">
      <c r="A79" s="1"/>
      <c r="B79" s="1"/>
      <c r="C79" s="1"/>
      <c r="D79" s="1"/>
      <c r="E79" s="1"/>
      <c r="F79" s="66">
        <f>SUM(F77:F78)</f>
        <v>2271</v>
      </c>
      <c r="G79" s="1"/>
      <c r="H79" s="1">
        <f>I79/F79</f>
        <v>48.93404122853368</v>
      </c>
      <c r="I79" s="66">
        <f>SUM(I77:I78)</f>
        <v>111129.20762999999</v>
      </c>
      <c r="J79" s="124">
        <f>SUM(J77:J78)</f>
        <v>111129.20762999999</v>
      </c>
      <c r="K79" s="66" t="e">
        <f ca="1">SUM(K77:K78)</f>
        <v>#NAME?</v>
      </c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</row>
    <row r="80" spans="1:2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</row>
    <row r="81" spans="1:22" x14ac:dyDescent="0.25">
      <c r="A81" s="1"/>
      <c r="B81" s="10" t="s">
        <v>2735</v>
      </c>
      <c r="C81" s="9" t="s">
        <v>873</v>
      </c>
      <c r="D81" s="7" t="e">
        <f ca="1">_xll.BDP(C81,"SECURITY_NAME")</f>
        <v>#NAME?</v>
      </c>
      <c r="E81" s="7" t="s">
        <v>4</v>
      </c>
      <c r="F81" s="8">
        <v>2850</v>
      </c>
      <c r="G81" s="7" t="s">
        <v>20</v>
      </c>
      <c r="H81" s="79">
        <v>21.85</v>
      </c>
      <c r="I81" s="5">
        <f>F81*H81</f>
        <v>62272.500000000007</v>
      </c>
      <c r="J81" s="6">
        <f>I81</f>
        <v>62272.500000000007</v>
      </c>
      <c r="K81" s="5" t="e">
        <f ca="1">J81*L81</f>
        <v>#NAME?</v>
      </c>
      <c r="L81" s="11" t="e">
        <f ca="1">_xll.BDH("RUB curncy","PX_LAST",$N81)</f>
        <v>#NAME?</v>
      </c>
      <c r="M81" s="56" t="e">
        <f ca="1">1/_xll.BDH("RUB curncy","PX_LAST",$N81)</f>
        <v>#NAME?</v>
      </c>
      <c r="N81" s="4">
        <v>42984</v>
      </c>
      <c r="O81" s="1"/>
      <c r="P81" s="80">
        <f>F81*0.14586</f>
        <v>415.70099999999996</v>
      </c>
      <c r="Q81" s="1"/>
      <c r="R81" s="1"/>
      <c r="S81" s="1"/>
      <c r="T81" s="1"/>
      <c r="U81" s="1"/>
      <c r="V81" s="1"/>
    </row>
    <row r="82" spans="1:22" x14ac:dyDescent="0.25">
      <c r="A82" s="1"/>
      <c r="B82" s="1"/>
      <c r="C82" s="1"/>
      <c r="D82" s="1"/>
      <c r="E82" s="1"/>
      <c r="F82" s="66">
        <f>SUM(F81:F81)</f>
        <v>2850</v>
      </c>
      <c r="G82" s="1"/>
      <c r="H82" s="1">
        <f>I82/F82</f>
        <v>21.85</v>
      </c>
      <c r="I82" s="66">
        <f>SUM(I81:I81)</f>
        <v>62272.500000000007</v>
      </c>
      <c r="J82" s="124">
        <f>SUM(J81:J81)</f>
        <v>62272.500000000007</v>
      </c>
      <c r="K82" s="66" t="e">
        <f ca="1">SUM(K81:K81)</f>
        <v>#NAME?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1:2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1:22" x14ac:dyDescent="0.25">
      <c r="A84" s="1"/>
      <c r="B84" s="10" t="s">
        <v>2735</v>
      </c>
      <c r="C84" s="9" t="s">
        <v>121</v>
      </c>
      <c r="D84" s="7" t="e">
        <f ca="1">_xll.BDP(C84,"SECURITY_NAME")</f>
        <v>#NAME?</v>
      </c>
      <c r="E84" s="7" t="s">
        <v>4</v>
      </c>
      <c r="F84" s="8">
        <v>5750</v>
      </c>
      <c r="G84" s="7" t="s">
        <v>20</v>
      </c>
      <c r="H84" s="79">
        <v>10.900309999999999</v>
      </c>
      <c r="I84" s="5">
        <f>F84*H84</f>
        <v>62676.782499999994</v>
      </c>
      <c r="J84" s="6">
        <f>I84</f>
        <v>62676.782499999994</v>
      </c>
      <c r="K84" s="5" t="e">
        <f ca="1">J84*L84</f>
        <v>#NAME?</v>
      </c>
      <c r="L84" s="11" t="e">
        <f ca="1">_xll.BDH("RUB curncy","PX_LAST",$N84)</f>
        <v>#NAME?</v>
      </c>
      <c r="M84" s="56" t="e">
        <f ca="1">1/_xll.BDH("RUB curncy","PX_LAST",$N84)</f>
        <v>#NAME?</v>
      </c>
      <c r="N84" s="4">
        <v>42892</v>
      </c>
      <c r="O84" s="1"/>
      <c r="P84" s="80">
        <f>F84*0.14586</f>
        <v>838.69499999999994</v>
      </c>
      <c r="Q84" s="1"/>
      <c r="R84" s="1"/>
      <c r="S84" s="1"/>
      <c r="T84" s="1"/>
      <c r="U84" s="1"/>
      <c r="V84" s="1"/>
    </row>
    <row r="85" spans="1:22" x14ac:dyDescent="0.25">
      <c r="A85" s="1"/>
      <c r="B85" s="1"/>
      <c r="C85" s="1"/>
      <c r="D85" s="1"/>
      <c r="E85" s="1"/>
      <c r="F85" s="66">
        <f>SUM(F84:F84)</f>
        <v>5750</v>
      </c>
      <c r="G85" s="1"/>
      <c r="H85" s="1">
        <f>I85/F85</f>
        <v>10.900309999999999</v>
      </c>
      <c r="I85" s="66">
        <f>SUM(I84:I84)</f>
        <v>62676.782499999994</v>
      </c>
      <c r="J85" s="124">
        <f>SUM(J84:J84)</f>
        <v>62676.782499999994</v>
      </c>
      <c r="K85" s="66" t="e">
        <f ca="1">SUM(K84:K84)</f>
        <v>#NAME?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</row>
    <row r="86" spans="1:2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</row>
    <row r="87" spans="1:22" x14ac:dyDescent="0.25">
      <c r="A87" s="1"/>
      <c r="B87" s="10" t="s">
        <v>2735</v>
      </c>
      <c r="C87" s="9" t="s">
        <v>133</v>
      </c>
      <c r="D87" s="7" t="e">
        <f ca="1">_xll.BDP(C87,"SECURITY_NAME")</f>
        <v>#NAME?</v>
      </c>
      <c r="E87" s="7" t="s">
        <v>4</v>
      </c>
      <c r="F87" s="8">
        <v>15000</v>
      </c>
      <c r="G87" s="7" t="s">
        <v>20</v>
      </c>
      <c r="H87" s="79">
        <v>4.1764999999999999</v>
      </c>
      <c r="I87" s="5">
        <f>F87*H87</f>
        <v>62647.5</v>
      </c>
      <c r="J87" s="6">
        <f>I87</f>
        <v>62647.5</v>
      </c>
      <c r="K87" s="5" t="e">
        <f ca="1">J87*L87</f>
        <v>#NAME?</v>
      </c>
      <c r="L87" s="11" t="e">
        <f ca="1">_xll.BDH("RUB curncy","PX_LAST",$N87)</f>
        <v>#NAME?</v>
      </c>
      <c r="M87" s="56" t="e">
        <f ca="1">1/_xll.BDH("RUB curncy","PX_LAST",$N87)</f>
        <v>#NAME?</v>
      </c>
      <c r="N87" s="4">
        <v>42892</v>
      </c>
      <c r="O87" s="1"/>
      <c r="P87" s="80">
        <f>F87*0.14586</f>
        <v>2187.8999999999996</v>
      </c>
      <c r="Q87" s="1"/>
      <c r="R87" s="1"/>
      <c r="S87" s="1"/>
      <c r="T87" s="1"/>
      <c r="U87" s="1"/>
      <c r="V87" s="1"/>
    </row>
    <row r="88" spans="1:22" x14ac:dyDescent="0.25">
      <c r="A88" s="1"/>
      <c r="B88" s="10" t="s">
        <v>2735</v>
      </c>
      <c r="C88" s="9" t="s">
        <v>133</v>
      </c>
      <c r="D88" s="7" t="e">
        <f ca="1">_xll.BDP(C88,"SECURITY_NAME")</f>
        <v>#NAME?</v>
      </c>
      <c r="E88" s="7" t="s">
        <v>4</v>
      </c>
      <c r="F88" s="8">
        <v>13900</v>
      </c>
      <c r="G88" s="7" t="s">
        <v>20</v>
      </c>
      <c r="H88" s="79">
        <v>4.4821</v>
      </c>
      <c r="I88" s="5">
        <f>F88*H88</f>
        <v>62301.19</v>
      </c>
      <c r="J88" s="6">
        <f>I88</f>
        <v>62301.19</v>
      </c>
      <c r="K88" s="5" t="e">
        <f ca="1">J88*L88</f>
        <v>#NAME?</v>
      </c>
      <c r="L88" s="11" t="e">
        <f ca="1">_xll.BDH("RUB curncy","PX_LAST",$N88)</f>
        <v>#NAME?</v>
      </c>
      <c r="M88" s="56" t="e">
        <f ca="1">1/_xll.BDH("RUB curncy","PX_LAST",$N88)</f>
        <v>#NAME?</v>
      </c>
      <c r="N88" s="4">
        <v>42817</v>
      </c>
      <c r="O88" s="1"/>
      <c r="P88" s="80">
        <f>F88*0.14586</f>
        <v>2027.454</v>
      </c>
      <c r="Q88" s="1"/>
      <c r="R88" s="1"/>
      <c r="S88" s="1"/>
      <c r="T88" s="1"/>
      <c r="U88" s="1"/>
      <c r="V88" s="1"/>
    </row>
    <row r="89" spans="1:22" x14ac:dyDescent="0.25">
      <c r="A89" s="1"/>
      <c r="B89" s="1"/>
      <c r="C89" s="1"/>
      <c r="D89" s="1"/>
      <c r="E89" s="1"/>
      <c r="F89" s="66">
        <f>SUM(F87:F88)</f>
        <v>28900</v>
      </c>
      <c r="G89" s="1"/>
      <c r="H89" s="1">
        <f>I89/F89</f>
        <v>4.323484083044983</v>
      </c>
      <c r="I89" s="66">
        <f>SUM(I87:I88)</f>
        <v>124948.69</v>
      </c>
      <c r="J89" s="124">
        <f>SUM(J87:J88)</f>
        <v>124948.69</v>
      </c>
      <c r="K89" s="66" t="e">
        <f ca="1">SUM(K87:K88)</f>
        <v>#NAME?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</row>
    <row r="91" spans="1:22" x14ac:dyDescent="0.25">
      <c r="A91" s="1"/>
      <c r="B91" s="10" t="s">
        <v>2735</v>
      </c>
      <c r="C91" s="9" t="s">
        <v>90</v>
      </c>
      <c r="D91" s="7" t="e">
        <f ca="1">_xll.BDP(C91,"SECURITY_NAME")</f>
        <v>#NAME?</v>
      </c>
      <c r="E91" s="7" t="s">
        <v>4</v>
      </c>
      <c r="F91" s="8">
        <v>5150</v>
      </c>
      <c r="G91" s="7" t="s">
        <v>20</v>
      </c>
      <c r="H91" s="79">
        <v>12.150689</v>
      </c>
      <c r="I91" s="5">
        <f>F91*H91</f>
        <v>62576.048349999997</v>
      </c>
      <c r="J91" s="6">
        <f>I91</f>
        <v>62576.048349999997</v>
      </c>
      <c r="K91" s="5" t="e">
        <f ca="1">J91*L91</f>
        <v>#NAME?</v>
      </c>
      <c r="L91" s="11" t="e">
        <f ca="1">_xll.BDH("RUB curncy","PX_LAST",$N91)</f>
        <v>#NAME?</v>
      </c>
      <c r="M91" s="56" t="e">
        <f ca="1">1/_xll.BDH("RUB curncy","PX_LAST",$N91)</f>
        <v>#NAME?</v>
      </c>
      <c r="N91" s="4">
        <v>42781</v>
      </c>
      <c r="O91" s="1"/>
      <c r="P91" s="80">
        <f>F91*0.14586</f>
        <v>751.17899999999997</v>
      </c>
      <c r="Q91" s="1"/>
      <c r="R91" s="1"/>
      <c r="S91" s="1"/>
      <c r="T91" s="1"/>
      <c r="U91" s="1"/>
      <c r="V91" s="1"/>
    </row>
    <row r="92" spans="1:22" x14ac:dyDescent="0.25">
      <c r="A92" s="1"/>
      <c r="B92" s="1"/>
      <c r="C92" s="1"/>
      <c r="D92" s="1"/>
      <c r="E92" s="1"/>
      <c r="F92" s="66">
        <f>SUM(F91:F91)</f>
        <v>5150</v>
      </c>
      <c r="G92" s="1"/>
      <c r="H92" s="1">
        <f>I92/F92</f>
        <v>12.150689</v>
      </c>
      <c r="I92" s="66">
        <f>SUM(I91:I91)</f>
        <v>62576.048349999997</v>
      </c>
      <c r="J92" s="124">
        <f>SUM(J91:J91)</f>
        <v>62576.048349999997</v>
      </c>
      <c r="K92" s="66" t="e">
        <f ca="1">SUM(K91:K91)</f>
        <v>#NAME?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</row>
    <row r="93" spans="1:2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</row>
    <row r="94" spans="1:22" x14ac:dyDescent="0.25">
      <c r="A94" s="1"/>
      <c r="B94" s="10" t="s">
        <v>2735</v>
      </c>
      <c r="C94" s="9" t="s">
        <v>136</v>
      </c>
      <c r="D94" s="7" t="e">
        <f ca="1">_xll.BDP(C94,"SECURITY_NAME")</f>
        <v>#NAME?</v>
      </c>
      <c r="E94" s="7" t="s">
        <v>4</v>
      </c>
      <c r="F94" s="8">
        <v>3850</v>
      </c>
      <c r="G94" s="7" t="s">
        <v>20</v>
      </c>
      <c r="H94" s="79">
        <v>16.230599999999999</v>
      </c>
      <c r="I94" s="5">
        <f>F94*H94</f>
        <v>62487.81</v>
      </c>
      <c r="J94" s="6">
        <f>I94</f>
        <v>62487.81</v>
      </c>
      <c r="K94" s="5" t="e">
        <f ca="1">J94*L94</f>
        <v>#NAME?</v>
      </c>
      <c r="L94" s="11" t="e">
        <f ca="1">_xll.BDH("RUB curncy","PX_LAST",$N94)</f>
        <v>#NAME?</v>
      </c>
      <c r="M94" s="56" t="e">
        <f ca="1">1/_xll.BDH("RUB curncy","PX_LAST",$N94)</f>
        <v>#NAME?</v>
      </c>
      <c r="N94" s="4">
        <v>42984</v>
      </c>
      <c r="O94" s="1"/>
      <c r="P94" s="80">
        <f>F94*0.14586</f>
        <v>561.56099999999992</v>
      </c>
      <c r="Q94" s="1"/>
      <c r="R94" s="1"/>
      <c r="S94" s="1"/>
      <c r="T94" s="1"/>
      <c r="U94" s="1"/>
      <c r="V94" s="1"/>
    </row>
    <row r="95" spans="1:22" x14ac:dyDescent="0.25">
      <c r="A95" s="1"/>
      <c r="B95" s="1"/>
      <c r="C95" s="1"/>
      <c r="D95" s="1"/>
      <c r="E95" s="1"/>
      <c r="F95" s="66">
        <f>SUM(F94:F94)</f>
        <v>3850</v>
      </c>
      <c r="G95" s="1"/>
      <c r="H95" s="1">
        <f>I95/F95</f>
        <v>16.230599999999999</v>
      </c>
      <c r="I95" s="66">
        <f>SUM(I94:I94)</f>
        <v>62487.81</v>
      </c>
      <c r="J95" s="124">
        <f>SUM(J94:J94)</f>
        <v>62487.81</v>
      </c>
      <c r="K95" s="66" t="e">
        <f ca="1">SUM(K94:K94)</f>
        <v>#NAME?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</row>
    <row r="96" spans="1:2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</row>
    <row r="97" spans="1:22" x14ac:dyDescent="0.25">
      <c r="A97" s="1"/>
      <c r="B97" s="10" t="s">
        <v>2735</v>
      </c>
      <c r="C97" s="9" t="s">
        <v>95</v>
      </c>
      <c r="D97" s="7" t="e">
        <f ca="1">_xll.BDP(C97,"SECURITY_NAME")</f>
        <v>#NAME?</v>
      </c>
      <c r="E97" s="7" t="s">
        <v>4</v>
      </c>
      <c r="F97" s="8">
        <v>14205</v>
      </c>
      <c r="G97" s="7" t="s">
        <v>20</v>
      </c>
      <c r="H97" s="79">
        <v>4.3792609999999996</v>
      </c>
      <c r="I97" s="5">
        <f>F97*H97</f>
        <v>62207.402504999998</v>
      </c>
      <c r="J97" s="6">
        <f>I97</f>
        <v>62207.402504999998</v>
      </c>
      <c r="K97" s="5" t="e">
        <f ca="1">J97*L97</f>
        <v>#NAME?</v>
      </c>
      <c r="L97" s="11" t="e">
        <f ca="1">_xll.BDH("RUB curncy","PX_LAST",$N97)</f>
        <v>#NAME?</v>
      </c>
      <c r="M97" s="56" t="e">
        <f ca="1">1/_xll.BDH("RUB curncy","PX_LAST",$N97)</f>
        <v>#NAME?</v>
      </c>
      <c r="N97" s="4">
        <v>42781</v>
      </c>
      <c r="O97" s="1"/>
      <c r="P97" s="80">
        <f>F97*0.14586</f>
        <v>2071.9413</v>
      </c>
      <c r="Q97" s="1"/>
      <c r="R97" s="1"/>
      <c r="S97" s="1"/>
      <c r="T97" s="1"/>
      <c r="U97" s="1"/>
      <c r="V97" s="1"/>
    </row>
    <row r="98" spans="1:22" x14ac:dyDescent="0.25">
      <c r="A98" s="1"/>
      <c r="B98" s="1"/>
      <c r="C98" s="1"/>
      <c r="D98" s="1"/>
      <c r="E98" s="1"/>
      <c r="F98" s="66">
        <f>SUM(F97:F97)</f>
        <v>14205</v>
      </c>
      <c r="G98" s="1"/>
      <c r="H98" s="1">
        <f>I98/F98</f>
        <v>4.3792609999999996</v>
      </c>
      <c r="I98" s="66">
        <f>SUM(I97:I97)</f>
        <v>62207.402504999998</v>
      </c>
      <c r="J98" s="124">
        <f>SUM(J97:J97)</f>
        <v>62207.402504999998</v>
      </c>
      <c r="K98" s="66" t="e">
        <f ca="1">SUM(K97:K97)</f>
        <v>#NAME?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</row>
    <row r="99" spans="1:2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</row>
    <row r="100" spans="1:22" x14ac:dyDescent="0.25">
      <c r="A100" s="1"/>
      <c r="B100" s="10" t="s">
        <v>2735</v>
      </c>
      <c r="C100" s="9" t="s">
        <v>1845</v>
      </c>
      <c r="D100" s="7" t="e">
        <f ca="1">_xll.BDP(C100,"SECURITY_NAME")</f>
        <v>#NAME?</v>
      </c>
      <c r="E100" s="7" t="s">
        <v>4</v>
      </c>
      <c r="F100" s="8">
        <v>65000</v>
      </c>
      <c r="G100" s="7" t="s">
        <v>20</v>
      </c>
      <c r="H100" s="79">
        <v>95.2</v>
      </c>
      <c r="I100" s="5">
        <f>F100*H100</f>
        <v>6188000</v>
      </c>
      <c r="J100" s="6">
        <f>I100</f>
        <v>6188000</v>
      </c>
      <c r="K100" s="5" t="e">
        <f ca="1">J100*L100</f>
        <v>#NAME?</v>
      </c>
      <c r="L100" s="11" t="e">
        <f ca="1">_xll.BDH("RUB curncy","PX_LAST",$N100)</f>
        <v>#NAME?</v>
      </c>
      <c r="M100" s="56" t="e">
        <f ca="1">1/_xll.BDH("RUB curncy","PX_LAST",$N100)</f>
        <v>#NAME?</v>
      </c>
      <c r="N100" s="4">
        <v>42885</v>
      </c>
      <c r="O100" s="1"/>
      <c r="P100" s="80">
        <f>F100*0.14586</f>
        <v>9480.9</v>
      </c>
      <c r="Q100" s="1"/>
      <c r="R100" s="1"/>
      <c r="S100" s="1"/>
      <c r="T100" s="1"/>
      <c r="U100" s="1"/>
      <c r="V100" s="1"/>
    </row>
    <row r="101" spans="1:22" x14ac:dyDescent="0.25">
      <c r="A101" s="1"/>
      <c r="B101" s="1"/>
      <c r="C101" s="1"/>
      <c r="D101" s="1"/>
      <c r="E101" s="1"/>
      <c r="F101" s="66">
        <f>SUM(F100:F100)</f>
        <v>65000</v>
      </c>
      <c r="G101" s="1"/>
      <c r="H101" s="1">
        <f>I101/F101</f>
        <v>95.2</v>
      </c>
      <c r="I101" s="66">
        <f>SUM(I100:I100)</f>
        <v>6188000</v>
      </c>
      <c r="J101" s="124">
        <f>SUM(J100:J100)</f>
        <v>6188000</v>
      </c>
      <c r="K101" s="66" t="e">
        <f ca="1">SUM(K100:K100)</f>
        <v>#NAME?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</row>
  </sheetData>
  <mergeCells count="1">
    <mergeCell ref="T14:T15"/>
  </mergeCells>
  <conditionalFormatting sqref="L8:L9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{F79C2F7C-4319-40F5-B7E2-168B353E5584}</x14:id>
        </ext>
      </extLst>
    </cfRule>
  </conditionalFormatting>
  <conditionalFormatting sqref="L8:M9">
    <cfRule type="dataBar" priority="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{A013DE95-F629-45E5-B275-52A9D670554D}</x14:id>
        </ext>
      </extLst>
    </cfRule>
  </conditionalFormatting>
  <conditionalFormatting sqref="L4:M4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{CEA62090-4B3E-4EC7-8DA0-DEF241520FFF}</x14:id>
        </ext>
      </extLst>
    </cfRule>
  </conditionalFormatting>
  <conditionalFormatting sqref="T4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{BA4CB80C-D6D2-4BE4-9532-E43C110D99AA}</x14:id>
        </ext>
      </extLst>
    </cfRule>
  </conditionalFormatting>
  <conditionalFormatting sqref="I4">
    <cfRule type="dataBar" priority="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{37EE0C04-5F48-4758-808D-0422CC5A49BB}</x14:id>
        </ext>
      </extLst>
    </cfRule>
  </conditionalFormatting>
  <conditionalFormatting sqref="L5:M5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{3494FC61-8A6E-4DA3-B081-A985C6B72D99}</x14:id>
        </ext>
      </extLst>
    </cfRule>
  </conditionalFormatting>
  <conditionalFormatting sqref="T5">
    <cfRule type="dataBar" priority="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{8D54C0E1-4FA5-4291-B185-D4B7A5D24287}</x14:id>
        </ext>
      </extLst>
    </cfRule>
  </conditionalFormatting>
  <conditionalFormatting sqref="I5">
    <cfRule type="dataBar" priority="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{69FE1E79-E9B5-4CEE-BB77-2C5DBAE5A8D2}</x14:id>
        </ext>
      </extLst>
    </cfRule>
  </conditionalFormatting>
  <conditionalFormatting sqref="L10:M10">
    <cfRule type="dataBar" priority="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{11A13A4A-F00D-4442-85BE-4203ABF27BA1}</x14:id>
        </ext>
      </extLst>
    </cfRule>
  </conditionalFormatting>
  <conditionalFormatting sqref="I10">
    <cfRule type="dataBar" priority="3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{941168D6-4193-42C3-839F-C789D77AD0F1}</x14:id>
        </ext>
      </extLst>
    </cfRule>
  </conditionalFormatting>
  <conditionalFormatting sqref="T1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{38043D8B-AD1F-4F2D-8DDE-053920CFFDE7}</x14:id>
        </ext>
      </extLst>
    </cfRule>
  </conditionalFormatting>
  <conditionalFormatting sqref="T10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{BFE0D67A-CCC2-40D8-8755-8B3DFA9B087A}</x14:id>
        </ext>
      </extLst>
    </cfRule>
  </conditionalFormatting>
  <conditionalFormatting sqref="I10">
    <cfRule type="dataBar" priority="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{7186B9B7-693F-464E-A3A4-5C9FF54F9D4D}</x14:id>
        </ext>
      </extLst>
    </cfRule>
  </conditionalFormatting>
  <conditionalFormatting sqref="T10">
    <cfRule type="dataBar" priority="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{FA724E41-859B-45D6-94B6-3882ED2F5746}</x14:id>
        </ext>
      </extLst>
    </cfRule>
  </conditionalFormatting>
  <conditionalFormatting sqref="L10:M10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{9C7A2D7C-C901-4920-8548-FE3724660411}</x14:id>
        </ext>
      </extLst>
    </cfRule>
  </conditionalFormatting>
  <conditionalFormatting sqref="I10">
    <cfRule type="dataBar" priority="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{60020AE6-1445-4923-AE99-2948D6C92646}</x14:id>
        </ext>
      </extLst>
    </cfRule>
  </conditionalFormatting>
  <conditionalFormatting sqref="L10:M10">
    <cfRule type="dataBar" priority="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{78068DA6-731D-495B-8279-9C3FCA37809C}</x14:id>
        </ext>
      </extLst>
    </cfRule>
  </conditionalFormatting>
  <conditionalFormatting sqref="T1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{9A8239D1-70A8-493C-B40C-0EAE37461B3E}</x14:id>
        </ext>
      </extLst>
    </cfRule>
  </conditionalFormatting>
  <conditionalFormatting sqref="T11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{56A11D34-CCE2-421B-8D3F-77952A4AD9B7}</x14:id>
        </ext>
      </extLst>
    </cfRule>
  </conditionalFormatting>
  <conditionalFormatting sqref="L11:M11">
    <cfRule type="dataBar" priority="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{6B62A682-517E-4BD0-AE1F-7CEBA309FB48}</x14:id>
        </ext>
      </extLst>
    </cfRule>
  </conditionalFormatting>
  <conditionalFormatting sqref="M11">
    <cfRule type="dataBar" priority="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{5C3B2022-3964-457E-9DDE-BD4AF40FC390}</x14:id>
        </ext>
      </extLst>
    </cfRule>
  </conditionalFormatting>
  <conditionalFormatting sqref="L11">
    <cfRule type="dataBar" priority="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{7F3B8D57-4125-495D-BA30-A32B818C00A9}</x14:id>
        </ext>
      </extLst>
    </cfRule>
  </conditionalFormatting>
  <conditionalFormatting sqref="T11">
    <cfRule type="dataBar" priority="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{6A2AD178-BCA4-44D5-A2B5-EAC0A4AE9848}</x14:id>
        </ext>
      </extLst>
    </cfRule>
  </conditionalFormatting>
  <conditionalFormatting sqref="L11:M11">
    <cfRule type="dataBar" priority="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{139086DF-4E0F-4613-B74E-DC8AD4491BA1}</x14:id>
        </ext>
      </extLst>
    </cfRule>
  </conditionalFormatting>
  <conditionalFormatting sqref="T11">
    <cfRule type="dataBar" priority="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{1510C980-DB26-45F2-8C9B-EC1BE83DB782}</x14:id>
        </ext>
      </extLst>
    </cfRule>
  </conditionalFormatting>
  <conditionalFormatting sqref="T11">
    <cfRule type="dataBar" priority="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{CDA21D3D-C0BD-445F-A97A-4FA674057303}</x14:id>
        </ext>
      </extLst>
    </cfRule>
  </conditionalFormatting>
  <conditionalFormatting sqref="I11">
    <cfRule type="dataBar" priority="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{922ADF11-38A9-4B1E-80CD-B955335F99A4}</x14:id>
        </ext>
      </extLst>
    </cfRule>
  </conditionalFormatting>
  <conditionalFormatting sqref="I11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{C21FCC19-52E4-47AF-9BC2-8D2524DAFC1C}</x14:id>
        </ext>
      </extLst>
    </cfRule>
  </conditionalFormatting>
  <conditionalFormatting sqref="L11:M11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{95B29C9B-39A0-49C6-BC9D-4B5F844FE2B5}</x14:id>
        </ext>
      </extLst>
    </cfRule>
  </conditionalFormatting>
  <conditionalFormatting sqref="T11">
    <cfRule type="dataBar" priority="3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{70527630-1877-4C6D-A7F2-2CF66518E182}</x14:id>
        </ext>
      </extLst>
    </cfRule>
  </conditionalFormatting>
  <conditionalFormatting sqref="L6:M6"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{56B3AE4C-4DE1-4946-8077-8CCADECAF21D}</x14:id>
        </ext>
      </extLst>
    </cfRule>
  </conditionalFormatting>
  <conditionalFormatting sqref="L6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{D720DBF2-DC18-4E2F-9D39-F5E1A74E3B75}</x14:id>
        </ext>
      </extLst>
    </cfRule>
  </conditionalFormatting>
  <conditionalFormatting sqref="L6:M6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{9FA4DE01-78EC-4D67-A90C-A0138036347B}</x14:id>
        </ext>
      </extLst>
    </cfRule>
  </conditionalFormatting>
  <conditionalFormatting sqref="I6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{7396EA5F-0991-478C-982C-2B96C2EB5338}</x14:id>
        </ext>
      </extLst>
    </cfRule>
  </conditionalFormatting>
  <conditionalFormatting sqref="T6"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{EC47FDB3-9A1F-4EFB-BE9A-EA42CD5F39A9}</x14:id>
        </ext>
      </extLst>
    </cfRule>
  </conditionalFormatting>
  <conditionalFormatting sqref="T6">
    <cfRule type="dataBar" priority="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{CB959695-A823-477C-B1CB-285C9708D4A1}</x14:id>
        </ext>
      </extLst>
    </cfRule>
  </conditionalFormatting>
  <conditionalFormatting sqref="L7:M7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{1A9E540F-82A9-47A5-B52D-36CE9A233251}</x14:id>
        </ext>
      </extLst>
    </cfRule>
  </conditionalFormatting>
  <conditionalFormatting sqref="L7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{D4A128A8-66B4-4146-811E-DF783ECA2E3F}</x14:id>
        </ext>
      </extLst>
    </cfRule>
  </conditionalFormatting>
  <conditionalFormatting sqref="L7:M7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{FF7FD02B-4A7E-4B13-8D37-67AC4E1BF58B}</x14:id>
        </ext>
      </extLst>
    </cfRule>
  </conditionalFormatting>
  <conditionalFormatting sqref="I7">
    <cfRule type="dataBar" priority="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{B60F25B8-DD7A-45B2-AAA7-A27916A43D7F}</x14:id>
        </ext>
      </extLst>
    </cfRule>
  </conditionalFormatting>
  <conditionalFormatting sqref="T7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{E972E0CA-D6E2-4C5F-A1B6-517FA54B55F5}</x14:id>
        </ext>
      </extLst>
    </cfRule>
  </conditionalFormatting>
  <conditionalFormatting sqref="T7">
    <cfRule type="dataBar" priority="2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{6C7B6845-A06E-40E4-A603-5EFF5CC02206}</x14:id>
        </ext>
      </extLst>
    </cfRule>
  </conditionalFormatting>
  <conditionalFormatting sqref="L8:M8">
    <cfRule type="dataBar" priority="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{E790FD2D-B074-4340-BF8A-60C9B2DAA439}</x14:id>
        </ext>
      </extLst>
    </cfRule>
  </conditionalFormatting>
  <conditionalFormatting sqref="L8:M8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{8BFA5AC3-94EF-44E7-AA2F-4A707527FB3C}</x14:id>
        </ext>
      </extLst>
    </cfRule>
  </conditionalFormatting>
  <conditionalFormatting sqref="L8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{941BBE7D-46B8-4FCE-8788-AA8B21C6AD82}</x14:id>
        </ext>
      </extLst>
    </cfRule>
  </conditionalFormatting>
  <conditionalFormatting sqref="M8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{9491089E-35FD-40A1-BFB4-DA2A35EF58C3}</x14:id>
        </ext>
      </extLst>
    </cfRule>
  </conditionalFormatting>
  <conditionalFormatting sqref="L9:M9">
    <cfRule type="dataBar" priority="4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{061472FF-5847-4312-8B0C-3295794FF163}</x14:id>
        </ext>
      </extLst>
    </cfRule>
  </conditionalFormatting>
  <conditionalFormatting sqref="L9:M9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{1CE6D87C-56D6-4C22-82FA-4E57F684E54E}</x14:id>
        </ext>
      </extLst>
    </cfRule>
  </conditionalFormatting>
  <conditionalFormatting sqref="L9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{06F9582C-2DF7-4310-A252-D0B1A94A1870}</x14:id>
        </ext>
      </extLst>
    </cfRule>
  </conditionalFormatting>
  <conditionalFormatting sqref="M9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{40901045-9D7D-4149-9ECF-2B8CE7A38DBC}</x14:id>
        </ext>
      </extLst>
    </cfRule>
  </conditionalFormatting>
  <conditionalFormatting sqref="L13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{FAE80C33-13F7-4845-A7B5-9F4A42D9E669}</x14:id>
        </ext>
      </extLst>
    </cfRule>
  </conditionalFormatting>
  <conditionalFormatting sqref="L8:L9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{EA1DDF87-DB38-4FC8-A1C8-0465ABE0FA56}</x14:id>
        </ext>
      </extLst>
    </cfRule>
  </conditionalFormatting>
  <conditionalFormatting sqref="L8:M9">
    <cfRule type="dataBar" priority="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{C5E93C9C-BC47-4F5A-8274-4C19AE12E6E1}</x14:id>
        </ext>
      </extLst>
    </cfRule>
  </conditionalFormatting>
  <conditionalFormatting sqref="M13">
    <cfRule type="dataBar" priority="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{D9A8457F-045E-4A61-B820-90DE55868C1E}</x14:id>
        </ext>
      </extLst>
    </cfRule>
  </conditionalFormatting>
  <conditionalFormatting sqref="M13">
    <cfRule type="dataBar" priority="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{5B980038-CD91-4A21-B0F3-4E6682EB9288}</x14:id>
        </ext>
      </extLst>
    </cfRule>
  </conditionalFormatting>
  <conditionalFormatting sqref="L4:M4">
    <cfRule type="dataBar" priority="4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{84585B77-5E04-486B-9FC3-531A823D0CA2}</x14:id>
        </ext>
      </extLst>
    </cfRule>
  </conditionalFormatting>
  <conditionalFormatting sqref="L4:M4">
    <cfRule type="dataBar" priority="4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{2AC18101-624B-4857-8ED7-0E59566E9A49}</x14:id>
        </ext>
      </extLst>
    </cfRule>
  </conditionalFormatting>
  <conditionalFormatting sqref="L4">
    <cfRule type="dataBar" priority="4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{4BED8AD3-A57B-4591-B852-77A30B0C92BD}</x14:id>
        </ext>
      </extLst>
    </cfRule>
  </conditionalFormatting>
  <conditionalFormatting sqref="M4">
    <cfRule type="dataBar" priority="4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{8AC37EAF-0BA7-43A9-B429-2B9E026C5A43}</x14:id>
        </ext>
      </extLst>
    </cfRule>
  </conditionalFormatting>
  <conditionalFormatting sqref="L4:M4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{2F08EBCE-48B4-4181-995D-C9B01D12A934}</x14:id>
        </ext>
      </extLst>
    </cfRule>
  </conditionalFormatting>
  <conditionalFormatting sqref="L4:M4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{CF451094-DA9B-4F9E-9BAE-0E97EA2661DC}</x14:id>
        </ext>
      </extLst>
    </cfRule>
  </conditionalFormatting>
  <conditionalFormatting sqref="L4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{3316DAFA-BB44-4771-9FB1-6946EBF170BA}</x14:id>
        </ext>
      </extLst>
    </cfRule>
  </conditionalFormatting>
  <conditionalFormatting sqref="L4">
    <cfRule type="dataBar" priority="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{C137C5D6-4DA0-4512-B4AB-37FF7E457A89}</x14:id>
        </ext>
      </extLst>
    </cfRule>
  </conditionalFormatting>
  <conditionalFormatting sqref="V4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{C028C926-B6C0-4722-A3E7-D125B4D213E7}</x14:id>
        </ext>
      </extLst>
    </cfRule>
  </conditionalFormatting>
  <conditionalFormatting sqref="U4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{068FE554-D841-4543-BDFE-FD9FFAEB1F93}</x14:id>
        </ext>
      </extLst>
    </cfRule>
  </conditionalFormatting>
  <conditionalFormatting sqref="T4">
    <cfRule type="dataBar" priority="4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{93ACE5EB-3718-4CEE-AEA9-71C1EAADBBD1}</x14:id>
        </ext>
      </extLst>
    </cfRule>
  </conditionalFormatting>
  <conditionalFormatting sqref="L4:M4">
    <cfRule type="dataBar" priority="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{4B211E83-43BF-4692-BC5C-685747D04906}</x14:id>
        </ext>
      </extLst>
    </cfRule>
  </conditionalFormatting>
  <conditionalFormatting sqref="I4">
    <cfRule type="dataBar" priority="3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{D17CFD0B-048B-4ADC-9ED2-10F8812D5028}</x14:id>
        </ext>
      </extLst>
    </cfRule>
  </conditionalFormatting>
  <conditionalFormatting sqref="T4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{8735C555-474B-4DE4-BD7E-738E42FB6CD8}</x14:id>
        </ext>
      </extLst>
    </cfRule>
  </conditionalFormatting>
  <conditionalFormatting sqref="L4">
    <cfRule type="dataBar" priority="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{1FA47946-87DF-4E73-B739-618810F07F4E}</x14:id>
        </ext>
      </extLst>
    </cfRule>
  </conditionalFormatting>
  <conditionalFormatting sqref="M4">
    <cfRule type="dataBar" priority="3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{DB2CE27E-D6CD-4E5A-92B7-8B28D15146BF}</x14:id>
        </ext>
      </extLst>
    </cfRule>
  </conditionalFormatting>
  <conditionalFormatting sqref="I4">
    <cfRule type="dataBar" priority="3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{7AFFA588-A06F-4781-A5C1-CCB833A1372C}</x14:id>
        </ext>
      </extLst>
    </cfRule>
  </conditionalFormatting>
  <conditionalFormatting sqref="L5:M5">
    <cfRule type="dataBar" priority="3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{63AEE5CB-DFFF-435D-A96C-97312C58BD7F}</x14:id>
        </ext>
      </extLst>
    </cfRule>
  </conditionalFormatting>
  <conditionalFormatting sqref="L5:M5">
    <cfRule type="dataBar" priority="3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{F6C873D5-B813-48BA-B371-F20928C549DE}</x14:id>
        </ext>
      </extLst>
    </cfRule>
  </conditionalFormatting>
  <conditionalFormatting sqref="L5">
    <cfRule type="dataBar" priority="3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{BC06C7B8-ED3C-46CB-A23E-E956F7DBEDA0}</x14:id>
        </ext>
      </extLst>
    </cfRule>
  </conditionalFormatting>
  <conditionalFormatting sqref="M5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{82663973-0279-4D68-B86E-26D42CE0F0E7}</x14:id>
        </ext>
      </extLst>
    </cfRule>
  </conditionalFormatting>
  <conditionalFormatting sqref="L5:M5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{34869E3C-78EF-4F19-9678-A52389A2ADA5}</x14:id>
        </ext>
      </extLst>
    </cfRule>
  </conditionalFormatting>
  <conditionalFormatting sqref="L5:M5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{7B1674CD-14F5-4637-9DB7-C47C7F6C322E}</x14:id>
        </ext>
      </extLst>
    </cfRule>
  </conditionalFormatting>
  <conditionalFormatting sqref="L5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{CEF4ECCA-FE4C-4397-836E-0B8B1400523E}</x14:id>
        </ext>
      </extLst>
    </cfRule>
  </conditionalFormatting>
  <conditionalFormatting sqref="L5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{6E55B163-9B9B-4ABD-8DBE-02EA1CA8D74E}</x14:id>
        </ext>
      </extLst>
    </cfRule>
  </conditionalFormatting>
  <conditionalFormatting sqref="V5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{3F5CE089-EADD-4ED3-AEA1-BCF30B5C9590}</x14:id>
        </ext>
      </extLst>
    </cfRule>
  </conditionalFormatting>
  <conditionalFormatting sqref="U5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{9A2855EB-9386-44C4-AAE0-3E6B272D28C4}</x14:id>
        </ext>
      </extLst>
    </cfRule>
  </conditionalFormatting>
  <conditionalFormatting sqref="T5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{017015A3-7A93-49D9-BBAA-173831039804}</x14:id>
        </ext>
      </extLst>
    </cfRule>
  </conditionalFormatting>
  <conditionalFormatting sqref="L5:M5">
    <cfRule type="dataBar" priority="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{220CFD12-1F6C-4341-B32A-3233AF097E09}</x14:id>
        </ext>
      </extLst>
    </cfRule>
  </conditionalFormatting>
  <conditionalFormatting sqref="I5">
    <cfRule type="dataBar" priority="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{8CF30E8F-D257-43C5-BA9B-5BDDA74CF6EB}</x14:id>
        </ext>
      </extLst>
    </cfRule>
  </conditionalFormatting>
  <conditionalFormatting sqref="T5">
    <cfRule type="dataBar" priority="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{00185F9B-677E-4B7D-9F01-7105336BD37A}</x14:id>
        </ext>
      </extLst>
    </cfRule>
  </conditionalFormatting>
  <conditionalFormatting sqref="L5">
    <cfRule type="dataBar" priority="3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{C8665C46-01CF-4B36-BD48-C97E3292F3DF}</x14:id>
        </ext>
      </extLst>
    </cfRule>
  </conditionalFormatting>
  <conditionalFormatting sqref="M5">
    <cfRule type="dataBar" priority="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{383EF39B-2E57-41D0-A994-91708AD6996A}</x14:id>
        </ext>
      </extLst>
    </cfRule>
  </conditionalFormatting>
  <conditionalFormatting sqref="I5">
    <cfRule type="dataBar" priority="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{6EB384C2-40AA-4D3A-AF3F-0F567D2B7EB6}</x14:id>
        </ext>
      </extLst>
    </cfRule>
  </conditionalFormatting>
  <conditionalFormatting sqref="M10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{FAA36798-CF71-42B4-8394-4973F87C12B6}</x14:id>
        </ext>
      </extLst>
    </cfRule>
  </conditionalFormatting>
  <conditionalFormatting sqref="M10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{31D1F7FE-D451-4C2A-A9F1-CE38B20D02C1}</x14:id>
        </ext>
      </extLst>
    </cfRule>
  </conditionalFormatting>
  <conditionalFormatting sqref="L10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{782BF25E-D3FF-4B97-93BD-9C0FC7123B0C}</x14:id>
        </ext>
      </extLst>
    </cfRule>
  </conditionalFormatting>
  <conditionalFormatting sqref="L10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{B061444A-355F-40E6-AFF1-5B39B4408280}</x14:id>
        </ext>
      </extLst>
    </cfRule>
  </conditionalFormatting>
  <conditionalFormatting sqref="L10:M10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{B7E93630-32AC-49E2-81F2-DB9550A85D94}</x14:id>
        </ext>
      </extLst>
    </cfRule>
  </conditionalFormatting>
  <conditionalFormatting sqref="L10:M10">
    <cfRule type="dataBar" priority="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{39B18E6E-7BAB-4782-8F80-D60225F62E0A}</x14:id>
        </ext>
      </extLst>
    </cfRule>
  </conditionalFormatting>
  <conditionalFormatting sqref="L10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{4B76F1DB-409E-4CD5-B20E-AE7A8AFD6981}</x14:id>
        </ext>
      </extLst>
    </cfRule>
  </conditionalFormatting>
  <conditionalFormatting sqref="L10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{83719089-2468-45C3-A628-BCE1B16D9A98}</x14:id>
        </ext>
      </extLst>
    </cfRule>
  </conditionalFormatting>
  <conditionalFormatting sqref="U10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{D12EFCC9-1D0C-425D-9018-CCC82EA74B78}</x14:id>
        </ext>
      </extLst>
    </cfRule>
  </conditionalFormatting>
  <conditionalFormatting sqref="I10">
    <cfRule type="dataBar" priority="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{0CA0CCF8-A192-49C2-A274-4854ABE26AE6}</x14:id>
        </ext>
      </extLst>
    </cfRule>
  </conditionalFormatting>
  <conditionalFormatting sqref="T10">
    <cfRule type="dataBar" priority="3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{F3F310F4-D790-48EA-94F9-90F564155A9F}</x14:id>
        </ext>
      </extLst>
    </cfRule>
  </conditionalFormatting>
  <conditionalFormatting sqref="L10:M10"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{12969B05-4197-4345-B5B6-386133855B6A}</x14:id>
        </ext>
      </extLst>
    </cfRule>
  </conditionalFormatting>
  <conditionalFormatting sqref="T10">
    <cfRule type="dataBar" priority="3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{7D4BD133-C89D-4331-9650-19196F13BE9E}</x14:id>
        </ext>
      </extLst>
    </cfRule>
  </conditionalFormatting>
  <conditionalFormatting sqref="I10">
    <cfRule type="dataBar" priority="3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{B72E44B8-6494-4ABF-A2C7-125D0C625F8C}</x14:id>
        </ext>
      </extLst>
    </cfRule>
  </conditionalFormatting>
  <conditionalFormatting sqref="T10">
    <cfRule type="dataBar" priority="3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{EEAE30AE-4AAF-4BA0-8B4B-0020CA4DF428}</x14:id>
        </ext>
      </extLst>
    </cfRule>
  </conditionalFormatting>
  <conditionalFormatting sqref="L10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{0F1407FB-DE42-4230-B6A2-F0A11B1EB56A}</x14:id>
        </ext>
      </extLst>
    </cfRule>
  </conditionalFormatting>
  <conditionalFormatting sqref="L10:M10">
    <cfRule type="dataBar" priority="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{A2FC86C7-EA9F-4970-9E46-0FE7C7B54CDE}</x14:id>
        </ext>
      </extLst>
    </cfRule>
  </conditionalFormatting>
  <conditionalFormatting sqref="I10">
    <cfRule type="dataBar" priority="3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{1112378C-986D-4452-B9B0-C15C0C1E0981}</x14:id>
        </ext>
      </extLst>
    </cfRule>
  </conditionalFormatting>
  <conditionalFormatting sqref="L10:M10">
    <cfRule type="dataBar" priority="3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{D7D3626A-4E4E-4C70-8A87-5FAFA18CD574}</x14:id>
        </ext>
      </extLst>
    </cfRule>
  </conditionalFormatting>
  <conditionalFormatting sqref="T10">
    <cfRule type="dataBar" priority="3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{7CCFAA30-41C2-4B9C-817D-2C41A1C0EB44}</x14:id>
        </ext>
      </extLst>
    </cfRule>
  </conditionalFormatting>
  <conditionalFormatting sqref="L8:M9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{06297112-9761-4016-8F0D-98B924BB46C5}</x14:id>
        </ext>
      </extLst>
    </cfRule>
  </conditionalFormatting>
  <conditionalFormatting sqref="V8:V9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{52FBBB85-C1E3-4F7B-A873-D96DAEBBB00C}</x14:id>
        </ext>
      </extLst>
    </cfRule>
  </conditionalFormatting>
  <conditionalFormatting sqref="U8:U9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{C2D8F3E9-9282-477F-9004-00881ED2AC8D}</x14:id>
        </ext>
      </extLst>
    </cfRule>
  </conditionalFormatting>
  <conditionalFormatting sqref="I8:I9">
    <cfRule type="dataBar" priority="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{EA662E66-B668-4A14-AC6E-06E4AD2064E3}</x14:id>
        </ext>
      </extLst>
    </cfRule>
  </conditionalFormatting>
  <conditionalFormatting sqref="T8:T9">
    <cfRule type="dataBar" priority="4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{FCC26749-81FA-496F-BBAE-B10D8BA9A76F}</x14:id>
        </ext>
      </extLst>
    </cfRule>
  </conditionalFormatting>
  <conditionalFormatting sqref="L8:M9">
    <cfRule type="dataBar" priority="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{C2BE884C-B054-461A-AF2B-55124D7F6255}</x14:id>
        </ext>
      </extLst>
    </cfRule>
  </conditionalFormatting>
  <conditionalFormatting sqref="T12:T13 T8:T9">
    <cfRule type="dataBar" priority="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{F97EE28C-8C2F-4458-9C41-535E2A9502BA}</x14:id>
        </ext>
      </extLst>
    </cfRule>
  </conditionalFormatting>
  <conditionalFormatting sqref="I12:I13 I8:I9">
    <cfRule type="dataBar" priority="4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{750BEFB3-75C4-453A-AB07-5FAA178444B7}</x14:id>
        </ext>
      </extLst>
    </cfRule>
  </conditionalFormatting>
  <conditionalFormatting sqref="T12:T13 T3 T8:T9">
    <cfRule type="dataBar" priority="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{CA54E068-77DD-4539-ABE3-253A70D767DA}</x14:id>
        </ext>
      </extLst>
    </cfRule>
  </conditionalFormatting>
  <conditionalFormatting sqref="L12:L13 L8:L9">
    <cfRule type="dataBar" priority="4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{391EA40C-3BB6-4B5D-B4BE-8063C57F1D5A}</x14:id>
        </ext>
      </extLst>
    </cfRule>
  </conditionalFormatting>
  <conditionalFormatting sqref="M8:M9 M12">
    <cfRule type="dataBar" priority="4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{C2C39131-0A16-42A2-BCB6-224F94872656}</x14:id>
        </ext>
      </extLst>
    </cfRule>
  </conditionalFormatting>
  <conditionalFormatting sqref="T11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{86692042-12B3-45FB-98D4-4AC7A280C9CC}</x14:id>
        </ext>
      </extLst>
    </cfRule>
  </conditionalFormatting>
  <conditionalFormatting sqref="T11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{4418A68C-85B8-46CF-8416-6146CD317287}</x14:id>
        </ext>
      </extLst>
    </cfRule>
  </conditionalFormatting>
  <conditionalFormatting sqref="T11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{163FEBB3-C2B7-4E5C-A0A1-A94DBC33817C}</x14:id>
        </ext>
      </extLst>
    </cfRule>
  </conditionalFormatting>
  <conditionalFormatting sqref="U11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{481DCD9C-8A88-4EDF-93C1-4A2C5422A31F}</x14:id>
        </ext>
      </extLst>
    </cfRule>
  </conditionalFormatting>
  <conditionalFormatting sqref="L11:M11"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{E55A879B-A788-4703-B6E2-8A964C4CEFEE}</x14:id>
        </ext>
      </extLst>
    </cfRule>
  </conditionalFormatting>
  <conditionalFormatting sqref="M11">
    <cfRule type="dataBar" priority="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{4887C62C-ED14-48DE-AD5E-43C08F5EA430}</x14:id>
        </ext>
      </extLst>
    </cfRule>
  </conditionalFormatting>
  <conditionalFormatting sqref="L11">
    <cfRule type="dataBar" priority="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{98EEB93F-BAF4-4C87-AC63-AF9B99017A00}</x14:id>
        </ext>
      </extLst>
    </cfRule>
  </conditionalFormatting>
  <conditionalFormatting sqref="M11">
    <cfRule type="dataBar" priority="3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{A250A7A8-BDF7-452D-BDC8-8CE26058F31B}</x14:id>
        </ext>
      </extLst>
    </cfRule>
  </conditionalFormatting>
  <conditionalFormatting sqref="L11:M11">
    <cfRule type="dataBar" priority="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{2C1D66CA-CED0-4C0C-98CC-27D7437766DE}</x14:id>
        </ext>
      </extLst>
    </cfRule>
  </conditionalFormatting>
  <conditionalFormatting sqref="T11">
    <cfRule type="dataBar" priority="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{8A79AD64-05AD-4B4E-866A-3874BCE3D24E}</x14:id>
        </ext>
      </extLst>
    </cfRule>
  </conditionalFormatting>
  <conditionalFormatting sqref="L11:M11">
    <cfRule type="dataBar" priority="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{75390C59-D9EA-4DDF-95DD-027BD5D35D99}</x14:id>
        </ext>
      </extLst>
    </cfRule>
  </conditionalFormatting>
  <conditionalFormatting sqref="T11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{42EBE2F5-1AF2-410B-95B7-B215973C64E3}</x14:id>
        </ext>
      </extLst>
    </cfRule>
  </conditionalFormatting>
  <conditionalFormatting sqref="T11">
    <cfRule type="dataBar" priority="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{03F19AEB-FFA2-4EBF-8C24-0949C00A6B87}</x14:id>
        </ext>
      </extLst>
    </cfRule>
  </conditionalFormatting>
  <conditionalFormatting sqref="L11">
    <cfRule type="dataBar" priority="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{A28651D0-201E-4BFF-AB9C-26D58560833A}</x14:id>
        </ext>
      </extLst>
    </cfRule>
  </conditionalFormatting>
  <conditionalFormatting sqref="I11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{68B283F1-61C1-4296-9DC4-B7FE7EA5C03C}</x14:id>
        </ext>
      </extLst>
    </cfRule>
  </conditionalFormatting>
  <conditionalFormatting sqref="L11:M11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{327012EB-C3A7-4537-9285-AA519C213065}</x14:id>
        </ext>
      </extLst>
    </cfRule>
  </conditionalFormatting>
  <conditionalFormatting sqref="I11">
    <cfRule type="dataBar" priority="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{5E119561-35F4-4AD2-8361-2EE2F78D47D5}</x14:id>
        </ext>
      </extLst>
    </cfRule>
  </conditionalFormatting>
  <conditionalFormatting sqref="I11">
    <cfRule type="dataBar" priority="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{24C263DE-3391-441D-BE59-430C0B1F7D3E}</x14:id>
        </ext>
      </extLst>
    </cfRule>
  </conditionalFormatting>
  <conditionalFormatting sqref="L11:M11">
    <cfRule type="dataBar" priority="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{28AAB747-6C58-4DA8-BC4A-44947A5B32BD}</x14:id>
        </ext>
      </extLst>
    </cfRule>
  </conditionalFormatting>
  <conditionalFormatting sqref="T11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{AEC93554-D7EE-47E7-B202-91D78A18AEB8}</x14:id>
        </ext>
      </extLst>
    </cfRule>
  </conditionalFormatting>
  <conditionalFormatting sqref="I4:I5 I8:I13">
    <cfRule type="dataBar" priority="4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{7FFABCDB-D089-4DB1-94CC-8B1D8FFB1BE1}</x14:id>
        </ext>
      </extLst>
    </cfRule>
  </conditionalFormatting>
  <conditionalFormatting sqref="L4:M5 L8:M13">
    <cfRule type="dataBar" priority="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{3823CE7D-8E83-48AA-A1C2-2A7364B26C72}</x14:id>
        </ext>
      </extLst>
    </cfRule>
  </conditionalFormatting>
  <conditionalFormatting sqref="T4:T5 T8:T13">
    <cfRule type="dataBar" priority="4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{FE59F60F-FA15-4451-A99A-2CD56D12F042}</x14:id>
        </ext>
      </extLst>
    </cfRule>
  </conditionalFormatting>
  <conditionalFormatting sqref="L6:M6">
    <cfRule type="dataBar" priority="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{D4C06558-FD71-46D9-BC8E-AB4EE9AD64F2}</x14:id>
        </ext>
      </extLst>
    </cfRule>
  </conditionalFormatting>
  <conditionalFormatting sqref="L6:M6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{10E325D9-6FD4-4EF0-B2ED-D7C12EFB8BA1}</x14:id>
        </ext>
      </extLst>
    </cfRule>
  </conditionalFormatting>
  <conditionalFormatting sqref="L6">
    <cfRule type="dataBar" priority="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{0F824456-32AD-4789-A1A3-CBADB3DA6741}</x14:id>
        </ext>
      </extLst>
    </cfRule>
  </conditionalFormatting>
  <conditionalFormatting sqref="M6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{D4AA44AF-4120-468D-AEB2-3404A17E1445}</x14:id>
        </ext>
      </extLst>
    </cfRule>
  </conditionalFormatting>
  <conditionalFormatting sqref="L6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{D5F8D8A6-B23F-47C8-B1E3-16419F381283}</x14:id>
        </ext>
      </extLst>
    </cfRule>
  </conditionalFormatting>
  <conditionalFormatting sqref="L6:M6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{FBFF98E9-9CE3-4E02-8AEA-9CD9C9E0EE41}</x14:id>
        </ext>
      </extLst>
    </cfRule>
  </conditionalFormatting>
  <conditionalFormatting sqref="L6:M6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{D61FA042-4032-40FE-98ED-C843C52A1E61}</x14:id>
        </ext>
      </extLst>
    </cfRule>
  </conditionalFormatting>
  <conditionalFormatting sqref="V6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{67EF5689-8DFC-4217-8E79-99B1F3C57E89}</x14:id>
        </ext>
      </extLst>
    </cfRule>
  </conditionalFormatting>
  <conditionalFormatting sqref="U6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{0827339B-4008-4D42-AC86-686B3534344F}</x14:id>
        </ext>
      </extLst>
    </cfRule>
  </conditionalFormatting>
  <conditionalFormatting sqref="I6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{73A7E450-4D32-4421-BDCD-1AA108FB32D1}</x14:id>
        </ext>
      </extLst>
    </cfRule>
  </conditionalFormatting>
  <conditionalFormatting sqref="T6">
    <cfRule type="dataBar" priority="3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{E0CF771F-781A-4EC7-9424-957241B8C1A1}</x14:id>
        </ext>
      </extLst>
    </cfRule>
  </conditionalFormatting>
  <conditionalFormatting sqref="L6:M6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{3B6A2B18-B9F5-4547-BDBA-7F94869AAE0B}</x14:id>
        </ext>
      </extLst>
    </cfRule>
  </conditionalFormatting>
  <conditionalFormatting sqref="T6">
    <cfRule type="dataBar" priority="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{52D08238-4C45-41F4-A85D-A1C7285845B4}</x14:id>
        </ext>
      </extLst>
    </cfRule>
  </conditionalFormatting>
  <conditionalFormatting sqref="L6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{BD2A06E4-8F8C-411F-9E71-DDB39628C526}</x14:id>
        </ext>
      </extLst>
    </cfRule>
  </conditionalFormatting>
  <conditionalFormatting sqref="M6">
    <cfRule type="dataBar" priority="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{3A38A507-E726-4AE9-A89E-96CB59D6FA1A}</x14:id>
        </ext>
      </extLst>
    </cfRule>
  </conditionalFormatting>
  <conditionalFormatting sqref="I6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{5778CDBD-D9C7-44ED-A7B8-E3782FA794C6}</x14:id>
        </ext>
      </extLst>
    </cfRule>
  </conditionalFormatting>
  <conditionalFormatting sqref="L7:M7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{8D533EB9-B460-4807-A460-83A678ADC7A3}</x14:id>
        </ext>
      </extLst>
    </cfRule>
  </conditionalFormatting>
  <conditionalFormatting sqref="L7:M7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{22C48BCC-BE29-4356-BECB-2D3337CE9DD4}</x14:id>
        </ext>
      </extLst>
    </cfRule>
  </conditionalFormatting>
  <conditionalFormatting sqref="L7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{68299754-199D-4242-8C80-D15FCF9FB227}</x14:id>
        </ext>
      </extLst>
    </cfRule>
  </conditionalFormatting>
  <conditionalFormatting sqref="M7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{BC4DA93E-A577-4BAB-9A3E-F70CB740AE87}</x14:id>
        </ext>
      </extLst>
    </cfRule>
  </conditionalFormatting>
  <conditionalFormatting sqref="L7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{BAB7F984-0CF6-4671-AED7-B6216664E5E8}</x14:id>
        </ext>
      </extLst>
    </cfRule>
  </conditionalFormatting>
  <conditionalFormatting sqref="L7:M7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{CB211F03-7463-4F26-98A6-580C49D34289}</x14:id>
        </ext>
      </extLst>
    </cfRule>
  </conditionalFormatting>
  <conditionalFormatting sqref="L7:M7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{C11292A3-4B83-4C13-916C-BDAE418629C0}</x14:id>
        </ext>
      </extLst>
    </cfRule>
  </conditionalFormatting>
  <conditionalFormatting sqref="V7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{EFD67F20-7559-4869-AD48-0D791AD399FC}</x14:id>
        </ext>
      </extLst>
    </cfRule>
  </conditionalFormatting>
  <conditionalFormatting sqref="U7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{84588360-90B5-47E9-B034-051B8660977F}</x14:id>
        </ext>
      </extLst>
    </cfRule>
  </conditionalFormatting>
  <conditionalFormatting sqref="I7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{3370F60C-D0E0-4A41-9D81-199A1637A5A2}</x14:id>
        </ext>
      </extLst>
    </cfRule>
  </conditionalFormatting>
  <conditionalFormatting sqref="T7">
    <cfRule type="dataBar" priority="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{376B5874-A8FD-483B-A7D4-205303E971C8}</x14:id>
        </ext>
      </extLst>
    </cfRule>
  </conditionalFormatting>
  <conditionalFormatting sqref="L7:M7">
    <cfRule type="dataBar" priority="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{1EBB3441-CD28-4DB2-A887-775B5B7222CB}</x14:id>
        </ext>
      </extLst>
    </cfRule>
  </conditionalFormatting>
  <conditionalFormatting sqref="T7">
    <cfRule type="dataBar" priority="2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{D4DCB455-1DF6-42C3-A98F-0BAB62139DB0}</x14:id>
        </ext>
      </extLst>
    </cfRule>
  </conditionalFormatting>
  <conditionalFormatting sqref="L7">
    <cfRule type="dataBar" priority="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{D5969B78-360E-48C7-B55A-1F7D3C95F335}</x14:id>
        </ext>
      </extLst>
    </cfRule>
  </conditionalFormatting>
  <conditionalFormatting sqref="M7">
    <cfRule type="dataBar" priority="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{25F94298-633F-47E4-87E7-05169ED1D971}</x14:id>
        </ext>
      </extLst>
    </cfRule>
  </conditionalFormatting>
  <conditionalFormatting sqref="I7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{1E55EA66-F68E-4EF0-8401-29C50ABE83D4}</x14:id>
        </ext>
      </extLst>
    </cfRule>
  </conditionalFormatting>
  <conditionalFormatting sqref="H19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{7585E133-3CF6-4713-A813-EF4CDFFC6C18}</x14:id>
        </ext>
      </extLst>
    </cfRule>
    <cfRule type="cellIs" dxfId="163" priority="84" operator="equal">
      <formula>1</formula>
    </cfRule>
  </conditionalFormatting>
  <conditionalFormatting sqref="E30 E26 E45:E46">
    <cfRule type="containsText" dxfId="162" priority="81" operator="containsText" text="Buy">
      <formula>NOT(ISERROR(SEARCH("Buy",E26)))</formula>
    </cfRule>
    <cfRule type="containsText" dxfId="161" priority="82" operator="containsText" text="Sell">
      <formula>NOT(ISERROR(SEARCH("Sell",E26)))</formula>
    </cfRule>
  </conditionalFormatting>
  <conditionalFormatting sqref="D20">
    <cfRule type="containsText" dxfId="160" priority="76" operator="containsText" text="Buy">
      <formula>NOT(ISERROR(SEARCH("Buy",D20)))</formula>
    </cfRule>
    <cfRule type="containsText" dxfId="159" priority="77" operator="containsText" text="Sell">
      <formula>NOT(ISERROR(SEARCH("Sell",D20)))</formula>
    </cfRule>
  </conditionalFormatting>
  <conditionalFormatting sqref="E29">
    <cfRule type="containsText" dxfId="158" priority="79" operator="containsText" text="Buy">
      <formula>NOT(ISERROR(SEARCH("Buy",E29)))</formula>
    </cfRule>
    <cfRule type="containsText" dxfId="157" priority="80" operator="containsText" text="Sell">
      <formula>NOT(ISERROR(SEARCH("Sell",E29)))</formula>
    </cfRule>
  </conditionalFormatting>
  <conditionalFormatting sqref="E40">
    <cfRule type="containsText" dxfId="156" priority="65" operator="containsText" text="Buy">
      <formula>NOT(ISERROR(SEARCH("Buy",E40)))</formula>
    </cfRule>
    <cfRule type="containsText" dxfId="155" priority="66" operator="containsText" text="Sell">
      <formula>NOT(ISERROR(SEARCH("Sell",E40)))</formula>
    </cfRule>
  </conditionalFormatting>
  <conditionalFormatting sqref="E34">
    <cfRule type="containsText" dxfId="154" priority="61" operator="containsText" text="Buy">
      <formula>NOT(ISERROR(SEARCH("Buy",E34)))</formula>
    </cfRule>
    <cfRule type="containsText" dxfId="153" priority="62" operator="containsText" text="Sell">
      <formula>NOT(ISERROR(SEARCH("Sell",E34)))</formula>
    </cfRule>
  </conditionalFormatting>
  <conditionalFormatting sqref="E48">
    <cfRule type="containsText" dxfId="152" priority="57" operator="containsText" text="Buy">
      <formula>NOT(ISERROR(SEARCH("Buy",E48)))</formula>
    </cfRule>
    <cfRule type="containsText" dxfId="151" priority="58" operator="containsText" text="Sell">
      <formula>NOT(ISERROR(SEARCH("Sell",E48)))</formula>
    </cfRule>
  </conditionalFormatting>
  <conditionalFormatting sqref="E47">
    <cfRule type="containsText" dxfId="150" priority="55" operator="containsText" text="Buy">
      <formula>NOT(ISERROR(SEARCH("Buy",E47)))</formula>
    </cfRule>
    <cfRule type="containsText" dxfId="149" priority="56" operator="containsText" text="Sell">
      <formula>NOT(ISERROR(SEARCH("Sell",E47)))</formula>
    </cfRule>
  </conditionalFormatting>
  <conditionalFormatting sqref="E32">
    <cfRule type="containsText" dxfId="148" priority="49" operator="containsText" text="Buy">
      <formula>NOT(ISERROR(SEARCH("Buy",E32)))</formula>
    </cfRule>
    <cfRule type="containsText" dxfId="147" priority="50" operator="containsText" text="Sell">
      <formula>NOT(ISERROR(SEARCH("Sell",E32)))</formula>
    </cfRule>
  </conditionalFormatting>
  <conditionalFormatting sqref="E31">
    <cfRule type="containsText" dxfId="146" priority="47" operator="containsText" text="Buy">
      <formula>NOT(ISERROR(SEARCH("Buy",E31)))</formula>
    </cfRule>
    <cfRule type="containsText" dxfId="145" priority="48" operator="containsText" text="Sell">
      <formula>NOT(ISERROR(SEARCH("Sell",E31)))</formula>
    </cfRule>
  </conditionalFormatting>
  <conditionalFormatting sqref="E42">
    <cfRule type="containsText" dxfId="144" priority="45" operator="containsText" text="Buy">
      <formula>NOT(ISERROR(SEARCH("Buy",E42)))</formula>
    </cfRule>
    <cfRule type="containsText" dxfId="143" priority="46" operator="containsText" text="Sell">
      <formula>NOT(ISERROR(SEARCH("Sell",E42)))</formula>
    </cfRule>
  </conditionalFormatting>
  <conditionalFormatting sqref="E53">
    <cfRule type="containsText" dxfId="142" priority="43" operator="containsText" text="Buy">
      <formula>NOT(ISERROR(SEARCH("Buy",E53)))</formula>
    </cfRule>
    <cfRule type="containsText" dxfId="141" priority="44" operator="containsText" text="Sell">
      <formula>NOT(ISERROR(SEARCH("Sell",E53)))</formula>
    </cfRule>
  </conditionalFormatting>
  <conditionalFormatting sqref="E56">
    <cfRule type="containsText" dxfId="140" priority="41" operator="containsText" text="Buy">
      <formula>NOT(ISERROR(SEARCH("Buy",E56)))</formula>
    </cfRule>
    <cfRule type="containsText" dxfId="139" priority="42" operator="containsText" text="Sell">
      <formula>NOT(ISERROR(SEARCH("Sell",E56)))</formula>
    </cfRule>
  </conditionalFormatting>
  <conditionalFormatting sqref="E59">
    <cfRule type="containsText" dxfId="138" priority="39" operator="containsText" text="Buy">
      <formula>NOT(ISERROR(SEARCH("Buy",E59)))</formula>
    </cfRule>
    <cfRule type="containsText" dxfId="137" priority="40" operator="containsText" text="Sell">
      <formula>NOT(ISERROR(SEARCH("Sell",E59)))</formula>
    </cfRule>
  </conditionalFormatting>
  <conditionalFormatting sqref="E62">
    <cfRule type="containsText" dxfId="136" priority="37" operator="containsText" text="Buy">
      <formula>NOT(ISERROR(SEARCH("Buy",E62)))</formula>
    </cfRule>
    <cfRule type="containsText" dxfId="135" priority="38" operator="containsText" text="Sell">
      <formula>NOT(ISERROR(SEARCH("Sell",E62)))</formula>
    </cfRule>
  </conditionalFormatting>
  <conditionalFormatting sqref="E65">
    <cfRule type="containsText" dxfId="134" priority="35" operator="containsText" text="Buy">
      <formula>NOT(ISERROR(SEARCH("Buy",E65)))</formula>
    </cfRule>
    <cfRule type="containsText" dxfId="133" priority="36" operator="containsText" text="Sell">
      <formula>NOT(ISERROR(SEARCH("Sell",E65)))</formula>
    </cfRule>
  </conditionalFormatting>
  <conditionalFormatting sqref="E71">
    <cfRule type="containsText" dxfId="132" priority="33" operator="containsText" text="Buy">
      <formula>NOT(ISERROR(SEARCH("Buy",E71)))</formula>
    </cfRule>
    <cfRule type="containsText" dxfId="131" priority="34" operator="containsText" text="Sell">
      <formula>NOT(ISERROR(SEARCH("Sell",E71)))</formula>
    </cfRule>
  </conditionalFormatting>
  <conditionalFormatting sqref="E70">
    <cfRule type="containsText" dxfId="130" priority="31" operator="containsText" text="Buy">
      <formula>NOT(ISERROR(SEARCH("Buy",E70)))</formula>
    </cfRule>
    <cfRule type="containsText" dxfId="129" priority="32" operator="containsText" text="Sell">
      <formula>NOT(ISERROR(SEARCH("Sell",E70)))</formula>
    </cfRule>
  </conditionalFormatting>
  <conditionalFormatting sqref="E28">
    <cfRule type="containsText" dxfId="128" priority="73" operator="containsText" text="Buy">
      <formula>NOT(ISERROR(SEARCH("Buy",E28)))</formula>
    </cfRule>
    <cfRule type="containsText" dxfId="127" priority="74" operator="containsText" text="Sell">
      <formula>NOT(ISERROR(SEARCH("Sell",E28)))</formula>
    </cfRule>
  </conditionalFormatting>
  <conditionalFormatting sqref="H20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{9CFA84ED-AC9A-4164-8E14-45BE581F86A1}</x14:id>
        </ext>
      </extLst>
    </cfRule>
    <cfRule type="cellIs" dxfId="126" priority="78" operator="equal">
      <formula>1</formula>
    </cfRule>
  </conditionalFormatting>
  <conditionalFormatting sqref="E37">
    <cfRule type="containsText" dxfId="125" priority="69" operator="containsText" text="Buy">
      <formula>NOT(ISERROR(SEARCH("Buy",E37)))</formula>
    </cfRule>
    <cfRule type="containsText" dxfId="124" priority="70" operator="containsText" text="Sell">
      <formula>NOT(ISERROR(SEARCH("Sell",E37)))</formula>
    </cfRule>
  </conditionalFormatting>
  <conditionalFormatting sqref="E25">
    <cfRule type="containsText" dxfId="123" priority="71" operator="containsText" text="Buy">
      <formula>NOT(ISERROR(SEARCH("Buy",E25)))</formula>
    </cfRule>
    <cfRule type="containsText" dxfId="122" priority="72" operator="containsText" text="Sell">
      <formula>NOT(ISERROR(SEARCH("Sell",E25)))</formula>
    </cfRule>
  </conditionalFormatting>
  <conditionalFormatting sqref="E36">
    <cfRule type="containsText" dxfId="121" priority="67" operator="containsText" text="Buy">
      <formula>NOT(ISERROR(SEARCH("Buy",E36)))</formula>
    </cfRule>
    <cfRule type="containsText" dxfId="120" priority="68" operator="containsText" text="Sell">
      <formula>NOT(ISERROR(SEARCH("Sell",E36)))</formula>
    </cfRule>
  </conditionalFormatting>
  <conditionalFormatting sqref="E39">
    <cfRule type="containsText" dxfId="119" priority="63" operator="containsText" text="Buy">
      <formula>NOT(ISERROR(SEARCH("Buy",E39)))</formula>
    </cfRule>
    <cfRule type="containsText" dxfId="118" priority="64" operator="containsText" text="Sell">
      <formula>NOT(ISERROR(SEARCH("Sell",E39)))</formula>
    </cfRule>
  </conditionalFormatting>
  <conditionalFormatting sqref="E33">
    <cfRule type="containsText" dxfId="117" priority="59" operator="containsText" text="Buy">
      <formula>NOT(ISERROR(SEARCH("Buy",E33)))</formula>
    </cfRule>
    <cfRule type="containsText" dxfId="116" priority="60" operator="containsText" text="Sell">
      <formula>NOT(ISERROR(SEARCH("Sell",E33)))</formula>
    </cfRule>
  </conditionalFormatting>
  <conditionalFormatting sqref="E51">
    <cfRule type="containsText" dxfId="115" priority="53" operator="containsText" text="Buy">
      <formula>NOT(ISERROR(SEARCH("Buy",E51)))</formula>
    </cfRule>
    <cfRule type="containsText" dxfId="114" priority="54" operator="containsText" text="Sell">
      <formula>NOT(ISERROR(SEARCH("Sell",E51)))</formula>
    </cfRule>
  </conditionalFormatting>
  <conditionalFormatting sqref="E50">
    <cfRule type="containsText" dxfId="113" priority="51" operator="containsText" text="Buy">
      <formula>NOT(ISERROR(SEARCH("Buy",E50)))</formula>
    </cfRule>
    <cfRule type="containsText" dxfId="112" priority="52" operator="containsText" text="Sell">
      <formula>NOT(ISERROR(SEARCH("Sell",E50)))</formula>
    </cfRule>
  </conditionalFormatting>
  <conditionalFormatting sqref="E69">
    <cfRule type="containsText" dxfId="111" priority="29" operator="containsText" text="Buy">
      <formula>NOT(ISERROR(SEARCH("Buy",E69)))</formula>
    </cfRule>
    <cfRule type="containsText" dxfId="110" priority="30" operator="containsText" text="Sell">
      <formula>NOT(ISERROR(SEARCH("Sell",E69)))</formula>
    </cfRule>
  </conditionalFormatting>
  <conditionalFormatting sqref="E68">
    <cfRule type="containsText" dxfId="109" priority="27" operator="containsText" text="Buy">
      <formula>NOT(ISERROR(SEARCH("Buy",E68)))</formula>
    </cfRule>
    <cfRule type="containsText" dxfId="108" priority="28" operator="containsText" text="Sell">
      <formula>NOT(ISERROR(SEARCH("Sell",E68)))</formula>
    </cfRule>
  </conditionalFormatting>
  <conditionalFormatting sqref="E74">
    <cfRule type="containsText" dxfId="107" priority="25" operator="containsText" text="Buy">
      <formula>NOT(ISERROR(SEARCH("Buy",E74)))</formula>
    </cfRule>
    <cfRule type="containsText" dxfId="106" priority="26" operator="containsText" text="Sell">
      <formula>NOT(ISERROR(SEARCH("Sell",E74)))</formula>
    </cfRule>
  </conditionalFormatting>
  <conditionalFormatting sqref="E78">
    <cfRule type="containsText" dxfId="105" priority="23" operator="containsText" text="Buy">
      <formula>NOT(ISERROR(SEARCH("Buy",E78)))</formula>
    </cfRule>
    <cfRule type="containsText" dxfId="104" priority="24" operator="containsText" text="Sell">
      <formula>NOT(ISERROR(SEARCH("Sell",E78)))</formula>
    </cfRule>
  </conditionalFormatting>
  <conditionalFormatting sqref="E77">
    <cfRule type="containsText" dxfId="103" priority="21" operator="containsText" text="Buy">
      <formula>NOT(ISERROR(SEARCH("Buy",E77)))</formula>
    </cfRule>
    <cfRule type="containsText" dxfId="102" priority="22" operator="containsText" text="Sell">
      <formula>NOT(ISERROR(SEARCH("Sell",E77)))</formula>
    </cfRule>
  </conditionalFormatting>
  <conditionalFormatting sqref="E81">
    <cfRule type="containsText" dxfId="101" priority="19" operator="containsText" text="Buy">
      <formula>NOT(ISERROR(SEARCH("Buy",E81)))</formula>
    </cfRule>
    <cfRule type="containsText" dxfId="100" priority="20" operator="containsText" text="Sell">
      <formula>NOT(ISERROR(SEARCH("Sell",E81)))</formula>
    </cfRule>
  </conditionalFormatting>
  <conditionalFormatting sqref="E84">
    <cfRule type="containsText" dxfId="99" priority="17" operator="containsText" text="Buy">
      <formula>NOT(ISERROR(SEARCH("Buy",E84)))</formula>
    </cfRule>
    <cfRule type="containsText" dxfId="98" priority="18" operator="containsText" text="Sell">
      <formula>NOT(ISERROR(SEARCH("Sell",E84)))</formula>
    </cfRule>
  </conditionalFormatting>
  <conditionalFormatting sqref="E88">
    <cfRule type="containsText" dxfId="97" priority="15" operator="containsText" text="Buy">
      <formula>NOT(ISERROR(SEARCH("Buy",E88)))</formula>
    </cfRule>
    <cfRule type="containsText" dxfId="96" priority="16" operator="containsText" text="Sell">
      <formula>NOT(ISERROR(SEARCH("Sell",E88)))</formula>
    </cfRule>
  </conditionalFormatting>
  <conditionalFormatting sqref="E87">
    <cfRule type="containsText" dxfId="95" priority="13" operator="containsText" text="Buy">
      <formula>NOT(ISERROR(SEARCH("Buy",E87)))</formula>
    </cfRule>
    <cfRule type="containsText" dxfId="94" priority="14" operator="containsText" text="Sell">
      <formula>NOT(ISERROR(SEARCH("Sell",E87)))</formula>
    </cfRule>
  </conditionalFormatting>
  <conditionalFormatting sqref="E91">
    <cfRule type="containsText" dxfId="93" priority="11" operator="containsText" text="Buy">
      <formula>NOT(ISERROR(SEARCH("Buy",E91)))</formula>
    </cfRule>
    <cfRule type="containsText" dxfId="92" priority="12" operator="containsText" text="Sell">
      <formula>NOT(ISERROR(SEARCH("Sell",E91)))</formula>
    </cfRule>
  </conditionalFormatting>
  <conditionalFormatting sqref="E94">
    <cfRule type="containsText" dxfId="91" priority="9" operator="containsText" text="Buy">
      <formula>NOT(ISERROR(SEARCH("Buy",E94)))</formula>
    </cfRule>
    <cfRule type="containsText" dxfId="90" priority="10" operator="containsText" text="Sell">
      <formula>NOT(ISERROR(SEARCH("Sell",E94)))</formula>
    </cfRule>
  </conditionalFormatting>
  <conditionalFormatting sqref="E97">
    <cfRule type="containsText" dxfId="89" priority="7" operator="containsText" text="Buy">
      <formula>NOT(ISERROR(SEARCH("Buy",E97)))</formula>
    </cfRule>
    <cfRule type="containsText" dxfId="88" priority="8" operator="containsText" text="Sell">
      <formula>NOT(ISERROR(SEARCH("Sell",E97)))</formula>
    </cfRule>
  </conditionalFormatting>
  <conditionalFormatting sqref="E44">
    <cfRule type="containsText" dxfId="87" priority="5" operator="containsText" text="Buy">
      <formula>NOT(ISERROR(SEARCH("Buy",E44)))</formula>
    </cfRule>
    <cfRule type="containsText" dxfId="86" priority="6" operator="containsText" text="Sell">
      <formula>NOT(ISERROR(SEARCH("Sell",E44)))</formula>
    </cfRule>
  </conditionalFormatting>
  <conditionalFormatting sqref="E43">
    <cfRule type="containsText" dxfId="85" priority="3" operator="containsText" text="Buy">
      <formula>NOT(ISERROR(SEARCH("Buy",E43)))</formula>
    </cfRule>
    <cfRule type="containsText" dxfId="84" priority="4" operator="containsText" text="Sell">
      <formula>NOT(ISERROR(SEARCH("Sell",E43)))</formula>
    </cfRule>
  </conditionalFormatting>
  <conditionalFormatting sqref="E100">
    <cfRule type="containsText" dxfId="83" priority="1" operator="containsText" text="Buy">
      <formula>NOT(ISERROR(SEARCH("Buy",E100)))</formula>
    </cfRule>
    <cfRule type="containsText" dxfId="82" priority="2" operator="containsText" text="Sell">
      <formula>NOT(ISERROR(SEARCH("Sell",E100)))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9C2F7C-4319-40F5-B7E2-168B353E55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A013DE95-F629-45E5-B275-52A9D67055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CEA62090-4B3E-4EC7-8DA0-DEF241520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A4CB80C-D6D2-4BE4-9532-E43C110D99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7EE0C04-5F48-4758-808D-0422CC5A49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3494FC61-8A6E-4DA3-B081-A985C6B72D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8D54C0E1-4FA5-4291-B185-D4B7A5D242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9FE1E79-E9B5-4CEE-BB77-2C5DBAE5A8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1A13A4A-F00D-4442-85BE-4203ABF27B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41168D6-4193-42C3-839F-C789D77AD0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38043D8B-AD1F-4F2D-8DDE-053920CFFD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BFE0D67A-CCC2-40D8-8755-8B3DFA9B0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186B9B7-693F-464E-A3A4-5C9FF54F9D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FA724E41-859B-45D6-94B6-3882ED2F57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9C7A2D7C-C901-4920-8548-FE37246604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0020AE6-1445-4923-AE99-2948D6C926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8068DA6-731D-495B-8279-9C3FCA3780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A8239D1-70A8-493C-B40C-0EAE37461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56A11D34-CCE2-421B-8D3F-77952A4AD9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B62A682-517E-4BD0-AE1F-7CEBA309FB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C3B2022-3964-457E-9DDE-BD4AF40FC3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7F3B8D57-4125-495D-BA30-A32B818C00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6A2AD178-BCA4-44D5-A2B5-EAC0A4AE98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139086DF-4E0F-4613-B74E-DC8AD4491B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510C980-DB26-45F2-8C9B-EC1BE83DB7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DA21D3D-C0BD-445F-A97A-4FA6740573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22ADF11-38A9-4B1E-80CD-B955335F9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C21FCC19-52E4-47AF-9BC2-8D2524DAFC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5B29C9B-39A0-49C6-BC9D-4B5F844FE2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0527630-1877-4C6D-A7F2-2CF66518E1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56B3AE4C-4DE1-4946-8077-8CCADECAF2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D720DBF2-DC18-4E2F-9D39-F5E1A74E3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FA4DE01-78EC-4D67-A90C-A013803634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396EA5F-0991-478C-982C-2B96C2EB53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C47FDB3-9A1F-4EFB-BE9A-EA42CD5F39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B959695-A823-477C-B1CB-285C9708D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A9E540F-82A9-47A5-B52D-36CE9A2332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D4A128A8-66B4-4146-811E-DF783ECA2E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F7FD02B-4A7E-4B13-8D37-67AC4E1BF5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60F25B8-DD7A-45B2-AAA7-A27916A43D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E972E0CA-D6E2-4C5F-A1B6-517FA54B5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6C7B6845-A06E-40E4-A603-5EFF5CC022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E790FD2D-B074-4340-BF8A-60C9B2DAA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BFA5AC3-94EF-44E7-AA2F-4A707527FB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41BBE7D-46B8-4FCE-8788-AA8B21C6AD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491089E-35FD-40A1-BFB4-DA2A35EF58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61472FF-5847-4312-8B0C-3295794FF1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CE6D87C-56D6-4C22-82FA-4E57F684E5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06F9582C-2DF7-4310-A252-D0B1A94A18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0901045-9D7D-4149-9ECF-2B8CE7A38D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FAE80C33-13F7-4845-A7B5-9F4A42D9E6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A1DDF87-DB38-4FC8-A1C8-0465ABE0FA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C5E93C9C-BC47-4F5A-8274-4C19AE12E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D9A8457F-045E-4A61-B820-90DE55868C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5B980038-CD91-4A21-B0F3-4E6682EB92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4585B77-5E04-486B-9FC3-531A823D0C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AC18101-624B-4857-8ED7-0E59566E9A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4BED8AD3-A57B-4591-B852-77A30B0C92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AC37EAF-0BA7-43A9-B429-2B9E026C5A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2F08EBCE-48B4-4181-995D-C9B01D12A9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F451094-DA9B-4F9E-9BAE-0E97EA2661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3316DAFA-BB44-4771-9FB1-6946EBF170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137C5D6-4DA0-4512-B4AB-37FF7E457A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028C926-B6C0-4722-A3E7-D125B4D213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068FE554-D841-4543-BDFE-FD9FFAEB1F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93ACE5EB-3718-4CEE-AEA9-71C1EAADBB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B211E83-43BF-4692-BC5C-685747D04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17CFD0B-048B-4ADC-9ED2-10F8812D50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8735C555-474B-4DE4-BD7E-738E42FB6C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FA47946-87DF-4E73-B739-618810F07F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B2CE27E-D6CD-4E5A-92B7-8B28D15146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AFFA588-A06F-4781-A5C1-CCB833A137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63AEE5CB-DFFF-435D-A96C-97312C58BD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6C873D5-B813-48BA-B371-F20928C54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C06C7B8-ED3C-46CB-A23E-E956F7DBED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2663973-0279-4D68-B86E-26D42CE0F0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4869E3C-78EF-4F19-9678-A52389A2AD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B1674CD-14F5-4637-9DB7-C47C7F6C32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CEF4ECCA-FE4C-4397-836E-0B8B140052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E55B163-9B9B-4ABD-8DBE-02EA1CA8D7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F5CE089-EADD-4ED3-AEA1-BCF30B5C95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A2855EB-9386-44C4-AAE0-3E6B272D28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017015A3-7A93-49D9-BBAA-1738310398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220CFD12-1F6C-4341-B32A-3233AF097E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8CF30E8F-D257-43C5-BA9B-5BDDA74CF6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0185F9B-677E-4B7D-9F01-7105336BD3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8665C46-01CF-4B36-BD48-C97E3292F3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83EF39B-2E57-41D0-A994-91708AD699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EB384C2-40AA-4D3A-AF3F-0F567D2B7E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AA36798-CF71-42B4-8394-4973F87C12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1D1F7FE-D451-4C2A-A9F1-CE38B20D02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82BF25E-D3FF-4B97-93BD-9C0FC7123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061444A-355F-40E6-AFF1-5B39B44082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7E93630-32AC-49E2-81F2-DB9550A85D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9B18E6E-7BAB-4782-8F80-D60225F62E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B76F1DB-409E-4CD5-B20E-AE7A8AFD6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3719089-2468-45C3-A628-BCE1B16D9A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12EFCC9-1D0C-425D-9018-CCC82EA74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0CA0CCF8-A192-49C2-A274-4854ABE26A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F3F310F4-D790-48EA-94F9-90F564155A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2969B05-4197-4345-B5B6-386133855B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D4BD133-C89D-4331-9650-19196F13BE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B72E44B8-6494-4ABF-A2C7-125D0C625F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EEAE30AE-4AAF-4BA0-8B4B-0020CA4DF4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0F1407FB-DE42-4230-B6A2-F0A11B1EB5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2FC86C7-EA9F-4970-9E46-0FE7C7B54C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112378C-986D-4452-B9B0-C15C0C1E09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D7D3626A-4E4E-4C70-8A87-5FAFA18CD5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CCFAA30-41C2-4B9C-817D-2C41A1C0EB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06297112-9761-4016-8F0D-98B924BB46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52FBBB85-C1E3-4F7B-A873-D96DAEBBB0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V8:V9</xm:sqref>
        </x14:conditionalFormatting>
        <x14:conditionalFormatting xmlns:xm="http://schemas.microsoft.com/office/excel/2006/main">
          <x14:cfRule type="dataBar" id="{C2D8F3E9-9282-477F-9004-00881ED2AC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U8:U9</xm:sqref>
        </x14:conditionalFormatting>
        <x14:conditionalFormatting xmlns:xm="http://schemas.microsoft.com/office/excel/2006/main">
          <x14:cfRule type="dataBar" id="{EA662E66-B668-4A14-AC6E-06E4AD2064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I8:I9</xm:sqref>
        </x14:conditionalFormatting>
        <x14:conditionalFormatting xmlns:xm="http://schemas.microsoft.com/office/excel/2006/main">
          <x14:cfRule type="dataBar" id="{FCC26749-81FA-496F-BBAE-B10D8BA9A7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T8:T9</xm:sqref>
        </x14:conditionalFormatting>
        <x14:conditionalFormatting xmlns:xm="http://schemas.microsoft.com/office/excel/2006/main">
          <x14:cfRule type="dataBar" id="{C2BE884C-B054-461A-AF2B-55124D7F6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F97EE28C-8C2F-4458-9C41-535E2A9502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T8:T9</xm:sqref>
        </x14:conditionalFormatting>
        <x14:conditionalFormatting xmlns:xm="http://schemas.microsoft.com/office/excel/2006/main">
          <x14:cfRule type="dataBar" id="{750BEFB3-75C4-453A-AB07-5FAA178444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I8:I9</xm:sqref>
        </x14:conditionalFormatting>
        <x14:conditionalFormatting xmlns:xm="http://schemas.microsoft.com/office/excel/2006/main">
          <x14:cfRule type="dataBar" id="{CA54E068-77DD-4539-ABE3-253A70D76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T3 T8:T9</xm:sqref>
        </x14:conditionalFormatting>
        <x14:conditionalFormatting xmlns:xm="http://schemas.microsoft.com/office/excel/2006/main">
          <x14:cfRule type="dataBar" id="{391EA40C-3BB6-4B5D-B4BE-8063C57F1D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 L8:L9</xm:sqref>
        </x14:conditionalFormatting>
        <x14:conditionalFormatting xmlns:xm="http://schemas.microsoft.com/office/excel/2006/main">
          <x14:cfRule type="dataBar" id="{C2C39131-0A16-42A2-BCB6-224F948726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M8:M9 M12</xm:sqref>
        </x14:conditionalFormatting>
        <x14:conditionalFormatting xmlns:xm="http://schemas.microsoft.com/office/excel/2006/main">
          <x14:cfRule type="dataBar" id="{86692042-12B3-45FB-98D4-4AC7A280C9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418A68C-85B8-46CF-8416-6146CD317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163FEBB3-C2B7-4E5C-A0A1-A94DBC338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81DCD9C-8A88-4EDF-93C1-4A2C5422A3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E55A879B-A788-4703-B6E2-8A964C4CEF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887C62C-ED14-48DE-AD5E-43C08F5EA4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8EEB93F-BAF4-4C87-AC63-AF9B99017A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250A7A8-BDF7-452D-BDC8-8CE26058F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C1D66CA-CED0-4C0C-98CC-27D743776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A79AD64-05AD-4B4E-866A-3874BCE3D2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5390C59-D9EA-4DDF-95DD-027BD5D35D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2EBE2F5-1AF2-410B-95B7-B215973C64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3F19AEB-FFA2-4EBF-8C24-0949C00A6B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28651D0-201E-4BFF-AB9C-26D5856083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68B283F1-61C1-4296-9DC4-B7FE7EA5C0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27012EB-C3A7-4537-9285-AA519C2130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E119561-35F4-4AD2-8361-2EE2F78D47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4C263DE-3391-441D-BE59-430C0B1F7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8AAB747-6C58-4DA8-BC4A-44947A5B32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EC93554-D7EE-47E7-B202-91D78A18AE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FFABCDB-D089-4DB1-94CC-8B1D8FFB1B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I8:I13</xm:sqref>
        </x14:conditionalFormatting>
        <x14:conditionalFormatting xmlns:xm="http://schemas.microsoft.com/office/excel/2006/main">
          <x14:cfRule type="dataBar" id="{3823CE7D-8E83-48AA-A1C2-2A7364B26C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L8:M13</xm:sqref>
        </x14:conditionalFormatting>
        <x14:conditionalFormatting xmlns:xm="http://schemas.microsoft.com/office/excel/2006/main">
          <x14:cfRule type="dataBar" id="{FE59F60F-FA15-4451-A99A-2CD56D12F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T8:T13</xm:sqref>
        </x14:conditionalFormatting>
        <x14:conditionalFormatting xmlns:xm="http://schemas.microsoft.com/office/excel/2006/main">
          <x14:cfRule type="dataBar" id="{D4C06558-FD71-46D9-BC8E-AB4EE9AD64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0E325D9-6FD4-4EF0-B2ED-D7C12EFB8B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F824456-32AD-4789-A1A3-CBADB3DA67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4AA44AF-4120-468D-AEB2-3404A17E14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5F8D8A6-B23F-47C8-B1E3-16419F381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BFF98E9-9CE3-4E02-8AEA-9CD9C9E0EE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D61FA042-4032-40FE-98ED-C843C52A1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67EF5689-8DFC-4217-8E79-99B1F3C57E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0827339B-4008-4D42-AC86-686B353434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3A7E450-4D32-4421-BDCD-1AA108FB32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0CF771F-781A-4EC7-9424-957241B8C1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3B6A2B18-B9F5-4547-BDBA-7F94869AAE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2D08238-4C45-41F4-A85D-A1C7285845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BD2A06E4-8F8C-411F-9E71-DDB39628C5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A38A507-E726-4AE9-A89E-96CB59D6FA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778CDBD-D9C7-44ED-A7B8-E3782FA794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8D533EB9-B460-4807-A460-83A678ADC7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2C48BCC-BE29-4356-BECB-2D3337CE9D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8299754-199D-4242-8C80-D15FCF9FB2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BC4DA93E-A577-4BAB-9A3E-F70CB740AE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AB7F984-0CF6-4671-AED7-B6216664E5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CB211F03-7463-4F26-98A6-580C49D342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11292A3-4B83-4C13-916C-BDAE418629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EFD67F20-7559-4869-AD48-0D791AD399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4588360-90B5-47E9-B034-051B866097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370F60C-D0E0-4A41-9D81-199A1637A5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76B5874-A8FD-483B-A7D4-205303E971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EBB3441-CD28-4DB2-A887-775B5B7222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D4DCB455-1DF6-42C3-A98F-0BAB62139D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D5969B78-360E-48C7-B55A-1F7D3C95F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5F94298-633F-47E4-87E7-05169ED1D9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E55EA66-F68E-4EF0-8401-29C50ABE83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7585E133-3CF6-4713-A813-EF4CDFFC6C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9CFA84ED-AC9A-4164-8E14-45BE581F86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iconSet" priority="412" id="{1DAA1043-2B59-40BF-A91C-12A1CEE8371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391" id="{F99EB4BD-E7DE-4F64-92DB-9DA7DF0875E0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57" id="{E6976537-FC00-4EE1-8DDA-AC2F0DC9D3F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443" id="{5D4D6F61-BFE4-49C0-9E2D-CD0830A92DF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J8:J9</xm:sqref>
        </x14:conditionalFormatting>
        <x14:conditionalFormatting xmlns:xm="http://schemas.microsoft.com/office/excel/2006/main">
          <x14:cfRule type="iconSet" priority="308" id="{58B59784-DA82-4C8C-B51B-FC762B7D151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285" id="{49BF3C9A-CE87-412F-9353-17328E75267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1"/>
  <sheetViews>
    <sheetView tabSelected="1" topLeftCell="A10" workbookViewId="0">
      <selection activeCell="B11" sqref="B11"/>
    </sheetView>
  </sheetViews>
  <sheetFormatPr defaultRowHeight="15" x14ac:dyDescent="0.25"/>
  <sheetData>
    <row r="1" spans="1:22" s="1" customFormat="1" ht="12.75" x14ac:dyDescent="0.2">
      <c r="F1" s="1" t="s">
        <v>94</v>
      </c>
      <c r="G1" s="1" t="e">
        <f ca="1">_xll.BDP($F$1,"PX last")</f>
        <v>#NAME?</v>
      </c>
      <c r="H1" s="1" t="s">
        <v>61</v>
      </c>
      <c r="I1" s="1" t="e">
        <f ca="1">_xll.BDP($H$1,"PX last")</f>
        <v>#NAME?</v>
      </c>
      <c r="J1" s="1" t="s">
        <v>89</v>
      </c>
      <c r="K1" s="1" t="e">
        <f ca="1">_xll.BDP($J$1,"PX last")</f>
        <v>#NAME?</v>
      </c>
      <c r="M1" s="1" t="s">
        <v>60</v>
      </c>
      <c r="O1" s="1" t="s">
        <v>124</v>
      </c>
      <c r="P1" s="1" t="e">
        <f ca="1">_xll.BDP($O$1,"PX last")</f>
        <v>#NAME?</v>
      </c>
    </row>
    <row r="2" spans="1:22" s="1" customFormat="1" ht="12.75" x14ac:dyDescent="0.2"/>
    <row r="3" spans="1:22" s="109" customFormat="1" ht="102" x14ac:dyDescent="0.25">
      <c r="A3" s="107"/>
      <c r="B3" s="107" t="s">
        <v>48</v>
      </c>
      <c r="C3" s="108" t="s">
        <v>47</v>
      </c>
      <c r="D3" s="108" t="s">
        <v>59</v>
      </c>
      <c r="E3" s="108" t="s">
        <v>58</v>
      </c>
      <c r="F3" s="108" t="s">
        <v>43</v>
      </c>
      <c r="G3" s="108" t="s">
        <v>57</v>
      </c>
      <c r="H3" s="108" t="s">
        <v>278</v>
      </c>
      <c r="I3" s="108" t="s">
        <v>279</v>
      </c>
      <c r="J3" s="107" t="s">
        <v>1</v>
      </c>
      <c r="K3" s="108" t="s">
        <v>40</v>
      </c>
      <c r="L3" s="108" t="s">
        <v>137</v>
      </c>
      <c r="M3" s="108" t="s">
        <v>65</v>
      </c>
      <c r="N3" s="108" t="s">
        <v>56</v>
      </c>
      <c r="O3" s="108" t="s">
        <v>62</v>
      </c>
      <c r="P3" s="108" t="s">
        <v>55</v>
      </c>
      <c r="Q3" s="108" t="s">
        <v>54</v>
      </c>
      <c r="R3" s="108" t="s">
        <v>52</v>
      </c>
      <c r="S3" s="108" t="s">
        <v>53</v>
      </c>
      <c r="T3" s="108" t="s">
        <v>283</v>
      </c>
      <c r="U3" s="108" t="s">
        <v>274</v>
      </c>
      <c r="V3" s="108" t="s">
        <v>275</v>
      </c>
    </row>
    <row r="4" spans="1:22" s="91" customFormat="1" ht="12.75" x14ac:dyDescent="0.2">
      <c r="A4" s="10" t="s">
        <v>2735</v>
      </c>
      <c r="B4" s="67" t="e">
        <f ca="1">_xll.BDP(C4,"SECURITY_NAME")</f>
        <v>#NAME?</v>
      </c>
      <c r="C4" s="68" t="s">
        <v>1588</v>
      </c>
      <c r="D4" s="69" t="e">
        <f t="shared" ref="D4:D12" ca="1" si="0">$Q4/$Q$13</f>
        <v>#NAME?</v>
      </c>
      <c r="E4" s="70">
        <f>$F$26</f>
        <v>14205</v>
      </c>
      <c r="F4" s="87">
        <f>$H$26</f>
        <v>4.3792609999999996</v>
      </c>
      <c r="G4" s="87" t="e">
        <f ca="1">_xll.BDP($C4,"PX_LAST")</f>
        <v>#NAME?</v>
      </c>
      <c r="H4" s="87" t="e">
        <f ca="1">_xll.BDP($C4,"BEST_TARGET_PRICE")</f>
        <v>#NAME?</v>
      </c>
      <c r="I4" s="106" t="e">
        <f t="shared" ref="I4:I10" ca="1" si="1">H4/G4-1</f>
        <v>#NAME?</v>
      </c>
      <c r="J4" s="87" t="e">
        <f ca="1">_xll.BDP($C4,"EQY_REC_CONS")</f>
        <v>#NAME?</v>
      </c>
      <c r="K4" s="71" t="e">
        <f ca="1">_xll.BDP($C4,"CRNCY")</f>
        <v>#NAME?</v>
      </c>
      <c r="L4" s="69" t="e">
        <f ca="1">$P4/$N4-1</f>
        <v>#NAME?</v>
      </c>
      <c r="M4" s="69" t="e">
        <f ca="1">G4/F4-1</f>
        <v>#NAME?</v>
      </c>
      <c r="N4" s="70" t="e">
        <f ca="1">$K$26</f>
        <v>#NAME?</v>
      </c>
      <c r="O4" s="70">
        <f>$E4*$F4</f>
        <v>62207.402504999998</v>
      </c>
      <c r="P4" s="70" t="e">
        <f ca="1">E4*G4*$I$1</f>
        <v>#NAME?</v>
      </c>
      <c r="Q4" s="88" t="e">
        <f ca="1">E4*G4</f>
        <v>#NAME?</v>
      </c>
      <c r="R4" s="72" t="e">
        <f t="shared" ref="R4:S11" ca="1" si="2">P4-N4</f>
        <v>#NAME?</v>
      </c>
      <c r="S4" s="72" t="e">
        <f t="shared" ca="1" si="2"/>
        <v>#NAME?</v>
      </c>
      <c r="T4" s="72" t="e">
        <f ca="1">_xll.BDP($C4,"EQY_DVD_YLD_EST")</f>
        <v>#NAME?</v>
      </c>
      <c r="U4" s="73" t="e">
        <f ca="1">_xll.BDP($C4,"DVD_EX_DT")</f>
        <v>#NAME?</v>
      </c>
      <c r="V4" s="73" t="e">
        <f ca="1">_xll.BDP($C4,"BDVD_NEXT_EST_DECL_DT")</f>
        <v>#NAME?</v>
      </c>
    </row>
    <row r="5" spans="1:22" s="91" customFormat="1" ht="12.75" x14ac:dyDescent="0.2">
      <c r="A5" s="10" t="s">
        <v>2735</v>
      </c>
      <c r="B5" s="67" t="e">
        <f ca="1">_xll.BDP(C5,"SECURITY_NAME")</f>
        <v>#NAME?</v>
      </c>
      <c r="C5" s="68" t="s">
        <v>125</v>
      </c>
      <c r="D5" s="69" t="e">
        <f t="shared" ca="1" si="0"/>
        <v>#NAME?</v>
      </c>
      <c r="E5" s="70">
        <f>$F$40</f>
        <v>6250</v>
      </c>
      <c r="F5" s="87">
        <f>$H$40</f>
        <v>9.9023000000000003</v>
      </c>
      <c r="G5" s="87" t="e">
        <f ca="1">_xll.BDP($C5,"PX_LAST")</f>
        <v>#NAME?</v>
      </c>
      <c r="H5" s="87" t="e">
        <f ca="1">_xll.BDP($C5,"BEST_TARGET_PRICE")</f>
        <v>#NAME?</v>
      </c>
      <c r="I5" s="106" t="e">
        <f t="shared" ca="1" si="1"/>
        <v>#NAME?</v>
      </c>
      <c r="J5" s="87" t="e">
        <f ca="1">_xll.BDP($C5,"EQY_REC_CONS")</f>
        <v>#NAME?</v>
      </c>
      <c r="K5" s="71" t="e">
        <f ca="1">_xll.BDP($C5,"CRNCY")</f>
        <v>#NAME?</v>
      </c>
      <c r="L5" s="69" t="e">
        <f ca="1">$P5/$N5-1</f>
        <v>#NAME?</v>
      </c>
      <c r="M5" s="69" t="e">
        <f ca="1">G5/F5-1</f>
        <v>#NAME?</v>
      </c>
      <c r="N5" s="70" t="e">
        <f ca="1">$K$40</f>
        <v>#NAME?</v>
      </c>
      <c r="O5" s="70">
        <f>$E5*$F5</f>
        <v>61889.375</v>
      </c>
      <c r="P5" s="70" t="e">
        <f ca="1">E5*G5*$I$1</f>
        <v>#NAME?</v>
      </c>
      <c r="Q5" s="88" t="e">
        <f ca="1">E5*G5</f>
        <v>#NAME?</v>
      </c>
      <c r="R5" s="72" t="e">
        <f t="shared" ca="1" si="2"/>
        <v>#NAME?</v>
      </c>
      <c r="S5" s="72" t="e">
        <f t="shared" ca="1" si="2"/>
        <v>#NAME?</v>
      </c>
      <c r="T5" s="72" t="e">
        <f ca="1">_xll.BDP($C5,"EQY_DVD_YLD_EST")</f>
        <v>#NAME?</v>
      </c>
      <c r="U5" s="73" t="e">
        <f ca="1">_xll.BDP($C5,"DVD_EX_DT")</f>
        <v>#NAME?</v>
      </c>
      <c r="V5" s="73" t="e">
        <f ca="1">_xll.BDP($C5,"BDVD_NEXT_EST_DECL_DT")</f>
        <v>#NAME?</v>
      </c>
    </row>
    <row r="6" spans="1:22" s="91" customFormat="1" ht="12.75" x14ac:dyDescent="0.2">
      <c r="A6" s="10" t="s">
        <v>2735</v>
      </c>
      <c r="B6" s="67" t="e">
        <f ca="1">_xll.BDP(C6,"SECURITY_NAME")</f>
        <v>#NAME?</v>
      </c>
      <c r="C6" s="68" t="s">
        <v>264</v>
      </c>
      <c r="D6" s="69" t="e">
        <f t="shared" ca="1" si="0"/>
        <v>#NAME?</v>
      </c>
      <c r="E6" s="70">
        <f>$F$37</f>
        <v>1136</v>
      </c>
      <c r="F6" s="87">
        <f>$H$37</f>
        <v>55</v>
      </c>
      <c r="G6" s="87" t="e">
        <f ca="1">_xll.BDP($C6,"PX_LAST")</f>
        <v>#NAME?</v>
      </c>
      <c r="H6" s="87" t="e">
        <f ca="1">_xll.BDP($C6,"BEST_TARGET_PRICE")</f>
        <v>#NAME?</v>
      </c>
      <c r="I6" s="106" t="e">
        <f t="shared" ca="1" si="1"/>
        <v>#NAME?</v>
      </c>
      <c r="J6" s="87" t="e">
        <f ca="1">_xll.BDP($C6,"EQY_REC_CONS")</f>
        <v>#NAME?</v>
      </c>
      <c r="K6" s="71" t="e">
        <f ca="1">_xll.BDP($C6,"CRNCY")</f>
        <v>#NAME?</v>
      </c>
      <c r="L6" s="69" t="e">
        <f ca="1">$P6/$N6-1</f>
        <v>#NAME?</v>
      </c>
      <c r="M6" s="69" t="e">
        <f ca="1">G6/F6-1</f>
        <v>#NAME?</v>
      </c>
      <c r="N6" s="70" t="e">
        <f ca="1">$K$37</f>
        <v>#NAME?</v>
      </c>
      <c r="O6" s="70">
        <f>$E6*$F6</f>
        <v>62480</v>
      </c>
      <c r="P6" s="70" t="e">
        <f ca="1">E6*G6*$I$1</f>
        <v>#NAME?</v>
      </c>
      <c r="Q6" s="88" t="e">
        <f ca="1">E6*G6</f>
        <v>#NAME?</v>
      </c>
      <c r="R6" s="72" t="e">
        <f ca="1">P6-N6</f>
        <v>#NAME?</v>
      </c>
      <c r="S6" s="72" t="e">
        <f ca="1">Q6-O6</f>
        <v>#NAME?</v>
      </c>
      <c r="T6" s="72" t="e">
        <f ca="1">_xll.BDP($C6,"EQY_DVD_YLD_EST")</f>
        <v>#NAME?</v>
      </c>
      <c r="U6" s="73" t="e">
        <f ca="1">_xll.BDP($C6,"DVD_EX_DT")</f>
        <v>#NAME?</v>
      </c>
      <c r="V6" s="73" t="e">
        <f ca="1">_xll.BDP($C6,"BDVD_NEXT_EST_DECL_DT")</f>
        <v>#NAME?</v>
      </c>
    </row>
    <row r="7" spans="1:22" s="91" customFormat="1" ht="12.75" x14ac:dyDescent="0.2">
      <c r="A7" s="10" t="s">
        <v>2735</v>
      </c>
      <c r="B7" s="67" t="e">
        <f ca="1">_xll.BDP(C7,"SECURITY_NAME")</f>
        <v>#NAME?</v>
      </c>
      <c r="C7" s="68" t="s">
        <v>133</v>
      </c>
      <c r="D7" s="69" t="e">
        <f t="shared" ca="1" si="0"/>
        <v>#NAME?</v>
      </c>
      <c r="E7" s="70">
        <f>$F$48</f>
        <v>13900</v>
      </c>
      <c r="F7" s="87">
        <f>$H$48</f>
        <v>4.4821</v>
      </c>
      <c r="G7" s="87" t="e">
        <f ca="1">_xll.BDP($C7,"PX_LAST")</f>
        <v>#NAME?</v>
      </c>
      <c r="H7" s="87" t="e">
        <f ca="1">_xll.BDP($C7,"BEST_TARGET_PRICE")</f>
        <v>#NAME?</v>
      </c>
      <c r="I7" s="106" t="e">
        <f t="shared" ca="1" si="1"/>
        <v>#NAME?</v>
      </c>
      <c r="J7" s="87" t="e">
        <f ca="1">_xll.BDP($C7,"EQY_REC_CONS")</f>
        <v>#NAME?</v>
      </c>
      <c r="K7" s="71" t="e">
        <f ca="1">_xll.BDP($C7,"CRNCY")</f>
        <v>#NAME?</v>
      </c>
      <c r="L7" s="69" t="e">
        <f ca="1">$P7/$N7-1</f>
        <v>#NAME?</v>
      </c>
      <c r="M7" s="69" t="e">
        <f ca="1">G7/F7-1</f>
        <v>#NAME?</v>
      </c>
      <c r="N7" s="70" t="e">
        <f ca="1">$K$48</f>
        <v>#NAME?</v>
      </c>
      <c r="O7" s="70">
        <f>$E7*$F7</f>
        <v>62301.19</v>
      </c>
      <c r="P7" s="70" t="e">
        <f ca="1">E7*G7*$I$1</f>
        <v>#NAME?</v>
      </c>
      <c r="Q7" s="88" t="e">
        <f ca="1">E7*G7</f>
        <v>#NAME?</v>
      </c>
      <c r="R7" s="72" t="e">
        <f ca="1">P7-N7</f>
        <v>#NAME?</v>
      </c>
      <c r="S7" s="72" t="e">
        <f ca="1">Q7-O7</f>
        <v>#NAME?</v>
      </c>
      <c r="T7" s="72" t="e">
        <f ca="1">_xll.BDP($C7,"EQY_DVD_YLD_EST")</f>
        <v>#NAME?</v>
      </c>
      <c r="U7" s="73" t="e">
        <f ca="1">_xll.BDP($C7,"DVD_EX_DT")</f>
        <v>#NAME?</v>
      </c>
      <c r="V7" s="73" t="e">
        <f ca="1">_xll.BDP($C7,"BDVD_NEXT_EST_DECL_DT")</f>
        <v>#NAME?</v>
      </c>
    </row>
    <row r="8" spans="1:22" s="91" customFormat="1" ht="12.75" x14ac:dyDescent="0.2">
      <c r="A8" s="10" t="s">
        <v>2735</v>
      </c>
      <c r="B8" s="67" t="e">
        <f ca="1">_xll.BDP(C8,"SECURITY_NAME")</f>
        <v>#NAME?</v>
      </c>
      <c r="C8" s="68" t="s">
        <v>2028</v>
      </c>
      <c r="D8" s="69" t="e">
        <f t="shared" ca="1" si="0"/>
        <v>#NAME?</v>
      </c>
      <c r="E8" s="70">
        <f>$F$51</f>
        <v>3950</v>
      </c>
      <c r="F8" s="87">
        <f>$H$51</f>
        <v>12.6</v>
      </c>
      <c r="G8" s="87" t="e">
        <f ca="1">_xll.BDP($C8,"PX_LAST")</f>
        <v>#NAME?</v>
      </c>
      <c r="H8" s="87" t="e">
        <f ca="1">_xll.BDP($C8,"BEST_TARGET_PRICE")</f>
        <v>#NAME?</v>
      </c>
      <c r="I8" s="106" t="e">
        <f t="shared" ca="1" si="1"/>
        <v>#NAME?</v>
      </c>
      <c r="J8" s="87" t="e">
        <f ca="1">_xll.BDP($C8,"EQY_REC_CONS")</f>
        <v>#NAME?</v>
      </c>
      <c r="K8" s="71" t="e">
        <f ca="1">_xll.BDP($C8,"CRNCY")</f>
        <v>#NAME?</v>
      </c>
      <c r="L8" s="69" t="e">
        <f ca="1">$P8/$N8-1</f>
        <v>#NAME?</v>
      </c>
      <c r="M8" s="69" t="e">
        <f ca="1">G8/F8-1</f>
        <v>#NAME?</v>
      </c>
      <c r="N8" s="70" t="e">
        <f ca="1">$K$51</f>
        <v>#NAME?</v>
      </c>
      <c r="O8" s="70">
        <f>$E8*$F8</f>
        <v>49770</v>
      </c>
      <c r="P8" s="70" t="e">
        <f ca="1">E8*G8*$I$1</f>
        <v>#NAME?</v>
      </c>
      <c r="Q8" s="88" t="e">
        <f ca="1">E8*G8</f>
        <v>#NAME?</v>
      </c>
      <c r="R8" s="72" t="e">
        <f t="shared" ca="1" si="2"/>
        <v>#NAME?</v>
      </c>
      <c r="S8" s="72" t="e">
        <f t="shared" ca="1" si="2"/>
        <v>#NAME?</v>
      </c>
      <c r="T8" s="72" t="e">
        <f ca="1">_xll.BDP($C8,"EQY_DVD_YLD_EST")</f>
        <v>#NAME?</v>
      </c>
      <c r="U8" s="73" t="e">
        <f ca="1">_xll.BDP($C8,"DVD_EX_DT")</f>
        <v>#NAME?</v>
      </c>
      <c r="V8" s="73" t="e">
        <f ca="1">_xll.BDP($C8,"BDVD_NEXT_EST_DECL_DT")</f>
        <v>#NAME?</v>
      </c>
    </row>
    <row r="9" spans="1:22" s="91" customFormat="1" ht="12.75" x14ac:dyDescent="0.2">
      <c r="A9" s="10" t="s">
        <v>2735</v>
      </c>
      <c r="B9" s="67" t="e">
        <f ca="1">_xll.BDP(C9,"SECURITY_NAME")</f>
        <v>#NAME?</v>
      </c>
      <c r="C9" s="68" t="s">
        <v>127</v>
      </c>
      <c r="D9" s="69" t="e">
        <f t="shared" ca="1" si="0"/>
        <v>#NAME?</v>
      </c>
      <c r="E9" s="70">
        <f>$F$29</f>
        <v>5150</v>
      </c>
      <c r="F9" s="87" t="e">
        <f ca="1">$H$29</f>
        <v>#NAME?</v>
      </c>
      <c r="G9" s="87" t="e">
        <f ca="1">_xll.BDP($C9,"PX_LAST")</f>
        <v>#NAME?</v>
      </c>
      <c r="H9" s="87" t="e">
        <f ca="1">_xll.BDP($C9,"BEST_TARGET_PRICE")</f>
        <v>#NAME?</v>
      </c>
      <c r="I9" s="106" t="e">
        <f t="shared" ca="1" si="1"/>
        <v>#NAME?</v>
      </c>
      <c r="J9" s="87" t="e">
        <f ca="1">_xll.BDP($C9,"EQY_REC_CONS")</f>
        <v>#NAME?</v>
      </c>
      <c r="K9" s="71" t="e">
        <f ca="1">_xll.BDP($C9,"CRNCY")</f>
        <v>#NAME?</v>
      </c>
      <c r="L9" s="69" t="e">
        <f ca="1">G9/F9-1</f>
        <v>#NAME?</v>
      </c>
      <c r="M9" s="69" t="e">
        <f ca="1">Q9/O9-1</f>
        <v>#NAME?</v>
      </c>
      <c r="N9" s="70" t="e">
        <f ca="1">E9*F9</f>
        <v>#NAME?</v>
      </c>
      <c r="O9" s="70" t="e">
        <f ca="1">$J$29</f>
        <v>#NAME?</v>
      </c>
      <c r="P9" s="70" t="e">
        <f ca="1">E9*G9</f>
        <v>#NAME?</v>
      </c>
      <c r="Q9" s="88" t="e">
        <f ca="1">P9/$I$1</f>
        <v>#NAME?</v>
      </c>
      <c r="R9" s="72" t="e">
        <f t="shared" ca="1" si="2"/>
        <v>#NAME?</v>
      </c>
      <c r="S9" s="72" t="e">
        <f t="shared" ca="1" si="2"/>
        <v>#NAME?</v>
      </c>
      <c r="T9" s="72" t="e">
        <f ca="1">_xll.BDP($C9,"EQY_DVD_YLD_EST")</f>
        <v>#NAME?</v>
      </c>
      <c r="U9" s="73" t="e">
        <f ca="1">_xll.BDP($C9,"DVD_EX_DT")</f>
        <v>#NAME?</v>
      </c>
      <c r="V9" s="73" t="e">
        <f ca="1">_xll.BDP($C9,"BDVD_NEXT_EST_DECL_DT")</f>
        <v>#NAME?</v>
      </c>
    </row>
    <row r="10" spans="1:22" s="91" customFormat="1" ht="12.75" x14ac:dyDescent="0.2">
      <c r="A10" s="10" t="s">
        <v>2735</v>
      </c>
      <c r="B10" s="67" t="e">
        <f ca="1">_xll.BDP(C10,"SECURITY_NAME")</f>
        <v>#NAME?</v>
      </c>
      <c r="C10" s="68" t="s">
        <v>88</v>
      </c>
      <c r="D10" s="69" t="e">
        <f t="shared" ca="1" si="0"/>
        <v>#NAME?</v>
      </c>
      <c r="E10" s="70">
        <f>$F$34</f>
        <v>89370</v>
      </c>
      <c r="F10" s="87" t="e">
        <f ca="1">$H$34</f>
        <v>#NAME?</v>
      </c>
      <c r="G10" s="87" t="e">
        <f ca="1">_xll.BDP($C10,"PX_LAST")</f>
        <v>#NAME?</v>
      </c>
      <c r="H10" s="87" t="e">
        <f ca="1">_xll.BDP($C10,"BEST_TARGET_PRICE")</f>
        <v>#NAME?</v>
      </c>
      <c r="I10" s="106" t="e">
        <f t="shared" ca="1" si="1"/>
        <v>#NAME?</v>
      </c>
      <c r="J10" s="87" t="e">
        <f ca="1">_xll.BDP($C10,"EQY_REC_CONS")</f>
        <v>#NAME?</v>
      </c>
      <c r="K10" s="71" t="e">
        <f ca="1">_xll.BDP($C10,"CRNCY")</f>
        <v>#NAME?</v>
      </c>
      <c r="L10" s="69" t="e">
        <f ca="1">P10/N10-1</f>
        <v>#NAME?</v>
      </c>
      <c r="M10" s="69" t="e">
        <f ca="1">Q10/O10-1</f>
        <v>#NAME?</v>
      </c>
      <c r="N10" s="70" t="e">
        <f ca="1">$K$34</f>
        <v>#NAME?</v>
      </c>
      <c r="O10" s="70" t="e">
        <f ca="1">$J$34</f>
        <v>#NAME?</v>
      </c>
      <c r="P10" s="70" t="e">
        <f ca="1">E10*G10*$K$1/100*$I$1</f>
        <v>#NAME?</v>
      </c>
      <c r="Q10" s="88" t="e">
        <f ca="1">P10/$I$1</f>
        <v>#NAME?</v>
      </c>
      <c r="R10" s="72" t="e">
        <f t="shared" ca="1" si="2"/>
        <v>#NAME?</v>
      </c>
      <c r="S10" s="72" t="e">
        <f t="shared" ca="1" si="2"/>
        <v>#NAME?</v>
      </c>
      <c r="T10" s="72" t="e">
        <f ca="1">_xll.BDP($C10,"EQY_DVD_YLD_EST")</f>
        <v>#NAME?</v>
      </c>
      <c r="U10" s="73" t="e">
        <f ca="1">_xll.BDP($C10,"BDVD_NEXT_EST_DECL_DT")</f>
        <v>#NAME?</v>
      </c>
    </row>
    <row r="11" spans="1:22" s="100" customFormat="1" ht="12.75" x14ac:dyDescent="0.2">
      <c r="A11" s="10" t="s">
        <v>2735</v>
      </c>
      <c r="B11" s="94" t="e">
        <f ca="1">_xll.BDP(C11,"SECURITY_NAME")</f>
        <v>#NAME?</v>
      </c>
      <c r="C11" s="93" t="s">
        <v>2736</v>
      </c>
      <c r="D11" s="95" t="e">
        <f t="shared" ca="1" si="0"/>
        <v>#NAME?</v>
      </c>
      <c r="E11" s="96">
        <f>$F$45</f>
        <v>442000</v>
      </c>
      <c r="F11" s="103">
        <f>$H$45</f>
        <v>175.07475113122172</v>
      </c>
      <c r="G11" s="97" t="e">
        <f ca="1">_xll.BDP(C11,"PX_ASK")</f>
        <v>#NAME?</v>
      </c>
      <c r="H11" s="97"/>
      <c r="I11" s="97"/>
      <c r="K11" s="101" t="e">
        <f ca="1">_xll.BDP($C11,"CRNCY")</f>
        <v>#NAME?</v>
      </c>
      <c r="L11" s="95" t="e">
        <f ca="1">P11/N11-1</f>
        <v>#NAME?</v>
      </c>
      <c r="M11" s="95" t="e">
        <f ca="1">G11/F11-1</f>
        <v>#NAME?</v>
      </c>
      <c r="N11" s="96" t="e">
        <f ca="1">$K$45</f>
        <v>#NAME?</v>
      </c>
      <c r="O11" s="96">
        <f>E11*F11/100</f>
        <v>773830.4</v>
      </c>
      <c r="P11" s="96" t="e">
        <f ca="1">G11*E11/100*$I$1</f>
        <v>#NAME?</v>
      </c>
      <c r="Q11" s="102" t="e">
        <f ca="1">P11/$I$1</f>
        <v>#NAME?</v>
      </c>
      <c r="R11" s="98" t="e">
        <f t="shared" ca="1" si="2"/>
        <v>#NAME?</v>
      </c>
      <c r="S11" s="98" t="e">
        <f t="shared" ca="1" si="2"/>
        <v>#NAME?</v>
      </c>
      <c r="T11" s="99" t="e">
        <f ca="1">_xll.BDP(C11,"YLD_CNV_BID")</f>
        <v>#NAME?</v>
      </c>
      <c r="U11" s="99"/>
    </row>
    <row r="12" spans="1:22" s="1" customFormat="1" ht="12.75" x14ac:dyDescent="0.2">
      <c r="A12" s="10" t="s">
        <v>2735</v>
      </c>
      <c r="B12" s="48" t="s">
        <v>49</v>
      </c>
      <c r="C12" s="48" t="s">
        <v>49</v>
      </c>
      <c r="D12" s="61" t="e">
        <f t="shared" ca="1" si="0"/>
        <v>#NAME?</v>
      </c>
      <c r="E12" s="44"/>
      <c r="F12" s="47"/>
      <c r="G12" s="46"/>
      <c r="H12" s="46"/>
      <c r="I12" s="46"/>
      <c r="J12" s="40"/>
      <c r="K12" s="40"/>
      <c r="L12" s="45"/>
      <c r="M12" s="45"/>
      <c r="N12" s="44"/>
      <c r="O12" s="44"/>
      <c r="P12" s="44"/>
      <c r="Q12" s="43">
        <f>571000+226000+3445000</f>
        <v>4242000</v>
      </c>
      <c r="R12" s="42"/>
      <c r="S12" s="41"/>
      <c r="T12" s="41"/>
      <c r="U12" s="40"/>
      <c r="V12" s="40"/>
    </row>
    <row r="13" spans="1:22" s="1" customFormat="1" ht="13.5" customHeight="1" thickBot="1" x14ac:dyDescent="0.25">
      <c r="B13" s="38"/>
      <c r="C13" s="38"/>
      <c r="D13" s="39" t="e">
        <f ca="1">SUM(D4:D12)</f>
        <v>#NAME?</v>
      </c>
      <c r="E13" s="38"/>
      <c r="F13" s="38"/>
      <c r="G13" s="38"/>
      <c r="H13" s="38"/>
      <c r="I13" s="105" t="e">
        <f ca="1">SUMPRODUCT(D4:D11,I4:I11)</f>
        <v>#NAME?</v>
      </c>
      <c r="J13" s="37"/>
      <c r="K13" s="37"/>
      <c r="L13" s="105" t="e">
        <f ca="1">SUMPRODUCT($D$4:$D$11,L4:L11)</f>
        <v>#NAME?</v>
      </c>
      <c r="M13" s="105" t="e">
        <f ca="1">SUMPRODUCT($D$4:$D$11,M4:M11)</f>
        <v>#NAME?</v>
      </c>
      <c r="N13" s="92" t="e">
        <f ca="1">SUM(N4:N12)</f>
        <v>#NAME?</v>
      </c>
      <c r="O13" s="92">
        <f>5000000-54000</f>
        <v>4946000</v>
      </c>
      <c r="P13" s="92" t="e">
        <f ca="1">SUM(P4:P12)</f>
        <v>#NAME?</v>
      </c>
      <c r="Q13" s="92" t="e">
        <f ca="1">SUM(Q4:Q12)</f>
        <v>#NAME?</v>
      </c>
      <c r="R13" s="89" t="e">
        <f ca="1">SUM(R4:R11)</f>
        <v>#NAME?</v>
      </c>
      <c r="S13" s="77" t="e">
        <f ca="1">SUM(S4:S11)</f>
        <v>#NAME?</v>
      </c>
      <c r="T13" s="104" t="e">
        <f ca="1">SUMPRODUCT(D4:D11,T4:T11)</f>
        <v>#NAME?</v>
      </c>
      <c r="U13" s="37"/>
      <c r="V13" s="37"/>
    </row>
    <row r="14" spans="1:22" s="1" customFormat="1" ht="13.5" customHeight="1" x14ac:dyDescent="0.2">
      <c r="B14" s="28"/>
      <c r="C14" s="28"/>
      <c r="D14" s="36"/>
      <c r="E14" s="28"/>
      <c r="F14" s="28"/>
      <c r="G14" s="28"/>
      <c r="I14" s="3" t="s">
        <v>281</v>
      </c>
      <c r="K14" s="28"/>
      <c r="L14" s="27"/>
      <c r="M14" s="27"/>
      <c r="N14" s="27"/>
      <c r="O14" s="27"/>
      <c r="P14" s="35"/>
      <c r="Q14" s="123" t="e">
        <f ca="1">Q13/O13-1</f>
        <v>#NAME?</v>
      </c>
      <c r="S14" s="76"/>
      <c r="T14" s="140" t="s">
        <v>280</v>
      </c>
    </row>
    <row r="15" spans="1:22" s="1" customFormat="1" ht="12.75" x14ac:dyDescent="0.2">
      <c r="E15" s="2"/>
      <c r="K15" s="18"/>
      <c r="L15" s="18" t="s">
        <v>2737</v>
      </c>
      <c r="M15" s="18"/>
      <c r="N15" s="26"/>
      <c r="O15" s="23"/>
      <c r="P15" s="23"/>
      <c r="Q15" s="19"/>
      <c r="T15" s="141"/>
    </row>
    <row r="16" spans="1:22" s="1" customFormat="1" ht="12.75" x14ac:dyDescent="0.2">
      <c r="B16" s="21" t="s">
        <v>117</v>
      </c>
      <c r="E16" s="2"/>
      <c r="M16" s="26"/>
      <c r="N16" s="23"/>
      <c r="O16" s="23"/>
      <c r="P16" s="19"/>
    </row>
    <row r="17" spans="1:22" s="1" customFormat="1" ht="12.75" x14ac:dyDescent="0.2">
      <c r="B17" s="90">
        <v>2017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8"/>
      <c r="N17" s="23"/>
      <c r="O17" s="23"/>
      <c r="P17" s="19"/>
    </row>
    <row r="18" spans="1:22" s="1" customFormat="1" ht="76.5" x14ac:dyDescent="0.2">
      <c r="B18" s="34" t="s">
        <v>48</v>
      </c>
      <c r="C18" s="33" t="s">
        <v>47</v>
      </c>
      <c r="D18" s="33" t="s">
        <v>78</v>
      </c>
      <c r="E18" s="33" t="s">
        <v>77</v>
      </c>
      <c r="F18" s="33" t="s">
        <v>79</v>
      </c>
      <c r="G18" s="33" t="s">
        <v>76</v>
      </c>
      <c r="H18" s="33" t="s">
        <v>46</v>
      </c>
      <c r="I18" s="33" t="s">
        <v>45</v>
      </c>
      <c r="J18" s="33" t="s">
        <v>44</v>
      </c>
      <c r="K18" s="33" t="s">
        <v>43</v>
      </c>
      <c r="L18" s="33" t="s">
        <v>42</v>
      </c>
      <c r="M18" s="33" t="s">
        <v>41</v>
      </c>
      <c r="N18" s="33" t="s">
        <v>155</v>
      </c>
      <c r="O18" s="33" t="s">
        <v>40</v>
      </c>
      <c r="P18" s="33" t="s">
        <v>120</v>
      </c>
      <c r="Q18" s="33" t="s">
        <v>118</v>
      </c>
      <c r="R18" s="33" t="s">
        <v>119</v>
      </c>
    </row>
    <row r="19" spans="1:22" x14ac:dyDescent="0.25">
      <c r="B19" s="62" t="e">
        <f ca="1">_xll.BDP(C19,"SECURITY_NAME")</f>
        <v>#NAME?</v>
      </c>
      <c r="C19" s="62" t="s">
        <v>250</v>
      </c>
      <c r="D19" t="s">
        <v>5</v>
      </c>
      <c r="E19" s="29" t="e">
        <f ca="1">F19*_xll.BDP(C19,"PX_LAST")/100</f>
        <v>#NAME?</v>
      </c>
      <c r="F19" s="29">
        <v>200000</v>
      </c>
      <c r="G19" s="29">
        <v>200000</v>
      </c>
      <c r="H19" s="32">
        <f>G19/F19</f>
        <v>1</v>
      </c>
      <c r="I19" s="29">
        <f>G19*K19/100</f>
        <v>201500</v>
      </c>
      <c r="J19" s="30">
        <f>G19*L19/100</f>
        <v>215000</v>
      </c>
      <c r="K19" s="25">
        <v>100.75</v>
      </c>
      <c r="L19" s="25">
        <v>107.5</v>
      </c>
      <c r="M19" s="69">
        <f>L19/K19-1</f>
        <v>6.6997518610421913E-2</v>
      </c>
      <c r="N19" s="70" t="e">
        <f ca="1">(J19-I19)*R19</f>
        <v>#NAME?</v>
      </c>
      <c r="O19" s="65" t="e">
        <f ca="1">_xll.BDP($C19,"CRNCY")</f>
        <v>#NAME?</v>
      </c>
      <c r="P19" s="29" t="e">
        <f ca="1">N19/R19</f>
        <v>#NAME?</v>
      </c>
      <c r="Q19" s="4">
        <v>42866</v>
      </c>
      <c r="R19" s="11" t="e">
        <f ca="1">_xll.BDH("RUB curncy","PX_LAST",$Q19)</f>
        <v>#NAME?</v>
      </c>
      <c r="S19" s="1"/>
    </row>
    <row r="20" spans="1:22" s="1" customFormat="1" ht="12.75" x14ac:dyDescent="0.2">
      <c r="B20" s="31"/>
      <c r="C20" s="28"/>
      <c r="D20" s="51"/>
      <c r="E20" s="29"/>
      <c r="F20" s="29"/>
      <c r="G20" s="63"/>
      <c r="H20" s="32"/>
      <c r="I20" s="29"/>
      <c r="J20" s="30"/>
      <c r="K20" s="64"/>
      <c r="L20" s="64"/>
      <c r="M20" s="24" t="s">
        <v>39</v>
      </c>
      <c r="N20" s="75" t="e">
        <f ca="1">SUM(N19)</f>
        <v>#NAME?</v>
      </c>
      <c r="O20" s="23" t="s">
        <v>20</v>
      </c>
      <c r="P20" s="75" t="e">
        <f ca="1">SUM(P19)</f>
        <v>#NAME?</v>
      </c>
      <c r="Q20" s="4"/>
      <c r="R20" s="53"/>
    </row>
    <row r="21" spans="1:22" s="1" customFormat="1" ht="12.75" x14ac:dyDescent="0.2">
      <c r="B21" s="21" t="s">
        <v>38</v>
      </c>
      <c r="C21" s="2"/>
      <c r="D21" s="20"/>
      <c r="H21" s="20"/>
      <c r="I21" s="2"/>
      <c r="J21" s="2"/>
      <c r="K21" s="18"/>
    </row>
    <row r="22" spans="1:22" s="109" customFormat="1" ht="13.5" thickBot="1" x14ac:dyDescent="0.25">
      <c r="A22" s="1"/>
      <c r="B22" s="1"/>
      <c r="C22" s="18"/>
      <c r="D22" s="18"/>
      <c r="E22" s="1"/>
      <c r="F22" s="1"/>
      <c r="G22" s="18"/>
      <c r="H22" s="2"/>
      <c r="I22" s="19"/>
      <c r="J22" s="2"/>
      <c r="K22" s="18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s="91" customFormat="1" x14ac:dyDescent="0.35">
      <c r="A23" s="1"/>
      <c r="B23" s="15"/>
      <c r="C23" s="15"/>
      <c r="D23" s="15"/>
      <c r="E23" s="15"/>
      <c r="F23" s="15"/>
      <c r="G23" s="15"/>
      <c r="H23" s="17" t="s">
        <v>37</v>
      </c>
      <c r="I23" s="16" t="s">
        <v>36</v>
      </c>
      <c r="J23" s="16" t="s">
        <v>35</v>
      </c>
      <c r="K23" s="16"/>
      <c r="L23" s="15"/>
      <c r="M23" s="15"/>
      <c r="N23" s="15"/>
      <c r="O23" s="1"/>
      <c r="P23" s="1"/>
      <c r="Q23" s="74"/>
      <c r="R23" s="1"/>
      <c r="S23" s="1"/>
      <c r="T23" s="1"/>
      <c r="U23" s="1"/>
      <c r="V23" s="1"/>
    </row>
    <row r="24" spans="1:22" s="91" customFormat="1" x14ac:dyDescent="0.35">
      <c r="A24" s="1"/>
      <c r="B24" s="12" t="s">
        <v>34</v>
      </c>
      <c r="C24" s="12" t="s">
        <v>33</v>
      </c>
      <c r="D24" s="12" t="s">
        <v>32</v>
      </c>
      <c r="E24" s="12" t="s">
        <v>31</v>
      </c>
      <c r="F24" s="12" t="s">
        <v>30</v>
      </c>
      <c r="G24" s="12" t="s">
        <v>29</v>
      </c>
      <c r="H24" s="14" t="s">
        <v>28</v>
      </c>
      <c r="I24" s="13" t="s">
        <v>28</v>
      </c>
      <c r="J24" s="13" t="s">
        <v>20</v>
      </c>
      <c r="K24" s="13" t="s">
        <v>18</v>
      </c>
      <c r="L24" s="12" t="s">
        <v>27</v>
      </c>
      <c r="M24" s="12" t="s">
        <v>26</v>
      </c>
      <c r="N24" s="12" t="s">
        <v>25</v>
      </c>
      <c r="O24" s="1"/>
      <c r="P24" s="1"/>
      <c r="Q24" s="1"/>
      <c r="R24" s="1"/>
      <c r="S24" s="1"/>
      <c r="T24" s="1"/>
      <c r="U24" s="1"/>
      <c r="V24" s="1"/>
    </row>
    <row r="25" spans="1:22" s="91" customFormat="1" ht="12.75" x14ac:dyDescent="0.2">
      <c r="A25" s="1"/>
      <c r="B25" s="10" t="s">
        <v>2735</v>
      </c>
      <c r="C25" s="9" t="s">
        <v>3</v>
      </c>
      <c r="D25" s="7" t="e">
        <f ca="1">_xll.BDP(C25,"SECURITY_NAME")</f>
        <v>#NAME?</v>
      </c>
      <c r="E25" s="7" t="s">
        <v>4</v>
      </c>
      <c r="F25" s="8">
        <v>14205</v>
      </c>
      <c r="G25" s="7" t="e">
        <f ca="1">_xll.BDP(C25,"CRNCY")</f>
        <v>#NAME?</v>
      </c>
      <c r="H25" s="79">
        <v>4.3792609999999996</v>
      </c>
      <c r="I25" s="5">
        <f>F25*H25</f>
        <v>62207.402504999998</v>
      </c>
      <c r="J25" s="6">
        <f>I25</f>
        <v>62207.402504999998</v>
      </c>
      <c r="K25" s="5" t="e">
        <f ca="1">J25*L25</f>
        <v>#NAME?</v>
      </c>
      <c r="L25" s="11" t="e">
        <f ca="1">_xll.BDH("RUB curncy","PX_LAST",$N25)</f>
        <v>#NAME?</v>
      </c>
      <c r="M25" s="56" t="e">
        <f ca="1">1/_xll.BDH("RUB curncy","PX_LAST",$N25)</f>
        <v>#NAME?</v>
      </c>
      <c r="N25" s="4">
        <v>42781</v>
      </c>
      <c r="O25" s="1"/>
      <c r="P25" s="80">
        <f>F25*0.14586</f>
        <v>2071.9413</v>
      </c>
      <c r="Q25" s="1"/>
      <c r="R25" s="1"/>
      <c r="S25" s="1"/>
      <c r="T25" s="1"/>
      <c r="U25" s="1"/>
      <c r="V25" s="1"/>
    </row>
    <row r="26" spans="1:22" s="91" customFormat="1" ht="12.75" x14ac:dyDescent="0.2">
      <c r="A26" s="21"/>
      <c r="B26" s="85"/>
      <c r="C26" s="84"/>
      <c r="D26" s="58"/>
      <c r="E26" s="58"/>
      <c r="F26" s="54">
        <f>SUM(F25:F25)</f>
        <v>14205</v>
      </c>
      <c r="G26" s="58"/>
      <c r="H26" s="59">
        <f>I26/F26</f>
        <v>4.3792609999999996</v>
      </c>
      <c r="I26" s="54">
        <f>SUM(I25:I25)</f>
        <v>62207.402504999998</v>
      </c>
      <c r="J26" s="54">
        <f>SUM(J25:J25)</f>
        <v>62207.402504999998</v>
      </c>
      <c r="K26" s="54" t="e">
        <f ca="1">SUM(K25:K25)</f>
        <v>#NAME?</v>
      </c>
      <c r="L26" s="55"/>
      <c r="M26" s="83"/>
      <c r="N26" s="82"/>
      <c r="O26" s="21"/>
      <c r="P26" s="21"/>
      <c r="Q26" s="21"/>
      <c r="R26" s="21"/>
      <c r="S26" s="21"/>
      <c r="T26" s="21"/>
      <c r="U26" s="21"/>
      <c r="V26" s="21"/>
    </row>
    <row r="27" spans="1:22" s="91" customFormat="1" ht="12.75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s="91" customFormat="1" ht="12.75" x14ac:dyDescent="0.2">
      <c r="A28" s="1"/>
      <c r="B28" s="10" t="s">
        <v>2735</v>
      </c>
      <c r="C28" s="9" t="s">
        <v>128</v>
      </c>
      <c r="D28" s="7" t="e">
        <f ca="1">_xll.BDP(C28,"SECURITY_NAME")</f>
        <v>#NAME?</v>
      </c>
      <c r="E28" s="7" t="s">
        <v>4</v>
      </c>
      <c r="F28" s="8">
        <v>5150</v>
      </c>
      <c r="G28" s="7" t="e">
        <f ca="1">_xll.BDP(C28,"CRNCY")</f>
        <v>#NAME?</v>
      </c>
      <c r="H28" s="79" t="e">
        <f ca="1">_xll.BDH(C28,"PX_LAST",N28)</f>
        <v>#NAME?</v>
      </c>
      <c r="I28" s="5" t="e">
        <f ca="1">F28*H28</f>
        <v>#NAME?</v>
      </c>
      <c r="J28" s="6" t="e">
        <f ca="1">I28/L28</f>
        <v>#NAME?</v>
      </c>
      <c r="K28" s="5" t="e">
        <f ca="1">J28*L28</f>
        <v>#NAME?</v>
      </c>
      <c r="L28" s="11" t="e">
        <f ca="1">_xll.BDH("RUB curncy","PX_LAST",$N28)</f>
        <v>#NAME?</v>
      </c>
      <c r="M28" s="56" t="e">
        <f ca="1">1/_xll.BDH("RUB curncy","PX_LAST",$N28)</f>
        <v>#NAME?</v>
      </c>
      <c r="N28" s="4">
        <v>42781</v>
      </c>
      <c r="O28" s="1"/>
      <c r="P28" s="80">
        <f>F28*0.18</f>
        <v>927</v>
      </c>
      <c r="Q28" s="1"/>
      <c r="R28" s="1"/>
      <c r="S28" s="1"/>
      <c r="T28" s="1"/>
      <c r="U28" s="1"/>
      <c r="V28" s="1"/>
    </row>
    <row r="29" spans="1:22" s="91" customFormat="1" ht="12.75" x14ac:dyDescent="0.2">
      <c r="A29" s="21"/>
      <c r="B29" s="85"/>
      <c r="C29" s="84"/>
      <c r="D29" s="58"/>
      <c r="E29" s="58"/>
      <c r="F29" s="54">
        <f>SUM(F28:F28)</f>
        <v>5150</v>
      </c>
      <c r="G29" s="58"/>
      <c r="H29" s="59" t="e">
        <f ca="1">I29/F29</f>
        <v>#NAME?</v>
      </c>
      <c r="I29" s="54" t="e">
        <f ca="1">SUM(I28:I28)</f>
        <v>#NAME?</v>
      </c>
      <c r="J29" s="54" t="e">
        <f ca="1">SUM(J28:J28)</f>
        <v>#NAME?</v>
      </c>
      <c r="K29" s="54" t="e">
        <f ca="1">SUM(K28:K28)</f>
        <v>#NAME?</v>
      </c>
      <c r="L29" s="55"/>
      <c r="M29" s="86"/>
      <c r="N29" s="82"/>
      <c r="O29" s="21"/>
      <c r="P29" s="21"/>
      <c r="Q29" s="21"/>
      <c r="R29" s="21"/>
      <c r="S29" s="21"/>
      <c r="T29" s="21"/>
      <c r="U29" s="21"/>
      <c r="V29" s="21"/>
    </row>
    <row r="30" spans="1:22" s="100" customFormat="1" ht="12.75" x14ac:dyDescent="0.2">
      <c r="A30" s="22"/>
      <c r="B30" s="49"/>
      <c r="C30" s="50"/>
      <c r="D30" s="51"/>
      <c r="E30" s="51"/>
      <c r="F30" s="52"/>
      <c r="G30" s="51"/>
      <c r="H30" s="78"/>
      <c r="I30" s="52"/>
      <c r="J30" s="52"/>
      <c r="K30" s="52"/>
      <c r="L30" s="53"/>
      <c r="M30" s="57"/>
      <c r="N30" s="4"/>
      <c r="O30" s="22"/>
      <c r="P30" s="22"/>
      <c r="Q30" s="22"/>
      <c r="R30" s="22"/>
      <c r="S30" s="22"/>
      <c r="T30" s="22"/>
      <c r="U30" s="22"/>
      <c r="V30" s="22"/>
    </row>
    <row r="31" spans="1:22" s="1" customFormat="1" ht="12.75" x14ac:dyDescent="0.2">
      <c r="B31" s="10" t="s">
        <v>2735</v>
      </c>
      <c r="C31" s="9" t="s">
        <v>63</v>
      </c>
      <c r="D31" s="7" t="e">
        <f ca="1">_xll.BDP(C31,"SECURITY_NAME")</f>
        <v>#NAME?</v>
      </c>
      <c r="E31" s="7" t="s">
        <v>4</v>
      </c>
      <c r="F31" s="8">
        <v>35500</v>
      </c>
      <c r="G31" s="7" t="e">
        <f ca="1">_xll.BDP(C31,"CRNCY")</f>
        <v>#NAME?</v>
      </c>
      <c r="H31" s="79">
        <v>136</v>
      </c>
      <c r="I31" s="5">
        <f>F31*H31/100</f>
        <v>48280</v>
      </c>
      <c r="J31" s="6" t="e">
        <f ca="1">I31*L31</f>
        <v>#NAME?</v>
      </c>
      <c r="K31" s="5" t="e">
        <f ca="1">J31/M31</f>
        <v>#NAME?</v>
      </c>
      <c r="L31" s="11" t="e">
        <f ca="1">_xll.BDH("GBP curncy","PX_LAST",$N31)</f>
        <v>#NAME?</v>
      </c>
      <c r="M31" s="56" t="e">
        <f ca="1">1/_xll.BDH("RUB curncy","PX_LAST",$N31)</f>
        <v>#NAME?</v>
      </c>
      <c r="N31" s="4">
        <v>42860</v>
      </c>
    </row>
    <row r="32" spans="1:22" s="1" customFormat="1" ht="13.5" customHeight="1" x14ac:dyDescent="0.2">
      <c r="B32" s="10" t="s">
        <v>2735</v>
      </c>
      <c r="C32" s="9" t="s">
        <v>63</v>
      </c>
      <c r="D32" s="7" t="e">
        <f ca="1">_xll.BDP(C32,"SECURITY_NAME")</f>
        <v>#NAME?</v>
      </c>
      <c r="E32" s="7" t="s">
        <v>4</v>
      </c>
      <c r="F32" s="8">
        <v>27070</v>
      </c>
      <c r="G32" s="7" t="e">
        <f ca="1">_xll.BDP(C32,"CRNCY")</f>
        <v>#NAME?</v>
      </c>
      <c r="H32" s="79">
        <v>143.69825299999999</v>
      </c>
      <c r="I32" s="5">
        <f>F32*H32/100</f>
        <v>38899.117087099999</v>
      </c>
      <c r="J32" s="6" t="e">
        <f ca="1">I32*L32</f>
        <v>#NAME?</v>
      </c>
      <c r="K32" s="5" t="e">
        <f ca="1">J32/M32</f>
        <v>#NAME?</v>
      </c>
      <c r="L32" s="11" t="e">
        <f ca="1">_xll.BDH("GBP curncy","PX_LAST",$N32)</f>
        <v>#NAME?</v>
      </c>
      <c r="M32" s="56" t="e">
        <f ca="1">1/_xll.BDH("RUB curncy","PX_LAST",$N32)</f>
        <v>#NAME?</v>
      </c>
      <c r="N32" s="4">
        <v>42851</v>
      </c>
    </row>
    <row r="33" spans="1:22" s="1" customFormat="1" ht="13.5" customHeight="1" x14ac:dyDescent="0.2">
      <c r="B33" s="10" t="s">
        <v>2735</v>
      </c>
      <c r="C33" s="9" t="s">
        <v>63</v>
      </c>
      <c r="D33" s="7" t="e">
        <f ca="1">_xll.BDP(C33,"SECURITY_NAME")</f>
        <v>#NAME?</v>
      </c>
      <c r="E33" s="7" t="s">
        <v>4</v>
      </c>
      <c r="F33" s="8">
        <v>26800</v>
      </c>
      <c r="G33" s="7" t="e">
        <f ca="1">_xll.BDP(C33,"CRNCY")</f>
        <v>#NAME?</v>
      </c>
      <c r="H33" s="79" t="e">
        <f ca="1">_xll.BDH(C33,"PX_LAST",N33)</f>
        <v>#NAME?</v>
      </c>
      <c r="I33" s="5" t="e">
        <f ca="1">F33*H33/100</f>
        <v>#NAME?</v>
      </c>
      <c r="J33" s="6" t="e">
        <f ca="1">I33*L33</f>
        <v>#NAME?</v>
      </c>
      <c r="K33" s="5" t="e">
        <f ca="1">J33/M33</f>
        <v>#NAME?</v>
      </c>
      <c r="L33" s="11" t="e">
        <f ca="1">_xll.BDH("GBP curncy","PX_LAST",$N33)</f>
        <v>#NAME?</v>
      </c>
      <c r="M33" s="56" t="e">
        <f ca="1">1/_xll.BDH("RUB curncy","PX_LAST",$N33)</f>
        <v>#NAME?</v>
      </c>
      <c r="N33" s="4">
        <v>42781</v>
      </c>
      <c r="P33" s="80" t="e">
        <f ca="1">F33*0.054*K1</f>
        <v>#NAME?</v>
      </c>
    </row>
    <row r="34" spans="1:22" s="1" customFormat="1" ht="12.75" x14ac:dyDescent="0.2">
      <c r="A34" s="21"/>
      <c r="B34" s="85"/>
      <c r="C34" s="84"/>
      <c r="D34" s="58"/>
      <c r="E34" s="58"/>
      <c r="F34" s="54">
        <f>SUM(F31:F33)</f>
        <v>89370</v>
      </c>
      <c r="G34" s="58"/>
      <c r="H34" s="59" t="e">
        <f ca="1">I34/F34*100</f>
        <v>#NAME?</v>
      </c>
      <c r="I34" s="54" t="e">
        <f ca="1">SUM(I31:I33)</f>
        <v>#NAME?</v>
      </c>
      <c r="J34" s="54" t="e">
        <f ca="1">SUM(J31:J33)</f>
        <v>#NAME?</v>
      </c>
      <c r="K34" s="54" t="e">
        <f ca="1">SUM(K31:K33)</f>
        <v>#NAME?</v>
      </c>
      <c r="L34" s="55"/>
      <c r="M34" s="86"/>
      <c r="N34" s="82"/>
      <c r="O34" s="21"/>
      <c r="P34" s="21"/>
      <c r="Q34" s="21"/>
      <c r="R34" s="21"/>
      <c r="S34" s="21"/>
      <c r="T34" s="21"/>
      <c r="U34" s="21"/>
      <c r="V34" s="21"/>
    </row>
    <row r="35" spans="1:22" s="1" customFormat="1" ht="12.75" x14ac:dyDescent="0.2">
      <c r="J35" s="81" t="e">
        <f ca="1">J34/F34</f>
        <v>#NAME?</v>
      </c>
    </row>
    <row r="36" spans="1:22" s="1" customFormat="1" ht="12.75" x14ac:dyDescent="0.2">
      <c r="B36" s="10" t="s">
        <v>2735</v>
      </c>
      <c r="C36" s="9" t="s">
        <v>0</v>
      </c>
      <c r="D36" s="7" t="e">
        <f ca="1">_xll.BDP(C36,"SECURITY_NAME")</f>
        <v>#NAME?</v>
      </c>
      <c r="E36" s="7" t="s">
        <v>4</v>
      </c>
      <c r="F36" s="8">
        <v>1136</v>
      </c>
      <c r="G36" s="7" t="e">
        <f ca="1">_xll.BDP(C36,"CRNCY")</f>
        <v>#NAME?</v>
      </c>
      <c r="H36" s="79">
        <v>55</v>
      </c>
      <c r="I36" s="5">
        <f>F36*H36</f>
        <v>62480</v>
      </c>
      <c r="J36" s="6">
        <f>I36</f>
        <v>62480</v>
      </c>
      <c r="K36" s="5" t="e">
        <f ca="1">J36*L36</f>
        <v>#NAME?</v>
      </c>
      <c r="L36" s="11" t="e">
        <f ca="1">_xll.BDH("RUB curncy","PX_LAST",$N36)</f>
        <v>#NAME?</v>
      </c>
      <c r="M36" s="56" t="e">
        <f ca="1">1/_xll.BDH("RUB curncy","PX_LAST",$N36)</f>
        <v>#NAME?</v>
      </c>
      <c r="N36" s="4">
        <v>42788</v>
      </c>
    </row>
    <row r="37" spans="1:22" s="1" customFormat="1" ht="12.75" x14ac:dyDescent="0.2">
      <c r="B37" s="85"/>
      <c r="C37" s="84"/>
      <c r="D37" s="58"/>
      <c r="E37" s="58"/>
      <c r="F37" s="54">
        <f>SUM(F36:F36)</f>
        <v>1136</v>
      </c>
      <c r="G37" s="58"/>
      <c r="H37" s="59">
        <f>I37/F37</f>
        <v>55</v>
      </c>
      <c r="I37" s="54">
        <f>SUM(I36:I36)</f>
        <v>62480</v>
      </c>
      <c r="J37" s="54">
        <f>SUM(J36:J36)</f>
        <v>62480</v>
      </c>
      <c r="K37" s="54" t="e">
        <f ca="1">SUM(K36:K36)</f>
        <v>#NAME?</v>
      </c>
      <c r="L37" s="55"/>
      <c r="M37" s="83"/>
      <c r="N37" s="82"/>
    </row>
    <row r="38" spans="1:2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</row>
    <row r="39" spans="1:22" x14ac:dyDescent="0.25">
      <c r="A39" s="1"/>
      <c r="B39" s="10" t="s">
        <v>2735</v>
      </c>
      <c r="C39" s="9" t="s">
        <v>17</v>
      </c>
      <c r="D39" s="7" t="e">
        <f ca="1">_xll.BDP(C39,"SECURITY_NAME")</f>
        <v>#NAME?</v>
      </c>
      <c r="E39" s="7" t="s">
        <v>4</v>
      </c>
      <c r="F39" s="8">
        <v>6250</v>
      </c>
      <c r="G39" s="7" t="e">
        <f ca="1">_xll.BDP(C39,"CRNCY")</f>
        <v>#NAME?</v>
      </c>
      <c r="H39" s="79">
        <v>9.9023000000000003</v>
      </c>
      <c r="I39" s="5">
        <f>F39*H39</f>
        <v>61889.375</v>
      </c>
      <c r="J39" s="6">
        <f>I39</f>
        <v>61889.375</v>
      </c>
      <c r="K39" s="5" t="e">
        <f ca="1">J39*L39</f>
        <v>#NAME?</v>
      </c>
      <c r="L39" s="11" t="e">
        <f ca="1">_xll.BDH("RUB curncy","PX_LAST",$N39)</f>
        <v>#NAME?</v>
      </c>
      <c r="M39" s="56" t="e">
        <f ca="1">1/_xll.BDH("RUB curncy","PX_LAST",$N39)</f>
        <v>#NAME?</v>
      </c>
      <c r="N39" s="4">
        <v>42786</v>
      </c>
      <c r="O39" s="1"/>
      <c r="P39" s="80">
        <f>F39*0.114678</f>
        <v>716.73750000000007</v>
      </c>
      <c r="Q39" s="1"/>
      <c r="R39" s="1"/>
      <c r="S39" s="1"/>
      <c r="T39" s="1"/>
      <c r="U39" s="1"/>
      <c r="V39" s="1"/>
    </row>
    <row r="40" spans="1:22" x14ac:dyDescent="0.25">
      <c r="A40" s="1"/>
      <c r="B40" s="85"/>
      <c r="C40" s="84"/>
      <c r="D40" s="58"/>
      <c r="E40" s="58"/>
      <c r="F40" s="54">
        <f>SUM(F39:F39)</f>
        <v>6250</v>
      </c>
      <c r="G40" s="58"/>
      <c r="H40" s="59">
        <f>I40/F40</f>
        <v>9.9023000000000003</v>
      </c>
      <c r="I40" s="54">
        <f>SUM(I39:I39)</f>
        <v>61889.375</v>
      </c>
      <c r="J40" s="54">
        <f>SUM(J39:J39)</f>
        <v>61889.375</v>
      </c>
      <c r="K40" s="54" t="e">
        <f ca="1">SUM(K39:K39)</f>
        <v>#NAME?</v>
      </c>
      <c r="L40" s="55"/>
      <c r="M40" s="83"/>
      <c r="N40" s="82"/>
      <c r="O40" s="1"/>
      <c r="P40" s="1"/>
      <c r="Q40" s="1"/>
      <c r="R40" s="1"/>
      <c r="S40" s="1"/>
      <c r="T40" s="1"/>
      <c r="U40" s="1"/>
      <c r="V40" s="1"/>
    </row>
    <row r="41" spans="1:2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</row>
    <row r="42" spans="1:22" x14ac:dyDescent="0.25">
      <c r="A42" s="1"/>
      <c r="B42" s="10"/>
      <c r="C42" s="68"/>
      <c r="D42" s="7"/>
      <c r="E42" s="7"/>
      <c r="F42" s="8"/>
      <c r="G42" s="7"/>
      <c r="H42" s="11"/>
      <c r="I42" s="5"/>
      <c r="J42" s="6"/>
      <c r="K42" s="5"/>
      <c r="L42" s="11"/>
      <c r="M42" s="56"/>
      <c r="N42" s="4"/>
      <c r="O42" s="1"/>
      <c r="P42" s="1"/>
      <c r="Q42" s="1"/>
      <c r="R42" s="1"/>
      <c r="S42" s="1"/>
      <c r="T42" s="1"/>
      <c r="U42" s="1"/>
      <c r="V42" s="1"/>
    </row>
    <row r="43" spans="1:22" x14ac:dyDescent="0.25">
      <c r="A43" s="1"/>
      <c r="B43" s="10" t="s">
        <v>2735</v>
      </c>
      <c r="C43" s="68" t="s">
        <v>2736</v>
      </c>
      <c r="D43" s="7" t="e">
        <f ca="1">_xll.BDP(C43,"SECURITY_NAME")</f>
        <v>#NAME?</v>
      </c>
      <c r="E43" s="7" t="s">
        <v>4</v>
      </c>
      <c r="F43" s="8">
        <v>106000</v>
      </c>
      <c r="G43" s="7" t="s">
        <v>20</v>
      </c>
      <c r="H43" s="11">
        <v>175.28</v>
      </c>
      <c r="I43" s="5">
        <f t="shared" ref="I43:I44" si="3">F43*H43/100</f>
        <v>185796.8</v>
      </c>
      <c r="J43" s="6">
        <f t="shared" ref="J43:J44" si="4">I43</f>
        <v>185796.8</v>
      </c>
      <c r="K43" s="5" t="e">
        <f t="shared" ref="K43:K44" ca="1" si="5">J43*L43</f>
        <v>#NAME?</v>
      </c>
      <c r="L43" s="11" t="e">
        <f ca="1">_xll.BDH("RUB curncy","PX_LAST",$N43)</f>
        <v>#NAME?</v>
      </c>
      <c r="M43" s="56" t="e">
        <f ca="1">1/_xll.BDH("RUB curncy","PX_LAST",$N43)</f>
        <v>#NAME?</v>
      </c>
      <c r="N43" s="4">
        <v>42783</v>
      </c>
      <c r="O43" s="1"/>
      <c r="P43" s="1"/>
      <c r="Q43" s="1"/>
      <c r="R43" s="1"/>
      <c r="S43" s="1"/>
      <c r="T43" s="1"/>
      <c r="U43" s="1"/>
      <c r="V43" s="1"/>
    </row>
    <row r="44" spans="1:22" x14ac:dyDescent="0.25">
      <c r="A44" s="1"/>
      <c r="B44" s="10" t="s">
        <v>2735</v>
      </c>
      <c r="C44" s="68" t="s">
        <v>2736</v>
      </c>
      <c r="D44" s="7" t="e">
        <f ca="1">_xll.BDP(C44,"SECURITY_NAME")</f>
        <v>#NAME?</v>
      </c>
      <c r="E44" s="7" t="s">
        <v>4</v>
      </c>
      <c r="F44" s="8">
        <v>336000</v>
      </c>
      <c r="G44" s="7" t="s">
        <v>20</v>
      </c>
      <c r="H44" s="11">
        <v>175.01</v>
      </c>
      <c r="I44" s="5">
        <f t="shared" si="3"/>
        <v>588033.6</v>
      </c>
      <c r="J44" s="6">
        <f t="shared" si="4"/>
        <v>588033.6</v>
      </c>
      <c r="K44" s="5" t="e">
        <f t="shared" ca="1" si="5"/>
        <v>#NAME?</v>
      </c>
      <c r="L44" s="11" t="e">
        <f ca="1">_xll.BDH("RUB curncy","PX_LAST",$N44)</f>
        <v>#NAME?</v>
      </c>
      <c r="M44" s="56" t="e">
        <f ca="1">1/_xll.BDH("RUB curncy","PX_LAST",$N44)</f>
        <v>#NAME?</v>
      </c>
      <c r="N44" s="4">
        <v>42907</v>
      </c>
      <c r="O44" s="1"/>
      <c r="P44" s="1"/>
      <c r="Q44" s="1"/>
      <c r="R44" s="1"/>
      <c r="S44" s="1"/>
      <c r="T44" s="1"/>
      <c r="U44" s="1"/>
      <c r="V44" s="1"/>
    </row>
    <row r="45" spans="1:22" x14ac:dyDescent="0.25">
      <c r="A45" s="1"/>
      <c r="B45" s="49"/>
      <c r="C45" s="50"/>
      <c r="D45" s="51"/>
      <c r="E45" s="51"/>
      <c r="F45" s="54">
        <f>SUM(F43:F44)</f>
        <v>442000</v>
      </c>
      <c r="G45" s="58"/>
      <c r="H45" s="60">
        <f>I45/F45*100</f>
        <v>175.07475113122172</v>
      </c>
      <c r="I45" s="54">
        <f>SUM(I43:I44)</f>
        <v>773830.39999999991</v>
      </c>
      <c r="J45" s="54">
        <f>SUM(J43:J44)</f>
        <v>773830.39999999991</v>
      </c>
      <c r="K45" s="54" t="e">
        <f ca="1">SUM(K43:K44)</f>
        <v>#NAME?</v>
      </c>
      <c r="L45" s="53"/>
      <c r="M45" s="57"/>
      <c r="N45" s="4"/>
      <c r="O45" s="1"/>
      <c r="P45" s="1"/>
      <c r="Q45" s="1"/>
      <c r="R45" s="1"/>
      <c r="S45" s="1"/>
      <c r="T45" s="1"/>
      <c r="U45" s="1"/>
      <c r="V45" s="1"/>
    </row>
    <row r="46" spans="1:22" x14ac:dyDescent="0.25">
      <c r="A46" s="1"/>
      <c r="B46" s="49"/>
      <c r="C46" s="50"/>
      <c r="D46" s="51"/>
      <c r="E46" s="51"/>
      <c r="F46" s="54"/>
      <c r="G46" s="58"/>
      <c r="H46" s="60"/>
      <c r="I46" s="54"/>
      <c r="J46" s="54"/>
      <c r="K46" s="54"/>
      <c r="L46" s="53"/>
      <c r="M46" s="57"/>
      <c r="N46" s="4"/>
      <c r="O46" s="1"/>
      <c r="P46" s="1"/>
      <c r="Q46" s="1"/>
      <c r="R46" s="1"/>
      <c r="S46" s="1"/>
      <c r="T46" s="1"/>
      <c r="U46" s="1"/>
      <c r="V46" s="1"/>
    </row>
    <row r="47" spans="1:22" x14ac:dyDescent="0.25">
      <c r="A47" s="1"/>
      <c r="B47" s="10" t="s">
        <v>2735</v>
      </c>
      <c r="C47" s="9" t="s">
        <v>16</v>
      </c>
      <c r="D47" s="7" t="e">
        <f ca="1">_xll.BDP(C47,"SECURITY_NAME")</f>
        <v>#NAME?</v>
      </c>
      <c r="E47" s="7" t="s">
        <v>4</v>
      </c>
      <c r="F47" s="8">
        <v>13900</v>
      </c>
      <c r="G47" s="7" t="e">
        <f ca="1">_xll.BDP(C47,"CRNCY")</f>
        <v>#NAME?</v>
      </c>
      <c r="H47" s="79">
        <v>4.4821</v>
      </c>
      <c r="I47" s="5">
        <f>F47*H47</f>
        <v>62301.19</v>
      </c>
      <c r="J47" s="6">
        <f>I47</f>
        <v>62301.19</v>
      </c>
      <c r="K47" s="5" t="e">
        <f ca="1">J47*L47</f>
        <v>#NAME?</v>
      </c>
      <c r="L47" s="11" t="e">
        <f ca="1">_xll.BDH("RUB curncy","PX_LAST",$N47)</f>
        <v>#NAME?</v>
      </c>
      <c r="M47" s="56" t="e">
        <f ca="1">1/_xll.BDH("RUB curncy","PX_LAST",$N47)</f>
        <v>#NAME?</v>
      </c>
      <c r="N47" s="4">
        <v>42817</v>
      </c>
      <c r="O47" s="1"/>
      <c r="P47" s="80">
        <f>F47*0.278374</f>
        <v>3869.3986</v>
      </c>
      <c r="Q47" s="1"/>
      <c r="R47" s="1"/>
      <c r="S47" s="1"/>
      <c r="T47" s="1"/>
      <c r="U47" s="1"/>
      <c r="V47" s="1"/>
    </row>
    <row r="48" spans="1:22" x14ac:dyDescent="0.25">
      <c r="A48" s="1"/>
      <c r="B48" s="85"/>
      <c r="C48" s="84"/>
      <c r="D48" s="58"/>
      <c r="E48" s="58"/>
      <c r="F48" s="54">
        <f>SUM(F47:F47)</f>
        <v>13900</v>
      </c>
      <c r="G48" s="58"/>
      <c r="H48" s="59">
        <f>I48/F48</f>
        <v>4.4821</v>
      </c>
      <c r="I48" s="54">
        <f>SUM(I47:I47)</f>
        <v>62301.19</v>
      </c>
      <c r="J48" s="54">
        <f>SUM(J47:J47)</f>
        <v>62301.19</v>
      </c>
      <c r="K48" s="54" t="e">
        <f ca="1">SUM(K47:K47)</f>
        <v>#NAME?</v>
      </c>
      <c r="L48" s="55"/>
      <c r="M48" s="83"/>
      <c r="N48" s="82"/>
      <c r="O48" s="1"/>
      <c r="P48" s="1"/>
      <c r="Q48" s="1"/>
      <c r="R48" s="1"/>
      <c r="S48" s="1"/>
      <c r="T48" s="1"/>
      <c r="U48" s="1"/>
      <c r="V48" s="1"/>
    </row>
    <row r="49" spans="1:2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</row>
    <row r="50" spans="1:22" x14ac:dyDescent="0.25">
      <c r="A50" s="1"/>
      <c r="B50" s="10" t="s">
        <v>2735</v>
      </c>
      <c r="C50" s="9" t="s">
        <v>256</v>
      </c>
      <c r="D50" s="7" t="e">
        <f ca="1">_xll.BDP(C50,"SECURITY_NAME")</f>
        <v>#NAME?</v>
      </c>
      <c r="E50" s="7" t="s">
        <v>4</v>
      </c>
      <c r="F50" s="8">
        <v>3950</v>
      </c>
      <c r="G50" s="7" t="e">
        <f ca="1">_xll.BDP(C50,"CRNCY")</f>
        <v>#NAME?</v>
      </c>
      <c r="H50" s="79">
        <v>12.6</v>
      </c>
      <c r="I50" s="5">
        <f>F50*H50</f>
        <v>49770</v>
      </c>
      <c r="J50" s="6">
        <f>I50</f>
        <v>49770</v>
      </c>
      <c r="K50" s="5" t="e">
        <f ca="1">J50*L50</f>
        <v>#NAME?</v>
      </c>
      <c r="L50" s="11" t="e">
        <f ca="1">_xll.BDH("RUB curncy","PX_LAST",$N50)</f>
        <v>#NAME?</v>
      </c>
      <c r="M50" s="56" t="e">
        <f ca="1">1/_xll.BDH("RUB curncy","PX_LAST",$N50)</f>
        <v>#NAME?</v>
      </c>
      <c r="N50" s="4">
        <v>42831</v>
      </c>
      <c r="O50" s="1"/>
      <c r="P50" s="80">
        <f>F50*0.55</f>
        <v>2172.5</v>
      </c>
      <c r="Q50" s="1"/>
      <c r="R50" s="1"/>
      <c r="S50" s="1"/>
      <c r="T50" s="1"/>
      <c r="U50" s="1"/>
      <c r="V50" s="1"/>
    </row>
    <row r="51" spans="1:22" x14ac:dyDescent="0.25">
      <c r="A51" s="1"/>
      <c r="B51" s="85"/>
      <c r="C51" s="84"/>
      <c r="D51" s="58"/>
      <c r="E51" s="58"/>
      <c r="F51" s="54">
        <f>SUM(F50:F50)</f>
        <v>3950</v>
      </c>
      <c r="G51" s="58"/>
      <c r="H51" s="59">
        <f>I51/F51</f>
        <v>12.6</v>
      </c>
      <c r="I51" s="54">
        <f>SUM(I50:I50)</f>
        <v>49770</v>
      </c>
      <c r="J51" s="54">
        <f>SUM(J50:J50)</f>
        <v>49770</v>
      </c>
      <c r="K51" s="54" t="e">
        <f ca="1">SUM(K50:K50)</f>
        <v>#NAME?</v>
      </c>
      <c r="L51" s="55"/>
      <c r="M51" s="83"/>
      <c r="N51" s="82"/>
      <c r="O51" s="1"/>
      <c r="P51" s="1"/>
      <c r="Q51" s="1"/>
      <c r="R51" s="1"/>
      <c r="S51" s="1"/>
      <c r="T51" s="1"/>
      <c r="U51" s="1"/>
      <c r="V51" s="1"/>
    </row>
    <row r="52" spans="1:2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</row>
    <row r="53" spans="1:22" x14ac:dyDescent="0.25">
      <c r="A53" s="1"/>
      <c r="B53" s="10" t="s">
        <v>2735</v>
      </c>
      <c r="C53" s="9" t="s">
        <v>265</v>
      </c>
      <c r="D53" s="7" t="e">
        <f ca="1">_xll.BDP(C53,"SECURITY_NAME")</f>
        <v>#NAME?</v>
      </c>
      <c r="E53" s="7" t="s">
        <v>4</v>
      </c>
      <c r="F53" s="8">
        <v>200000</v>
      </c>
      <c r="G53" s="7" t="s">
        <v>20</v>
      </c>
      <c r="H53" s="79">
        <v>111.53</v>
      </c>
      <c r="I53" s="5">
        <f>F53*H53</f>
        <v>22306000</v>
      </c>
      <c r="J53" s="6">
        <f>I53</f>
        <v>22306000</v>
      </c>
      <c r="K53" s="5" t="e">
        <f ca="1">J53*L53</f>
        <v>#NAME?</v>
      </c>
      <c r="L53" s="11" t="e">
        <f ca="1">_xll.BDH("RUB curncy","PX_LAST",$N53)</f>
        <v>#NAME?</v>
      </c>
      <c r="M53" s="56" t="e">
        <f ca="1">1/_xll.BDH("RUB curncy","PX_LAST",$N53)</f>
        <v>#NAME?</v>
      </c>
      <c r="N53" s="4">
        <v>42909</v>
      </c>
      <c r="O53" s="1"/>
      <c r="P53" s="80">
        <f>F53*0.14586</f>
        <v>29171.999999999996</v>
      </c>
      <c r="Q53" s="1"/>
      <c r="R53" s="1"/>
      <c r="S53" s="1"/>
      <c r="T53" s="1"/>
      <c r="U53" s="1"/>
      <c r="V53" s="1"/>
    </row>
    <row r="54" spans="1:22" x14ac:dyDescent="0.25">
      <c r="A54" s="1"/>
      <c r="B54" s="1"/>
      <c r="C54" s="1"/>
      <c r="D54" s="1"/>
      <c r="E54" s="1"/>
      <c r="F54" s="66">
        <f>SUM(F53:F53)</f>
        <v>200000</v>
      </c>
      <c r="G54" s="1"/>
      <c r="H54" s="1">
        <f>I54/F54</f>
        <v>111.53</v>
      </c>
      <c r="I54" s="66">
        <f>SUM(I53:I53)</f>
        <v>22306000</v>
      </c>
      <c r="J54" s="124">
        <f>SUM(J53:J53)</f>
        <v>22306000</v>
      </c>
      <c r="K54" s="66" t="e">
        <f ca="1">SUM(K53:K53)</f>
        <v>#NAME?</v>
      </c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</row>
    <row r="55" spans="1:2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</row>
    <row r="56" spans="1:22" x14ac:dyDescent="0.25">
      <c r="A56" s="1"/>
      <c r="B56" s="10" t="s">
        <v>2735</v>
      </c>
      <c r="C56" s="9" t="s">
        <v>2009</v>
      </c>
      <c r="D56" s="7" t="e">
        <f ca="1">_xll.BDP(C56,"SECURITY_NAME")</f>
        <v>#NAME?</v>
      </c>
      <c r="E56" s="7" t="s">
        <v>4</v>
      </c>
      <c r="F56" s="8">
        <v>200000</v>
      </c>
      <c r="G56" s="7" t="s">
        <v>20</v>
      </c>
      <c r="H56" s="79">
        <v>110.61</v>
      </c>
      <c r="I56" s="5">
        <f>F56*H56</f>
        <v>22122000</v>
      </c>
      <c r="J56" s="6">
        <f>I56</f>
        <v>22122000</v>
      </c>
      <c r="K56" s="5" t="e">
        <f ca="1">J56*L56</f>
        <v>#NAME?</v>
      </c>
      <c r="L56" s="11" t="e">
        <f ca="1">_xll.BDH("RUB curncy","PX_LAST",$N56)</f>
        <v>#NAME?</v>
      </c>
      <c r="M56" s="56" t="e">
        <f ca="1">1/_xll.BDH("RUB curncy","PX_LAST",$N56)</f>
        <v>#NAME?</v>
      </c>
      <c r="N56" s="4">
        <v>42909</v>
      </c>
      <c r="O56" s="1"/>
      <c r="P56" s="80">
        <f>F56*0.14586</f>
        <v>29171.999999999996</v>
      </c>
      <c r="Q56" s="1"/>
      <c r="R56" s="1"/>
      <c r="S56" s="1"/>
      <c r="T56" s="1"/>
      <c r="U56" s="1"/>
      <c r="V56" s="1"/>
    </row>
    <row r="57" spans="1:22" x14ac:dyDescent="0.25">
      <c r="A57" s="1"/>
      <c r="B57" s="1"/>
      <c r="C57" s="1"/>
      <c r="D57" s="1"/>
      <c r="E57" s="1"/>
      <c r="F57" s="66">
        <f>SUM(F56:F56)</f>
        <v>200000</v>
      </c>
      <c r="G57" s="1"/>
      <c r="H57" s="1">
        <f>I57/F57</f>
        <v>110.61</v>
      </c>
      <c r="I57" s="66">
        <f>SUM(I56:I56)</f>
        <v>22122000</v>
      </c>
      <c r="J57" s="124">
        <f>SUM(J56:J56)</f>
        <v>22122000</v>
      </c>
      <c r="K57" s="66" t="e">
        <f ca="1">SUM(K56:K56)</f>
        <v>#NAME?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</row>
    <row r="58" spans="1:2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</row>
    <row r="59" spans="1:22" x14ac:dyDescent="0.25">
      <c r="A59" s="1"/>
      <c r="B59" s="10" t="s">
        <v>2735</v>
      </c>
      <c r="C59" s="9" t="s">
        <v>250</v>
      </c>
      <c r="D59" s="7" t="e">
        <f ca="1">_xll.BDP(C59,"SECURITY_NAME")</f>
        <v>#NAME?</v>
      </c>
      <c r="E59" s="7" t="s">
        <v>4</v>
      </c>
      <c r="F59" s="8">
        <v>200000</v>
      </c>
      <c r="G59" s="7" t="s">
        <v>20</v>
      </c>
      <c r="H59" s="79">
        <v>100.75</v>
      </c>
      <c r="I59" s="5">
        <f>F59*H59</f>
        <v>20150000</v>
      </c>
      <c r="J59" s="6">
        <f>I59</f>
        <v>20150000</v>
      </c>
      <c r="K59" s="5" t="e">
        <f ca="1">J59*L59</f>
        <v>#NAME?</v>
      </c>
      <c r="L59" s="11" t="e">
        <f ca="1">_xll.BDH("RUB curncy","PX_LAST",$N59)</f>
        <v>#NAME?</v>
      </c>
      <c r="M59" s="56" t="e">
        <f ca="1">1/_xll.BDH("RUB curncy","PX_LAST",$N59)</f>
        <v>#NAME?</v>
      </c>
      <c r="N59" s="4">
        <v>42782</v>
      </c>
      <c r="O59" s="1"/>
      <c r="P59" s="80">
        <f>F59*0.14586</f>
        <v>29171.999999999996</v>
      </c>
      <c r="Q59" s="1"/>
      <c r="R59" s="1"/>
      <c r="S59" s="1"/>
      <c r="T59" s="1"/>
      <c r="U59" s="1"/>
      <c r="V59" s="1"/>
    </row>
    <row r="60" spans="1:22" x14ac:dyDescent="0.25">
      <c r="A60" s="1"/>
      <c r="B60" s="1"/>
      <c r="C60" s="1"/>
      <c r="D60" s="1"/>
      <c r="E60" s="1"/>
      <c r="F60" s="66">
        <f>SUM(F59:F59)</f>
        <v>200000</v>
      </c>
      <c r="G60" s="1"/>
      <c r="H60" s="1">
        <f>I60/F60</f>
        <v>100.75</v>
      </c>
      <c r="I60" s="66">
        <f>SUM(I59:I59)</f>
        <v>20150000</v>
      </c>
      <c r="J60" s="124">
        <f>SUM(J59:J59)</f>
        <v>20150000</v>
      </c>
      <c r="K60" s="66" t="e">
        <f ca="1">SUM(K59:K59)</f>
        <v>#NAME?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</row>
    <row r="61" spans="1:2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</row>
    <row r="62" spans="1:22" x14ac:dyDescent="0.25">
      <c r="A62" s="1"/>
      <c r="B62" s="10" t="s">
        <v>2735</v>
      </c>
      <c r="C62" s="9" t="s">
        <v>881</v>
      </c>
      <c r="D62" s="7" t="e">
        <f ca="1">_xll.BDP(C62,"SECURITY_NAME")</f>
        <v>#NAME?</v>
      </c>
      <c r="E62" s="7" t="s">
        <v>4</v>
      </c>
      <c r="F62" s="8">
        <v>200000</v>
      </c>
      <c r="G62" s="7" t="s">
        <v>20</v>
      </c>
      <c r="H62" s="79">
        <v>95.515000000000001</v>
      </c>
      <c r="I62" s="5">
        <f>F62*H62</f>
        <v>19103000</v>
      </c>
      <c r="J62" s="6">
        <f>I62</f>
        <v>19103000</v>
      </c>
      <c r="K62" s="5" t="e">
        <f ca="1">J62*L62</f>
        <v>#NAME?</v>
      </c>
      <c r="L62" s="11" t="e">
        <f ca="1">_xll.BDH("RUB curncy","PX_LAST",$N62)</f>
        <v>#NAME?</v>
      </c>
      <c r="M62" s="56" t="e">
        <f ca="1">1/_xll.BDH("RUB curncy","PX_LAST",$N62)</f>
        <v>#NAME?</v>
      </c>
      <c r="N62" s="4">
        <v>42965</v>
      </c>
      <c r="O62" s="1"/>
      <c r="P62" s="80">
        <f>F62*0.14586</f>
        <v>29171.999999999996</v>
      </c>
      <c r="Q62" s="1"/>
      <c r="R62" s="1"/>
      <c r="S62" s="1"/>
      <c r="T62" s="1"/>
      <c r="U62" s="1"/>
      <c r="V62" s="1"/>
    </row>
    <row r="63" spans="1:22" x14ac:dyDescent="0.25">
      <c r="A63" s="1"/>
      <c r="B63" s="1"/>
      <c r="C63" s="1"/>
      <c r="D63" s="1"/>
      <c r="E63" s="1"/>
      <c r="F63" s="66">
        <f>SUM(F62:F62)</f>
        <v>200000</v>
      </c>
      <c r="G63" s="1"/>
      <c r="H63" s="1">
        <f>I63/F63</f>
        <v>95.515000000000001</v>
      </c>
      <c r="I63" s="66">
        <f>SUM(I62:I62)</f>
        <v>19103000</v>
      </c>
      <c r="J63" s="124">
        <f>SUM(J62:J62)</f>
        <v>19103000</v>
      </c>
      <c r="K63" s="66" t="e">
        <f ca="1">SUM(K62:K62)</f>
        <v>#NAME?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1:2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2" x14ac:dyDescent="0.25">
      <c r="A65" s="1"/>
      <c r="B65" s="10" t="s">
        <v>2735</v>
      </c>
      <c r="C65" s="9" t="s">
        <v>2028</v>
      </c>
      <c r="D65" s="7" t="e">
        <f ca="1">_xll.BDP(C65,"SECURITY_NAME")</f>
        <v>#NAME?</v>
      </c>
      <c r="E65" s="7" t="s">
        <v>4</v>
      </c>
      <c r="F65" s="8">
        <v>3950</v>
      </c>
      <c r="G65" s="7" t="s">
        <v>20</v>
      </c>
      <c r="H65" s="79">
        <v>12.6</v>
      </c>
      <c r="I65" s="5">
        <f>F65*H65</f>
        <v>49770</v>
      </c>
      <c r="J65" s="6">
        <f>I65</f>
        <v>49770</v>
      </c>
      <c r="K65" s="5" t="e">
        <f ca="1">J65*L65</f>
        <v>#NAME?</v>
      </c>
      <c r="L65" s="11" t="e">
        <f ca="1">_xll.BDH("RUB curncy","PX_LAST",$N65)</f>
        <v>#NAME?</v>
      </c>
      <c r="M65" s="56" t="e">
        <f ca="1">1/_xll.BDH("RUB curncy","PX_LAST",$N65)</f>
        <v>#NAME?</v>
      </c>
      <c r="N65" s="4">
        <v>42831</v>
      </c>
      <c r="O65" s="1"/>
      <c r="P65" s="80">
        <f>F65*0.14586</f>
        <v>576.14699999999993</v>
      </c>
      <c r="Q65" s="1"/>
      <c r="R65" s="1"/>
      <c r="S65" s="1"/>
      <c r="T65" s="1"/>
      <c r="U65" s="1"/>
      <c r="V65" s="1"/>
    </row>
    <row r="66" spans="1:22" x14ac:dyDescent="0.25">
      <c r="A66" s="1"/>
      <c r="B66" s="1"/>
      <c r="C66" s="1"/>
      <c r="D66" s="1"/>
      <c r="E66" s="1"/>
      <c r="F66" s="66">
        <f>SUM(F65:F65)</f>
        <v>3950</v>
      </c>
      <c r="G66" s="1"/>
      <c r="H66" s="1">
        <f>I66/F66</f>
        <v>12.6</v>
      </c>
      <c r="I66" s="66">
        <f>SUM(I65:I65)</f>
        <v>49770</v>
      </c>
      <c r="J66" s="124">
        <f>SUM(J65:J65)</f>
        <v>49770</v>
      </c>
      <c r="K66" s="66" t="e">
        <f ca="1">SUM(K65:K65)</f>
        <v>#NAME?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</row>
    <row r="67" spans="1:2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</row>
    <row r="68" spans="1:22" x14ac:dyDescent="0.25">
      <c r="A68" s="1"/>
      <c r="B68" s="10" t="s">
        <v>2735</v>
      </c>
      <c r="C68" s="9" t="s">
        <v>88</v>
      </c>
      <c r="D68" s="7" t="e">
        <f ca="1">_xll.BDP(C68,"SECURITY_NAME")</f>
        <v>#NAME?</v>
      </c>
      <c r="E68" s="7" t="s">
        <v>4</v>
      </c>
      <c r="F68" s="8">
        <v>1068</v>
      </c>
      <c r="G68" s="7" t="s">
        <v>2056</v>
      </c>
      <c r="H68" s="79">
        <v>1.355</v>
      </c>
      <c r="I68" s="5">
        <f>F68*H68</f>
        <v>1447.1399999999999</v>
      </c>
      <c r="J68" s="6">
        <f>I68</f>
        <v>1447.1399999999999</v>
      </c>
      <c r="K68" s="5" t="e">
        <f ca="1">J68*L68</f>
        <v>#NAME?</v>
      </c>
      <c r="L68" s="11" t="e">
        <f ca="1">_xll.BDH("RUB curncy","PX_LAST",$N68)</f>
        <v>#NAME?</v>
      </c>
      <c r="M68" s="56" t="e">
        <f ca="1">1/_xll.BDH("RUB curncy","PX_LAST",$N68)</f>
        <v>#NAME?</v>
      </c>
      <c r="N68" s="4">
        <v>42921</v>
      </c>
      <c r="O68" s="1"/>
      <c r="P68" s="80">
        <f>F68*0.14586</f>
        <v>155.77848</v>
      </c>
      <c r="Q68" s="1"/>
      <c r="R68" s="1"/>
      <c r="S68" s="1"/>
      <c r="T68" s="1"/>
      <c r="U68" s="1"/>
      <c r="V68" s="1"/>
    </row>
    <row r="69" spans="1:22" x14ac:dyDescent="0.25">
      <c r="A69" s="1"/>
      <c r="B69" s="10" t="s">
        <v>2735</v>
      </c>
      <c r="C69" s="9" t="s">
        <v>88</v>
      </c>
      <c r="D69" s="7" t="e">
        <f ca="1">_xll.BDP(C69,"SECURITY_NAME")</f>
        <v>#NAME?</v>
      </c>
      <c r="E69" s="7" t="s">
        <v>4</v>
      </c>
      <c r="F69" s="8">
        <v>27070</v>
      </c>
      <c r="G69" s="7" t="s">
        <v>20</v>
      </c>
      <c r="H69" s="79">
        <v>1.8424990000000001</v>
      </c>
      <c r="I69" s="5">
        <f>F69*H69</f>
        <v>49876.447930000002</v>
      </c>
      <c r="J69" s="6">
        <f>I69</f>
        <v>49876.447930000002</v>
      </c>
      <c r="K69" s="5" t="e">
        <f ca="1">J69*L69</f>
        <v>#NAME?</v>
      </c>
      <c r="L69" s="11" t="e">
        <f ca="1">_xll.BDH("RUB curncy","PX_LAST",$N69)</f>
        <v>#NAME?</v>
      </c>
      <c r="M69" s="56" t="e">
        <f ca="1">1/_xll.BDH("RUB curncy","PX_LAST",$N69)</f>
        <v>#NAME?</v>
      </c>
      <c r="N69" s="4">
        <v>42851</v>
      </c>
      <c r="O69" s="1"/>
      <c r="P69" s="80">
        <f>F69*0.14586</f>
        <v>3948.4301999999998</v>
      </c>
      <c r="Q69" s="1"/>
      <c r="R69" s="1"/>
      <c r="S69" s="1"/>
      <c r="T69" s="1"/>
      <c r="U69" s="1"/>
      <c r="V69" s="1"/>
    </row>
    <row r="70" spans="1:22" x14ac:dyDescent="0.25">
      <c r="A70" s="1"/>
      <c r="B70" s="10" t="s">
        <v>2735</v>
      </c>
      <c r="C70" s="9" t="s">
        <v>88</v>
      </c>
      <c r="D70" s="7" t="e">
        <f ca="1">_xll.BDP(C70,"SECURITY_NAME")</f>
        <v>#NAME?</v>
      </c>
      <c r="E70" s="7" t="s">
        <v>4</v>
      </c>
      <c r="F70" s="8">
        <v>35500</v>
      </c>
      <c r="G70" s="7" t="s">
        <v>20</v>
      </c>
      <c r="H70" s="79">
        <v>1.7598400000000001</v>
      </c>
      <c r="I70" s="5">
        <f>F70*H70</f>
        <v>62474.32</v>
      </c>
      <c r="J70" s="6">
        <f>I70</f>
        <v>62474.32</v>
      </c>
      <c r="K70" s="5" t="e">
        <f ca="1">J70*L70</f>
        <v>#NAME?</v>
      </c>
      <c r="L70" s="11" t="e">
        <f ca="1">_xll.BDH("RUB curncy","PX_LAST",$N70)</f>
        <v>#NAME?</v>
      </c>
      <c r="M70" s="56" t="e">
        <f ca="1">1/_xll.BDH("RUB curncy","PX_LAST",$N70)</f>
        <v>#NAME?</v>
      </c>
      <c r="N70" s="4">
        <v>42860</v>
      </c>
      <c r="O70" s="1"/>
      <c r="P70" s="80">
        <f>F70*0.14586</f>
        <v>5178.03</v>
      </c>
      <c r="Q70" s="1"/>
      <c r="R70" s="1"/>
      <c r="S70" s="1"/>
      <c r="T70" s="1"/>
      <c r="U70" s="1"/>
      <c r="V70" s="1"/>
    </row>
    <row r="71" spans="1:22" x14ac:dyDescent="0.25">
      <c r="A71" s="1"/>
      <c r="B71" s="10" t="s">
        <v>2735</v>
      </c>
      <c r="C71" s="9" t="s">
        <v>88</v>
      </c>
      <c r="D71" s="7" t="e">
        <f ca="1">_xll.BDP(C71,"SECURITY_NAME")</f>
        <v>#NAME?</v>
      </c>
      <c r="E71" s="7" t="s">
        <v>4</v>
      </c>
      <c r="F71" s="8">
        <v>26800</v>
      </c>
      <c r="G71" s="7" t="s">
        <v>20</v>
      </c>
      <c r="H71" s="79">
        <v>2.3521429999999999</v>
      </c>
      <c r="I71" s="5">
        <f>F71*H71</f>
        <v>63037.432399999998</v>
      </c>
      <c r="J71" s="6">
        <f>I71</f>
        <v>63037.432399999998</v>
      </c>
      <c r="K71" s="5" t="e">
        <f ca="1">J71*L71</f>
        <v>#NAME?</v>
      </c>
      <c r="L71" s="11" t="e">
        <f ca="1">_xll.BDH("RUB curncy","PX_LAST",$N71)</f>
        <v>#NAME?</v>
      </c>
      <c r="M71" s="56" t="e">
        <f ca="1">1/_xll.BDH("RUB curncy","PX_LAST",$N71)</f>
        <v>#NAME?</v>
      </c>
      <c r="N71" s="4">
        <v>42781</v>
      </c>
      <c r="O71" s="1"/>
      <c r="P71" s="80">
        <f>F71*0.14586</f>
        <v>3909.0479999999998</v>
      </c>
      <c r="Q71" s="1"/>
      <c r="R71" s="1"/>
      <c r="S71" s="1"/>
      <c r="T71" s="1"/>
      <c r="U71" s="1"/>
      <c r="V71" s="1"/>
    </row>
    <row r="72" spans="1:22" x14ac:dyDescent="0.25">
      <c r="A72" s="1"/>
      <c r="B72" s="1"/>
      <c r="C72" s="1"/>
      <c r="D72" s="1"/>
      <c r="E72" s="1"/>
      <c r="F72" s="66">
        <f>SUM(F68:F71)</f>
        <v>90438</v>
      </c>
      <c r="G72" s="1"/>
      <c r="H72" s="1">
        <f>I72/F72</f>
        <v>1.9553212181826225</v>
      </c>
      <c r="I72" s="66">
        <f>SUM(I68:I71)</f>
        <v>176835.34033000001</v>
      </c>
      <c r="J72" s="124">
        <f>SUM(J68:J71)</f>
        <v>176835.34033000001</v>
      </c>
      <c r="K72" s="66" t="e">
        <f ca="1">SUM(K68:K71)</f>
        <v>#NAME?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</row>
    <row r="73" spans="1:2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</row>
    <row r="74" spans="1:22" x14ac:dyDescent="0.25">
      <c r="A74" s="1"/>
      <c r="B74" s="10" t="s">
        <v>2735</v>
      </c>
      <c r="C74" s="9" t="s">
        <v>125</v>
      </c>
      <c r="D74" s="7" t="e">
        <f ca="1">_xll.BDP(C74,"SECURITY_NAME")</f>
        <v>#NAME?</v>
      </c>
      <c r="E74" s="7" t="s">
        <v>4</v>
      </c>
      <c r="F74" s="8">
        <v>6250</v>
      </c>
      <c r="G74" s="7" t="s">
        <v>20</v>
      </c>
      <c r="H74" s="79">
        <v>9.9023000000000003</v>
      </c>
      <c r="I74" s="5">
        <f>F74*H74</f>
        <v>61889.375</v>
      </c>
      <c r="J74" s="6">
        <f>I74</f>
        <v>61889.375</v>
      </c>
      <c r="K74" s="5" t="e">
        <f ca="1">J74*L74</f>
        <v>#NAME?</v>
      </c>
      <c r="L74" s="11" t="e">
        <f ca="1">_xll.BDH("RUB curncy","PX_LAST",$N74)</f>
        <v>#NAME?</v>
      </c>
      <c r="M74" s="56" t="e">
        <f ca="1">1/_xll.BDH("RUB curncy","PX_LAST",$N74)</f>
        <v>#NAME?</v>
      </c>
      <c r="N74" s="4">
        <v>42786</v>
      </c>
      <c r="O74" s="1"/>
      <c r="P74" s="80">
        <f>F74*0.14586</f>
        <v>911.62499999999989</v>
      </c>
      <c r="Q74" s="1"/>
      <c r="R74" s="1"/>
      <c r="S74" s="1"/>
      <c r="T74" s="1"/>
      <c r="U74" s="1"/>
      <c r="V74" s="1"/>
    </row>
    <row r="75" spans="1:22" x14ac:dyDescent="0.25">
      <c r="A75" s="1"/>
      <c r="B75" s="1"/>
      <c r="C75" s="1"/>
      <c r="D75" s="1"/>
      <c r="E75" s="1"/>
      <c r="F75" s="66">
        <f>SUM(F74:F74)</f>
        <v>6250</v>
      </c>
      <c r="G75" s="1"/>
      <c r="H75" s="1">
        <f>I75/F75</f>
        <v>9.9023000000000003</v>
      </c>
      <c r="I75" s="66">
        <f>SUM(I74:I74)</f>
        <v>61889.375</v>
      </c>
      <c r="J75" s="124">
        <f>SUM(J74:J74)</f>
        <v>61889.375</v>
      </c>
      <c r="K75" s="66" t="e">
        <f ca="1">SUM(K74:K74)</f>
        <v>#NAME?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</row>
    <row r="76" spans="1:2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</row>
    <row r="77" spans="1:22" x14ac:dyDescent="0.25">
      <c r="A77" s="1"/>
      <c r="B77" s="10" t="s">
        <v>2735</v>
      </c>
      <c r="C77" s="9" t="s">
        <v>264</v>
      </c>
      <c r="D77" s="7" t="e">
        <f ca="1">_xll.BDP(C77,"SECURITY_NAME")</f>
        <v>#NAME?</v>
      </c>
      <c r="E77" s="7" t="s">
        <v>4</v>
      </c>
      <c r="F77" s="8">
        <v>1135</v>
      </c>
      <c r="G77" s="7" t="s">
        <v>20</v>
      </c>
      <c r="H77" s="79">
        <v>42.862738</v>
      </c>
      <c r="I77" s="5">
        <f>F77*H77</f>
        <v>48649.207629999997</v>
      </c>
      <c r="J77" s="6">
        <f>I77</f>
        <v>48649.207629999997</v>
      </c>
      <c r="K77" s="5" t="e">
        <f ca="1">J77*L77</f>
        <v>#NAME?</v>
      </c>
      <c r="L77" s="11" t="e">
        <f ca="1">_xll.BDH("RUB curncy","PX_LAST",$N77)</f>
        <v>#NAME?</v>
      </c>
      <c r="M77" s="56" t="e">
        <f ca="1">1/_xll.BDH("RUB curncy","PX_LAST",$N77)</f>
        <v>#NAME?</v>
      </c>
      <c r="N77" s="4">
        <v>42958</v>
      </c>
      <c r="O77" s="1"/>
      <c r="P77" s="80">
        <f>F77*0.14586</f>
        <v>165.55109999999999</v>
      </c>
      <c r="Q77" s="1"/>
      <c r="R77" s="1"/>
      <c r="S77" s="1"/>
      <c r="T77" s="1"/>
      <c r="U77" s="1"/>
      <c r="V77" s="1"/>
    </row>
    <row r="78" spans="1:22" x14ac:dyDescent="0.25">
      <c r="A78" s="1"/>
      <c r="B78" s="10" t="s">
        <v>2735</v>
      </c>
      <c r="C78" s="9" t="s">
        <v>264</v>
      </c>
      <c r="D78" s="7" t="e">
        <f ca="1">_xll.BDP(C78,"SECURITY_NAME")</f>
        <v>#NAME?</v>
      </c>
      <c r="E78" s="7" t="s">
        <v>4</v>
      </c>
      <c r="F78" s="8">
        <v>1136</v>
      </c>
      <c r="G78" s="7" t="s">
        <v>20</v>
      </c>
      <c r="H78" s="79">
        <v>55</v>
      </c>
      <c r="I78" s="5">
        <f>F78*H78</f>
        <v>62480</v>
      </c>
      <c r="J78" s="6">
        <f>I78</f>
        <v>62480</v>
      </c>
      <c r="K78" s="5" t="e">
        <f ca="1">J78*L78</f>
        <v>#NAME?</v>
      </c>
      <c r="L78" s="11" t="e">
        <f ca="1">_xll.BDH("RUB curncy","PX_LAST",$N78)</f>
        <v>#NAME?</v>
      </c>
      <c r="M78" s="56" t="e">
        <f ca="1">1/_xll.BDH("RUB curncy","PX_LAST",$N78)</f>
        <v>#NAME?</v>
      </c>
      <c r="N78" s="4">
        <v>42788</v>
      </c>
      <c r="O78" s="1"/>
      <c r="P78" s="80">
        <f>F78*0.14586</f>
        <v>165.69695999999999</v>
      </c>
      <c r="Q78" s="1"/>
      <c r="R78" s="1"/>
      <c r="S78" s="1"/>
      <c r="T78" s="1"/>
      <c r="U78" s="1"/>
      <c r="V78" s="1"/>
    </row>
    <row r="79" spans="1:22" x14ac:dyDescent="0.25">
      <c r="A79" s="1"/>
      <c r="B79" s="1"/>
      <c r="C79" s="1"/>
      <c r="D79" s="1"/>
      <c r="E79" s="1"/>
      <c r="F79" s="66">
        <f>SUM(F77:F78)</f>
        <v>2271</v>
      </c>
      <c r="G79" s="1"/>
      <c r="H79" s="1">
        <f>I79/F79</f>
        <v>48.93404122853368</v>
      </c>
      <c r="I79" s="66">
        <f>SUM(I77:I78)</f>
        <v>111129.20762999999</v>
      </c>
      <c r="J79" s="124">
        <f>SUM(J77:J78)</f>
        <v>111129.20762999999</v>
      </c>
      <c r="K79" s="66" t="e">
        <f ca="1">SUM(K77:K78)</f>
        <v>#NAME?</v>
      </c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</row>
    <row r="80" spans="1:2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</row>
    <row r="81" spans="1:22" x14ac:dyDescent="0.25">
      <c r="A81" s="1"/>
      <c r="B81" s="10" t="s">
        <v>2735</v>
      </c>
      <c r="C81" s="9" t="s">
        <v>873</v>
      </c>
      <c r="D81" s="7" t="e">
        <f ca="1">_xll.BDP(C81,"SECURITY_NAME")</f>
        <v>#NAME?</v>
      </c>
      <c r="E81" s="7" t="s">
        <v>4</v>
      </c>
      <c r="F81" s="8">
        <v>2850</v>
      </c>
      <c r="G81" s="7" t="s">
        <v>20</v>
      </c>
      <c r="H81" s="79">
        <v>21.85</v>
      </c>
      <c r="I81" s="5">
        <f>F81*H81</f>
        <v>62272.500000000007</v>
      </c>
      <c r="J81" s="6">
        <f>I81</f>
        <v>62272.500000000007</v>
      </c>
      <c r="K81" s="5" t="e">
        <f ca="1">J81*L81</f>
        <v>#NAME?</v>
      </c>
      <c r="L81" s="11" t="e">
        <f ca="1">_xll.BDH("RUB curncy","PX_LAST",$N81)</f>
        <v>#NAME?</v>
      </c>
      <c r="M81" s="56" t="e">
        <f ca="1">1/_xll.BDH("RUB curncy","PX_LAST",$N81)</f>
        <v>#NAME?</v>
      </c>
      <c r="N81" s="4">
        <v>42984</v>
      </c>
      <c r="O81" s="1"/>
      <c r="P81" s="80">
        <f>F81*0.14586</f>
        <v>415.70099999999996</v>
      </c>
      <c r="Q81" s="1"/>
      <c r="R81" s="1"/>
      <c r="S81" s="1"/>
      <c r="T81" s="1"/>
      <c r="U81" s="1"/>
      <c r="V81" s="1"/>
    </row>
    <row r="82" spans="1:22" x14ac:dyDescent="0.25">
      <c r="A82" s="1"/>
      <c r="B82" s="1"/>
      <c r="C82" s="1"/>
      <c r="D82" s="1"/>
      <c r="E82" s="1"/>
      <c r="F82" s="66">
        <f>SUM(F81:F81)</f>
        <v>2850</v>
      </c>
      <c r="G82" s="1"/>
      <c r="H82" s="1">
        <f>I82/F82</f>
        <v>21.85</v>
      </c>
      <c r="I82" s="66">
        <f>SUM(I81:I81)</f>
        <v>62272.500000000007</v>
      </c>
      <c r="J82" s="124">
        <f>SUM(J81:J81)</f>
        <v>62272.500000000007</v>
      </c>
      <c r="K82" s="66" t="e">
        <f ca="1">SUM(K81:K81)</f>
        <v>#NAME?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1:2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1:22" x14ac:dyDescent="0.25">
      <c r="A84" s="1"/>
      <c r="B84" s="10" t="s">
        <v>2735</v>
      </c>
      <c r="C84" s="9" t="s">
        <v>121</v>
      </c>
      <c r="D84" s="7" t="e">
        <f ca="1">_xll.BDP(C84,"SECURITY_NAME")</f>
        <v>#NAME?</v>
      </c>
      <c r="E84" s="7" t="s">
        <v>4</v>
      </c>
      <c r="F84" s="8">
        <v>5750</v>
      </c>
      <c r="G84" s="7" t="s">
        <v>20</v>
      </c>
      <c r="H84" s="79">
        <v>10.900309999999999</v>
      </c>
      <c r="I84" s="5">
        <f>F84*H84</f>
        <v>62676.782499999994</v>
      </c>
      <c r="J84" s="6">
        <f>I84</f>
        <v>62676.782499999994</v>
      </c>
      <c r="K84" s="5" t="e">
        <f ca="1">J84*L84</f>
        <v>#NAME?</v>
      </c>
      <c r="L84" s="11" t="e">
        <f ca="1">_xll.BDH("RUB curncy","PX_LAST",$N84)</f>
        <v>#NAME?</v>
      </c>
      <c r="M84" s="56" t="e">
        <f ca="1">1/_xll.BDH("RUB curncy","PX_LAST",$N84)</f>
        <v>#NAME?</v>
      </c>
      <c r="N84" s="4">
        <v>42892</v>
      </c>
      <c r="O84" s="1"/>
      <c r="P84" s="80">
        <f>F84*0.14586</f>
        <v>838.69499999999994</v>
      </c>
      <c r="Q84" s="1"/>
      <c r="R84" s="1"/>
      <c r="S84" s="1"/>
      <c r="T84" s="1"/>
      <c r="U84" s="1"/>
      <c r="V84" s="1"/>
    </row>
    <row r="85" spans="1:22" x14ac:dyDescent="0.25">
      <c r="A85" s="1"/>
      <c r="B85" s="1"/>
      <c r="C85" s="1"/>
      <c r="D85" s="1"/>
      <c r="E85" s="1"/>
      <c r="F85" s="66">
        <f>SUM(F84:F84)</f>
        <v>5750</v>
      </c>
      <c r="G85" s="1"/>
      <c r="H85" s="1">
        <f>I85/F85</f>
        <v>10.900309999999999</v>
      </c>
      <c r="I85" s="66">
        <f>SUM(I84:I84)</f>
        <v>62676.782499999994</v>
      </c>
      <c r="J85" s="124">
        <f>SUM(J84:J84)</f>
        <v>62676.782499999994</v>
      </c>
      <c r="K85" s="66" t="e">
        <f ca="1">SUM(K84:K84)</f>
        <v>#NAME?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</row>
    <row r="86" spans="1:2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</row>
    <row r="87" spans="1:22" x14ac:dyDescent="0.25">
      <c r="A87" s="1"/>
      <c r="B87" s="10" t="s">
        <v>2735</v>
      </c>
      <c r="C87" s="9" t="s">
        <v>133</v>
      </c>
      <c r="D87" s="7" t="e">
        <f ca="1">_xll.BDP(C87,"SECURITY_NAME")</f>
        <v>#NAME?</v>
      </c>
      <c r="E87" s="7" t="s">
        <v>4</v>
      </c>
      <c r="F87" s="8">
        <v>15000</v>
      </c>
      <c r="G87" s="7" t="s">
        <v>20</v>
      </c>
      <c r="H87" s="79">
        <v>4.1764999999999999</v>
      </c>
      <c r="I87" s="5">
        <f>F87*H87</f>
        <v>62647.5</v>
      </c>
      <c r="J87" s="6">
        <f>I87</f>
        <v>62647.5</v>
      </c>
      <c r="K87" s="5" t="e">
        <f ca="1">J87*L87</f>
        <v>#NAME?</v>
      </c>
      <c r="L87" s="11" t="e">
        <f ca="1">_xll.BDH("RUB curncy","PX_LAST",$N87)</f>
        <v>#NAME?</v>
      </c>
      <c r="M87" s="56" t="e">
        <f ca="1">1/_xll.BDH("RUB curncy","PX_LAST",$N87)</f>
        <v>#NAME?</v>
      </c>
      <c r="N87" s="4">
        <v>42892</v>
      </c>
      <c r="O87" s="1"/>
      <c r="P87" s="80">
        <f>F87*0.14586</f>
        <v>2187.8999999999996</v>
      </c>
      <c r="Q87" s="1"/>
      <c r="R87" s="1"/>
      <c r="S87" s="1"/>
      <c r="T87" s="1"/>
      <c r="U87" s="1"/>
      <c r="V87" s="1"/>
    </row>
    <row r="88" spans="1:22" x14ac:dyDescent="0.25">
      <c r="A88" s="1"/>
      <c r="B88" s="10" t="s">
        <v>2735</v>
      </c>
      <c r="C88" s="9" t="s">
        <v>133</v>
      </c>
      <c r="D88" s="7" t="e">
        <f ca="1">_xll.BDP(C88,"SECURITY_NAME")</f>
        <v>#NAME?</v>
      </c>
      <c r="E88" s="7" t="s">
        <v>4</v>
      </c>
      <c r="F88" s="8">
        <v>13900</v>
      </c>
      <c r="G88" s="7" t="s">
        <v>20</v>
      </c>
      <c r="H88" s="79">
        <v>4.4821</v>
      </c>
      <c r="I88" s="5">
        <f>F88*H88</f>
        <v>62301.19</v>
      </c>
      <c r="J88" s="6">
        <f>I88</f>
        <v>62301.19</v>
      </c>
      <c r="K88" s="5" t="e">
        <f ca="1">J88*L88</f>
        <v>#NAME?</v>
      </c>
      <c r="L88" s="11" t="e">
        <f ca="1">_xll.BDH("RUB curncy","PX_LAST",$N88)</f>
        <v>#NAME?</v>
      </c>
      <c r="M88" s="56" t="e">
        <f ca="1">1/_xll.BDH("RUB curncy","PX_LAST",$N88)</f>
        <v>#NAME?</v>
      </c>
      <c r="N88" s="4">
        <v>42817</v>
      </c>
      <c r="O88" s="1"/>
      <c r="P88" s="80">
        <f>F88*0.14586</f>
        <v>2027.454</v>
      </c>
      <c r="Q88" s="1"/>
      <c r="R88" s="1"/>
      <c r="S88" s="1"/>
      <c r="T88" s="1"/>
      <c r="U88" s="1"/>
      <c r="V88" s="1"/>
    </row>
    <row r="89" spans="1:22" x14ac:dyDescent="0.25">
      <c r="A89" s="1"/>
      <c r="B89" s="1"/>
      <c r="C89" s="1"/>
      <c r="D89" s="1"/>
      <c r="E89" s="1"/>
      <c r="F89" s="66">
        <f>SUM(F87:F88)</f>
        <v>28900</v>
      </c>
      <c r="G89" s="1"/>
      <c r="H89" s="1">
        <f>I89/F89</f>
        <v>4.323484083044983</v>
      </c>
      <c r="I89" s="66">
        <f>SUM(I87:I88)</f>
        <v>124948.69</v>
      </c>
      <c r="J89" s="124">
        <f>SUM(J87:J88)</f>
        <v>124948.69</v>
      </c>
      <c r="K89" s="66" t="e">
        <f ca="1">SUM(K87:K88)</f>
        <v>#NAME?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</row>
    <row r="91" spans="1:22" x14ac:dyDescent="0.25">
      <c r="A91" s="1"/>
      <c r="B91" s="10" t="s">
        <v>2735</v>
      </c>
      <c r="C91" s="9" t="s">
        <v>90</v>
      </c>
      <c r="D91" s="7" t="e">
        <f ca="1">_xll.BDP(C91,"SECURITY_NAME")</f>
        <v>#NAME?</v>
      </c>
      <c r="E91" s="7" t="s">
        <v>4</v>
      </c>
      <c r="F91" s="8">
        <v>5150</v>
      </c>
      <c r="G91" s="7" t="s">
        <v>20</v>
      </c>
      <c r="H91" s="79">
        <v>12.150689</v>
      </c>
      <c r="I91" s="5">
        <f>F91*H91</f>
        <v>62576.048349999997</v>
      </c>
      <c r="J91" s="6">
        <f>I91</f>
        <v>62576.048349999997</v>
      </c>
      <c r="K91" s="5" t="e">
        <f ca="1">J91*L91</f>
        <v>#NAME?</v>
      </c>
      <c r="L91" s="11" t="e">
        <f ca="1">_xll.BDH("RUB curncy","PX_LAST",$N91)</f>
        <v>#NAME?</v>
      </c>
      <c r="M91" s="56" t="e">
        <f ca="1">1/_xll.BDH("RUB curncy","PX_LAST",$N91)</f>
        <v>#NAME?</v>
      </c>
      <c r="N91" s="4">
        <v>42781</v>
      </c>
      <c r="O91" s="1"/>
      <c r="P91" s="80">
        <f>F91*0.14586</f>
        <v>751.17899999999997</v>
      </c>
      <c r="Q91" s="1"/>
      <c r="R91" s="1"/>
      <c r="S91" s="1"/>
      <c r="T91" s="1"/>
      <c r="U91" s="1"/>
      <c r="V91" s="1"/>
    </row>
    <row r="92" spans="1:22" x14ac:dyDescent="0.25">
      <c r="A92" s="1"/>
      <c r="B92" s="1"/>
      <c r="C92" s="1"/>
      <c r="D92" s="1"/>
      <c r="E92" s="1"/>
      <c r="F92" s="66">
        <f>SUM(F91:F91)</f>
        <v>5150</v>
      </c>
      <c r="G92" s="1"/>
      <c r="H92" s="1">
        <f>I92/F92</f>
        <v>12.150689</v>
      </c>
      <c r="I92" s="66">
        <f>SUM(I91:I91)</f>
        <v>62576.048349999997</v>
      </c>
      <c r="J92" s="124">
        <f>SUM(J91:J91)</f>
        <v>62576.048349999997</v>
      </c>
      <c r="K92" s="66" t="e">
        <f ca="1">SUM(K91:K91)</f>
        <v>#NAME?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</row>
    <row r="93" spans="1:2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</row>
    <row r="94" spans="1:22" x14ac:dyDescent="0.25">
      <c r="A94" s="1"/>
      <c r="B94" s="10" t="s">
        <v>2735</v>
      </c>
      <c r="C94" s="9" t="s">
        <v>136</v>
      </c>
      <c r="D94" s="7" t="e">
        <f ca="1">_xll.BDP(C94,"SECURITY_NAME")</f>
        <v>#NAME?</v>
      </c>
      <c r="E94" s="7" t="s">
        <v>4</v>
      </c>
      <c r="F94" s="8">
        <v>3850</v>
      </c>
      <c r="G94" s="7" t="s">
        <v>20</v>
      </c>
      <c r="H94" s="79">
        <v>16.230599999999999</v>
      </c>
      <c r="I94" s="5">
        <f>F94*H94</f>
        <v>62487.81</v>
      </c>
      <c r="J94" s="6">
        <f>I94</f>
        <v>62487.81</v>
      </c>
      <c r="K94" s="5" t="e">
        <f ca="1">J94*L94</f>
        <v>#NAME?</v>
      </c>
      <c r="L94" s="11" t="e">
        <f ca="1">_xll.BDH("RUB curncy","PX_LAST",$N94)</f>
        <v>#NAME?</v>
      </c>
      <c r="M94" s="56" t="e">
        <f ca="1">1/_xll.BDH("RUB curncy","PX_LAST",$N94)</f>
        <v>#NAME?</v>
      </c>
      <c r="N94" s="4">
        <v>42984</v>
      </c>
      <c r="O94" s="1"/>
      <c r="P94" s="80">
        <f>F94*0.14586</f>
        <v>561.56099999999992</v>
      </c>
      <c r="Q94" s="1"/>
      <c r="R94" s="1"/>
      <c r="S94" s="1"/>
      <c r="T94" s="1"/>
      <c r="U94" s="1"/>
      <c r="V94" s="1"/>
    </row>
    <row r="95" spans="1:22" x14ac:dyDescent="0.25">
      <c r="A95" s="1"/>
      <c r="B95" s="1"/>
      <c r="C95" s="1"/>
      <c r="D95" s="1"/>
      <c r="E95" s="1"/>
      <c r="F95" s="66">
        <f>SUM(F94:F94)</f>
        <v>3850</v>
      </c>
      <c r="G95" s="1"/>
      <c r="H95" s="1">
        <f>I95/F95</f>
        <v>16.230599999999999</v>
      </c>
      <c r="I95" s="66">
        <f>SUM(I94:I94)</f>
        <v>62487.81</v>
      </c>
      <c r="J95" s="124">
        <f>SUM(J94:J94)</f>
        <v>62487.81</v>
      </c>
      <c r="K95" s="66" t="e">
        <f ca="1">SUM(K94:K94)</f>
        <v>#NAME?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</row>
    <row r="96" spans="1:2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</row>
    <row r="97" spans="1:22" x14ac:dyDescent="0.25">
      <c r="A97" s="1"/>
      <c r="B97" s="10" t="s">
        <v>2735</v>
      </c>
      <c r="C97" s="9" t="s">
        <v>95</v>
      </c>
      <c r="D97" s="7" t="e">
        <f ca="1">_xll.BDP(C97,"SECURITY_NAME")</f>
        <v>#NAME?</v>
      </c>
      <c r="E97" s="7" t="s">
        <v>4</v>
      </c>
      <c r="F97" s="8">
        <v>14205</v>
      </c>
      <c r="G97" s="7" t="s">
        <v>20</v>
      </c>
      <c r="H97" s="79">
        <v>4.3792609999999996</v>
      </c>
      <c r="I97" s="5">
        <f>F97*H97</f>
        <v>62207.402504999998</v>
      </c>
      <c r="J97" s="6">
        <f>I97</f>
        <v>62207.402504999998</v>
      </c>
      <c r="K97" s="5" t="e">
        <f ca="1">J97*L97</f>
        <v>#NAME?</v>
      </c>
      <c r="L97" s="11" t="e">
        <f ca="1">_xll.BDH("RUB curncy","PX_LAST",$N97)</f>
        <v>#NAME?</v>
      </c>
      <c r="M97" s="56" t="e">
        <f ca="1">1/_xll.BDH("RUB curncy","PX_LAST",$N97)</f>
        <v>#NAME?</v>
      </c>
      <c r="N97" s="4">
        <v>42781</v>
      </c>
      <c r="O97" s="1"/>
      <c r="P97" s="80">
        <f>F97*0.14586</f>
        <v>2071.9413</v>
      </c>
      <c r="Q97" s="1"/>
      <c r="R97" s="1"/>
      <c r="S97" s="1"/>
      <c r="T97" s="1"/>
      <c r="U97" s="1"/>
      <c r="V97" s="1"/>
    </row>
    <row r="98" spans="1:22" x14ac:dyDescent="0.25">
      <c r="A98" s="1"/>
      <c r="B98" s="1"/>
      <c r="C98" s="1"/>
      <c r="D98" s="1"/>
      <c r="E98" s="1"/>
      <c r="F98" s="66">
        <f>SUM(F97:F97)</f>
        <v>14205</v>
      </c>
      <c r="G98" s="1"/>
      <c r="H98" s="1">
        <f>I98/F98</f>
        <v>4.3792609999999996</v>
      </c>
      <c r="I98" s="66">
        <f>SUM(I97:I97)</f>
        <v>62207.402504999998</v>
      </c>
      <c r="J98" s="124">
        <f>SUM(J97:J97)</f>
        <v>62207.402504999998</v>
      </c>
      <c r="K98" s="66" t="e">
        <f ca="1">SUM(K97:K97)</f>
        <v>#NAME?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</row>
    <row r="99" spans="1:2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</row>
    <row r="100" spans="1:22" x14ac:dyDescent="0.25">
      <c r="A100" s="1"/>
      <c r="B100" s="10" t="s">
        <v>2735</v>
      </c>
      <c r="C100" s="9" t="s">
        <v>1845</v>
      </c>
      <c r="D100" s="7" t="e">
        <f ca="1">_xll.BDP(C100,"SECURITY_NAME")</f>
        <v>#NAME?</v>
      </c>
      <c r="E100" s="7" t="s">
        <v>4</v>
      </c>
      <c r="F100" s="8">
        <v>65000</v>
      </c>
      <c r="G100" s="7" t="s">
        <v>20</v>
      </c>
      <c r="H100" s="79">
        <v>95.2</v>
      </c>
      <c r="I100" s="5">
        <f>F100*H100</f>
        <v>6188000</v>
      </c>
      <c r="J100" s="6">
        <f>I100</f>
        <v>6188000</v>
      </c>
      <c r="K100" s="5" t="e">
        <f ca="1">J100*L100</f>
        <v>#NAME?</v>
      </c>
      <c r="L100" s="11" t="e">
        <f ca="1">_xll.BDH("RUB curncy","PX_LAST",$N100)</f>
        <v>#NAME?</v>
      </c>
      <c r="M100" s="56" t="e">
        <f ca="1">1/_xll.BDH("RUB curncy","PX_LAST",$N100)</f>
        <v>#NAME?</v>
      </c>
      <c r="N100" s="4">
        <v>42885</v>
      </c>
      <c r="O100" s="1"/>
      <c r="P100" s="80">
        <f>F100*0.14586</f>
        <v>9480.9</v>
      </c>
      <c r="Q100" s="1"/>
      <c r="R100" s="1"/>
      <c r="S100" s="1"/>
      <c r="T100" s="1"/>
      <c r="U100" s="1"/>
      <c r="V100" s="1"/>
    </row>
    <row r="101" spans="1:22" x14ac:dyDescent="0.25">
      <c r="A101" s="1"/>
      <c r="B101" s="1"/>
      <c r="C101" s="1"/>
      <c r="D101" s="1"/>
      <c r="E101" s="1"/>
      <c r="F101" s="66">
        <f>SUM(F100:F100)</f>
        <v>65000</v>
      </c>
      <c r="G101" s="1"/>
      <c r="H101" s="1">
        <f>I101/F101</f>
        <v>95.2</v>
      </c>
      <c r="I101" s="66">
        <f>SUM(I100:I100)</f>
        <v>6188000</v>
      </c>
      <c r="J101" s="124">
        <f>SUM(J100:J100)</f>
        <v>6188000</v>
      </c>
      <c r="K101" s="66" t="e">
        <f ca="1">SUM(K100:K100)</f>
        <v>#NAME?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</row>
  </sheetData>
  <mergeCells count="1">
    <mergeCell ref="T14:T15"/>
  </mergeCells>
  <conditionalFormatting sqref="L8:L9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{E1710EF9-2244-4EDA-A682-7975C15D21B4}</x14:id>
        </ext>
      </extLst>
    </cfRule>
  </conditionalFormatting>
  <conditionalFormatting sqref="L8:M9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{FD4A6AA3-3ABC-418E-83F4-F3AD913F8CE0}</x14:id>
        </ext>
      </extLst>
    </cfRule>
  </conditionalFormatting>
  <conditionalFormatting sqref="L4:M4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{99E3F2DA-63B0-4CD5-910D-6BBCBDCA579B}</x14:id>
        </ext>
      </extLst>
    </cfRule>
  </conditionalFormatting>
  <conditionalFormatting sqref="T4">
    <cfRule type="dataBar" priority="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{75CEEBAE-79DC-43CE-97A6-AD0B99949D0A}</x14:id>
        </ext>
      </extLst>
    </cfRule>
  </conditionalFormatting>
  <conditionalFormatting sqref="I4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{35A9B29A-BED3-4AED-B8D9-488F8A99683F}</x14:id>
        </ext>
      </extLst>
    </cfRule>
  </conditionalFormatting>
  <conditionalFormatting sqref="L5:M5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{73205AD3-6053-4655-8CF6-7D29650C8675}</x14:id>
        </ext>
      </extLst>
    </cfRule>
  </conditionalFormatting>
  <conditionalFormatting sqref="T5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{F4E2997A-56C5-47FC-8B3F-A6D9688136B9}</x14:id>
        </ext>
      </extLst>
    </cfRule>
  </conditionalFormatting>
  <conditionalFormatting sqref="I5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{75D49E77-8D9D-4A31-A3EE-2471C0BCE2D4}</x14:id>
        </ext>
      </extLst>
    </cfRule>
  </conditionalFormatting>
  <conditionalFormatting sqref="L10:M10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{2FE64CD9-8961-41AB-BB4D-CEBB6E4C4498}</x14:id>
        </ext>
      </extLst>
    </cfRule>
  </conditionalFormatting>
  <conditionalFormatting sqref="I10">
    <cfRule type="dataBar" priority="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{486522B5-C98F-43E8-ABB8-B1BED3DE46C5}</x14:id>
        </ext>
      </extLst>
    </cfRule>
  </conditionalFormatting>
  <conditionalFormatting sqref="T10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{CD1EFF18-F09F-41E6-B7B1-2E700104E470}</x14:id>
        </ext>
      </extLst>
    </cfRule>
  </conditionalFormatting>
  <conditionalFormatting sqref="T10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{73A50DCF-BCDA-455A-9DD5-AFFB58165584}</x14:id>
        </ext>
      </extLst>
    </cfRule>
  </conditionalFormatting>
  <conditionalFormatting sqref="I10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{87F666E1-B3F0-4086-AEBF-530E148F568B}</x14:id>
        </ext>
      </extLst>
    </cfRule>
  </conditionalFormatting>
  <conditionalFormatting sqref="T10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{A2AB3321-AA93-4F1E-8F27-3633E688782A}</x14:id>
        </ext>
      </extLst>
    </cfRule>
  </conditionalFormatting>
  <conditionalFormatting sqref="L10:M10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{88B30362-5878-4D75-82D2-BDDE7DC04D9D}</x14:id>
        </ext>
      </extLst>
    </cfRule>
  </conditionalFormatting>
  <conditionalFormatting sqref="I10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{FD4FE2EE-47D6-4E5A-B037-BCDDD6B4B5AB}</x14:id>
        </ext>
      </extLst>
    </cfRule>
  </conditionalFormatting>
  <conditionalFormatting sqref="L10:M10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{51CF48A3-B779-45A9-BE2B-C2C2CEDCCFFE}</x14:id>
        </ext>
      </extLst>
    </cfRule>
  </conditionalFormatting>
  <conditionalFormatting sqref="T10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{ADBF88AF-9E9C-4E92-8296-5857D31299DA}</x14:id>
        </ext>
      </extLst>
    </cfRule>
  </conditionalFormatting>
  <conditionalFormatting sqref="T11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{9C579ECA-C052-4727-BD9E-76299A875D04}</x14:id>
        </ext>
      </extLst>
    </cfRule>
  </conditionalFormatting>
  <conditionalFormatting sqref="L11:M11">
    <cfRule type="dataBar" priority="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{62E1981B-FE0F-4C4A-B952-877D2DA92D40}</x14:id>
        </ext>
      </extLst>
    </cfRule>
  </conditionalFormatting>
  <conditionalFormatting sqref="M11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{972BE9D1-BB2B-493C-8B00-6E2148168CF8}</x14:id>
        </ext>
      </extLst>
    </cfRule>
  </conditionalFormatting>
  <conditionalFormatting sqref="L11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{90723C34-F5D8-40CE-ADB8-C5D5CBF2ECDB}</x14:id>
        </ext>
      </extLst>
    </cfRule>
  </conditionalFormatting>
  <conditionalFormatting sqref="T1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{5B8CF36C-28AA-4CAB-8499-2FE54A5AEDF4}</x14:id>
        </ext>
      </extLst>
    </cfRule>
  </conditionalFormatting>
  <conditionalFormatting sqref="L11:M11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{B1CEB928-8AC7-4B99-A885-351CA93360E4}</x14:id>
        </ext>
      </extLst>
    </cfRule>
  </conditionalFormatting>
  <conditionalFormatting sqref="T11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{29CBB0AC-8D03-4697-9EF1-96491A857B9F}</x14:id>
        </ext>
      </extLst>
    </cfRule>
  </conditionalFormatting>
  <conditionalFormatting sqref="T11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{B3E66FD5-E94C-4DEA-8B0C-A83BA726EE65}</x14:id>
        </ext>
      </extLst>
    </cfRule>
  </conditionalFormatting>
  <conditionalFormatting sqref="I11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{8C195974-BA12-47BF-81AF-40777D23E3BA}</x14:id>
        </ext>
      </extLst>
    </cfRule>
  </conditionalFormatting>
  <conditionalFormatting sqref="I11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{04877B00-ED9F-41A6-B955-54B68FF2AC27}</x14:id>
        </ext>
      </extLst>
    </cfRule>
  </conditionalFormatting>
  <conditionalFormatting sqref="L11:M11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{C1ACDE17-0ED2-4403-BC62-8A0AD11574E2}</x14:id>
        </ext>
      </extLst>
    </cfRule>
  </conditionalFormatting>
  <conditionalFormatting sqref="T11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{4BB16D68-9DEC-4A9D-BD47-07A3B5740EA9}</x14:id>
        </ext>
      </extLst>
    </cfRule>
  </conditionalFormatting>
  <conditionalFormatting sqref="L6:M6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{4D06A516-785C-4005-80C5-1DBEA82EBD28}</x14:id>
        </ext>
      </extLst>
    </cfRule>
  </conditionalFormatting>
  <conditionalFormatting sqref="L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{35297CA0-EFCE-400E-8B8F-21616456FAFD}</x14:id>
        </ext>
      </extLst>
    </cfRule>
  </conditionalFormatting>
  <conditionalFormatting sqref="L6:M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{62620DD2-4807-45C2-A631-A506575FCB24}</x14:id>
        </ext>
      </extLst>
    </cfRule>
  </conditionalFormatting>
  <conditionalFormatting sqref="I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{7438140E-AD68-4734-9851-3718E82C20A2}</x14:id>
        </ext>
      </extLst>
    </cfRule>
  </conditionalFormatting>
  <conditionalFormatting sqref="T6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{0A7055BA-DA87-4D4E-9533-0DF03157D04C}</x14:id>
        </ext>
      </extLst>
    </cfRule>
  </conditionalFormatting>
  <conditionalFormatting sqref="T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{755DCFC7-27A4-4A04-912F-F2DA04FCB993}</x14:id>
        </ext>
      </extLst>
    </cfRule>
  </conditionalFormatting>
  <conditionalFormatting sqref="L7:M7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{AD8F0EC9-3571-42BB-8EED-300F1DFB55F1}</x14:id>
        </ext>
      </extLst>
    </cfRule>
  </conditionalFormatting>
  <conditionalFormatting sqref="L7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{388AEC1B-4309-4725-9977-B31E9A0D02E0}</x14:id>
        </ext>
      </extLst>
    </cfRule>
  </conditionalFormatting>
  <conditionalFormatting sqref="L7:M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{D54BF3E7-3175-413E-82F5-C3D7011FF211}</x14:id>
        </ext>
      </extLst>
    </cfRule>
  </conditionalFormatting>
  <conditionalFormatting sqref="I7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{B6CFDE60-4564-47E4-91D1-58FA6EED8B17}</x14:id>
        </ext>
      </extLst>
    </cfRule>
  </conditionalFormatting>
  <conditionalFormatting sqref="T7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{7E5786F3-A6D2-44F4-B9F9-053441464AFE}</x14:id>
        </ext>
      </extLst>
    </cfRule>
  </conditionalFormatting>
  <conditionalFormatting sqref="T7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{33CAA95B-17F0-4C91-86B0-65F8AD97594C}</x14:id>
        </ext>
      </extLst>
    </cfRule>
  </conditionalFormatting>
  <conditionalFormatting sqref="L8:M8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{1B1BA780-D217-4E7C-A85A-9CB8BF0D23D2}</x14:id>
        </ext>
      </extLst>
    </cfRule>
  </conditionalFormatting>
  <conditionalFormatting sqref="L8:M8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{EF984C4F-579C-451C-9187-7AF53617495D}</x14:id>
        </ext>
      </extLst>
    </cfRule>
  </conditionalFormatting>
  <conditionalFormatting sqref="L8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{16E1298F-9C6A-4434-8434-2EF091D12FC9}</x14:id>
        </ext>
      </extLst>
    </cfRule>
  </conditionalFormatting>
  <conditionalFormatting sqref="M8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{19ACEA83-3925-42FD-855E-FFAD41969641}</x14:id>
        </ext>
      </extLst>
    </cfRule>
  </conditionalFormatting>
  <conditionalFormatting sqref="L9:M9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{41C9BB9D-52E2-4E3A-9A5B-A57F6A6EA098}</x14:id>
        </ext>
      </extLst>
    </cfRule>
  </conditionalFormatting>
  <conditionalFormatting sqref="L9:M9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{08CDFC5E-DEC2-4CA7-8BC5-B48A94AA5DF4}</x14:id>
        </ext>
      </extLst>
    </cfRule>
  </conditionalFormatting>
  <conditionalFormatting sqref="L9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{B0391812-B890-4040-A542-FE08B049E31E}</x14:id>
        </ext>
      </extLst>
    </cfRule>
  </conditionalFormatting>
  <conditionalFormatting sqref="M9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{2CCEC067-F2EC-4C95-8585-5E6F52568198}</x14:id>
        </ext>
      </extLst>
    </cfRule>
  </conditionalFormatting>
  <conditionalFormatting sqref="L13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{4E0901CB-8AD3-4048-9BAA-A60E5364DD6D}</x14:id>
        </ext>
      </extLst>
    </cfRule>
  </conditionalFormatting>
  <conditionalFormatting sqref="L8:L9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{E71CE136-5A93-43FE-946D-457A976BF856}</x14:id>
        </ext>
      </extLst>
    </cfRule>
  </conditionalFormatting>
  <conditionalFormatting sqref="L8:M9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{96E5DFB2-B2DF-4A09-9945-0F45D6F5AB1C}</x14:id>
        </ext>
      </extLst>
    </cfRule>
  </conditionalFormatting>
  <conditionalFormatting sqref="M13">
    <cfRule type="dataBar" priority="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{DAD1CE21-09BC-4B5F-894F-2677709651BC}</x14:id>
        </ext>
      </extLst>
    </cfRule>
  </conditionalFormatting>
  <conditionalFormatting sqref="M13">
    <cfRule type="dataBar" priority="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{846579E1-165A-4437-8589-0E9E5EA18FED}</x14:id>
        </ext>
      </extLst>
    </cfRule>
  </conditionalFormatting>
  <conditionalFormatting sqref="L4:M4">
    <cfRule type="dataBar" priority="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{006C6D0C-F8C7-4622-A788-51A261F85DD5}</x14:id>
        </ext>
      </extLst>
    </cfRule>
  </conditionalFormatting>
  <conditionalFormatting sqref="L4:M4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{2A9E65BE-CC2A-48CF-8831-634273B0B024}</x14:id>
        </ext>
      </extLst>
    </cfRule>
  </conditionalFormatting>
  <conditionalFormatting sqref="L4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{40D96D51-23B7-4721-B0CD-52E0306982F8}</x14:id>
        </ext>
      </extLst>
    </cfRule>
  </conditionalFormatting>
  <conditionalFormatting sqref="M4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{3695D2AD-8CC9-4AEF-A908-0E666A71F03E}</x14:id>
        </ext>
      </extLst>
    </cfRule>
  </conditionalFormatting>
  <conditionalFormatting sqref="L4:M4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{677A2D57-530E-4F03-8969-11A2B9543CBA}</x14:id>
        </ext>
      </extLst>
    </cfRule>
  </conditionalFormatting>
  <conditionalFormatting sqref="L4:M4">
    <cfRule type="dataBar" priority="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{B0F1D8F3-4FB8-4D65-A132-9B6576A613D0}</x14:id>
        </ext>
      </extLst>
    </cfRule>
  </conditionalFormatting>
  <conditionalFormatting sqref="L4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{9540F96C-16FF-4069-95C0-C721B0B98E51}</x14:id>
        </ext>
      </extLst>
    </cfRule>
  </conditionalFormatting>
  <conditionalFormatting sqref="L4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{D3935B97-25AE-42E1-A3A5-DD984DD64ABC}</x14:id>
        </ext>
      </extLst>
    </cfRule>
  </conditionalFormatting>
  <conditionalFormatting sqref="V4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{9588E5E4-E461-4E5C-9E40-0070742078FC}</x14:id>
        </ext>
      </extLst>
    </cfRule>
  </conditionalFormatting>
  <conditionalFormatting sqref="U4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{5E8291B1-56E3-49F2-9336-A64106364CD1}</x14:id>
        </ext>
      </extLst>
    </cfRule>
  </conditionalFormatting>
  <conditionalFormatting sqref="T4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{52F94188-4CE7-43AF-B5F8-105E73D0734C}</x14:id>
        </ext>
      </extLst>
    </cfRule>
  </conditionalFormatting>
  <conditionalFormatting sqref="L4:M4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{E387A2BF-CAE6-4371-B68B-AA5CC50351F9}</x14:id>
        </ext>
      </extLst>
    </cfRule>
  </conditionalFormatting>
  <conditionalFormatting sqref="I4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{EEA8D132-1968-47F6-A833-41E0866D0D82}</x14:id>
        </ext>
      </extLst>
    </cfRule>
  </conditionalFormatting>
  <conditionalFormatting sqref="T4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{D59EB1FD-E817-47F6-88CA-0D5F1FDC74FD}</x14:id>
        </ext>
      </extLst>
    </cfRule>
  </conditionalFormatting>
  <conditionalFormatting sqref="L4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{8AEB3BDC-2098-40E6-B7F6-E704A328D210}</x14:id>
        </ext>
      </extLst>
    </cfRule>
  </conditionalFormatting>
  <conditionalFormatting sqref="M4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{715C88EC-0B04-492D-9968-10E78EE4357A}</x14:id>
        </ext>
      </extLst>
    </cfRule>
  </conditionalFormatting>
  <conditionalFormatting sqref="I4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{6DE7234C-D547-4610-ABF8-38CEA0975F90}</x14:id>
        </ext>
      </extLst>
    </cfRule>
  </conditionalFormatting>
  <conditionalFormatting sqref="L5:M5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{104428F6-3D3A-42E4-BD2F-F83ACF0710C9}</x14:id>
        </ext>
      </extLst>
    </cfRule>
  </conditionalFormatting>
  <conditionalFormatting sqref="L5:M5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{57BE9994-11B6-4325-89B8-D2EC23B3ADD5}</x14:id>
        </ext>
      </extLst>
    </cfRule>
  </conditionalFormatting>
  <conditionalFormatting sqref="L5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{311CFE45-5AEB-4BCF-8377-11A72D97A65F}</x14:id>
        </ext>
      </extLst>
    </cfRule>
  </conditionalFormatting>
  <conditionalFormatting sqref="M5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{D4F84581-DC35-428C-8094-4D4A8422BE60}</x14:id>
        </ext>
      </extLst>
    </cfRule>
  </conditionalFormatting>
  <conditionalFormatting sqref="L5:M5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{7FD18BB5-C237-42F7-B2ED-97744AF71231}</x14:id>
        </ext>
      </extLst>
    </cfRule>
  </conditionalFormatting>
  <conditionalFormatting sqref="L5:M5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{EFAF957F-59CF-473F-B082-3CA616CB0835}</x14:id>
        </ext>
      </extLst>
    </cfRule>
  </conditionalFormatting>
  <conditionalFormatting sqref="L5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{7057ADCB-1DD6-4BDA-A73C-E5E7F2EDE373}</x14:id>
        </ext>
      </extLst>
    </cfRule>
  </conditionalFormatting>
  <conditionalFormatting sqref="L5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{5D73C482-49E8-4ED9-8E63-2AEEBB941E6B}</x14:id>
        </ext>
      </extLst>
    </cfRule>
  </conditionalFormatting>
  <conditionalFormatting sqref="V5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{4614E0F8-FEE3-4367-A28B-F1114AE6F54E}</x14:id>
        </ext>
      </extLst>
    </cfRule>
  </conditionalFormatting>
  <conditionalFormatting sqref="U5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{E4E2E6A5-FAAF-45F1-9C9E-84F150561B43}</x14:id>
        </ext>
      </extLst>
    </cfRule>
  </conditionalFormatting>
  <conditionalFormatting sqref="T5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{883DA3C4-DFE4-406E-B68E-848770EF965A}</x14:id>
        </ext>
      </extLst>
    </cfRule>
  </conditionalFormatting>
  <conditionalFormatting sqref="L5:M5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{70EEC940-3B45-4261-AA27-13F9CB6B54B0}</x14:id>
        </ext>
      </extLst>
    </cfRule>
  </conditionalFormatting>
  <conditionalFormatting sqref="I5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{FC0D0181-0D05-4C23-9ACA-DCE9DFCD5E71}</x14:id>
        </ext>
      </extLst>
    </cfRule>
  </conditionalFormatting>
  <conditionalFormatting sqref="T5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{3A227053-0C31-4A59-8A3D-952F9036EE11}</x14:id>
        </ext>
      </extLst>
    </cfRule>
  </conditionalFormatting>
  <conditionalFormatting sqref="L5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{3130A35C-C6C6-4E44-B880-C97473D172F7}</x14:id>
        </ext>
      </extLst>
    </cfRule>
  </conditionalFormatting>
  <conditionalFormatting sqref="M5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{7C05208C-4F22-41A6-A158-481E3990E33E}</x14:id>
        </ext>
      </extLst>
    </cfRule>
  </conditionalFormatting>
  <conditionalFormatting sqref="I5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{9DE84B26-9AF1-43A7-B90A-D05578FEA22D}</x14:id>
        </ext>
      </extLst>
    </cfRule>
  </conditionalFormatting>
  <conditionalFormatting sqref="M10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{9188DC95-3430-4C9B-B254-2F98C48B7035}</x14:id>
        </ext>
      </extLst>
    </cfRule>
  </conditionalFormatting>
  <conditionalFormatting sqref="M10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{336ABEF0-2168-4079-A07A-E7849DD0FBC4}</x14:id>
        </ext>
      </extLst>
    </cfRule>
  </conditionalFormatting>
  <conditionalFormatting sqref="L10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{498ACAAB-A53A-461F-A388-5FF629CFE479}</x14:id>
        </ext>
      </extLst>
    </cfRule>
  </conditionalFormatting>
  <conditionalFormatting sqref="L10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{F5D8DFE0-1D5B-4DE0-B36C-47F2C25A47B8}</x14:id>
        </ext>
      </extLst>
    </cfRule>
  </conditionalFormatting>
  <conditionalFormatting sqref="L10:M10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{269496BA-51E8-47D3-8CE2-1D3A9934CF34}</x14:id>
        </ext>
      </extLst>
    </cfRule>
  </conditionalFormatting>
  <conditionalFormatting sqref="L10:M10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{7329BD63-3000-4885-9ECF-3C2EA4EE3FB0}</x14:id>
        </ext>
      </extLst>
    </cfRule>
  </conditionalFormatting>
  <conditionalFormatting sqref="L10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{AA8CF9AD-F4BE-4690-A60A-EAB98FAA19D0}</x14:id>
        </ext>
      </extLst>
    </cfRule>
  </conditionalFormatting>
  <conditionalFormatting sqref="L10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{D430A526-DDAD-489F-AC9A-0515727FCDA3}</x14:id>
        </ext>
      </extLst>
    </cfRule>
  </conditionalFormatting>
  <conditionalFormatting sqref="U10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{710D3AEC-D672-424B-A825-2AC7A68217B5}</x14:id>
        </ext>
      </extLst>
    </cfRule>
  </conditionalFormatting>
  <conditionalFormatting sqref="I10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{2B5414F4-1471-4A52-AE5F-51358F7C8F9C}</x14:id>
        </ext>
      </extLst>
    </cfRule>
  </conditionalFormatting>
  <conditionalFormatting sqref="T10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{F21E6554-08D5-43C0-9391-9D39808F0F8B}</x14:id>
        </ext>
      </extLst>
    </cfRule>
  </conditionalFormatting>
  <conditionalFormatting sqref="L10:M10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{82F35BAC-7150-4594-9CF1-2722C825F355}</x14:id>
        </ext>
      </extLst>
    </cfRule>
  </conditionalFormatting>
  <conditionalFormatting sqref="T10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{BF2A1D13-1AD3-49BA-9CCF-DC1468C9DBB1}</x14:id>
        </ext>
      </extLst>
    </cfRule>
  </conditionalFormatting>
  <conditionalFormatting sqref="I10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{B986D58D-7C55-4B49-ABE7-581ECEDDBD4F}</x14:id>
        </ext>
      </extLst>
    </cfRule>
  </conditionalFormatting>
  <conditionalFormatting sqref="T10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{78C2E2D5-C6BE-4220-B741-113CC4E0CD51}</x14:id>
        </ext>
      </extLst>
    </cfRule>
  </conditionalFormatting>
  <conditionalFormatting sqref="L10">
    <cfRule type="dataBar" priority="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{7522D6BD-4BE0-4A70-B99E-84963BA9C011}</x14:id>
        </ext>
      </extLst>
    </cfRule>
  </conditionalFormatting>
  <conditionalFormatting sqref="L10:M10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{1114B2CF-4F7A-478C-AEF5-441569F7C7F2}</x14:id>
        </ext>
      </extLst>
    </cfRule>
  </conditionalFormatting>
  <conditionalFormatting sqref="I10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{5B1C9937-91C3-4E43-8404-6CA4FC74E9AB}</x14:id>
        </ext>
      </extLst>
    </cfRule>
  </conditionalFormatting>
  <conditionalFormatting sqref="L10:M10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{95D61CB8-5DBF-464F-B31C-EF756CD2F5E2}</x14:id>
        </ext>
      </extLst>
    </cfRule>
  </conditionalFormatting>
  <conditionalFormatting sqref="T10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{06837F88-0141-476B-AF11-7F068748BEF4}</x14:id>
        </ext>
      </extLst>
    </cfRule>
  </conditionalFormatting>
  <conditionalFormatting sqref="L8:M9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{12E64E2E-8873-41B1-954A-ADEB8EEEA457}</x14:id>
        </ext>
      </extLst>
    </cfRule>
  </conditionalFormatting>
  <conditionalFormatting sqref="V8:V9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{12DB2951-78B9-4F18-96F3-63BF68DAB2BC}</x14:id>
        </ext>
      </extLst>
    </cfRule>
  </conditionalFormatting>
  <conditionalFormatting sqref="U8:U9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{ED01A5B9-0EA4-4B60-AC85-BF95C609511D}</x14:id>
        </ext>
      </extLst>
    </cfRule>
  </conditionalFormatting>
  <conditionalFormatting sqref="I8:I9">
    <cfRule type="dataBar" priority="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{98BDFFD1-D5B5-4619-9B8C-B4FA626A6DDE}</x14:id>
        </ext>
      </extLst>
    </cfRule>
  </conditionalFormatting>
  <conditionalFormatting sqref="T8:T9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{47BC7255-171A-42AE-84EE-716E41E52611}</x14:id>
        </ext>
      </extLst>
    </cfRule>
  </conditionalFormatting>
  <conditionalFormatting sqref="L8:M9">
    <cfRule type="dataBar" priority="2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{BFAC7A94-58C4-4B11-ADEB-B9C44F025328}</x14:id>
        </ext>
      </extLst>
    </cfRule>
  </conditionalFormatting>
  <conditionalFormatting sqref="T12:T13 T8:T9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{8C05CFAE-7D34-4296-9E8D-48DCAF658C76}</x14:id>
        </ext>
      </extLst>
    </cfRule>
  </conditionalFormatting>
  <conditionalFormatting sqref="I12:I13 I8:I9">
    <cfRule type="dataBar" priority="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{1353162A-DA27-4D52-B4AE-20CA206F48C7}</x14:id>
        </ext>
      </extLst>
    </cfRule>
  </conditionalFormatting>
  <conditionalFormatting sqref="T12:T13 T3 T8:T9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{AF62E0DF-7740-4599-B139-B040D2691B27}</x14:id>
        </ext>
      </extLst>
    </cfRule>
  </conditionalFormatting>
  <conditionalFormatting sqref="L12:L13 L8:L9">
    <cfRule type="dataBar" priority="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{77DBAE59-151A-4BDA-98F5-E187728F6BE0}</x14:id>
        </ext>
      </extLst>
    </cfRule>
  </conditionalFormatting>
  <conditionalFormatting sqref="M8:M9 M12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{8744B5FF-A772-4E36-9765-9897988922AB}</x14:id>
        </ext>
      </extLst>
    </cfRule>
  </conditionalFormatting>
  <conditionalFormatting sqref="T11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{F54DE002-017D-4DFF-8771-A7C39B1C5EB9}</x14:id>
        </ext>
      </extLst>
    </cfRule>
  </conditionalFormatting>
  <conditionalFormatting sqref="T11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{929EBB32-372B-425E-8C1D-DFBDB899DC28}</x14:id>
        </ext>
      </extLst>
    </cfRule>
  </conditionalFormatting>
  <conditionalFormatting sqref="T11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{CF486AD0-1A88-4813-B32A-12D69A88D490}</x14:id>
        </ext>
      </extLst>
    </cfRule>
  </conditionalFormatting>
  <conditionalFormatting sqref="U11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{5CA32178-57E8-4B66-8347-AD9C7F9CC836}</x14:id>
        </ext>
      </extLst>
    </cfRule>
  </conditionalFormatting>
  <conditionalFormatting sqref="L11:M11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{69A9D958-C3EB-4DC6-AAC4-FCAA84AC5A13}</x14:id>
        </ext>
      </extLst>
    </cfRule>
  </conditionalFormatting>
  <conditionalFormatting sqref="M11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{C35011F3-409E-43DF-97F2-945118F9F5AC}</x14:id>
        </ext>
      </extLst>
    </cfRule>
  </conditionalFormatting>
  <conditionalFormatting sqref="L11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{C0723BA6-1FC8-4D47-B0A2-0A20B0E5DC99}</x14:id>
        </ext>
      </extLst>
    </cfRule>
  </conditionalFormatting>
  <conditionalFormatting sqref="M11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{CF867438-BAE1-4404-AC0B-2EFA9C70212D}</x14:id>
        </ext>
      </extLst>
    </cfRule>
  </conditionalFormatting>
  <conditionalFormatting sqref="L11:M11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{906B6F99-04C4-4C8B-A9C7-82FE47292A30}</x14:id>
        </ext>
      </extLst>
    </cfRule>
  </conditionalFormatting>
  <conditionalFormatting sqref="T11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{69BCD92F-66FC-4BBD-80A7-17FC6BE9B578}</x14:id>
        </ext>
      </extLst>
    </cfRule>
  </conditionalFormatting>
  <conditionalFormatting sqref="L11:M11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{9EAC60BF-4CE7-42BF-99A6-D8DC16736D79}</x14:id>
        </ext>
      </extLst>
    </cfRule>
  </conditionalFormatting>
  <conditionalFormatting sqref="T11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{2948A3BC-001A-4097-9718-3DBC4D4C70F0}</x14:id>
        </ext>
      </extLst>
    </cfRule>
  </conditionalFormatting>
  <conditionalFormatting sqref="T11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{9C07EF46-82E0-4F3D-AAAE-A8CD93C68E93}</x14:id>
        </ext>
      </extLst>
    </cfRule>
  </conditionalFormatting>
  <conditionalFormatting sqref="L11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{D3DD528F-18FC-405F-906B-D7F01072EDFD}</x14:id>
        </ext>
      </extLst>
    </cfRule>
  </conditionalFormatting>
  <conditionalFormatting sqref="I11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{B3150FF2-DA03-40D2-9EBB-FAF35786A0E6}</x14:id>
        </ext>
      </extLst>
    </cfRule>
  </conditionalFormatting>
  <conditionalFormatting sqref="L11:M11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{2CFD49E0-1178-453F-B40F-D1C169B816C0}</x14:id>
        </ext>
      </extLst>
    </cfRule>
  </conditionalFormatting>
  <conditionalFormatting sqref="I11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{09FCF466-092E-43FC-A378-41D02B4468BB}</x14:id>
        </ext>
      </extLst>
    </cfRule>
  </conditionalFormatting>
  <conditionalFormatting sqref="I11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{9E171A4A-C6BC-46FF-A741-F55150C897B1}</x14:id>
        </ext>
      </extLst>
    </cfRule>
  </conditionalFormatting>
  <conditionalFormatting sqref="L11:M11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{E88BA28A-A783-4652-8BA0-0B3A3BB78299}</x14:id>
        </ext>
      </extLst>
    </cfRule>
  </conditionalFormatting>
  <conditionalFormatting sqref="T11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{0E525244-D5CC-4B58-A671-90EC7B3800F3}</x14:id>
        </ext>
      </extLst>
    </cfRule>
  </conditionalFormatting>
  <conditionalFormatting sqref="I4:I5 I8:I13">
    <cfRule type="dataBar" priority="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{36106C3D-0D7A-4631-AAAC-02FAA8240787}</x14:id>
        </ext>
      </extLst>
    </cfRule>
  </conditionalFormatting>
  <conditionalFormatting sqref="L4:M5 L8:M13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{DED93FD8-6631-45F2-8F05-9F0BB374CA4C}</x14:id>
        </ext>
      </extLst>
    </cfRule>
  </conditionalFormatting>
  <conditionalFormatting sqref="T4:T5 T8:T13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{9BBC6707-8ADD-4CA0-BD76-B84E2D28D844}</x14:id>
        </ext>
      </extLst>
    </cfRule>
  </conditionalFormatting>
  <conditionalFormatting sqref="L6:M6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{B6DCE296-C720-49FB-9934-C6A6007CFE7C}</x14:id>
        </ext>
      </extLst>
    </cfRule>
  </conditionalFormatting>
  <conditionalFormatting sqref="L6:M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{78DCE610-9197-47D3-B8D0-D7071B848BAC}</x14:id>
        </ext>
      </extLst>
    </cfRule>
  </conditionalFormatting>
  <conditionalFormatting sqref="L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{542668BA-AD18-445A-924A-1E8A5A94CB56}</x14:id>
        </ext>
      </extLst>
    </cfRule>
  </conditionalFormatting>
  <conditionalFormatting sqref="M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{51E962BA-EEDF-47C8-8F90-7E172E53E4B0}</x14:id>
        </ext>
      </extLst>
    </cfRule>
  </conditionalFormatting>
  <conditionalFormatting sqref="L6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{559488F4-92A9-4958-83D4-9A5AF12CC8D3}</x14:id>
        </ext>
      </extLst>
    </cfRule>
  </conditionalFormatting>
  <conditionalFormatting sqref="L6:M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{B9E9FE48-B1D2-47B1-9CA3-833FEBDEA84D}</x14:id>
        </ext>
      </extLst>
    </cfRule>
  </conditionalFormatting>
  <conditionalFormatting sqref="L6:M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{C69A6717-451A-4A96-9770-4867FE8F2167}</x14:id>
        </ext>
      </extLst>
    </cfRule>
  </conditionalFormatting>
  <conditionalFormatting sqref="V6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{989E64DF-3235-4693-8740-A471BDE8C3D3}</x14:id>
        </ext>
      </extLst>
    </cfRule>
  </conditionalFormatting>
  <conditionalFormatting sqref="U6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{E92AC3F1-5CD9-4708-A1AF-979EFF6EFAD7}</x14:id>
        </ext>
      </extLst>
    </cfRule>
  </conditionalFormatting>
  <conditionalFormatting sqref="I6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{A4860FC0-9550-4651-B2B6-3F888286BE84}</x14:id>
        </ext>
      </extLst>
    </cfRule>
  </conditionalFormatting>
  <conditionalFormatting sqref="T6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{62A4804B-78B5-4B50-9ECA-C391C61A712B}</x14:id>
        </ext>
      </extLst>
    </cfRule>
  </conditionalFormatting>
  <conditionalFormatting sqref="L6:M6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{F7B722AC-71B3-4E5E-99A4-E927EAB4B8BD}</x14:id>
        </ext>
      </extLst>
    </cfRule>
  </conditionalFormatting>
  <conditionalFormatting sqref="T6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{36C64444-77CB-4680-9D76-ED1AD3B1C2B3}</x14:id>
        </ext>
      </extLst>
    </cfRule>
  </conditionalFormatting>
  <conditionalFormatting sqref="L6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{A512A56C-544C-442E-8A7F-701F4AF20351}</x14:id>
        </ext>
      </extLst>
    </cfRule>
  </conditionalFormatting>
  <conditionalFormatting sqref="M6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{BCD4EF95-6A67-4540-97AC-8ED35076D21F}</x14:id>
        </ext>
      </extLst>
    </cfRule>
  </conditionalFormatting>
  <conditionalFormatting sqref="I6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{CB6B60DB-1E31-4AD0-8FC5-8013CB0509BB}</x14:id>
        </ext>
      </extLst>
    </cfRule>
  </conditionalFormatting>
  <conditionalFormatting sqref="L7:M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{2695CC09-B5A9-47BC-BBAC-1247DB71C63C}</x14:id>
        </ext>
      </extLst>
    </cfRule>
  </conditionalFormatting>
  <conditionalFormatting sqref="L7:M7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{C0DCA2F4-93A6-4634-93CA-B96267A5AD2E}</x14:id>
        </ext>
      </extLst>
    </cfRule>
  </conditionalFormatting>
  <conditionalFormatting sqref="L7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{EAC9E9B5-6E82-4F50-A977-00583467AA08}</x14:id>
        </ext>
      </extLst>
    </cfRule>
  </conditionalFormatting>
  <conditionalFormatting sqref="M7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{5A5307DC-3E54-48D3-8B2D-7D26502CC148}</x14:id>
        </ext>
      </extLst>
    </cfRule>
  </conditionalFormatting>
  <conditionalFormatting sqref="L7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{8FA31EEC-A199-46A4-93BF-BBE23A33C600}</x14:id>
        </ext>
      </extLst>
    </cfRule>
  </conditionalFormatting>
  <conditionalFormatting sqref="L7:M7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{4B1184E4-CACC-42D1-B658-B4C9621FA44F}</x14:id>
        </ext>
      </extLst>
    </cfRule>
  </conditionalFormatting>
  <conditionalFormatting sqref="L7:M7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{5EB3C5B9-0928-4D03-B81F-2D0790B0AE8A}</x14:id>
        </ext>
      </extLst>
    </cfRule>
  </conditionalFormatting>
  <conditionalFormatting sqref="V7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{ED7DE5AE-C187-4EF8-BFC5-00201D828A02}</x14:id>
        </ext>
      </extLst>
    </cfRule>
  </conditionalFormatting>
  <conditionalFormatting sqref="U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{3EEE0E8C-627A-4658-81A5-2D7F5B99A78F}</x14:id>
        </ext>
      </extLst>
    </cfRule>
  </conditionalFormatting>
  <conditionalFormatting sqref="I7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{55CC3485-2FB1-4CE4-ADBB-47019429A055}</x14:id>
        </ext>
      </extLst>
    </cfRule>
  </conditionalFormatting>
  <conditionalFormatting sqref="T7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{325EC105-3466-42B1-9A8F-B98FC15C3B14}</x14:id>
        </ext>
      </extLst>
    </cfRule>
  </conditionalFormatting>
  <conditionalFormatting sqref="L7:M7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{78753113-DAA4-4AAA-BD73-CC3F12603E29}</x14:id>
        </ext>
      </extLst>
    </cfRule>
  </conditionalFormatting>
  <conditionalFormatting sqref="T7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{4CE0DE1E-ECDE-4FCB-96F9-73D779BF3E46}</x14:id>
        </ext>
      </extLst>
    </cfRule>
  </conditionalFormatting>
  <conditionalFormatting sqref="L7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{26AFDF68-F2CF-4349-A6B4-F003D31FCA57}</x14:id>
        </ext>
      </extLst>
    </cfRule>
  </conditionalFormatting>
  <conditionalFormatting sqref="M7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{77C50281-8C75-4FD9-B895-C5829353704D}</x14:id>
        </ext>
      </extLst>
    </cfRule>
  </conditionalFormatting>
  <conditionalFormatting sqref="I7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{9EA5B9CF-95C9-4185-9ECB-F9AFF9756E70}</x14:id>
        </ext>
      </extLst>
    </cfRule>
  </conditionalFormatting>
  <conditionalFormatting sqref="H19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{79FE1137-ADB4-423F-BD8B-B05FF580E485}</x14:id>
        </ext>
      </extLst>
    </cfRule>
    <cfRule type="cellIs" dxfId="81" priority="84" operator="equal">
      <formula>1</formula>
    </cfRule>
  </conditionalFormatting>
  <conditionalFormatting sqref="E30 E26 E45:E46">
    <cfRule type="containsText" dxfId="80" priority="81" operator="containsText" text="Buy">
      <formula>NOT(ISERROR(SEARCH("Buy",E26)))</formula>
    </cfRule>
    <cfRule type="containsText" dxfId="79" priority="82" operator="containsText" text="Sell">
      <formula>NOT(ISERROR(SEARCH("Sell",E26)))</formula>
    </cfRule>
  </conditionalFormatting>
  <conditionalFormatting sqref="D20">
    <cfRule type="containsText" dxfId="78" priority="76" operator="containsText" text="Buy">
      <formula>NOT(ISERROR(SEARCH("Buy",D20)))</formula>
    </cfRule>
    <cfRule type="containsText" dxfId="77" priority="77" operator="containsText" text="Sell">
      <formula>NOT(ISERROR(SEARCH("Sell",D20)))</formula>
    </cfRule>
  </conditionalFormatting>
  <conditionalFormatting sqref="E29">
    <cfRule type="containsText" dxfId="76" priority="79" operator="containsText" text="Buy">
      <formula>NOT(ISERROR(SEARCH("Buy",E29)))</formula>
    </cfRule>
    <cfRule type="containsText" dxfId="75" priority="80" operator="containsText" text="Sell">
      <formula>NOT(ISERROR(SEARCH("Sell",E29)))</formula>
    </cfRule>
  </conditionalFormatting>
  <conditionalFormatting sqref="E40">
    <cfRule type="containsText" dxfId="74" priority="65" operator="containsText" text="Buy">
      <formula>NOT(ISERROR(SEARCH("Buy",E40)))</formula>
    </cfRule>
    <cfRule type="containsText" dxfId="73" priority="66" operator="containsText" text="Sell">
      <formula>NOT(ISERROR(SEARCH("Sell",E40)))</formula>
    </cfRule>
  </conditionalFormatting>
  <conditionalFormatting sqref="E34">
    <cfRule type="containsText" dxfId="72" priority="61" operator="containsText" text="Buy">
      <formula>NOT(ISERROR(SEARCH("Buy",E34)))</formula>
    </cfRule>
    <cfRule type="containsText" dxfId="71" priority="62" operator="containsText" text="Sell">
      <formula>NOT(ISERROR(SEARCH("Sell",E34)))</formula>
    </cfRule>
  </conditionalFormatting>
  <conditionalFormatting sqref="E48">
    <cfRule type="containsText" dxfId="70" priority="57" operator="containsText" text="Buy">
      <formula>NOT(ISERROR(SEARCH("Buy",E48)))</formula>
    </cfRule>
    <cfRule type="containsText" dxfId="69" priority="58" operator="containsText" text="Sell">
      <formula>NOT(ISERROR(SEARCH("Sell",E48)))</formula>
    </cfRule>
  </conditionalFormatting>
  <conditionalFormatting sqref="E47">
    <cfRule type="containsText" dxfId="68" priority="55" operator="containsText" text="Buy">
      <formula>NOT(ISERROR(SEARCH("Buy",E47)))</formula>
    </cfRule>
    <cfRule type="containsText" dxfId="67" priority="56" operator="containsText" text="Sell">
      <formula>NOT(ISERROR(SEARCH("Sell",E47)))</formula>
    </cfRule>
  </conditionalFormatting>
  <conditionalFormatting sqref="E32">
    <cfRule type="containsText" dxfId="66" priority="49" operator="containsText" text="Buy">
      <formula>NOT(ISERROR(SEARCH("Buy",E32)))</formula>
    </cfRule>
    <cfRule type="containsText" dxfId="65" priority="50" operator="containsText" text="Sell">
      <formula>NOT(ISERROR(SEARCH("Sell",E32)))</formula>
    </cfRule>
  </conditionalFormatting>
  <conditionalFormatting sqref="E31">
    <cfRule type="containsText" dxfId="64" priority="47" operator="containsText" text="Buy">
      <formula>NOT(ISERROR(SEARCH("Buy",E31)))</formula>
    </cfRule>
    <cfRule type="containsText" dxfId="63" priority="48" operator="containsText" text="Sell">
      <formula>NOT(ISERROR(SEARCH("Sell",E31)))</formula>
    </cfRule>
  </conditionalFormatting>
  <conditionalFormatting sqref="E42">
    <cfRule type="containsText" dxfId="62" priority="45" operator="containsText" text="Buy">
      <formula>NOT(ISERROR(SEARCH("Buy",E42)))</formula>
    </cfRule>
    <cfRule type="containsText" dxfId="61" priority="46" operator="containsText" text="Sell">
      <formula>NOT(ISERROR(SEARCH("Sell",E42)))</formula>
    </cfRule>
  </conditionalFormatting>
  <conditionalFormatting sqref="E53">
    <cfRule type="containsText" dxfId="60" priority="43" operator="containsText" text="Buy">
      <formula>NOT(ISERROR(SEARCH("Buy",E53)))</formula>
    </cfRule>
    <cfRule type="containsText" dxfId="59" priority="44" operator="containsText" text="Sell">
      <formula>NOT(ISERROR(SEARCH("Sell",E53)))</formula>
    </cfRule>
  </conditionalFormatting>
  <conditionalFormatting sqref="E56">
    <cfRule type="containsText" dxfId="58" priority="41" operator="containsText" text="Buy">
      <formula>NOT(ISERROR(SEARCH("Buy",E56)))</formula>
    </cfRule>
    <cfRule type="containsText" dxfId="57" priority="42" operator="containsText" text="Sell">
      <formula>NOT(ISERROR(SEARCH("Sell",E56)))</formula>
    </cfRule>
  </conditionalFormatting>
  <conditionalFormatting sqref="E59">
    <cfRule type="containsText" dxfId="56" priority="39" operator="containsText" text="Buy">
      <formula>NOT(ISERROR(SEARCH("Buy",E59)))</formula>
    </cfRule>
    <cfRule type="containsText" dxfId="55" priority="40" operator="containsText" text="Sell">
      <formula>NOT(ISERROR(SEARCH("Sell",E59)))</formula>
    </cfRule>
  </conditionalFormatting>
  <conditionalFormatting sqref="E62">
    <cfRule type="containsText" dxfId="54" priority="37" operator="containsText" text="Buy">
      <formula>NOT(ISERROR(SEARCH("Buy",E62)))</formula>
    </cfRule>
    <cfRule type="containsText" dxfId="53" priority="38" operator="containsText" text="Sell">
      <formula>NOT(ISERROR(SEARCH("Sell",E62)))</formula>
    </cfRule>
  </conditionalFormatting>
  <conditionalFormatting sqref="E65">
    <cfRule type="containsText" dxfId="52" priority="35" operator="containsText" text="Buy">
      <formula>NOT(ISERROR(SEARCH("Buy",E65)))</formula>
    </cfRule>
    <cfRule type="containsText" dxfId="51" priority="36" operator="containsText" text="Sell">
      <formula>NOT(ISERROR(SEARCH("Sell",E65)))</formula>
    </cfRule>
  </conditionalFormatting>
  <conditionalFormatting sqref="E71">
    <cfRule type="containsText" dxfId="50" priority="33" operator="containsText" text="Buy">
      <formula>NOT(ISERROR(SEARCH("Buy",E71)))</formula>
    </cfRule>
    <cfRule type="containsText" dxfId="49" priority="34" operator="containsText" text="Sell">
      <formula>NOT(ISERROR(SEARCH("Sell",E71)))</formula>
    </cfRule>
  </conditionalFormatting>
  <conditionalFormatting sqref="E70">
    <cfRule type="containsText" dxfId="48" priority="31" operator="containsText" text="Buy">
      <formula>NOT(ISERROR(SEARCH("Buy",E70)))</formula>
    </cfRule>
    <cfRule type="containsText" dxfId="47" priority="32" operator="containsText" text="Sell">
      <formula>NOT(ISERROR(SEARCH("Sell",E70)))</formula>
    </cfRule>
  </conditionalFormatting>
  <conditionalFormatting sqref="E28">
    <cfRule type="containsText" dxfId="46" priority="73" operator="containsText" text="Buy">
      <formula>NOT(ISERROR(SEARCH("Buy",E28)))</formula>
    </cfRule>
    <cfRule type="containsText" dxfId="45" priority="74" operator="containsText" text="Sell">
      <formula>NOT(ISERROR(SEARCH("Sell",E28)))</formula>
    </cfRule>
  </conditionalFormatting>
  <conditionalFormatting sqref="H20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{51EB4447-B934-44EA-88FF-95B96E00F607}</x14:id>
        </ext>
      </extLst>
    </cfRule>
    <cfRule type="cellIs" dxfId="44" priority="78" operator="equal">
      <formula>1</formula>
    </cfRule>
  </conditionalFormatting>
  <conditionalFormatting sqref="E37">
    <cfRule type="containsText" dxfId="43" priority="69" operator="containsText" text="Buy">
      <formula>NOT(ISERROR(SEARCH("Buy",E37)))</formula>
    </cfRule>
    <cfRule type="containsText" dxfId="42" priority="70" operator="containsText" text="Sell">
      <formula>NOT(ISERROR(SEARCH("Sell",E37)))</formula>
    </cfRule>
  </conditionalFormatting>
  <conditionalFormatting sqref="E25">
    <cfRule type="containsText" dxfId="41" priority="71" operator="containsText" text="Buy">
      <formula>NOT(ISERROR(SEARCH("Buy",E25)))</formula>
    </cfRule>
    <cfRule type="containsText" dxfId="40" priority="72" operator="containsText" text="Sell">
      <formula>NOT(ISERROR(SEARCH("Sell",E25)))</formula>
    </cfRule>
  </conditionalFormatting>
  <conditionalFormatting sqref="E36">
    <cfRule type="containsText" dxfId="39" priority="67" operator="containsText" text="Buy">
      <formula>NOT(ISERROR(SEARCH("Buy",E36)))</formula>
    </cfRule>
    <cfRule type="containsText" dxfId="38" priority="68" operator="containsText" text="Sell">
      <formula>NOT(ISERROR(SEARCH("Sell",E36)))</formula>
    </cfRule>
  </conditionalFormatting>
  <conditionalFormatting sqref="E39">
    <cfRule type="containsText" dxfId="37" priority="63" operator="containsText" text="Buy">
      <formula>NOT(ISERROR(SEARCH("Buy",E39)))</formula>
    </cfRule>
    <cfRule type="containsText" dxfId="36" priority="64" operator="containsText" text="Sell">
      <formula>NOT(ISERROR(SEARCH("Sell",E39)))</formula>
    </cfRule>
  </conditionalFormatting>
  <conditionalFormatting sqref="E33">
    <cfRule type="containsText" dxfId="35" priority="59" operator="containsText" text="Buy">
      <formula>NOT(ISERROR(SEARCH("Buy",E33)))</formula>
    </cfRule>
    <cfRule type="containsText" dxfId="34" priority="60" operator="containsText" text="Sell">
      <formula>NOT(ISERROR(SEARCH("Sell",E33)))</formula>
    </cfRule>
  </conditionalFormatting>
  <conditionalFormatting sqref="E51">
    <cfRule type="containsText" dxfId="33" priority="53" operator="containsText" text="Buy">
      <formula>NOT(ISERROR(SEARCH("Buy",E51)))</formula>
    </cfRule>
    <cfRule type="containsText" dxfId="32" priority="54" operator="containsText" text="Sell">
      <formula>NOT(ISERROR(SEARCH("Sell",E51)))</formula>
    </cfRule>
  </conditionalFormatting>
  <conditionalFormatting sqref="E50">
    <cfRule type="containsText" dxfId="31" priority="51" operator="containsText" text="Buy">
      <formula>NOT(ISERROR(SEARCH("Buy",E50)))</formula>
    </cfRule>
    <cfRule type="containsText" dxfId="30" priority="52" operator="containsText" text="Sell">
      <formula>NOT(ISERROR(SEARCH("Sell",E50)))</formula>
    </cfRule>
  </conditionalFormatting>
  <conditionalFormatting sqref="E69">
    <cfRule type="containsText" dxfId="29" priority="29" operator="containsText" text="Buy">
      <formula>NOT(ISERROR(SEARCH("Buy",E69)))</formula>
    </cfRule>
    <cfRule type="containsText" dxfId="28" priority="30" operator="containsText" text="Sell">
      <formula>NOT(ISERROR(SEARCH("Sell",E69)))</formula>
    </cfRule>
  </conditionalFormatting>
  <conditionalFormatting sqref="E68">
    <cfRule type="containsText" dxfId="27" priority="27" operator="containsText" text="Buy">
      <formula>NOT(ISERROR(SEARCH("Buy",E68)))</formula>
    </cfRule>
    <cfRule type="containsText" dxfId="26" priority="28" operator="containsText" text="Sell">
      <formula>NOT(ISERROR(SEARCH("Sell",E68)))</formula>
    </cfRule>
  </conditionalFormatting>
  <conditionalFormatting sqref="E74">
    <cfRule type="containsText" dxfId="25" priority="25" operator="containsText" text="Buy">
      <formula>NOT(ISERROR(SEARCH("Buy",E74)))</formula>
    </cfRule>
    <cfRule type="containsText" dxfId="24" priority="26" operator="containsText" text="Sell">
      <formula>NOT(ISERROR(SEARCH("Sell",E74)))</formula>
    </cfRule>
  </conditionalFormatting>
  <conditionalFormatting sqref="E78">
    <cfRule type="containsText" dxfId="23" priority="23" operator="containsText" text="Buy">
      <formula>NOT(ISERROR(SEARCH("Buy",E78)))</formula>
    </cfRule>
    <cfRule type="containsText" dxfId="22" priority="24" operator="containsText" text="Sell">
      <formula>NOT(ISERROR(SEARCH("Sell",E78)))</formula>
    </cfRule>
  </conditionalFormatting>
  <conditionalFormatting sqref="E77">
    <cfRule type="containsText" dxfId="21" priority="21" operator="containsText" text="Buy">
      <formula>NOT(ISERROR(SEARCH("Buy",E77)))</formula>
    </cfRule>
    <cfRule type="containsText" dxfId="20" priority="22" operator="containsText" text="Sell">
      <formula>NOT(ISERROR(SEARCH("Sell",E77)))</formula>
    </cfRule>
  </conditionalFormatting>
  <conditionalFormatting sqref="E81">
    <cfRule type="containsText" dxfId="19" priority="19" operator="containsText" text="Buy">
      <formula>NOT(ISERROR(SEARCH("Buy",E81)))</formula>
    </cfRule>
    <cfRule type="containsText" dxfId="18" priority="20" operator="containsText" text="Sell">
      <formula>NOT(ISERROR(SEARCH("Sell",E81)))</formula>
    </cfRule>
  </conditionalFormatting>
  <conditionalFormatting sqref="E84">
    <cfRule type="containsText" dxfId="17" priority="17" operator="containsText" text="Buy">
      <formula>NOT(ISERROR(SEARCH("Buy",E84)))</formula>
    </cfRule>
    <cfRule type="containsText" dxfId="16" priority="18" operator="containsText" text="Sell">
      <formula>NOT(ISERROR(SEARCH("Sell",E84)))</formula>
    </cfRule>
  </conditionalFormatting>
  <conditionalFormatting sqref="E88">
    <cfRule type="containsText" dxfId="15" priority="15" operator="containsText" text="Buy">
      <formula>NOT(ISERROR(SEARCH("Buy",E88)))</formula>
    </cfRule>
    <cfRule type="containsText" dxfId="14" priority="16" operator="containsText" text="Sell">
      <formula>NOT(ISERROR(SEARCH("Sell",E88)))</formula>
    </cfRule>
  </conditionalFormatting>
  <conditionalFormatting sqref="E87">
    <cfRule type="containsText" dxfId="13" priority="13" operator="containsText" text="Buy">
      <formula>NOT(ISERROR(SEARCH("Buy",E87)))</formula>
    </cfRule>
    <cfRule type="containsText" dxfId="12" priority="14" operator="containsText" text="Sell">
      <formula>NOT(ISERROR(SEARCH("Sell",E87)))</formula>
    </cfRule>
  </conditionalFormatting>
  <conditionalFormatting sqref="E91">
    <cfRule type="containsText" dxfId="11" priority="11" operator="containsText" text="Buy">
      <formula>NOT(ISERROR(SEARCH("Buy",E91)))</formula>
    </cfRule>
    <cfRule type="containsText" dxfId="10" priority="12" operator="containsText" text="Sell">
      <formula>NOT(ISERROR(SEARCH("Sell",E91)))</formula>
    </cfRule>
  </conditionalFormatting>
  <conditionalFormatting sqref="E94">
    <cfRule type="containsText" dxfId="9" priority="9" operator="containsText" text="Buy">
      <formula>NOT(ISERROR(SEARCH("Buy",E94)))</formula>
    </cfRule>
    <cfRule type="containsText" dxfId="8" priority="10" operator="containsText" text="Sell">
      <formula>NOT(ISERROR(SEARCH("Sell",E94)))</formula>
    </cfRule>
  </conditionalFormatting>
  <conditionalFormatting sqref="E97">
    <cfRule type="containsText" dxfId="7" priority="7" operator="containsText" text="Buy">
      <formula>NOT(ISERROR(SEARCH("Buy",E97)))</formula>
    </cfRule>
    <cfRule type="containsText" dxfId="6" priority="8" operator="containsText" text="Sell">
      <formula>NOT(ISERROR(SEARCH("Sell",E97)))</formula>
    </cfRule>
  </conditionalFormatting>
  <conditionalFormatting sqref="E44">
    <cfRule type="containsText" dxfId="5" priority="5" operator="containsText" text="Buy">
      <formula>NOT(ISERROR(SEARCH("Buy",E44)))</formula>
    </cfRule>
    <cfRule type="containsText" dxfId="4" priority="6" operator="containsText" text="Sell">
      <formula>NOT(ISERROR(SEARCH("Sell",E44)))</formula>
    </cfRule>
  </conditionalFormatting>
  <conditionalFormatting sqref="E43">
    <cfRule type="containsText" dxfId="3" priority="3" operator="containsText" text="Buy">
      <formula>NOT(ISERROR(SEARCH("Buy",E43)))</formula>
    </cfRule>
    <cfRule type="containsText" dxfId="2" priority="4" operator="containsText" text="Sell">
      <formula>NOT(ISERROR(SEARCH("Sell",E43)))</formula>
    </cfRule>
  </conditionalFormatting>
  <conditionalFormatting sqref="E100">
    <cfRule type="containsText" dxfId="1" priority="1" operator="containsText" text="Buy">
      <formula>NOT(ISERROR(SEARCH("Buy",E100)))</formula>
    </cfRule>
    <cfRule type="containsText" dxfId="0" priority="2" operator="containsText" text="Sell">
      <formula>NOT(ISERROR(SEARCH("Sell",E100)))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1710EF9-2244-4EDA-A682-7975C15D21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FD4A6AA3-3ABC-418E-83F4-F3AD913F8C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99E3F2DA-63B0-4CD5-910D-6BBCBDCA5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75CEEBAE-79DC-43CE-97A6-AD0B99949D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5A9B29A-BED3-4AED-B8D9-488F8A9968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3205AD3-6053-4655-8CF6-7D29650C8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4E2997A-56C5-47FC-8B3F-A6D9688136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5D49E77-8D9D-4A31-A3EE-2471C0BCE2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FE64CD9-8961-41AB-BB4D-CEBB6E4C44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86522B5-C98F-43E8-ABB8-B1BED3DE46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D1EFF18-F09F-41E6-B7B1-2E700104E4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3A50DCF-BCDA-455A-9DD5-AFFB581655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87F666E1-B3F0-4086-AEBF-530E148F56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2AB3321-AA93-4F1E-8F27-3633E68878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88B30362-5878-4D75-82D2-BDDE7DC04D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FD4FE2EE-47D6-4E5A-B037-BCDDD6B4B5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1CF48A3-B779-45A9-BE2B-C2C2CEDCCF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DBF88AF-9E9C-4E92-8296-5857D31299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9C579ECA-C052-4727-BD9E-76299A875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2E1981B-FE0F-4C4A-B952-877D2DA92D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72BE9D1-BB2B-493C-8B00-6E2148168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0723C34-F5D8-40CE-ADB8-C5D5CBF2EC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8CF36C-28AA-4CAB-8499-2FE54A5AED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B1CEB928-8AC7-4B99-A885-351CA93360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29CBB0AC-8D03-4697-9EF1-96491A857B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B3E66FD5-E94C-4DEA-8B0C-A83BA726EE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C195974-BA12-47BF-81AF-40777D23E3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4877B00-ED9F-41A6-B955-54B68FF2AC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C1ACDE17-0ED2-4403-BC62-8A0AD11574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BB16D68-9DEC-4A9D-BD47-07A3B5740E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D06A516-785C-4005-80C5-1DBEA82EBD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35297CA0-EFCE-400E-8B8F-21616456F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2620DD2-4807-45C2-A631-A506575FC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438140E-AD68-4734-9851-3718E82C20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A7055BA-DA87-4D4E-9533-0DF03157D0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755DCFC7-27A4-4A04-912F-F2DA04FCB9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D8F0EC9-3571-42BB-8EED-300F1DFB55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388AEC1B-4309-4725-9977-B31E9A0D02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54BF3E7-3175-413E-82F5-C3D7011FF2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6CFDE60-4564-47E4-91D1-58FA6EED8B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7E5786F3-A6D2-44F4-B9F9-053441464A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33CAA95B-17F0-4C91-86B0-65F8AD975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B1BA780-D217-4E7C-A85A-9CB8BF0D2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EF984C4F-579C-451C-9187-7AF5361749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6E1298F-9C6A-4434-8434-2EF091D12F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19ACEA83-3925-42FD-855E-FFAD419696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1C9BB9D-52E2-4E3A-9A5B-A57F6A6EA0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08CDFC5E-DEC2-4CA7-8BC5-B48A94AA5D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B0391812-B890-4040-A542-FE08B049E3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CCEC067-F2EC-4C95-8585-5E6F525681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E0901CB-8AD3-4048-9BAA-A60E5364DD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71CE136-5A93-43FE-946D-457A976BF8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96E5DFB2-B2DF-4A09-9945-0F45D6F5A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DAD1CE21-09BC-4B5F-894F-2677709651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46579E1-165A-4437-8589-0E9E5EA18F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06C6D0C-F8C7-4622-A788-51A261F85D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A9E65BE-CC2A-48CF-8831-634273B0B0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40D96D51-23B7-4721-B0CD-52E0306982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695D2AD-8CC9-4AEF-A908-0E666A71F0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77A2D57-530E-4F03-8969-11A2B9543C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0F1D8F3-4FB8-4D65-A132-9B6576A613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540F96C-16FF-4069-95C0-C721B0B98E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3935B97-25AE-42E1-A3A5-DD984DD64A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9588E5E4-E461-4E5C-9E40-007074207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E8291B1-56E3-49F2-9336-A64106364C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52F94188-4CE7-43AF-B5F8-105E73D073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E387A2BF-CAE6-4371-B68B-AA5CC50351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EEA8D132-1968-47F6-A833-41E0866D0D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59EB1FD-E817-47F6-88CA-0D5F1FDC7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AEB3BDC-2098-40E6-B7F6-E704A328D2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15C88EC-0B04-492D-9968-10E78EE435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DE7234C-D547-4610-ABF8-38CEA0975F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04428F6-3D3A-42E4-BD2F-F83ACF0710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7BE9994-11B6-4325-89B8-D2EC23B3AD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11CFE45-5AEB-4BCF-8377-11A72D97A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4F84581-DC35-428C-8094-4D4A8422B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FD18BB5-C237-42F7-B2ED-97744AF712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FAF957F-59CF-473F-B082-3CA616CB08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057ADCB-1DD6-4BDA-A73C-E5E7F2EDE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D73C482-49E8-4ED9-8E63-2AEEBB941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614E0F8-FEE3-4367-A28B-F1114AE6F5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E4E2E6A5-FAAF-45F1-9C9E-84F150561B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83DA3C4-DFE4-406E-B68E-848770EF96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0EEC940-3B45-4261-AA27-13F9CB6B54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C0D0181-0D05-4C23-9ACA-DCE9DFCD5E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A227053-0C31-4A59-8A3D-952F9036EE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130A35C-C6C6-4E44-B880-C97473D172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C05208C-4F22-41A6-A158-481E3990E3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DE84B26-9AF1-43A7-B90A-D05578FEA2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188DC95-3430-4C9B-B254-2F98C48B70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36ABEF0-2168-4079-A07A-E7849DD0FB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98ACAAB-A53A-461F-A388-5FF629CFE4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5D8DFE0-1D5B-4DE0-B36C-47F2C25A47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269496BA-51E8-47D3-8CE2-1D3A9934CF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329BD63-3000-4885-9ECF-3C2EA4EE3F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A8CF9AD-F4BE-4690-A60A-EAB98FAA19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430A526-DDAD-489F-AC9A-0515727FCD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10D3AEC-D672-424B-A825-2AC7A68217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2B5414F4-1471-4A52-AE5F-51358F7C8F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F21E6554-08D5-43C0-9391-9D39808F0F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82F35BAC-7150-4594-9CF1-2722C825F3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F2A1D13-1AD3-49BA-9CCF-DC1468C9DB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B986D58D-7C55-4B49-ABE7-581ECEDDB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8C2E2D5-C6BE-4220-B741-113CC4E0CD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522D6BD-4BE0-4A70-B99E-84963BA9C0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114B2CF-4F7A-478C-AEF5-441569F7C7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5B1C9937-91C3-4E43-8404-6CA4FC74E9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95D61CB8-5DBF-464F-B31C-EF756CD2F5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06837F88-0141-476B-AF11-7F068748BE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2E64E2E-8873-41B1-954A-ADEB8EEEA4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12DB2951-78B9-4F18-96F3-63BF68DAB2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V8:V9</xm:sqref>
        </x14:conditionalFormatting>
        <x14:conditionalFormatting xmlns:xm="http://schemas.microsoft.com/office/excel/2006/main">
          <x14:cfRule type="dataBar" id="{ED01A5B9-0EA4-4B60-AC85-BF95C6095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U8:U9</xm:sqref>
        </x14:conditionalFormatting>
        <x14:conditionalFormatting xmlns:xm="http://schemas.microsoft.com/office/excel/2006/main">
          <x14:cfRule type="dataBar" id="{98BDFFD1-D5B5-4619-9B8C-B4FA626A6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I8:I9</xm:sqref>
        </x14:conditionalFormatting>
        <x14:conditionalFormatting xmlns:xm="http://schemas.microsoft.com/office/excel/2006/main">
          <x14:cfRule type="dataBar" id="{47BC7255-171A-42AE-84EE-716E41E526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T8:T9</xm:sqref>
        </x14:conditionalFormatting>
        <x14:conditionalFormatting xmlns:xm="http://schemas.microsoft.com/office/excel/2006/main">
          <x14:cfRule type="dataBar" id="{BFAC7A94-58C4-4B11-ADEB-B9C44F0253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8C05CFAE-7D34-4296-9E8D-48DCAF658C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T8:T9</xm:sqref>
        </x14:conditionalFormatting>
        <x14:conditionalFormatting xmlns:xm="http://schemas.microsoft.com/office/excel/2006/main">
          <x14:cfRule type="dataBar" id="{1353162A-DA27-4D52-B4AE-20CA206F48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I8:I9</xm:sqref>
        </x14:conditionalFormatting>
        <x14:conditionalFormatting xmlns:xm="http://schemas.microsoft.com/office/excel/2006/main">
          <x14:cfRule type="dataBar" id="{AF62E0DF-7740-4599-B139-B040D2691B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T3 T8:T9</xm:sqref>
        </x14:conditionalFormatting>
        <x14:conditionalFormatting xmlns:xm="http://schemas.microsoft.com/office/excel/2006/main">
          <x14:cfRule type="dataBar" id="{77DBAE59-151A-4BDA-98F5-E187728F6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 L8:L9</xm:sqref>
        </x14:conditionalFormatting>
        <x14:conditionalFormatting xmlns:xm="http://schemas.microsoft.com/office/excel/2006/main">
          <x14:cfRule type="dataBar" id="{8744B5FF-A772-4E36-9765-9897988922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M8:M9 M12</xm:sqref>
        </x14:conditionalFormatting>
        <x14:conditionalFormatting xmlns:xm="http://schemas.microsoft.com/office/excel/2006/main">
          <x14:cfRule type="dataBar" id="{F54DE002-017D-4DFF-8771-A7C39B1C5E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29EBB32-372B-425E-8C1D-DFBDB899DC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F486AD0-1A88-4813-B32A-12D69A88D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5CA32178-57E8-4B66-8347-AD9C7F9CC8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69A9D958-C3EB-4DC6-AAC4-FCAA84AC5A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35011F3-409E-43DF-97F2-945118F9F5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0723BA6-1FC8-4D47-B0A2-0A20B0E5DC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F867438-BAE1-4404-AC0B-2EFA9C7021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06B6F99-04C4-4C8B-A9C7-82FE47292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69BCD92F-66FC-4BBD-80A7-17FC6BE9B5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EAC60BF-4CE7-42BF-99A6-D8DC16736D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2948A3BC-001A-4097-9718-3DBC4D4C70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C07EF46-82E0-4F3D-AAAE-A8CD93C68E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3DD528F-18FC-405F-906B-D7F01072ED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3150FF2-DA03-40D2-9EBB-FAF35786A0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CFD49E0-1178-453F-B40F-D1C169B816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9FCF466-092E-43FC-A378-41D02B4468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E171A4A-C6BC-46FF-A741-F55150C89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88BA28A-A783-4652-8BA0-0B3A3BB782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E525244-D5CC-4B58-A671-90EC7B3800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6106C3D-0D7A-4631-AAAC-02FAA8240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I8:I13</xm:sqref>
        </x14:conditionalFormatting>
        <x14:conditionalFormatting xmlns:xm="http://schemas.microsoft.com/office/excel/2006/main">
          <x14:cfRule type="dataBar" id="{DED93FD8-6631-45F2-8F05-9F0BB374CA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L8:M13</xm:sqref>
        </x14:conditionalFormatting>
        <x14:conditionalFormatting xmlns:xm="http://schemas.microsoft.com/office/excel/2006/main">
          <x14:cfRule type="dataBar" id="{9BBC6707-8ADD-4CA0-BD76-B84E2D28D8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T8:T13</xm:sqref>
        </x14:conditionalFormatting>
        <x14:conditionalFormatting xmlns:xm="http://schemas.microsoft.com/office/excel/2006/main">
          <x14:cfRule type="dataBar" id="{B6DCE296-C720-49FB-9934-C6A6007CFE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8DCE610-9197-47D3-B8D0-D7071B848B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42668BA-AD18-445A-924A-1E8A5A94CB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1E962BA-EEDF-47C8-8F90-7E172E53E4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59488F4-92A9-4958-83D4-9A5AF12CC8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9E9FE48-B1D2-47B1-9CA3-833FEBDEA8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69A6717-451A-4A96-9770-4867FE8F21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89E64DF-3235-4693-8740-A471BDE8C3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E92AC3F1-5CD9-4708-A1AF-979EFF6EFA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A4860FC0-9550-4651-B2B6-3F888286BE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62A4804B-78B5-4B50-9ECA-C391C61A71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7B722AC-71B3-4E5E-99A4-E927EAB4B8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36C64444-77CB-4680-9D76-ED1AD3B1C2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512A56C-544C-442E-8A7F-701F4AF203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CD4EF95-6A67-4540-97AC-8ED35076D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B6B60DB-1E31-4AD0-8FC5-8013CB0509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2695CC09-B5A9-47BC-BBAC-1247DB71C6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0DCA2F4-93A6-4634-93CA-B96267A5AD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EAC9E9B5-6E82-4F50-A977-00583467AA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A5307DC-3E54-48D3-8B2D-7D26502CC1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FA31EEC-A199-46A4-93BF-BBE23A33C6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B1184E4-CACC-42D1-B658-B4C9621FA4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5EB3C5B9-0928-4D03-B81F-2D0790B0AE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ED7DE5AE-C187-4EF8-BFC5-00201D828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3EEE0E8C-627A-4658-81A5-2D7F5B99A7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55CC3485-2FB1-4CE4-ADBB-47019429A0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25EC105-3466-42B1-9A8F-B98FC15C3B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78753113-DAA4-4AAA-BD73-CC3F12603E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4CE0DE1E-ECDE-4FCB-96F9-73D779BF3E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26AFDF68-F2CF-4349-A6B4-F003D31FCA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7C50281-8C75-4FD9-B895-C582935370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EA5B9CF-95C9-4185-9ECB-F9AFF9756E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79FE1137-ADB4-423F-BD8B-B05FF580E4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51EB4447-B934-44EA-88FF-95B96E00F6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iconSet" priority="231" id="{0DA52DCD-0CE9-472E-A147-1A207CDA81D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210" id="{89D698AA-A2E6-4C8F-9D16-037F46A286B4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176" id="{76138463-E7F8-4914-94FE-E8704CEA334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262" id="{03BD5280-8700-4487-8409-3C47AA219DB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J8:J9</xm:sqref>
        </x14:conditionalFormatting>
        <x14:conditionalFormatting xmlns:xm="http://schemas.microsoft.com/office/excel/2006/main">
          <x14:cfRule type="iconSet" priority="127" id="{74A8B48A-3D4B-428D-8406-1D72614619F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104" id="{38588B83-37EF-44F0-A8A2-C1CD56CEF18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Enter</vt:lpstr>
      <vt:lpstr>secs</vt:lpstr>
      <vt:lpstr>Arena</vt:lpstr>
      <vt:lpstr>Гарез_GRENF</vt:lpstr>
      <vt:lpstr>Гарез_9999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 Serov</dc:creator>
  <cp:lastModifiedBy>master</cp:lastModifiedBy>
  <cp:lastPrinted>2017-08-30T11:25:30Z</cp:lastPrinted>
  <dcterms:created xsi:type="dcterms:W3CDTF">2014-04-29T04:58:58Z</dcterms:created>
  <dcterms:modified xsi:type="dcterms:W3CDTF">2017-10-02T14:50:11Z</dcterms:modified>
</cp:coreProperties>
</file>